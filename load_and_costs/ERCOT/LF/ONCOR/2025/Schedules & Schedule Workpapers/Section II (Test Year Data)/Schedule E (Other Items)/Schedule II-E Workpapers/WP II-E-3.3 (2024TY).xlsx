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8F3DB6A0-8E24-4402-9036-B23A6D9489EA}" xr6:coauthVersionLast="47" xr6:coauthVersionMax="47" xr10:uidLastSave="{00000000-0000-0000-0000-000000000000}"/>
  <x:bookViews>
    <x:workbookView xWindow="28680" yWindow="1290" windowWidth="29040" windowHeight="15840" xr2:uid="{97297523-9FE1-4112-8A02-F6C9F3B272AD}"/>
  </x:bookViews>
  <x:sheets>
    <x:sheet name="WP II-E-3.3" sheetId="1" r:id="rId1"/>
  </x:sheets>
  <x:externalReferences>
    <x:externalReference r:id="rId2"/>
    <x:externalReference r:id="rId3"/>
  </x:externalReferences>
  <x:definedNames>
    <x:definedName name="_xlnm.Print_Area" localSheetId="0">'WP II-E-3.3'!$A$10:$T$218</x:definedName>
    <x:definedName name="_xlnm.Print_Titles" localSheetId="0">'WP II-E-3.3'!$A:$E,'WP II-E-3.3'!$10:$11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194" i="1" l="1"/>
  <x:c r="E168" i="1"/>
  <x:c r="E142" i="1"/>
  <x:c r="E116" i="1"/>
  <x:c r="E90" i="1"/>
  <x:c r="E64" i="1"/>
  <x:c r="E38" i="1"/>
  <x:c r="T218" i="1" l="1"/>
  <x:c r="R218" i="1"/>
  <x:c r="P218" i="1"/>
  <x:c r="N218" i="1"/>
  <x:c r="K218" i="1"/>
  <x:c r="I218" i="1"/>
  <x:c r="G218" i="1"/>
  <x:c r="T192" i="1"/>
  <x:c r="R192" i="1"/>
  <x:c r="P192" i="1"/>
  <x:c r="N192" i="1"/>
  <x:c r="K192" i="1"/>
  <x:c r="I192" i="1"/>
  <x:c r="G192" i="1"/>
  <x:c r="L168" i="1"/>
  <x:c r="L167" i="1"/>
  <x:c r="S166" i="1"/>
  <x:c r="Q166" i="1"/>
  <x:c r="O166" i="1"/>
  <x:c r="M166" i="1"/>
  <x:c r="J166" i="1"/>
  <x:c r="H166" i="1"/>
  <x:c r="F166" i="1"/>
  <x:c r="L142" i="1"/>
  <x:c r="L141" i="1"/>
  <x:c r="T140" i="1"/>
  <x:c r="R140" i="1"/>
  <x:c r="P140" i="1"/>
  <x:c r="N140" i="1"/>
  <x:c r="K140" i="1"/>
  <x:c r="I140" i="1"/>
  <x:c r="G140" i="1"/>
  <x:c r="T114" i="1"/>
  <x:c r="R114" i="1"/>
  <x:c r="P114" i="1"/>
  <x:c r="N114" i="1"/>
  <x:c r="K114" i="1"/>
  <x:c r="I114" i="1"/>
  <x:c r="G114" i="1"/>
  <x:c r="S88" i="1"/>
  <x:c r="Q88" i="1"/>
  <x:c r="O88" i="1"/>
  <x:c r="M88" i="1"/>
  <x:c r="J88" i="1"/>
  <x:c r="H88" i="1"/>
  <x:c r="F88" i="1"/>
  <x:c r="R62" i="1"/>
  <x:c r="P62" i="1"/>
  <x:c r="N62" i="1"/>
  <x:c r="K62" i="1"/>
  <x:c r="I62" i="1"/>
  <x:c r="G62" i="1"/>
  <x:c r="T52" i="1"/>
  <x:c r="T36" i="1"/>
  <x:c r="S36" i="1"/>
  <x:c r="R35" i="1"/>
  <x:c r="Q35" i="1"/>
  <x:c r="P35" i="1"/>
  <x:c r="O35" i="1"/>
  <x:c r="N35" i="1"/>
  <x:c r="M35" i="1"/>
  <x:c r="K35" i="1"/>
  <x:c r="J35" i="1"/>
  <x:c r="I35" i="1"/>
  <x:c r="H35" i="1"/>
  <x:c r="G35" i="1"/>
  <x:c r="F35" i="1"/>
  <x:c r="F217" i="1" s="1"/>
  <x:c r="R34" i="1"/>
  <x:c r="R86" i="1" s="1"/>
  <x:c r="Q34" i="1"/>
  <x:c r="P34" i="1"/>
  <x:c r="P86" i="1" s="1"/>
  <x:c r="O34" i="1"/>
  <x:c r="N34" i="1"/>
  <x:c r="M34" i="1"/>
  <x:c r="K34" i="1"/>
  <x:c r="J34" i="1"/>
  <x:c r="I34" i="1"/>
  <x:c r="H34" i="1"/>
  <x:c r="H60" i="1" s="1"/>
  <x:c r="G34" i="1"/>
  <x:c r="F34" i="1"/>
  <x:c r="R33" i="1"/>
  <x:c r="Q33" i="1"/>
  <x:c r="Q189" i="1" s="1"/>
  <x:c r="P33" i="1"/>
  <x:c r="P163" i="1" s="1"/>
  <x:c r="O33" i="1"/>
  <x:c r="N33" i="1"/>
  <x:c r="M33" i="1"/>
  <x:c r="K33" i="1"/>
  <x:c r="J33" i="1"/>
  <x:c r="I33" i="1"/>
  <x:c r="H33" i="1"/>
  <x:c r="H59" i="1" s="1"/>
  <x:c r="G33" i="1"/>
  <x:c r="F33" i="1"/>
  <x:c r="R32" i="1"/>
  <x:c r="Q32" i="1"/>
  <x:c r="P32" i="1"/>
  <x:c r="P162" i="1" s="1"/>
  <x:c r="O32" i="1"/>
  <x:c r="N32" i="1"/>
  <x:c r="M32" i="1"/>
  <x:c r="K32" i="1"/>
  <x:c r="J32" i="1"/>
  <x:c r="I32" i="1"/>
  <x:c r="H32" i="1"/>
  <x:c r="G32" i="1"/>
  <x:c r="F32" i="1"/>
  <x:c r="R31" i="1"/>
  <x:c r="R83" i="1" s="1"/>
  <x:c r="Q31" i="1"/>
  <x:c r="Q187" i="1" s="1"/>
  <x:c r="P31" i="1"/>
  <x:c r="P161" i="1" s="1"/>
  <x:c r="O31" i="1"/>
  <x:c r="O187" i="1" s="1"/>
  <x:c r="N31" i="1"/>
  <x:c r="M31" i="1"/>
  <x:c r="K31" i="1"/>
  <x:c r="J31" i="1"/>
  <x:c r="I31" i="1"/>
  <x:c r="H31" i="1"/>
  <x:c r="G31" i="1"/>
  <x:c r="F31" i="1"/>
  <x:c r="R30" i="1"/>
  <x:c r="Q30" i="1"/>
  <x:c r="P30" i="1"/>
  <x:c r="P160" i="1" s="1"/>
  <x:c r="O30" i="1"/>
  <x:c r="N30" i="1"/>
  <x:c r="M30" i="1"/>
  <x:c r="K30" i="1"/>
  <x:c r="J30" i="1"/>
  <x:c r="I30" i="1"/>
  <x:c r="H30" i="1"/>
  <x:c r="G30" i="1"/>
  <x:c r="F30" i="1"/>
  <x:c r="R29" i="1"/>
  <x:c r="Q29" i="1"/>
  <x:c r="P29" i="1"/>
  <x:c r="P159" i="1" s="1"/>
  <x:c r="O29" i="1"/>
  <x:c r="N29" i="1"/>
  <x:c r="M29" i="1"/>
  <x:c r="M55" i="1" s="1"/>
  <x:c r="K29" i="1"/>
  <x:c r="J29" i="1"/>
  <x:c r="I29" i="1"/>
  <x:c r="H29" i="1"/>
  <x:c r="H55" i="1" s="1"/>
  <x:c r="G29" i="1"/>
  <x:c r="F29" i="1"/>
  <x:c r="R28" i="1"/>
  <x:c r="Q28" i="1"/>
  <x:c r="P28" i="1"/>
  <x:c r="P158" i="1" s="1"/>
  <x:c r="O28" i="1"/>
  <x:c r="N28" i="1"/>
  <x:c r="M28" i="1"/>
  <x:c r="K28" i="1"/>
  <x:c r="J28" i="1"/>
  <x:c r="I28" i="1"/>
  <x:c r="H28" i="1"/>
  <x:c r="H54" i="1" s="1"/>
  <x:c r="G28" i="1"/>
  <x:c r="F28" i="1"/>
  <x:c r="F106" i="1" s="1"/>
  <x:c r="R27" i="1"/>
  <x:c r="Q27" i="1"/>
  <x:c r="P27" i="1"/>
  <x:c r="P157" i="1" s="1"/>
  <x:c r="O27" i="1"/>
  <x:c r="N27" i="1"/>
  <x:c r="M27" i="1"/>
  <x:c r="K27" i="1"/>
  <x:c r="J27" i="1"/>
  <x:c r="I27" i="1"/>
  <x:c r="H27" i="1"/>
  <x:c r="G27" i="1"/>
  <x:c r="F27" i="1"/>
  <x:c r="F105" i="1" s="1"/>
  <x:c r="R26" i="1"/>
  <x:c r="Q26" i="1"/>
  <x:c r="Q52" i="1" s="1"/>
  <x:c r="P26" i="1"/>
  <x:c r="P156" i="1" s="1"/>
  <x:c r="O26" i="1"/>
  <x:c r="N26" i="1"/>
  <x:c r="M26" i="1"/>
  <x:c r="K26" i="1"/>
  <x:c r="J26" i="1"/>
  <x:c r="I26" i="1"/>
  <x:c r="H26" i="1"/>
  <x:c r="G26" i="1"/>
  <x:c r="F26" i="1"/>
  <x:c r="R25" i="1"/>
  <x:c r="Q25" i="1"/>
  <x:c r="P25" i="1"/>
  <x:c r="P155" i="1" s="1"/>
  <x:c r="O25" i="1"/>
  <x:c r="N25" i="1"/>
  <x:c r="M25" i="1"/>
  <x:c r="K25" i="1"/>
  <x:c r="J25" i="1"/>
  <x:c r="I25" i="1"/>
  <x:c r="H25" i="1"/>
  <x:c r="H51" i="1" s="1"/>
  <x:c r="G25" i="1"/>
  <x:c r="F25" i="1"/>
  <x:c r="R24" i="1"/>
  <x:c r="R76" i="1" s="1"/>
  <x:c r="Q24" i="1"/>
  <x:c r="Q50" i="1" s="1"/>
  <x:c r="P24" i="1"/>
  <x:c r="P154" i="1" s="1"/>
  <x:c r="O24" i="1"/>
  <x:c r="N24" i="1"/>
  <x:c r="M24" i="1"/>
  <x:c r="K24" i="1"/>
  <x:c r="J24" i="1"/>
  <x:c r="I24" i="1"/>
  <x:c r="H24" i="1"/>
  <x:c r="H50" i="1" s="1"/>
  <x:c r="G24" i="1"/>
  <x:c r="F24" i="1"/>
  <x:c r="R23" i="1"/>
  <x:c r="Q23" i="1"/>
  <x:c r="Q179" i="1" s="1"/>
  <x:c r="P23" i="1"/>
  <x:c r="P153" i="1" s="1"/>
  <x:c r="O23" i="1"/>
  <x:c r="N23" i="1"/>
  <x:c r="M23" i="1"/>
  <x:c r="K23" i="1"/>
  <x:c r="J23" i="1"/>
  <x:c r="I23" i="1"/>
  <x:c r="H23" i="1"/>
  <x:c r="G23" i="1"/>
  <x:c r="F23" i="1"/>
  <x:c r="R22" i="1"/>
  <x:c r="R74" i="1" s="1"/>
  <x:c r="Q22" i="1"/>
  <x:c r="P22" i="1"/>
  <x:c r="P74" i="1" s="1"/>
  <x:c r="O22" i="1"/>
  <x:c r="O178" i="1" s="1"/>
  <x:c r="N22" i="1"/>
  <x:c r="M22" i="1"/>
  <x:c r="K22" i="1"/>
  <x:c r="J22" i="1"/>
  <x:c r="I22" i="1"/>
  <x:c r="H22" i="1"/>
  <x:c r="G22" i="1"/>
  <x:c r="F22" i="1"/>
  <x:c r="F100" i="1" s="1"/>
  <x:c r="R21" i="1"/>
  <x:c r="Q21" i="1"/>
  <x:c r="Q47" i="1" s="1"/>
  <x:c r="P21" i="1"/>
  <x:c r="P151" i="1" s="1"/>
  <x:c r="O21" i="1"/>
  <x:c r="O177" i="1" s="1"/>
  <x:c r="N21" i="1"/>
  <x:c r="N151" i="1" s="1"/>
  <x:c r="M21" i="1"/>
  <x:c r="K21" i="1"/>
  <x:c r="J21" i="1"/>
  <x:c r="I21" i="1"/>
  <x:c r="H21" i="1"/>
  <x:c r="G21" i="1"/>
  <x:c r="F21" i="1"/>
  <x:c r="F47" i="1" s="1"/>
  <x:c r="R20" i="1"/>
  <x:c r="Q20" i="1"/>
  <x:c r="P20" i="1"/>
  <x:c r="P150" i="1" s="1"/>
  <x:c r="O20" i="1"/>
  <x:c r="N20" i="1"/>
  <x:c r="N150" i="1" s="1"/>
  <x:c r="M20" i="1"/>
  <x:c r="K20" i="1"/>
  <x:c r="J20" i="1"/>
  <x:c r="I20" i="1"/>
  <x:c r="H20" i="1"/>
  <x:c r="G20" i="1"/>
  <x:c r="F20" i="1"/>
  <x:c r="R19" i="1"/>
  <x:c r="R71" i="1" s="1"/>
  <x:c r="Q19" i="1"/>
  <x:c r="P19" i="1"/>
  <x:c r="P71" i="1" s="1"/>
  <x:c r="O19" i="1"/>
  <x:c r="N19" i="1"/>
  <x:c r="M19" i="1"/>
  <x:c r="K19" i="1"/>
  <x:c r="J19" i="1"/>
  <x:c r="I19" i="1"/>
  <x:c r="H19" i="1"/>
  <x:c r="G19" i="1"/>
  <x:c r="F19" i="1"/>
  <x:c r="R18" i="1"/>
  <x:c r="R148" i="1" s="1"/>
  <x:c r="Q18" i="1"/>
  <x:c r="Q44" i="1" s="1"/>
  <x:c r="P18" i="1"/>
  <x:c r="P148" i="1" s="1"/>
  <x:c r="O18" i="1"/>
  <x:c r="N18" i="1"/>
  <x:c r="N148" i="1" s="1"/>
  <x:c r="M18" i="1"/>
  <x:c r="K18" i="1"/>
  <x:c r="J18" i="1"/>
  <x:c r="I18" i="1"/>
  <x:c r="H18" i="1"/>
  <x:c r="G18" i="1"/>
  <x:c r="F18" i="1"/>
  <x:c r="F44" i="1" s="1"/>
  <x:c r="R17" i="1"/>
  <x:c r="R147" i="1" s="1"/>
  <x:c r="Q17" i="1"/>
  <x:c r="P17" i="1"/>
  <x:c r="P147" i="1" s="1"/>
  <x:c r="O17" i="1"/>
  <x:c r="N17" i="1"/>
  <x:c r="N147" i="1" s="1"/>
  <x:c r="M17" i="1"/>
  <x:c r="K17" i="1"/>
  <x:c r="J17" i="1"/>
  <x:c r="I17" i="1"/>
  <x:c r="H17" i="1"/>
  <x:c r="G17" i="1"/>
  <x:c r="F17" i="1"/>
  <x:c r="R16" i="1"/>
  <x:c r="R68" i="1" s="1"/>
  <x:c r="Q16" i="1"/>
  <x:c r="Q42" i="1" s="1"/>
  <x:c r="P16" i="1"/>
  <x:c r="P68" i="1" s="1"/>
  <x:c r="O16" i="1"/>
  <x:c r="O172" i="1" s="1"/>
  <x:c r="N16" i="1"/>
  <x:c r="M16" i="1"/>
  <x:c r="K16" i="1"/>
  <x:c r="J16" i="1"/>
  <x:c r="I16" i="1"/>
  <x:c r="H16" i="1"/>
  <x:c r="H42" i="1" s="1"/>
  <x:c r="G16" i="1"/>
  <x:c r="F16" i="1"/>
  <x:c r="F94" i="1" s="1"/>
  <x:c r="R15" i="1"/>
  <x:c r="R145" i="1" s="1"/>
  <x:c r="Q15" i="1"/>
  <x:c r="Q41" i="1" s="1"/>
  <x:c r="P15" i="1"/>
  <x:c r="P145" i="1" s="1"/>
  <x:c r="O15" i="1"/>
  <x:c r="N15" i="1"/>
  <x:c r="N145" i="1" s="1"/>
  <x:c r="M15" i="1"/>
  <x:c r="K15" i="1"/>
  <x:c r="J15" i="1"/>
  <x:c r="J41" i="1" s="1"/>
  <x:c r="I15" i="1"/>
  <x:c r="H15" i="1"/>
  <x:c r="H41" i="1" s="1"/>
  <x:c r="G15" i="1"/>
  <x:c r="F15" i="1"/>
  <x:c r="F197" i="1" s="1"/>
  <x:c r="R14" i="1"/>
  <x:c r="R144" i="1" s="1"/>
  <x:c r="Q14" i="1"/>
  <x:c r="P14" i="1"/>
  <x:c r="P144" i="1" s="1"/>
  <x:c r="O14" i="1"/>
  <x:c r="N14" i="1"/>
  <x:c r="N144" i="1" s="1"/>
  <x:c r="M14" i="1"/>
  <x:c r="M40" i="1" s="1"/>
  <x:c r="K14" i="1"/>
  <x:c r="J14" i="1"/>
  <x:c r="I14" i="1"/>
  <x:c r="H14" i="1"/>
  <x:c r="G14" i="1"/>
  <x:c r="F14" i="1"/>
  <x:c r="R13" i="1"/>
  <x:c r="R65" i="1" s="1"/>
  <x:c r="Q13" i="1"/>
  <x:c r="P13" i="1"/>
  <x:c r="P143" i="1" s="1"/>
  <x:c r="O13" i="1"/>
  <x:c r="N13" i="1"/>
  <x:c r="M13" i="1"/>
  <x:c r="K13" i="1"/>
  <x:c r="J13" i="1"/>
  <x:c r="I13" i="1"/>
  <x:c r="H13" i="1"/>
  <x:c r="H36" i="1" s="1"/>
  <x:c r="G13" i="1"/>
  <x:c r="F13" i="1"/>
  <x:c r="A13" i="1"/>
  <x:c r="A14" i="1" s="1"/>
  <x:c r="A15" i="1" s="1"/>
  <x:c r="A16" i="1" s="1"/>
  <x:c r="A17" i="1" s="1"/>
  <x:c r="A18" i="1" s="1"/>
  <x:c r="A19" i="1" s="1"/>
  <x:c r="A20" i="1" s="1"/>
  <x:c r="A21" i="1" s="1"/>
  <x:c r="A22" i="1" s="1"/>
  <x:c r="A23" i="1" s="1"/>
  <x:c r="A24" i="1" s="1"/>
  <x:c r="A25" i="1" s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A40" i="1" s="1"/>
  <x:c r="A41" i="1" s="1"/>
  <x:c r="A42" i="1" s="1"/>
  <x:c r="A43" i="1" s="1"/>
  <x:c r="A44" i="1" s="1"/>
  <x:c r="A45" i="1" s="1"/>
  <x:c r="A46" i="1" s="1"/>
  <x:c r="A47" i="1" s="1"/>
  <x:c r="A48" i="1" s="1"/>
  <x:c r="A49" i="1" s="1"/>
  <x:c r="A50" i="1" s="1"/>
  <x:c r="A51" i="1" s="1"/>
  <x:c r="A52" i="1" s="1"/>
  <x:c r="A53" i="1" s="1"/>
  <x:c r="A54" i="1" s="1"/>
  <x:c r="A55" i="1" s="1"/>
  <x:c r="A56" i="1" s="1"/>
  <x:c r="A57" i="1" s="1"/>
  <x:c r="A58" i="1" s="1"/>
  <x:c r="A59" i="1" s="1"/>
  <x:c r="A60" i="1" s="1"/>
  <x:c r="A61" i="1" s="1"/>
  <x:c r="A62" i="1" s="1"/>
  <x:c r="A63" i="1" s="1"/>
  <x:c r="A64" i="1" s="1"/>
  <x:c r="A65" i="1" s="1"/>
  <x:c r="A66" i="1" s="1"/>
  <x:c r="A67" i="1" s="1"/>
  <x:c r="A68" i="1" s="1"/>
  <x:c r="A69" i="1" s="1"/>
  <x:c r="A70" i="1" s="1"/>
  <x:c r="A71" i="1" s="1"/>
  <x:c r="A72" i="1" s="1"/>
  <x:c r="A73" i="1" s="1"/>
  <x:c r="A74" i="1" s="1"/>
  <x:c r="A75" i="1" s="1"/>
  <x:c r="A76" i="1" s="1"/>
  <x:c r="A77" i="1" s="1"/>
  <x:c r="A78" i="1" s="1"/>
  <x:c r="A79" i="1" s="1"/>
  <x:c r="A80" i="1" s="1"/>
  <x:c r="A81" i="1" s="1"/>
  <x:c r="A82" i="1" s="1"/>
  <x:c r="A83" i="1" s="1"/>
  <x:c r="A84" i="1" s="1"/>
  <x:c r="A85" i="1" s="1"/>
  <x:c r="A86" i="1" s="1"/>
  <x:c r="A87" i="1" s="1"/>
  <x:c r="A88" i="1" s="1"/>
  <x:c r="A89" i="1" s="1"/>
  <x:c r="A90" i="1" s="1"/>
  <x:c r="A91" i="1" s="1"/>
  <x:c r="A92" i="1" s="1"/>
  <x:c r="A93" i="1" s="1"/>
  <x:c r="A94" i="1" s="1"/>
  <x:c r="A95" i="1" s="1"/>
  <x:c r="A96" i="1" s="1"/>
  <x:c r="A97" i="1" s="1"/>
  <x:c r="A98" i="1" s="1"/>
  <x:c r="A99" i="1" s="1"/>
  <x:c r="A100" i="1" s="1"/>
  <x:c r="A101" i="1" s="1"/>
  <x:c r="A102" i="1" s="1"/>
  <x:c r="A103" i="1" s="1"/>
  <x:c r="A104" i="1" s="1"/>
  <x:c r="A105" i="1" s="1"/>
  <x:c r="A106" i="1" s="1"/>
  <x:c r="A107" i="1" s="1"/>
  <x:c r="A108" i="1" s="1"/>
  <x:c r="A109" i="1" s="1"/>
  <x:c r="A110" i="1" s="1"/>
  <x:c r="A111" i="1" s="1"/>
  <x:c r="A112" i="1" s="1"/>
  <x:c r="A113" i="1" s="1"/>
  <x:c r="A114" i="1" s="1"/>
  <x:c r="A115" i="1" s="1"/>
  <x:c r="A116" i="1" s="1"/>
  <x:c r="A117" i="1" s="1"/>
  <x:c r="A118" i="1" s="1"/>
  <x:c r="A119" i="1" s="1"/>
  <x:c r="A120" i="1" s="1"/>
  <x:c r="A121" i="1" s="1"/>
  <x:c r="A122" i="1" s="1"/>
  <x:c r="A123" i="1" s="1"/>
  <x:c r="A124" i="1" s="1"/>
  <x:c r="A125" i="1" s="1"/>
  <x:c r="A126" i="1" s="1"/>
  <x:c r="A127" i="1" s="1"/>
  <x:c r="A128" i="1" s="1"/>
  <x:c r="A129" i="1" s="1"/>
  <x:c r="A130" i="1" s="1"/>
  <x:c r="A131" i="1" s="1"/>
  <x:c r="A132" i="1" s="1"/>
  <x:c r="A133" i="1" s="1"/>
  <x:c r="A134" i="1" s="1"/>
  <x:c r="A135" i="1" s="1"/>
  <x:c r="A136" i="1" s="1"/>
  <x:c r="A137" i="1" s="1"/>
  <x:c r="A138" i="1" s="1"/>
  <x:c r="A139" i="1" s="1"/>
  <x:c r="A140" i="1" s="1"/>
  <x:c r="A141" i="1" s="1"/>
  <x:c r="A142" i="1" s="1"/>
  <x:c r="A143" i="1" s="1"/>
  <x:c r="A144" i="1" s="1"/>
  <x:c r="A145" i="1" s="1"/>
  <x:c r="A146" i="1" s="1"/>
  <x:c r="A147" i="1" s="1"/>
  <x:c r="A148" i="1" s="1"/>
  <x:c r="A149" i="1" s="1"/>
  <x:c r="A150" i="1" s="1"/>
  <x:c r="A151" i="1" s="1"/>
  <x:c r="A152" i="1" s="1"/>
  <x:c r="A153" i="1" s="1"/>
  <x:c r="A154" i="1" s="1"/>
  <x:c r="A155" i="1" s="1"/>
  <x:c r="A156" i="1" s="1"/>
  <x:c r="A157" i="1" s="1"/>
  <x:c r="A158" i="1" s="1"/>
  <x:c r="A159" i="1" s="1"/>
  <x:c r="A160" i="1" s="1"/>
  <x:c r="A161" i="1" s="1"/>
  <x:c r="A162" i="1" s="1"/>
  <x:c r="A163" i="1" s="1"/>
  <x:c r="A164" i="1" s="1"/>
  <x:c r="A165" i="1" s="1"/>
  <x:c r="A166" i="1" s="1"/>
  <x:c r="A167" i="1" s="1"/>
  <x:c r="A168" i="1" s="1"/>
  <x:c r="A169" i="1" s="1"/>
  <x:c r="A170" i="1" s="1"/>
  <x:c r="A171" i="1" s="1"/>
  <x:c r="A172" i="1" s="1"/>
  <x:c r="A173" i="1" s="1"/>
  <x:c r="A174" i="1" s="1"/>
  <x:c r="A175" i="1" s="1"/>
  <x:c r="A176" i="1" s="1"/>
  <x:c r="A177" i="1" s="1"/>
  <x:c r="A178" i="1" s="1"/>
  <x:c r="A179" i="1" s="1"/>
  <x:c r="A180" i="1" s="1"/>
  <x:c r="A181" i="1" s="1"/>
  <x:c r="A182" i="1" s="1"/>
  <x:c r="A183" i="1" s="1"/>
  <x:c r="A184" i="1" s="1"/>
  <x:c r="A185" i="1" s="1"/>
  <x:c r="A186" i="1" s="1"/>
  <x:c r="A187" i="1" s="1"/>
  <x:c r="A188" i="1" s="1"/>
  <x:c r="A189" i="1" s="1"/>
  <x:c r="A190" i="1" s="1"/>
  <x:c r="A191" i="1" s="1"/>
  <x:c r="A192" i="1" s="1"/>
  <x:c r="A193" i="1" s="1"/>
  <x:c r="A194" i="1" s="1"/>
  <x:c r="A195" i="1" s="1"/>
  <x:c r="A196" i="1" s="1"/>
  <x:c r="A197" i="1" s="1"/>
  <x:c r="A198" i="1" s="1"/>
  <x:c r="A199" i="1" s="1"/>
  <x:c r="A200" i="1" s="1"/>
  <x:c r="A201" i="1" s="1"/>
  <x:c r="A202" i="1" s="1"/>
  <x:c r="A203" i="1" s="1"/>
  <x:c r="A204" i="1" s="1"/>
  <x:c r="A205" i="1" s="1"/>
  <x:c r="A206" i="1" s="1"/>
  <x:c r="A207" i="1" s="1"/>
  <x:c r="A208" i="1" s="1"/>
  <x:c r="A209" i="1" s="1"/>
  <x:c r="A210" i="1" s="1"/>
  <x:c r="A211" i="1" s="1"/>
  <x:c r="A212" i="1" s="1"/>
  <x:c r="A213" i="1" s="1"/>
  <x:c r="A214" i="1" s="1"/>
  <x:c r="A215" i="1" s="1"/>
  <x:c r="A216" i="1" s="1"/>
  <x:c r="A217" i="1" s="1"/>
  <x:c r="A218" i="1" s="1"/>
  <x:c r="H196" i="1" l="1"/>
  <x:c r="H208" i="1"/>
  <x:c r="H105" i="1"/>
  <x:c r="S43" i="1"/>
  <x:c r="J200" i="1"/>
  <x:c r="S44" i="1"/>
  <x:c r="H99" i="1"/>
  <x:c r="T44" i="1"/>
  <x:c r="M98" i="1"/>
  <x:c r="M100" i="1"/>
  <x:c r="M104" i="1"/>
  <x:c r="M209" i="1"/>
  <x:c r="M108" i="1"/>
  <x:c r="T45" i="1"/>
  <x:c r="S46" i="1"/>
  <x:c r="T47" i="1"/>
  <x:c r="T57" i="1"/>
  <x:c r="T58" i="1"/>
  <x:c r="M137" i="1"/>
  <x:c r="M138" i="1"/>
  <x:c r="J137" i="1"/>
  <x:c r="N36" i="1"/>
  <x:c r="O117" i="1"/>
  <x:c r="O200" i="1"/>
  <x:c r="O123" i="1"/>
  <x:c r="O206" i="1"/>
  <x:c r="O103" i="1"/>
  <x:c r="O210" i="1"/>
  <x:c r="O55" i="1"/>
  <x:c r="O108" i="1"/>
  <x:c r="O215" i="1"/>
  <x:c r="O138" i="1"/>
  <x:c r="O61" i="1"/>
  <x:c r="T46" i="1"/>
  <x:c r="J124" i="1"/>
  <x:c r="M129" i="1"/>
  <x:c r="J128" i="1"/>
  <x:c r="Q117" i="1"/>
  <x:c r="Q123" i="1"/>
  <x:c r="Q126" i="1"/>
  <x:c r="Q54" i="1"/>
  <x:c r="Q55" i="1"/>
  <x:c r="Q216" i="1"/>
  <x:c r="Q61" i="1"/>
  <x:c r="T53" i="1"/>
  <x:c r="R150" i="1"/>
  <x:c r="R151" i="1"/>
  <x:c r="R153" i="1"/>
  <x:c r="R156" i="1"/>
  <x:c r="R157" i="1"/>
  <x:c r="R159" i="1"/>
  <x:c r="R160" i="1"/>
  <x:c r="R162" i="1"/>
  <x:c r="R163" i="1"/>
  <x:c r="R165" i="1"/>
  <x:c r="T54" i="1"/>
  <x:c r="J36" i="1"/>
  <x:c r="F128" i="1"/>
  <x:c r="F133" i="1"/>
  <x:c r="S56" i="1"/>
  <x:c r="F121" i="1"/>
  <x:c r="F127" i="1"/>
  <x:c r="F134" i="1"/>
  <x:c r="F112" i="1"/>
  <x:c r="S114" i="1"/>
  <x:c r="T56" i="1"/>
  <x:c r="J130" i="1"/>
  <x:c r="H121" i="1"/>
  <x:c r="H126" i="1"/>
  <x:c r="H127" i="1"/>
  <x:c r="S57" i="1"/>
  <x:c r="F170" i="1"/>
  <x:c r="G143" i="1"/>
  <x:c r="G67" i="1"/>
  <x:c r="G70" i="1"/>
  <x:c r="G152" i="1"/>
  <x:c r="G155" i="1"/>
  <x:c r="G158" i="1"/>
  <x:c r="G82" i="1"/>
  <x:c r="G87" i="1"/>
  <x:c r="H191" i="1"/>
  <x:c r="S48" i="1"/>
  <x:c r="T59" i="1"/>
  <x:c r="I143" i="1"/>
  <x:c r="I144" i="1"/>
  <x:c r="I145" i="1"/>
  <x:c r="I146" i="1"/>
  <x:c r="I147" i="1"/>
  <x:c r="I148" i="1"/>
  <x:c r="I149" i="1"/>
  <x:c r="I150" i="1"/>
  <x:c r="I151" i="1"/>
  <x:c r="I152" i="1"/>
  <x:c r="I153" i="1"/>
  <x:c r="I76" i="1"/>
  <x:c r="I155" i="1"/>
  <x:c r="I156" i="1"/>
  <x:c r="I157" i="1"/>
  <x:c r="I158" i="1"/>
  <x:c r="I159" i="1"/>
  <x:c r="I160" i="1"/>
  <x:c r="I161" i="1"/>
  <x:c r="I162" i="1"/>
  <x:c r="I163" i="1"/>
  <x:c r="I164" i="1"/>
  <x:c r="I165" i="1"/>
  <x:c r="S39" i="1"/>
  <x:c r="S49" i="1"/>
  <x:c r="S60" i="1"/>
  <x:c r="G144" i="1"/>
  <x:c r="L20" i="1"/>
  <x:c r="G79" i="1"/>
  <x:c r="G161" i="1"/>
  <x:c r="G164" i="1"/>
  <x:c r="J170" i="1"/>
  <x:c r="J175" i="1"/>
  <x:c r="J99" i="1"/>
  <x:c r="J178" i="1"/>
  <x:c r="J51" i="1"/>
  <x:c r="J105" i="1"/>
  <x:c r="J54" i="1"/>
  <x:c r="J57" i="1"/>
  <x:c r="J60" i="1"/>
  <x:c r="T39" i="1"/>
  <x:c r="S50" i="1"/>
  <x:c r="T60" i="1"/>
  <x:c r="G146" i="1"/>
  <x:c r="G69" i="1"/>
  <x:c r="G149" i="1"/>
  <x:c r="G153" i="1"/>
  <x:c r="G156" i="1"/>
  <x:c r="L156" i="1" s="1"/>
  <x:c r="G81" i="1"/>
  <x:c r="G162" i="1"/>
  <x:c r="G85" i="1"/>
  <x:c r="J172" i="1"/>
  <x:c r="K143" i="1"/>
  <x:c r="K144" i="1"/>
  <x:c r="K67" i="1"/>
  <x:c r="K146" i="1"/>
  <x:c r="K147" i="1"/>
  <x:c r="K149" i="1"/>
  <x:c r="K72" i="1"/>
  <x:c r="K152" i="1"/>
  <x:c r="K153" i="1"/>
  <x:c r="K76" i="1"/>
  <x:c r="K155" i="1"/>
  <x:c r="K156" i="1"/>
  <x:c r="K79" i="1"/>
  <x:c r="K158" i="1"/>
  <x:c r="K159" i="1"/>
  <x:c r="K82" i="1"/>
  <x:c r="K161" i="1"/>
  <x:c r="K84" i="1"/>
  <x:c r="K85" i="1"/>
  <x:c r="K164" i="1"/>
  <x:c r="K87" i="1"/>
  <x:c r="S40" i="1"/>
  <x:c r="T50" i="1"/>
  <x:c r="F188" i="1"/>
  <x:c r="M169" i="1"/>
  <x:c r="M172" i="1"/>
  <x:c r="M174" i="1"/>
  <x:c r="M175" i="1"/>
  <x:c r="M180" i="1"/>
  <x:c r="M109" i="1"/>
  <x:c r="M58" i="1"/>
  <x:c r="M61" i="1"/>
  <x:c r="T40" i="1"/>
  <x:c r="S52" i="1"/>
  <x:c r="N68" i="1"/>
  <x:c r="N71" i="1"/>
  <x:c r="N74" i="1"/>
  <x:c r="N153" i="1"/>
  <x:c r="N76" i="1"/>
  <x:c r="N77" i="1"/>
  <x:c r="N156" i="1"/>
  <x:c r="N157" i="1"/>
  <x:c r="N159" i="1"/>
  <x:c r="N82" i="1"/>
  <x:c r="N162" i="1"/>
  <x:c r="N163" i="1"/>
  <x:c r="N86" i="1"/>
  <x:c r="O170" i="1"/>
  <x:c r="O196" i="1"/>
  <x:c r="O92" i="1"/>
  <x:c r="O40" i="1"/>
  <x:c r="O176" i="1"/>
  <x:c r="O202" i="1"/>
  <x:c r="O98" i="1"/>
  <x:c r="O46" i="1"/>
  <x:c r="O182" i="1"/>
  <x:c r="O208" i="1"/>
  <x:c r="O104" i="1"/>
  <x:c r="O130" i="1"/>
  <x:c r="O52" i="1"/>
  <x:c r="O188" i="1"/>
  <x:c r="O214" i="1"/>
  <x:c r="O110" i="1"/>
  <x:c r="O136" i="1"/>
  <x:c r="O58" i="1"/>
  <x:c r="F169" i="1"/>
  <x:c r="F195" i="1"/>
  <x:c r="F117" i="1"/>
  <x:c r="F91" i="1"/>
  <x:c r="L16" i="1"/>
  <x:c r="J173" i="1"/>
  <x:c r="J95" i="1"/>
  <x:c r="J121" i="1"/>
  <x:c r="H174" i="1"/>
  <x:c r="H44" i="1"/>
  <x:c r="H200" i="1"/>
  <x:c r="F175" i="1"/>
  <x:c r="F201" i="1"/>
  <x:c r="F123" i="1"/>
  <x:c r="F97" i="1"/>
  <x:c r="F45" i="1"/>
  <x:c r="L22" i="1"/>
  <x:c r="J179" i="1"/>
  <x:c r="J205" i="1"/>
  <x:c r="J101" i="1"/>
  <x:c r="J127" i="1"/>
  <x:c r="F181" i="1"/>
  <x:c r="F207" i="1"/>
  <x:c r="F129" i="1"/>
  <x:c r="F103" i="1"/>
  <x:c r="F51" i="1"/>
  <x:c r="R77" i="1"/>
  <x:c r="R155" i="1"/>
  <x:c r="L28" i="1"/>
  <x:c r="J185" i="1"/>
  <x:c r="J107" i="1"/>
  <x:c r="H56" i="1"/>
  <x:c r="H134" i="1"/>
  <x:c r="F187" i="1"/>
  <x:c r="F213" i="1"/>
  <x:c r="F135" i="1"/>
  <x:c r="F109" i="1"/>
  <x:c r="F57" i="1"/>
  <x:c r="L34" i="1"/>
  <x:c r="J191" i="1"/>
  <x:c r="J113" i="1"/>
  <x:c r="F41" i="1"/>
  <x:c r="L41" i="1" s="1"/>
  <x:c r="M42" i="1"/>
  <x:c r="M45" i="1"/>
  <x:c r="J48" i="1"/>
  <x:c r="Q49" i="1"/>
  <x:c r="F54" i="1"/>
  <x:c r="J61" i="1"/>
  <x:c r="G65" i="1"/>
  <x:c r="I69" i="1"/>
  <x:c r="G71" i="1"/>
  <x:c r="I75" i="1"/>
  <x:c r="G77" i="1"/>
  <x:c r="I81" i="1"/>
  <x:c r="G83" i="1"/>
  <x:c r="I87" i="1"/>
  <x:c r="M92" i="1"/>
  <x:c r="F96" i="1"/>
  <x:c r="F102" i="1"/>
  <x:c r="F108" i="1"/>
  <x:c r="M110" i="1"/>
  <x:c r="O122" i="1"/>
  <x:c r="O128" i="1"/>
  <x:c r="O132" i="1"/>
  <x:c r="O135" i="1"/>
  <x:c r="H139" i="1"/>
  <x:c r="S140" i="1"/>
  <x:c r="G145" i="1"/>
  <x:c r="P152" i="1"/>
  <x:c r="G157" i="1"/>
  <x:c r="K160" i="1"/>
  <x:c r="P164" i="1"/>
  <x:c r="J174" i="1"/>
  <x:c r="Q185" i="1"/>
  <x:c r="O189" i="1"/>
  <x:c r="J196" i="1"/>
  <x:c r="M200" i="1"/>
  <x:c r="J208" i="1"/>
  <x:c r="F212" i="1"/>
  <x:c r="M171" i="1"/>
  <x:c r="M197" i="1"/>
  <x:c r="M119" i="1"/>
  <x:c r="M41" i="1"/>
  <x:c r="G154" i="1"/>
  <x:c r="G76" i="1"/>
  <x:c r="Q196" i="1"/>
  <x:c r="Q92" i="1"/>
  <x:c r="Q118" i="1"/>
  <x:c r="O197" i="1"/>
  <x:c r="O119" i="1"/>
  <x:c r="Q202" i="1"/>
  <x:c r="Q98" i="1"/>
  <x:c r="Q124" i="1"/>
  <x:c r="Q176" i="1"/>
  <x:c r="O203" i="1"/>
  <x:c r="O125" i="1"/>
  <x:c r="Q208" i="1"/>
  <x:c r="Q104" i="1"/>
  <x:c r="Q130" i="1"/>
  <x:c r="O209" i="1"/>
  <x:c r="O183" i="1"/>
  <x:c r="O131" i="1"/>
  <x:c r="M184" i="1"/>
  <x:c r="M132" i="1"/>
  <x:c r="M210" i="1"/>
  <x:c r="Q214" i="1"/>
  <x:c r="Q110" i="1"/>
  <x:c r="Q136" i="1"/>
  <x:c r="I36" i="1"/>
  <x:c r="O42" i="1"/>
  <x:c r="O45" i="1"/>
  <x:c r="I65" i="1"/>
  <x:c r="I67" i="1"/>
  <x:c r="K69" i="1"/>
  <x:c r="I71" i="1"/>
  <x:c r="I73" i="1"/>
  <x:c r="K75" i="1"/>
  <x:c r="I77" i="1"/>
  <x:c r="I79" i="1"/>
  <x:c r="K81" i="1"/>
  <x:c r="I83" i="1"/>
  <x:c r="I85" i="1"/>
  <x:c r="H96" i="1"/>
  <x:c r="H102" i="1"/>
  <x:c r="H108" i="1"/>
  <x:c r="H120" i="1"/>
  <x:c r="Q122" i="1"/>
  <x:c r="Q128" i="1"/>
  <x:c r="Q132" i="1"/>
  <x:c r="Q135" i="1"/>
  <x:c r="J139" i="1"/>
  <x:c r="N149" i="1"/>
  <x:c r="R152" i="1"/>
  <x:c r="R164" i="1"/>
  <x:c r="H170" i="1"/>
  <x:c r="H182" i="1"/>
  <x:c r="J190" i="1"/>
  <x:c r="Q200" i="1"/>
  <x:c r="M204" i="1"/>
  <x:c r="H212" i="1"/>
  <x:c r="M216" i="1"/>
  <x:c r="M177" i="1"/>
  <x:c r="M125" i="1"/>
  <x:c r="M47" i="1"/>
  <x:c r="Q181" i="1"/>
  <x:c r="Q207" i="1"/>
  <x:c r="Q129" i="1"/>
  <x:c r="H169" i="1"/>
  <x:c r="H195" i="1"/>
  <x:c r="H91" i="1"/>
  <x:c r="L17" i="1"/>
  <x:c r="H175" i="1"/>
  <x:c r="H201" i="1"/>
  <x:c r="H97" i="1"/>
  <x:c r="F176" i="1"/>
  <x:c r="F202" i="1"/>
  <x:c r="L23" i="1"/>
  <x:c r="H181" i="1"/>
  <x:c r="H207" i="1"/>
  <x:c r="H103" i="1"/>
  <x:c r="H129" i="1"/>
  <x:c r="F182" i="1"/>
  <x:c r="F130" i="1"/>
  <x:c r="N158" i="1"/>
  <x:c r="N80" i="1"/>
  <x:c r="L29" i="1"/>
  <x:c r="J134" i="1"/>
  <x:c r="J186" i="1"/>
  <x:c r="H187" i="1"/>
  <x:c r="H213" i="1"/>
  <x:c r="H109" i="1"/>
  <x:c r="H135" i="1"/>
  <x:c r="L35" i="1"/>
  <x:c r="S42" i="1"/>
  <x:c r="J44" i="1"/>
  <x:c r="Q45" i="1"/>
  <x:c r="M48" i="1"/>
  <x:c r="M51" i="1"/>
  <x:c r="H57" i="1"/>
  <x:c r="Q58" i="1"/>
  <x:c r="F60" i="1"/>
  <x:c r="L60" i="1" s="1"/>
  <x:c r="K65" i="1"/>
  <x:c r="N67" i="1"/>
  <x:c r="K71" i="1"/>
  <x:c r="N73" i="1"/>
  <x:c r="K77" i="1"/>
  <x:c r="N79" i="1"/>
  <x:c r="K83" i="1"/>
  <x:c r="N85" i="1"/>
  <x:c r="R87" i="1"/>
  <x:c r="T88" i="1"/>
  <x:c r="M93" i="1"/>
  <x:c r="J96" i="1"/>
  <x:c r="M99" i="1"/>
  <x:c r="J102" i="1"/>
  <x:c r="M105" i="1"/>
  <x:c r="J108" i="1"/>
  <x:c r="M111" i="1"/>
  <x:c r="M120" i="1"/>
  <x:c r="M126" i="1"/>
  <x:c r="K145" i="1"/>
  <x:c r="P149" i="1"/>
  <x:c r="K157" i="1"/>
  <x:c r="N160" i="1"/>
  <x:c r="Q170" i="1"/>
  <x:c r="O174" i="1"/>
  <x:c r="Q182" i="1"/>
  <x:c r="F186" i="1"/>
  <x:c r="O204" i="1"/>
  <x:c r="F209" i="1"/>
  <x:c r="J212" i="1"/>
  <x:c r="O216" i="1"/>
  <x:c r="M185" i="1"/>
  <x:c r="M211" i="1"/>
  <x:c r="M133" i="1"/>
  <x:c r="M191" i="1"/>
  <x:c r="M217" i="1"/>
  <x:c r="M139" i="1"/>
  <x:c r="K36" i="1"/>
  <x:c r="S59" i="1"/>
  <x:c r="S53" i="1"/>
  <x:c r="S47" i="1"/>
  <x:c r="S41" i="1"/>
  <x:c r="T61" i="1"/>
  <x:c r="T55" i="1"/>
  <x:c r="T49" i="1"/>
  <x:c r="T43" i="1"/>
  <x:c r="F40" i="1"/>
  <x:c r="T42" i="1"/>
  <x:c r="S45" i="1"/>
  <x:c r="H47" i="1"/>
  <x:c r="O48" i="1"/>
  <x:c r="F50" i="1"/>
  <x:c r="O51" i="1"/>
  <x:c r="S55" i="1"/>
  <x:c r="S58" i="1"/>
  <x:c r="P67" i="1"/>
  <x:c r="N69" i="1"/>
  <x:c r="P73" i="1"/>
  <x:c r="N75" i="1"/>
  <x:c r="P79" i="1"/>
  <x:c r="N81" i="1"/>
  <x:c r="P85" i="1"/>
  <x:c r="O93" i="1"/>
  <x:c r="O99" i="1"/>
  <x:c r="O105" i="1"/>
  <x:c r="O111" i="1"/>
  <x:c r="H117" i="1"/>
  <x:c r="O120" i="1"/>
  <x:c r="H123" i="1"/>
  <x:c r="O126" i="1"/>
  <x:c r="F136" i="1"/>
  <x:c r="N146" i="1"/>
  <x:c r="R149" i="1"/>
  <x:c r="I154" i="1"/>
  <x:c r="R161" i="1"/>
  <x:c r="G165" i="1"/>
  <x:c r="T166" i="1"/>
  <x:c r="M178" i="1"/>
  <x:c r="H186" i="1"/>
  <x:c r="M190" i="1"/>
  <x:c r="Q197" i="1"/>
  <x:c r="M201" i="1"/>
  <x:c r="H209" i="1"/>
  <x:c r="M213" i="1"/>
  <x:c r="M173" i="1"/>
  <x:c r="M199" i="1"/>
  <x:c r="M121" i="1"/>
  <x:c r="Q183" i="1"/>
  <x:c r="Q131" i="1"/>
  <x:c r="Q209" i="1"/>
  <x:c r="J195" i="1"/>
  <x:c r="J91" i="1"/>
  <x:c r="J117" i="1"/>
  <x:c r="J169" i="1"/>
  <x:c r="F171" i="1"/>
  <x:c r="F93" i="1"/>
  <x:c r="L18" i="1"/>
  <x:c r="J201" i="1"/>
  <x:c r="J97" i="1"/>
  <x:c r="J123" i="1"/>
  <x:c r="H202" i="1"/>
  <x:c r="H176" i="1"/>
  <x:c r="F203" i="1"/>
  <x:c r="F99" i="1"/>
  <x:c r="L24" i="1"/>
  <x:c r="J207" i="1"/>
  <x:c r="J103" i="1"/>
  <x:c r="J129" i="1"/>
  <x:c r="L30" i="1"/>
  <x:c r="J213" i="1"/>
  <x:c r="J109" i="1"/>
  <x:c r="J135" i="1"/>
  <x:c r="J187" i="1"/>
  <x:c r="H214" i="1"/>
  <x:c r="H136" i="1"/>
  <x:c r="F137" i="1"/>
  <x:c r="F189" i="1"/>
  <x:c r="F111" i="1"/>
  <x:c r="N87" i="1"/>
  <x:c r="N165" i="1"/>
  <x:c r="H40" i="1"/>
  <x:c r="O41" i="1"/>
  <x:c r="F43" i="1"/>
  <x:c r="M44" i="1"/>
  <x:c r="J47" i="1"/>
  <x:c r="J50" i="1"/>
  <x:c r="Q51" i="1"/>
  <x:c r="F53" i="1"/>
  <x:c r="M54" i="1"/>
  <x:c r="M57" i="1"/>
  <x:c r="P65" i="1"/>
  <x:c r="R67" i="1"/>
  <x:c r="P69" i="1"/>
  <x:c r="R73" i="1"/>
  <x:c r="P75" i="1"/>
  <x:c r="P77" i="1"/>
  <x:c r="R79" i="1"/>
  <x:c r="P81" i="1"/>
  <x:c r="P83" i="1"/>
  <x:c r="R85" i="1"/>
  <x:c r="Q93" i="1"/>
  <x:c r="M96" i="1"/>
  <x:c r="Q99" i="1"/>
  <x:c r="M102" i="1"/>
  <x:c r="Q105" i="1"/>
  <x:c r="Q111" i="1"/>
  <x:c r="F118" i="1"/>
  <x:c r="Q120" i="1"/>
  <x:c r="F124" i="1"/>
  <x:c r="H130" i="1"/>
  <x:c r="H133" i="1"/>
  <x:c r="H137" i="1"/>
  <x:c r="P146" i="1"/>
  <x:c r="K154" i="1"/>
  <x:c r="K165" i="1"/>
  <x:c r="O171" i="1"/>
  <x:c r="F183" i="1"/>
  <x:c r="O190" i="1"/>
  <x:c r="S192" i="1"/>
  <x:c r="O201" i="1"/>
  <x:c r="F206" i="1"/>
  <x:c r="J209" i="1"/>
  <x:c r="O213" i="1"/>
  <x:c r="O173" i="1"/>
  <x:c r="O199" i="1"/>
  <x:c r="O95" i="1"/>
  <x:c r="O121" i="1"/>
  <x:c r="G151" i="1"/>
  <x:c r="G73" i="1"/>
  <x:c r="Q178" i="1"/>
  <x:c r="Q204" i="1"/>
  <x:c r="Q48" i="1"/>
  <x:c r="O179" i="1"/>
  <x:c r="O205" i="1"/>
  <x:c r="O101" i="1"/>
  <x:c r="O127" i="1"/>
  <x:c r="O185" i="1"/>
  <x:c r="O211" i="1"/>
  <x:c r="O107" i="1"/>
  <x:c r="O133" i="1"/>
  <x:c r="M186" i="1"/>
  <x:c r="M134" i="1"/>
  <x:c r="M212" i="1"/>
  <x:c r="Q138" i="1"/>
  <x:c r="Q60" i="1"/>
  <x:c r="O191" i="1"/>
  <x:c r="O217" i="1"/>
  <x:c r="O113" i="1"/>
  <x:c r="O139" i="1"/>
  <x:c r="M36" i="1"/>
  <x:c r="F39" i="1"/>
  <x:c r="J40" i="1"/>
  <x:c r="H43" i="1"/>
  <x:c r="O44" i="1"/>
  <x:c r="T48" i="1"/>
  <x:c r="S51" i="1"/>
  <x:c r="H53" i="1"/>
  <x:c r="O54" i="1"/>
  <x:c r="F56" i="1"/>
  <x:c r="O57" i="1"/>
  <x:c r="S61" i="1"/>
  <x:c r="G66" i="1"/>
  <x:c r="R69" i="1"/>
  <x:c r="G72" i="1"/>
  <x:c r="R75" i="1"/>
  <x:c r="G78" i="1"/>
  <x:c r="R81" i="1"/>
  <x:c r="G84" i="1"/>
  <x:c r="O96" i="1"/>
  <x:c r="O102" i="1"/>
  <x:c r="H118" i="1"/>
  <x:c r="H124" i="1"/>
  <x:c r="J133" i="1"/>
  <x:c r="R146" i="1"/>
  <x:c r="G150" i="1"/>
  <x:c r="H183" i="1"/>
  <x:c r="M187" i="1"/>
  <x:c r="Q190" i="1"/>
  <x:c r="M198" i="1"/>
  <x:c r="Q201" i="1"/>
  <x:c r="H206" i="1"/>
  <x:c r="Q213" i="1"/>
  <x:c r="P87" i="1"/>
  <x:c r="P165" i="1"/>
  <x:c r="H39" i="1"/>
  <x:c r="T41" i="1"/>
  <x:c r="J43" i="1"/>
  <x:c r="F46" i="1"/>
  <x:c r="O47" i="1"/>
  <x:c r="F49" i="1"/>
  <x:c r="M50" i="1"/>
  <x:c r="T51" i="1"/>
  <x:c r="J53" i="1"/>
  <x:c r="S54" i="1"/>
  <x:c r="J56" i="1"/>
  <x:c r="Q57" i="1"/>
  <x:c r="F59" i="1"/>
  <x:c r="M60" i="1"/>
  <x:c r="I66" i="1"/>
  <x:c r="G68" i="1"/>
  <x:c r="I72" i="1"/>
  <x:c r="G74" i="1"/>
  <x:c r="I78" i="1"/>
  <x:c r="G80" i="1"/>
  <x:c r="I84" i="1"/>
  <x:c r="G86" i="1"/>
  <x:c r="O91" i="1"/>
  <x:c r="O97" i="1"/>
  <x:c r="O109" i="1"/>
  <x:c r="J118" i="1"/>
  <x:c r="K150" i="1"/>
  <x:c r="N154" i="1"/>
  <x:c r="K162" i="1"/>
  <x:c r="O175" i="1"/>
  <x:c r="F180" i="1"/>
  <x:c r="J183" i="1"/>
  <x:c r="O198" i="1"/>
  <x:c r="J206" i="1"/>
  <x:c r="J217" i="1"/>
  <x:c r="Q171" i="1"/>
  <x:c r="Q119" i="1"/>
  <x:c r="K70" i="1"/>
  <x:c r="K148" i="1"/>
  <x:c r="M179" i="1"/>
  <x:c r="M205" i="1"/>
  <x:c r="M127" i="1"/>
  <x:c r="F172" i="1"/>
  <x:c r="F198" i="1"/>
  <x:c r="F120" i="1"/>
  <x:c r="L19" i="1"/>
  <x:c r="F178" i="1"/>
  <x:c r="F204" i="1"/>
  <x:c r="F126" i="1"/>
  <x:c r="J182" i="1"/>
  <x:c r="J52" i="1"/>
  <x:c r="R158" i="1"/>
  <x:c r="R80" i="1"/>
  <x:c r="Q199" i="1"/>
  <x:c r="Q95" i="1"/>
  <x:c r="Q121" i="1"/>
  <x:c r="Q173" i="1"/>
  <x:c r="M97" i="1"/>
  <x:c r="M123" i="1"/>
  <x:c r="Q205" i="1"/>
  <x:c r="Q101" i="1"/>
  <x:c r="Q127" i="1"/>
  <x:c r="M103" i="1"/>
  <x:c r="M181" i="1"/>
  <x:c r="M207" i="1"/>
  <x:c r="Q211" i="1"/>
  <x:c r="Q107" i="1"/>
  <x:c r="Q133" i="1"/>
  <x:c r="O212" i="1"/>
  <x:c r="O186" i="1"/>
  <x:c r="Q217" i="1"/>
  <x:c r="Q113" i="1"/>
  <x:c r="Q139" i="1"/>
  <x:c r="Q191" i="1"/>
  <x:c r="O36" i="1"/>
  <x:c r="J39" i="1"/>
  <x:c r="H46" i="1"/>
  <x:c r="H49" i="1"/>
  <x:c r="O50" i="1"/>
  <x:c r="O60" i="1"/>
  <x:c r="K66" i="1"/>
  <x:c r="I68" i="1"/>
  <x:c r="I70" i="1"/>
  <x:c r="I74" i="1"/>
  <x:c r="K78" i="1"/>
  <x:c r="I80" i="1"/>
  <x:c r="I82" i="1"/>
  <x:c r="I86" i="1"/>
  <x:c r="Q91" i="1"/>
  <x:c r="M94" i="1"/>
  <x:c r="Q97" i="1"/>
  <x:c r="Q103" i="1"/>
  <x:c r="M106" i="1"/>
  <x:c r="Q109" i="1"/>
  <x:c r="M112" i="1"/>
  <x:c r="F131" i="1"/>
  <x:c r="R143" i="1"/>
  <x:c r="G147" i="1"/>
  <x:c r="R154" i="1"/>
  <x:c r="G159" i="1"/>
  <x:c r="Q175" i="1"/>
  <x:c r="H180" i="1"/>
  <x:c r="M195" i="1"/>
  <x:c r="Q198" i="1"/>
  <x:c r="H203" i="1"/>
  <x:c r="Q210" i="1"/>
  <x:c r="F214" i="1"/>
  <x:c r="Q177" i="1"/>
  <x:c r="Q125" i="1"/>
  <x:c r="L13" i="1"/>
  <x:c r="J176" i="1"/>
  <x:c r="J202" i="1"/>
  <x:c r="J46" i="1"/>
  <x:c r="L25" i="1"/>
  <x:c r="J188" i="1"/>
  <x:c r="J136" i="1"/>
  <x:c r="J58" i="1"/>
  <x:c r="L14" i="1"/>
  <x:c r="F173" i="1"/>
  <x:c r="F95" i="1"/>
  <x:c r="H178" i="1"/>
  <x:c r="H204" i="1"/>
  <x:c r="H100" i="1"/>
  <x:c r="L26" i="1"/>
  <x:c r="H184" i="1"/>
  <x:c r="H210" i="1"/>
  <x:c r="H106" i="1"/>
  <x:c r="H132" i="1"/>
  <x:c r="F185" i="1"/>
  <x:c r="F107" i="1"/>
  <x:c r="N161" i="1"/>
  <x:c r="N83" i="1"/>
  <x:c r="L32" i="1"/>
  <x:c r="J189" i="1"/>
  <x:c r="J111" i="1"/>
  <x:c r="J215" i="1"/>
  <x:c r="H190" i="1"/>
  <x:c r="H216" i="1"/>
  <x:c r="H112" i="1"/>
  <x:c r="H138" i="1"/>
  <x:c r="F191" i="1"/>
  <x:c r="F139" i="1"/>
  <x:c r="F113" i="1"/>
  <x:c r="P36" i="1"/>
  <x:c r="Q40" i="1"/>
  <x:c r="F42" i="1"/>
  <x:c r="M43" i="1"/>
  <x:c r="J49" i="1"/>
  <x:c r="F52" i="1"/>
  <x:c r="O53" i="1"/>
  <x:c r="F55" i="1"/>
  <x:c r="M56" i="1"/>
  <x:c r="J59" i="1"/>
  <x:c r="K68" i="1"/>
  <x:c r="N70" i="1"/>
  <x:c r="K74" i="1"/>
  <x:c r="K80" i="1"/>
  <x:c r="K86" i="1"/>
  <x:c r="O94" i="1"/>
  <x:c r="O100" i="1"/>
  <x:c r="O106" i="1"/>
  <x:c r="O112" i="1"/>
  <x:c r="O118" i="1"/>
  <x:c r="H122" i="1"/>
  <x:c r="O124" i="1"/>
  <x:c r="H128" i="1"/>
  <x:c r="H131" i="1"/>
  <x:c r="O134" i="1"/>
  <x:c r="O137" i="1"/>
  <x:c r="G163" i="1"/>
  <x:c r="F177" i="1"/>
  <x:c r="J180" i="1"/>
  <x:c r="O184" i="1"/>
  <x:c r="O195" i="1"/>
  <x:c r="J203" i="1"/>
  <x:c r="M206" i="1"/>
  <x:c r="J214" i="1"/>
  <x:c r="H171" i="1"/>
  <x:c r="H93" i="1"/>
  <x:c r="H197" i="1"/>
  <x:c r="L31" i="1"/>
  <x:c r="H189" i="1"/>
  <x:c r="H111" i="1"/>
  <x:c r="H215" i="1"/>
  <x:c r="J171" i="1"/>
  <x:c r="J93" i="1"/>
  <x:c r="J197" i="1"/>
  <x:c r="M170" i="1"/>
  <x:c r="M196" i="1"/>
  <x:c r="M118" i="1"/>
  <x:c r="Q174" i="1"/>
  <x:c r="Q96" i="1"/>
  <x:c r="M176" i="1"/>
  <x:c r="M202" i="1"/>
  <x:c r="M124" i="1"/>
  <x:c r="K151" i="1"/>
  <x:c r="K73" i="1"/>
  <x:c r="Q180" i="1"/>
  <x:c r="Q102" i="1"/>
  <x:c r="O181" i="1"/>
  <x:c r="O207" i="1"/>
  <x:c r="O129" i="1"/>
  <x:c r="M182" i="1"/>
  <x:c r="M208" i="1"/>
  <x:c r="M130" i="1"/>
  <x:c r="Q186" i="1"/>
  <x:c r="Q212" i="1"/>
  <x:c r="Q108" i="1"/>
  <x:c r="M188" i="1"/>
  <x:c r="M214" i="1"/>
  <x:c r="M136" i="1"/>
  <x:c r="Q36" i="1"/>
  <x:c r="M39" i="1"/>
  <x:c r="O43" i="1"/>
  <x:c r="M46" i="1"/>
  <x:c r="H52" i="1"/>
  <x:c r="Q53" i="1"/>
  <x:c r="O56" i="1"/>
  <x:c r="N66" i="1"/>
  <x:c r="P70" i="1"/>
  <x:c r="N72" i="1"/>
  <x:c r="P76" i="1"/>
  <x:c r="N78" i="1"/>
  <x:c r="P82" i="1"/>
  <x:c r="N84" i="1"/>
  <x:c r="F92" i="1"/>
  <x:c r="Q94" i="1"/>
  <x:c r="F98" i="1"/>
  <x:c r="Q100" i="1"/>
  <x:c r="F104" i="1"/>
  <x:c r="Q106" i="1"/>
  <x:c r="F110" i="1"/>
  <x:c r="Q112" i="1"/>
  <x:c r="F119" i="1"/>
  <x:c r="J122" i="1"/>
  <x:c r="F125" i="1"/>
  <x:c r="J131" i="1"/>
  <x:c r="Q134" i="1"/>
  <x:c r="Q137" i="1"/>
  <x:c r="N155" i="1"/>
  <x:c r="Q172" i="1"/>
  <x:c r="H177" i="1"/>
  <x:c r="Q184" i="1"/>
  <x:c r="H188" i="1"/>
  <x:c r="Q195" i="1"/>
  <x:c r="F199" i="1"/>
  <x:c r="Q206" i="1"/>
  <x:c r="F211" i="1"/>
  <x:c r="F184" i="1"/>
  <x:c r="F210" i="1"/>
  <x:c r="F132" i="1"/>
  <x:c r="F190" i="1"/>
  <x:c r="F216" i="1"/>
  <x:c r="F138" i="1"/>
  <x:c r="M91" i="1"/>
  <x:c r="M117" i="1"/>
  <x:c r="N143" i="1"/>
  <x:c r="N65" i="1"/>
  <x:c r="H172" i="1"/>
  <x:c r="H198" i="1"/>
  <x:c r="H94" i="1"/>
  <x:c r="F179" i="1"/>
  <x:c r="F205" i="1"/>
  <x:c r="F101" i="1"/>
  <x:c r="L15" i="1"/>
  <x:c r="J198" i="1"/>
  <x:c r="J94" i="1"/>
  <x:c r="J120" i="1"/>
  <x:c r="H199" i="1"/>
  <x:c r="H95" i="1"/>
  <x:c r="F122" i="1"/>
  <x:c r="F174" i="1"/>
  <x:c r="F200" i="1"/>
  <x:c r="L21" i="1"/>
  <x:c r="J204" i="1"/>
  <x:c r="J100" i="1"/>
  <x:c r="J126" i="1"/>
  <x:c r="H205" i="1"/>
  <x:c r="H179" i="1"/>
  <x:c r="H101" i="1"/>
  <x:c r="L27" i="1"/>
  <x:c r="J210" i="1"/>
  <x:c r="J106" i="1"/>
  <x:c r="J132" i="1"/>
  <x:c r="J184" i="1"/>
  <x:c r="H211" i="1"/>
  <x:c r="H107" i="1"/>
  <x:c r="L33" i="1"/>
  <x:c r="J216" i="1"/>
  <x:c r="J112" i="1"/>
  <x:c r="J138" i="1"/>
  <x:c r="H217" i="1"/>
  <x:c r="L217" i="1" s="1"/>
  <x:c r="H113" i="1"/>
  <x:c r="F36" i="1"/>
  <x:c r="R36" i="1"/>
  <x:c r="O39" i="1"/>
  <x:c r="J42" i="1"/>
  <x:c r="Q43" i="1"/>
  <x:c r="H45" i="1"/>
  <x:c r="Q46" i="1"/>
  <x:c r="F48" i="1"/>
  <x:c r="M49" i="1"/>
  <x:c r="J55" i="1"/>
  <x:c r="Q56" i="1"/>
  <x:c r="F58" i="1"/>
  <x:c r="O59" i="1"/>
  <x:c r="F61" i="1"/>
  <x:c r="P66" i="1"/>
  <x:c r="R70" i="1"/>
  <x:c r="P72" i="1"/>
  <x:c r="P78" i="1"/>
  <x:c r="P80" i="1"/>
  <x:c r="R82" i="1"/>
  <x:c r="P84" i="1"/>
  <x:c r="H92" i="1"/>
  <x:c r="M95" i="1"/>
  <x:c r="H98" i="1"/>
  <x:c r="M101" i="1"/>
  <x:c r="H104" i="1"/>
  <x:c r="M107" i="1"/>
  <x:c r="H110" i="1"/>
  <x:c r="M113" i="1"/>
  <x:c r="H119" i="1"/>
  <x:c r="H125" i="1"/>
  <x:c r="G148" i="1"/>
  <x:c r="G160" i="1"/>
  <x:c r="K163" i="1"/>
  <x:c r="O169" i="1"/>
  <x:c r="J177" i="1"/>
  <x:c r="O180" i="1"/>
  <x:c r="Q188" i="1"/>
  <x:c r="J199" i="1"/>
  <x:c r="M203" i="1"/>
  <x:c r="J211" i="1"/>
  <x:c r="F215" i="1"/>
  <x:c r="M183" i="1"/>
  <x:c r="M53" i="1"/>
  <x:c r="M189" i="1"/>
  <x:c r="M215" i="1"/>
  <x:c r="M59" i="1"/>
  <x:c r="G36" i="1"/>
  <x:c r="S62" i="1"/>
  <x:c r="S218" i="1"/>
  <x:c r="Q39" i="1"/>
  <x:c r="J45" i="1"/>
  <x:c r="H48" i="1"/>
  <x:c r="O49" i="1"/>
  <x:c r="M52" i="1"/>
  <x:c r="H58" i="1"/>
  <x:c r="Q59" i="1"/>
  <x:c r="H61" i="1"/>
  <x:c r="R66" i="1"/>
  <x:c r="R72" i="1"/>
  <x:c r="G75" i="1"/>
  <x:c r="R78" i="1"/>
  <x:c r="R84" i="1"/>
  <x:c r="J92" i="1"/>
  <x:c r="J98" i="1"/>
  <x:c r="J104" i="1"/>
  <x:c r="J110" i="1"/>
  <x:c r="J119" i="1"/>
  <x:c r="M122" i="1"/>
  <x:c r="J125" i="1"/>
  <x:c r="M128" i="1"/>
  <x:c r="M131" i="1"/>
  <x:c r="M135" i="1"/>
  <x:c r="N152" i="1"/>
  <x:c r="N164" i="1"/>
  <x:c r="Q169" i="1"/>
  <x:c r="H173" i="1"/>
  <x:c r="J181" i="1"/>
  <x:c r="H185" i="1"/>
  <x:c r="F196" i="1"/>
  <x:c r="Q203" i="1"/>
  <x:c r="F208" i="1"/>
  <x:c r="L208" i="1" s="1"/>
  <x:c r="Q215" i="1"/>
  <x:c r="L85" i="1" l="1"/>
  <x:c r="L153" i="1"/>
  <x:c r="L105" i="1"/>
  <x:c r="L143" i="1"/>
  <x:c r="L70" i="1"/>
  <x:c r="L68" i="1"/>
  <x:c r="L147" i="1"/>
  <x:c r="L161" i="1"/>
  <x:c r="L133" i="1"/>
  <x:c r="L121" i="1"/>
  <x:c r="L196" i="1"/>
  <x:c r="L46" i="1"/>
  <x:c r="L163" i="1"/>
  <x:c r="L42" i="1"/>
  <x:c r="L73" i="1"/>
  <x:c r="L164" i="1"/>
  <x:c r="L158" i="1"/>
  <x:c r="L214" i="1"/>
  <x:c r="P166" i="1"/>
  <x:c r="L127" i="1"/>
  <x:c r="L155" i="1"/>
  <x:c r="L128" i="1"/>
  <x:c r="L87" i="1"/>
  <x:c r="L206" i="1"/>
  <x:c r="L124" i="1"/>
  <x:c r="L67" i="1"/>
  <x:c r="L188" i="1"/>
  <x:c r="L81" i="1"/>
  <x:c r="I166" i="1"/>
  <x:c r="L170" i="1"/>
  <x:c r="L151" i="1"/>
  <x:c r="L215" i="1"/>
  <x:c r="L132" i="1"/>
  <x:c r="L197" i="1"/>
  <x:c r="L79" i="1"/>
  <x:c r="L174" i="1"/>
  <x:c r="L99" i="1"/>
  <x:c r="L54" i="1"/>
  <x:c r="L207" i="1"/>
  <x:c r="L106" i="1"/>
  <x:c r="L122" i="1"/>
  <x:c r="L157" i="1"/>
  <x:c r="L96" i="1"/>
  <x:c r="L146" i="1"/>
  <x:c r="L159" i="1"/>
  <x:c r="L118" i="1"/>
  <x:c r="L165" i="1"/>
  <x:c r="L134" i="1"/>
  <x:c r="L149" i="1"/>
  <x:c r="L102" i="1"/>
  <x:c r="L44" i="1"/>
  <x:c r="L177" i="1"/>
  <x:c r="L100" i="1"/>
  <x:c r="L82" i="1"/>
  <x:c r="L162" i="1"/>
  <x:c r="L216" i="1"/>
  <x:c r="L95" i="1"/>
  <x:c r="L200" i="1"/>
  <x:c r="L179" i="1"/>
  <x:c r="L210" i="1"/>
  <x:c r="L113" i="1"/>
  <x:c r="L126" i="1"/>
  <x:c r="Q140" i="1"/>
  <x:c r="L59" i="1"/>
  <x:c r="L152" i="1"/>
  <x:c r="L47" i="1"/>
  <x:c r="L94" i="1"/>
  <x:c r="T221" i="1"/>
  <x:c r="L97" i="1"/>
  <x:c r="L75" i="1"/>
  <x:c r="S221" i="1"/>
  <x:c r="L61" i="1"/>
  <x:c r="L69" i="1"/>
  <x:c r="L57" i="1"/>
  <x:c r="L51" i="1"/>
  <x:c r="L144" i="1"/>
  <x:c r="L190" i="1"/>
  <x:c r="M192" i="1"/>
  <x:c r="K166" i="1"/>
  <x:c r="L76" i="1"/>
  <x:c r="L103" i="1"/>
  <x:c r="L101" i="1"/>
  <x:c r="L205" i="1"/>
  <x:c r="R88" i="1"/>
  <x:c r="O140" i="1"/>
  <x:c r="L112" i="1"/>
  <x:c r="L203" i="1"/>
  <x:c r="R166" i="1"/>
  <x:c r="L131" i="1"/>
  <x:c r="L125" i="1"/>
  <x:c r="L173" i="1"/>
  <x:c r="N166" i="1"/>
  <x:c r="L111" i="1"/>
  <x:c r="L136" i="1"/>
  <x:c r="M140" i="1"/>
  <x:c r="L110" i="1"/>
  <x:c r="L55" i="1"/>
  <x:c r="M218" i="1"/>
  <x:c r="L120" i="1"/>
  <x:c r="L189" i="1"/>
  <x:c r="J192" i="1"/>
  <x:c r="Q62" i="1"/>
  <x:c r="M62" i="1"/>
  <x:c r="L211" i="1"/>
  <x:c r="L186" i="1"/>
  <x:c r="Q218" i="1"/>
  <x:c r="L86" i="1"/>
  <x:c r="L171" i="1"/>
  <x:c r="L40" i="1"/>
  <x:c r="L160" i="1"/>
  <x:c r="M114" i="1"/>
  <x:c r="O218" i="1"/>
  <x:c r="L198" i="1"/>
  <x:c r="L80" i="1"/>
  <x:c r="L84" i="1"/>
  <x:c r="L53" i="1"/>
  <x:c r="L137" i="1"/>
  <x:c r="J140" i="1"/>
  <x:c r="L202" i="1"/>
  <x:c r="L77" i="1"/>
  <x:c r="L184" i="1"/>
  <x:c r="H62" i="1"/>
  <x:c r="L183" i="1"/>
  <x:c r="O192" i="1"/>
  <x:c r="L212" i="1"/>
  <x:c r="L83" i="1"/>
  <x:c r="L148" i="1"/>
  <x:c r="L48" i="1"/>
  <x:c r="L138" i="1"/>
  <x:c r="L104" i="1"/>
  <x:c r="L52" i="1"/>
  <x:c r="Q114" i="1"/>
  <x:c r="L172" i="1"/>
  <x:c r="L180" i="1"/>
  <x:c r="J114" i="1"/>
  <x:c r="L176" i="1"/>
  <x:c r="G166" i="1"/>
  <x:c r="J62" i="1"/>
  <x:c r="L74" i="1"/>
  <x:c r="L49" i="1"/>
  <x:c r="L78" i="1"/>
  <x:c r="J218" i="1"/>
  <x:c r="H140" i="1"/>
  <x:c r="L71" i="1"/>
  <x:c r="L45" i="1"/>
  <x:c r="L91" i="1"/>
  <x:c r="F114" i="1"/>
  <x:c r="L36" i="1"/>
  <x:c r="L72" i="1"/>
  <x:c r="G88" i="1"/>
  <x:c r="L65" i="1"/>
  <x:c r="L123" i="1"/>
  <x:c r="L195" i="1"/>
  <x:c r="F218" i="1"/>
  <x:c r="L98" i="1"/>
  <x:c r="L150" i="1"/>
  <x:c r="L39" i="1"/>
  <x:c r="F62" i="1"/>
  <x:c r="L43" i="1"/>
  <x:c r="L50" i="1"/>
  <x:c r="L209" i="1"/>
  <x:c r="L130" i="1"/>
  <x:c r="L154" i="1"/>
  <x:c r="L108" i="1"/>
  <x:c r="L109" i="1"/>
  <x:c r="L201" i="1"/>
  <x:c r="F192" i="1"/>
  <x:c r="L169" i="1"/>
  <x:c r="Q192" i="1"/>
  <x:c r="L66" i="1"/>
  <x:c r="L182" i="1"/>
  <x:c r="L135" i="1"/>
  <x:c r="L129" i="1"/>
  <x:c r="L175" i="1"/>
  <x:c r="O62" i="1"/>
  <x:c r="H114" i="1"/>
  <x:c r="L213" i="1"/>
  <x:c r="L117" i="1"/>
  <x:c r="F140" i="1"/>
  <x:c r="L92" i="1"/>
  <x:c r="L139" i="1"/>
  <x:c r="L107" i="1"/>
  <x:c r="L204" i="1"/>
  <x:c r="H218" i="1"/>
  <x:c r="L187" i="1"/>
  <x:c r="L181" i="1"/>
  <x:c r="L58" i="1"/>
  <x:c r="N88" i="1"/>
  <x:c r="L199" i="1"/>
  <x:c r="L119" i="1"/>
  <x:c r="L191" i="1"/>
  <x:c r="L185" i="1"/>
  <x:c r="L178" i="1"/>
  <x:c r="O114" i="1"/>
  <x:c r="L56" i="1"/>
  <x:c r="P88" i="1"/>
  <x:c r="L93" i="1"/>
  <x:c r="K88" i="1"/>
  <x:c r="H192" i="1"/>
  <x:c r="I88" i="1"/>
  <x:c r="L145" i="1"/>
  <x:c r="L166" i="1" l="1"/>
  <x:c r="P221" i="1"/>
  <x:c r="I221" i="1"/>
  <x:c r="R221" i="1"/>
  <x:c r="L140" i="1"/>
  <x:c r="Q221" i="1"/>
  <x:c r="K221" i="1"/>
  <x:c r="M221" i="1"/>
  <x:c r="F221" i="1"/>
  <x:c r="H221" i="1"/>
  <x:c r="O221" i="1"/>
  <x:c r="L114" i="1"/>
  <x:c r="N221" i="1"/>
  <x:c r="L62" i="1"/>
  <x:c r="L218" i="1"/>
  <x:c r="L88" i="1"/>
  <x:c r="G221" i="1"/>
  <x:c r="L192" i="1"/>
  <x:c r="J221" i="1"/>
  <x:c r="L221" i="1" l="1"/>
</x:calcChain>
</file>

<file path=xl/sharedStrings.xml><?xml version="1.0" encoding="utf-8"?>
<sst xmlns="http://schemas.openxmlformats.org/spreadsheetml/2006/main" count="787" uniqueCount="116">
  <si>
    <t>2025 RATE CASE</t>
  </si>
  <si>
    <t>ONCOR ELECTRIC DELIVERY COMPANY LLC</t>
  </si>
  <si>
    <t>PLANT ADJUSTMENTS</t>
  </si>
  <si>
    <t>TEST YEAR ENDING DECEMBER 31, 2024</t>
  </si>
  <si>
    <t>SPONSOR: B. L. CLUTTER</t>
  </si>
  <si>
    <t>Line No.</t>
  </si>
  <si>
    <t>Tax Class</t>
  </si>
  <si>
    <t>Rate</t>
  </si>
  <si>
    <t>Convention</t>
  </si>
  <si>
    <t>2022 Oncor Tax Additions</t>
  </si>
  <si>
    <t>2022 NTU Tax Additions</t>
  </si>
  <si>
    <t>2023 Oncor Tax Additions</t>
  </si>
  <si>
    <t>2023 NTU Tax Additions</t>
  </si>
  <si>
    <t>2024 Oncor Tax Additions</t>
  </si>
  <si>
    <t>2024 NTU Tax Additions</t>
  </si>
  <si>
    <t>Total Tax Depr Basis</t>
  </si>
  <si>
    <t>2024 Oncor Depr on V2022-V2024</t>
  </si>
  <si>
    <t>2024 NTU Depr on all Vintages</t>
  </si>
  <si>
    <t>2025 Oncor Forecast Depr on V2022-V2024</t>
  </si>
  <si>
    <t>2025 NTU Forecast Depr on all Vintages</t>
  </si>
  <si>
    <t>2026 Oncor Forecast Depr on V2022-V2024</t>
  </si>
  <si>
    <t>2026 NTU Forecast Depr on all Vintages</t>
  </si>
  <si>
    <t>Oncor V2022-V2024 ADFIT at 12/31/2024</t>
  </si>
  <si>
    <t>NTU ADFIT at 12/31/2024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</si>
  <si>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</si>
  <si>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</si>
  <si>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</si>
  <si>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</si>
  <si>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</si>
  <si>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</si>
  <si>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</si>
  <si>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</si>
  <si>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</si>
  <si>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</si>
  <si>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</si>
  <si>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</si>
  <si>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</si>
  <si>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</si>
  <si>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</si>
  <si>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</si>
  <si>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</si>
  <si>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</si>
  <si>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TOTAL</t>
  </si>
  <si>
    <t>00.11</t>
  </si>
  <si>
    <t>00.11: Furn, Fixt, Equip</t>
  </si>
  <si>
    <t>MACRS 7</t>
  </si>
  <si>
    <t>HY</t>
  </si>
  <si>
    <t>00.12</t>
  </si>
  <si>
    <t>00.12: Info Systems</t>
  </si>
  <si>
    <t>MACRS 5</t>
  </si>
  <si>
    <t>00.13</t>
  </si>
  <si>
    <t>00.13: Data Handling Eq</t>
  </si>
  <si>
    <t>00.21</t>
  </si>
  <si>
    <t>00.21: Airplanes</t>
  </si>
  <si>
    <t>00.22</t>
  </si>
  <si>
    <t>00.22: Automobiles</t>
  </si>
  <si>
    <t>00.241</t>
  </si>
  <si>
    <t>00.241: Light Trucks</t>
  </si>
  <si>
    <t>00.242</t>
  </si>
  <si>
    <t>00.242: Heavy Trucks</t>
  </si>
  <si>
    <t>00.27</t>
  </si>
  <si>
    <t>00.27: Trailers</t>
  </si>
  <si>
    <t>00.28</t>
  </si>
  <si>
    <t>00.28: Boats</t>
  </si>
  <si>
    <t>MACRS 10</t>
  </si>
  <si>
    <t>00.3</t>
  </si>
  <si>
    <t>00.3: Land Improv</t>
  </si>
  <si>
    <t>MACRS 15</t>
  </si>
  <si>
    <t>40.4</t>
  </si>
  <si>
    <t>40.4: Railroad Track</t>
  </si>
  <si>
    <t>49.14</t>
  </si>
  <si>
    <t>49.14: Trans &amp; Dist Plnt</t>
  </si>
  <si>
    <t>MACRS 20</t>
  </si>
  <si>
    <t>49.14A</t>
  </si>
  <si>
    <t>49.14A: Trans 4/05-1/11</t>
  </si>
  <si>
    <t>49.14B</t>
  </si>
  <si>
    <t>49.14B: Meters</t>
  </si>
  <si>
    <t>49.14C</t>
  </si>
  <si>
    <t>49.14C: Smart Meters</t>
  </si>
  <si>
    <t>49.14D</t>
  </si>
  <si>
    <t>49.14D Street Lighting</t>
  </si>
  <si>
    <t>57.0</t>
  </si>
  <si>
    <t>57.0: Distr Trades Serv</t>
  </si>
  <si>
    <t>AM15</t>
  </si>
  <si>
    <t>AM15: 197 Amortization</t>
  </si>
  <si>
    <t>SL 15</t>
  </si>
  <si>
    <t>MM</t>
  </si>
  <si>
    <t>LH</t>
  </si>
  <si>
    <t>LH: LH Improv</t>
  </si>
  <si>
    <t>MACRS 39</t>
  </si>
  <si>
    <t>LR46</t>
  </si>
  <si>
    <t>LR46: Easements 46 Yr</t>
  </si>
  <si>
    <t>SL 46</t>
  </si>
  <si>
    <t>LR84</t>
  </si>
  <si>
    <t>LR84: Easements 84 Yr</t>
  </si>
  <si>
    <t>SL 84</t>
  </si>
  <si>
    <t>ND</t>
  </si>
  <si>
    <t>ND: Non Depr</t>
  </si>
  <si>
    <t>None</t>
  </si>
  <si>
    <t>RP</t>
  </si>
  <si>
    <t>RP: RP 81-86 &amp; Post92</t>
  </si>
  <si>
    <t>TRAN</t>
  </si>
  <si>
    <t>TRAN TOTAL</t>
  </si>
  <si>
    <t>NTU TRAN</t>
  </si>
  <si>
    <t>NTU TRAN TOTAL</t>
  </si>
  <si>
    <t>DC Tie</t>
  </si>
  <si>
    <t>DC TIE TOTAL</t>
  </si>
  <si>
    <t>DIST</t>
  </si>
  <si>
    <t>DIST TOTAL</t>
  </si>
  <si>
    <t>NTU DIST</t>
  </si>
  <si>
    <t>NTU DIST TOTAL</t>
  </si>
  <si>
    <t>MET</t>
  </si>
  <si>
    <t>MET TOTAL</t>
  </si>
  <si>
    <t>TDCS</t>
  </si>
  <si>
    <t>TDCS TOTAL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</si>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</sst>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3" fillId="0" borderId="0" xfId="0" applyFont="1"/>
    <xf numFmtId="0" fontId="5" fillId="0" borderId="1" xfId="0" applyFont="1" applyBorder="1"/>
    <xf numFmtId="0" fontId="4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 wrapText="1"/>
    </xf>
    <xf numFmtId="0" fontId="6" fillId="0" borderId="0" xfId="2" applyAlignment="1">
      <alignment horizontal="center"/>
    </xf>
    <xf numFmtId="0" fontId="6" fillId="0" borderId="0" xfId="2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center" wrapText="1"/>
    </xf>
    <xf numFmtId="0" fontId="3" fillId="0" borderId="0" xfId="0" quotePrefix="1" applyFont="1"/>
    <xf numFmtId="164" fontId="3" fillId="0" borderId="0" xfId="1" applyNumberFormat="1" applyFont="1" applyFill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3" xfId="0" applyNumberFormat="1" applyFont="1" applyBorder="1"/>
    <xf numFmtId="164" fontId="3" fillId="0" borderId="0" xfId="0" applyNumberFormat="1" applyFont="1"/>
    <xf numFmtId="0" fontId="7" fillId="0" borderId="0" xfId="2" applyFont="1" applyAlignment="1">
      <alignment horizontal="left"/>
    </xf>
    <xf numFmtId="164" fontId="3" fillId="0" borderId="3" xfId="0" applyNumberFormat="1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Fill="1"/>
    <xf numFmtId="10" fontId="6" fillId="0" borderId="0" xfId="2" applyNumberFormat="1" applyFill="1" applyAlignment="1">
      <alignment horizontal="center"/>
    </xf>
    <xf numFmtId="0" fontId="6" fillId="0" borderId="2" xfId="2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2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C1EB7A9A-7652-4BA9-90CD-C5932F6EE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ax%20Accounting\Regulatory\2025%20Rate%20Case%20(12.31.24%20test%20year)\Relied%20Upons\Federal%20Income%20Tax\II-E-3.3%20Relied%20Upon%20(2024TY)%20-%20Draft%20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F%20(Functionalization%20Factors)/Schedule%20II-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-1 Sch II-E-3.3"/>
      <sheetName val="A-2 WP II-E-3.3"/>
      <sheetName val="B-1.0 2022 Adds"/>
      <sheetName val="B-1 2022 Adds"/>
      <sheetName val="B-2.0 2022 NTU Adds"/>
      <sheetName val="B-2 2022 NTU Adds"/>
      <sheetName val="B-3 2023 Adds"/>
      <sheetName val="B-4 2023 NTU Adds"/>
      <sheetName val="B-5 2024 Adds"/>
      <sheetName val="B-6 2024 NTU Adds"/>
      <sheetName val="C-1 TY2024 Depr"/>
      <sheetName val="C-2 TY2025 Depr"/>
      <sheetName val="C-3 TY2026 Depr"/>
      <sheetName val="C-4 TY2024 Depr NTU"/>
      <sheetName val="C-5 TY2025 Depr NTU"/>
      <sheetName val="C-6 TY2026 Depr NTU"/>
      <sheetName val="D-1 ADFIT V2022+"/>
      <sheetName val="D-2 NTU ADFIT V2022+"/>
    </sheetNames>
    <sheetDataSet>
      <sheetData sheetId="0"/>
      <sheetData sheetId="1"/>
      <sheetData sheetId="2"/>
      <sheetData sheetId="3"/>
      <sheetData sheetId="4">
        <row r="5">
          <cell r="B5" t="str">
            <v>2022</v>
          </cell>
          <cell r="D5">
            <v>0</v>
          </cell>
          <cell r="F5">
            <v>0</v>
          </cell>
        </row>
        <row r="6">
          <cell r="B6" t="str">
            <v>2022 Q1</v>
          </cell>
          <cell r="D6">
            <v>0</v>
          </cell>
          <cell r="F6">
            <v>1182586.73</v>
          </cell>
        </row>
        <row r="7">
          <cell r="B7" t="str">
            <v>2022 Q2</v>
          </cell>
          <cell r="D7">
            <v>0</v>
          </cell>
          <cell r="F7">
            <v>211854.8</v>
          </cell>
        </row>
        <row r="8">
          <cell r="B8" t="str">
            <v>2022 Q3</v>
          </cell>
          <cell r="D8">
            <v>0</v>
          </cell>
          <cell r="F8">
            <v>344137.56</v>
          </cell>
        </row>
        <row r="9">
          <cell r="B9" t="str">
            <v>2022 Q4</v>
          </cell>
          <cell r="D9">
            <v>0</v>
          </cell>
          <cell r="F9">
            <v>2954138.55</v>
          </cell>
        </row>
        <row r="10">
          <cell r="B10" t="str">
            <v>00.11: Furn, Fixt, Equip</v>
          </cell>
          <cell r="D10">
            <v>0</v>
          </cell>
          <cell r="F10">
            <v>4692717.6399999997</v>
          </cell>
        </row>
        <row r="11">
          <cell r="B11" t="str">
            <v>2022</v>
          </cell>
          <cell r="D11">
            <v>0</v>
          </cell>
          <cell r="F11">
            <v>0</v>
          </cell>
        </row>
        <row r="12">
          <cell r="B12" t="str">
            <v>2022 Q1</v>
          </cell>
          <cell r="D12">
            <v>0</v>
          </cell>
          <cell r="F12">
            <v>2649075.2599999998</v>
          </cell>
        </row>
        <row r="13">
          <cell r="B13" t="str">
            <v>2022 Q2</v>
          </cell>
          <cell r="D13">
            <v>0</v>
          </cell>
          <cell r="F13">
            <v>220880.88</v>
          </cell>
        </row>
        <row r="14">
          <cell r="B14" t="str">
            <v>2022 Q3</v>
          </cell>
          <cell r="D14">
            <v>0</v>
          </cell>
          <cell r="F14">
            <v>6423064.0999999996</v>
          </cell>
        </row>
        <row r="15">
          <cell r="B15" t="str">
            <v>2022 Q4</v>
          </cell>
          <cell r="D15">
            <v>0</v>
          </cell>
          <cell r="F15">
            <v>14381309.779999999</v>
          </cell>
        </row>
        <row r="16">
          <cell r="B16" t="str">
            <v>00.12: Info Systems</v>
          </cell>
          <cell r="D16">
            <v>0</v>
          </cell>
          <cell r="F16">
            <v>23674330.02</v>
          </cell>
        </row>
        <row r="17">
          <cell r="B17" t="str">
            <v>2022</v>
          </cell>
          <cell r="D17">
            <v>0</v>
          </cell>
          <cell r="F17">
            <v>0</v>
          </cell>
        </row>
        <row r="18">
          <cell r="B18" t="str">
            <v>00.21: Airplanes</v>
          </cell>
          <cell r="D18">
            <v>0</v>
          </cell>
          <cell r="F18">
            <v>0</v>
          </cell>
        </row>
        <row r="19">
          <cell r="B19" t="str">
            <v>2022</v>
          </cell>
          <cell r="D19">
            <v>0</v>
          </cell>
          <cell r="F19">
            <v>0</v>
          </cell>
        </row>
        <row r="20">
          <cell r="B20" t="str">
            <v>2022 Q1</v>
          </cell>
          <cell r="D20">
            <v>0</v>
          </cell>
          <cell r="F20">
            <v>28493.84</v>
          </cell>
        </row>
        <row r="21">
          <cell r="B21" t="str">
            <v>2022 Q2</v>
          </cell>
          <cell r="D21">
            <v>0</v>
          </cell>
          <cell r="F21">
            <v>54557.18</v>
          </cell>
        </row>
        <row r="22">
          <cell r="B22" t="str">
            <v>2022 Q3</v>
          </cell>
          <cell r="D22">
            <v>0</v>
          </cell>
          <cell r="F22">
            <v>29936.46</v>
          </cell>
        </row>
        <row r="23">
          <cell r="B23" t="str">
            <v>2022 Q4</v>
          </cell>
          <cell r="D23">
            <v>0</v>
          </cell>
          <cell r="F23">
            <v>564294.56999999995</v>
          </cell>
        </row>
        <row r="24">
          <cell r="B24" t="str">
            <v>00.22: Automobiles</v>
          </cell>
          <cell r="D24">
            <v>0</v>
          </cell>
          <cell r="F24">
            <v>677282.05</v>
          </cell>
        </row>
        <row r="25">
          <cell r="B25" t="str">
            <v>2022</v>
          </cell>
          <cell r="D25">
            <v>0</v>
          </cell>
          <cell r="F25">
            <v>0</v>
          </cell>
        </row>
        <row r="26">
          <cell r="B26" t="str">
            <v>2022 Q2</v>
          </cell>
          <cell r="D26">
            <v>0</v>
          </cell>
          <cell r="F26">
            <v>0</v>
          </cell>
        </row>
        <row r="27">
          <cell r="B27" t="str">
            <v>00.241: Light Trucks</v>
          </cell>
          <cell r="D27">
            <v>0</v>
          </cell>
          <cell r="F27">
            <v>0</v>
          </cell>
        </row>
        <row r="28">
          <cell r="B28" t="str">
            <v>2022</v>
          </cell>
          <cell r="D28">
            <v>0</v>
          </cell>
          <cell r="F28">
            <v>0</v>
          </cell>
        </row>
        <row r="29">
          <cell r="B29" t="str">
            <v>2022 Q1</v>
          </cell>
          <cell r="D29">
            <v>0</v>
          </cell>
          <cell r="F29">
            <v>2969.3</v>
          </cell>
        </row>
        <row r="30">
          <cell r="B30" t="str">
            <v>2022 Q2</v>
          </cell>
          <cell r="D30">
            <v>0</v>
          </cell>
          <cell r="F30">
            <v>1914.89</v>
          </cell>
        </row>
        <row r="31">
          <cell r="B31" t="str">
            <v>2022 Q3</v>
          </cell>
          <cell r="D31">
            <v>0</v>
          </cell>
          <cell r="F31">
            <v>25459.69</v>
          </cell>
        </row>
        <row r="32">
          <cell r="B32" t="str">
            <v>2022 Q4</v>
          </cell>
          <cell r="D32">
            <v>0</v>
          </cell>
          <cell r="F32">
            <v>37998.32</v>
          </cell>
        </row>
        <row r="33">
          <cell r="B33" t="str">
            <v>00.242: Heavy Trucks</v>
          </cell>
          <cell r="D33">
            <v>0</v>
          </cell>
          <cell r="F33">
            <v>68342.2</v>
          </cell>
        </row>
        <row r="34">
          <cell r="B34" t="str">
            <v>2022</v>
          </cell>
          <cell r="D34">
            <v>0</v>
          </cell>
          <cell r="F34">
            <v>0</v>
          </cell>
        </row>
        <row r="35">
          <cell r="B35" t="str">
            <v>00.25: Railroad Cars</v>
          </cell>
          <cell r="D35">
            <v>0</v>
          </cell>
          <cell r="F35">
            <v>0</v>
          </cell>
        </row>
        <row r="36">
          <cell r="B36" t="str">
            <v>2022</v>
          </cell>
          <cell r="D36">
            <v>0</v>
          </cell>
          <cell r="F36">
            <v>0</v>
          </cell>
        </row>
        <row r="37">
          <cell r="B37" t="str">
            <v>2022 Q1</v>
          </cell>
          <cell r="D37">
            <v>0</v>
          </cell>
          <cell r="F37">
            <v>21825.22</v>
          </cell>
        </row>
        <row r="38">
          <cell r="B38" t="str">
            <v>2022 Q2</v>
          </cell>
          <cell r="D38">
            <v>0</v>
          </cell>
          <cell r="F38">
            <v>154569.19</v>
          </cell>
        </row>
        <row r="39">
          <cell r="B39" t="str">
            <v>2022 Q3</v>
          </cell>
          <cell r="D39">
            <v>0</v>
          </cell>
          <cell r="F39">
            <v>-4660.16</v>
          </cell>
        </row>
        <row r="40">
          <cell r="B40" t="str">
            <v>2022 Q4</v>
          </cell>
          <cell r="D40">
            <v>0</v>
          </cell>
          <cell r="F40">
            <v>227651.94</v>
          </cell>
        </row>
        <row r="41">
          <cell r="B41" t="str">
            <v>00.27: Trailers</v>
          </cell>
          <cell r="D41">
            <v>0</v>
          </cell>
          <cell r="F41">
            <v>399386.19</v>
          </cell>
        </row>
        <row r="42">
          <cell r="B42" t="str">
            <v>2022</v>
          </cell>
          <cell r="D42">
            <v>0</v>
          </cell>
          <cell r="F42">
            <v>0</v>
          </cell>
        </row>
        <row r="43">
          <cell r="B43" t="str">
            <v>2022 Q2</v>
          </cell>
          <cell r="D43">
            <v>0</v>
          </cell>
          <cell r="F43">
            <v>0</v>
          </cell>
        </row>
        <row r="44">
          <cell r="B44" t="str">
            <v>00.28: Boats</v>
          </cell>
          <cell r="D44">
            <v>0</v>
          </cell>
          <cell r="F44">
            <v>0</v>
          </cell>
        </row>
        <row r="45">
          <cell r="B45" t="str">
            <v>2022</v>
          </cell>
          <cell r="D45">
            <v>0</v>
          </cell>
          <cell r="F45">
            <v>0</v>
          </cell>
        </row>
        <row r="46">
          <cell r="B46" t="str">
            <v>2022 Q1</v>
          </cell>
          <cell r="D46">
            <v>0</v>
          </cell>
          <cell r="F46">
            <v>1838450.41</v>
          </cell>
        </row>
        <row r="47">
          <cell r="B47" t="str">
            <v>2022 Q2</v>
          </cell>
          <cell r="D47">
            <v>0</v>
          </cell>
          <cell r="F47">
            <v>15168571.65</v>
          </cell>
        </row>
        <row r="48">
          <cell r="B48" t="str">
            <v>2022 Q3</v>
          </cell>
          <cell r="D48">
            <v>0</v>
          </cell>
          <cell r="F48">
            <v>6241531.1799999997</v>
          </cell>
        </row>
        <row r="49">
          <cell r="B49" t="str">
            <v>2022 Q4</v>
          </cell>
          <cell r="D49">
            <v>0</v>
          </cell>
          <cell r="F49">
            <v>31712949.879999999</v>
          </cell>
        </row>
        <row r="50">
          <cell r="B50" t="str">
            <v>00.3: Land Improv</v>
          </cell>
          <cell r="D50">
            <v>0</v>
          </cell>
          <cell r="F50">
            <v>54961503.119999997</v>
          </cell>
        </row>
        <row r="51">
          <cell r="B51" t="str">
            <v>2022</v>
          </cell>
          <cell r="D51">
            <v>0</v>
          </cell>
          <cell r="F51">
            <v>0</v>
          </cell>
        </row>
        <row r="52">
          <cell r="B52" t="str">
            <v>2022 Q4</v>
          </cell>
          <cell r="D52">
            <v>0</v>
          </cell>
          <cell r="F52">
            <v>0</v>
          </cell>
        </row>
        <row r="53">
          <cell r="B53" t="str">
            <v>40.4: Railroad Track</v>
          </cell>
          <cell r="D53">
            <v>0</v>
          </cell>
          <cell r="F53">
            <v>0</v>
          </cell>
        </row>
        <row r="54">
          <cell r="B54" t="str">
            <v>2022</v>
          </cell>
          <cell r="D54">
            <v>0</v>
          </cell>
          <cell r="F54">
            <v>0</v>
          </cell>
        </row>
        <row r="55">
          <cell r="B55" t="str">
            <v>2022 Q1</v>
          </cell>
          <cell r="D55">
            <v>0</v>
          </cell>
          <cell r="F55">
            <v>235010265.13999999</v>
          </cell>
        </row>
        <row r="56">
          <cell r="B56" t="str">
            <v>2022 Q2</v>
          </cell>
          <cell r="D56">
            <v>0</v>
          </cell>
          <cell r="F56">
            <v>244822668.69</v>
          </cell>
        </row>
        <row r="57">
          <cell r="B57" t="str">
            <v>2022 Q3</v>
          </cell>
          <cell r="D57">
            <v>0</v>
          </cell>
          <cell r="F57">
            <v>263195259.97</v>
          </cell>
        </row>
        <row r="58">
          <cell r="B58" t="str">
            <v>2022 Q4</v>
          </cell>
          <cell r="D58">
            <v>0</v>
          </cell>
          <cell r="F58">
            <v>283960474.75999999</v>
          </cell>
        </row>
        <row r="59">
          <cell r="B59" t="str">
            <v>49.14: Trans &amp; Dist Plnt</v>
          </cell>
          <cell r="D59">
            <v>0</v>
          </cell>
          <cell r="F59">
            <v>1026988668.5599999</v>
          </cell>
        </row>
        <row r="60">
          <cell r="B60" t="str">
            <v>2022</v>
          </cell>
          <cell r="D60">
            <v>0</v>
          </cell>
          <cell r="F60">
            <v>0</v>
          </cell>
        </row>
        <row r="61">
          <cell r="B61" t="str">
            <v>2022 Q1</v>
          </cell>
          <cell r="D61">
            <v>0</v>
          </cell>
          <cell r="F61">
            <v>47420548.950000003</v>
          </cell>
        </row>
        <row r="62">
          <cell r="B62" t="str">
            <v>2022 Q2</v>
          </cell>
          <cell r="D62">
            <v>0</v>
          </cell>
          <cell r="F62">
            <v>207833503.28</v>
          </cell>
        </row>
        <row r="63">
          <cell r="B63" t="str">
            <v>2022 Q3</v>
          </cell>
          <cell r="D63">
            <v>0</v>
          </cell>
          <cell r="F63">
            <v>57179815.420000002</v>
          </cell>
        </row>
        <row r="64">
          <cell r="B64" t="str">
            <v>2022 Q4</v>
          </cell>
          <cell r="D64">
            <v>0</v>
          </cell>
          <cell r="F64">
            <v>476036163.42000002</v>
          </cell>
        </row>
        <row r="65">
          <cell r="B65" t="str">
            <v>49.14A: Trans 4/05-1/11</v>
          </cell>
          <cell r="D65">
            <v>0</v>
          </cell>
          <cell r="F65">
            <v>788470031.07000005</v>
          </cell>
        </row>
        <row r="66">
          <cell r="B66" t="str">
            <v>2022</v>
          </cell>
          <cell r="D66">
            <v>0</v>
          </cell>
          <cell r="F66">
            <v>0</v>
          </cell>
        </row>
        <row r="67">
          <cell r="B67" t="str">
            <v>2022 Q1</v>
          </cell>
          <cell r="D67">
            <v>0</v>
          </cell>
          <cell r="F67">
            <v>2754344.09</v>
          </cell>
        </row>
        <row r="68">
          <cell r="B68" t="str">
            <v>2022 Q2</v>
          </cell>
          <cell r="D68">
            <v>0</v>
          </cell>
          <cell r="F68">
            <v>2823510.97</v>
          </cell>
        </row>
        <row r="69">
          <cell r="B69" t="str">
            <v>2022 Q3</v>
          </cell>
          <cell r="D69">
            <v>0</v>
          </cell>
          <cell r="F69">
            <v>4013410.21</v>
          </cell>
        </row>
        <row r="70">
          <cell r="B70" t="str">
            <v>2022 Q4</v>
          </cell>
          <cell r="D70">
            <v>0</v>
          </cell>
          <cell r="F70">
            <v>3463781.57</v>
          </cell>
        </row>
        <row r="71">
          <cell r="B71" t="str">
            <v>49.14B: Meters</v>
          </cell>
          <cell r="D71">
            <v>0</v>
          </cell>
          <cell r="F71">
            <v>13055046.84</v>
          </cell>
        </row>
        <row r="72">
          <cell r="B72" t="str">
            <v>2022</v>
          </cell>
          <cell r="D72">
            <v>0</v>
          </cell>
          <cell r="F72">
            <v>0</v>
          </cell>
        </row>
        <row r="73">
          <cell r="B73" t="str">
            <v>2022 Q1</v>
          </cell>
          <cell r="D73">
            <v>0</v>
          </cell>
          <cell r="F73">
            <v>13986376.32</v>
          </cell>
        </row>
        <row r="74">
          <cell r="B74" t="str">
            <v>2022 Q2</v>
          </cell>
          <cell r="D74">
            <v>0</v>
          </cell>
          <cell r="F74">
            <v>19604118.239999998</v>
          </cell>
        </row>
        <row r="75">
          <cell r="B75" t="str">
            <v>2022 Q3</v>
          </cell>
          <cell r="D75">
            <v>0</v>
          </cell>
          <cell r="F75">
            <v>19772232.129999999</v>
          </cell>
        </row>
        <row r="76">
          <cell r="B76" t="str">
            <v>2022 Q4</v>
          </cell>
          <cell r="D76">
            <v>0</v>
          </cell>
          <cell r="F76">
            <v>27057929.75</v>
          </cell>
        </row>
        <row r="77">
          <cell r="B77" t="str">
            <v>49.14C: Smart Meters</v>
          </cell>
          <cell r="D77">
            <v>0</v>
          </cell>
          <cell r="F77">
            <v>80420656.439999998</v>
          </cell>
        </row>
        <row r="78">
          <cell r="B78" t="str">
            <v>2022</v>
          </cell>
          <cell r="D78">
            <v>0</v>
          </cell>
          <cell r="F78">
            <v>0</v>
          </cell>
        </row>
        <row r="79">
          <cell r="B79" t="str">
            <v>2022 Q1</v>
          </cell>
          <cell r="D79">
            <v>0</v>
          </cell>
          <cell r="F79">
            <v>8708161.1899999995</v>
          </cell>
        </row>
        <row r="80">
          <cell r="B80" t="str">
            <v>2022 Q2</v>
          </cell>
          <cell r="D80">
            <v>0</v>
          </cell>
          <cell r="F80">
            <v>8312323.7300000004</v>
          </cell>
        </row>
        <row r="81">
          <cell r="B81" t="str">
            <v>2022 Q3</v>
          </cell>
          <cell r="D81">
            <v>0</v>
          </cell>
          <cell r="F81">
            <v>8109008.2300000004</v>
          </cell>
        </row>
        <row r="82">
          <cell r="B82" t="str">
            <v>2022 Q4</v>
          </cell>
          <cell r="D82">
            <v>0</v>
          </cell>
          <cell r="F82">
            <v>7222912.1100000003</v>
          </cell>
        </row>
        <row r="83">
          <cell r="B83" t="str">
            <v>49.14D Street Lighting</v>
          </cell>
          <cell r="D83">
            <v>0</v>
          </cell>
          <cell r="F83">
            <v>32352405.260000002</v>
          </cell>
        </row>
        <row r="84">
          <cell r="B84" t="str">
            <v>2022</v>
          </cell>
          <cell r="D84">
            <v>0</v>
          </cell>
          <cell r="F84">
            <v>0</v>
          </cell>
        </row>
        <row r="85">
          <cell r="B85" t="str">
            <v>2022 Q1</v>
          </cell>
          <cell r="D85">
            <v>0</v>
          </cell>
          <cell r="F85">
            <v>965957.83</v>
          </cell>
        </row>
        <row r="86">
          <cell r="B86" t="str">
            <v>2022 Q2</v>
          </cell>
          <cell r="D86">
            <v>0</v>
          </cell>
          <cell r="F86">
            <v>1705264.66</v>
          </cell>
        </row>
        <row r="87">
          <cell r="B87" t="str">
            <v>2022 Q3</v>
          </cell>
          <cell r="D87">
            <v>0</v>
          </cell>
          <cell r="F87">
            <v>888807.09</v>
          </cell>
        </row>
        <row r="88">
          <cell r="B88" t="str">
            <v>2022 Q4</v>
          </cell>
          <cell r="D88">
            <v>0</v>
          </cell>
          <cell r="F88">
            <v>4859802.93</v>
          </cell>
        </row>
        <row r="89">
          <cell r="B89" t="str">
            <v>57.0: Distr Trades Serv</v>
          </cell>
          <cell r="D89">
            <v>0</v>
          </cell>
          <cell r="F89">
            <v>8419832.5099999998</v>
          </cell>
        </row>
        <row r="90">
          <cell r="B90" t="str">
            <v>2022</v>
          </cell>
          <cell r="D90">
            <v>0</v>
          </cell>
          <cell r="F90">
            <v>627.85</v>
          </cell>
        </row>
        <row r="91">
          <cell r="B91" t="str">
            <v>2022 Q1</v>
          </cell>
          <cell r="D91">
            <v>0</v>
          </cell>
          <cell r="F91">
            <v>0</v>
          </cell>
        </row>
        <row r="92">
          <cell r="B92" t="str">
            <v>LH: LH Improv</v>
          </cell>
          <cell r="D92">
            <v>0</v>
          </cell>
          <cell r="F92">
            <v>627.85</v>
          </cell>
        </row>
        <row r="93">
          <cell r="B93" t="str">
            <v>2022</v>
          </cell>
          <cell r="D93">
            <v>0</v>
          </cell>
          <cell r="F93">
            <v>0</v>
          </cell>
        </row>
        <row r="94">
          <cell r="B94" t="str">
            <v>2022 Q1</v>
          </cell>
          <cell r="D94">
            <v>0</v>
          </cell>
          <cell r="F94">
            <v>187545.29</v>
          </cell>
        </row>
        <row r="95">
          <cell r="B95" t="str">
            <v>2022 Q2</v>
          </cell>
          <cell r="D95">
            <v>0</v>
          </cell>
          <cell r="F95">
            <v>1339540.33</v>
          </cell>
        </row>
        <row r="96">
          <cell r="B96" t="str">
            <v>2022 Q3</v>
          </cell>
          <cell r="D96">
            <v>0</v>
          </cell>
          <cell r="F96">
            <v>247907.16</v>
          </cell>
        </row>
        <row r="97">
          <cell r="B97" t="str">
            <v>2022 Q4</v>
          </cell>
          <cell r="D97">
            <v>0</v>
          </cell>
          <cell r="F97">
            <v>21393643.960000001</v>
          </cell>
        </row>
        <row r="98">
          <cell r="B98" t="str">
            <v>LR46: Easements 46 Yr</v>
          </cell>
          <cell r="D98">
            <v>0</v>
          </cell>
          <cell r="F98">
            <v>23168636.739999998</v>
          </cell>
        </row>
        <row r="99">
          <cell r="B99" t="str">
            <v>2022</v>
          </cell>
          <cell r="D99">
            <v>0</v>
          </cell>
          <cell r="F99">
            <v>0</v>
          </cell>
        </row>
        <row r="100">
          <cell r="B100" t="str">
            <v>2022 Q1</v>
          </cell>
          <cell r="D100">
            <v>0</v>
          </cell>
          <cell r="F100">
            <v>1089494.81</v>
          </cell>
        </row>
        <row r="101">
          <cell r="B101" t="str">
            <v>2022 Q2</v>
          </cell>
          <cell r="D101">
            <v>0</v>
          </cell>
          <cell r="F101">
            <v>1586911.55</v>
          </cell>
        </row>
        <row r="102">
          <cell r="B102" t="str">
            <v>2022 Q3</v>
          </cell>
          <cell r="D102">
            <v>0</v>
          </cell>
          <cell r="F102">
            <v>4304538.1900000004</v>
          </cell>
        </row>
        <row r="103">
          <cell r="B103" t="str">
            <v>2022 Q4</v>
          </cell>
          <cell r="D103">
            <v>0</v>
          </cell>
          <cell r="F103">
            <v>11478090.02</v>
          </cell>
        </row>
        <row r="104">
          <cell r="B104" t="str">
            <v>LR84: Easements 84 Yr</v>
          </cell>
          <cell r="D104">
            <v>0</v>
          </cell>
          <cell r="F104">
            <v>18459034.57</v>
          </cell>
        </row>
        <row r="105">
          <cell r="B105" t="str">
            <v>2022</v>
          </cell>
          <cell r="D105">
            <v>0</v>
          </cell>
          <cell r="F105">
            <v>0</v>
          </cell>
        </row>
        <row r="106">
          <cell r="B106" t="str">
            <v>2022 Q1</v>
          </cell>
          <cell r="D106">
            <v>0</v>
          </cell>
          <cell r="F106">
            <v>1363731.06</v>
          </cell>
        </row>
        <row r="107">
          <cell r="B107" t="str">
            <v>2022 Q2</v>
          </cell>
          <cell r="D107">
            <v>0</v>
          </cell>
          <cell r="F107">
            <v>23537549.809999999</v>
          </cell>
        </row>
        <row r="108">
          <cell r="B108" t="str">
            <v>2022 Q3</v>
          </cell>
          <cell r="D108">
            <v>0</v>
          </cell>
          <cell r="F108">
            <v>2964997.96</v>
          </cell>
        </row>
        <row r="109">
          <cell r="B109" t="str">
            <v>2022 Q4</v>
          </cell>
          <cell r="D109">
            <v>0</v>
          </cell>
          <cell r="F109">
            <v>16501542.859999999</v>
          </cell>
        </row>
        <row r="110">
          <cell r="B110" t="str">
            <v>ND: Non Depr</v>
          </cell>
          <cell r="D110">
            <v>0</v>
          </cell>
          <cell r="F110">
            <v>44367821.689999998</v>
          </cell>
        </row>
        <row r="111">
          <cell r="B111" t="str">
            <v>2022</v>
          </cell>
          <cell r="D111">
            <v>0</v>
          </cell>
          <cell r="F111">
            <v>58823486.259999998</v>
          </cell>
        </row>
        <row r="112">
          <cell r="B112" t="str">
            <v>2022 Q1</v>
          </cell>
          <cell r="D112">
            <v>0</v>
          </cell>
          <cell r="F112">
            <v>0</v>
          </cell>
        </row>
        <row r="113">
          <cell r="B113" t="str">
            <v>RP: RP 81-86 &amp; Post92</v>
          </cell>
          <cell r="D113">
            <v>0</v>
          </cell>
          <cell r="F113">
            <v>58823486.259999998</v>
          </cell>
        </row>
        <row r="114">
          <cell r="B114" t="str">
            <v>2022</v>
          </cell>
          <cell r="D114">
            <v>0</v>
          </cell>
          <cell r="F114">
            <v>0</v>
          </cell>
        </row>
        <row r="115">
          <cell r="B115" t="str">
            <v>Unclassified</v>
          </cell>
          <cell r="D115">
            <v>0</v>
          </cell>
          <cell r="F115">
            <v>0</v>
          </cell>
        </row>
        <row r="116">
          <cell r="D116">
            <v>0</v>
          </cell>
          <cell r="F116">
            <v>2178999809.0100002</v>
          </cell>
        </row>
      </sheetData>
      <sheetData sheetId="5"/>
      <sheetData sheetId="6">
        <row r="5">
          <cell r="B5" t="str">
            <v>2022</v>
          </cell>
          <cell r="D5">
            <v>0</v>
          </cell>
          <cell r="F5">
            <v>0</v>
          </cell>
        </row>
        <row r="6">
          <cell r="B6" t="str">
            <v>2022 Q1</v>
          </cell>
          <cell r="D6">
            <v>0</v>
          </cell>
          <cell r="F6">
            <v>0</v>
          </cell>
        </row>
        <row r="7">
          <cell r="B7" t="str">
            <v>2022 Q2</v>
          </cell>
          <cell r="D7">
            <v>0</v>
          </cell>
          <cell r="F7">
            <v>0</v>
          </cell>
        </row>
        <row r="8">
          <cell r="B8" t="str">
            <v>2022 Q3</v>
          </cell>
          <cell r="D8">
            <v>0</v>
          </cell>
          <cell r="F8">
            <v>0</v>
          </cell>
        </row>
        <row r="9">
          <cell r="B9" t="str">
            <v>2022 Q4</v>
          </cell>
          <cell r="D9">
            <v>0</v>
          </cell>
          <cell r="F9">
            <v>0</v>
          </cell>
        </row>
        <row r="10">
          <cell r="B10" t="str">
            <v>00.11: Furn, Fixt, Equip</v>
          </cell>
          <cell r="D10">
            <v>0</v>
          </cell>
          <cell r="F10">
            <v>0</v>
          </cell>
        </row>
        <row r="11">
          <cell r="B11" t="str">
            <v>2022</v>
          </cell>
          <cell r="D11">
            <v>0</v>
          </cell>
          <cell r="F11">
            <v>0</v>
          </cell>
        </row>
        <row r="12">
          <cell r="B12" t="str">
            <v>2022 Q1</v>
          </cell>
          <cell r="D12">
            <v>0</v>
          </cell>
          <cell r="F12">
            <v>0</v>
          </cell>
        </row>
        <row r="13">
          <cell r="B13" t="str">
            <v>2022 Q2</v>
          </cell>
          <cell r="D13">
            <v>0</v>
          </cell>
          <cell r="F13">
            <v>0</v>
          </cell>
        </row>
        <row r="14">
          <cell r="B14" t="str">
            <v>2022 Q3</v>
          </cell>
          <cell r="D14">
            <v>0</v>
          </cell>
          <cell r="F14">
            <v>0</v>
          </cell>
        </row>
        <row r="15">
          <cell r="B15" t="str">
            <v>2022 Q4</v>
          </cell>
          <cell r="D15">
            <v>0</v>
          </cell>
          <cell r="F15">
            <v>0</v>
          </cell>
        </row>
        <row r="16">
          <cell r="B16" t="str">
            <v>00.22: Automobiles</v>
          </cell>
          <cell r="D16">
            <v>0</v>
          </cell>
          <cell r="F16">
            <v>0</v>
          </cell>
        </row>
        <row r="17">
          <cell r="B17" t="str">
            <v>2022</v>
          </cell>
          <cell r="D17">
            <v>0</v>
          </cell>
          <cell r="F17">
            <v>0</v>
          </cell>
        </row>
        <row r="18">
          <cell r="B18" t="str">
            <v>2022 Q1</v>
          </cell>
          <cell r="D18">
            <v>0</v>
          </cell>
          <cell r="F18">
            <v>0</v>
          </cell>
        </row>
        <row r="19">
          <cell r="B19" t="str">
            <v>2022 Q2</v>
          </cell>
          <cell r="D19">
            <v>0</v>
          </cell>
          <cell r="F19">
            <v>0</v>
          </cell>
        </row>
        <row r="20">
          <cell r="B20" t="str">
            <v>2022 Q3</v>
          </cell>
          <cell r="D20">
            <v>0</v>
          </cell>
          <cell r="F20">
            <v>0</v>
          </cell>
        </row>
        <row r="21">
          <cell r="B21" t="str">
            <v>2022 Q4</v>
          </cell>
          <cell r="D21">
            <v>0</v>
          </cell>
          <cell r="F21">
            <v>0</v>
          </cell>
        </row>
        <row r="22">
          <cell r="B22" t="str">
            <v>00.27: Trailers</v>
          </cell>
          <cell r="D22">
            <v>0</v>
          </cell>
          <cell r="F22">
            <v>0</v>
          </cell>
        </row>
        <row r="23">
          <cell r="B23" t="str">
            <v>2022</v>
          </cell>
          <cell r="D23">
            <v>0</v>
          </cell>
          <cell r="F23">
            <v>0</v>
          </cell>
        </row>
        <row r="24">
          <cell r="B24" t="str">
            <v>00.3: Land Improv</v>
          </cell>
          <cell r="D24">
            <v>0</v>
          </cell>
          <cell r="F24">
            <v>0</v>
          </cell>
        </row>
        <row r="25">
          <cell r="B25" t="str">
            <v>2022</v>
          </cell>
          <cell r="D25">
            <v>0</v>
          </cell>
          <cell r="F25">
            <v>0</v>
          </cell>
        </row>
        <row r="26">
          <cell r="B26" t="str">
            <v>2022 Q1</v>
          </cell>
          <cell r="D26">
            <v>0</v>
          </cell>
          <cell r="F26">
            <v>14238.69</v>
          </cell>
        </row>
        <row r="27">
          <cell r="B27" t="str">
            <v>2022 Q2</v>
          </cell>
          <cell r="D27">
            <v>0</v>
          </cell>
          <cell r="F27">
            <v>22580.15</v>
          </cell>
        </row>
        <row r="28">
          <cell r="B28" t="str">
            <v>2022 Q3</v>
          </cell>
          <cell r="D28">
            <v>0</v>
          </cell>
          <cell r="F28">
            <v>2699.63</v>
          </cell>
        </row>
        <row r="29">
          <cell r="B29" t="str">
            <v>2022 Q4</v>
          </cell>
          <cell r="D29">
            <v>0</v>
          </cell>
          <cell r="F29">
            <v>0</v>
          </cell>
        </row>
        <row r="30">
          <cell r="B30" t="str">
            <v>49.14: Trans &amp; Dist Plnt</v>
          </cell>
          <cell r="D30">
            <v>0</v>
          </cell>
          <cell r="F30">
            <v>39518.47</v>
          </cell>
        </row>
        <row r="31">
          <cell r="B31" t="str">
            <v>2022</v>
          </cell>
          <cell r="D31">
            <v>0</v>
          </cell>
          <cell r="F31">
            <v>0</v>
          </cell>
        </row>
        <row r="32">
          <cell r="B32" t="str">
            <v>2022 Q1</v>
          </cell>
          <cell r="D32">
            <v>0</v>
          </cell>
          <cell r="F32">
            <v>-49682.1</v>
          </cell>
        </row>
        <row r="33">
          <cell r="B33" t="str">
            <v>2022 Q2</v>
          </cell>
          <cell r="D33">
            <v>0</v>
          </cell>
          <cell r="F33">
            <v>46762.47</v>
          </cell>
        </row>
        <row r="34">
          <cell r="B34" t="str">
            <v>2022 Q3</v>
          </cell>
          <cell r="D34">
            <v>0</v>
          </cell>
          <cell r="F34">
            <v>68921.48</v>
          </cell>
        </row>
        <row r="35">
          <cell r="B35" t="str">
            <v>2022 Q4</v>
          </cell>
          <cell r="D35">
            <v>0</v>
          </cell>
          <cell r="F35">
            <v>435380.94</v>
          </cell>
        </row>
        <row r="36">
          <cell r="B36" t="str">
            <v>49.14A: Trans 4/05-1/11</v>
          </cell>
          <cell r="D36">
            <v>0</v>
          </cell>
          <cell r="F36">
            <v>501382.79</v>
          </cell>
        </row>
        <row r="37">
          <cell r="B37" t="str">
            <v>2022</v>
          </cell>
          <cell r="D37">
            <v>0</v>
          </cell>
          <cell r="F37">
            <v>0</v>
          </cell>
        </row>
        <row r="38">
          <cell r="B38" t="str">
            <v>2022 Q1</v>
          </cell>
          <cell r="D38">
            <v>0</v>
          </cell>
          <cell r="F38">
            <v>0</v>
          </cell>
        </row>
        <row r="39">
          <cell r="B39" t="str">
            <v>2022 Q2</v>
          </cell>
          <cell r="D39">
            <v>0</v>
          </cell>
          <cell r="F39">
            <v>0</v>
          </cell>
        </row>
        <row r="40">
          <cell r="B40" t="str">
            <v>2022 Q3</v>
          </cell>
          <cell r="D40">
            <v>0</v>
          </cell>
          <cell r="F40">
            <v>0</v>
          </cell>
        </row>
        <row r="41">
          <cell r="B41" t="str">
            <v>2022 Q4</v>
          </cell>
          <cell r="D41">
            <v>0</v>
          </cell>
          <cell r="F41">
            <v>0</v>
          </cell>
        </row>
        <row r="42">
          <cell r="B42" t="str">
            <v>49.14C: Smart Meters</v>
          </cell>
          <cell r="D42">
            <v>0</v>
          </cell>
          <cell r="F42">
            <v>0</v>
          </cell>
        </row>
        <row r="43">
          <cell r="B43" t="str">
            <v>2022</v>
          </cell>
          <cell r="D43">
            <v>0</v>
          </cell>
          <cell r="F43">
            <v>0</v>
          </cell>
        </row>
        <row r="44">
          <cell r="B44" t="str">
            <v>2022 Q1</v>
          </cell>
          <cell r="D44">
            <v>0</v>
          </cell>
          <cell r="F44">
            <v>0</v>
          </cell>
        </row>
        <row r="45">
          <cell r="B45" t="str">
            <v>2022 Q2</v>
          </cell>
          <cell r="D45">
            <v>0</v>
          </cell>
          <cell r="F45">
            <v>0</v>
          </cell>
        </row>
        <row r="46">
          <cell r="B46" t="str">
            <v>2022 Q3</v>
          </cell>
          <cell r="D46">
            <v>0</v>
          </cell>
          <cell r="F46">
            <v>0</v>
          </cell>
        </row>
        <row r="47">
          <cell r="B47" t="str">
            <v>2022 Q4</v>
          </cell>
          <cell r="D47">
            <v>0</v>
          </cell>
          <cell r="F47">
            <v>0</v>
          </cell>
        </row>
        <row r="48">
          <cell r="B48" t="str">
            <v>LR84: Easements 84 Yr</v>
          </cell>
          <cell r="D48">
            <v>0</v>
          </cell>
          <cell r="F48">
            <v>0</v>
          </cell>
        </row>
        <row r="49">
          <cell r="B49" t="str">
            <v>2022</v>
          </cell>
          <cell r="D49">
            <v>0</v>
          </cell>
          <cell r="F49">
            <v>0</v>
          </cell>
        </row>
        <row r="50">
          <cell r="B50" t="str">
            <v>2022 Q1</v>
          </cell>
          <cell r="D50">
            <v>0</v>
          </cell>
          <cell r="F50">
            <v>0</v>
          </cell>
        </row>
        <row r="51">
          <cell r="B51" t="str">
            <v>2022 Q2</v>
          </cell>
          <cell r="D51">
            <v>0</v>
          </cell>
          <cell r="F51">
            <v>0</v>
          </cell>
        </row>
        <row r="52">
          <cell r="B52" t="str">
            <v>2022 Q3</v>
          </cell>
          <cell r="D52">
            <v>0</v>
          </cell>
          <cell r="F52">
            <v>0</v>
          </cell>
        </row>
        <row r="53">
          <cell r="B53" t="str">
            <v>2022 Q4</v>
          </cell>
          <cell r="D53">
            <v>0</v>
          </cell>
          <cell r="F53">
            <v>17357.599999999999</v>
          </cell>
        </row>
        <row r="54">
          <cell r="B54" t="str">
            <v>ND: Non Depr</v>
          </cell>
          <cell r="D54">
            <v>0</v>
          </cell>
          <cell r="F54">
            <v>17357.599999999999</v>
          </cell>
        </row>
        <row r="55">
          <cell r="B55" t="str">
            <v>2022</v>
          </cell>
          <cell r="D55">
            <v>0</v>
          </cell>
          <cell r="F55">
            <v>116760.6</v>
          </cell>
        </row>
        <row r="56">
          <cell r="B56" t="str">
            <v>2022 Q1</v>
          </cell>
          <cell r="D56">
            <v>0</v>
          </cell>
          <cell r="F56">
            <v>0</v>
          </cell>
        </row>
        <row r="57">
          <cell r="B57" t="str">
            <v>2022 Q2</v>
          </cell>
          <cell r="D57">
            <v>0</v>
          </cell>
          <cell r="F57">
            <v>0</v>
          </cell>
        </row>
        <row r="58">
          <cell r="B58" t="str">
            <v>2022 Q3</v>
          </cell>
          <cell r="D58">
            <v>0</v>
          </cell>
          <cell r="F58">
            <v>0</v>
          </cell>
        </row>
        <row r="59">
          <cell r="B59" t="str">
            <v>2022 Q4</v>
          </cell>
          <cell r="D59">
            <v>0</v>
          </cell>
          <cell r="F59">
            <v>0</v>
          </cell>
        </row>
        <row r="60">
          <cell r="B60" t="str">
            <v>RP: RP 81-86 &amp; Post92</v>
          </cell>
          <cell r="D60">
            <v>0</v>
          </cell>
          <cell r="F60">
            <v>116760.6</v>
          </cell>
        </row>
        <row r="61">
          <cell r="D61">
            <v>0</v>
          </cell>
          <cell r="F61">
            <v>675019.46</v>
          </cell>
        </row>
      </sheetData>
      <sheetData sheetId="7">
        <row r="5">
          <cell r="B5" t="str">
            <v>2023</v>
          </cell>
          <cell r="D5">
            <v>0</v>
          </cell>
          <cell r="F5">
            <v>1238582.9099999999</v>
          </cell>
        </row>
        <row r="6">
          <cell r="B6" t="str">
            <v>00.11: Furn, Fixt, Equip</v>
          </cell>
          <cell r="D6">
            <v>0</v>
          </cell>
          <cell r="F6">
            <v>1238582.9099999999</v>
          </cell>
        </row>
        <row r="7">
          <cell r="B7" t="str">
            <v>2023</v>
          </cell>
          <cell r="D7">
            <v>0</v>
          </cell>
          <cell r="F7">
            <v>12545497.51</v>
          </cell>
        </row>
        <row r="8">
          <cell r="B8" t="str">
            <v>00.12: Info Systems</v>
          </cell>
          <cell r="D8">
            <v>0</v>
          </cell>
          <cell r="F8">
            <v>12545497.51</v>
          </cell>
        </row>
        <row r="9">
          <cell r="B9" t="str">
            <v>2023</v>
          </cell>
          <cell r="D9">
            <v>0</v>
          </cell>
          <cell r="F9">
            <v>0</v>
          </cell>
        </row>
        <row r="10">
          <cell r="B10" t="str">
            <v>00.21: Airplanes</v>
          </cell>
          <cell r="D10">
            <v>0</v>
          </cell>
          <cell r="F10">
            <v>0</v>
          </cell>
        </row>
        <row r="11">
          <cell r="B11" t="str">
            <v>2023</v>
          </cell>
          <cell r="D11">
            <v>0</v>
          </cell>
          <cell r="F11">
            <v>663246.96</v>
          </cell>
        </row>
        <row r="12">
          <cell r="B12" t="str">
            <v>00.22: Automobiles</v>
          </cell>
          <cell r="D12">
            <v>0</v>
          </cell>
          <cell r="F12">
            <v>663246.96</v>
          </cell>
        </row>
        <row r="13">
          <cell r="B13" t="str">
            <v>2023</v>
          </cell>
          <cell r="D13">
            <v>0</v>
          </cell>
          <cell r="F13">
            <v>0</v>
          </cell>
        </row>
        <row r="14">
          <cell r="B14" t="str">
            <v>00.241: Light Trucks</v>
          </cell>
          <cell r="D14">
            <v>0</v>
          </cell>
          <cell r="F14">
            <v>0</v>
          </cell>
        </row>
        <row r="15">
          <cell r="B15" t="str">
            <v>2023</v>
          </cell>
          <cell r="D15">
            <v>0</v>
          </cell>
          <cell r="F15">
            <v>200634.54</v>
          </cell>
        </row>
        <row r="16">
          <cell r="B16" t="str">
            <v>00.242: Heavy Trucks</v>
          </cell>
          <cell r="D16">
            <v>0</v>
          </cell>
          <cell r="F16">
            <v>200634.54</v>
          </cell>
        </row>
        <row r="17">
          <cell r="B17" t="str">
            <v>2023</v>
          </cell>
          <cell r="D17">
            <v>0</v>
          </cell>
          <cell r="F17">
            <v>0</v>
          </cell>
        </row>
        <row r="18">
          <cell r="B18" t="str">
            <v>00.25: Railroad Cars</v>
          </cell>
          <cell r="D18">
            <v>0</v>
          </cell>
          <cell r="F18">
            <v>0</v>
          </cell>
        </row>
        <row r="19">
          <cell r="B19" t="str">
            <v>2023</v>
          </cell>
          <cell r="D19">
            <v>0</v>
          </cell>
          <cell r="F19">
            <v>1055510.33</v>
          </cell>
        </row>
        <row r="20">
          <cell r="B20" t="str">
            <v>00.27: Trailers</v>
          </cell>
          <cell r="D20">
            <v>0</v>
          </cell>
          <cell r="F20">
            <v>1055510.33</v>
          </cell>
        </row>
        <row r="21">
          <cell r="B21" t="str">
            <v>2023</v>
          </cell>
          <cell r="D21">
            <v>0</v>
          </cell>
          <cell r="F21">
            <v>0</v>
          </cell>
        </row>
        <row r="22">
          <cell r="B22" t="str">
            <v>00.28: Boats</v>
          </cell>
          <cell r="D22">
            <v>0</v>
          </cell>
          <cell r="F22">
            <v>0</v>
          </cell>
        </row>
        <row r="23">
          <cell r="B23" t="str">
            <v>2023</v>
          </cell>
          <cell r="D23">
            <v>0</v>
          </cell>
          <cell r="F23">
            <v>89391025.650000006</v>
          </cell>
        </row>
        <row r="24">
          <cell r="B24" t="str">
            <v>00.3: Land Improv</v>
          </cell>
          <cell r="D24">
            <v>0</v>
          </cell>
          <cell r="F24">
            <v>89391025.650000006</v>
          </cell>
        </row>
        <row r="25">
          <cell r="B25" t="str">
            <v>2023</v>
          </cell>
          <cell r="D25">
            <v>0</v>
          </cell>
          <cell r="F25">
            <v>0</v>
          </cell>
        </row>
        <row r="26">
          <cell r="B26" t="str">
            <v>40.4: Railroad Track</v>
          </cell>
          <cell r="D26">
            <v>0</v>
          </cell>
          <cell r="F26">
            <v>0</v>
          </cell>
        </row>
        <row r="27">
          <cell r="B27" t="str">
            <v>2023</v>
          </cell>
          <cell r="D27">
            <v>0</v>
          </cell>
          <cell r="F27">
            <v>1376683703.25</v>
          </cell>
        </row>
        <row r="28">
          <cell r="B28" t="str">
            <v>49.14: Trans &amp; Dist Plnt</v>
          </cell>
          <cell r="D28">
            <v>0</v>
          </cell>
          <cell r="F28">
            <v>1376683703.25</v>
          </cell>
        </row>
        <row r="29">
          <cell r="B29" t="str">
            <v>2023</v>
          </cell>
          <cell r="D29">
            <v>0</v>
          </cell>
          <cell r="F29">
            <v>1176655247.0599999</v>
          </cell>
        </row>
        <row r="30">
          <cell r="B30" t="str">
            <v>49.14A: Trans 4/05-1/11</v>
          </cell>
          <cell r="D30">
            <v>0</v>
          </cell>
          <cell r="F30">
            <v>1176655247.0599999</v>
          </cell>
        </row>
        <row r="31">
          <cell r="B31" t="str">
            <v>2023</v>
          </cell>
          <cell r="D31">
            <v>0</v>
          </cell>
          <cell r="F31">
            <v>18037992.940000001</v>
          </cell>
        </row>
        <row r="32">
          <cell r="B32" t="str">
            <v>49.14B: Meters</v>
          </cell>
          <cell r="D32">
            <v>0</v>
          </cell>
          <cell r="F32">
            <v>18037992.940000001</v>
          </cell>
        </row>
        <row r="33">
          <cell r="B33" t="str">
            <v>2023</v>
          </cell>
          <cell r="D33">
            <v>0</v>
          </cell>
          <cell r="F33">
            <v>74399979.859999999</v>
          </cell>
        </row>
        <row r="34">
          <cell r="B34" t="str">
            <v>49.14C: Smart Meters</v>
          </cell>
          <cell r="D34">
            <v>0</v>
          </cell>
          <cell r="F34">
            <v>74399979.859999999</v>
          </cell>
        </row>
        <row r="35">
          <cell r="B35" t="str">
            <v>2023</v>
          </cell>
          <cell r="D35">
            <v>0</v>
          </cell>
          <cell r="F35">
            <v>46437304.670000002</v>
          </cell>
        </row>
        <row r="36">
          <cell r="B36" t="str">
            <v>49.14D Street Lighting</v>
          </cell>
          <cell r="D36">
            <v>0</v>
          </cell>
          <cell r="F36">
            <v>46437304.670000002</v>
          </cell>
        </row>
        <row r="37">
          <cell r="B37" t="str">
            <v>2023</v>
          </cell>
          <cell r="D37">
            <v>0</v>
          </cell>
          <cell r="F37">
            <v>6376577.71</v>
          </cell>
        </row>
        <row r="38">
          <cell r="B38" t="str">
            <v>57.0: Distr Trades Serv</v>
          </cell>
          <cell r="D38">
            <v>0</v>
          </cell>
          <cell r="F38">
            <v>6376577.71</v>
          </cell>
        </row>
        <row r="39">
          <cell r="B39" t="str">
            <v>2023</v>
          </cell>
          <cell r="D39">
            <v>0</v>
          </cell>
          <cell r="F39">
            <v>96757.1</v>
          </cell>
        </row>
        <row r="40">
          <cell r="B40" t="str">
            <v>LH: LH Improv</v>
          </cell>
          <cell r="D40">
            <v>0</v>
          </cell>
          <cell r="F40">
            <v>96757.1</v>
          </cell>
        </row>
        <row r="41">
          <cell r="B41" t="str">
            <v>2023</v>
          </cell>
          <cell r="D41">
            <v>0</v>
          </cell>
          <cell r="F41">
            <v>9385445.5800000001</v>
          </cell>
        </row>
        <row r="42">
          <cell r="B42" t="str">
            <v>LR46: Easements 46 Yr</v>
          </cell>
          <cell r="D42">
            <v>0</v>
          </cell>
          <cell r="F42">
            <v>9385445.5800000001</v>
          </cell>
        </row>
        <row r="43">
          <cell r="B43" t="str">
            <v>2023</v>
          </cell>
          <cell r="D43">
            <v>0</v>
          </cell>
          <cell r="F43">
            <v>12247564.35</v>
          </cell>
        </row>
        <row r="44">
          <cell r="B44" t="str">
            <v>LR84: Easements 84 Yr</v>
          </cell>
          <cell r="D44">
            <v>0</v>
          </cell>
          <cell r="F44">
            <v>12247564.35</v>
          </cell>
        </row>
        <row r="45">
          <cell r="B45" t="str">
            <v>2023</v>
          </cell>
          <cell r="D45">
            <v>0</v>
          </cell>
          <cell r="F45">
            <v>42579588.859999999</v>
          </cell>
        </row>
        <row r="46">
          <cell r="B46" t="str">
            <v>ND: Non Depr</v>
          </cell>
          <cell r="D46">
            <v>0</v>
          </cell>
          <cell r="F46">
            <v>42579588.859999999</v>
          </cell>
        </row>
        <row r="47">
          <cell r="B47" t="str">
            <v>2023</v>
          </cell>
          <cell r="D47">
            <v>0</v>
          </cell>
          <cell r="F47">
            <v>79021989.170000002</v>
          </cell>
        </row>
        <row r="48">
          <cell r="B48" t="str">
            <v>RP: RP 81-86 &amp; Post92</v>
          </cell>
          <cell r="D48">
            <v>0</v>
          </cell>
          <cell r="F48">
            <v>79021989.170000002</v>
          </cell>
        </row>
        <row r="49">
          <cell r="B49" t="str">
            <v>COR</v>
          </cell>
          <cell r="D49">
            <v>0.05</v>
          </cell>
          <cell r="F49">
            <v>0</v>
          </cell>
        </row>
        <row r="50">
          <cell r="B50" t="str">
            <v>RSG 2023</v>
          </cell>
          <cell r="D50">
            <v>0</v>
          </cell>
          <cell r="F50">
            <v>0</v>
          </cell>
        </row>
        <row r="51">
          <cell r="B51" t="str">
            <v>Unclassified</v>
          </cell>
          <cell r="D51">
            <v>0.05</v>
          </cell>
          <cell r="F51">
            <v>0</v>
          </cell>
        </row>
        <row r="52">
          <cell r="D52">
            <v>0.05</v>
          </cell>
          <cell r="F52">
            <v>2947016648.4499998</v>
          </cell>
        </row>
      </sheetData>
      <sheetData sheetId="8">
        <row r="5">
          <cell r="B5" t="str">
            <v>2023</v>
          </cell>
          <cell r="D5">
            <v>0</v>
          </cell>
          <cell r="F5">
            <v>0</v>
          </cell>
        </row>
        <row r="6">
          <cell r="B6" t="str">
            <v>00.11: Furn, Fixt, Equip</v>
          </cell>
          <cell r="D6">
            <v>0</v>
          </cell>
          <cell r="F6">
            <v>0</v>
          </cell>
        </row>
        <row r="7">
          <cell r="B7" t="str">
            <v>2023 Q2</v>
          </cell>
          <cell r="D7">
            <v>0</v>
          </cell>
          <cell r="F7">
            <v>0</v>
          </cell>
        </row>
        <row r="8">
          <cell r="B8" t="str">
            <v>00.12: Info Systems</v>
          </cell>
          <cell r="D8">
            <v>0</v>
          </cell>
          <cell r="F8">
            <v>0</v>
          </cell>
        </row>
        <row r="9">
          <cell r="B9" t="str">
            <v>2023</v>
          </cell>
          <cell r="D9">
            <v>0</v>
          </cell>
          <cell r="F9">
            <v>0</v>
          </cell>
        </row>
        <row r="10">
          <cell r="B10" t="str">
            <v>00.22: Automobiles</v>
          </cell>
          <cell r="D10">
            <v>0</v>
          </cell>
          <cell r="F10">
            <v>0</v>
          </cell>
        </row>
        <row r="11">
          <cell r="B11" t="str">
            <v>2023 Q2</v>
          </cell>
          <cell r="D11">
            <v>0</v>
          </cell>
          <cell r="F11">
            <v>0</v>
          </cell>
        </row>
        <row r="12">
          <cell r="B12" t="str">
            <v>00.27: Trailers</v>
          </cell>
          <cell r="D12">
            <v>0</v>
          </cell>
          <cell r="F12">
            <v>0</v>
          </cell>
        </row>
        <row r="13">
          <cell r="B13" t="str">
            <v>2023 Q4</v>
          </cell>
          <cell r="D13">
            <v>0</v>
          </cell>
          <cell r="F13">
            <v>0</v>
          </cell>
        </row>
        <row r="14">
          <cell r="B14" t="str">
            <v>00.3: Land Improv</v>
          </cell>
          <cell r="D14">
            <v>0</v>
          </cell>
          <cell r="F14">
            <v>0</v>
          </cell>
        </row>
        <row r="15">
          <cell r="B15" t="str">
            <v>2023 Q1</v>
          </cell>
          <cell r="D15">
            <v>0</v>
          </cell>
          <cell r="F15">
            <v>4174.22</v>
          </cell>
        </row>
        <row r="16">
          <cell r="B16" t="str">
            <v>2023 Q4</v>
          </cell>
          <cell r="D16">
            <v>0</v>
          </cell>
          <cell r="F16">
            <v>1423.61</v>
          </cell>
        </row>
        <row r="17">
          <cell r="B17" t="str">
            <v>49.14: Trans &amp; Dist Plnt</v>
          </cell>
          <cell r="D17">
            <v>0</v>
          </cell>
          <cell r="F17">
            <v>5597.83</v>
          </cell>
        </row>
        <row r="18">
          <cell r="B18" t="str">
            <v>2023</v>
          </cell>
          <cell r="D18">
            <v>0</v>
          </cell>
          <cell r="F18">
            <v>0</v>
          </cell>
        </row>
        <row r="19">
          <cell r="B19" t="str">
            <v>2023 Q1</v>
          </cell>
          <cell r="D19">
            <v>0</v>
          </cell>
          <cell r="F19">
            <v>276774.75</v>
          </cell>
        </row>
        <row r="20">
          <cell r="B20" t="str">
            <v>2023 Q2</v>
          </cell>
          <cell r="D20">
            <v>0</v>
          </cell>
          <cell r="F20">
            <v>-13248.31</v>
          </cell>
        </row>
        <row r="21">
          <cell r="B21" t="str">
            <v>2023 Q3</v>
          </cell>
          <cell r="D21">
            <v>0</v>
          </cell>
          <cell r="F21">
            <v>38475.42</v>
          </cell>
        </row>
        <row r="22">
          <cell r="B22" t="str">
            <v>2023 Q4</v>
          </cell>
          <cell r="D22">
            <v>0</v>
          </cell>
          <cell r="F22">
            <v>386732.28</v>
          </cell>
        </row>
        <row r="23">
          <cell r="B23" t="str">
            <v>49.14A: Trans 4/05-1/11</v>
          </cell>
          <cell r="D23">
            <v>0</v>
          </cell>
          <cell r="F23">
            <v>688734.14</v>
          </cell>
        </row>
        <row r="24">
          <cell r="B24" t="str">
            <v>2023</v>
          </cell>
          <cell r="D24">
            <v>0</v>
          </cell>
          <cell r="F24">
            <v>0</v>
          </cell>
        </row>
        <row r="25">
          <cell r="B25" t="str">
            <v>49.14C: Smart Meters</v>
          </cell>
          <cell r="D25">
            <v>0</v>
          </cell>
          <cell r="F25">
            <v>0</v>
          </cell>
        </row>
        <row r="26">
          <cell r="B26" t="str">
            <v>2023</v>
          </cell>
          <cell r="D26">
            <v>0</v>
          </cell>
          <cell r="F26">
            <v>0</v>
          </cell>
        </row>
        <row r="27">
          <cell r="B27" t="str">
            <v>LR84: Easements 84 Yr</v>
          </cell>
          <cell r="D27">
            <v>0</v>
          </cell>
          <cell r="F27">
            <v>0</v>
          </cell>
        </row>
        <row r="28">
          <cell r="B28" t="str">
            <v>2023</v>
          </cell>
          <cell r="D28">
            <v>0</v>
          </cell>
          <cell r="F28">
            <v>0</v>
          </cell>
        </row>
        <row r="29">
          <cell r="B29" t="str">
            <v>2023 Q4</v>
          </cell>
          <cell r="D29">
            <v>0</v>
          </cell>
          <cell r="F29">
            <v>8572.7999999999993</v>
          </cell>
        </row>
        <row r="30">
          <cell r="B30" t="str">
            <v>ND: Non Depr</v>
          </cell>
          <cell r="D30">
            <v>0</v>
          </cell>
          <cell r="F30">
            <v>8572.7999999999993</v>
          </cell>
        </row>
        <row r="31">
          <cell r="B31" t="str">
            <v>2023</v>
          </cell>
          <cell r="D31">
            <v>0</v>
          </cell>
          <cell r="F31">
            <v>30221.3</v>
          </cell>
        </row>
        <row r="32">
          <cell r="B32" t="str">
            <v>RP: RP 81-86 &amp; Post92</v>
          </cell>
          <cell r="D32">
            <v>0</v>
          </cell>
          <cell r="F32">
            <v>30221.3</v>
          </cell>
        </row>
        <row r="33">
          <cell r="B33" t="str">
            <v>COR</v>
          </cell>
          <cell r="D33">
            <v>0.02</v>
          </cell>
          <cell r="F33">
            <v>0</v>
          </cell>
        </row>
        <row r="34">
          <cell r="B34" t="str">
            <v>RSG 2023</v>
          </cell>
          <cell r="D34">
            <v>0</v>
          </cell>
          <cell r="F34">
            <v>0</v>
          </cell>
        </row>
        <row r="35">
          <cell r="B35" t="str">
            <v>Unclassified</v>
          </cell>
          <cell r="D35">
            <v>0.02</v>
          </cell>
          <cell r="F35">
            <v>0</v>
          </cell>
        </row>
        <row r="36">
          <cell r="D36">
            <v>0.02</v>
          </cell>
          <cell r="F36">
            <v>733126.07</v>
          </cell>
        </row>
      </sheetData>
      <sheetData sheetId="9">
        <row r="5">
          <cell r="B5" t="str">
            <v>2024 Q1 Jan - Mar</v>
          </cell>
          <cell r="D5">
            <v>0</v>
          </cell>
          <cell r="F5">
            <v>18975.5</v>
          </cell>
        </row>
        <row r="6">
          <cell r="B6" t="str">
            <v>2024 Q2 Apr - Jun</v>
          </cell>
          <cell r="D6">
            <v>0</v>
          </cell>
          <cell r="F6">
            <v>295722.03000000003</v>
          </cell>
        </row>
        <row r="7">
          <cell r="B7" t="str">
            <v>2024 Q3 Jul - Sep</v>
          </cell>
          <cell r="D7">
            <v>0</v>
          </cell>
          <cell r="F7">
            <v>1146278.79</v>
          </cell>
        </row>
        <row r="8">
          <cell r="B8" t="str">
            <v>2024 Q4 Oct - Dec</v>
          </cell>
          <cell r="D8">
            <v>0</v>
          </cell>
          <cell r="F8">
            <v>2528775.2000000002</v>
          </cell>
        </row>
        <row r="9">
          <cell r="B9" t="str">
            <v>00.11: Furn, Fixt, Equip</v>
          </cell>
          <cell r="D9">
            <v>0</v>
          </cell>
          <cell r="F9">
            <v>3989751.52</v>
          </cell>
        </row>
        <row r="10">
          <cell r="B10" t="str">
            <v>2024 Q1 Jan - Mar</v>
          </cell>
          <cell r="D10">
            <v>0</v>
          </cell>
          <cell r="F10">
            <v>2597610.86</v>
          </cell>
        </row>
        <row r="11">
          <cell r="B11" t="str">
            <v>2024 Q2 Apr - Jun</v>
          </cell>
          <cell r="D11">
            <v>0</v>
          </cell>
          <cell r="F11">
            <v>2154614.06</v>
          </cell>
        </row>
        <row r="12">
          <cell r="B12" t="str">
            <v>2024 Q3 Jul - Sep</v>
          </cell>
          <cell r="D12">
            <v>0</v>
          </cell>
          <cell r="F12">
            <v>142383.43</v>
          </cell>
        </row>
        <row r="13">
          <cell r="B13" t="str">
            <v>2024 Q4 Oct - Dec</v>
          </cell>
          <cell r="D13">
            <v>0</v>
          </cell>
          <cell r="F13">
            <v>16659504.74</v>
          </cell>
        </row>
        <row r="14">
          <cell r="B14" t="str">
            <v>00.12: Info Systems</v>
          </cell>
          <cell r="D14">
            <v>0</v>
          </cell>
          <cell r="F14">
            <v>21554113.09</v>
          </cell>
        </row>
        <row r="15">
          <cell r="B15" t="str">
            <v>2024 Q1 Jan - Mar</v>
          </cell>
          <cell r="D15">
            <v>0</v>
          </cell>
          <cell r="F15">
            <v>7362.55</v>
          </cell>
        </row>
        <row r="16">
          <cell r="B16" t="str">
            <v>2024 Q2 Apr - Jun</v>
          </cell>
          <cell r="D16">
            <v>0</v>
          </cell>
          <cell r="F16">
            <v>0</v>
          </cell>
        </row>
        <row r="17">
          <cell r="B17" t="str">
            <v>2024 Q3 Jul - Sep</v>
          </cell>
          <cell r="D17">
            <v>0</v>
          </cell>
          <cell r="F17">
            <v>-382.43</v>
          </cell>
        </row>
        <row r="18">
          <cell r="B18" t="str">
            <v>00.13: Data Handling Eq</v>
          </cell>
          <cell r="D18">
            <v>0</v>
          </cell>
          <cell r="F18">
            <v>6980.12</v>
          </cell>
        </row>
        <row r="19">
          <cell r="B19" t="str">
            <v>2024 Q3 Jul - Sep</v>
          </cell>
          <cell r="D19">
            <v>0</v>
          </cell>
          <cell r="F19">
            <v>63959.35</v>
          </cell>
        </row>
        <row r="20">
          <cell r="B20" t="str">
            <v>2024 Q4 Oct - Dec</v>
          </cell>
          <cell r="D20">
            <v>0</v>
          </cell>
          <cell r="F20">
            <v>153986.09</v>
          </cell>
        </row>
        <row r="21">
          <cell r="B21" t="str">
            <v>00.22: Automobiles</v>
          </cell>
          <cell r="D21">
            <v>0</v>
          </cell>
          <cell r="F21">
            <v>217945.44</v>
          </cell>
        </row>
        <row r="22">
          <cell r="B22" t="str">
            <v>2024 Q3 Jul - Sep</v>
          </cell>
          <cell r="D22">
            <v>0</v>
          </cell>
          <cell r="F22">
            <v>2498.4</v>
          </cell>
        </row>
        <row r="23">
          <cell r="B23" t="str">
            <v>2024 Q4 Oct - Dec</v>
          </cell>
          <cell r="D23">
            <v>0</v>
          </cell>
          <cell r="F23">
            <v>2627925.4900000002</v>
          </cell>
        </row>
        <row r="24">
          <cell r="B24" t="str">
            <v>00.242: Heavy Trucks</v>
          </cell>
          <cell r="D24">
            <v>0</v>
          </cell>
          <cell r="F24">
            <v>2630423.89</v>
          </cell>
        </row>
        <row r="25">
          <cell r="B25" t="str">
            <v>2024 Q1 Jan - Mar</v>
          </cell>
          <cell r="D25">
            <v>0</v>
          </cell>
          <cell r="F25">
            <v>42461.61</v>
          </cell>
        </row>
        <row r="26">
          <cell r="B26" t="str">
            <v>2024 Q2 Apr - Jun</v>
          </cell>
          <cell r="D26">
            <v>0</v>
          </cell>
          <cell r="F26">
            <v>30338.74</v>
          </cell>
        </row>
        <row r="27">
          <cell r="B27" t="str">
            <v>2024 Q3 Jul - Sep</v>
          </cell>
          <cell r="D27">
            <v>0</v>
          </cell>
          <cell r="F27">
            <v>18719.07</v>
          </cell>
        </row>
        <row r="28">
          <cell r="B28" t="str">
            <v>2024 Q4 Oct - Dec</v>
          </cell>
          <cell r="D28">
            <v>0</v>
          </cell>
          <cell r="F28">
            <v>482122.22</v>
          </cell>
        </row>
        <row r="29">
          <cell r="B29" t="str">
            <v>00.27: Trailers</v>
          </cell>
          <cell r="D29">
            <v>0</v>
          </cell>
          <cell r="F29">
            <v>573641.64</v>
          </cell>
        </row>
        <row r="30">
          <cell r="B30" t="str">
            <v>2024 Q4 Oct - Dec</v>
          </cell>
          <cell r="D30">
            <v>0</v>
          </cell>
          <cell r="F30">
            <v>2118</v>
          </cell>
        </row>
        <row r="31">
          <cell r="B31" t="str">
            <v>00.28: Boats</v>
          </cell>
          <cell r="D31">
            <v>0</v>
          </cell>
          <cell r="F31">
            <v>2118</v>
          </cell>
        </row>
        <row r="32">
          <cell r="B32" t="str">
            <v>2024 Q1 Jan - Mar</v>
          </cell>
          <cell r="D32">
            <v>0</v>
          </cell>
          <cell r="F32">
            <v>13050455.859999999</v>
          </cell>
        </row>
        <row r="33">
          <cell r="B33" t="str">
            <v>2024 Q2 Apr - Jun</v>
          </cell>
          <cell r="D33">
            <v>0</v>
          </cell>
          <cell r="F33">
            <v>38295435.450000003</v>
          </cell>
        </row>
        <row r="34">
          <cell r="B34" t="str">
            <v>2024 Q3 Jul - Sep</v>
          </cell>
          <cell r="D34">
            <v>0</v>
          </cell>
          <cell r="F34">
            <v>11806611.52</v>
          </cell>
        </row>
        <row r="35">
          <cell r="B35" t="str">
            <v>2024 Q4 Oct - Dec</v>
          </cell>
          <cell r="D35">
            <v>0</v>
          </cell>
          <cell r="F35">
            <v>75702285.25</v>
          </cell>
        </row>
        <row r="36">
          <cell r="B36" t="str">
            <v>00.3: Land Improv</v>
          </cell>
          <cell r="D36">
            <v>0</v>
          </cell>
          <cell r="F36">
            <v>138854788.08000001</v>
          </cell>
        </row>
        <row r="37">
          <cell r="B37" t="str">
            <v>2024 Q1 Jan - Mar</v>
          </cell>
          <cell r="D37">
            <v>0</v>
          </cell>
          <cell r="F37">
            <v>386623153.29000002</v>
          </cell>
        </row>
        <row r="38">
          <cell r="B38" t="str">
            <v>2024 Q2 Apr - Jun</v>
          </cell>
          <cell r="D38">
            <v>0</v>
          </cell>
          <cell r="F38">
            <v>407293025.19</v>
          </cell>
        </row>
        <row r="39">
          <cell r="B39" t="str">
            <v>2024 Q3 Jul - Sep</v>
          </cell>
          <cell r="D39">
            <v>0</v>
          </cell>
          <cell r="F39">
            <v>428328059.44</v>
          </cell>
        </row>
        <row r="40">
          <cell r="B40" t="str">
            <v>2024 Q4 Oct - Dec</v>
          </cell>
          <cell r="D40">
            <v>0</v>
          </cell>
          <cell r="F40">
            <v>459960826.58999997</v>
          </cell>
        </row>
        <row r="41">
          <cell r="B41" t="str">
            <v>49.14: Trans &amp; Dist Plnt</v>
          </cell>
          <cell r="D41">
            <v>0</v>
          </cell>
          <cell r="F41">
            <v>1682205064.51</v>
          </cell>
        </row>
        <row r="42">
          <cell r="B42" t="str">
            <v>2024 Q1 Jan - Mar</v>
          </cell>
          <cell r="D42">
            <v>0</v>
          </cell>
          <cell r="F42">
            <v>145951897.19999999</v>
          </cell>
        </row>
        <row r="43">
          <cell r="B43" t="str">
            <v>2024 Q2 Apr - Jun</v>
          </cell>
          <cell r="D43">
            <v>0</v>
          </cell>
          <cell r="F43">
            <v>572228901.82000005</v>
          </cell>
        </row>
        <row r="44">
          <cell r="B44" t="str">
            <v>2024 Q3 Jul - Sep</v>
          </cell>
          <cell r="D44">
            <v>0</v>
          </cell>
          <cell r="F44">
            <v>118551755.37</v>
          </cell>
        </row>
        <row r="45">
          <cell r="B45" t="str">
            <v>2024 Q4 Oct - Dec</v>
          </cell>
          <cell r="D45">
            <v>0</v>
          </cell>
          <cell r="F45">
            <v>886744483.58000004</v>
          </cell>
        </row>
        <row r="46">
          <cell r="B46" t="str">
            <v>49.14A: Trans 4/05-1/11</v>
          </cell>
          <cell r="D46">
            <v>0</v>
          </cell>
          <cell r="F46">
            <v>1723477037.97</v>
          </cell>
        </row>
        <row r="47">
          <cell r="B47" t="str">
            <v>2024 Q1 Jan - Mar</v>
          </cell>
          <cell r="D47">
            <v>0</v>
          </cell>
          <cell r="F47">
            <v>2690859.21</v>
          </cell>
        </row>
        <row r="48">
          <cell r="B48" t="str">
            <v>2024 Q2 Apr - Jun</v>
          </cell>
          <cell r="D48">
            <v>0</v>
          </cell>
          <cell r="F48">
            <v>5405270.7400000002</v>
          </cell>
        </row>
        <row r="49">
          <cell r="B49" t="str">
            <v>2024 Q3 Jul - Sep</v>
          </cell>
          <cell r="D49">
            <v>0</v>
          </cell>
          <cell r="F49">
            <v>7113815.5700000003</v>
          </cell>
        </row>
        <row r="50">
          <cell r="B50" t="str">
            <v>2024 Q4 Oct - Dec</v>
          </cell>
          <cell r="D50">
            <v>0</v>
          </cell>
          <cell r="F50">
            <v>6805528.1500000004</v>
          </cell>
        </row>
        <row r="51">
          <cell r="B51" t="str">
            <v>49.14B: Meters</v>
          </cell>
          <cell r="D51">
            <v>0</v>
          </cell>
          <cell r="F51">
            <v>22015473.670000002</v>
          </cell>
        </row>
        <row r="52">
          <cell r="B52" t="str">
            <v>2024 Q1 Jan - Mar</v>
          </cell>
          <cell r="D52">
            <v>0</v>
          </cell>
          <cell r="F52">
            <v>20069918.5</v>
          </cell>
        </row>
        <row r="53">
          <cell r="B53" t="str">
            <v>2024 Q2 Apr - Jun</v>
          </cell>
          <cell r="D53">
            <v>0</v>
          </cell>
          <cell r="F53">
            <v>20361150.18</v>
          </cell>
        </row>
        <row r="54">
          <cell r="B54" t="str">
            <v>2024 Q3 Jul - Sep</v>
          </cell>
          <cell r="D54">
            <v>0</v>
          </cell>
          <cell r="F54">
            <v>21977983.73</v>
          </cell>
        </row>
        <row r="55">
          <cell r="B55" t="str">
            <v>2024 Q4 Oct - Dec</v>
          </cell>
          <cell r="D55">
            <v>0</v>
          </cell>
          <cell r="F55">
            <v>15375622.82</v>
          </cell>
        </row>
        <row r="56">
          <cell r="B56" t="str">
            <v>49.14C: Smart Meters</v>
          </cell>
          <cell r="D56">
            <v>0</v>
          </cell>
          <cell r="F56">
            <v>77784675.230000004</v>
          </cell>
        </row>
        <row r="57">
          <cell r="B57" t="str">
            <v>2024 Q1 Jan - Mar</v>
          </cell>
          <cell r="D57">
            <v>0</v>
          </cell>
          <cell r="F57">
            <v>11120327.23</v>
          </cell>
        </row>
        <row r="58">
          <cell r="B58" t="str">
            <v>2024 Q2 Apr - Jun</v>
          </cell>
          <cell r="D58">
            <v>0</v>
          </cell>
          <cell r="F58">
            <v>12571481.779999999</v>
          </cell>
        </row>
        <row r="59">
          <cell r="B59" t="str">
            <v>2024 Q3 Jul - Sep</v>
          </cell>
          <cell r="D59">
            <v>0</v>
          </cell>
          <cell r="F59">
            <v>14152191.550000001</v>
          </cell>
        </row>
        <row r="60">
          <cell r="B60" t="str">
            <v>2024 Q4 Oct - Dec</v>
          </cell>
          <cell r="D60">
            <v>0</v>
          </cell>
          <cell r="F60">
            <v>14055077.869999999</v>
          </cell>
        </row>
        <row r="61">
          <cell r="B61" t="str">
            <v>49.14D Street Lighting</v>
          </cell>
          <cell r="D61">
            <v>0</v>
          </cell>
          <cell r="F61">
            <v>51899078.43</v>
          </cell>
        </row>
        <row r="62">
          <cell r="B62" t="str">
            <v>2024 Q1 Jan - Mar</v>
          </cell>
          <cell r="D62">
            <v>0</v>
          </cell>
          <cell r="F62">
            <v>380027.46</v>
          </cell>
        </row>
        <row r="63">
          <cell r="B63" t="str">
            <v>2024 Q2 Apr - Jun</v>
          </cell>
          <cell r="D63">
            <v>0</v>
          </cell>
          <cell r="F63">
            <v>1725906.38</v>
          </cell>
        </row>
        <row r="64">
          <cell r="B64" t="str">
            <v>2024 Q3 Jul - Sep</v>
          </cell>
          <cell r="D64">
            <v>0</v>
          </cell>
          <cell r="F64">
            <v>1932637.37</v>
          </cell>
        </row>
        <row r="65">
          <cell r="B65" t="str">
            <v>2024 Q4 Oct - Dec</v>
          </cell>
          <cell r="D65">
            <v>0</v>
          </cell>
          <cell r="F65">
            <v>2632807.2400000002</v>
          </cell>
        </row>
        <row r="66">
          <cell r="B66" t="str">
            <v>57.0: Distr Trades Serv</v>
          </cell>
          <cell r="D66">
            <v>0</v>
          </cell>
          <cell r="F66">
            <v>6671378.4500000002</v>
          </cell>
        </row>
        <row r="67">
          <cell r="B67" t="str">
            <v>2024</v>
          </cell>
          <cell r="D67">
            <v>0</v>
          </cell>
          <cell r="F67">
            <v>401497.08</v>
          </cell>
        </row>
        <row r="68">
          <cell r="B68" t="str">
            <v>LH: LH Improv</v>
          </cell>
          <cell r="D68">
            <v>0</v>
          </cell>
          <cell r="F68">
            <v>401497.08</v>
          </cell>
        </row>
        <row r="69">
          <cell r="B69" t="str">
            <v>2024 Q1 Jan - Mar</v>
          </cell>
          <cell r="D69">
            <v>0</v>
          </cell>
          <cell r="F69">
            <v>-175429.61</v>
          </cell>
        </row>
        <row r="70">
          <cell r="B70" t="str">
            <v>2024 Q2 Apr - Jun</v>
          </cell>
          <cell r="D70">
            <v>0</v>
          </cell>
          <cell r="F70">
            <v>26191730.420000002</v>
          </cell>
        </row>
        <row r="71">
          <cell r="B71" t="str">
            <v>2024 Q3 Jul - Sep</v>
          </cell>
          <cell r="D71">
            <v>0</v>
          </cell>
          <cell r="F71">
            <v>2546666.63</v>
          </cell>
        </row>
        <row r="72">
          <cell r="B72" t="str">
            <v>2024 Q4 Oct - Dec</v>
          </cell>
          <cell r="D72">
            <v>0</v>
          </cell>
          <cell r="F72">
            <v>-10765980.619999999</v>
          </cell>
        </row>
        <row r="73">
          <cell r="B73" t="str">
            <v>LR46: Easements 46 Yr</v>
          </cell>
          <cell r="D73">
            <v>0</v>
          </cell>
          <cell r="F73">
            <v>17796986.82</v>
          </cell>
        </row>
        <row r="74">
          <cell r="B74" t="str">
            <v>2024 Q1 Jan - Mar</v>
          </cell>
          <cell r="D74">
            <v>0</v>
          </cell>
          <cell r="F74">
            <v>364347.14</v>
          </cell>
        </row>
        <row r="75">
          <cell r="B75" t="str">
            <v>2024 Q2 Apr - Jun</v>
          </cell>
          <cell r="D75">
            <v>0</v>
          </cell>
          <cell r="F75">
            <v>750184.5</v>
          </cell>
        </row>
        <row r="76">
          <cell r="B76" t="str">
            <v>2024 Q3 Jul - Sep</v>
          </cell>
          <cell r="D76">
            <v>0</v>
          </cell>
          <cell r="F76">
            <v>159054.56</v>
          </cell>
        </row>
        <row r="77">
          <cell r="B77" t="str">
            <v>2024 Q4 Oct - Dec</v>
          </cell>
          <cell r="D77">
            <v>0</v>
          </cell>
          <cell r="F77">
            <v>17664774.25</v>
          </cell>
        </row>
        <row r="78">
          <cell r="B78" t="str">
            <v>LR84: Easements 84 Yr</v>
          </cell>
          <cell r="D78">
            <v>0</v>
          </cell>
          <cell r="F78">
            <v>18938360.449999999</v>
          </cell>
        </row>
        <row r="79">
          <cell r="B79" t="str">
            <v>2024 Q1 Jan - Mar</v>
          </cell>
          <cell r="D79">
            <v>0</v>
          </cell>
          <cell r="F79">
            <v>6218234.3300000001</v>
          </cell>
        </row>
        <row r="80">
          <cell r="B80" t="str">
            <v>2024 Q2 Apr - Jun</v>
          </cell>
          <cell r="D80">
            <v>0</v>
          </cell>
          <cell r="F80">
            <v>-17809119.620000001</v>
          </cell>
        </row>
        <row r="81">
          <cell r="B81" t="str">
            <v>2024 Q3 Jul - Sep</v>
          </cell>
          <cell r="D81">
            <v>0</v>
          </cell>
          <cell r="F81">
            <v>10770606.07</v>
          </cell>
        </row>
        <row r="82">
          <cell r="B82" t="str">
            <v>2024 Q4 Oct - Dec</v>
          </cell>
          <cell r="D82">
            <v>0</v>
          </cell>
          <cell r="F82">
            <v>5308793.59</v>
          </cell>
        </row>
        <row r="83">
          <cell r="B83" t="str">
            <v>ND: Non Depr</v>
          </cell>
          <cell r="D83">
            <v>0</v>
          </cell>
          <cell r="F83">
            <v>4488514.37</v>
          </cell>
        </row>
        <row r="84">
          <cell r="B84" t="str">
            <v>2024</v>
          </cell>
          <cell r="D84">
            <v>0</v>
          </cell>
          <cell r="F84">
            <v>108578067.59</v>
          </cell>
        </row>
        <row r="85">
          <cell r="B85" t="str">
            <v>RP: RP 81-86 &amp; Post92</v>
          </cell>
          <cell r="D85">
            <v>0</v>
          </cell>
          <cell r="F85">
            <v>108578067.59</v>
          </cell>
        </row>
        <row r="86">
          <cell r="B86" t="str">
            <v>COR</v>
          </cell>
          <cell r="D86">
            <v>0.05</v>
          </cell>
          <cell r="F86">
            <v>0</v>
          </cell>
        </row>
        <row r="87">
          <cell r="B87" t="str">
            <v>Unclassified</v>
          </cell>
          <cell r="D87">
            <v>0.05</v>
          </cell>
          <cell r="F87">
            <v>0</v>
          </cell>
        </row>
        <row r="88">
          <cell r="D88">
            <v>0.05</v>
          </cell>
          <cell r="F88">
            <v>3882085896.3499999</v>
          </cell>
        </row>
      </sheetData>
      <sheetData sheetId="10">
        <row r="5">
          <cell r="B5" t="str">
            <v>2024 Q1 Jan - Mar</v>
          </cell>
          <cell r="D5">
            <v>0</v>
          </cell>
          <cell r="F5">
            <v>0</v>
          </cell>
        </row>
        <row r="6">
          <cell r="B6" t="str">
            <v>2024 Q2 Apr - Jun</v>
          </cell>
          <cell r="D6">
            <v>0</v>
          </cell>
          <cell r="F6">
            <v>0</v>
          </cell>
        </row>
        <row r="7">
          <cell r="B7" t="str">
            <v>00.3: Land Improv</v>
          </cell>
          <cell r="D7">
            <v>0</v>
          </cell>
          <cell r="F7">
            <v>0</v>
          </cell>
        </row>
        <row r="8">
          <cell r="B8" t="str">
            <v>2024 Q1 Jan - Mar</v>
          </cell>
          <cell r="D8">
            <v>0</v>
          </cell>
          <cell r="F8">
            <v>0</v>
          </cell>
        </row>
        <row r="9">
          <cell r="B9" t="str">
            <v>2024 Q2 Apr - Jun</v>
          </cell>
          <cell r="D9">
            <v>0</v>
          </cell>
          <cell r="F9">
            <v>18064.36</v>
          </cell>
        </row>
        <row r="10">
          <cell r="B10" t="str">
            <v>2024 Q3 Jul - Sep</v>
          </cell>
          <cell r="D10">
            <v>0</v>
          </cell>
          <cell r="F10">
            <v>20555.05</v>
          </cell>
        </row>
        <row r="11">
          <cell r="B11" t="str">
            <v>2024 Q4 Oct - Dec</v>
          </cell>
          <cell r="D11">
            <v>0</v>
          </cell>
          <cell r="F11">
            <v>21742.67</v>
          </cell>
        </row>
        <row r="12">
          <cell r="B12" t="str">
            <v>49.14: Trans &amp; Dist Plnt</v>
          </cell>
          <cell r="D12">
            <v>0</v>
          </cell>
          <cell r="F12">
            <v>60362.080000000002</v>
          </cell>
        </row>
        <row r="13">
          <cell r="B13" t="str">
            <v>2024 Q1 Jan - Mar</v>
          </cell>
          <cell r="D13">
            <v>0</v>
          </cell>
          <cell r="F13">
            <v>5904.57</v>
          </cell>
        </row>
        <row r="14">
          <cell r="B14" t="str">
            <v>2024 Q2 Apr - Jun</v>
          </cell>
          <cell r="D14">
            <v>0</v>
          </cell>
          <cell r="F14">
            <v>23628.42</v>
          </cell>
        </row>
        <row r="15">
          <cell r="B15" t="str">
            <v>2024 Q3 Jul - Sep</v>
          </cell>
          <cell r="D15">
            <v>0</v>
          </cell>
          <cell r="F15">
            <v>49783.39</v>
          </cell>
        </row>
        <row r="16">
          <cell r="B16" t="str">
            <v>2024 Q4 Oct - Dec</v>
          </cell>
          <cell r="D16">
            <v>0</v>
          </cell>
          <cell r="F16">
            <v>384790.33</v>
          </cell>
        </row>
        <row r="17">
          <cell r="B17" t="str">
            <v>49.14A: Trans 4/05-1/11</v>
          </cell>
          <cell r="D17">
            <v>0</v>
          </cell>
          <cell r="F17">
            <v>464106.71</v>
          </cell>
        </row>
        <row r="18">
          <cell r="B18" t="str">
            <v>2024 Q1 Jan - Mar</v>
          </cell>
          <cell r="D18">
            <v>0</v>
          </cell>
          <cell r="F18">
            <v>0</v>
          </cell>
        </row>
        <row r="19">
          <cell r="B19" t="str">
            <v>2024 Q2 Apr - Jun</v>
          </cell>
          <cell r="D19">
            <v>0</v>
          </cell>
          <cell r="F19">
            <v>0</v>
          </cell>
        </row>
        <row r="20">
          <cell r="B20" t="str">
            <v>2024 Q4 Oct - Dec</v>
          </cell>
          <cell r="D20">
            <v>0</v>
          </cell>
          <cell r="F20">
            <v>8817.6299999999992</v>
          </cell>
        </row>
        <row r="21">
          <cell r="B21" t="str">
            <v>ND: Non Depr</v>
          </cell>
          <cell r="D21">
            <v>0</v>
          </cell>
          <cell r="F21">
            <v>8817.6299999999992</v>
          </cell>
        </row>
        <row r="22">
          <cell r="B22" t="str">
            <v>2024</v>
          </cell>
          <cell r="D22">
            <v>0</v>
          </cell>
          <cell r="F22">
            <v>123771.8</v>
          </cell>
        </row>
        <row r="23">
          <cell r="B23" t="str">
            <v>RP: RP 81-86 &amp; Post92</v>
          </cell>
          <cell r="D23">
            <v>0</v>
          </cell>
          <cell r="F23">
            <v>123771.8</v>
          </cell>
        </row>
        <row r="24">
          <cell r="B24" t="str">
            <v>COR</v>
          </cell>
          <cell r="D24">
            <v>0.02</v>
          </cell>
          <cell r="F24">
            <v>0</v>
          </cell>
        </row>
        <row r="25">
          <cell r="B25" t="str">
            <v>Unclassified</v>
          </cell>
          <cell r="D25">
            <v>0.02</v>
          </cell>
          <cell r="F25">
            <v>0</v>
          </cell>
        </row>
        <row r="26">
          <cell r="D26">
            <v>0.02</v>
          </cell>
          <cell r="F26">
            <v>657058.22</v>
          </cell>
        </row>
        <row r="42">
          <cell r="B42" t="str">
            <v>03/03/2022 at 1:03 pm</v>
          </cell>
        </row>
      </sheetData>
      <sheetData sheetId="11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1182586.73</v>
          </cell>
          <cell r="F6">
            <v>0</v>
          </cell>
          <cell r="G6">
            <v>1182586.73</v>
          </cell>
          <cell r="H6">
            <v>549063.18000000005</v>
          </cell>
          <cell r="I6">
            <v>181006.72</v>
          </cell>
        </row>
        <row r="7">
          <cell r="B7" t="str">
            <v>2022 Q2</v>
          </cell>
          <cell r="D7">
            <v>211854.8</v>
          </cell>
          <cell r="F7">
            <v>0</v>
          </cell>
          <cell r="G7">
            <v>211854.8</v>
          </cell>
          <cell r="H7">
            <v>87553.22</v>
          </cell>
          <cell r="I7">
            <v>35513.22</v>
          </cell>
        </row>
        <row r="8">
          <cell r="B8" t="str">
            <v>2022 Q3</v>
          </cell>
          <cell r="D8">
            <v>344137.56</v>
          </cell>
          <cell r="F8">
            <v>0</v>
          </cell>
          <cell r="G8">
            <v>344137.56</v>
          </cell>
          <cell r="H8">
            <v>124660.4</v>
          </cell>
          <cell r="I8">
            <v>62708.75</v>
          </cell>
        </row>
        <row r="9">
          <cell r="B9" t="str">
            <v>2022 Q4</v>
          </cell>
          <cell r="D9">
            <v>2954138.55</v>
          </cell>
          <cell r="F9">
            <v>0</v>
          </cell>
          <cell r="G9">
            <v>2954138.55</v>
          </cell>
          <cell r="H9">
            <v>919386.99</v>
          </cell>
          <cell r="I9">
            <v>581374.46</v>
          </cell>
        </row>
        <row r="10">
          <cell r="B10" t="str">
            <v>2023</v>
          </cell>
          <cell r="D10">
            <v>1238582.9099999999</v>
          </cell>
          <cell r="F10">
            <v>0</v>
          </cell>
          <cell r="G10">
            <v>1238582.9099999999</v>
          </cell>
          <cell r="H10">
            <v>176943.95</v>
          </cell>
          <cell r="I10">
            <v>303328.95</v>
          </cell>
        </row>
        <row r="11">
          <cell r="B11" t="str">
            <v>2024 Q1 Jan - Mar</v>
          </cell>
          <cell r="D11">
            <v>0</v>
          </cell>
          <cell r="F11">
            <v>18975.5</v>
          </cell>
          <cell r="G11">
            <v>18975.5</v>
          </cell>
          <cell r="H11">
            <v>0</v>
          </cell>
          <cell r="I11">
            <v>4743.88</v>
          </cell>
        </row>
        <row r="12">
          <cell r="B12" t="str">
            <v>2024 Q2 Apr - Jun</v>
          </cell>
          <cell r="D12">
            <v>0</v>
          </cell>
          <cell r="F12">
            <v>295722.03000000003</v>
          </cell>
          <cell r="G12">
            <v>295722.03000000003</v>
          </cell>
          <cell r="H12">
            <v>0</v>
          </cell>
          <cell r="I12">
            <v>52807.08</v>
          </cell>
        </row>
        <row r="13">
          <cell r="B13" t="str">
            <v>2024 Q3 Jul - Sep</v>
          </cell>
          <cell r="D13">
            <v>0</v>
          </cell>
          <cell r="F13">
            <v>1146278.79</v>
          </cell>
          <cell r="G13">
            <v>1146278.79</v>
          </cell>
          <cell r="H13">
            <v>0</v>
          </cell>
          <cell r="I13">
            <v>122812.3</v>
          </cell>
        </row>
        <row r="14">
          <cell r="B14" t="str">
            <v>2024 Q4 Oct - Dec</v>
          </cell>
          <cell r="D14">
            <v>0</v>
          </cell>
          <cell r="F14">
            <v>2528775.2000000002</v>
          </cell>
          <cell r="G14">
            <v>2528775.2000000002</v>
          </cell>
          <cell r="H14">
            <v>0</v>
          </cell>
          <cell r="I14">
            <v>90302.57</v>
          </cell>
        </row>
        <row r="15">
          <cell r="B15" t="str">
            <v>00.11: Furn, Fixt, Equip</v>
          </cell>
          <cell r="D15">
            <v>5931300.5499999998</v>
          </cell>
          <cell r="F15">
            <v>3989751.52</v>
          </cell>
          <cell r="G15">
            <v>9921052.0700000003</v>
          </cell>
          <cell r="H15">
            <v>1857607.74</v>
          </cell>
          <cell r="I15">
            <v>1434597.93</v>
          </cell>
        </row>
        <row r="16">
          <cell r="B16" t="str">
            <v>2022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Q1</v>
          </cell>
          <cell r="D17">
            <v>2649075.2599999998</v>
          </cell>
          <cell r="F17">
            <v>0</v>
          </cell>
          <cell r="G17">
            <v>2649075.2599999998</v>
          </cell>
          <cell r="H17">
            <v>1615935.86</v>
          </cell>
          <cell r="I17">
            <v>413255.74</v>
          </cell>
        </row>
        <row r="18">
          <cell r="B18" t="str">
            <v>2022 Q2</v>
          </cell>
          <cell r="D18">
            <v>220880.88</v>
          </cell>
          <cell r="F18">
            <v>0</v>
          </cell>
          <cell r="G18">
            <v>220880.88</v>
          </cell>
          <cell r="H18">
            <v>121484.48</v>
          </cell>
          <cell r="I18">
            <v>39758.559999999998</v>
          </cell>
        </row>
        <row r="19">
          <cell r="B19" t="str">
            <v>2022 Q3</v>
          </cell>
          <cell r="D19">
            <v>6423064.0999999996</v>
          </cell>
          <cell r="F19">
            <v>0</v>
          </cell>
          <cell r="G19">
            <v>6423064.0999999996</v>
          </cell>
          <cell r="H19">
            <v>3147301.47</v>
          </cell>
          <cell r="I19">
            <v>1310305.08</v>
          </cell>
        </row>
        <row r="20">
          <cell r="B20" t="str">
            <v>2022 Q4</v>
          </cell>
          <cell r="D20">
            <v>14381309.779999999</v>
          </cell>
          <cell r="F20">
            <v>0</v>
          </cell>
          <cell r="G20">
            <v>14381309.779999999</v>
          </cell>
          <cell r="H20">
            <v>6183963.21</v>
          </cell>
          <cell r="I20">
            <v>3278938.62</v>
          </cell>
        </row>
        <row r="21">
          <cell r="B21" t="str">
            <v>2023</v>
          </cell>
          <cell r="D21">
            <v>12545497.51</v>
          </cell>
          <cell r="F21">
            <v>0</v>
          </cell>
          <cell r="G21">
            <v>12545497.51</v>
          </cell>
          <cell r="H21">
            <v>2509099.5099999998</v>
          </cell>
          <cell r="I21">
            <v>4014559.2</v>
          </cell>
        </row>
        <row r="22">
          <cell r="B22" t="str">
            <v>2024 Q1 Jan - Mar</v>
          </cell>
          <cell r="D22">
            <v>0</v>
          </cell>
          <cell r="F22">
            <v>2597610.86</v>
          </cell>
          <cell r="G22">
            <v>2597610.86</v>
          </cell>
          <cell r="H22">
            <v>0</v>
          </cell>
          <cell r="I22">
            <v>909163.78</v>
          </cell>
        </row>
        <row r="23">
          <cell r="B23" t="str">
            <v>2024 Q2 Apr - Jun</v>
          </cell>
          <cell r="D23">
            <v>0</v>
          </cell>
          <cell r="F23">
            <v>2154614.06</v>
          </cell>
          <cell r="G23">
            <v>2154614.06</v>
          </cell>
          <cell r="H23">
            <v>0</v>
          </cell>
          <cell r="I23">
            <v>538653.52</v>
          </cell>
        </row>
        <row r="24">
          <cell r="B24" t="str">
            <v>2024 Q3 Jul - Sep</v>
          </cell>
          <cell r="D24">
            <v>0</v>
          </cell>
          <cell r="F24">
            <v>142383.43</v>
          </cell>
          <cell r="G24">
            <v>142383.43</v>
          </cell>
          <cell r="H24">
            <v>0</v>
          </cell>
          <cell r="I24">
            <v>21357.52</v>
          </cell>
        </row>
        <row r="25">
          <cell r="B25" t="str">
            <v>2024 Q4 Oct - Dec</v>
          </cell>
          <cell r="D25">
            <v>0</v>
          </cell>
          <cell r="F25">
            <v>16659504.74</v>
          </cell>
          <cell r="G25">
            <v>16659504.74</v>
          </cell>
          <cell r="H25">
            <v>0</v>
          </cell>
          <cell r="I25">
            <v>832975.23</v>
          </cell>
        </row>
        <row r="26">
          <cell r="B26" t="str">
            <v>00.12: Info Systems</v>
          </cell>
          <cell r="D26">
            <v>36219827.530000001</v>
          </cell>
          <cell r="F26">
            <v>21554113.09</v>
          </cell>
          <cell r="G26">
            <v>57773940.619999997</v>
          </cell>
          <cell r="H26">
            <v>13577784.529999999</v>
          </cell>
          <cell r="I26">
            <v>11358967.25</v>
          </cell>
        </row>
        <row r="27">
          <cell r="B27" t="str">
            <v>2024 Q1 Jan - Mar</v>
          </cell>
          <cell r="D27">
            <v>0</v>
          </cell>
          <cell r="F27">
            <v>7362.55</v>
          </cell>
          <cell r="G27">
            <v>7362.55</v>
          </cell>
          <cell r="H27">
            <v>0</v>
          </cell>
          <cell r="I27">
            <v>2576.89</v>
          </cell>
        </row>
        <row r="28">
          <cell r="B28" t="str">
            <v>2024 Q2 Apr - Jun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2024 Q3 Jul - Sep</v>
          </cell>
          <cell r="D29">
            <v>0</v>
          </cell>
          <cell r="F29">
            <v>-382.43</v>
          </cell>
          <cell r="G29">
            <v>-382.43</v>
          </cell>
          <cell r="H29">
            <v>0</v>
          </cell>
          <cell r="I29">
            <v>-57.36</v>
          </cell>
        </row>
        <row r="30">
          <cell r="B30" t="str">
            <v>00.13: Data Handling Eq</v>
          </cell>
          <cell r="D30">
            <v>0</v>
          </cell>
          <cell r="F30">
            <v>6980.12</v>
          </cell>
          <cell r="G30">
            <v>6980.12</v>
          </cell>
          <cell r="H30">
            <v>0</v>
          </cell>
          <cell r="I30">
            <v>2519.5300000000002</v>
          </cell>
        </row>
        <row r="31">
          <cell r="B31" t="str">
            <v>2022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2023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00.21: Airplanes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2022 Q1</v>
          </cell>
          <cell r="D35">
            <v>28493.84</v>
          </cell>
          <cell r="F35">
            <v>0</v>
          </cell>
          <cell r="G35">
            <v>28493.84</v>
          </cell>
          <cell r="H35">
            <v>17381.240000000002</v>
          </cell>
          <cell r="I35">
            <v>4445.04</v>
          </cell>
        </row>
        <row r="36">
          <cell r="B36" t="str">
            <v>2022 Q2</v>
          </cell>
          <cell r="D36">
            <v>54557.18</v>
          </cell>
          <cell r="F36">
            <v>0</v>
          </cell>
          <cell r="G36">
            <v>54557.18</v>
          </cell>
          <cell r="H36">
            <v>30006.45</v>
          </cell>
          <cell r="I36">
            <v>9820.2900000000009</v>
          </cell>
        </row>
        <row r="37">
          <cell r="B37" t="str">
            <v>2022 Q3</v>
          </cell>
          <cell r="D37">
            <v>29936.46</v>
          </cell>
          <cell r="F37">
            <v>0</v>
          </cell>
          <cell r="G37">
            <v>29936.46</v>
          </cell>
          <cell r="H37">
            <v>14668.87</v>
          </cell>
          <cell r="I37">
            <v>6107.04</v>
          </cell>
        </row>
        <row r="38">
          <cell r="B38" t="str">
            <v>2022 Q4</v>
          </cell>
          <cell r="D38">
            <v>564294.56999999995</v>
          </cell>
          <cell r="F38">
            <v>0</v>
          </cell>
          <cell r="G38">
            <v>564294.56999999995</v>
          </cell>
          <cell r="H38">
            <v>242646.67</v>
          </cell>
          <cell r="I38">
            <v>128659.16</v>
          </cell>
        </row>
        <row r="39">
          <cell r="B39" t="str">
            <v>2023</v>
          </cell>
          <cell r="D39">
            <v>663246.96</v>
          </cell>
          <cell r="F39">
            <v>0</v>
          </cell>
          <cell r="G39">
            <v>663246.96</v>
          </cell>
          <cell r="H39">
            <v>132649.39000000001</v>
          </cell>
          <cell r="I39">
            <v>212239.03</v>
          </cell>
        </row>
        <row r="40">
          <cell r="B40" t="str">
            <v>2024 Q3 Jul - Sep</v>
          </cell>
          <cell r="D40">
            <v>0</v>
          </cell>
          <cell r="F40">
            <v>63959.35</v>
          </cell>
          <cell r="G40">
            <v>63959.35</v>
          </cell>
          <cell r="H40">
            <v>0</v>
          </cell>
          <cell r="I40">
            <v>9593.9</v>
          </cell>
        </row>
        <row r="41">
          <cell r="B41" t="str">
            <v>2024 Q4 Oct - Dec</v>
          </cell>
          <cell r="D41">
            <v>0</v>
          </cell>
          <cell r="F41">
            <v>153986.09</v>
          </cell>
          <cell r="G41">
            <v>153986.09</v>
          </cell>
          <cell r="H41">
            <v>0</v>
          </cell>
          <cell r="I41">
            <v>7699.3</v>
          </cell>
        </row>
        <row r="42">
          <cell r="B42" t="str">
            <v>00.22: Automobiles</v>
          </cell>
          <cell r="D42">
            <v>1340529.01</v>
          </cell>
          <cell r="F42">
            <v>217945.44</v>
          </cell>
          <cell r="G42">
            <v>1558474.45</v>
          </cell>
          <cell r="H42">
            <v>437352.62</v>
          </cell>
          <cell r="I42">
            <v>378563.76</v>
          </cell>
        </row>
        <row r="43">
          <cell r="B43" t="str">
            <v>2022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B44" t="str">
            <v>2022 Q2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2023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00.241: Light Trucks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2022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2022 Q1</v>
          </cell>
          <cell r="D48">
            <v>2969.3</v>
          </cell>
          <cell r="F48">
            <v>0</v>
          </cell>
          <cell r="G48">
            <v>2969.3</v>
          </cell>
          <cell r="H48">
            <v>1811.27</v>
          </cell>
          <cell r="I48">
            <v>463.21</v>
          </cell>
        </row>
        <row r="49">
          <cell r="B49" t="str">
            <v>2022 Q2</v>
          </cell>
          <cell r="D49">
            <v>1914.89</v>
          </cell>
          <cell r="F49">
            <v>0</v>
          </cell>
          <cell r="G49">
            <v>1914.89</v>
          </cell>
          <cell r="H49">
            <v>1053.19</v>
          </cell>
          <cell r="I49">
            <v>344.68</v>
          </cell>
        </row>
        <row r="50">
          <cell r="B50" t="str">
            <v>2022 Q3</v>
          </cell>
          <cell r="D50">
            <v>25459.69</v>
          </cell>
          <cell r="F50">
            <v>0</v>
          </cell>
          <cell r="G50">
            <v>25459.69</v>
          </cell>
          <cell r="H50">
            <v>12475.24</v>
          </cell>
          <cell r="I50">
            <v>5193.78</v>
          </cell>
        </row>
        <row r="51">
          <cell r="B51" t="str">
            <v>2022 Q4</v>
          </cell>
          <cell r="D51">
            <v>37998.32</v>
          </cell>
          <cell r="F51">
            <v>0</v>
          </cell>
          <cell r="G51">
            <v>37998.32</v>
          </cell>
          <cell r="H51">
            <v>16339.28</v>
          </cell>
          <cell r="I51">
            <v>8663.6200000000008</v>
          </cell>
        </row>
        <row r="52">
          <cell r="B52" t="str">
            <v>2023</v>
          </cell>
          <cell r="D52">
            <v>200634.54</v>
          </cell>
          <cell r="F52">
            <v>0</v>
          </cell>
          <cell r="G52">
            <v>200634.54</v>
          </cell>
          <cell r="H52">
            <v>40126.910000000003</v>
          </cell>
          <cell r="I52">
            <v>64203.05</v>
          </cell>
        </row>
        <row r="53">
          <cell r="B53" t="str">
            <v>2024 Q3 Jul - Sep</v>
          </cell>
          <cell r="D53">
            <v>0</v>
          </cell>
          <cell r="F53">
            <v>2498.4</v>
          </cell>
          <cell r="G53">
            <v>2498.4</v>
          </cell>
          <cell r="H53">
            <v>0</v>
          </cell>
          <cell r="I53">
            <v>374.76</v>
          </cell>
        </row>
        <row r="54">
          <cell r="B54" t="str">
            <v>2024 Q4 Oct - Dec</v>
          </cell>
          <cell r="D54">
            <v>0</v>
          </cell>
          <cell r="F54">
            <v>2627925.4900000002</v>
          </cell>
          <cell r="G54">
            <v>2627925.4900000002</v>
          </cell>
          <cell r="H54">
            <v>0</v>
          </cell>
          <cell r="I54">
            <v>131396.28</v>
          </cell>
        </row>
        <row r="55">
          <cell r="B55" t="str">
            <v>00.242: Heavy Trucks</v>
          </cell>
          <cell r="D55">
            <v>268976.74</v>
          </cell>
          <cell r="F55">
            <v>2630423.89</v>
          </cell>
          <cell r="G55">
            <v>2899400.63</v>
          </cell>
          <cell r="H55">
            <v>71805.89</v>
          </cell>
          <cell r="I55">
            <v>210639.38</v>
          </cell>
        </row>
        <row r="56">
          <cell r="B56" t="str">
            <v>2022</v>
          </cell>
          <cell r="D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 t="str">
            <v>2023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B58" t="str">
            <v>00.25: Railroad Cars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2022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B60" t="str">
            <v>2022 Q1</v>
          </cell>
          <cell r="D60">
            <v>21825.22</v>
          </cell>
          <cell r="F60">
            <v>0</v>
          </cell>
          <cell r="G60">
            <v>21825.22</v>
          </cell>
          <cell r="H60">
            <v>13313.39</v>
          </cell>
          <cell r="I60">
            <v>3404.73</v>
          </cell>
        </row>
        <row r="61">
          <cell r="B61" t="str">
            <v>2022 Q2</v>
          </cell>
          <cell r="D61">
            <v>154569.19</v>
          </cell>
          <cell r="F61">
            <v>0</v>
          </cell>
          <cell r="G61">
            <v>154569.19</v>
          </cell>
          <cell r="H61">
            <v>85013.06</v>
          </cell>
          <cell r="I61">
            <v>27822.46</v>
          </cell>
        </row>
        <row r="62">
          <cell r="B62" t="str">
            <v>2022 Q3</v>
          </cell>
          <cell r="D62">
            <v>-4660.16</v>
          </cell>
          <cell r="F62">
            <v>0</v>
          </cell>
          <cell r="G62">
            <v>-4660.16</v>
          </cell>
          <cell r="H62">
            <v>-2283.48</v>
          </cell>
          <cell r="I62">
            <v>-950.68</v>
          </cell>
        </row>
        <row r="63">
          <cell r="B63" t="str">
            <v>2022 Q4</v>
          </cell>
          <cell r="D63">
            <v>227651.94</v>
          </cell>
          <cell r="F63">
            <v>0</v>
          </cell>
          <cell r="G63">
            <v>227651.94</v>
          </cell>
          <cell r="H63">
            <v>97890.34</v>
          </cell>
          <cell r="I63">
            <v>51904.639999999999</v>
          </cell>
        </row>
        <row r="64">
          <cell r="B64" t="str">
            <v>2023</v>
          </cell>
          <cell r="D64">
            <v>1055510.33</v>
          </cell>
          <cell r="F64">
            <v>0</v>
          </cell>
          <cell r="G64">
            <v>1055510.33</v>
          </cell>
          <cell r="H64">
            <v>211102.06</v>
          </cell>
          <cell r="I64">
            <v>337763.3</v>
          </cell>
        </row>
        <row r="65">
          <cell r="B65" t="str">
            <v>2024 Q1 Jan - Mar</v>
          </cell>
          <cell r="D65">
            <v>0</v>
          </cell>
          <cell r="F65">
            <v>42461.61</v>
          </cell>
          <cell r="G65">
            <v>42461.61</v>
          </cell>
          <cell r="H65">
            <v>0</v>
          </cell>
          <cell r="I65">
            <v>14861.56</v>
          </cell>
        </row>
        <row r="66">
          <cell r="B66" t="str">
            <v>2024 Q2 Apr - Jun</v>
          </cell>
          <cell r="D66">
            <v>0</v>
          </cell>
          <cell r="F66">
            <v>30338.74</v>
          </cell>
          <cell r="G66">
            <v>30338.74</v>
          </cell>
          <cell r="H66">
            <v>0</v>
          </cell>
          <cell r="I66">
            <v>7584.68</v>
          </cell>
        </row>
        <row r="67">
          <cell r="B67" t="str">
            <v>2024 Q3 Jul - Sep</v>
          </cell>
          <cell r="D67">
            <v>0</v>
          </cell>
          <cell r="F67">
            <v>18719.07</v>
          </cell>
          <cell r="G67">
            <v>18719.07</v>
          </cell>
          <cell r="H67">
            <v>0</v>
          </cell>
          <cell r="I67">
            <v>2807.86</v>
          </cell>
        </row>
        <row r="68">
          <cell r="B68" t="str">
            <v>2024 Q4 Oct - Dec</v>
          </cell>
          <cell r="D68">
            <v>0</v>
          </cell>
          <cell r="F68">
            <v>482122.22</v>
          </cell>
          <cell r="G68">
            <v>482122.22</v>
          </cell>
          <cell r="H68">
            <v>0</v>
          </cell>
          <cell r="I68">
            <v>24106.11</v>
          </cell>
        </row>
        <row r="69">
          <cell r="B69" t="str">
            <v>00.27: Trailers</v>
          </cell>
          <cell r="D69">
            <v>1454896.52</v>
          </cell>
          <cell r="F69">
            <v>573641.64</v>
          </cell>
          <cell r="G69">
            <v>2028538.16</v>
          </cell>
          <cell r="H69">
            <v>405035.37</v>
          </cell>
          <cell r="I69">
            <v>469304.66</v>
          </cell>
        </row>
        <row r="70">
          <cell r="B70" t="str">
            <v>2022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Q2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2024 Q4 Oct - Dec</v>
          </cell>
          <cell r="D73">
            <v>0</v>
          </cell>
          <cell r="F73">
            <v>2118</v>
          </cell>
          <cell r="G73">
            <v>2118</v>
          </cell>
          <cell r="H73">
            <v>0</v>
          </cell>
          <cell r="I73">
            <v>52.95</v>
          </cell>
        </row>
        <row r="74">
          <cell r="B74" t="str">
            <v>00.28: Boats</v>
          </cell>
          <cell r="D74">
            <v>0</v>
          </cell>
          <cell r="F74">
            <v>2118</v>
          </cell>
          <cell r="G74">
            <v>2118</v>
          </cell>
          <cell r="H74">
            <v>0</v>
          </cell>
          <cell r="I74">
            <v>52.95</v>
          </cell>
        </row>
        <row r="75">
          <cell r="B75" t="str">
            <v>2022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Q1</v>
          </cell>
          <cell r="D76">
            <v>1838450.41</v>
          </cell>
          <cell r="F76">
            <v>0.95</v>
          </cell>
          <cell r="G76">
            <v>1838450.88</v>
          </cell>
          <cell r="H76">
            <v>328622.99</v>
          </cell>
          <cell r="I76">
            <v>150973.59</v>
          </cell>
        </row>
        <row r="77">
          <cell r="B77" t="str">
            <v>2022 Q2</v>
          </cell>
          <cell r="D77">
            <v>15168571.65</v>
          </cell>
          <cell r="F77">
            <v>0</v>
          </cell>
          <cell r="G77">
            <v>15168571.65</v>
          </cell>
          <cell r="H77">
            <v>2370089.31</v>
          </cell>
          <cell r="I77">
            <v>1279772.3799999999</v>
          </cell>
        </row>
        <row r="78">
          <cell r="B78" t="str">
            <v>2022 Q3</v>
          </cell>
          <cell r="D78">
            <v>6241531.1799999997</v>
          </cell>
          <cell r="F78">
            <v>0</v>
          </cell>
          <cell r="G78">
            <v>6241531.1799999997</v>
          </cell>
          <cell r="H78">
            <v>834804.79</v>
          </cell>
          <cell r="I78">
            <v>540641.43999999994</v>
          </cell>
        </row>
        <row r="79">
          <cell r="B79" t="str">
            <v>2022 Q4</v>
          </cell>
          <cell r="D79">
            <v>31712949.879999999</v>
          </cell>
          <cell r="F79">
            <v>0</v>
          </cell>
          <cell r="G79">
            <v>31712949.879999999</v>
          </cell>
          <cell r="H79">
            <v>3528065.68</v>
          </cell>
          <cell r="I79">
            <v>2818329.87</v>
          </cell>
        </row>
        <row r="80">
          <cell r="B80" t="str">
            <v>2023</v>
          </cell>
          <cell r="D80">
            <v>89391025.650000006</v>
          </cell>
          <cell r="F80">
            <v>-0.06</v>
          </cell>
          <cell r="G80">
            <v>89391025.620000005</v>
          </cell>
          <cell r="H80">
            <v>4469551.29</v>
          </cell>
          <cell r="I80">
            <v>8492147.4199999999</v>
          </cell>
        </row>
        <row r="81">
          <cell r="B81" t="str">
            <v>2024 Q1 Jan - Mar</v>
          </cell>
          <cell r="D81">
            <v>0</v>
          </cell>
          <cell r="F81">
            <v>13050455.859999999</v>
          </cell>
          <cell r="G81">
            <v>13050455.859999999</v>
          </cell>
          <cell r="H81">
            <v>0</v>
          </cell>
          <cell r="I81">
            <v>1141914.8799999999</v>
          </cell>
        </row>
        <row r="82">
          <cell r="B82" t="str">
            <v>2024 Q2 Apr - Jun</v>
          </cell>
          <cell r="D82">
            <v>0</v>
          </cell>
          <cell r="F82">
            <v>38295435.450000003</v>
          </cell>
          <cell r="G82">
            <v>38295435.450000003</v>
          </cell>
          <cell r="H82">
            <v>0</v>
          </cell>
          <cell r="I82">
            <v>2393464.7200000002</v>
          </cell>
        </row>
        <row r="83">
          <cell r="B83" t="str">
            <v>2024 Q3 Jul - Sep</v>
          </cell>
          <cell r="D83">
            <v>0</v>
          </cell>
          <cell r="F83">
            <v>11806611.52</v>
          </cell>
          <cell r="G83">
            <v>11806611.52</v>
          </cell>
          <cell r="H83">
            <v>0</v>
          </cell>
          <cell r="I83">
            <v>442747.93</v>
          </cell>
        </row>
        <row r="84">
          <cell r="B84" t="str">
            <v>2024 Q4 Oct - Dec</v>
          </cell>
          <cell r="D84">
            <v>0</v>
          </cell>
          <cell r="F84">
            <v>75702285.25</v>
          </cell>
          <cell r="G84">
            <v>75702285.25</v>
          </cell>
          <cell r="H84">
            <v>0</v>
          </cell>
          <cell r="I84">
            <v>946278.57</v>
          </cell>
        </row>
        <row r="85">
          <cell r="B85" t="str">
            <v>00.3: Land Improv</v>
          </cell>
          <cell r="D85">
            <v>144352528.77000001</v>
          </cell>
          <cell r="F85">
            <v>138854788.97</v>
          </cell>
          <cell r="G85">
            <v>283207317.29000002</v>
          </cell>
          <cell r="H85">
            <v>11531134.060000001</v>
          </cell>
          <cell r="I85">
            <v>18206270.800000001</v>
          </cell>
        </row>
        <row r="86">
          <cell r="B86" t="str">
            <v>2022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Q4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40.4: Railroad Track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2022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2022 Q1</v>
          </cell>
          <cell r="D91">
            <v>234405180.63999999</v>
          </cell>
          <cell r="F91">
            <v>-1490833.42</v>
          </cell>
          <cell r="G91">
            <v>233659763.94</v>
          </cell>
          <cell r="H91">
            <v>31808783.010000002</v>
          </cell>
          <cell r="I91">
            <v>15148162.5</v>
          </cell>
        </row>
        <row r="92">
          <cell r="B92" t="str">
            <v>2022 Q2</v>
          </cell>
          <cell r="D92">
            <v>244381134.19</v>
          </cell>
          <cell r="F92">
            <v>-1519907.67</v>
          </cell>
          <cell r="G92">
            <v>243621180.34999999</v>
          </cell>
          <cell r="H92">
            <v>28924951.02</v>
          </cell>
          <cell r="I92">
            <v>16108232.460000001</v>
          </cell>
        </row>
        <row r="93">
          <cell r="B93" t="str">
            <v>2022 Q3</v>
          </cell>
          <cell r="D93">
            <v>262731339.15000001</v>
          </cell>
          <cell r="F93">
            <v>-1620316.42</v>
          </cell>
          <cell r="G93">
            <v>261921180.94</v>
          </cell>
          <cell r="H93">
            <v>26541119.899999999</v>
          </cell>
          <cell r="I93">
            <v>17658726.02</v>
          </cell>
        </row>
        <row r="94">
          <cell r="B94" t="str">
            <v>2022 Q4</v>
          </cell>
          <cell r="D94">
            <v>283566350.36000001</v>
          </cell>
          <cell r="F94">
            <v>-1461200.6</v>
          </cell>
          <cell r="G94">
            <v>282835750.06999999</v>
          </cell>
          <cell r="H94">
            <v>23725996.510000002</v>
          </cell>
          <cell r="I94">
            <v>19439301.109999999</v>
          </cell>
        </row>
        <row r="95">
          <cell r="B95" t="str">
            <v>2023</v>
          </cell>
          <cell r="D95">
            <v>1376683703.25</v>
          </cell>
          <cell r="F95">
            <v>-6465207.5800000001</v>
          </cell>
          <cell r="G95">
            <v>1373451099.45</v>
          </cell>
          <cell r="H95">
            <v>51625638.869999997</v>
          </cell>
          <cell r="I95">
            <v>99149434.870000005</v>
          </cell>
        </row>
        <row r="96">
          <cell r="B96" t="str">
            <v>2024 Q1 Jan - Mar</v>
          </cell>
          <cell r="D96">
            <v>0</v>
          </cell>
          <cell r="F96">
            <v>386623153.29000002</v>
          </cell>
          <cell r="G96">
            <v>386623153.29000002</v>
          </cell>
          <cell r="H96">
            <v>0</v>
          </cell>
          <cell r="I96">
            <v>25370211.329999998</v>
          </cell>
        </row>
        <row r="97">
          <cell r="B97" t="str">
            <v>2024 Q2 Apr - Jun</v>
          </cell>
          <cell r="D97">
            <v>0</v>
          </cell>
          <cell r="F97">
            <v>407293025.19</v>
          </cell>
          <cell r="G97">
            <v>407293025.19</v>
          </cell>
          <cell r="H97">
            <v>0</v>
          </cell>
          <cell r="I97">
            <v>19089824.09</v>
          </cell>
        </row>
        <row r="98">
          <cell r="B98" t="str">
            <v>2024 Q3 Jul - Sep</v>
          </cell>
          <cell r="D98">
            <v>0</v>
          </cell>
          <cell r="F98">
            <v>428328059.44</v>
          </cell>
          <cell r="G98">
            <v>428328059.44</v>
          </cell>
          <cell r="H98">
            <v>0</v>
          </cell>
          <cell r="I98">
            <v>12044585.029999999</v>
          </cell>
        </row>
        <row r="99">
          <cell r="B99" t="str">
            <v>2024 Q4 Oct - Dec</v>
          </cell>
          <cell r="D99">
            <v>0</v>
          </cell>
          <cell r="F99">
            <v>459960826.58999997</v>
          </cell>
          <cell r="G99">
            <v>459960826.58999997</v>
          </cell>
          <cell r="H99">
            <v>0</v>
          </cell>
          <cell r="I99">
            <v>4309832.96</v>
          </cell>
        </row>
        <row r="100">
          <cell r="B100" t="str">
            <v>49.14: Trans &amp; Dist Plnt</v>
          </cell>
          <cell r="D100">
            <v>2401767707.5900002</v>
          </cell>
          <cell r="F100">
            <v>1669647598.8199999</v>
          </cell>
          <cell r="G100">
            <v>4077694039.2600002</v>
          </cell>
          <cell r="H100">
            <v>162626489.31</v>
          </cell>
          <cell r="I100">
            <v>228318310.37</v>
          </cell>
        </row>
        <row r="101">
          <cell r="B101" t="str">
            <v>2022</v>
          </cell>
          <cell r="D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2022 Q1</v>
          </cell>
          <cell r="D102">
            <v>47346638.770000003</v>
          </cell>
          <cell r="F102">
            <v>-70228.03</v>
          </cell>
          <cell r="G102">
            <v>47311524.759999998</v>
          </cell>
          <cell r="H102">
            <v>8463211.6799999997</v>
          </cell>
          <cell r="I102">
            <v>3885222.42</v>
          </cell>
        </row>
        <row r="103">
          <cell r="B103" t="str">
            <v>2022 Q2</v>
          </cell>
          <cell r="D103">
            <v>207503188.71000001</v>
          </cell>
          <cell r="F103">
            <v>-355713.26</v>
          </cell>
          <cell r="G103">
            <v>207325332.08000001</v>
          </cell>
          <cell r="H103">
            <v>32422373.210000001</v>
          </cell>
          <cell r="I103">
            <v>17492038.280000001</v>
          </cell>
        </row>
        <row r="104">
          <cell r="B104" t="str">
            <v>2022 Q3</v>
          </cell>
          <cell r="D104">
            <v>57062661.990000002</v>
          </cell>
          <cell r="F104">
            <v>-100191.48</v>
          </cell>
          <cell r="G104">
            <v>57012566.270000003</v>
          </cell>
          <cell r="H104">
            <v>7632131.0300000003</v>
          </cell>
          <cell r="I104">
            <v>4938428.5</v>
          </cell>
        </row>
        <row r="105">
          <cell r="B105" t="str">
            <v>2022 Q4</v>
          </cell>
          <cell r="D105">
            <v>475313105.88999999</v>
          </cell>
          <cell r="F105">
            <v>-803035.2</v>
          </cell>
          <cell r="G105">
            <v>474911588.27999997</v>
          </cell>
          <cell r="H105">
            <v>52878583.060000002</v>
          </cell>
          <cell r="I105">
            <v>42205392.859999999</v>
          </cell>
        </row>
        <row r="106">
          <cell r="B106" t="str">
            <v>2023</v>
          </cell>
          <cell r="D106">
            <v>1176655247.0599999</v>
          </cell>
          <cell r="F106">
            <v>-1623037.82</v>
          </cell>
          <cell r="G106">
            <v>1175843728.1500001</v>
          </cell>
          <cell r="H106">
            <v>58832762.350000001</v>
          </cell>
          <cell r="I106">
            <v>111705154.17</v>
          </cell>
        </row>
        <row r="107">
          <cell r="B107" t="str">
            <v>2024 Q1 Jan - Mar</v>
          </cell>
          <cell r="D107">
            <v>0</v>
          </cell>
          <cell r="F107">
            <v>145951897.19999999</v>
          </cell>
          <cell r="G107">
            <v>145951897.19999999</v>
          </cell>
          <cell r="H107">
            <v>0</v>
          </cell>
          <cell r="I107">
            <v>12770791.01</v>
          </cell>
        </row>
        <row r="108">
          <cell r="B108" t="str">
            <v>2024 Q2 Apr - Jun</v>
          </cell>
          <cell r="D108">
            <v>0</v>
          </cell>
          <cell r="F108">
            <v>572228901.82000005</v>
          </cell>
          <cell r="G108">
            <v>572228901.82000005</v>
          </cell>
          <cell r="H108">
            <v>0</v>
          </cell>
          <cell r="I108">
            <v>35764306.369999997</v>
          </cell>
        </row>
        <row r="109">
          <cell r="B109" t="str">
            <v>2024 Q3 Jul - Sep</v>
          </cell>
          <cell r="D109">
            <v>0</v>
          </cell>
          <cell r="F109">
            <v>118551755.37</v>
          </cell>
          <cell r="G109">
            <v>118551755.37</v>
          </cell>
          <cell r="H109">
            <v>0</v>
          </cell>
          <cell r="I109">
            <v>4445690.83</v>
          </cell>
        </row>
        <row r="110">
          <cell r="B110" t="str">
            <v>2024 Q4 Oct - Dec</v>
          </cell>
          <cell r="D110">
            <v>0</v>
          </cell>
          <cell r="F110">
            <v>886744483.58000004</v>
          </cell>
          <cell r="G110">
            <v>886744483.58000004</v>
          </cell>
          <cell r="H110">
            <v>0</v>
          </cell>
          <cell r="I110">
            <v>11084306.039999999</v>
          </cell>
        </row>
        <row r="111">
          <cell r="B111" t="str">
            <v>49.14A: Trans 4/05-1/11</v>
          </cell>
          <cell r="D111">
            <v>1963880842.4200001</v>
          </cell>
          <cell r="F111">
            <v>1720524832.1800001</v>
          </cell>
          <cell r="G111">
            <v>3685881777.5100002</v>
          </cell>
          <cell r="H111">
            <v>160229061.33000001</v>
          </cell>
          <cell r="I111">
            <v>244291330.47999999</v>
          </cell>
        </row>
        <row r="112">
          <cell r="B112" t="str">
            <v>2022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 t="str">
            <v>2022 Q1</v>
          </cell>
          <cell r="D113">
            <v>2689376.28</v>
          </cell>
          <cell r="F113">
            <v>-27203.1</v>
          </cell>
          <cell r="G113">
            <v>2675774.73</v>
          </cell>
          <cell r="H113">
            <v>681104.63</v>
          </cell>
          <cell r="I113">
            <v>288245.43</v>
          </cell>
        </row>
        <row r="114">
          <cell r="B114" t="str">
            <v>2022 Q2</v>
          </cell>
          <cell r="D114">
            <v>2761050.34</v>
          </cell>
          <cell r="F114">
            <v>-26153.32</v>
          </cell>
          <cell r="G114">
            <v>2747973.68</v>
          </cell>
          <cell r="H114">
            <v>595663.09</v>
          </cell>
          <cell r="I114">
            <v>300400.5</v>
          </cell>
        </row>
        <row r="115">
          <cell r="B115" t="str">
            <v>2022 Q3</v>
          </cell>
          <cell r="D115">
            <v>3918936.69</v>
          </cell>
          <cell r="F115">
            <v>-39557.64</v>
          </cell>
          <cell r="G115">
            <v>3899157.87</v>
          </cell>
          <cell r="H115">
            <v>749445.59</v>
          </cell>
          <cell r="I115">
            <v>455104.44</v>
          </cell>
        </row>
        <row r="116">
          <cell r="B116" t="str">
            <v>2022 Q4</v>
          </cell>
          <cell r="D116">
            <v>3387161.64</v>
          </cell>
          <cell r="F116">
            <v>-32082.04</v>
          </cell>
          <cell r="G116">
            <v>3371120.62</v>
          </cell>
          <cell r="H116">
            <v>527128.31000000006</v>
          </cell>
          <cell r="I116">
            <v>397818.22</v>
          </cell>
        </row>
        <row r="117">
          <cell r="B117" t="str">
            <v>2023</v>
          </cell>
          <cell r="D117">
            <v>18037992.940000001</v>
          </cell>
          <cell r="F117">
            <v>-327636.83</v>
          </cell>
          <cell r="G117">
            <v>17874174.52</v>
          </cell>
          <cell r="H117">
            <v>676424.74</v>
          </cell>
          <cell r="I117">
            <v>1290336.6599999999</v>
          </cell>
        </row>
        <row r="118">
          <cell r="B118" t="str">
            <v>2024 Q1 Jan - Mar</v>
          </cell>
          <cell r="D118">
            <v>0</v>
          </cell>
          <cell r="F118">
            <v>2690859.21</v>
          </cell>
          <cell r="G118">
            <v>2690859.21</v>
          </cell>
          <cell r="H118">
            <v>0</v>
          </cell>
          <cell r="I118">
            <v>176574.18</v>
          </cell>
        </row>
        <row r="119">
          <cell r="B119" t="str">
            <v>2024 Q2 Apr - Jun</v>
          </cell>
          <cell r="D119">
            <v>0</v>
          </cell>
          <cell r="F119">
            <v>5405270.7400000002</v>
          </cell>
          <cell r="G119">
            <v>5405270.7400000002</v>
          </cell>
          <cell r="H119">
            <v>0</v>
          </cell>
          <cell r="I119">
            <v>253345.05</v>
          </cell>
        </row>
        <row r="120">
          <cell r="B120" t="str">
            <v>2024 Q3 Jul - Sep</v>
          </cell>
          <cell r="D120">
            <v>0</v>
          </cell>
          <cell r="F120">
            <v>7113815.5700000003</v>
          </cell>
          <cell r="G120">
            <v>7113815.5700000003</v>
          </cell>
          <cell r="H120">
            <v>0</v>
          </cell>
          <cell r="I120">
            <v>200040.5</v>
          </cell>
        </row>
        <row r="121">
          <cell r="B121" t="str">
            <v>2024 Q4 Oct - Dec</v>
          </cell>
          <cell r="D121">
            <v>0</v>
          </cell>
          <cell r="F121">
            <v>6805528.1500000004</v>
          </cell>
          <cell r="G121">
            <v>6805528.1500000004</v>
          </cell>
          <cell r="H121">
            <v>0</v>
          </cell>
          <cell r="I121">
            <v>63767.8</v>
          </cell>
        </row>
        <row r="122">
          <cell r="B122" t="str">
            <v>49.14B: Meters</v>
          </cell>
          <cell r="D122">
            <v>30794517.890000001</v>
          </cell>
          <cell r="F122">
            <v>21562840.739999998</v>
          </cell>
          <cell r="G122">
            <v>52583675.090000004</v>
          </cell>
          <cell r="H122">
            <v>3229766.36</v>
          </cell>
          <cell r="I122">
            <v>3425632.78</v>
          </cell>
        </row>
        <row r="123">
          <cell r="B123" t="str">
            <v>2022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2022 Q1</v>
          </cell>
          <cell r="D124">
            <v>13951180.220000001</v>
          </cell>
          <cell r="F124">
            <v>-85783.12</v>
          </cell>
          <cell r="G124">
            <v>13908288.67</v>
          </cell>
          <cell r="H124">
            <v>3079742.57</v>
          </cell>
          <cell r="I124">
            <v>1333540.45</v>
          </cell>
        </row>
        <row r="125">
          <cell r="B125" t="str">
            <v>2022 Q2</v>
          </cell>
          <cell r="D125">
            <v>19563147.41</v>
          </cell>
          <cell r="F125">
            <v>-98811.76</v>
          </cell>
          <cell r="G125">
            <v>19513741.530000001</v>
          </cell>
          <cell r="H125">
            <v>3907199.46</v>
          </cell>
          <cell r="I125">
            <v>1995286.73</v>
          </cell>
        </row>
        <row r="126">
          <cell r="B126" t="str">
            <v>2022 Q3</v>
          </cell>
          <cell r="D126">
            <v>19727634.690000001</v>
          </cell>
          <cell r="F126">
            <v>-104057.03</v>
          </cell>
          <cell r="G126">
            <v>19675606.18</v>
          </cell>
          <cell r="H126">
            <v>3347474.92</v>
          </cell>
          <cell r="I126">
            <v>2065323.31</v>
          </cell>
        </row>
        <row r="127">
          <cell r="B127" t="str">
            <v>2022 Q4</v>
          </cell>
          <cell r="D127">
            <v>26968671.91</v>
          </cell>
          <cell r="F127">
            <v>-148498.47</v>
          </cell>
          <cell r="G127">
            <v>26894422.68</v>
          </cell>
          <cell r="H127">
            <v>3531270.08</v>
          </cell>
          <cell r="I127">
            <v>2720163.95</v>
          </cell>
        </row>
        <row r="128">
          <cell r="B128" t="str">
            <v>2023</v>
          </cell>
          <cell r="D128">
            <v>74399979.859999999</v>
          </cell>
          <cell r="F128">
            <v>-585338.24</v>
          </cell>
          <cell r="G128">
            <v>74107310.739999995</v>
          </cell>
          <cell r="H128">
            <v>7439997.9900000002</v>
          </cell>
          <cell r="I128">
            <v>13339315.93</v>
          </cell>
        </row>
        <row r="129">
          <cell r="B129" t="str">
            <v>2024 Q1 Jan - Mar</v>
          </cell>
          <cell r="D129">
            <v>0</v>
          </cell>
          <cell r="F129">
            <v>20069918.5</v>
          </cell>
          <cell r="G129">
            <v>20069918.5</v>
          </cell>
          <cell r="H129">
            <v>0</v>
          </cell>
          <cell r="I129">
            <v>3512235.74</v>
          </cell>
        </row>
        <row r="130">
          <cell r="B130" t="str">
            <v>2024 Q2 Apr - Jun</v>
          </cell>
          <cell r="D130">
            <v>0</v>
          </cell>
          <cell r="F130">
            <v>20361150.18</v>
          </cell>
          <cell r="G130">
            <v>20361150.18</v>
          </cell>
          <cell r="H130">
            <v>0</v>
          </cell>
          <cell r="I130">
            <v>2545143.7599999998</v>
          </cell>
        </row>
        <row r="131">
          <cell r="B131" t="str">
            <v>2024 Q3 Jul - Sep</v>
          </cell>
          <cell r="D131">
            <v>0</v>
          </cell>
          <cell r="F131">
            <v>21977983.73</v>
          </cell>
          <cell r="G131">
            <v>21977983.73</v>
          </cell>
          <cell r="H131">
            <v>0</v>
          </cell>
          <cell r="I131">
            <v>1648348.78</v>
          </cell>
        </row>
        <row r="132">
          <cell r="B132" t="str">
            <v>2024 Q4 Oct - Dec</v>
          </cell>
          <cell r="D132">
            <v>0</v>
          </cell>
          <cell r="F132">
            <v>15375622.82</v>
          </cell>
          <cell r="G132">
            <v>15375622.82</v>
          </cell>
          <cell r="H132">
            <v>0</v>
          </cell>
          <cell r="I132">
            <v>384390.57</v>
          </cell>
        </row>
        <row r="133">
          <cell r="B133" t="str">
            <v>49.14C: Smart Meters</v>
          </cell>
          <cell r="D133">
            <v>154610614.09</v>
          </cell>
          <cell r="F133">
            <v>76762186.609999999</v>
          </cell>
          <cell r="G133">
            <v>231884045.03</v>
          </cell>
          <cell r="H133">
            <v>21305685.02</v>
          </cell>
          <cell r="I133">
            <v>29543749.219999999</v>
          </cell>
        </row>
        <row r="134">
          <cell r="B134" t="str">
            <v>2022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 t="str">
            <v>2022 Q1</v>
          </cell>
          <cell r="D135">
            <v>8671115.6699999999</v>
          </cell>
          <cell r="F135">
            <v>-91970.7</v>
          </cell>
          <cell r="G135">
            <v>8625130.3200000003</v>
          </cell>
          <cell r="H135">
            <v>1176670.3899999999</v>
          </cell>
          <cell r="I135">
            <v>559167.19999999995</v>
          </cell>
        </row>
        <row r="136">
          <cell r="B136" t="str">
            <v>2022 Q2</v>
          </cell>
          <cell r="D136">
            <v>8276962.1600000001</v>
          </cell>
          <cell r="F136">
            <v>-87790.1</v>
          </cell>
          <cell r="G136">
            <v>8233067.1100000003</v>
          </cell>
          <cell r="H136">
            <v>979661.24</v>
          </cell>
          <cell r="I136">
            <v>544370.4</v>
          </cell>
        </row>
        <row r="137">
          <cell r="B137" t="str">
            <v>2022 Q3</v>
          </cell>
          <cell r="D137">
            <v>8074511.5899999999</v>
          </cell>
          <cell r="F137">
            <v>-85642.79</v>
          </cell>
          <cell r="G137">
            <v>8031690.1900000004</v>
          </cell>
          <cell r="H137">
            <v>815687.17</v>
          </cell>
          <cell r="I137">
            <v>541496.55000000005</v>
          </cell>
        </row>
        <row r="138">
          <cell r="B138" t="str">
            <v>2022 Q4</v>
          </cell>
          <cell r="D138">
            <v>7192184.9900000002</v>
          </cell>
          <cell r="F138">
            <v>-76284.34</v>
          </cell>
          <cell r="G138">
            <v>7154042.8200000003</v>
          </cell>
          <cell r="H138">
            <v>601770.11</v>
          </cell>
          <cell r="I138">
            <v>491697.36</v>
          </cell>
        </row>
        <row r="139">
          <cell r="B139" t="str">
            <v>2023</v>
          </cell>
          <cell r="D139">
            <v>46437304.670000002</v>
          </cell>
          <cell r="F139">
            <v>-675134.84</v>
          </cell>
          <cell r="G139">
            <v>46099737.25</v>
          </cell>
          <cell r="H139">
            <v>6634033.3499999996</v>
          </cell>
          <cell r="I139">
            <v>11289825.65</v>
          </cell>
        </row>
        <row r="140">
          <cell r="B140" t="str">
            <v>2024 Q1 Jan - Mar</v>
          </cell>
          <cell r="D140">
            <v>0</v>
          </cell>
          <cell r="F140">
            <v>11120327.23</v>
          </cell>
          <cell r="G140">
            <v>11120327.23</v>
          </cell>
          <cell r="H140">
            <v>0</v>
          </cell>
          <cell r="I140">
            <v>2780081.81</v>
          </cell>
        </row>
        <row r="141">
          <cell r="B141" t="str">
            <v>2024 Q2 Apr - Jun</v>
          </cell>
          <cell r="D141">
            <v>0</v>
          </cell>
          <cell r="F141">
            <v>12571481.779999999</v>
          </cell>
          <cell r="G141">
            <v>12571481.779999999</v>
          </cell>
          <cell r="H141">
            <v>0</v>
          </cell>
          <cell r="I141">
            <v>2244889.5</v>
          </cell>
        </row>
        <row r="142">
          <cell r="B142" t="str">
            <v>2024 Q3 Jul - Sep</v>
          </cell>
          <cell r="D142">
            <v>0</v>
          </cell>
          <cell r="F142">
            <v>14152191.550000001</v>
          </cell>
          <cell r="G142">
            <v>14152191.550000001</v>
          </cell>
          <cell r="H142">
            <v>0</v>
          </cell>
          <cell r="I142">
            <v>1516265.8</v>
          </cell>
        </row>
        <row r="143">
          <cell r="B143" t="str">
            <v>2024 Q4 Oct - Dec</v>
          </cell>
          <cell r="D143">
            <v>0</v>
          </cell>
          <cell r="F143">
            <v>14055077.869999999</v>
          </cell>
          <cell r="G143">
            <v>14055077.869999999</v>
          </cell>
          <cell r="H143">
            <v>0</v>
          </cell>
          <cell r="I143">
            <v>501906.83</v>
          </cell>
        </row>
        <row r="144">
          <cell r="B144" t="str">
            <v>49.14D Street Lighting</v>
          </cell>
          <cell r="D144">
            <v>78652079.079999998</v>
          </cell>
          <cell r="F144">
            <v>50882255.659999996</v>
          </cell>
          <cell r="G144">
            <v>130042746.12</v>
          </cell>
          <cell r="H144">
            <v>10207822.26</v>
          </cell>
          <cell r="I144">
            <v>20469701.100000001</v>
          </cell>
        </row>
        <row r="145">
          <cell r="B145" t="str">
            <v>2022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B146" t="str">
            <v>2022 Q1</v>
          </cell>
          <cell r="D146">
            <v>965957.83</v>
          </cell>
          <cell r="F146">
            <v>0</v>
          </cell>
          <cell r="G146">
            <v>965957.83</v>
          </cell>
          <cell r="H146">
            <v>589234.25</v>
          </cell>
          <cell r="I146">
            <v>150689.43</v>
          </cell>
        </row>
        <row r="147">
          <cell r="B147" t="str">
            <v>2022 Q2</v>
          </cell>
          <cell r="D147">
            <v>1705264.66</v>
          </cell>
          <cell r="F147">
            <v>0</v>
          </cell>
          <cell r="G147">
            <v>1705264.66</v>
          </cell>
          <cell r="H147">
            <v>937895.59</v>
          </cell>
          <cell r="I147">
            <v>306947.65000000002</v>
          </cell>
        </row>
        <row r="148">
          <cell r="B148" t="str">
            <v>2022 Q3</v>
          </cell>
          <cell r="D148">
            <v>888807.09</v>
          </cell>
          <cell r="F148">
            <v>0</v>
          </cell>
          <cell r="G148">
            <v>888807.09</v>
          </cell>
          <cell r="H148">
            <v>435515.49</v>
          </cell>
          <cell r="I148">
            <v>181316.65</v>
          </cell>
        </row>
        <row r="149">
          <cell r="B149" t="str">
            <v>2022 Q4</v>
          </cell>
          <cell r="D149">
            <v>4859802.93</v>
          </cell>
          <cell r="F149">
            <v>0</v>
          </cell>
          <cell r="G149">
            <v>4859802.93</v>
          </cell>
          <cell r="H149">
            <v>2089715.27</v>
          </cell>
          <cell r="I149">
            <v>1108035.05</v>
          </cell>
        </row>
        <row r="150">
          <cell r="B150" t="str">
            <v>2023</v>
          </cell>
          <cell r="D150">
            <v>6376577.71</v>
          </cell>
          <cell r="F150">
            <v>0</v>
          </cell>
          <cell r="G150">
            <v>6376577.71</v>
          </cell>
          <cell r="H150">
            <v>1275315.55</v>
          </cell>
          <cell r="I150">
            <v>2040504.85</v>
          </cell>
        </row>
        <row r="151">
          <cell r="B151" t="str">
            <v>2024 Q1 Jan - Mar</v>
          </cell>
          <cell r="D151">
            <v>0</v>
          </cell>
          <cell r="F151">
            <v>380027.46</v>
          </cell>
          <cell r="G151">
            <v>380027.46</v>
          </cell>
          <cell r="H151">
            <v>0</v>
          </cell>
          <cell r="I151">
            <v>133009.60999999999</v>
          </cell>
        </row>
        <row r="152">
          <cell r="B152" t="str">
            <v>2024 Q2 Apr - Jun</v>
          </cell>
          <cell r="D152">
            <v>0</v>
          </cell>
          <cell r="F152">
            <v>1725906.38</v>
          </cell>
          <cell r="G152">
            <v>1725906.38</v>
          </cell>
          <cell r="H152">
            <v>0</v>
          </cell>
          <cell r="I152">
            <v>431476.59</v>
          </cell>
        </row>
        <row r="153">
          <cell r="B153" t="str">
            <v>2024 Q3 Jul - Sep</v>
          </cell>
          <cell r="D153">
            <v>0</v>
          </cell>
          <cell r="F153">
            <v>1932637.37</v>
          </cell>
          <cell r="G153">
            <v>1932637.37</v>
          </cell>
          <cell r="H153">
            <v>0</v>
          </cell>
          <cell r="I153">
            <v>289895.63</v>
          </cell>
        </row>
        <row r="154">
          <cell r="B154" t="str">
            <v>2024 Q4 Oct - Dec</v>
          </cell>
          <cell r="D154">
            <v>0</v>
          </cell>
          <cell r="F154">
            <v>2632807.2400000002</v>
          </cell>
          <cell r="G154">
            <v>2632807.2400000002</v>
          </cell>
          <cell r="H154">
            <v>0</v>
          </cell>
          <cell r="I154">
            <v>131640.37</v>
          </cell>
        </row>
        <row r="155">
          <cell r="B155" t="str">
            <v>57.0: Distr Trades Serv</v>
          </cell>
          <cell r="D155">
            <v>14796410.220000001</v>
          </cell>
          <cell r="F155">
            <v>6671378.4500000002</v>
          </cell>
          <cell r="G155">
            <v>21467788.670000002</v>
          </cell>
          <cell r="H155">
            <v>5327676.1500000004</v>
          </cell>
          <cell r="I155">
            <v>4773515.83</v>
          </cell>
        </row>
        <row r="156">
          <cell r="B156" t="str">
            <v>2022</v>
          </cell>
          <cell r="D156">
            <v>627.85</v>
          </cell>
          <cell r="F156">
            <v>0</v>
          </cell>
          <cell r="G156">
            <v>627.85</v>
          </cell>
          <cell r="H156">
            <v>28.85</v>
          </cell>
          <cell r="I156">
            <v>16.100000000000001</v>
          </cell>
        </row>
        <row r="157">
          <cell r="B157" t="str">
            <v>2022 Q1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 t="str">
            <v>2023</v>
          </cell>
          <cell r="D158">
            <v>96757.1</v>
          </cell>
          <cell r="F158">
            <v>0</v>
          </cell>
          <cell r="G158">
            <v>96757.1</v>
          </cell>
          <cell r="H158">
            <v>1757.11</v>
          </cell>
          <cell r="I158">
            <v>2480.85</v>
          </cell>
        </row>
        <row r="159">
          <cell r="B159" t="str">
            <v>2024</v>
          </cell>
          <cell r="D159">
            <v>0</v>
          </cell>
          <cell r="F159">
            <v>401497.08</v>
          </cell>
          <cell r="G159">
            <v>401497.08</v>
          </cell>
          <cell r="H159">
            <v>0</v>
          </cell>
          <cell r="I159">
            <v>4717.59</v>
          </cell>
        </row>
        <row r="160">
          <cell r="B160" t="str">
            <v>LH: LH Improv</v>
          </cell>
          <cell r="D160">
            <v>97384.95</v>
          </cell>
          <cell r="F160">
            <v>401497.08</v>
          </cell>
          <cell r="G160">
            <v>498882.03</v>
          </cell>
          <cell r="H160">
            <v>1785.96</v>
          </cell>
          <cell r="I160">
            <v>7214.54</v>
          </cell>
        </row>
        <row r="161">
          <cell r="B161" t="str">
            <v>2022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2022 Q1</v>
          </cell>
          <cell r="D162">
            <v>187545.29</v>
          </cell>
          <cell r="F162">
            <v>0</v>
          </cell>
          <cell r="G162">
            <v>187545.29</v>
          </cell>
          <cell r="H162">
            <v>22061.08</v>
          </cell>
          <cell r="I162">
            <v>10742.09</v>
          </cell>
        </row>
        <row r="163">
          <cell r="B163" t="str">
            <v>2022 Q2</v>
          </cell>
          <cell r="D163">
            <v>1339540.33</v>
          </cell>
          <cell r="F163">
            <v>0</v>
          </cell>
          <cell r="G163">
            <v>1339540.33</v>
          </cell>
          <cell r="H163">
            <v>47076.81</v>
          </cell>
          <cell r="I163">
            <v>30878.38</v>
          </cell>
        </row>
        <row r="164">
          <cell r="B164" t="str">
            <v>2022 Q3</v>
          </cell>
          <cell r="D164">
            <v>247907.16</v>
          </cell>
          <cell r="F164">
            <v>0</v>
          </cell>
          <cell r="G164">
            <v>247907.16</v>
          </cell>
          <cell r="H164">
            <v>23474.799999999999</v>
          </cell>
          <cell r="I164">
            <v>15666.36</v>
          </cell>
        </row>
        <row r="165">
          <cell r="B165" t="str">
            <v>2022 Q4</v>
          </cell>
          <cell r="D165">
            <v>21393643.960000001</v>
          </cell>
          <cell r="F165">
            <v>0</v>
          </cell>
          <cell r="G165">
            <v>21393643.960000001</v>
          </cell>
          <cell r="H165">
            <v>699770.32</v>
          </cell>
          <cell r="I165">
            <v>467052.14</v>
          </cell>
        </row>
        <row r="166">
          <cell r="B166" t="str">
            <v>2023</v>
          </cell>
          <cell r="D166">
            <v>9385445.5800000001</v>
          </cell>
          <cell r="F166">
            <v>0</v>
          </cell>
          <cell r="G166">
            <v>9385445.5800000001</v>
          </cell>
          <cell r="H166">
            <v>102019.79</v>
          </cell>
          <cell r="I166">
            <v>204039.58</v>
          </cell>
        </row>
        <row r="167">
          <cell r="B167" t="str">
            <v>2024 Q1 Jan - Mar</v>
          </cell>
          <cell r="D167">
            <v>0</v>
          </cell>
          <cell r="F167">
            <v>-175429.61</v>
          </cell>
          <cell r="G167">
            <v>-175429.61</v>
          </cell>
          <cell r="H167">
            <v>0</v>
          </cell>
          <cell r="I167">
            <v>-3336.67</v>
          </cell>
        </row>
        <row r="168">
          <cell r="B168" t="str">
            <v>2024 Q2 Apr - Jun</v>
          </cell>
          <cell r="D168">
            <v>0</v>
          </cell>
          <cell r="F168">
            <v>26191730.420000002</v>
          </cell>
          <cell r="G168">
            <v>26191730.420000002</v>
          </cell>
          <cell r="H168">
            <v>0</v>
          </cell>
          <cell r="I168">
            <v>355945.62</v>
          </cell>
        </row>
        <row r="169">
          <cell r="B169" t="str">
            <v>2024 Q3 Jul - Sep</v>
          </cell>
          <cell r="D169">
            <v>0</v>
          </cell>
          <cell r="F169">
            <v>2546666.63</v>
          </cell>
          <cell r="G169">
            <v>2546666.63</v>
          </cell>
          <cell r="H169">
            <v>0</v>
          </cell>
          <cell r="I169">
            <v>20755.330000000002</v>
          </cell>
        </row>
        <row r="170">
          <cell r="B170" t="str">
            <v>2024 Q4 Oct - Dec</v>
          </cell>
          <cell r="D170">
            <v>0</v>
          </cell>
          <cell r="F170">
            <v>-10765980.619999999</v>
          </cell>
          <cell r="G170">
            <v>-10765980.619999999</v>
          </cell>
          <cell r="H170">
            <v>0</v>
          </cell>
          <cell r="I170">
            <v>-29283.47</v>
          </cell>
        </row>
        <row r="171">
          <cell r="B171" t="str">
            <v>LR46: Easements 46 Yr</v>
          </cell>
          <cell r="D171">
            <v>32554082.32</v>
          </cell>
          <cell r="F171">
            <v>17796986.82</v>
          </cell>
          <cell r="G171">
            <v>50351069.140000001</v>
          </cell>
          <cell r="H171">
            <v>894402.8</v>
          </cell>
          <cell r="I171">
            <v>1072459.3600000001</v>
          </cell>
        </row>
        <row r="172">
          <cell r="B172" t="str">
            <v>2022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 t="str">
            <v>2022 Q1</v>
          </cell>
          <cell r="D173">
            <v>1089494.81</v>
          </cell>
          <cell r="F173">
            <v>0</v>
          </cell>
          <cell r="G173">
            <v>1089494.81</v>
          </cell>
          <cell r="H173">
            <v>194747.2</v>
          </cell>
          <cell r="I173">
            <v>89469.31</v>
          </cell>
        </row>
        <row r="174">
          <cell r="B174" t="str">
            <v>2022 Q2</v>
          </cell>
          <cell r="D174">
            <v>1586911.55</v>
          </cell>
          <cell r="F174">
            <v>0</v>
          </cell>
          <cell r="G174">
            <v>1586911.55</v>
          </cell>
          <cell r="H174">
            <v>247954.93</v>
          </cell>
          <cell r="I174">
            <v>133887.73000000001</v>
          </cell>
        </row>
        <row r="175">
          <cell r="B175" t="str">
            <v>2022 Q3</v>
          </cell>
          <cell r="D175">
            <v>4304538.1900000004</v>
          </cell>
          <cell r="F175">
            <v>0</v>
          </cell>
          <cell r="G175">
            <v>4304538.1900000004</v>
          </cell>
          <cell r="H175">
            <v>575731.98</v>
          </cell>
          <cell r="I175">
            <v>372859.1</v>
          </cell>
        </row>
        <row r="176">
          <cell r="B176" t="str">
            <v>2022 Q4</v>
          </cell>
          <cell r="D176">
            <v>11478090.02</v>
          </cell>
          <cell r="F176">
            <v>0</v>
          </cell>
          <cell r="G176">
            <v>11478090.02</v>
          </cell>
          <cell r="H176">
            <v>1276937.52</v>
          </cell>
          <cell r="I176">
            <v>1020057.86</v>
          </cell>
        </row>
        <row r="177">
          <cell r="B177" t="str">
            <v>2023</v>
          </cell>
          <cell r="D177">
            <v>12247564.35</v>
          </cell>
          <cell r="F177">
            <v>0</v>
          </cell>
          <cell r="G177">
            <v>12247564.35</v>
          </cell>
          <cell r="H177">
            <v>72873.009999999995</v>
          </cell>
          <cell r="I177">
            <v>145868.49</v>
          </cell>
        </row>
        <row r="178">
          <cell r="B178" t="str">
            <v>2024 Q1 Jan - Mar</v>
          </cell>
          <cell r="D178">
            <v>0</v>
          </cell>
          <cell r="F178">
            <v>364347.14</v>
          </cell>
          <cell r="G178">
            <v>364347.14</v>
          </cell>
          <cell r="H178">
            <v>0</v>
          </cell>
          <cell r="I178">
            <v>3796.5</v>
          </cell>
        </row>
        <row r="179">
          <cell r="B179" t="str">
            <v>2024 Q2 Apr - Jun</v>
          </cell>
          <cell r="D179">
            <v>0</v>
          </cell>
          <cell r="F179">
            <v>750184.5</v>
          </cell>
          <cell r="G179">
            <v>750184.5</v>
          </cell>
          <cell r="H179">
            <v>0</v>
          </cell>
          <cell r="I179">
            <v>5581.37</v>
          </cell>
        </row>
        <row r="180">
          <cell r="B180" t="str">
            <v>2024 Q3 Jul - Sep</v>
          </cell>
          <cell r="D180">
            <v>0</v>
          </cell>
          <cell r="F180">
            <v>159054.56</v>
          </cell>
          <cell r="G180">
            <v>159054.56</v>
          </cell>
          <cell r="H180">
            <v>0</v>
          </cell>
          <cell r="I180">
            <v>709.38</v>
          </cell>
        </row>
        <row r="181">
          <cell r="B181" t="str">
            <v>2024 Q4 Oct - Dec</v>
          </cell>
          <cell r="D181">
            <v>0</v>
          </cell>
          <cell r="F181">
            <v>17664774.25</v>
          </cell>
          <cell r="G181">
            <v>17664774.25</v>
          </cell>
          <cell r="H181">
            <v>0</v>
          </cell>
          <cell r="I181">
            <v>26320.51</v>
          </cell>
        </row>
        <row r="182">
          <cell r="B182" t="str">
            <v>LR84: Easements 84 Yr</v>
          </cell>
          <cell r="D182">
            <v>30706598.920000002</v>
          </cell>
          <cell r="F182">
            <v>18938360.449999999</v>
          </cell>
          <cell r="G182">
            <v>49644959.369999997</v>
          </cell>
          <cell r="H182">
            <v>2368244.64</v>
          </cell>
          <cell r="I182">
            <v>1798550.25</v>
          </cell>
        </row>
        <row r="183">
          <cell r="B183" t="str">
            <v>2022</v>
          </cell>
          <cell r="D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 t="str">
            <v>2022 Q1</v>
          </cell>
          <cell r="D184">
            <v>1362467.49</v>
          </cell>
          <cell r="F184">
            <v>-41456.21</v>
          </cell>
          <cell r="G184">
            <v>1341739.3799999999</v>
          </cell>
          <cell r="H184">
            <v>0</v>
          </cell>
          <cell r="I184">
            <v>0</v>
          </cell>
        </row>
        <row r="185">
          <cell r="B185" t="str">
            <v>2022 Q2</v>
          </cell>
          <cell r="D185">
            <v>23533802.559999999</v>
          </cell>
          <cell r="F185">
            <v>-1077724.95</v>
          </cell>
          <cell r="G185">
            <v>22994940.09</v>
          </cell>
          <cell r="H185">
            <v>0</v>
          </cell>
          <cell r="I185">
            <v>0</v>
          </cell>
        </row>
        <row r="186">
          <cell r="B186" t="str">
            <v>2022 Q3</v>
          </cell>
          <cell r="D186">
            <v>2963648.77</v>
          </cell>
          <cell r="F186">
            <v>-50649.17</v>
          </cell>
          <cell r="G186">
            <v>2938324.18</v>
          </cell>
          <cell r="H186">
            <v>0</v>
          </cell>
          <cell r="I186">
            <v>0</v>
          </cell>
        </row>
        <row r="187">
          <cell r="B187" t="str">
            <v>2022 Q4</v>
          </cell>
          <cell r="D187">
            <v>16507731.890000001</v>
          </cell>
          <cell r="F187">
            <v>-198261.82</v>
          </cell>
          <cell r="G187">
            <v>16408600.970000001</v>
          </cell>
          <cell r="H187">
            <v>0</v>
          </cell>
          <cell r="I187">
            <v>0</v>
          </cell>
        </row>
        <row r="188">
          <cell r="B188" t="str">
            <v>2023</v>
          </cell>
          <cell r="D188">
            <v>42579588.859999999</v>
          </cell>
          <cell r="F188">
            <v>0</v>
          </cell>
          <cell r="G188">
            <v>42579588.859999999</v>
          </cell>
          <cell r="H188">
            <v>0</v>
          </cell>
          <cell r="I188">
            <v>0</v>
          </cell>
        </row>
        <row r="189">
          <cell r="B189" t="str">
            <v>2024 Q1 Jan - Mar</v>
          </cell>
          <cell r="D189">
            <v>0</v>
          </cell>
          <cell r="F189">
            <v>6218234.3300000001</v>
          </cell>
          <cell r="G189">
            <v>6218234.3300000001</v>
          </cell>
          <cell r="H189">
            <v>0</v>
          </cell>
          <cell r="I189">
            <v>0</v>
          </cell>
        </row>
        <row r="190">
          <cell r="B190" t="str">
            <v>2024 Q2 Apr - Jun</v>
          </cell>
          <cell r="D190">
            <v>0</v>
          </cell>
          <cell r="F190">
            <v>-17809119.620000001</v>
          </cell>
          <cell r="G190">
            <v>-17809119.620000001</v>
          </cell>
          <cell r="H190">
            <v>0</v>
          </cell>
          <cell r="I190">
            <v>0</v>
          </cell>
        </row>
        <row r="191">
          <cell r="B191" t="str">
            <v>2024 Q3 Jul - Sep</v>
          </cell>
          <cell r="D191">
            <v>0</v>
          </cell>
          <cell r="F191">
            <v>10770606.07</v>
          </cell>
          <cell r="G191">
            <v>10770606.07</v>
          </cell>
          <cell r="H191">
            <v>0</v>
          </cell>
          <cell r="I191">
            <v>0</v>
          </cell>
        </row>
        <row r="192">
          <cell r="B192" t="str">
            <v>2024 Q4 Oct - Dec</v>
          </cell>
          <cell r="D192">
            <v>0</v>
          </cell>
          <cell r="F192">
            <v>5308793.59</v>
          </cell>
          <cell r="G192">
            <v>5308793.59</v>
          </cell>
          <cell r="H192">
            <v>0</v>
          </cell>
          <cell r="I192">
            <v>0</v>
          </cell>
        </row>
        <row r="193">
          <cell r="B193" t="str">
            <v>ND: Non Depr</v>
          </cell>
          <cell r="D193">
            <v>86947239.569999993</v>
          </cell>
          <cell r="F193">
            <v>3120422.22</v>
          </cell>
          <cell r="G193">
            <v>90751707.849999994</v>
          </cell>
          <cell r="H193">
            <v>0</v>
          </cell>
          <cell r="I193">
            <v>0</v>
          </cell>
        </row>
        <row r="194">
          <cell r="B194" t="str">
            <v>2022</v>
          </cell>
          <cell r="D194">
            <v>58823486.259999998</v>
          </cell>
          <cell r="F194">
            <v>-6781.22</v>
          </cell>
          <cell r="G194">
            <v>58820095.649999999</v>
          </cell>
          <cell r="H194">
            <v>1729672.87</v>
          </cell>
          <cell r="I194">
            <v>1508147.22</v>
          </cell>
        </row>
        <row r="195">
          <cell r="B195" t="str">
            <v>2022 Q1</v>
          </cell>
          <cell r="D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B196" t="str">
            <v>2023</v>
          </cell>
          <cell r="D196">
            <v>79021989.170000002</v>
          </cell>
          <cell r="F196">
            <v>-8.67</v>
          </cell>
          <cell r="G196">
            <v>79021984.829999998</v>
          </cell>
          <cell r="H196">
            <v>761722.43</v>
          </cell>
          <cell r="I196">
            <v>2026123.68</v>
          </cell>
        </row>
        <row r="197">
          <cell r="B197" t="str">
            <v>2024</v>
          </cell>
          <cell r="D197">
            <v>0</v>
          </cell>
          <cell r="F197">
            <v>108578067.59</v>
          </cell>
          <cell r="G197">
            <v>108578067.59</v>
          </cell>
          <cell r="H197">
            <v>0</v>
          </cell>
          <cell r="I197">
            <v>662106.74</v>
          </cell>
        </row>
        <row r="198">
          <cell r="B198" t="str">
            <v>RP: RP 81-86 &amp; Post92</v>
          </cell>
          <cell r="D198">
            <v>137845475.43000001</v>
          </cell>
          <cell r="F198">
            <v>108571277.7</v>
          </cell>
          <cell r="G198">
            <v>246420148.06999999</v>
          </cell>
          <cell r="H198">
            <v>2491395.2999999998</v>
          </cell>
          <cell r="I198">
            <v>4196377.6399999997</v>
          </cell>
        </row>
        <row r="199">
          <cell r="B199" t="str">
            <v>COR</v>
          </cell>
          <cell r="D199">
            <v>0.05</v>
          </cell>
          <cell r="F199">
            <v>0</v>
          </cell>
          <cell r="G199">
            <v>0.05</v>
          </cell>
          <cell r="H199">
            <v>0.05</v>
          </cell>
          <cell r="I199">
            <v>0</v>
          </cell>
        </row>
        <row r="200">
          <cell r="B200" t="str">
            <v>RSG 2023</v>
          </cell>
          <cell r="D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 t="str">
            <v>Unclassified</v>
          </cell>
          <cell r="D201">
            <v>0.05</v>
          </cell>
          <cell r="F201">
            <v>0</v>
          </cell>
          <cell r="G201">
            <v>0.05</v>
          </cell>
          <cell r="H201">
            <v>0.05</v>
          </cell>
          <cell r="I201">
            <v>0</v>
          </cell>
        </row>
        <row r="202">
          <cell r="D202">
            <v>5122221011.6499996</v>
          </cell>
          <cell r="F202">
            <v>3862709399.4000001</v>
          </cell>
          <cell r="G202">
            <v>8994618659.5300007</v>
          </cell>
          <cell r="H202">
            <v>396563049.38999999</v>
          </cell>
          <cell r="I202">
            <v>569957757.83000004</v>
          </cell>
        </row>
      </sheetData>
      <sheetData sheetId="12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1182586.73</v>
          </cell>
          <cell r="F6">
            <v>0</v>
          </cell>
          <cell r="G6">
            <v>1182586.73</v>
          </cell>
          <cell r="H6">
            <v>730069.9</v>
          </cell>
          <cell r="I6">
            <v>129292.21</v>
          </cell>
        </row>
        <row r="7">
          <cell r="B7" t="str">
            <v>2022 Q2</v>
          </cell>
          <cell r="D7">
            <v>211854.8</v>
          </cell>
          <cell r="F7">
            <v>0</v>
          </cell>
          <cell r="G7">
            <v>211854.8</v>
          </cell>
          <cell r="H7">
            <v>123066.44</v>
          </cell>
          <cell r="I7">
            <v>25369.61</v>
          </cell>
        </row>
        <row r="8">
          <cell r="B8" t="str">
            <v>2022 Q3</v>
          </cell>
          <cell r="D8">
            <v>344137.56</v>
          </cell>
          <cell r="F8">
            <v>0</v>
          </cell>
          <cell r="G8">
            <v>344137.56</v>
          </cell>
          <cell r="H8">
            <v>187369.15</v>
          </cell>
          <cell r="I8">
            <v>44789.51</v>
          </cell>
        </row>
        <row r="9">
          <cell r="B9" t="str">
            <v>2022 Q4</v>
          </cell>
          <cell r="D9">
            <v>2954138.55</v>
          </cell>
          <cell r="F9">
            <v>0</v>
          </cell>
          <cell r="G9">
            <v>2954138.55</v>
          </cell>
          <cell r="H9">
            <v>1500761.45</v>
          </cell>
          <cell r="I9">
            <v>415233.71</v>
          </cell>
        </row>
        <row r="10">
          <cell r="B10" t="str">
            <v>2023</v>
          </cell>
          <cell r="D10">
            <v>1238582.9099999999</v>
          </cell>
          <cell r="F10">
            <v>0</v>
          </cell>
          <cell r="G10">
            <v>1238582.9099999999</v>
          </cell>
          <cell r="H10">
            <v>480272.9</v>
          </cell>
          <cell r="I10">
            <v>216652.91</v>
          </cell>
        </row>
        <row r="11">
          <cell r="B11" t="str">
            <v>2024 Q1 Jan - Mar</v>
          </cell>
          <cell r="D11">
            <v>18975.5</v>
          </cell>
          <cell r="F11">
            <v>0</v>
          </cell>
          <cell r="G11">
            <v>18975.5</v>
          </cell>
          <cell r="H11">
            <v>4743.88</v>
          </cell>
          <cell r="I11">
            <v>4066.25</v>
          </cell>
        </row>
        <row r="12">
          <cell r="B12" t="str">
            <v>2024 Q2 Apr - Jun</v>
          </cell>
          <cell r="D12">
            <v>295722.03000000003</v>
          </cell>
          <cell r="F12">
            <v>0</v>
          </cell>
          <cell r="G12">
            <v>295722.03000000003</v>
          </cell>
          <cell r="H12">
            <v>52807.08</v>
          </cell>
          <cell r="I12">
            <v>69405.95</v>
          </cell>
        </row>
        <row r="13">
          <cell r="B13" t="str">
            <v>2024 Q3 Jul - Sep</v>
          </cell>
          <cell r="D13">
            <v>1146278.79</v>
          </cell>
          <cell r="F13">
            <v>0</v>
          </cell>
          <cell r="G13">
            <v>1146278.79</v>
          </cell>
          <cell r="H13">
            <v>122812.3</v>
          </cell>
          <cell r="I13">
            <v>292415.73</v>
          </cell>
        </row>
        <row r="14">
          <cell r="B14" t="str">
            <v>2024 Q4 Oct - Dec</v>
          </cell>
          <cell r="D14">
            <v>2528775.2000000002</v>
          </cell>
          <cell r="F14">
            <v>0</v>
          </cell>
          <cell r="G14">
            <v>2528775.2000000002</v>
          </cell>
          <cell r="H14">
            <v>90302.57</v>
          </cell>
          <cell r="I14">
            <v>696702.86</v>
          </cell>
        </row>
        <row r="15">
          <cell r="B15" t="str">
            <v>00.11: Furn, Fixt, Equip</v>
          </cell>
          <cell r="D15">
            <v>9921052.0700000003</v>
          </cell>
          <cell r="F15">
            <v>0</v>
          </cell>
          <cell r="G15">
            <v>9921052.0700000003</v>
          </cell>
          <cell r="H15">
            <v>3292205.67</v>
          </cell>
          <cell r="I15">
            <v>1893928.74</v>
          </cell>
        </row>
        <row r="16">
          <cell r="B16" t="str">
            <v>2022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Q1</v>
          </cell>
          <cell r="D17">
            <v>2649075.2599999998</v>
          </cell>
          <cell r="F17">
            <v>0</v>
          </cell>
          <cell r="G17">
            <v>2649075.2599999998</v>
          </cell>
          <cell r="H17">
            <v>2029191.6</v>
          </cell>
          <cell r="I17">
            <v>291663.19</v>
          </cell>
        </row>
        <row r="18">
          <cell r="B18" t="str">
            <v>2022 Q2</v>
          </cell>
          <cell r="D18">
            <v>220880.88</v>
          </cell>
          <cell r="F18">
            <v>0</v>
          </cell>
          <cell r="G18">
            <v>220880.88</v>
          </cell>
          <cell r="H18">
            <v>161243.04</v>
          </cell>
          <cell r="I18">
            <v>25114.16</v>
          </cell>
        </row>
        <row r="19">
          <cell r="B19" t="str">
            <v>2022 Q3</v>
          </cell>
          <cell r="D19">
            <v>6423064.0999999996</v>
          </cell>
          <cell r="F19">
            <v>0</v>
          </cell>
          <cell r="G19">
            <v>6423064.0999999996</v>
          </cell>
          <cell r="H19">
            <v>4457606.55</v>
          </cell>
          <cell r="I19">
            <v>786183.04</v>
          </cell>
        </row>
        <row r="20">
          <cell r="B20" t="str">
            <v>2022 Q4</v>
          </cell>
          <cell r="D20">
            <v>14381309.779999999</v>
          </cell>
          <cell r="F20">
            <v>0</v>
          </cell>
          <cell r="G20">
            <v>14381309.779999999</v>
          </cell>
          <cell r="H20">
            <v>9462901.8300000001</v>
          </cell>
          <cell r="I20">
            <v>1967363.32</v>
          </cell>
        </row>
        <row r="21">
          <cell r="B21" t="str">
            <v>2023</v>
          </cell>
          <cell r="D21">
            <v>12545497.51</v>
          </cell>
          <cell r="F21">
            <v>0</v>
          </cell>
          <cell r="G21">
            <v>12545497.51</v>
          </cell>
          <cell r="H21">
            <v>6523658.71</v>
          </cell>
          <cell r="I21">
            <v>2408735.52</v>
          </cell>
        </row>
        <row r="22">
          <cell r="B22" t="str">
            <v>2024 Q1 Jan - Mar</v>
          </cell>
          <cell r="D22">
            <v>2597610.86</v>
          </cell>
          <cell r="F22">
            <v>0</v>
          </cell>
          <cell r="G22">
            <v>2597610.86</v>
          </cell>
          <cell r="H22">
            <v>909163.78</v>
          </cell>
          <cell r="I22">
            <v>675378.79</v>
          </cell>
        </row>
        <row r="23">
          <cell r="B23" t="str">
            <v>2024 Q2 Apr - Jun</v>
          </cell>
          <cell r="D23">
            <v>2154614.06</v>
          </cell>
          <cell r="F23">
            <v>0</v>
          </cell>
          <cell r="G23">
            <v>2154614.06</v>
          </cell>
          <cell r="H23">
            <v>538653.52</v>
          </cell>
          <cell r="I23">
            <v>646384.24</v>
          </cell>
        </row>
        <row r="24">
          <cell r="B24" t="str">
            <v>2024 Q3 Jul - Sep</v>
          </cell>
          <cell r="D24">
            <v>142383.43</v>
          </cell>
          <cell r="F24">
            <v>0</v>
          </cell>
          <cell r="G24">
            <v>142383.43</v>
          </cell>
          <cell r="H24">
            <v>21357.52</v>
          </cell>
          <cell r="I24">
            <v>48410.37</v>
          </cell>
        </row>
        <row r="25">
          <cell r="B25" t="str">
            <v>2024 Q4 Oct - Dec</v>
          </cell>
          <cell r="D25">
            <v>16659504.74</v>
          </cell>
          <cell r="F25">
            <v>0</v>
          </cell>
          <cell r="G25">
            <v>16659504.74</v>
          </cell>
          <cell r="H25">
            <v>832975.23</v>
          </cell>
          <cell r="I25">
            <v>6330611.7999999998</v>
          </cell>
        </row>
        <row r="26">
          <cell r="B26" t="str">
            <v>00.12: Info Systems</v>
          </cell>
          <cell r="D26">
            <v>57773940.619999997</v>
          </cell>
          <cell r="F26">
            <v>0</v>
          </cell>
          <cell r="G26">
            <v>57773940.619999997</v>
          </cell>
          <cell r="H26">
            <v>24936751.780000001</v>
          </cell>
          <cell r="I26">
            <v>13179844.43</v>
          </cell>
        </row>
        <row r="27">
          <cell r="B27" t="str">
            <v>2024 Q1 Jan - Mar</v>
          </cell>
          <cell r="D27">
            <v>7362.55</v>
          </cell>
          <cell r="F27">
            <v>0</v>
          </cell>
          <cell r="G27">
            <v>7362.55</v>
          </cell>
          <cell r="H27">
            <v>2576.89</v>
          </cell>
          <cell r="I27">
            <v>1914.26</v>
          </cell>
        </row>
        <row r="28">
          <cell r="B28" t="str">
            <v>2024 Q2 Apr - Jun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2024 Q3 Jul - Sep</v>
          </cell>
          <cell r="D29">
            <v>-382.43</v>
          </cell>
          <cell r="F29">
            <v>0</v>
          </cell>
          <cell r="G29">
            <v>-382.43</v>
          </cell>
          <cell r="H29">
            <v>-57.36</v>
          </cell>
          <cell r="I29">
            <v>-130.03</v>
          </cell>
        </row>
        <row r="30">
          <cell r="B30" t="str">
            <v>00.13: Data Handling Eq</v>
          </cell>
          <cell r="D30">
            <v>6980.12</v>
          </cell>
          <cell r="F30">
            <v>0</v>
          </cell>
          <cell r="G30">
            <v>6980.12</v>
          </cell>
          <cell r="H30">
            <v>2519.5300000000002</v>
          </cell>
          <cell r="I30">
            <v>1784.23</v>
          </cell>
        </row>
        <row r="31">
          <cell r="B31" t="str">
            <v>2022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2023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00.21: Airplanes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2022 Q1</v>
          </cell>
          <cell r="D35">
            <v>28493.84</v>
          </cell>
          <cell r="F35">
            <v>0</v>
          </cell>
          <cell r="G35">
            <v>28493.84</v>
          </cell>
          <cell r="H35">
            <v>21826.28</v>
          </cell>
          <cell r="I35">
            <v>3137.17</v>
          </cell>
        </row>
        <row r="36">
          <cell r="B36" t="str">
            <v>2022 Q2</v>
          </cell>
          <cell r="D36">
            <v>54557.18</v>
          </cell>
          <cell r="F36">
            <v>0</v>
          </cell>
          <cell r="G36">
            <v>54557.18</v>
          </cell>
          <cell r="H36">
            <v>39826.74</v>
          </cell>
          <cell r="I36">
            <v>6203.15</v>
          </cell>
        </row>
        <row r="37">
          <cell r="B37" t="str">
            <v>2022 Q3</v>
          </cell>
          <cell r="D37">
            <v>29936.46</v>
          </cell>
          <cell r="F37">
            <v>0</v>
          </cell>
          <cell r="G37">
            <v>29936.46</v>
          </cell>
          <cell r="H37">
            <v>20775.91</v>
          </cell>
          <cell r="I37">
            <v>3664.22</v>
          </cell>
        </row>
        <row r="38">
          <cell r="B38" t="str">
            <v>2022 Q4</v>
          </cell>
          <cell r="D38">
            <v>564294.56999999995</v>
          </cell>
          <cell r="F38">
            <v>0</v>
          </cell>
          <cell r="G38">
            <v>564294.56999999995</v>
          </cell>
          <cell r="H38">
            <v>371305.83</v>
          </cell>
          <cell r="I38">
            <v>77195.509999999995</v>
          </cell>
        </row>
        <row r="39">
          <cell r="B39" t="str">
            <v>2023</v>
          </cell>
          <cell r="D39">
            <v>663246.96</v>
          </cell>
          <cell r="F39">
            <v>0</v>
          </cell>
          <cell r="G39">
            <v>663246.96</v>
          </cell>
          <cell r="H39">
            <v>344888.42</v>
          </cell>
          <cell r="I39">
            <v>127343.42</v>
          </cell>
        </row>
        <row r="40">
          <cell r="B40" t="str">
            <v>2024 Q3 Jul - Sep</v>
          </cell>
          <cell r="D40">
            <v>63959.35</v>
          </cell>
          <cell r="F40">
            <v>0</v>
          </cell>
          <cell r="G40">
            <v>63959.35</v>
          </cell>
          <cell r="H40">
            <v>9593.9</v>
          </cell>
          <cell r="I40">
            <v>21746.18</v>
          </cell>
        </row>
        <row r="41">
          <cell r="B41" t="str">
            <v>2024 Q4 Oct - Dec</v>
          </cell>
          <cell r="D41">
            <v>153986.09</v>
          </cell>
          <cell r="F41">
            <v>0</v>
          </cell>
          <cell r="G41">
            <v>153986.09</v>
          </cell>
          <cell r="H41">
            <v>7699.3</v>
          </cell>
          <cell r="I41">
            <v>58514.71</v>
          </cell>
        </row>
        <row r="42">
          <cell r="B42" t="str">
            <v>00.22: Automobiles</v>
          </cell>
          <cell r="D42">
            <v>1558474.45</v>
          </cell>
          <cell r="F42">
            <v>0</v>
          </cell>
          <cell r="G42">
            <v>1558474.45</v>
          </cell>
          <cell r="H42">
            <v>815916.38</v>
          </cell>
          <cell r="I42">
            <v>297804.36</v>
          </cell>
        </row>
        <row r="43">
          <cell r="B43" t="str">
            <v>2022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B44" t="str">
            <v>2022 Q2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2023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00.241: Light Trucks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2022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2022 Q1</v>
          </cell>
          <cell r="D48">
            <v>2969.3</v>
          </cell>
          <cell r="F48">
            <v>0</v>
          </cell>
          <cell r="G48">
            <v>2969.3</v>
          </cell>
          <cell r="H48">
            <v>2274.48</v>
          </cell>
          <cell r="I48">
            <v>326.92</v>
          </cell>
        </row>
        <row r="49">
          <cell r="B49" t="str">
            <v>2022 Q2</v>
          </cell>
          <cell r="D49">
            <v>1914.89</v>
          </cell>
          <cell r="F49">
            <v>0</v>
          </cell>
          <cell r="G49">
            <v>1914.89</v>
          </cell>
          <cell r="H49">
            <v>1397.87</v>
          </cell>
          <cell r="I49">
            <v>217.72</v>
          </cell>
        </row>
        <row r="50">
          <cell r="B50" t="str">
            <v>2022 Q3</v>
          </cell>
          <cell r="D50">
            <v>25459.69</v>
          </cell>
          <cell r="F50">
            <v>0</v>
          </cell>
          <cell r="G50">
            <v>25459.69</v>
          </cell>
          <cell r="H50">
            <v>17669.02</v>
          </cell>
          <cell r="I50">
            <v>3116.27</v>
          </cell>
        </row>
        <row r="51">
          <cell r="B51" t="str">
            <v>2022 Q4</v>
          </cell>
          <cell r="D51">
            <v>37998.32</v>
          </cell>
          <cell r="F51">
            <v>0</v>
          </cell>
          <cell r="G51">
            <v>37998.32</v>
          </cell>
          <cell r="H51">
            <v>25002.9</v>
          </cell>
          <cell r="I51">
            <v>5198.17</v>
          </cell>
        </row>
        <row r="52">
          <cell r="B52" t="str">
            <v>2023</v>
          </cell>
          <cell r="D52">
            <v>200634.54</v>
          </cell>
          <cell r="F52">
            <v>0</v>
          </cell>
          <cell r="G52">
            <v>200634.54</v>
          </cell>
          <cell r="H52">
            <v>104329.96</v>
          </cell>
          <cell r="I52">
            <v>38521.83</v>
          </cell>
        </row>
        <row r="53">
          <cell r="B53" t="str">
            <v>2024 Q3 Jul - Sep</v>
          </cell>
          <cell r="D53">
            <v>2498.4</v>
          </cell>
          <cell r="F53">
            <v>0</v>
          </cell>
          <cell r="G53">
            <v>2498.4</v>
          </cell>
          <cell r="H53">
            <v>374.76</v>
          </cell>
          <cell r="I53">
            <v>849.46</v>
          </cell>
        </row>
        <row r="54">
          <cell r="B54" t="str">
            <v>2024 Q4 Oct - Dec</v>
          </cell>
          <cell r="D54">
            <v>2627925.4900000002</v>
          </cell>
          <cell r="F54">
            <v>0</v>
          </cell>
          <cell r="G54">
            <v>2627925.4900000002</v>
          </cell>
          <cell r="H54">
            <v>131396.28</v>
          </cell>
          <cell r="I54">
            <v>998611.68</v>
          </cell>
        </row>
        <row r="55">
          <cell r="B55" t="str">
            <v>00.242: Heavy Trucks</v>
          </cell>
          <cell r="D55">
            <v>2899400.63</v>
          </cell>
          <cell r="F55">
            <v>0</v>
          </cell>
          <cell r="G55">
            <v>2899400.63</v>
          </cell>
          <cell r="H55">
            <v>282445.27</v>
          </cell>
          <cell r="I55">
            <v>1046842.05</v>
          </cell>
        </row>
        <row r="56">
          <cell r="B56" t="str">
            <v>2022</v>
          </cell>
          <cell r="D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 t="str">
            <v>2023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B58" t="str">
            <v>00.25: Railroad Cars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2022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B60" t="str">
            <v>2022 Q1</v>
          </cell>
          <cell r="D60">
            <v>21825.22</v>
          </cell>
          <cell r="F60">
            <v>0</v>
          </cell>
          <cell r="G60">
            <v>21825.22</v>
          </cell>
          <cell r="H60">
            <v>16718.12</v>
          </cell>
          <cell r="I60">
            <v>2402.96</v>
          </cell>
        </row>
        <row r="61">
          <cell r="B61" t="str">
            <v>2022 Q2</v>
          </cell>
          <cell r="D61">
            <v>154569.19</v>
          </cell>
          <cell r="F61">
            <v>0</v>
          </cell>
          <cell r="G61">
            <v>154569.19</v>
          </cell>
          <cell r="H61">
            <v>112835.52</v>
          </cell>
          <cell r="I61">
            <v>17574.52</v>
          </cell>
        </row>
        <row r="62">
          <cell r="B62" t="str">
            <v>2022 Q3</v>
          </cell>
          <cell r="D62">
            <v>-4660.16</v>
          </cell>
          <cell r="F62">
            <v>0</v>
          </cell>
          <cell r="G62">
            <v>-4660.16</v>
          </cell>
          <cell r="H62">
            <v>-3234.16</v>
          </cell>
          <cell r="I62">
            <v>-570.4</v>
          </cell>
        </row>
        <row r="63">
          <cell r="B63" t="str">
            <v>2022 Q4</v>
          </cell>
          <cell r="D63">
            <v>227651.94</v>
          </cell>
          <cell r="F63">
            <v>0</v>
          </cell>
          <cell r="G63">
            <v>227651.94</v>
          </cell>
          <cell r="H63">
            <v>149794.98000000001</v>
          </cell>
          <cell r="I63">
            <v>31142.79</v>
          </cell>
        </row>
        <row r="64">
          <cell r="B64" t="str">
            <v>2023</v>
          </cell>
          <cell r="D64">
            <v>1055510.33</v>
          </cell>
          <cell r="F64">
            <v>0</v>
          </cell>
          <cell r="G64">
            <v>1055510.33</v>
          </cell>
          <cell r="H64">
            <v>548865.36</v>
          </cell>
          <cell r="I64">
            <v>202657.99</v>
          </cell>
        </row>
        <row r="65">
          <cell r="B65" t="str">
            <v>2024 Q1 Jan - Mar</v>
          </cell>
          <cell r="D65">
            <v>42461.61</v>
          </cell>
          <cell r="F65">
            <v>0</v>
          </cell>
          <cell r="G65">
            <v>42461.61</v>
          </cell>
          <cell r="H65">
            <v>14861.56</v>
          </cell>
          <cell r="I65">
            <v>11040.01</v>
          </cell>
        </row>
        <row r="66">
          <cell r="B66" t="str">
            <v>2024 Q2 Apr - Jun</v>
          </cell>
          <cell r="D66">
            <v>30338.74</v>
          </cell>
          <cell r="F66">
            <v>0</v>
          </cell>
          <cell r="G66">
            <v>30338.74</v>
          </cell>
          <cell r="H66">
            <v>7584.68</v>
          </cell>
          <cell r="I66">
            <v>9101.6200000000008</v>
          </cell>
        </row>
        <row r="67">
          <cell r="B67" t="str">
            <v>2024 Q3 Jul - Sep</v>
          </cell>
          <cell r="D67">
            <v>18719.07</v>
          </cell>
          <cell r="F67">
            <v>0</v>
          </cell>
          <cell r="G67">
            <v>18719.07</v>
          </cell>
          <cell r="H67">
            <v>2807.86</v>
          </cell>
          <cell r="I67">
            <v>6364.48</v>
          </cell>
        </row>
        <row r="68">
          <cell r="B68" t="str">
            <v>2024 Q4 Oct - Dec</v>
          </cell>
          <cell r="D68">
            <v>482122.22</v>
          </cell>
          <cell r="F68">
            <v>0</v>
          </cell>
          <cell r="G68">
            <v>482122.22</v>
          </cell>
          <cell r="H68">
            <v>24106.11</v>
          </cell>
          <cell r="I68">
            <v>183206.44</v>
          </cell>
        </row>
        <row r="69">
          <cell r="B69" t="str">
            <v>00.27: Trailers</v>
          </cell>
          <cell r="D69">
            <v>2028538.16</v>
          </cell>
          <cell r="F69">
            <v>0</v>
          </cell>
          <cell r="G69">
            <v>2028538.16</v>
          </cell>
          <cell r="H69">
            <v>874340.03</v>
          </cell>
          <cell r="I69">
            <v>462920.41</v>
          </cell>
        </row>
        <row r="70">
          <cell r="B70" t="str">
            <v>2022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Q2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2024 Q4 Oct - Dec</v>
          </cell>
          <cell r="D73">
            <v>2118</v>
          </cell>
          <cell r="F73">
            <v>0</v>
          </cell>
          <cell r="G73">
            <v>2118</v>
          </cell>
          <cell r="H73">
            <v>52.95</v>
          </cell>
          <cell r="I73">
            <v>413.01</v>
          </cell>
        </row>
        <row r="74">
          <cell r="B74" t="str">
            <v>00.28: Boats</v>
          </cell>
          <cell r="D74">
            <v>2118</v>
          </cell>
          <cell r="F74">
            <v>0</v>
          </cell>
          <cell r="G74">
            <v>2118</v>
          </cell>
          <cell r="H74">
            <v>52.95</v>
          </cell>
          <cell r="I74">
            <v>413.01</v>
          </cell>
        </row>
        <row r="75">
          <cell r="B75" t="str">
            <v>2022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Q1</v>
          </cell>
          <cell r="D76">
            <v>1838451.36</v>
          </cell>
          <cell r="F76">
            <v>0</v>
          </cell>
          <cell r="G76">
            <v>1838451.36</v>
          </cell>
          <cell r="H76">
            <v>479596.79</v>
          </cell>
          <cell r="I76">
            <v>135898.34</v>
          </cell>
        </row>
        <row r="77">
          <cell r="B77" t="str">
            <v>2022 Q2</v>
          </cell>
          <cell r="D77">
            <v>15168571.65</v>
          </cell>
          <cell r="F77">
            <v>0</v>
          </cell>
          <cell r="G77">
            <v>15168571.65</v>
          </cell>
          <cell r="H77">
            <v>3649861.69</v>
          </cell>
          <cell r="I77">
            <v>1151901.33</v>
          </cell>
        </row>
        <row r="78">
          <cell r="B78" t="str">
            <v>2022 Q3</v>
          </cell>
          <cell r="D78">
            <v>6241531.1799999997</v>
          </cell>
          <cell r="F78">
            <v>0</v>
          </cell>
          <cell r="G78">
            <v>6241531.1799999997</v>
          </cell>
          <cell r="H78">
            <v>1375446.23</v>
          </cell>
          <cell r="I78">
            <v>486652.19</v>
          </cell>
        </row>
        <row r="79">
          <cell r="B79" t="str">
            <v>2022 Q4</v>
          </cell>
          <cell r="D79">
            <v>31712949.879999999</v>
          </cell>
          <cell r="F79">
            <v>0</v>
          </cell>
          <cell r="G79">
            <v>31712949.879999999</v>
          </cell>
          <cell r="H79">
            <v>6346395.5499999998</v>
          </cell>
          <cell r="I79">
            <v>2536718.86</v>
          </cell>
        </row>
        <row r="80">
          <cell r="B80" t="str">
            <v>2023</v>
          </cell>
          <cell r="D80">
            <v>89391025.590000004</v>
          </cell>
          <cell r="F80">
            <v>0</v>
          </cell>
          <cell r="G80">
            <v>89391025.590000004</v>
          </cell>
          <cell r="H80">
            <v>12961698.710000001</v>
          </cell>
          <cell r="I80">
            <v>7598237.2000000002</v>
          </cell>
        </row>
        <row r="81">
          <cell r="B81" t="str">
            <v>2024 Q1 Jan - Mar</v>
          </cell>
          <cell r="D81">
            <v>13050455.869999999</v>
          </cell>
          <cell r="F81">
            <v>0</v>
          </cell>
          <cell r="G81">
            <v>13050455.869999999</v>
          </cell>
          <cell r="H81">
            <v>1141914.8799999999</v>
          </cell>
          <cell r="I81">
            <v>1190854.1000000001</v>
          </cell>
        </row>
        <row r="82">
          <cell r="B82" t="str">
            <v>2024 Q2 Apr - Jun</v>
          </cell>
          <cell r="D82">
            <v>38295435.450000003</v>
          </cell>
          <cell r="F82">
            <v>0</v>
          </cell>
          <cell r="G82">
            <v>38295435.450000003</v>
          </cell>
          <cell r="H82">
            <v>2393464.7200000002</v>
          </cell>
          <cell r="I82">
            <v>3590197.08</v>
          </cell>
        </row>
        <row r="83">
          <cell r="B83" t="str">
            <v>2024 Q3 Jul - Sep</v>
          </cell>
          <cell r="D83">
            <v>11806611.529999999</v>
          </cell>
          <cell r="F83">
            <v>0</v>
          </cell>
          <cell r="G83">
            <v>11806611.529999999</v>
          </cell>
          <cell r="H83">
            <v>442747.93</v>
          </cell>
          <cell r="I83">
            <v>1136386.3600000001</v>
          </cell>
        </row>
        <row r="84">
          <cell r="B84" t="str">
            <v>2024 Q4 Oct - Dec</v>
          </cell>
          <cell r="D84">
            <v>75702285.239999995</v>
          </cell>
          <cell r="F84">
            <v>0</v>
          </cell>
          <cell r="G84">
            <v>75702285.239999995</v>
          </cell>
          <cell r="H84">
            <v>946278.57</v>
          </cell>
          <cell r="I84">
            <v>7475600.6699999999</v>
          </cell>
        </row>
        <row r="85">
          <cell r="B85" t="str">
            <v>00.3: Land Improv</v>
          </cell>
          <cell r="D85">
            <v>283207317.75</v>
          </cell>
          <cell r="F85">
            <v>0</v>
          </cell>
          <cell r="G85">
            <v>283207317.75</v>
          </cell>
          <cell r="H85">
            <v>29737405.07</v>
          </cell>
          <cell r="I85">
            <v>25302446.129999999</v>
          </cell>
        </row>
        <row r="86">
          <cell r="B86" t="str">
            <v>2022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Q4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40.4: Railroad Track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2022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2022 Q1</v>
          </cell>
          <cell r="D91">
            <v>232914347.24000001</v>
          </cell>
          <cell r="F91">
            <v>0</v>
          </cell>
          <cell r="G91">
            <v>232914347.24000001</v>
          </cell>
          <cell r="H91">
            <v>46706314.049999997</v>
          </cell>
          <cell r="I91">
            <v>13965544.26</v>
          </cell>
        </row>
        <row r="92">
          <cell r="B92" t="str">
            <v>2022 Q2</v>
          </cell>
          <cell r="D92">
            <v>242861226.53</v>
          </cell>
          <cell r="F92">
            <v>0</v>
          </cell>
          <cell r="G92">
            <v>242861226.53</v>
          </cell>
          <cell r="H92">
            <v>44803039.060000002</v>
          </cell>
          <cell r="I92">
            <v>14855821.24</v>
          </cell>
        </row>
        <row r="93">
          <cell r="B93" t="str">
            <v>2022 Q3</v>
          </cell>
          <cell r="D93">
            <v>261111022.72</v>
          </cell>
          <cell r="F93">
            <v>0</v>
          </cell>
          <cell r="G93">
            <v>261111022.72</v>
          </cell>
          <cell r="H93">
            <v>43981540.68</v>
          </cell>
          <cell r="I93">
            <v>16285494.49</v>
          </cell>
        </row>
        <row r="94">
          <cell r="B94" t="str">
            <v>2022 Q4</v>
          </cell>
          <cell r="D94">
            <v>282105149.75</v>
          </cell>
          <cell r="F94">
            <v>0</v>
          </cell>
          <cell r="G94">
            <v>282105149.75</v>
          </cell>
          <cell r="H94">
            <v>42992824.82</v>
          </cell>
          <cell r="I94">
            <v>17933424.379999999</v>
          </cell>
        </row>
        <row r="95">
          <cell r="B95" t="str">
            <v>2023</v>
          </cell>
          <cell r="D95">
            <v>1370218495.6500001</v>
          </cell>
          <cell r="F95">
            <v>0</v>
          </cell>
          <cell r="G95">
            <v>1370218495.6500001</v>
          </cell>
          <cell r="H95">
            <v>150299266.78</v>
          </cell>
          <cell r="I95">
            <v>91489488.959999993</v>
          </cell>
        </row>
        <row r="96">
          <cell r="B96" t="str">
            <v>2024 Q1 Jan - Mar</v>
          </cell>
          <cell r="D96">
            <v>386623153.27999997</v>
          </cell>
          <cell r="F96">
            <v>0</v>
          </cell>
          <cell r="G96">
            <v>386623153.27999997</v>
          </cell>
          <cell r="H96">
            <v>25370211.329999998</v>
          </cell>
          <cell r="I96">
            <v>27094550.579999998</v>
          </cell>
        </row>
        <row r="97">
          <cell r="B97" t="str">
            <v>2024 Q2 Apr - Jun</v>
          </cell>
          <cell r="D97">
            <v>407293025.22000003</v>
          </cell>
          <cell r="F97">
            <v>0</v>
          </cell>
          <cell r="G97">
            <v>407293025.22000003</v>
          </cell>
          <cell r="H97">
            <v>19089824.09</v>
          </cell>
          <cell r="I97">
            <v>29117378.370000001</v>
          </cell>
        </row>
        <row r="98">
          <cell r="B98" t="str">
            <v>2024 Q3 Jul - Sep</v>
          </cell>
          <cell r="D98">
            <v>428328059.45999998</v>
          </cell>
          <cell r="F98">
            <v>0</v>
          </cell>
          <cell r="G98">
            <v>428328059.45999998</v>
          </cell>
          <cell r="H98">
            <v>12044585.029999999</v>
          </cell>
          <cell r="I98">
            <v>31225115.530000001</v>
          </cell>
        </row>
        <row r="99">
          <cell r="B99" t="str">
            <v>2024 Q4 Oct - Dec</v>
          </cell>
          <cell r="D99">
            <v>459960826.62</v>
          </cell>
          <cell r="F99">
            <v>0</v>
          </cell>
          <cell r="G99">
            <v>459960826.62</v>
          </cell>
          <cell r="H99">
            <v>4309832.96</v>
          </cell>
          <cell r="I99">
            <v>34175089.420000002</v>
          </cell>
        </row>
        <row r="100">
          <cell r="B100" t="str">
            <v>49.14: Trans &amp; Dist Plnt</v>
          </cell>
          <cell r="D100">
            <v>4071415306.4699998</v>
          </cell>
          <cell r="F100">
            <v>0</v>
          </cell>
          <cell r="G100">
            <v>4071415306.4699998</v>
          </cell>
          <cell r="H100">
            <v>389597438.80000001</v>
          </cell>
          <cell r="I100">
            <v>276141907.23000002</v>
          </cell>
        </row>
        <row r="101">
          <cell r="B101" t="str">
            <v>2022</v>
          </cell>
          <cell r="D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2022 Q1</v>
          </cell>
          <cell r="D102">
            <v>47276410.770000003</v>
          </cell>
          <cell r="F102">
            <v>0</v>
          </cell>
          <cell r="G102">
            <v>47276410.770000003</v>
          </cell>
          <cell r="H102">
            <v>12332997.27</v>
          </cell>
          <cell r="I102">
            <v>3494672.28</v>
          </cell>
        </row>
        <row r="103">
          <cell r="B103" t="str">
            <v>2022 Q2</v>
          </cell>
          <cell r="D103">
            <v>207147475.43000001</v>
          </cell>
          <cell r="F103">
            <v>0</v>
          </cell>
          <cell r="G103">
            <v>207147475.43000001</v>
          </cell>
          <cell r="H103">
            <v>49843825.520000003</v>
          </cell>
          <cell r="I103">
            <v>15730779.279999999</v>
          </cell>
        </row>
        <row r="104">
          <cell r="B104" t="str">
            <v>2022 Q3</v>
          </cell>
          <cell r="D104">
            <v>56962470.5</v>
          </cell>
          <cell r="F104">
            <v>0</v>
          </cell>
          <cell r="G104">
            <v>56962470.5</v>
          </cell>
          <cell r="H104">
            <v>12552819.609999999</v>
          </cell>
          <cell r="I104">
            <v>4441363.8099999996</v>
          </cell>
        </row>
        <row r="105">
          <cell r="B105" t="str">
            <v>2022 Q4</v>
          </cell>
          <cell r="D105">
            <v>474510070.69</v>
          </cell>
          <cell r="F105">
            <v>0</v>
          </cell>
          <cell r="G105">
            <v>474510070.69</v>
          </cell>
          <cell r="H105">
            <v>94958955.379999995</v>
          </cell>
          <cell r="I105">
            <v>37956060.549999997</v>
          </cell>
        </row>
        <row r="106">
          <cell r="B106" t="str">
            <v>2023</v>
          </cell>
          <cell r="D106">
            <v>1175032209.23</v>
          </cell>
          <cell r="F106">
            <v>0</v>
          </cell>
          <cell r="G106">
            <v>1175032209.23</v>
          </cell>
          <cell r="H106">
            <v>170379670.34</v>
          </cell>
          <cell r="I106">
            <v>99877737.760000005</v>
          </cell>
        </row>
        <row r="107">
          <cell r="B107" t="str">
            <v>2024 Q1 Jan - Mar</v>
          </cell>
          <cell r="D107">
            <v>145951897.18000001</v>
          </cell>
          <cell r="F107">
            <v>0</v>
          </cell>
          <cell r="G107">
            <v>145951897.18000001</v>
          </cell>
          <cell r="H107">
            <v>12770791.01</v>
          </cell>
          <cell r="I107">
            <v>13318110.619999999</v>
          </cell>
        </row>
        <row r="108">
          <cell r="B108" t="str">
            <v>2024 Q2 Apr - Jun</v>
          </cell>
          <cell r="D108">
            <v>572228901.79999995</v>
          </cell>
          <cell r="F108">
            <v>0</v>
          </cell>
          <cell r="G108">
            <v>572228901.79999995</v>
          </cell>
          <cell r="H108">
            <v>35764306.369999997</v>
          </cell>
          <cell r="I108">
            <v>53646459.549999997</v>
          </cell>
        </row>
        <row r="109">
          <cell r="B109" t="str">
            <v>2024 Q3 Jul - Sep</v>
          </cell>
          <cell r="D109">
            <v>118551755.39</v>
          </cell>
          <cell r="F109">
            <v>0</v>
          </cell>
          <cell r="G109">
            <v>118551755.39</v>
          </cell>
          <cell r="H109">
            <v>4445690.83</v>
          </cell>
          <cell r="I109">
            <v>11410606.449999999</v>
          </cell>
        </row>
        <row r="110">
          <cell r="B110" t="str">
            <v>2024 Q4 Oct - Dec</v>
          </cell>
          <cell r="D110">
            <v>886744483.54999995</v>
          </cell>
          <cell r="F110">
            <v>0</v>
          </cell>
          <cell r="G110">
            <v>886744483.54999995</v>
          </cell>
          <cell r="H110">
            <v>11084306.039999999</v>
          </cell>
          <cell r="I110">
            <v>87566017.739999995</v>
          </cell>
        </row>
        <row r="111">
          <cell r="B111" t="str">
            <v>49.14A: Trans 4/05-1/11</v>
          </cell>
          <cell r="D111">
            <v>3684405674.54</v>
          </cell>
          <cell r="F111">
            <v>0</v>
          </cell>
          <cell r="G111">
            <v>3684405674.54</v>
          </cell>
          <cell r="H111">
            <v>404133362.37</v>
          </cell>
          <cell r="I111">
            <v>327441808.04000002</v>
          </cell>
        </row>
        <row r="112">
          <cell r="B112" t="str">
            <v>2022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 t="str">
            <v>2022 Q1</v>
          </cell>
          <cell r="D113">
            <v>2662173.17</v>
          </cell>
          <cell r="F113">
            <v>0</v>
          </cell>
          <cell r="G113">
            <v>2662173.17</v>
          </cell>
          <cell r="H113">
            <v>960728.18</v>
          </cell>
          <cell r="I113">
            <v>244578.01</v>
          </cell>
        </row>
        <row r="114">
          <cell r="B114" t="str">
            <v>2022 Q2</v>
          </cell>
          <cell r="D114">
            <v>2734897.03</v>
          </cell>
          <cell r="F114">
            <v>0</v>
          </cell>
          <cell r="G114">
            <v>2734897.03</v>
          </cell>
          <cell r="H114">
            <v>888545.55</v>
          </cell>
          <cell r="I114">
            <v>255801.49</v>
          </cell>
        </row>
        <row r="115">
          <cell r="B115" t="str">
            <v>2022 Q3</v>
          </cell>
          <cell r="D115">
            <v>3879379.05</v>
          </cell>
          <cell r="F115">
            <v>0</v>
          </cell>
          <cell r="G115">
            <v>3879379.05</v>
          </cell>
          <cell r="H115">
            <v>1194345.1399999999</v>
          </cell>
          <cell r="I115">
            <v>386161.42</v>
          </cell>
        </row>
        <row r="116">
          <cell r="B116" t="str">
            <v>2022 Q4</v>
          </cell>
          <cell r="D116">
            <v>3355079.6</v>
          </cell>
          <cell r="F116">
            <v>0</v>
          </cell>
          <cell r="G116">
            <v>3355079.6</v>
          </cell>
          <cell r="H116">
            <v>917615.95</v>
          </cell>
          <cell r="I116">
            <v>338616.19</v>
          </cell>
        </row>
        <row r="117">
          <cell r="B117" t="str">
            <v>2023</v>
          </cell>
          <cell r="D117">
            <v>17710356.109999999</v>
          </cell>
          <cell r="F117">
            <v>0</v>
          </cell>
          <cell r="G117">
            <v>17710356.109999999</v>
          </cell>
          <cell r="H117">
            <v>1942648.97</v>
          </cell>
          <cell r="I117">
            <v>1182520.48</v>
          </cell>
        </row>
        <row r="118">
          <cell r="B118" t="str">
            <v>2024 Q1 Jan - Mar</v>
          </cell>
          <cell r="D118">
            <v>2690859.21</v>
          </cell>
          <cell r="F118">
            <v>0</v>
          </cell>
          <cell r="G118">
            <v>2690859.21</v>
          </cell>
          <cell r="H118">
            <v>176574.18</v>
          </cell>
          <cell r="I118">
            <v>188575.41</v>
          </cell>
        </row>
        <row r="119">
          <cell r="B119" t="str">
            <v>2024 Q2 Apr - Jun</v>
          </cell>
          <cell r="D119">
            <v>5405270.7300000004</v>
          </cell>
          <cell r="F119">
            <v>0</v>
          </cell>
          <cell r="G119">
            <v>5405270.7300000004</v>
          </cell>
          <cell r="H119">
            <v>253345.05</v>
          </cell>
          <cell r="I119">
            <v>386422.81</v>
          </cell>
        </row>
        <row r="120">
          <cell r="B120" t="str">
            <v>2024 Q3 Jul - Sep</v>
          </cell>
          <cell r="D120">
            <v>7113815.5700000003</v>
          </cell>
          <cell r="F120">
            <v>0</v>
          </cell>
          <cell r="G120">
            <v>7113815.5700000003</v>
          </cell>
          <cell r="H120">
            <v>200040.5</v>
          </cell>
          <cell r="I120">
            <v>518597.15</v>
          </cell>
        </row>
        <row r="121">
          <cell r="B121" t="str">
            <v>2024 Q4 Oct - Dec</v>
          </cell>
          <cell r="D121">
            <v>6805528.1500000004</v>
          </cell>
          <cell r="F121">
            <v>0</v>
          </cell>
          <cell r="G121">
            <v>6805528.1500000004</v>
          </cell>
          <cell r="H121">
            <v>63767.8</v>
          </cell>
          <cell r="I121">
            <v>505650.74</v>
          </cell>
        </row>
        <row r="122">
          <cell r="B122" t="str">
            <v>49.14B: Meters</v>
          </cell>
          <cell r="D122">
            <v>52357358.619999997</v>
          </cell>
          <cell r="F122">
            <v>0</v>
          </cell>
          <cell r="G122">
            <v>52357358.619999997</v>
          </cell>
          <cell r="H122">
            <v>6597611.3200000003</v>
          </cell>
          <cell r="I122">
            <v>4006923.7</v>
          </cell>
        </row>
        <row r="123">
          <cell r="B123" t="str">
            <v>2022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2022 Q1</v>
          </cell>
          <cell r="D124">
            <v>13865397.1</v>
          </cell>
          <cell r="F124">
            <v>0</v>
          </cell>
          <cell r="G124">
            <v>13865397.1</v>
          </cell>
          <cell r="H124">
            <v>4390818.3</v>
          </cell>
          <cell r="I124">
            <v>1151853.73</v>
          </cell>
        </row>
        <row r="125">
          <cell r="B125" t="str">
            <v>2022 Q2</v>
          </cell>
          <cell r="D125">
            <v>19464335.66</v>
          </cell>
          <cell r="F125">
            <v>0</v>
          </cell>
          <cell r="G125">
            <v>19464335.66</v>
          </cell>
          <cell r="H125">
            <v>5879108.3399999999</v>
          </cell>
          <cell r="I125">
            <v>1718052.02</v>
          </cell>
        </row>
        <row r="126">
          <cell r="B126" t="str">
            <v>2022 Q3</v>
          </cell>
          <cell r="D126">
            <v>19623577.649999999</v>
          </cell>
          <cell r="F126">
            <v>0</v>
          </cell>
          <cell r="G126">
            <v>19623577.649999999</v>
          </cell>
          <cell r="H126">
            <v>5390911.3600000003</v>
          </cell>
          <cell r="I126">
            <v>1779920.8</v>
          </cell>
        </row>
        <row r="127">
          <cell r="B127" t="str">
            <v>2022 Q4</v>
          </cell>
          <cell r="D127">
            <v>26820173.43</v>
          </cell>
          <cell r="F127">
            <v>0</v>
          </cell>
          <cell r="G127">
            <v>26820173.43</v>
          </cell>
          <cell r="H127">
            <v>6226395.3300000001</v>
          </cell>
          <cell r="I127">
            <v>2364785.8199999998</v>
          </cell>
        </row>
        <row r="128">
          <cell r="B128" t="str">
            <v>2023</v>
          </cell>
          <cell r="D128">
            <v>73814641.620000005</v>
          </cell>
          <cell r="F128">
            <v>0</v>
          </cell>
          <cell r="G128">
            <v>73814641.620000005</v>
          </cell>
          <cell r="H128">
            <v>20668099.66</v>
          </cell>
          <cell r="I128">
            <v>10629308.390000001</v>
          </cell>
        </row>
        <row r="129">
          <cell r="B129" t="str">
            <v>2024 Q1 Jan - Mar</v>
          </cell>
          <cell r="D129">
            <v>20069918.510000002</v>
          </cell>
          <cell r="F129">
            <v>0</v>
          </cell>
          <cell r="G129">
            <v>20069918.510000002</v>
          </cell>
          <cell r="H129">
            <v>3512235.74</v>
          </cell>
          <cell r="I129">
            <v>3311536.56</v>
          </cell>
        </row>
        <row r="130">
          <cell r="B130" t="str">
            <v>2024 Q2 Apr - Jun</v>
          </cell>
          <cell r="D130">
            <v>20361150.170000002</v>
          </cell>
          <cell r="F130">
            <v>0</v>
          </cell>
          <cell r="G130">
            <v>20361150.170000002</v>
          </cell>
          <cell r="H130">
            <v>2545143.7599999998</v>
          </cell>
          <cell r="I130">
            <v>3563201.28</v>
          </cell>
        </row>
        <row r="131">
          <cell r="B131" t="str">
            <v>2024 Q3 Jul - Sep</v>
          </cell>
          <cell r="D131">
            <v>21977983.739999998</v>
          </cell>
          <cell r="F131">
            <v>0</v>
          </cell>
          <cell r="G131">
            <v>21977983.739999998</v>
          </cell>
          <cell r="H131">
            <v>1648348.78</v>
          </cell>
          <cell r="I131">
            <v>4065927</v>
          </cell>
        </row>
        <row r="132">
          <cell r="B132" t="str">
            <v>2024 Q4 Oct - Dec</v>
          </cell>
          <cell r="D132">
            <v>15375622.82</v>
          </cell>
          <cell r="F132">
            <v>0</v>
          </cell>
          <cell r="G132">
            <v>15375622.82</v>
          </cell>
          <cell r="H132">
            <v>384390.57</v>
          </cell>
          <cell r="I132">
            <v>2998246.45</v>
          </cell>
        </row>
        <row r="133">
          <cell r="B133" t="str">
            <v>49.14C: Smart Meters</v>
          </cell>
          <cell r="D133">
            <v>231372800.69999999</v>
          </cell>
          <cell r="F133">
            <v>0</v>
          </cell>
          <cell r="G133">
            <v>231372800.69999999</v>
          </cell>
          <cell r="H133">
            <v>50645451.840000004</v>
          </cell>
          <cell r="I133">
            <v>31582832.050000001</v>
          </cell>
        </row>
        <row r="134">
          <cell r="B134" t="str">
            <v>2022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 t="str">
            <v>2022 Q1</v>
          </cell>
          <cell r="D135">
            <v>8579144.9600000009</v>
          </cell>
          <cell r="F135">
            <v>0</v>
          </cell>
          <cell r="G135">
            <v>8579144.9600000009</v>
          </cell>
          <cell r="H135">
            <v>1720375.94</v>
          </cell>
          <cell r="I135">
            <v>514405.53</v>
          </cell>
        </row>
        <row r="136">
          <cell r="B136" t="str">
            <v>2022 Q2</v>
          </cell>
          <cell r="D136">
            <v>8189172.0599999996</v>
          </cell>
          <cell r="F136">
            <v>0</v>
          </cell>
          <cell r="G136">
            <v>8189172.0599999996</v>
          </cell>
          <cell r="H136">
            <v>1510738.46</v>
          </cell>
          <cell r="I136">
            <v>500931.65</v>
          </cell>
        </row>
        <row r="137">
          <cell r="B137" t="str">
            <v>2022 Q3</v>
          </cell>
          <cell r="D137">
            <v>7988868.8099999996</v>
          </cell>
          <cell r="F137">
            <v>0</v>
          </cell>
          <cell r="G137">
            <v>7988868.8099999996</v>
          </cell>
          <cell r="H137">
            <v>1345645.07</v>
          </cell>
          <cell r="I137">
            <v>498265.75</v>
          </cell>
        </row>
        <row r="138">
          <cell r="B138" t="str">
            <v>2022 Q4</v>
          </cell>
          <cell r="D138">
            <v>7115900.6399999997</v>
          </cell>
          <cell r="F138">
            <v>0</v>
          </cell>
          <cell r="G138">
            <v>7115900.6399999997</v>
          </cell>
          <cell r="H138">
            <v>1084463.25</v>
          </cell>
          <cell r="I138">
            <v>452357.8</v>
          </cell>
        </row>
        <row r="139">
          <cell r="B139" t="str">
            <v>2023</v>
          </cell>
          <cell r="D139">
            <v>45762169.82</v>
          </cell>
          <cell r="F139">
            <v>0</v>
          </cell>
          <cell r="G139">
            <v>45762169.82</v>
          </cell>
          <cell r="H139">
            <v>17744738.98</v>
          </cell>
          <cell r="I139">
            <v>8004718.29</v>
          </cell>
        </row>
        <row r="140">
          <cell r="B140" t="str">
            <v>2024 Q1 Jan - Mar</v>
          </cell>
          <cell r="D140">
            <v>11120327.23</v>
          </cell>
          <cell r="F140">
            <v>0</v>
          </cell>
          <cell r="G140">
            <v>11120327.23</v>
          </cell>
          <cell r="H140">
            <v>2780081.81</v>
          </cell>
          <cell r="I140">
            <v>2382974.81</v>
          </cell>
        </row>
        <row r="141">
          <cell r="B141" t="str">
            <v>2024 Q2 Apr - Jun</v>
          </cell>
          <cell r="D141">
            <v>12571481.789999999</v>
          </cell>
          <cell r="F141">
            <v>0</v>
          </cell>
          <cell r="G141">
            <v>12571481.789999999</v>
          </cell>
          <cell r="H141">
            <v>2244889.5</v>
          </cell>
          <cell r="I141">
            <v>2950526.65</v>
          </cell>
        </row>
        <row r="142">
          <cell r="B142" t="str">
            <v>2024 Q3 Jul - Sep</v>
          </cell>
          <cell r="D142">
            <v>14152191.560000001</v>
          </cell>
          <cell r="F142">
            <v>0</v>
          </cell>
          <cell r="G142">
            <v>14152191.560000001</v>
          </cell>
          <cell r="H142">
            <v>1516265.8</v>
          </cell>
          <cell r="I142">
            <v>3610224.21</v>
          </cell>
        </row>
        <row r="143">
          <cell r="B143" t="str">
            <v>2024 Q4 Oct - Dec</v>
          </cell>
          <cell r="D143">
            <v>14055077.859999999</v>
          </cell>
          <cell r="F143">
            <v>0</v>
          </cell>
          <cell r="G143">
            <v>14055077.859999999</v>
          </cell>
          <cell r="H143">
            <v>501906.83</v>
          </cell>
          <cell r="I143">
            <v>3872314.5</v>
          </cell>
        </row>
        <row r="144">
          <cell r="B144" t="str">
            <v>49.14D Street Lighting</v>
          </cell>
          <cell r="D144">
            <v>129534334.73</v>
          </cell>
          <cell r="F144">
            <v>0</v>
          </cell>
          <cell r="G144">
            <v>129534334.73</v>
          </cell>
          <cell r="H144">
            <v>30449105.640000001</v>
          </cell>
          <cell r="I144">
            <v>22786719.190000001</v>
          </cell>
        </row>
        <row r="145">
          <cell r="B145" t="str">
            <v>2022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B146" t="str">
            <v>2022 Q1</v>
          </cell>
          <cell r="D146">
            <v>965957.83</v>
          </cell>
          <cell r="F146">
            <v>0</v>
          </cell>
          <cell r="G146">
            <v>965957.83</v>
          </cell>
          <cell r="H146">
            <v>739923.68</v>
          </cell>
          <cell r="I146">
            <v>106351.95</v>
          </cell>
        </row>
        <row r="147">
          <cell r="B147" t="str">
            <v>2022 Q2</v>
          </cell>
          <cell r="D147">
            <v>1705264.66</v>
          </cell>
          <cell r="F147">
            <v>0</v>
          </cell>
          <cell r="G147">
            <v>1705264.66</v>
          </cell>
          <cell r="H147">
            <v>1244843.24</v>
          </cell>
          <cell r="I147">
            <v>193888.59</v>
          </cell>
        </row>
        <row r="148">
          <cell r="B148" t="str">
            <v>2022 Q3</v>
          </cell>
          <cell r="D148">
            <v>888807.09</v>
          </cell>
          <cell r="F148">
            <v>0</v>
          </cell>
          <cell r="G148">
            <v>888807.09</v>
          </cell>
          <cell r="H148">
            <v>616832.14</v>
          </cell>
          <cell r="I148">
            <v>108789.99</v>
          </cell>
        </row>
        <row r="149">
          <cell r="B149" t="str">
            <v>2022 Q4</v>
          </cell>
          <cell r="D149">
            <v>4859802.93</v>
          </cell>
          <cell r="F149">
            <v>0</v>
          </cell>
          <cell r="G149">
            <v>4859802.93</v>
          </cell>
          <cell r="H149">
            <v>3197750.32</v>
          </cell>
          <cell r="I149">
            <v>664821.09</v>
          </cell>
        </row>
        <row r="150">
          <cell r="B150" t="str">
            <v>2023</v>
          </cell>
          <cell r="D150">
            <v>6376577.71</v>
          </cell>
          <cell r="F150">
            <v>0</v>
          </cell>
          <cell r="G150">
            <v>6376577.71</v>
          </cell>
          <cell r="H150">
            <v>3315820.4</v>
          </cell>
          <cell r="I150">
            <v>1224302.93</v>
          </cell>
        </row>
        <row r="151">
          <cell r="B151" t="str">
            <v>2024 Q1 Jan - Mar</v>
          </cell>
          <cell r="D151">
            <v>380027.46</v>
          </cell>
          <cell r="F151">
            <v>0</v>
          </cell>
          <cell r="G151">
            <v>380027.46</v>
          </cell>
          <cell r="H151">
            <v>133009.60999999999</v>
          </cell>
          <cell r="I151">
            <v>98807.14</v>
          </cell>
        </row>
        <row r="152">
          <cell r="B152" t="str">
            <v>2024 Q2 Apr - Jun</v>
          </cell>
          <cell r="D152">
            <v>1725906.38</v>
          </cell>
          <cell r="F152">
            <v>0</v>
          </cell>
          <cell r="G152">
            <v>1725906.38</v>
          </cell>
          <cell r="H152">
            <v>431476.59</v>
          </cell>
          <cell r="I152">
            <v>517771.93</v>
          </cell>
        </row>
        <row r="153">
          <cell r="B153" t="str">
            <v>2024 Q3 Jul - Sep</v>
          </cell>
          <cell r="D153">
            <v>1932637.37</v>
          </cell>
          <cell r="F153">
            <v>0</v>
          </cell>
          <cell r="G153">
            <v>1932637.37</v>
          </cell>
          <cell r="H153">
            <v>289895.63</v>
          </cell>
          <cell r="I153">
            <v>657096.71</v>
          </cell>
        </row>
        <row r="154">
          <cell r="B154" t="str">
            <v>2024 Q4 Oct - Dec</v>
          </cell>
          <cell r="D154">
            <v>2632807.2400000002</v>
          </cell>
          <cell r="F154">
            <v>0</v>
          </cell>
          <cell r="G154">
            <v>2632807.2400000002</v>
          </cell>
          <cell r="H154">
            <v>131640.37</v>
          </cell>
          <cell r="I154">
            <v>1000466.75</v>
          </cell>
        </row>
        <row r="155">
          <cell r="B155" t="str">
            <v>57.0: Distr Trades Serv</v>
          </cell>
          <cell r="D155">
            <v>21467788.670000002</v>
          </cell>
          <cell r="F155">
            <v>0</v>
          </cell>
          <cell r="G155">
            <v>21467788.670000002</v>
          </cell>
          <cell r="H155">
            <v>10101191.98</v>
          </cell>
          <cell r="I155">
            <v>4572297.08</v>
          </cell>
        </row>
        <row r="156">
          <cell r="B156" t="str">
            <v>2022</v>
          </cell>
          <cell r="D156">
            <v>627.85</v>
          </cell>
          <cell r="F156">
            <v>0</v>
          </cell>
          <cell r="G156">
            <v>627.85</v>
          </cell>
          <cell r="H156">
            <v>44.95</v>
          </cell>
          <cell r="I156">
            <v>16.100000000000001</v>
          </cell>
        </row>
        <row r="157">
          <cell r="B157" t="str">
            <v>2022 Q1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 t="str">
            <v>2023</v>
          </cell>
          <cell r="D158">
            <v>96757.1</v>
          </cell>
          <cell r="F158">
            <v>0</v>
          </cell>
          <cell r="G158">
            <v>96757.1</v>
          </cell>
          <cell r="H158">
            <v>4237.96</v>
          </cell>
          <cell r="I158">
            <v>2480.85</v>
          </cell>
        </row>
        <row r="159">
          <cell r="B159" t="str">
            <v>2024</v>
          </cell>
          <cell r="D159">
            <v>401497.08</v>
          </cell>
          <cell r="F159">
            <v>0</v>
          </cell>
          <cell r="G159">
            <v>401497.08</v>
          </cell>
          <cell r="H159">
            <v>4717.59</v>
          </cell>
          <cell r="I159">
            <v>10294.39</v>
          </cell>
        </row>
        <row r="160">
          <cell r="B160" t="str">
            <v>LH: LH Improv</v>
          </cell>
          <cell r="D160">
            <v>498882.03</v>
          </cell>
          <cell r="F160">
            <v>0</v>
          </cell>
          <cell r="G160">
            <v>498882.03</v>
          </cell>
          <cell r="H160">
            <v>9000.5</v>
          </cell>
          <cell r="I160">
            <v>12791.34</v>
          </cell>
        </row>
        <row r="161">
          <cell r="B161" t="str">
            <v>2022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2022 Q1</v>
          </cell>
          <cell r="D162">
            <v>187545.29</v>
          </cell>
          <cell r="F162">
            <v>0</v>
          </cell>
          <cell r="G162">
            <v>187545.29</v>
          </cell>
          <cell r="H162">
            <v>32803.17</v>
          </cell>
          <cell r="I162">
            <v>9988.83</v>
          </cell>
        </row>
        <row r="163">
          <cell r="B163" t="str">
            <v>2022 Q2</v>
          </cell>
          <cell r="D163">
            <v>1339540.33</v>
          </cell>
          <cell r="F163">
            <v>0</v>
          </cell>
          <cell r="G163">
            <v>1339540.33</v>
          </cell>
          <cell r="H163">
            <v>77955.19</v>
          </cell>
          <cell r="I163">
            <v>30682.43</v>
          </cell>
        </row>
        <row r="164">
          <cell r="B164" t="str">
            <v>2022 Q3</v>
          </cell>
          <cell r="D164">
            <v>247907.16</v>
          </cell>
          <cell r="F164">
            <v>0</v>
          </cell>
          <cell r="G164">
            <v>247907.16</v>
          </cell>
          <cell r="H164">
            <v>39141.160000000003</v>
          </cell>
          <cell r="I164">
            <v>14530.24</v>
          </cell>
        </row>
        <row r="165">
          <cell r="B165" t="str">
            <v>2022 Q4</v>
          </cell>
          <cell r="D165">
            <v>21393643.960000001</v>
          </cell>
          <cell r="F165">
            <v>0</v>
          </cell>
          <cell r="G165">
            <v>21393643.960000001</v>
          </cell>
          <cell r="H165">
            <v>1166822.46</v>
          </cell>
          <cell r="I165">
            <v>466837.54</v>
          </cell>
        </row>
        <row r="166">
          <cell r="B166" t="str">
            <v>2023</v>
          </cell>
          <cell r="D166">
            <v>9385445.5800000001</v>
          </cell>
          <cell r="F166">
            <v>0</v>
          </cell>
          <cell r="G166">
            <v>9385445.5800000001</v>
          </cell>
          <cell r="H166">
            <v>306059.37</v>
          </cell>
          <cell r="I166">
            <v>204039.58</v>
          </cell>
        </row>
        <row r="167">
          <cell r="B167" t="str">
            <v>2024 Q1 Jan - Mar</v>
          </cell>
          <cell r="D167">
            <v>-175429.61</v>
          </cell>
          <cell r="F167">
            <v>0</v>
          </cell>
          <cell r="G167">
            <v>-175429.61</v>
          </cell>
          <cell r="H167">
            <v>-3336.67</v>
          </cell>
          <cell r="I167">
            <v>-3813.84</v>
          </cell>
        </row>
        <row r="168">
          <cell r="B168" t="str">
            <v>2024 Q2 Apr - Jun</v>
          </cell>
          <cell r="D168">
            <v>26191730.420000002</v>
          </cell>
          <cell r="F168">
            <v>0</v>
          </cell>
          <cell r="G168">
            <v>26191730.420000002</v>
          </cell>
          <cell r="H168">
            <v>355945.62</v>
          </cell>
          <cell r="I168">
            <v>569408.22</v>
          </cell>
        </row>
        <row r="169">
          <cell r="B169" t="str">
            <v>2024 Q3 Jul - Sep</v>
          </cell>
          <cell r="D169">
            <v>2546666.63</v>
          </cell>
          <cell r="F169">
            <v>0</v>
          </cell>
          <cell r="G169">
            <v>2546666.63</v>
          </cell>
          <cell r="H169">
            <v>20755.330000000002</v>
          </cell>
          <cell r="I169">
            <v>55364.53</v>
          </cell>
        </row>
        <row r="170">
          <cell r="B170" t="str">
            <v>2024 Q4 Oct - Dec</v>
          </cell>
          <cell r="D170">
            <v>-10765980.619999999</v>
          </cell>
          <cell r="F170">
            <v>0</v>
          </cell>
          <cell r="G170">
            <v>-10765980.619999999</v>
          </cell>
          <cell r="H170">
            <v>-29283.47</v>
          </cell>
          <cell r="I170">
            <v>-234052.42</v>
          </cell>
        </row>
        <row r="171">
          <cell r="B171" t="str">
            <v>LR46: Easements 46 Yr</v>
          </cell>
          <cell r="D171">
            <v>50351069.140000001</v>
          </cell>
          <cell r="F171">
            <v>0</v>
          </cell>
          <cell r="G171">
            <v>50351069.140000001</v>
          </cell>
          <cell r="H171">
            <v>1966862.16</v>
          </cell>
          <cell r="I171">
            <v>1112985.1100000001</v>
          </cell>
        </row>
        <row r="172">
          <cell r="B172" t="str">
            <v>2022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 t="str">
            <v>2022 Q1</v>
          </cell>
          <cell r="D173">
            <v>1089494.81</v>
          </cell>
          <cell r="F173">
            <v>0</v>
          </cell>
          <cell r="G173">
            <v>1089494.81</v>
          </cell>
          <cell r="H173">
            <v>284216.51</v>
          </cell>
          <cell r="I173">
            <v>80535.460000000006</v>
          </cell>
        </row>
        <row r="174">
          <cell r="B174" t="str">
            <v>2022 Q2</v>
          </cell>
          <cell r="D174">
            <v>1586911.55</v>
          </cell>
          <cell r="F174">
            <v>0</v>
          </cell>
          <cell r="G174">
            <v>1586911.55</v>
          </cell>
          <cell r="H174">
            <v>381842.66</v>
          </cell>
          <cell r="I174">
            <v>120510.06</v>
          </cell>
        </row>
        <row r="175">
          <cell r="B175" t="str">
            <v>2022 Q3</v>
          </cell>
          <cell r="D175">
            <v>4304538.1900000004</v>
          </cell>
          <cell r="F175">
            <v>0</v>
          </cell>
          <cell r="G175">
            <v>4304538.1900000004</v>
          </cell>
          <cell r="H175">
            <v>948591.08</v>
          </cell>
          <cell r="I175">
            <v>335624.84</v>
          </cell>
        </row>
        <row r="176">
          <cell r="B176" t="str">
            <v>2022 Q4</v>
          </cell>
          <cell r="D176">
            <v>11478090.02</v>
          </cell>
          <cell r="F176">
            <v>0</v>
          </cell>
          <cell r="G176">
            <v>11478090.02</v>
          </cell>
          <cell r="H176">
            <v>2296995.38</v>
          </cell>
          <cell r="I176">
            <v>918132.42</v>
          </cell>
        </row>
        <row r="177">
          <cell r="B177" t="str">
            <v>2023</v>
          </cell>
          <cell r="D177">
            <v>12247564.35</v>
          </cell>
          <cell r="F177">
            <v>0</v>
          </cell>
          <cell r="G177">
            <v>12247564.35</v>
          </cell>
          <cell r="H177">
            <v>218741.5</v>
          </cell>
          <cell r="I177">
            <v>145746.01999999999</v>
          </cell>
        </row>
        <row r="178">
          <cell r="B178" t="str">
            <v>2024 Q1 Jan - Mar</v>
          </cell>
          <cell r="D178">
            <v>364347.14</v>
          </cell>
          <cell r="F178">
            <v>0</v>
          </cell>
          <cell r="G178">
            <v>364347.14</v>
          </cell>
          <cell r="H178">
            <v>3796.5</v>
          </cell>
          <cell r="I178">
            <v>4335.7299999999996</v>
          </cell>
        </row>
        <row r="179">
          <cell r="B179" t="str">
            <v>2024 Q2 Apr - Jun</v>
          </cell>
          <cell r="D179">
            <v>750184.5</v>
          </cell>
          <cell r="F179">
            <v>0</v>
          </cell>
          <cell r="G179">
            <v>750184.5</v>
          </cell>
          <cell r="H179">
            <v>5581.37</v>
          </cell>
          <cell r="I179">
            <v>8934.7000000000007</v>
          </cell>
        </row>
        <row r="180">
          <cell r="B180" t="str">
            <v>2024 Q3 Jul - Sep</v>
          </cell>
          <cell r="D180">
            <v>159054.56</v>
          </cell>
          <cell r="F180">
            <v>0</v>
          </cell>
          <cell r="G180">
            <v>159054.56</v>
          </cell>
          <cell r="H180">
            <v>709.38</v>
          </cell>
          <cell r="I180">
            <v>1894.34</v>
          </cell>
        </row>
        <row r="181">
          <cell r="B181" t="str">
            <v>2024 Q4 Oct - Dec</v>
          </cell>
          <cell r="D181">
            <v>17664774.25</v>
          </cell>
          <cell r="F181">
            <v>0</v>
          </cell>
          <cell r="G181">
            <v>17664774.25</v>
          </cell>
          <cell r="H181">
            <v>26320.51</v>
          </cell>
          <cell r="I181">
            <v>210210.81</v>
          </cell>
        </row>
        <row r="182">
          <cell r="B182" t="str">
            <v>LR84: Easements 84 Yr</v>
          </cell>
          <cell r="D182">
            <v>49644959.369999997</v>
          </cell>
          <cell r="F182">
            <v>0</v>
          </cell>
          <cell r="G182">
            <v>49644959.369999997</v>
          </cell>
          <cell r="H182">
            <v>4166794.89</v>
          </cell>
          <cell r="I182">
            <v>1825924.38</v>
          </cell>
        </row>
        <row r="183">
          <cell r="B183" t="str">
            <v>2022</v>
          </cell>
          <cell r="D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 t="str">
            <v>2022 Q1</v>
          </cell>
          <cell r="D184">
            <v>1321011.28</v>
          </cell>
          <cell r="F184">
            <v>0</v>
          </cell>
          <cell r="G184">
            <v>1321011.28</v>
          </cell>
          <cell r="H184">
            <v>0</v>
          </cell>
          <cell r="I184">
            <v>0</v>
          </cell>
        </row>
        <row r="185">
          <cell r="B185" t="str">
            <v>2022 Q2</v>
          </cell>
          <cell r="D185">
            <v>22456077.620000001</v>
          </cell>
          <cell r="F185">
            <v>0</v>
          </cell>
          <cell r="G185">
            <v>22456077.620000001</v>
          </cell>
          <cell r="H185">
            <v>0</v>
          </cell>
          <cell r="I185">
            <v>0</v>
          </cell>
        </row>
        <row r="186">
          <cell r="B186" t="str">
            <v>2022 Q3</v>
          </cell>
          <cell r="D186">
            <v>2912999.61</v>
          </cell>
          <cell r="F186">
            <v>0</v>
          </cell>
          <cell r="G186">
            <v>2912999.61</v>
          </cell>
          <cell r="H186">
            <v>0</v>
          </cell>
          <cell r="I186">
            <v>0</v>
          </cell>
        </row>
        <row r="187">
          <cell r="B187" t="str">
            <v>2022 Q4</v>
          </cell>
          <cell r="D187">
            <v>16309470.07</v>
          </cell>
          <cell r="F187">
            <v>0</v>
          </cell>
          <cell r="G187">
            <v>16309470.07</v>
          </cell>
          <cell r="H187">
            <v>0</v>
          </cell>
          <cell r="I187">
            <v>0</v>
          </cell>
        </row>
        <row r="188">
          <cell r="B188" t="str">
            <v>2023</v>
          </cell>
          <cell r="D188">
            <v>42579588.869999997</v>
          </cell>
          <cell r="F188">
            <v>0</v>
          </cell>
          <cell r="G188">
            <v>42579588.869999997</v>
          </cell>
          <cell r="H188">
            <v>0</v>
          </cell>
          <cell r="I188">
            <v>0</v>
          </cell>
        </row>
        <row r="189">
          <cell r="B189" t="str">
            <v>2024 Q1 Jan - Mar</v>
          </cell>
          <cell r="D189">
            <v>6218234.3300000001</v>
          </cell>
          <cell r="F189">
            <v>0</v>
          </cell>
          <cell r="G189">
            <v>6218234.3300000001</v>
          </cell>
          <cell r="H189">
            <v>0</v>
          </cell>
          <cell r="I189">
            <v>0</v>
          </cell>
        </row>
        <row r="190">
          <cell r="B190" t="str">
            <v>2024 Q2 Apr - Jun</v>
          </cell>
          <cell r="D190">
            <v>-17809119.620000001</v>
          </cell>
          <cell r="F190">
            <v>0</v>
          </cell>
          <cell r="G190">
            <v>-17809119.620000001</v>
          </cell>
          <cell r="H190">
            <v>0</v>
          </cell>
          <cell r="I190">
            <v>0</v>
          </cell>
        </row>
        <row r="191">
          <cell r="B191" t="str">
            <v>2024 Q3 Jul - Sep</v>
          </cell>
          <cell r="D191">
            <v>10770606.07</v>
          </cell>
          <cell r="F191">
            <v>0</v>
          </cell>
          <cell r="G191">
            <v>10770606.07</v>
          </cell>
          <cell r="H191">
            <v>0</v>
          </cell>
          <cell r="I191">
            <v>0</v>
          </cell>
        </row>
        <row r="192">
          <cell r="B192" t="str">
            <v>2024 Q4 Oct - Dec</v>
          </cell>
          <cell r="D192">
            <v>5308793.58</v>
          </cell>
          <cell r="F192">
            <v>0</v>
          </cell>
          <cell r="G192">
            <v>5308793.58</v>
          </cell>
          <cell r="H192">
            <v>0</v>
          </cell>
          <cell r="I192">
            <v>0</v>
          </cell>
        </row>
        <row r="193">
          <cell r="B193" t="str">
            <v>ND: Non Depr</v>
          </cell>
          <cell r="D193">
            <v>90067661.810000002</v>
          </cell>
          <cell r="F193">
            <v>0</v>
          </cell>
          <cell r="G193">
            <v>90067661.810000002</v>
          </cell>
          <cell r="H193">
            <v>0</v>
          </cell>
          <cell r="I193">
            <v>0</v>
          </cell>
        </row>
        <row r="194">
          <cell r="B194" t="str">
            <v>2022</v>
          </cell>
          <cell r="D194">
            <v>58816705.030000001</v>
          </cell>
          <cell r="F194">
            <v>0</v>
          </cell>
          <cell r="G194">
            <v>58816705.030000001</v>
          </cell>
          <cell r="H194">
            <v>3237496.15</v>
          </cell>
          <cell r="I194">
            <v>1508074.96</v>
          </cell>
        </row>
        <row r="195">
          <cell r="B195" t="str">
            <v>2022 Q1</v>
          </cell>
          <cell r="D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B196" t="str">
            <v>2023</v>
          </cell>
          <cell r="D196">
            <v>79021980.530000001</v>
          </cell>
          <cell r="F196">
            <v>0</v>
          </cell>
          <cell r="G196">
            <v>79021980.530000001</v>
          </cell>
          <cell r="H196">
            <v>2787845.94</v>
          </cell>
          <cell r="I196">
            <v>2026123.58</v>
          </cell>
        </row>
        <row r="197">
          <cell r="B197" t="str">
            <v>2024</v>
          </cell>
          <cell r="D197">
            <v>108578067.59999999</v>
          </cell>
          <cell r="F197">
            <v>0</v>
          </cell>
          <cell r="G197">
            <v>108578067.59999999</v>
          </cell>
          <cell r="H197">
            <v>662106.74</v>
          </cell>
          <cell r="I197">
            <v>2783941.64</v>
          </cell>
        </row>
        <row r="198">
          <cell r="B198" t="str">
            <v>RP: RP 81-86 &amp; Post92</v>
          </cell>
          <cell r="D198">
            <v>246416753.16</v>
          </cell>
          <cell r="F198">
            <v>0</v>
          </cell>
          <cell r="G198">
            <v>246416753.16</v>
          </cell>
          <cell r="H198">
            <v>6687448.8300000001</v>
          </cell>
          <cell r="I198">
            <v>6318140.1799999997</v>
          </cell>
        </row>
        <row r="199">
          <cell r="B199" t="str">
            <v>COR</v>
          </cell>
          <cell r="D199">
            <v>0.05</v>
          </cell>
          <cell r="F199">
            <v>0</v>
          </cell>
          <cell r="G199">
            <v>0.05</v>
          </cell>
          <cell r="H199">
            <v>0.05</v>
          </cell>
          <cell r="I199">
            <v>0</v>
          </cell>
        </row>
        <row r="200">
          <cell r="B200" t="str">
            <v>RSG 2023</v>
          </cell>
          <cell r="D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 t="str">
            <v>Unclassified</v>
          </cell>
          <cell r="D201">
            <v>0.05</v>
          </cell>
          <cell r="F201">
            <v>0</v>
          </cell>
          <cell r="G201">
            <v>0.05</v>
          </cell>
          <cell r="H201">
            <v>0.05</v>
          </cell>
          <cell r="I201">
            <v>0</v>
          </cell>
        </row>
        <row r="202">
          <cell r="D202">
            <v>8984930411.0900002</v>
          </cell>
          <cell r="F202">
            <v>0</v>
          </cell>
          <cell r="G202">
            <v>8984930411.0900002</v>
          </cell>
          <cell r="H202">
            <v>964295905.05999994</v>
          </cell>
          <cell r="I202">
            <v>717988311.65999997</v>
          </cell>
        </row>
      </sheetData>
      <sheetData sheetId="13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1182586.73</v>
          </cell>
          <cell r="F6">
            <v>0</v>
          </cell>
          <cell r="G6">
            <v>1182586.73</v>
          </cell>
          <cell r="H6">
            <v>859362.11</v>
          </cell>
          <cell r="I6">
            <v>103429.04</v>
          </cell>
        </row>
        <row r="7">
          <cell r="B7" t="str">
            <v>2022 Q2</v>
          </cell>
          <cell r="D7">
            <v>211854.8</v>
          </cell>
          <cell r="F7">
            <v>0</v>
          </cell>
          <cell r="G7">
            <v>211854.8</v>
          </cell>
          <cell r="H7">
            <v>148436.04999999999</v>
          </cell>
          <cell r="I7">
            <v>18789.41</v>
          </cell>
        </row>
        <row r="8">
          <cell r="B8" t="str">
            <v>2022 Q3</v>
          </cell>
          <cell r="D8">
            <v>344137.56</v>
          </cell>
          <cell r="F8">
            <v>0</v>
          </cell>
          <cell r="G8">
            <v>344137.56</v>
          </cell>
          <cell r="H8">
            <v>232158.66</v>
          </cell>
          <cell r="I8">
            <v>31994.46</v>
          </cell>
        </row>
        <row r="9">
          <cell r="B9" t="str">
            <v>2022 Q4</v>
          </cell>
          <cell r="D9">
            <v>2954138.55</v>
          </cell>
          <cell r="F9">
            <v>0</v>
          </cell>
          <cell r="G9">
            <v>2954138.55</v>
          </cell>
          <cell r="H9">
            <v>1915995.16</v>
          </cell>
          <cell r="I9">
            <v>296625.05</v>
          </cell>
        </row>
        <row r="10">
          <cell r="B10" t="str">
            <v>2023</v>
          </cell>
          <cell r="D10">
            <v>1238582.9099999999</v>
          </cell>
          <cell r="F10">
            <v>0</v>
          </cell>
          <cell r="G10">
            <v>1238582.9099999999</v>
          </cell>
          <cell r="H10">
            <v>696925.81</v>
          </cell>
          <cell r="I10">
            <v>154760.94</v>
          </cell>
        </row>
        <row r="11">
          <cell r="B11" t="str">
            <v>2024 Q1 Jan - Mar</v>
          </cell>
          <cell r="D11">
            <v>18975.5</v>
          </cell>
          <cell r="F11">
            <v>0</v>
          </cell>
          <cell r="G11">
            <v>18975.5</v>
          </cell>
          <cell r="H11">
            <v>8810.1299999999992</v>
          </cell>
          <cell r="I11">
            <v>2904.4</v>
          </cell>
        </row>
        <row r="12">
          <cell r="B12" t="str">
            <v>2024 Q2 Apr - Jun</v>
          </cell>
          <cell r="D12">
            <v>295722.03000000003</v>
          </cell>
          <cell r="F12">
            <v>0</v>
          </cell>
          <cell r="G12">
            <v>295722.03000000003</v>
          </cell>
          <cell r="H12">
            <v>122213.03</v>
          </cell>
          <cell r="I12">
            <v>49571.89</v>
          </cell>
        </row>
        <row r="13">
          <cell r="B13" t="str">
            <v>2024 Q3 Jul - Sep</v>
          </cell>
          <cell r="D13">
            <v>1146278.79</v>
          </cell>
          <cell r="F13">
            <v>0</v>
          </cell>
          <cell r="G13">
            <v>1146278.79</v>
          </cell>
          <cell r="H13">
            <v>415228.03</v>
          </cell>
          <cell r="I13">
            <v>208874.92</v>
          </cell>
        </row>
        <row r="14">
          <cell r="B14" t="str">
            <v>2024 Q4 Oct - Dec</v>
          </cell>
          <cell r="D14">
            <v>2528775.2000000002</v>
          </cell>
          <cell r="F14">
            <v>0</v>
          </cell>
          <cell r="G14">
            <v>2528775.2000000002</v>
          </cell>
          <cell r="H14">
            <v>787005.43</v>
          </cell>
          <cell r="I14">
            <v>497662.97</v>
          </cell>
        </row>
        <row r="15">
          <cell r="B15" t="str">
            <v>00.11: Furn, Fixt, Equip</v>
          </cell>
          <cell r="D15">
            <v>9921052.0700000003</v>
          </cell>
          <cell r="F15">
            <v>0</v>
          </cell>
          <cell r="G15">
            <v>9921052.0700000003</v>
          </cell>
          <cell r="H15">
            <v>5186134.41</v>
          </cell>
          <cell r="I15">
            <v>1364613.08</v>
          </cell>
        </row>
        <row r="16">
          <cell r="B16" t="str">
            <v>2022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Q1</v>
          </cell>
          <cell r="D17">
            <v>2649075.2599999998</v>
          </cell>
          <cell r="F17">
            <v>0</v>
          </cell>
          <cell r="G17">
            <v>2649075.2599999998</v>
          </cell>
          <cell r="H17">
            <v>2320854.79</v>
          </cell>
          <cell r="I17">
            <v>291663.19</v>
          </cell>
        </row>
        <row r="18">
          <cell r="B18" t="str">
            <v>2022 Q2</v>
          </cell>
          <cell r="D18">
            <v>220880.88</v>
          </cell>
          <cell r="F18">
            <v>0</v>
          </cell>
          <cell r="G18">
            <v>220880.88</v>
          </cell>
          <cell r="H18">
            <v>186357.2</v>
          </cell>
          <cell r="I18">
            <v>25114.16</v>
          </cell>
        </row>
        <row r="19">
          <cell r="B19" t="str">
            <v>2022 Q3</v>
          </cell>
          <cell r="D19">
            <v>6423064.0999999996</v>
          </cell>
          <cell r="F19">
            <v>0</v>
          </cell>
          <cell r="G19">
            <v>6423064.0999999996</v>
          </cell>
          <cell r="H19">
            <v>5243789.59</v>
          </cell>
          <cell r="I19">
            <v>725806.24</v>
          </cell>
        </row>
        <row r="20">
          <cell r="B20" t="str">
            <v>2022 Q4</v>
          </cell>
          <cell r="D20">
            <v>14381309.779999999</v>
          </cell>
          <cell r="F20">
            <v>0</v>
          </cell>
          <cell r="G20">
            <v>14381309.779999999</v>
          </cell>
          <cell r="H20">
            <v>11430265.15</v>
          </cell>
          <cell r="I20">
            <v>1573315.29</v>
          </cell>
        </row>
        <row r="21">
          <cell r="B21" t="str">
            <v>2023</v>
          </cell>
          <cell r="D21">
            <v>12545497.51</v>
          </cell>
          <cell r="F21">
            <v>0</v>
          </cell>
          <cell r="G21">
            <v>12545497.51</v>
          </cell>
          <cell r="H21">
            <v>8932394.2300000004</v>
          </cell>
          <cell r="I21">
            <v>1445241.31</v>
          </cell>
        </row>
        <row r="22">
          <cell r="B22" t="str">
            <v>2024 Q1 Jan - Mar</v>
          </cell>
          <cell r="D22">
            <v>2597610.86</v>
          </cell>
          <cell r="F22">
            <v>0</v>
          </cell>
          <cell r="G22">
            <v>2597610.86</v>
          </cell>
          <cell r="H22">
            <v>1584542.57</v>
          </cell>
          <cell r="I22">
            <v>405227.29</v>
          </cell>
        </row>
        <row r="23">
          <cell r="B23" t="str">
            <v>2024 Q2 Apr - Jun</v>
          </cell>
          <cell r="D23">
            <v>2154614.06</v>
          </cell>
          <cell r="F23">
            <v>0</v>
          </cell>
          <cell r="G23">
            <v>2154614.06</v>
          </cell>
          <cell r="H23">
            <v>1185037.76</v>
          </cell>
          <cell r="I23">
            <v>387830.55</v>
          </cell>
        </row>
        <row r="24">
          <cell r="B24" t="str">
            <v>2024 Q3 Jul - Sep</v>
          </cell>
          <cell r="D24">
            <v>142383.43</v>
          </cell>
          <cell r="F24">
            <v>0</v>
          </cell>
          <cell r="G24">
            <v>142383.43</v>
          </cell>
          <cell r="H24">
            <v>69767.89</v>
          </cell>
          <cell r="I24">
            <v>29046.22</v>
          </cell>
        </row>
        <row r="25">
          <cell r="B25" t="str">
            <v>2024 Q4 Oct - Dec</v>
          </cell>
          <cell r="D25">
            <v>16659504.74</v>
          </cell>
          <cell r="F25">
            <v>0</v>
          </cell>
          <cell r="G25">
            <v>16659504.74</v>
          </cell>
          <cell r="H25">
            <v>7163587.0300000003</v>
          </cell>
          <cell r="I25">
            <v>3798367.08</v>
          </cell>
        </row>
        <row r="26">
          <cell r="B26" t="str">
            <v>00.12: Info Systems</v>
          </cell>
          <cell r="D26">
            <v>57773940.619999997</v>
          </cell>
          <cell r="F26">
            <v>0</v>
          </cell>
          <cell r="G26">
            <v>57773940.619999997</v>
          </cell>
          <cell r="H26">
            <v>38116596.210000001</v>
          </cell>
          <cell r="I26">
            <v>8681611.3300000001</v>
          </cell>
        </row>
        <row r="27">
          <cell r="B27" t="str">
            <v>2024 Q1 Jan - Mar</v>
          </cell>
          <cell r="D27">
            <v>7362.55</v>
          </cell>
          <cell r="F27">
            <v>0</v>
          </cell>
          <cell r="G27">
            <v>7362.55</v>
          </cell>
          <cell r="H27">
            <v>4491.1499999999996</v>
          </cell>
          <cell r="I27">
            <v>1148.56</v>
          </cell>
        </row>
        <row r="28">
          <cell r="B28" t="str">
            <v>2024 Q2 Apr - Jun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2024 Q3 Jul - Sep</v>
          </cell>
          <cell r="D29">
            <v>-382.43</v>
          </cell>
          <cell r="F29">
            <v>0</v>
          </cell>
          <cell r="G29">
            <v>-382.43</v>
          </cell>
          <cell r="H29">
            <v>-187.39</v>
          </cell>
          <cell r="I29">
            <v>-78.02</v>
          </cell>
        </row>
        <row r="30">
          <cell r="B30" t="str">
            <v>00.13: Data Handling Eq</v>
          </cell>
          <cell r="D30">
            <v>6980.12</v>
          </cell>
          <cell r="F30">
            <v>0</v>
          </cell>
          <cell r="G30">
            <v>6980.12</v>
          </cell>
          <cell r="H30">
            <v>4303.76</v>
          </cell>
          <cell r="I30">
            <v>1070.54</v>
          </cell>
        </row>
        <row r="31">
          <cell r="B31" t="str">
            <v>2022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2023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00.21: Airplanes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2022 Q1</v>
          </cell>
          <cell r="D35">
            <v>28493.84</v>
          </cell>
          <cell r="F35">
            <v>0</v>
          </cell>
          <cell r="G35">
            <v>28493.84</v>
          </cell>
          <cell r="H35">
            <v>24963.45</v>
          </cell>
          <cell r="I35">
            <v>3137.17</v>
          </cell>
        </row>
        <row r="36">
          <cell r="B36" t="str">
            <v>2022 Q2</v>
          </cell>
          <cell r="D36">
            <v>54557.18</v>
          </cell>
          <cell r="F36">
            <v>0</v>
          </cell>
          <cell r="G36">
            <v>54557.18</v>
          </cell>
          <cell r="H36">
            <v>46029.89</v>
          </cell>
          <cell r="I36">
            <v>6203.15</v>
          </cell>
        </row>
        <row r="37">
          <cell r="B37" t="str">
            <v>2022 Q3</v>
          </cell>
          <cell r="D37">
            <v>29936.46</v>
          </cell>
          <cell r="F37">
            <v>0</v>
          </cell>
          <cell r="G37">
            <v>29936.46</v>
          </cell>
          <cell r="H37">
            <v>24440.13</v>
          </cell>
          <cell r="I37">
            <v>3382.82</v>
          </cell>
        </row>
        <row r="38">
          <cell r="B38" t="str">
            <v>2022 Q4</v>
          </cell>
          <cell r="D38">
            <v>564294.56999999995</v>
          </cell>
          <cell r="F38">
            <v>0</v>
          </cell>
          <cell r="G38">
            <v>564294.56999999995</v>
          </cell>
          <cell r="H38">
            <v>448501.34</v>
          </cell>
          <cell r="I38">
            <v>61733.83</v>
          </cell>
        </row>
        <row r="39">
          <cell r="B39" t="str">
            <v>2023</v>
          </cell>
          <cell r="D39">
            <v>663246.96</v>
          </cell>
          <cell r="F39">
            <v>0</v>
          </cell>
          <cell r="G39">
            <v>663246.96</v>
          </cell>
          <cell r="H39">
            <v>472231.84</v>
          </cell>
          <cell r="I39">
            <v>76406.05</v>
          </cell>
        </row>
        <row r="40">
          <cell r="B40" t="str">
            <v>2024 Q3 Jul - Sep</v>
          </cell>
          <cell r="D40">
            <v>63959.35</v>
          </cell>
          <cell r="F40">
            <v>0</v>
          </cell>
          <cell r="G40">
            <v>63959.35</v>
          </cell>
          <cell r="H40">
            <v>31340.080000000002</v>
          </cell>
          <cell r="I40">
            <v>13047.71</v>
          </cell>
        </row>
        <row r="41">
          <cell r="B41" t="str">
            <v>2024 Q4 Oct - Dec</v>
          </cell>
          <cell r="D41">
            <v>153986.09</v>
          </cell>
          <cell r="F41">
            <v>0</v>
          </cell>
          <cell r="G41">
            <v>153986.09</v>
          </cell>
          <cell r="H41">
            <v>66214.009999999995</v>
          </cell>
          <cell r="I41">
            <v>35108.83</v>
          </cell>
        </row>
        <row r="42">
          <cell r="B42" t="str">
            <v>00.22: Automobiles</v>
          </cell>
          <cell r="D42">
            <v>1558474.45</v>
          </cell>
          <cell r="F42">
            <v>0</v>
          </cell>
          <cell r="G42">
            <v>1558474.45</v>
          </cell>
          <cell r="H42">
            <v>1113720.74</v>
          </cell>
          <cell r="I42">
            <v>199019.56</v>
          </cell>
        </row>
        <row r="43">
          <cell r="B43" t="str">
            <v>2022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B44" t="str">
            <v>2022 Q2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2023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00.241: Light Trucks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2022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2022 Q1</v>
          </cell>
          <cell r="D48">
            <v>2969.3</v>
          </cell>
          <cell r="F48">
            <v>0</v>
          </cell>
          <cell r="G48">
            <v>2969.3</v>
          </cell>
          <cell r="H48">
            <v>2601.4</v>
          </cell>
          <cell r="I48">
            <v>326.92</v>
          </cell>
        </row>
        <row r="49">
          <cell r="B49" t="str">
            <v>2022 Q2</v>
          </cell>
          <cell r="D49">
            <v>1914.89</v>
          </cell>
          <cell r="F49">
            <v>0</v>
          </cell>
          <cell r="G49">
            <v>1914.89</v>
          </cell>
          <cell r="H49">
            <v>1615.59</v>
          </cell>
          <cell r="I49">
            <v>217.72</v>
          </cell>
        </row>
        <row r="50">
          <cell r="B50" t="str">
            <v>2022 Q3</v>
          </cell>
          <cell r="D50">
            <v>25459.69</v>
          </cell>
          <cell r="F50">
            <v>0</v>
          </cell>
          <cell r="G50">
            <v>25459.69</v>
          </cell>
          <cell r="H50">
            <v>20785.29</v>
          </cell>
          <cell r="I50">
            <v>2876.94</v>
          </cell>
        </row>
        <row r="51">
          <cell r="B51" t="str">
            <v>2022 Q4</v>
          </cell>
          <cell r="D51">
            <v>37998.32</v>
          </cell>
          <cell r="F51">
            <v>0</v>
          </cell>
          <cell r="G51">
            <v>37998.32</v>
          </cell>
          <cell r="H51">
            <v>30201.07</v>
          </cell>
          <cell r="I51">
            <v>4157.0200000000004</v>
          </cell>
        </row>
        <row r="52">
          <cell r="B52" t="str">
            <v>2023</v>
          </cell>
          <cell r="D52">
            <v>200634.54</v>
          </cell>
          <cell r="F52">
            <v>0</v>
          </cell>
          <cell r="G52">
            <v>200634.54</v>
          </cell>
          <cell r="H52">
            <v>142851.79</v>
          </cell>
          <cell r="I52">
            <v>23113.1</v>
          </cell>
        </row>
        <row r="53">
          <cell r="B53" t="str">
            <v>2024 Q3 Jul - Sep</v>
          </cell>
          <cell r="D53">
            <v>2498.4</v>
          </cell>
          <cell r="F53">
            <v>0</v>
          </cell>
          <cell r="G53">
            <v>2498.4</v>
          </cell>
          <cell r="H53">
            <v>1224.22</v>
          </cell>
          <cell r="I53">
            <v>509.67</v>
          </cell>
        </row>
        <row r="54">
          <cell r="B54" t="str">
            <v>2024 Q4 Oct - Dec</v>
          </cell>
          <cell r="D54">
            <v>2627925.4900000002</v>
          </cell>
          <cell r="F54">
            <v>0</v>
          </cell>
          <cell r="G54">
            <v>2627925.4900000002</v>
          </cell>
          <cell r="H54">
            <v>1130007.96</v>
          </cell>
          <cell r="I54">
            <v>599167.01</v>
          </cell>
        </row>
        <row r="55">
          <cell r="B55" t="str">
            <v>00.242: Heavy Trucks</v>
          </cell>
          <cell r="D55">
            <v>2899400.63</v>
          </cell>
          <cell r="F55">
            <v>0</v>
          </cell>
          <cell r="G55">
            <v>2899400.63</v>
          </cell>
          <cell r="H55">
            <v>1329287.32</v>
          </cell>
          <cell r="I55">
            <v>630368.38</v>
          </cell>
        </row>
        <row r="56">
          <cell r="B56" t="str">
            <v>2022</v>
          </cell>
          <cell r="D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 t="str">
            <v>2023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B58" t="str">
            <v>00.25: Railroad Cars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2022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B60" t="str">
            <v>2022 Q1</v>
          </cell>
          <cell r="D60">
            <v>21825.22</v>
          </cell>
          <cell r="F60">
            <v>0</v>
          </cell>
          <cell r="G60">
            <v>21825.22</v>
          </cell>
          <cell r="H60">
            <v>19121.080000000002</v>
          </cell>
          <cell r="I60">
            <v>2402.96</v>
          </cell>
        </row>
        <row r="61">
          <cell r="B61" t="str">
            <v>2022 Q2</v>
          </cell>
          <cell r="D61">
            <v>154569.19</v>
          </cell>
          <cell r="F61">
            <v>0</v>
          </cell>
          <cell r="G61">
            <v>154569.19</v>
          </cell>
          <cell r="H61">
            <v>130410.04</v>
          </cell>
          <cell r="I61">
            <v>17574.52</v>
          </cell>
        </row>
        <row r="62">
          <cell r="B62" t="str">
            <v>2022 Q3</v>
          </cell>
          <cell r="D62">
            <v>-4660.16</v>
          </cell>
          <cell r="F62">
            <v>0</v>
          </cell>
          <cell r="G62">
            <v>-4660.16</v>
          </cell>
          <cell r="H62">
            <v>-3804.56</v>
          </cell>
          <cell r="I62">
            <v>-526.6</v>
          </cell>
        </row>
        <row r="63">
          <cell r="B63" t="str">
            <v>2022 Q4</v>
          </cell>
          <cell r="D63">
            <v>227651.94</v>
          </cell>
          <cell r="F63">
            <v>0</v>
          </cell>
          <cell r="G63">
            <v>227651.94</v>
          </cell>
          <cell r="H63">
            <v>180937.77</v>
          </cell>
          <cell r="I63">
            <v>24905.119999999999</v>
          </cell>
        </row>
        <row r="64">
          <cell r="B64" t="str">
            <v>2023</v>
          </cell>
          <cell r="D64">
            <v>1055510.33</v>
          </cell>
          <cell r="F64">
            <v>0</v>
          </cell>
          <cell r="G64">
            <v>1055510.33</v>
          </cell>
          <cell r="H64">
            <v>751523.35</v>
          </cell>
          <cell r="I64">
            <v>121594.79</v>
          </cell>
        </row>
        <row r="65">
          <cell r="B65" t="str">
            <v>2024 Q1 Jan - Mar</v>
          </cell>
          <cell r="D65">
            <v>42461.61</v>
          </cell>
          <cell r="F65">
            <v>0</v>
          </cell>
          <cell r="G65">
            <v>42461.61</v>
          </cell>
          <cell r="H65">
            <v>25901.57</v>
          </cell>
          <cell r="I65">
            <v>6624.01</v>
          </cell>
        </row>
        <row r="66">
          <cell r="B66" t="str">
            <v>2024 Q2 Apr - Jun</v>
          </cell>
          <cell r="D66">
            <v>30338.74</v>
          </cell>
          <cell r="F66">
            <v>0</v>
          </cell>
          <cell r="G66">
            <v>30338.74</v>
          </cell>
          <cell r="H66">
            <v>16686.3</v>
          </cell>
          <cell r="I66">
            <v>5460.97</v>
          </cell>
        </row>
        <row r="67">
          <cell r="B67" t="str">
            <v>2024 Q3 Jul - Sep</v>
          </cell>
          <cell r="D67">
            <v>18719.07</v>
          </cell>
          <cell r="F67">
            <v>0</v>
          </cell>
          <cell r="G67">
            <v>18719.07</v>
          </cell>
          <cell r="H67">
            <v>9172.34</v>
          </cell>
          <cell r="I67">
            <v>3818.69</v>
          </cell>
        </row>
        <row r="68">
          <cell r="B68" t="str">
            <v>2024 Q4 Oct - Dec</v>
          </cell>
          <cell r="D68">
            <v>482122.22</v>
          </cell>
          <cell r="F68">
            <v>0</v>
          </cell>
          <cell r="G68">
            <v>482122.22</v>
          </cell>
          <cell r="H68">
            <v>207312.55</v>
          </cell>
          <cell r="I68">
            <v>109923.87</v>
          </cell>
        </row>
        <row r="69">
          <cell r="B69" t="str">
            <v>00.27: Trailers</v>
          </cell>
          <cell r="D69">
            <v>2028538.16</v>
          </cell>
          <cell r="F69">
            <v>0</v>
          </cell>
          <cell r="G69">
            <v>2028538.16</v>
          </cell>
          <cell r="H69">
            <v>1337260.44</v>
          </cell>
          <cell r="I69">
            <v>291778.33</v>
          </cell>
        </row>
        <row r="70">
          <cell r="B70" t="str">
            <v>2022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Q2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2024 Q4 Oct - Dec</v>
          </cell>
          <cell r="D73">
            <v>2118</v>
          </cell>
          <cell r="F73">
            <v>0</v>
          </cell>
          <cell r="G73">
            <v>2118</v>
          </cell>
          <cell r="H73">
            <v>465.96</v>
          </cell>
          <cell r="I73">
            <v>330.41</v>
          </cell>
        </row>
        <row r="74">
          <cell r="B74" t="str">
            <v>00.28: Boats</v>
          </cell>
          <cell r="D74">
            <v>2118</v>
          </cell>
          <cell r="F74">
            <v>0</v>
          </cell>
          <cell r="G74">
            <v>2118</v>
          </cell>
          <cell r="H74">
            <v>465.96</v>
          </cell>
          <cell r="I74">
            <v>330.41</v>
          </cell>
        </row>
        <row r="75">
          <cell r="B75" t="str">
            <v>2022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Q1</v>
          </cell>
          <cell r="D76">
            <v>1838451.36</v>
          </cell>
          <cell r="F76">
            <v>0</v>
          </cell>
          <cell r="G76">
            <v>1838451.36</v>
          </cell>
          <cell r="H76">
            <v>615495.13</v>
          </cell>
          <cell r="I76">
            <v>122293.78</v>
          </cell>
        </row>
        <row r="77">
          <cell r="B77" t="str">
            <v>2022 Q2</v>
          </cell>
          <cell r="D77">
            <v>15168571.65</v>
          </cell>
          <cell r="F77">
            <v>0</v>
          </cell>
          <cell r="G77">
            <v>15168571.65</v>
          </cell>
          <cell r="H77">
            <v>4801763.0199999996</v>
          </cell>
          <cell r="I77">
            <v>1036771.87</v>
          </cell>
        </row>
        <row r="78">
          <cell r="B78" t="str">
            <v>2022 Q3</v>
          </cell>
          <cell r="D78">
            <v>6241531.1799999997</v>
          </cell>
          <cell r="F78">
            <v>0</v>
          </cell>
          <cell r="G78">
            <v>6241531.1799999997</v>
          </cell>
          <cell r="H78">
            <v>1862098.42</v>
          </cell>
          <cell r="I78">
            <v>437905.83</v>
          </cell>
        </row>
        <row r="79">
          <cell r="B79" t="str">
            <v>2022 Q4</v>
          </cell>
          <cell r="D79">
            <v>31712949.879999999</v>
          </cell>
          <cell r="F79">
            <v>0</v>
          </cell>
          <cell r="G79">
            <v>31712949.879999999</v>
          </cell>
          <cell r="H79">
            <v>8883114.4100000001</v>
          </cell>
          <cell r="I79">
            <v>2283015.27</v>
          </cell>
        </row>
        <row r="80">
          <cell r="B80" t="str">
            <v>2023</v>
          </cell>
          <cell r="D80">
            <v>89391025.590000004</v>
          </cell>
          <cell r="F80">
            <v>0</v>
          </cell>
          <cell r="G80">
            <v>89391025.590000004</v>
          </cell>
          <cell r="H80">
            <v>20559935.91</v>
          </cell>
          <cell r="I80">
            <v>6883108.9699999997</v>
          </cell>
        </row>
        <row r="81">
          <cell r="B81" t="str">
            <v>2024 Q1 Jan - Mar</v>
          </cell>
          <cell r="D81">
            <v>13050455.869999999</v>
          </cell>
          <cell r="F81">
            <v>0</v>
          </cell>
          <cell r="G81">
            <v>13050455.869999999</v>
          </cell>
          <cell r="H81">
            <v>2332768.98</v>
          </cell>
          <cell r="I81">
            <v>1071703.43</v>
          </cell>
        </row>
        <row r="82">
          <cell r="B82" t="str">
            <v>2024 Q2 Apr - Jun</v>
          </cell>
          <cell r="D82">
            <v>38295435.450000003</v>
          </cell>
          <cell r="F82">
            <v>0</v>
          </cell>
          <cell r="G82">
            <v>38295435.450000003</v>
          </cell>
          <cell r="H82">
            <v>5983661.7999999998</v>
          </cell>
          <cell r="I82">
            <v>3230985.88</v>
          </cell>
        </row>
        <row r="83">
          <cell r="B83" t="str">
            <v>2024 Q3 Jul - Sep</v>
          </cell>
          <cell r="D83">
            <v>11806611.529999999</v>
          </cell>
          <cell r="F83">
            <v>0</v>
          </cell>
          <cell r="G83">
            <v>11806611.529999999</v>
          </cell>
          <cell r="H83">
            <v>1579134.29</v>
          </cell>
          <cell r="I83">
            <v>1022688.69</v>
          </cell>
        </row>
        <row r="84">
          <cell r="B84" t="str">
            <v>2024 Q4 Oct - Dec</v>
          </cell>
          <cell r="D84">
            <v>75702285.239999995</v>
          </cell>
          <cell r="F84">
            <v>0</v>
          </cell>
          <cell r="G84">
            <v>75702285.239999995</v>
          </cell>
          <cell r="H84">
            <v>8421879.2400000002</v>
          </cell>
          <cell r="I84">
            <v>6727662.0999999996</v>
          </cell>
        </row>
        <row r="85">
          <cell r="B85" t="str">
            <v>00.3: Land Improv</v>
          </cell>
          <cell r="D85">
            <v>283207317.75</v>
          </cell>
          <cell r="F85">
            <v>0</v>
          </cell>
          <cell r="G85">
            <v>283207317.75</v>
          </cell>
          <cell r="H85">
            <v>55039851.200000003</v>
          </cell>
          <cell r="I85">
            <v>22816135.82</v>
          </cell>
        </row>
        <row r="86">
          <cell r="B86" t="str">
            <v>2022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Q4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40.4: Railroad Track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2022</v>
          </cell>
          <cell r="D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 t="str">
            <v>2022 Q1</v>
          </cell>
          <cell r="D91">
            <v>232914347.24000001</v>
          </cell>
          <cell r="F91">
            <v>0</v>
          </cell>
          <cell r="G91">
            <v>232914347.24000001</v>
          </cell>
          <cell r="H91">
            <v>60671858.310000002</v>
          </cell>
          <cell r="I91">
            <v>12917429.699999999</v>
          </cell>
        </row>
        <row r="92">
          <cell r="B92" t="str">
            <v>2022 Q2</v>
          </cell>
          <cell r="D92">
            <v>242861226.53</v>
          </cell>
          <cell r="F92">
            <v>0</v>
          </cell>
          <cell r="G92">
            <v>242861226.53</v>
          </cell>
          <cell r="H92">
            <v>59658860.299999997</v>
          </cell>
          <cell r="I92">
            <v>13738659.58</v>
          </cell>
        </row>
        <row r="93">
          <cell r="B93" t="str">
            <v>2022 Q3</v>
          </cell>
          <cell r="D93">
            <v>261111022.72</v>
          </cell>
          <cell r="F93">
            <v>0</v>
          </cell>
          <cell r="G93">
            <v>261111022.72</v>
          </cell>
          <cell r="H93">
            <v>60267035.170000002</v>
          </cell>
          <cell r="I93">
            <v>15063494.890000001</v>
          </cell>
        </row>
        <row r="94">
          <cell r="B94" t="str">
            <v>2022 Q4</v>
          </cell>
          <cell r="D94">
            <v>282105149.75</v>
          </cell>
          <cell r="F94">
            <v>0</v>
          </cell>
          <cell r="G94">
            <v>282105149.75</v>
          </cell>
          <cell r="H94">
            <v>60926249.200000003</v>
          </cell>
          <cell r="I94">
            <v>16587782.810000001</v>
          </cell>
        </row>
        <row r="95">
          <cell r="B95" t="str">
            <v>2023</v>
          </cell>
          <cell r="D95">
            <v>1370218495.6500001</v>
          </cell>
          <cell r="F95">
            <v>0</v>
          </cell>
          <cell r="G95">
            <v>1370218495.6500001</v>
          </cell>
          <cell r="H95">
            <v>241788755.74000001</v>
          </cell>
          <cell r="I95">
            <v>84638396.459999993</v>
          </cell>
        </row>
        <row r="96">
          <cell r="B96" t="str">
            <v>2024 Q1 Jan - Mar</v>
          </cell>
          <cell r="D96">
            <v>386623153.27999997</v>
          </cell>
          <cell r="F96">
            <v>0</v>
          </cell>
          <cell r="G96">
            <v>386623153.27999997</v>
          </cell>
          <cell r="H96">
            <v>52464761.909999996</v>
          </cell>
          <cell r="I96">
            <v>25064779.02</v>
          </cell>
        </row>
        <row r="97">
          <cell r="B97" t="str">
            <v>2024 Q2 Apr - Jun</v>
          </cell>
          <cell r="D97">
            <v>407293025.22000003</v>
          </cell>
          <cell r="F97">
            <v>0</v>
          </cell>
          <cell r="G97">
            <v>407293025.22000003</v>
          </cell>
          <cell r="H97">
            <v>48207202.460000001</v>
          </cell>
          <cell r="I97">
            <v>26930214.809999999</v>
          </cell>
        </row>
        <row r="98">
          <cell r="B98" t="str">
            <v>2024 Q3 Jul - Sep</v>
          </cell>
          <cell r="D98">
            <v>428328059.45999998</v>
          </cell>
          <cell r="F98">
            <v>0</v>
          </cell>
          <cell r="G98">
            <v>428328059.45999998</v>
          </cell>
          <cell r="H98">
            <v>43269700.560000002</v>
          </cell>
          <cell r="I98">
            <v>28877877.77</v>
          </cell>
        </row>
        <row r="99">
          <cell r="B99" t="str">
            <v>2024 Q4 Oct - Dec</v>
          </cell>
          <cell r="D99">
            <v>459960826.62</v>
          </cell>
          <cell r="F99">
            <v>0</v>
          </cell>
          <cell r="G99">
            <v>459960826.62</v>
          </cell>
          <cell r="H99">
            <v>38484922.380000003</v>
          </cell>
          <cell r="I99">
            <v>31613107.629999999</v>
          </cell>
        </row>
        <row r="100">
          <cell r="B100" t="str">
            <v>49.14: Trans &amp; Dist Plnt</v>
          </cell>
          <cell r="D100">
            <v>4071415306.4699998</v>
          </cell>
          <cell r="F100">
            <v>0</v>
          </cell>
          <cell r="G100">
            <v>4071415306.4699998</v>
          </cell>
          <cell r="H100">
            <v>665739346.02999997</v>
          </cell>
          <cell r="I100">
            <v>255431742.66999999</v>
          </cell>
        </row>
        <row r="101">
          <cell r="B101" t="str">
            <v>2022</v>
          </cell>
          <cell r="D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 t="str">
            <v>2022 Q1</v>
          </cell>
          <cell r="D102">
            <v>47276410.770000003</v>
          </cell>
          <cell r="F102">
            <v>0</v>
          </cell>
          <cell r="G102">
            <v>47276410.770000003</v>
          </cell>
          <cell r="H102">
            <v>15827669.550000001</v>
          </cell>
          <cell r="I102">
            <v>3144826.86</v>
          </cell>
        </row>
        <row r="103">
          <cell r="B103" t="str">
            <v>2022 Q2</v>
          </cell>
          <cell r="D103">
            <v>207147475.43000001</v>
          </cell>
          <cell r="F103">
            <v>0</v>
          </cell>
          <cell r="G103">
            <v>207147475.43000001</v>
          </cell>
          <cell r="H103">
            <v>65574604.799999997</v>
          </cell>
          <cell r="I103">
            <v>14158529.939999999</v>
          </cell>
        </row>
        <row r="104">
          <cell r="B104" t="str">
            <v>2022 Q3</v>
          </cell>
          <cell r="D104">
            <v>56962470.5</v>
          </cell>
          <cell r="F104">
            <v>0</v>
          </cell>
          <cell r="G104">
            <v>56962470.5</v>
          </cell>
          <cell r="H104">
            <v>16994183.420000002</v>
          </cell>
          <cell r="I104">
            <v>3996486.94</v>
          </cell>
        </row>
        <row r="105">
          <cell r="B105" t="str">
            <v>2022 Q4</v>
          </cell>
          <cell r="D105">
            <v>474510070.69</v>
          </cell>
          <cell r="F105">
            <v>0</v>
          </cell>
          <cell r="G105">
            <v>474510070.69</v>
          </cell>
          <cell r="H105">
            <v>132915015.93000001</v>
          </cell>
          <cell r="I105">
            <v>34159980</v>
          </cell>
        </row>
        <row r="106">
          <cell r="B106" t="str">
            <v>2023</v>
          </cell>
          <cell r="D106">
            <v>1175032209.23</v>
          </cell>
          <cell r="F106">
            <v>0</v>
          </cell>
          <cell r="G106">
            <v>1175032209.23</v>
          </cell>
          <cell r="H106">
            <v>270257408.10000002</v>
          </cell>
          <cell r="I106">
            <v>90477480.099999994</v>
          </cell>
        </row>
        <row r="107">
          <cell r="B107" t="str">
            <v>2024 Q1 Jan - Mar</v>
          </cell>
          <cell r="D107">
            <v>145951897.18000001</v>
          </cell>
          <cell r="F107">
            <v>0</v>
          </cell>
          <cell r="G107">
            <v>145951897.18000001</v>
          </cell>
          <cell r="H107">
            <v>26088901.629999999</v>
          </cell>
          <cell r="I107">
            <v>11985569.800000001</v>
          </cell>
        </row>
        <row r="108">
          <cell r="B108" t="str">
            <v>2024 Q2 Apr - Jun</v>
          </cell>
          <cell r="D108">
            <v>572228901.79999995</v>
          </cell>
          <cell r="F108">
            <v>0</v>
          </cell>
          <cell r="G108">
            <v>572228901.79999995</v>
          </cell>
          <cell r="H108">
            <v>89410765.920000002</v>
          </cell>
          <cell r="I108">
            <v>48278952.439999998</v>
          </cell>
        </row>
        <row r="109">
          <cell r="B109" t="str">
            <v>2024 Q3 Jul - Sep</v>
          </cell>
          <cell r="D109">
            <v>118551755.39</v>
          </cell>
          <cell r="F109">
            <v>0</v>
          </cell>
          <cell r="G109">
            <v>118551755.39</v>
          </cell>
          <cell r="H109">
            <v>15856297.279999999</v>
          </cell>
          <cell r="I109">
            <v>10268953.050000001</v>
          </cell>
        </row>
        <row r="110">
          <cell r="B110" t="str">
            <v>2024 Q4 Oct - Dec</v>
          </cell>
          <cell r="D110">
            <v>886744483.54999995</v>
          </cell>
          <cell r="F110">
            <v>0</v>
          </cell>
          <cell r="G110">
            <v>886744483.54999995</v>
          </cell>
          <cell r="H110">
            <v>98650323.780000001</v>
          </cell>
          <cell r="I110">
            <v>78804982.25</v>
          </cell>
        </row>
        <row r="111">
          <cell r="B111" t="str">
            <v>49.14A: Trans 4/05-1/11</v>
          </cell>
          <cell r="D111">
            <v>3684405674.54</v>
          </cell>
          <cell r="F111">
            <v>0</v>
          </cell>
          <cell r="G111">
            <v>3684405674.54</v>
          </cell>
          <cell r="H111">
            <v>731575170.40999997</v>
          </cell>
          <cell r="I111">
            <v>295275761.38</v>
          </cell>
        </row>
        <row r="112">
          <cell r="B112" t="str">
            <v>2022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 t="str">
            <v>2022 Q1</v>
          </cell>
          <cell r="D113">
            <v>2662173.17</v>
          </cell>
          <cell r="F113">
            <v>0</v>
          </cell>
          <cell r="G113">
            <v>2662173.17</v>
          </cell>
          <cell r="H113">
            <v>1205306.19</v>
          </cell>
          <cell r="I113">
            <v>226262.08</v>
          </cell>
        </row>
        <row r="114">
          <cell r="B114" t="str">
            <v>2022 Q2</v>
          </cell>
          <cell r="D114">
            <v>2734897.03</v>
          </cell>
          <cell r="F114">
            <v>0</v>
          </cell>
          <cell r="G114">
            <v>2734897.03</v>
          </cell>
          <cell r="H114">
            <v>1144347.04</v>
          </cell>
          <cell r="I114">
            <v>228123.28</v>
          </cell>
        </row>
        <row r="115">
          <cell r="B115" t="str">
            <v>2022 Q3</v>
          </cell>
          <cell r="D115">
            <v>3879379.05</v>
          </cell>
          <cell r="F115">
            <v>0</v>
          </cell>
          <cell r="G115">
            <v>3879379.05</v>
          </cell>
          <cell r="H115">
            <v>1580506.56</v>
          </cell>
          <cell r="I115">
            <v>331439.90999999997</v>
          </cell>
        </row>
        <row r="116">
          <cell r="B116" t="str">
            <v>2022 Q4</v>
          </cell>
          <cell r="D116">
            <v>3355079.6</v>
          </cell>
          <cell r="F116">
            <v>0</v>
          </cell>
          <cell r="G116">
            <v>3355079.6</v>
          </cell>
          <cell r="H116">
            <v>1256232.1399999999</v>
          </cell>
          <cell r="I116">
            <v>289850.44</v>
          </cell>
        </row>
        <row r="117">
          <cell r="B117" t="str">
            <v>2023</v>
          </cell>
          <cell r="D117">
            <v>17710356.109999999</v>
          </cell>
          <cell r="F117">
            <v>0</v>
          </cell>
          <cell r="G117">
            <v>17710356.109999999</v>
          </cell>
          <cell r="H117">
            <v>3125169.45</v>
          </cell>
          <cell r="I117">
            <v>1093968.69</v>
          </cell>
        </row>
        <row r="118">
          <cell r="B118" t="str">
            <v>2024 Q1 Jan - Mar</v>
          </cell>
          <cell r="D118">
            <v>2690859.21</v>
          </cell>
          <cell r="F118">
            <v>0</v>
          </cell>
          <cell r="G118">
            <v>2690859.21</v>
          </cell>
          <cell r="H118">
            <v>365149.59</v>
          </cell>
          <cell r="I118">
            <v>174448.4</v>
          </cell>
        </row>
        <row r="119">
          <cell r="B119" t="str">
            <v>2024 Q2 Apr - Jun</v>
          </cell>
          <cell r="D119">
            <v>5405270.7300000004</v>
          </cell>
          <cell r="F119">
            <v>0</v>
          </cell>
          <cell r="G119">
            <v>5405270.7300000004</v>
          </cell>
          <cell r="H119">
            <v>639767.86</v>
          </cell>
          <cell r="I119">
            <v>357396.49</v>
          </cell>
        </row>
        <row r="120">
          <cell r="B120" t="str">
            <v>2024 Q3 Jul - Sep</v>
          </cell>
          <cell r="D120">
            <v>7113815.5700000003</v>
          </cell>
          <cell r="F120">
            <v>0</v>
          </cell>
          <cell r="G120">
            <v>7113815.5700000003</v>
          </cell>
          <cell r="H120">
            <v>718637.65</v>
          </cell>
          <cell r="I120">
            <v>479613.45</v>
          </cell>
        </row>
        <row r="121">
          <cell r="B121" t="str">
            <v>2024 Q4 Oct - Dec</v>
          </cell>
          <cell r="D121">
            <v>6805528.1500000004</v>
          </cell>
          <cell r="F121">
            <v>0</v>
          </cell>
          <cell r="G121">
            <v>6805528.1500000004</v>
          </cell>
          <cell r="H121">
            <v>569418.54</v>
          </cell>
          <cell r="I121">
            <v>467743.95</v>
          </cell>
        </row>
        <row r="122">
          <cell r="B122" t="str">
            <v>49.14B: Meters</v>
          </cell>
          <cell r="D122">
            <v>52357358.619999997</v>
          </cell>
          <cell r="F122">
            <v>0</v>
          </cell>
          <cell r="G122">
            <v>52357358.619999997</v>
          </cell>
          <cell r="H122">
            <v>10604535.02</v>
          </cell>
          <cell r="I122">
            <v>3648846.69</v>
          </cell>
        </row>
        <row r="123">
          <cell r="B123" t="str">
            <v>2022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 t="str">
            <v>2022 Q1</v>
          </cell>
          <cell r="D124">
            <v>13865397.1</v>
          </cell>
          <cell r="F124">
            <v>0</v>
          </cell>
          <cell r="G124">
            <v>13865397.1</v>
          </cell>
          <cell r="H124">
            <v>5542672.0300000003</v>
          </cell>
          <cell r="I124">
            <v>1065556.68</v>
          </cell>
        </row>
        <row r="125">
          <cell r="B125" t="str">
            <v>2022 Q2</v>
          </cell>
          <cell r="D125">
            <v>19464335.66</v>
          </cell>
          <cell r="F125">
            <v>0</v>
          </cell>
          <cell r="G125">
            <v>19464335.66</v>
          </cell>
          <cell r="H125">
            <v>7597160.3600000003</v>
          </cell>
          <cell r="I125">
            <v>1538548.85</v>
          </cell>
        </row>
        <row r="126">
          <cell r="B126" t="str">
            <v>2022 Q3</v>
          </cell>
          <cell r="D126">
            <v>19623577.649999999</v>
          </cell>
          <cell r="F126">
            <v>0</v>
          </cell>
          <cell r="G126">
            <v>19623577.649999999</v>
          </cell>
          <cell r="H126">
            <v>7170832.1600000001</v>
          </cell>
          <cell r="I126">
            <v>1547097.68</v>
          </cell>
        </row>
        <row r="127">
          <cell r="B127" t="str">
            <v>2022 Q4</v>
          </cell>
          <cell r="D127">
            <v>26820173.43</v>
          </cell>
          <cell r="F127">
            <v>0</v>
          </cell>
          <cell r="G127">
            <v>26820173.43</v>
          </cell>
          <cell r="H127">
            <v>8591181.1500000004</v>
          </cell>
          <cell r="I127">
            <v>2064375.91</v>
          </cell>
        </row>
        <row r="128">
          <cell r="B128" t="str">
            <v>2023</v>
          </cell>
          <cell r="D128">
            <v>73814641.620000005</v>
          </cell>
          <cell r="F128">
            <v>0</v>
          </cell>
          <cell r="G128">
            <v>73814641.620000005</v>
          </cell>
          <cell r="H128">
            <v>31297408.050000001</v>
          </cell>
          <cell r="I128">
            <v>8503446.7200000007</v>
          </cell>
        </row>
        <row r="129">
          <cell r="B129" t="str">
            <v>2024 Q1 Jan - Mar</v>
          </cell>
          <cell r="D129">
            <v>20069918.510000002</v>
          </cell>
          <cell r="F129">
            <v>0</v>
          </cell>
          <cell r="G129">
            <v>20069918.510000002</v>
          </cell>
          <cell r="H129">
            <v>6823772.2999999998</v>
          </cell>
          <cell r="I129">
            <v>2649229.2400000002</v>
          </cell>
        </row>
        <row r="130">
          <cell r="B130" t="str">
            <v>2024 Q2 Apr - Jun</v>
          </cell>
          <cell r="D130">
            <v>20361150.170000002</v>
          </cell>
          <cell r="F130">
            <v>0</v>
          </cell>
          <cell r="G130">
            <v>20361150.170000002</v>
          </cell>
          <cell r="H130">
            <v>6108345.04</v>
          </cell>
          <cell r="I130">
            <v>2850561.02</v>
          </cell>
        </row>
        <row r="131">
          <cell r="B131" t="str">
            <v>2024 Q3 Jul - Sep</v>
          </cell>
          <cell r="D131">
            <v>21977983.739999998</v>
          </cell>
          <cell r="F131">
            <v>0</v>
          </cell>
          <cell r="G131">
            <v>21977983.739999998</v>
          </cell>
          <cell r="H131">
            <v>5714275.7800000003</v>
          </cell>
          <cell r="I131">
            <v>3252741.59</v>
          </cell>
        </row>
        <row r="132">
          <cell r="B132" t="str">
            <v>2024 Q4 Oct - Dec</v>
          </cell>
          <cell r="D132">
            <v>15375622.82</v>
          </cell>
          <cell r="F132">
            <v>0</v>
          </cell>
          <cell r="G132">
            <v>15375622.82</v>
          </cell>
          <cell r="H132">
            <v>3382637.02</v>
          </cell>
          <cell r="I132">
            <v>2398597.16</v>
          </cell>
        </row>
        <row r="133">
          <cell r="B133" t="str">
            <v>49.14C: Smart Meters</v>
          </cell>
          <cell r="D133">
            <v>231372800.69999999</v>
          </cell>
          <cell r="F133">
            <v>0</v>
          </cell>
          <cell r="G133">
            <v>231372800.69999999</v>
          </cell>
          <cell r="H133">
            <v>82228283.890000001</v>
          </cell>
          <cell r="I133">
            <v>25870154.850000001</v>
          </cell>
        </row>
        <row r="134">
          <cell r="B134" t="str">
            <v>2022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 t="str">
            <v>2022 Q1</v>
          </cell>
          <cell r="D135">
            <v>8579144.9600000009</v>
          </cell>
          <cell r="F135">
            <v>0</v>
          </cell>
          <cell r="G135">
            <v>8579144.9600000009</v>
          </cell>
          <cell r="H135">
            <v>2234781.4700000002</v>
          </cell>
          <cell r="I135">
            <v>475799.38</v>
          </cell>
        </row>
        <row r="136">
          <cell r="B136" t="str">
            <v>2022 Q2</v>
          </cell>
          <cell r="D136">
            <v>8189172.0599999996</v>
          </cell>
          <cell r="F136">
            <v>0</v>
          </cell>
          <cell r="G136">
            <v>8189172.0599999996</v>
          </cell>
          <cell r="H136">
            <v>2011670.11</v>
          </cell>
          <cell r="I136">
            <v>463261.46</v>
          </cell>
        </row>
        <row r="137">
          <cell r="B137" t="str">
            <v>2022 Q3</v>
          </cell>
          <cell r="D137">
            <v>7988868.8099999996</v>
          </cell>
          <cell r="F137">
            <v>0</v>
          </cell>
          <cell r="G137">
            <v>7988868.8099999996</v>
          </cell>
          <cell r="H137">
            <v>1843910.82</v>
          </cell>
          <cell r="I137">
            <v>460877.84</v>
          </cell>
        </row>
        <row r="138">
          <cell r="B138" t="str">
            <v>2022 Q4</v>
          </cell>
          <cell r="D138">
            <v>7115900.6399999997</v>
          </cell>
          <cell r="F138">
            <v>0</v>
          </cell>
          <cell r="G138">
            <v>7115900.6399999997</v>
          </cell>
          <cell r="H138">
            <v>1536821.05</v>
          </cell>
          <cell r="I138">
            <v>418414.96</v>
          </cell>
        </row>
        <row r="139">
          <cell r="B139" t="str">
            <v>2023</v>
          </cell>
          <cell r="D139">
            <v>45762169.82</v>
          </cell>
          <cell r="F139">
            <v>0</v>
          </cell>
          <cell r="G139">
            <v>45762169.82</v>
          </cell>
          <cell r="H139">
            <v>25749457.27</v>
          </cell>
          <cell r="I139">
            <v>5717983.1200000001</v>
          </cell>
        </row>
        <row r="140">
          <cell r="B140" t="str">
            <v>2024 Q1 Jan - Mar</v>
          </cell>
          <cell r="D140">
            <v>11120327.23</v>
          </cell>
          <cell r="F140">
            <v>0</v>
          </cell>
          <cell r="G140">
            <v>11120327.23</v>
          </cell>
          <cell r="H140">
            <v>5163056.62</v>
          </cell>
          <cell r="I140">
            <v>1702077.29</v>
          </cell>
        </row>
        <row r="141">
          <cell r="B141" t="str">
            <v>2024 Q2 Apr - Jun</v>
          </cell>
          <cell r="D141">
            <v>12571481.789999999</v>
          </cell>
          <cell r="F141">
            <v>0</v>
          </cell>
          <cell r="G141">
            <v>12571481.789999999</v>
          </cell>
          <cell r="H141">
            <v>5195416.1500000004</v>
          </cell>
          <cell r="I141">
            <v>2107357.4900000002</v>
          </cell>
        </row>
        <row r="142">
          <cell r="B142" t="str">
            <v>2024 Q3 Jul - Sep</v>
          </cell>
          <cell r="D142">
            <v>14152191.560000001</v>
          </cell>
          <cell r="F142">
            <v>0</v>
          </cell>
          <cell r="G142">
            <v>14152191.560000001</v>
          </cell>
          <cell r="H142">
            <v>5126490.01</v>
          </cell>
          <cell r="I142">
            <v>2578812.35</v>
          </cell>
        </row>
        <row r="143">
          <cell r="B143" t="str">
            <v>2024 Q4 Oct - Dec</v>
          </cell>
          <cell r="D143">
            <v>14055077.859999999</v>
          </cell>
          <cell r="F143">
            <v>0</v>
          </cell>
          <cell r="G143">
            <v>14055077.859999999</v>
          </cell>
          <cell r="H143">
            <v>4374221.33</v>
          </cell>
          <cell r="I143">
            <v>2766039.32</v>
          </cell>
        </row>
        <row r="144">
          <cell r="B144" t="str">
            <v>49.14D Street Lighting</v>
          </cell>
          <cell r="D144">
            <v>129534334.73</v>
          </cell>
          <cell r="F144">
            <v>0</v>
          </cell>
          <cell r="G144">
            <v>129534334.73</v>
          </cell>
          <cell r="H144">
            <v>53235824.829999998</v>
          </cell>
          <cell r="I144">
            <v>16690623.210000001</v>
          </cell>
        </row>
        <row r="145">
          <cell r="B145" t="str">
            <v>2022</v>
          </cell>
          <cell r="D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B146" t="str">
            <v>2022 Q1</v>
          </cell>
          <cell r="D146">
            <v>965957.83</v>
          </cell>
          <cell r="F146">
            <v>0</v>
          </cell>
          <cell r="G146">
            <v>965957.83</v>
          </cell>
          <cell r="H146">
            <v>846275.63</v>
          </cell>
          <cell r="I146">
            <v>106351.95</v>
          </cell>
        </row>
        <row r="147">
          <cell r="B147" t="str">
            <v>2022 Q2</v>
          </cell>
          <cell r="D147">
            <v>1705264.66</v>
          </cell>
          <cell r="F147">
            <v>0</v>
          </cell>
          <cell r="G147">
            <v>1705264.66</v>
          </cell>
          <cell r="H147">
            <v>1438731.83</v>
          </cell>
          <cell r="I147">
            <v>193888.59</v>
          </cell>
        </row>
        <row r="148">
          <cell r="B148" t="str">
            <v>2022 Q3</v>
          </cell>
          <cell r="D148">
            <v>888807.09</v>
          </cell>
          <cell r="F148">
            <v>0</v>
          </cell>
          <cell r="G148">
            <v>888807.09</v>
          </cell>
          <cell r="H148">
            <v>725622.13</v>
          </cell>
          <cell r="I148">
            <v>100435.19</v>
          </cell>
        </row>
        <row r="149">
          <cell r="B149" t="str">
            <v>2022 Q4</v>
          </cell>
          <cell r="D149">
            <v>4859802.93</v>
          </cell>
          <cell r="F149">
            <v>0</v>
          </cell>
          <cell r="G149">
            <v>4859802.93</v>
          </cell>
          <cell r="H149">
            <v>3862571.41</v>
          </cell>
          <cell r="I149">
            <v>531662.43000000005</v>
          </cell>
        </row>
        <row r="150">
          <cell r="B150" t="str">
            <v>2023</v>
          </cell>
          <cell r="D150">
            <v>6376577.71</v>
          </cell>
          <cell r="F150">
            <v>0</v>
          </cell>
          <cell r="G150">
            <v>6376577.71</v>
          </cell>
          <cell r="H150">
            <v>4540123.33</v>
          </cell>
          <cell r="I150">
            <v>734581.76000000001</v>
          </cell>
        </row>
        <row r="151">
          <cell r="B151" t="str">
            <v>2024 Q1 Jan - Mar</v>
          </cell>
          <cell r="D151">
            <v>380027.46</v>
          </cell>
          <cell r="F151">
            <v>0</v>
          </cell>
          <cell r="G151">
            <v>380027.46</v>
          </cell>
          <cell r="H151">
            <v>231816.75</v>
          </cell>
          <cell r="I151">
            <v>59284.28</v>
          </cell>
        </row>
        <row r="152">
          <cell r="B152" t="str">
            <v>2024 Q2 Apr - Jun</v>
          </cell>
          <cell r="D152">
            <v>1725906.38</v>
          </cell>
          <cell r="F152">
            <v>0</v>
          </cell>
          <cell r="G152">
            <v>1725906.38</v>
          </cell>
          <cell r="H152">
            <v>949248.52</v>
          </cell>
          <cell r="I152">
            <v>310663.15999999997</v>
          </cell>
        </row>
        <row r="153">
          <cell r="B153" t="str">
            <v>2024 Q3 Jul - Sep</v>
          </cell>
          <cell r="D153">
            <v>1932637.37</v>
          </cell>
          <cell r="F153">
            <v>0</v>
          </cell>
          <cell r="G153">
            <v>1932637.37</v>
          </cell>
          <cell r="H153">
            <v>946992.34</v>
          </cell>
          <cell r="I153">
            <v>394258.02</v>
          </cell>
        </row>
        <row r="154">
          <cell r="B154" t="str">
            <v>2024 Q4 Oct - Dec</v>
          </cell>
          <cell r="D154">
            <v>2632807.2400000002</v>
          </cell>
          <cell r="F154">
            <v>0</v>
          </cell>
          <cell r="G154">
            <v>2632807.2400000002</v>
          </cell>
          <cell r="H154">
            <v>1132107.1200000001</v>
          </cell>
          <cell r="I154">
            <v>600280.05000000005</v>
          </cell>
        </row>
        <row r="155">
          <cell r="B155" t="str">
            <v>57.0: Distr Trades Serv</v>
          </cell>
          <cell r="D155">
            <v>21467788.670000002</v>
          </cell>
          <cell r="F155">
            <v>0</v>
          </cell>
          <cell r="G155">
            <v>21467788.670000002</v>
          </cell>
          <cell r="H155">
            <v>14673489.060000001</v>
          </cell>
          <cell r="I155">
            <v>3031405.43</v>
          </cell>
        </row>
        <row r="156">
          <cell r="B156" t="str">
            <v>2022</v>
          </cell>
          <cell r="D156">
            <v>627.85</v>
          </cell>
          <cell r="F156">
            <v>0</v>
          </cell>
          <cell r="G156">
            <v>627.85</v>
          </cell>
          <cell r="H156">
            <v>61.05</v>
          </cell>
          <cell r="I156">
            <v>16.100000000000001</v>
          </cell>
        </row>
        <row r="157">
          <cell r="B157" t="str">
            <v>2022 Q1</v>
          </cell>
          <cell r="D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 t="str">
            <v>2023</v>
          </cell>
          <cell r="D158">
            <v>96757.1</v>
          </cell>
          <cell r="F158">
            <v>0</v>
          </cell>
          <cell r="G158">
            <v>96757.1</v>
          </cell>
          <cell r="H158">
            <v>6718.81</v>
          </cell>
          <cell r="I158">
            <v>2481.8200000000002</v>
          </cell>
        </row>
        <row r="159">
          <cell r="B159" t="str">
            <v>2024</v>
          </cell>
          <cell r="D159">
            <v>401497.08</v>
          </cell>
          <cell r="F159">
            <v>0</v>
          </cell>
          <cell r="G159">
            <v>401497.08</v>
          </cell>
          <cell r="H159">
            <v>15011.98</v>
          </cell>
          <cell r="I159">
            <v>10294.39</v>
          </cell>
        </row>
        <row r="160">
          <cell r="B160" t="str">
            <v>LH: LH Improv</v>
          </cell>
          <cell r="D160">
            <v>498882.03</v>
          </cell>
          <cell r="F160">
            <v>0</v>
          </cell>
          <cell r="G160">
            <v>498882.03</v>
          </cell>
          <cell r="H160">
            <v>21791.84</v>
          </cell>
          <cell r="I160">
            <v>12792.31</v>
          </cell>
        </row>
        <row r="161">
          <cell r="B161" t="str">
            <v>2022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2022 Q1</v>
          </cell>
          <cell r="D162">
            <v>187545.29</v>
          </cell>
          <cell r="F162">
            <v>0</v>
          </cell>
          <cell r="G162">
            <v>187545.29</v>
          </cell>
          <cell r="H162">
            <v>42792</v>
          </cell>
          <cell r="I162">
            <v>9292.7999999999993</v>
          </cell>
        </row>
        <row r="163">
          <cell r="B163" t="str">
            <v>2022 Q2</v>
          </cell>
          <cell r="D163">
            <v>1339540.33</v>
          </cell>
          <cell r="F163">
            <v>0</v>
          </cell>
          <cell r="G163">
            <v>1339540.33</v>
          </cell>
          <cell r="H163">
            <v>108637.62</v>
          </cell>
          <cell r="I163">
            <v>30500.34</v>
          </cell>
        </row>
        <row r="164">
          <cell r="B164" t="str">
            <v>2022 Q3</v>
          </cell>
          <cell r="D164">
            <v>247907.16</v>
          </cell>
          <cell r="F164">
            <v>0</v>
          </cell>
          <cell r="G164">
            <v>247907.16</v>
          </cell>
          <cell r="H164">
            <v>53671.4</v>
          </cell>
          <cell r="I164">
            <v>13477.36</v>
          </cell>
        </row>
        <row r="165">
          <cell r="B165" t="str">
            <v>2022 Q4</v>
          </cell>
          <cell r="D165">
            <v>21393643.960000001</v>
          </cell>
          <cell r="F165">
            <v>0</v>
          </cell>
          <cell r="G165">
            <v>21393643.960000001</v>
          </cell>
          <cell r="H165">
            <v>1633660</v>
          </cell>
          <cell r="I165">
            <v>466639.15</v>
          </cell>
        </row>
        <row r="166">
          <cell r="B166" t="str">
            <v>2023</v>
          </cell>
          <cell r="D166">
            <v>9385445.5800000001</v>
          </cell>
          <cell r="F166">
            <v>0</v>
          </cell>
          <cell r="G166">
            <v>9385445.5800000001</v>
          </cell>
          <cell r="H166">
            <v>510098.95</v>
          </cell>
          <cell r="I166">
            <v>204039.58</v>
          </cell>
        </row>
        <row r="167">
          <cell r="B167" t="str">
            <v>2024 Q1 Jan - Mar</v>
          </cell>
          <cell r="D167">
            <v>-175429.61</v>
          </cell>
          <cell r="F167">
            <v>0</v>
          </cell>
          <cell r="G167">
            <v>-175429.61</v>
          </cell>
          <cell r="H167">
            <v>-7150.51</v>
          </cell>
          <cell r="I167">
            <v>-3813.84</v>
          </cell>
        </row>
        <row r="168">
          <cell r="B168" t="str">
            <v>2024 Q2 Apr - Jun</v>
          </cell>
          <cell r="D168">
            <v>26191730.420000002</v>
          </cell>
          <cell r="F168">
            <v>0</v>
          </cell>
          <cell r="G168">
            <v>26191730.420000002</v>
          </cell>
          <cell r="H168">
            <v>925353.84</v>
          </cell>
          <cell r="I168">
            <v>569408.22</v>
          </cell>
        </row>
        <row r="169">
          <cell r="B169" t="str">
            <v>2024 Q3 Jul - Sep</v>
          </cell>
          <cell r="D169">
            <v>2546666.63</v>
          </cell>
          <cell r="F169">
            <v>0</v>
          </cell>
          <cell r="G169">
            <v>2546666.63</v>
          </cell>
          <cell r="H169">
            <v>76119.86</v>
          </cell>
          <cell r="I169">
            <v>55364.53</v>
          </cell>
        </row>
        <row r="170">
          <cell r="B170" t="str">
            <v>2024 Q4 Oct - Dec</v>
          </cell>
          <cell r="D170">
            <v>-10765980.619999999</v>
          </cell>
          <cell r="F170">
            <v>0</v>
          </cell>
          <cell r="G170">
            <v>-10765980.619999999</v>
          </cell>
          <cell r="H170">
            <v>-263335.89</v>
          </cell>
          <cell r="I170">
            <v>-234052.42</v>
          </cell>
        </row>
        <row r="171">
          <cell r="B171" t="str">
            <v>LR46: Easements 46 Yr</v>
          </cell>
          <cell r="D171">
            <v>50351069.140000001</v>
          </cell>
          <cell r="F171">
            <v>0</v>
          </cell>
          <cell r="G171">
            <v>50351069.140000001</v>
          </cell>
          <cell r="H171">
            <v>3079847.27</v>
          </cell>
          <cell r="I171">
            <v>1110855.72</v>
          </cell>
        </row>
        <row r="172">
          <cell r="B172" t="str">
            <v>2022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B173" t="str">
            <v>2022 Q1</v>
          </cell>
          <cell r="D173">
            <v>1089494.81</v>
          </cell>
          <cell r="F173">
            <v>0</v>
          </cell>
          <cell r="G173">
            <v>1089494.81</v>
          </cell>
          <cell r="H173">
            <v>364751.97</v>
          </cell>
          <cell r="I173">
            <v>72473.19</v>
          </cell>
        </row>
        <row r="174">
          <cell r="B174" t="str">
            <v>2022 Q2</v>
          </cell>
          <cell r="D174">
            <v>1586911.55</v>
          </cell>
          <cell r="F174">
            <v>0</v>
          </cell>
          <cell r="G174">
            <v>1586911.55</v>
          </cell>
          <cell r="H174">
            <v>502352.72</v>
          </cell>
          <cell r="I174">
            <v>108465.4</v>
          </cell>
        </row>
        <row r="175">
          <cell r="B175" t="str">
            <v>2022 Q3</v>
          </cell>
          <cell r="D175">
            <v>4304538.1900000004</v>
          </cell>
          <cell r="F175">
            <v>0</v>
          </cell>
          <cell r="G175">
            <v>4304538.1900000004</v>
          </cell>
          <cell r="H175">
            <v>1284215.92</v>
          </cell>
          <cell r="I175">
            <v>302006.40000000002</v>
          </cell>
        </row>
        <row r="176">
          <cell r="B176" t="str">
            <v>2022 Q4</v>
          </cell>
          <cell r="D176">
            <v>11478090.02</v>
          </cell>
          <cell r="F176">
            <v>0</v>
          </cell>
          <cell r="G176">
            <v>11478090.02</v>
          </cell>
          <cell r="H176">
            <v>3215127.8</v>
          </cell>
          <cell r="I176">
            <v>826307.7</v>
          </cell>
        </row>
        <row r="177">
          <cell r="B177" t="str">
            <v>2023</v>
          </cell>
          <cell r="D177">
            <v>12247564.35</v>
          </cell>
          <cell r="F177">
            <v>0</v>
          </cell>
          <cell r="G177">
            <v>12247564.35</v>
          </cell>
          <cell r="H177">
            <v>364487.52</v>
          </cell>
          <cell r="I177">
            <v>145868.49</v>
          </cell>
        </row>
        <row r="178">
          <cell r="B178" t="str">
            <v>2024 Q1 Jan - Mar</v>
          </cell>
          <cell r="D178">
            <v>364347.14</v>
          </cell>
          <cell r="F178">
            <v>0</v>
          </cell>
          <cell r="G178">
            <v>364347.14</v>
          </cell>
          <cell r="H178">
            <v>8132.23</v>
          </cell>
          <cell r="I178">
            <v>4339.37</v>
          </cell>
        </row>
        <row r="179">
          <cell r="B179" t="str">
            <v>2024 Q2 Apr - Jun</v>
          </cell>
          <cell r="D179">
            <v>750184.5</v>
          </cell>
          <cell r="F179">
            <v>0</v>
          </cell>
          <cell r="G179">
            <v>750184.5</v>
          </cell>
          <cell r="H179">
            <v>14516.07</v>
          </cell>
          <cell r="I179">
            <v>8927.2000000000007</v>
          </cell>
        </row>
        <row r="180">
          <cell r="B180" t="str">
            <v>2024 Q3 Jul - Sep</v>
          </cell>
          <cell r="D180">
            <v>159054.56</v>
          </cell>
          <cell r="F180">
            <v>0</v>
          </cell>
          <cell r="G180">
            <v>159054.56</v>
          </cell>
          <cell r="H180">
            <v>2603.7199999999998</v>
          </cell>
          <cell r="I180">
            <v>1892.75</v>
          </cell>
        </row>
        <row r="181">
          <cell r="B181" t="str">
            <v>2024 Q4 Oct - Dec</v>
          </cell>
          <cell r="D181">
            <v>17664774.25</v>
          </cell>
          <cell r="F181">
            <v>0</v>
          </cell>
          <cell r="G181">
            <v>17664774.25</v>
          </cell>
          <cell r="H181">
            <v>236531.32</v>
          </cell>
          <cell r="I181">
            <v>210387.46</v>
          </cell>
        </row>
        <row r="182">
          <cell r="B182" t="str">
            <v>LR84: Easements 84 Yr</v>
          </cell>
          <cell r="D182">
            <v>49644959.369999997</v>
          </cell>
          <cell r="F182">
            <v>0</v>
          </cell>
          <cell r="G182">
            <v>49644959.369999997</v>
          </cell>
          <cell r="H182">
            <v>5992719.2699999996</v>
          </cell>
          <cell r="I182">
            <v>1680667.96</v>
          </cell>
        </row>
        <row r="183">
          <cell r="B183" t="str">
            <v>2022</v>
          </cell>
          <cell r="D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 t="str">
            <v>2022 Q1</v>
          </cell>
          <cell r="D184">
            <v>1321011.28</v>
          </cell>
          <cell r="F184">
            <v>0</v>
          </cell>
          <cell r="G184">
            <v>1321011.28</v>
          </cell>
          <cell r="H184">
            <v>0</v>
          </cell>
          <cell r="I184">
            <v>0</v>
          </cell>
        </row>
        <row r="185">
          <cell r="B185" t="str">
            <v>2022 Q2</v>
          </cell>
          <cell r="D185">
            <v>22456077.620000001</v>
          </cell>
          <cell r="F185">
            <v>0</v>
          </cell>
          <cell r="G185">
            <v>22456077.620000001</v>
          </cell>
          <cell r="H185">
            <v>0</v>
          </cell>
          <cell r="I185">
            <v>0</v>
          </cell>
        </row>
        <row r="186">
          <cell r="B186" t="str">
            <v>2022 Q3</v>
          </cell>
          <cell r="D186">
            <v>2912999.61</v>
          </cell>
          <cell r="F186">
            <v>0</v>
          </cell>
          <cell r="G186">
            <v>2912999.61</v>
          </cell>
          <cell r="H186">
            <v>0</v>
          </cell>
          <cell r="I186">
            <v>0</v>
          </cell>
        </row>
        <row r="187">
          <cell r="B187" t="str">
            <v>2022 Q4</v>
          </cell>
          <cell r="D187">
            <v>16309470.07</v>
          </cell>
          <cell r="F187">
            <v>0</v>
          </cell>
          <cell r="G187">
            <v>16309470.07</v>
          </cell>
          <cell r="H187">
            <v>0</v>
          </cell>
          <cell r="I187">
            <v>0</v>
          </cell>
        </row>
        <row r="188">
          <cell r="B188" t="str">
            <v>2023</v>
          </cell>
          <cell r="D188">
            <v>42579588.869999997</v>
          </cell>
          <cell r="F188">
            <v>0</v>
          </cell>
          <cell r="G188">
            <v>42579588.869999997</v>
          </cell>
          <cell r="H188">
            <v>0</v>
          </cell>
          <cell r="I188">
            <v>0</v>
          </cell>
        </row>
        <row r="189">
          <cell r="B189" t="str">
            <v>2024 Q1 Jan - Mar</v>
          </cell>
          <cell r="D189">
            <v>6218234.3300000001</v>
          </cell>
          <cell r="F189">
            <v>0</v>
          </cell>
          <cell r="G189">
            <v>6218234.3300000001</v>
          </cell>
          <cell r="H189">
            <v>0</v>
          </cell>
          <cell r="I189">
            <v>0</v>
          </cell>
        </row>
        <row r="190">
          <cell r="B190" t="str">
            <v>2024 Q2 Apr - Jun</v>
          </cell>
          <cell r="D190">
            <v>-17809119.620000001</v>
          </cell>
          <cell r="F190">
            <v>0</v>
          </cell>
          <cell r="G190">
            <v>-17809119.620000001</v>
          </cell>
          <cell r="H190">
            <v>0</v>
          </cell>
          <cell r="I190">
            <v>0</v>
          </cell>
        </row>
        <row r="191">
          <cell r="B191" t="str">
            <v>2024 Q3 Jul - Sep</v>
          </cell>
          <cell r="D191">
            <v>10770606.07</v>
          </cell>
          <cell r="F191">
            <v>0</v>
          </cell>
          <cell r="G191">
            <v>10770606.07</v>
          </cell>
          <cell r="H191">
            <v>0</v>
          </cell>
          <cell r="I191">
            <v>0</v>
          </cell>
        </row>
        <row r="192">
          <cell r="B192" t="str">
            <v>2024 Q4 Oct - Dec</v>
          </cell>
          <cell r="D192">
            <v>5308793.58</v>
          </cell>
          <cell r="F192">
            <v>0</v>
          </cell>
          <cell r="G192">
            <v>5308793.58</v>
          </cell>
          <cell r="H192">
            <v>0</v>
          </cell>
          <cell r="I192">
            <v>0</v>
          </cell>
        </row>
        <row r="193">
          <cell r="B193" t="str">
            <v>ND: Non Depr</v>
          </cell>
          <cell r="D193">
            <v>90067661.810000002</v>
          </cell>
          <cell r="F193">
            <v>0</v>
          </cell>
          <cell r="G193">
            <v>90067661.810000002</v>
          </cell>
          <cell r="H193">
            <v>0</v>
          </cell>
          <cell r="I193">
            <v>0</v>
          </cell>
        </row>
        <row r="194">
          <cell r="B194" t="str">
            <v>2022</v>
          </cell>
          <cell r="D194">
            <v>58816705.030000001</v>
          </cell>
          <cell r="F194">
            <v>0</v>
          </cell>
          <cell r="G194">
            <v>58816705.030000001</v>
          </cell>
          <cell r="H194">
            <v>4745571.1100000003</v>
          </cell>
          <cell r="I194">
            <v>1508065.04</v>
          </cell>
        </row>
        <row r="195">
          <cell r="B195" t="str">
            <v>2022 Q1</v>
          </cell>
          <cell r="D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B196" t="str">
            <v>2023</v>
          </cell>
          <cell r="D196">
            <v>79021980.530000001</v>
          </cell>
          <cell r="F196">
            <v>0</v>
          </cell>
          <cell r="G196">
            <v>79021980.530000001</v>
          </cell>
          <cell r="H196">
            <v>4813969.5199999996</v>
          </cell>
          <cell r="I196">
            <v>2026175.23</v>
          </cell>
        </row>
        <row r="197">
          <cell r="B197" t="str">
            <v>2024</v>
          </cell>
          <cell r="D197">
            <v>108578067.59999999</v>
          </cell>
          <cell r="F197">
            <v>0</v>
          </cell>
          <cell r="G197">
            <v>108578067.59999999</v>
          </cell>
          <cell r="H197">
            <v>3446048.38</v>
          </cell>
          <cell r="I197">
            <v>2783941.64</v>
          </cell>
        </row>
        <row r="198">
          <cell r="B198" t="str">
            <v>RP: RP 81-86 &amp; Post92</v>
          </cell>
          <cell r="D198">
            <v>246416753.16</v>
          </cell>
          <cell r="F198">
            <v>0</v>
          </cell>
          <cell r="G198">
            <v>246416753.16</v>
          </cell>
          <cell r="H198">
            <v>13005589.01</v>
          </cell>
          <cell r="I198">
            <v>6318181.9100000001</v>
          </cell>
        </row>
        <row r="199">
          <cell r="B199" t="str">
            <v>COR</v>
          </cell>
          <cell r="D199">
            <v>0.05</v>
          </cell>
          <cell r="F199">
            <v>0</v>
          </cell>
          <cell r="G199">
            <v>0.05</v>
          </cell>
          <cell r="H199">
            <v>0.05</v>
          </cell>
          <cell r="I199">
            <v>0</v>
          </cell>
        </row>
        <row r="200">
          <cell r="B200" t="str">
            <v>RSG 2023</v>
          </cell>
          <cell r="D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 t="str">
            <v>Unclassified</v>
          </cell>
          <cell r="D201">
            <v>0.05</v>
          </cell>
          <cell r="F201">
            <v>0</v>
          </cell>
          <cell r="G201">
            <v>0.05</v>
          </cell>
          <cell r="H201">
            <v>0.05</v>
          </cell>
          <cell r="I201">
            <v>0</v>
          </cell>
        </row>
        <row r="202">
          <cell r="D202">
            <v>8984930411.0900002</v>
          </cell>
          <cell r="F202">
            <v>0</v>
          </cell>
          <cell r="G202">
            <v>8984930411.0900002</v>
          </cell>
          <cell r="H202">
            <v>1682284216.72</v>
          </cell>
          <cell r="I202">
            <v>643055959.58000004</v>
          </cell>
        </row>
      </sheetData>
      <sheetData sheetId="14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 t="str">
            <v>2022 Q2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 t="str">
            <v>2022 Q3</v>
          </cell>
          <cell r="D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2022 Q4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2023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00.11: Furn, Fixt, Equip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 t="str">
            <v>2023 Q2</v>
          </cell>
          <cell r="D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B13" t="str">
            <v>00.12: Info Systems</v>
          </cell>
          <cell r="D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B14" t="str">
            <v>2022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2022 Q1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2022 Q2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Q3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2022 Q4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2023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00.22: Automobiles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2022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 t="str">
            <v>2022 Q1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 t="str">
            <v>2022 Q2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2022 Q3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 t="str">
            <v>2022 Q4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2023 Q2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 t="str">
            <v>00.27: Trailers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 t="str">
            <v>2022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2023 Q4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2024 Q1 Jan - Mar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 t="str">
            <v>2024 Q2 Apr - Jun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00.3: Land Improv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2022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 Q1</v>
          </cell>
          <cell r="D34">
            <v>14238.69</v>
          </cell>
          <cell r="F34">
            <v>0</v>
          </cell>
          <cell r="G34">
            <v>14238.69</v>
          </cell>
          <cell r="H34">
            <v>2545.17</v>
          </cell>
          <cell r="I34">
            <v>1169.28</v>
          </cell>
        </row>
        <row r="35">
          <cell r="B35" t="str">
            <v>2022 Q2</v>
          </cell>
          <cell r="D35">
            <v>22580.15</v>
          </cell>
          <cell r="F35">
            <v>0</v>
          </cell>
          <cell r="G35">
            <v>22580.15</v>
          </cell>
          <cell r="H35">
            <v>3528.15</v>
          </cell>
          <cell r="I35">
            <v>1905.09</v>
          </cell>
        </row>
        <row r="36">
          <cell r="B36" t="str">
            <v>2022 Q3</v>
          </cell>
          <cell r="D36">
            <v>2699.63</v>
          </cell>
          <cell r="F36">
            <v>0</v>
          </cell>
          <cell r="G36">
            <v>2699.63</v>
          </cell>
          <cell r="H36">
            <v>361.08</v>
          </cell>
          <cell r="I36">
            <v>233.84</v>
          </cell>
        </row>
        <row r="37">
          <cell r="B37" t="str">
            <v>2022 Q4</v>
          </cell>
          <cell r="D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2023 Q1</v>
          </cell>
          <cell r="D38">
            <v>4174.22</v>
          </cell>
          <cell r="F38">
            <v>0</v>
          </cell>
          <cell r="G38">
            <v>4174.22</v>
          </cell>
          <cell r="H38">
            <v>273.91000000000003</v>
          </cell>
          <cell r="I38">
            <v>292.52999999999997</v>
          </cell>
        </row>
        <row r="39">
          <cell r="B39" t="str">
            <v>2023 Q4</v>
          </cell>
          <cell r="D39">
            <v>1423.61</v>
          </cell>
          <cell r="F39">
            <v>0</v>
          </cell>
          <cell r="G39">
            <v>1423.61</v>
          </cell>
          <cell r="H39">
            <v>13.34</v>
          </cell>
          <cell r="I39">
            <v>105.77</v>
          </cell>
        </row>
        <row r="40">
          <cell r="B40" t="str">
            <v>2024 Q1 Jan - Mar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2024 Q2 Apr - Jun</v>
          </cell>
          <cell r="D41">
            <v>0</v>
          </cell>
          <cell r="F41">
            <v>18064.36</v>
          </cell>
          <cell r="G41">
            <v>18064.36</v>
          </cell>
          <cell r="H41">
            <v>0</v>
          </cell>
          <cell r="I41">
            <v>846.68</v>
          </cell>
        </row>
        <row r="42">
          <cell r="B42" t="str">
            <v>2024 Q3 Jul - Sep</v>
          </cell>
          <cell r="D42">
            <v>0</v>
          </cell>
          <cell r="F42">
            <v>20555.05</v>
          </cell>
          <cell r="G42">
            <v>20555.05</v>
          </cell>
          <cell r="H42">
            <v>0</v>
          </cell>
          <cell r="I42">
            <v>578.01</v>
          </cell>
        </row>
        <row r="43">
          <cell r="B43" t="str">
            <v>2024 Q4 Oct - Dec</v>
          </cell>
          <cell r="D43">
            <v>0</v>
          </cell>
          <cell r="F43">
            <v>21742.67</v>
          </cell>
          <cell r="G43">
            <v>21742.67</v>
          </cell>
          <cell r="H43">
            <v>0</v>
          </cell>
          <cell r="I43">
            <v>203.73</v>
          </cell>
        </row>
        <row r="44">
          <cell r="B44" t="str">
            <v>49.14: Trans &amp; Dist Plnt</v>
          </cell>
          <cell r="D44">
            <v>45116.3</v>
          </cell>
          <cell r="F44">
            <v>60362.080000000002</v>
          </cell>
          <cell r="G44">
            <v>105478.38</v>
          </cell>
          <cell r="H44">
            <v>6721.65</v>
          </cell>
          <cell r="I44">
            <v>5334.93</v>
          </cell>
        </row>
        <row r="45">
          <cell r="B45" t="str">
            <v>2022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2022 Q1</v>
          </cell>
          <cell r="D46">
            <v>-49682.1</v>
          </cell>
          <cell r="F46">
            <v>-24.17</v>
          </cell>
          <cell r="G46">
            <v>-49694.19</v>
          </cell>
          <cell r="H46">
            <v>-8880.68</v>
          </cell>
          <cell r="I46">
            <v>-4080.88</v>
          </cell>
        </row>
        <row r="47">
          <cell r="B47" t="str">
            <v>2022 Q2</v>
          </cell>
          <cell r="D47">
            <v>46762.47</v>
          </cell>
          <cell r="F47">
            <v>0</v>
          </cell>
          <cell r="G47">
            <v>46762.47</v>
          </cell>
          <cell r="H47">
            <v>7306.64</v>
          </cell>
          <cell r="I47">
            <v>3945.35</v>
          </cell>
        </row>
        <row r="48">
          <cell r="B48" t="str">
            <v>2022 Q3</v>
          </cell>
          <cell r="D48">
            <v>68921.48</v>
          </cell>
          <cell r="F48">
            <v>0</v>
          </cell>
          <cell r="G48">
            <v>68921.48</v>
          </cell>
          <cell r="H48">
            <v>9218.25</v>
          </cell>
          <cell r="I48">
            <v>5969.97</v>
          </cell>
        </row>
        <row r="49">
          <cell r="B49" t="str">
            <v>2022 Q4</v>
          </cell>
          <cell r="D49">
            <v>435380.94</v>
          </cell>
          <cell r="F49">
            <v>-9.75</v>
          </cell>
          <cell r="G49">
            <v>435376.06</v>
          </cell>
          <cell r="H49">
            <v>48436.12</v>
          </cell>
          <cell r="I49">
            <v>38691.879999999997</v>
          </cell>
        </row>
        <row r="50">
          <cell r="B50" t="str">
            <v>2023</v>
          </cell>
          <cell r="D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2023 Q1</v>
          </cell>
          <cell r="D51">
            <v>276774.75</v>
          </cell>
          <cell r="F51">
            <v>0</v>
          </cell>
          <cell r="G51">
            <v>276774.75</v>
          </cell>
          <cell r="H51">
            <v>24217.79</v>
          </cell>
          <cell r="I51">
            <v>25255.7</v>
          </cell>
        </row>
        <row r="52">
          <cell r="B52" t="str">
            <v>2023 Q2</v>
          </cell>
          <cell r="D52">
            <v>-13248.31</v>
          </cell>
          <cell r="F52">
            <v>0</v>
          </cell>
          <cell r="G52">
            <v>-13248.31</v>
          </cell>
          <cell r="H52">
            <v>-828.02</v>
          </cell>
          <cell r="I52">
            <v>-1242.03</v>
          </cell>
        </row>
        <row r="53">
          <cell r="B53" t="str">
            <v>2023 Q3</v>
          </cell>
          <cell r="D53">
            <v>38475.42</v>
          </cell>
          <cell r="F53">
            <v>0</v>
          </cell>
          <cell r="G53">
            <v>38475.42</v>
          </cell>
          <cell r="H53">
            <v>1442.83</v>
          </cell>
          <cell r="I53">
            <v>3703.26</v>
          </cell>
        </row>
        <row r="54">
          <cell r="B54" t="str">
            <v>2023 Q4</v>
          </cell>
          <cell r="D54">
            <v>386732.28</v>
          </cell>
          <cell r="F54">
            <v>0</v>
          </cell>
          <cell r="G54">
            <v>386732.28</v>
          </cell>
          <cell r="H54">
            <v>4834.1499999999996</v>
          </cell>
          <cell r="I54">
            <v>38189.81</v>
          </cell>
        </row>
        <row r="55">
          <cell r="B55" t="str">
            <v>2024 Q1 Jan - Mar</v>
          </cell>
          <cell r="D55">
            <v>0</v>
          </cell>
          <cell r="F55">
            <v>5904.57</v>
          </cell>
          <cell r="G55">
            <v>5904.57</v>
          </cell>
          <cell r="H55">
            <v>0</v>
          </cell>
          <cell r="I55">
            <v>516.65</v>
          </cell>
        </row>
        <row r="56">
          <cell r="B56" t="str">
            <v>2024 Q2 Apr - Jun</v>
          </cell>
          <cell r="D56">
            <v>0</v>
          </cell>
          <cell r="F56">
            <v>23628.42</v>
          </cell>
          <cell r="G56">
            <v>23628.42</v>
          </cell>
          <cell r="H56">
            <v>0</v>
          </cell>
          <cell r="I56">
            <v>1476.77</v>
          </cell>
        </row>
        <row r="57">
          <cell r="B57" t="str">
            <v>2024 Q3 Jul - Sep</v>
          </cell>
          <cell r="D57">
            <v>0</v>
          </cell>
          <cell r="F57">
            <v>49783.39</v>
          </cell>
          <cell r="G57">
            <v>49783.39</v>
          </cell>
          <cell r="H57">
            <v>0</v>
          </cell>
          <cell r="I57">
            <v>1866.88</v>
          </cell>
        </row>
        <row r="58">
          <cell r="B58" t="str">
            <v>2024 Q4 Oct - Dec</v>
          </cell>
          <cell r="D58">
            <v>0</v>
          </cell>
          <cell r="F58">
            <v>384790.33</v>
          </cell>
          <cell r="G58">
            <v>384790.33</v>
          </cell>
          <cell r="H58">
            <v>0</v>
          </cell>
          <cell r="I58">
            <v>4809.88</v>
          </cell>
        </row>
        <row r="59">
          <cell r="B59" t="str">
            <v>49.14A: Trans 4/05-1/11</v>
          </cell>
          <cell r="D59">
            <v>1190116.93</v>
          </cell>
          <cell r="F59">
            <v>464072.79</v>
          </cell>
          <cell r="G59">
            <v>1654206.67</v>
          </cell>
          <cell r="H59">
            <v>85747.08</v>
          </cell>
          <cell r="I59">
            <v>119103.24</v>
          </cell>
        </row>
        <row r="60">
          <cell r="B60" t="str">
            <v>2022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 t="str">
            <v>2022 Q1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2022 Q2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2022 Q3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 t="str">
            <v>2022 Q4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2023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 t="str">
            <v>49.14C: Smart Meters</v>
          </cell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 t="str">
            <v>2022</v>
          </cell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2022 Q1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2022 Q2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2022 Q3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Q4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LR84: Easements 84 Yr</v>
          </cell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 t="str">
            <v>2022</v>
          </cell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 t="str">
            <v>2022 Q1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Q2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2022 Q3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 t="str">
            <v>2022 Q4</v>
          </cell>
          <cell r="D78">
            <v>17357.599999999999</v>
          </cell>
          <cell r="F78">
            <v>0</v>
          </cell>
          <cell r="G78">
            <v>17357.599999999999</v>
          </cell>
          <cell r="H78">
            <v>0</v>
          </cell>
          <cell r="I78">
            <v>0</v>
          </cell>
        </row>
        <row r="79">
          <cell r="B79" t="str">
            <v>2023</v>
          </cell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2023 Q4</v>
          </cell>
          <cell r="D80">
            <v>8572.7999999999993</v>
          </cell>
          <cell r="F80">
            <v>0</v>
          </cell>
          <cell r="G80">
            <v>8572.7999999999993</v>
          </cell>
          <cell r="H80">
            <v>0</v>
          </cell>
          <cell r="I80">
            <v>0</v>
          </cell>
        </row>
        <row r="81">
          <cell r="B81" t="str">
            <v>2024 Q1 Jan - Mar</v>
          </cell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2024 Q2 Apr - Jun</v>
          </cell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2024 Q4 Oct - Dec</v>
          </cell>
          <cell r="D83">
            <v>0</v>
          </cell>
          <cell r="F83">
            <v>8817.6299999999992</v>
          </cell>
          <cell r="G83">
            <v>8817.6299999999992</v>
          </cell>
          <cell r="H83">
            <v>0</v>
          </cell>
          <cell r="I83">
            <v>0</v>
          </cell>
        </row>
        <row r="84">
          <cell r="B84" t="str">
            <v>ND: Non Depr</v>
          </cell>
          <cell r="D84">
            <v>25930.400000000001</v>
          </cell>
          <cell r="F84">
            <v>8817.6299999999992</v>
          </cell>
          <cell r="G84">
            <v>34748.03</v>
          </cell>
          <cell r="H84">
            <v>0</v>
          </cell>
          <cell r="I84">
            <v>0</v>
          </cell>
        </row>
        <row r="85">
          <cell r="B85" t="str">
            <v>2022</v>
          </cell>
          <cell r="D85">
            <v>116760.6</v>
          </cell>
          <cell r="F85">
            <v>0</v>
          </cell>
          <cell r="G85">
            <v>116760.6</v>
          </cell>
          <cell r="H85">
            <v>3652.92</v>
          </cell>
          <cell r="I85">
            <v>2993.74</v>
          </cell>
        </row>
        <row r="86">
          <cell r="B86" t="str">
            <v>2022 Q1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Q2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2022 Q3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2022 Q4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2023</v>
          </cell>
          <cell r="D90">
            <v>30221.3</v>
          </cell>
          <cell r="F90">
            <v>-7433.82</v>
          </cell>
          <cell r="G90">
            <v>26504.39</v>
          </cell>
          <cell r="H90">
            <v>349.63</v>
          </cell>
          <cell r="I90">
            <v>679.58</v>
          </cell>
        </row>
        <row r="91">
          <cell r="B91" t="str">
            <v>2024</v>
          </cell>
          <cell r="D91">
            <v>0</v>
          </cell>
          <cell r="F91">
            <v>123771.8</v>
          </cell>
          <cell r="G91">
            <v>123771.8</v>
          </cell>
          <cell r="H91">
            <v>0</v>
          </cell>
          <cell r="I91">
            <v>614.01</v>
          </cell>
        </row>
        <row r="92">
          <cell r="B92" t="str">
            <v>RP: RP 81-86 &amp; Post92</v>
          </cell>
          <cell r="D92">
            <v>146981.9</v>
          </cell>
          <cell r="F92">
            <v>116337.98</v>
          </cell>
          <cell r="G92">
            <v>267036.78999999998</v>
          </cell>
          <cell r="H92">
            <v>4002.55</v>
          </cell>
          <cell r="I92">
            <v>4287.33</v>
          </cell>
        </row>
        <row r="93">
          <cell r="B93" t="str">
            <v>COR</v>
          </cell>
          <cell r="D93">
            <v>0.02</v>
          </cell>
          <cell r="F93">
            <v>0</v>
          </cell>
          <cell r="G93">
            <v>0.02</v>
          </cell>
          <cell r="H93">
            <v>0.02</v>
          </cell>
          <cell r="I93">
            <v>0</v>
          </cell>
        </row>
        <row r="94">
          <cell r="B94" t="str">
            <v>RSG 2023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Unclassified</v>
          </cell>
          <cell r="D95">
            <v>0.02</v>
          </cell>
          <cell r="F95">
            <v>0</v>
          </cell>
          <cell r="G95">
            <v>0.02</v>
          </cell>
          <cell r="H95">
            <v>0.02</v>
          </cell>
          <cell r="I95">
            <v>0</v>
          </cell>
        </row>
        <row r="96">
          <cell r="D96">
            <v>1408145.55</v>
          </cell>
          <cell r="F96">
            <v>649590.48</v>
          </cell>
          <cell r="G96">
            <v>2061469.89</v>
          </cell>
          <cell r="H96">
            <v>96471.3</v>
          </cell>
          <cell r="I96">
            <v>128725.5</v>
          </cell>
        </row>
      </sheetData>
      <sheetData sheetId="15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 t="str">
            <v>2022 Q2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 t="str">
            <v>2022 Q3</v>
          </cell>
          <cell r="D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2022 Q4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2023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00.11: Furn, Fixt, Equip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 t="str">
            <v>2023 Q2</v>
          </cell>
          <cell r="D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B13" t="str">
            <v>00.12: Info Systems</v>
          </cell>
          <cell r="D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B14" t="str">
            <v>2022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2022 Q1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2022 Q2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Q3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2022 Q4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2023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00.22: Automobiles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2022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 t="str">
            <v>2022 Q1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 t="str">
            <v>2022 Q2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2022 Q3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 t="str">
            <v>2022 Q4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2023 Q2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 t="str">
            <v>00.27: Trailers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 t="str">
            <v>2022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2023 Q4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2024 Q1 Jan - Mar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 t="str">
            <v>2024 Q2 Apr - Jun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00.3: Land Improv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2022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 Q1</v>
          </cell>
          <cell r="D34">
            <v>14238.69</v>
          </cell>
          <cell r="F34">
            <v>0</v>
          </cell>
          <cell r="G34">
            <v>14238.69</v>
          </cell>
          <cell r="H34">
            <v>3714.45</v>
          </cell>
          <cell r="I34">
            <v>1052.52</v>
          </cell>
        </row>
        <row r="35">
          <cell r="B35" t="str">
            <v>2022 Q2</v>
          </cell>
          <cell r="D35">
            <v>22580.15</v>
          </cell>
          <cell r="F35">
            <v>0</v>
          </cell>
          <cell r="G35">
            <v>22580.15</v>
          </cell>
          <cell r="H35">
            <v>5433.24</v>
          </cell>
          <cell r="I35">
            <v>1714.74</v>
          </cell>
        </row>
        <row r="36">
          <cell r="B36" t="str">
            <v>2022 Q3</v>
          </cell>
          <cell r="D36">
            <v>2699.63</v>
          </cell>
          <cell r="F36">
            <v>0</v>
          </cell>
          <cell r="G36">
            <v>2699.63</v>
          </cell>
          <cell r="H36">
            <v>594.91999999999996</v>
          </cell>
          <cell r="I36">
            <v>210.49</v>
          </cell>
        </row>
        <row r="37">
          <cell r="B37" t="str">
            <v>2022 Q4</v>
          </cell>
          <cell r="D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2023 Q1</v>
          </cell>
          <cell r="D38">
            <v>4174.22</v>
          </cell>
          <cell r="F38">
            <v>0</v>
          </cell>
          <cell r="G38">
            <v>4174.22</v>
          </cell>
          <cell r="H38">
            <v>566.44000000000005</v>
          </cell>
          <cell r="I38">
            <v>270.61</v>
          </cell>
        </row>
        <row r="39">
          <cell r="B39" t="str">
            <v>2023 Q4</v>
          </cell>
          <cell r="D39">
            <v>1423.61</v>
          </cell>
          <cell r="F39">
            <v>0</v>
          </cell>
          <cell r="G39">
            <v>1423.61</v>
          </cell>
          <cell r="H39">
            <v>119.11</v>
          </cell>
          <cell r="I39">
            <v>97.84</v>
          </cell>
        </row>
        <row r="40">
          <cell r="B40" t="str">
            <v>2024 Q1 Jan - Mar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2024 Q2 Apr - Jun</v>
          </cell>
          <cell r="D41">
            <v>18064.36</v>
          </cell>
          <cell r="F41">
            <v>0</v>
          </cell>
          <cell r="G41">
            <v>18064.36</v>
          </cell>
          <cell r="H41">
            <v>846.68</v>
          </cell>
          <cell r="I41">
            <v>1291.42</v>
          </cell>
        </row>
        <row r="42">
          <cell r="B42" t="str">
            <v>2024 Q3 Jul - Sep</v>
          </cell>
          <cell r="D42">
            <v>20555.05</v>
          </cell>
          <cell r="F42">
            <v>0</v>
          </cell>
          <cell r="G42">
            <v>20555.05</v>
          </cell>
          <cell r="H42">
            <v>578.01</v>
          </cell>
          <cell r="I42">
            <v>1498.46</v>
          </cell>
        </row>
        <row r="43">
          <cell r="B43" t="str">
            <v>2024 Q4 Oct - Dec</v>
          </cell>
          <cell r="D43">
            <v>21742.67</v>
          </cell>
          <cell r="F43">
            <v>0</v>
          </cell>
          <cell r="G43">
            <v>21742.67</v>
          </cell>
          <cell r="H43">
            <v>203.73</v>
          </cell>
          <cell r="I43">
            <v>1615.48</v>
          </cell>
        </row>
        <row r="44">
          <cell r="B44" t="str">
            <v>49.14: Trans &amp; Dist Plnt</v>
          </cell>
          <cell r="D44">
            <v>105478.38</v>
          </cell>
          <cell r="F44">
            <v>0</v>
          </cell>
          <cell r="G44">
            <v>105478.38</v>
          </cell>
          <cell r="H44">
            <v>12056.58</v>
          </cell>
          <cell r="I44">
            <v>7751.56</v>
          </cell>
        </row>
        <row r="45">
          <cell r="B45" t="str">
            <v>2022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2022 Q1</v>
          </cell>
          <cell r="D46">
            <v>-49706.27</v>
          </cell>
          <cell r="F46">
            <v>0</v>
          </cell>
          <cell r="G46">
            <v>-49706.27</v>
          </cell>
          <cell r="H46">
            <v>-12966.87</v>
          </cell>
          <cell r="I46">
            <v>-3674.29</v>
          </cell>
        </row>
        <row r="47">
          <cell r="B47" t="str">
            <v>2022 Q2</v>
          </cell>
          <cell r="D47">
            <v>46762.47</v>
          </cell>
          <cell r="F47">
            <v>0</v>
          </cell>
          <cell r="G47">
            <v>46762.47</v>
          </cell>
          <cell r="H47">
            <v>11251.99</v>
          </cell>
          <cell r="I47">
            <v>3551.14</v>
          </cell>
        </row>
        <row r="48">
          <cell r="B48" t="str">
            <v>2022 Q3</v>
          </cell>
          <cell r="D48">
            <v>68921.48</v>
          </cell>
          <cell r="F48">
            <v>0</v>
          </cell>
          <cell r="G48">
            <v>68921.48</v>
          </cell>
          <cell r="H48">
            <v>15188.22</v>
          </cell>
          <cell r="I48">
            <v>5373.81</v>
          </cell>
        </row>
        <row r="49">
          <cell r="B49" t="str">
            <v>2022 Q4</v>
          </cell>
          <cell r="D49">
            <v>435371.19</v>
          </cell>
          <cell r="F49">
            <v>0</v>
          </cell>
          <cell r="G49">
            <v>435371.19</v>
          </cell>
          <cell r="H49">
            <v>87126.49</v>
          </cell>
          <cell r="I49">
            <v>34825.339999999997</v>
          </cell>
        </row>
        <row r="50">
          <cell r="B50" t="str">
            <v>2023</v>
          </cell>
          <cell r="D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2023 Q1</v>
          </cell>
          <cell r="D51">
            <v>276774.75</v>
          </cell>
          <cell r="F51">
            <v>0</v>
          </cell>
          <cell r="G51">
            <v>276774.75</v>
          </cell>
          <cell r="H51">
            <v>49473.49</v>
          </cell>
          <cell r="I51">
            <v>22728.74</v>
          </cell>
        </row>
        <row r="52">
          <cell r="B52" t="str">
            <v>2023 Q2</v>
          </cell>
          <cell r="D52">
            <v>-13248.31</v>
          </cell>
          <cell r="F52">
            <v>0</v>
          </cell>
          <cell r="G52">
            <v>-13248.31</v>
          </cell>
          <cell r="H52">
            <v>-2070.0500000000002</v>
          </cell>
          <cell r="I52">
            <v>-1117.76</v>
          </cell>
        </row>
        <row r="53">
          <cell r="B53" t="str">
            <v>2023 Q3</v>
          </cell>
          <cell r="D53">
            <v>38475.42</v>
          </cell>
          <cell r="F53">
            <v>0</v>
          </cell>
          <cell r="G53">
            <v>38475.42</v>
          </cell>
          <cell r="H53">
            <v>5146.09</v>
          </cell>
          <cell r="I53">
            <v>3332.74</v>
          </cell>
        </row>
        <row r="54">
          <cell r="B54" t="str">
            <v>2023 Q4</v>
          </cell>
          <cell r="D54">
            <v>386732.28</v>
          </cell>
          <cell r="F54">
            <v>0</v>
          </cell>
          <cell r="G54">
            <v>386732.28</v>
          </cell>
          <cell r="H54">
            <v>43023.96</v>
          </cell>
          <cell r="I54">
            <v>34368.89</v>
          </cell>
        </row>
        <row r="55">
          <cell r="B55" t="str">
            <v>2024 Q1 Jan - Mar</v>
          </cell>
          <cell r="D55">
            <v>5904.57</v>
          </cell>
          <cell r="F55">
            <v>0</v>
          </cell>
          <cell r="G55">
            <v>5904.57</v>
          </cell>
          <cell r="H55">
            <v>516.65</v>
          </cell>
          <cell r="I55">
            <v>538.79</v>
          </cell>
        </row>
        <row r="56">
          <cell r="B56" t="str">
            <v>2024 Q2 Apr - Jun</v>
          </cell>
          <cell r="D56">
            <v>23628.42</v>
          </cell>
          <cell r="F56">
            <v>0</v>
          </cell>
          <cell r="G56">
            <v>23628.42</v>
          </cell>
          <cell r="H56">
            <v>1476.77</v>
          </cell>
          <cell r="I56">
            <v>2215.17</v>
          </cell>
        </row>
        <row r="57">
          <cell r="B57" t="str">
            <v>2024 Q3 Jul - Sep</v>
          </cell>
          <cell r="D57">
            <v>49783.39</v>
          </cell>
          <cell r="F57">
            <v>0</v>
          </cell>
          <cell r="G57">
            <v>49783.39</v>
          </cell>
          <cell r="H57">
            <v>1866.88</v>
          </cell>
          <cell r="I57">
            <v>4791.6499999999996</v>
          </cell>
        </row>
        <row r="58">
          <cell r="B58" t="str">
            <v>2024 Q4 Oct - Dec</v>
          </cell>
          <cell r="D58">
            <v>384790.33</v>
          </cell>
          <cell r="F58">
            <v>0</v>
          </cell>
          <cell r="G58">
            <v>384790.33</v>
          </cell>
          <cell r="H58">
            <v>4809.88</v>
          </cell>
          <cell r="I58">
            <v>37998.04</v>
          </cell>
        </row>
        <row r="59">
          <cell r="B59" t="str">
            <v>49.14A: Trans 4/05-1/11</v>
          </cell>
          <cell r="D59">
            <v>1654189.72</v>
          </cell>
          <cell r="F59">
            <v>0</v>
          </cell>
          <cell r="G59">
            <v>1654189.72</v>
          </cell>
          <cell r="H59">
            <v>204843.5</v>
          </cell>
          <cell r="I59">
            <v>144932.26</v>
          </cell>
        </row>
        <row r="60">
          <cell r="B60" t="str">
            <v>2022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 t="str">
            <v>2022 Q1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2022 Q2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2022 Q3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 t="str">
            <v>2022 Q4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2023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 t="str">
            <v>49.14C: Smart Meters</v>
          </cell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 t="str">
            <v>2022</v>
          </cell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2022 Q1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2022 Q2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2022 Q3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Q4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LR84: Easements 84 Yr</v>
          </cell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 t="str">
            <v>2022</v>
          </cell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 t="str">
            <v>2022 Q1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Q2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2022 Q3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 t="str">
            <v>2022 Q4</v>
          </cell>
          <cell r="D78">
            <v>17357.599999999999</v>
          </cell>
          <cell r="F78">
            <v>0</v>
          </cell>
          <cell r="G78">
            <v>17357.599999999999</v>
          </cell>
          <cell r="H78">
            <v>0</v>
          </cell>
          <cell r="I78">
            <v>0</v>
          </cell>
        </row>
        <row r="79">
          <cell r="B79" t="str">
            <v>2023</v>
          </cell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2023 Q4</v>
          </cell>
          <cell r="D80">
            <v>8572.7999999999993</v>
          </cell>
          <cell r="F80">
            <v>0</v>
          </cell>
          <cell r="G80">
            <v>8572.7999999999993</v>
          </cell>
          <cell r="H80">
            <v>0</v>
          </cell>
          <cell r="I80">
            <v>0</v>
          </cell>
        </row>
        <row r="81">
          <cell r="B81" t="str">
            <v>2024 Q1 Jan - Mar</v>
          </cell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2024 Q2 Apr - Jun</v>
          </cell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2024 Q4 Oct - Dec</v>
          </cell>
          <cell r="D83">
            <v>8817.6299999999992</v>
          </cell>
          <cell r="F83">
            <v>0</v>
          </cell>
          <cell r="G83">
            <v>8817.6299999999992</v>
          </cell>
          <cell r="H83">
            <v>0</v>
          </cell>
          <cell r="I83">
            <v>0</v>
          </cell>
        </row>
        <row r="84">
          <cell r="B84" t="str">
            <v>ND: Non Depr</v>
          </cell>
          <cell r="D84">
            <v>34748.03</v>
          </cell>
          <cell r="F84">
            <v>0</v>
          </cell>
          <cell r="G84">
            <v>34748.03</v>
          </cell>
          <cell r="H84">
            <v>0</v>
          </cell>
          <cell r="I84">
            <v>0</v>
          </cell>
        </row>
        <row r="85">
          <cell r="B85" t="str">
            <v>2022</v>
          </cell>
          <cell r="D85">
            <v>116760.6</v>
          </cell>
          <cell r="F85">
            <v>0</v>
          </cell>
          <cell r="G85">
            <v>116760.6</v>
          </cell>
          <cell r="H85">
            <v>6646.66</v>
          </cell>
          <cell r="I85">
            <v>2993.74</v>
          </cell>
        </row>
        <row r="86">
          <cell r="B86" t="str">
            <v>2022 Q1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Q2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2022 Q3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2022 Q4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2023</v>
          </cell>
          <cell r="D90">
            <v>22787.48</v>
          </cell>
          <cell r="F90">
            <v>0</v>
          </cell>
          <cell r="G90">
            <v>22787.48</v>
          </cell>
          <cell r="H90">
            <v>798.91</v>
          </cell>
          <cell r="I90">
            <v>584.28</v>
          </cell>
        </row>
        <row r="91">
          <cell r="B91" t="str">
            <v>2024</v>
          </cell>
          <cell r="D91">
            <v>123771.8</v>
          </cell>
          <cell r="F91">
            <v>0</v>
          </cell>
          <cell r="G91">
            <v>123771.8</v>
          </cell>
          <cell r="H91">
            <v>614.01</v>
          </cell>
          <cell r="I91">
            <v>3173.51</v>
          </cell>
        </row>
        <row r="92">
          <cell r="B92" t="str">
            <v>RP: RP 81-86 &amp; Post92</v>
          </cell>
          <cell r="D92">
            <v>263319.88</v>
          </cell>
          <cell r="F92">
            <v>0</v>
          </cell>
          <cell r="G92">
            <v>263319.88</v>
          </cell>
          <cell r="H92">
            <v>8059.58</v>
          </cell>
          <cell r="I92">
            <v>6751.53</v>
          </cell>
        </row>
        <row r="93">
          <cell r="B93" t="str">
            <v>COR</v>
          </cell>
          <cell r="D93">
            <v>0.02</v>
          </cell>
          <cell r="F93">
            <v>0</v>
          </cell>
          <cell r="G93">
            <v>0.02</v>
          </cell>
          <cell r="H93">
            <v>0.02</v>
          </cell>
          <cell r="I93">
            <v>0</v>
          </cell>
        </row>
        <row r="94">
          <cell r="B94" t="str">
            <v>RSG 2023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Unclassified</v>
          </cell>
          <cell r="D95">
            <v>0.02</v>
          </cell>
          <cell r="F95">
            <v>0</v>
          </cell>
          <cell r="G95">
            <v>0.02</v>
          </cell>
          <cell r="H95">
            <v>0.02</v>
          </cell>
          <cell r="I95">
            <v>0</v>
          </cell>
        </row>
        <row r="96">
          <cell r="D96">
            <v>2057736.03</v>
          </cell>
          <cell r="F96">
            <v>0</v>
          </cell>
          <cell r="G96">
            <v>2057736.03</v>
          </cell>
          <cell r="H96">
            <v>224959.68</v>
          </cell>
          <cell r="I96">
            <v>159435.35</v>
          </cell>
        </row>
      </sheetData>
      <sheetData sheetId="16">
        <row r="5">
          <cell r="B5" t="str">
            <v>2022</v>
          </cell>
          <cell r="D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2022 Q1</v>
          </cell>
          <cell r="D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 t="str">
            <v>2022 Q2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 t="str">
            <v>2022 Q3</v>
          </cell>
          <cell r="D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2022 Q4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2023</v>
          </cell>
          <cell r="D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00.11: Furn, Fixt, Equip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 t="str">
            <v>2023 Q2</v>
          </cell>
          <cell r="D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B13" t="str">
            <v>00.12: Info Systems</v>
          </cell>
          <cell r="D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B14" t="str">
            <v>2022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2022 Q1</v>
          </cell>
          <cell r="D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B16" t="str">
            <v>2022 Q2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 t="str">
            <v>2022 Q3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2022 Q4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 t="str">
            <v>2023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00.22: Automobiles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2022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 t="str">
            <v>2022 Q1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 t="str">
            <v>2022 Q2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2022 Q3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 t="str">
            <v>2022 Q4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2023 Q2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 t="str">
            <v>00.27: Trailers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 t="str">
            <v>2022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2023 Q4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2024 Q1 Jan - Mar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B31" t="str">
            <v>2024 Q2 Apr - Jun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 t="str">
            <v>00.3: Land Improv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 t="str">
            <v>2022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2022 Q1</v>
          </cell>
          <cell r="D34">
            <v>14238.69</v>
          </cell>
          <cell r="F34">
            <v>0</v>
          </cell>
          <cell r="G34">
            <v>14238.69</v>
          </cell>
          <cell r="H34">
            <v>4766.97</v>
          </cell>
          <cell r="I34">
            <v>947.16</v>
          </cell>
        </row>
        <row r="35">
          <cell r="B35" t="str">
            <v>2022 Q2</v>
          </cell>
          <cell r="D35">
            <v>22580.15</v>
          </cell>
          <cell r="F35">
            <v>0</v>
          </cell>
          <cell r="G35">
            <v>22580.15</v>
          </cell>
          <cell r="H35">
            <v>7147.98</v>
          </cell>
          <cell r="I35">
            <v>1543.35</v>
          </cell>
        </row>
        <row r="36">
          <cell r="B36" t="str">
            <v>2022 Q3</v>
          </cell>
          <cell r="D36">
            <v>2699.63</v>
          </cell>
          <cell r="F36">
            <v>0</v>
          </cell>
          <cell r="G36">
            <v>2699.63</v>
          </cell>
          <cell r="H36">
            <v>805.41</v>
          </cell>
          <cell r="I36">
            <v>189.41</v>
          </cell>
        </row>
        <row r="37">
          <cell r="B37" t="str">
            <v>2022 Q4</v>
          </cell>
          <cell r="D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2023 Q1</v>
          </cell>
          <cell r="D38">
            <v>4174.22</v>
          </cell>
          <cell r="F38">
            <v>0</v>
          </cell>
          <cell r="G38">
            <v>4174.22</v>
          </cell>
          <cell r="H38">
            <v>837.05</v>
          </cell>
          <cell r="I38">
            <v>250.29</v>
          </cell>
        </row>
        <row r="39">
          <cell r="B39" t="str">
            <v>2023 Q4</v>
          </cell>
          <cell r="D39">
            <v>1423.61</v>
          </cell>
          <cell r="F39">
            <v>0</v>
          </cell>
          <cell r="G39">
            <v>1423.61</v>
          </cell>
          <cell r="H39">
            <v>216.95</v>
          </cell>
          <cell r="I39">
            <v>90.5</v>
          </cell>
        </row>
        <row r="40">
          <cell r="B40" t="str">
            <v>2024 Q1 Jan - Mar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 t="str">
            <v>2024 Q2 Apr - Jun</v>
          </cell>
          <cell r="D41">
            <v>18064.36</v>
          </cell>
          <cell r="F41">
            <v>0</v>
          </cell>
          <cell r="G41">
            <v>18064.36</v>
          </cell>
          <cell r="H41">
            <v>2138.1</v>
          </cell>
          <cell r="I41">
            <v>1194.42</v>
          </cell>
        </row>
        <row r="42">
          <cell r="B42" t="str">
            <v>2024 Q3 Jul - Sep</v>
          </cell>
          <cell r="D42">
            <v>20555.05</v>
          </cell>
          <cell r="F42">
            <v>0</v>
          </cell>
          <cell r="G42">
            <v>20555.05</v>
          </cell>
          <cell r="H42">
            <v>2076.4699999999998</v>
          </cell>
          <cell r="I42">
            <v>1385.82</v>
          </cell>
        </row>
        <row r="43">
          <cell r="B43" t="str">
            <v>2024 Q4 Oct - Dec</v>
          </cell>
          <cell r="D43">
            <v>21742.67</v>
          </cell>
          <cell r="F43">
            <v>0</v>
          </cell>
          <cell r="G43">
            <v>21742.67</v>
          </cell>
          <cell r="H43">
            <v>1819.21</v>
          </cell>
          <cell r="I43">
            <v>1494.37</v>
          </cell>
        </row>
        <row r="44">
          <cell r="B44" t="str">
            <v>49.14: Trans &amp; Dist Plnt</v>
          </cell>
          <cell r="D44">
            <v>105478.38</v>
          </cell>
          <cell r="F44">
            <v>0</v>
          </cell>
          <cell r="G44">
            <v>105478.38</v>
          </cell>
          <cell r="H44">
            <v>19808.14</v>
          </cell>
          <cell r="I44">
            <v>7095.32</v>
          </cell>
        </row>
        <row r="45">
          <cell r="B45" t="str">
            <v>2022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 t="str">
            <v>2022 Q1</v>
          </cell>
          <cell r="D46">
            <v>-49706.27</v>
          </cell>
          <cell r="F46">
            <v>0</v>
          </cell>
          <cell r="G46">
            <v>-49706.27</v>
          </cell>
          <cell r="H46">
            <v>-16641.16</v>
          </cell>
          <cell r="I46">
            <v>-3306.45</v>
          </cell>
        </row>
        <row r="47">
          <cell r="B47" t="str">
            <v>2022 Q2</v>
          </cell>
          <cell r="D47">
            <v>46762.47</v>
          </cell>
          <cell r="F47">
            <v>0</v>
          </cell>
          <cell r="G47">
            <v>46762.47</v>
          </cell>
          <cell r="H47">
            <v>14803.13</v>
          </cell>
          <cell r="I47">
            <v>3196.22</v>
          </cell>
        </row>
        <row r="48">
          <cell r="B48" t="str">
            <v>2022 Q3</v>
          </cell>
          <cell r="D48">
            <v>68921.48</v>
          </cell>
          <cell r="F48">
            <v>0</v>
          </cell>
          <cell r="G48">
            <v>68921.48</v>
          </cell>
          <cell r="H48">
            <v>20562.03</v>
          </cell>
          <cell r="I48">
            <v>4835.53</v>
          </cell>
        </row>
        <row r="49">
          <cell r="B49" t="str">
            <v>2022 Q4</v>
          </cell>
          <cell r="D49">
            <v>435371.19</v>
          </cell>
          <cell r="F49">
            <v>0</v>
          </cell>
          <cell r="G49">
            <v>435371.19</v>
          </cell>
          <cell r="H49">
            <v>121951.83</v>
          </cell>
          <cell r="I49">
            <v>31342.36</v>
          </cell>
        </row>
        <row r="50">
          <cell r="B50" t="str">
            <v>2023</v>
          </cell>
          <cell r="D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2023 Q1</v>
          </cell>
          <cell r="D51">
            <v>276774.75</v>
          </cell>
          <cell r="F51">
            <v>0</v>
          </cell>
          <cell r="G51">
            <v>276774.75</v>
          </cell>
          <cell r="H51">
            <v>72202.23</v>
          </cell>
          <cell r="I51">
            <v>20459.189999999999</v>
          </cell>
        </row>
        <row r="52">
          <cell r="B52" t="str">
            <v>2023 Q2</v>
          </cell>
          <cell r="D52">
            <v>-13248.31</v>
          </cell>
          <cell r="F52">
            <v>0</v>
          </cell>
          <cell r="G52">
            <v>-13248.31</v>
          </cell>
          <cell r="H52">
            <v>-3187.81</v>
          </cell>
          <cell r="I52">
            <v>-1006.08</v>
          </cell>
        </row>
        <row r="53">
          <cell r="B53" t="str">
            <v>2023 Q3</v>
          </cell>
          <cell r="D53">
            <v>38475.42</v>
          </cell>
          <cell r="F53">
            <v>0</v>
          </cell>
          <cell r="G53">
            <v>38475.42</v>
          </cell>
          <cell r="H53">
            <v>8478.83</v>
          </cell>
          <cell r="I53">
            <v>2999.93</v>
          </cell>
        </row>
        <row r="54">
          <cell r="B54" t="str">
            <v>2023 Q4</v>
          </cell>
          <cell r="D54">
            <v>386732.28</v>
          </cell>
          <cell r="F54">
            <v>0</v>
          </cell>
          <cell r="G54">
            <v>386732.28</v>
          </cell>
          <cell r="H54">
            <v>77392.850000000006</v>
          </cell>
          <cell r="I54">
            <v>30934.71</v>
          </cell>
        </row>
        <row r="55">
          <cell r="B55" t="str">
            <v>2024 Q1 Jan - Mar</v>
          </cell>
          <cell r="D55">
            <v>5904.57</v>
          </cell>
          <cell r="F55">
            <v>0</v>
          </cell>
          <cell r="G55">
            <v>5904.57</v>
          </cell>
          <cell r="H55">
            <v>1055.44</v>
          </cell>
          <cell r="I55">
            <v>484.88</v>
          </cell>
        </row>
        <row r="56">
          <cell r="B56" t="str">
            <v>2024 Q2 Apr - Jun</v>
          </cell>
          <cell r="D56">
            <v>23628.42</v>
          </cell>
          <cell r="F56">
            <v>0</v>
          </cell>
          <cell r="G56">
            <v>23628.42</v>
          </cell>
          <cell r="H56">
            <v>3691.94</v>
          </cell>
          <cell r="I56">
            <v>1993.52</v>
          </cell>
        </row>
        <row r="57">
          <cell r="B57" t="str">
            <v>2024 Q3 Jul - Sep</v>
          </cell>
          <cell r="D57">
            <v>49783.39</v>
          </cell>
          <cell r="F57">
            <v>0</v>
          </cell>
          <cell r="G57">
            <v>49783.39</v>
          </cell>
          <cell r="H57">
            <v>6658.53</v>
          </cell>
          <cell r="I57">
            <v>4312.24</v>
          </cell>
        </row>
        <row r="58">
          <cell r="B58" t="str">
            <v>2024 Q4 Oct - Dec</v>
          </cell>
          <cell r="D58">
            <v>384790.33</v>
          </cell>
          <cell r="F58">
            <v>0</v>
          </cell>
          <cell r="G58">
            <v>384790.33</v>
          </cell>
          <cell r="H58">
            <v>42807.92</v>
          </cell>
          <cell r="I58">
            <v>34196.32</v>
          </cell>
        </row>
        <row r="59">
          <cell r="B59" t="str">
            <v>49.14A: Trans 4/05-1/11</v>
          </cell>
          <cell r="D59">
            <v>1654189.72</v>
          </cell>
          <cell r="F59">
            <v>0</v>
          </cell>
          <cell r="G59">
            <v>1654189.72</v>
          </cell>
          <cell r="H59">
            <v>349775.76</v>
          </cell>
          <cell r="I59">
            <v>130442.37</v>
          </cell>
        </row>
        <row r="60">
          <cell r="B60" t="str">
            <v>2022</v>
          </cell>
          <cell r="D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 t="str">
            <v>2022 Q1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2022 Q2</v>
          </cell>
          <cell r="D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 t="str">
            <v>2022 Q3</v>
          </cell>
          <cell r="D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 t="str">
            <v>2022 Q4</v>
          </cell>
          <cell r="D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 t="str">
            <v>2023</v>
          </cell>
          <cell r="D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 t="str">
            <v>49.14C: Smart Meters</v>
          </cell>
          <cell r="D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 t="str">
            <v>2022</v>
          </cell>
          <cell r="D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 t="str">
            <v>2022 Q1</v>
          </cell>
          <cell r="D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 t="str">
            <v>2022 Q2</v>
          </cell>
          <cell r="D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2022 Q3</v>
          </cell>
          <cell r="D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 t="str">
            <v>2022 Q4</v>
          </cell>
          <cell r="D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 t="str">
            <v>2023</v>
          </cell>
          <cell r="D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 t="str">
            <v>LR84: Easements 84 Yr</v>
          </cell>
          <cell r="D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 t="str">
            <v>2022</v>
          </cell>
          <cell r="D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 t="str">
            <v>2022 Q1</v>
          </cell>
          <cell r="D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 t="str">
            <v>2022 Q2</v>
          </cell>
          <cell r="D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 t="str">
            <v>2022 Q3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 t="str">
            <v>2022 Q4</v>
          </cell>
          <cell r="D78">
            <v>17357.599999999999</v>
          </cell>
          <cell r="F78">
            <v>0</v>
          </cell>
          <cell r="G78">
            <v>17357.599999999999</v>
          </cell>
          <cell r="H78">
            <v>0</v>
          </cell>
          <cell r="I78">
            <v>0</v>
          </cell>
        </row>
        <row r="79">
          <cell r="B79" t="str">
            <v>2023</v>
          </cell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 t="str">
            <v>2023 Q4</v>
          </cell>
          <cell r="D80">
            <v>8572.7999999999993</v>
          </cell>
          <cell r="F80">
            <v>0</v>
          </cell>
          <cell r="G80">
            <v>8572.7999999999993</v>
          </cell>
          <cell r="H80">
            <v>0</v>
          </cell>
          <cell r="I80">
            <v>0</v>
          </cell>
        </row>
        <row r="81">
          <cell r="B81" t="str">
            <v>2024 Q1 Jan - Mar</v>
          </cell>
          <cell r="D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 t="str">
            <v>2024 Q2 Apr - Jun</v>
          </cell>
          <cell r="D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 t="str">
            <v>2024 Q4 Oct - Dec</v>
          </cell>
          <cell r="D83">
            <v>8817.6299999999992</v>
          </cell>
          <cell r="F83">
            <v>0</v>
          </cell>
          <cell r="G83">
            <v>8817.6299999999992</v>
          </cell>
          <cell r="H83">
            <v>0</v>
          </cell>
          <cell r="I83">
            <v>0</v>
          </cell>
        </row>
        <row r="84">
          <cell r="B84" t="str">
            <v>ND: Non Depr</v>
          </cell>
          <cell r="D84">
            <v>34748.03</v>
          </cell>
          <cell r="F84">
            <v>0</v>
          </cell>
          <cell r="G84">
            <v>34748.03</v>
          </cell>
          <cell r="H84">
            <v>0</v>
          </cell>
          <cell r="I84">
            <v>0</v>
          </cell>
        </row>
        <row r="85">
          <cell r="B85" t="str">
            <v>2022</v>
          </cell>
          <cell r="D85">
            <v>116760.6</v>
          </cell>
          <cell r="F85">
            <v>0</v>
          </cell>
          <cell r="G85">
            <v>116760.6</v>
          </cell>
          <cell r="H85">
            <v>9640.4</v>
          </cell>
          <cell r="I85">
            <v>2993.74</v>
          </cell>
        </row>
        <row r="86">
          <cell r="B86" t="str">
            <v>2022 Q1</v>
          </cell>
          <cell r="D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B87" t="str">
            <v>2022 Q2</v>
          </cell>
          <cell r="D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 t="str">
            <v>2022 Q3</v>
          </cell>
          <cell r="D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 t="str">
            <v>2022 Q4</v>
          </cell>
          <cell r="D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 t="str">
            <v>2023</v>
          </cell>
          <cell r="D90">
            <v>22787.48</v>
          </cell>
          <cell r="F90">
            <v>0</v>
          </cell>
          <cell r="G90">
            <v>22787.48</v>
          </cell>
          <cell r="H90">
            <v>1383.19</v>
          </cell>
          <cell r="I90">
            <v>584.34</v>
          </cell>
        </row>
        <row r="91">
          <cell r="B91" t="str">
            <v>2024</v>
          </cell>
          <cell r="D91">
            <v>123771.8</v>
          </cell>
          <cell r="F91">
            <v>0</v>
          </cell>
          <cell r="G91">
            <v>123771.8</v>
          </cell>
          <cell r="H91">
            <v>3787.52</v>
          </cell>
          <cell r="I91">
            <v>3173.51</v>
          </cell>
        </row>
        <row r="92">
          <cell r="B92" t="str">
            <v>RP: RP 81-86 &amp; Post92</v>
          </cell>
          <cell r="D92">
            <v>263319.88</v>
          </cell>
          <cell r="F92">
            <v>0</v>
          </cell>
          <cell r="G92">
            <v>263319.88</v>
          </cell>
          <cell r="H92">
            <v>14811.11</v>
          </cell>
          <cell r="I92">
            <v>6751.59</v>
          </cell>
        </row>
        <row r="93">
          <cell r="B93" t="str">
            <v>COR</v>
          </cell>
          <cell r="D93">
            <v>0.02</v>
          </cell>
          <cell r="F93">
            <v>0</v>
          </cell>
          <cell r="G93">
            <v>0.02</v>
          </cell>
          <cell r="H93">
            <v>0.02</v>
          </cell>
          <cell r="I93">
            <v>0</v>
          </cell>
        </row>
        <row r="94">
          <cell r="B94" t="str">
            <v>RSG 2023</v>
          </cell>
          <cell r="D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 t="str">
            <v>Unclassified</v>
          </cell>
          <cell r="D95">
            <v>0.02</v>
          </cell>
          <cell r="F95">
            <v>0</v>
          </cell>
          <cell r="G95">
            <v>0.02</v>
          </cell>
          <cell r="H95">
            <v>0.02</v>
          </cell>
          <cell r="I95">
            <v>0</v>
          </cell>
        </row>
        <row r="96">
          <cell r="D96">
            <v>2057736.03</v>
          </cell>
          <cell r="F96">
            <v>0</v>
          </cell>
          <cell r="G96">
            <v>2057736.03</v>
          </cell>
          <cell r="H96">
            <v>384395.03</v>
          </cell>
          <cell r="I96">
            <v>144289.28</v>
          </cell>
        </row>
      </sheetData>
      <sheetData sheetId="17">
        <row r="31">
          <cell r="N31">
            <v>5998426.9926000005</v>
          </cell>
        </row>
      </sheetData>
      <sheetData sheetId="18">
        <row r="22">
          <cell r="N22">
            <v>-24006690.987300001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F Alloc_Data"/>
      <sheetName val="II-F Alloc_Factor"/>
    </sheetNames>
    <sheetDataSet>
      <sheetData sheetId="0"/>
      <sheetData sheetId="1"/>
      <sheetData sheetId="2">
        <row r="38">
          <cell r="E38">
            <v>0.45458274033396245</v>
          </cell>
          <cell r="G38">
            <v>3.9054368052814981E-4</v>
          </cell>
          <cell r="I38">
            <v>0.51917908223557052</v>
          </cell>
          <cell r="L38">
            <v>1.5560787538446273E-2</v>
          </cell>
          <cell r="M38">
            <v>1.0286846211492508E-2</v>
          </cell>
        </row>
        <row r="39">
          <cell r="F39">
            <v>0.92603381578170541</v>
          </cell>
          <cell r="J39">
            <v>7.3966184218294553E-2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9CFCBD-28B4-4AAF-B847-24C57F78AD57}" mc:Ignorable="x14ac xr xr2 xr3">
  <x:dimension ref="A1:T221"/>
  <x:sheetViews>
    <x:sheetView tabSelected="1" zoomScale="80" zoomScaleNormal="80" workbookViewId="0">
      <x:pane xSplit="5" ySplit="10" topLeftCell="F11" activePane="bottomRight" state="frozen"/>
      <x:selection activeCell="F10" sqref="F10"/>
      <x:selection pane="topRight" activeCell="F10" sqref="F10"/>
      <x:selection pane="bottomLeft" activeCell="F10" sqref="F10"/>
      <x:selection pane="bottomRight" activeCell="F11" sqref="F11"/>
    </x:sheetView>
  </x:sheetViews>
  <x:sheetFormatPr defaultColWidth="20.1796875" defaultRowHeight="12.5" x14ac:dyDescent="0.25"/>
  <x:cols>
    <x:col min="1" max="1" width="8.1796875" style="1" bestFit="1" customWidth="1"/>
    <x:col min="2" max="2" width="6.81640625" style="1" bestFit="1" customWidth="1"/>
    <x:col min="3" max="3" width="24.54296875" style="1" customWidth="1"/>
    <x:col min="4" max="4" width="10.1796875" style="7" bestFit="1" customWidth="1"/>
    <x:col min="5" max="5" width="11.1796875" style="7" bestFit="1" customWidth="1"/>
    <x:col min="6" max="8" width="14.54296875" style="1" bestFit="1" customWidth="1"/>
    <x:col min="9" max="9" width="14.54296875" style="1" customWidth="1"/>
    <x:col min="10" max="10" width="15.54296875" style="1" customWidth="1"/>
    <x:col min="11" max="11" width="14.54296875" style="1" bestFit="1" customWidth="1"/>
    <x:col min="12" max="12" width="14.81640625" style="1" customWidth="1"/>
    <x:col min="13" max="13" width="14.54296875" style="1" bestFit="1" customWidth="1"/>
    <x:col min="14" max="14" width="12.7265625" style="1" customWidth="1"/>
    <x:col min="15" max="15" width="14.54296875" style="1" bestFit="1" customWidth="1"/>
    <x:col min="16" max="16" width="12.7265625" style="1" customWidth="1"/>
    <x:col min="17" max="17" width="14.81640625" style="1" customWidth="1"/>
    <x:col min="18" max="18" width="13.54296875" style="1" customWidth="1"/>
    <x:col min="19" max="19" width="13.453125" style="1" customWidth="1"/>
    <x:col min="20" max="20" width="16.1796875" style="1" customWidth="1"/>
    <x:col min="21" max="16384" width="20.1796875" style="1"/>
  </x:cols>
  <x:sheetData>
    <x:row r="1" spans="1:20" ht="15.5" x14ac:dyDescent="0.35">
      <x:c r="A1" s="28" t="s">
        <x:v>0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</x:row>
    <x:row r="2" spans="1:20" ht="15.5" x14ac:dyDescent="0.35">
      <x:c r="A2" s="28" t="s">
        <x:v>1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</x:row>
    <x:row r="3" spans="1:20" ht="15.5" x14ac:dyDescent="0.35">
      <x:c r="A3" s="28" t="s">
        <x:v>2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</x:row>
    <x:row r="4" spans="1:20" ht="15.5" x14ac:dyDescent="0.35">
      <x:c r="A4" s="28" t="s">
        <x:v>3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</x:row>
    <x:row r="5" spans="1:20" ht="15.5" x14ac:dyDescent="0.35">
      <x:c r="A5" s="28" t="s">
        <x:v>4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</x:row>
    <x:row r="9" spans="1:20" ht="13" x14ac:dyDescent="0.3">
      <x:c r="D9" s="23"/>
      <x:c r="E9" s="24"/>
      <x:c r="F9" s="25"/>
    </x:row>
    <x:row r="10" spans="1:20" ht="52" x14ac:dyDescent="0.3">
      <x:c r="A10" s="2" t="s">
        <x:v>5</x:v>
      </x:c>
      <x:c r="B10" s="29" t="s">
        <x:v>6</x:v>
      </x:c>
      <x:c r="C10" s="29"/>
      <x:c r="D10" s="3" t="s">
        <x:v>7</x:v>
      </x:c>
      <x:c r="E10" s="3" t="s">
        <x:v>8</x:v>
      </x:c>
      <x:c r="F10" s="4" t="s">
        <x:v>9</x:v>
      </x:c>
      <x:c r="G10" s="4" t="s">
        <x:v>10</x:v>
      </x:c>
      <x:c r="H10" s="4" t="s">
        <x:v>11</x:v>
      </x:c>
      <x:c r="I10" s="4" t="s">
        <x:v>12</x:v>
      </x:c>
      <x:c r="J10" s="4" t="s">
        <x:v>13</x:v>
      </x:c>
      <x:c r="K10" s="4" t="s">
        <x:v>14</x:v>
      </x:c>
      <x:c r="L10" s="4" t="s">
        <x:v>15</x:v>
      </x:c>
      <x:c r="M10" s="4" t="s">
        <x:v>16</x:v>
      </x:c>
      <x:c r="N10" s="4" t="s">
        <x:v>17</x:v>
      </x:c>
      <x:c r="O10" s="4" t="s">
        <x:v>18</x:v>
      </x:c>
      <x:c r="P10" s="4" t="s">
        <x:v>19</x:v>
      </x:c>
      <x:c r="Q10" s="4" t="s">
        <x:v>20</x:v>
      </x:c>
      <x:c r="R10" s="4" t="s">
        <x:v>21</x:v>
      </x:c>
      <x:c r="S10" s="4" t="s">
        <x:v>22</x:v>
      </x:c>
      <x:c r="T10" s="4" t="s">
        <x:v>23</x:v>
      </x:c>
    </x:row>
    <x:row r="11" spans="1:20" ht="14.5" customHeight="1" x14ac:dyDescent="0.25">
      <x:c r="B11" s="27" t="s">
        <x:v>24</x:v>
      </x:c>
      <x:c r="C11" s="27"/>
      <x:c r="D11" s="5" t="s">
        <x:v>25</x:v>
      </x:c>
      <x:c r="E11" s="5" t="s">
        <x:v>26</x:v>
      </x:c>
      <x:c r="F11" s="6" t="s">
        <x:v>27</x:v>
      </x:c>
      <x:c r="G11" s="6" t="s">
        <x:v>28</x:v>
      </x:c>
      <x:c r="H11" s="6" t="s">
        <x:v>29</x:v>
      </x:c>
      <x:c r="I11" s="6" t="s">
        <x:v>30</x:v>
      </x:c>
      <x:c r="J11" s="6" t="s">
        <x:v>31</x:v>
      </x:c>
      <x:c r="K11" s="6" t="s">
        <x:v>32</x:v>
      </x:c>
      <x:c r="L11" s="6" t="s">
        <x:v>33</x:v>
      </x:c>
      <x:c r="M11" s="6" t="s">
        <x:v>34</x:v>
      </x:c>
      <x:c r="N11" s="6" t="s">
        <x:v>35</x:v>
      </x:c>
      <x:c r="O11" s="6" t="s">
        <x:v>36</x:v>
      </x:c>
      <x:c r="P11" s="6" t="s">
        <x:v>37</x:v>
      </x:c>
      <x:c r="Q11" s="6" t="s">
        <x:v>38</x:v>
      </x:c>
      <x:c r="R11" s="6" t="s">
        <x:v>39</x:v>
      </x:c>
      <x:c r="S11" s="6" t="s">
        <x:v>40</x:v>
      </x:c>
      <x:c r="T11" s="6" t="s">
        <x:v>41</x:v>
      </x:c>
    </x:row>
    <x:row r="12" spans="1:20" ht="13" x14ac:dyDescent="0.3">
      <x:c r="A12" s="7">
        <x:v>1</x:v>
      </x:c>
      <x:c r="B12" s="8" t="s">
        <x:v>42</x:v>
      </x:c>
      <x:c r="C12" s="8"/>
      <x:c r="D12" s="8"/>
      <x:c r="E12" s="8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</x:row>
    <x:row r="13" spans="1:20" x14ac:dyDescent="0.25">
      <x:c r="A13" s="7">
        <x:f>+A12+1</x:f>
        <x:v>2</x:v>
      </x:c>
      <x:c r="B13" s="10" t="s">
        <x:v>43</x:v>
      </x:c>
      <x:c r="C13" s="1" t="s">
        <x:v>44</x:v>
      </x:c>
      <x:c r="D13" s="7" t="s">
        <x:v>45</x:v>
      </x:c>
      <x:c r="E13" s="7" t="s">
        <x:v>46</x:v>
      </x:c>
      <x:c r="F13" s="11">
        <x:f>IFERROR(VLOOKUP(C13,'[1]B-1 2022 Adds'!$B$5:$F$161,5,FALSE),0)</x:f>
        <x:v>4692717.6399999997</x:v>
      </x:c>
      <x:c r="G13" s="11">
        <x:f>IFERROR(VLOOKUP(C13,'[1]B-2 2022 NTU Adds'!$B$5:$F$61,5,FALSE),0)</x:f>
        <x:v>0</x:v>
      </x:c>
      <x:c r="H13" s="11">
        <x:f>IFERROR(VLOOKUP(C13,'[1]B-3 2023 Adds'!$B$5:$F$53,5,FALSE),0)</x:f>
        <x:v>1238582.9099999999</x:v>
      </x:c>
      <x:c r="I13" s="11">
        <x:f>IFERROR(VLOOKUP(C13,'[1]B-4 2023 NTU Adds'!$B$5:$F$61,5,FALSE),0)</x:f>
        <x:v>0</x:v>
      </x:c>
      <x:c r="J13" s="11">
        <x:f>IFERROR(VLOOKUP(C13,'[1]B-5 2024 Adds'!$B$5:$F$91,5,FALSE),0)</x:f>
        <x:v>3989751.52</x:v>
      </x:c>
      <x:c r="K13" s="11">
        <x:f>IFERROR(VLOOKUP(C13,'[1]B-6 2024 NTU Adds'!$B$5:$F$61,5,FALSE),0)</x:f>
        <x:v>0</x:v>
      </x:c>
      <x:c r="L13" s="12">
        <x:f>SUM(F13:K13)</x:f>
        <x:v>9921052.0700000003</x:v>
      </x:c>
      <x:c r="M13" s="12">
        <x:f>IFERROR(VLOOKUP(C13,'[1]C-1 TY2024 Depr'!$B$4:$I$220,8,FALSE),0)</x:f>
        <x:v>1434597.93</x:v>
      </x:c>
      <x:c r="N13" s="12">
        <x:f>IFERROR(VLOOKUP(C13,'[1]C-4 TY2024 Depr NTU'!$B$4:$I$96,8,FALSE),0)</x:f>
        <x:v>0</x:v>
      </x:c>
      <x:c r="O13" s="12">
        <x:f>IFERROR(VLOOKUP(C13,'[1]C-2 TY2025 Depr'!$B$4:$I$220,8,FALSE),0)</x:f>
        <x:v>1893928.74</x:v>
      </x:c>
      <x:c r="P13" s="12">
        <x:f>IFERROR(VLOOKUP(C13,'[1]C-5 TY2025 Depr NTU'!$B$4:$I$96,8,FALSE),0)</x:f>
        <x:v>0</x:v>
      </x:c>
      <x:c r="Q13" s="12">
        <x:f>IFERROR(VLOOKUP(C13,'[1]C-3 TY2026 Depr'!$B$4:$I$220,8,FALSE),0)</x:f>
        <x:v>1364613.08</x:v>
      </x:c>
      <x:c r="R13" s="12">
        <x:f>IFERROR(VLOOKUP(C13,'[1]C-6 TY2026 Depr NTU'!$B$4:$I$96,8,FALSE),0)</x:f>
        <x:v>0</x:v>
      </x:c>
    </x:row>
    <x:row r="14" spans="1:20" x14ac:dyDescent="0.25">
      <x:c r="A14" s="7">
        <x:f t="shared" ref="A14:A77" si="0">+A13+1</x:f>
        <x:v>3</x:v>
      </x:c>
      <x:c r="B14" s="10" t="s">
        <x:v>47</x:v>
      </x:c>
      <x:c r="C14" s="1" t="s">
        <x:v>48</x:v>
      </x:c>
      <x:c r="D14" s="7" t="s">
        <x:v>49</x:v>
      </x:c>
      <x:c r="E14" s="7" t="s">
        <x:v>46</x:v>
      </x:c>
      <x:c r="F14" s="11">
        <x:f>IFERROR(VLOOKUP(C14,'[1]B-1 2022 Adds'!$B$5:$F$161,5,FALSE),0)</x:f>
        <x:v>23674330.02</x:v>
      </x:c>
      <x:c r="G14" s="11">
        <x:f>IFERROR(VLOOKUP(C14,'[1]B-2 2022 NTU Adds'!$B$5:$F$61,5,FALSE),0)</x:f>
        <x:v>0</x:v>
      </x:c>
      <x:c r="H14" s="11">
        <x:f>IFERROR(VLOOKUP(C14,'[1]B-3 2023 Adds'!$B$5:$F$53,5,FALSE),0)</x:f>
        <x:v>12545497.51</x:v>
      </x:c>
      <x:c r="I14" s="11">
        <x:f>IFERROR(VLOOKUP(C14,'[1]B-4 2023 NTU Adds'!$B$5:$F$61,5,FALSE),0)</x:f>
        <x:v>0</x:v>
      </x:c>
      <x:c r="J14" s="11">
        <x:f>IFERROR(VLOOKUP(C14,'[1]B-5 2024 Adds'!$B$5:$F$91,5,FALSE),0)</x:f>
        <x:v>21554113.09</x:v>
      </x:c>
      <x:c r="K14" s="11">
        <x:f>IFERROR(VLOOKUP(C14,'[1]B-6 2024 NTU Adds'!$B$5:$F$61,5,FALSE),0)</x:f>
        <x:v>0</x:v>
      </x:c>
      <x:c r="L14" s="12">
        <x:f t="shared" ref="L14:L35" si="1">SUM(F14:K14)</x:f>
        <x:v>57773940.620000005</x:v>
      </x:c>
      <x:c r="M14" s="12">
        <x:f>IFERROR(VLOOKUP(C14,'[1]C-1 TY2024 Depr'!$B$4:$I$220,8,FALSE),0)</x:f>
        <x:v>11358967.25</x:v>
      </x:c>
      <x:c r="N14" s="12">
        <x:f>IFERROR(VLOOKUP(C14,'[1]C-4 TY2024 Depr NTU'!$B$4:$I$96,8,FALSE),0)</x:f>
        <x:v>0</x:v>
      </x:c>
      <x:c r="O14" s="12">
        <x:f>IFERROR(VLOOKUP(C14,'[1]C-2 TY2025 Depr'!$B$4:$I$220,8,FALSE),0)</x:f>
        <x:v>13179844.43</x:v>
      </x:c>
      <x:c r="P14" s="12">
        <x:f>IFERROR(VLOOKUP(C14,'[1]C-5 TY2025 Depr NTU'!$B$4:$I$96,8,FALSE),0)</x:f>
        <x:v>0</x:v>
      </x:c>
      <x:c r="Q14" s="12">
        <x:f>IFERROR(VLOOKUP(C14,'[1]C-3 TY2026 Depr'!$B$4:$I$220,8,FALSE),0)</x:f>
        <x:v>8681611.3300000001</x:v>
      </x:c>
      <x:c r="R14" s="12">
        <x:f>IFERROR(VLOOKUP(C14,'[1]C-6 TY2026 Depr NTU'!$B$4:$I$96,8,FALSE),0)</x:f>
        <x:v>0</x:v>
      </x:c>
    </x:row>
    <x:row r="15" spans="1:20" x14ac:dyDescent="0.25">
      <x:c r="A15" s="7">
        <x:f t="shared" si="0"/>
        <x:v>4</x:v>
      </x:c>
      <x:c r="B15" s="10" t="s">
        <x:v>50</x:v>
      </x:c>
      <x:c r="C15" s="1" t="s">
        <x:v>51</x:v>
      </x:c>
      <x:c r="D15" s="7" t="s">
        <x:v>49</x:v>
      </x:c>
      <x:c r="E15" s="7" t="s">
        <x:v>46</x:v>
      </x:c>
      <x:c r="F15" s="11">
        <x:f>IFERROR(VLOOKUP(C15,'[1]B-1 2022 Adds'!$B$5:$F$161,5,FALSE),0)</x:f>
        <x:v>0</x:v>
      </x:c>
      <x:c r="G15" s="11">
        <x:f>IFERROR(VLOOKUP(C15,'[1]B-2 2022 NTU Adds'!$B$5:$F$61,5,FALSE),0)</x:f>
        <x:v>0</x:v>
      </x:c>
      <x:c r="H15" s="11">
        <x:f>IFERROR(VLOOKUP(C15,'[1]B-3 2023 Adds'!$B$5:$F$53,5,FALSE),0)</x:f>
        <x:v>0</x:v>
      </x:c>
      <x:c r="I15" s="11">
        <x:f>IFERROR(VLOOKUP(C15,'[1]B-4 2023 NTU Adds'!$B$5:$F$61,5,FALSE),0)</x:f>
        <x:v>0</x:v>
      </x:c>
      <x:c r="J15" s="11">
        <x:f>IFERROR(VLOOKUP(C15,'[1]B-5 2024 Adds'!$B$5:$F$91,5,FALSE),0)</x:f>
        <x:v>6980.12</x:v>
      </x:c>
      <x:c r="K15" s="11">
        <x:f>IFERROR(VLOOKUP(C15,'[1]B-6 2024 NTU Adds'!$B$5:$F$61,5,FALSE),0)</x:f>
        <x:v>0</x:v>
      </x:c>
      <x:c r="L15" s="12">
        <x:f t="shared" si="1"/>
        <x:v>6980.12</x:v>
      </x:c>
      <x:c r="M15" s="12">
        <x:f>IFERROR(VLOOKUP(C15,'[1]C-1 TY2024 Depr'!$B$4:$I$220,8,FALSE),0)</x:f>
        <x:v>2519.5300000000002</x:v>
      </x:c>
      <x:c r="N15" s="12">
        <x:f>IFERROR(VLOOKUP(C15,'[1]C-4 TY2024 Depr NTU'!$B$4:$I$96,8,FALSE),0)</x:f>
        <x:v>0</x:v>
      </x:c>
      <x:c r="O15" s="12">
        <x:f>IFERROR(VLOOKUP(C15,'[1]C-2 TY2025 Depr'!$B$4:$I$220,8,FALSE),0)</x:f>
        <x:v>1784.23</x:v>
      </x:c>
      <x:c r="P15" s="12">
        <x:f>IFERROR(VLOOKUP(C15,'[1]C-5 TY2025 Depr NTU'!$B$4:$I$96,8,FALSE),0)</x:f>
        <x:v>0</x:v>
      </x:c>
      <x:c r="Q15" s="12">
        <x:f>IFERROR(VLOOKUP(C15,'[1]C-3 TY2026 Depr'!$B$4:$I$220,8,FALSE),0)</x:f>
        <x:v>1070.54</x:v>
      </x:c>
      <x:c r="R15" s="12">
        <x:f>IFERROR(VLOOKUP(C15,'[1]C-6 TY2026 Depr NTU'!$B$4:$I$96,8,FALSE),0)</x:f>
        <x:v>0</x:v>
      </x:c>
    </x:row>
    <x:row r="16" spans="1:20" x14ac:dyDescent="0.25">
      <x:c r="A16" s="7">
        <x:f t="shared" si="0"/>
        <x:v>5</x:v>
      </x:c>
      <x:c r="B16" s="10" t="s">
        <x:v>52</x:v>
      </x:c>
      <x:c r="C16" s="1" t="s">
        <x:v>53</x:v>
      </x:c>
      <x:c r="D16" s="7" t="s">
        <x:v>49</x:v>
      </x:c>
      <x:c r="E16" s="7" t="s">
        <x:v>46</x:v>
      </x:c>
      <x:c r="F16" s="11">
        <x:f>IFERROR(VLOOKUP(C16,'[1]B-1 2022 Adds'!$B$5:$F$161,5,FALSE),0)</x:f>
        <x:v>0</x:v>
      </x:c>
      <x:c r="G16" s="11">
        <x:f>IFERROR(VLOOKUP(C16,'[1]B-2 2022 NTU Adds'!$B$5:$F$61,5,FALSE),0)</x:f>
        <x:v>0</x:v>
      </x:c>
      <x:c r="H16" s="11">
        <x:f>IFERROR(VLOOKUP(C16,'[1]B-3 2023 Adds'!$B$5:$F$53,5,FALSE),0)</x:f>
        <x:v>0</x:v>
      </x:c>
      <x:c r="I16" s="11">
        <x:f>IFERROR(VLOOKUP(C16,'[1]B-4 2023 NTU Adds'!$B$5:$F$61,5,FALSE),0)</x:f>
        <x:v>0</x:v>
      </x:c>
      <x:c r="J16" s="11">
        <x:f>IFERROR(VLOOKUP(C16,'[1]B-5 2024 Adds'!$B$5:$F$91,5,FALSE),0)</x:f>
        <x:v>0</x:v>
      </x:c>
      <x:c r="K16" s="11">
        <x:f>IFERROR(VLOOKUP(C16,'[1]B-6 2024 NTU Adds'!$B$5:$F$61,5,FALSE),0)</x:f>
        <x:v>0</x:v>
      </x:c>
      <x:c r="L16" s="12">
        <x:f t="shared" si="1"/>
        <x:v>0</x:v>
      </x:c>
      <x:c r="M16" s="12">
        <x:f>IFERROR(VLOOKUP(C16,'[1]C-1 TY2024 Depr'!$B$4:$I$220,8,FALSE),0)</x:f>
        <x:v>0</x:v>
      </x:c>
      <x:c r="N16" s="12">
        <x:f>IFERROR(VLOOKUP(C16,'[1]C-4 TY2024 Depr NTU'!$B$4:$I$96,8,FALSE),0)</x:f>
        <x:v>0</x:v>
      </x:c>
      <x:c r="O16" s="12">
        <x:f>IFERROR(VLOOKUP(C16,'[1]C-2 TY2025 Depr'!$B$4:$I$220,8,FALSE),0)</x:f>
        <x:v>0</x:v>
      </x:c>
      <x:c r="P16" s="12">
        <x:f>IFERROR(VLOOKUP(C16,'[1]C-5 TY2025 Depr NTU'!$B$4:$I$96,8,FALSE),0)</x:f>
        <x:v>0</x:v>
      </x:c>
      <x:c r="Q16" s="12">
        <x:f>IFERROR(VLOOKUP(C16,'[1]C-3 TY2026 Depr'!$B$4:$I$220,8,FALSE),0)</x:f>
        <x:v>0</x:v>
      </x:c>
      <x:c r="R16" s="12">
        <x:f>IFERROR(VLOOKUP(C16,'[1]C-6 TY2026 Depr NTU'!$B$4:$I$96,8,FALSE),0)</x:f>
        <x:v>0</x:v>
      </x:c>
    </x:row>
    <x:row r="17" spans="1:18" x14ac:dyDescent="0.25">
      <x:c r="A17" s="7">
        <x:f t="shared" si="0"/>
        <x:v>6</x:v>
      </x:c>
      <x:c r="B17" s="10" t="s">
        <x:v>54</x:v>
      </x:c>
      <x:c r="C17" s="1" t="s">
        <x:v>55</x:v>
      </x:c>
      <x:c r="D17" s="7" t="s">
        <x:v>49</x:v>
      </x:c>
      <x:c r="E17" s="7" t="s">
        <x:v>46</x:v>
      </x:c>
      <x:c r="F17" s="11">
        <x:f>IFERROR(VLOOKUP(C17,'[1]B-1 2022 Adds'!$B$5:$F$161,5,FALSE),0)</x:f>
        <x:v>677282.05</x:v>
      </x:c>
      <x:c r="G17" s="11">
        <x:f>IFERROR(VLOOKUP(C17,'[1]B-2 2022 NTU Adds'!$B$5:$F$61,5,FALSE),0)</x:f>
        <x:v>0</x:v>
      </x:c>
      <x:c r="H17" s="11">
        <x:f>IFERROR(VLOOKUP(C17,'[1]B-3 2023 Adds'!$B$5:$F$53,5,FALSE),0)</x:f>
        <x:v>663246.96</x:v>
      </x:c>
      <x:c r="I17" s="11">
        <x:f>IFERROR(VLOOKUP(C17,'[1]B-4 2023 NTU Adds'!$B$5:$F$61,5,FALSE),0)</x:f>
        <x:v>0</x:v>
      </x:c>
      <x:c r="J17" s="11">
        <x:f>IFERROR(VLOOKUP(C17,'[1]B-5 2024 Adds'!$B$5:$F$91,5,FALSE),0)</x:f>
        <x:v>217945.44</x:v>
      </x:c>
      <x:c r="K17" s="11">
        <x:f>IFERROR(VLOOKUP(C17,'[1]B-6 2024 NTU Adds'!$B$5:$F$61,5,FALSE),0)</x:f>
        <x:v>0</x:v>
      </x:c>
      <x:c r="L17" s="12">
        <x:f t="shared" si="1"/>
        <x:v>1558474.45</x:v>
      </x:c>
      <x:c r="M17" s="12">
        <x:f>IFERROR(VLOOKUP(C17,'[1]C-1 TY2024 Depr'!$B$4:$I$220,8,FALSE),0)</x:f>
        <x:v>378563.76</x:v>
      </x:c>
      <x:c r="N17" s="12">
        <x:f>IFERROR(VLOOKUP(C17,'[1]C-4 TY2024 Depr NTU'!$B$4:$I$96,8,FALSE),0)</x:f>
        <x:v>0</x:v>
      </x:c>
      <x:c r="O17" s="12">
        <x:f>IFERROR(VLOOKUP(C17,'[1]C-2 TY2025 Depr'!$B$4:$I$220,8,FALSE),0)</x:f>
        <x:v>297804.36</x:v>
      </x:c>
      <x:c r="P17" s="12">
        <x:f>IFERROR(VLOOKUP(C17,'[1]C-5 TY2025 Depr NTU'!$B$4:$I$96,8,FALSE),0)</x:f>
        <x:v>0</x:v>
      </x:c>
      <x:c r="Q17" s="12">
        <x:f>IFERROR(VLOOKUP(C17,'[1]C-3 TY2026 Depr'!$B$4:$I$220,8,FALSE),0)</x:f>
        <x:v>199019.56</x:v>
      </x:c>
      <x:c r="R17" s="12">
        <x:f>IFERROR(VLOOKUP(C17,'[1]C-6 TY2026 Depr NTU'!$B$4:$I$96,8,FALSE),0)</x:f>
        <x:v>0</x:v>
      </x:c>
    </x:row>
    <x:row r="18" spans="1:18" x14ac:dyDescent="0.25">
      <x:c r="A18" s="7">
        <x:f t="shared" si="0"/>
        <x:v>7</x:v>
      </x:c>
      <x:c r="B18" s="10" t="s">
        <x:v>56</x:v>
      </x:c>
      <x:c r="C18" s="1" t="s">
        <x:v>57</x:v>
      </x:c>
      <x:c r="D18" s="7" t="s">
        <x:v>49</x:v>
      </x:c>
      <x:c r="E18" s="7" t="s">
        <x:v>46</x:v>
      </x:c>
      <x:c r="F18" s="11">
        <x:f>IFERROR(VLOOKUP(C18,'[1]B-1 2022 Adds'!$B$5:$F$161,5,FALSE),0)</x:f>
        <x:v>0</x:v>
      </x:c>
      <x:c r="G18" s="11">
        <x:f>IFERROR(VLOOKUP(C18,'[1]B-2 2022 NTU Adds'!$B$5:$F$61,5,FALSE),0)</x:f>
        <x:v>0</x:v>
      </x:c>
      <x:c r="H18" s="11">
        <x:f>IFERROR(VLOOKUP(C18,'[1]B-3 2023 Adds'!$B$5:$F$53,5,FALSE),0)</x:f>
        <x:v>0</x:v>
      </x:c>
      <x:c r="I18" s="11">
        <x:f>IFERROR(VLOOKUP(C18,'[1]B-4 2023 NTU Adds'!$B$5:$F$61,5,FALSE),0)</x:f>
        <x:v>0</x:v>
      </x:c>
      <x:c r="J18" s="11">
        <x:f>IFERROR(VLOOKUP(C18,'[1]B-5 2024 Adds'!$B$5:$F$91,5,FALSE),0)</x:f>
        <x:v>0</x:v>
      </x:c>
      <x:c r="K18" s="11">
        <x:f>IFERROR(VLOOKUP(C18,'[1]B-6 2024 NTU Adds'!$B$5:$F$61,5,FALSE),0)</x:f>
        <x:v>0</x:v>
      </x:c>
      <x:c r="L18" s="12">
        <x:f t="shared" si="1"/>
        <x:v>0</x:v>
      </x:c>
      <x:c r="M18" s="12">
        <x:f>IFERROR(VLOOKUP(C18,'[1]C-1 TY2024 Depr'!$B$4:$I$220,8,FALSE),0)</x:f>
        <x:v>0</x:v>
      </x:c>
      <x:c r="N18" s="12">
        <x:f>IFERROR(VLOOKUP(C18,'[1]C-4 TY2024 Depr NTU'!$B$4:$I$96,8,FALSE),0)</x:f>
        <x:v>0</x:v>
      </x:c>
      <x:c r="O18" s="12">
        <x:f>IFERROR(VLOOKUP(C18,'[1]C-2 TY2025 Depr'!$B$4:$I$220,8,FALSE),0)</x:f>
        <x:v>0</x:v>
      </x:c>
      <x:c r="P18" s="12">
        <x:f>IFERROR(VLOOKUP(C18,'[1]C-5 TY2025 Depr NTU'!$B$4:$I$96,8,FALSE),0)</x:f>
        <x:v>0</x:v>
      </x:c>
      <x:c r="Q18" s="12">
        <x:f>IFERROR(VLOOKUP(C18,'[1]C-3 TY2026 Depr'!$B$4:$I$220,8,FALSE),0)</x:f>
        <x:v>0</x:v>
      </x:c>
      <x:c r="R18" s="12">
        <x:f>IFERROR(VLOOKUP(C18,'[1]C-6 TY2026 Depr NTU'!$B$4:$I$96,8,FALSE),0)</x:f>
        <x:v>0</x:v>
      </x:c>
    </x:row>
    <x:row r="19" spans="1:18" x14ac:dyDescent="0.25">
      <x:c r="A19" s="7">
        <x:f t="shared" si="0"/>
        <x:v>8</x:v>
      </x:c>
      <x:c r="B19" s="10" t="s">
        <x:v>58</x:v>
      </x:c>
      <x:c r="C19" s="1" t="s">
        <x:v>59</x:v>
      </x:c>
      <x:c r="D19" s="7" t="s">
        <x:v>49</x:v>
      </x:c>
      <x:c r="E19" s="7" t="s">
        <x:v>46</x:v>
      </x:c>
      <x:c r="F19" s="11">
        <x:f>IFERROR(VLOOKUP(C19,'[1]B-1 2022 Adds'!$B$5:$F$161,5,FALSE),0)</x:f>
        <x:v>68342.2</x:v>
      </x:c>
      <x:c r="G19" s="11">
        <x:f>IFERROR(VLOOKUP(C19,'[1]B-2 2022 NTU Adds'!$B$5:$F$61,5,FALSE),0)</x:f>
        <x:v>0</x:v>
      </x:c>
      <x:c r="H19" s="11">
        <x:f>IFERROR(VLOOKUP(C19,'[1]B-3 2023 Adds'!$B$5:$F$53,5,FALSE),0)</x:f>
        <x:v>200634.54</x:v>
      </x:c>
      <x:c r="I19" s="11">
        <x:f>IFERROR(VLOOKUP(C19,'[1]B-4 2023 NTU Adds'!$B$5:$F$61,5,FALSE),0)</x:f>
        <x:v>0</x:v>
      </x:c>
      <x:c r="J19" s="11">
        <x:f>IFERROR(VLOOKUP(C19,'[1]B-5 2024 Adds'!$B$5:$F$91,5,FALSE),0)</x:f>
        <x:v>2630423.89</x:v>
      </x:c>
      <x:c r="K19" s="11">
        <x:f>IFERROR(VLOOKUP(C19,'[1]B-6 2024 NTU Adds'!$B$5:$F$61,5,FALSE),0)</x:f>
        <x:v>0</x:v>
      </x:c>
      <x:c r="L19" s="12">
        <x:f t="shared" si="1"/>
        <x:v>2899400.63</x:v>
      </x:c>
      <x:c r="M19" s="12">
        <x:f>IFERROR(VLOOKUP(C19,'[1]C-1 TY2024 Depr'!$B$4:$I$220,8,FALSE),0)</x:f>
        <x:v>210639.38</x:v>
      </x:c>
      <x:c r="N19" s="12">
        <x:f>IFERROR(VLOOKUP(C19,'[1]C-4 TY2024 Depr NTU'!$B$4:$I$96,8,FALSE),0)</x:f>
        <x:v>0</x:v>
      </x:c>
      <x:c r="O19" s="12">
        <x:f>IFERROR(VLOOKUP(C19,'[1]C-2 TY2025 Depr'!$B$4:$I$220,8,FALSE),0)</x:f>
        <x:v>1046842.05</x:v>
      </x:c>
      <x:c r="P19" s="12">
        <x:f>IFERROR(VLOOKUP(C19,'[1]C-5 TY2025 Depr NTU'!$B$4:$I$96,8,FALSE),0)</x:f>
        <x:v>0</x:v>
      </x:c>
      <x:c r="Q19" s="12">
        <x:f>IFERROR(VLOOKUP(C19,'[1]C-3 TY2026 Depr'!$B$4:$I$220,8,FALSE),0)</x:f>
        <x:v>630368.38</x:v>
      </x:c>
      <x:c r="R19" s="12">
        <x:f>IFERROR(VLOOKUP(C19,'[1]C-6 TY2026 Depr NTU'!$B$4:$I$96,8,FALSE),0)</x:f>
        <x:v>0</x:v>
      </x:c>
    </x:row>
    <x:row r="20" spans="1:18" x14ac:dyDescent="0.25">
      <x:c r="A20" s="7">
        <x:f t="shared" si="0"/>
        <x:v>9</x:v>
      </x:c>
      <x:c r="B20" s="10" t="s">
        <x:v>60</x:v>
      </x:c>
      <x:c r="C20" s="1" t="s">
        <x:v>61</x:v>
      </x:c>
      <x:c r="D20" s="7" t="s">
        <x:v>49</x:v>
      </x:c>
      <x:c r="E20" s="7" t="s">
        <x:v>46</x:v>
      </x:c>
      <x:c r="F20" s="11">
        <x:f>IFERROR(VLOOKUP(C20,'[1]B-1 2022 Adds'!$B$5:$F$161,5,FALSE),0)</x:f>
        <x:v>399386.19</x:v>
      </x:c>
      <x:c r="G20" s="11">
        <x:f>IFERROR(VLOOKUP(C20,'[1]B-2 2022 NTU Adds'!$B$5:$F$61,5,FALSE),0)</x:f>
        <x:v>0</x:v>
      </x:c>
      <x:c r="H20" s="11">
        <x:f>IFERROR(VLOOKUP(C20,'[1]B-3 2023 Adds'!$B$5:$F$53,5,FALSE),0)</x:f>
        <x:v>1055510.33</x:v>
      </x:c>
      <x:c r="I20" s="11">
        <x:f>IFERROR(VLOOKUP(C20,'[1]B-4 2023 NTU Adds'!$B$5:$F$61,5,FALSE),0)</x:f>
        <x:v>0</x:v>
      </x:c>
      <x:c r="J20" s="11">
        <x:f>IFERROR(VLOOKUP(C20,'[1]B-5 2024 Adds'!$B$5:$F$91,5,FALSE),0)</x:f>
        <x:v>573641.64</x:v>
      </x:c>
      <x:c r="K20" s="11">
        <x:f>IFERROR(VLOOKUP(C20,'[1]B-6 2024 NTU Adds'!$B$5:$F$61,5,FALSE),0)</x:f>
        <x:v>0</x:v>
      </x:c>
      <x:c r="L20" s="12">
        <x:f t="shared" si="1"/>
        <x:v>2028538.1600000001</x:v>
      </x:c>
      <x:c r="M20" s="12">
        <x:f>IFERROR(VLOOKUP(C20,'[1]C-1 TY2024 Depr'!$B$4:$I$220,8,FALSE),0)</x:f>
        <x:v>469304.66</x:v>
      </x:c>
      <x:c r="N20" s="12">
        <x:f>IFERROR(VLOOKUP(C20,'[1]C-4 TY2024 Depr NTU'!$B$4:$I$96,8,FALSE),0)</x:f>
        <x:v>0</x:v>
      </x:c>
      <x:c r="O20" s="12">
        <x:f>IFERROR(VLOOKUP(C20,'[1]C-2 TY2025 Depr'!$B$4:$I$220,8,FALSE),0)</x:f>
        <x:v>462920.41</x:v>
      </x:c>
      <x:c r="P20" s="12">
        <x:f>IFERROR(VLOOKUP(C20,'[1]C-5 TY2025 Depr NTU'!$B$4:$I$96,8,FALSE),0)</x:f>
        <x:v>0</x:v>
      </x:c>
      <x:c r="Q20" s="12">
        <x:f>IFERROR(VLOOKUP(C20,'[1]C-3 TY2026 Depr'!$B$4:$I$220,8,FALSE),0)</x:f>
        <x:v>291778.33</x:v>
      </x:c>
      <x:c r="R20" s="12">
        <x:f>IFERROR(VLOOKUP(C20,'[1]C-6 TY2026 Depr NTU'!$B$4:$I$96,8,FALSE),0)</x:f>
        <x:v>0</x:v>
      </x:c>
    </x:row>
    <x:row r="21" spans="1:18" x14ac:dyDescent="0.25">
      <x:c r="A21" s="7">
        <x:f t="shared" si="0"/>
        <x:v>10</x:v>
      </x:c>
      <x:c r="B21" s="10" t="s">
        <x:v>62</x:v>
      </x:c>
      <x:c r="C21" s="1" t="s">
        <x:v>63</x:v>
      </x:c>
      <x:c r="D21" s="7" t="s">
        <x:v>64</x:v>
      </x:c>
      <x:c r="E21" s="7" t="s">
        <x:v>46</x:v>
      </x:c>
      <x:c r="F21" s="11">
        <x:f>IFERROR(VLOOKUP(C21,'[1]B-1 2022 Adds'!$B$5:$F$161,5,FALSE),0)</x:f>
        <x:v>0</x:v>
      </x:c>
      <x:c r="G21" s="11">
        <x:f>IFERROR(VLOOKUP(C21,'[1]B-2 2022 NTU Adds'!$B$5:$F$61,5,FALSE),0)</x:f>
        <x:v>0</x:v>
      </x:c>
      <x:c r="H21" s="11">
        <x:f>IFERROR(VLOOKUP(C21,'[1]B-3 2023 Adds'!$B$5:$F$53,5,FALSE),0)</x:f>
        <x:v>0</x:v>
      </x:c>
      <x:c r="I21" s="11">
        <x:f>IFERROR(VLOOKUP(C21,'[1]B-4 2023 NTU Adds'!$B$5:$F$61,5,FALSE),0)</x:f>
        <x:v>0</x:v>
      </x:c>
      <x:c r="J21" s="11">
        <x:f>IFERROR(VLOOKUP(C21,'[1]B-5 2024 Adds'!$B$5:$F$91,5,FALSE),0)</x:f>
        <x:v>2118</x:v>
      </x:c>
      <x:c r="K21" s="11">
        <x:f>IFERROR(VLOOKUP(C21,'[1]B-6 2024 NTU Adds'!$B$5:$F$61,5,FALSE),0)</x:f>
        <x:v>0</x:v>
      </x:c>
      <x:c r="L21" s="12">
        <x:f t="shared" si="1"/>
        <x:v>2118</x:v>
      </x:c>
      <x:c r="M21" s="12">
        <x:f>IFERROR(VLOOKUP(C21,'[1]C-1 TY2024 Depr'!$B$4:$I$220,8,FALSE),0)</x:f>
        <x:v>52.95</x:v>
      </x:c>
      <x:c r="N21" s="12">
        <x:f>IFERROR(VLOOKUP(C21,'[1]C-4 TY2024 Depr NTU'!$B$4:$I$96,8,FALSE),0)</x:f>
        <x:v>0</x:v>
      </x:c>
      <x:c r="O21" s="12">
        <x:f>IFERROR(VLOOKUP(C21,'[1]C-2 TY2025 Depr'!$B$4:$I$220,8,FALSE),0)</x:f>
        <x:v>413.01</x:v>
      </x:c>
      <x:c r="P21" s="12">
        <x:f>IFERROR(VLOOKUP(C21,'[1]C-5 TY2025 Depr NTU'!$B$4:$I$96,8,FALSE),0)</x:f>
        <x:v>0</x:v>
      </x:c>
      <x:c r="Q21" s="12">
        <x:f>IFERROR(VLOOKUP(C21,'[1]C-3 TY2026 Depr'!$B$4:$I$220,8,FALSE),0)</x:f>
        <x:v>330.41</x:v>
      </x:c>
      <x:c r="R21" s="12">
        <x:f>IFERROR(VLOOKUP(C21,'[1]C-6 TY2026 Depr NTU'!$B$4:$I$96,8,FALSE),0)</x:f>
        <x:v>0</x:v>
      </x:c>
    </x:row>
    <x:row r="22" spans="1:18" x14ac:dyDescent="0.25">
      <x:c r="A22" s="7">
        <x:f t="shared" si="0"/>
        <x:v>11</x:v>
      </x:c>
      <x:c r="B22" s="10" t="s">
        <x:v>65</x:v>
      </x:c>
      <x:c r="C22" s="1" t="s">
        <x:v>66</x:v>
      </x:c>
      <x:c r="D22" s="7" t="s">
        <x:v>67</x:v>
      </x:c>
      <x:c r="E22" s="7" t="s">
        <x:v>46</x:v>
      </x:c>
      <x:c r="F22" s="11">
        <x:f>IFERROR(VLOOKUP(C22,'[1]B-1 2022 Adds'!$B$5:$F$161,5,FALSE),0)</x:f>
        <x:v>54961503.119999997</x:v>
      </x:c>
      <x:c r="G22" s="11">
        <x:f>IFERROR(VLOOKUP(C22,'[1]B-2 2022 NTU Adds'!$B$5:$F$61,5,FALSE),0)</x:f>
        <x:v>0</x:v>
      </x:c>
      <x:c r="H22" s="11">
        <x:f>IFERROR(VLOOKUP(C22,'[1]B-3 2023 Adds'!$B$5:$F$53,5,FALSE),0)</x:f>
        <x:v>89391025.650000006</x:v>
      </x:c>
      <x:c r="I22" s="11">
        <x:f>IFERROR(VLOOKUP(C22,'[1]B-4 2023 NTU Adds'!$B$5:$F$61,5,FALSE),0)</x:f>
        <x:v>0</x:v>
      </x:c>
      <x:c r="J22" s="11">
        <x:f>IFERROR(VLOOKUP(C22,'[1]B-5 2024 Adds'!$B$5:$F$91,5,FALSE),0)</x:f>
        <x:v>138854788.08000001</x:v>
      </x:c>
      <x:c r="K22" s="11">
        <x:f>IFERROR(VLOOKUP(C22,'[1]B-6 2024 NTU Adds'!$B$5:$F$61,5,FALSE),0)</x:f>
        <x:v>0</x:v>
      </x:c>
      <x:c r="L22" s="12">
        <x:f t="shared" si="1"/>
        <x:v>283207316.85000002</x:v>
      </x:c>
      <x:c r="M22" s="12">
        <x:f>IFERROR(VLOOKUP(C22,'[1]C-1 TY2024 Depr'!$B$4:$I$220,8,FALSE),0)</x:f>
        <x:v>18206270.800000001</x:v>
      </x:c>
      <x:c r="N22" s="12">
        <x:f>IFERROR(VLOOKUP(C22,'[1]C-4 TY2024 Depr NTU'!$B$4:$I$96,8,FALSE),0)</x:f>
        <x:v>0</x:v>
      </x:c>
      <x:c r="O22" s="12">
        <x:f>IFERROR(VLOOKUP(C22,'[1]C-2 TY2025 Depr'!$B$4:$I$220,8,FALSE),0)</x:f>
        <x:v>25302446.129999999</x:v>
      </x:c>
      <x:c r="P22" s="12">
        <x:f>IFERROR(VLOOKUP(C22,'[1]C-5 TY2025 Depr NTU'!$B$4:$I$96,8,FALSE),0)</x:f>
        <x:v>0</x:v>
      </x:c>
      <x:c r="Q22" s="12">
        <x:f>IFERROR(VLOOKUP(C22,'[1]C-3 TY2026 Depr'!$B$4:$I$220,8,FALSE),0)</x:f>
        <x:v>22816135.82</x:v>
      </x:c>
      <x:c r="R22" s="12">
        <x:f>IFERROR(VLOOKUP(C22,'[1]C-6 TY2026 Depr NTU'!$B$4:$I$96,8,FALSE),0)</x:f>
        <x:v>0</x:v>
      </x:c>
    </x:row>
    <x:row r="23" spans="1:18" x14ac:dyDescent="0.25">
      <x:c r="A23" s="7">
        <x:f t="shared" si="0"/>
        <x:v>12</x:v>
      </x:c>
      <x:c r="B23" s="10" t="s">
        <x:v>68</x:v>
      </x:c>
      <x:c r="C23" s="1" t="s">
        <x:v>69</x:v>
      </x:c>
      <x:c r="D23" s="7" t="s">
        <x:v>45</x:v>
      </x:c>
      <x:c r="E23" s="7" t="s">
        <x:v>46</x:v>
      </x:c>
      <x:c r="F23" s="11">
        <x:f>IFERROR(VLOOKUP(C23,'[1]B-1 2022 Adds'!$B$5:$F$161,5,FALSE),0)</x:f>
        <x:v>0</x:v>
      </x:c>
      <x:c r="G23" s="11">
        <x:f>IFERROR(VLOOKUP(C23,'[1]B-2 2022 NTU Adds'!$B$5:$F$61,5,FALSE),0)</x:f>
        <x:v>0</x:v>
      </x:c>
      <x:c r="H23" s="11">
        <x:f>IFERROR(VLOOKUP(C23,'[1]B-3 2023 Adds'!$B$5:$F$53,5,FALSE),0)</x:f>
        <x:v>0</x:v>
      </x:c>
      <x:c r="I23" s="11">
        <x:f>IFERROR(VLOOKUP(C23,'[1]B-4 2023 NTU Adds'!$B$5:$F$61,5,FALSE),0)</x:f>
        <x:v>0</x:v>
      </x:c>
      <x:c r="J23" s="11">
        <x:f>IFERROR(VLOOKUP(C23,'[1]B-5 2024 Adds'!$B$5:$F$91,5,FALSE),0)</x:f>
        <x:v>0</x:v>
      </x:c>
      <x:c r="K23" s="11">
        <x:f>IFERROR(VLOOKUP(C23,'[1]B-6 2024 NTU Adds'!$B$5:$F$61,5,FALSE),0)</x:f>
        <x:v>0</x:v>
      </x:c>
      <x:c r="L23" s="12">
        <x:f t="shared" si="1"/>
        <x:v>0</x:v>
      </x:c>
      <x:c r="M23" s="12">
        <x:f>IFERROR(VLOOKUP(C23,'[1]C-1 TY2024 Depr'!$B$4:$I$220,8,FALSE),0)</x:f>
        <x:v>0</x:v>
      </x:c>
      <x:c r="N23" s="12">
        <x:f>IFERROR(VLOOKUP(C23,'[1]C-4 TY2024 Depr NTU'!$B$4:$I$96,8,FALSE),0)</x:f>
        <x:v>0</x:v>
      </x:c>
      <x:c r="O23" s="12">
        <x:f>IFERROR(VLOOKUP(C23,'[1]C-2 TY2025 Depr'!$B$4:$I$220,8,FALSE),0)</x:f>
        <x:v>0</x:v>
      </x:c>
      <x:c r="P23" s="12">
        <x:f>IFERROR(VLOOKUP(C23,'[1]C-5 TY2025 Depr NTU'!$B$4:$I$96,8,FALSE),0)</x:f>
        <x:v>0</x:v>
      </x:c>
      <x:c r="Q23" s="12">
        <x:f>IFERROR(VLOOKUP(C23,'[1]C-3 TY2026 Depr'!$B$4:$I$220,8,FALSE),0)</x:f>
        <x:v>0</x:v>
      </x:c>
      <x:c r="R23" s="12">
        <x:f>IFERROR(VLOOKUP(C23,'[1]C-6 TY2026 Depr NTU'!$B$4:$I$96,8,FALSE),0)</x:f>
        <x:v>0</x:v>
      </x:c>
    </x:row>
    <x:row r="24" spans="1:18" x14ac:dyDescent="0.25">
      <x:c r="A24" s="7">
        <x:f t="shared" si="0"/>
        <x:v>13</x:v>
      </x:c>
      <x:c r="B24" s="13" t="s">
        <x:v>70</x:v>
      </x:c>
      <x:c r="C24" s="1" t="s">
        <x:v>71</x:v>
      </x:c>
      <x:c r="D24" s="7" t="s">
        <x:v>72</x:v>
      </x:c>
      <x:c r="E24" s="7" t="s">
        <x:v>46</x:v>
      </x:c>
      <x:c r="F24" s="11">
        <x:f>IFERROR(VLOOKUP(C24,'[1]B-1 2022 Adds'!$B$5:$F$161,5,FALSE),0)</x:f>
        <x:v>1026988668.5599999</x:v>
      </x:c>
      <x:c r="G24" s="11">
        <x:f>IFERROR(VLOOKUP(C24,'[1]B-2 2022 NTU Adds'!$B$5:$F$61,5,FALSE),0)</x:f>
        <x:v>39518.47</x:v>
      </x:c>
      <x:c r="H24" s="11">
        <x:f>IFERROR(VLOOKUP(C24,'[1]B-3 2023 Adds'!$B$5:$F$53,5,FALSE),0)</x:f>
        <x:v>1376683703.25</x:v>
      </x:c>
      <x:c r="I24" s="11">
        <x:f>IFERROR(VLOOKUP(C24,'[1]B-4 2023 NTU Adds'!$B$5:$F$61,5,FALSE),0)</x:f>
        <x:v>5597.83</x:v>
      </x:c>
      <x:c r="J24" s="11">
        <x:f>IFERROR(VLOOKUP(C24,'[1]B-5 2024 Adds'!$B$5:$F$91,5,FALSE),0)</x:f>
        <x:v>1682205064.51</x:v>
      </x:c>
      <x:c r="K24" s="11">
        <x:f>IFERROR(VLOOKUP(C24,'[1]B-6 2024 NTU Adds'!$B$5:$F$61,5,FALSE),0)</x:f>
        <x:v>60362.080000000002</x:v>
      </x:c>
      <x:c r="L24" s="12">
        <x:f t="shared" si="1"/>
        <x:v>4085982914.6999998</x:v>
      </x:c>
      <x:c r="M24" s="12">
        <x:f>IFERROR(VLOOKUP(C24,'[1]C-1 TY2024 Depr'!$B$4:$I$220,8,FALSE),0)</x:f>
        <x:v>228318310.37</x:v>
      </x:c>
      <x:c r="N24" s="12">
        <x:f>IFERROR(VLOOKUP(C24,'[1]C-4 TY2024 Depr NTU'!$B$4:$I$96,8,FALSE),0)</x:f>
        <x:v>5334.93</x:v>
      </x:c>
      <x:c r="O24" s="12">
        <x:f>IFERROR(VLOOKUP(C24,'[1]C-2 TY2025 Depr'!$B$4:$I$220,8,FALSE),0)</x:f>
        <x:v>276141907.23000002</x:v>
      </x:c>
      <x:c r="P24" s="12">
        <x:f>IFERROR(VLOOKUP(C24,'[1]C-5 TY2025 Depr NTU'!$B$4:$I$96,8,FALSE),0)</x:f>
        <x:v>7751.56</x:v>
      </x:c>
      <x:c r="Q24" s="12">
        <x:f>IFERROR(VLOOKUP(C24,'[1]C-3 TY2026 Depr'!$B$4:$I$220,8,FALSE),0)</x:f>
        <x:v>255431742.66999999</x:v>
      </x:c>
      <x:c r="R24" s="12">
        <x:f>IFERROR(VLOOKUP(C24,'[1]C-6 TY2026 Depr NTU'!$B$4:$I$96,8,FALSE),0)</x:f>
        <x:v>7095.32</x:v>
      </x:c>
    </x:row>
    <x:row r="25" spans="1:18" x14ac:dyDescent="0.25">
      <x:c r="A25" s="7">
        <x:f t="shared" si="0"/>
        <x:v>14</x:v>
      </x:c>
      <x:c r="B25" s="1" t="s">
        <x:v>73</x:v>
      </x:c>
      <x:c r="C25" s="1" t="s">
        <x:v>74</x:v>
      </x:c>
      <x:c r="D25" s="7" t="s">
        <x:v>67</x:v>
      </x:c>
      <x:c r="E25" s="7" t="s">
        <x:v>46</x:v>
      </x:c>
      <x:c r="F25" s="11">
        <x:f>IFERROR(VLOOKUP(C25,'[1]B-1 2022 Adds'!$B$5:$F$161,5,FALSE),0)</x:f>
        <x:v>788470031.07000005</x:v>
      </x:c>
      <x:c r="G25" s="11">
        <x:f>IFERROR(VLOOKUP(C25,'[1]B-2 2022 NTU Adds'!$B$5:$F$61,5,FALSE),0)</x:f>
        <x:v>501382.79</x:v>
      </x:c>
      <x:c r="H25" s="11">
        <x:f>IFERROR(VLOOKUP(C25,'[1]B-3 2023 Adds'!$B$5:$F$53,5,FALSE),0)</x:f>
        <x:v>1176655247.0599999</x:v>
      </x:c>
      <x:c r="I25" s="11">
        <x:f>IFERROR(VLOOKUP(C25,'[1]B-4 2023 NTU Adds'!$B$5:$F$61,5,FALSE),0)</x:f>
        <x:v>688734.14</x:v>
      </x:c>
      <x:c r="J25" s="11">
        <x:f>IFERROR(VLOOKUP(C25,'[1]B-5 2024 Adds'!$B$5:$F$91,5,FALSE),0)</x:f>
        <x:v>1723477037.97</x:v>
      </x:c>
      <x:c r="K25" s="11">
        <x:f>IFERROR(VLOOKUP(C25,'[1]B-6 2024 NTU Adds'!$B$5:$F$61,5,FALSE),0)</x:f>
        <x:v>464106.71</x:v>
      </x:c>
      <x:c r="L25" s="12">
        <x:f t="shared" si="1"/>
        <x:v>3690256539.7400002</x:v>
      </x:c>
      <x:c r="M25" s="12">
        <x:f>IFERROR(VLOOKUP(C25,'[1]C-1 TY2024 Depr'!$B$4:$I$220,8,FALSE),0)</x:f>
        <x:v>244291330.47999999</x:v>
      </x:c>
      <x:c r="N25" s="12">
        <x:f>IFERROR(VLOOKUP(C25,'[1]C-4 TY2024 Depr NTU'!$B$4:$I$96,8,FALSE),0)</x:f>
        <x:v>119103.24</x:v>
      </x:c>
      <x:c r="O25" s="12">
        <x:f>IFERROR(VLOOKUP(C25,'[1]C-2 TY2025 Depr'!$B$4:$I$220,8,FALSE),0)</x:f>
        <x:v>327441808.04000002</x:v>
      </x:c>
      <x:c r="P25" s="12">
        <x:f>IFERROR(VLOOKUP(C25,'[1]C-5 TY2025 Depr NTU'!$B$4:$I$96,8,FALSE),0)</x:f>
        <x:v>144932.26</x:v>
      </x:c>
      <x:c r="Q25" s="12">
        <x:f>IFERROR(VLOOKUP(C25,'[1]C-3 TY2026 Depr'!$B$4:$I$220,8,FALSE),0)</x:f>
        <x:v>295275761.38</x:v>
      </x:c>
      <x:c r="R25" s="12">
        <x:f>IFERROR(VLOOKUP(C25,'[1]C-6 TY2026 Depr NTU'!$B$4:$I$96,8,FALSE),0)</x:f>
        <x:v>130442.37</x:v>
      </x:c>
    </x:row>
    <x:row r="26" spans="1:18" x14ac:dyDescent="0.25">
      <x:c r="A26" s="7">
        <x:f t="shared" si="0"/>
        <x:v>15</x:v>
      </x:c>
      <x:c r="B26" s="1" t="s">
        <x:v>75</x:v>
      </x:c>
      <x:c r="C26" s="1" t="s">
        <x:v>76</x:v>
      </x:c>
      <x:c r="D26" s="7" t="s">
        <x:v>72</x:v>
      </x:c>
      <x:c r="E26" s="7" t="s">
        <x:v>46</x:v>
      </x:c>
      <x:c r="F26" s="11">
        <x:f>IFERROR(VLOOKUP(C26,'[1]B-1 2022 Adds'!$B$5:$F$161,5,FALSE),0)</x:f>
        <x:v>13055046.84</x:v>
      </x:c>
      <x:c r="G26" s="11">
        <x:f>IFERROR(VLOOKUP(C26,'[1]B-2 2022 NTU Adds'!$B$5:$F$61,5,FALSE),0)</x:f>
        <x:v>0</x:v>
      </x:c>
      <x:c r="H26" s="11">
        <x:f>IFERROR(VLOOKUP(C26,'[1]B-3 2023 Adds'!$B$5:$F$53,5,FALSE),0)</x:f>
        <x:v>18037992.940000001</x:v>
      </x:c>
      <x:c r="I26" s="11">
        <x:f>IFERROR(VLOOKUP(C26,'[1]B-4 2023 NTU Adds'!$B$5:$F$61,5,FALSE),0)</x:f>
        <x:v>0</x:v>
      </x:c>
      <x:c r="J26" s="11">
        <x:f>IFERROR(VLOOKUP(C26,'[1]B-5 2024 Adds'!$B$5:$F$91,5,FALSE),0)</x:f>
        <x:v>22015473.670000002</x:v>
      </x:c>
      <x:c r="K26" s="11">
        <x:f>IFERROR(VLOOKUP(C26,'[1]B-6 2024 NTU Adds'!$B$5:$F$61,5,FALSE),0)</x:f>
        <x:v>0</x:v>
      </x:c>
      <x:c r="L26" s="12">
        <x:f t="shared" si="1"/>
        <x:v>53108513.450000003</x:v>
      </x:c>
      <x:c r="M26" s="12">
        <x:f>IFERROR(VLOOKUP(C26,'[1]C-1 TY2024 Depr'!$B$4:$I$220,8,FALSE),0)</x:f>
        <x:v>3425632.78</x:v>
      </x:c>
      <x:c r="N26" s="12">
        <x:f>IFERROR(VLOOKUP(C26,'[1]C-4 TY2024 Depr NTU'!$B$4:$I$96,8,FALSE),0)</x:f>
        <x:v>0</x:v>
      </x:c>
      <x:c r="O26" s="12">
        <x:f>IFERROR(VLOOKUP(C26,'[1]C-2 TY2025 Depr'!$B$4:$I$220,8,FALSE),0)</x:f>
        <x:v>4006923.7</x:v>
      </x:c>
      <x:c r="P26" s="12">
        <x:f>IFERROR(VLOOKUP(C26,'[1]C-5 TY2025 Depr NTU'!$B$4:$I$96,8,FALSE),0)</x:f>
        <x:v>0</x:v>
      </x:c>
      <x:c r="Q26" s="12">
        <x:f>IFERROR(VLOOKUP(C26,'[1]C-3 TY2026 Depr'!$B$4:$I$220,8,FALSE),0)</x:f>
        <x:v>3648846.69</x:v>
      </x:c>
      <x:c r="R26" s="12">
        <x:f>IFERROR(VLOOKUP(C26,'[1]C-6 TY2026 Depr NTU'!$B$4:$I$96,8,FALSE),0)</x:f>
        <x:v>0</x:v>
      </x:c>
    </x:row>
    <x:row r="27" spans="1:18" x14ac:dyDescent="0.25">
      <x:c r="A27" s="7">
        <x:f t="shared" si="0"/>
        <x:v>16</x:v>
      </x:c>
      <x:c r="B27" s="1" t="s">
        <x:v>77</x:v>
      </x:c>
      <x:c r="C27" s="1" t="s">
        <x:v>78</x:v>
      </x:c>
      <x:c r="D27" s="7" t="s">
        <x:v>64</x:v>
      </x:c>
      <x:c r="E27" s="7" t="s">
        <x:v>46</x:v>
      </x:c>
      <x:c r="F27" s="11">
        <x:f>IFERROR(VLOOKUP(C27,'[1]B-1 2022 Adds'!$B$5:$F$161,5,FALSE),0)</x:f>
        <x:v>80420656.439999998</x:v>
      </x:c>
      <x:c r="G27" s="11">
        <x:f>IFERROR(VLOOKUP(C27,'[1]B-2 2022 NTU Adds'!$B$5:$F$61,5,FALSE),0)</x:f>
        <x:v>0</x:v>
      </x:c>
      <x:c r="H27" s="11">
        <x:f>IFERROR(VLOOKUP(C27,'[1]B-3 2023 Adds'!$B$5:$F$53,5,FALSE),0)</x:f>
        <x:v>74399979.859999999</x:v>
      </x:c>
      <x:c r="I27" s="11">
        <x:f>IFERROR(VLOOKUP(C27,'[1]B-4 2023 NTU Adds'!$B$5:$F$61,5,FALSE),0)</x:f>
        <x:v>0</x:v>
      </x:c>
      <x:c r="J27" s="11">
        <x:f>IFERROR(VLOOKUP(C27,'[1]B-5 2024 Adds'!$B$5:$F$91,5,FALSE),0)</x:f>
        <x:v>77784675.230000004</x:v>
      </x:c>
      <x:c r="K27" s="11">
        <x:f>IFERROR(VLOOKUP(C27,'[1]B-6 2024 NTU Adds'!$B$5:$F$61,5,FALSE),0)</x:f>
        <x:v>0</x:v>
      </x:c>
      <x:c r="L27" s="12">
        <x:f t="shared" si="1"/>
        <x:v>232605311.53000003</x:v>
      </x:c>
      <x:c r="M27" s="12">
        <x:f>IFERROR(VLOOKUP(C27,'[1]C-1 TY2024 Depr'!$B$4:$I$220,8,FALSE),0)</x:f>
        <x:v>29543749.219999999</x:v>
      </x:c>
      <x:c r="N27" s="12">
        <x:f>IFERROR(VLOOKUP(C27,'[1]C-4 TY2024 Depr NTU'!$B$4:$I$96,8,FALSE),0)</x:f>
        <x:v>0</x:v>
      </x:c>
      <x:c r="O27" s="12">
        <x:f>IFERROR(VLOOKUP(C27,'[1]C-2 TY2025 Depr'!$B$4:$I$220,8,FALSE),0)</x:f>
        <x:v>31582832.050000001</x:v>
      </x:c>
      <x:c r="P27" s="12">
        <x:f>IFERROR(VLOOKUP(C27,'[1]C-5 TY2025 Depr NTU'!$B$4:$I$96,8,FALSE),0)</x:f>
        <x:v>0</x:v>
      </x:c>
      <x:c r="Q27" s="12">
        <x:f>IFERROR(VLOOKUP(C27,'[1]C-3 TY2026 Depr'!$B$4:$I$220,8,FALSE),0)</x:f>
        <x:v>25870154.850000001</x:v>
      </x:c>
      <x:c r="R27" s="12">
        <x:f>IFERROR(VLOOKUP(C27,'[1]C-6 TY2026 Depr NTU'!$B$4:$I$96,8,FALSE),0)</x:f>
        <x:v>0</x:v>
      </x:c>
    </x:row>
    <x:row r="28" spans="1:18" x14ac:dyDescent="0.25">
      <x:c r="A28" s="7">
        <x:f t="shared" si="0"/>
        <x:v>17</x:v>
      </x:c>
      <x:c r="B28" s="1" t="s">
        <x:v>79</x:v>
      </x:c>
      <x:c r="C28" s="1" t="s">
        <x:v>80</x:v>
      </x:c>
      <x:c r="D28" s="7" t="s">
        <x:v>45</x:v>
      </x:c>
      <x:c r="E28" s="7" t="s">
        <x:v>46</x:v>
      </x:c>
      <x:c r="F28" s="11">
        <x:f>IFERROR(VLOOKUP(C28,'[1]B-1 2022 Adds'!$B$5:$F$161,5,FALSE),0)</x:f>
        <x:v>32352405.260000002</x:v>
      </x:c>
      <x:c r="G28" s="11">
        <x:f>IFERROR(VLOOKUP(C28,'[1]B-2 2022 NTU Adds'!$B$5:$F$61,5,FALSE),0)</x:f>
        <x:v>0</x:v>
      </x:c>
      <x:c r="H28" s="11">
        <x:f>IFERROR(VLOOKUP(C28,'[1]B-3 2023 Adds'!$B$5:$F$53,5,FALSE),0)</x:f>
        <x:v>46437304.670000002</x:v>
      </x:c>
      <x:c r="I28" s="11">
        <x:f>IFERROR(VLOOKUP(C28,'[1]B-4 2023 NTU Adds'!$B$5:$F$61,5,FALSE),0)</x:f>
        <x:v>0</x:v>
      </x:c>
      <x:c r="J28" s="11">
        <x:f>IFERROR(VLOOKUP(C28,'[1]B-5 2024 Adds'!$B$5:$F$91,5,FALSE),0)</x:f>
        <x:v>51899078.43</x:v>
      </x:c>
      <x:c r="K28" s="11">
        <x:f>IFERROR(VLOOKUP(C28,'[1]B-6 2024 NTU Adds'!$B$5:$F$61,5,FALSE),0)</x:f>
        <x:v>0</x:v>
      </x:c>
      <x:c r="L28" s="12">
        <x:f t="shared" si="1"/>
        <x:v>130688788.36000001</x:v>
      </x:c>
      <x:c r="M28" s="12">
        <x:f>IFERROR(VLOOKUP(C28,'[1]C-1 TY2024 Depr'!$B$4:$I$220,8,FALSE),0)</x:f>
        <x:v>20469701.100000001</x:v>
      </x:c>
      <x:c r="N28" s="12">
        <x:f>IFERROR(VLOOKUP(C28,'[1]C-4 TY2024 Depr NTU'!$B$4:$I$96,8,FALSE),0)</x:f>
        <x:v>0</x:v>
      </x:c>
      <x:c r="O28" s="12">
        <x:f>IFERROR(VLOOKUP(C28,'[1]C-2 TY2025 Depr'!$B$4:$I$220,8,FALSE),0)</x:f>
        <x:v>22786719.190000001</x:v>
      </x:c>
      <x:c r="P28" s="12">
        <x:f>IFERROR(VLOOKUP(C28,'[1]C-5 TY2025 Depr NTU'!$B$4:$I$96,8,FALSE),0)</x:f>
        <x:v>0</x:v>
      </x:c>
      <x:c r="Q28" s="12">
        <x:f>IFERROR(VLOOKUP(C28,'[1]C-3 TY2026 Depr'!$B$4:$I$220,8,FALSE),0)</x:f>
        <x:v>16690623.210000001</x:v>
      </x:c>
      <x:c r="R28" s="12">
        <x:f>IFERROR(VLOOKUP(C28,'[1]C-6 TY2026 Depr NTU'!$B$4:$I$96,8,FALSE),0)</x:f>
        <x:v>0</x:v>
      </x:c>
    </x:row>
    <x:row r="29" spans="1:18" x14ac:dyDescent="0.25">
      <x:c r="A29" s="7">
        <x:f t="shared" si="0"/>
        <x:v>18</x:v>
      </x:c>
      <x:c r="B29" s="10" t="s">
        <x:v>81</x:v>
      </x:c>
      <x:c r="C29" s="1" t="s">
        <x:v>82</x:v>
      </x:c>
      <x:c r="D29" s="7" t="s">
        <x:v>49</x:v>
      </x:c>
      <x:c r="E29" s="7" t="s">
        <x:v>46</x:v>
      </x:c>
      <x:c r="F29" s="11">
        <x:f>IFERROR(VLOOKUP(C29,'[1]B-1 2022 Adds'!$B$5:$F$161,5,FALSE),0)</x:f>
        <x:v>8419832.5099999998</x:v>
      </x:c>
      <x:c r="G29" s="11">
        <x:f>IFERROR(VLOOKUP(C29,'[1]B-2 2022 NTU Adds'!$B$5:$F$61,5,FALSE),0)</x:f>
        <x:v>0</x:v>
      </x:c>
      <x:c r="H29" s="11">
        <x:f>IFERROR(VLOOKUP(C29,'[1]B-3 2023 Adds'!$B$5:$F$53,5,FALSE),0)</x:f>
        <x:v>6376577.71</x:v>
      </x:c>
      <x:c r="I29" s="11">
        <x:f>IFERROR(VLOOKUP(C29,'[1]B-4 2023 NTU Adds'!$B$5:$F$61,5,FALSE),0)</x:f>
        <x:v>0</x:v>
      </x:c>
      <x:c r="J29" s="11">
        <x:f>IFERROR(VLOOKUP(C29,'[1]B-5 2024 Adds'!$B$5:$F$91,5,FALSE),0)</x:f>
        <x:v>6671378.4500000002</x:v>
      </x:c>
      <x:c r="K29" s="11">
        <x:f>IFERROR(VLOOKUP(C29,'[1]B-6 2024 NTU Adds'!$B$5:$F$61,5,FALSE),0)</x:f>
        <x:v>0</x:v>
      </x:c>
      <x:c r="L29" s="12">
        <x:f t="shared" si="1"/>
        <x:v>21467788.669999998</x:v>
      </x:c>
      <x:c r="M29" s="12">
        <x:f>IFERROR(VLOOKUP(C29,'[1]C-1 TY2024 Depr'!$B$4:$I$220,8,FALSE),0)</x:f>
        <x:v>4773515.83</x:v>
      </x:c>
      <x:c r="N29" s="12">
        <x:f>IFERROR(VLOOKUP(C29,'[1]C-4 TY2024 Depr NTU'!$B$4:$I$96,8,FALSE),0)</x:f>
        <x:v>0</x:v>
      </x:c>
      <x:c r="O29" s="12">
        <x:f>IFERROR(VLOOKUP(C29,'[1]C-2 TY2025 Depr'!$B$4:$I$220,8,FALSE),0)</x:f>
        <x:v>4572297.08</x:v>
      </x:c>
      <x:c r="P29" s="12">
        <x:f>IFERROR(VLOOKUP(C29,'[1]C-5 TY2025 Depr NTU'!$B$4:$I$96,8,FALSE),0)</x:f>
        <x:v>0</x:v>
      </x:c>
      <x:c r="Q29" s="12">
        <x:f>IFERROR(VLOOKUP(C29,'[1]C-3 TY2026 Depr'!$B$4:$I$220,8,FALSE),0)</x:f>
        <x:v>3031405.43</x:v>
      </x:c>
      <x:c r="R29" s="12">
        <x:f>IFERROR(VLOOKUP(C29,'[1]C-6 TY2026 Depr NTU'!$B$4:$I$96,8,FALSE),0)</x:f>
        <x:v>0</x:v>
      </x:c>
    </x:row>
    <x:row r="30" spans="1:18" x14ac:dyDescent="0.25">
      <x:c r="A30" s="7">
        <x:f t="shared" si="0"/>
        <x:v>19</x:v>
      </x:c>
      <x:c r="B30" s="1" t="s">
        <x:v>83</x:v>
      </x:c>
      <x:c r="C30" s="1" t="s">
        <x:v>84</x:v>
      </x:c>
      <x:c r="D30" s="7" t="s">
        <x:v>85</x:v>
      </x:c>
      <x:c r="E30" s="7" t="s">
        <x:v>86</x:v>
      </x:c>
      <x:c r="F30" s="11">
        <x:f>IFERROR(VLOOKUP(C30,'[1]B-1 2022 Adds'!$B$5:$F$161,5,FALSE),0)</x:f>
        <x:v>0</x:v>
      </x:c>
      <x:c r="G30" s="11">
        <x:f>IFERROR(VLOOKUP(C30,'[1]B-2 2022 NTU Adds'!$B$5:$F$61,5,FALSE),0)</x:f>
        <x:v>0</x:v>
      </x:c>
      <x:c r="H30" s="11">
        <x:f>IFERROR(VLOOKUP(C30,'[1]B-3 2023 Adds'!$B$5:$F$53,5,FALSE),0)</x:f>
        <x:v>0</x:v>
      </x:c>
      <x:c r="I30" s="11">
        <x:f>IFERROR(VLOOKUP(C30,'[1]B-4 2023 NTU Adds'!$B$5:$F$61,5,FALSE),0)</x:f>
        <x:v>0</x:v>
      </x:c>
      <x:c r="J30" s="11">
        <x:f>IFERROR(VLOOKUP(C30,'[1]B-5 2024 Adds'!$B$5:$F$91,5,FALSE),0)</x:f>
        <x:v>0</x:v>
      </x:c>
      <x:c r="K30" s="11">
        <x:f>IFERROR(VLOOKUP(C30,'[1]B-6 2024 NTU Adds'!$B$5:$F$61,5,FALSE),0)</x:f>
        <x:v>0</x:v>
      </x:c>
      <x:c r="L30" s="12">
        <x:f t="shared" si="1"/>
        <x:v>0</x:v>
      </x:c>
      <x:c r="M30" s="12">
        <x:f>IFERROR(VLOOKUP(C30,'[1]C-1 TY2024 Depr'!$B$4:$I$220,8,FALSE),0)</x:f>
        <x:v>0</x:v>
      </x:c>
      <x:c r="N30" s="12">
        <x:f>IFERROR(VLOOKUP(C30,'[1]C-4 TY2024 Depr NTU'!$B$4:$I$96,8,FALSE),0)</x:f>
        <x:v>0</x:v>
      </x:c>
      <x:c r="O30" s="12">
        <x:f>IFERROR(VLOOKUP(C30,'[1]C-2 TY2025 Depr'!$B$4:$I$220,8,FALSE),0)</x:f>
        <x:v>0</x:v>
      </x:c>
      <x:c r="P30" s="12">
        <x:f>IFERROR(VLOOKUP(C30,'[1]C-5 TY2025 Depr NTU'!$B$4:$I$96,8,FALSE),0)</x:f>
        <x:v>0</x:v>
      </x:c>
      <x:c r="Q30" s="12">
        <x:f>IFERROR(VLOOKUP(C30,'[1]C-3 TY2026 Depr'!$B$4:$I$220,8,FALSE),0)</x:f>
        <x:v>0</x:v>
      </x:c>
      <x:c r="R30" s="12">
        <x:f>IFERROR(VLOOKUP(C30,'[1]C-6 TY2026 Depr NTU'!$B$4:$I$96,8,FALSE),0)</x:f>
        <x:v>0</x:v>
      </x:c>
    </x:row>
    <x:row r="31" spans="1:18" x14ac:dyDescent="0.25">
      <x:c r="A31" s="7">
        <x:f t="shared" si="0"/>
        <x:v>20</x:v>
      </x:c>
      <x:c r="B31" s="1" t="s">
        <x:v>87</x:v>
      </x:c>
      <x:c r="C31" s="1" t="s">
        <x:v>88</x:v>
      </x:c>
      <x:c r="D31" s="7" t="s">
        <x:v>89</x:v>
      </x:c>
      <x:c r="E31" s="7" t="s">
        <x:v>86</x:v>
      </x:c>
      <x:c r="F31" s="11">
        <x:f>IFERROR(VLOOKUP(C31,'[1]B-1 2022 Adds'!$B$5:$F$161,5,FALSE),0)</x:f>
        <x:v>627.85</x:v>
      </x:c>
      <x:c r="G31" s="11">
        <x:f>IFERROR(VLOOKUP(C31,'[1]B-2 2022 NTU Adds'!$B$5:$F$61,5,FALSE),0)</x:f>
        <x:v>0</x:v>
      </x:c>
      <x:c r="H31" s="11">
        <x:f>IFERROR(VLOOKUP(C31,'[1]B-3 2023 Adds'!$B$5:$F$53,5,FALSE),0)</x:f>
        <x:v>96757.1</x:v>
      </x:c>
      <x:c r="I31" s="11">
        <x:f>IFERROR(VLOOKUP(C31,'[1]B-4 2023 NTU Adds'!$B$5:$F$61,5,FALSE),0)</x:f>
        <x:v>0</x:v>
      </x:c>
      <x:c r="J31" s="11">
        <x:f>IFERROR(VLOOKUP(C31,'[1]B-5 2024 Adds'!$B$5:$F$91,5,FALSE),0)</x:f>
        <x:v>401497.08</x:v>
      </x:c>
      <x:c r="K31" s="11">
        <x:f>IFERROR(VLOOKUP(C31,'[1]B-6 2024 NTU Adds'!$B$5:$F$61,5,FALSE),0)</x:f>
        <x:v>0</x:v>
      </x:c>
      <x:c r="L31" s="12">
        <x:f t="shared" si="1"/>
        <x:v>498882.03</x:v>
      </x:c>
      <x:c r="M31" s="12">
        <x:f>IFERROR(VLOOKUP(C31,'[1]C-1 TY2024 Depr'!$B$4:$I$220,8,FALSE),0)</x:f>
        <x:v>7214.54</x:v>
      </x:c>
      <x:c r="N31" s="12">
        <x:f>IFERROR(VLOOKUP(C31,'[1]C-4 TY2024 Depr NTU'!$B$4:$I$96,8,FALSE),0)</x:f>
        <x:v>0</x:v>
      </x:c>
      <x:c r="O31" s="12">
        <x:f>IFERROR(VLOOKUP(C31,'[1]C-2 TY2025 Depr'!$B$4:$I$220,8,FALSE),0)</x:f>
        <x:v>12791.34</x:v>
      </x:c>
      <x:c r="P31" s="12">
        <x:f>IFERROR(VLOOKUP(C31,'[1]C-5 TY2025 Depr NTU'!$B$4:$I$96,8,FALSE),0)</x:f>
        <x:v>0</x:v>
      </x:c>
      <x:c r="Q31" s="12">
        <x:f>IFERROR(VLOOKUP(C31,'[1]C-3 TY2026 Depr'!$B$4:$I$220,8,FALSE),0)</x:f>
        <x:v>12792.31</x:v>
      </x:c>
      <x:c r="R31" s="12">
        <x:f>IFERROR(VLOOKUP(C31,'[1]C-6 TY2026 Depr NTU'!$B$4:$I$96,8,FALSE),0)</x:f>
        <x:v>0</x:v>
      </x:c>
    </x:row>
    <x:row r="32" spans="1:18" x14ac:dyDescent="0.25">
      <x:c r="A32" s="7">
        <x:f t="shared" si="0"/>
        <x:v>21</x:v>
      </x:c>
      <x:c r="B32" s="1" t="s">
        <x:v>90</x:v>
      </x:c>
      <x:c r="C32" s="1" t="s">
        <x:v>91</x:v>
      </x:c>
      <x:c r="D32" s="7" t="s">
        <x:v>92</x:v>
      </x:c>
      <x:c r="E32" s="7" t="s">
        <x:v>46</x:v>
      </x:c>
      <x:c r="F32" s="11">
        <x:f>IFERROR(VLOOKUP(C32,'[1]B-1 2022 Adds'!$B$5:$F$161,5,FALSE),0)</x:f>
        <x:v>23168636.739999998</x:v>
      </x:c>
      <x:c r="G32" s="11">
        <x:f>IFERROR(VLOOKUP(C32,'[1]B-2 2022 NTU Adds'!$B$5:$F$61,5,FALSE),0)</x:f>
        <x:v>0</x:v>
      </x:c>
      <x:c r="H32" s="11">
        <x:f>IFERROR(VLOOKUP(C32,'[1]B-3 2023 Adds'!$B$5:$F$53,5,FALSE),0)</x:f>
        <x:v>9385445.5800000001</x:v>
      </x:c>
      <x:c r="I32" s="11">
        <x:f>IFERROR(VLOOKUP(C32,'[1]B-4 2023 NTU Adds'!$B$5:$F$61,5,FALSE),0)</x:f>
        <x:v>0</x:v>
      </x:c>
      <x:c r="J32" s="11">
        <x:f>IFERROR(VLOOKUP(C32,'[1]B-5 2024 Adds'!$B$5:$F$91,5,FALSE),0)</x:f>
        <x:v>17796986.82</x:v>
      </x:c>
      <x:c r="K32" s="11">
        <x:f>IFERROR(VLOOKUP(C32,'[1]B-6 2024 NTU Adds'!$B$5:$F$61,5,FALSE),0)</x:f>
        <x:v>0</x:v>
      </x:c>
      <x:c r="L32" s="12">
        <x:f t="shared" si="1"/>
        <x:v>50351069.140000001</x:v>
      </x:c>
      <x:c r="M32" s="12">
        <x:f>IFERROR(VLOOKUP(C32,'[1]C-1 TY2024 Depr'!$B$4:$I$220,8,FALSE),0)</x:f>
        <x:v>1072459.3600000001</x:v>
      </x:c>
      <x:c r="N32" s="12">
        <x:f>IFERROR(VLOOKUP(C32,'[1]C-4 TY2024 Depr NTU'!$B$4:$I$96,8,FALSE),0)</x:f>
        <x:v>0</x:v>
      </x:c>
      <x:c r="O32" s="12">
        <x:f>IFERROR(VLOOKUP(C32,'[1]C-2 TY2025 Depr'!$B$4:$I$220,8,FALSE),0)</x:f>
        <x:v>1112985.1100000001</x:v>
      </x:c>
      <x:c r="P32" s="12">
        <x:f>IFERROR(VLOOKUP(C32,'[1]C-5 TY2025 Depr NTU'!$B$4:$I$96,8,FALSE),0)</x:f>
        <x:v>0</x:v>
      </x:c>
      <x:c r="Q32" s="12">
        <x:f>IFERROR(VLOOKUP(C32,'[1]C-3 TY2026 Depr'!$B$4:$I$220,8,FALSE),0)</x:f>
        <x:v>1110855.72</x:v>
      </x:c>
      <x:c r="R32" s="12">
        <x:f>IFERROR(VLOOKUP(C32,'[1]C-6 TY2026 Depr NTU'!$B$4:$I$96,8,FALSE),0)</x:f>
        <x:v>0</x:v>
      </x:c>
    </x:row>
    <x:row r="33" spans="1:20" x14ac:dyDescent="0.25">
      <x:c r="A33" s="7">
        <x:f t="shared" si="0"/>
        <x:v>22</x:v>
      </x:c>
      <x:c r="B33" s="1" t="s">
        <x:v>93</x:v>
      </x:c>
      <x:c r="C33" s="1" t="s">
        <x:v>94</x:v>
      </x:c>
      <x:c r="D33" s="7" t="s">
        <x:v>95</x:v>
      </x:c>
      <x:c r="E33" s="7" t="s">
        <x:v>46</x:v>
      </x:c>
      <x:c r="F33" s="11">
        <x:f>IFERROR(VLOOKUP(C33,'[1]B-1 2022 Adds'!$B$5:$F$161,5,FALSE),0)</x:f>
        <x:v>18459034.57</x:v>
      </x:c>
      <x:c r="G33" s="11">
        <x:f>IFERROR(VLOOKUP(C33,'[1]B-2 2022 NTU Adds'!$B$5:$F$61,5,FALSE),0)</x:f>
        <x:v>0</x:v>
      </x:c>
      <x:c r="H33" s="11">
        <x:f>IFERROR(VLOOKUP(C33,'[1]B-3 2023 Adds'!$B$5:$F$53,5,FALSE),0)</x:f>
        <x:v>12247564.35</x:v>
      </x:c>
      <x:c r="I33" s="11">
        <x:f>IFERROR(VLOOKUP(C33,'[1]B-4 2023 NTU Adds'!$B$5:$F$61,5,FALSE),0)</x:f>
        <x:v>0</x:v>
      </x:c>
      <x:c r="J33" s="11">
        <x:f>IFERROR(VLOOKUP(C33,'[1]B-5 2024 Adds'!$B$5:$F$91,5,FALSE),0)</x:f>
        <x:v>18938360.449999999</x:v>
      </x:c>
      <x:c r="K33" s="11">
        <x:f>IFERROR(VLOOKUP(C33,'[1]B-6 2024 NTU Adds'!$B$5:$F$61,5,FALSE),0)</x:f>
        <x:v>0</x:v>
      </x:c>
      <x:c r="L33" s="12">
        <x:f t="shared" si="1"/>
        <x:v>49644959.370000005</x:v>
      </x:c>
      <x:c r="M33" s="12">
        <x:f>IFERROR(VLOOKUP(C33,'[1]C-1 TY2024 Depr'!$B$4:$I$220,8,FALSE),0)</x:f>
        <x:v>1798550.25</x:v>
      </x:c>
      <x:c r="N33" s="12">
        <x:f>IFERROR(VLOOKUP(C33,'[1]C-4 TY2024 Depr NTU'!$B$4:$I$96,8,FALSE),0)</x:f>
        <x:v>0</x:v>
      </x:c>
      <x:c r="O33" s="12">
        <x:f>IFERROR(VLOOKUP(C33,'[1]C-2 TY2025 Depr'!$B$4:$I$220,8,FALSE),0)</x:f>
        <x:v>1825924.38</x:v>
      </x:c>
      <x:c r="P33" s="12">
        <x:f>IFERROR(VLOOKUP(C33,'[1]C-5 TY2025 Depr NTU'!$B$4:$I$96,8,FALSE),0)</x:f>
        <x:v>0</x:v>
      </x:c>
      <x:c r="Q33" s="12">
        <x:f>IFERROR(VLOOKUP(C33,'[1]C-3 TY2026 Depr'!$B$4:$I$220,8,FALSE),0)</x:f>
        <x:v>1680667.96</x:v>
      </x:c>
      <x:c r="R33" s="12">
        <x:f>IFERROR(VLOOKUP(C33,'[1]C-6 TY2026 Depr NTU'!$B$4:$I$96,8,FALSE),0)</x:f>
        <x:v>0</x:v>
      </x:c>
    </x:row>
    <x:row r="34" spans="1:20" x14ac:dyDescent="0.25">
      <x:c r="A34" s="7">
        <x:f t="shared" si="0"/>
        <x:v>23</x:v>
      </x:c>
      <x:c r="B34" s="1" t="s">
        <x:v>96</x:v>
      </x:c>
      <x:c r="C34" s="1" t="s">
        <x:v>97</x:v>
      </x:c>
      <x:c r="D34" s="7" t="s">
        <x:v>98</x:v>
      </x:c>
      <x:c r="F34" s="11">
        <x:f>IFERROR(VLOOKUP(C34,'[1]B-1 2022 Adds'!$B$5:$F$161,5,FALSE),0)</x:f>
        <x:v>44367821.689999998</x:v>
      </x:c>
      <x:c r="G34" s="11">
        <x:f>IFERROR(VLOOKUP(C34,'[1]B-2 2022 NTU Adds'!$B$5:$F$61,5,FALSE),0)</x:f>
        <x:v>17357.599999999999</x:v>
      </x:c>
      <x:c r="H34" s="11">
        <x:f>IFERROR(VLOOKUP(C34,'[1]B-3 2023 Adds'!$B$5:$F$53,5,FALSE),0)</x:f>
        <x:v>42579588.859999999</x:v>
      </x:c>
      <x:c r="I34" s="11">
        <x:f>IFERROR(VLOOKUP(C34,'[1]B-4 2023 NTU Adds'!$B$5:$F$61,5,FALSE),0)</x:f>
        <x:v>8572.7999999999993</x:v>
      </x:c>
      <x:c r="J34" s="11">
        <x:f>IFERROR(VLOOKUP(C34,'[1]B-5 2024 Adds'!$B$5:$F$91,5,FALSE),0)</x:f>
        <x:v>4488514.37</x:v>
      </x:c>
      <x:c r="K34" s="11">
        <x:f>IFERROR(VLOOKUP(C34,'[1]B-6 2024 NTU Adds'!$B$5:$F$61,5,FALSE),0)</x:f>
        <x:v>8817.6299999999992</x:v>
      </x:c>
      <x:c r="L34" s="12">
        <x:f t="shared" si="1"/>
        <x:v>91470672.950000003</x:v>
      </x:c>
      <x:c r="M34" s="12">
        <x:f>IFERROR(VLOOKUP(C34,'[1]C-1 TY2024 Depr'!$B$4:$I$220,8,FALSE),0)</x:f>
        <x:v>0</x:v>
      </x:c>
      <x:c r="N34" s="12">
        <x:f>IFERROR(VLOOKUP(C34,'[1]C-4 TY2024 Depr NTU'!$B$4:$I$96,8,FALSE),0)</x:f>
        <x:v>0</x:v>
      </x:c>
      <x:c r="O34" s="12">
        <x:f>IFERROR(VLOOKUP(C34,'[1]C-2 TY2025 Depr'!$B$4:$I$220,8,FALSE),0)</x:f>
        <x:v>0</x:v>
      </x:c>
      <x:c r="P34" s="12">
        <x:f>IFERROR(VLOOKUP(C34,'[1]C-5 TY2025 Depr NTU'!$B$4:$I$96,8,FALSE),0)</x:f>
        <x:v>0</x:v>
      </x:c>
      <x:c r="Q34" s="12">
        <x:f>IFERROR(VLOOKUP(C34,'[1]C-3 TY2026 Depr'!$B$4:$I$220,8,FALSE),0)</x:f>
        <x:v>0</x:v>
      </x:c>
      <x:c r="R34" s="12">
        <x:f>IFERROR(VLOOKUP(C34,'[1]C-6 TY2026 Depr NTU'!$B$4:$I$96,8,FALSE),0)</x:f>
        <x:v>0</x:v>
      </x:c>
    </x:row>
    <x:row r="35" spans="1:20" x14ac:dyDescent="0.25">
      <x:c r="A35" s="7">
        <x:f t="shared" si="0"/>
        <x:v>24</x:v>
      </x:c>
      <x:c r="B35" s="1" t="s">
        <x:v>99</x:v>
      </x:c>
      <x:c r="C35" s="1" t="s">
        <x:v>100</x:v>
      </x:c>
      <x:c r="D35" s="7" t="s">
        <x:v>89</x:v>
      </x:c>
      <x:c r="E35" s="7" t="s">
        <x:v>86</x:v>
      </x:c>
      <x:c r="F35" s="11">
        <x:f>IFERROR(VLOOKUP(C35,'[1]B-1 2022 Adds'!$B$5:$F$161,5,FALSE),0)</x:f>
        <x:v>58823486.259999998</x:v>
      </x:c>
      <x:c r="G35" s="11">
        <x:f>IFERROR(VLOOKUP(C35,'[1]B-2 2022 NTU Adds'!$B$5:$F$61,5,FALSE),0)</x:f>
        <x:v>116760.6</x:v>
      </x:c>
      <x:c r="H35" s="11">
        <x:f>IFERROR(VLOOKUP(C35,'[1]B-3 2023 Adds'!$B$5:$F$53,5,FALSE),0)</x:f>
        <x:v>79021989.170000002</x:v>
      </x:c>
      <x:c r="I35" s="11">
        <x:f>IFERROR(VLOOKUP(C35,'[1]B-4 2023 NTU Adds'!$B$5:$F$61,5,FALSE),0)</x:f>
        <x:v>30221.3</x:v>
      </x:c>
      <x:c r="J35" s="11">
        <x:f>IFERROR(VLOOKUP(C35,'[1]B-5 2024 Adds'!$B$5:$F$91,5,FALSE),0)</x:f>
        <x:v>108578067.59</x:v>
      </x:c>
      <x:c r="K35" s="11">
        <x:f>IFERROR(VLOOKUP(C35,'[1]B-6 2024 NTU Adds'!$B$5:$F$61,5,FALSE),0)</x:f>
        <x:v>123771.8</x:v>
      </x:c>
      <x:c r="L35" s="12">
        <x:f t="shared" si="1"/>
        <x:v>246694296.72000003</x:v>
      </x:c>
      <x:c r="M35" s="12">
        <x:f>IFERROR(VLOOKUP(C35,'[1]C-1 TY2024 Depr'!$B$4:$I$220,8,FALSE),0)</x:f>
        <x:v>4196377.6399999997</x:v>
      </x:c>
      <x:c r="N35" s="12">
        <x:f>IFERROR(VLOOKUP(C35,'[1]C-4 TY2024 Depr NTU'!$B$4:$I$96,8,FALSE),0)</x:f>
        <x:v>4287.33</x:v>
      </x:c>
      <x:c r="O35" s="12">
        <x:f>IFERROR(VLOOKUP(C35,'[1]C-2 TY2025 Depr'!$B$4:$I$220,8,FALSE),0)</x:f>
        <x:v>6318140.1799999997</x:v>
      </x:c>
      <x:c r="P35" s="12">
        <x:f>IFERROR(VLOOKUP(C35,'[1]C-5 TY2025 Depr NTU'!$B$4:$I$96,8,FALSE),0)</x:f>
        <x:v>6751.53</x:v>
      </x:c>
      <x:c r="Q35" s="12">
        <x:f>IFERROR(VLOOKUP(C35,'[1]C-3 TY2026 Depr'!$B$4:$I$220,8,FALSE),0)</x:f>
        <x:v>6318181.9100000001</x:v>
      </x:c>
      <x:c r="R35" s="12">
        <x:f>IFERROR(VLOOKUP(C35,'[1]C-6 TY2026 Depr NTU'!$B$4:$I$96,8,FALSE),0)</x:f>
        <x:v>6751.59</x:v>
      </x:c>
    </x:row>
    <x:row r="36" spans="1:20" s="14" customFormat="1" ht="13" x14ac:dyDescent="0.3">
      <x:c r="A36" s="7">
        <x:f t="shared" si="0"/>
        <x:v>25</x:v>
      </x:c>
      <x:c r="B36" s="14" t="s">
        <x:v>42</x:v>
      </x:c>
      <x:c r="D36" s="15"/>
      <x:c r="E36" s="15"/>
      <x:c r="F36" s="16">
        <x:f t="shared" ref="F36:R36" si="2">SUM(F13:F35)</x:f>
        <x:v>2178999809.0099998</x:v>
      </x:c>
      <x:c r="G36" s="16">
        <x:f t="shared" si="2"/>
        <x:v>675019.46</x:v>
      </x:c>
      <x:c r="H36" s="16">
        <x:f t="shared" si="2"/>
        <x:v>2947016648.4500003</x:v>
      </x:c>
      <x:c r="I36" s="16">
        <x:f t="shared" si="2"/>
        <x:v>733126.07000000007</x:v>
      </x:c>
      <x:c r="J36" s="16">
        <x:f t="shared" si="2"/>
        <x:v>3882085896.3499999</x:v>
      </x:c>
      <x:c r="K36" s="16">
        <x:f t="shared" si="2"/>
        <x:v>657058.22000000009</x:v>
      </x:c>
      <x:c r="L36" s="16">
        <x:f t="shared" si="2"/>
        <x:v>9010167557.5599995</x:v>
      </x:c>
      <x:c r="M36" s="16">
        <x:f t="shared" si="2"/>
        <x:v>569957757.83000004</x:v>
      </x:c>
      <x:c r="N36" s="16">
        <x:f t="shared" si="2"/>
        <x:v>128725.50000000001</x:v>
      </x:c>
      <x:c r="O36" s="16">
        <x:f t="shared" si="2"/>
        <x:v>717988311.66000021</x:v>
      </x:c>
      <x:c r="P36" s="16">
        <x:f t="shared" si="2"/>
        <x:v>159435.35</x:v>
      </x:c>
      <x:c r="Q36" s="16">
        <x:f t="shared" si="2"/>
        <x:v>643055959.58000004</x:v>
      </x:c>
      <x:c r="R36" s="16">
        <x:f t="shared" si="2"/>
        <x:v>144289.28</x:v>
      </x:c>
      <x:c r="S36" s="16">
        <x:f>+'[1]D-1 ADFIT V2022+'!N31</x:f>
        <x:v>5998426.9926000005</x:v>
      </x:c>
      <x:c r="T36" s="16">
        <x:f>+'[1]D-2 NTU ADFIT V2022+'!N22</x:f>
        <x:v>-24006690.987300001</x:v>
      </x:c>
    </x:row>
    <x:row r="37" spans="1:20" x14ac:dyDescent="0.25">
      <x:c r="A37" s="7">
        <x:f t="shared" si="0"/>
        <x:v>26</x:v>
      </x:c>
      <x:c r="F37" s="17"/>
      <x:c r="G37" s="17"/>
      <x:c r="H37" s="17"/>
      <x:c r="I37" s="17"/>
      <x:c r="J37" s="17"/>
      <x:c r="K37" s="17"/>
      <x:c r="L37" s="17"/>
    </x:row>
    <x:row r="38" spans="1:20" ht="13" x14ac:dyDescent="0.3">
      <x:c r="A38" s="7">
        <x:f t="shared" si="0"/>
        <x:v>27</x:v>
      </x:c>
      <x:c r="B38" s="18" t="s">
        <x:v>101</x:v>
      </x:c>
      <x:c r="C38" s="8"/>
      <x:c r="D38" s="8"/>
      <x:c r="E38" s="26">
        <x:f>+'[2]II-F Alloc_Factor'!$E$38</x:f>
        <x:v>0.45458274033396245</x:v>
      </x:c>
      <x:c r="F38" s="17"/>
      <x:c r="G38" s="17"/>
      <x:c r="H38" s="17"/>
      <x:c r="I38" s="17"/>
      <x:c r="J38" s="17"/>
      <x:c r="K38" s="17"/>
      <x:c r="L38" s="17"/>
    </x:row>
    <x:row r="39" spans="1:20" x14ac:dyDescent="0.25">
      <x:c r="A39" s="7">
        <x:f t="shared" si="0"/>
        <x:v>28</x:v>
      </x:c>
      <x:c r="B39" s="10" t="s">
        <x:v>43</x:v>
      </x:c>
      <x:c r="C39" s="1" t="s">
        <x:v>44</x:v>
      </x:c>
      <x:c r="D39" s="7" t="s">
        <x:v>45</x:v>
      </x:c>
      <x:c r="E39" s="7" t="s">
        <x:v>46</x:v>
      </x:c>
      <x:c r="F39" s="12">
        <x:f>ROUND(+'WP II-E-3.3'!F13*$E$38,2)</x:f>
        <x:v>2133228.44</x:v>
      </x:c>
      <x:c r="G39" s="12">
        <x:v>0</x:v>
      </x:c>
      <x:c r="H39" s="12">
        <x:f>ROUND(+'WP II-E-3.3'!H13*$E$38,2)</x:f>
        <x:v>563038.41</x:v>
      </x:c>
      <x:c r="I39" s="12">
        <x:v>0</x:v>
      </x:c>
      <x:c r="J39" s="12">
        <x:f>ROUND(+'WP II-E-3.3'!J13*$E$38,2)</x:f>
        <x:v>1813672.18</x:v>
      </x:c>
      <x:c r="K39" s="12">
        <x:v>0</x:v>
      </x:c>
      <x:c r="L39" s="12">
        <x:f t="shared" ref="L39:L61" si="3">SUM(F39:K39)</x:f>
        <x:v>4509939.03</x:v>
      </x:c>
      <x:c r="M39" s="12">
        <x:f>ROUND(+'WP II-E-3.3'!M13*$E$38,2)</x:f>
        <x:v>652143.46</x:v>
      </x:c>
      <x:c r="N39" s="12">
        <x:v>0</x:v>
      </x:c>
      <x:c r="O39" s="12">
        <x:f>ROUND(+'WP II-E-3.3'!O13*$E$38,2)</x:f>
        <x:v>860947.32</x:v>
      </x:c>
      <x:c r="P39" s="12">
        <x:v>0</x:v>
      </x:c>
      <x:c r="Q39" s="12">
        <x:f>ROUND(+'WP II-E-3.3'!Q13*$E$38,2)</x:f>
        <x:v>620329.55000000005</x:v>
      </x:c>
      <x:c r="R39" s="12">
        <x:v>0</x:v>
      </x:c>
      <x:c r="S39" s="12">
        <x:f>+'WP II-E-3.3'!S13*$E$38</x:f>
        <x:v>0</x:v>
      </x:c>
      <x:c r="T39" s="12">
        <x:f>+'WP II-E-3.3'!T13*$E$38</x:f>
        <x:v>0</x:v>
      </x:c>
    </x:row>
    <x:row r="40" spans="1:20" x14ac:dyDescent="0.25">
      <x:c r="A40" s="7">
        <x:f t="shared" si="0"/>
        <x:v>29</x:v>
      </x:c>
      <x:c r="B40" s="10" t="s">
        <x:v>47</x:v>
      </x:c>
      <x:c r="C40" s="1" t="s">
        <x:v>48</x:v>
      </x:c>
      <x:c r="D40" s="7" t="s">
        <x:v>49</x:v>
      </x:c>
      <x:c r="E40" s="7" t="s">
        <x:v>46</x:v>
      </x:c>
      <x:c r="F40" s="12">
        <x:f>ROUND(+'WP II-E-3.3'!F14*$E$38,2)</x:f>
        <x:v>10761941.82</x:v>
      </x:c>
      <x:c r="G40" s="12">
        <x:v>0</x:v>
      </x:c>
      <x:c r="H40" s="12">
        <x:f>ROUND(+'WP II-E-3.3'!H14*$E$38,2)</x:f>
        <x:v>5702966.6399999997</x:v>
      </x:c>
      <x:c r="I40" s="12">
        <x:v>0</x:v>
      </x:c>
      <x:c r="J40" s="12">
        <x:f>ROUND(+'WP II-E-3.3'!J14*$E$38,2)</x:f>
        <x:v>9798127.7899999991</x:v>
      </x:c>
      <x:c r="K40" s="12">
        <x:v>0</x:v>
      </x:c>
      <x:c r="L40" s="12">
        <x:f t="shared" si="3"/>
        <x:v>26263036.25</x:v>
      </x:c>
      <x:c r="M40" s="12">
        <x:f>ROUND(+'WP II-E-3.3'!M14*$E$38,2)</x:f>
        <x:v>5163590.46</x:v>
      </x:c>
      <x:c r="N40" s="12">
        <x:v>0</x:v>
      </x:c>
      <x:c r="O40" s="12">
        <x:f>ROUND(+'WP II-E-3.3'!O14*$E$38,2)</x:f>
        <x:v>5991329.7999999998</x:v>
      </x:c>
      <x:c r="P40" s="12">
        <x:v>0</x:v>
      </x:c>
      <x:c r="Q40" s="12">
        <x:f>ROUND(+'WP II-E-3.3'!Q14*$E$38,2)</x:f>
        <x:v>3946510.67</x:v>
      </x:c>
      <x:c r="R40" s="12">
        <x:v>0</x:v>
      </x:c>
      <x:c r="S40" s="12">
        <x:f>+'WP II-E-3.3'!S14*$E$38</x:f>
        <x:v>0</x:v>
      </x:c>
      <x:c r="T40" s="12">
        <x:f>+'WP II-E-3.3'!T14*$E$38</x:f>
        <x:v>0</x:v>
      </x:c>
    </x:row>
    <x:row r="41" spans="1:20" x14ac:dyDescent="0.25">
      <x:c r="A41" s="7">
        <x:f t="shared" si="0"/>
        <x:v>30</x:v>
      </x:c>
      <x:c r="B41" s="10" t="s">
        <x:v>50</x:v>
      </x:c>
      <x:c r="C41" s="1" t="s">
        <x:v>51</x:v>
      </x:c>
      <x:c r="D41" s="7" t="s">
        <x:v>49</x:v>
      </x:c>
      <x:c r="E41" s="7" t="s">
        <x:v>46</x:v>
      </x:c>
      <x:c r="F41" s="12">
        <x:f>ROUND(+'WP II-E-3.3'!F15*$E$38,2)</x:f>
        <x:v>0</x:v>
      </x:c>
      <x:c r="G41" s="12">
        <x:v>0</x:v>
      </x:c>
      <x:c r="H41" s="12">
        <x:f>ROUND(+'WP II-E-3.3'!H15*$E$38,2)</x:f>
        <x:v>0</x:v>
      </x:c>
      <x:c r="I41" s="12">
        <x:v>0</x:v>
      </x:c>
      <x:c r="J41" s="12">
        <x:f>ROUND(+'WP II-E-3.3'!J15*$E$38,2)</x:f>
        <x:v>3173.04</x:v>
      </x:c>
      <x:c r="K41" s="12">
        <x:v>0</x:v>
      </x:c>
      <x:c r="L41" s="12">
        <x:f t="shared" si="3"/>
        <x:v>3173.04</x:v>
      </x:c>
      <x:c r="M41" s="12">
        <x:f>ROUND(+'WP II-E-3.3'!M15*$E$38,2)</x:f>
        <x:v>1145.33</x:v>
      </x:c>
      <x:c r="N41" s="12">
        <x:v>0</x:v>
      </x:c>
      <x:c r="O41" s="12">
        <x:f>ROUND(+'WP II-E-3.3'!O15*$E$38,2)</x:f>
        <x:v>811.08</x:v>
      </x:c>
      <x:c r="P41" s="12">
        <x:v>0</x:v>
      </x:c>
      <x:c r="Q41" s="12">
        <x:f>ROUND(+'WP II-E-3.3'!Q15*$E$38,2)</x:f>
        <x:v>486.65</x:v>
      </x:c>
      <x:c r="R41" s="12">
        <x:v>0</x:v>
      </x:c>
      <x:c r="S41" s="12">
        <x:f>+'WP II-E-3.3'!S15*$E$38</x:f>
        <x:v>0</x:v>
      </x:c>
      <x:c r="T41" s="12">
        <x:f>+'WP II-E-3.3'!T15*$E$38</x:f>
        <x:v>0</x:v>
      </x:c>
    </x:row>
    <x:row r="42" spans="1:20" x14ac:dyDescent="0.25">
      <x:c r="A42" s="7">
        <x:f t="shared" si="0"/>
        <x:v>31</x:v>
      </x:c>
      <x:c r="B42" s="10" t="s">
        <x:v>52</x:v>
      </x:c>
      <x:c r="C42" s="1" t="s">
        <x:v>53</x:v>
      </x:c>
      <x:c r="D42" s="7" t="s">
        <x:v>49</x:v>
      </x:c>
      <x:c r="E42" s="7" t="s">
        <x:v>46</x:v>
      </x:c>
      <x:c r="F42" s="12">
        <x:f>ROUND(+'WP II-E-3.3'!F16*$E$38,2)</x:f>
        <x:v>0</x:v>
      </x:c>
      <x:c r="G42" s="12">
        <x:v>0</x:v>
      </x:c>
      <x:c r="H42" s="12">
        <x:f>ROUND(+'WP II-E-3.3'!H16*$E$38,2)</x:f>
        <x:v>0</x:v>
      </x:c>
      <x:c r="I42" s="12">
        <x:v>0</x:v>
      </x:c>
      <x:c r="J42" s="12">
        <x:f>ROUND(+'WP II-E-3.3'!J16*$E$38,2)</x:f>
        <x:v>0</x:v>
      </x:c>
      <x:c r="K42" s="12">
        <x:v>0</x:v>
      </x:c>
      <x:c r="L42" s="12">
        <x:f t="shared" si="3"/>
        <x:v>0</x:v>
      </x:c>
      <x:c r="M42" s="12">
        <x:f>ROUND(+'WP II-E-3.3'!M16*$E$38,2)</x:f>
        <x:v>0</x:v>
      </x:c>
      <x:c r="N42" s="12">
        <x:v>0</x:v>
      </x:c>
      <x:c r="O42" s="12">
        <x:f>ROUND(+'WP II-E-3.3'!O16*$E$38,2)</x:f>
        <x:v>0</x:v>
      </x:c>
      <x:c r="P42" s="12">
        <x:v>0</x:v>
      </x:c>
      <x:c r="Q42" s="12">
        <x:f>ROUND(+'WP II-E-3.3'!Q16*$E$38,2)</x:f>
        <x:v>0</x:v>
      </x:c>
      <x:c r="R42" s="12">
        <x:v>0</x:v>
      </x:c>
      <x:c r="S42" s="12">
        <x:f>+'WP II-E-3.3'!S16*$E$38</x:f>
        <x:v>0</x:v>
      </x:c>
      <x:c r="T42" s="12">
        <x:f>+'WP II-E-3.3'!T16*$E$38</x:f>
        <x:v>0</x:v>
      </x:c>
    </x:row>
    <x:row r="43" spans="1:20" x14ac:dyDescent="0.25">
      <x:c r="A43" s="7">
        <x:f t="shared" si="0"/>
        <x:v>32</x:v>
      </x:c>
      <x:c r="B43" s="10" t="s">
        <x:v>54</x:v>
      </x:c>
      <x:c r="C43" s="1" t="s">
        <x:v>55</x:v>
      </x:c>
      <x:c r="D43" s="7" t="s">
        <x:v>49</x:v>
      </x:c>
      <x:c r="E43" s="7" t="s">
        <x:v>46</x:v>
      </x:c>
      <x:c r="F43" s="12">
        <x:f>ROUND(+'WP II-E-3.3'!F17*$E$38,2)</x:f>
        <x:v>307880.73</x:v>
      </x:c>
      <x:c r="G43" s="12">
        <x:v>0</x:v>
      </x:c>
      <x:c r="H43" s="12">
        <x:f>ROUND(+'WP II-E-3.3'!H17*$E$38,2)</x:f>
        <x:v>301500.62</x:v>
      </x:c>
      <x:c r="I43" s="12">
        <x:v>0</x:v>
      </x:c>
      <x:c r="J43" s="12">
        <x:f>ROUND(+'WP II-E-3.3'!J17*$E$38,2)</x:f>
        <x:v>99074.240000000005</x:v>
      </x:c>
      <x:c r="K43" s="12">
        <x:v>0</x:v>
      </x:c>
      <x:c r="L43" s="12">
        <x:f t="shared" si="3"/>
        <x:v>708455.59</x:v>
      </x:c>
      <x:c r="M43" s="12">
        <x:f>ROUND(+'WP II-E-3.3'!M17*$E$38,2)</x:f>
        <x:v>172088.55</x:v>
      </x:c>
      <x:c r="N43" s="12">
        <x:v>0</x:v>
      </x:c>
      <x:c r="O43" s="12">
        <x:f>ROUND(+'WP II-E-3.3'!O17*$E$38,2)</x:f>
        <x:v>135376.72</x:v>
      </x:c>
      <x:c r="P43" s="12">
        <x:v>0</x:v>
      </x:c>
      <x:c r="Q43" s="12">
        <x:f>ROUND(+'WP II-E-3.3'!Q17*$E$38,2)</x:f>
        <x:v>90470.86</x:v>
      </x:c>
      <x:c r="R43" s="12">
        <x:v>0</x:v>
      </x:c>
      <x:c r="S43" s="12">
        <x:f>+'WP II-E-3.3'!S17*$E$38</x:f>
        <x:v>0</x:v>
      </x:c>
      <x:c r="T43" s="12">
        <x:f>+'WP II-E-3.3'!T17*$E$38</x:f>
        <x:v>0</x:v>
      </x:c>
    </x:row>
    <x:row r="44" spans="1:20" x14ac:dyDescent="0.25">
      <x:c r="A44" s="7">
        <x:f t="shared" si="0"/>
        <x:v>33</x:v>
      </x:c>
      <x:c r="B44" s="10" t="s">
        <x:v>56</x:v>
      </x:c>
      <x:c r="C44" s="1" t="s">
        <x:v>57</x:v>
      </x:c>
      <x:c r="D44" s="7" t="s">
        <x:v>49</x:v>
      </x:c>
      <x:c r="E44" s="7" t="s">
        <x:v>46</x:v>
      </x:c>
      <x:c r="F44" s="12">
        <x:f>ROUND(+'WP II-E-3.3'!F18*$E$38,2)</x:f>
        <x:v>0</x:v>
      </x:c>
      <x:c r="G44" s="12">
        <x:v>0</x:v>
      </x:c>
      <x:c r="H44" s="12">
        <x:f>ROUND(+'WP II-E-3.3'!H18*$E$38,2)</x:f>
        <x:v>0</x:v>
      </x:c>
      <x:c r="I44" s="12">
        <x:v>0</x:v>
      </x:c>
      <x:c r="J44" s="12">
        <x:f>ROUND(+'WP II-E-3.3'!J18*$E$38,2)</x:f>
        <x:v>0</x:v>
      </x:c>
      <x:c r="K44" s="12">
        <x:v>0</x:v>
      </x:c>
      <x:c r="L44" s="12">
        <x:f t="shared" si="3"/>
        <x:v>0</x:v>
      </x:c>
      <x:c r="M44" s="12">
        <x:f>ROUND(+'WP II-E-3.3'!M18*$E$38,2)</x:f>
        <x:v>0</x:v>
      </x:c>
      <x:c r="N44" s="12">
        <x:v>0</x:v>
      </x:c>
      <x:c r="O44" s="12">
        <x:f>ROUND(+'WP II-E-3.3'!O18*$E$38,2)</x:f>
        <x:v>0</x:v>
      </x:c>
      <x:c r="P44" s="12">
        <x:v>0</x:v>
      </x:c>
      <x:c r="Q44" s="12">
        <x:f>ROUND(+'WP II-E-3.3'!Q18*$E$38,2)</x:f>
        <x:v>0</x:v>
      </x:c>
      <x:c r="R44" s="12">
        <x:v>0</x:v>
      </x:c>
      <x:c r="S44" s="12">
        <x:f>+'WP II-E-3.3'!S18*$E$38</x:f>
        <x:v>0</x:v>
      </x:c>
      <x:c r="T44" s="12">
        <x:f>+'WP II-E-3.3'!T18*$E$38</x:f>
        <x:v>0</x:v>
      </x:c>
    </x:row>
    <x:row r="45" spans="1:20" x14ac:dyDescent="0.25">
      <x:c r="A45" s="7">
        <x:f t="shared" si="0"/>
        <x:v>34</x:v>
      </x:c>
      <x:c r="B45" s="10" t="s">
        <x:v>58</x:v>
      </x:c>
      <x:c r="C45" s="1" t="s">
        <x:v>59</x:v>
      </x:c>
      <x:c r="D45" s="7" t="s">
        <x:v>49</x:v>
      </x:c>
      <x:c r="E45" s="7" t="s">
        <x:v>46</x:v>
      </x:c>
      <x:c r="F45" s="12">
        <x:f>ROUND(+'WP II-E-3.3'!F19*$E$38,2)</x:f>
        <x:v>31067.18</x:v>
      </x:c>
      <x:c r="G45" s="12">
        <x:v>0</x:v>
      </x:c>
      <x:c r="H45" s="12">
        <x:f>ROUND(+'WP II-E-3.3'!H19*$E$38,2)</x:f>
        <x:v>91205</x:v>
      </x:c>
      <x:c r="I45" s="12">
        <x:v>0</x:v>
      </x:c>
      <x:c r="J45" s="12">
        <x:f>ROUND(+'WP II-E-3.3'!J19*$E$38,2)</x:f>
        <x:v>1195745.3</x:v>
      </x:c>
      <x:c r="K45" s="12">
        <x:v>0</x:v>
      </x:c>
      <x:c r="L45" s="12">
        <x:f t="shared" si="3"/>
        <x:v>1318017.48</x:v>
      </x:c>
      <x:c r="M45" s="12">
        <x:f>ROUND(+'WP II-E-3.3'!M19*$E$38,2)</x:f>
        <x:v>95753.03</x:v>
      </x:c>
      <x:c r="N45" s="12">
        <x:v>0</x:v>
      </x:c>
      <x:c r="O45" s="12">
        <x:f>ROUND(+'WP II-E-3.3'!O19*$E$38,2)</x:f>
        <x:v>475876.33</x:v>
      </x:c>
      <x:c r="P45" s="12">
        <x:v>0</x:v>
      </x:c>
      <x:c r="Q45" s="12">
        <x:f>ROUND(+'WP II-E-3.3'!Q19*$E$38,2)</x:f>
        <x:v>286554.59000000003</x:v>
      </x:c>
      <x:c r="R45" s="12">
        <x:v>0</x:v>
      </x:c>
      <x:c r="S45" s="12">
        <x:f>+'WP II-E-3.3'!S19*$E$38</x:f>
        <x:v>0</x:v>
      </x:c>
      <x:c r="T45" s="12">
        <x:f>+'WP II-E-3.3'!T19*$E$38</x:f>
        <x:v>0</x:v>
      </x:c>
    </x:row>
    <x:row r="46" spans="1:20" x14ac:dyDescent="0.25">
      <x:c r="A46" s="7">
        <x:f t="shared" si="0"/>
        <x:v>35</x:v>
      </x:c>
      <x:c r="B46" s="10" t="s">
        <x:v>60</x:v>
      </x:c>
      <x:c r="C46" s="1" t="s">
        <x:v>61</x:v>
      </x:c>
      <x:c r="D46" s="7" t="s">
        <x:v>49</x:v>
      </x:c>
      <x:c r="E46" s="7" t="s">
        <x:v>46</x:v>
      </x:c>
      <x:c r="F46" s="12">
        <x:f>ROUND(+'WP II-E-3.3'!F20*$E$38,2)</x:f>
        <x:v>181554.07</x:v>
      </x:c>
      <x:c r="G46" s="12">
        <x:v>0</x:v>
      </x:c>
      <x:c r="H46" s="12">
        <x:f>ROUND(+'WP II-E-3.3'!H20*$E$38,2)</x:f>
        <x:v>479816.78</x:v>
      </x:c>
      <x:c r="I46" s="12">
        <x:v>0</x:v>
      </x:c>
      <x:c r="J46" s="12">
        <x:f>ROUND(+'WP II-E-3.3'!J20*$E$38,2)</x:f>
        <x:v>260767.59</x:v>
      </x:c>
      <x:c r="K46" s="12">
        <x:v>0</x:v>
      </x:c>
      <x:c r="L46" s="12">
        <x:f t="shared" si="3"/>
        <x:v>922138.44000000006</x:v>
      </x:c>
      <x:c r="M46" s="12">
        <x:f>ROUND(+'WP II-E-3.3'!M20*$E$38,2)</x:f>
        <x:v>213337.8</x:v>
      </x:c>
      <x:c r="N46" s="12">
        <x:v>0</x:v>
      </x:c>
      <x:c r="O46" s="12">
        <x:f>ROUND(+'WP II-E-3.3'!O20*$E$38,2)</x:f>
        <x:v>210435.63</x:v>
      </x:c>
      <x:c r="P46" s="12">
        <x:v>0</x:v>
      </x:c>
      <x:c r="Q46" s="12">
        <x:f>ROUND(+'WP II-E-3.3'!Q20*$E$38,2)</x:f>
        <x:v>132637.39000000001</x:v>
      </x:c>
      <x:c r="R46" s="12">
        <x:v>0</x:v>
      </x:c>
      <x:c r="S46" s="12">
        <x:f>+'WP II-E-3.3'!S20*$E$38</x:f>
        <x:v>0</x:v>
      </x:c>
      <x:c r="T46" s="12">
        <x:f>+'WP II-E-3.3'!T20*$E$38</x:f>
        <x:v>0</x:v>
      </x:c>
    </x:row>
    <x:row r="47" spans="1:20" x14ac:dyDescent="0.25">
      <x:c r="A47" s="7">
        <x:f t="shared" si="0"/>
        <x:v>36</x:v>
      </x:c>
      <x:c r="B47" s="10" t="s">
        <x:v>62</x:v>
      </x:c>
      <x:c r="C47" s="1" t="s">
        <x:v>63</x:v>
      </x:c>
      <x:c r="D47" s="7" t="s">
        <x:v>64</x:v>
      </x:c>
      <x:c r="E47" s="7" t="s">
        <x:v>46</x:v>
      </x:c>
      <x:c r="F47" s="12">
        <x:f>ROUND(+'WP II-E-3.3'!F21*$E$38,2)</x:f>
        <x:v>0</x:v>
      </x:c>
      <x:c r="G47" s="12">
        <x:v>0</x:v>
      </x:c>
      <x:c r="H47" s="12">
        <x:f>ROUND(+'WP II-E-3.3'!H21*$E$38,2)</x:f>
        <x:v>0</x:v>
      </x:c>
      <x:c r="I47" s="12">
        <x:v>0</x:v>
      </x:c>
      <x:c r="J47" s="12">
        <x:f>ROUND(+'WP II-E-3.3'!J21*$E$38,2)</x:f>
        <x:v>962.81</x:v>
      </x:c>
      <x:c r="K47" s="12">
        <x:v>0</x:v>
      </x:c>
      <x:c r="L47" s="12">
        <x:f t="shared" si="3"/>
        <x:v>962.81</x:v>
      </x:c>
      <x:c r="M47" s="12">
        <x:f>ROUND(+'WP II-E-3.3'!M21*$E$38,2)</x:f>
        <x:v>24.07</x:v>
      </x:c>
      <x:c r="N47" s="12">
        <x:v>0</x:v>
      </x:c>
      <x:c r="O47" s="12">
        <x:f>ROUND(+'WP II-E-3.3'!O21*$E$38,2)</x:f>
        <x:v>187.75</x:v>
      </x:c>
      <x:c r="P47" s="12">
        <x:v>0</x:v>
      </x:c>
      <x:c r="Q47" s="12">
        <x:f>ROUND(+'WP II-E-3.3'!Q21*$E$38,2)</x:f>
        <x:v>150.19999999999999</x:v>
      </x:c>
      <x:c r="R47" s="12">
        <x:v>0</x:v>
      </x:c>
      <x:c r="S47" s="12">
        <x:f>+'WP II-E-3.3'!S21*$E$38</x:f>
        <x:v>0</x:v>
      </x:c>
      <x:c r="T47" s="12">
        <x:f>+'WP II-E-3.3'!T21*$E$38</x:f>
        <x:v>0</x:v>
      </x:c>
    </x:row>
    <x:row r="48" spans="1:20" x14ac:dyDescent="0.25">
      <x:c r="A48" s="7">
        <x:f t="shared" si="0"/>
        <x:v>37</x:v>
      </x:c>
      <x:c r="B48" s="10" t="s">
        <x:v>65</x:v>
      </x:c>
      <x:c r="C48" s="1" t="s">
        <x:v>66</x:v>
      </x:c>
      <x:c r="D48" s="7" t="s">
        <x:v>67</x:v>
      </x:c>
      <x:c r="E48" s="7" t="s">
        <x:v>46</x:v>
      </x:c>
      <x:c r="F48" s="12">
        <x:f>ROUND(+'WP II-E-3.3'!F22*$E$38,2)</x:f>
        <x:v>24984550.699999999</x:v>
      </x:c>
      <x:c r="G48" s="12">
        <x:v>0</x:v>
      </x:c>
      <x:c r="H48" s="12">
        <x:f>ROUND(+'WP II-E-3.3'!H22*$E$38,2)</x:f>
        <x:v>40635617.399999999</x:v>
      </x:c>
      <x:c r="I48" s="12">
        <x:v>0</x:v>
      </x:c>
      <x:c r="J48" s="12">
        <x:f>ROUND(+'WP II-E-3.3'!J22*$E$38,2)</x:f>
        <x:v>63120990.07</x:v>
      </x:c>
      <x:c r="K48" s="12">
        <x:v>0</x:v>
      </x:c>
      <x:c r="L48" s="12">
        <x:f t="shared" si="3"/>
        <x:v>128741158.16999999</x:v>
      </x:c>
      <x:c r="M48" s="12">
        <x:f>ROUND(+'WP II-E-3.3'!M22*$E$38,2)</x:f>
        <x:v>8276256.4699999997</x:v>
      </x:c>
      <x:c r="N48" s="12">
        <x:v>0</x:v>
      </x:c>
      <x:c r="O48" s="12">
        <x:f>ROUND(+'WP II-E-3.3'!O22*$E$38,2)</x:f>
        <x:v>11502055.300000001</x:v>
      </x:c>
      <x:c r="P48" s="12">
        <x:v>0</x:v>
      </x:c>
      <x:c r="Q48" s="12">
        <x:f>ROUND(+'WP II-E-3.3'!Q22*$E$38,2)</x:f>
        <x:v>10371821.539999999</x:v>
      </x:c>
      <x:c r="R48" s="12">
        <x:v>0</x:v>
      </x:c>
      <x:c r="S48" s="12">
        <x:f>+'WP II-E-3.3'!S22*$E$38</x:f>
        <x:v>0</x:v>
      </x:c>
      <x:c r="T48" s="12">
        <x:f>+'WP II-E-3.3'!T22*$E$38</x:f>
        <x:v>0</x:v>
      </x:c>
    </x:row>
    <x:row r="49" spans="1:20" x14ac:dyDescent="0.25">
      <x:c r="A49" s="7">
        <x:f t="shared" si="0"/>
        <x:v>38</x:v>
      </x:c>
      <x:c r="B49" s="10" t="s">
        <x:v>68</x:v>
      </x:c>
      <x:c r="C49" s="1" t="s">
        <x:v>69</x:v>
      </x:c>
      <x:c r="D49" s="7" t="s">
        <x:v>45</x:v>
      </x:c>
      <x:c r="E49" s="7" t="s">
        <x:v>46</x:v>
      </x:c>
      <x:c r="F49" s="12">
        <x:f>ROUND(+'WP II-E-3.3'!F23*$E$38,2)</x:f>
        <x:v>0</x:v>
      </x:c>
      <x:c r="G49" s="12">
        <x:v>0</x:v>
      </x:c>
      <x:c r="H49" s="12">
        <x:f>ROUND(+'WP II-E-3.3'!H23*$E$38,2)</x:f>
        <x:v>0</x:v>
      </x:c>
      <x:c r="I49" s="12">
        <x:v>0</x:v>
      </x:c>
      <x:c r="J49" s="12">
        <x:f>ROUND(+'WP II-E-3.3'!J23*$E$38,2)</x:f>
        <x:v>0</x:v>
      </x:c>
      <x:c r="K49" s="12">
        <x:v>0</x:v>
      </x:c>
      <x:c r="L49" s="12">
        <x:f t="shared" si="3"/>
        <x:v>0</x:v>
      </x:c>
      <x:c r="M49" s="12">
        <x:f>ROUND(+'WP II-E-3.3'!M23*$E$38,2)</x:f>
        <x:v>0</x:v>
      </x:c>
      <x:c r="N49" s="12">
        <x:v>0</x:v>
      </x:c>
      <x:c r="O49" s="12">
        <x:f>ROUND(+'WP II-E-3.3'!O23*$E$38,2)</x:f>
        <x:v>0</x:v>
      </x:c>
      <x:c r="P49" s="12">
        <x:v>0</x:v>
      </x:c>
      <x:c r="Q49" s="12">
        <x:f>ROUND(+'WP II-E-3.3'!Q23*$E$38,2)</x:f>
        <x:v>0</x:v>
      </x:c>
      <x:c r="R49" s="12">
        <x:v>0</x:v>
      </x:c>
      <x:c r="S49" s="12">
        <x:f>+'WP II-E-3.3'!S23*$E$38</x:f>
        <x:v>0</x:v>
      </x:c>
      <x:c r="T49" s="12">
        <x:f>+'WP II-E-3.3'!T23*$E$38</x:f>
        <x:v>0</x:v>
      </x:c>
    </x:row>
    <x:row r="50" spans="1:20" x14ac:dyDescent="0.25">
      <x:c r="A50" s="7">
        <x:f t="shared" si="0"/>
        <x:v>39</x:v>
      </x:c>
      <x:c r="B50" s="13" t="s">
        <x:v>70</x:v>
      </x:c>
      <x:c r="C50" s="1" t="s">
        <x:v>71</x:v>
      </x:c>
      <x:c r="D50" s="7" t="s">
        <x:v>72</x:v>
      </x:c>
      <x:c r="E50" s="7" t="s">
        <x:v>46</x:v>
      </x:c>
      <x:c r="F50" s="12">
        <x:f>ROUND(+'WP II-E-3.3'!F24*$E$38,2)</x:f>
        <x:v>466851323.25</x:v>
      </x:c>
      <x:c r="G50" s="12">
        <x:v>0</x:v>
      </x:c>
      <x:c r="H50" s="12">
        <x:f>ROUND(+'WP II-E-3.3'!H24*$E$38,2)</x:f>
        <x:v>625816650.39999998</x:v>
      </x:c>
      <x:c r="I50" s="12">
        <x:v>0</x:v>
      </x:c>
      <x:c r="J50" s="12">
        <x:f>ROUND(+'WP II-E-3.3'!J24*$E$38,2)</x:f>
        <x:v>764701388.02999997</x:v>
      </x:c>
      <x:c r="K50" s="12">
        <x:v>0</x:v>
      </x:c>
      <x:c r="L50" s="12">
        <x:f t="shared" si="3"/>
        <x:v>1857369361.6800001</x:v>
      </x:c>
      <x:c r="M50" s="12">
        <x:f>ROUND(+'WP II-E-3.3'!M24*$E$38,2)</x:f>
        <x:v>103789563.2</x:v>
      </x:c>
      <x:c r="N50" s="12">
        <x:v>0</x:v>
      </x:c>
      <x:c r="O50" s="12">
        <x:f>ROUND(+'WP II-E-3.3'!O24*$E$38,2)</x:f>
        <x:v>125529344.91</x:v>
      </x:c>
      <x:c r="P50" s="12">
        <x:v>0</x:v>
      </x:c>
      <x:c r="Q50" s="12">
        <x:f>ROUND(+'WP II-E-3.3'!Q24*$E$38,2)</x:f>
        <x:v>116114861.55</x:v>
      </x:c>
      <x:c r="R50" s="12">
        <x:v>0</x:v>
      </x:c>
      <x:c r="S50" s="12">
        <x:f>+'WP II-E-3.3'!S24*$E$38</x:f>
        <x:v>0</x:v>
      </x:c>
      <x:c r="T50" s="12">
        <x:f>+'WP II-E-3.3'!T24*$E$38</x:f>
        <x:v>0</x:v>
      </x:c>
    </x:row>
    <x:row r="51" spans="1:20" x14ac:dyDescent="0.25">
      <x:c r="A51" s="7">
        <x:f t="shared" si="0"/>
        <x:v>40</x:v>
      </x:c>
      <x:c r="B51" s="1" t="s">
        <x:v>73</x:v>
      </x:c>
      <x:c r="C51" s="1" t="s">
        <x:v>74</x:v>
      </x:c>
      <x:c r="D51" s="7" t="s">
        <x:v>67</x:v>
      </x:c>
      <x:c r="E51" s="7" t="s">
        <x:v>46</x:v>
      </x:c>
      <x:c r="F51" s="12">
        <x:f>ROUND(+'WP II-E-3.3'!F25*$E$38,2)</x:f>
        <x:v>358424867.39999998</x:v>
      </x:c>
      <x:c r="G51" s="12">
        <x:v>0</x:v>
      </x:c>
      <x:c r="H51" s="12">
        <x:f>ROUND(+'WP II-E-3.3'!H25*$E$38,2)</x:f>
        <x:v>534887166.63999999</x:v>
      </x:c>
      <x:c r="I51" s="12">
        <x:v>0</x:v>
      </x:c>
      <x:c r="J51" s="12">
        <x:f>ROUND(+'WP II-E-3.3'!J25*$E$38,2)</x:f>
        <x:v>783462914.82000005</x:v>
      </x:c>
      <x:c r="K51" s="12">
        <x:v>0</x:v>
      </x:c>
      <x:c r="L51" s="12">
        <x:f t="shared" si="3"/>
        <x:v>1676774948.8600001</x:v>
      </x:c>
      <x:c r="M51" s="12">
        <x:f>ROUND(+'WP II-E-3.3'!M25*$E$38,2)</x:f>
        <x:v>111050622.45</x:v>
      </x:c>
      <x:c r="N51" s="12">
        <x:v>0</x:v>
      </x:c>
      <x:c r="O51" s="12">
        <x:f>ROUND(+'WP II-E-3.3'!O25*$E$38,2)</x:f>
        <x:v>148849394.40000001</x:v>
      </x:c>
      <x:c r="P51" s="12">
        <x:v>0</x:v>
      </x:c>
      <x:c r="Q51" s="12">
        <x:f>ROUND(+'WP II-E-3.3'!Q25*$E$38,2)</x:f>
        <x:v>134227264.75999999</x:v>
      </x:c>
      <x:c r="R51" s="12">
        <x:v>0</x:v>
      </x:c>
      <x:c r="S51" s="12">
        <x:f>+'WP II-E-3.3'!S25*$E$38</x:f>
        <x:v>0</x:v>
      </x:c>
      <x:c r="T51" s="12">
        <x:f>+'WP II-E-3.3'!T25*$E$38</x:f>
        <x:v>0</x:v>
      </x:c>
    </x:row>
    <x:row r="52" spans="1:20" x14ac:dyDescent="0.25">
      <x:c r="A52" s="7">
        <x:f t="shared" si="0"/>
        <x:v>41</x:v>
      </x:c>
      <x:c r="B52" s="1" t="s">
        <x:v>75</x:v>
      </x:c>
      <x:c r="C52" s="1" t="s">
        <x:v>76</x:v>
      </x:c>
      <x:c r="D52" s="7" t="s">
        <x:v>72</x:v>
      </x:c>
      <x:c r="E52" s="7" t="s">
        <x:v>46</x:v>
      </x:c>
      <x:c r="F52" s="12">
        <x:f>ROUND(+'WP II-E-3.3'!F26*$E$38,2)</x:f>
        <x:v>5934598.9699999997</x:v>
      </x:c>
      <x:c r="G52" s="12">
        <x:v>0</x:v>
      </x:c>
      <x:c r="H52" s="12">
        <x:f>ROUND(+'WP II-E-3.3'!H26*$E$38,2)</x:f>
        <x:v>8199760.2599999998</x:v>
      </x:c>
      <x:c r="I52" s="12">
        <x:v>0</x:v>
      </x:c>
      <x:c r="J52" s="12">
        <x:f>ROUND(+'WP II-E-3.3'!J26*$E$38,2)</x:f>
        <x:v>10007854.35</x:v>
      </x:c>
      <x:c r="K52" s="12">
        <x:v>0</x:v>
      </x:c>
      <x:c r="L52" s="12">
        <x:f t="shared" si="3"/>
        <x:v>24142213.579999998</x:v>
      </x:c>
      <x:c r="M52" s="12">
        <x:f>ROUND(+'WP II-E-3.3'!M26*$E$38,2)</x:f>
        <x:v>1557233.54</x:v>
      </x:c>
      <x:c r="N52" s="12">
        <x:v>0</x:v>
      </x:c>
      <x:c r="O52" s="12">
        <x:f>ROUND(+'WP II-E-3.3'!O26*$E$38,2)</x:f>
        <x:v>1821478.36</x:v>
      </x:c>
      <x:c r="P52" s="12">
        <x:v>0</x:v>
      </x:c>
      <x:c r="Q52" s="12">
        <x:f>ROUND(+'WP II-E-3.3'!Q26*$E$38,2)</x:f>
        <x:v>1658702.73</x:v>
      </x:c>
      <x:c r="R52" s="12">
        <x:v>0</x:v>
      </x:c>
      <x:c r="S52" s="12">
        <x:f>+'WP II-E-3.3'!S26*$E$38</x:f>
        <x:v>0</x:v>
      </x:c>
      <x:c r="T52" s="12">
        <x:f>+'WP II-E-3.3'!T26*$E$38</x:f>
        <x:v>0</x:v>
      </x:c>
    </x:row>
    <x:row r="53" spans="1:20" x14ac:dyDescent="0.25">
      <x:c r="A53" s="7">
        <x:f t="shared" si="0"/>
        <x:v>42</x:v>
      </x:c>
      <x:c r="B53" s="1" t="s">
        <x:v>77</x:v>
      </x:c>
      <x:c r="C53" s="1" t="s">
        <x:v>78</x:v>
      </x:c>
      <x:c r="D53" s="7" t="s">
        <x:v>64</x:v>
      </x:c>
      <x:c r="E53" s="7" t="s">
        <x:v>46</x:v>
      </x:c>
      <x:c r="F53" s="12">
        <x:f>ROUND(+'WP II-E-3.3'!F27*$E$38,2)</x:f>
        <x:v>36557842.380000003</x:v>
      </x:c>
      <x:c r="G53" s="12">
        <x:v>0</x:v>
      </x:c>
      <x:c r="H53" s="12">
        <x:f>ROUND(+'WP II-E-3.3'!H27*$E$38,2)</x:f>
        <x:v>33820946.729999997</x:v>
      </x:c>
      <x:c r="I53" s="12">
        <x:v>0</x:v>
      </x:c>
      <x:c r="J53" s="12">
        <x:f>ROUND(+'WP II-E-3.3'!J27*$E$38,2)</x:f>
        <x:v>35359570.82</x:v>
      </x:c>
      <x:c r="K53" s="12">
        <x:v>0</x:v>
      </x:c>
      <x:c r="L53" s="12">
        <x:f t="shared" si="3"/>
        <x:v>105738359.93000001</x:v>
      </x:c>
      <x:c r="M53" s="12">
        <x:f>ROUND(+'WP II-E-3.3'!M27*$E$38,2)</x:f>
        <x:v>13430078.48</x:v>
      </x:c>
      <x:c r="N53" s="12">
        <x:v>0</x:v>
      </x:c>
      <x:c r="O53" s="12">
        <x:f>ROUND(+'WP II-E-3.3'!O27*$E$38,2)</x:f>
        <x:v>14357010.34</x:v>
      </x:c>
      <x:c r="P53" s="12">
        <x:v>0</x:v>
      </x:c>
      <x:c r="Q53" s="12">
        <x:f>ROUND(+'WP II-E-3.3'!Q27*$E$38,2)</x:f>
        <x:v>11760125.880000001</x:v>
      </x:c>
      <x:c r="R53" s="12">
        <x:v>0</x:v>
      </x:c>
      <x:c r="S53" s="12">
        <x:f>+'WP II-E-3.3'!S27*$E$38</x:f>
        <x:v>0</x:v>
      </x:c>
      <x:c r="T53" s="12">
        <x:f>+'WP II-E-3.3'!T27*$E$38</x:f>
        <x:v>0</x:v>
      </x:c>
    </x:row>
    <x:row r="54" spans="1:20" x14ac:dyDescent="0.25">
      <x:c r="A54" s="7">
        <x:f t="shared" si="0"/>
        <x:v>43</x:v>
      </x:c>
      <x:c r="B54" s="1" t="s">
        <x:v>79</x:v>
      </x:c>
      <x:c r="C54" s="1" t="s">
        <x:v>80</x:v>
      </x:c>
      <x:c r="D54" s="7" t="s">
        <x:v>45</x:v>
      </x:c>
      <x:c r="E54" s="7" t="s">
        <x:v>46</x:v>
      </x:c>
      <x:c r="F54" s="12">
        <x:f>ROUND(+'WP II-E-3.3'!F28*$E$38,2)</x:f>
        <x:v>14706845.039999999</x:v>
      </x:c>
      <x:c r="G54" s="12">
        <x:v>0</x:v>
      </x:c>
      <x:c r="H54" s="12">
        <x:f>ROUND(+'WP II-E-3.3'!H28*$E$38,2)</x:f>
        <x:v>21109597.210000001</x:v>
      </x:c>
      <x:c r="I54" s="12">
        <x:v>0</x:v>
      </x:c>
      <x:c r="J54" s="12">
        <x:f>ROUND(+'WP II-E-3.3'!J28*$E$38,2)</x:f>
        <x:v>23592425.289999999</x:v>
      </x:c>
      <x:c r="K54" s="12">
        <x:v>0</x:v>
      </x:c>
      <x:c r="L54" s="12">
        <x:f t="shared" si="3"/>
        <x:v>59408867.539999999</x:v>
      </x:c>
      <x:c r="M54" s="12">
        <x:f>ROUND(+'WP II-E-3.3'!M28*$E$38,2)</x:f>
        <x:v>9305172.8200000003</x:v>
      </x:c>
      <x:c r="N54" s="12">
        <x:v>0</x:v>
      </x:c>
      <x:c r="O54" s="12">
        <x:f>ROUND(+'WP II-E-3.3'!O28*$E$38,2)</x:f>
        <x:v>10358449.25</x:v>
      </x:c>
      <x:c r="P54" s="12">
        <x:v>0</x:v>
      </x:c>
      <x:c r="Q54" s="12">
        <x:f>ROUND(+'WP II-E-3.3'!Q28*$E$38,2)</x:f>
        <x:v>7587269.2400000002</x:v>
      </x:c>
      <x:c r="R54" s="12">
        <x:v>0</x:v>
      </x:c>
      <x:c r="S54" s="12">
        <x:f>+'WP II-E-3.3'!S28*$E$38</x:f>
        <x:v>0</x:v>
      </x:c>
      <x:c r="T54" s="12">
        <x:f>+'WP II-E-3.3'!T28*$E$38</x:f>
        <x:v>0</x:v>
      </x:c>
    </x:row>
    <x:row r="55" spans="1:20" x14ac:dyDescent="0.25">
      <x:c r="A55" s="7">
        <x:f t="shared" si="0"/>
        <x:v>44</x:v>
      </x:c>
      <x:c r="B55" s="10" t="s">
        <x:v>81</x:v>
      </x:c>
      <x:c r="C55" s="1" t="s">
        <x:v>82</x:v>
      </x:c>
      <x:c r="D55" s="7" t="s">
        <x:v>49</x:v>
      </x:c>
      <x:c r="E55" s="7" t="s">
        <x:v>46</x:v>
      </x:c>
      <x:c r="F55" s="12">
        <x:f>ROUND(+'WP II-E-3.3'!F29*$E$38,2)</x:f>
        <x:v>3827510.54</x:v>
      </x:c>
      <x:c r="G55" s="12">
        <x:v>0</x:v>
      </x:c>
      <x:c r="H55" s="12">
        <x:f>ROUND(+'WP II-E-3.3'!H29*$E$38,2)</x:f>
        <x:v>2898682.17</x:v>
      </x:c>
      <x:c r="I55" s="12">
        <x:v>0</x:v>
      </x:c>
      <x:c r="J55" s="12">
        <x:f>ROUND(+'WP II-E-3.3'!J29*$E$38,2)</x:f>
        <x:v>3032693.5</x:v>
      </x:c>
      <x:c r="K55" s="12">
        <x:v>0</x:v>
      </x:c>
      <x:c r="L55" s="12">
        <x:f t="shared" si="3"/>
        <x:v>9758886.2100000009</x:v>
      </x:c>
      <x:c r="M55" s="12">
        <x:f>ROUND(+'WP II-E-3.3'!M29*$E$38,2)</x:f>
        <x:v>2169957.91</x:v>
      </x:c>
      <x:c r="N55" s="12">
        <x:v>0</x:v>
      </x:c>
      <x:c r="O55" s="12">
        <x:f>ROUND(+'WP II-E-3.3'!O29*$E$38,2)</x:f>
        <x:v>2078487.34</x:v>
      </x:c>
      <x:c r="P55" s="12">
        <x:v>0</x:v>
      </x:c>
      <x:c r="Q55" s="12">
        <x:f>ROUND(+'WP II-E-3.3'!Q29*$E$38,2)</x:f>
        <x:v>1378024.59</x:v>
      </x:c>
      <x:c r="R55" s="12">
        <x:v>0</x:v>
      </x:c>
      <x:c r="S55" s="12">
        <x:f>+'WP II-E-3.3'!S29*$E$38</x:f>
        <x:v>0</x:v>
      </x:c>
      <x:c r="T55" s="12">
        <x:f>+'WP II-E-3.3'!T29*$E$38</x:f>
        <x:v>0</x:v>
      </x:c>
    </x:row>
    <x:row r="56" spans="1:20" x14ac:dyDescent="0.25">
      <x:c r="A56" s="7">
        <x:f t="shared" si="0"/>
        <x:v>45</x:v>
      </x:c>
      <x:c r="B56" s="1" t="s">
        <x:v>83</x:v>
      </x:c>
      <x:c r="C56" s="1" t="s">
        <x:v>84</x:v>
      </x:c>
      <x:c r="D56" s="7" t="s">
        <x:v>85</x:v>
      </x:c>
      <x:c r="E56" s="7" t="s">
        <x:v>86</x:v>
      </x:c>
      <x:c r="F56" s="12">
        <x:f>ROUND(+'WP II-E-3.3'!F30*$E$38,2)</x:f>
        <x:v>0</x:v>
      </x:c>
      <x:c r="G56" s="12">
        <x:v>0</x:v>
      </x:c>
      <x:c r="H56" s="12">
        <x:f>ROUND(+'WP II-E-3.3'!H30*$E$38,2)</x:f>
        <x:v>0</x:v>
      </x:c>
      <x:c r="I56" s="12">
        <x:v>0</x:v>
      </x:c>
      <x:c r="J56" s="12">
        <x:f>ROUND(+'WP II-E-3.3'!J30*$E$38,2)</x:f>
        <x:v>0</x:v>
      </x:c>
      <x:c r="K56" s="12">
        <x:v>0</x:v>
      </x:c>
      <x:c r="L56" s="12">
        <x:f t="shared" si="3"/>
        <x:v>0</x:v>
      </x:c>
      <x:c r="M56" s="12">
        <x:f>ROUND(+'WP II-E-3.3'!M30*$E$38,2)</x:f>
        <x:v>0</x:v>
      </x:c>
      <x:c r="N56" s="12">
        <x:v>0</x:v>
      </x:c>
      <x:c r="O56" s="12">
        <x:f>ROUND(+'WP II-E-3.3'!O30*$E$38,2)</x:f>
        <x:v>0</x:v>
      </x:c>
      <x:c r="P56" s="12">
        <x:v>0</x:v>
      </x:c>
      <x:c r="Q56" s="12">
        <x:f>ROUND(+'WP II-E-3.3'!Q30*$E$38,2)</x:f>
        <x:v>0</x:v>
      </x:c>
      <x:c r="R56" s="12">
        <x:v>0</x:v>
      </x:c>
      <x:c r="S56" s="12">
        <x:f>+'WP II-E-3.3'!S30*$E$38</x:f>
        <x:v>0</x:v>
      </x:c>
      <x:c r="T56" s="12">
        <x:f>+'WP II-E-3.3'!T30*$E$38</x:f>
        <x:v>0</x:v>
      </x:c>
    </x:row>
    <x:row r="57" spans="1:20" x14ac:dyDescent="0.25">
      <x:c r="A57" s="7">
        <x:f t="shared" si="0"/>
        <x:v>46</x:v>
      </x:c>
      <x:c r="B57" s="1" t="s">
        <x:v>87</x:v>
      </x:c>
      <x:c r="C57" s="1" t="s">
        <x:v>88</x:v>
      </x:c>
      <x:c r="D57" s="7" t="s">
        <x:v>89</x:v>
      </x:c>
      <x:c r="E57" s="7" t="s">
        <x:v>86</x:v>
      </x:c>
      <x:c r="F57" s="12">
        <x:f>ROUND(+'WP II-E-3.3'!F31*$E$38,2)</x:f>
        <x:v>285.41000000000003</x:v>
      </x:c>
      <x:c r="G57" s="12">
        <x:v>0</x:v>
      </x:c>
      <x:c r="H57" s="12">
        <x:f>ROUND(+'WP II-E-3.3'!H31*$E$38,2)</x:f>
        <x:v>43984.11</x:v>
      </x:c>
      <x:c r="I57" s="12">
        <x:v>0</x:v>
      </x:c>
      <x:c r="J57" s="12">
        <x:f>ROUND(+'WP II-E-3.3'!J31*$E$38,2)</x:f>
        <x:v>182513.64</x:v>
      </x:c>
      <x:c r="K57" s="12">
        <x:v>0</x:v>
      </x:c>
      <x:c r="L57" s="12">
        <x:f t="shared" si="3"/>
        <x:v>226783.16000000003</x:v>
      </x:c>
      <x:c r="M57" s="12">
        <x:f>ROUND(+'WP II-E-3.3'!M31*$E$38,2)</x:f>
        <x:v>3279.61</x:v>
      </x:c>
      <x:c r="N57" s="12">
        <x:v>0</x:v>
      </x:c>
      <x:c r="O57" s="12">
        <x:f>ROUND(+'WP II-E-3.3'!O31*$E$38,2)</x:f>
        <x:v>5814.72</x:v>
      </x:c>
      <x:c r="P57" s="12">
        <x:v>0</x:v>
      </x:c>
      <x:c r="Q57" s="12">
        <x:f>ROUND(+'WP II-E-3.3'!Q31*$E$38,2)</x:f>
        <x:v>5815.16</x:v>
      </x:c>
      <x:c r="R57" s="12">
        <x:v>0</x:v>
      </x:c>
      <x:c r="S57" s="12">
        <x:f>+'WP II-E-3.3'!S31*$E$38</x:f>
        <x:v>0</x:v>
      </x:c>
      <x:c r="T57" s="12">
        <x:f>+'WP II-E-3.3'!T31*$E$38</x:f>
        <x:v>0</x:v>
      </x:c>
    </x:row>
    <x:row r="58" spans="1:20" x14ac:dyDescent="0.25">
      <x:c r="A58" s="7">
        <x:f t="shared" si="0"/>
        <x:v>47</x:v>
      </x:c>
      <x:c r="B58" s="1" t="s">
        <x:v>90</x:v>
      </x:c>
      <x:c r="C58" s="1" t="s">
        <x:v>91</x:v>
      </x:c>
      <x:c r="D58" s="7" t="s">
        <x:v>92</x:v>
      </x:c>
      <x:c r="E58" s="7" t="s">
        <x:v>46</x:v>
      </x:c>
      <x:c r="F58" s="12">
        <x:f>ROUND(+'WP II-E-3.3'!F32*$E$38,2)</x:f>
        <x:v>10532062.380000001</x:v>
      </x:c>
      <x:c r="G58" s="12">
        <x:v>0</x:v>
      </x:c>
      <x:c r="H58" s="12">
        <x:f>ROUND(+'WP II-E-3.3'!H32*$E$38,2)</x:f>
        <x:v>4266461.57</x:v>
      </x:c>
      <x:c r="I58" s="12">
        <x:v>0</x:v>
      </x:c>
      <x:c r="J58" s="12">
        <x:f>ROUND(+'WP II-E-3.3'!J32*$E$38,2)</x:f>
        <x:v>8090203.04</x:v>
      </x:c>
      <x:c r="K58" s="12">
        <x:v>0</x:v>
      </x:c>
      <x:c r="L58" s="12">
        <x:f t="shared" si="3"/>
        <x:v>22888726.990000002</x:v>
      </x:c>
      <x:c r="M58" s="12">
        <x:f>ROUND(+'WP II-E-3.3'!M32*$E$38,2)</x:f>
        <x:v>487521.51</x:v>
      </x:c>
      <x:c r="N58" s="12">
        <x:v>0</x:v>
      </x:c>
      <x:c r="O58" s="12">
        <x:f>ROUND(+'WP II-E-3.3'!O32*$E$38,2)</x:f>
        <x:v>505943.82</x:v>
      </x:c>
      <x:c r="P58" s="12">
        <x:v>0</x:v>
      </x:c>
      <x:c r="Q58" s="12">
        <x:f>ROUND(+'WP II-E-3.3'!Q32*$E$38,2)</x:f>
        <x:v>504975.84</x:v>
      </x:c>
      <x:c r="R58" s="12">
        <x:v>0</x:v>
      </x:c>
      <x:c r="S58" s="12">
        <x:f>+'WP II-E-3.3'!S32*$E$38</x:f>
        <x:v>0</x:v>
      </x:c>
      <x:c r="T58" s="12">
        <x:f>+'WP II-E-3.3'!T32*$E$38</x:f>
        <x:v>0</x:v>
      </x:c>
    </x:row>
    <x:row r="59" spans="1:20" x14ac:dyDescent="0.25">
      <x:c r="A59" s="7">
        <x:f t="shared" si="0"/>
        <x:v>48</x:v>
      </x:c>
      <x:c r="B59" s="1" t="s">
        <x:v>93</x:v>
      </x:c>
      <x:c r="C59" s="1" t="s">
        <x:v>94</x:v>
      </x:c>
      <x:c r="D59" s="7" t="s">
        <x:v>95</x:v>
      </x:c>
      <x:c r="E59" s="7" t="s">
        <x:v>46</x:v>
      </x:c>
      <x:c r="F59" s="12">
        <x:f>ROUND(+'WP II-E-3.3'!F33*$E$38,2)</x:f>
        <x:v>8391158.5199999996</x:v>
      </x:c>
      <x:c r="G59" s="12">
        <x:v>0</x:v>
      </x:c>
      <x:c r="H59" s="12">
        <x:f>ROUND(+'WP II-E-3.3'!H33*$E$38,2)</x:f>
        <x:v>5567531.3600000003</x:v>
      </x:c>
      <x:c r="I59" s="12">
        <x:v>0</x:v>
      </x:c>
      <x:c r="J59" s="12">
        <x:f>ROUND(+'WP II-E-3.3'!J33*$E$38,2)</x:f>
        <x:v>8609051.7899999991</x:v>
      </x:c>
      <x:c r="K59" s="12">
        <x:v>0</x:v>
      </x:c>
      <x:c r="L59" s="12">
        <x:f t="shared" si="3"/>
        <x:v>22567741.669999998</x:v>
      </x:c>
      <x:c r="M59" s="12">
        <x:f>ROUND(+'WP II-E-3.3'!M33*$E$38,2)</x:f>
        <x:v>817589.9</x:v>
      </x:c>
      <x:c r="N59" s="12">
        <x:v>0</x:v>
      </x:c>
      <x:c r="O59" s="12">
        <x:f>ROUND(+'WP II-E-3.3'!O33*$E$38,2)</x:f>
        <x:v>830033.71</x:v>
      </x:c>
      <x:c r="P59" s="12">
        <x:v>0</x:v>
      </x:c>
      <x:c r="Q59" s="12">
        <x:f>ROUND(+'WP II-E-3.3'!Q33*$E$38,2)</x:f>
        <x:v>764002.65</x:v>
      </x:c>
      <x:c r="R59" s="12">
        <x:v>0</x:v>
      </x:c>
      <x:c r="S59" s="12">
        <x:f>+'WP II-E-3.3'!S33*$E$38</x:f>
        <x:v>0</x:v>
      </x:c>
      <x:c r="T59" s="12">
        <x:f>+'WP II-E-3.3'!T33*$E$38</x:f>
        <x:v>0</x:v>
      </x:c>
    </x:row>
    <x:row r="60" spans="1:20" x14ac:dyDescent="0.25">
      <x:c r="A60" s="7">
        <x:f t="shared" si="0"/>
        <x:v>49</x:v>
      </x:c>
      <x:c r="B60" s="1" t="s">
        <x:v>96</x:v>
      </x:c>
      <x:c r="C60" s="1" t="s">
        <x:v>97</x:v>
      </x:c>
      <x:c r="D60" s="7" t="s">
        <x:v>98</x:v>
      </x:c>
      <x:c r="F60" s="12">
        <x:f>ROUND(+'WP II-E-3.3'!F34*$E$38,2)</x:f>
        <x:v>20168845.969999999</x:v>
      </x:c>
      <x:c r="G60" s="12">
        <x:v>0</x:v>
      </x:c>
      <x:c r="H60" s="12">
        <x:f>ROUND(+'WP II-E-3.3'!H34*$E$38,2)</x:f>
        <x:v>19355946.190000001</x:v>
      </x:c>
      <x:c r="I60" s="12">
        <x:v>0</x:v>
      </x:c>
      <x:c r="J60" s="12">
        <x:f>ROUND(+'WP II-E-3.3'!J34*$E$38,2)</x:f>
        <x:v>2040401.16</x:v>
      </x:c>
      <x:c r="K60" s="12">
        <x:v>0</x:v>
      </x:c>
      <x:c r="L60" s="12">
        <x:f t="shared" si="3"/>
        <x:v>41565193.319999993</x:v>
      </x:c>
      <x:c r="M60" s="12">
        <x:f>ROUND(+'WP II-E-3.3'!M34*$E$38,2)</x:f>
        <x:v>0</x:v>
      </x:c>
      <x:c r="N60" s="12">
        <x:v>0</x:v>
      </x:c>
      <x:c r="O60" s="12">
        <x:f>ROUND(+'WP II-E-3.3'!O34*$E$38,2)</x:f>
        <x:v>0</x:v>
      </x:c>
      <x:c r="P60" s="12">
        <x:v>0</x:v>
      </x:c>
      <x:c r="Q60" s="12">
        <x:f>ROUND(+'WP II-E-3.3'!Q34*$E$38,2)</x:f>
        <x:v>0</x:v>
      </x:c>
      <x:c r="R60" s="12">
        <x:v>0</x:v>
      </x:c>
      <x:c r="S60" s="12">
        <x:f>+'WP II-E-3.3'!S34*$E$38</x:f>
        <x:v>0</x:v>
      </x:c>
      <x:c r="T60" s="12">
        <x:f>+'WP II-E-3.3'!T34*$E$38</x:f>
        <x:v>0</x:v>
      </x:c>
    </x:row>
    <x:row r="61" spans="1:20" x14ac:dyDescent="0.25">
      <x:c r="A61" s="7">
        <x:f t="shared" si="0"/>
        <x:v>50</x:v>
      </x:c>
      <x:c r="B61" s="1" t="s">
        <x:v>99</x:v>
      </x:c>
      <x:c r="C61" s="1" t="s">
        <x:v>100</x:v>
      </x:c>
      <x:c r="D61" s="7" t="s">
        <x:v>89</x:v>
      </x:c>
      <x:c r="E61" s="7" t="s">
        <x:v>86</x:v>
      </x:c>
      <x:c r="F61" s="12">
        <x:f>ROUND(+'WP II-E-3.3'!F35*$E$38,2)</x:f>
        <x:v>26740141.579999998</x:v>
      </x:c>
      <x:c r="G61" s="12">
        <x:v>0</x:v>
      </x:c>
      <x:c r="H61" s="12">
        <x:f>ROUND(+'WP II-E-3.3'!H35*$E$38,2)</x:f>
        <x:v>35922032.380000003</x:v>
      </x:c>
      <x:c r="I61" s="12">
        <x:v>0</x:v>
      </x:c>
      <x:c r="J61" s="12">
        <x:f>ROUND(+'WP II-E-3.3'!J35*$E$38,2)</x:f>
        <x:v>49357715.509999998</x:v>
      </x:c>
      <x:c r="K61" s="12">
        <x:v>0</x:v>
      </x:c>
      <x:c r="L61" s="12">
        <x:f t="shared" si="3"/>
        <x:v>112019889.47</x:v>
      </x:c>
      <x:c r="M61" s="12">
        <x:f>ROUND(+'WP II-E-3.3'!M35*$E$38,2)</x:f>
        <x:v>1907600.85</x:v>
      </x:c>
      <x:c r="N61" s="12">
        <x:v>0</x:v>
      </x:c>
      <x:c r="O61" s="12">
        <x:f>ROUND(+'WP II-E-3.3'!O35*$E$38,2)</x:f>
        <x:v>2872117.48</x:v>
      </x:c>
      <x:c r="P61" s="12">
        <x:v>0</x:v>
      </x:c>
      <x:c r="Q61" s="12">
        <x:f>ROUND(+'WP II-E-3.3'!Q35*$E$38,2)</x:f>
        <x:v>2872136.45</x:v>
      </x:c>
      <x:c r="R61" s="12">
        <x:v>0</x:v>
      </x:c>
      <x:c r="S61" s="12">
        <x:f>+'WP II-E-3.3'!S35*$E$38</x:f>
        <x:v>0</x:v>
      </x:c>
      <x:c r="T61" s="12">
        <x:f>+'WP II-E-3.3'!T35*$E$38</x:f>
        <x:v>0</x:v>
      </x:c>
    </x:row>
    <x:row r="62" spans="1:20" ht="13" x14ac:dyDescent="0.3">
      <x:c r="A62" s="7">
        <x:f t="shared" si="0"/>
        <x:v>51</x:v>
      </x:c>
      <x:c r="B62" s="14" t="s">
        <x:v>102</x:v>
      </x:c>
      <x:c r="F62" s="19">
        <x:f t="shared" ref="F62:R62" si="4">SUM(F39:F61)</x:f>
        <x:v>990535704.37999988</x:v>
      </x:c>
      <x:c r="G62" s="19">
        <x:f t="shared" si="4"/>
        <x:v>0</x:v>
      </x:c>
      <x:c r="H62" s="19">
        <x:f t="shared" si="4"/>
        <x:v>1339662903.8699999</x:v>
      </x:c>
      <x:c r="I62" s="19">
        <x:f t="shared" si="4"/>
        <x:v>0</x:v>
      </x:c>
      <x:c r="J62" s="19">
        <x:f t="shared" ref="J62:K62" si="5">SUM(J39:J61)</x:f>
        <x:v>1764729244.9699998</x:v>
      </x:c>
      <x:c r="K62" s="19">
        <x:f t="shared" si="5"/>
        <x:v>0</x:v>
      </x:c>
      <x:c r="L62" s="19">
        <x:f t="shared" si="4"/>
        <x:v>4094927853.2199998</x:v>
      </x:c>
      <x:c r="M62" s="19">
        <x:f t="shared" si="4"/>
        <x:v>259092959.43999997</x:v>
      </x:c>
      <x:c r="N62" s="19">
        <x:f t="shared" si="4"/>
        <x:v>0</x:v>
      </x:c>
      <x:c r="O62" s="19">
        <x:f t="shared" si="4"/>
        <x:v>326385094.25999999</x:v>
      </x:c>
      <x:c r="P62" s="19">
        <x:f t="shared" si="4"/>
        <x:v>0</x:v>
      </x:c>
      <x:c r="Q62" s="19">
        <x:f t="shared" si="4"/>
        <x:v>292322140.29999995</x:v>
      </x:c>
      <x:c r="R62" s="19">
        <x:f t="shared" si="4"/>
        <x:v>0</x:v>
      </x:c>
      <x:c r="S62" s="19">
        <x:f>ROUND(+S36*$E$38,2)</x:f>
        <x:v>2726781.38</x:v>
      </x:c>
      <x:c r="T62" s="19">
        <x:v>0</x:v>
      </x:c>
    </x:row>
    <x:row r="63" spans="1:20" x14ac:dyDescent="0.25">
      <x:c r="A63" s="7">
        <x:f t="shared" si="0"/>
        <x:v>52</x:v>
      </x:c>
    </x:row>
    <x:row r="64" spans="1:20" ht="13" x14ac:dyDescent="0.3">
      <x:c r="A64" s="7">
        <x:f t="shared" si="0"/>
        <x:v>53</x:v>
      </x:c>
      <x:c r="B64" s="18" t="s">
        <x:v>103</x:v>
      </x:c>
      <x:c r="C64" s="8"/>
      <x:c r="D64" s="8"/>
      <x:c r="E64" s="26">
        <x:f>+'[2]II-F Alloc_Factor'!$F$39</x:f>
        <x:v>0.92603381578170541</x:v>
      </x:c>
    </x:row>
    <x:row r="65" spans="1:18" x14ac:dyDescent="0.25">
      <x:c r="A65" s="7">
        <x:f t="shared" si="0"/>
        <x:v>54</x:v>
      </x:c>
      <x:c r="B65" s="10" t="s">
        <x:v>43</x:v>
      </x:c>
      <x:c r="C65" s="1" t="s">
        <x:v>44</x:v>
      </x:c>
      <x:c r="D65" s="7" t="s">
        <x:v>45</x:v>
      </x:c>
      <x:c r="E65" s="7" t="s">
        <x:v>46</x:v>
      </x:c>
      <x:c r="F65" s="12">
        <x:v>0</x:v>
      </x:c>
      <x:c r="G65" s="12">
        <x:f>ROUND(+G13*$E$64,2)</x:f>
        <x:v>0</x:v>
      </x:c>
      <x:c r="H65" s="12">
        <x:v>0</x:v>
      </x:c>
      <x:c r="I65" s="12">
        <x:f>ROUND(+I13*$E$64,2)</x:f>
        <x:v>0</x:v>
      </x:c>
      <x:c r="J65" s="12">
        <x:v>0</x:v>
      </x:c>
      <x:c r="K65" s="12">
        <x:f>ROUND(+K13*$E$64,2)</x:f>
        <x:v>0</x:v>
      </x:c>
      <x:c r="L65" s="12">
        <x:f t="shared" ref="L65:L87" si="6">SUM(F65:K65)</x:f>
        <x:v>0</x:v>
      </x:c>
      <x:c r="M65" s="12">
        <x:v>0</x:v>
      </x:c>
      <x:c r="N65" s="12">
        <x:f>ROUND(+N13*$E$64,2)</x:f>
        <x:v>0</x:v>
      </x:c>
      <x:c r="O65" s="12">
        <x:v>0</x:v>
      </x:c>
      <x:c r="P65" s="12">
        <x:f>ROUND(+P13*$E$64,2)</x:f>
        <x:v>0</x:v>
      </x:c>
      <x:c r="Q65" s="12">
        <x:v>0</x:v>
      </x:c>
      <x:c r="R65" s="12">
        <x:f>ROUND(+R13*$E$64,2)</x:f>
        <x:v>0</x:v>
      </x:c>
    </x:row>
    <x:row r="66" spans="1:18" x14ac:dyDescent="0.25">
      <x:c r="A66" s="7">
        <x:f t="shared" si="0"/>
        <x:v>55</x:v>
      </x:c>
      <x:c r="B66" s="10" t="s">
        <x:v>47</x:v>
      </x:c>
      <x:c r="C66" s="1" t="s">
        <x:v>48</x:v>
      </x:c>
      <x:c r="D66" s="7" t="s">
        <x:v>49</x:v>
      </x:c>
      <x:c r="E66" s="7" t="s">
        <x:v>46</x:v>
      </x:c>
      <x:c r="F66" s="12">
        <x:v>0</x:v>
      </x:c>
      <x:c r="G66" s="12">
        <x:f t="shared" ref="G66:G87" si="7">ROUND(+G14*$E$64,2)</x:f>
        <x:v>0</x:v>
      </x:c>
      <x:c r="H66" s="12">
        <x:v>0</x:v>
      </x:c>
      <x:c r="I66" s="12">
        <x:f t="shared" ref="I66:K81" si="8">ROUND(+I14*$E$64,2)</x:f>
        <x:v>0</x:v>
      </x:c>
      <x:c r="J66" s="12">
        <x:v>0</x:v>
      </x:c>
      <x:c r="K66" s="12">
        <x:f t="shared" si="8"/>
        <x:v>0</x:v>
      </x:c>
      <x:c r="L66" s="12">
        <x:f t="shared" si="6"/>
        <x:v>0</x:v>
      </x:c>
      <x:c r="M66" s="12">
        <x:v>0</x:v>
      </x:c>
      <x:c r="N66" s="12">
        <x:f t="shared" ref="N66:N87" si="9">ROUND(+N14*$E$64,2)</x:f>
        <x:v>0</x:v>
      </x:c>
      <x:c r="O66" s="12">
        <x:v>0</x:v>
      </x:c>
      <x:c r="P66" s="12">
        <x:f t="shared" ref="P66:P87" si="10">ROUND(+P14*$E$64,2)</x:f>
        <x:v>0</x:v>
      </x:c>
      <x:c r="Q66" s="12">
        <x:v>0</x:v>
      </x:c>
      <x:c r="R66" s="12">
        <x:f t="shared" ref="R66:R87" si="11">ROUND(+R14*$E$64,2)</x:f>
        <x:v>0</x:v>
      </x:c>
    </x:row>
    <x:row r="67" spans="1:18" x14ac:dyDescent="0.25">
      <x:c r="A67" s="7">
        <x:f t="shared" si="0"/>
        <x:v>56</x:v>
      </x:c>
      <x:c r="B67" s="10" t="s">
        <x:v>50</x:v>
      </x:c>
      <x:c r="C67" s="1" t="s">
        <x:v>51</x:v>
      </x:c>
      <x:c r="D67" s="7" t="s">
        <x:v>49</x:v>
      </x:c>
      <x:c r="E67" s="7" t="s">
        <x:v>46</x:v>
      </x:c>
      <x:c r="F67" s="12">
        <x:v>0</x:v>
      </x:c>
      <x:c r="G67" s="12">
        <x:f t="shared" si="7"/>
        <x:v>0</x:v>
      </x:c>
      <x:c r="H67" s="12">
        <x:v>0</x:v>
      </x:c>
      <x:c r="I67" s="12">
        <x:f t="shared" si="8"/>
        <x:v>0</x:v>
      </x:c>
      <x:c r="J67" s="12">
        <x:v>0</x:v>
      </x:c>
      <x:c r="K67" s="12">
        <x:f t="shared" si="8"/>
        <x:v>0</x:v>
      </x:c>
      <x:c r="L67" s="12">
        <x:f t="shared" si="6"/>
        <x:v>0</x:v>
      </x:c>
      <x:c r="M67" s="12">
        <x:v>0</x:v>
      </x:c>
      <x:c r="N67" s="12">
        <x:f t="shared" si="9"/>
        <x:v>0</x:v>
      </x:c>
      <x:c r="O67" s="12">
        <x:v>0</x:v>
      </x:c>
      <x:c r="P67" s="12">
        <x:f t="shared" si="10"/>
        <x:v>0</x:v>
      </x:c>
      <x:c r="Q67" s="12">
        <x:v>0</x:v>
      </x:c>
      <x:c r="R67" s="12">
        <x:f t="shared" si="11"/>
        <x:v>0</x:v>
      </x:c>
    </x:row>
    <x:row r="68" spans="1:18" x14ac:dyDescent="0.25">
      <x:c r="A68" s="7">
        <x:f t="shared" si="0"/>
        <x:v>57</x:v>
      </x:c>
      <x:c r="B68" s="10" t="s">
        <x:v>52</x:v>
      </x:c>
      <x:c r="C68" s="1" t="s">
        <x:v>53</x:v>
      </x:c>
      <x:c r="D68" s="7" t="s">
        <x:v>49</x:v>
      </x:c>
      <x:c r="E68" s="7" t="s">
        <x:v>46</x:v>
      </x:c>
      <x:c r="F68" s="12">
        <x:v>0</x:v>
      </x:c>
      <x:c r="G68" s="12">
        <x:f t="shared" si="7"/>
        <x:v>0</x:v>
      </x:c>
      <x:c r="H68" s="12">
        <x:v>0</x:v>
      </x:c>
      <x:c r="I68" s="12">
        <x:f t="shared" si="8"/>
        <x:v>0</x:v>
      </x:c>
      <x:c r="J68" s="12">
        <x:v>0</x:v>
      </x:c>
      <x:c r="K68" s="12">
        <x:f t="shared" si="8"/>
        <x:v>0</x:v>
      </x:c>
      <x:c r="L68" s="12">
        <x:f t="shared" si="6"/>
        <x:v>0</x:v>
      </x:c>
      <x:c r="M68" s="12">
        <x:v>0</x:v>
      </x:c>
      <x:c r="N68" s="12">
        <x:f t="shared" si="9"/>
        <x:v>0</x:v>
      </x:c>
      <x:c r="O68" s="12">
        <x:v>0</x:v>
      </x:c>
      <x:c r="P68" s="12">
        <x:f t="shared" si="10"/>
        <x:v>0</x:v>
      </x:c>
      <x:c r="Q68" s="12">
        <x:v>0</x:v>
      </x:c>
      <x:c r="R68" s="12">
        <x:f t="shared" si="11"/>
        <x:v>0</x:v>
      </x:c>
    </x:row>
    <x:row r="69" spans="1:18" x14ac:dyDescent="0.25">
      <x:c r="A69" s="7">
        <x:f t="shared" si="0"/>
        <x:v>58</x:v>
      </x:c>
      <x:c r="B69" s="10" t="s">
        <x:v>54</x:v>
      </x:c>
      <x:c r="C69" s="1" t="s">
        <x:v>55</x:v>
      </x:c>
      <x:c r="D69" s="7" t="s">
        <x:v>49</x:v>
      </x:c>
      <x:c r="E69" s="7" t="s">
        <x:v>46</x:v>
      </x:c>
      <x:c r="F69" s="12">
        <x:v>0</x:v>
      </x:c>
      <x:c r="G69" s="12">
        <x:f t="shared" si="7"/>
        <x:v>0</x:v>
      </x:c>
      <x:c r="H69" s="12">
        <x:v>0</x:v>
      </x:c>
      <x:c r="I69" s="12">
        <x:f t="shared" si="8"/>
        <x:v>0</x:v>
      </x:c>
      <x:c r="J69" s="12">
        <x:v>0</x:v>
      </x:c>
      <x:c r="K69" s="12">
        <x:f t="shared" si="8"/>
        <x:v>0</x:v>
      </x:c>
      <x:c r="L69" s="12">
        <x:f t="shared" si="6"/>
        <x:v>0</x:v>
      </x:c>
      <x:c r="M69" s="12">
        <x:v>0</x:v>
      </x:c>
      <x:c r="N69" s="12">
        <x:f t="shared" si="9"/>
        <x:v>0</x:v>
      </x:c>
      <x:c r="O69" s="12">
        <x:v>0</x:v>
      </x:c>
      <x:c r="P69" s="12">
        <x:f t="shared" si="10"/>
        <x:v>0</x:v>
      </x:c>
      <x:c r="Q69" s="12">
        <x:v>0</x:v>
      </x:c>
      <x:c r="R69" s="12">
        <x:f t="shared" si="11"/>
        <x:v>0</x:v>
      </x:c>
    </x:row>
    <x:row r="70" spans="1:18" x14ac:dyDescent="0.25">
      <x:c r="A70" s="7">
        <x:f t="shared" si="0"/>
        <x:v>59</x:v>
      </x:c>
      <x:c r="B70" s="10" t="s">
        <x:v>56</x:v>
      </x:c>
      <x:c r="C70" s="1" t="s">
        <x:v>57</x:v>
      </x:c>
      <x:c r="D70" s="7" t="s">
        <x:v>49</x:v>
      </x:c>
      <x:c r="E70" s="7" t="s">
        <x:v>46</x:v>
      </x:c>
      <x:c r="F70" s="12">
        <x:v>0</x:v>
      </x:c>
      <x:c r="G70" s="12">
        <x:f t="shared" si="7"/>
        <x:v>0</x:v>
      </x:c>
      <x:c r="H70" s="12">
        <x:v>0</x:v>
      </x:c>
      <x:c r="I70" s="12">
        <x:f t="shared" si="8"/>
        <x:v>0</x:v>
      </x:c>
      <x:c r="J70" s="12">
        <x:v>0</x:v>
      </x:c>
      <x:c r="K70" s="12">
        <x:f t="shared" si="8"/>
        <x:v>0</x:v>
      </x:c>
      <x:c r="L70" s="12">
        <x:f t="shared" si="6"/>
        <x:v>0</x:v>
      </x:c>
      <x:c r="M70" s="12">
        <x:v>0</x:v>
      </x:c>
      <x:c r="N70" s="12">
        <x:f t="shared" si="9"/>
        <x:v>0</x:v>
      </x:c>
      <x:c r="O70" s="12">
        <x:v>0</x:v>
      </x:c>
      <x:c r="P70" s="12">
        <x:f t="shared" si="10"/>
        <x:v>0</x:v>
      </x:c>
      <x:c r="Q70" s="12">
        <x:v>0</x:v>
      </x:c>
      <x:c r="R70" s="12">
        <x:f t="shared" si="11"/>
        <x:v>0</x:v>
      </x:c>
    </x:row>
    <x:row r="71" spans="1:18" x14ac:dyDescent="0.25">
      <x:c r="A71" s="7">
        <x:f t="shared" si="0"/>
        <x:v>60</x:v>
      </x:c>
      <x:c r="B71" s="10" t="s">
        <x:v>58</x:v>
      </x:c>
      <x:c r="C71" s="1" t="s">
        <x:v>59</x:v>
      </x:c>
      <x:c r="D71" s="7" t="s">
        <x:v>49</x:v>
      </x:c>
      <x:c r="E71" s="7" t="s">
        <x:v>46</x:v>
      </x:c>
      <x:c r="F71" s="12">
        <x:v>0</x:v>
      </x:c>
      <x:c r="G71" s="12">
        <x:f t="shared" si="7"/>
        <x:v>0</x:v>
      </x:c>
      <x:c r="H71" s="12">
        <x:v>0</x:v>
      </x:c>
      <x:c r="I71" s="12">
        <x:f t="shared" si="8"/>
        <x:v>0</x:v>
      </x:c>
      <x:c r="J71" s="12">
        <x:v>0</x:v>
      </x:c>
      <x:c r="K71" s="12">
        <x:f t="shared" si="8"/>
        <x:v>0</x:v>
      </x:c>
      <x:c r="L71" s="12">
        <x:f t="shared" si="6"/>
        <x:v>0</x:v>
      </x:c>
      <x:c r="M71" s="12">
        <x:v>0</x:v>
      </x:c>
      <x:c r="N71" s="12">
        <x:f t="shared" si="9"/>
        <x:v>0</x:v>
      </x:c>
      <x:c r="O71" s="12">
        <x:v>0</x:v>
      </x:c>
      <x:c r="P71" s="12">
        <x:f t="shared" si="10"/>
        <x:v>0</x:v>
      </x:c>
      <x:c r="Q71" s="12">
        <x:v>0</x:v>
      </x:c>
      <x:c r="R71" s="12">
        <x:f t="shared" si="11"/>
        <x:v>0</x:v>
      </x:c>
    </x:row>
    <x:row r="72" spans="1:18" x14ac:dyDescent="0.25">
      <x:c r="A72" s="7">
        <x:f t="shared" si="0"/>
        <x:v>61</x:v>
      </x:c>
      <x:c r="B72" s="10" t="s">
        <x:v>60</x:v>
      </x:c>
      <x:c r="C72" s="1" t="s">
        <x:v>61</x:v>
      </x:c>
      <x:c r="D72" s="7" t="s">
        <x:v>49</x:v>
      </x:c>
      <x:c r="E72" s="7" t="s">
        <x:v>46</x:v>
      </x:c>
      <x:c r="F72" s="12">
        <x:v>0</x:v>
      </x:c>
      <x:c r="G72" s="12">
        <x:f t="shared" si="7"/>
        <x:v>0</x:v>
      </x:c>
      <x:c r="H72" s="12">
        <x:v>0</x:v>
      </x:c>
      <x:c r="I72" s="12">
        <x:f t="shared" si="8"/>
        <x:v>0</x:v>
      </x:c>
      <x:c r="J72" s="12">
        <x:v>0</x:v>
      </x:c>
      <x:c r="K72" s="12">
        <x:f t="shared" si="8"/>
        <x:v>0</x:v>
      </x:c>
      <x:c r="L72" s="12">
        <x:f t="shared" si="6"/>
        <x:v>0</x:v>
      </x:c>
      <x:c r="M72" s="12">
        <x:v>0</x:v>
      </x:c>
      <x:c r="N72" s="12">
        <x:f t="shared" si="9"/>
        <x:v>0</x:v>
      </x:c>
      <x:c r="O72" s="12">
        <x:v>0</x:v>
      </x:c>
      <x:c r="P72" s="12">
        <x:f t="shared" si="10"/>
        <x:v>0</x:v>
      </x:c>
      <x:c r="Q72" s="12">
        <x:v>0</x:v>
      </x:c>
      <x:c r="R72" s="12">
        <x:f t="shared" si="11"/>
        <x:v>0</x:v>
      </x:c>
    </x:row>
    <x:row r="73" spans="1:18" x14ac:dyDescent="0.25">
      <x:c r="A73" s="7">
        <x:f t="shared" si="0"/>
        <x:v>62</x:v>
      </x:c>
      <x:c r="B73" s="10" t="s">
        <x:v>62</x:v>
      </x:c>
      <x:c r="C73" s="1" t="s">
        <x:v>63</x:v>
      </x:c>
      <x:c r="D73" s="7" t="s">
        <x:v>64</x:v>
      </x:c>
      <x:c r="E73" s="7" t="s">
        <x:v>46</x:v>
      </x:c>
      <x:c r="F73" s="12">
        <x:v>0</x:v>
      </x:c>
      <x:c r="G73" s="12">
        <x:f t="shared" si="7"/>
        <x:v>0</x:v>
      </x:c>
      <x:c r="H73" s="12">
        <x:v>0</x:v>
      </x:c>
      <x:c r="I73" s="12">
        <x:f t="shared" si="8"/>
        <x:v>0</x:v>
      </x:c>
      <x:c r="J73" s="12">
        <x:v>0</x:v>
      </x:c>
      <x:c r="K73" s="12">
        <x:f t="shared" si="8"/>
        <x:v>0</x:v>
      </x:c>
      <x:c r="L73" s="12">
        <x:f t="shared" si="6"/>
        <x:v>0</x:v>
      </x:c>
      <x:c r="M73" s="12">
        <x:v>0</x:v>
      </x:c>
      <x:c r="N73" s="12">
        <x:f t="shared" si="9"/>
        <x:v>0</x:v>
      </x:c>
      <x:c r="O73" s="12">
        <x:v>0</x:v>
      </x:c>
      <x:c r="P73" s="12">
        <x:f t="shared" si="10"/>
        <x:v>0</x:v>
      </x:c>
      <x:c r="Q73" s="12">
        <x:v>0</x:v>
      </x:c>
      <x:c r="R73" s="12">
        <x:f t="shared" si="11"/>
        <x:v>0</x:v>
      </x:c>
    </x:row>
    <x:row r="74" spans="1:18" x14ac:dyDescent="0.25">
      <x:c r="A74" s="7">
        <x:f t="shared" si="0"/>
        <x:v>63</x:v>
      </x:c>
      <x:c r="B74" s="10" t="s">
        <x:v>65</x:v>
      </x:c>
      <x:c r="C74" s="1" t="s">
        <x:v>66</x:v>
      </x:c>
      <x:c r="D74" s="7" t="s">
        <x:v>67</x:v>
      </x:c>
      <x:c r="E74" s="7" t="s">
        <x:v>46</x:v>
      </x:c>
      <x:c r="F74" s="12">
        <x:v>0</x:v>
      </x:c>
      <x:c r="G74" s="12">
        <x:f t="shared" si="7"/>
        <x:v>0</x:v>
      </x:c>
      <x:c r="H74" s="12">
        <x:v>0</x:v>
      </x:c>
      <x:c r="I74" s="12">
        <x:f t="shared" si="8"/>
        <x:v>0</x:v>
      </x:c>
      <x:c r="J74" s="12">
        <x:v>0</x:v>
      </x:c>
      <x:c r="K74" s="12">
        <x:f t="shared" si="8"/>
        <x:v>0</x:v>
      </x:c>
      <x:c r="L74" s="12">
        <x:f t="shared" si="6"/>
        <x:v>0</x:v>
      </x:c>
      <x:c r="M74" s="12">
        <x:v>0</x:v>
      </x:c>
      <x:c r="N74" s="12">
        <x:f t="shared" si="9"/>
        <x:v>0</x:v>
      </x:c>
      <x:c r="O74" s="12">
        <x:v>0</x:v>
      </x:c>
      <x:c r="P74" s="12">
        <x:f t="shared" si="10"/>
        <x:v>0</x:v>
      </x:c>
      <x:c r="Q74" s="12">
        <x:v>0</x:v>
      </x:c>
      <x:c r="R74" s="12">
        <x:f t="shared" si="11"/>
        <x:v>0</x:v>
      </x:c>
    </x:row>
    <x:row r="75" spans="1:18" x14ac:dyDescent="0.25">
      <x:c r="A75" s="7">
        <x:f t="shared" si="0"/>
        <x:v>64</x:v>
      </x:c>
      <x:c r="B75" s="10" t="s">
        <x:v>68</x:v>
      </x:c>
      <x:c r="C75" s="1" t="s">
        <x:v>69</x:v>
      </x:c>
      <x:c r="D75" s="7" t="s">
        <x:v>45</x:v>
      </x:c>
      <x:c r="E75" s="7" t="s">
        <x:v>46</x:v>
      </x:c>
      <x:c r="F75" s="12">
        <x:v>0</x:v>
      </x:c>
      <x:c r="G75" s="12">
        <x:f t="shared" si="7"/>
        <x:v>0</x:v>
      </x:c>
      <x:c r="H75" s="12">
        <x:v>0</x:v>
      </x:c>
      <x:c r="I75" s="12">
        <x:f t="shared" si="8"/>
        <x:v>0</x:v>
      </x:c>
      <x:c r="J75" s="12">
        <x:v>0</x:v>
      </x:c>
      <x:c r="K75" s="12">
        <x:f t="shared" si="8"/>
        <x:v>0</x:v>
      </x:c>
      <x:c r="L75" s="12">
        <x:f t="shared" si="6"/>
        <x:v>0</x:v>
      </x:c>
      <x:c r="M75" s="12">
        <x:v>0</x:v>
      </x:c>
      <x:c r="N75" s="12">
        <x:f t="shared" si="9"/>
        <x:v>0</x:v>
      </x:c>
      <x:c r="O75" s="12">
        <x:v>0</x:v>
      </x:c>
      <x:c r="P75" s="12">
        <x:f t="shared" si="10"/>
        <x:v>0</x:v>
      </x:c>
      <x:c r="Q75" s="12">
        <x:v>0</x:v>
      </x:c>
      <x:c r="R75" s="12">
        <x:f t="shared" si="11"/>
        <x:v>0</x:v>
      </x:c>
    </x:row>
    <x:row r="76" spans="1:18" x14ac:dyDescent="0.25">
      <x:c r="A76" s="7">
        <x:f t="shared" si="0"/>
        <x:v>65</x:v>
      </x:c>
      <x:c r="B76" s="13" t="s">
        <x:v>70</x:v>
      </x:c>
      <x:c r="C76" s="1" t="s">
        <x:v>71</x:v>
      </x:c>
      <x:c r="D76" s="7" t="s">
        <x:v>72</x:v>
      </x:c>
      <x:c r="E76" s="7" t="s">
        <x:v>46</x:v>
      </x:c>
      <x:c r="F76" s="12">
        <x:v>0</x:v>
      </x:c>
      <x:c r="G76" s="12">
        <x:f t="shared" si="7"/>
        <x:v>36595.440000000002</x:v>
      </x:c>
      <x:c r="H76" s="12">
        <x:v>0</x:v>
      </x:c>
      <x:c r="I76" s="12">
        <x:f t="shared" si="8"/>
        <x:v>5183.78</x:v>
      </x:c>
      <x:c r="J76" s="12">
        <x:v>0</x:v>
      </x:c>
      <x:c r="K76" s="12">
        <x:f t="shared" si="8"/>
        <x:v>55897.33</x:v>
      </x:c>
      <x:c r="L76" s="12">
        <x:f t="shared" si="6"/>
        <x:v>97676.55</x:v>
      </x:c>
      <x:c r="M76" s="12">
        <x:v>0</x:v>
      </x:c>
      <x:c r="N76" s="12">
        <x:f t="shared" si="9"/>
        <x:v>4940.33</x:v>
      </x:c>
      <x:c r="O76" s="12">
        <x:v>0</x:v>
      </x:c>
      <x:c r="P76" s="12">
        <x:f t="shared" si="10"/>
        <x:v>7178.21</x:v>
      </x:c>
      <x:c r="Q76" s="12">
        <x:v>0</x:v>
      </x:c>
      <x:c r="R76" s="12">
        <x:f t="shared" si="11"/>
        <x:v>6570.51</x:v>
      </x:c>
    </x:row>
    <x:row r="77" spans="1:18" x14ac:dyDescent="0.25">
      <x:c r="A77" s="7">
        <x:f t="shared" si="0"/>
        <x:v>66</x:v>
      </x:c>
      <x:c r="B77" s="1" t="s">
        <x:v>73</x:v>
      </x:c>
      <x:c r="C77" s="1" t="s">
        <x:v>74</x:v>
      </x:c>
      <x:c r="D77" s="7" t="s">
        <x:v>67</x:v>
      </x:c>
      <x:c r="E77" s="7" t="s">
        <x:v>46</x:v>
      </x:c>
      <x:c r="F77" s="12">
        <x:v>0</x:v>
      </x:c>
      <x:c r="G77" s="12">
        <x:f t="shared" si="7"/>
        <x:v>464297.42</x:v>
      </x:c>
      <x:c r="H77" s="12">
        <x:v>0</x:v>
      </x:c>
      <x:c r="I77" s="12">
        <x:f t="shared" si="8"/>
        <x:v>637791.1</x:v>
      </x:c>
      <x:c r="J77" s="12">
        <x:v>0</x:v>
      </x:c>
      <x:c r="K77" s="12">
        <x:f t="shared" si="8"/>
        <x:v>429778.51</x:v>
      </x:c>
      <x:c r="L77" s="12">
        <x:f t="shared" si="6"/>
        <x:v>1531867.03</x:v>
      </x:c>
      <x:c r="M77" s="12">
        <x:v>0</x:v>
      </x:c>
      <x:c r="N77" s="12">
        <x:f t="shared" si="9"/>
        <x:v>110293.63</x:v>
      </x:c>
      <x:c r="O77" s="12">
        <x:v>0</x:v>
      </x:c>
      <x:c r="P77" s="12">
        <x:f t="shared" si="10"/>
        <x:v>134212.17000000001</x:v>
      </x:c>
      <x:c r="Q77" s="12">
        <x:v>0</x:v>
      </x:c>
      <x:c r="R77" s="12">
        <x:f t="shared" si="11"/>
        <x:v>120794.05</x:v>
      </x:c>
    </x:row>
    <x:row r="78" spans="1:18" x14ac:dyDescent="0.25">
      <x:c r="A78" s="7">
        <x:f t="shared" ref="A78:A141" si="12">+A77+1</x:f>
        <x:v>67</x:v>
      </x:c>
      <x:c r="B78" s="1" t="s">
        <x:v>75</x:v>
      </x:c>
      <x:c r="C78" s="1" t="s">
        <x:v>76</x:v>
      </x:c>
      <x:c r="D78" s="7" t="s">
        <x:v>72</x:v>
      </x:c>
      <x:c r="E78" s="7" t="s">
        <x:v>46</x:v>
      </x:c>
      <x:c r="F78" s="12">
        <x:v>0</x:v>
      </x:c>
      <x:c r="G78" s="12">
        <x:f t="shared" si="7"/>
        <x:v>0</x:v>
      </x:c>
      <x:c r="H78" s="12">
        <x:v>0</x:v>
      </x:c>
      <x:c r="I78" s="12">
        <x:f t="shared" si="8"/>
        <x:v>0</x:v>
      </x:c>
      <x:c r="J78" s="12">
        <x:v>0</x:v>
      </x:c>
      <x:c r="K78" s="12">
        <x:f t="shared" si="8"/>
        <x:v>0</x:v>
      </x:c>
      <x:c r="L78" s="12">
        <x:f t="shared" si="6"/>
        <x:v>0</x:v>
      </x:c>
      <x:c r="M78" s="12">
        <x:v>0</x:v>
      </x:c>
      <x:c r="N78" s="12">
        <x:f t="shared" si="9"/>
        <x:v>0</x:v>
      </x:c>
      <x:c r="O78" s="12">
        <x:v>0</x:v>
      </x:c>
      <x:c r="P78" s="12">
        <x:f t="shared" si="10"/>
        <x:v>0</x:v>
      </x:c>
      <x:c r="Q78" s="12">
        <x:v>0</x:v>
      </x:c>
      <x:c r="R78" s="12">
        <x:f t="shared" si="11"/>
        <x:v>0</x:v>
      </x:c>
    </x:row>
    <x:row r="79" spans="1:18" x14ac:dyDescent="0.25">
      <x:c r="A79" s="7">
        <x:f t="shared" si="12"/>
        <x:v>68</x:v>
      </x:c>
      <x:c r="B79" s="1" t="s">
        <x:v>77</x:v>
      </x:c>
      <x:c r="C79" s="1" t="s">
        <x:v>78</x:v>
      </x:c>
      <x:c r="D79" s="7" t="s">
        <x:v>64</x:v>
      </x:c>
      <x:c r="E79" s="7" t="s">
        <x:v>46</x:v>
      </x:c>
      <x:c r="F79" s="12">
        <x:v>0</x:v>
      </x:c>
      <x:c r="G79" s="12">
        <x:f t="shared" si="7"/>
        <x:v>0</x:v>
      </x:c>
      <x:c r="H79" s="12">
        <x:v>0</x:v>
      </x:c>
      <x:c r="I79" s="12">
        <x:f t="shared" si="8"/>
        <x:v>0</x:v>
      </x:c>
      <x:c r="J79" s="12">
        <x:v>0</x:v>
      </x:c>
      <x:c r="K79" s="12">
        <x:f t="shared" si="8"/>
        <x:v>0</x:v>
      </x:c>
      <x:c r="L79" s="12">
        <x:f t="shared" si="6"/>
        <x:v>0</x:v>
      </x:c>
      <x:c r="M79" s="12">
        <x:v>0</x:v>
      </x:c>
      <x:c r="N79" s="12">
        <x:f t="shared" si="9"/>
        <x:v>0</x:v>
      </x:c>
      <x:c r="O79" s="12">
        <x:v>0</x:v>
      </x:c>
      <x:c r="P79" s="12">
        <x:f t="shared" si="10"/>
        <x:v>0</x:v>
      </x:c>
      <x:c r="Q79" s="12">
        <x:v>0</x:v>
      </x:c>
      <x:c r="R79" s="12">
        <x:f t="shared" si="11"/>
        <x:v>0</x:v>
      </x:c>
    </x:row>
    <x:row r="80" spans="1:18" x14ac:dyDescent="0.25">
      <x:c r="A80" s="7">
        <x:f t="shared" si="12"/>
        <x:v>69</x:v>
      </x:c>
      <x:c r="B80" s="1" t="s">
        <x:v>79</x:v>
      </x:c>
      <x:c r="C80" s="1" t="s">
        <x:v>80</x:v>
      </x:c>
      <x:c r="D80" s="7" t="s">
        <x:v>45</x:v>
      </x:c>
      <x:c r="E80" s="7" t="s">
        <x:v>46</x:v>
      </x:c>
      <x:c r="F80" s="12">
        <x:v>0</x:v>
      </x:c>
      <x:c r="G80" s="12">
        <x:f t="shared" si="7"/>
        <x:v>0</x:v>
      </x:c>
      <x:c r="H80" s="12">
        <x:v>0</x:v>
      </x:c>
      <x:c r="I80" s="12">
        <x:f t="shared" si="8"/>
        <x:v>0</x:v>
      </x:c>
      <x:c r="J80" s="12">
        <x:v>0</x:v>
      </x:c>
      <x:c r="K80" s="12">
        <x:f t="shared" si="8"/>
        <x:v>0</x:v>
      </x:c>
      <x:c r="L80" s="12">
        <x:f t="shared" si="6"/>
        <x:v>0</x:v>
      </x:c>
      <x:c r="M80" s="12">
        <x:v>0</x:v>
      </x:c>
      <x:c r="N80" s="12">
        <x:f t="shared" si="9"/>
        <x:v>0</x:v>
      </x:c>
      <x:c r="O80" s="12">
        <x:v>0</x:v>
      </x:c>
      <x:c r="P80" s="12">
        <x:f t="shared" si="10"/>
        <x:v>0</x:v>
      </x:c>
      <x:c r="Q80" s="12">
        <x:v>0</x:v>
      </x:c>
      <x:c r="R80" s="12">
        <x:f t="shared" si="11"/>
        <x:v>0</x:v>
      </x:c>
    </x:row>
    <x:row r="81" spans="1:20" x14ac:dyDescent="0.25">
      <x:c r="A81" s="7">
        <x:f t="shared" si="12"/>
        <x:v>70</x:v>
      </x:c>
      <x:c r="B81" s="10" t="s">
        <x:v>81</x:v>
      </x:c>
      <x:c r="C81" s="1" t="s">
        <x:v>82</x:v>
      </x:c>
      <x:c r="D81" s="7" t="s">
        <x:v>49</x:v>
      </x:c>
      <x:c r="E81" s="7" t="s">
        <x:v>46</x:v>
      </x:c>
      <x:c r="F81" s="12">
        <x:v>0</x:v>
      </x:c>
      <x:c r="G81" s="12">
        <x:f t="shared" si="7"/>
        <x:v>0</x:v>
      </x:c>
      <x:c r="H81" s="12">
        <x:v>0</x:v>
      </x:c>
      <x:c r="I81" s="12">
        <x:f t="shared" si="8"/>
        <x:v>0</x:v>
      </x:c>
      <x:c r="J81" s="12">
        <x:v>0</x:v>
      </x:c>
      <x:c r="K81" s="12">
        <x:f t="shared" si="8"/>
        <x:v>0</x:v>
      </x:c>
      <x:c r="L81" s="12">
        <x:f t="shared" si="6"/>
        <x:v>0</x:v>
      </x:c>
      <x:c r="M81" s="12">
        <x:v>0</x:v>
      </x:c>
      <x:c r="N81" s="12">
        <x:f t="shared" si="9"/>
        <x:v>0</x:v>
      </x:c>
      <x:c r="O81" s="12">
        <x:v>0</x:v>
      </x:c>
      <x:c r="P81" s="12">
        <x:f t="shared" si="10"/>
        <x:v>0</x:v>
      </x:c>
      <x:c r="Q81" s="12">
        <x:v>0</x:v>
      </x:c>
      <x:c r="R81" s="12">
        <x:f t="shared" si="11"/>
        <x:v>0</x:v>
      </x:c>
    </x:row>
    <x:row r="82" spans="1:20" x14ac:dyDescent="0.25">
      <x:c r="A82" s="7">
        <x:f t="shared" si="12"/>
        <x:v>71</x:v>
      </x:c>
      <x:c r="B82" s="1" t="s">
        <x:v>83</x:v>
      </x:c>
      <x:c r="C82" s="1" t="s">
        <x:v>84</x:v>
      </x:c>
      <x:c r="D82" s="7" t="s">
        <x:v>85</x:v>
      </x:c>
      <x:c r="E82" s="7" t="s">
        <x:v>86</x:v>
      </x:c>
      <x:c r="F82" s="12">
        <x:v>0</x:v>
      </x:c>
      <x:c r="G82" s="12">
        <x:f t="shared" si="7"/>
        <x:v>0</x:v>
      </x:c>
      <x:c r="H82" s="12">
        <x:v>0</x:v>
      </x:c>
      <x:c r="I82" s="12">
        <x:f t="shared" ref="I82:K87" si="13">ROUND(+I30*$E$64,2)</x:f>
        <x:v>0</x:v>
      </x:c>
      <x:c r="J82" s="12">
        <x:v>0</x:v>
      </x:c>
      <x:c r="K82" s="12">
        <x:f t="shared" si="13"/>
        <x:v>0</x:v>
      </x:c>
      <x:c r="L82" s="12">
        <x:f t="shared" si="6"/>
        <x:v>0</x:v>
      </x:c>
      <x:c r="M82" s="12">
        <x:v>0</x:v>
      </x:c>
      <x:c r="N82" s="12">
        <x:f t="shared" si="9"/>
        <x:v>0</x:v>
      </x:c>
      <x:c r="O82" s="12">
        <x:v>0</x:v>
      </x:c>
      <x:c r="P82" s="12">
        <x:f t="shared" si="10"/>
        <x:v>0</x:v>
      </x:c>
      <x:c r="Q82" s="12">
        <x:v>0</x:v>
      </x:c>
      <x:c r="R82" s="12">
        <x:f t="shared" si="11"/>
        <x:v>0</x:v>
      </x:c>
    </x:row>
    <x:row r="83" spans="1:20" x14ac:dyDescent="0.25">
      <x:c r="A83" s="7">
        <x:f t="shared" si="12"/>
        <x:v>72</x:v>
      </x:c>
      <x:c r="B83" s="1" t="s">
        <x:v>87</x:v>
      </x:c>
      <x:c r="C83" s="1" t="s">
        <x:v>88</x:v>
      </x:c>
      <x:c r="D83" s="7" t="s">
        <x:v>89</x:v>
      </x:c>
      <x:c r="E83" s="7" t="s">
        <x:v>86</x:v>
      </x:c>
      <x:c r="F83" s="12">
        <x:v>0</x:v>
      </x:c>
      <x:c r="G83" s="12">
        <x:f t="shared" si="7"/>
        <x:v>0</x:v>
      </x:c>
      <x:c r="H83" s="12">
        <x:v>0</x:v>
      </x:c>
      <x:c r="I83" s="12">
        <x:f t="shared" si="13"/>
        <x:v>0</x:v>
      </x:c>
      <x:c r="J83" s="12">
        <x:v>0</x:v>
      </x:c>
      <x:c r="K83" s="12">
        <x:f t="shared" si="13"/>
        <x:v>0</x:v>
      </x:c>
      <x:c r="L83" s="12">
        <x:f t="shared" si="6"/>
        <x:v>0</x:v>
      </x:c>
      <x:c r="M83" s="12">
        <x:v>0</x:v>
      </x:c>
      <x:c r="N83" s="12">
        <x:f t="shared" si="9"/>
        <x:v>0</x:v>
      </x:c>
      <x:c r="O83" s="12">
        <x:v>0</x:v>
      </x:c>
      <x:c r="P83" s="12">
        <x:f t="shared" si="10"/>
        <x:v>0</x:v>
      </x:c>
      <x:c r="Q83" s="12">
        <x:v>0</x:v>
      </x:c>
      <x:c r="R83" s="12">
        <x:f t="shared" si="11"/>
        <x:v>0</x:v>
      </x:c>
    </x:row>
    <x:row r="84" spans="1:20" x14ac:dyDescent="0.25">
      <x:c r="A84" s="7">
        <x:f t="shared" si="12"/>
        <x:v>73</x:v>
      </x:c>
      <x:c r="B84" s="1" t="s">
        <x:v>90</x:v>
      </x:c>
      <x:c r="C84" s="1" t="s">
        <x:v>91</x:v>
      </x:c>
      <x:c r="D84" s="7" t="s">
        <x:v>92</x:v>
      </x:c>
      <x:c r="E84" s="7" t="s">
        <x:v>46</x:v>
      </x:c>
      <x:c r="F84" s="12">
        <x:v>0</x:v>
      </x:c>
      <x:c r="G84" s="12">
        <x:f t="shared" si="7"/>
        <x:v>0</x:v>
      </x:c>
      <x:c r="H84" s="12">
        <x:v>0</x:v>
      </x:c>
      <x:c r="I84" s="12">
        <x:f t="shared" si="13"/>
        <x:v>0</x:v>
      </x:c>
      <x:c r="J84" s="12">
        <x:v>0</x:v>
      </x:c>
      <x:c r="K84" s="12">
        <x:f t="shared" si="13"/>
        <x:v>0</x:v>
      </x:c>
      <x:c r="L84" s="12">
        <x:f t="shared" si="6"/>
        <x:v>0</x:v>
      </x:c>
      <x:c r="M84" s="12">
        <x:v>0</x:v>
      </x:c>
      <x:c r="N84" s="12">
        <x:f t="shared" si="9"/>
        <x:v>0</x:v>
      </x:c>
      <x:c r="O84" s="12">
        <x:v>0</x:v>
      </x:c>
      <x:c r="P84" s="12">
        <x:f t="shared" si="10"/>
        <x:v>0</x:v>
      </x:c>
      <x:c r="Q84" s="12">
        <x:v>0</x:v>
      </x:c>
      <x:c r="R84" s="12">
        <x:f t="shared" si="11"/>
        <x:v>0</x:v>
      </x:c>
    </x:row>
    <x:row r="85" spans="1:20" x14ac:dyDescent="0.25">
      <x:c r="A85" s="7">
        <x:f t="shared" si="12"/>
        <x:v>74</x:v>
      </x:c>
      <x:c r="B85" s="1" t="s">
        <x:v>93</x:v>
      </x:c>
      <x:c r="C85" s="1" t="s">
        <x:v>94</x:v>
      </x:c>
      <x:c r="D85" s="7" t="s">
        <x:v>95</x:v>
      </x:c>
      <x:c r="E85" s="7" t="s">
        <x:v>46</x:v>
      </x:c>
      <x:c r="F85" s="12">
        <x:v>0</x:v>
      </x:c>
      <x:c r="G85" s="12">
        <x:f t="shared" si="7"/>
        <x:v>0</x:v>
      </x:c>
      <x:c r="H85" s="12">
        <x:v>0</x:v>
      </x:c>
      <x:c r="I85" s="12">
        <x:f t="shared" si="13"/>
        <x:v>0</x:v>
      </x:c>
      <x:c r="J85" s="12">
        <x:v>0</x:v>
      </x:c>
      <x:c r="K85" s="12">
        <x:f t="shared" si="13"/>
        <x:v>0</x:v>
      </x:c>
      <x:c r="L85" s="12">
        <x:f t="shared" si="6"/>
        <x:v>0</x:v>
      </x:c>
      <x:c r="M85" s="12">
        <x:v>0</x:v>
      </x:c>
      <x:c r="N85" s="12">
        <x:f t="shared" si="9"/>
        <x:v>0</x:v>
      </x:c>
      <x:c r="O85" s="12">
        <x:v>0</x:v>
      </x:c>
      <x:c r="P85" s="12">
        <x:f t="shared" si="10"/>
        <x:v>0</x:v>
      </x:c>
      <x:c r="Q85" s="12">
        <x:v>0</x:v>
      </x:c>
      <x:c r="R85" s="12">
        <x:f t="shared" si="11"/>
        <x:v>0</x:v>
      </x:c>
    </x:row>
    <x:row r="86" spans="1:20" x14ac:dyDescent="0.25">
      <x:c r="A86" s="7">
        <x:f t="shared" si="12"/>
        <x:v>75</x:v>
      </x:c>
      <x:c r="B86" s="1" t="s">
        <x:v>96</x:v>
      </x:c>
      <x:c r="C86" s="1" t="s">
        <x:v>97</x:v>
      </x:c>
      <x:c r="D86" s="7" t="s">
        <x:v>98</x:v>
      </x:c>
      <x:c r="F86" s="12">
        <x:v>0</x:v>
      </x:c>
      <x:c r="G86" s="12">
        <x:f t="shared" si="7"/>
        <x:v>16073.72</x:v>
      </x:c>
      <x:c r="H86" s="12">
        <x:v>0</x:v>
      </x:c>
      <x:c r="I86" s="12">
        <x:f t="shared" si="13"/>
        <x:v>7938.7</x:v>
      </x:c>
      <x:c r="J86" s="12">
        <x:v>0</x:v>
      </x:c>
      <x:c r="K86" s="12">
        <x:f t="shared" si="13"/>
        <x:v>8165.42</x:v>
      </x:c>
      <x:c r="L86" s="12">
        <x:f t="shared" si="6"/>
        <x:v>32177.839999999997</x:v>
      </x:c>
      <x:c r="M86" s="12">
        <x:v>0</x:v>
      </x:c>
      <x:c r="N86" s="12">
        <x:f t="shared" si="9"/>
        <x:v>0</x:v>
      </x:c>
      <x:c r="O86" s="12">
        <x:v>0</x:v>
      </x:c>
      <x:c r="P86" s="12">
        <x:f t="shared" si="10"/>
        <x:v>0</x:v>
      </x:c>
      <x:c r="Q86" s="12">
        <x:v>0</x:v>
      </x:c>
      <x:c r="R86" s="12">
        <x:f t="shared" si="11"/>
        <x:v>0</x:v>
      </x:c>
    </x:row>
    <x:row r="87" spans="1:20" x14ac:dyDescent="0.25">
      <x:c r="A87" s="7">
        <x:f t="shared" si="12"/>
        <x:v>76</x:v>
      </x:c>
      <x:c r="B87" s="1" t="s">
        <x:v>99</x:v>
      </x:c>
      <x:c r="C87" s="1" t="s">
        <x:v>100</x:v>
      </x:c>
      <x:c r="D87" s="7" t="s">
        <x:v>89</x:v>
      </x:c>
      <x:c r="E87" s="7" t="s">
        <x:v>86</x:v>
      </x:c>
      <x:c r="F87" s="12">
        <x:v>0</x:v>
      </x:c>
      <x:c r="G87" s="12">
        <x:f t="shared" si="7"/>
        <x:v>108124.26</x:v>
      </x:c>
      <x:c r="H87" s="12">
        <x:v>0</x:v>
      </x:c>
      <x:c r="I87" s="12">
        <x:f t="shared" si="13"/>
        <x:v>27985.95</x:v>
      </x:c>
      <x:c r="J87" s="12">
        <x:v>0</x:v>
      </x:c>
      <x:c r="K87" s="12">
        <x:f t="shared" si="13"/>
        <x:v>114616.87</x:v>
      </x:c>
      <x:c r="L87" s="12">
        <x:f t="shared" si="6"/>
        <x:v>250727.08</x:v>
      </x:c>
      <x:c r="M87" s="12">
        <x:v>0</x:v>
      </x:c>
      <x:c r="N87" s="12">
        <x:f t="shared" si="9"/>
        <x:v>3970.21</x:v>
      </x:c>
      <x:c r="O87" s="12">
        <x:v>0</x:v>
      </x:c>
      <x:c r="P87" s="12">
        <x:f t="shared" si="10"/>
        <x:v>6252.15</x:v>
      </x:c>
      <x:c r="Q87" s="12">
        <x:v>0</x:v>
      </x:c>
      <x:c r="R87" s="12">
        <x:f t="shared" si="11"/>
        <x:v>6252.2</x:v>
      </x:c>
    </x:row>
    <x:row r="88" spans="1:20" ht="13" x14ac:dyDescent="0.3">
      <x:c r="A88" s="7">
        <x:f t="shared" si="12"/>
        <x:v>77</x:v>
      </x:c>
      <x:c r="B88" s="14" t="s">
        <x:v>104</x:v>
      </x:c>
      <x:c r="F88" s="19">
        <x:f t="shared" ref="F88:S88" si="14">SUM(F65:F87)</x:f>
        <x:v>0</x:v>
      </x:c>
      <x:c r="G88" s="19">
        <x:f t="shared" si="14"/>
        <x:v>625090.84</x:v>
      </x:c>
      <x:c r="H88" s="19">
        <x:f t="shared" si="14"/>
        <x:v>0</x:v>
      </x:c>
      <x:c r="I88" s="19">
        <x:f t="shared" si="14"/>
        <x:v>678899.52999999991</x:v>
      </x:c>
      <x:c r="J88" s="19">
        <x:f t="shared" ref="J88:K88" si="15">SUM(J65:J87)</x:f>
        <x:v>0</x:v>
      </x:c>
      <x:c r="K88" s="19">
        <x:f t="shared" si="15"/>
        <x:v>608458.13</x:v>
      </x:c>
      <x:c r="L88" s="19">
        <x:f t="shared" si="14"/>
        <x:v>1912448.5000000002</x:v>
      </x:c>
      <x:c r="M88" s="19">
        <x:f t="shared" si="14"/>
        <x:v>0</x:v>
      </x:c>
      <x:c r="N88" s="19">
        <x:f t="shared" si="14"/>
        <x:v>119204.17000000001</x:v>
      </x:c>
      <x:c r="O88" s="19">
        <x:f t="shared" si="14"/>
        <x:v>0</x:v>
      </x:c>
      <x:c r="P88" s="19">
        <x:f t="shared" si="14"/>
        <x:v>147642.53</x:v>
      </x:c>
      <x:c r="Q88" s="19">
        <x:f t="shared" si="14"/>
        <x:v>0</x:v>
      </x:c>
      <x:c r="R88" s="19">
        <x:f t="shared" si="14"/>
        <x:v>133616.76</x:v>
      </x:c>
      <x:c r="S88" s="19">
        <x:f t="shared" si="14"/>
        <x:v>0</x:v>
      </x:c>
      <x:c r="T88" s="19">
        <x:f>ROUND(T36*$E$64,2)</x:f>
        <x:v>-22231007.66</x:v>
      </x:c>
    </x:row>
    <x:row r="89" spans="1:20" x14ac:dyDescent="0.25">
      <x:c r="A89" s="7">
        <x:f t="shared" si="12"/>
        <x:v>78</x:v>
      </x:c>
    </x:row>
    <x:row r="90" spans="1:20" ht="13" x14ac:dyDescent="0.3">
      <x:c r="A90" s="7">
        <x:f t="shared" si="12"/>
        <x:v>79</x:v>
      </x:c>
      <x:c r="B90" s="18" t="s">
        <x:v>105</x:v>
      </x:c>
      <x:c r="C90" s="8"/>
      <x:c r="D90" s="8"/>
      <x:c r="E90" s="26">
        <x:f>+'[2]II-F Alloc_Factor'!$G$38</x:f>
        <x:v>3.9054368052814981E-4</x:v>
      </x:c>
    </x:row>
    <x:row r="91" spans="1:20" x14ac:dyDescent="0.25">
      <x:c r="A91" s="7">
        <x:f t="shared" si="12"/>
        <x:v>80</x:v>
      </x:c>
      <x:c r="B91" s="10" t="s">
        <x:v>43</x:v>
      </x:c>
      <x:c r="C91" s="1" t="s">
        <x:v>44</x:v>
      </x:c>
      <x:c r="D91" s="7" t="s">
        <x:v>45</x:v>
      </x:c>
      <x:c r="E91" s="7" t="s">
        <x:v>46</x:v>
      </x:c>
      <x:c r="F91" s="12">
        <x:f>ROUND(+'WP II-E-3.3'!F13*$E$90,2)</x:f>
        <x:v>1832.71</x:v>
      </x:c>
      <x:c r="G91" s="12">
        <x:v>0</x:v>
      </x:c>
      <x:c r="H91" s="12">
        <x:f>ROUND(+'WP II-E-3.3'!H13*$E$90,2)</x:f>
        <x:v>483.72</x:v>
      </x:c>
      <x:c r="I91" s="12">
        <x:v>0</x:v>
      </x:c>
      <x:c r="J91" s="12">
        <x:f>ROUND(+'WP II-E-3.3'!J13*$E$90,2)</x:f>
        <x:v>1558.17</x:v>
      </x:c>
      <x:c r="K91" s="12">
        <x:v>0</x:v>
      </x:c>
      <x:c r="L91" s="12">
        <x:f t="shared" ref="L91:L113" si="16">SUM(F91:K91)</x:f>
        <x:v>3874.6000000000004</x:v>
      </x:c>
      <x:c r="M91" s="12">
        <x:f>ROUND(+'WP II-E-3.3'!M13*$E$90,2)</x:f>
        <x:v>560.27</x:v>
      </x:c>
      <x:c r="N91" s="12">
        <x:v>0</x:v>
      </x:c>
      <x:c r="O91" s="12">
        <x:f>ROUND(+'WP II-E-3.3'!O13*$E$90,2)</x:f>
        <x:v>739.66</x:v>
      </x:c>
      <x:c r="P91" s="12">
        <x:v>0</x:v>
      </x:c>
      <x:c r="Q91" s="12">
        <x:f>ROUND(+'WP II-E-3.3'!Q13*$E$90,2)</x:f>
        <x:v>532.94000000000005</x:v>
      </x:c>
      <x:c r="R91" s="12">
        <x:v>0</x:v>
      </x:c>
      <x:c r="S91" s="12"/>
    </x:row>
    <x:row r="92" spans="1:20" x14ac:dyDescent="0.25">
      <x:c r="A92" s="7">
        <x:f t="shared" si="12"/>
        <x:v>81</x:v>
      </x:c>
      <x:c r="B92" s="10" t="s">
        <x:v>47</x:v>
      </x:c>
      <x:c r="C92" s="1" t="s">
        <x:v>48</x:v>
      </x:c>
      <x:c r="D92" s="7" t="s">
        <x:v>49</x:v>
      </x:c>
      <x:c r="E92" s="7" t="s">
        <x:v>46</x:v>
      </x:c>
      <x:c r="F92" s="12">
        <x:f>ROUND(+'WP II-E-3.3'!F14*$E$90,2)</x:f>
        <x:v>9245.86</x:v>
      </x:c>
      <x:c r="G92" s="12">
        <x:v>0</x:v>
      </x:c>
      <x:c r="H92" s="12">
        <x:f>ROUND(+'WP II-E-3.3'!H14*$E$90,2)</x:f>
        <x:v>4899.5600000000004</x:v>
      </x:c>
      <x:c r="I92" s="12">
        <x:v>0</x:v>
      </x:c>
      <x:c r="J92" s="12">
        <x:f>ROUND(+'WP II-E-3.3'!J14*$E$90,2)</x:f>
        <x:v>8417.82</x:v>
      </x:c>
      <x:c r="K92" s="12">
        <x:v>0</x:v>
      </x:c>
      <x:c r="L92" s="12">
        <x:f t="shared" si="16"/>
        <x:v>22563.24</x:v>
      </x:c>
      <x:c r="M92" s="12">
        <x:f>ROUND(+'WP II-E-3.3'!M14*$E$90,2)</x:f>
        <x:v>4436.17</x:v>
      </x:c>
      <x:c r="N92" s="12">
        <x:v>0</x:v>
      </x:c>
      <x:c r="O92" s="12">
        <x:f>ROUND(+'WP II-E-3.3'!O14*$E$90,2)</x:f>
        <x:v>5147.3</x:v>
      </x:c>
      <x:c r="P92" s="12">
        <x:v>0</x:v>
      </x:c>
      <x:c r="Q92" s="12">
        <x:f>ROUND(+'WP II-E-3.3'!Q14*$E$90,2)</x:f>
        <x:v>3390.55</x:v>
      </x:c>
      <x:c r="R92" s="12">
        <x:v>0</x:v>
      </x:c>
      <x:c r="S92" s="12"/>
    </x:row>
    <x:row r="93" spans="1:20" x14ac:dyDescent="0.25">
      <x:c r="A93" s="7">
        <x:f t="shared" si="12"/>
        <x:v>82</x:v>
      </x:c>
      <x:c r="B93" s="10" t="s">
        <x:v>50</x:v>
      </x:c>
      <x:c r="C93" s="1" t="s">
        <x:v>51</x:v>
      </x:c>
      <x:c r="D93" s="7" t="s">
        <x:v>49</x:v>
      </x:c>
      <x:c r="E93" s="7" t="s">
        <x:v>46</x:v>
      </x:c>
      <x:c r="F93" s="12">
        <x:f>ROUND(+'WP II-E-3.3'!F15*$E$90,2)</x:f>
        <x:v>0</x:v>
      </x:c>
      <x:c r="G93" s="12">
        <x:v>0</x:v>
      </x:c>
      <x:c r="H93" s="12">
        <x:f>ROUND(+'WP II-E-3.3'!H15*$E$90,2)</x:f>
        <x:v>0</x:v>
      </x:c>
      <x:c r="I93" s="12">
        <x:v>0</x:v>
      </x:c>
      <x:c r="J93" s="12">
        <x:f>ROUND(+'WP II-E-3.3'!J15*$E$90,2)</x:f>
        <x:v>2.73</x:v>
      </x:c>
      <x:c r="K93" s="12">
        <x:v>0</x:v>
      </x:c>
      <x:c r="L93" s="12">
        <x:f t="shared" si="16"/>
        <x:v>2.73</x:v>
      </x:c>
      <x:c r="M93" s="12">
        <x:f>ROUND(+'WP II-E-3.3'!M15*$E$90,2)</x:f>
        <x:v>0.98</x:v>
      </x:c>
      <x:c r="N93" s="12">
        <x:v>0</x:v>
      </x:c>
      <x:c r="O93" s="12">
        <x:f>ROUND(+'WP II-E-3.3'!O15*$E$90,2)</x:f>
        <x:v>0.7</x:v>
      </x:c>
      <x:c r="P93" s="12">
        <x:v>0</x:v>
      </x:c>
      <x:c r="Q93" s="12">
        <x:f>ROUND(+'WP II-E-3.3'!Q15*$E$90,2)</x:f>
        <x:v>0.42</x:v>
      </x:c>
      <x:c r="R93" s="12">
        <x:v>0</x:v>
      </x:c>
      <x:c r="S93" s="12"/>
    </x:row>
    <x:row r="94" spans="1:20" x14ac:dyDescent="0.25">
      <x:c r="A94" s="7">
        <x:f t="shared" si="12"/>
        <x:v>83</x:v>
      </x:c>
      <x:c r="B94" s="10" t="s">
        <x:v>52</x:v>
      </x:c>
      <x:c r="C94" s="1" t="s">
        <x:v>53</x:v>
      </x:c>
      <x:c r="D94" s="7" t="s">
        <x:v>49</x:v>
      </x:c>
      <x:c r="E94" s="7" t="s">
        <x:v>46</x:v>
      </x:c>
      <x:c r="F94" s="12">
        <x:f>ROUND(+'WP II-E-3.3'!F16*$E$90,2)</x:f>
        <x:v>0</x:v>
      </x:c>
      <x:c r="G94" s="12">
        <x:v>0</x:v>
      </x:c>
      <x:c r="H94" s="12">
        <x:f>ROUND(+'WP II-E-3.3'!H16*$E$90,2)</x:f>
        <x:v>0</x:v>
      </x:c>
      <x:c r="I94" s="12">
        <x:v>0</x:v>
      </x:c>
      <x:c r="J94" s="12">
        <x:f>ROUND(+'WP II-E-3.3'!J16*$E$90,2)</x:f>
        <x:v>0</x:v>
      </x:c>
      <x:c r="K94" s="12">
        <x:v>0</x:v>
      </x:c>
      <x:c r="L94" s="12">
        <x:f t="shared" si="16"/>
        <x:v>0</x:v>
      </x:c>
      <x:c r="M94" s="12">
        <x:f>ROUND(+'WP II-E-3.3'!M16*$E$90,2)</x:f>
        <x:v>0</x:v>
      </x:c>
      <x:c r="N94" s="12">
        <x:v>0</x:v>
      </x:c>
      <x:c r="O94" s="12">
        <x:f>ROUND(+'WP II-E-3.3'!O16*$E$90,2)</x:f>
        <x:v>0</x:v>
      </x:c>
      <x:c r="P94" s="12">
        <x:v>0</x:v>
      </x:c>
      <x:c r="Q94" s="12">
        <x:f>ROUND(+'WP II-E-3.3'!Q16*$E$90,2)</x:f>
        <x:v>0</x:v>
      </x:c>
      <x:c r="R94" s="12">
        <x:v>0</x:v>
      </x:c>
      <x:c r="S94" s="12"/>
    </x:row>
    <x:row r="95" spans="1:20" x14ac:dyDescent="0.25">
      <x:c r="A95" s="7">
        <x:f t="shared" si="12"/>
        <x:v>84</x:v>
      </x:c>
      <x:c r="B95" s="10" t="s">
        <x:v>54</x:v>
      </x:c>
      <x:c r="C95" s="1" t="s">
        <x:v>55</x:v>
      </x:c>
      <x:c r="D95" s="7" t="s">
        <x:v>49</x:v>
      </x:c>
      <x:c r="E95" s="7" t="s">
        <x:v>46</x:v>
      </x:c>
      <x:c r="F95" s="12">
        <x:f>ROUND(+'WP II-E-3.3'!F17*$E$90,2)</x:f>
        <x:v>264.51</x:v>
      </x:c>
      <x:c r="G95" s="12">
        <x:v>0</x:v>
      </x:c>
      <x:c r="H95" s="12">
        <x:f>ROUND(+'WP II-E-3.3'!H17*$E$90,2)</x:f>
        <x:v>259.02999999999997</x:v>
      </x:c>
      <x:c r="I95" s="12">
        <x:v>0</x:v>
      </x:c>
      <x:c r="J95" s="12">
        <x:f>ROUND(+'WP II-E-3.3'!J17*$E$90,2)</x:f>
        <x:v>85.12</x:v>
      </x:c>
      <x:c r="K95" s="12">
        <x:v>0</x:v>
      </x:c>
      <x:c r="L95" s="12">
        <x:f t="shared" si="16"/>
        <x:v>608.66</x:v>
      </x:c>
      <x:c r="M95" s="12">
        <x:f>ROUND(+'WP II-E-3.3'!M17*$E$90,2)</x:f>
        <x:v>147.85</x:v>
      </x:c>
      <x:c r="N95" s="12">
        <x:v>0</x:v>
      </x:c>
      <x:c r="O95" s="12">
        <x:f>ROUND(+'WP II-E-3.3'!O17*$E$90,2)</x:f>
        <x:v>116.31</x:v>
      </x:c>
      <x:c r="P95" s="12">
        <x:v>0</x:v>
      </x:c>
      <x:c r="Q95" s="12">
        <x:f>ROUND(+'WP II-E-3.3'!Q17*$E$90,2)</x:f>
        <x:v>77.73</x:v>
      </x:c>
      <x:c r="R95" s="12">
        <x:v>0</x:v>
      </x:c>
      <x:c r="S95" s="12"/>
    </x:row>
    <x:row r="96" spans="1:20" x14ac:dyDescent="0.25">
      <x:c r="A96" s="7">
        <x:f t="shared" si="12"/>
        <x:v>85</x:v>
      </x:c>
      <x:c r="B96" s="10" t="s">
        <x:v>56</x:v>
      </x:c>
      <x:c r="C96" s="1" t="s">
        <x:v>57</x:v>
      </x:c>
      <x:c r="D96" s="7" t="s">
        <x:v>49</x:v>
      </x:c>
      <x:c r="E96" s="7" t="s">
        <x:v>46</x:v>
      </x:c>
      <x:c r="F96" s="12">
        <x:f>ROUND(+'WP II-E-3.3'!F18*$E$90,2)</x:f>
        <x:v>0</x:v>
      </x:c>
      <x:c r="G96" s="12">
        <x:v>0</x:v>
      </x:c>
      <x:c r="H96" s="12">
        <x:f>ROUND(+'WP II-E-3.3'!H18*$E$90,2)</x:f>
        <x:v>0</x:v>
      </x:c>
      <x:c r="I96" s="12">
        <x:v>0</x:v>
      </x:c>
      <x:c r="J96" s="12">
        <x:f>ROUND(+'WP II-E-3.3'!J18*$E$90,2)</x:f>
        <x:v>0</x:v>
      </x:c>
      <x:c r="K96" s="12">
        <x:v>0</x:v>
      </x:c>
      <x:c r="L96" s="12">
        <x:f t="shared" si="16"/>
        <x:v>0</x:v>
      </x:c>
      <x:c r="M96" s="12">
        <x:f>ROUND(+'WP II-E-3.3'!M18*$E$90,2)</x:f>
        <x:v>0</x:v>
      </x:c>
      <x:c r="N96" s="12">
        <x:v>0</x:v>
      </x:c>
      <x:c r="O96" s="12">
        <x:f>ROUND(+'WP II-E-3.3'!O18*$E$90,2)</x:f>
        <x:v>0</x:v>
      </x:c>
      <x:c r="P96" s="12">
        <x:v>0</x:v>
      </x:c>
      <x:c r="Q96" s="12">
        <x:f>ROUND(+'WP II-E-3.3'!Q18*$E$90,2)</x:f>
        <x:v>0</x:v>
      </x:c>
      <x:c r="R96" s="12">
        <x:v>0</x:v>
      </x:c>
      <x:c r="S96" s="12"/>
    </x:row>
    <x:row r="97" spans="1:19" x14ac:dyDescent="0.25">
      <x:c r="A97" s="7">
        <x:f t="shared" si="12"/>
        <x:v>86</x:v>
      </x:c>
      <x:c r="B97" s="10" t="s">
        <x:v>58</x:v>
      </x:c>
      <x:c r="C97" s="1" t="s">
        <x:v>59</x:v>
      </x:c>
      <x:c r="D97" s="7" t="s">
        <x:v>49</x:v>
      </x:c>
      <x:c r="E97" s="7" t="s">
        <x:v>46</x:v>
      </x:c>
      <x:c r="F97" s="12">
        <x:f>ROUND(+'WP II-E-3.3'!F19*$E$90,2)</x:f>
        <x:v>26.69</x:v>
      </x:c>
      <x:c r="G97" s="12">
        <x:v>0</x:v>
      </x:c>
      <x:c r="H97" s="12">
        <x:f>ROUND(+'WP II-E-3.3'!H19*$E$90,2)</x:f>
        <x:v>78.36</x:v>
      </x:c>
      <x:c r="I97" s="12">
        <x:v>0</x:v>
      </x:c>
      <x:c r="J97" s="12">
        <x:f>ROUND(+'WP II-E-3.3'!J19*$E$90,2)</x:f>
        <x:v>1027.3</x:v>
      </x:c>
      <x:c r="K97" s="12">
        <x:v>0</x:v>
      </x:c>
      <x:c r="L97" s="12">
        <x:f t="shared" si="16"/>
        <x:v>1132.3499999999999</x:v>
      </x:c>
      <x:c r="M97" s="12">
        <x:f>ROUND(+'WP II-E-3.3'!M19*$E$90,2)</x:f>
        <x:v>82.26</x:v>
      </x:c>
      <x:c r="N97" s="12">
        <x:v>0</x:v>
      </x:c>
      <x:c r="O97" s="12">
        <x:f>ROUND(+'WP II-E-3.3'!O19*$E$90,2)</x:f>
        <x:v>408.84</x:v>
      </x:c>
      <x:c r="P97" s="12">
        <x:v>0</x:v>
      </x:c>
      <x:c r="Q97" s="12">
        <x:f>ROUND(+'WP II-E-3.3'!Q19*$E$90,2)</x:f>
        <x:v>246.19</x:v>
      </x:c>
      <x:c r="R97" s="12">
        <x:v>0</x:v>
      </x:c>
      <x:c r="S97" s="12"/>
    </x:row>
    <x:row r="98" spans="1:19" x14ac:dyDescent="0.25">
      <x:c r="A98" s="7">
        <x:f t="shared" si="12"/>
        <x:v>87</x:v>
      </x:c>
      <x:c r="B98" s="10" t="s">
        <x:v>60</x:v>
      </x:c>
      <x:c r="C98" s="1" t="s">
        <x:v>61</x:v>
      </x:c>
      <x:c r="D98" s="7" t="s">
        <x:v>49</x:v>
      </x:c>
      <x:c r="E98" s="7" t="s">
        <x:v>46</x:v>
      </x:c>
      <x:c r="F98" s="12">
        <x:f>ROUND(+'WP II-E-3.3'!F20*$E$90,2)</x:f>
        <x:v>155.97999999999999</x:v>
      </x:c>
      <x:c r="G98" s="12">
        <x:v>0</x:v>
      </x:c>
      <x:c r="H98" s="12">
        <x:f>ROUND(+'WP II-E-3.3'!H20*$E$90,2)</x:f>
        <x:v>412.22</x:v>
      </x:c>
      <x:c r="I98" s="12">
        <x:v>0</x:v>
      </x:c>
      <x:c r="J98" s="12">
        <x:f>ROUND(+'WP II-E-3.3'!J20*$E$90,2)</x:f>
        <x:v>224.03</x:v>
      </x:c>
      <x:c r="K98" s="12">
        <x:v>0</x:v>
      </x:c>
      <x:c r="L98" s="12">
        <x:f t="shared" si="16"/>
        <x:v>792.23</x:v>
      </x:c>
      <x:c r="M98" s="12">
        <x:f>ROUND(+'WP II-E-3.3'!M20*$E$90,2)</x:f>
        <x:v>183.28</x:v>
      </x:c>
      <x:c r="N98" s="12">
        <x:v>0</x:v>
      </x:c>
      <x:c r="O98" s="12">
        <x:f>ROUND(+'WP II-E-3.3'!O20*$E$90,2)</x:f>
        <x:v>180.79</x:v>
      </x:c>
      <x:c r="P98" s="12">
        <x:v>0</x:v>
      </x:c>
      <x:c r="Q98" s="12">
        <x:f>ROUND(+'WP II-E-3.3'!Q20*$E$90,2)</x:f>
        <x:v>113.95</x:v>
      </x:c>
      <x:c r="R98" s="12">
        <x:v>0</x:v>
      </x:c>
      <x:c r="S98" s="12"/>
    </x:row>
    <x:row r="99" spans="1:19" x14ac:dyDescent="0.25">
      <x:c r="A99" s="7">
        <x:f t="shared" si="12"/>
        <x:v>88</x:v>
      </x:c>
      <x:c r="B99" s="10" t="s">
        <x:v>62</x:v>
      </x:c>
      <x:c r="C99" s="1" t="s">
        <x:v>63</x:v>
      </x:c>
      <x:c r="D99" s="7" t="s">
        <x:v>64</x:v>
      </x:c>
      <x:c r="E99" s="7" t="s">
        <x:v>46</x:v>
      </x:c>
      <x:c r="F99" s="12">
        <x:f>ROUND(+'WP II-E-3.3'!F21*$E$90,2)</x:f>
        <x:v>0</x:v>
      </x:c>
      <x:c r="G99" s="12">
        <x:v>0</x:v>
      </x:c>
      <x:c r="H99" s="12">
        <x:f>ROUND(+'WP II-E-3.3'!H21*$E$90,2)</x:f>
        <x:v>0</x:v>
      </x:c>
      <x:c r="I99" s="12">
        <x:v>0</x:v>
      </x:c>
      <x:c r="J99" s="12">
        <x:f>ROUND(+'WP II-E-3.3'!J21*$E$90,2)</x:f>
        <x:v>0.83</x:v>
      </x:c>
      <x:c r="K99" s="12">
        <x:v>0</x:v>
      </x:c>
      <x:c r="L99" s="12">
        <x:f t="shared" si="16"/>
        <x:v>0.83</x:v>
      </x:c>
      <x:c r="M99" s="12">
        <x:f>ROUND(+'WP II-E-3.3'!M21*$E$90,2)</x:f>
        <x:v>0.02</x:v>
      </x:c>
      <x:c r="N99" s="12">
        <x:v>0</x:v>
      </x:c>
      <x:c r="O99" s="12">
        <x:f>ROUND(+'WP II-E-3.3'!O21*$E$90,2)</x:f>
        <x:v>0.16</x:v>
      </x:c>
      <x:c r="P99" s="12">
        <x:v>0</x:v>
      </x:c>
      <x:c r="Q99" s="12">
        <x:f>ROUND(+'WP II-E-3.3'!Q21*$E$90,2)</x:f>
        <x:v>0.13</x:v>
      </x:c>
      <x:c r="R99" s="12">
        <x:v>0</x:v>
      </x:c>
      <x:c r="S99" s="12"/>
    </x:row>
    <x:row r="100" spans="1:19" x14ac:dyDescent="0.25">
      <x:c r="A100" s="7">
        <x:f t="shared" si="12"/>
        <x:v>89</x:v>
      </x:c>
      <x:c r="B100" s="10" t="s">
        <x:v>65</x:v>
      </x:c>
      <x:c r="C100" s="1" t="s">
        <x:v>66</x:v>
      </x:c>
      <x:c r="D100" s="7" t="s">
        <x:v>67</x:v>
      </x:c>
      <x:c r="E100" s="7" t="s">
        <x:v>46</x:v>
      </x:c>
      <x:c r="F100" s="12">
        <x:f>ROUND(+'WP II-E-3.3'!F22*$E$90,2)</x:f>
        <x:v>21464.87</x:v>
      </x:c>
      <x:c r="G100" s="12">
        <x:v>0</x:v>
      </x:c>
      <x:c r="H100" s="12">
        <x:f>ROUND(+'WP II-E-3.3'!H22*$E$90,2)</x:f>
        <x:v>34911.1</x:v>
      </x:c>
      <x:c r="I100" s="12">
        <x:v>0</x:v>
      </x:c>
      <x:c r="J100" s="12">
        <x:f>ROUND(+'WP II-E-3.3'!J22*$E$90,2)</x:f>
        <x:v>54228.86</x:v>
      </x:c>
      <x:c r="K100" s="12">
        <x:v>0</x:v>
      </x:c>
      <x:c r="L100" s="12">
        <x:f t="shared" si="16"/>
        <x:v>110604.83</x:v>
      </x:c>
      <x:c r="M100" s="12">
        <x:f>ROUND(+'WP II-E-3.3'!M22*$E$90,2)</x:f>
        <x:v>7110.34</x:v>
      </x:c>
      <x:c r="N100" s="12">
        <x:v>0</x:v>
      </x:c>
      <x:c r="O100" s="12">
        <x:f>ROUND(+'WP II-E-3.3'!O22*$E$90,2)</x:f>
        <x:v>9881.7099999999991</x:v>
      </x:c>
      <x:c r="P100" s="12">
        <x:v>0</x:v>
      </x:c>
      <x:c r="Q100" s="12">
        <x:f>ROUND(+'WP II-E-3.3'!Q22*$E$90,2)</x:f>
        <x:v>8910.7000000000007</x:v>
      </x:c>
      <x:c r="R100" s="12">
        <x:v>0</x:v>
      </x:c>
      <x:c r="S100" s="12"/>
    </x:row>
    <x:row r="101" spans="1:19" x14ac:dyDescent="0.25">
      <x:c r="A101" s="7">
        <x:f t="shared" si="12"/>
        <x:v>90</x:v>
      </x:c>
      <x:c r="B101" s="10" t="s">
        <x:v>68</x:v>
      </x:c>
      <x:c r="C101" s="1" t="s">
        <x:v>69</x:v>
      </x:c>
      <x:c r="D101" s="7" t="s">
        <x:v>45</x:v>
      </x:c>
      <x:c r="E101" s="7" t="s">
        <x:v>46</x:v>
      </x:c>
      <x:c r="F101" s="12">
        <x:f>ROUND(+'WP II-E-3.3'!F23*$E$90,2)</x:f>
        <x:v>0</x:v>
      </x:c>
      <x:c r="G101" s="12">
        <x:v>0</x:v>
      </x:c>
      <x:c r="H101" s="12">
        <x:f>ROUND(+'WP II-E-3.3'!H23*$E$90,2)</x:f>
        <x:v>0</x:v>
      </x:c>
      <x:c r="I101" s="12">
        <x:v>0</x:v>
      </x:c>
      <x:c r="J101" s="12">
        <x:f>ROUND(+'WP II-E-3.3'!J23*$E$90,2)</x:f>
        <x:v>0</x:v>
      </x:c>
      <x:c r="K101" s="12">
        <x:v>0</x:v>
      </x:c>
      <x:c r="L101" s="12">
        <x:f t="shared" si="16"/>
        <x:v>0</x:v>
      </x:c>
      <x:c r="M101" s="12">
        <x:f>ROUND(+'WP II-E-3.3'!M23*$E$90,2)</x:f>
        <x:v>0</x:v>
      </x:c>
      <x:c r="N101" s="12">
        <x:v>0</x:v>
      </x:c>
      <x:c r="O101" s="12">
        <x:f>ROUND(+'WP II-E-3.3'!O23*$E$90,2)</x:f>
        <x:v>0</x:v>
      </x:c>
      <x:c r="P101" s="12">
        <x:v>0</x:v>
      </x:c>
      <x:c r="Q101" s="12">
        <x:f>ROUND(+'WP II-E-3.3'!Q23*$E$90,2)</x:f>
        <x:v>0</x:v>
      </x:c>
      <x:c r="R101" s="12">
        <x:v>0</x:v>
      </x:c>
      <x:c r="S101" s="12"/>
    </x:row>
    <x:row r="102" spans="1:19" x14ac:dyDescent="0.25">
      <x:c r="A102" s="7">
        <x:f t="shared" si="12"/>
        <x:v>91</x:v>
      </x:c>
      <x:c r="B102" s="13" t="s">
        <x:v>70</x:v>
      </x:c>
      <x:c r="C102" s="1" t="s">
        <x:v>71</x:v>
      </x:c>
      <x:c r="D102" s="7" t="s">
        <x:v>72</x:v>
      </x:c>
      <x:c r="E102" s="7" t="s">
        <x:v>46</x:v>
      </x:c>
      <x:c r="F102" s="12">
        <x:f>ROUND(+'WP II-E-3.3'!F24*$E$90,2)</x:f>
        <x:v>401083.93</x:v>
      </x:c>
      <x:c r="G102" s="12">
        <x:v>0</x:v>
      </x:c>
      <x:c r="H102" s="12">
        <x:f>ROUND(+'WP II-E-3.3'!H24*$E$90,2)</x:f>
        <x:v>537655.12</x:v>
      </x:c>
      <x:c r="I102" s="12">
        <x:v>0</x:v>
      </x:c>
      <x:c r="J102" s="12">
        <x:f>ROUND(+'WP II-E-3.3'!J24*$E$90,2)</x:f>
        <x:v>656974.56000000006</x:v>
      </x:c>
      <x:c r="K102" s="12">
        <x:v>0</x:v>
      </x:c>
      <x:c r="L102" s="12">
        <x:f t="shared" si="16"/>
        <x:v>1595713.61</x:v>
      </x:c>
      <x:c r="M102" s="12">
        <x:f>ROUND(+'WP II-E-3.3'!M24*$E$90,2)</x:f>
        <x:v>89168.27</x:v>
      </x:c>
      <x:c r="N102" s="12">
        <x:v>0</x:v>
      </x:c>
      <x:c r="O102" s="12">
        <x:f>ROUND(+'WP II-E-3.3'!O24*$E$90,2)</x:f>
        <x:v>107845.48</x:v>
      </x:c>
      <x:c r="P102" s="12">
        <x:v>0</x:v>
      </x:c>
      <x:c r="Q102" s="12">
        <x:f>ROUND(+'WP II-E-3.3'!Q24*$E$90,2)</x:f>
        <x:v>99757.25</x:v>
      </x:c>
      <x:c r="R102" s="12">
        <x:v>0</x:v>
      </x:c>
      <x:c r="S102" s="12"/>
    </x:row>
    <x:row r="103" spans="1:19" x14ac:dyDescent="0.25">
      <x:c r="A103" s="7">
        <x:f t="shared" si="12"/>
        <x:v>92</x:v>
      </x:c>
      <x:c r="B103" s="1" t="s">
        <x:v>73</x:v>
      </x:c>
      <x:c r="C103" s="1" t="s">
        <x:v>74</x:v>
      </x:c>
      <x:c r="D103" s="7" t="s">
        <x:v>67</x:v>
      </x:c>
      <x:c r="E103" s="7" t="s">
        <x:v>46</x:v>
      </x:c>
      <x:c r="F103" s="12">
        <x:f>ROUND(+'WP II-E-3.3'!F25*$E$90,2)</x:f>
        <x:v>307931.99</x:v>
      </x:c>
      <x:c r="G103" s="12">
        <x:v>0</x:v>
      </x:c>
      <x:c r="H103" s="12">
        <x:f>ROUND(+'WP II-E-3.3'!H25*$E$90,2)</x:f>
        <x:v>459535.27</x:v>
      </x:c>
      <x:c r="I103" s="12">
        <x:v>0</x:v>
      </x:c>
      <x:c r="J103" s="12">
        <x:f>ROUND(+'WP II-E-3.3'!J25*$E$90,2)</x:f>
        <x:v>673093.07</x:v>
      </x:c>
      <x:c r="K103" s="12">
        <x:v>0</x:v>
      </x:c>
      <x:c r="L103" s="12">
        <x:f t="shared" si="16"/>
        <x:v>1440560.33</x:v>
      </x:c>
      <x:c r="M103" s="12">
        <x:f>ROUND(+'WP II-E-3.3'!M25*$E$90,2)</x:f>
        <x:v>95406.44</x:v>
      </x:c>
      <x:c r="N103" s="12">
        <x:v>0</x:v>
      </x:c>
      <x:c r="O103" s="12">
        <x:f>ROUND(+'WP II-E-3.3'!O25*$E$90,2)</x:f>
        <x:v>127880.33</x:v>
      </x:c>
      <x:c r="P103" s="12">
        <x:v>0</x:v>
      </x:c>
      <x:c r="Q103" s="12">
        <x:f>ROUND(+'WP II-E-3.3'!Q25*$E$90,2)</x:f>
        <x:v>115318.08</x:v>
      </x:c>
      <x:c r="R103" s="12">
        <x:v>0</x:v>
      </x:c>
      <x:c r="S103" s="12"/>
    </x:row>
    <x:row r="104" spans="1:19" x14ac:dyDescent="0.25">
      <x:c r="A104" s="7">
        <x:f t="shared" si="12"/>
        <x:v>93</x:v>
      </x:c>
      <x:c r="B104" s="1" t="s">
        <x:v>75</x:v>
      </x:c>
      <x:c r="C104" s="1" t="s">
        <x:v>76</x:v>
      </x:c>
      <x:c r="D104" s="7" t="s">
        <x:v>72</x:v>
      </x:c>
      <x:c r="E104" s="7" t="s">
        <x:v>46</x:v>
      </x:c>
      <x:c r="F104" s="12">
        <x:f>ROUND(+'WP II-E-3.3'!F26*$E$90,2)</x:f>
        <x:v>5098.57</x:v>
      </x:c>
      <x:c r="G104" s="12">
        <x:v>0</x:v>
      </x:c>
      <x:c r="H104" s="12">
        <x:f>ROUND(+'WP II-E-3.3'!H26*$E$90,2)</x:f>
        <x:v>7044.62</x:v>
      </x:c>
      <x:c r="I104" s="12">
        <x:v>0</x:v>
      </x:c>
      <x:c r="J104" s="12">
        <x:f>ROUND(+'WP II-E-3.3'!J26*$E$90,2)</x:f>
        <x:v>8598</x:v>
      </x:c>
      <x:c r="K104" s="12">
        <x:v>0</x:v>
      </x:c>
      <x:c r="L104" s="12">
        <x:f t="shared" si="16"/>
        <x:v>20741.189999999999</x:v>
      </x:c>
      <x:c r="M104" s="12">
        <x:f>ROUND(+'WP II-E-3.3'!M26*$E$90,2)</x:f>
        <x:v>1337.86</x:v>
      </x:c>
      <x:c r="N104" s="12">
        <x:v>0</x:v>
      </x:c>
      <x:c r="O104" s="12">
        <x:f>ROUND(+'WP II-E-3.3'!O26*$E$90,2)</x:f>
        <x:v>1564.88</x:v>
      </x:c>
      <x:c r="P104" s="12">
        <x:v>0</x:v>
      </x:c>
      <x:c r="Q104" s="12">
        <x:f>ROUND(+'WP II-E-3.3'!Q26*$E$90,2)</x:f>
        <x:v>1425.03</x:v>
      </x:c>
      <x:c r="R104" s="12">
        <x:v>0</x:v>
      </x:c>
      <x:c r="S104" s="12"/>
    </x:row>
    <x:row r="105" spans="1:19" x14ac:dyDescent="0.25">
      <x:c r="A105" s="7">
        <x:f t="shared" si="12"/>
        <x:v>94</x:v>
      </x:c>
      <x:c r="B105" s="1" t="s">
        <x:v>77</x:v>
      </x:c>
      <x:c r="C105" s="1" t="s">
        <x:v>78</x:v>
      </x:c>
      <x:c r="D105" s="7" t="s">
        <x:v>64</x:v>
      </x:c>
      <x:c r="E105" s="7" t="s">
        <x:v>46</x:v>
      </x:c>
      <x:c r="F105" s="12">
        <x:f>ROUND(+'WP II-E-3.3'!F27*$E$90,2)</x:f>
        <x:v>31407.78</x:v>
      </x:c>
      <x:c r="G105" s="12">
        <x:v>0</x:v>
      </x:c>
      <x:c r="H105" s="12">
        <x:f>ROUND(+'WP II-E-3.3'!H27*$E$90,2)</x:f>
        <x:v>29056.44</x:v>
      </x:c>
      <x:c r="I105" s="12">
        <x:v>0</x:v>
      </x:c>
      <x:c r="J105" s="12">
        <x:f>ROUND(+'WP II-E-3.3'!J27*$E$90,2)</x:f>
        <x:v>30378.31</x:v>
      </x:c>
      <x:c r="K105" s="12">
        <x:v>0</x:v>
      </x:c>
      <x:c r="L105" s="12">
        <x:f t="shared" si="16"/>
        <x:v>90842.53</x:v>
      </x:c>
      <x:c r="M105" s="12">
        <x:f>ROUND(+'WP II-E-3.3'!M27*$E$90,2)</x:f>
        <x:v>11538.12</x:v>
      </x:c>
      <x:c r="N105" s="12">
        <x:v>0</x:v>
      </x:c>
      <x:c r="O105" s="12">
        <x:f>ROUND(+'WP II-E-3.3'!O27*$E$90,2)</x:f>
        <x:v>12334.48</x:v>
      </x:c>
      <x:c r="P105" s="12">
        <x:v>0</x:v>
      </x:c>
      <x:c r="Q105" s="12">
        <x:f>ROUND(+'WP II-E-3.3'!Q27*$E$90,2)</x:f>
        <x:v>10103.43</x:v>
      </x:c>
      <x:c r="R105" s="12">
        <x:v>0</x:v>
      </x:c>
      <x:c r="S105" s="12"/>
    </x:row>
    <x:row r="106" spans="1:19" x14ac:dyDescent="0.25">
      <x:c r="A106" s="7">
        <x:f t="shared" si="12"/>
        <x:v>95</x:v>
      </x:c>
      <x:c r="B106" s="1" t="s">
        <x:v>79</x:v>
      </x:c>
      <x:c r="C106" s="1" t="s">
        <x:v>80</x:v>
      </x:c>
      <x:c r="D106" s="7" t="s">
        <x:v>45</x:v>
      </x:c>
      <x:c r="E106" s="7" t="s">
        <x:v>46</x:v>
      </x:c>
      <x:c r="F106" s="12">
        <x:f>ROUND(+'WP II-E-3.3'!F28*$E$90,2)</x:f>
        <x:v>12635.03</x:v>
      </x:c>
      <x:c r="G106" s="12">
        <x:v>0</x:v>
      </x:c>
      <x:c r="H106" s="12">
        <x:f>ROUND(+'WP II-E-3.3'!H28*$E$90,2)</x:f>
        <x:v>18135.8</x:v>
      </x:c>
      <x:c r="I106" s="12">
        <x:v>0</x:v>
      </x:c>
      <x:c r="J106" s="12">
        <x:f>ROUND(+'WP II-E-3.3'!J28*$E$90,2)</x:f>
        <x:v>20268.86</x:v>
      </x:c>
      <x:c r="K106" s="12">
        <x:v>0</x:v>
      </x:c>
      <x:c r="L106" s="12">
        <x:f t="shared" si="16"/>
        <x:v>51039.69</x:v>
      </x:c>
      <x:c r="M106" s="12">
        <x:f>ROUND(+'WP II-E-3.3'!M28*$E$90,2)</x:f>
        <x:v>7994.31</x:v>
      </x:c>
      <x:c r="N106" s="12">
        <x:v>0</x:v>
      </x:c>
      <x:c r="O106" s="12">
        <x:f>ROUND(+'WP II-E-3.3'!O28*$E$90,2)</x:f>
        <x:v>8899.2099999999991</x:v>
      </x:c>
      <x:c r="P106" s="12">
        <x:v>0</x:v>
      </x:c>
      <x:c r="Q106" s="12">
        <x:f>ROUND(+'WP II-E-3.3'!Q28*$E$90,2)</x:f>
        <x:v>6518.42</x:v>
      </x:c>
      <x:c r="R106" s="12">
        <x:v>0</x:v>
      </x:c>
      <x:c r="S106" s="12"/>
    </x:row>
    <x:row r="107" spans="1:19" x14ac:dyDescent="0.25">
      <x:c r="A107" s="7">
        <x:f t="shared" si="12"/>
        <x:v>96</x:v>
      </x:c>
      <x:c r="B107" s="10" t="s">
        <x:v>81</x:v>
      </x:c>
      <x:c r="C107" s="1" t="s">
        <x:v>82</x:v>
      </x:c>
      <x:c r="D107" s="7" t="s">
        <x:v>49</x:v>
      </x:c>
      <x:c r="E107" s="7" t="s">
        <x:v>46</x:v>
      </x:c>
      <x:c r="F107" s="12">
        <x:f>ROUND(+'WP II-E-3.3'!F29*$E$90,2)</x:f>
        <x:v>3288.31</x:v>
      </x:c>
      <x:c r="G107" s="12">
        <x:v>0</x:v>
      </x:c>
      <x:c r="H107" s="12">
        <x:f>ROUND(+'WP II-E-3.3'!H29*$E$90,2)</x:f>
        <x:v>2490.33</x:v>
      </x:c>
      <x:c r="I107" s="12">
        <x:v>0</x:v>
      </x:c>
      <x:c r="J107" s="12">
        <x:f>ROUND(+'WP II-E-3.3'!J29*$E$90,2)</x:f>
        <x:v>2605.46</x:v>
      </x:c>
      <x:c r="K107" s="12">
        <x:v>0</x:v>
      </x:c>
      <x:c r="L107" s="12">
        <x:f t="shared" si="16"/>
        <x:v>8384.0999999999985</x:v>
      </x:c>
      <x:c r="M107" s="12">
        <x:f>ROUND(+'WP II-E-3.3'!M29*$E$90,2)</x:f>
        <x:v>1864.27</x:v>
      </x:c>
      <x:c r="N107" s="12">
        <x:v>0</x:v>
      </x:c>
      <x:c r="O107" s="12">
        <x:f>ROUND(+'WP II-E-3.3'!O29*$E$90,2)</x:f>
        <x:v>1785.68</x:v>
      </x:c>
      <x:c r="P107" s="12">
        <x:v>0</x:v>
      </x:c>
      <x:c r="Q107" s="12">
        <x:f>ROUND(+'WP II-E-3.3'!Q29*$E$90,2)</x:f>
        <x:v>1183.9000000000001</x:v>
      </x:c>
      <x:c r="R107" s="12">
        <x:v>0</x:v>
      </x:c>
      <x:c r="S107" s="12"/>
    </x:row>
    <x:row r="108" spans="1:19" x14ac:dyDescent="0.25">
      <x:c r="A108" s="7">
        <x:f t="shared" si="12"/>
        <x:v>97</x:v>
      </x:c>
      <x:c r="B108" s="1" t="s">
        <x:v>83</x:v>
      </x:c>
      <x:c r="C108" s="1" t="s">
        <x:v>84</x:v>
      </x:c>
      <x:c r="D108" s="7" t="s">
        <x:v>85</x:v>
      </x:c>
      <x:c r="E108" s="7" t="s">
        <x:v>86</x:v>
      </x:c>
      <x:c r="F108" s="12">
        <x:f>ROUND(+'WP II-E-3.3'!F30*$E$90,2)</x:f>
        <x:v>0</x:v>
      </x:c>
      <x:c r="G108" s="12">
        <x:v>0</x:v>
      </x:c>
      <x:c r="H108" s="12">
        <x:f>ROUND(+'WP II-E-3.3'!H30*$E$90,2)</x:f>
        <x:v>0</x:v>
      </x:c>
      <x:c r="I108" s="12">
        <x:v>0</x:v>
      </x:c>
      <x:c r="J108" s="12">
        <x:f>ROUND(+'WP II-E-3.3'!J30*$E$90,2)</x:f>
        <x:v>0</x:v>
      </x:c>
      <x:c r="K108" s="12">
        <x:v>0</x:v>
      </x:c>
      <x:c r="L108" s="12">
        <x:f t="shared" si="16"/>
        <x:v>0</x:v>
      </x:c>
      <x:c r="M108" s="12">
        <x:f>ROUND(+'WP II-E-3.3'!M30*$E$90,2)</x:f>
        <x:v>0</x:v>
      </x:c>
      <x:c r="N108" s="12">
        <x:v>0</x:v>
      </x:c>
      <x:c r="O108" s="12">
        <x:f>ROUND(+'WP II-E-3.3'!O30*$E$90,2)</x:f>
        <x:v>0</x:v>
      </x:c>
      <x:c r="P108" s="12">
        <x:v>0</x:v>
      </x:c>
      <x:c r="Q108" s="12">
        <x:f>ROUND(+'WP II-E-3.3'!Q30*$E$90,2)</x:f>
        <x:v>0</x:v>
      </x:c>
      <x:c r="R108" s="12">
        <x:v>0</x:v>
      </x:c>
      <x:c r="S108" s="12"/>
    </x:row>
    <x:row r="109" spans="1:19" x14ac:dyDescent="0.25">
      <x:c r="A109" s="7">
        <x:f t="shared" si="12"/>
        <x:v>98</x:v>
      </x:c>
      <x:c r="B109" s="1" t="s">
        <x:v>87</x:v>
      </x:c>
      <x:c r="C109" s="1" t="s">
        <x:v>88</x:v>
      </x:c>
      <x:c r="D109" s="7" t="s">
        <x:v>89</x:v>
      </x:c>
      <x:c r="E109" s="7" t="s">
        <x:v>86</x:v>
      </x:c>
      <x:c r="F109" s="12">
        <x:f>ROUND(+'WP II-E-3.3'!F31*$E$90,2)</x:f>
        <x:v>0.25</x:v>
      </x:c>
      <x:c r="G109" s="12">
        <x:v>0</x:v>
      </x:c>
      <x:c r="H109" s="12">
        <x:f>ROUND(+'WP II-E-3.3'!H31*$E$90,2)</x:f>
        <x:v>37.79</x:v>
      </x:c>
      <x:c r="I109" s="12">
        <x:v>0</x:v>
      </x:c>
      <x:c r="J109" s="12">
        <x:f>ROUND(+'WP II-E-3.3'!J31*$E$90,2)</x:f>
        <x:v>156.80000000000001</x:v>
      </x:c>
      <x:c r="K109" s="12">
        <x:v>0</x:v>
      </x:c>
      <x:c r="L109" s="12">
        <x:f t="shared" si="16"/>
        <x:v>194.84</x:v>
      </x:c>
      <x:c r="M109" s="12">
        <x:f>ROUND(+'WP II-E-3.3'!M31*$E$90,2)</x:f>
        <x:v>2.82</x:v>
      </x:c>
      <x:c r="N109" s="12">
        <x:v>0</x:v>
      </x:c>
      <x:c r="O109" s="12">
        <x:f>ROUND(+'WP II-E-3.3'!O31*$E$90,2)</x:f>
        <x:v>5</x:v>
      </x:c>
      <x:c r="P109" s="12">
        <x:v>0</x:v>
      </x:c>
      <x:c r="Q109" s="12">
        <x:f>ROUND(+'WP II-E-3.3'!Q31*$E$90,2)</x:f>
        <x:v>5</x:v>
      </x:c>
      <x:c r="R109" s="12">
        <x:v>0</x:v>
      </x:c>
      <x:c r="S109" s="12"/>
    </x:row>
    <x:row r="110" spans="1:19" x14ac:dyDescent="0.25">
      <x:c r="A110" s="7">
        <x:f t="shared" si="12"/>
        <x:v>99</x:v>
      </x:c>
      <x:c r="B110" s="1" t="s">
        <x:v>90</x:v>
      </x:c>
      <x:c r="C110" s="1" t="s">
        <x:v>91</x:v>
      </x:c>
      <x:c r="D110" s="7" t="s">
        <x:v>92</x:v>
      </x:c>
      <x:c r="E110" s="7" t="s">
        <x:v>46</x:v>
      </x:c>
      <x:c r="F110" s="12">
        <x:f>ROUND(+'WP II-E-3.3'!F32*$E$90,2)</x:f>
        <x:v>9048.36</x:v>
      </x:c>
      <x:c r="G110" s="12">
        <x:v>0</x:v>
      </x:c>
      <x:c r="H110" s="12">
        <x:f>ROUND(+'WP II-E-3.3'!H32*$E$90,2)</x:f>
        <x:v>3665.43</x:v>
      </x:c>
      <x:c r="I110" s="12">
        <x:v>0</x:v>
      </x:c>
      <x:c r="J110" s="12">
        <x:f>ROUND(+'WP II-E-3.3'!J32*$E$90,2)</x:f>
        <x:v>6950.5</x:v>
      </x:c>
      <x:c r="K110" s="12">
        <x:v>0</x:v>
      </x:c>
      <x:c r="L110" s="12">
        <x:f t="shared" si="16"/>
        <x:v>19664.29</x:v>
      </x:c>
      <x:c r="M110" s="12">
        <x:f>ROUND(+'WP II-E-3.3'!M32*$E$90,2)</x:f>
        <x:v>418.84</x:v>
      </x:c>
      <x:c r="N110" s="12">
        <x:v>0</x:v>
      </x:c>
      <x:c r="O110" s="12">
        <x:f>ROUND(+'WP II-E-3.3'!O32*$E$90,2)</x:f>
        <x:v>434.67</x:v>
      </x:c>
      <x:c r="P110" s="12">
        <x:v>0</x:v>
      </x:c>
      <x:c r="Q110" s="12">
        <x:f>ROUND(+'WP II-E-3.3'!Q32*$E$90,2)</x:f>
        <x:v>433.84</x:v>
      </x:c>
      <x:c r="R110" s="12">
        <x:v>0</x:v>
      </x:c>
      <x:c r="S110" s="12"/>
    </x:row>
    <x:row r="111" spans="1:19" x14ac:dyDescent="0.25">
      <x:c r="A111" s="7">
        <x:f t="shared" si="12"/>
        <x:v>100</x:v>
      </x:c>
      <x:c r="B111" s="1" t="s">
        <x:v>93</x:v>
      </x:c>
      <x:c r="C111" s="1" t="s">
        <x:v>94</x:v>
      </x:c>
      <x:c r="D111" s="7" t="s">
        <x:v>95</x:v>
      </x:c>
      <x:c r="E111" s="7" t="s">
        <x:v>46</x:v>
      </x:c>
      <x:c r="F111" s="12">
        <x:f>ROUND(+'WP II-E-3.3'!F33*$E$90,2)</x:f>
        <x:v>7209.06</x:v>
      </x:c>
      <x:c r="G111" s="12">
        <x:v>0</x:v>
      </x:c>
      <x:c r="H111" s="12">
        <x:f>ROUND(+'WP II-E-3.3'!H33*$E$90,2)</x:f>
        <x:v>4783.21</x:v>
      </x:c>
      <x:c r="I111" s="12">
        <x:v>0</x:v>
      </x:c>
      <x:c r="J111" s="12">
        <x:f>ROUND(+'WP II-E-3.3'!J33*$E$90,2)</x:f>
        <x:v>7396.26</x:v>
      </x:c>
      <x:c r="K111" s="12">
        <x:v>0</x:v>
      </x:c>
      <x:c r="L111" s="12">
        <x:f t="shared" si="16"/>
        <x:v>19388.53</x:v>
      </x:c>
      <x:c r="M111" s="12">
        <x:f>ROUND(+'WP II-E-3.3'!M33*$E$90,2)</x:f>
        <x:v>702.41</x:v>
      </x:c>
      <x:c r="N111" s="12">
        <x:v>0</x:v>
      </x:c>
      <x:c r="O111" s="12">
        <x:f>ROUND(+'WP II-E-3.3'!O33*$E$90,2)</x:f>
        <x:v>713.1</x:v>
      </x:c>
      <x:c r="P111" s="12">
        <x:v>0</x:v>
      </x:c>
      <x:c r="Q111" s="12">
        <x:f>ROUND(+'WP II-E-3.3'!Q33*$E$90,2)</x:f>
        <x:v>656.37</x:v>
      </x:c>
      <x:c r="R111" s="12">
        <x:v>0</x:v>
      </x:c>
      <x:c r="S111" s="12"/>
    </x:row>
    <x:row r="112" spans="1:19" x14ac:dyDescent="0.25">
      <x:c r="A112" s="7">
        <x:f t="shared" si="12"/>
        <x:v>101</x:v>
      </x:c>
      <x:c r="B112" s="1" t="s">
        <x:v>96</x:v>
      </x:c>
      <x:c r="C112" s="1" t="s">
        <x:v>97</x:v>
      </x:c>
      <x:c r="D112" s="7" t="s">
        <x:v>98</x:v>
      </x:c>
      <x:c r="F112" s="12">
        <x:f>ROUND(+'WP II-E-3.3'!F34*$E$90,2)</x:f>
        <x:v>17327.57</x:v>
      </x:c>
      <x:c r="G112" s="12">
        <x:v>0</x:v>
      </x:c>
      <x:c r="H112" s="12">
        <x:f>ROUND(+'WP II-E-3.3'!H34*$E$90,2)</x:f>
        <x:v>16629.189999999999</x:v>
      </x:c>
      <x:c r="I112" s="12">
        <x:v>0</x:v>
      </x:c>
      <x:c r="J112" s="12">
        <x:f>ROUND(+'WP II-E-3.3'!J34*$E$90,2)</x:f>
        <x:v>1752.96</x:v>
      </x:c>
      <x:c r="K112" s="12">
        <x:v>0</x:v>
      </x:c>
      <x:c r="L112" s="12">
        <x:f t="shared" si="16"/>
        <x:v>35709.719999999994</x:v>
      </x:c>
      <x:c r="M112" s="12">
        <x:f>ROUND(+'WP II-E-3.3'!M34*$E$90,2)</x:f>
        <x:v>0</x:v>
      </x:c>
      <x:c r="N112" s="12">
        <x:v>0</x:v>
      </x:c>
      <x:c r="O112" s="12">
        <x:f>ROUND(+'WP II-E-3.3'!O34*$E$90,2)</x:f>
        <x:v>0</x:v>
      </x:c>
      <x:c r="P112" s="12">
        <x:v>0</x:v>
      </x:c>
      <x:c r="Q112" s="12">
        <x:f>ROUND(+'WP II-E-3.3'!Q34*$E$90,2)</x:f>
        <x:v>0</x:v>
      </x:c>
      <x:c r="R112" s="12">
        <x:v>0</x:v>
      </x:c>
      <x:c r="S112" s="12"/>
    </x:row>
    <x:row r="113" spans="1:20" x14ac:dyDescent="0.25">
      <x:c r="A113" s="7">
        <x:f t="shared" si="12"/>
        <x:v>102</x:v>
      </x:c>
      <x:c r="B113" s="1" t="s">
        <x:v>99</x:v>
      </x:c>
      <x:c r="C113" s="1" t="s">
        <x:v>100</x:v>
      </x:c>
      <x:c r="D113" s="7" t="s">
        <x:v>89</x:v>
      </x:c>
      <x:c r="E113" s="7" t="s">
        <x:v>86</x:v>
      </x:c>
      <x:c r="F113" s="12">
        <x:f>ROUND(+'WP II-E-3.3'!F35*$E$90,2)</x:f>
        <x:v>22973.14</x:v>
      </x:c>
      <x:c r="G113" s="12">
        <x:v>0</x:v>
      </x:c>
      <x:c r="H113" s="12">
        <x:f>ROUND(+'WP II-E-3.3'!H35*$E$90,2)</x:f>
        <x:v>30861.54</x:v>
      </x:c>
      <x:c r="I113" s="12">
        <x:v>0</x:v>
      </x:c>
      <x:c r="J113" s="12">
        <x:f>ROUND(+'WP II-E-3.3'!J35*$E$90,2)</x:f>
        <x:v>42404.480000000003</x:v>
      </x:c>
      <x:c r="K113" s="12">
        <x:v>0</x:v>
      </x:c>
      <x:c r="L113" s="12">
        <x:f t="shared" si="16"/>
        <x:v>96239.16</x:v>
      </x:c>
      <x:c r="M113" s="12">
        <x:f>ROUND(+'WP II-E-3.3'!M35*$E$90,2)</x:f>
        <x:v>1638.87</x:v>
      </x:c>
      <x:c r="N113" s="12">
        <x:v>0</x:v>
      </x:c>
      <x:c r="O113" s="12">
        <x:f>ROUND(+'WP II-E-3.3'!O35*$E$90,2)</x:f>
        <x:v>2467.5100000000002</x:v>
      </x:c>
      <x:c r="P113" s="12">
        <x:v>0</x:v>
      </x:c>
      <x:c r="Q113" s="12">
        <x:f>ROUND(+'WP II-E-3.3'!Q35*$E$90,2)</x:f>
        <x:v>2467.5300000000002</x:v>
      </x:c>
      <x:c r="R113" s="12">
        <x:v>0</x:v>
      </x:c>
      <x:c r="S113" s="12"/>
    </x:row>
    <x:row r="114" spans="1:20" ht="13" x14ac:dyDescent="0.3">
      <x:c r="A114" s="7">
        <x:f t="shared" si="12"/>
        <x:v>103</x:v>
      </x:c>
      <x:c r="B114" s="14" t="s">
        <x:v>106</x:v>
      </x:c>
      <x:c r="F114" s="19">
        <x:f t="shared" ref="F114:T114" si="17">SUM(F91:F113)</x:f>
        <x:v>850994.6100000001</x:v>
      </x:c>
      <x:c r="G114" s="19">
        <x:f t="shared" si="17"/>
        <x:v>0</x:v>
      </x:c>
      <x:c r="H114" s="19">
        <x:f t="shared" si="17"/>
        <x:v>1150938.73</x:v>
      </x:c>
      <x:c r="I114" s="19">
        <x:f t="shared" si="17"/>
        <x:v>0</x:v>
      </x:c>
      <x:c r="J114" s="19">
        <x:f t="shared" ref="J114:K114" si="18">SUM(J91:J113)</x:f>
        <x:v>1516124.12</x:v>
      </x:c>
      <x:c r="K114" s="19">
        <x:f t="shared" si="18"/>
        <x:v>0</x:v>
      </x:c>
      <x:c r="L114" s="19">
        <x:f t="shared" si="17"/>
        <x:v>3518057.46</x:v>
      </x:c>
      <x:c r="M114" s="19">
        <x:f t="shared" si="17"/>
        <x:v>222593.37999999998</x:v>
      </x:c>
      <x:c r="N114" s="19">
        <x:f t="shared" si="17"/>
        <x:v>0</x:v>
      </x:c>
      <x:c r="O114" s="19">
        <x:f t="shared" si="17"/>
        <x:v>280405.81</x:v>
      </x:c>
      <x:c r="P114" s="19">
        <x:f t="shared" si="17"/>
        <x:v>0</x:v>
      </x:c>
      <x:c r="Q114" s="19">
        <x:f t="shared" si="17"/>
        <x:v>251141.46</x:v>
      </x:c>
      <x:c r="R114" s="19">
        <x:f t="shared" si="17"/>
        <x:v>0</x:v>
      </x:c>
      <x:c r="S114" s="19">
        <x:f>ROUND(+S36*E90,2)</x:f>
        <x:v>2342.65</x:v>
      </x:c>
      <x:c r="T114" s="19">
        <x:f t="shared" si="17"/>
        <x:v>0</x:v>
      </x:c>
    </x:row>
    <x:row r="115" spans="1:20" x14ac:dyDescent="0.25">
      <x:c r="A115" s="7">
        <x:f t="shared" si="12"/>
        <x:v>104</x:v>
      </x:c>
    </x:row>
    <x:row r="116" spans="1:20" ht="13" x14ac:dyDescent="0.3">
      <x:c r="A116" s="7">
        <x:f t="shared" si="12"/>
        <x:v>105</x:v>
      </x:c>
      <x:c r="B116" s="18" t="s">
        <x:v>107</x:v>
      </x:c>
      <x:c r="C116" s="8"/>
      <x:c r="D116" s="8"/>
      <x:c r="E116" s="26">
        <x:f>+'[2]II-F Alloc_Factor'!$I$38</x:f>
        <x:v>0.51917908223557052</x:v>
      </x:c>
    </x:row>
    <x:row r="117" spans="1:20" x14ac:dyDescent="0.25">
      <x:c r="A117" s="7">
        <x:f t="shared" si="12"/>
        <x:v>106</x:v>
      </x:c>
      <x:c r="B117" s="10" t="s">
        <x:v>43</x:v>
      </x:c>
      <x:c r="C117" s="1" t="s">
        <x:v>44</x:v>
      </x:c>
      <x:c r="D117" s="7" t="s">
        <x:v>45</x:v>
      </x:c>
      <x:c r="E117" s="7" t="s">
        <x:v>46</x:v>
      </x:c>
      <x:c r="F117" s="12">
        <x:f>ROUND(+'WP II-E-3.3'!F13*$E$116,2)</x:f>
        <x:v>2436360.84</x:v>
      </x:c>
      <x:c r="G117" s="12">
        <x:v>0</x:v>
      </x:c>
      <x:c r="H117" s="12">
        <x:f>ROUND(+'WP II-E-3.3'!H13*$E$116,2)</x:f>
        <x:v>643046.34</x:v>
      </x:c>
      <x:c r="I117" s="12">
        <x:v>0</x:v>
      </x:c>
      <x:c r="J117" s="12">
        <x:f>ROUND(+'WP II-E-3.3'!J13*$E$116,2)</x:f>
        <x:v>2071395.53</x:v>
      </x:c>
      <x:c r="K117" s="12">
        <x:v>0</x:v>
      </x:c>
      <x:c r="L117" s="12">
        <x:f t="shared" ref="L117:L183" si="19">SUM(F117:K117)</x:f>
        <x:v>5150802.71</x:v>
      </x:c>
      <x:c r="M117" s="12">
        <x:f>ROUND(+'WP II-E-3.3'!M13*$E$116,2)</x:f>
        <x:v>744813.24</x:v>
      </x:c>
      <x:c r="N117" s="12">
        <x:v>0</x:v>
      </x:c>
      <x:c r="O117" s="12">
        <x:f>ROUND(+'WP II-E-3.3'!O13*$E$116,2)</x:f>
        <x:v>983288.19</x:v>
      </x:c>
      <x:c r="P117" s="12">
        <x:v>0</x:v>
      </x:c>
      <x:c r="Q117" s="12">
        <x:f>ROUND(+'WP II-E-3.3'!Q13*$E$116,2)</x:f>
        <x:v>708478.57</x:v>
      </x:c>
      <x:c r="R117" s="12">
        <x:v>0</x:v>
      </x:c>
    </x:row>
    <x:row r="118" spans="1:20" x14ac:dyDescent="0.25">
      <x:c r="A118" s="7">
        <x:f t="shared" si="12"/>
        <x:v>107</x:v>
      </x:c>
      <x:c r="B118" s="10" t="s">
        <x:v>47</x:v>
      </x:c>
      <x:c r="C118" s="1" t="s">
        <x:v>48</x:v>
      </x:c>
      <x:c r="D118" s="7" t="s">
        <x:v>49</x:v>
      </x:c>
      <x:c r="E118" s="7" t="s">
        <x:v>46</x:v>
      </x:c>
      <x:c r="F118" s="12">
        <x:f>ROUND(+'WP II-E-3.3'!F14*$E$116,2)</x:f>
        <x:v>12291216.93</x:v>
      </x:c>
      <x:c r="G118" s="12">
        <x:v>0</x:v>
      </x:c>
      <x:c r="H118" s="12">
        <x:f>ROUND(+'WP II-E-3.3'!H14*$E$116,2)</x:f>
        <x:v>6513359.8799999999</x:v>
      </x:c>
      <x:c r="I118" s="12">
        <x:v>0</x:v>
      </x:c>
      <x:c r="J118" s="12">
        <x:f>ROUND(+'WP II-E-3.3'!J14*$E$116,2)</x:f>
        <x:v>11190444.65</x:v>
      </x:c>
      <x:c r="K118" s="12">
        <x:v>0</x:v>
      </x:c>
      <x:c r="L118" s="12">
        <x:f t="shared" si="19"/>
        <x:v>29995021.460000001</x:v>
      </x:c>
      <x:c r="M118" s="12">
        <x:f>ROUND(+'WP II-E-3.3'!M14*$E$116,2)</x:f>
        <x:v>5897338.1900000004</x:v>
      </x:c>
      <x:c r="N118" s="12">
        <x:v>0</x:v>
      </x:c>
      <x:c r="O118" s="12">
        <x:f>ROUND(+'WP II-E-3.3'!O14*$E$116,2)</x:f>
        <x:v>6842699.54</x:v>
      </x:c>
      <x:c r="P118" s="12">
        <x:v>0</x:v>
      </x:c>
      <x:c r="Q118" s="12">
        <x:f>ROUND(+'WP II-E-3.3'!Q14*$E$116,2)</x:f>
        <x:v>4507311</x:v>
      </x:c>
      <x:c r="R118" s="12">
        <x:v>0</x:v>
      </x:c>
    </x:row>
    <x:row r="119" spans="1:20" x14ac:dyDescent="0.25">
      <x:c r="A119" s="7">
        <x:f t="shared" si="12"/>
        <x:v>108</x:v>
      </x:c>
      <x:c r="B119" s="10" t="s">
        <x:v>50</x:v>
      </x:c>
      <x:c r="C119" s="1" t="s">
        <x:v>51</x:v>
      </x:c>
      <x:c r="D119" s="7" t="s">
        <x:v>49</x:v>
      </x:c>
      <x:c r="E119" s="7" t="s">
        <x:v>46</x:v>
      </x:c>
      <x:c r="F119" s="12">
        <x:f>ROUND(+'WP II-E-3.3'!F15*$E$116,2)</x:f>
        <x:v>0</x:v>
      </x:c>
      <x:c r="G119" s="12">
        <x:v>0</x:v>
      </x:c>
      <x:c r="H119" s="12">
        <x:f>ROUND(+'WP II-E-3.3'!H15*$E$116,2)</x:f>
        <x:v>0</x:v>
      </x:c>
      <x:c r="I119" s="12">
        <x:v>0</x:v>
      </x:c>
      <x:c r="J119" s="12">
        <x:f>ROUND(+'WP II-E-3.3'!J15*$E$116,2)</x:f>
        <x:v>3623.93</x:v>
      </x:c>
      <x:c r="K119" s="12">
        <x:v>0</x:v>
      </x:c>
      <x:c r="L119" s="12">
        <x:f t="shared" si="19"/>
        <x:v>3623.93</x:v>
      </x:c>
      <x:c r="M119" s="12">
        <x:f>ROUND(+'WP II-E-3.3'!M15*$E$116,2)</x:f>
        <x:v>1308.0899999999999</x:v>
      </x:c>
      <x:c r="N119" s="12">
        <x:v>0</x:v>
      </x:c>
      <x:c r="O119" s="12">
        <x:f>ROUND(+'WP II-E-3.3'!O15*$E$116,2)</x:f>
        <x:v>926.33</x:v>
      </x:c>
      <x:c r="P119" s="12">
        <x:v>0</x:v>
      </x:c>
      <x:c r="Q119" s="12">
        <x:f>ROUND(+'WP II-E-3.3'!Q15*$E$116,2)</x:f>
        <x:v>555.79999999999995</x:v>
      </x:c>
      <x:c r="R119" s="12">
        <x:v>0</x:v>
      </x:c>
    </x:row>
    <x:row r="120" spans="1:20" x14ac:dyDescent="0.25">
      <x:c r="A120" s="7">
        <x:f t="shared" si="12"/>
        <x:v>109</x:v>
      </x:c>
      <x:c r="B120" s="10" t="s">
        <x:v>52</x:v>
      </x:c>
      <x:c r="C120" s="1" t="s">
        <x:v>53</x:v>
      </x:c>
      <x:c r="D120" s="7" t="s">
        <x:v>49</x:v>
      </x:c>
      <x:c r="E120" s="7" t="s">
        <x:v>46</x:v>
      </x:c>
      <x:c r="F120" s="12">
        <x:f>ROUND(+'WP II-E-3.3'!F16*$E$116,2)</x:f>
        <x:v>0</x:v>
      </x:c>
      <x:c r="G120" s="12">
        <x:v>0</x:v>
      </x:c>
      <x:c r="H120" s="12">
        <x:f>ROUND(+'WP II-E-3.3'!H16*$E$116,2)</x:f>
        <x:v>0</x:v>
      </x:c>
      <x:c r="I120" s="12">
        <x:v>0</x:v>
      </x:c>
      <x:c r="J120" s="12">
        <x:f>ROUND(+'WP II-E-3.3'!J16*$E$116,2)</x:f>
        <x:v>0</x:v>
      </x:c>
      <x:c r="K120" s="12">
        <x:v>0</x:v>
      </x:c>
      <x:c r="L120" s="12">
        <x:f t="shared" si="19"/>
        <x:v>0</x:v>
      </x:c>
      <x:c r="M120" s="12">
        <x:f>ROUND(+'WP II-E-3.3'!M16*$E$116,2)</x:f>
        <x:v>0</x:v>
      </x:c>
      <x:c r="N120" s="12">
        <x:v>0</x:v>
      </x:c>
      <x:c r="O120" s="12">
        <x:f>ROUND(+'WP II-E-3.3'!O16*$E$116,2)</x:f>
        <x:v>0</x:v>
      </x:c>
      <x:c r="P120" s="12">
        <x:v>0</x:v>
      </x:c>
      <x:c r="Q120" s="12">
        <x:f>ROUND(+'WP II-E-3.3'!Q16*$E$116,2)</x:f>
        <x:v>0</x:v>
      </x:c>
      <x:c r="R120" s="12">
        <x:v>0</x:v>
      </x:c>
    </x:row>
    <x:row r="121" spans="1:20" x14ac:dyDescent="0.25">
      <x:c r="A121" s="7">
        <x:f t="shared" si="12"/>
        <x:v>110</x:v>
      </x:c>
      <x:c r="B121" s="10" t="s">
        <x:v>54</x:v>
      </x:c>
      <x:c r="C121" s="1" t="s">
        <x:v>55</x:v>
      </x:c>
      <x:c r="D121" s="7" t="s">
        <x:v>49</x:v>
      </x:c>
      <x:c r="E121" s="7" t="s">
        <x:v>46</x:v>
      </x:c>
      <x:c r="F121" s="12">
        <x:f>ROUND(+'WP II-E-3.3'!F17*$E$116,2)</x:f>
        <x:v>351630.67</x:v>
      </x:c>
      <x:c r="G121" s="12">
        <x:v>0</x:v>
      </x:c>
      <x:c r="H121" s="12">
        <x:f>ROUND(+'WP II-E-3.3'!H17*$E$116,2)</x:f>
        <x:v>344343.95</x:v>
      </x:c>
      <x:c r="I121" s="12">
        <x:v>0</x:v>
      </x:c>
      <x:c r="J121" s="12">
        <x:f>ROUND(+'WP II-E-3.3'!J17*$E$116,2)</x:f>
        <x:v>113152.71</x:v>
      </x:c>
      <x:c r="K121" s="12">
        <x:v>0</x:v>
      </x:c>
      <x:c r="L121" s="12">
        <x:f t="shared" si="19"/>
        <x:v>809127.33</x:v>
      </x:c>
      <x:c r="M121" s="12">
        <x:f>ROUND(+'WP II-E-3.3'!M17*$E$116,2)</x:f>
        <x:v>196542.39</x:v>
      </x:c>
      <x:c r="N121" s="12">
        <x:v>0</x:v>
      </x:c>
      <x:c r="O121" s="12">
        <x:f>ROUND(+'WP II-E-3.3'!O17*$E$116,2)</x:f>
        <x:v>154613.79</x:v>
      </x:c>
      <x:c r="P121" s="12">
        <x:v>0</x:v>
      </x:c>
      <x:c r="Q121" s="12">
        <x:f>ROUND(+'WP II-E-3.3'!Q17*$E$116,2)</x:f>
        <x:v>103326.79</x:v>
      </x:c>
      <x:c r="R121" s="12">
        <x:v>0</x:v>
      </x:c>
    </x:row>
    <x:row r="122" spans="1:20" x14ac:dyDescent="0.25">
      <x:c r="A122" s="7">
        <x:f t="shared" si="12"/>
        <x:v>111</x:v>
      </x:c>
      <x:c r="B122" s="10" t="s">
        <x:v>56</x:v>
      </x:c>
      <x:c r="C122" s="1" t="s">
        <x:v>57</x:v>
      </x:c>
      <x:c r="D122" s="7" t="s">
        <x:v>49</x:v>
      </x:c>
      <x:c r="E122" s="7" t="s">
        <x:v>46</x:v>
      </x:c>
      <x:c r="F122" s="12">
        <x:f>ROUND(+'WP II-E-3.3'!F18*$E$116,2)</x:f>
        <x:v>0</x:v>
      </x:c>
      <x:c r="G122" s="12">
        <x:v>0</x:v>
      </x:c>
      <x:c r="H122" s="12">
        <x:f>ROUND(+'WP II-E-3.3'!H18*$E$116,2)</x:f>
        <x:v>0</x:v>
      </x:c>
      <x:c r="I122" s="12">
        <x:v>0</x:v>
      </x:c>
      <x:c r="J122" s="12">
        <x:f>ROUND(+'WP II-E-3.3'!J18*$E$116,2)</x:f>
        <x:v>0</x:v>
      </x:c>
      <x:c r="K122" s="12">
        <x:v>0</x:v>
      </x:c>
      <x:c r="L122" s="12">
        <x:f t="shared" si="19"/>
        <x:v>0</x:v>
      </x:c>
      <x:c r="M122" s="12">
        <x:f>ROUND(+'WP II-E-3.3'!M18*$E$116,2)</x:f>
        <x:v>0</x:v>
      </x:c>
      <x:c r="N122" s="12">
        <x:v>0</x:v>
      </x:c>
      <x:c r="O122" s="12">
        <x:f>ROUND(+'WP II-E-3.3'!O18*$E$116,2)</x:f>
        <x:v>0</x:v>
      </x:c>
      <x:c r="P122" s="12">
        <x:v>0</x:v>
      </x:c>
      <x:c r="Q122" s="12">
        <x:f>ROUND(+'WP II-E-3.3'!Q18*$E$116,2)</x:f>
        <x:v>0</x:v>
      </x:c>
      <x:c r="R122" s="12">
        <x:v>0</x:v>
      </x:c>
    </x:row>
    <x:row r="123" spans="1:20" x14ac:dyDescent="0.25">
      <x:c r="A123" s="7">
        <x:f t="shared" si="12"/>
        <x:v>112</x:v>
      </x:c>
      <x:c r="B123" s="10" t="s">
        <x:v>58</x:v>
      </x:c>
      <x:c r="C123" s="1" t="s">
        <x:v>59</x:v>
      </x:c>
      <x:c r="D123" s="7" t="s">
        <x:v>49</x:v>
      </x:c>
      <x:c r="E123" s="7" t="s">
        <x:v>46</x:v>
      </x:c>
      <x:c r="F123" s="12">
        <x:f>ROUND(+'WP II-E-3.3'!F19*$E$116,2)</x:f>
        <x:v>35481.839999999997</x:v>
      </x:c>
      <x:c r="G123" s="12">
        <x:v>0</x:v>
      </x:c>
      <x:c r="H123" s="12">
        <x:f>ROUND(+'WP II-E-3.3'!H19*$E$116,2)</x:f>
        <x:v>104165.26</x:v>
      </x:c>
      <x:c r="I123" s="12">
        <x:v>0</x:v>
      </x:c>
      <x:c r="J123" s="12">
        <x:f>ROUND(+'WP II-E-3.3'!J19*$E$116,2)</x:f>
        <x:v>1365661.06</x:v>
      </x:c>
      <x:c r="K123" s="12">
        <x:v>0</x:v>
      </x:c>
      <x:c r="L123" s="12">
        <x:f t="shared" si="19"/>
        <x:v>1505308.1600000001</x:v>
      </x:c>
      <x:c r="M123" s="12">
        <x:f>ROUND(+'WP II-E-3.3'!M19*$E$116,2)</x:f>
        <x:v>109359.56</x:v>
      </x:c>
      <x:c r="N123" s="12">
        <x:v>0</x:v>
      </x:c>
      <x:c r="O123" s="12">
        <x:f>ROUND(+'WP II-E-3.3'!O19*$E$116,2)</x:f>
        <x:v>543498.49</x:v>
      </x:c>
      <x:c r="P123" s="12">
        <x:v>0</x:v>
      </x:c>
      <x:c r="Q123" s="12">
        <x:f>ROUND(+'WP II-E-3.3'!Q19*$E$116,2)</x:f>
        <x:v>327274.08</x:v>
      </x:c>
      <x:c r="R123" s="12">
        <x:v>0</x:v>
      </x:c>
    </x:row>
    <x:row r="124" spans="1:20" x14ac:dyDescent="0.25">
      <x:c r="A124" s="7">
        <x:f t="shared" si="12"/>
        <x:v>113</x:v>
      </x:c>
      <x:c r="B124" s="10" t="s">
        <x:v>60</x:v>
      </x:c>
      <x:c r="C124" s="1" t="s">
        <x:v>61</x:v>
      </x:c>
      <x:c r="D124" s="7" t="s">
        <x:v>49</x:v>
      </x:c>
      <x:c r="E124" s="7" t="s">
        <x:v>46</x:v>
      </x:c>
      <x:c r="F124" s="12">
        <x:f>ROUND(+'WP II-E-3.3'!F20*$E$116,2)</x:f>
        <x:v>207352.95999999999</x:v>
      </x:c>
      <x:c r="G124" s="12">
        <x:v>0</x:v>
      </x:c>
      <x:c r="H124" s="12">
        <x:f>ROUND(+'WP II-E-3.3'!H20*$E$116,2)</x:f>
        <x:v>547998.88</x:v>
      </x:c>
      <x:c r="I124" s="12">
        <x:v>0</x:v>
      </x:c>
      <x:c r="J124" s="12">
        <x:f>ROUND(+'WP II-E-3.3'!J20*$E$116,2)</x:f>
        <x:v>297822.74</x:v>
      </x:c>
      <x:c r="K124" s="12">
        <x:v>0</x:v>
      </x:c>
      <x:c r="L124" s="12">
        <x:f t="shared" si="19"/>
        <x:v>1053174.58</x:v>
      </x:c>
      <x:c r="M124" s="12">
        <x:f>ROUND(+'WP II-E-3.3'!M20*$E$116,2)</x:f>
        <x:v>243653.16</x:v>
      </x:c>
      <x:c r="N124" s="12">
        <x:v>0</x:v>
      </x:c>
      <x:c r="O124" s="12">
        <x:f>ROUND(+'WP II-E-3.3'!O20*$E$116,2)</x:f>
        <x:v>240338.59</x:v>
      </x:c>
      <x:c r="P124" s="12">
        <x:v>0</x:v>
      </x:c>
      <x:c r="Q124" s="12">
        <x:f>ROUND(+'WP II-E-3.3'!Q20*$E$116,2)</x:f>
        <x:v>151485.21</x:v>
      </x:c>
      <x:c r="R124" s="12">
        <x:v>0</x:v>
      </x:c>
    </x:row>
    <x:row r="125" spans="1:20" x14ac:dyDescent="0.25">
      <x:c r="A125" s="7">
        <x:f t="shared" si="12"/>
        <x:v>114</x:v>
      </x:c>
      <x:c r="B125" s="10" t="s">
        <x:v>62</x:v>
      </x:c>
      <x:c r="C125" s="1" t="s">
        <x:v>63</x:v>
      </x:c>
      <x:c r="D125" s="7" t="s">
        <x:v>64</x:v>
      </x:c>
      <x:c r="E125" s="7" t="s">
        <x:v>46</x:v>
      </x:c>
      <x:c r="F125" s="12">
        <x:f>ROUND(+'WP II-E-3.3'!F21*$E$116,2)</x:f>
        <x:v>0</x:v>
      </x:c>
      <x:c r="G125" s="12">
        <x:v>0</x:v>
      </x:c>
      <x:c r="H125" s="12">
        <x:f>ROUND(+'WP II-E-3.3'!H21*$E$116,2)</x:f>
        <x:v>0</x:v>
      </x:c>
      <x:c r="I125" s="12">
        <x:v>0</x:v>
      </x:c>
      <x:c r="J125" s="12">
        <x:f>ROUND(+'WP II-E-3.3'!J21*$E$116,2)</x:f>
        <x:v>1099.6199999999999</x:v>
      </x:c>
      <x:c r="K125" s="12">
        <x:v>0</x:v>
      </x:c>
      <x:c r="L125" s="12">
        <x:f t="shared" si="19"/>
        <x:v>1099.6199999999999</x:v>
      </x:c>
      <x:c r="M125" s="12">
        <x:f>ROUND(+'WP II-E-3.3'!M21*$E$116,2)</x:f>
        <x:v>27.49</x:v>
      </x:c>
      <x:c r="N125" s="12">
        <x:v>0</x:v>
      </x:c>
      <x:c r="O125" s="12">
        <x:f>ROUND(+'WP II-E-3.3'!O21*$E$116,2)</x:f>
        <x:v>214.43</x:v>
      </x:c>
      <x:c r="P125" s="12">
        <x:v>0</x:v>
      </x:c>
      <x:c r="Q125" s="12">
        <x:f>ROUND(+'WP II-E-3.3'!Q21*$E$116,2)</x:f>
        <x:v>171.54</x:v>
      </x:c>
      <x:c r="R125" s="12">
        <x:v>0</x:v>
      </x:c>
    </x:row>
    <x:row r="126" spans="1:20" x14ac:dyDescent="0.25">
      <x:c r="A126" s="7">
        <x:f t="shared" si="12"/>
        <x:v>115</x:v>
      </x:c>
      <x:c r="B126" s="10" t="s">
        <x:v>65</x:v>
      </x:c>
      <x:c r="C126" s="1" t="s">
        <x:v>66</x:v>
      </x:c>
      <x:c r="D126" s="7" t="s">
        <x:v>67</x:v>
      </x:c>
      <x:c r="E126" s="7" t="s">
        <x:v>46</x:v>
      </x:c>
      <x:c r="F126" s="12">
        <x:f>ROUND(+'WP II-E-3.3'!F22*$E$116,2)</x:f>
        <x:v>28534862.75</x:v>
      </x:c>
      <x:c r="G126" s="12">
        <x:v>0</x:v>
      </x:c>
      <x:c r="H126" s="12">
        <x:f>ROUND(+'WP II-E-3.3'!H22*$E$116,2)</x:f>
        <x:v>46409950.659999996</x:v>
      </x:c>
      <x:c r="I126" s="12">
        <x:v>0</x:v>
      </x:c>
      <x:c r="J126" s="12">
        <x:f>ROUND(+'WP II-E-3.3'!J22*$E$116,2)</x:f>
        <x:v>72090501.439999998</x:v>
      </x:c>
      <x:c r="K126" s="12">
        <x:v>0</x:v>
      </x:c>
      <x:c r="L126" s="12">
        <x:f t="shared" si="19"/>
        <x:v>147035314.84999999</x:v>
      </x:c>
      <x:c r="M126" s="12">
        <x:f>ROUND(+'WP II-E-3.3'!M22*$E$116,2)</x:f>
        <x:v>9452314.9600000009</x:v>
      </x:c>
      <x:c r="N126" s="12">
        <x:v>0</x:v>
      </x:c>
      <x:c r="O126" s="12">
        <x:f>ROUND(+'WP II-E-3.3'!O22*$E$116,2)</x:f>
        <x:v>13136500.76</x:v>
      </x:c>
      <x:c r="P126" s="12">
        <x:v>0</x:v>
      </x:c>
      <x:c r="Q126" s="12">
        <x:f>ROUND(+'WP II-E-3.3'!Q22*$E$116,2)</x:f>
        <x:v>11845660.460000001</x:v>
      </x:c>
      <x:c r="R126" s="12">
        <x:v>0</x:v>
      </x:c>
    </x:row>
    <x:row r="127" spans="1:20" x14ac:dyDescent="0.25">
      <x:c r="A127" s="7">
        <x:f t="shared" si="12"/>
        <x:v>116</x:v>
      </x:c>
      <x:c r="B127" s="10" t="s">
        <x:v>68</x:v>
      </x:c>
      <x:c r="C127" s="1" t="s">
        <x:v>69</x:v>
      </x:c>
      <x:c r="D127" s="7" t="s">
        <x:v>45</x:v>
      </x:c>
      <x:c r="E127" s="7" t="s">
        <x:v>46</x:v>
      </x:c>
      <x:c r="F127" s="12">
        <x:f>ROUND(+'WP II-E-3.3'!F23*$E$116,2)</x:f>
        <x:v>0</x:v>
      </x:c>
      <x:c r="G127" s="12">
        <x:v>0</x:v>
      </x:c>
      <x:c r="H127" s="12">
        <x:f>ROUND(+'WP II-E-3.3'!H23*$E$116,2)</x:f>
        <x:v>0</x:v>
      </x:c>
      <x:c r="I127" s="12">
        <x:v>0</x:v>
      </x:c>
      <x:c r="J127" s="12">
        <x:f>ROUND(+'WP II-E-3.3'!J23*$E$116,2)</x:f>
        <x:v>0</x:v>
      </x:c>
      <x:c r="K127" s="12">
        <x:v>0</x:v>
      </x:c>
      <x:c r="L127" s="12">
        <x:f t="shared" si="19"/>
        <x:v>0</x:v>
      </x:c>
      <x:c r="M127" s="12">
        <x:f>ROUND(+'WP II-E-3.3'!M23*$E$116,2)</x:f>
        <x:v>0</x:v>
      </x:c>
      <x:c r="N127" s="12">
        <x:v>0</x:v>
      </x:c>
      <x:c r="O127" s="12">
        <x:f>ROUND(+'WP II-E-3.3'!O23*$E$116,2)</x:f>
        <x:v>0</x:v>
      </x:c>
      <x:c r="P127" s="12">
        <x:v>0</x:v>
      </x:c>
      <x:c r="Q127" s="12">
        <x:f>ROUND(+'WP II-E-3.3'!Q23*$E$116,2)</x:f>
        <x:v>0</x:v>
      </x:c>
      <x:c r="R127" s="12">
        <x:v>0</x:v>
      </x:c>
    </x:row>
    <x:row r="128" spans="1:20" x14ac:dyDescent="0.25">
      <x:c r="A128" s="7">
        <x:f t="shared" si="12"/>
        <x:v>117</x:v>
      </x:c>
      <x:c r="B128" s="13" t="s">
        <x:v>70</x:v>
      </x:c>
      <x:c r="C128" s="1" t="s">
        <x:v>71</x:v>
      </x:c>
      <x:c r="D128" s="7" t="s">
        <x:v>72</x:v>
      </x:c>
      <x:c r="E128" s="7" t="s">
        <x:v>46</x:v>
      </x:c>
      <x:c r="F128" s="12">
        <x:f>ROUND(+'WP II-E-3.3'!F24*$E$116,2)</x:f>
        <x:v>533191034.41000003</x:v>
      </x:c>
      <x:c r="G128" s="12">
        <x:v>0</x:v>
      </x:c>
      <x:c r="H128" s="12">
        <x:f>ROUND(+'WP II-E-3.3'!H24*$E$116,2)</x:f>
        <x:v>714745381.58000004</x:v>
      </x:c>
      <x:c r="I128" s="12">
        <x:v>0</x:v>
      </x:c>
      <x:c r="J128" s="12">
        <x:f>ROUND(+'WP II-E-3.3'!J24*$E$116,2)</x:f>
        <x:v>873365681.51999998</x:v>
      </x:c>
      <x:c r="K128" s="12">
        <x:v>0</x:v>
      </x:c>
      <x:c r="L128" s="12">
        <x:f t="shared" si="19"/>
        <x:v>2121302097.51</x:v>
      </x:c>
      <x:c r="M128" s="12">
        <x:f>ROUND(+'WP II-E-3.3'!M24*$E$116,2)</x:f>
        <x:v>118538090.84</x:v>
      </x:c>
      <x:c r="N128" s="12">
        <x:v>0</x:v>
      </x:c>
      <x:c r="O128" s="12">
        <x:f>ROUND(+'WP II-E-3.3'!O24*$E$116,2)</x:f>
        <x:v>143367101.96000001</x:v>
      </x:c>
      <x:c r="P128" s="12">
        <x:v>0</x:v>
      </x:c>
      <x:c r="Q128" s="12">
        <x:f>ROUND(+'WP II-E-3.3'!Q24*$E$116,2)</x:f>
        <x:v>132614817.73</x:v>
      </x:c>
      <x:c r="R128" s="12">
        <x:v>0</x:v>
      </x:c>
    </x:row>
    <x:row r="129" spans="1:20" x14ac:dyDescent="0.25">
      <x:c r="A129" s="7">
        <x:f t="shared" si="12"/>
        <x:v>118</x:v>
      </x:c>
      <x:c r="B129" s="1" t="s">
        <x:v>73</x:v>
      </x:c>
      <x:c r="C129" s="1" t="s">
        <x:v>74</x:v>
      </x:c>
      <x:c r="D129" s="7" t="s">
        <x:v>67</x:v>
      </x:c>
      <x:c r="E129" s="7" t="s">
        <x:v>46</x:v>
      </x:c>
      <x:c r="F129" s="12">
        <x:f>ROUND(+'WP II-E-3.3'!F25*$E$116,2)</x:f>
        <x:v>409357147.10000002</x:v>
      </x:c>
      <x:c r="G129" s="12">
        <x:v>0</x:v>
      </x:c>
      <x:c r="H129" s="12">
        <x:f>ROUND(+'WP II-E-3.3'!H25*$E$116,2)</x:f>
        <x:v>610894791.27999997</x:v>
      </x:c>
      <x:c r="I129" s="12">
        <x:v>0</x:v>
      </x:c>
      <x:c r="J129" s="12">
        <x:f>ROUND(+'WP II-E-3.3'!J25*$E$116,2)</x:f>
        <x:v>894793226.83000004</x:v>
      </x:c>
      <x:c r="K129" s="12">
        <x:v>0</x:v>
      </x:c>
      <x:c r="L129" s="12">
        <x:f t="shared" si="19"/>
        <x:v>1915045165.21</x:v>
      </x:c>
      <x:c r="M129" s="12">
        <x:f>ROUND(+'WP II-E-3.3'!M25*$E$116,2)</x:f>
        <x:v>126830948.76000001</x:v>
      </x:c>
      <x:c r="N129" s="12">
        <x:v>0</x:v>
      </x:c>
      <x:c r="O129" s="12">
        <x:f>ROUND(+'WP II-E-3.3'!O25*$E$116,2)</x:f>
        <x:v>170000937.38</x:v>
      </x:c>
      <x:c r="P129" s="12">
        <x:v>0</x:v>
      </x:c>
      <x:c r="Q129" s="12">
        <x:f>ROUND(+'WP II-E-3.3'!Q25*$E$116,2)</x:f>
        <x:v>153300998.80000001</x:v>
      </x:c>
      <x:c r="R129" s="12">
        <x:v>0</x:v>
      </x:c>
    </x:row>
    <x:row r="130" spans="1:20" x14ac:dyDescent="0.25">
      <x:c r="A130" s="7">
        <x:f t="shared" si="12"/>
        <x:v>119</x:v>
      </x:c>
      <x:c r="B130" s="1" t="s">
        <x:v>75</x:v>
      </x:c>
      <x:c r="C130" s="1" t="s">
        <x:v>76</x:v>
      </x:c>
      <x:c r="D130" s="7" t="s">
        <x:v>72</x:v>
      </x:c>
      <x:c r="E130" s="7" t="s">
        <x:v>46</x:v>
      </x:c>
      <x:c r="F130" s="12">
        <x:f>ROUND(+'WP II-E-3.3'!F26*$E$116,2)</x:f>
        <x:v>6777907.2400000002</x:v>
      </x:c>
      <x:c r="G130" s="12">
        <x:v>0</x:v>
      </x:c>
      <x:c r="H130" s="12">
        <x:f>ROUND(+'WP II-E-3.3'!H26*$E$116,2)</x:f>
        <x:v>9364948.6199999992</x:v>
      </x:c>
      <x:c r="I130" s="12">
        <x:v>0</x:v>
      </x:c>
      <x:c r="J130" s="12">
        <x:f>ROUND(+'WP II-E-3.3'!J26*$E$116,2)</x:f>
        <x:v>11429973.41</x:v>
      </x:c>
      <x:c r="K130" s="12">
        <x:v>0</x:v>
      </x:c>
      <x:c r="L130" s="12">
        <x:f t="shared" si="19"/>
        <x:v>27572829.27</x:v>
      </x:c>
      <x:c r="M130" s="12">
        <x:f>ROUND(+'WP II-E-3.3'!M26*$E$116,2)</x:f>
        <x:v>1778516.88</x:v>
      </x:c>
      <x:c r="N130" s="12">
        <x:v>0</x:v>
      </x:c>
      <x:c r="O130" s="12">
        <x:f>ROUND(+'WP II-E-3.3'!O26*$E$116,2)</x:f>
        <x:v>2080310.97</x:v>
      </x:c>
      <x:c r="P130" s="12">
        <x:v>0</x:v>
      </x:c>
      <x:c r="Q130" s="12">
        <x:f>ROUND(+'WP II-E-3.3'!Q26*$E$116,2)</x:f>
        <x:v>1894404.88</x:v>
      </x:c>
      <x:c r="R130" s="12">
        <x:v>0</x:v>
      </x:c>
    </x:row>
    <x:row r="131" spans="1:20" x14ac:dyDescent="0.25">
      <x:c r="A131" s="7">
        <x:f t="shared" si="12"/>
        <x:v>120</x:v>
      </x:c>
      <x:c r="B131" s="1" t="s">
        <x:v>77</x:v>
      </x:c>
      <x:c r="C131" s="1" t="s">
        <x:v>78</x:v>
      </x:c>
      <x:c r="D131" s="7" t="s">
        <x:v>64</x:v>
      </x:c>
      <x:c r="E131" s="7" t="s">
        <x:v>46</x:v>
      </x:c>
      <x:c r="F131" s="12">
        <x:f>ROUND(+'WP II-E-3.3'!F27*$E$116,2)</x:f>
        <x:v>41752722.600000001</x:v>
      </x:c>
      <x:c r="G131" s="12">
        <x:v>0</x:v>
      </x:c>
      <x:c r="H131" s="12">
        <x:f>ROUND(+'WP II-E-3.3'!H27*$E$116,2)</x:f>
        <x:v>38626913.259999998</x:v>
      </x:c>
      <x:c r="I131" s="12">
        <x:v>0</x:v>
      </x:c>
      <x:c r="J131" s="12">
        <x:f>ROUND(+'WP II-E-3.3'!J27*$E$116,2)</x:f>
        <x:v>40384176.299999997</x:v>
      </x:c>
      <x:c r="K131" s="12">
        <x:v>0</x:v>
      </x:c>
      <x:c r="L131" s="12">
        <x:f t="shared" si="19"/>
        <x:v>120763812.16</x:v>
      </x:c>
      <x:c r="M131" s="12">
        <x:f>ROUND(+'WP II-E-3.3'!M27*$E$116,2)</x:f>
        <x:v>15338496.609999999</x:v>
      </x:c>
      <x:c r="N131" s="12">
        <x:v>0</x:v>
      </x:c>
      <x:c r="O131" s="12">
        <x:f>ROUND(+'WP II-E-3.3'!O27*$E$116,2)</x:f>
        <x:v>16397145.76</x:v>
      </x:c>
      <x:c r="P131" s="12">
        <x:v>0</x:v>
      </x:c>
      <x:c r="Q131" s="12">
        <x:f>ROUND(+'WP II-E-3.3'!Q27*$E$116,2)</x:f>
        <x:v>13431243.25</x:v>
      </x:c>
      <x:c r="R131" s="12">
        <x:v>0</x:v>
      </x:c>
    </x:row>
    <x:row r="132" spans="1:20" x14ac:dyDescent="0.25">
      <x:c r="A132" s="7">
        <x:f t="shared" si="12"/>
        <x:v>121</x:v>
      </x:c>
      <x:c r="B132" s="1" t="s">
        <x:v>79</x:v>
      </x:c>
      <x:c r="C132" s="1" t="s">
        <x:v>80</x:v>
      </x:c>
      <x:c r="D132" s="7" t="s">
        <x:v>45</x:v>
      </x:c>
      <x:c r="E132" s="7" t="s">
        <x:v>46</x:v>
      </x:c>
      <x:c r="F132" s="12">
        <x:f>ROUND(+'WP II-E-3.3'!F28*$E$116,2)</x:f>
        <x:v>16796692.07</x:v>
      </x:c>
      <x:c r="G132" s="12">
        <x:v>0</x:v>
      </x:c>
      <x:c r="H132" s="12">
        <x:f>ROUND(+'WP II-E-3.3'!H28*$E$116,2)</x:f>
        <x:v>24109277.219999999</x:v>
      </x:c>
      <x:c r="I132" s="12">
        <x:v>0</x:v>
      </x:c>
      <x:c r="J132" s="12">
        <x:f>ROUND(+'WP II-E-3.3'!J28*$E$116,2)</x:f>
        <x:v>26944915.91</x:v>
      </x:c>
      <x:c r="K132" s="12">
        <x:v>0</x:v>
      </x:c>
      <x:c r="L132" s="12">
        <x:f t="shared" si="19"/>
        <x:v>67850885.200000003</x:v>
      </x:c>
      <x:c r="M132" s="12">
        <x:f>ROUND(+'WP II-E-3.3'!M28*$E$116,2)</x:f>
        <x:v>10627440.630000001</x:v>
      </x:c>
      <x:c r="N132" s="12">
        <x:v>0</x:v>
      </x:c>
      <x:c r="O132" s="12">
        <x:f>ROUND(+'WP II-E-3.3'!O28*$E$116,2)</x:f>
        <x:v>11830387.960000001</x:v>
      </x:c>
      <x:c r="P132" s="12">
        <x:v>0</x:v>
      </x:c>
      <x:c r="Q132" s="12">
        <x:f>ROUND(+'WP II-E-3.3'!Q28*$E$116,2)</x:f>
        <x:v>8665422.4399999995</x:v>
      </x:c>
      <x:c r="R132" s="12">
        <x:v>0</x:v>
      </x:c>
    </x:row>
    <x:row r="133" spans="1:20" x14ac:dyDescent="0.25">
      <x:c r="A133" s="7">
        <x:f t="shared" si="12"/>
        <x:v>122</x:v>
      </x:c>
      <x:c r="B133" s="10" t="s">
        <x:v>81</x:v>
      </x:c>
      <x:c r="C133" s="1" t="s">
        <x:v>82</x:v>
      </x:c>
      <x:c r="D133" s="7" t="s">
        <x:v>49</x:v>
      </x:c>
      <x:c r="E133" s="7" t="s">
        <x:v>46</x:v>
      </x:c>
      <x:c r="F133" s="12">
        <x:f>ROUND(+'WP II-E-3.3'!F29*$E$116,2)</x:f>
        <x:v>4371400.92</x:v>
      </x:c>
      <x:c r="G133" s="12">
        <x:v>0</x:v>
      </x:c>
      <x:c r="H133" s="12">
        <x:f>ROUND(+'WP II-E-3.3'!H29*$E$116,2)</x:f>
        <x:v>3310585.76</x:v>
      </x:c>
      <x:c r="I133" s="12">
        <x:v>0</x:v>
      </x:c>
      <x:c r="J133" s="12">
        <x:f>ROUND(+'WP II-E-3.3'!J29*$E$116,2)</x:f>
        <x:v>3463640.14</x:v>
      </x:c>
      <x:c r="K133" s="12">
        <x:v>0</x:v>
      </x:c>
      <x:c r="L133" s="12">
        <x:f t="shared" si="19"/>
        <x:v>11145626.82</x:v>
      </x:c>
      <x:c r="M133" s="12">
        <x:f>ROUND(+'WP II-E-3.3'!M29*$E$116,2)</x:f>
        <x:v>2478309.5699999998</x:v>
      </x:c>
      <x:c r="N133" s="12">
        <x:v>0</x:v>
      </x:c>
      <x:c r="O133" s="12">
        <x:f>ROUND(+'WP II-E-3.3'!O29*$E$116,2)</x:f>
        <x:v>2373841</x:v>
      </x:c>
      <x:c r="P133" s="12">
        <x:v>0</x:v>
      </x:c>
      <x:c r="Q133" s="12">
        <x:f>ROUND(+'WP II-E-3.3'!Q29*$E$116,2)</x:f>
        <x:v>1573842.29</x:v>
      </x:c>
      <x:c r="R133" s="12">
        <x:v>0</x:v>
      </x:c>
    </x:row>
    <x:row r="134" spans="1:20" x14ac:dyDescent="0.25">
      <x:c r="A134" s="7">
        <x:f t="shared" si="12"/>
        <x:v>123</x:v>
      </x:c>
      <x:c r="B134" s="1" t="s">
        <x:v>83</x:v>
      </x:c>
      <x:c r="C134" s="1" t="s">
        <x:v>84</x:v>
      </x:c>
      <x:c r="D134" s="7" t="s">
        <x:v>85</x:v>
      </x:c>
      <x:c r="E134" s="7" t="s">
        <x:v>86</x:v>
      </x:c>
      <x:c r="F134" s="12">
        <x:f>ROUND(+'WP II-E-3.3'!F30*$E$116,2)</x:f>
        <x:v>0</x:v>
      </x:c>
      <x:c r="G134" s="12">
        <x:v>0</x:v>
      </x:c>
      <x:c r="H134" s="12">
        <x:f>ROUND(+'WP II-E-3.3'!H30*$E$116,2)</x:f>
        <x:v>0</x:v>
      </x:c>
      <x:c r="I134" s="12">
        <x:v>0</x:v>
      </x:c>
      <x:c r="J134" s="12">
        <x:f>ROUND(+'WP II-E-3.3'!J30*$E$116,2)</x:f>
        <x:v>0</x:v>
      </x:c>
      <x:c r="K134" s="12">
        <x:v>0</x:v>
      </x:c>
      <x:c r="L134" s="12">
        <x:f t="shared" si="19"/>
        <x:v>0</x:v>
      </x:c>
      <x:c r="M134" s="12">
        <x:f>ROUND(+'WP II-E-3.3'!M30*$E$116,2)</x:f>
        <x:v>0</x:v>
      </x:c>
      <x:c r="N134" s="12">
        <x:v>0</x:v>
      </x:c>
      <x:c r="O134" s="12">
        <x:f>ROUND(+'WP II-E-3.3'!O30*$E$116,2)</x:f>
        <x:v>0</x:v>
      </x:c>
      <x:c r="P134" s="12">
        <x:v>0</x:v>
      </x:c>
      <x:c r="Q134" s="12">
        <x:f>ROUND(+'WP II-E-3.3'!Q30*$E$116,2)</x:f>
        <x:v>0</x:v>
      </x:c>
      <x:c r="R134" s="12">
        <x:v>0</x:v>
      </x:c>
    </x:row>
    <x:row r="135" spans="1:20" x14ac:dyDescent="0.25">
      <x:c r="A135" s="7">
        <x:f t="shared" si="12"/>
        <x:v>124</x:v>
      </x:c>
      <x:c r="B135" s="1" t="s">
        <x:v>87</x:v>
      </x:c>
      <x:c r="C135" s="1" t="s">
        <x:v>88</x:v>
      </x:c>
      <x:c r="D135" s="7" t="s">
        <x:v>89</x:v>
      </x:c>
      <x:c r="E135" s="7" t="s">
        <x:v>86</x:v>
      </x:c>
      <x:c r="F135" s="12">
        <x:f>ROUND(+'WP II-E-3.3'!F31*$E$116,2)</x:f>
        <x:v>325.97000000000003</x:v>
      </x:c>
      <x:c r="G135" s="12">
        <x:v>0</x:v>
      </x:c>
      <x:c r="H135" s="12">
        <x:f>ROUND(+'WP II-E-3.3'!H31*$E$116,2)</x:f>
        <x:v>50234.26</x:v>
      </x:c>
      <x:c r="I135" s="12">
        <x:v>0</x:v>
      </x:c>
      <x:c r="J135" s="12">
        <x:f>ROUND(+'WP II-E-3.3'!J31*$E$116,2)</x:f>
        <x:v>208448.89</x:v>
      </x:c>
      <x:c r="K135" s="12">
        <x:v>0</x:v>
      </x:c>
      <x:c r="L135" s="12">
        <x:f t="shared" si="19"/>
        <x:v>259009.12000000002</x:v>
      </x:c>
      <x:c r="M135" s="12">
        <x:f>ROUND(+'WP II-E-3.3'!M31*$E$116,2)</x:f>
        <x:v>3745.64</x:v>
      </x:c>
      <x:c r="N135" s="12">
        <x:v>0</x:v>
      </x:c>
      <x:c r="O135" s="12">
        <x:f>ROUND(+'WP II-E-3.3'!O31*$E$116,2)</x:f>
        <x:v>6641</x:v>
      </x:c>
      <x:c r="P135" s="12">
        <x:v>0</x:v>
      </x:c>
      <x:c r="Q135" s="12">
        <x:f>ROUND(+'WP II-E-3.3'!Q31*$E$116,2)</x:f>
        <x:v>6641.5</x:v>
      </x:c>
      <x:c r="R135" s="12">
        <x:v>0</x:v>
      </x:c>
    </x:row>
    <x:row r="136" spans="1:20" x14ac:dyDescent="0.25">
      <x:c r="A136" s="7">
        <x:f t="shared" si="12"/>
        <x:v>125</x:v>
      </x:c>
      <x:c r="B136" s="1" t="s">
        <x:v>90</x:v>
      </x:c>
      <x:c r="C136" s="1" t="s">
        <x:v>91</x:v>
      </x:c>
      <x:c r="D136" s="7" t="s">
        <x:v>92</x:v>
      </x:c>
      <x:c r="E136" s="7" t="s">
        <x:v>46</x:v>
      </x:c>
      <x:c r="F136" s="12">
        <x:f>ROUND(+'WP II-E-3.3'!F32*$E$116,2)</x:f>
        <x:v>12028671.560000001</x:v>
      </x:c>
      <x:c r="G136" s="12">
        <x:v>0</x:v>
      </x:c>
      <x:c r="H136" s="12">
        <x:f>ROUND(+'WP II-E-3.3'!H32*$E$116,2)</x:f>
        <x:v>4872727.0199999996</x:v>
      </x:c>
      <x:c r="I136" s="12">
        <x:v>0</x:v>
      </x:c>
      <x:c r="J136" s="12">
        <x:f>ROUND(+'WP II-E-3.3'!J32*$E$116,2)</x:f>
        <x:v>9239823.2799999993</x:v>
      </x:c>
      <x:c r="K136" s="12">
        <x:v>0</x:v>
      </x:c>
      <x:c r="L136" s="12">
        <x:f t="shared" si="19"/>
        <x:v>26141221.859999999</x:v>
      </x:c>
      <x:c r="M136" s="12">
        <x:f>ROUND(+'WP II-E-3.3'!M32*$E$116,2)</x:f>
        <x:v>556798.47</x:v>
      </x:c>
      <x:c r="N136" s="12">
        <x:v>0</x:v>
      </x:c>
      <x:c r="O136" s="12">
        <x:f>ROUND(+'WP II-E-3.3'!O32*$E$116,2)</x:f>
        <x:v>577838.59</x:v>
      </x:c>
      <x:c r="P136" s="12">
        <x:v>0</x:v>
      </x:c>
      <x:c r="Q136" s="12">
        <x:f>ROUND(+'WP II-E-3.3'!Q32*$E$116,2)</x:f>
        <x:v>576733.05000000005</x:v>
      </x:c>
      <x:c r="R136" s="12">
        <x:v>0</x:v>
      </x:c>
    </x:row>
    <x:row r="137" spans="1:20" x14ac:dyDescent="0.25">
      <x:c r="A137" s="7">
        <x:f t="shared" si="12"/>
        <x:v>126</x:v>
      </x:c>
      <x:c r="B137" s="1" t="s">
        <x:v>93</x:v>
      </x:c>
      <x:c r="C137" s="1" t="s">
        <x:v>94</x:v>
      </x:c>
      <x:c r="D137" s="7" t="s">
        <x:v>95</x:v>
      </x:c>
      <x:c r="E137" s="7" t="s">
        <x:v>46</x:v>
      </x:c>
      <x:c r="F137" s="12">
        <x:f>ROUND(+'WP II-E-3.3'!F33*$E$116,2)</x:f>
        <x:v>9583544.6300000008</x:v>
      </x:c>
      <x:c r="G137" s="12">
        <x:v>0</x:v>
      </x:c>
      <x:c r="H137" s="12">
        <x:f>ROUND(+'WP II-E-3.3'!H33*$E$116,2)</x:f>
        <x:v>6358679.2199999997</x:v>
      </x:c>
      <x:c r="I137" s="12">
        <x:v>0</x:v>
      </x:c>
      <x:c r="J137" s="12">
        <x:f>ROUND(+'WP II-E-3.3'!J33*$E$116,2)</x:f>
        <x:v>9832400.5999999996</x:v>
      </x:c>
      <x:c r="K137" s="12">
        <x:v>0</x:v>
      </x:c>
      <x:c r="L137" s="12">
        <x:f t="shared" si="19"/>
        <x:v>25774624.450000003</x:v>
      </x:c>
      <x:c r="M137" s="12">
        <x:f>ROUND(+'WP II-E-3.3'!M33*$E$116,2)</x:f>
        <x:v>933769.67</x:v>
      </x:c>
      <x:c r="N137" s="12">
        <x:v>0</x:v>
      </x:c>
      <x:c r="O137" s="12">
        <x:f>ROUND(+'WP II-E-3.3'!O33*$E$116,2)</x:f>
        <x:v>947981.74</x:v>
      </x:c>
      <x:c r="P137" s="12">
        <x:v>0</x:v>
      </x:c>
      <x:c r="Q137" s="12">
        <x:f>ROUND(+'WP II-E-3.3'!Q33*$E$116,2)</x:f>
        <x:v>872567.65</x:v>
      </x:c>
      <x:c r="R137" s="12">
        <x:v>0</x:v>
      </x:c>
    </x:row>
    <x:row r="138" spans="1:20" x14ac:dyDescent="0.25">
      <x:c r="A138" s="7">
        <x:f t="shared" si="12"/>
        <x:v>127</x:v>
      </x:c>
      <x:c r="B138" s="1" t="s">
        <x:v>96</x:v>
      </x:c>
      <x:c r="C138" s="1" t="s">
        <x:v>97</x:v>
      </x:c>
      <x:c r="D138" s="7" t="s">
        <x:v>98</x:v>
      </x:c>
      <x:c r="F138" s="12">
        <x:f>ROUND(+'WP II-E-3.3'!F34*$E$116,2)</x:f>
        <x:v>23034844.949999999</x:v>
      </x:c>
      <x:c r="G138" s="12">
        <x:v>0</x:v>
      </x:c>
      <x:c r="H138" s="12">
        <x:f>ROUND(+'WP II-E-3.3'!H34*$E$116,2)</x:f>
        <x:v>22106431.870000001</x:v>
      </x:c>
      <x:c r="I138" s="12">
        <x:v>0</x:v>
      </x:c>
      <x:c r="J138" s="12">
        <x:f>ROUND(+'WP II-E-3.3'!J34*$E$116,2)</x:f>
        <x:v>2330342.77</x:v>
      </x:c>
      <x:c r="K138" s="12">
        <x:v>0</x:v>
      </x:c>
      <x:c r="L138" s="12">
        <x:f t="shared" si="19"/>
        <x:v>47471619.590000004</x:v>
      </x:c>
      <x:c r="M138" s="12">
        <x:f>ROUND(+'WP II-E-3.3'!M34*$E$116,2)</x:f>
        <x:v>0</x:v>
      </x:c>
      <x:c r="N138" s="12">
        <x:v>0</x:v>
      </x:c>
      <x:c r="O138" s="12">
        <x:f>ROUND(+'WP II-E-3.3'!O34*$E$116,2)</x:f>
        <x:v>0</x:v>
      </x:c>
      <x:c r="P138" s="12">
        <x:v>0</x:v>
      </x:c>
      <x:c r="Q138" s="12">
        <x:f>ROUND(+'WP II-E-3.3'!Q34*$E$116,2)</x:f>
        <x:v>0</x:v>
      </x:c>
      <x:c r="R138" s="12">
        <x:v>0</x:v>
      </x:c>
    </x:row>
    <x:row r="139" spans="1:20" x14ac:dyDescent="0.25">
      <x:c r="A139" s="7">
        <x:f t="shared" si="12"/>
        <x:v>128</x:v>
      </x:c>
      <x:c r="B139" s="1" t="s">
        <x:v>99</x:v>
      </x:c>
      <x:c r="C139" s="1" t="s">
        <x:v>100</x:v>
      </x:c>
      <x:c r="D139" s="7" t="s">
        <x:v>89</x:v>
      </x:c>
      <x:c r="E139" s="7" t="s">
        <x:v>86</x:v>
      </x:c>
      <x:c r="F139" s="12">
        <x:f>ROUND(+'WP II-E-3.3'!F35*$E$116,2)</x:f>
        <x:v>30539923.609999999</x:v>
      </x:c>
      <x:c r="G139" s="12">
        <x:v>0</x:v>
      </x:c>
      <x:c r="H139" s="12">
        <x:f>ROUND(+'WP II-E-3.3'!H35*$E$116,2)</x:f>
        <x:v>41026563.810000002</x:v>
      </x:c>
      <x:c r="I139" s="12">
        <x:v>0</x:v>
      </x:c>
      <x:c r="J139" s="12">
        <x:f>ROUND(+'WP II-E-3.3'!J35*$E$116,2)</x:f>
        <x:v>56371461.479999997</x:v>
      </x:c>
      <x:c r="K139" s="12">
        <x:v>0</x:v>
      </x:c>
      <x:c r="L139" s="12">
        <x:f t="shared" si="19"/>
        <x:v>127937948.90000001</x:v>
      </x:c>
      <x:c r="M139" s="12">
        <x:f>ROUND(+'WP II-E-3.3'!M35*$E$116,2)</x:f>
        <x:v>2178671.4900000002</x:v>
      </x:c>
      <x:c r="N139" s="12">
        <x:v>0</x:v>
      </x:c>
      <x:c r="O139" s="12">
        <x:f>ROUND(+'WP II-E-3.3'!O35*$E$116,2)</x:f>
        <x:v>3280246.22</x:v>
      </x:c>
      <x:c r="P139" s="12">
        <x:v>0</x:v>
      </x:c>
      <x:c r="Q139" s="12">
        <x:f>ROUND(+'WP II-E-3.3'!Q35*$E$116,2)</x:f>
        <x:v>3280267.89</x:v>
      </x:c>
      <x:c r="R139" s="12">
        <x:v>0</x:v>
      </x:c>
    </x:row>
    <x:row r="140" spans="1:20" ht="13" x14ac:dyDescent="0.3">
      <x:c r="A140" s="7">
        <x:f t="shared" si="12"/>
        <x:v>129</x:v>
      </x:c>
      <x:c r="B140" s="14" t="s">
        <x:v>108</x:v>
      </x:c>
      <x:c r="F140" s="19">
        <x:f t="shared" ref="F140:T140" si="20">SUM(F117:F139)</x:f>
        <x:v>1131291121.05</x:v>
      </x:c>
      <x:c r="G140" s="19">
        <x:f t="shared" si="20"/>
        <x:v>0</x:v>
      </x:c>
      <x:c r="H140" s="19">
        <x:f t="shared" si="20"/>
        <x:v>1530029398.8699996</x:v>
      </x:c>
      <x:c r="I140" s="19">
        <x:f t="shared" si="20"/>
        <x:v>0</x:v>
      </x:c>
      <x:c r="J140" s="19">
        <x:f t="shared" ref="J140:K140" si="21">SUM(J117:J139)</x:f>
        <x:v>2015497792.8100002</x:v>
      </x:c>
      <x:c r="K140" s="19">
        <x:f t="shared" si="21"/>
        <x:v>0</x:v>
      </x:c>
      <x:c r="L140" s="19">
        <x:f t="shared" si="19"/>
        <x:v>4676818312.7299995</x:v>
      </x:c>
      <x:c r="M140" s="19">
        <x:f t="shared" si="20"/>
        <x:v>295910145.64000005</x:v>
      </x:c>
      <x:c r="N140" s="19">
        <x:f t="shared" si="20"/>
        <x:v>0</x:v>
      </x:c>
      <x:c r="O140" s="19">
        <x:f t="shared" si="20"/>
        <x:v>372764512.70000005</x:v>
      </x:c>
      <x:c r="P140" s="19">
        <x:f t="shared" si="20"/>
        <x:v>0</x:v>
      </x:c>
      <x:c r="Q140" s="19">
        <x:f t="shared" si="20"/>
        <x:v>333861202.93000001</x:v>
      </x:c>
      <x:c r="R140" s="19">
        <x:f t="shared" si="20"/>
        <x:v>0</x:v>
      </x:c>
      <x:c r="S140" s="19">
        <x:f>ROUND(+S36*E116,2)</x:f>
        <x:v>3114257.82</x:v>
      </x:c>
      <x:c r="T140" s="19">
        <x:f t="shared" si="20"/>
        <x:v>0</x:v>
      </x:c>
    </x:row>
    <x:row r="141" spans="1:20" x14ac:dyDescent="0.25">
      <x:c r="A141" s="7">
        <x:f t="shared" si="12"/>
        <x:v>130</x:v>
      </x:c>
      <x:c r="L141" s="1">
        <x:f t="shared" si="19"/>
        <x:v>0</x:v>
      </x:c>
    </x:row>
    <x:row r="142" spans="1:20" ht="13" x14ac:dyDescent="0.3">
      <x:c r="A142" s="7">
        <x:f t="shared" ref="A142:A205" si="22">+A141+1</x:f>
        <x:v>131</x:v>
      </x:c>
      <x:c r="B142" s="18" t="s">
        <x:v>109</x:v>
      </x:c>
      <x:c r="C142" s="8"/>
      <x:c r="D142" s="8"/>
      <x:c r="E142" s="26">
        <x:f>+'[2]II-F Alloc_Factor'!$J$39</x:f>
        <x:v>7.3966184218294553E-2</x:v>
      </x:c>
      <x:c r="L142" s="1">
        <x:f t="shared" si="19"/>
        <x:v>0</x:v>
      </x:c>
    </x:row>
    <x:row r="143" spans="1:20" x14ac:dyDescent="0.25">
      <x:c r="A143" s="7">
        <x:f t="shared" si="22"/>
        <x:v>132</x:v>
      </x:c>
      <x:c r="B143" s="10" t="s">
        <x:v>43</x:v>
      </x:c>
      <x:c r="C143" s="1" t="s">
        <x:v>44</x:v>
      </x:c>
      <x:c r="D143" s="7" t="s">
        <x:v>45</x:v>
      </x:c>
      <x:c r="E143" s="7" t="s">
        <x:v>46</x:v>
      </x:c>
      <x:c r="F143" s="12">
        <x:v>0</x:v>
      </x:c>
      <x:c r="G143" s="12">
        <x:f>ROUND(+G13*$E$142,2)</x:f>
        <x:v>0</x:v>
      </x:c>
      <x:c r="H143" s="12">
        <x:v>0</x:v>
      </x:c>
      <x:c r="I143" s="12">
        <x:f>ROUND(+I13*$E$142,2)</x:f>
        <x:v>0</x:v>
      </x:c>
      <x:c r="J143" s="12">
        <x:v>0</x:v>
      </x:c>
      <x:c r="K143" s="12">
        <x:f>ROUND(+K13*$E$142,2)</x:f>
        <x:v>0</x:v>
      </x:c>
      <x:c r="L143" s="12">
        <x:f t="shared" si="19"/>
        <x:v>0</x:v>
      </x:c>
      <x:c r="M143" s="12">
        <x:v>0</x:v>
      </x:c>
      <x:c r="N143" s="12">
        <x:f>ROUND(+N13*$E$142,2)</x:f>
        <x:v>0</x:v>
      </x:c>
      <x:c r="O143" s="12">
        <x:v>0</x:v>
      </x:c>
      <x:c r="P143" s="12">
        <x:f>ROUND(+P13*$E$142,2)</x:f>
        <x:v>0</x:v>
      </x:c>
      <x:c r="Q143" s="12">
        <x:v>0</x:v>
      </x:c>
      <x:c r="R143" s="12">
        <x:f>ROUND(+R13*$E$142,2)</x:f>
        <x:v>0</x:v>
      </x:c>
      <x:c r="S143" s="12"/>
    </x:row>
    <x:row r="144" spans="1:20" x14ac:dyDescent="0.25">
      <x:c r="A144" s="7">
        <x:f t="shared" si="22"/>
        <x:v>133</x:v>
      </x:c>
      <x:c r="B144" s="10" t="s">
        <x:v>47</x:v>
      </x:c>
      <x:c r="C144" s="1" t="s">
        <x:v>48</x:v>
      </x:c>
      <x:c r="D144" s="7" t="s">
        <x:v>49</x:v>
      </x:c>
      <x:c r="E144" s="7" t="s">
        <x:v>46</x:v>
      </x:c>
      <x:c r="F144" s="12">
        <x:v>0</x:v>
      </x:c>
      <x:c r="G144" s="12">
        <x:f t="shared" ref="G144:G165" si="23">ROUND(+G14*$E$142,2)</x:f>
        <x:v>0</x:v>
      </x:c>
      <x:c r="H144" s="12">
        <x:v>0</x:v>
      </x:c>
      <x:c r="I144" s="12">
        <x:f t="shared" ref="I144:K159" si="24">ROUND(+I14*$E$142,2)</x:f>
        <x:v>0</x:v>
      </x:c>
      <x:c r="J144" s="12">
        <x:v>0</x:v>
      </x:c>
      <x:c r="K144" s="12">
        <x:f t="shared" si="24"/>
        <x:v>0</x:v>
      </x:c>
      <x:c r="L144" s="12">
        <x:f t="shared" si="19"/>
        <x:v>0</x:v>
      </x:c>
      <x:c r="M144" s="12">
        <x:v>0</x:v>
      </x:c>
      <x:c r="N144" s="12">
        <x:f t="shared" ref="N144:N165" si="25">ROUND(+N14*$E$142,2)</x:f>
        <x:v>0</x:v>
      </x:c>
      <x:c r="O144" s="12">
        <x:v>0</x:v>
      </x:c>
      <x:c r="P144" s="12">
        <x:f t="shared" ref="P144:P165" si="26">ROUND(+P14*$E$142,2)</x:f>
        <x:v>0</x:v>
      </x:c>
      <x:c r="Q144" s="12">
        <x:v>0</x:v>
      </x:c>
      <x:c r="R144" s="12">
        <x:f t="shared" ref="R144:R165" si="27">ROUND(+R14*$E$142,2)</x:f>
        <x:v>0</x:v>
      </x:c>
      <x:c r="S144" s="12"/>
    </x:row>
    <x:row r="145" spans="1:19" x14ac:dyDescent="0.25">
      <x:c r="A145" s="7">
        <x:f t="shared" si="22"/>
        <x:v>134</x:v>
      </x:c>
      <x:c r="B145" s="10" t="s">
        <x:v>50</x:v>
      </x:c>
      <x:c r="C145" s="1" t="s">
        <x:v>51</x:v>
      </x:c>
      <x:c r="D145" s="7" t="s">
        <x:v>49</x:v>
      </x:c>
      <x:c r="E145" s="7" t="s">
        <x:v>46</x:v>
      </x:c>
      <x:c r="F145" s="12">
        <x:v>0</x:v>
      </x:c>
      <x:c r="G145" s="12">
        <x:f t="shared" si="23"/>
        <x:v>0</x:v>
      </x:c>
      <x:c r="H145" s="12">
        <x:v>0</x:v>
      </x:c>
      <x:c r="I145" s="12">
        <x:f t="shared" si="24"/>
        <x:v>0</x:v>
      </x:c>
      <x:c r="J145" s="12">
        <x:v>0</x:v>
      </x:c>
      <x:c r="K145" s="12">
        <x:f t="shared" si="24"/>
        <x:v>0</x:v>
      </x:c>
      <x:c r="L145" s="12">
        <x:f t="shared" ref="L145" si="28">SUM(F145:K145)</x:f>
        <x:v>0</x:v>
      </x:c>
      <x:c r="M145" s="12">
        <x:v>0</x:v>
      </x:c>
      <x:c r="N145" s="12">
        <x:f t="shared" si="25"/>
        <x:v>0</x:v>
      </x:c>
      <x:c r="O145" s="12">
        <x:v>0</x:v>
      </x:c>
      <x:c r="P145" s="12">
        <x:f t="shared" si="26"/>
        <x:v>0</x:v>
      </x:c>
      <x:c r="Q145" s="12">
        <x:v>0</x:v>
      </x:c>
      <x:c r="R145" s="12">
        <x:f t="shared" si="27"/>
        <x:v>0</x:v>
      </x:c>
      <x:c r="S145" s="12"/>
    </x:row>
    <x:row r="146" spans="1:19" x14ac:dyDescent="0.25">
      <x:c r="A146" s="7">
        <x:f t="shared" si="22"/>
        <x:v>135</x:v>
      </x:c>
      <x:c r="B146" s="10" t="s">
        <x:v>52</x:v>
      </x:c>
      <x:c r="C146" s="1" t="s">
        <x:v>53</x:v>
      </x:c>
      <x:c r="D146" s="7" t="s">
        <x:v>49</x:v>
      </x:c>
      <x:c r="E146" s="7" t="s">
        <x:v>46</x:v>
      </x:c>
      <x:c r="F146" s="12">
        <x:v>0</x:v>
      </x:c>
      <x:c r="G146" s="12">
        <x:f t="shared" si="23"/>
        <x:v>0</x:v>
      </x:c>
      <x:c r="H146" s="12">
        <x:v>0</x:v>
      </x:c>
      <x:c r="I146" s="12">
        <x:f t="shared" si="24"/>
        <x:v>0</x:v>
      </x:c>
      <x:c r="J146" s="12">
        <x:v>0</x:v>
      </x:c>
      <x:c r="K146" s="12">
        <x:f t="shared" si="24"/>
        <x:v>0</x:v>
      </x:c>
      <x:c r="L146" s="12">
        <x:f t="shared" si="19"/>
        <x:v>0</x:v>
      </x:c>
      <x:c r="M146" s="12">
        <x:v>0</x:v>
      </x:c>
      <x:c r="N146" s="12">
        <x:f t="shared" si="25"/>
        <x:v>0</x:v>
      </x:c>
      <x:c r="O146" s="12">
        <x:v>0</x:v>
      </x:c>
      <x:c r="P146" s="12">
        <x:f t="shared" si="26"/>
        <x:v>0</x:v>
      </x:c>
      <x:c r="Q146" s="12">
        <x:v>0</x:v>
      </x:c>
      <x:c r="R146" s="12">
        <x:f t="shared" si="27"/>
        <x:v>0</x:v>
      </x:c>
      <x:c r="S146" s="12"/>
    </x:row>
    <x:row r="147" spans="1:19" x14ac:dyDescent="0.25">
      <x:c r="A147" s="7">
        <x:f t="shared" si="22"/>
        <x:v>136</x:v>
      </x:c>
      <x:c r="B147" s="10" t="s">
        <x:v>54</x:v>
      </x:c>
      <x:c r="C147" s="1" t="s">
        <x:v>55</x:v>
      </x:c>
      <x:c r="D147" s="7" t="s">
        <x:v>49</x:v>
      </x:c>
      <x:c r="E147" s="7" t="s">
        <x:v>46</x:v>
      </x:c>
      <x:c r="F147" s="12">
        <x:v>0</x:v>
      </x:c>
      <x:c r="G147" s="12">
        <x:f t="shared" si="23"/>
        <x:v>0</x:v>
      </x:c>
      <x:c r="H147" s="12">
        <x:v>0</x:v>
      </x:c>
      <x:c r="I147" s="12">
        <x:f t="shared" si="24"/>
        <x:v>0</x:v>
      </x:c>
      <x:c r="J147" s="12">
        <x:v>0</x:v>
      </x:c>
      <x:c r="K147" s="12">
        <x:f t="shared" si="24"/>
        <x:v>0</x:v>
      </x:c>
      <x:c r="L147" s="12">
        <x:f t="shared" si="19"/>
        <x:v>0</x:v>
      </x:c>
      <x:c r="M147" s="12">
        <x:v>0</x:v>
      </x:c>
      <x:c r="N147" s="12">
        <x:f t="shared" si="25"/>
        <x:v>0</x:v>
      </x:c>
      <x:c r="O147" s="12">
        <x:v>0</x:v>
      </x:c>
      <x:c r="P147" s="12">
        <x:f t="shared" si="26"/>
        <x:v>0</x:v>
      </x:c>
      <x:c r="Q147" s="12">
        <x:v>0</x:v>
      </x:c>
      <x:c r="R147" s="12">
        <x:f t="shared" si="27"/>
        <x:v>0</x:v>
      </x:c>
      <x:c r="S147" s="12"/>
    </x:row>
    <x:row r="148" spans="1:19" x14ac:dyDescent="0.25">
      <x:c r="A148" s="7">
        <x:f t="shared" si="22"/>
        <x:v>137</x:v>
      </x:c>
      <x:c r="B148" s="10" t="s">
        <x:v>56</x:v>
      </x:c>
      <x:c r="C148" s="1" t="s">
        <x:v>57</x:v>
      </x:c>
      <x:c r="D148" s="7" t="s">
        <x:v>49</x:v>
      </x:c>
      <x:c r="E148" s="7" t="s">
        <x:v>46</x:v>
      </x:c>
      <x:c r="F148" s="12">
        <x:v>0</x:v>
      </x:c>
      <x:c r="G148" s="12">
        <x:f t="shared" si="23"/>
        <x:v>0</x:v>
      </x:c>
      <x:c r="H148" s="12">
        <x:v>0</x:v>
      </x:c>
      <x:c r="I148" s="12">
        <x:f t="shared" si="24"/>
        <x:v>0</x:v>
      </x:c>
      <x:c r="J148" s="12">
        <x:v>0</x:v>
      </x:c>
      <x:c r="K148" s="12">
        <x:f t="shared" si="24"/>
        <x:v>0</x:v>
      </x:c>
      <x:c r="L148" s="12">
        <x:f t="shared" si="19"/>
        <x:v>0</x:v>
      </x:c>
      <x:c r="M148" s="12">
        <x:v>0</x:v>
      </x:c>
      <x:c r="N148" s="12">
        <x:f t="shared" si="25"/>
        <x:v>0</x:v>
      </x:c>
      <x:c r="O148" s="12">
        <x:v>0</x:v>
      </x:c>
      <x:c r="P148" s="12">
        <x:f t="shared" si="26"/>
        <x:v>0</x:v>
      </x:c>
      <x:c r="Q148" s="12">
        <x:v>0</x:v>
      </x:c>
      <x:c r="R148" s="12">
        <x:f t="shared" si="27"/>
        <x:v>0</x:v>
      </x:c>
      <x:c r="S148" s="12"/>
    </x:row>
    <x:row r="149" spans="1:19" x14ac:dyDescent="0.25">
      <x:c r="A149" s="7">
        <x:f t="shared" si="22"/>
        <x:v>138</x:v>
      </x:c>
      <x:c r="B149" s="10" t="s">
        <x:v>58</x:v>
      </x:c>
      <x:c r="C149" s="1" t="s">
        <x:v>59</x:v>
      </x:c>
      <x:c r="D149" s="7" t="s">
        <x:v>49</x:v>
      </x:c>
      <x:c r="E149" s="7" t="s">
        <x:v>46</x:v>
      </x:c>
      <x:c r="F149" s="12">
        <x:v>0</x:v>
      </x:c>
      <x:c r="G149" s="12">
        <x:f t="shared" si="23"/>
        <x:v>0</x:v>
      </x:c>
      <x:c r="H149" s="12">
        <x:v>0</x:v>
      </x:c>
      <x:c r="I149" s="12">
        <x:f t="shared" si="24"/>
        <x:v>0</x:v>
      </x:c>
      <x:c r="J149" s="12">
        <x:v>0</x:v>
      </x:c>
      <x:c r="K149" s="12">
        <x:f t="shared" si="24"/>
        <x:v>0</x:v>
      </x:c>
      <x:c r="L149" s="12">
        <x:f t="shared" si="19"/>
        <x:v>0</x:v>
      </x:c>
      <x:c r="M149" s="12">
        <x:v>0</x:v>
      </x:c>
      <x:c r="N149" s="12">
        <x:f t="shared" si="25"/>
        <x:v>0</x:v>
      </x:c>
      <x:c r="O149" s="12">
        <x:v>0</x:v>
      </x:c>
      <x:c r="P149" s="12">
        <x:f t="shared" si="26"/>
        <x:v>0</x:v>
      </x:c>
      <x:c r="Q149" s="12">
        <x:v>0</x:v>
      </x:c>
      <x:c r="R149" s="12">
        <x:f t="shared" si="27"/>
        <x:v>0</x:v>
      </x:c>
      <x:c r="S149" s="12"/>
    </x:row>
    <x:row r="150" spans="1:19" x14ac:dyDescent="0.25">
      <x:c r="A150" s="7">
        <x:f t="shared" si="22"/>
        <x:v>139</x:v>
      </x:c>
      <x:c r="B150" s="10" t="s">
        <x:v>60</x:v>
      </x:c>
      <x:c r="C150" s="1" t="s">
        <x:v>61</x:v>
      </x:c>
      <x:c r="D150" s="7" t="s">
        <x:v>49</x:v>
      </x:c>
      <x:c r="E150" s="7" t="s">
        <x:v>46</x:v>
      </x:c>
      <x:c r="F150" s="12">
        <x:v>0</x:v>
      </x:c>
      <x:c r="G150" s="12">
        <x:f t="shared" si="23"/>
        <x:v>0</x:v>
      </x:c>
      <x:c r="H150" s="12">
        <x:v>0</x:v>
      </x:c>
      <x:c r="I150" s="12">
        <x:f t="shared" si="24"/>
        <x:v>0</x:v>
      </x:c>
      <x:c r="J150" s="12">
        <x:v>0</x:v>
      </x:c>
      <x:c r="K150" s="12">
        <x:f t="shared" si="24"/>
        <x:v>0</x:v>
      </x:c>
      <x:c r="L150" s="12">
        <x:f t="shared" si="19"/>
        <x:v>0</x:v>
      </x:c>
      <x:c r="M150" s="12">
        <x:v>0</x:v>
      </x:c>
      <x:c r="N150" s="12">
        <x:f t="shared" si="25"/>
        <x:v>0</x:v>
      </x:c>
      <x:c r="O150" s="12">
        <x:v>0</x:v>
      </x:c>
      <x:c r="P150" s="12">
        <x:f t="shared" si="26"/>
        <x:v>0</x:v>
      </x:c>
      <x:c r="Q150" s="12">
        <x:v>0</x:v>
      </x:c>
      <x:c r="R150" s="12">
        <x:f t="shared" si="27"/>
        <x:v>0</x:v>
      </x:c>
      <x:c r="S150" s="12"/>
    </x:row>
    <x:row r="151" spans="1:19" x14ac:dyDescent="0.25">
      <x:c r="A151" s="7">
        <x:f t="shared" si="22"/>
        <x:v>140</x:v>
      </x:c>
      <x:c r="B151" s="10" t="s">
        <x:v>62</x:v>
      </x:c>
      <x:c r="C151" s="1" t="s">
        <x:v>63</x:v>
      </x:c>
      <x:c r="D151" s="7" t="s">
        <x:v>64</x:v>
      </x:c>
      <x:c r="E151" s="7" t="s">
        <x:v>46</x:v>
      </x:c>
      <x:c r="F151" s="12">
        <x:v>0</x:v>
      </x:c>
      <x:c r="G151" s="12">
        <x:f t="shared" si="23"/>
        <x:v>0</x:v>
      </x:c>
      <x:c r="H151" s="12">
        <x:v>0</x:v>
      </x:c>
      <x:c r="I151" s="12">
        <x:f t="shared" si="24"/>
        <x:v>0</x:v>
      </x:c>
      <x:c r="J151" s="12">
        <x:v>0</x:v>
      </x:c>
      <x:c r="K151" s="12">
        <x:f t="shared" si="24"/>
        <x:v>0</x:v>
      </x:c>
      <x:c r="L151" s="12">
        <x:f t="shared" si="19"/>
        <x:v>0</x:v>
      </x:c>
      <x:c r="M151" s="12">
        <x:v>0</x:v>
      </x:c>
      <x:c r="N151" s="12">
        <x:f t="shared" si="25"/>
        <x:v>0</x:v>
      </x:c>
      <x:c r="O151" s="12">
        <x:v>0</x:v>
      </x:c>
      <x:c r="P151" s="12">
        <x:f t="shared" si="26"/>
        <x:v>0</x:v>
      </x:c>
      <x:c r="Q151" s="12">
        <x:v>0</x:v>
      </x:c>
      <x:c r="R151" s="12">
        <x:f t="shared" si="27"/>
        <x:v>0</x:v>
      </x:c>
      <x:c r="S151" s="12"/>
    </x:row>
    <x:row r="152" spans="1:19" x14ac:dyDescent="0.25">
      <x:c r="A152" s="7">
        <x:f t="shared" si="22"/>
        <x:v>141</x:v>
      </x:c>
      <x:c r="B152" s="10" t="s">
        <x:v>65</x:v>
      </x:c>
      <x:c r="C152" s="1" t="s">
        <x:v>66</x:v>
      </x:c>
      <x:c r="D152" s="7" t="s">
        <x:v>67</x:v>
      </x:c>
      <x:c r="E152" s="7" t="s">
        <x:v>46</x:v>
      </x:c>
      <x:c r="F152" s="12">
        <x:v>0</x:v>
      </x:c>
      <x:c r="G152" s="12">
        <x:f t="shared" si="23"/>
        <x:v>0</x:v>
      </x:c>
      <x:c r="H152" s="12">
        <x:v>0</x:v>
      </x:c>
      <x:c r="I152" s="12">
        <x:f t="shared" si="24"/>
        <x:v>0</x:v>
      </x:c>
      <x:c r="J152" s="12">
        <x:v>0</x:v>
      </x:c>
      <x:c r="K152" s="12">
        <x:f t="shared" si="24"/>
        <x:v>0</x:v>
      </x:c>
      <x:c r="L152" s="12">
        <x:f t="shared" si="19"/>
        <x:v>0</x:v>
      </x:c>
      <x:c r="M152" s="12">
        <x:v>0</x:v>
      </x:c>
      <x:c r="N152" s="12">
        <x:f t="shared" si="25"/>
        <x:v>0</x:v>
      </x:c>
      <x:c r="O152" s="12">
        <x:v>0</x:v>
      </x:c>
      <x:c r="P152" s="12">
        <x:f t="shared" si="26"/>
        <x:v>0</x:v>
      </x:c>
      <x:c r="Q152" s="12">
        <x:v>0</x:v>
      </x:c>
      <x:c r="R152" s="12">
        <x:f t="shared" si="27"/>
        <x:v>0</x:v>
      </x:c>
      <x:c r="S152" s="12"/>
    </x:row>
    <x:row r="153" spans="1:19" x14ac:dyDescent="0.25">
      <x:c r="A153" s="7">
        <x:f t="shared" si="22"/>
        <x:v>142</x:v>
      </x:c>
      <x:c r="B153" s="10" t="s">
        <x:v>68</x:v>
      </x:c>
      <x:c r="C153" s="1" t="s">
        <x:v>69</x:v>
      </x:c>
      <x:c r="D153" s="7" t="s">
        <x:v>45</x:v>
      </x:c>
      <x:c r="E153" s="7" t="s">
        <x:v>46</x:v>
      </x:c>
      <x:c r="F153" s="12">
        <x:v>0</x:v>
      </x:c>
      <x:c r="G153" s="12">
        <x:f t="shared" si="23"/>
        <x:v>0</x:v>
      </x:c>
      <x:c r="H153" s="12">
        <x:v>0</x:v>
      </x:c>
      <x:c r="I153" s="12">
        <x:f t="shared" si="24"/>
        <x:v>0</x:v>
      </x:c>
      <x:c r="J153" s="12">
        <x:v>0</x:v>
      </x:c>
      <x:c r="K153" s="12">
        <x:f t="shared" si="24"/>
        <x:v>0</x:v>
      </x:c>
      <x:c r="L153" s="12">
        <x:f t="shared" si="19"/>
        <x:v>0</x:v>
      </x:c>
      <x:c r="M153" s="12">
        <x:v>0</x:v>
      </x:c>
      <x:c r="N153" s="12">
        <x:f t="shared" si="25"/>
        <x:v>0</x:v>
      </x:c>
      <x:c r="O153" s="12">
        <x:v>0</x:v>
      </x:c>
      <x:c r="P153" s="12">
        <x:f t="shared" si="26"/>
        <x:v>0</x:v>
      </x:c>
      <x:c r="Q153" s="12">
        <x:v>0</x:v>
      </x:c>
      <x:c r="R153" s="12">
        <x:f t="shared" si="27"/>
        <x:v>0</x:v>
      </x:c>
      <x:c r="S153" s="12"/>
    </x:row>
    <x:row r="154" spans="1:19" x14ac:dyDescent="0.25">
      <x:c r="A154" s="7">
        <x:f t="shared" si="22"/>
        <x:v>143</x:v>
      </x:c>
      <x:c r="B154" s="13" t="s">
        <x:v>70</x:v>
      </x:c>
      <x:c r="C154" s="1" t="s">
        <x:v>71</x:v>
      </x:c>
      <x:c r="D154" s="7" t="s">
        <x:v>72</x:v>
      </x:c>
      <x:c r="E154" s="7" t="s">
        <x:v>46</x:v>
      </x:c>
      <x:c r="F154" s="12">
        <x:v>0</x:v>
      </x:c>
      <x:c r="G154" s="12">
        <x:f t="shared" si="23"/>
        <x:v>2923.03</x:v>
      </x:c>
      <x:c r="H154" s="12">
        <x:v>0</x:v>
      </x:c>
      <x:c r="I154" s="12">
        <x:f t="shared" si="24"/>
        <x:v>414.05</x:v>
      </x:c>
      <x:c r="J154" s="12">
        <x:v>0</x:v>
      </x:c>
      <x:c r="K154" s="12">
        <x:f t="shared" si="24"/>
        <x:v>4464.75</x:v>
      </x:c>
      <x:c r="L154" s="12">
        <x:f t="shared" si="19"/>
        <x:v>7801.83</x:v>
      </x:c>
      <x:c r="M154" s="12">
        <x:v>0</x:v>
      </x:c>
      <x:c r="N154" s="12">
        <x:f t="shared" si="25"/>
        <x:v>394.6</x:v>
      </x:c>
      <x:c r="O154" s="12">
        <x:v>0</x:v>
      </x:c>
      <x:c r="P154" s="12">
        <x:f t="shared" si="26"/>
        <x:v>573.35</x:v>
      </x:c>
      <x:c r="Q154" s="12">
        <x:v>0</x:v>
      </x:c>
      <x:c r="R154" s="12">
        <x:f t="shared" si="27"/>
        <x:v>524.80999999999995</x:v>
      </x:c>
      <x:c r="S154" s="12"/>
    </x:row>
    <x:row r="155" spans="1:19" x14ac:dyDescent="0.25">
      <x:c r="A155" s="7">
        <x:f t="shared" si="22"/>
        <x:v>144</x:v>
      </x:c>
      <x:c r="B155" s="1" t="s">
        <x:v>73</x:v>
      </x:c>
      <x:c r="C155" s="1" t="s">
        <x:v>74</x:v>
      </x:c>
      <x:c r="D155" s="7" t="s">
        <x:v>67</x:v>
      </x:c>
      <x:c r="E155" s="7" t="s">
        <x:v>46</x:v>
      </x:c>
      <x:c r="F155" s="12">
        <x:v>0</x:v>
      </x:c>
      <x:c r="G155" s="12">
        <x:f t="shared" si="23"/>
        <x:v>37085.370000000003</x:v>
      </x:c>
      <x:c r="H155" s="12">
        <x:v>0</x:v>
      </x:c>
      <x:c r="I155" s="12">
        <x:f t="shared" si="24"/>
        <x:v>50943.040000000001</x:v>
      </x:c>
      <x:c r="J155" s="12">
        <x:v>0</x:v>
      </x:c>
      <x:c r="K155" s="12">
        <x:f t="shared" si="24"/>
        <x:v>34328.199999999997</x:v>
      </x:c>
      <x:c r="L155" s="12">
        <x:f t="shared" si="19"/>
        <x:v>122356.61</x:v>
      </x:c>
      <x:c r="M155" s="12">
        <x:v>0</x:v>
      </x:c>
      <x:c r="N155" s="12">
        <x:f t="shared" si="25"/>
        <x:v>8809.61</x:v>
      </x:c>
      <x:c r="O155" s="12">
        <x:v>0</x:v>
      </x:c>
      <x:c r="P155" s="12">
        <x:f t="shared" si="26"/>
        <x:v>10720.09</x:v>
      </x:c>
      <x:c r="Q155" s="12">
        <x:v>0</x:v>
      </x:c>
      <x:c r="R155" s="12">
        <x:f t="shared" si="27"/>
        <x:v>9648.32</x:v>
      </x:c>
      <x:c r="S155" s="12"/>
    </x:row>
    <x:row r="156" spans="1:19" x14ac:dyDescent="0.25">
      <x:c r="A156" s="7">
        <x:f t="shared" si="22"/>
        <x:v>145</x:v>
      </x:c>
      <x:c r="B156" s="1" t="s">
        <x:v>75</x:v>
      </x:c>
      <x:c r="C156" s="1" t="s">
        <x:v>76</x:v>
      </x:c>
      <x:c r="D156" s="7" t="s">
        <x:v>72</x:v>
      </x:c>
      <x:c r="E156" s="7" t="s">
        <x:v>46</x:v>
      </x:c>
      <x:c r="F156" s="12">
        <x:v>0</x:v>
      </x:c>
      <x:c r="G156" s="12">
        <x:f t="shared" si="23"/>
        <x:v>0</x:v>
      </x:c>
      <x:c r="H156" s="12">
        <x:v>0</x:v>
      </x:c>
      <x:c r="I156" s="12">
        <x:f t="shared" si="24"/>
        <x:v>0</x:v>
      </x:c>
      <x:c r="J156" s="12">
        <x:v>0</x:v>
      </x:c>
      <x:c r="K156" s="12">
        <x:f t="shared" si="24"/>
        <x:v>0</x:v>
      </x:c>
      <x:c r="L156" s="12">
        <x:f t="shared" si="19"/>
        <x:v>0</x:v>
      </x:c>
      <x:c r="M156" s="12">
        <x:v>0</x:v>
      </x:c>
      <x:c r="N156" s="12">
        <x:f t="shared" si="25"/>
        <x:v>0</x:v>
      </x:c>
      <x:c r="O156" s="12">
        <x:v>0</x:v>
      </x:c>
      <x:c r="P156" s="12">
        <x:f t="shared" si="26"/>
        <x:v>0</x:v>
      </x:c>
      <x:c r="Q156" s="12">
        <x:v>0</x:v>
      </x:c>
      <x:c r="R156" s="12">
        <x:f t="shared" si="27"/>
        <x:v>0</x:v>
      </x:c>
      <x:c r="S156" s="12"/>
    </x:row>
    <x:row r="157" spans="1:19" x14ac:dyDescent="0.25">
      <x:c r="A157" s="7">
        <x:f t="shared" si="22"/>
        <x:v>146</x:v>
      </x:c>
      <x:c r="B157" s="1" t="s">
        <x:v>77</x:v>
      </x:c>
      <x:c r="C157" s="1" t="s">
        <x:v>78</x:v>
      </x:c>
      <x:c r="D157" s="7" t="s">
        <x:v>64</x:v>
      </x:c>
      <x:c r="E157" s="7" t="s">
        <x:v>46</x:v>
      </x:c>
      <x:c r="F157" s="12">
        <x:v>0</x:v>
      </x:c>
      <x:c r="G157" s="12">
        <x:f t="shared" si="23"/>
        <x:v>0</x:v>
      </x:c>
      <x:c r="H157" s="12">
        <x:v>0</x:v>
      </x:c>
      <x:c r="I157" s="12">
        <x:f t="shared" si="24"/>
        <x:v>0</x:v>
      </x:c>
      <x:c r="J157" s="12">
        <x:v>0</x:v>
      </x:c>
      <x:c r="K157" s="12">
        <x:f t="shared" si="24"/>
        <x:v>0</x:v>
      </x:c>
      <x:c r="L157" s="12">
        <x:f t="shared" si="19"/>
        <x:v>0</x:v>
      </x:c>
      <x:c r="M157" s="12">
        <x:v>0</x:v>
      </x:c>
      <x:c r="N157" s="12">
        <x:f t="shared" si="25"/>
        <x:v>0</x:v>
      </x:c>
      <x:c r="O157" s="12">
        <x:v>0</x:v>
      </x:c>
      <x:c r="P157" s="12">
        <x:f t="shared" si="26"/>
        <x:v>0</x:v>
      </x:c>
      <x:c r="Q157" s="12">
        <x:v>0</x:v>
      </x:c>
      <x:c r="R157" s="12">
        <x:f t="shared" si="27"/>
        <x:v>0</x:v>
      </x:c>
      <x:c r="S157" s="12"/>
    </x:row>
    <x:row r="158" spans="1:19" x14ac:dyDescent="0.25">
      <x:c r="A158" s="7">
        <x:f t="shared" si="22"/>
        <x:v>147</x:v>
      </x:c>
      <x:c r="B158" s="1" t="s">
        <x:v>79</x:v>
      </x:c>
      <x:c r="C158" s="1" t="s">
        <x:v>80</x:v>
      </x:c>
      <x:c r="D158" s="7" t="s">
        <x:v>45</x:v>
      </x:c>
      <x:c r="E158" s="7" t="s">
        <x:v>46</x:v>
      </x:c>
      <x:c r="F158" s="12">
        <x:v>0</x:v>
      </x:c>
      <x:c r="G158" s="12">
        <x:f t="shared" si="23"/>
        <x:v>0</x:v>
      </x:c>
      <x:c r="H158" s="12">
        <x:v>0</x:v>
      </x:c>
      <x:c r="I158" s="12">
        <x:f t="shared" si="24"/>
        <x:v>0</x:v>
      </x:c>
      <x:c r="J158" s="12">
        <x:v>0</x:v>
      </x:c>
      <x:c r="K158" s="12">
        <x:f t="shared" si="24"/>
        <x:v>0</x:v>
      </x:c>
      <x:c r="L158" s="12">
        <x:f t="shared" si="19"/>
        <x:v>0</x:v>
      </x:c>
      <x:c r="M158" s="12">
        <x:v>0</x:v>
      </x:c>
      <x:c r="N158" s="12">
        <x:f t="shared" si="25"/>
        <x:v>0</x:v>
      </x:c>
      <x:c r="O158" s="12">
        <x:v>0</x:v>
      </x:c>
      <x:c r="P158" s="12">
        <x:f t="shared" si="26"/>
        <x:v>0</x:v>
      </x:c>
      <x:c r="Q158" s="12">
        <x:v>0</x:v>
      </x:c>
      <x:c r="R158" s="12">
        <x:f t="shared" si="27"/>
        <x:v>0</x:v>
      </x:c>
      <x:c r="S158" s="12"/>
    </x:row>
    <x:row r="159" spans="1:19" x14ac:dyDescent="0.25">
      <x:c r="A159" s="7">
        <x:f t="shared" si="22"/>
        <x:v>148</x:v>
      </x:c>
      <x:c r="B159" s="10" t="s">
        <x:v>81</x:v>
      </x:c>
      <x:c r="C159" s="1" t="s">
        <x:v>82</x:v>
      </x:c>
      <x:c r="D159" s="7" t="s">
        <x:v>49</x:v>
      </x:c>
      <x:c r="E159" s="7" t="s">
        <x:v>46</x:v>
      </x:c>
      <x:c r="F159" s="12">
        <x:v>0</x:v>
      </x:c>
      <x:c r="G159" s="12">
        <x:f t="shared" si="23"/>
        <x:v>0</x:v>
      </x:c>
      <x:c r="H159" s="12">
        <x:v>0</x:v>
      </x:c>
      <x:c r="I159" s="12">
        <x:f t="shared" si="24"/>
        <x:v>0</x:v>
      </x:c>
      <x:c r="J159" s="12">
        <x:v>0</x:v>
      </x:c>
      <x:c r="K159" s="12">
        <x:f t="shared" si="24"/>
        <x:v>0</x:v>
      </x:c>
      <x:c r="L159" s="12">
        <x:f t="shared" si="19"/>
        <x:v>0</x:v>
      </x:c>
      <x:c r="M159" s="12">
        <x:v>0</x:v>
      </x:c>
      <x:c r="N159" s="12">
        <x:f t="shared" si="25"/>
        <x:v>0</x:v>
      </x:c>
      <x:c r="O159" s="12">
        <x:v>0</x:v>
      </x:c>
      <x:c r="P159" s="12">
        <x:f t="shared" si="26"/>
        <x:v>0</x:v>
      </x:c>
      <x:c r="Q159" s="12">
        <x:v>0</x:v>
      </x:c>
      <x:c r="R159" s="12">
        <x:f t="shared" si="27"/>
        <x:v>0</x:v>
      </x:c>
      <x:c r="S159" s="12"/>
    </x:row>
    <x:row r="160" spans="1:19" x14ac:dyDescent="0.25">
      <x:c r="A160" s="7">
        <x:f t="shared" si="22"/>
        <x:v>149</x:v>
      </x:c>
      <x:c r="B160" s="1" t="s">
        <x:v>83</x:v>
      </x:c>
      <x:c r="C160" s="1" t="s">
        <x:v>84</x:v>
      </x:c>
      <x:c r="D160" s="7" t="s">
        <x:v>85</x:v>
      </x:c>
      <x:c r="E160" s="7" t="s">
        <x:v>86</x:v>
      </x:c>
      <x:c r="F160" s="12">
        <x:v>0</x:v>
      </x:c>
      <x:c r="G160" s="12">
        <x:f t="shared" si="23"/>
        <x:v>0</x:v>
      </x:c>
      <x:c r="H160" s="12">
        <x:v>0</x:v>
      </x:c>
      <x:c r="I160" s="12">
        <x:f t="shared" ref="I160:K165" si="29">ROUND(+I30*$E$142,2)</x:f>
        <x:v>0</x:v>
      </x:c>
      <x:c r="J160" s="12">
        <x:v>0</x:v>
      </x:c>
      <x:c r="K160" s="12">
        <x:f t="shared" si="29"/>
        <x:v>0</x:v>
      </x:c>
      <x:c r="L160" s="12">
        <x:f t="shared" si="19"/>
        <x:v>0</x:v>
      </x:c>
      <x:c r="M160" s="12">
        <x:v>0</x:v>
      </x:c>
      <x:c r="N160" s="12">
        <x:f t="shared" si="25"/>
        <x:v>0</x:v>
      </x:c>
      <x:c r="O160" s="12">
        <x:v>0</x:v>
      </x:c>
      <x:c r="P160" s="12">
        <x:f t="shared" si="26"/>
        <x:v>0</x:v>
      </x:c>
      <x:c r="Q160" s="12">
        <x:v>0</x:v>
      </x:c>
      <x:c r="R160" s="12">
        <x:f t="shared" si="27"/>
        <x:v>0</x:v>
      </x:c>
      <x:c r="S160" s="12"/>
    </x:row>
    <x:row r="161" spans="1:20" x14ac:dyDescent="0.25">
      <x:c r="A161" s="7">
        <x:f t="shared" si="22"/>
        <x:v>150</x:v>
      </x:c>
      <x:c r="B161" s="1" t="s">
        <x:v>87</x:v>
      </x:c>
      <x:c r="C161" s="1" t="s">
        <x:v>88</x:v>
      </x:c>
      <x:c r="D161" s="7" t="s">
        <x:v>89</x:v>
      </x:c>
      <x:c r="E161" s="7" t="s">
        <x:v>86</x:v>
      </x:c>
      <x:c r="F161" s="12">
        <x:v>0</x:v>
      </x:c>
      <x:c r="G161" s="12">
        <x:f t="shared" si="23"/>
        <x:v>0</x:v>
      </x:c>
      <x:c r="H161" s="12">
        <x:v>0</x:v>
      </x:c>
      <x:c r="I161" s="12">
        <x:f t="shared" si="29"/>
        <x:v>0</x:v>
      </x:c>
      <x:c r="J161" s="12">
        <x:v>0</x:v>
      </x:c>
      <x:c r="K161" s="12">
        <x:f t="shared" si="29"/>
        <x:v>0</x:v>
      </x:c>
      <x:c r="L161" s="12">
        <x:f t="shared" si="19"/>
        <x:v>0</x:v>
      </x:c>
      <x:c r="M161" s="12">
        <x:v>0</x:v>
      </x:c>
      <x:c r="N161" s="12">
        <x:f t="shared" si="25"/>
        <x:v>0</x:v>
      </x:c>
      <x:c r="O161" s="12">
        <x:v>0</x:v>
      </x:c>
      <x:c r="P161" s="12">
        <x:f t="shared" si="26"/>
        <x:v>0</x:v>
      </x:c>
      <x:c r="Q161" s="12">
        <x:v>0</x:v>
      </x:c>
      <x:c r="R161" s="12">
        <x:f t="shared" si="27"/>
        <x:v>0</x:v>
      </x:c>
      <x:c r="S161" s="12"/>
    </x:row>
    <x:row r="162" spans="1:20" x14ac:dyDescent="0.25">
      <x:c r="A162" s="7">
        <x:f t="shared" si="22"/>
        <x:v>151</x:v>
      </x:c>
      <x:c r="B162" s="1" t="s">
        <x:v>90</x:v>
      </x:c>
      <x:c r="C162" s="1" t="s">
        <x:v>91</x:v>
      </x:c>
      <x:c r="D162" s="7" t="s">
        <x:v>92</x:v>
      </x:c>
      <x:c r="E162" s="7" t="s">
        <x:v>46</x:v>
      </x:c>
      <x:c r="F162" s="12">
        <x:v>0</x:v>
      </x:c>
      <x:c r="G162" s="12">
        <x:f t="shared" si="23"/>
        <x:v>0</x:v>
      </x:c>
      <x:c r="H162" s="12">
        <x:v>0</x:v>
      </x:c>
      <x:c r="I162" s="12">
        <x:f t="shared" si="29"/>
        <x:v>0</x:v>
      </x:c>
      <x:c r="J162" s="12">
        <x:v>0</x:v>
      </x:c>
      <x:c r="K162" s="12">
        <x:f t="shared" si="29"/>
        <x:v>0</x:v>
      </x:c>
      <x:c r="L162" s="12">
        <x:f t="shared" si="19"/>
        <x:v>0</x:v>
      </x:c>
      <x:c r="M162" s="12">
        <x:v>0</x:v>
      </x:c>
      <x:c r="N162" s="12">
        <x:f t="shared" si="25"/>
        <x:v>0</x:v>
      </x:c>
      <x:c r="O162" s="12">
        <x:v>0</x:v>
      </x:c>
      <x:c r="P162" s="12">
        <x:f t="shared" si="26"/>
        <x:v>0</x:v>
      </x:c>
      <x:c r="Q162" s="12">
        <x:v>0</x:v>
      </x:c>
      <x:c r="R162" s="12">
        <x:f t="shared" si="27"/>
        <x:v>0</x:v>
      </x:c>
      <x:c r="S162" s="12"/>
    </x:row>
    <x:row r="163" spans="1:20" x14ac:dyDescent="0.25">
      <x:c r="A163" s="7">
        <x:f t="shared" si="22"/>
        <x:v>152</x:v>
      </x:c>
      <x:c r="B163" s="1" t="s">
        <x:v>93</x:v>
      </x:c>
      <x:c r="C163" s="1" t="s">
        <x:v>94</x:v>
      </x:c>
      <x:c r="D163" s="7" t="s">
        <x:v>95</x:v>
      </x:c>
      <x:c r="E163" s="7" t="s">
        <x:v>46</x:v>
      </x:c>
      <x:c r="F163" s="12">
        <x:v>0</x:v>
      </x:c>
      <x:c r="G163" s="12">
        <x:f t="shared" si="23"/>
        <x:v>0</x:v>
      </x:c>
      <x:c r="H163" s="12">
        <x:v>0</x:v>
      </x:c>
      <x:c r="I163" s="12">
        <x:f t="shared" si="29"/>
        <x:v>0</x:v>
      </x:c>
      <x:c r="J163" s="12">
        <x:v>0</x:v>
      </x:c>
      <x:c r="K163" s="12">
        <x:f t="shared" si="29"/>
        <x:v>0</x:v>
      </x:c>
      <x:c r="L163" s="12">
        <x:f t="shared" si="19"/>
        <x:v>0</x:v>
      </x:c>
      <x:c r="M163" s="12">
        <x:v>0</x:v>
      </x:c>
      <x:c r="N163" s="12">
        <x:f t="shared" si="25"/>
        <x:v>0</x:v>
      </x:c>
      <x:c r="O163" s="12">
        <x:v>0</x:v>
      </x:c>
      <x:c r="P163" s="12">
        <x:f t="shared" si="26"/>
        <x:v>0</x:v>
      </x:c>
      <x:c r="Q163" s="12">
        <x:v>0</x:v>
      </x:c>
      <x:c r="R163" s="12">
        <x:f t="shared" si="27"/>
        <x:v>0</x:v>
      </x:c>
      <x:c r="S163" s="12"/>
    </x:row>
    <x:row r="164" spans="1:20" x14ac:dyDescent="0.25">
      <x:c r="A164" s="7">
        <x:f t="shared" si="22"/>
        <x:v>153</x:v>
      </x:c>
      <x:c r="B164" s="1" t="s">
        <x:v>96</x:v>
      </x:c>
      <x:c r="C164" s="1" t="s">
        <x:v>97</x:v>
      </x:c>
      <x:c r="D164" s="7" t="s">
        <x:v>98</x:v>
      </x:c>
      <x:c r="F164" s="12">
        <x:v>0</x:v>
      </x:c>
      <x:c r="G164" s="12">
        <x:f t="shared" si="23"/>
        <x:v>1283.8800000000001</x:v>
      </x:c>
      <x:c r="H164" s="12">
        <x:v>0</x:v>
      </x:c>
      <x:c r="I164" s="12">
        <x:f t="shared" si="29"/>
        <x:v>634.1</x:v>
      </x:c>
      <x:c r="J164" s="12">
        <x:v>0</x:v>
      </x:c>
      <x:c r="K164" s="12">
        <x:f t="shared" si="29"/>
        <x:v>652.21</x:v>
      </x:c>
      <x:c r="L164" s="12">
        <x:f t="shared" si="19"/>
        <x:v>2570.19</x:v>
      </x:c>
      <x:c r="M164" s="12">
        <x:v>0</x:v>
      </x:c>
      <x:c r="N164" s="12">
        <x:f t="shared" si="25"/>
        <x:v>0</x:v>
      </x:c>
      <x:c r="O164" s="12">
        <x:v>0</x:v>
      </x:c>
      <x:c r="P164" s="12">
        <x:f t="shared" si="26"/>
        <x:v>0</x:v>
      </x:c>
      <x:c r="Q164" s="12">
        <x:v>0</x:v>
      </x:c>
      <x:c r="R164" s="12">
        <x:f t="shared" si="27"/>
        <x:v>0</x:v>
      </x:c>
      <x:c r="S164" s="12"/>
    </x:row>
    <x:row r="165" spans="1:20" x14ac:dyDescent="0.25">
      <x:c r="A165" s="7">
        <x:f t="shared" si="22"/>
        <x:v>154</x:v>
      </x:c>
      <x:c r="B165" s="1" t="s">
        <x:v>99</x:v>
      </x:c>
      <x:c r="C165" s="1" t="s">
        <x:v>100</x:v>
      </x:c>
      <x:c r="D165" s="7" t="s">
        <x:v>89</x:v>
      </x:c>
      <x:c r="E165" s="7" t="s">
        <x:v>86</x:v>
      </x:c>
      <x:c r="F165" s="12">
        <x:v>0</x:v>
      </x:c>
      <x:c r="G165" s="12">
        <x:f t="shared" si="23"/>
        <x:v>8636.34</x:v>
      </x:c>
      <x:c r="H165" s="12">
        <x:v>0</x:v>
      </x:c>
      <x:c r="I165" s="12">
        <x:f t="shared" si="29"/>
        <x:v>2235.35</x:v>
      </x:c>
      <x:c r="J165" s="12">
        <x:v>0</x:v>
      </x:c>
      <x:c r="K165" s="12">
        <x:f t="shared" si="29"/>
        <x:v>9154.93</x:v>
      </x:c>
      <x:c r="L165" s="12">
        <x:f t="shared" si="19"/>
        <x:v>20026.620000000003</x:v>
      </x:c>
      <x:c r="M165" s="12">
        <x:v>0</x:v>
      </x:c>
      <x:c r="N165" s="12">
        <x:f t="shared" si="25"/>
        <x:v>317.12</x:v>
      </x:c>
      <x:c r="O165" s="12">
        <x:v>0</x:v>
      </x:c>
      <x:c r="P165" s="12">
        <x:f t="shared" si="26"/>
        <x:v>499.38</x:v>
      </x:c>
      <x:c r="Q165" s="12">
        <x:v>0</x:v>
      </x:c>
      <x:c r="R165" s="12">
        <x:f t="shared" si="27"/>
        <x:v>499.39</x:v>
      </x:c>
      <x:c r="S165" s="12"/>
    </x:row>
    <x:row r="166" spans="1:20" ht="13" x14ac:dyDescent="0.3">
      <x:c r="A166" s="7">
        <x:f t="shared" si="22"/>
        <x:v>155</x:v>
      </x:c>
      <x:c r="B166" s="14" t="s">
        <x:v>110</x:v>
      </x:c>
      <x:c r="F166" s="19">
        <x:f t="shared" ref="F166:S166" si="30">SUM(F143:F165)</x:f>
        <x:v>0</x:v>
      </x:c>
      <x:c r="G166" s="19">
        <x:f t="shared" si="30"/>
        <x:v>49928.619999999995</x:v>
      </x:c>
      <x:c r="H166" s="19">
        <x:f t="shared" si="30"/>
        <x:v>0</x:v>
      </x:c>
      <x:c r="I166" s="19">
        <x:f t="shared" si="30"/>
        <x:v>54226.54</x:v>
      </x:c>
      <x:c r="J166" s="19">
        <x:f t="shared" ref="J166:K166" si="31">SUM(J143:J165)</x:f>
        <x:v>0</x:v>
      </x:c>
      <x:c r="K166" s="19">
        <x:f t="shared" si="31"/>
        <x:v>48600.09</x:v>
      </x:c>
      <x:c r="L166" s="19">
        <x:f t="shared" si="19"/>
        <x:v>152755.25</x:v>
      </x:c>
      <x:c r="M166" s="19">
        <x:f t="shared" si="30"/>
        <x:v>0</x:v>
      </x:c>
      <x:c r="N166" s="19">
        <x:f t="shared" si="30"/>
        <x:v>9521.3300000000017</x:v>
      </x:c>
      <x:c r="O166" s="19">
        <x:f t="shared" si="30"/>
        <x:v>0</x:v>
      </x:c>
      <x:c r="P166" s="19">
        <x:f t="shared" si="30"/>
        <x:v>11792.82</x:v>
      </x:c>
      <x:c r="Q166" s="19">
        <x:f t="shared" si="30"/>
        <x:v>0</x:v>
      </x:c>
      <x:c r="R166" s="19">
        <x:f t="shared" si="30"/>
        <x:v>10672.519999999999</x:v>
      </x:c>
      <x:c r="S166" s="19">
        <x:f t="shared" si="30"/>
        <x:v>0</x:v>
      </x:c>
      <x:c r="T166" s="19">
        <x:f>+ROUND(T36*E142,2)</x:f>
        <x:v>-1775683.33</x:v>
      </x:c>
    </x:row>
    <x:row r="167" spans="1:20" x14ac:dyDescent="0.25">
      <x:c r="A167" s="7">
        <x:f t="shared" si="22"/>
        <x:v>156</x:v>
      </x:c>
      <x:c r="L167" s="1">
        <x:f t="shared" si="19"/>
        <x:v>0</x:v>
      </x:c>
    </x:row>
    <x:row r="168" spans="1:20" ht="13" x14ac:dyDescent="0.3">
      <x:c r="A168" s="7">
        <x:f t="shared" si="22"/>
        <x:v>157</x:v>
      </x:c>
      <x:c r="B168" s="18" t="s">
        <x:v>111</x:v>
      </x:c>
      <x:c r="C168" s="8"/>
      <x:c r="D168" s="8"/>
      <x:c r="E168" s="26">
        <x:f>+'[2]II-F Alloc_Factor'!$L$38</x:f>
        <x:v>1.5560787538446273E-2</x:v>
      </x:c>
      <x:c r="L168" s="1">
        <x:f t="shared" si="19"/>
        <x:v>0</x:v>
      </x:c>
    </x:row>
    <x:row r="169" spans="1:20" x14ac:dyDescent="0.25">
      <x:c r="A169" s="7">
        <x:f t="shared" si="22"/>
        <x:v>158</x:v>
      </x:c>
      <x:c r="B169" s="10" t="s">
        <x:v>43</x:v>
      </x:c>
      <x:c r="C169" s="1" t="s">
        <x:v>44</x:v>
      </x:c>
      <x:c r="D169" s="7" t="s">
        <x:v>45</x:v>
      </x:c>
      <x:c r="E169" s="7" t="s">
        <x:v>46</x:v>
      </x:c>
      <x:c r="F169" s="12">
        <x:f>ROUND(+'WP II-E-3.3'!F13*$E$168,2)</x:f>
        <x:v>73022.38</x:v>
      </x:c>
      <x:c r="G169" s="12">
        <x:v>0</x:v>
      </x:c>
      <x:c r="H169" s="12">
        <x:f>ROUND(+'WP II-E-3.3'!H13*$E$168,2)</x:f>
        <x:v>19273.330000000002</x:v>
      </x:c>
      <x:c r="I169" s="12">
        <x:v>0</x:v>
      </x:c>
      <x:c r="J169" s="12">
        <x:f>ROUND(+'WP II-E-3.3'!J13*$E$168,2)</x:f>
        <x:v>62083.68</x:v>
      </x:c>
      <x:c r="K169" s="12">
        <x:v>0</x:v>
      </x:c>
      <x:c r="L169" s="12">
        <x:f t="shared" si="19"/>
        <x:v>154379.39000000001</x:v>
      </x:c>
      <x:c r="M169" s="12">
        <x:f>ROUND(+'WP II-E-3.3'!M13*$E$168,2)</x:f>
        <x:v>22323.47</x:v>
      </x:c>
      <x:c r="N169" s="12">
        <x:v>0</x:v>
      </x:c>
      <x:c r="O169" s="12">
        <x:f>ROUND(+'WP II-E-3.3'!O13*$E$168,2)</x:f>
        <x:v>29471.02</x:v>
      </x:c>
      <x:c r="P169" s="12">
        <x:v>0</x:v>
      </x:c>
      <x:c r="Q169" s="12">
        <x:f>ROUND(+'WP II-E-3.3'!Q13*$E$168,2)</x:f>
        <x:v>21234.45</x:v>
      </x:c>
      <x:c r="R169" s="12">
        <x:v>0</x:v>
      </x:c>
    </x:row>
    <x:row r="170" spans="1:20" x14ac:dyDescent="0.25">
      <x:c r="A170" s="7">
        <x:f t="shared" si="22"/>
        <x:v>159</x:v>
      </x:c>
      <x:c r="B170" s="10" t="s">
        <x:v>47</x:v>
      </x:c>
      <x:c r="C170" s="1" t="s">
        <x:v>48</x:v>
      </x:c>
      <x:c r="D170" s="7" t="s">
        <x:v>49</x:v>
      </x:c>
      <x:c r="E170" s="7" t="s">
        <x:v>46</x:v>
      </x:c>
      <x:c r="F170" s="12">
        <x:f>ROUND(+'WP II-E-3.3'!F14*$E$168,2)</x:f>
        <x:v>368391.22</x:v>
      </x:c>
      <x:c r="G170" s="12">
        <x:v>0</x:v>
      </x:c>
      <x:c r="H170" s="12">
        <x:f>ROUND(+'WP II-E-3.3'!H14*$E$168,2)</x:f>
        <x:v>195217.82</x:v>
      </x:c>
      <x:c r="I170" s="12">
        <x:v>0</x:v>
      </x:c>
      <x:c r="J170" s="12">
        <x:f>ROUND(+'WP II-E-3.3'!J14*$E$168,2)</x:f>
        <x:v>335398.96999999997</x:v>
      </x:c>
      <x:c r="K170" s="12">
        <x:v>0</x:v>
      </x:c>
      <x:c r="L170" s="12">
        <x:f t="shared" si="19"/>
        <x:v>899008.01</x:v>
      </x:c>
      <x:c r="M170" s="12">
        <x:f>ROUND(+'WP II-E-3.3'!M14*$E$168,2)</x:f>
        <x:v>176754.48</x:v>
      </x:c>
      <x:c r="N170" s="12">
        <x:v>0</x:v>
      </x:c>
      <x:c r="O170" s="12">
        <x:f>ROUND(+'WP II-E-3.3'!O14*$E$168,2)</x:f>
        <x:v>205088.76</x:v>
      </x:c>
      <x:c r="P170" s="12">
        <x:v>0</x:v>
      </x:c>
      <x:c r="Q170" s="12">
        <x:f>ROUND(+'WP II-E-3.3'!Q14*$E$168,2)</x:f>
        <x:v>135092.71</x:v>
      </x:c>
      <x:c r="R170" s="12">
        <x:v>0</x:v>
      </x:c>
    </x:row>
    <x:row r="171" spans="1:20" x14ac:dyDescent="0.25">
      <x:c r="A171" s="7">
        <x:f t="shared" si="22"/>
        <x:v>160</x:v>
      </x:c>
      <x:c r="B171" s="10" t="s">
        <x:v>50</x:v>
      </x:c>
      <x:c r="C171" s="1" t="s">
        <x:v>51</x:v>
      </x:c>
      <x:c r="D171" s="7" t="s">
        <x:v>49</x:v>
      </x:c>
      <x:c r="E171" s="7" t="s">
        <x:v>46</x:v>
      </x:c>
      <x:c r="F171" s="12">
        <x:f>ROUND(+'WP II-E-3.3'!F15*$E$168,2)</x:f>
        <x:v>0</x:v>
      </x:c>
      <x:c r="G171" s="12">
        <x:v>0</x:v>
      </x:c>
      <x:c r="H171" s="12">
        <x:f>ROUND(+'WP II-E-3.3'!H15*$E$168,2)</x:f>
        <x:v>0</x:v>
      </x:c>
      <x:c r="I171" s="12">
        <x:v>0</x:v>
      </x:c>
      <x:c r="J171" s="12">
        <x:f>ROUND(+'WP II-E-3.3'!J15*$E$168,2)</x:f>
        <x:v>108.62</x:v>
      </x:c>
      <x:c r="K171" s="12">
        <x:v>0</x:v>
      </x:c>
      <x:c r="L171" s="12">
        <x:f t="shared" si="19"/>
        <x:v>108.62</x:v>
      </x:c>
      <x:c r="M171" s="12">
        <x:f>ROUND(+'WP II-E-3.3'!M15*$E$168,2)</x:f>
        <x:v>39.21</x:v>
      </x:c>
      <x:c r="N171" s="12">
        <x:v>0</x:v>
      </x:c>
      <x:c r="O171" s="12">
        <x:f>ROUND(+'WP II-E-3.3'!O15*$E$168,2)</x:f>
        <x:v>27.76</x:v>
      </x:c>
      <x:c r="P171" s="12">
        <x:v>0</x:v>
      </x:c>
      <x:c r="Q171" s="12">
        <x:f>ROUND(+'WP II-E-3.3'!Q15*$E$168,2)</x:f>
        <x:v>16.66</x:v>
      </x:c>
      <x:c r="R171" s="12">
        <x:v>0</x:v>
      </x:c>
    </x:row>
    <x:row r="172" spans="1:20" x14ac:dyDescent="0.25">
      <x:c r="A172" s="7">
        <x:f t="shared" si="22"/>
        <x:v>161</x:v>
      </x:c>
      <x:c r="B172" s="10" t="s">
        <x:v>52</x:v>
      </x:c>
      <x:c r="C172" s="1" t="s">
        <x:v>53</x:v>
      </x:c>
      <x:c r="D172" s="7" t="s">
        <x:v>49</x:v>
      </x:c>
      <x:c r="E172" s="7" t="s">
        <x:v>46</x:v>
      </x:c>
      <x:c r="F172" s="12">
        <x:f>ROUND(+'WP II-E-3.3'!F16*$E$168,2)</x:f>
        <x:v>0</x:v>
      </x:c>
      <x:c r="G172" s="12">
        <x:v>0</x:v>
      </x:c>
      <x:c r="H172" s="12">
        <x:f>ROUND(+'WP II-E-3.3'!H16*$E$168,2)</x:f>
        <x:v>0</x:v>
      </x:c>
      <x:c r="I172" s="12">
        <x:v>0</x:v>
      </x:c>
      <x:c r="J172" s="12">
        <x:f>ROUND(+'WP II-E-3.3'!J16*$E$168,2)</x:f>
        <x:v>0</x:v>
      </x:c>
      <x:c r="K172" s="12">
        <x:v>0</x:v>
      </x:c>
      <x:c r="L172" s="12">
        <x:f t="shared" si="19"/>
        <x:v>0</x:v>
      </x:c>
      <x:c r="M172" s="12">
        <x:f>ROUND(+'WP II-E-3.3'!M16*$E$168,2)</x:f>
        <x:v>0</x:v>
      </x:c>
      <x:c r="N172" s="12">
        <x:v>0</x:v>
      </x:c>
      <x:c r="O172" s="12">
        <x:f>ROUND(+'WP II-E-3.3'!O16*$E$168,2)</x:f>
        <x:v>0</x:v>
      </x:c>
      <x:c r="P172" s="12">
        <x:v>0</x:v>
      </x:c>
      <x:c r="Q172" s="12">
        <x:f>ROUND(+'WP II-E-3.3'!Q16*$E$168,2)</x:f>
        <x:v>0</x:v>
      </x:c>
      <x:c r="R172" s="12">
        <x:v>0</x:v>
      </x:c>
    </x:row>
    <x:row r="173" spans="1:20" x14ac:dyDescent="0.25">
      <x:c r="A173" s="7">
        <x:f t="shared" si="22"/>
        <x:v>162</x:v>
      </x:c>
      <x:c r="B173" s="10" t="s">
        <x:v>54</x:v>
      </x:c>
      <x:c r="C173" s="1" t="s">
        <x:v>55</x:v>
      </x:c>
      <x:c r="D173" s="7" t="s">
        <x:v>49</x:v>
      </x:c>
      <x:c r="E173" s="7" t="s">
        <x:v>46</x:v>
      </x:c>
      <x:c r="F173" s="12">
        <x:f>ROUND(+'WP II-E-3.3'!F17*$E$168,2)</x:f>
        <x:v>10539.04</x:v>
      </x:c>
      <x:c r="G173" s="12">
        <x:v>0</x:v>
      </x:c>
      <x:c r="H173" s="12">
        <x:f>ROUND(+'WP II-E-3.3'!H17*$E$168,2)</x:f>
        <x:v>10320.65</x:v>
      </x:c>
      <x:c r="I173" s="12">
        <x:v>0</x:v>
      </x:c>
      <x:c r="J173" s="12">
        <x:f>ROUND(+'WP II-E-3.3'!J17*$E$168,2)</x:f>
        <x:v>3391.4</x:v>
      </x:c>
      <x:c r="K173" s="12">
        <x:v>0</x:v>
      </x:c>
      <x:c r="L173" s="12">
        <x:f t="shared" si="19"/>
        <x:v>24251.090000000004</x:v>
      </x:c>
      <x:c r="M173" s="12">
        <x:f>ROUND(+'WP II-E-3.3'!M17*$E$168,2)</x:f>
        <x:v>5890.75</x:v>
      </x:c>
      <x:c r="N173" s="12">
        <x:v>0</x:v>
      </x:c>
      <x:c r="O173" s="12">
        <x:f>ROUND(+'WP II-E-3.3'!O17*$E$168,2)</x:f>
        <x:v>4634.07</x:v>
      </x:c>
      <x:c r="P173" s="12">
        <x:v>0</x:v>
      </x:c>
      <x:c r="Q173" s="12">
        <x:f>ROUND(+'WP II-E-3.3'!Q17*$E$168,2)</x:f>
        <x:v>3096.9</x:v>
      </x:c>
      <x:c r="R173" s="12">
        <x:v>0</x:v>
      </x:c>
    </x:row>
    <x:row r="174" spans="1:20" x14ac:dyDescent="0.25">
      <x:c r="A174" s="7">
        <x:f t="shared" si="22"/>
        <x:v>163</x:v>
      </x:c>
      <x:c r="B174" s="10" t="s">
        <x:v>56</x:v>
      </x:c>
      <x:c r="C174" s="1" t="s">
        <x:v>57</x:v>
      </x:c>
      <x:c r="D174" s="7" t="s">
        <x:v>49</x:v>
      </x:c>
      <x:c r="E174" s="7" t="s">
        <x:v>46</x:v>
      </x:c>
      <x:c r="F174" s="12">
        <x:f>ROUND(+'WP II-E-3.3'!F18*$E$168,2)</x:f>
        <x:v>0</x:v>
      </x:c>
      <x:c r="G174" s="12">
        <x:v>0</x:v>
      </x:c>
      <x:c r="H174" s="12">
        <x:f>ROUND(+'WP II-E-3.3'!H18*$E$168,2)</x:f>
        <x:v>0</x:v>
      </x:c>
      <x:c r="I174" s="12">
        <x:v>0</x:v>
      </x:c>
      <x:c r="J174" s="12">
        <x:f>ROUND(+'WP II-E-3.3'!J18*$E$168,2)</x:f>
        <x:v>0</x:v>
      </x:c>
      <x:c r="K174" s="12">
        <x:v>0</x:v>
      </x:c>
      <x:c r="L174" s="12">
        <x:f t="shared" si="19"/>
        <x:v>0</x:v>
      </x:c>
      <x:c r="M174" s="12">
        <x:f>ROUND(+'WP II-E-3.3'!M18*$E$168,2)</x:f>
        <x:v>0</x:v>
      </x:c>
      <x:c r="N174" s="12">
        <x:v>0</x:v>
      </x:c>
      <x:c r="O174" s="12">
        <x:f>ROUND(+'WP II-E-3.3'!O18*$E$168,2)</x:f>
        <x:v>0</x:v>
      </x:c>
      <x:c r="P174" s="12">
        <x:v>0</x:v>
      </x:c>
      <x:c r="Q174" s="12">
        <x:f>ROUND(+'WP II-E-3.3'!Q18*$E$168,2)</x:f>
        <x:v>0</x:v>
      </x:c>
      <x:c r="R174" s="12">
        <x:v>0</x:v>
      </x:c>
    </x:row>
    <x:row r="175" spans="1:20" x14ac:dyDescent="0.25">
      <x:c r="A175" s="7">
        <x:f t="shared" si="22"/>
        <x:v>164</x:v>
      </x:c>
      <x:c r="B175" s="10" t="s">
        <x:v>58</x:v>
      </x:c>
      <x:c r="C175" s="1" t="s">
        <x:v>59</x:v>
      </x:c>
      <x:c r="D175" s="7" t="s">
        <x:v>49</x:v>
      </x:c>
      <x:c r="E175" s="7" t="s">
        <x:v>46</x:v>
      </x:c>
      <x:c r="F175" s="12">
        <x:f>ROUND(+'WP II-E-3.3'!F19*$E$168,2)</x:f>
        <x:v>1063.46</x:v>
      </x:c>
      <x:c r="G175" s="12">
        <x:v>0</x:v>
      </x:c>
      <x:c r="H175" s="12">
        <x:f>ROUND(+'WP II-E-3.3'!H19*$E$168,2)</x:f>
        <x:v>3122.03</x:v>
      </x:c>
      <x:c r="I175" s="12">
        <x:v>0</x:v>
      </x:c>
      <x:c r="J175" s="12">
        <x:f>ROUND(+'WP II-E-3.3'!J19*$E$168,2)</x:f>
        <x:v>40931.47</x:v>
      </x:c>
      <x:c r="K175" s="12">
        <x:v>0</x:v>
      </x:c>
      <x:c r="L175" s="12">
        <x:f t="shared" si="19"/>
        <x:v>45116.959999999999</x:v>
      </x:c>
      <x:c r="M175" s="12">
        <x:f>ROUND(+'WP II-E-3.3'!M19*$E$168,2)</x:f>
        <x:v>3277.71</x:v>
      </x:c>
      <x:c r="N175" s="12">
        <x:v>0</x:v>
      </x:c>
      <x:c r="O175" s="12">
        <x:f>ROUND(+'WP II-E-3.3'!O19*$E$168,2)</x:f>
        <x:v>16289.69</x:v>
      </x:c>
      <x:c r="P175" s="12">
        <x:v>0</x:v>
      </x:c>
      <x:c r="Q175" s="12">
        <x:f>ROUND(+'WP II-E-3.3'!Q19*$E$168,2)</x:f>
        <x:v>9809.0300000000007</x:v>
      </x:c>
      <x:c r="R175" s="12">
        <x:v>0</x:v>
      </x:c>
    </x:row>
    <x:row r="176" spans="1:20" x14ac:dyDescent="0.25">
      <x:c r="A176" s="7">
        <x:f t="shared" si="22"/>
        <x:v>165</x:v>
      </x:c>
      <x:c r="B176" s="10" t="s">
        <x:v>60</x:v>
      </x:c>
      <x:c r="C176" s="1" t="s">
        <x:v>61</x:v>
      </x:c>
      <x:c r="D176" s="7" t="s">
        <x:v>49</x:v>
      </x:c>
      <x:c r="E176" s="7" t="s">
        <x:v>46</x:v>
      </x:c>
      <x:c r="F176" s="12">
        <x:f>ROUND(+'WP II-E-3.3'!F20*$E$168,2)</x:f>
        <x:v>6214.76</x:v>
      </x:c>
      <x:c r="G176" s="12">
        <x:v>0</x:v>
      </x:c>
      <x:c r="H176" s="12">
        <x:f>ROUND(+'WP II-E-3.3'!H20*$E$168,2)</x:f>
        <x:v>16424.57</x:v>
      </x:c>
      <x:c r="I176" s="12">
        <x:v>0</x:v>
      </x:c>
      <x:c r="J176" s="12">
        <x:f>ROUND(+'WP II-E-3.3'!J20*$E$168,2)</x:f>
        <x:v>8926.32</x:v>
      </x:c>
      <x:c r="K176" s="12">
        <x:v>0</x:v>
      </x:c>
      <x:c r="L176" s="12">
        <x:f t="shared" si="19"/>
        <x:v>31565.65</x:v>
      </x:c>
      <x:c r="M176" s="12">
        <x:f>ROUND(+'WP II-E-3.3'!M20*$E$168,2)</x:f>
        <x:v>7302.75</x:v>
      </x:c>
      <x:c r="N176" s="12">
        <x:v>0</x:v>
      </x:c>
      <x:c r="O176" s="12">
        <x:f>ROUND(+'WP II-E-3.3'!O20*$E$168,2)</x:f>
        <x:v>7203.41</x:v>
      </x:c>
      <x:c r="P176" s="12">
        <x:v>0</x:v>
      </x:c>
      <x:c r="Q176" s="12">
        <x:f>ROUND(+'WP II-E-3.3'!Q20*$E$168,2)</x:f>
        <x:v>4540.3</x:v>
      </x:c>
      <x:c r="R176" s="12">
        <x:v>0</x:v>
      </x:c>
    </x:row>
    <x:row r="177" spans="1:20" x14ac:dyDescent="0.25">
      <x:c r="A177" s="7">
        <x:f t="shared" si="22"/>
        <x:v>166</x:v>
      </x:c>
      <x:c r="B177" s="10" t="s">
        <x:v>62</x:v>
      </x:c>
      <x:c r="C177" s="1" t="s">
        <x:v>63</x:v>
      </x:c>
      <x:c r="D177" s="7" t="s">
        <x:v>64</x:v>
      </x:c>
      <x:c r="E177" s="7" t="s">
        <x:v>46</x:v>
      </x:c>
      <x:c r="F177" s="12">
        <x:f>ROUND(+'WP II-E-3.3'!F21*$E$168,2)</x:f>
        <x:v>0</x:v>
      </x:c>
      <x:c r="G177" s="12">
        <x:v>0</x:v>
      </x:c>
      <x:c r="H177" s="12">
        <x:f>ROUND(+'WP II-E-3.3'!H21*$E$168,2)</x:f>
        <x:v>0</x:v>
      </x:c>
      <x:c r="I177" s="12">
        <x:v>0</x:v>
      </x:c>
      <x:c r="J177" s="12">
        <x:f>ROUND(+'WP II-E-3.3'!J21*$E$168,2)</x:f>
        <x:v>32.96</x:v>
      </x:c>
      <x:c r="K177" s="12">
        <x:v>0</x:v>
      </x:c>
      <x:c r="L177" s="12">
        <x:f t="shared" si="19"/>
        <x:v>32.96</x:v>
      </x:c>
      <x:c r="M177" s="12">
        <x:f>ROUND(+'WP II-E-3.3'!M21*$E$168,2)</x:f>
        <x:v>0.82</x:v>
      </x:c>
      <x:c r="N177" s="12">
        <x:v>0</x:v>
      </x:c>
      <x:c r="O177" s="12">
        <x:f>ROUND(+'WP II-E-3.3'!O21*$E$168,2)</x:f>
        <x:v>6.43</x:v>
      </x:c>
      <x:c r="P177" s="12">
        <x:v>0</x:v>
      </x:c>
      <x:c r="Q177" s="12">
        <x:f>ROUND(+'WP II-E-3.3'!Q21*$E$168,2)</x:f>
        <x:v>5.14</x:v>
      </x:c>
      <x:c r="R177" s="12">
        <x:v>0</x:v>
      </x:c>
    </x:row>
    <x:row r="178" spans="1:20" x14ac:dyDescent="0.25">
      <x:c r="A178" s="7">
        <x:f t="shared" si="22"/>
        <x:v>167</x:v>
      </x:c>
      <x:c r="B178" s="10" t="s">
        <x:v>65</x:v>
      </x:c>
      <x:c r="C178" s="1" t="s">
        <x:v>66</x:v>
      </x:c>
      <x:c r="D178" s="7" t="s">
        <x:v>67</x:v>
      </x:c>
      <x:c r="E178" s="7" t="s">
        <x:v>46</x:v>
      </x:c>
      <x:c r="F178" s="12">
        <x:f>ROUND(+'WP II-E-3.3'!F22*$E$168,2)</x:f>
        <x:v>855244.27</x:v>
      </x:c>
      <x:c r="G178" s="12">
        <x:v>0</x:v>
      </x:c>
      <x:c r="H178" s="12">
        <x:f>ROUND(+'WP II-E-3.3'!H22*$E$168,2)</x:f>
        <x:v>1390994.76</x:v>
      </x:c>
      <x:c r="I178" s="12">
        <x:v>0</x:v>
      </x:c>
      <x:c r="J178" s="12">
        <x:f>ROUND(+'WP II-E-3.3'!J22*$E$168,2)</x:f>
        <x:v>2160689.86</x:v>
      </x:c>
      <x:c r="K178" s="12">
        <x:v>0</x:v>
      </x:c>
      <x:c r="L178" s="12">
        <x:f t="shared" si="19"/>
        <x:v>4406928.8900000006</x:v>
      </x:c>
      <x:c r="M178" s="12">
        <x:f>ROUND(+'WP II-E-3.3'!M22*$E$168,2)</x:f>
        <x:v>283303.90999999997</x:v>
      </x:c>
      <x:c r="N178" s="12">
        <x:v>0</x:v>
      </x:c>
      <x:c r="O178" s="12">
        <x:f>ROUND(+'WP II-E-3.3'!O22*$E$168,2)</x:f>
        <x:v>393725.99</x:v>
      </x:c>
      <x:c r="P178" s="12">
        <x:v>0</x:v>
      </x:c>
      <x:c r="Q178" s="12">
        <x:f>ROUND(+'WP II-E-3.3'!Q22*$E$168,2)</x:f>
        <x:v>355037.04</x:v>
      </x:c>
      <x:c r="R178" s="12">
        <x:v>0</x:v>
      </x:c>
    </x:row>
    <x:row r="179" spans="1:20" x14ac:dyDescent="0.25">
      <x:c r="A179" s="7">
        <x:f t="shared" si="22"/>
        <x:v>168</x:v>
      </x:c>
      <x:c r="B179" s="10" t="s">
        <x:v>68</x:v>
      </x:c>
      <x:c r="C179" s="1" t="s">
        <x:v>69</x:v>
      </x:c>
      <x:c r="D179" s="7" t="s">
        <x:v>45</x:v>
      </x:c>
      <x:c r="E179" s="7" t="s">
        <x:v>46</x:v>
      </x:c>
      <x:c r="F179" s="12">
        <x:f>ROUND(+'WP II-E-3.3'!F23*$E$168,2)</x:f>
        <x:v>0</x:v>
      </x:c>
      <x:c r="G179" s="12">
        <x:v>0</x:v>
      </x:c>
      <x:c r="H179" s="12">
        <x:f>ROUND(+'WP II-E-3.3'!H23*$E$168,2)</x:f>
        <x:v>0</x:v>
      </x:c>
      <x:c r="I179" s="12">
        <x:v>0</x:v>
      </x:c>
      <x:c r="J179" s="12">
        <x:f>ROUND(+'WP II-E-3.3'!J23*$E$168,2)</x:f>
        <x:v>0</x:v>
      </x:c>
      <x:c r="K179" s="12">
        <x:v>0</x:v>
      </x:c>
      <x:c r="L179" s="12">
        <x:f t="shared" si="19"/>
        <x:v>0</x:v>
      </x:c>
      <x:c r="M179" s="12">
        <x:f>ROUND(+'WP II-E-3.3'!M23*$E$168,2)</x:f>
        <x:v>0</x:v>
      </x:c>
      <x:c r="N179" s="12">
        <x:v>0</x:v>
      </x:c>
      <x:c r="O179" s="12">
        <x:f>ROUND(+'WP II-E-3.3'!O23*$E$168,2)</x:f>
        <x:v>0</x:v>
      </x:c>
      <x:c r="P179" s="12">
        <x:v>0</x:v>
      </x:c>
      <x:c r="Q179" s="12">
        <x:f>ROUND(+'WP II-E-3.3'!Q23*$E$168,2)</x:f>
        <x:v>0</x:v>
      </x:c>
      <x:c r="R179" s="12">
        <x:v>0</x:v>
      </x:c>
    </x:row>
    <x:row r="180" spans="1:20" x14ac:dyDescent="0.25">
      <x:c r="A180" s="7">
        <x:f t="shared" si="22"/>
        <x:v>169</x:v>
      </x:c>
      <x:c r="B180" s="13" t="s">
        <x:v>70</x:v>
      </x:c>
      <x:c r="C180" s="1" t="s">
        <x:v>71</x:v>
      </x:c>
      <x:c r="D180" s="7" t="s">
        <x:v>72</x:v>
      </x:c>
      <x:c r="E180" s="7" t="s">
        <x:v>46</x:v>
      </x:c>
      <x:c r="F180" s="12">
        <x:f>ROUND(+'WP II-E-3.3'!F24*$E$168,2)</x:f>
        <x:v>15980752.48</x:v>
      </x:c>
      <x:c r="G180" s="12">
        <x:v>0</x:v>
      </x:c>
      <x:c r="H180" s="12">
        <x:f>ROUND(+'WP II-E-3.3'!H24*$E$168,2)</x:f>
        <x:v>21422282.609999999</x:v>
      </x:c>
      <x:c r="I180" s="12">
        <x:v>0</x:v>
      </x:c>
      <x:c r="J180" s="12">
        <x:f>ROUND(+'WP II-E-3.3'!J24*$E$168,2)</x:f>
        <x:v>26176435.600000001</x:v>
      </x:c>
      <x:c r="K180" s="12">
        <x:v>0</x:v>
      </x:c>
      <x:c r="L180" s="12">
        <x:f t="shared" si="19"/>
        <x:v>63579470.690000005</x:v>
      </x:c>
      <x:c r="M180" s="12">
        <x:f>ROUND(+'WP II-E-3.3'!M24*$E$168,2)</x:f>
        <x:v>3552812.72</x:v>
      </x:c>
      <x:c r="N180" s="12">
        <x:v>0</x:v>
      </x:c>
      <x:c r="O180" s="12">
        <x:f>ROUND(+'WP II-E-3.3'!O24*$E$168,2)</x:f>
        <x:v>4296985.55</x:v>
      </x:c>
      <x:c r="P180" s="12">
        <x:v>0</x:v>
      </x:c>
      <x:c r="Q180" s="12">
        <x:f>ROUND(+'WP II-E-3.3'!Q24*$E$168,2)</x:f>
        <x:v>3974719.08</x:v>
      </x:c>
      <x:c r="R180" s="12">
        <x:v>0</x:v>
      </x:c>
    </x:row>
    <x:row r="181" spans="1:20" x14ac:dyDescent="0.25">
      <x:c r="A181" s="7">
        <x:f t="shared" si="22"/>
        <x:v>170</x:v>
      </x:c>
      <x:c r="B181" s="1" t="s">
        <x:v>73</x:v>
      </x:c>
      <x:c r="C181" s="1" t="s">
        <x:v>74</x:v>
      </x:c>
      <x:c r="D181" s="7" t="s">
        <x:v>67</x:v>
      </x:c>
      <x:c r="E181" s="7" t="s">
        <x:v>46</x:v>
      </x:c>
      <x:c r="F181" s="12">
        <x:f>ROUND(+'WP II-E-3.3'!F25*$E$168,2)</x:f>
        <x:v>12269214.630000001</x:v>
      </x:c>
      <x:c r="G181" s="12">
        <x:v>0</x:v>
      </x:c>
      <x:c r="H181" s="12">
        <x:f>ROUND(+'WP II-E-3.3'!H25*$E$168,2)</x:f>
        <x:v>18309682.309999999</x:v>
      </x:c>
      <x:c r="I181" s="12">
        <x:v>0</x:v>
      </x:c>
      <x:c r="J181" s="12">
        <x:f>ROUND(+'WP II-E-3.3'!J25*$E$168,2)</x:f>
        <x:v>26818660.02</x:v>
      </x:c>
      <x:c r="K181" s="12">
        <x:v>0</x:v>
      </x:c>
      <x:c r="L181" s="12">
        <x:f t="shared" si="19"/>
        <x:v>57397556.959999993</x:v>
      </x:c>
      <x:c r="M181" s="12">
        <x:f>ROUND(+'WP II-E-3.3'!M25*$E$168,2)</x:f>
        <x:v>3801365.49</x:v>
      </x:c>
      <x:c r="N181" s="12">
        <x:v>0</x:v>
      </x:c>
      <x:c r="O181" s="12">
        <x:f>ROUND(+'WP II-E-3.3'!O25*$E$168,2)</x:f>
        <x:v>5095252.41</x:v>
      </x:c>
      <x:c r="P181" s="12">
        <x:v>0</x:v>
      </x:c>
      <x:c r="Q181" s="12">
        <x:f>ROUND(+'WP II-E-3.3'!Q25*$E$168,2)</x:f>
        <x:v>4594723.3899999997</x:v>
      </x:c>
      <x:c r="R181" s="12">
        <x:v>0</x:v>
      </x:c>
    </x:row>
    <x:row r="182" spans="1:20" x14ac:dyDescent="0.25">
      <x:c r="A182" s="7">
        <x:f t="shared" si="22"/>
        <x:v>171</x:v>
      </x:c>
      <x:c r="B182" s="1" t="s">
        <x:v>75</x:v>
      </x:c>
      <x:c r="C182" s="1" t="s">
        <x:v>76</x:v>
      </x:c>
      <x:c r="D182" s="7" t="s">
        <x:v>72</x:v>
      </x:c>
      <x:c r="E182" s="7" t="s">
        <x:v>46</x:v>
      </x:c>
      <x:c r="F182" s="12">
        <x:f>ROUND(+'WP II-E-3.3'!F26*$E$168,2)</x:f>
        <x:v>203146.81</x:v>
      </x:c>
      <x:c r="G182" s="12">
        <x:v>0</x:v>
      </x:c>
      <x:c r="H182" s="12">
        <x:f>ROUND(+'WP II-E-3.3'!H26*$E$168,2)</x:f>
        <x:v>280685.38</x:v>
      </x:c>
      <x:c r="I182" s="12">
        <x:v>0</x:v>
      </x:c>
      <x:c r="J182" s="12">
        <x:f>ROUND(+'WP II-E-3.3'!J26*$E$168,2)</x:f>
        <x:v>342578.11</x:v>
      </x:c>
      <x:c r="K182" s="12">
        <x:v>0</x:v>
      </x:c>
      <x:c r="L182" s="12">
        <x:f t="shared" si="19"/>
        <x:v>826410.3</x:v>
      </x:c>
      <x:c r="M182" s="12">
        <x:f>ROUND(+'WP II-E-3.3'!M26*$E$168,2)</x:f>
        <x:v>53305.54</x:v>
      </x:c>
      <x:c r="N182" s="12">
        <x:v>0</x:v>
      </x:c>
      <x:c r="O182" s="12">
        <x:f>ROUND(+'WP II-E-3.3'!O26*$E$168,2)</x:f>
        <x:v>62350.89</x:v>
      </x:c>
      <x:c r="P182" s="12">
        <x:v>0</x:v>
      </x:c>
      <x:c r="Q182" s="12">
        <x:f>ROUND(+'WP II-E-3.3'!Q26*$E$168,2)</x:f>
        <x:v>56778.93</x:v>
      </x:c>
      <x:c r="R182" s="12">
        <x:v>0</x:v>
      </x:c>
    </x:row>
    <x:row r="183" spans="1:20" x14ac:dyDescent="0.25">
      <x:c r="A183" s="7">
        <x:f t="shared" si="22"/>
        <x:v>172</x:v>
      </x:c>
      <x:c r="B183" s="1" t="s">
        <x:v>77</x:v>
      </x:c>
      <x:c r="C183" s="1" t="s">
        <x:v>78</x:v>
      </x:c>
      <x:c r="D183" s="7" t="s">
        <x:v>64</x:v>
      </x:c>
      <x:c r="E183" s="7" t="s">
        <x:v>46</x:v>
      </x:c>
      <x:c r="F183" s="12">
        <x:f>ROUND(+'WP II-E-3.3'!F27*$E$168,2)</x:f>
        <x:v>1251408.75</x:v>
      </x:c>
      <x:c r="G183" s="12">
        <x:v>0</x:v>
      </x:c>
      <x:c r="H183" s="12">
        <x:f>ROUND(+'WP II-E-3.3'!H27*$E$168,2)</x:f>
        <x:v>1157722.28</x:v>
      </x:c>
      <x:c r="I183" s="12">
        <x:v>0</x:v>
      </x:c>
      <x:c r="J183" s="12">
        <x:f>ROUND(+'WP II-E-3.3'!J27*$E$168,2)</x:f>
        <x:v>1210390.81</x:v>
      </x:c>
      <x:c r="K183" s="12">
        <x:v>0</x:v>
      </x:c>
      <x:c r="L183" s="12">
        <x:f t="shared" si="19"/>
        <x:v>3619521.8400000003</x:v>
      </x:c>
      <x:c r="M183" s="12">
        <x:f>ROUND(+'WP II-E-3.3'!M27*$E$168,2)</x:f>
        <x:v>459724</x:v>
      </x:c>
      <x:c r="N183" s="12">
        <x:v>0</x:v>
      </x:c>
      <x:c r="O183" s="12">
        <x:f>ROUND(+'WP II-E-3.3'!O27*$E$168,2)</x:f>
        <x:v>491453.74</x:v>
      </x:c>
      <x:c r="P183" s="12">
        <x:v>0</x:v>
      </x:c>
      <x:c r="Q183" s="12">
        <x:f>ROUND(+'WP II-E-3.3'!Q27*$E$168,2)</x:f>
        <x:v>402559.98</x:v>
      </x:c>
      <x:c r="R183" s="12">
        <x:v>0</x:v>
      </x:c>
    </x:row>
    <x:row r="184" spans="1:20" x14ac:dyDescent="0.25">
      <x:c r="A184" s="7">
        <x:f t="shared" si="22"/>
        <x:v>173</x:v>
      </x:c>
      <x:c r="B184" s="1" t="s">
        <x:v>79</x:v>
      </x:c>
      <x:c r="C184" s="1" t="s">
        <x:v>80</x:v>
      </x:c>
      <x:c r="D184" s="7" t="s">
        <x:v>45</x:v>
      </x:c>
      <x:c r="E184" s="7" t="s">
        <x:v>46</x:v>
      </x:c>
      <x:c r="F184" s="12">
        <x:f>ROUND(+'WP II-E-3.3'!F28*$E$168,2)</x:f>
        <x:v>503428.9</x:v>
      </x:c>
      <x:c r="G184" s="12">
        <x:v>0</x:v>
      </x:c>
      <x:c r="H184" s="12">
        <x:f>ROUND(+'WP II-E-3.3'!H28*$E$168,2)</x:f>
        <x:v>722601.03</x:v>
      </x:c>
      <x:c r="I184" s="12">
        <x:v>0</x:v>
      </x:c>
      <x:c r="J184" s="12">
        <x:f>ROUND(+'WP II-E-3.3'!J28*$E$168,2)</x:f>
        <x:v>807590.53</x:v>
      </x:c>
      <x:c r="K184" s="12">
        <x:v>0</x:v>
      </x:c>
      <x:c r="L184" s="12">
        <x:f t="shared" ref="L184:L191" si="32">SUM(F184:K184)</x:f>
        <x:v>2033620.4600000002</x:v>
      </x:c>
      <x:c r="M184" s="12">
        <x:f>ROUND(+'WP II-E-3.3'!M28*$E$168,2)</x:f>
        <x:v>318524.67</x:v>
      </x:c>
      <x:c r="N184" s="12">
        <x:v>0</x:v>
      </x:c>
      <x:c r="O184" s="12">
        <x:f>ROUND(+'WP II-E-3.3'!O28*$E$168,2)</x:f>
        <x:v>354579.3</x:v>
      </x:c>
      <x:c r="P184" s="12">
        <x:v>0</x:v>
      </x:c>
      <x:c r="Q184" s="12">
        <x:f>ROUND(+'WP II-E-3.3'!Q28*$E$168,2)</x:f>
        <x:v>259719.24</x:v>
      </x:c>
      <x:c r="R184" s="12">
        <x:v>0</x:v>
      </x:c>
    </x:row>
    <x:row r="185" spans="1:20" x14ac:dyDescent="0.25">
      <x:c r="A185" s="7">
        <x:f t="shared" si="22"/>
        <x:v>174</x:v>
      </x:c>
      <x:c r="B185" s="10" t="s">
        <x:v>81</x:v>
      </x:c>
      <x:c r="C185" s="1" t="s">
        <x:v>82</x:v>
      </x:c>
      <x:c r="D185" s="7" t="s">
        <x:v>49</x:v>
      </x:c>
      <x:c r="E185" s="7" t="s">
        <x:v>46</x:v>
      </x:c>
      <x:c r="F185" s="12">
        <x:f>ROUND(+'WP II-E-3.3'!F29*$E$168,2)</x:f>
        <x:v>131019.22</x:v>
      </x:c>
      <x:c r="G185" s="12">
        <x:v>0</x:v>
      </x:c>
      <x:c r="H185" s="12">
        <x:f>ROUND(+'WP II-E-3.3'!H29*$E$168,2)</x:f>
        <x:v>99224.57</x:v>
      </x:c>
      <x:c r="I185" s="12">
        <x:v>0</x:v>
      </x:c>
      <x:c r="J185" s="12">
        <x:f>ROUND(+'WP II-E-3.3'!J29*$E$168,2)</x:f>
        <x:v>103811.9</x:v>
      </x:c>
      <x:c r="K185" s="12">
        <x:v>0</x:v>
      </x:c>
      <x:c r="L185" s="12">
        <x:f t="shared" si="32"/>
        <x:v>334055.69</x:v>
      </x:c>
      <x:c r="M185" s="12">
        <x:f>ROUND(+'WP II-E-3.3'!M29*$E$168,2)</x:f>
        <x:v>74279.67</x:v>
      </x:c>
      <x:c r="N185" s="12">
        <x:v>0</x:v>
      </x:c>
      <x:c r="O185" s="12">
        <x:f>ROUND(+'WP II-E-3.3'!O29*$E$168,2)</x:f>
        <x:v>71148.539999999994</x:v>
      </x:c>
      <x:c r="P185" s="12">
        <x:v>0</x:v>
      </x:c>
      <x:c r="Q185" s="12">
        <x:f>ROUND(+'WP II-E-3.3'!Q29*$E$168,2)</x:f>
        <x:v>47171.06</x:v>
      </x:c>
      <x:c r="R185" s="12">
        <x:v>0</x:v>
      </x:c>
    </x:row>
    <x:row r="186" spans="1:20" x14ac:dyDescent="0.25">
      <x:c r="A186" s="7">
        <x:f t="shared" si="22"/>
        <x:v>175</x:v>
      </x:c>
      <x:c r="B186" s="1" t="s">
        <x:v>83</x:v>
      </x:c>
      <x:c r="C186" s="1" t="s">
        <x:v>84</x:v>
      </x:c>
      <x:c r="D186" s="7" t="s">
        <x:v>85</x:v>
      </x:c>
      <x:c r="E186" s="7" t="s">
        <x:v>86</x:v>
      </x:c>
      <x:c r="F186" s="12">
        <x:f>ROUND(+'WP II-E-3.3'!F30*$E$168,2)</x:f>
        <x:v>0</x:v>
      </x:c>
      <x:c r="G186" s="12">
        <x:v>0</x:v>
      </x:c>
      <x:c r="H186" s="12">
        <x:f>ROUND(+'WP II-E-3.3'!H30*$E$168,2)</x:f>
        <x:v>0</x:v>
      </x:c>
      <x:c r="I186" s="12">
        <x:v>0</x:v>
      </x:c>
      <x:c r="J186" s="12">
        <x:f>ROUND(+'WP II-E-3.3'!J30*$E$168,2)</x:f>
        <x:v>0</x:v>
      </x:c>
      <x:c r="K186" s="12">
        <x:v>0</x:v>
      </x:c>
      <x:c r="L186" s="12">
        <x:f t="shared" si="32"/>
        <x:v>0</x:v>
      </x:c>
      <x:c r="M186" s="12">
        <x:f>ROUND(+'WP II-E-3.3'!M30*$E$168,2)</x:f>
        <x:v>0</x:v>
      </x:c>
      <x:c r="N186" s="12">
        <x:v>0</x:v>
      </x:c>
      <x:c r="O186" s="12">
        <x:f>ROUND(+'WP II-E-3.3'!O30*$E$168,2)</x:f>
        <x:v>0</x:v>
      </x:c>
      <x:c r="P186" s="12">
        <x:v>0</x:v>
      </x:c>
      <x:c r="Q186" s="12">
        <x:f>ROUND(+'WP II-E-3.3'!Q30*$E$168,2)</x:f>
        <x:v>0</x:v>
      </x:c>
      <x:c r="R186" s="12">
        <x:v>0</x:v>
      </x:c>
    </x:row>
    <x:row r="187" spans="1:20" x14ac:dyDescent="0.25">
      <x:c r="A187" s="7">
        <x:f t="shared" si="22"/>
        <x:v>176</x:v>
      </x:c>
      <x:c r="B187" s="1" t="s">
        <x:v>87</x:v>
      </x:c>
      <x:c r="C187" s="1" t="s">
        <x:v>88</x:v>
      </x:c>
      <x:c r="D187" s="7" t="s">
        <x:v>89</x:v>
      </x:c>
      <x:c r="E187" s="7" t="s">
        <x:v>86</x:v>
      </x:c>
      <x:c r="F187" s="12">
        <x:f>ROUND(+'WP II-E-3.3'!F31*$E$168,2)</x:f>
        <x:v>9.77</x:v>
      </x:c>
      <x:c r="G187" s="12">
        <x:v>0</x:v>
      </x:c>
      <x:c r="H187" s="12">
        <x:f>ROUND(+'WP II-E-3.3'!H31*$E$168,2)</x:f>
        <x:v>1505.62</x:v>
      </x:c>
      <x:c r="I187" s="12">
        <x:v>0</x:v>
      </x:c>
      <x:c r="J187" s="12">
        <x:f>ROUND(+'WP II-E-3.3'!J31*$E$168,2)</x:f>
        <x:v>6247.61</x:v>
      </x:c>
      <x:c r="K187" s="12">
        <x:v>0</x:v>
      </x:c>
      <x:c r="L187" s="12">
        <x:f t="shared" si="32"/>
        <x:v>7763</x:v>
      </x:c>
      <x:c r="M187" s="12">
        <x:f>ROUND(+'WP II-E-3.3'!M31*$E$168,2)</x:f>
        <x:v>112.26</x:v>
      </x:c>
      <x:c r="N187" s="12">
        <x:v>0</x:v>
      </x:c>
      <x:c r="O187" s="12">
        <x:f>ROUND(+'WP II-E-3.3'!O31*$E$168,2)</x:f>
        <x:v>199.04</x:v>
      </x:c>
      <x:c r="P187" s="12">
        <x:v>0</x:v>
      </x:c>
      <x:c r="Q187" s="12">
        <x:f>ROUND(+'WP II-E-3.3'!Q31*$E$168,2)</x:f>
        <x:v>199.06</x:v>
      </x:c>
      <x:c r="R187" s="12">
        <x:v>0</x:v>
      </x:c>
    </x:row>
    <x:row r="188" spans="1:20" x14ac:dyDescent="0.25">
      <x:c r="A188" s="7">
        <x:f t="shared" si="22"/>
        <x:v>177</x:v>
      </x:c>
      <x:c r="B188" s="1" t="s">
        <x:v>90</x:v>
      </x:c>
      <x:c r="C188" s="1" t="s">
        <x:v>91</x:v>
      </x:c>
      <x:c r="D188" s="7" t="s">
        <x:v>92</x:v>
      </x:c>
      <x:c r="E188" s="7" t="s">
        <x:v>46</x:v>
      </x:c>
      <x:c r="F188" s="12">
        <x:f>ROUND(+'WP II-E-3.3'!F32*$E$168,2)</x:f>
        <x:v>360522.23</x:v>
      </x:c>
      <x:c r="G188" s="12">
        <x:v>0</x:v>
      </x:c>
      <x:c r="H188" s="12">
        <x:f>ROUND(+'WP II-E-3.3'!H32*$E$168,2)</x:f>
        <x:v>146044.92000000001</x:v>
      </x:c>
      <x:c r="I188" s="12">
        <x:v>0</x:v>
      </x:c>
      <x:c r="J188" s="12">
        <x:f>ROUND(+'WP II-E-3.3'!J32*$E$168,2)</x:f>
        <x:v>276935.13</x:v>
      </x:c>
      <x:c r="K188" s="12">
        <x:v>0</x:v>
      </x:c>
      <x:c r="L188" s="12">
        <x:f t="shared" si="32"/>
        <x:v>783502.28</x:v>
      </x:c>
      <x:c r="M188" s="12">
        <x:f>ROUND(+'WP II-E-3.3'!M32*$E$168,2)</x:f>
        <x:v>16688.310000000001</x:v>
      </x:c>
      <x:c r="N188" s="12">
        <x:v>0</x:v>
      </x:c>
      <x:c r="O188" s="12">
        <x:f>ROUND(+'WP II-E-3.3'!O32*$E$168,2)</x:f>
        <x:v>17318.919999999998</x:v>
      </x:c>
      <x:c r="P188" s="12">
        <x:v>0</x:v>
      </x:c>
      <x:c r="Q188" s="12">
        <x:f>ROUND(+'WP II-E-3.3'!Q32*$E$168,2)</x:f>
        <x:v>17285.79</x:v>
      </x:c>
      <x:c r="R188" s="12">
        <x:v>0</x:v>
      </x:c>
    </x:row>
    <x:row r="189" spans="1:20" x14ac:dyDescent="0.25">
      <x:c r="A189" s="7">
        <x:f t="shared" si="22"/>
        <x:v>178</x:v>
      </x:c>
      <x:c r="B189" s="1" t="s">
        <x:v>93</x:v>
      </x:c>
      <x:c r="C189" s="1" t="s">
        <x:v>94</x:v>
      </x:c>
      <x:c r="D189" s="7" t="s">
        <x:v>95</x:v>
      </x:c>
      <x:c r="E189" s="7" t="s">
        <x:v>46</x:v>
      </x:c>
      <x:c r="F189" s="12">
        <x:f>ROUND(+'WP II-E-3.3'!F33*$E$168,2)</x:f>
        <x:v>287237.12</x:v>
      </x:c>
      <x:c r="G189" s="12">
        <x:v>0</x:v>
      </x:c>
      <x:c r="H189" s="12">
        <x:f>ROUND(+'WP II-E-3.3'!H33*$E$168,2)</x:f>
        <x:v>190581.75</x:v>
      </x:c>
      <x:c r="I189" s="12">
        <x:v>0</x:v>
      </x:c>
      <x:c r="J189" s="12">
        <x:f>ROUND(+'WP II-E-3.3'!J33*$E$168,2)</x:f>
        <x:v>294695.8</x:v>
      </x:c>
      <x:c r="K189" s="12">
        <x:v>0</x:v>
      </x:c>
      <x:c r="L189" s="12">
        <x:f t="shared" si="32"/>
        <x:v>772514.66999999993</x:v>
      </x:c>
      <x:c r="M189" s="12">
        <x:f>ROUND(+'WP II-E-3.3'!M33*$E$168,2)</x:f>
        <x:v>27986.86</x:v>
      </x:c>
      <x:c r="N189" s="12">
        <x:v>0</x:v>
      </x:c>
      <x:c r="O189" s="12">
        <x:f>ROUND(+'WP II-E-3.3'!O33*$E$168,2)</x:f>
        <x:v>28412.82</x:v>
      </x:c>
      <x:c r="P189" s="12">
        <x:v>0</x:v>
      </x:c>
      <x:c r="Q189" s="12">
        <x:f>ROUND(+'WP II-E-3.3'!Q33*$E$168,2)</x:f>
        <x:v>26152.52</x:v>
      </x:c>
      <x:c r="R189" s="12">
        <x:v>0</x:v>
      </x:c>
    </x:row>
    <x:row r="190" spans="1:20" x14ac:dyDescent="0.25">
      <x:c r="A190" s="7">
        <x:f t="shared" si="22"/>
        <x:v>179</x:v>
      </x:c>
      <x:c r="B190" s="1" t="s">
        <x:v>96</x:v>
      </x:c>
      <x:c r="C190" s="1" t="s">
        <x:v>97</x:v>
      </x:c>
      <x:c r="D190" s="7" t="s">
        <x:v>98</x:v>
      </x:c>
      <x:c r="F190" s="12">
        <x:f>ROUND(+'WP II-E-3.3'!F34*$E$168,2)</x:f>
        <x:v>690398.25</x:v>
      </x:c>
      <x:c r="G190" s="12">
        <x:v>0</x:v>
      </x:c>
      <x:c r="H190" s="12">
        <x:f>ROUND(+'WP II-E-3.3'!H34*$E$168,2)</x:f>
        <x:v>662571.93999999994</x:v>
      </x:c>
      <x:c r="I190" s="12">
        <x:v>0</x:v>
      </x:c>
      <x:c r="J190" s="12">
        <x:f>ROUND(+'WP II-E-3.3'!J34*$E$168,2)</x:f>
        <x:v>69844.820000000007</x:v>
      </x:c>
      <x:c r="K190" s="12">
        <x:v>0</x:v>
      </x:c>
      <x:c r="L190" s="12">
        <x:f t="shared" si="32"/>
        <x:v>1422815.01</x:v>
      </x:c>
      <x:c r="M190" s="12">
        <x:f>ROUND(+'WP II-E-3.3'!M34*$E$168,2)</x:f>
        <x:v>0</x:v>
      </x:c>
      <x:c r="N190" s="12">
        <x:v>0</x:v>
      </x:c>
      <x:c r="O190" s="12">
        <x:f>ROUND(+'WP II-E-3.3'!O34*$E$168,2)</x:f>
        <x:v>0</x:v>
      </x:c>
      <x:c r="P190" s="12">
        <x:v>0</x:v>
      </x:c>
      <x:c r="Q190" s="12">
        <x:f>ROUND(+'WP II-E-3.3'!Q34*$E$168,2)</x:f>
        <x:v>0</x:v>
      </x:c>
      <x:c r="R190" s="12">
        <x:v>0</x:v>
      </x:c>
    </x:row>
    <x:row r="191" spans="1:20" x14ac:dyDescent="0.25">
      <x:c r="A191" s="7">
        <x:f t="shared" si="22"/>
        <x:v>180</x:v>
      </x:c>
      <x:c r="B191" s="1" t="s">
        <x:v>99</x:v>
      </x:c>
      <x:c r="C191" s="1" t="s">
        <x:v>100</x:v>
      </x:c>
      <x:c r="D191" s="7" t="s">
        <x:v>89</x:v>
      </x:c>
      <x:c r="E191" s="7" t="s">
        <x:v>86</x:v>
      </x:c>
      <x:c r="F191" s="12">
        <x:f>ROUND(+'WP II-E-3.3'!F35*$E$168,2)</x:f>
        <x:v>915339.77</x:v>
      </x:c>
      <x:c r="G191" s="12">
        <x:v>0</x:v>
      </x:c>
      <x:c r="H191" s="12">
        <x:f>ROUND(+'WP II-E-3.3'!H35*$E$168,2)</x:f>
        <x:v>1229644.3799999999</x:v>
      </x:c>
      <x:c r="I191" s="12">
        <x:v>0</x:v>
      </x:c>
      <x:c r="J191" s="12">
        <x:f>ROUND(+'WP II-E-3.3'!J35*$E$168,2)</x:f>
        <x:v>1689560.24</x:v>
      </x:c>
      <x:c r="K191" s="12">
        <x:v>0</x:v>
      </x:c>
      <x:c r="L191" s="12">
        <x:f t="shared" si="32"/>
        <x:v>3834544.3899999997</x:v>
      </x:c>
      <x:c r="M191" s="12">
        <x:f>ROUND(+'WP II-E-3.3'!M35*$E$168,2)</x:f>
        <x:v>65298.94</x:v>
      </x:c>
      <x:c r="N191" s="12">
        <x:v>0</x:v>
      </x:c>
      <x:c r="O191" s="12">
        <x:f>ROUND(+'WP II-E-3.3'!O35*$E$168,2)</x:f>
        <x:v>98315.24</x:v>
      </x:c>
      <x:c r="P191" s="12">
        <x:v>0</x:v>
      </x:c>
      <x:c r="Q191" s="12">
        <x:f>ROUND(+'WP II-E-3.3'!Q35*$E$168,2)</x:f>
        <x:v>98315.89</x:v>
      </x:c>
      <x:c r="R191" s="12">
        <x:v>0</x:v>
      </x:c>
    </x:row>
    <x:row r="192" spans="1:20" ht="13" x14ac:dyDescent="0.3">
      <x:c r="A192" s="7">
        <x:f t="shared" si="22"/>
        <x:v>181</x:v>
      </x:c>
      <x:c r="B192" s="14" t="s">
        <x:v>112</x:v>
      </x:c>
      <x:c r="F192" s="19">
        <x:f t="shared" ref="F192:T192" si="33">SUM(F169:F191)</x:f>
        <x:v>33906953.060000002</x:v>
      </x:c>
      <x:c r="G192" s="19">
        <x:f t="shared" si="33"/>
        <x:v>0</x:v>
      </x:c>
      <x:c r="H192" s="19">
        <x:f t="shared" si="33"/>
        <x:v>45857899.950000003</x:v>
      </x:c>
      <x:c r="I192" s="19">
        <x:f t="shared" si="33"/>
        <x:v>0</x:v>
      </x:c>
      <x:c r="J192" s="19">
        <x:f t="shared" ref="J192:K192" si="34">SUM(J169:J191)</x:f>
        <x:v>60408313.850000009</x:v>
      </x:c>
      <x:c r="K192" s="19">
        <x:f t="shared" si="34"/>
        <x:v>0</x:v>
      </x:c>
      <x:c r="L192" s="19">
        <x:f t="shared" si="33"/>
        <x:v>140173166.85999995</x:v>
      </x:c>
      <x:c r="M192" s="19">
        <x:f t="shared" si="33"/>
        <x:v>8868991.5600000005</x:v>
      </x:c>
      <x:c r="N192" s="19">
        <x:f t="shared" si="33"/>
        <x:v>0</x:v>
      </x:c>
      <x:c r="O192" s="19">
        <x:f t="shared" si="33"/>
        <x:v>11172463.58</x:v>
      </x:c>
      <x:c r="P192" s="19">
        <x:f t="shared" si="33"/>
        <x:v>0</x:v>
      </x:c>
      <x:c r="Q192" s="19">
        <x:f t="shared" si="33"/>
        <x:v>10006457.17</x:v>
      </x:c>
      <x:c r="R192" s="19">
        <x:f t="shared" si="33"/>
        <x:v>0</x:v>
      </x:c>
      <x:c r="S192" s="19">
        <x:f>ROUND(+S36*E168,2)</x:f>
        <x:v>93340.25</x:v>
      </x:c>
      <x:c r="T192" s="19">
        <x:f t="shared" si="33"/>
        <x:v>0</x:v>
      </x:c>
    </x:row>
    <x:row r="193" spans="1:18" x14ac:dyDescent="0.25">
      <x:c r="A193" s="7">
        <x:f t="shared" si="22"/>
        <x:v>182</x:v>
      </x:c>
    </x:row>
    <x:row r="194" spans="1:18" ht="13" x14ac:dyDescent="0.3">
      <x:c r="A194" s="7">
        <x:f t="shared" si="22"/>
        <x:v>183</x:v>
      </x:c>
      <x:c r="B194" s="18" t="s">
        <x:v>113</x:v>
      </x:c>
      <x:c r="C194" s="8"/>
      <x:c r="D194" s="8"/>
      <x:c r="E194" s="26">
        <x:f>+'[2]II-F Alloc_Factor'!$M$38</x:f>
        <x:v>1.0286846211492508E-2</x:v>
      </x:c>
    </x:row>
    <x:row r="195" spans="1:18" x14ac:dyDescent="0.25">
      <x:c r="A195" s="7">
        <x:f t="shared" si="22"/>
        <x:v>184</x:v>
      </x:c>
      <x:c r="B195" s="10" t="s">
        <x:v>43</x:v>
      </x:c>
      <x:c r="C195" s="1" t="s">
        <x:v>44</x:v>
      </x:c>
      <x:c r="D195" s="7" t="s">
        <x:v>45</x:v>
      </x:c>
      <x:c r="E195" s="7" t="s">
        <x:v>46</x:v>
      </x:c>
      <x:c r="F195" s="12">
        <x:f>ROUND(+'WP II-E-3.3'!F13*$E$194,2)</x:f>
        <x:v>48273.26</x:v>
      </x:c>
      <x:c r="G195" s="12">
        <x:v>0</x:v>
      </x:c>
      <x:c r="H195" s="12">
        <x:f>ROUND(+'WP II-E-3.3'!H13*$E$194,2)</x:f>
        <x:v>12741.11</x:v>
      </x:c>
      <x:c r="I195" s="12">
        <x:v>0</x:v>
      </x:c>
      <x:c r="J195" s="12">
        <x:f>ROUND(+'WP II-E-3.3'!J13*$E$194,2)</x:f>
        <x:v>41041.96</x:v>
      </x:c>
      <x:c r="K195" s="12">
        <x:v>0</x:v>
      </x:c>
      <x:c r="L195" s="12">
        <x:f t="shared" ref="L195:L217" si="35">SUM(F195:K195)</x:f>
        <x:v>102056.33</x:v>
      </x:c>
      <x:c r="M195" s="12">
        <x:f>ROUND(+'WP II-E-3.3'!M13*$E$194,2)</x:f>
        <x:v>14757.49</x:v>
      </x:c>
      <x:c r="N195" s="12">
        <x:v>0</x:v>
      </x:c>
      <x:c r="O195" s="12">
        <x:f>ROUND(+'WP II-E-3.3'!O13*$E$194,2)</x:f>
        <x:v>19482.55</x:v>
      </x:c>
      <x:c r="P195" s="12">
        <x:v>0</x:v>
      </x:c>
      <x:c r="Q195" s="12">
        <x:f>ROUND(+'WP II-E-3.3'!Q13*$E$194,2)</x:f>
        <x:v>14037.56</x:v>
      </x:c>
      <x:c r="R195" s="12">
        <x:v>0</x:v>
      </x:c>
    </x:row>
    <x:row r="196" spans="1:18" x14ac:dyDescent="0.25">
      <x:c r="A196" s="7">
        <x:f t="shared" si="22"/>
        <x:v>185</x:v>
      </x:c>
      <x:c r="B196" s="10" t="s">
        <x:v>47</x:v>
      </x:c>
      <x:c r="C196" s="1" t="s">
        <x:v>48</x:v>
      </x:c>
      <x:c r="D196" s="7" t="s">
        <x:v>49</x:v>
      </x:c>
      <x:c r="E196" s="7" t="s">
        <x:v>46</x:v>
      </x:c>
      <x:c r="F196" s="12">
        <x:f>ROUND(+'WP II-E-3.3'!F14*$E$194,2)</x:f>
        <x:v>243534.19</x:v>
      </x:c>
      <x:c r="G196" s="12">
        <x:v>0</x:v>
      </x:c>
      <x:c r="H196" s="12">
        <x:f>ROUND(+'WP II-E-3.3'!H14*$E$194,2)</x:f>
        <x:v>129053.6</x:v>
      </x:c>
      <x:c r="I196" s="12">
        <x:v>0</x:v>
      </x:c>
      <x:c r="J196" s="12">
        <x:f>ROUND(+'WP II-E-3.3'!J14*$E$194,2)</x:f>
        <x:v>221723.85</x:v>
      </x:c>
      <x:c r="K196" s="12">
        <x:v>0</x:v>
      </x:c>
      <x:c r="L196" s="12">
        <x:f t="shared" si="35"/>
        <x:v>594311.64</x:v>
      </x:c>
      <x:c r="M196" s="12">
        <x:f>ROUND(+'WP II-E-3.3'!M14*$E$194,2)</x:f>
        <x:v>116847.95</x:v>
      </x:c>
      <x:c r="N196" s="12">
        <x:v>0</x:v>
      </x:c>
      <x:c r="O196" s="12">
        <x:f>ROUND(+'WP II-E-3.3'!O14*$E$194,2)</x:f>
        <x:v>135579.03</x:v>
      </x:c>
      <x:c r="P196" s="12">
        <x:v>0</x:v>
      </x:c>
      <x:c r="Q196" s="12">
        <x:f>ROUND(+'WP II-E-3.3'!Q14*$E$194,2)</x:f>
        <x:v>89306.4</x:v>
      </x:c>
      <x:c r="R196" s="12">
        <x:v>0</x:v>
      </x:c>
    </x:row>
    <x:row r="197" spans="1:18" x14ac:dyDescent="0.25">
      <x:c r="A197" s="7">
        <x:f t="shared" si="22"/>
        <x:v>186</x:v>
      </x:c>
      <x:c r="B197" s="10" t="s">
        <x:v>50</x:v>
      </x:c>
      <x:c r="C197" s="1" t="s">
        <x:v>51</x:v>
      </x:c>
      <x:c r="D197" s="7" t="s">
        <x:v>49</x:v>
      </x:c>
      <x:c r="E197" s="7" t="s">
        <x:v>46</x:v>
      </x:c>
      <x:c r="F197" s="12">
        <x:f>ROUND(+'WP II-E-3.3'!F15*$E$194,2)</x:f>
        <x:v>0</x:v>
      </x:c>
      <x:c r="G197" s="12">
        <x:v>0</x:v>
      </x:c>
      <x:c r="H197" s="12">
        <x:f>ROUND(+'WP II-E-3.3'!H15*$E$194,2)</x:f>
        <x:v>0</x:v>
      </x:c>
      <x:c r="I197" s="12">
        <x:v>0</x:v>
      </x:c>
      <x:c r="J197" s="12">
        <x:f>ROUND(+'WP II-E-3.3'!J15*$E$194,2)</x:f>
        <x:v>71.8</x:v>
      </x:c>
      <x:c r="K197" s="12">
        <x:v>0</x:v>
      </x:c>
      <x:c r="L197" s="12">
        <x:f t="shared" si="35"/>
        <x:v>71.8</x:v>
      </x:c>
      <x:c r="M197" s="12">
        <x:f>ROUND(+'WP II-E-3.3'!M15*$E$194,2)</x:f>
        <x:v>25.92</x:v>
      </x:c>
      <x:c r="N197" s="12">
        <x:v>0</x:v>
      </x:c>
      <x:c r="O197" s="12">
        <x:f>ROUND(+'WP II-E-3.3'!O15*$E$194,2)</x:f>
        <x:v>18.350000000000001</x:v>
      </x:c>
      <x:c r="P197" s="12">
        <x:v>0</x:v>
      </x:c>
      <x:c r="Q197" s="12">
        <x:f>ROUND(+'WP II-E-3.3'!Q15*$E$194,2)</x:f>
        <x:v>11.01</x:v>
      </x:c>
      <x:c r="R197" s="12">
        <x:v>0</x:v>
      </x:c>
    </x:row>
    <x:row r="198" spans="1:18" x14ac:dyDescent="0.25">
      <x:c r="A198" s="7">
        <x:f t="shared" si="22"/>
        <x:v>187</x:v>
      </x:c>
      <x:c r="B198" s="10" t="s">
        <x:v>52</x:v>
      </x:c>
      <x:c r="C198" s="1" t="s">
        <x:v>53</x:v>
      </x:c>
      <x:c r="D198" s="7" t="s">
        <x:v>49</x:v>
      </x:c>
      <x:c r="E198" s="7" t="s">
        <x:v>46</x:v>
      </x:c>
      <x:c r="F198" s="12">
        <x:f>ROUND(+'WP II-E-3.3'!F16*$E$194,2)</x:f>
        <x:v>0</x:v>
      </x:c>
      <x:c r="G198" s="12">
        <x:v>0</x:v>
      </x:c>
      <x:c r="H198" s="12">
        <x:f>ROUND(+'WP II-E-3.3'!H16*$E$194,2)</x:f>
        <x:v>0</x:v>
      </x:c>
      <x:c r="I198" s="12">
        <x:v>0</x:v>
      </x:c>
      <x:c r="J198" s="12">
        <x:f>ROUND(+'WP II-E-3.3'!J16*$E$194,2)</x:f>
        <x:v>0</x:v>
      </x:c>
      <x:c r="K198" s="12">
        <x:v>0</x:v>
      </x:c>
      <x:c r="L198" s="12">
        <x:f t="shared" si="35"/>
        <x:v>0</x:v>
      </x:c>
      <x:c r="M198" s="12">
        <x:f>ROUND(+'WP II-E-3.3'!M16*$E$194,2)</x:f>
        <x:v>0</x:v>
      </x:c>
      <x:c r="N198" s="12">
        <x:v>0</x:v>
      </x:c>
      <x:c r="O198" s="12">
        <x:f>ROUND(+'WP II-E-3.3'!O16*$E$194,2)</x:f>
        <x:v>0</x:v>
      </x:c>
      <x:c r="P198" s="12">
        <x:v>0</x:v>
      </x:c>
      <x:c r="Q198" s="12">
        <x:f>ROUND(+'WP II-E-3.3'!Q16*$E$194,2)</x:f>
        <x:v>0</x:v>
      </x:c>
      <x:c r="R198" s="12">
        <x:v>0</x:v>
      </x:c>
    </x:row>
    <x:row r="199" spans="1:18" x14ac:dyDescent="0.25">
      <x:c r="A199" s="7">
        <x:f t="shared" si="22"/>
        <x:v>188</x:v>
      </x:c>
      <x:c r="B199" s="10" t="s">
        <x:v>54</x:v>
      </x:c>
      <x:c r="C199" s="1" t="s">
        <x:v>55</x:v>
      </x:c>
      <x:c r="D199" s="7" t="s">
        <x:v>49</x:v>
      </x:c>
      <x:c r="E199" s="7" t="s">
        <x:v>46</x:v>
      </x:c>
      <x:c r="F199" s="12">
        <x:f>ROUND(+'WP II-E-3.3'!F17*$E$194,2)</x:f>
        <x:v>6967.1</x:v>
      </x:c>
      <x:c r="G199" s="12">
        <x:v>0</x:v>
      </x:c>
      <x:c r="H199" s="12">
        <x:f>ROUND(+'WP II-E-3.3'!H17*$E$194,2)</x:f>
        <x:v>6822.72</x:v>
      </x:c>
      <x:c r="I199" s="12">
        <x:v>0</x:v>
      </x:c>
      <x:c r="J199" s="12">
        <x:f>ROUND(+'WP II-E-3.3'!J17*$E$194,2)</x:f>
        <x:v>2241.9699999999998</x:v>
      </x:c>
      <x:c r="K199" s="12">
        <x:v>0</x:v>
      </x:c>
      <x:c r="L199" s="12">
        <x:f t="shared" si="35"/>
        <x:v>16031.789999999999</x:v>
      </x:c>
      <x:c r="M199" s="12">
        <x:f>ROUND(+'WP II-E-3.3'!M17*$E$194,2)</x:f>
        <x:v>3894.23</x:v>
      </x:c>
      <x:c r="N199" s="12">
        <x:v>0</x:v>
      </x:c>
      <x:c r="O199" s="12">
        <x:f>ROUND(+'WP II-E-3.3'!O17*$E$194,2)</x:f>
        <x:v>3063.47</x:v>
      </x:c>
      <x:c r="P199" s="12">
        <x:v>0</x:v>
      </x:c>
      <x:c r="Q199" s="12">
        <x:f>ROUND(+'WP II-E-3.3'!Q17*$E$194,2)</x:f>
        <x:v>2047.28</x:v>
      </x:c>
      <x:c r="R199" s="12">
        <x:v>0</x:v>
      </x:c>
    </x:row>
    <x:row r="200" spans="1:18" x14ac:dyDescent="0.25">
      <x:c r="A200" s="7">
        <x:f t="shared" si="22"/>
        <x:v>189</x:v>
      </x:c>
      <x:c r="B200" s="10" t="s">
        <x:v>56</x:v>
      </x:c>
      <x:c r="C200" s="1" t="s">
        <x:v>57</x:v>
      </x:c>
      <x:c r="D200" s="7" t="s">
        <x:v>49</x:v>
      </x:c>
      <x:c r="E200" s="7" t="s">
        <x:v>46</x:v>
      </x:c>
      <x:c r="F200" s="12">
        <x:f>ROUND(+'WP II-E-3.3'!F18*$E$194,2)</x:f>
        <x:v>0</x:v>
      </x:c>
      <x:c r="G200" s="12">
        <x:v>0</x:v>
      </x:c>
      <x:c r="H200" s="12">
        <x:f>ROUND(+'WP II-E-3.3'!H18*$E$194,2)</x:f>
        <x:v>0</x:v>
      </x:c>
      <x:c r="I200" s="12">
        <x:v>0</x:v>
      </x:c>
      <x:c r="J200" s="12">
        <x:f>ROUND(+'WP II-E-3.3'!J18*$E$194,2)</x:f>
        <x:v>0</x:v>
      </x:c>
      <x:c r="K200" s="12">
        <x:v>0</x:v>
      </x:c>
      <x:c r="L200" s="12">
        <x:f t="shared" si="35"/>
        <x:v>0</x:v>
      </x:c>
      <x:c r="M200" s="12">
        <x:f>ROUND(+'WP II-E-3.3'!M18*$E$194,2)</x:f>
        <x:v>0</x:v>
      </x:c>
      <x:c r="N200" s="12">
        <x:v>0</x:v>
      </x:c>
      <x:c r="O200" s="12">
        <x:f>ROUND(+'WP II-E-3.3'!O18*$E$194,2)</x:f>
        <x:v>0</x:v>
      </x:c>
      <x:c r="P200" s="12">
        <x:v>0</x:v>
      </x:c>
      <x:c r="Q200" s="12">
        <x:f>ROUND(+'WP II-E-3.3'!Q18*$E$194,2)</x:f>
        <x:v>0</x:v>
      </x:c>
      <x:c r="R200" s="12">
        <x:v>0</x:v>
      </x:c>
    </x:row>
    <x:row r="201" spans="1:18" x14ac:dyDescent="0.25">
      <x:c r="A201" s="7">
        <x:f t="shared" si="22"/>
        <x:v>190</x:v>
      </x:c>
      <x:c r="B201" s="10" t="s">
        <x:v>58</x:v>
      </x:c>
      <x:c r="C201" s="1" t="s">
        <x:v>59</x:v>
      </x:c>
      <x:c r="D201" s="7" t="s">
        <x:v>49</x:v>
      </x:c>
      <x:c r="E201" s="7" t="s">
        <x:v>46</x:v>
      </x:c>
      <x:c r="F201" s="12">
        <x:f>ROUND(+'WP II-E-3.3'!F19*$E$194,2)</x:f>
        <x:v>703.03</x:v>
      </x:c>
      <x:c r="G201" s="12">
        <x:v>0</x:v>
      </x:c>
      <x:c r="H201" s="12">
        <x:f>ROUND(+'WP II-E-3.3'!H19*$E$194,2)</x:f>
        <x:v>2063.9</x:v>
      </x:c>
      <x:c r="I201" s="12">
        <x:v>0</x:v>
      </x:c>
      <x:c r="J201" s="12">
        <x:f>ROUND(+'WP II-E-3.3'!J19*$E$194,2)</x:f>
        <x:v>27058.77</x:v>
      </x:c>
      <x:c r="K201" s="12">
        <x:v>0</x:v>
      </x:c>
      <x:c r="L201" s="12">
        <x:f t="shared" si="35"/>
        <x:v>29825.7</x:v>
      </x:c>
      <x:c r="M201" s="12">
        <x:f>ROUND(+'WP II-E-3.3'!M19*$E$194,2)</x:f>
        <x:v>2166.81</x:v>
      </x:c>
      <x:c r="N201" s="12">
        <x:v>0</x:v>
      </x:c>
      <x:c r="O201" s="12">
        <x:f>ROUND(+'WP II-E-3.3'!O19*$E$194,2)</x:f>
        <x:v>10768.7</x:v>
      </x:c>
      <x:c r="P201" s="12">
        <x:v>0</x:v>
      </x:c>
      <x:c r="Q201" s="12">
        <x:f>ROUND(+'WP II-E-3.3'!Q19*$E$194,2)</x:f>
        <x:v>6484.5</x:v>
      </x:c>
      <x:c r="R201" s="12">
        <x:v>0</x:v>
      </x:c>
    </x:row>
    <x:row r="202" spans="1:18" x14ac:dyDescent="0.25">
      <x:c r="A202" s="7">
        <x:f t="shared" si="22"/>
        <x:v>191</x:v>
      </x:c>
      <x:c r="B202" s="10" t="s">
        <x:v>60</x:v>
      </x:c>
      <x:c r="C202" s="1" t="s">
        <x:v>61</x:v>
      </x:c>
      <x:c r="D202" s="7" t="s">
        <x:v>49</x:v>
      </x:c>
      <x:c r="E202" s="7" t="s">
        <x:v>46</x:v>
      </x:c>
      <x:c r="F202" s="12">
        <x:f>ROUND(+'WP II-E-3.3'!F20*$E$194,2)</x:f>
        <x:v>4108.42</x:v>
      </x:c>
      <x:c r="G202" s="12">
        <x:v>0</x:v>
      </x:c>
      <x:c r="H202" s="12">
        <x:f>ROUND(+'WP II-E-3.3'!H20*$E$194,2)</x:f>
        <x:v>10857.87</x:v>
      </x:c>
      <x:c r="I202" s="12">
        <x:v>0</x:v>
      </x:c>
      <x:c r="J202" s="12">
        <x:f>ROUND(+'WP II-E-3.3'!J20*$E$194,2)</x:f>
        <x:v>5900.96</x:v>
      </x:c>
      <x:c r="K202" s="12">
        <x:v>0</x:v>
      </x:c>
      <x:c r="L202" s="12">
        <x:f t="shared" si="35"/>
        <x:v>20867.25</x:v>
      </x:c>
      <x:c r="M202" s="12">
        <x:f>ROUND(+'WP II-E-3.3'!M20*$E$194,2)</x:f>
        <x:v>4827.66</x:v>
      </x:c>
      <x:c r="N202" s="12">
        <x:v>0</x:v>
      </x:c>
      <x:c r="O202" s="12">
        <x:f>ROUND(+'WP II-E-3.3'!O20*$E$194,2)</x:f>
        <x:v>4761.99</x:v>
      </x:c>
      <x:c r="P202" s="12">
        <x:v>0</x:v>
      </x:c>
      <x:c r="Q202" s="12">
        <x:f>ROUND(+'WP II-E-3.3'!Q20*$E$194,2)</x:f>
        <x:v>3001.48</x:v>
      </x:c>
      <x:c r="R202" s="12">
        <x:v>0</x:v>
      </x:c>
    </x:row>
    <x:row r="203" spans="1:18" x14ac:dyDescent="0.25">
      <x:c r="A203" s="7">
        <x:f t="shared" si="22"/>
        <x:v>192</x:v>
      </x:c>
      <x:c r="B203" s="10" t="s">
        <x:v>62</x:v>
      </x:c>
      <x:c r="C203" s="1" t="s">
        <x:v>63</x:v>
      </x:c>
      <x:c r="D203" s="7" t="s">
        <x:v>64</x:v>
      </x:c>
      <x:c r="E203" s="7" t="s">
        <x:v>46</x:v>
      </x:c>
      <x:c r="F203" s="12">
        <x:f>ROUND(+'WP II-E-3.3'!F21*$E$194,2)</x:f>
        <x:v>0</x:v>
      </x:c>
      <x:c r="G203" s="12">
        <x:v>0</x:v>
      </x:c>
      <x:c r="H203" s="12">
        <x:f>ROUND(+'WP II-E-3.3'!H21*$E$194,2)</x:f>
        <x:v>0</x:v>
      </x:c>
      <x:c r="I203" s="12">
        <x:v>0</x:v>
      </x:c>
      <x:c r="J203" s="12">
        <x:f>ROUND(+'WP II-E-3.3'!J21*$E$194,2)</x:f>
        <x:v>21.79</x:v>
      </x:c>
      <x:c r="K203" s="12">
        <x:v>0</x:v>
      </x:c>
      <x:c r="L203" s="12">
        <x:f t="shared" si="35"/>
        <x:v>21.79</x:v>
      </x:c>
      <x:c r="M203" s="12">
        <x:f>ROUND(+'WP II-E-3.3'!M21*$E$194,2)</x:f>
        <x:v>0.54</x:v>
      </x:c>
      <x:c r="N203" s="12">
        <x:v>0</x:v>
      </x:c>
      <x:c r="O203" s="12">
        <x:f>ROUND(+'WP II-E-3.3'!O21*$E$194,2)</x:f>
        <x:v>4.25</x:v>
      </x:c>
      <x:c r="P203" s="12">
        <x:v>0</x:v>
      </x:c>
      <x:c r="Q203" s="12">
        <x:f>ROUND(+'WP II-E-3.3'!Q21*$E$194,2)</x:f>
        <x:v>3.4</x:v>
      </x:c>
      <x:c r="R203" s="12">
        <x:v>0</x:v>
      </x:c>
    </x:row>
    <x:row r="204" spans="1:18" x14ac:dyDescent="0.25">
      <x:c r="A204" s="7">
        <x:f t="shared" si="22"/>
        <x:v>193</x:v>
      </x:c>
      <x:c r="B204" s="10" t="s">
        <x:v>65</x:v>
      </x:c>
      <x:c r="C204" s="1" t="s">
        <x:v>66</x:v>
      </x:c>
      <x:c r="D204" s="7" t="s">
        <x:v>67</x:v>
      </x:c>
      <x:c r="E204" s="7" t="s">
        <x:v>46</x:v>
      </x:c>
      <x:c r="F204" s="12">
        <x:f>ROUND(+'WP II-E-3.3'!F22*$E$194,2)</x:f>
        <x:v>565380.53</x:v>
      </x:c>
      <x:c r="G204" s="12">
        <x:v>0</x:v>
      </x:c>
      <x:c r="H204" s="12">
        <x:f>ROUND(+'WP II-E-3.3'!H22*$E$194,2)</x:f>
        <x:v>919551.73</x:v>
      </x:c>
      <x:c r="I204" s="12">
        <x:v>0</x:v>
      </x:c>
      <x:c r="J204" s="12">
        <x:f>ROUND(+'WP II-E-3.3'!J22*$E$194,2)</x:f>
        <x:v>1428377.85</x:v>
      </x:c>
      <x:c r="K204" s="12">
        <x:v>0</x:v>
      </x:c>
      <x:c r="L204" s="12">
        <x:f t="shared" si="35"/>
        <x:v>2913310.1100000003</x:v>
      </x:c>
      <x:c r="M204" s="12">
        <x:f>ROUND(+'WP II-E-3.3'!M22*$E$194,2)</x:f>
        <x:v>187285.11</x:v>
      </x:c>
      <x:c r="N204" s="12">
        <x:v>0</x:v>
      </x:c>
      <x:c r="O204" s="12">
        <x:f>ROUND(+'WP II-E-3.3'!O22*$E$194,2)</x:f>
        <x:v>260282.37</x:v>
      </x:c>
      <x:c r="P204" s="12">
        <x:v>0</x:v>
      </x:c>
      <x:c r="Q204" s="12">
        <x:f>ROUND(+'WP II-E-3.3'!Q22*$E$194,2)</x:f>
        <x:v>234706.08</x:v>
      </x:c>
      <x:c r="R204" s="12">
        <x:v>0</x:v>
      </x:c>
    </x:row>
    <x:row r="205" spans="1:18" x14ac:dyDescent="0.25">
      <x:c r="A205" s="7">
        <x:f t="shared" si="22"/>
        <x:v>194</x:v>
      </x:c>
      <x:c r="B205" s="10" t="s">
        <x:v>68</x:v>
      </x:c>
      <x:c r="C205" s="1" t="s">
        <x:v>69</x:v>
      </x:c>
      <x:c r="D205" s="7" t="s">
        <x:v>45</x:v>
      </x:c>
      <x:c r="E205" s="7" t="s">
        <x:v>46</x:v>
      </x:c>
      <x:c r="F205" s="12">
        <x:f>ROUND(+'WP II-E-3.3'!F23*$E$194,2)</x:f>
        <x:v>0</x:v>
      </x:c>
      <x:c r="G205" s="12">
        <x:v>0</x:v>
      </x:c>
      <x:c r="H205" s="12">
        <x:f>ROUND(+'WP II-E-3.3'!H23*$E$194,2)</x:f>
        <x:v>0</x:v>
      </x:c>
      <x:c r="I205" s="12">
        <x:v>0</x:v>
      </x:c>
      <x:c r="J205" s="12">
        <x:f>ROUND(+'WP II-E-3.3'!J23*$E$194,2)</x:f>
        <x:v>0</x:v>
      </x:c>
      <x:c r="K205" s="12">
        <x:v>0</x:v>
      </x:c>
      <x:c r="L205" s="12">
        <x:f t="shared" si="35"/>
        <x:v>0</x:v>
      </x:c>
      <x:c r="M205" s="12">
        <x:f>ROUND(+'WP II-E-3.3'!M23*$E$194,2)</x:f>
        <x:v>0</x:v>
      </x:c>
      <x:c r="N205" s="12">
        <x:v>0</x:v>
      </x:c>
      <x:c r="O205" s="12">
        <x:f>ROUND(+'WP II-E-3.3'!O23*$E$194,2)</x:f>
        <x:v>0</x:v>
      </x:c>
      <x:c r="P205" s="12">
        <x:v>0</x:v>
      </x:c>
      <x:c r="Q205" s="12">
        <x:f>ROUND(+'WP II-E-3.3'!Q23*$E$194,2)</x:f>
        <x:v>0</x:v>
      </x:c>
      <x:c r="R205" s="12">
        <x:v>0</x:v>
      </x:c>
    </x:row>
    <x:row r="206" spans="1:18" x14ac:dyDescent="0.25">
      <x:c r="A206" s="7">
        <x:f t="shared" ref="A206:A218" si="36">+A205+1</x:f>
        <x:v>195</x:v>
      </x:c>
      <x:c r="B206" s="13" t="s">
        <x:v>70</x:v>
      </x:c>
      <x:c r="C206" s="1" t="s">
        <x:v>71</x:v>
      </x:c>
      <x:c r="D206" s="7" t="s">
        <x:v>72</x:v>
      </x:c>
      <x:c r="E206" s="7" t="s">
        <x:v>46</x:v>
      </x:c>
      <x:c r="F206" s="12">
        <x:f>ROUND(+'WP II-E-3.3'!F24*$E$194,2)</x:f>
        <x:v>10564474.49</x:v>
      </x:c>
      <x:c r="G206" s="12">
        <x:v>0</x:v>
      </x:c>
      <x:c r="H206" s="12">
        <x:f>ROUND(+'WP II-E-3.3'!H24*$E$194,2)</x:f>
        <x:v>14161733.539999999</x:v>
      </x:c>
      <x:c r="I206" s="12">
        <x:v>0</x:v>
      </x:c>
      <x:c r="J206" s="12">
        <x:f>ROUND(+'WP II-E-3.3'!J24*$E$194,2)</x:f>
        <x:v>17304584.789999999</x:v>
      </x:c>
      <x:c r="K206" s="12">
        <x:v>0</x:v>
      </x:c>
      <x:c r="L206" s="12">
        <x:f t="shared" si="35"/>
        <x:v>42030792.82</x:v>
      </x:c>
      <x:c r="M206" s="12">
        <x:f>ROUND(+'WP II-E-3.3'!M24*$E$194,2)</x:f>
        <x:v>2348675.35</x:v>
      </x:c>
      <x:c r="N206" s="12">
        <x:v>0</x:v>
      </x:c>
      <x:c r="O206" s="12">
        <x:f>ROUND(+'WP II-E-3.3'!O24*$E$194,2)</x:f>
        <x:v>2840629.33</x:v>
      </x:c>
      <x:c r="P206" s="12">
        <x:v>0</x:v>
      </x:c>
      <x:c r="Q206" s="12">
        <x:f>ROUND(+'WP II-E-3.3'!Q24*$E$194,2)</x:f>
        <x:v>2627587.0499999998</x:v>
      </x:c>
      <x:c r="R206" s="12">
        <x:v>0</x:v>
      </x:c>
    </x:row>
    <x:row r="207" spans="1:18" x14ac:dyDescent="0.25">
      <x:c r="A207" s="7">
        <x:f t="shared" si="36"/>
        <x:v>196</x:v>
      </x:c>
      <x:c r="B207" s="1" t="s">
        <x:v>73</x:v>
      </x:c>
      <x:c r="C207" s="1" t="s">
        <x:v>74</x:v>
      </x:c>
      <x:c r="D207" s="7" t="s">
        <x:v>67</x:v>
      </x:c>
      <x:c r="E207" s="7" t="s">
        <x:v>46</x:v>
      </x:c>
      <x:c r="F207" s="12">
        <x:f>ROUND(+'WP II-E-3.3'!F25*$E$194,2)</x:f>
        <x:v>8110869.9500000002</x:v>
      </x:c>
      <x:c r="G207" s="12">
        <x:v>0</x:v>
      </x:c>
      <x:c r="H207" s="12">
        <x:f>ROUND(+'WP II-E-3.3'!H25*$E$194,2)</x:f>
        <x:v>12104071.57</x:v>
      </x:c>
      <x:c r="I207" s="12">
        <x:v>0</x:v>
      </x:c>
      <x:c r="J207" s="12">
        <x:f>ROUND(+'WP II-E-3.3'!J25*$E$194,2)</x:f>
        <x:v>17729143.239999998</x:v>
      </x:c>
      <x:c r="K207" s="12">
        <x:v>0</x:v>
      </x:c>
      <x:c r="L207" s="12">
        <x:f t="shared" si="35"/>
        <x:v>37944084.759999998</x:v>
      </x:c>
      <x:c r="M207" s="12">
        <x:f>ROUND(+'WP II-E-3.3'!M25*$E$194,2)</x:f>
        <x:v>2512987.35</x:v>
      </x:c>
      <x:c r="N207" s="12">
        <x:v>0</x:v>
      </x:c>
      <x:c r="O207" s="12">
        <x:f>ROUND(+'WP II-E-3.3'!O25*$E$194,2)</x:f>
        <x:v>3368343.52</x:v>
      </x:c>
      <x:c r="P207" s="12">
        <x:v>0</x:v>
      </x:c>
      <x:c r="Q207" s="12">
        <x:f>ROUND(+'WP II-E-3.3'!Q25*$E$194,2)</x:f>
        <x:v>3037456.35</x:v>
      </x:c>
      <x:c r="R207" s="12">
        <x:v>0</x:v>
      </x:c>
    </x:row>
    <x:row r="208" spans="1:18" x14ac:dyDescent="0.25">
      <x:c r="A208" s="7">
        <x:f t="shared" si="36"/>
        <x:v>197</x:v>
      </x:c>
      <x:c r="B208" s="1" t="s">
        <x:v>75</x:v>
      </x:c>
      <x:c r="C208" s="1" t="s">
        <x:v>76</x:v>
      </x:c>
      <x:c r="D208" s="7" t="s">
        <x:v>72</x:v>
      </x:c>
      <x:c r="E208" s="7" t="s">
        <x:v>46</x:v>
      </x:c>
      <x:c r="F208" s="12">
        <x:f>ROUND(+'WP II-E-3.3'!F26*$E$194,2)</x:f>
        <x:v>134295.26</x:v>
      </x:c>
      <x:c r="G208" s="12">
        <x:v>0</x:v>
      </x:c>
      <x:c r="H208" s="12">
        <x:f>ROUND(+'WP II-E-3.3'!H26*$E$194,2)</x:f>
        <x:v>185554.06</x:v>
      </x:c>
      <x:c r="I208" s="12">
        <x:v>0</x:v>
      </x:c>
      <x:c r="J208" s="12">
        <x:f>ROUND(+'WP II-E-3.3'!J26*$E$194,2)</x:f>
        <x:v>226469.79</x:v>
      </x:c>
      <x:c r="K208" s="12">
        <x:v>0</x:v>
      </x:c>
      <x:c r="L208" s="12">
        <x:f t="shared" si="35"/>
        <x:v>546319.11</x:v>
      </x:c>
      <x:c r="M208" s="12">
        <x:f>ROUND(+'WP II-E-3.3'!M26*$E$194,2)</x:f>
        <x:v>35238.959999999999</x:v>
      </x:c>
      <x:c r="N208" s="12">
        <x:v>0</x:v>
      </x:c>
      <x:c r="O208" s="12">
        <x:f>ROUND(+'WP II-E-3.3'!O26*$E$194,2)</x:f>
        <x:v>41218.61</x:v>
      </x:c>
      <x:c r="P208" s="12">
        <x:v>0</x:v>
      </x:c>
      <x:c r="Q208" s="12">
        <x:f>ROUND(+'WP II-E-3.3'!Q26*$E$194,2)</x:f>
        <x:v>37535.120000000003</x:v>
      </x:c>
      <x:c r="R208" s="12">
        <x:v>0</x:v>
      </x:c>
    </x:row>
    <x:row r="209" spans="1:20" x14ac:dyDescent="0.25">
      <x:c r="A209" s="7">
        <x:f t="shared" si="36"/>
        <x:v>198</x:v>
      </x:c>
      <x:c r="B209" s="1" t="s">
        <x:v>77</x:v>
      </x:c>
      <x:c r="C209" s="1" t="s">
        <x:v>78</x:v>
      </x:c>
      <x:c r="D209" s="7" t="s">
        <x:v>64</x:v>
      </x:c>
      <x:c r="E209" s="7" t="s">
        <x:v>46</x:v>
      </x:c>
      <x:c r="F209" s="12">
        <x:f>ROUND(+'WP II-E-3.3'!F27*$E$194,2)</x:f>
        <x:v>827274.93</x:v>
      </x:c>
      <x:c r="G209" s="12">
        <x:v>0</x:v>
      </x:c>
      <x:c r="H209" s="12">
        <x:f>ROUND(+'WP II-E-3.3'!H27*$E$194,2)</x:f>
        <x:v>765341.15</x:v>
      </x:c>
      <x:c r="I209" s="12">
        <x:v>0</x:v>
      </x:c>
      <x:c r="J209" s="12">
        <x:f>ROUND(+'WP II-E-3.3'!J27*$E$194,2)</x:f>
        <x:v>800158.99</x:v>
      </x:c>
      <x:c r="K209" s="12">
        <x:v>0</x:v>
      </x:c>
      <x:c r="L209" s="12">
        <x:f t="shared" si="35"/>
        <x:v>2392775.0700000003</x:v>
      </x:c>
      <x:c r="M209" s="12">
        <x:f>ROUND(+'WP II-E-3.3'!M27*$E$194,2)</x:f>
        <x:v>303912</x:v>
      </x:c>
      <x:c r="N209" s="12">
        <x:v>0</x:v>
      </x:c>
      <x:c r="O209" s="12">
        <x:f>ROUND(+'WP II-E-3.3'!O27*$E$194,2)</x:f>
        <x:v>324887.74</x:v>
      </x:c>
      <x:c r="P209" s="12">
        <x:v>0</x:v>
      </x:c>
      <x:c r="Q209" s="12">
        <x:f>ROUND(+'WP II-E-3.3'!Q27*$E$194,2)</x:f>
        <x:v>266122.3</x:v>
      </x:c>
      <x:c r="R209" s="12">
        <x:v>0</x:v>
      </x:c>
    </x:row>
    <x:row r="210" spans="1:20" x14ac:dyDescent="0.25">
      <x:c r="A210" s="7">
        <x:f t="shared" si="36"/>
        <x:v>199</x:v>
      </x:c>
      <x:c r="B210" s="1" t="s">
        <x:v>79</x:v>
      </x:c>
      <x:c r="C210" s="1" t="s">
        <x:v>80</x:v>
      </x:c>
      <x:c r="D210" s="7" t="s">
        <x:v>45</x:v>
      </x:c>
      <x:c r="E210" s="7" t="s">
        <x:v>46</x:v>
      </x:c>
      <x:c r="F210" s="12">
        <x:f>ROUND(+'WP II-E-3.3'!F28*$E$194,2)</x:f>
        <x:v>332804.21999999997</x:v>
      </x:c>
      <x:c r="G210" s="12">
        <x:v>0</x:v>
      </x:c>
      <x:c r="H210" s="12">
        <x:f>ROUND(+'WP II-E-3.3'!H28*$E$194,2)</x:f>
        <x:v>477693.41</x:v>
      </x:c>
      <x:c r="I210" s="12">
        <x:v>0</x:v>
      </x:c>
      <x:c r="J210" s="12">
        <x:f>ROUND(+'WP II-E-3.3'!J28*$E$194,2)</x:f>
        <x:v>533877.84</x:v>
      </x:c>
      <x:c r="K210" s="12">
        <x:v>0</x:v>
      </x:c>
      <x:c r="L210" s="12">
        <x:f t="shared" si="35"/>
        <x:v>1344375.4699999997</x:v>
      </x:c>
      <x:c r="M210" s="12">
        <x:f>ROUND(+'WP II-E-3.3'!M28*$E$194,2)</x:f>
        <x:v>210568.67</x:v>
      </x:c>
      <x:c r="N210" s="12">
        <x:v>0</x:v>
      </x:c>
      <x:c r="O210" s="12">
        <x:f>ROUND(+'WP II-E-3.3'!O28*$E$194,2)</x:f>
        <x:v>234403.48</x:v>
      </x:c>
      <x:c r="P210" s="12">
        <x:v>0</x:v>
      </x:c>
      <x:c r="Q210" s="12">
        <x:f>ROUND(+'WP II-E-3.3'!Q28*$E$194,2)</x:f>
        <x:v>171693.87</x:v>
      </x:c>
      <x:c r="R210" s="12">
        <x:v>0</x:v>
      </x:c>
    </x:row>
    <x:row r="211" spans="1:20" x14ac:dyDescent="0.25">
      <x:c r="A211" s="7">
        <x:f t="shared" si="36"/>
        <x:v>200</x:v>
      </x:c>
      <x:c r="B211" s="10" t="s">
        <x:v>81</x:v>
      </x:c>
      <x:c r="C211" s="1" t="s">
        <x:v>82</x:v>
      </x:c>
      <x:c r="D211" s="7" t="s">
        <x:v>49</x:v>
      </x:c>
      <x:c r="E211" s="7" t="s">
        <x:v>46</x:v>
      </x:c>
      <x:c r="F211" s="12">
        <x:f>ROUND(+'WP II-E-3.3'!F29*$E$194,2)</x:f>
        <x:v>86613.52</x:v>
      </x:c>
      <x:c r="G211" s="12">
        <x:v>0</x:v>
      </x:c>
      <x:c r="H211" s="12">
        <x:f>ROUND(+'WP II-E-3.3'!H29*$E$194,2)</x:f>
        <x:v>65594.87</x:v>
      </x:c>
      <x:c r="I211" s="12">
        <x:v>0</x:v>
      </x:c>
      <x:c r="J211" s="12">
        <x:f>ROUND(+'WP II-E-3.3'!J29*$E$194,2)</x:f>
        <x:v>68627.44</x:v>
      </x:c>
      <x:c r="K211" s="12">
        <x:v>0</x:v>
      </x:c>
      <x:c r="L211" s="12">
        <x:f t="shared" si="35"/>
        <x:v>220835.83000000002</x:v>
      </x:c>
      <x:c r="M211" s="12">
        <x:f>ROUND(+'WP II-E-3.3'!M29*$E$194,2)</x:f>
        <x:v>49104.42</x:v>
      </x:c>
      <x:c r="N211" s="12">
        <x:v>0</x:v>
      </x:c>
      <x:c r="O211" s="12">
        <x:f>ROUND(+'WP II-E-3.3'!O29*$E$194,2)</x:f>
        <x:v>47034.52</x:v>
      </x:c>
      <x:c r="P211" s="12">
        <x:v>0</x:v>
      </x:c>
      <x:c r="Q211" s="12">
        <x:f>ROUND(+'WP II-E-3.3'!Q29*$E$194,2)</x:f>
        <x:v>31183.599999999999</x:v>
      </x:c>
      <x:c r="R211" s="12">
        <x:v>0</x:v>
      </x:c>
    </x:row>
    <x:row r="212" spans="1:20" x14ac:dyDescent="0.25">
      <x:c r="A212" s="7">
        <x:f t="shared" si="36"/>
        <x:v>201</x:v>
      </x:c>
      <x:c r="B212" s="1" t="s">
        <x:v>83</x:v>
      </x:c>
      <x:c r="C212" s="1" t="s">
        <x:v>84</x:v>
      </x:c>
      <x:c r="D212" s="7" t="s">
        <x:v>85</x:v>
      </x:c>
      <x:c r="E212" s="7" t="s">
        <x:v>86</x:v>
      </x:c>
      <x:c r="F212" s="12">
        <x:f>ROUND(+'WP II-E-3.3'!F30*$E$194,2)</x:f>
        <x:v>0</x:v>
      </x:c>
      <x:c r="G212" s="12">
        <x:v>0</x:v>
      </x:c>
      <x:c r="H212" s="12">
        <x:f>ROUND(+'WP II-E-3.3'!H30*$E$194,2)</x:f>
        <x:v>0</x:v>
      </x:c>
      <x:c r="I212" s="12">
        <x:v>0</x:v>
      </x:c>
      <x:c r="J212" s="12">
        <x:f>ROUND(+'WP II-E-3.3'!J30*$E$194,2)</x:f>
        <x:v>0</x:v>
      </x:c>
      <x:c r="K212" s="12">
        <x:v>0</x:v>
      </x:c>
      <x:c r="L212" s="12">
        <x:f t="shared" si="35"/>
        <x:v>0</x:v>
      </x:c>
      <x:c r="M212" s="12">
        <x:f>ROUND(+'WP II-E-3.3'!M30*$E$194,2)</x:f>
        <x:v>0</x:v>
      </x:c>
      <x:c r="N212" s="12">
        <x:v>0</x:v>
      </x:c>
      <x:c r="O212" s="12">
        <x:f>ROUND(+'WP II-E-3.3'!O30*$E$194,2)</x:f>
        <x:v>0</x:v>
      </x:c>
      <x:c r="P212" s="12">
        <x:v>0</x:v>
      </x:c>
      <x:c r="Q212" s="12">
        <x:f>ROUND(+'WP II-E-3.3'!Q30*$E$194,2)</x:f>
        <x:v>0</x:v>
      </x:c>
      <x:c r="R212" s="12">
        <x:v>0</x:v>
      </x:c>
    </x:row>
    <x:row r="213" spans="1:20" x14ac:dyDescent="0.25">
      <x:c r="A213" s="7">
        <x:f t="shared" si="36"/>
        <x:v>202</x:v>
      </x:c>
      <x:c r="B213" s="1" t="s">
        <x:v>87</x:v>
      </x:c>
      <x:c r="C213" s="1" t="s">
        <x:v>88</x:v>
      </x:c>
      <x:c r="D213" s="7" t="s">
        <x:v>89</x:v>
      </x:c>
      <x:c r="E213" s="7" t="s">
        <x:v>86</x:v>
      </x:c>
      <x:c r="F213" s="12">
        <x:f>ROUND(+'WP II-E-3.3'!F31*$E$194,2)</x:f>
        <x:v>6.46</x:v>
      </x:c>
      <x:c r="G213" s="12">
        <x:v>0</x:v>
      </x:c>
      <x:c r="H213" s="12">
        <x:f>ROUND(+'WP II-E-3.3'!H31*$E$194,2)</x:f>
        <x:v>995.33</x:v>
      </x:c>
      <x:c r="I213" s="12">
        <x:v>0</x:v>
      </x:c>
      <x:c r="J213" s="12">
        <x:f>ROUND(+'WP II-E-3.3'!J31*$E$194,2)</x:f>
        <x:v>4130.1400000000003</x:v>
      </x:c>
      <x:c r="K213" s="12">
        <x:v>0</x:v>
      </x:c>
      <x:c r="L213" s="12">
        <x:f t="shared" si="35"/>
        <x:v>5131.93</x:v>
      </x:c>
      <x:c r="M213" s="12">
        <x:f>ROUND(+'WP II-E-3.3'!M31*$E$194,2)</x:f>
        <x:v>74.209999999999994</x:v>
      </x:c>
      <x:c r="N213" s="12">
        <x:v>0</x:v>
      </x:c>
      <x:c r="O213" s="12">
        <x:f>ROUND(+'WP II-E-3.3'!O31*$E$194,2)</x:f>
        <x:v>131.58000000000001</x:v>
      </x:c>
      <x:c r="P213" s="12">
        <x:v>0</x:v>
      </x:c>
      <x:c r="Q213" s="12">
        <x:f>ROUND(+'WP II-E-3.3'!Q31*$E$194,2)</x:f>
        <x:v>131.59</x:v>
      </x:c>
      <x:c r="R213" s="12">
        <x:v>0</x:v>
      </x:c>
    </x:row>
    <x:row r="214" spans="1:20" x14ac:dyDescent="0.25">
      <x:c r="A214" s="7">
        <x:f t="shared" si="36"/>
        <x:v>203</x:v>
      </x:c>
      <x:c r="B214" s="1" t="s">
        <x:v>90</x:v>
      </x:c>
      <x:c r="C214" s="1" t="s">
        <x:v>91</x:v>
      </x:c>
      <x:c r="D214" s="7" t="s">
        <x:v>92</x:v>
      </x:c>
      <x:c r="E214" s="7" t="s">
        <x:v>46</x:v>
      </x:c>
      <x:c r="F214" s="12">
        <x:f>ROUND(+'WP II-E-3.3'!F32*$E$194,2)</x:f>
        <x:v>238332.2</x:v>
      </x:c>
      <x:c r="G214" s="12">
        <x:v>0</x:v>
      </x:c>
      <x:c r="H214" s="12">
        <x:f>ROUND(+'WP II-E-3.3'!H32*$E$194,2)</x:f>
        <x:v>96546.64</x:v>
      </x:c>
      <x:c r="I214" s="12">
        <x:v>0</x:v>
      </x:c>
      <x:c r="J214" s="12">
        <x:f>ROUND(+'WP II-E-3.3'!J32*$E$194,2)</x:f>
        <x:v>183074.87</x:v>
      </x:c>
      <x:c r="K214" s="12">
        <x:v>0</x:v>
      </x:c>
      <x:c r="L214" s="12">
        <x:f t="shared" si="35"/>
        <x:v>517953.71</x:v>
      </x:c>
      <x:c r="M214" s="12">
        <x:f>ROUND(+'WP II-E-3.3'!M32*$E$194,2)</x:f>
        <x:v>11032.22</x:v>
      </x:c>
      <x:c r="N214" s="12">
        <x:v>0</x:v>
      </x:c>
      <x:c r="O214" s="12">
        <x:f>ROUND(+'WP II-E-3.3'!O32*$E$194,2)</x:f>
        <x:v>11449.11</x:v>
      </x:c>
      <x:c r="P214" s="12">
        <x:v>0</x:v>
      </x:c>
      <x:c r="Q214" s="12">
        <x:f>ROUND(+'WP II-E-3.3'!Q32*$E$194,2)</x:f>
        <x:v>11427.2</x:v>
      </x:c>
      <x:c r="R214" s="12">
        <x:v>0</x:v>
      </x:c>
    </x:row>
    <x:row r="215" spans="1:20" x14ac:dyDescent="0.25">
      <x:c r="A215" s="7">
        <x:f t="shared" si="36"/>
        <x:v>204</x:v>
      </x:c>
      <x:c r="B215" s="1" t="s">
        <x:v>93</x:v>
      </x:c>
      <x:c r="C215" s="1" t="s">
        <x:v>94</x:v>
      </x:c>
      <x:c r="D215" s="7" t="s">
        <x:v>95</x:v>
      </x:c>
      <x:c r="E215" s="7" t="s">
        <x:v>46</x:v>
      </x:c>
      <x:c r="F215" s="12">
        <x:f>ROUND(+'WP II-E-3.3'!F33*$E$194,2)</x:f>
        <x:v>189885.25</x:v>
      </x:c>
      <x:c r="G215" s="12">
        <x:v>0</x:v>
      </x:c>
      <x:c r="H215" s="12">
        <x:f>ROUND(+'WP II-E-3.3'!H33*$E$194,2)</x:f>
        <x:v>125988.81</x:v>
      </x:c>
      <x:c r="I215" s="12">
        <x:v>0</x:v>
      </x:c>
      <x:c r="J215" s="12">
        <x:f>ROUND(+'WP II-E-3.3'!J33*$E$194,2)</x:f>
        <x:v>194816</x:v>
      </x:c>
      <x:c r="K215" s="12">
        <x:v>0</x:v>
      </x:c>
      <x:c r="L215" s="12">
        <x:f t="shared" si="35"/>
        <x:v>510690.06</x:v>
      </x:c>
      <x:c r="M215" s="12">
        <x:f>ROUND(+'WP II-E-3.3'!M33*$E$194,2)</x:f>
        <x:v>18501.41</x:v>
      </x:c>
      <x:c r="N215" s="12">
        <x:v>0</x:v>
      </x:c>
      <x:c r="O215" s="12">
        <x:f>ROUND(+'WP II-E-3.3'!O33*$E$194,2)</x:f>
        <x:v>18783</x:v>
      </x:c>
      <x:c r="P215" s="12">
        <x:v>0</x:v>
      </x:c>
      <x:c r="Q215" s="12">
        <x:f>ROUND(+'WP II-E-3.3'!Q33*$E$194,2)</x:f>
        <x:v>17288.77</x:v>
      </x:c>
      <x:c r="R215" s="12">
        <x:v>0</x:v>
      </x:c>
    </x:row>
    <x:row r="216" spans="1:20" x14ac:dyDescent="0.25">
      <x:c r="A216" s="7">
        <x:f t="shared" si="36"/>
        <x:v>205</x:v>
      </x:c>
      <x:c r="B216" s="1" t="s">
        <x:v>96</x:v>
      </x:c>
      <x:c r="C216" s="1" t="s">
        <x:v>97</x:v>
      </x:c>
      <x:c r="D216" s="7" t="s">
        <x:v>98</x:v>
      </x:c>
      <x:c r="F216" s="12">
        <x:f>ROUND(+'WP II-E-3.3'!F34*$E$194,2)</x:f>
        <x:v>456404.96</x:v>
      </x:c>
      <x:c r="G216" s="12">
        <x:v>0</x:v>
      </x:c>
      <x:c r="H216" s="12">
        <x:f>ROUND(+'WP II-E-3.3'!H34*$E$194,2)</x:f>
        <x:v>438009.68</x:v>
      </x:c>
      <x:c r="I216" s="12">
        <x:v>0</x:v>
      </x:c>
      <x:c r="J216" s="12">
        <x:f>ROUND(+'WP II-E-3.3'!J34*$E$194,2)</x:f>
        <x:v>46172.66</x:v>
      </x:c>
      <x:c r="K216" s="12">
        <x:v>0</x:v>
      </x:c>
      <x:c r="L216" s="12">
        <x:f t="shared" si="35"/>
        <x:v>940587.3</x:v>
      </x:c>
      <x:c r="M216" s="12">
        <x:f>ROUND(+'WP II-E-3.3'!M34*$E$194,2)</x:f>
        <x:v>0</x:v>
      </x:c>
      <x:c r="N216" s="12">
        <x:v>0</x:v>
      </x:c>
      <x:c r="O216" s="12">
        <x:f>ROUND(+'WP II-E-3.3'!O34*$E$194,2)</x:f>
        <x:v>0</x:v>
      </x:c>
      <x:c r="P216" s="12">
        <x:v>0</x:v>
      </x:c>
      <x:c r="Q216" s="12">
        <x:f>ROUND(+'WP II-E-3.3'!Q34*$E$194,2)</x:f>
        <x:v>0</x:v>
      </x:c>
      <x:c r="R216" s="12">
        <x:v>0</x:v>
      </x:c>
    </x:row>
    <x:row r="217" spans="1:20" x14ac:dyDescent="0.25">
      <x:c r="A217" s="7">
        <x:f t="shared" si="36"/>
        <x:v>206</x:v>
      </x:c>
      <x:c r="B217" s="1" t="s">
        <x:v>99</x:v>
      </x:c>
      <x:c r="C217" s="1" t="s">
        <x:v>100</x:v>
      </x:c>
      <x:c r="D217" s="7" t="s">
        <x:v>89</x:v>
      </x:c>
      <x:c r="E217" s="7" t="s">
        <x:v>86</x:v>
      </x:c>
      <x:c r="F217" s="12">
        <x:f>ROUND(+'WP II-E-3.3'!F35*$E$194,2)</x:f>
        <x:v>605108.16</x:v>
      </x:c>
      <x:c r="G217" s="12">
        <x:v>0</x:v>
      </x:c>
      <x:c r="H217" s="12">
        <x:f>ROUND(+'WP II-E-3.3'!H35*$E$194,2)</x:f>
        <x:v>812887.05</x:v>
      </x:c>
      <x:c r="I217" s="12">
        <x:v>0</x:v>
      </x:c>
      <x:c r="J217" s="12">
        <x:f>ROUND(+'WP II-E-3.3'!J35*$E$194,2)</x:f>
        <x:v>1116925.8799999999</x:v>
      </x:c>
      <x:c r="K217" s="12">
        <x:v>0</x:v>
      </x:c>
      <x:c r="L217" s="12">
        <x:f t="shared" si="35"/>
        <x:v>2534921.09</x:v>
      </x:c>
      <x:c r="M217" s="12">
        <x:f>ROUND(+'WP II-E-3.3'!M35*$E$194,2)</x:f>
        <x:v>43167.49</x:v>
      </x:c>
      <x:c r="N217" s="12">
        <x:v>0</x:v>
      </x:c>
      <x:c r="O217" s="12">
        <x:f>ROUND(+'WP II-E-3.3'!O35*$E$194,2)</x:f>
        <x:v>64993.74</x:v>
      </x:c>
      <x:c r="P217" s="12">
        <x:v>0</x:v>
      </x:c>
      <x:c r="Q217" s="12">
        <x:f>ROUND(+'WP II-E-3.3'!Q35*$E$194,2)</x:f>
        <x:v>64994.17</x:v>
      </x:c>
      <x:c r="R217" s="12">
        <x:v>0</x:v>
      </x:c>
    </x:row>
    <x:row r="218" spans="1:20" ht="13" x14ac:dyDescent="0.3">
      <x:c r="A218" s="7">
        <x:f t="shared" si="36"/>
        <x:v>207</x:v>
      </x:c>
      <x:c r="B218" s="14" t="s">
        <x:v>114</x:v>
      </x:c>
      <x:c r="F218" s="19">
        <x:f t="shared" ref="F218:T218" si="37">SUM(F195:F217)</x:f>
        <x:v>22415035.93</x:v>
      </x:c>
      <x:c r="G218" s="19">
        <x:f t="shared" si="37"/>
        <x:v>0</x:v>
      </x:c>
      <x:c r="H218" s="19">
        <x:f t="shared" si="37"/>
        <x:v>30315507.039999995</x:v>
      </x:c>
      <x:c r="I218" s="19">
        <x:f t="shared" si="37"/>
        <x:v>0</x:v>
      </x:c>
      <x:c r="J218" s="19">
        <x:f t="shared" ref="J218:K218" si="38">SUM(J195:J217)</x:f>
        <x:v>39934420.589999996</x:v>
      </x:c>
      <x:c r="K218" s="19">
        <x:f t="shared" si="38"/>
        <x:v>0</x:v>
      </x:c>
      <x:c r="L218" s="19">
        <x:f t="shared" si="37"/>
        <x:v>92664963.560000017</x:v>
      </x:c>
      <x:c r="M218" s="19">
        <x:f t="shared" si="37"/>
        <x:v>5863067.79</x:v>
      </x:c>
      <x:c r="N218" s="19">
        <x:f t="shared" si="37"/>
        <x:v>0</x:v>
      </x:c>
      <x:c r="O218" s="19">
        <x:f t="shared" si="37"/>
        <x:v>7385835.3400000017</x:v>
      </x:c>
      <x:c r="P218" s="19">
        <x:f t="shared" si="37"/>
        <x:v>0</x:v>
      </x:c>
      <x:c r="Q218" s="19">
        <x:f t="shared" si="37"/>
        <x:v>6615017.7299999986</x:v>
      </x:c>
      <x:c r="R218" s="19">
        <x:f t="shared" si="37"/>
        <x:v>0</x:v>
      </x:c>
      <x:c r="S218" s="19">
        <x:f>ROUND(+S36*E194,2)</x:f>
        <x:v>61704.9</x:v>
      </x:c>
      <x:c r="T218" s="19">
        <x:f t="shared" si="37"/>
        <x:v>0</x:v>
      </x:c>
    </x:row>
    <x:row r="221" spans="1:20" x14ac:dyDescent="0.25">
      <x:c r="B221" s="20"/>
      <x:c r="C221" s="20"/>
      <x:c r="D221" s="21"/>
      <x:c r="E221" s="21" t="s">
        <x:v>115</x:v>
      </x:c>
      <x:c r="F221" s="22">
        <x:f t="shared" ref="F221:T221" si="39">+F36-F62-F88-F114-F140-F166-F192-F218</x:f>
        <x:v>-1.9999973475933075E-2</x:v>
      </x:c>
      <x:c r="G221" s="22">
        <x:f t="shared" si="39"/>
        <x:v>0</x:v>
      </x:c>
      <x:c r="H221" s="22">
        <x:f t="shared" si="39"/>
        <x:v>-9.9992640316486359E-3</x:v>
      </x:c>
      <x:c r="I221" s="22">
        <x:f t="shared" si="39"/>
        <x:v>1.5279510989785194E-10</x:v>
      </x:c>
      <x:c r="J221" s="22">
        <x:f t="shared" si="39"/>
        <x:v>1.0000042617321014E-2</x:v>
      </x:c>
      <x:c r="K221" s="22">
        <x:f t="shared" si="39"/>
        <x:v>8.7311491370201111E-11</x:v>
      </x:c>
      <x:c r="L221" s="22">
        <x:f t="shared" si="39"/>
        <x:v>-1.9999399781227112E-2</x:v>
      </x:c>
      <x:c r="M221" s="22">
        <x:f t="shared" si="39"/>
        <x:v>2.0000063814222813E-2</x:v>
      </x:c>
      <x:c r="N221" s="22">
        <x:f t="shared" si="39"/>
        <x:v>0</x:v>
      </x:c>
      <x:c r="O221" s="22">
        <x:f t="shared" si="39"/>
        <x:v>-2.9999837279319763E-2</x:v>
      </x:c>
      <x:c r="P221" s="22">
        <x:f t="shared" si="39"/>
        <x:v>7.2759576141834259E-12</x:v>
      </x:c>
      <x:c r="Q221" s="22">
        <x:f t="shared" si="39"/>
        <x:v>-9.9998936057090759E-3</x:v>
      </x:c>
      <x:c r="R221" s="22">
        <x:f t="shared" si="39"/>
        <x:v>-9.0949470177292824E-12</x:v>
      </x:c>
      <x:c r="S221" s="22">
        <x:f t="shared" si="39"/>
        <x:v>-7.3999991655000485E-3</x:v>
      </x:c>
      <x:c r="T221" s="22">
        <x:f t="shared" si="39"/>
        <x:v>2.699999138712883E-3</x:v>
      </x:c>
    </x:row>
  </x:sheetData>
  <x:mergeCells count="7">
    <x:mergeCell ref="B11:C11"/>
    <x:mergeCell ref="A1:T1"/>
    <x:mergeCell ref="A2:T2"/>
    <x:mergeCell ref="A3:T3"/>
    <x:mergeCell ref="A4:T4"/>
    <x:mergeCell ref="A5:T5"/>
    <x:mergeCell ref="B10:C10"/>
  </x:mergeCells>
  <x:printOptions horizontalCentered="1"/>
  <x:pageMargins left="0.45" right="0.45" top="2.25" bottom="0.5" header="1.5" footer="0.3"/>
  <x:pageSetup scale="38" fitToHeight="16" orientation="landscape" r:id="rId1"/>
  <x:headerFooter>
    <x:oddHeader>&amp;C
2025 RATE CASE
ONCOR ELECTRIC DELIVERY COMPANY LLC
PLANT ADJUSTMENTS
TEST YEAR ENDING DECEMBER 31, 2024
SPONSOR: B. L. CLUTTER&amp;RWP/II-E-3.3/1
Page &amp;P of &amp;N</x:oddHeader>
  </x:headerFooter>
  <x:rowBreaks count="2" manualBreakCount="2">
    <x:brk id="89" max="19" man="1"/>
    <x:brk id="167" max="19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2025-04-04T18:54:56.0000000Z</dcterms:modified>
</coreProperties>
</file>