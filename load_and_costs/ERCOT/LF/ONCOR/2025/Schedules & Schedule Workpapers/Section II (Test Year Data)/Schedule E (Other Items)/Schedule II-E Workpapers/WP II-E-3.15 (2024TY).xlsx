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E (Other Items)\Schedule II-E Workpapers\"/>
    </mc:Choice>
  </mc:AlternateContent>
  <xr:revisionPtr revIDLastSave="0" documentId="13_ncr:1_{097D80A1-5DC4-4FD7-9BAD-A7060A9FCC69}" xr6:coauthVersionLast="47" xr6:coauthVersionMax="47" xr10:uidLastSave="{00000000-0000-0000-0000-000000000000}"/>
  <x:bookViews>
    <x:workbookView xWindow="57480" yWindow="1290" windowWidth="29040" windowHeight="15840" xr2:uid="{00000000-000D-0000-FFFF-FFFF00000000}"/>
  </x:bookViews>
  <x:sheets>
    <x:sheet name="WP II-E-3.15" sheetId="1" r:id="rId1"/>
  </x:sheets>
  <x:definedNames>
    <x:definedName name="_xlnm.Print_Area" localSheetId="0">'WP II-E-3.15'!$A$1:$E$115</x:definedName>
    <x:definedName name="_xlnm.Print_Titles" localSheetId="0">'WP II-E-3.15'!$1:$13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127" i="1" l="1"/>
  <x:c r="C123" i="1"/>
  <x:c r="C119" i="1"/>
  <x:c r="C112" i="1"/>
  <x:c r="C109" i="1"/>
  <x:c r="C108" i="1"/>
  <x:c r="D107" i="1"/>
  <x:c r="C107" i="1"/>
  <x:c r="C106" i="1"/>
  <x:c r="C105" i="1"/>
  <x:c r="C104" i="1"/>
  <x:c r="C103" i="1"/>
  <x:c r="E100" i="1"/>
  <x:c r="E110" i="1" s="1"/>
  <x:c r="E124" i="1" s="1"/>
  <x:c r="E125" i="1" s="1"/>
  <x:c r="C97" i="1"/>
  <x:c r="C96" i="1"/>
  <x:c r="C95" i="1"/>
  <x:c r="C93" i="1"/>
  <x:c r="E87" i="1"/>
  <x:c r="C86" i="1"/>
  <x:c r="C85" i="1"/>
  <x:c r="C84" i="1"/>
  <x:c r="C83" i="1"/>
  <x:c r="C82" i="1"/>
  <x:c r="C81" i="1"/>
  <x:c r="C80" i="1"/>
  <x:c r="C79" i="1"/>
  <x:c r="C78" i="1"/>
  <x:c r="C77" i="1"/>
  <x:c r="C76" i="1"/>
  <x:c r="C75" i="1"/>
  <x:c r="C74" i="1"/>
  <x:c r="C73" i="1"/>
  <x:c r="C72" i="1"/>
  <x:c r="C71" i="1"/>
  <x:c r="C70" i="1"/>
  <x:c r="C69" i="1"/>
  <x:c r="C68" i="1"/>
  <x:c r="C67" i="1"/>
  <x:c r="C66" i="1"/>
  <x:c r="C65" i="1"/>
  <x:c r="C64" i="1"/>
  <x:c r="C63" i="1"/>
  <x:c r="C62" i="1"/>
  <x:c r="C61" i="1"/>
  <x:c r="C60" i="1"/>
  <x:c r="C59" i="1"/>
  <x:c r="C58" i="1"/>
  <x:c r="C57" i="1"/>
  <x:c r="C56" i="1"/>
  <x:c r="C55" i="1"/>
  <x:c r="C54" i="1"/>
  <x:c r="C53" i="1"/>
  <x:c r="C52" i="1"/>
  <x:c r="C51" i="1"/>
  <x:c r="C50" i="1"/>
  <x:c r="C49" i="1"/>
  <x:c r="C48" i="1"/>
  <x:c r="C47" i="1"/>
  <x:c r="C46" i="1"/>
  <x:c r="C45" i="1"/>
  <x:c r="C44" i="1"/>
  <x:c r="C43" i="1"/>
  <x:c r="C42" i="1"/>
  <x:c r="C41" i="1"/>
  <x:c r="C40" i="1"/>
  <x:c r="C39" i="1"/>
  <x:c r="C38" i="1"/>
  <x:c r="C37" i="1"/>
  <x:c r="C36" i="1"/>
  <x:c r="C35" i="1"/>
  <x:c r="C33" i="1"/>
  <x:c r="C32" i="1"/>
  <x:c r="E28" i="1"/>
  <x:c r="C27" i="1"/>
  <x:c r="C26" i="1"/>
  <x:c r="C25" i="1"/>
  <x:c r="A25" i="1"/>
  <x:c r="A26" i="1" s="1"/>
  <x:c r="A27" i="1" s="1"/>
  <x:c r="A28" i="1" s="1"/>
  <x:c r="A29" i="1" s="1"/>
  <x:c r="A30" i="1" s="1"/>
  <x:c r="A31" i="1" s="1"/>
  <x:c r="A32" i="1" s="1"/>
  <x:c r="A33" i="1" s="1"/>
  <x:c r="A34" i="1" s="1"/>
  <x:c r="A35" i="1" s="1"/>
  <x:c r="A36" i="1" s="1"/>
  <x:c r="A37" i="1" s="1"/>
  <x:c r="A38" i="1" s="1"/>
  <x:c r="A39" i="1" s="1"/>
  <x:c r="A40" i="1" s="1"/>
  <x:c r="A41" i="1" s="1"/>
  <x:c r="A42" i="1" s="1"/>
  <x:c r="A43" i="1" s="1"/>
  <x:c r="A44" i="1" s="1"/>
  <x:c r="A45" i="1" s="1"/>
  <x:c r="A46" i="1" s="1"/>
  <x:c r="A47" i="1" s="1"/>
  <x:c r="A48" i="1" s="1"/>
  <x:c r="A49" i="1" s="1"/>
  <x:c r="A50" i="1" s="1"/>
  <x:c r="A51" i="1" s="1"/>
  <x:c r="A52" i="1" s="1"/>
  <x:c r="A53" i="1" s="1"/>
  <x:c r="A54" i="1" s="1"/>
  <x:c r="A55" i="1" s="1"/>
  <x:c r="A56" i="1" s="1"/>
  <x:c r="A57" i="1" s="1"/>
  <x:c r="A58" i="1" s="1"/>
  <x:c r="A59" i="1" s="1"/>
  <x:c r="A60" i="1" s="1"/>
  <x:c r="A61" i="1" s="1"/>
  <x:c r="A62" i="1" s="1"/>
  <x:c r="A63" i="1" s="1"/>
  <x:c r="A64" i="1" s="1"/>
  <x:c r="A65" i="1" s="1"/>
  <x:c r="A66" i="1" s="1"/>
  <x:c r="A67" i="1" s="1"/>
  <x:c r="A68" i="1" s="1"/>
  <x:c r="A69" i="1" s="1"/>
  <x:c r="A70" i="1" s="1"/>
  <x:c r="A71" i="1" s="1"/>
  <x:c r="A72" i="1" s="1"/>
  <x:c r="A73" i="1" s="1"/>
  <x:c r="A74" i="1" s="1"/>
  <x:c r="A75" i="1" s="1"/>
  <x:c r="A76" i="1" s="1"/>
  <x:c r="A77" i="1" s="1"/>
  <x:c r="A78" i="1" s="1"/>
  <x:c r="A79" i="1" s="1"/>
  <x:c r="A80" i="1" s="1"/>
  <x:c r="A81" i="1" s="1"/>
  <x:c r="A82" i="1" s="1"/>
  <x:c r="A83" i="1" s="1"/>
  <x:c r="A84" i="1" s="1"/>
  <x:c r="A85" i="1" s="1"/>
  <x:c r="A86" i="1" s="1"/>
  <x:c r="A87" i="1" s="1"/>
  <x:c r="A88" i="1" s="1"/>
  <x:c r="A89" i="1" s="1"/>
  <x:c r="A90" i="1" s="1"/>
  <x:c r="A91" i="1" s="1"/>
  <x:c r="A92" i="1" s="1"/>
  <x:c r="A93" i="1" s="1"/>
  <x:c r="A94" i="1" s="1"/>
  <x:c r="A95" i="1" s="1"/>
  <x:c r="A96" i="1" s="1"/>
  <x:c r="A97" i="1" s="1"/>
  <x:c r="A98" i="1" s="1"/>
  <x:c r="A99" i="1" s="1"/>
  <x:c r="A100" i="1" s="1"/>
  <x:c r="A101" i="1" s="1"/>
  <x:c r="A102" i="1" s="1"/>
  <x:c r="A103" i="1" s="1"/>
  <x:c r="A104" i="1" s="1"/>
  <x:c r="A105" i="1" s="1"/>
  <x:c r="A106" i="1" s="1"/>
  <x:c r="A107" i="1" s="1"/>
  <x:c r="A108" i="1" s="1"/>
  <x:c r="A109" i="1" s="1"/>
  <x:c r="A110" i="1" s="1"/>
  <x:c r="A111" i="1" s="1"/>
  <x:c r="A112" i="1" s="1"/>
  <x:c r="A113" i="1" s="1"/>
  <x:c r="A114" i="1" s="1"/>
  <x:c r="C24" i="1"/>
  <x:c r="C23" i="1"/>
  <x:c r="C22" i="1"/>
  <x:c r="C21" i="1"/>
  <x:c r="C20" i="1"/>
  <x:c r="C19" i="1"/>
  <x:c r="C18" i="1"/>
  <x:c r="C17" i="1"/>
  <x:c r="A15" i="1"/>
  <x:c r="A16" i="1" s="1"/>
  <x:c r="A17" i="1" s="1"/>
  <x:c r="A18" i="1" s="1"/>
  <x:c r="A19" i="1" s="1"/>
  <x:c r="A20" i="1" s="1"/>
  <x:c r="A21" i="1" s="1"/>
  <x:c r="A22" i="1" s="1"/>
  <x:c r="A23" i="1" s="1"/>
  <x:c r="A24" i="1" s="1"/>
  <x:c r="E89" i="1"/>
  <x:c r="C34" i="1" l="1"/>
  <x:c r="C87" i="1" s="1"/>
  <x:c r="C100" i="1" s="1"/>
  <x:c r="C110" i="1" s="1"/>
  <x:c r="D87" i="1"/>
  <x:c r="D100" i="1" s="1"/>
  <x:c r="D110" i="1" s="1"/>
  <x:c r="E133" i="1"/>
  <x:c r="E134" i="1" s="1"/>
  <x:c r="E91" i="1"/>
  <x:c r="E94" i="1" s="1"/>
  <x:c r="E98" i="1" s="1"/>
  <x:c r="C28" i="1"/>
  <x:c r="D28" i="1"/>
  <x:c r="C132" i="1"/>
  <x:c r="C14" i="1"/>
  <x:c r="E128" i="1" l="1"/>
  <x:c r="E129" i="1" s="1"/>
  <x:c r="E114" i="1"/>
  <x:c r="E120" i="1" s="1"/>
  <x:c r="E121" i="1" s="1"/>
  <x:c r="D124" i="1"/>
  <x:c r="C89" i="1"/>
  <x:c r="D89" i="1"/>
  <x:c r="C133" i="1" l="1"/>
  <x:c r="C134" i="1" s="1"/>
  <x:c r="C91" i="1"/>
  <x:c r="C94" i="1" s="1"/>
  <x:c r="C98" i="1" s="1"/>
  <x:c r="C114" i="1" s="1"/>
  <x:c r="C124" i="1"/>
  <x:c r="C125" i="1" s="1"/>
  <x:c r="D125" i="1"/>
  <x:c r="D133" i="1"/>
  <x:c r="D134" i="1" s="1"/>
  <x:c r="D91" i="1"/>
  <x:c r="D94" i="1" s="1"/>
  <x:c r="D98" i="1" s="1"/>
  <x:c r="D128" i="1" l="1"/>
  <x:c r="D114" i="1"/>
  <x:c r="D120" i="1" s="1"/>
  <x:c r="D121" i="1" l="1"/>
  <x:c r="C120" i="1"/>
  <x:c r="C121" i="1" s="1"/>
  <x:c r="D129" i="1"/>
  <x:c r="C128" i="1"/>
  <x:c r="C129" i="1" s="1"/>
</x:calcChain>
</file>

<file path=xl/sharedStrings.xml><?xml version="1.0" encoding="utf-8"?>
<sst xmlns="http://schemas.openxmlformats.org/spreadsheetml/2006/main" count="121" uniqueCount="117">
  <si>
    <t>ONCOR ELECTRIC DELIVERY COMPANY LLC</t>
  </si>
  <si>
    <t>ANALYSIS OF TEST YEAR FIT - TAX METHOD 2</t>
  </si>
  <si>
    <t>SPONSOR: B. L. CLUTTER</t>
  </si>
  <si>
    <t>Line</t>
  </si>
  <si>
    <t>No.</t>
  </si>
  <si>
    <t>Description</t>
  </si>
  <si>
    <t>Total</t>
  </si>
  <si>
    <t>Operating</t>
  </si>
  <si>
    <t>Non-Operating</t>
  </si>
  <si>
    <t>(a)</t>
  </si>
  <si>
    <t>(b)</t>
  </si>
  <si>
    <t>(c)</t>
  </si>
  <si>
    <t>(d)</t>
  </si>
  <si>
    <t>Income Before Taxes</t>
  </si>
  <si>
    <t>Permanent Items:</t>
  </si>
  <si>
    <t>Meals &amp; Entertainment</t>
  </si>
  <si>
    <t>AFUDC Equity</t>
  </si>
  <si>
    <t>Nondeductible Penalties &amp; Fees</t>
  </si>
  <si>
    <t>Social Club Dues</t>
  </si>
  <si>
    <t>Commuter Expenses</t>
  </si>
  <si>
    <t>Civic and Political Activities</t>
  </si>
  <si>
    <t>Employee Compensation Plans</t>
  </si>
  <si>
    <t>Non-recoverable Pension &amp; OPEBs</t>
  </si>
  <si>
    <t>SARs Capitalized</t>
  </si>
  <si>
    <t>Amortization of Organizational Expenditures</t>
  </si>
  <si>
    <t>Deductible State Tax</t>
  </si>
  <si>
    <t>Total Permanent Items</t>
  </si>
  <si>
    <t>Temporary Differences:</t>
  </si>
  <si>
    <t>Liberalized Depreciation</t>
  </si>
  <si>
    <t xml:space="preserve">  Tax &gt; Book Depreciation</t>
  </si>
  <si>
    <t>Software Development Costs</t>
  </si>
  <si>
    <t>Repair Expense</t>
  </si>
  <si>
    <t>Cost of Removal</t>
  </si>
  <si>
    <t>Self-Contructed Assets Sec. 263A</t>
  </si>
  <si>
    <t>CIAC</t>
  </si>
  <si>
    <t>Capitalized Interest</t>
  </si>
  <si>
    <t>AFUDC Debt</t>
  </si>
  <si>
    <t>Gain/(Loss) on Disposition of Assets</t>
  </si>
  <si>
    <t>P&amp;O Non-Service Cost (CWIP&amp;PIS)</t>
  </si>
  <si>
    <t>Supplemental Retirement Plan</t>
  </si>
  <si>
    <t>LTIP Amortization</t>
  </si>
  <si>
    <t>Other Post Employement Benefits - FAS 106</t>
  </si>
  <si>
    <t>Other Post Employement Benefits - FAS 112</t>
  </si>
  <si>
    <t>Salary Deferral Plan</t>
  </si>
  <si>
    <t>Pension Accrual / Funding Difference</t>
  </si>
  <si>
    <t>Bad Debts</t>
  </si>
  <si>
    <t>Prepaid Insurance</t>
  </si>
  <si>
    <t>Vacation Pay Accrual</t>
  </si>
  <si>
    <t>Performance Incentive Plan</t>
  </si>
  <si>
    <t>Rate Case Expenses</t>
  </si>
  <si>
    <t>Cap Structure Refund</t>
  </si>
  <si>
    <t>FIT Refund</t>
  </si>
  <si>
    <t>Deferred Unbilled EECRF Reg Liability</t>
  </si>
  <si>
    <t>Interest Rate Savings Reg Liability</t>
  </si>
  <si>
    <t>Reg Liability - Deferred OPEB Cost</t>
  </si>
  <si>
    <t>Reg Liability - Over-Collection of Int Asset Amort</t>
  </si>
  <si>
    <t>Self Insurance Reserve</t>
  </si>
  <si>
    <t>IBNR Medical Dental</t>
  </si>
  <si>
    <t>G/L on Interest Rate Swaps</t>
  </si>
  <si>
    <t>Deferred Revenue - AMS</t>
  </si>
  <si>
    <t>Regulatory Asset for Employee Benefit</t>
  </si>
  <si>
    <t>Regulatory Asset for Energy Efficiency Performance Bonus</t>
  </si>
  <si>
    <t>Regulatory Asset - HB 2483 Mbl Gens &amp; Reloc Costs</t>
  </si>
  <si>
    <t>Debt Recall Premium and Expense</t>
  </si>
  <si>
    <t>Contra Debt Amortization - Oncor</t>
  </si>
  <si>
    <t>Merger Transaction Costs</t>
  </si>
  <si>
    <t>Regulatory Asset for TCRF</t>
  </si>
  <si>
    <t>Regulatory Asset for Energy Efficiency Program Costs</t>
  </si>
  <si>
    <t>Reg Asset - Defaulted REPs</t>
  </si>
  <si>
    <t>Reg Asset - Sharyland Whlsle Dist Sub Tariff</t>
  </si>
  <si>
    <t>Reg Asset - NTU Transition Costs</t>
  </si>
  <si>
    <t>Reg Asset - Power Line Safety</t>
  </si>
  <si>
    <t>Reg Asset - COVID19 - Incremental Expense</t>
  </si>
  <si>
    <t>Leased Assets</t>
  </si>
  <si>
    <t>Taxable Income</t>
  </si>
  <si>
    <t>Tax Rate</t>
  </si>
  <si>
    <t>Federal Income Taxes before credits</t>
  </si>
  <si>
    <t>Less: credits</t>
  </si>
  <si>
    <t>Federal Income Tax after credits</t>
  </si>
  <si>
    <t xml:space="preserve">  Federal Impact of State Tax Adjustments</t>
  </si>
  <si>
    <t xml:space="preserve">  Prior Period Adjustments</t>
  </si>
  <si>
    <t>Current Federal Income Taxes</t>
  </si>
  <si>
    <t>Deferred Income Taxes on Temporary Differences</t>
  </si>
  <si>
    <t>Deferred Only Items:</t>
  </si>
  <si>
    <t xml:space="preserve">  Depreciation Differences</t>
  </si>
  <si>
    <t xml:space="preserve">  Protected Excess Deferred Taxes</t>
  </si>
  <si>
    <t xml:space="preserve">  Non-protected Excess Deferred Taxes</t>
  </si>
  <si>
    <t xml:space="preserve">  Federal Benefit of State Deferred</t>
  </si>
  <si>
    <t>Total Deferred Federal Income Taxes</t>
  </si>
  <si>
    <t>Investment Tax Credit Adjustments</t>
  </si>
  <si>
    <t>Total Federal Income Taxes</t>
  </si>
  <si>
    <t>difference</t>
  </si>
  <si>
    <t xml:space="preserve">Line 81 is </t>
  </si>
  <si>
    <t xml:space="preserve">TI - Line 72 should be </t>
  </si>
  <si>
    <t>Line 72 is</t>
  </si>
  <si>
    <t xml:space="preserve">  Subtotal</t>
  </si>
  <si>
    <t>2025 RATE CASE</t>
  </si>
  <si>
    <t>TEST YEAR ENDING DECEMBER 31, 2024</t>
  </si>
  <si>
    <t>Deferred Unbilled TCRF Reg Liability</t>
  </si>
  <si>
    <t>Deferred Unbilled RCE Reg Liability</t>
  </si>
  <si>
    <t xml:space="preserve">Reg Asset - HB 2483 Long Lead Materials </t>
  </si>
  <si>
    <t>Reg Asset - Sharyland Residential Interim Rates</t>
  </si>
  <si>
    <t>Reg Asset - Rocky Mound Series Compensator</t>
  </si>
  <si>
    <t>Reg Asset - Other</t>
  </si>
  <si>
    <t>Docket No. 53601 Disallowance</t>
  </si>
  <si>
    <t>Reg Asset - Workers Comp</t>
  </si>
  <si>
    <t>Reg Asset - SRP-O&amp;M</t>
  </si>
  <si>
    <t>Reg Asset - SRP-VM</t>
  </si>
  <si>
    <t xml:space="preserve">  General Business Credit</t>
  </si>
  <si>
    <t xml:space="preserve">  FIN 48 Interest</t>
  </si>
  <si>
    <t xml:space="preserve">  Excess ADFIT Reserve</t>
  </si>
  <si>
    <t xml:space="preserve">  FIN 48 Tax</t>
  </si>
  <si>
    <t xml:space="preserve">Total - Line 101 should be </t>
  </si>
  <si>
    <t>Line 101 is</t>
  </si>
  <si>
    <t>Deferred - Line 97 plus Line 99 should be</t>
  </si>
  <si>
    <t>Line 97 plus Line 99 is</t>
  </si>
  <si>
    <t>Current - Line 85 should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</si>
</sst>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0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1" applyNumberFormat="1" applyFont="1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164" fontId="4" fillId="0" borderId="3" xfId="1" quotePrefix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1" applyNumberFormat="1" applyFont="1" applyFill="1"/>
    <xf numFmtId="164" fontId="4" fillId="0" borderId="0" xfId="1" applyNumberFormat="1" applyFont="1" applyFill="1" applyBorder="1"/>
    <xf numFmtId="164" fontId="3" fillId="0" borderId="0" xfId="1" applyNumberFormat="1" applyFont="1"/>
    <xf numFmtId="0" fontId="4" fillId="0" borderId="0" xfId="0" applyFont="1" applyAlignment="1">
      <alignment wrapText="1"/>
    </xf>
    <xf numFmtId="164" fontId="4" fillId="0" borderId="4" xfId="1" applyNumberFormat="1" applyFont="1" applyBorder="1" applyAlignment="1">
      <alignment wrapText="1"/>
    </xf>
    <xf numFmtId="164" fontId="3" fillId="0" borderId="0" xfId="0" applyNumberFormat="1" applyFont="1"/>
    <xf numFmtId="164" fontId="4" fillId="0" borderId="0" xfId="1" applyNumberFormat="1" applyFont="1" applyAlignment="1">
      <alignment wrapText="1"/>
    </xf>
    <xf numFmtId="164" fontId="4" fillId="0" borderId="4" xfId="1" applyNumberFormat="1" applyFont="1" applyFill="1" applyBorder="1"/>
    <xf numFmtId="43" fontId="3" fillId="0" borderId="0" xfId="1" applyFont="1"/>
    <xf numFmtId="164" fontId="4" fillId="0" borderId="5" xfId="1" applyNumberFormat="1" applyFont="1" applyFill="1" applyBorder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3"/>
    <xf numFmtId="43" fontId="4" fillId="0" borderId="0" xfId="1" applyFont="1" applyFill="1"/>
    <xf numFmtId="9" fontId="4" fillId="0" borderId="0" xfId="2" applyFont="1" applyFill="1" applyBorder="1"/>
    <xf numFmtId="164" fontId="4" fillId="0" borderId="0" xfId="0" applyNumberFormat="1" applyFont="1"/>
    <xf numFmtId="164" fontId="4" fillId="0" borderId="5" xfId="0" applyNumberFormat="1" applyFont="1" applyBorder="1"/>
    <xf numFmtId="164" fontId="5" fillId="0" borderId="5" xfId="0" applyNumberFormat="1" applyFont="1" applyBorder="1"/>
  </cellXfs>
  <cellStyles count="4">
    <cellStyle name="Comma" xfId="1" builtinId="3"/>
    <cellStyle name="Normal" xfId="0" builtinId="0"/>
    <cellStyle name="Normal_2008 Q1 Variance Report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I135"/>
  <x:sheetViews>
    <x:sheetView tabSelected="1" zoomScale="80" zoomScaleNormal="80" workbookViewId="0">
      <x:selection activeCell="H14" sqref="H14"/>
    </x:sheetView>
  </x:sheetViews>
  <x:sheetFormatPr defaultColWidth="9.1796875" defaultRowHeight="12.5" x14ac:dyDescent="0.25"/>
  <x:cols>
    <x:col min="1" max="1" width="5" style="2" bestFit="1" customWidth="1"/>
    <x:col min="2" max="2" width="54.453125" style="2" customWidth="1"/>
    <x:col min="3" max="3" width="18.7265625" style="2" customWidth="1"/>
    <x:col min="4" max="4" width="18.7265625" style="3" customWidth="1"/>
    <x:col min="5" max="5" width="18.7265625" style="2" customWidth="1"/>
    <x:col min="6" max="6" width="9.1796875" style="1"/>
    <x:col min="7" max="8" width="13.453125" style="1" bestFit="1" customWidth="1"/>
    <x:col min="9" max="9" width="11.81640625" style="1" bestFit="1" customWidth="1"/>
    <x:col min="10" max="16384" width="9.1796875" style="1"/>
  </x:cols>
  <x:sheetData>
    <x:row r="1" spans="1:5" ht="13" x14ac:dyDescent="0.3">
      <x:c r="A1" s="22" t="s">
        <x:v>96</x:v>
      </x:c>
      <x:c r="B1" s="22"/>
      <x:c r="C1" s="22"/>
      <x:c r="D1" s="22"/>
      <x:c r="E1" s="22"/>
    </x:row>
    <x:row r="2" spans="1:5" ht="13" x14ac:dyDescent="0.3">
      <x:c r="A2" s="22" t="s">
        <x:v>0</x:v>
      </x:c>
      <x:c r="B2" s="22"/>
      <x:c r="C2" s="22"/>
      <x:c r="D2" s="22"/>
      <x:c r="E2" s="22"/>
    </x:row>
    <x:row r="3" spans="1:5" ht="13" x14ac:dyDescent="0.3">
      <x:c r="A3" s="23" t="s">
        <x:v>1</x:v>
      </x:c>
      <x:c r="B3" s="23"/>
      <x:c r="C3" s="23"/>
      <x:c r="D3" s="23"/>
      <x:c r="E3" s="23"/>
    </x:row>
    <x:row r="4" spans="1:5" ht="13" x14ac:dyDescent="0.3">
      <x:c r="A4" s="23" t="s">
        <x:v>97</x:v>
      </x:c>
      <x:c r="B4" s="23"/>
      <x:c r="C4" s="23"/>
      <x:c r="D4" s="23"/>
      <x:c r="E4" s="23"/>
    </x:row>
    <x:row r="5" spans="1:5" ht="13" x14ac:dyDescent="0.3">
      <x:c r="A5" s="22" t="s">
        <x:v>2</x:v>
      </x:c>
      <x:c r="B5" s="22"/>
      <x:c r="C5" s="22"/>
      <x:c r="D5" s="22"/>
      <x:c r="E5" s="22"/>
    </x:row>
    <x:row r="9" spans="1:5" ht="13" thickBot="1" x14ac:dyDescent="0.3"/>
    <x:row r="10" spans="1:5" ht="13" x14ac:dyDescent="0.3">
      <x:c r="A10" s="4" t="s">
        <x:v>3</x:v>
      </x:c>
      <x:c r="B10" s="4"/>
      <x:c r="C10" s="4"/>
      <x:c r="D10" s="5"/>
      <x:c r="E10" s="4"/>
    </x:row>
    <x:row r="11" spans="1:5" ht="13" x14ac:dyDescent="0.3">
      <x:c r="A11" s="6" t="s">
        <x:v>4</x:v>
      </x:c>
      <x:c r="B11" s="6" t="s">
        <x:v>5</x:v>
      </x:c>
      <x:c r="C11" s="6" t="s">
        <x:v>6</x:v>
      </x:c>
      <x:c r="D11" s="7" t="s">
        <x:v>7</x:v>
      </x:c>
      <x:c r="E11" s="6" t="s">
        <x:v>8</x:v>
      </x:c>
    </x:row>
    <x:row r="12" spans="1:5" ht="13" thickBot="1" x14ac:dyDescent="0.3">
      <x:c r="A12" s="8"/>
      <x:c r="B12" s="8" t="s">
        <x:v>9</x:v>
      </x:c>
      <x:c r="C12" s="9" t="s">
        <x:v>10</x:v>
      </x:c>
      <x:c r="D12" s="10" t="s">
        <x:v>11</x:v>
      </x:c>
      <x:c r="E12" s="9" t="s">
        <x:v>12</x:v>
      </x:c>
    </x:row>
    <x:row r="14" spans="1:5" x14ac:dyDescent="0.25">
      <x:c r="A14" s="11">
        <x:v>1</x:v>
      </x:c>
      <x:c r="B14" s="2" t="s">
        <x:v>13</x:v>
      </x:c>
      <x:c r="C14" s="12">
        <x:f>SUM(D14:E14)</x:f>
        <x:v>1173621725.49</x:v>
      </x:c>
      <x:c r="D14" s="12">
        <x:v>1110408415.76</x:v>
      </x:c>
      <x:c r="E14" s="13">
        <x:v>63213309.729999997</x:v>
      </x:c>
    </x:row>
    <x:row r="15" spans="1:5" x14ac:dyDescent="0.25">
      <x:c r="A15" s="11">
        <x:f t="shared" ref="A15:A78" si="0">A14+1</x:f>
        <x:v>2</x:v>
      </x:c>
      <x:c r="C15" s="3"/>
      <x:c r="E15" s="3"/>
    </x:row>
    <x:row r="16" spans="1:5" x14ac:dyDescent="0.25">
      <x:c r="A16" s="11">
        <x:f t="shared" si="0"/>
        <x:v>3</x:v>
      </x:c>
      <x:c r="B16" s="2" t="s">
        <x:v>14</x:v>
      </x:c>
      <x:c r="C16" s="3"/>
      <x:c r="E16" s="3"/>
    </x:row>
    <x:row r="17" spans="1:9" x14ac:dyDescent="0.25">
      <x:c r="A17" s="11">
        <x:f t="shared" si="0"/>
        <x:v>4</x:v>
      </x:c>
      <x:c r="B17" s="2" t="s">
        <x:v>15</x:v>
      </x:c>
      <x:c r="C17" s="3">
        <x:f t="shared" ref="C17:C27" si="1">SUM(D17:E17)</x:f>
        <x:v>4310520.79</x:v>
      </x:c>
      <x:c r="D17" s="14">
        <x:v>4310520.79</x:v>
      </x:c>
      <x:c r="E17" s="3">
        <x:v>0</x:v>
      </x:c>
    </x:row>
    <x:row r="18" spans="1:9" x14ac:dyDescent="0.25">
      <x:c r="A18" s="11">
        <x:f t="shared" si="0"/>
        <x:v>5</x:v>
      </x:c>
      <x:c r="B18" s="24" t="s">
        <x:v>16</x:v>
      </x:c>
      <x:c r="C18" s="3">
        <x:f t="shared" si="1"/>
        <x:v>-59648128.740000002</x:v>
      </x:c>
      <x:c r="D18" s="14">
        <x:v>0</x:v>
      </x:c>
      <x:c r="E18" s="3">
        <x:v>-59648128.740000002</x:v>
      </x:c>
    </x:row>
    <x:row r="19" spans="1:9" x14ac:dyDescent="0.25">
      <x:c r="A19" s="11">
        <x:f t="shared" si="0"/>
        <x:v>6</x:v>
      </x:c>
      <x:c r="B19" s="1" t="s">
        <x:v>17</x:v>
      </x:c>
      <x:c r="C19" s="3">
        <x:f t="shared" si="1"/>
        <x:v>636895.6</x:v>
      </x:c>
      <x:c r="D19" s="14">
        <x:v>0</x:v>
      </x:c>
      <x:c r="E19" s="3">
        <x:v>636895.6</x:v>
      </x:c>
    </x:row>
    <x:row r="20" spans="1:9" x14ac:dyDescent="0.25">
      <x:c r="A20" s="11">
        <x:f t="shared" si="0"/>
        <x:v>7</x:v>
      </x:c>
      <x:c r="B20" s="2" t="s">
        <x:v>18</x:v>
      </x:c>
      <x:c r="C20" s="3">
        <x:f t="shared" si="1"/>
        <x:v>267483.74</x:v>
      </x:c>
      <x:c r="D20" s="14">
        <x:v>267483.74</x:v>
      </x:c>
      <x:c r="E20" s="3">
        <x:v>0</x:v>
      </x:c>
    </x:row>
    <x:row r="21" spans="1:9" x14ac:dyDescent="0.25">
      <x:c r="A21" s="11">
        <x:f t="shared" si="0"/>
        <x:v>8</x:v>
      </x:c>
      <x:c r="B21" s="2" t="s">
        <x:v>19</x:v>
      </x:c>
      <x:c r="C21" s="3">
        <x:f t="shared" si="1"/>
        <x:v>1524901.5</x:v>
      </x:c>
      <x:c r="D21" s="13">
        <x:v>1524901.5</x:v>
      </x:c>
      <x:c r="E21" s="13">
        <x:v>0</x:v>
      </x:c>
    </x:row>
    <x:row r="22" spans="1:9" x14ac:dyDescent="0.25">
      <x:c r="A22" s="11">
        <x:f t="shared" si="0"/>
        <x:v>9</x:v>
      </x:c>
      <x:c r="B22" s="1" t="s">
        <x:v>20</x:v>
      </x:c>
      <x:c r="C22" s="3">
        <x:f t="shared" si="1"/>
        <x:v>1026500.15</x:v>
      </x:c>
      <x:c r="D22" s="13">
        <x:v>0</x:v>
      </x:c>
      <x:c r="E22" s="13">
        <x:v>1026500.15</x:v>
      </x:c>
    </x:row>
    <x:row r="23" spans="1:9" x14ac:dyDescent="0.25">
      <x:c r="A23" s="11">
        <x:f t="shared" si="0"/>
        <x:v>10</x:v>
      </x:c>
      <x:c r="B23" s="2" t="s">
        <x:v>21</x:v>
      </x:c>
      <x:c r="C23" s="3">
        <x:f t="shared" si="1"/>
        <x:v>-26116300.689999998</x:v>
      </x:c>
      <x:c r="D23" s="13">
        <x:v>-8505119.0099999998</x:v>
      </x:c>
      <x:c r="E23" s="13">
        <x:v>-17611181.68</x:v>
      </x:c>
    </x:row>
    <x:row r="24" spans="1:9" x14ac:dyDescent="0.25">
      <x:c r="A24" s="11">
        <x:f t="shared" si="0"/>
        <x:v>11</x:v>
      </x:c>
      <x:c r="B24" s="24" t="s">
        <x:v>22</x:v>
      </x:c>
      <x:c r="C24" s="3">
        <x:f t="shared" si="1"/>
        <x:v>-572522</x:v>
      </x:c>
      <x:c r="D24" s="13">
        <x:v>0</x:v>
      </x:c>
      <x:c r="E24" s="13">
        <x:v>-572522</x:v>
      </x:c>
    </x:row>
    <x:row r="25" spans="1:9" x14ac:dyDescent="0.25">
      <x:c r="A25" s="11">
        <x:f t="shared" si="0"/>
        <x:v>12</x:v>
      </x:c>
      <x:c r="B25" s="24" t="s">
        <x:v>23</x:v>
      </x:c>
      <x:c r="C25" s="3">
        <x:f t="shared" si="1"/>
        <x:v>353019.06</x:v>
      </x:c>
      <x:c r="D25" s="13">
        <x:v>0</x:v>
      </x:c>
      <x:c r="E25" s="13">
        <x:v>353019.06</x:v>
      </x:c>
    </x:row>
    <x:row r="26" spans="1:9" x14ac:dyDescent="0.25">
      <x:c r="A26" s="11">
        <x:f t="shared" si="0"/>
        <x:v>13</x:v>
      </x:c>
      <x:c r="B26" s="2" t="s">
        <x:v>24</x:v>
      </x:c>
      <x:c r="C26" s="3">
        <x:f t="shared" si="1"/>
        <x:v>0</x:v>
      </x:c>
      <x:c r="D26" s="3">
        <x:v>0</x:v>
      </x:c>
      <x:c r="E26" s="3">
        <x:v>0</x:v>
      </x:c>
    </x:row>
    <x:row r="27" spans="1:9" x14ac:dyDescent="0.25">
      <x:c r="A27" s="11">
        <x:f t="shared" si="0"/>
        <x:v>14</x:v>
      </x:c>
      <x:c r="B27" s="2" t="s">
        <x:v>25</x:v>
      </x:c>
      <x:c r="C27" s="12">
        <x:f t="shared" si="1"/>
        <x:v>-31703560.390000001</x:v>
      </x:c>
      <x:c r="D27" s="12">
        <x:v>-31615870.66</x:v>
      </x:c>
      <x:c r="E27" s="12">
        <x:v>-87689.73</x:v>
      </x:c>
    </x:row>
    <x:row r="28" spans="1:9" x14ac:dyDescent="0.25">
      <x:c r="A28" s="11">
        <x:f t="shared" si="0"/>
        <x:v>15</x:v>
      </x:c>
      <x:c r="B28" s="15" t="s">
        <x:v>26</x:v>
      </x:c>
      <x:c r="C28" s="16">
        <x:f>SUM(C17:C27)</x:f>
        <x:v>-109921190.98</x:v>
      </x:c>
      <x:c r="D28" s="16">
        <x:f>SUM(D17:D27)</x:f>
        <x:v>-34018083.640000001</x:v>
      </x:c>
      <x:c r="E28" s="16">
        <x:f>SUM(E17:E27)</x:f>
        <x:v>-75903107.340000004</x:v>
      </x:c>
      <x:c r="G28" s="17"/>
      <x:c r="I28" s="17"/>
    </x:row>
    <x:row r="29" spans="1:9" x14ac:dyDescent="0.25">
      <x:c r="A29" s="11">
        <x:f t="shared" si="0"/>
        <x:v>16</x:v>
      </x:c>
      <x:c r="B29" s="15"/>
      <x:c r="C29" s="18"/>
      <x:c r="D29" s="18"/>
      <x:c r="E29" s="18"/>
    </x:row>
    <x:row r="30" spans="1:9" x14ac:dyDescent="0.25">
      <x:c r="A30" s="11">
        <x:f t="shared" si="0"/>
        <x:v>17</x:v>
      </x:c>
      <x:c r="B30" s="15" t="s">
        <x:v>27</x:v>
      </x:c>
      <x:c r="C30" s="18"/>
      <x:c r="D30" s="18"/>
      <x:c r="E30" s="18"/>
    </x:row>
    <x:row r="31" spans="1:9" x14ac:dyDescent="0.25">
      <x:c r="A31" s="11">
        <x:f t="shared" si="0"/>
        <x:v>18</x:v>
      </x:c>
      <x:c r="B31" s="2" t="s">
        <x:v>28</x:v>
      </x:c>
      <x:c r="C31" s="12"/>
      <x:c r="D31" s="12"/>
      <x:c r="E31" s="12"/>
    </x:row>
    <x:row r="32" spans="1:9" x14ac:dyDescent="0.25">
      <x:c r="A32" s="11">
        <x:f t="shared" si="0"/>
        <x:v>19</x:v>
      </x:c>
      <x:c r="B32" s="2" t="s">
        <x:v>29</x:v>
      </x:c>
      <x:c r="C32" s="12">
        <x:f t="shared" ref="C32:C86" si="2">SUM(D32:E32)</x:f>
        <x:v>-381788447.94000006</x:v>
      </x:c>
      <x:c r="D32" s="12">
        <x:v>-381788447.94000006</x:v>
      </x:c>
      <x:c r="E32" s="12"/>
    </x:row>
    <x:row r="33" spans="1:5" x14ac:dyDescent="0.25">
      <x:c r="A33" s="11">
        <x:f t="shared" si="0"/>
        <x:v>20</x:v>
      </x:c>
      <x:c r="B33" s="2" t="s">
        <x:v>30</x:v>
      </x:c>
      <x:c r="C33" s="12">
        <x:f t="shared" si="2"/>
        <x:v>21907828.439999998</x:v>
      </x:c>
      <x:c r="D33" s="13">
        <x:v>21907828.439999998</x:v>
      </x:c>
      <x:c r="E33" s="13"/>
    </x:row>
    <x:row r="34" spans="1:5" x14ac:dyDescent="0.25">
      <x:c r="A34" s="11">
        <x:f t="shared" si="0"/>
        <x:v>21</x:v>
      </x:c>
      <x:c r="B34" s="2" t="s">
        <x:v>31</x:v>
      </x:c>
      <x:c r="C34" s="12">
        <x:f t="shared" si="2"/>
        <x:v>-208163489.91999999</x:v>
      </x:c>
      <x:c r="D34" s="12">
        <x:v>-208163489.91999999</x:v>
      </x:c>
      <x:c r="E34" s="12"/>
    </x:row>
    <x:row r="35" spans="1:5" x14ac:dyDescent="0.25">
      <x:c r="A35" s="11">
        <x:f t="shared" si="0"/>
        <x:v>22</x:v>
      </x:c>
      <x:c r="B35" s="2" t="s">
        <x:v>32</x:v>
      </x:c>
      <x:c r="C35" s="12">
        <x:f t="shared" si="2"/>
        <x:v>-203070217.87</x:v>
      </x:c>
      <x:c r="D35" s="12">
        <x:v>-203070217.87</x:v>
      </x:c>
      <x:c r="E35" s="12"/>
    </x:row>
    <x:row r="36" spans="1:5" x14ac:dyDescent="0.25">
      <x:c r="A36" s="11">
        <x:f t="shared" si="0"/>
        <x:v>23</x:v>
      </x:c>
      <x:c r="B36" s="2" t="s">
        <x:v>33</x:v>
      </x:c>
      <x:c r="C36" s="12">
        <x:f t="shared" si="2"/>
        <x:v>-41682730.590000004</x:v>
      </x:c>
      <x:c r="D36" s="12">
        <x:v>-41682730.590000004</x:v>
      </x:c>
      <x:c r="E36" s="12"/>
    </x:row>
    <x:row r="37" spans="1:5" x14ac:dyDescent="0.25">
      <x:c r="A37" s="11">
        <x:f t="shared" si="0"/>
        <x:v>24</x:v>
      </x:c>
      <x:c r="B37" s="2" t="s">
        <x:v>34</x:v>
      </x:c>
      <x:c r="C37" s="12">
        <x:f t="shared" si="2"/>
        <x:v>95801382.450000003</x:v>
      </x:c>
      <x:c r="D37" s="12">
        <x:v>95801382.450000003</x:v>
      </x:c>
      <x:c r="E37" s="12"/>
    </x:row>
    <x:row r="38" spans="1:5" x14ac:dyDescent="0.25">
      <x:c r="A38" s="11">
        <x:f t="shared" si="0"/>
        <x:v>25</x:v>
      </x:c>
      <x:c r="B38" s="2" t="s">
        <x:v>35</x:v>
      </x:c>
      <x:c r="C38" s="12">
        <x:f t="shared" si="2"/>
        <x:v>63297999.979999997</x:v>
      </x:c>
      <x:c r="D38" s="12">
        <x:v>63297999.979999997</x:v>
      </x:c>
      <x:c r="E38" s="12"/>
    </x:row>
    <x:row r="39" spans="1:5" x14ac:dyDescent="0.25">
      <x:c r="A39" s="11">
        <x:f t="shared" si="0"/>
        <x:v>26</x:v>
      </x:c>
      <x:c r="B39" s="2" t="s">
        <x:v>36</x:v>
      </x:c>
      <x:c r="C39" s="12">
        <x:f t="shared" si="2"/>
        <x:v>-43481933.219999999</x:v>
      </x:c>
      <x:c r="D39" s="12">
        <x:v>-43481933.219999999</x:v>
      </x:c>
      <x:c r="E39" s="12"/>
    </x:row>
    <x:row r="40" spans="1:5" x14ac:dyDescent="0.25">
      <x:c r="A40" s="11">
        <x:f t="shared" si="0"/>
        <x:v>27</x:v>
      </x:c>
      <x:c r="B40" s="2" t="s">
        <x:v>37</x:v>
      </x:c>
      <x:c r="C40" s="12">
        <x:f t="shared" si="2"/>
        <x:v>-33795801.82</x:v>
      </x:c>
      <x:c r="D40" s="12">
        <x:v>-33795801.82</x:v>
      </x:c>
      <x:c r="E40" s="12"/>
    </x:row>
    <x:row r="41" spans="1:5" x14ac:dyDescent="0.25">
      <x:c r="A41" s="11">
        <x:f t="shared" si="0"/>
        <x:v>28</x:v>
      </x:c>
      <x:c r="B41" s="2" t="s">
        <x:v>38</x:v>
      </x:c>
      <x:c r="C41" s="12">
        <x:f t="shared" si="2"/>
        <x:v>-8882197.4299999997</x:v>
      </x:c>
      <x:c r="D41" s="12">
        <x:v>0</x:v>
      </x:c>
      <x:c r="E41" s="12">
        <x:v>-8882197.4299999997</x:v>
      </x:c>
    </x:row>
    <x:row r="42" spans="1:5" x14ac:dyDescent="0.25">
      <x:c r="A42" s="11">
        <x:f t="shared" si="0"/>
        <x:v>29</x:v>
      </x:c>
      <x:c r="B42" s="2" t="s">
        <x:v>39</x:v>
      </x:c>
      <x:c r="C42" s="12">
        <x:f t="shared" si="2"/>
        <x:v>-4429804.04</x:v>
      </x:c>
      <x:c r="D42" s="12">
        <x:v>-4429804.04</x:v>
      </x:c>
      <x:c r="E42" s="12"/>
    </x:row>
    <x:row r="43" spans="1:5" x14ac:dyDescent="0.25">
      <x:c r="A43" s="11">
        <x:f t="shared" si="0"/>
        <x:v>30</x:v>
      </x:c>
      <x:c r="B43" s="2" t="s">
        <x:v>40</x:v>
      </x:c>
      <x:c r="C43" s="12">
        <x:f t="shared" si="2"/>
        <x:v>11062008.800000001</x:v>
      </x:c>
      <x:c r="D43" s="12">
        <x:v>11062008.800000001</x:v>
      </x:c>
      <x:c r="E43" s="12"/>
    </x:row>
    <x:row r="44" spans="1:5" x14ac:dyDescent="0.25">
      <x:c r="A44" s="11">
        <x:f t="shared" si="0"/>
        <x:v>31</x:v>
      </x:c>
      <x:c r="B44" s="2" t="s">
        <x:v>41</x:v>
      </x:c>
      <x:c r="C44" s="12">
        <x:f t="shared" si="2"/>
        <x:v>-3932131.53</x:v>
      </x:c>
      <x:c r="D44" s="12">
        <x:v>-3932131.53</x:v>
      </x:c>
      <x:c r="E44" s="13"/>
    </x:row>
    <x:row r="45" spans="1:5" x14ac:dyDescent="0.25">
      <x:c r="A45" s="11">
        <x:f t="shared" si="0"/>
        <x:v>32</x:v>
      </x:c>
      <x:c r="B45" s="2" t="s">
        <x:v>42</x:v>
      </x:c>
      <x:c r="C45" s="12">
        <x:f t="shared" si="2"/>
        <x:v>1227689.79</x:v>
      </x:c>
      <x:c r="D45" s="12">
        <x:v>1227689.79</x:v>
      </x:c>
      <x:c r="E45" s="13"/>
    </x:row>
    <x:row r="46" spans="1:5" x14ac:dyDescent="0.25">
      <x:c r="A46" s="11">
        <x:f t="shared" si="0"/>
        <x:v>33</x:v>
      </x:c>
      <x:c r="B46" s="2" t="s">
        <x:v>43</x:v>
      </x:c>
      <x:c r="C46" s="12">
        <x:f t="shared" si="2"/>
        <x:v>14767459.27</x:v>
      </x:c>
      <x:c r="D46" s="12">
        <x:v>14767459.27</x:v>
      </x:c>
      <x:c r="E46" s="13"/>
    </x:row>
    <x:row r="47" spans="1:5" x14ac:dyDescent="0.25">
      <x:c r="A47" s="11">
        <x:f t="shared" si="0"/>
        <x:v>34</x:v>
      </x:c>
      <x:c r="B47" s="2" t="s">
        <x:v>44</x:v>
      </x:c>
      <x:c r="C47" s="12">
        <x:f t="shared" si="2"/>
        <x:v>-64617090</x:v>
      </x:c>
      <x:c r="D47" s="13">
        <x:v>-64617090</x:v>
      </x:c>
      <x:c r="E47" s="13"/>
    </x:row>
    <x:row r="48" spans="1:5" x14ac:dyDescent="0.25">
      <x:c r="A48" s="11">
        <x:f t="shared" si="0"/>
        <x:v>35</x:v>
      </x:c>
      <x:c r="B48" s="2" t="s">
        <x:v>45</x:v>
      </x:c>
      <x:c r="C48" s="12">
        <x:f t="shared" si="2"/>
        <x:v>2215571.2599999998</x:v>
      </x:c>
      <x:c r="D48" s="12">
        <x:v>2215571.2599999998</x:v>
      </x:c>
      <x:c r="E48" s="12"/>
    </x:row>
    <x:row r="49" spans="1:5" x14ac:dyDescent="0.25">
      <x:c r="A49" s="11">
        <x:f t="shared" si="0"/>
        <x:v>36</x:v>
      </x:c>
      <x:c r="B49" s="2" t="s">
        <x:v>46</x:v>
      </x:c>
      <x:c r="C49" s="12">
        <x:f t="shared" si="2"/>
        <x:v>-18727783.43</x:v>
      </x:c>
      <x:c r="D49" s="12">
        <x:v>-18727783.43</x:v>
      </x:c>
      <x:c r="E49" s="13"/>
    </x:row>
    <x:row r="50" spans="1:5" x14ac:dyDescent="0.25">
      <x:c r="A50" s="11">
        <x:f t="shared" si="0"/>
        <x:v>37</x:v>
      </x:c>
      <x:c r="B50" s="2" t="s">
        <x:v>47</x:v>
      </x:c>
      <x:c r="C50" s="12">
        <x:f t="shared" si="2"/>
        <x:v>1341570.8999999999</x:v>
      </x:c>
      <x:c r="D50" s="12">
        <x:v>1341570.8999999999</x:v>
      </x:c>
      <x:c r="E50" s="13"/>
    </x:row>
    <x:row r="51" spans="1:5" x14ac:dyDescent="0.25">
      <x:c r="A51" s="11">
        <x:f t="shared" si="0"/>
        <x:v>38</x:v>
      </x:c>
      <x:c r="B51" s="2" t="s">
        <x:v>48</x:v>
      </x:c>
      <x:c r="C51" s="12">
        <x:f t="shared" si="2"/>
        <x:v>7513080.6100000003</x:v>
      </x:c>
      <x:c r="D51" s="12">
        <x:v>7513080.6100000003</x:v>
      </x:c>
      <x:c r="E51" s="12"/>
    </x:row>
    <x:row r="52" spans="1:5" x14ac:dyDescent="0.25">
      <x:c r="A52" s="11">
        <x:f t="shared" si="0"/>
        <x:v>39</x:v>
      </x:c>
      <x:c r="B52" s="2" t="s">
        <x:v>49</x:v>
      </x:c>
      <x:c r="C52" s="12">
        <x:f t="shared" si="2"/>
        <x:v>-699253.09</x:v>
      </x:c>
      <x:c r="D52" s="12">
        <x:v>-699253.09</x:v>
      </x:c>
      <x:c r="E52" s="12"/>
    </x:row>
    <x:row r="53" spans="1:5" x14ac:dyDescent="0.25">
      <x:c r="A53" s="11">
        <x:f t="shared" si="0"/>
        <x:v>40</x:v>
      </x:c>
      <x:c r="B53" s="2" t="s">
        <x:v>98</x:v>
      </x:c>
      <x:c r="C53" s="12">
        <x:f t="shared" si="2"/>
        <x:v>1258449.76</x:v>
      </x:c>
      <x:c r="D53" s="25">
        <x:v>1258449.76</x:v>
      </x:c>
      <x:c r="E53" s="12"/>
    </x:row>
    <x:row r="54" spans="1:5" x14ac:dyDescent="0.25">
      <x:c r="A54" s="11">
        <x:f t="shared" si="0"/>
        <x:v>41</x:v>
      </x:c>
      <x:c r="B54" s="2" t="s">
        <x:v>50</x:v>
      </x:c>
      <x:c r="C54" s="12">
        <x:f t="shared" si="2"/>
        <x:v>16329</x:v>
      </x:c>
      <x:c r="D54" s="12">
        <x:v>16329</x:v>
      </x:c>
      <x:c r="E54" s="12"/>
    </x:row>
    <x:row r="55" spans="1:5" x14ac:dyDescent="0.25">
      <x:c r="A55" s="11">
        <x:f t="shared" si="0"/>
        <x:v>42</x:v>
      </x:c>
      <x:c r="B55" s="2" t="s">
        <x:v>51</x:v>
      </x:c>
      <x:c r="C55" s="12">
        <x:f t="shared" si="2"/>
        <x:v>473661</x:v>
      </x:c>
      <x:c r="D55" s="12">
        <x:v>473661</x:v>
      </x:c>
      <x:c r="E55" s="12"/>
    </x:row>
    <x:row r="56" spans="1:5" x14ac:dyDescent="0.25">
      <x:c r="A56" s="11">
        <x:f t="shared" si="0"/>
        <x:v>43</x:v>
      </x:c>
      <x:c r="B56" s="2" t="s">
        <x:v>52</x:v>
      </x:c>
      <x:c r="C56" s="12">
        <x:f t="shared" si="2"/>
        <x:v>-501188.43</x:v>
      </x:c>
      <x:c r="D56" s="12">
        <x:v>-501188.43</x:v>
      </x:c>
      <x:c r="E56" s="12"/>
    </x:row>
    <x:row r="57" spans="1:5" x14ac:dyDescent="0.25">
      <x:c r="A57" s="11">
        <x:f t="shared" si="0"/>
        <x:v>44</x:v>
      </x:c>
      <x:c r="B57" s="2" t="s">
        <x:v>99</x:v>
      </x:c>
      <x:c r="C57" s="12">
        <x:f t="shared" si="2"/>
        <x:v>3252.08</x:v>
      </x:c>
      <x:c r="D57" s="12">
        <x:v>3252.08</x:v>
      </x:c>
      <x:c r="E57" s="12"/>
    </x:row>
    <x:row r="58" spans="1:5" x14ac:dyDescent="0.25">
      <x:c r="A58" s="11">
        <x:f t="shared" si="0"/>
        <x:v>45</x:v>
      </x:c>
      <x:c r="B58" s="2" t="s">
        <x:v>53</x:v>
      </x:c>
      <x:c r="C58" s="12">
        <x:f t="shared" si="2"/>
        <x:v>-7967.4499999999989</x:v>
      </x:c>
      <x:c r="D58" s="12">
        <x:v>-7967.4499999999989</x:v>
      </x:c>
      <x:c r="E58" s="12"/>
    </x:row>
    <x:row r="59" spans="1:5" x14ac:dyDescent="0.25">
      <x:c r="A59" s="11">
        <x:f t="shared" si="0"/>
        <x:v>46</x:v>
      </x:c>
      <x:c r="B59" s="2" t="s">
        <x:v>54</x:v>
      </x:c>
      <x:c r="C59" s="12">
        <x:f t="shared" si="2"/>
        <x:v>-3433183.55</x:v>
      </x:c>
      <x:c r="D59" s="12">
        <x:v>-3433183.55</x:v>
      </x:c>
      <x:c r="E59" s="12"/>
    </x:row>
    <x:row r="60" spans="1:5" x14ac:dyDescent="0.25">
      <x:c r="A60" s="11">
        <x:f t="shared" si="0"/>
        <x:v>47</x:v>
      </x:c>
      <x:c r="B60" s="2" t="s">
        <x:v>55</x:v>
      </x:c>
      <x:c r="C60" s="12">
        <x:f t="shared" si="2"/>
        <x:v>-2707388.59</x:v>
      </x:c>
      <x:c r="D60" s="12">
        <x:v>-2707388.59</x:v>
      </x:c>
      <x:c r="E60" s="12"/>
    </x:row>
    <x:row r="61" spans="1:5" x14ac:dyDescent="0.25">
      <x:c r="A61" s="11">
        <x:f t="shared" si="0"/>
        <x:v>48</x:v>
      </x:c>
      <x:c r="B61" s="2" t="s">
        <x:v>56</x:v>
      </x:c>
      <x:c r="C61" s="12">
        <x:f t="shared" si="2"/>
        <x:v>-209681446.09</x:v>
      </x:c>
      <x:c r="D61" s="12">
        <x:v>-209681446.09</x:v>
      </x:c>
      <x:c r="E61" s="12"/>
    </x:row>
    <x:row r="62" spans="1:5" x14ac:dyDescent="0.25">
      <x:c r="A62" s="11">
        <x:f t="shared" si="0"/>
        <x:v>49</x:v>
      </x:c>
      <x:c r="B62" s="2" t="s">
        <x:v>57</x:v>
      </x:c>
      <x:c r="C62" s="12">
        <x:f t="shared" si="2"/>
        <x:v>-4351300</x:v>
      </x:c>
      <x:c r="D62" s="12">
        <x:v>-4351300</x:v>
      </x:c>
      <x:c r="E62" s="13"/>
    </x:row>
    <x:row r="63" spans="1:5" x14ac:dyDescent="0.25">
      <x:c r="A63" s="11">
        <x:f t="shared" si="0"/>
        <x:v>50</x:v>
      </x:c>
      <x:c r="B63" s="2" t="s">
        <x:v>58</x:v>
      </x:c>
      <x:c r="C63" s="12">
        <x:f t="shared" si="2"/>
        <x:v>-13417577</x:v>
      </x:c>
      <x:c r="D63" s="12">
        <x:v>-13417577</x:v>
      </x:c>
      <x:c r="E63" s="13"/>
    </x:row>
    <x:row r="64" spans="1:5" x14ac:dyDescent="0.25">
      <x:c r="A64" s="11">
        <x:f t="shared" si="0"/>
        <x:v>51</x:v>
      </x:c>
      <x:c r="B64" s="2" t="s">
        <x:v>59</x:v>
      </x:c>
      <x:c r="C64" s="12">
        <x:f t="shared" si="2"/>
        <x:v>25459957.489999998</x:v>
      </x:c>
      <x:c r="D64" s="12">
        <x:v>25459957.489999998</x:v>
      </x:c>
      <x:c r="E64" s="12"/>
    </x:row>
    <x:row r="65" spans="1:5" x14ac:dyDescent="0.25">
      <x:c r="A65" s="11">
        <x:f t="shared" si="0"/>
        <x:v>52</x:v>
      </x:c>
      <x:c r="B65" s="2" t="s">
        <x:v>60</x:v>
      </x:c>
      <x:c r="C65" s="12">
        <x:f t="shared" si="2"/>
        <x:v>38067788.600000001</x:v>
      </x:c>
      <x:c r="D65" s="12">
        <x:v>38067788.600000001</x:v>
      </x:c>
      <x:c r="E65" s="13"/>
    </x:row>
    <x:row r="66" spans="1:5" x14ac:dyDescent="0.25">
      <x:c r="A66" s="11">
        <x:f t="shared" si="0"/>
        <x:v>53</x:v>
      </x:c>
      <x:c r="B66" s="2" t="s">
        <x:v>100</x:v>
      </x:c>
      <x:c r="C66" s="12">
        <x:f t="shared" si="2"/>
        <x:v>-213899.61</x:v>
      </x:c>
      <x:c r="D66" s="12">
        <x:v>-213899.61</x:v>
      </x:c>
      <x:c r="E66" s="12"/>
    </x:row>
    <x:row r="67" spans="1:5" x14ac:dyDescent="0.25">
      <x:c r="A67" s="11">
        <x:f t="shared" si="0"/>
        <x:v>54</x:v>
      </x:c>
      <x:c r="B67" s="2" t="s">
        <x:v>61</x:v>
      </x:c>
      <x:c r="C67" s="12">
        <x:f t="shared" si="2"/>
        <x:v>3952910</x:v>
      </x:c>
      <x:c r="D67" s="12">
        <x:v>3952910</x:v>
      </x:c>
      <x:c r="E67" s="12"/>
    </x:row>
    <x:row r="68" spans="1:5" x14ac:dyDescent="0.25">
      <x:c r="A68" s="11">
        <x:f t="shared" si="0"/>
        <x:v>55</x:v>
      </x:c>
      <x:c r="B68" s="2" t="s">
        <x:v>62</x:v>
      </x:c>
      <x:c r="C68" s="12">
        <x:f t="shared" si="2"/>
        <x:v>2430925.9900000002</x:v>
      </x:c>
      <x:c r="D68" s="12">
        <x:v>2430925.9900000002</x:v>
      </x:c>
      <x:c r="E68" s="12"/>
    </x:row>
    <x:row r="69" spans="1:5" x14ac:dyDescent="0.25">
      <x:c r="A69" s="11">
        <x:f t="shared" si="0"/>
        <x:v>56</x:v>
      </x:c>
      <x:c r="B69" s="2" t="s">
        <x:v>63</x:v>
      </x:c>
      <x:c r="C69" s="12">
        <x:f t="shared" si="2"/>
        <x:v>3295108.56</x:v>
      </x:c>
      <x:c r="D69" s="12">
        <x:v>3295108.56</x:v>
      </x:c>
      <x:c r="E69" s="12"/>
    </x:row>
    <x:row r="70" spans="1:5" x14ac:dyDescent="0.25">
      <x:c r="A70" s="11">
        <x:f t="shared" si="0"/>
        <x:v>57</x:v>
      </x:c>
      <x:c r="B70" s="2" t="s">
        <x:v>64</x:v>
      </x:c>
      <x:c r="C70" s="12">
        <x:f t="shared" si="2"/>
        <x:v>873131.76</x:v>
      </x:c>
      <x:c r="D70" s="12">
        <x:v>873131.76</x:v>
      </x:c>
      <x:c r="E70" s="12"/>
    </x:row>
    <x:row r="71" spans="1:5" x14ac:dyDescent="0.25">
      <x:c r="A71" s="11">
        <x:f t="shared" si="0"/>
        <x:v>58</x:v>
      </x:c>
      <x:c r="B71" s="2" t="s">
        <x:v>65</x:v>
      </x:c>
      <x:c r="C71" s="12">
        <x:f t="shared" si="2"/>
        <x:v>-767374.2</x:v>
      </x:c>
      <x:c r="D71" s="12">
        <x:v>-767374.2</x:v>
      </x:c>
      <x:c r="E71" s="12"/>
    </x:row>
    <x:row r="72" spans="1:5" x14ac:dyDescent="0.25">
      <x:c r="A72" s="11">
        <x:f t="shared" si="0"/>
        <x:v>59</x:v>
      </x:c>
      <x:c r="B72" s="2" t="s">
        <x:v>66</x:v>
      </x:c>
      <x:c r="C72" s="12">
        <x:f t="shared" si="2"/>
        <x:v>-20975043.129999999</x:v>
      </x:c>
      <x:c r="D72" s="12">
        <x:v>-20975043.129999999</x:v>
      </x:c>
      <x:c r="E72" s="12"/>
    </x:row>
    <x:row r="73" spans="1:5" x14ac:dyDescent="0.25">
      <x:c r="A73" s="11">
        <x:f t="shared" si="0"/>
        <x:v>60</x:v>
      </x:c>
      <x:c r="B73" s="2" t="s">
        <x:v>67</x:v>
      </x:c>
      <x:c r="C73" s="12">
        <x:f t="shared" si="2"/>
        <x:v>-4979529.8899999997</x:v>
      </x:c>
      <x:c r="D73" s="12">
        <x:v>-4979529.8899999997</x:v>
      </x:c>
      <x:c r="E73" s="12"/>
    </x:row>
    <x:row r="74" spans="1:5" x14ac:dyDescent="0.25">
      <x:c r="A74" s="11">
        <x:f t="shared" si="0"/>
        <x:v>61</x:v>
      </x:c>
      <x:c r="B74" s="2" t="s">
        <x:v>68</x:v>
      </x:c>
      <x:c r="C74" s="12">
        <x:f t="shared" si="2"/>
        <x:v>-888545.03</x:v>
      </x:c>
      <x:c r="D74" s="12">
        <x:v>-888545.03</x:v>
      </x:c>
      <x:c r="E74" s="12"/>
    </x:row>
    <x:row r="75" spans="1:5" x14ac:dyDescent="0.25">
      <x:c r="A75" s="11">
        <x:f t="shared" si="0"/>
        <x:v>62</x:v>
      </x:c>
      <x:c r="B75" s="2" t="s">
        <x:v>69</x:v>
      </x:c>
      <x:c r="C75" s="12">
        <x:f t="shared" si="2"/>
        <x:v>15053413.859999999</x:v>
      </x:c>
      <x:c r="D75" s="12">
        <x:v>15053413.859999999</x:v>
      </x:c>
      <x:c r="E75" s="12"/>
    </x:row>
    <x:row r="76" spans="1:5" x14ac:dyDescent="0.25">
      <x:c r="A76" s="11">
        <x:f t="shared" si="0"/>
        <x:v>63</x:v>
      </x:c>
      <x:c r="B76" s="1" t="s">
        <x:v>101</x:v>
      </x:c>
      <x:c r="C76" s="12">
        <x:f t="shared" si="2"/>
        <x:v>125472.6</x:v>
      </x:c>
      <x:c r="D76" s="12">
        <x:v>125472.6</x:v>
      </x:c>
      <x:c r="E76" s="12"/>
    </x:row>
    <x:row r="77" spans="1:5" x14ac:dyDescent="0.25">
      <x:c r="A77" s="11">
        <x:f t="shared" si="0"/>
        <x:v>64</x:v>
      </x:c>
      <x:c r="B77" s="1" t="s">
        <x:v>102</x:v>
      </x:c>
      <x:c r="C77" s="12">
        <x:f t="shared" si="2"/>
        <x:v>303779.52</x:v>
      </x:c>
      <x:c r="D77" s="12">
        <x:v>303779.52</x:v>
      </x:c>
      <x:c r="E77" s="12"/>
    </x:row>
    <x:row r="78" spans="1:5" x14ac:dyDescent="0.25">
      <x:c r="A78" s="11">
        <x:f t="shared" si="0"/>
        <x:v>65</x:v>
      </x:c>
      <x:c r="B78" s="2" t="s">
        <x:v>70</x:v>
      </x:c>
      <x:c r="C78" s="12">
        <x:f t="shared" si="2"/>
        <x:v>152971.07999999999</x:v>
      </x:c>
      <x:c r="D78" s="12">
        <x:v>152971.07999999999</x:v>
      </x:c>
      <x:c r="E78" s="12"/>
    </x:row>
    <x:row r="79" spans="1:5" x14ac:dyDescent="0.25">
      <x:c r="A79" s="11">
        <x:f t="shared" ref="A79:A114" si="3">A78+1</x:f>
        <x:v>66</x:v>
      </x:c>
      <x:c r="B79" s="2" t="s">
        <x:v>71</x:v>
      </x:c>
      <x:c r="C79" s="12">
        <x:f t="shared" si="2"/>
        <x:v>1865804</x:v>
      </x:c>
      <x:c r="D79" s="12">
        <x:v>1865804</x:v>
      </x:c>
      <x:c r="E79" s="12"/>
    </x:row>
    <x:row r="80" spans="1:5" x14ac:dyDescent="0.25">
      <x:c r="A80" s="11">
        <x:f t="shared" si="3"/>
        <x:v>67</x:v>
      </x:c>
      <x:c r="B80" s="2" t="s">
        <x:v>72</x:v>
      </x:c>
      <x:c r="C80" s="12">
        <x:f t="shared" si="2"/>
        <x:v>6923725.3200000003</x:v>
      </x:c>
      <x:c r="D80" s="12">
        <x:v>6923725.3200000003</x:v>
      </x:c>
      <x:c r="E80" s="3"/>
    </x:row>
    <x:row r="81" spans="1:8" x14ac:dyDescent="0.25">
      <x:c r="A81" s="11">
        <x:f t="shared" si="3"/>
        <x:v>68</x:v>
      </x:c>
      <x:c r="B81" s="2" t="s">
        <x:v>73</x:v>
      </x:c>
      <x:c r="C81" s="12">
        <x:f t="shared" si="2"/>
        <x:v>1375540.85</x:v>
      </x:c>
      <x:c r="D81" s="12">
        <x:v>1375540.85</x:v>
      </x:c>
      <x:c r="E81" s="3"/>
    </x:row>
    <x:row r="82" spans="1:8" x14ac:dyDescent="0.25">
      <x:c r="A82" s="11">
        <x:f t="shared" si="3"/>
        <x:v>69</x:v>
      </x:c>
      <x:c r="B82" s="1" t="s">
        <x:v>103</x:v>
      </x:c>
      <x:c r="C82" s="12">
        <x:f t="shared" si="2"/>
        <x:v>16223.26</x:v>
      </x:c>
      <x:c r="D82" s="12">
        <x:v>16223.26</x:v>
      </x:c>
      <x:c r="E82" s="3"/>
    </x:row>
    <x:row r="83" spans="1:8" x14ac:dyDescent="0.25">
      <x:c r="A83" s="11">
        <x:f t="shared" si="3"/>
        <x:v>70</x:v>
      </x:c>
      <x:c r="B83" s="1" t="s">
        <x:v>104</x:v>
      </x:c>
      <x:c r="C83" s="12">
        <x:f t="shared" si="2"/>
        <x:v>-4666334.92</x:v>
      </x:c>
      <x:c r="D83" s="12">
        <x:v>-4666334.92</x:v>
      </x:c>
      <x:c r="E83" s="3"/>
    </x:row>
    <x:row r="84" spans="1:8" x14ac:dyDescent="0.25">
      <x:c r="A84" s="11">
        <x:f t="shared" si="3"/>
        <x:v>71</x:v>
      </x:c>
      <x:c r="B84" s="2" t="s">
        <x:v>105</x:v>
      </x:c>
      <x:c r="C84" s="12">
        <x:f t="shared" si="2"/>
        <x:v>0</x:v>
      </x:c>
      <x:c r="D84" s="12">
        <x:v>0</x:v>
      </x:c>
      <x:c r="E84" s="3"/>
      <x:c r="G84" s="17"/>
      <x:c r="H84" s="20"/>
    </x:row>
    <x:row r="85" spans="1:8" x14ac:dyDescent="0.25">
      <x:c r="A85" s="11">
        <x:f t="shared" si="3"/>
        <x:v>72</x:v>
      </x:c>
      <x:c r="B85" s="1" t="s">
        <x:v>106</x:v>
      </x:c>
      <x:c r="C85" s="12">
        <x:f t="shared" si="2"/>
        <x:v>-493721</x:v>
      </x:c>
      <x:c r="D85" s="12">
        <x:v>-493721</x:v>
      </x:c>
      <x:c r="E85" s="3"/>
    </x:row>
    <x:row r="86" spans="1:8" x14ac:dyDescent="0.25">
      <x:c r="A86" s="11">
        <x:f t="shared" si="3"/>
        <x:v>73</x:v>
      </x:c>
      <x:c r="B86" s="1" t="s">
        <x:v>107</x:v>
      </x:c>
      <x:c r="C86" s="12">
        <x:f t="shared" si="2"/>
        <x:v>-726970.12</x:v>
      </x:c>
      <x:c r="D86" s="12">
        <x:v>-726970.12</x:v>
      </x:c>
      <x:c r="E86" s="3"/>
    </x:row>
    <x:row r="87" spans="1:8" x14ac:dyDescent="0.25">
      <x:c r="A87" s="11">
        <x:f t="shared" si="3"/>
        <x:v>74</x:v>
      </x:c>
      <x:c r="B87" s="2" t="s">
        <x:v>95</x:v>
      </x:c>
      <x:c r="C87" s="19">
        <x:f>SUM(C32:C86)</x:f>
        <x:v>-960299313.65999997</x:v>
      </x:c>
      <x:c r="D87" s="19">
        <x:f t="shared" ref="D87:E87" si="4">SUM(D32:D86)</x:f>
        <x:v>-951417116.23000002</x:v>
      </x:c>
      <x:c r="E87" s="19">
        <x:f t="shared" si="4"/>
        <x:v>-8882197.4299999997</x:v>
      </x:c>
    </x:row>
    <x:row r="88" spans="1:8" x14ac:dyDescent="0.25">
      <x:c r="A88" s="11">
        <x:f t="shared" si="3"/>
        <x:v>75</x:v>
      </x:c>
      <x:c r="C88" s="3"/>
      <x:c r="E88" s="3"/>
    </x:row>
    <x:row r="89" spans="1:8" x14ac:dyDescent="0.25">
      <x:c r="A89" s="11">
        <x:f t="shared" si="3"/>
        <x:v>76</x:v>
      </x:c>
      <x:c r="B89" s="2" t="s">
        <x:v>74</x:v>
      </x:c>
      <x:c r="C89" s="13">
        <x:f>C14+C28+C87</x:f>
        <x:v>103401220.85000002</x:v>
      </x:c>
      <x:c r="D89" s="13">
        <x:f>D14+D28+D87</x:f>
        <x:v>124973215.88999987</x:v>
      </x:c>
      <x:c r="E89" s="13">
        <x:f>E14+E28+E87</x:f>
        <x:v>-21571995.040000007</x:v>
      </x:c>
    </x:row>
    <x:row r="90" spans="1:8" x14ac:dyDescent="0.25">
      <x:c r="A90" s="11">
        <x:f t="shared" si="3"/>
        <x:v>77</x:v>
      </x:c>
      <x:c r="B90" s="2" t="s">
        <x:v>75</x:v>
      </x:c>
      <x:c r="C90" s="26">
        <x:v>0.21</x:v>
      </x:c>
      <x:c r="D90" s="26">
        <x:v>0.21</x:v>
      </x:c>
      <x:c r="E90" s="26">
        <x:v>0.21</x:v>
      </x:c>
    </x:row>
    <x:row r="91" spans="1:8" x14ac:dyDescent="0.25">
      <x:c r="A91" s="11">
        <x:f t="shared" si="3"/>
        <x:v>78</x:v>
      </x:c>
      <x:c r="B91" s="2" t="s">
        <x:v>76</x:v>
      </x:c>
      <x:c r="C91" s="13">
        <x:f>ROUND(C89*C90,2)</x:f>
        <x:v>21714256.379999999</x:v>
      </x:c>
      <x:c r="D91" s="13">
        <x:f>ROUND(D89*D90,2)</x:f>
        <x:v>26244375.34</x:v>
      </x:c>
      <x:c r="E91" s="13">
        <x:f>ROUND(E89*E90,2)</x:f>
        <x:v>-4530118.96</x:v>
      </x:c>
    </x:row>
    <x:row r="92" spans="1:8" x14ac:dyDescent="0.25">
      <x:c r="A92" s="11">
        <x:f t="shared" si="3"/>
        <x:v>79</x:v>
      </x:c>
      <x:c r="B92" s="2" t="s">
        <x:v>77</x:v>
      </x:c>
      <x:c r="C92" s="3"/>
      <x:c r="E92" s="3"/>
      <x:c r="H92" s="17"/>
    </x:row>
    <x:row r="93" spans="1:8" x14ac:dyDescent="0.25">
      <x:c r="A93" s="11">
        <x:f t="shared" si="3"/>
        <x:v>80</x:v>
      </x:c>
      <x:c r="B93" s="2" t="s">
        <x:v>108</x:v>
      </x:c>
      <x:c r="C93" s="3">
        <x:f>SUM(D93:E93)</x:f>
        <x:v>79367.460000000006</x:v>
      </x:c>
      <x:c r="D93" s="12">
        <x:v>79367.460000000006</x:v>
      </x:c>
      <x:c r="E93" s="3">
        <x:v>0</x:v>
      </x:c>
    </x:row>
    <x:row r="94" spans="1:8" x14ac:dyDescent="0.25">
      <x:c r="A94" s="11">
        <x:f t="shared" si="3"/>
        <x:v>81</x:v>
      </x:c>
      <x:c r="B94" s="2" t="s">
        <x:v>78</x:v>
      </x:c>
      <x:c r="C94" s="13">
        <x:f>+C91-C93</x:f>
        <x:v>21634888.919999998</x:v>
      </x:c>
      <x:c r="D94" s="13">
        <x:f>+D91-D93</x:f>
        <x:v>26165007.879999999</x:v>
      </x:c>
      <x:c r="E94" s="13">
        <x:f>+E91-E93</x:f>
        <x:v>-4530118.96</x:v>
      </x:c>
    </x:row>
    <x:row r="95" spans="1:8" x14ac:dyDescent="0.25">
      <x:c r="A95" s="11">
        <x:f t="shared" si="3"/>
        <x:v>82</x:v>
      </x:c>
      <x:c r="B95" s="2" t="s">
        <x:v>79</x:v>
      </x:c>
      <x:c r="C95" s="13">
        <x:f>SUM(D95:E95)</x:f>
        <x:v>252058.87</x:v>
      </x:c>
      <x:c r="D95" s="14">
        <x:v>252058.87</x:v>
      </x:c>
      <x:c r="E95" s="13">
        <x:v>0</x:v>
      </x:c>
    </x:row>
    <x:row r="96" spans="1:8" x14ac:dyDescent="0.25">
      <x:c r="A96" s="11">
        <x:f t="shared" si="3"/>
        <x:v>83</x:v>
      </x:c>
      <x:c r="B96" s="2" t="s">
        <x:v>80</x:v>
      </x:c>
      <x:c r="C96" s="3">
        <x:f>SUM(D96:E96)</x:f>
        <x:v>-3128544.8200000003</x:v>
      </x:c>
      <x:c r="D96" s="13">
        <x:v>-3255963.16</x:v>
      </x:c>
      <x:c r="E96" s="3">
        <x:v>127418.34</x:v>
      </x:c>
    </x:row>
    <x:row r="97" spans="1:7" x14ac:dyDescent="0.25">
      <x:c r="A97" s="11">
        <x:f t="shared" si="3"/>
        <x:v>84</x:v>
      </x:c>
      <x:c r="B97" s="2" t="s">
        <x:v>109</x:v>
      </x:c>
      <x:c r="C97" s="3">
        <x:f>SUM(D97:E97)</x:f>
        <x:v>697078</x:v>
      </x:c>
      <x:c r="D97" s="13">
        <x:v>697078</x:v>
      </x:c>
      <x:c r="E97" s="3">
        <x:v>0</x:v>
      </x:c>
    </x:row>
    <x:row r="98" spans="1:7" ht="13" thickBot="1" x14ac:dyDescent="0.3">
      <x:c r="A98" s="11">
        <x:f t="shared" si="3"/>
        <x:v>85</x:v>
      </x:c>
      <x:c r="B98" s="2" t="s">
        <x:v>81</x:v>
      </x:c>
      <x:c r="C98" s="21">
        <x:f>SUM(C94:C97)</x:f>
        <x:v>19455480.969999999</x:v>
      </x:c>
      <x:c r="D98" s="21">
        <x:f t="shared" ref="D98:E98" si="5">SUM(D94:D97)</x:f>
        <x:v>23858181.59</x:v>
      </x:c>
      <x:c r="E98" s="21">
        <x:f t="shared" si="5"/>
        <x:v>-4402700.62</x:v>
      </x:c>
    </x:row>
    <x:row r="99" spans="1:7" ht="13" thickTop="1" x14ac:dyDescent="0.25">
      <x:c r="A99" s="11">
        <x:f t="shared" si="3"/>
        <x:v>86</x:v>
      </x:c>
      <x:c r="C99" s="3"/>
      <x:c r="E99" s="3"/>
    </x:row>
    <x:row r="100" spans="1:7" x14ac:dyDescent="0.25">
      <x:c r="A100" s="11">
        <x:f t="shared" si="3"/>
        <x:v>87</x:v>
      </x:c>
      <x:c r="B100" s="2" t="s">
        <x:v>82</x:v>
      </x:c>
      <x:c r="C100" s="27">
        <x:f>ROUND(-C87*21%,2)</x:f>
        <x:v>201662855.87</x:v>
      </x:c>
      <x:c r="D100" s="27">
        <x:f>ROUND(-D87*21%,2)</x:f>
        <x:v>199797594.41</x:v>
      </x:c>
      <x:c r="E100" s="27">
        <x:f>ROUND(-E87*21%,2)</x:f>
        <x:v>1865261.46</x:v>
      </x:c>
    </x:row>
    <x:row r="101" spans="1:7" x14ac:dyDescent="0.25">
      <x:c r="A101" s="11">
        <x:f t="shared" si="3"/>
        <x:v>88</x:v>
      </x:c>
      <x:c r="C101" s="3"/>
      <x:c r="E101" s="3"/>
    </x:row>
    <x:row r="102" spans="1:7" x14ac:dyDescent="0.25">
      <x:c r="A102" s="11">
        <x:f t="shared" si="3"/>
        <x:v>89</x:v>
      </x:c>
      <x:c r="B102" s="2" t="s">
        <x:v>83</x:v>
      </x:c>
      <x:c r="C102" s="3"/>
      <x:c r="E102" s="3"/>
    </x:row>
    <x:row r="103" spans="1:7" x14ac:dyDescent="0.25">
      <x:c r="A103" s="11">
        <x:f t="shared" si="3"/>
        <x:v>90</x:v>
      </x:c>
      <x:c r="B103" s="2" t="s">
        <x:v>84</x:v>
      </x:c>
      <x:c r="C103" s="3">
        <x:f>SUM(D103:E103)</x:f>
        <x:v>884662.91</x:v>
      </x:c>
      <x:c r="D103" s="12">
        <x:v>884662.91</x:v>
      </x:c>
      <x:c r="E103" s="3"/>
    </x:row>
    <x:row r="104" spans="1:7" x14ac:dyDescent="0.25">
      <x:c r="A104" s="11">
        <x:f t="shared" si="3"/>
        <x:v>91</x:v>
      </x:c>
      <x:c r="B104" s="2" t="s">
        <x:v>85</x:v>
      </x:c>
      <x:c r="C104" s="3">
        <x:f t="shared" ref="C104:C109" si="6">SUM(D104:E104)</x:f>
        <x:v>-16233756.41</x:v>
      </x:c>
      <x:c r="D104" s="12">
        <x:v>-16233756.41</x:v>
      </x:c>
      <x:c r="E104" s="3"/>
    </x:row>
    <x:row r="105" spans="1:7" x14ac:dyDescent="0.25">
      <x:c r="A105" s="11">
        <x:f t="shared" si="3"/>
        <x:v>92</x:v>
      </x:c>
      <x:c r="B105" s="2" t="s">
        <x:v>86</x:v>
      </x:c>
      <x:c r="C105" s="3">
        <x:f t="shared" si="6"/>
        <x:v>-36089813.840000004</x:v>
      </x:c>
      <x:c r="D105" s="12">
        <x:v>-36089813.840000004</x:v>
      </x:c>
      <x:c r="E105" s="3"/>
    </x:row>
    <x:row r="106" spans="1:7" x14ac:dyDescent="0.25">
      <x:c r="A106" s="11">
        <x:f t="shared" si="3"/>
        <x:v>93</x:v>
      </x:c>
      <x:c r="B106" s="2" t="s">
        <x:v>110</x:v>
      </x:c>
      <x:c r="C106" s="3">
        <x:f t="shared" si="6"/>
        <x:v>1608928.6</x:v>
      </x:c>
      <x:c r="D106" s="12">
        <x:v>1608928.6</x:v>
      </x:c>
      <x:c r="E106" s="3"/>
    </x:row>
    <x:row r="107" spans="1:7" x14ac:dyDescent="0.25">
      <x:c r="A107" s="11">
        <x:f t="shared" si="3"/>
        <x:v>94</x:v>
      </x:c>
      <x:c r="B107" s="2" t="s">
        <x:v>87</x:v>
      </x:c>
      <x:c r="C107" s="3">
        <x:f t="shared" si="6"/>
        <x:v>26723.52</x:v>
      </x:c>
      <x:c r="D107" s="12">
        <x:f>ROUND(127254.84*0.21,2)</x:f>
        <x:v>26723.52</x:v>
      </x:c>
      <x:c r="E107" s="3"/>
    </x:row>
    <x:row r="108" spans="1:7" x14ac:dyDescent="0.25">
      <x:c r="A108" s="11">
        <x:f t="shared" si="3"/>
        <x:v>95</x:v>
      </x:c>
      <x:c r="B108" s="2" t="s">
        <x:v>111</x:v>
      </x:c>
      <x:c r="C108" s="3">
        <x:f t="shared" si="6"/>
        <x:v>-716120</x:v>
      </x:c>
      <x:c r="D108" s="12">
        <x:v>-716120</x:v>
      </x:c>
      <x:c r="E108" s="3"/>
    </x:row>
    <x:row r="109" spans="1:7" x14ac:dyDescent="0.25">
      <x:c r="A109" s="11">
        <x:f t="shared" si="3"/>
        <x:v>96</x:v>
      </x:c>
      <x:c r="B109" s="2" t="s">
        <x:v>80</x:v>
      </x:c>
      <x:c r="C109" s="3">
        <x:f t="shared" si="6"/>
        <x:v>3781197.0799999996</x:v>
      </x:c>
      <x:c r="D109" s="12">
        <x:v>3781197.0799999996</x:v>
      </x:c>
      <x:c r="E109" s="3"/>
    </x:row>
    <x:row r="110" spans="1:7" ht="13" thickBot="1" x14ac:dyDescent="0.3">
      <x:c r="A110" s="11">
        <x:f t="shared" si="3"/>
        <x:v>97</x:v>
      </x:c>
      <x:c r="B110" s="2" t="s">
        <x:v>88</x:v>
      </x:c>
      <x:c r="C110" s="21">
        <x:f>SUM(C100:C109)</x:f>
        <x:v>154924677.73000002</x:v>
      </x:c>
      <x:c r="D110" s="21">
        <x:f>SUM(D100:D109)</x:f>
        <x:v>153059416.27000001</x:v>
      </x:c>
      <x:c r="E110" s="21">
        <x:f>SUM(E100:E109)</x:f>
        <x:v>1865261.46</x:v>
      </x:c>
    </x:row>
    <x:row r="111" spans="1:7" ht="13" thickTop="1" x14ac:dyDescent="0.25">
      <x:c r="A111" s="11">
        <x:f t="shared" si="3"/>
        <x:v>98</x:v>
      </x:c>
      <x:c r="G111" s="20"/>
    </x:row>
    <x:row r="112" spans="1:7" x14ac:dyDescent="0.25">
      <x:c r="A112" s="11">
        <x:f t="shared" si="3"/>
        <x:v>99</x:v>
      </x:c>
      <x:c r="B112" s="2" t="s">
        <x:v>89</x:v>
      </x:c>
      <x:c r="C112" s="27">
        <x:f>SUM(D112:E112)</x:f>
        <x:v>-479524.92</x:v>
      </x:c>
      <x:c r="D112" s="27">
        <x:v>-479524.92</x:v>
      </x:c>
      <x:c r="E112" s="27">
        <x:v>0</x:v>
      </x:c>
    </x:row>
    <x:row r="113" spans="1:5" x14ac:dyDescent="0.25">
      <x:c r="A113" s="11">
        <x:f t="shared" si="3"/>
        <x:v>100</x:v>
      </x:c>
    </x:row>
    <x:row r="114" spans="1:5" ht="13" thickBot="1" x14ac:dyDescent="0.3">
      <x:c r="A114" s="11">
        <x:f t="shared" si="3"/>
        <x:v>101</x:v>
      </x:c>
      <x:c r="B114" s="2" t="s">
        <x:v>90</x:v>
      </x:c>
      <x:c r="C114" s="28">
        <x:f>+C110+C98+C112</x:f>
        <x:v>173900633.78000003</x:v>
      </x:c>
      <x:c r="D114" s="28">
        <x:f>+D110+D98+D112</x:f>
        <x:v>176438072.94000003</x:v>
      </x:c>
      <x:c r="E114" s="28">
        <x:f>+E110+E98+E112</x:f>
        <x:v>-2537439.16</x:v>
      </x:c>
    </x:row>
    <x:row r="115" spans="1:5" ht="13" thickTop="1" x14ac:dyDescent="0.25">
      <x:c r="A115" s="11"/>
    </x:row>
    <x:row r="116" spans="1:5" x14ac:dyDescent="0.25">
      <x:c r="A116" s="11"/>
    </x:row>
    <x:row r="117" spans="1:5" x14ac:dyDescent="0.25">
      <x:c r="A117" s="11"/>
    </x:row>
    <x:row r="118" spans="1:5" x14ac:dyDescent="0.25">
      <x:c r="A118" s="11"/>
    </x:row>
    <x:row r="119" spans="1:5" x14ac:dyDescent="0.25">
      <x:c r="A119" s="11"/>
      <x:c r="B119" s="2" t="s">
        <x:v>112</x:v>
      </x:c>
      <x:c r="C119" s="12">
        <x:f>SUM(D119:E119)</x:f>
        <x:v>173900633.83000013</x:v>
      </x:c>
      <x:c r="D119" s="3">
        <x:v>176438072.97000012</x:v>
      </x:c>
      <x:c r="E119" s="3">
        <x:v>-2537439.1399999857</x:v>
      </x:c>
    </x:row>
    <x:row r="120" spans="1:5" x14ac:dyDescent="0.25">
      <x:c r="A120" s="11"/>
      <x:c r="B120" s="2" t="s">
        <x:v>113</x:v>
      </x:c>
      <x:c r="C120" s="27">
        <x:f>SUM(D120:E120)</x:f>
        <x:v>173900633.78000003</x:v>
      </x:c>
      <x:c r="D120" s="27">
        <x:f t="shared" ref="D120:E120" si="7">+D114</x:f>
        <x:v>176438072.94000003</x:v>
      </x:c>
      <x:c r="E120" s="27">
        <x:f t="shared" si="7"/>
        <x:v>-2537439.16</x:v>
      </x:c>
    </x:row>
    <x:row r="121" spans="1:5" ht="13" thickBot="1" x14ac:dyDescent="0.3">
      <x:c r="A121" s="11"/>
      <x:c r="B121" s="2" t="s">
        <x:v>91</x:v>
      </x:c>
      <x:c r="C121" s="29">
        <x:f>C119-C120</x:f>
        <x:v>5.0000101327896118E-2</x:v>
      </x:c>
      <x:c r="D121" s="29">
        <x:f t="shared" ref="D121:E121" si="8">D119-D120</x:f>
        <x:v>3.0000090599060059E-2</x:v>
      </x:c>
      <x:c r="E121" s="29">
        <x:f t="shared" si="8"/>
        <x:v>2.0000014454126358E-2</x:v>
      </x:c>
    </x:row>
    <x:row r="122" spans="1:5" ht="13" thickTop="1" x14ac:dyDescent="0.25">
      <x:c r="A122" s="11"/>
      <x:c r="C122" s="27"/>
    </x:row>
    <x:row r="123" spans="1:5" x14ac:dyDescent="0.25">
      <x:c r="A123" s="11"/>
      <x:c r="B123" s="2" t="s">
        <x:v>114</x:v>
      </x:c>
      <x:c r="C123" s="27">
        <x:f>SUM(D123:E123)</x:f>
        <x:v>154445152.85000008</x:v>
      </x:c>
      <x:c r="D123" s="3">
        <x:v>152579891.39000008</x:v>
      </x:c>
      <x:c r="E123" s="3">
        <x:v>1865261.46</x:v>
      </x:c>
    </x:row>
    <x:row r="124" spans="1:5" x14ac:dyDescent="0.25">
      <x:c r="A124" s="11"/>
      <x:c r="B124" s="2" t="s">
        <x:v>115</x:v>
      </x:c>
      <x:c r="C124" s="27">
        <x:f>SUM(D124:E124)</x:f>
        <x:v>154445152.81000003</x:v>
      </x:c>
      <x:c r="D124" s="27">
        <x:f t="shared" ref="D124:E124" si="9">D110+D112</x:f>
        <x:v>152579891.35000002</x:v>
      </x:c>
      <x:c r="E124" s="27">
        <x:f t="shared" si="9"/>
        <x:v>1865261.46</x:v>
      </x:c>
    </x:row>
    <x:row r="125" spans="1:5" ht="13" thickBot="1" x14ac:dyDescent="0.3">
      <x:c r="A125" s="11"/>
      <x:c r="B125" s="2" t="s">
        <x:v>91</x:v>
      </x:c>
      <x:c r="C125" s="29">
        <x:f>C123-C124</x:f>
        <x:v>4.0000051259994507E-2</x:v>
      </x:c>
      <x:c r="D125" s="29">
        <x:f t="shared" ref="D125:E125" si="10">D123-D124</x:f>
        <x:v>4.0000051259994507E-2</x:v>
      </x:c>
      <x:c r="E125" s="29">
        <x:f t="shared" si="10"/>
        <x:v>0</x:v>
      </x:c>
    </x:row>
    <x:row r="126" spans="1:5" ht="13" thickTop="1" x14ac:dyDescent="0.25">
      <x:c r="A126" s="11"/>
      <x:c r="C126" s="27"/>
    </x:row>
    <x:row r="127" spans="1:5" x14ac:dyDescent="0.25">
      <x:c r="A127" s="11"/>
      <x:c r="B127" s="2" t="s">
        <x:v>116</x:v>
      </x:c>
      <x:c r="C127" s="27">
        <x:f>SUM(D127:E127)</x:f>
        <x:v>19455480.979999982</x:v>
      </x:c>
      <x:c r="D127" s="3">
        <x:v>23858181.579999983</x:v>
      </x:c>
      <x:c r="E127" s="3">
        <x:v>-4402700.6000000006</x:v>
      </x:c>
    </x:row>
    <x:row r="128" spans="1:5" x14ac:dyDescent="0.25">
      <x:c r="A128" s="11"/>
      <x:c r="B128" s="2" t="s">
        <x:v>92</x:v>
      </x:c>
      <x:c r="C128" s="27">
        <x:f>SUM(D128:E128)</x:f>
        <x:v>19455480.969999999</x:v>
      </x:c>
      <x:c r="D128" s="27">
        <x:f>D98</x:f>
        <x:v>23858181.59</x:v>
      </x:c>
      <x:c r="E128" s="27">
        <x:f>E98</x:f>
        <x:v>-4402700.62</x:v>
      </x:c>
    </x:row>
    <x:row r="129" spans="2:5" ht="13" thickBot="1" x14ac:dyDescent="0.3">
      <x:c r="B129" s="2" t="s">
        <x:v>91</x:v>
      </x:c>
      <x:c r="C129" s="29">
        <x:f>C127-C128</x:f>
        <x:v>9.999983012676239E-3</x:v>
      </x:c>
      <x:c r="D129" s="29">
        <x:f t="shared" ref="D129:E129" si="11">D127-D128</x:f>
        <x:v>-1.0000016540288925E-2</x:v>
      </x:c>
      <x:c r="E129" s="29">
        <x:f t="shared" si="11"/>
        <x:v>1.9999999552965164E-2</x:v>
      </x:c>
    </x:row>
    <x:row r="130" spans="2:5" ht="13" thickTop="1" x14ac:dyDescent="0.25"/>
    <x:row r="132" spans="2:5" x14ac:dyDescent="0.25">
      <x:c r="B132" s="2" t="s">
        <x:v>93</x:v>
      </x:c>
      <x:c r="C132" s="12">
        <x:f>SUM(D132:E132)</x:f>
        <x:v>103401220.84999999</x:v>
      </x:c>
      <x:c r="D132" s="3">
        <x:v>124973215.88999999</x:v>
      </x:c>
      <x:c r="E132" s="3">
        <x:v>-21571995.039999999</x:v>
      </x:c>
    </x:row>
    <x:row r="133" spans="2:5" x14ac:dyDescent="0.25">
      <x:c r="B133" s="2" t="s">
        <x:v>94</x:v>
      </x:c>
      <x:c r="C133" s="27">
        <x:f>+C89</x:f>
        <x:v>103401220.85000002</x:v>
      </x:c>
      <x:c r="D133" s="27">
        <x:f t="shared" ref="D133:E133" si="12">+D89</x:f>
        <x:v>124973215.88999987</x:v>
      </x:c>
      <x:c r="E133" s="27">
        <x:f t="shared" si="12"/>
        <x:v>-21571995.040000007</x:v>
      </x:c>
    </x:row>
    <x:row r="134" spans="2:5" ht="13" thickBot="1" x14ac:dyDescent="0.3">
      <x:c r="B134" s="2" t="s">
        <x:v>91</x:v>
      </x:c>
      <x:c r="C134" s="29">
        <x:f>C132-C133</x:f>
        <x:v>0</x:v>
      </x:c>
      <x:c r="D134" s="29">
        <x:f t="shared" ref="D134:E134" si="13">D132-D133</x:f>
        <x:v>1.1920928955078125E-7</x:v>
      </x:c>
      <x:c r="E134" s="29">
        <x:f t="shared" si="13"/>
        <x:v>0</x:v>
      </x:c>
    </x:row>
    <x:row r="135" spans="2:5" ht="13" thickTop="1" x14ac:dyDescent="0.25"/>
  </x:sheetData>
  <x:mergeCells count="5">
    <x:mergeCell ref="A1:E1"/>
    <x:mergeCell ref="A2:E2"/>
    <x:mergeCell ref="A3:E3"/>
    <x:mergeCell ref="A4:E4"/>
    <x:mergeCell ref="A5:E5"/>
  </x:mergeCells>
  <x:printOptions horizontalCentered="1"/>
  <x:pageMargins left="1.5" right="0.7" top="1.5" bottom="0.75" header="1" footer="0.3"/>
  <x:pageSetup scale="69" fitToHeight="2" orientation="portrait" r:id="rId1"/>
  <x:headerFooter>
    <x:oddHeader>&amp;RWP/II-E-3.15/1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2025-04-01T23:21:49.0000000Z</dcterms:modified>
</coreProperties>
</file>