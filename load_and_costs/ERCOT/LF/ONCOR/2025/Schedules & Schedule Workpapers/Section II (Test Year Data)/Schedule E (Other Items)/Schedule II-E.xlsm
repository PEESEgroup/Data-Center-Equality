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fileSharing readOnlyRecommended="1" userName="Logi, Jason" algorithmName="SHA-512" hashValue="mGVw5CgXxQzPecGb1gx844yT0kDDjWIihquf0FQF6rHZip89LbASCUGEvFhQ/css4YxitVbNNxYK4u4HwNso7A==" saltValue="e7ZPZ9XWFqlbrv4ag59aLg==" spinCount="100000"/>
  <workbookPr codeName="ThisWorkbook" defaultThemeVersion="124226"/>
  <mc:AlternateContent xmlns:mc="http://schemas.openxmlformats.org/markup-compatibility/2006">
    <mc:Choice Requires="x15">
      <x15ac:absPath xmlns:x15ac="http://schemas.microsoft.com/office/spreadsheetml/2010/11/ac" url="D:\Schedules &amp; Schedule Workpapers\Section II (Test Year Data)\Schedule E (Other Items)\"/>
    </mc:Choice>
  </mc:AlternateContent>
  <xr:revisionPtr revIDLastSave="0" documentId="13_ncr:10001_{07D08D22-81CE-42C5-AF2D-A9709C075C7E}" xr6:coauthVersionLast="47" xr6:coauthVersionMax="47" xr10:uidLastSave="{00000000-0000-0000-0000-000000000000}"/>
  <bookViews>
    <workbookView xWindow="-120" yWindow="-120" windowWidth="29040" windowHeight="15720" tabRatio="907" firstSheet="1" activeTab="1" xr2:uid="{00000000-000D-0000-FFFF-FFFF00000000}"/>
  </bookViews>
  <sheets>
    <sheet name="Link Sheet" sheetId="138" r:id="rId1"/>
    <sheet name="II-E-1" sheetId="17" r:id="rId2"/>
    <sheet name="II-E-2" sheetId="16" r:id="rId3"/>
    <sheet name="II-E-2.1" sheetId="107" r:id="rId4"/>
    <sheet name="II-E-3 Attachment" sheetId="54" r:id="rId5"/>
    <sheet name="II-E-3" sheetId="159" r:id="rId6"/>
    <sheet name="II-E-3.1" sheetId="169" r:id="rId7"/>
    <sheet name="II-E-3.2a" sheetId="143" r:id="rId8"/>
    <sheet name="II-E-3.2b" sheetId="144" r:id="rId9"/>
    <sheet name="II-E-3.3" sheetId="170" r:id="rId10"/>
    <sheet name="II-E-3.4" sheetId="114" r:id="rId11"/>
    <sheet name="II-E-3.5" sheetId="174" r:id="rId12"/>
    <sheet name="II-E-3.5a" sheetId="178" r:id="rId13"/>
    <sheet name="II-E-3.6" sheetId="176" r:id="rId14"/>
    <sheet name="II-E-3.7" sheetId="175" r:id="rId15"/>
    <sheet name="II-E-3.8" sheetId="171" r:id="rId16"/>
    <sheet name="II-E-3.9" sheetId="149" r:id="rId17"/>
    <sheet name="II-E-3.10" sheetId="150" r:id="rId18"/>
    <sheet name="II-E-3.11" sheetId="151" r:id="rId19"/>
    <sheet name="II-E-3.12" sheetId="152" r:id="rId20"/>
    <sheet name="II-E-3.13" sheetId="120" r:id="rId21"/>
    <sheet name="II-E-3.14" sheetId="153" r:id="rId22"/>
    <sheet name="II-E-3.15" sheetId="166" r:id="rId23"/>
    <sheet name="II-E-3.16" sheetId="160" r:id="rId24"/>
    <sheet name="II-E-3.17" sheetId="154" r:id="rId25"/>
    <sheet name="II-E-3.18" sheetId="162" r:id="rId26"/>
    <sheet name="II-E-3.19" sheetId="128" r:id="rId27"/>
    <sheet name="II-E-3.20" sheetId="127" r:id="rId28"/>
    <sheet name="II-E-3.21" sheetId="126" r:id="rId29"/>
    <sheet name="II-E-3.22" sheetId="155" r:id="rId30"/>
    <sheet name="II-E-3.23" sheetId="156" r:id="rId31"/>
    <sheet name="II-E-3.24" sheetId="157" r:id="rId32"/>
    <sheet name="II-E-4" sheetId="14" r:id="rId33"/>
    <sheet name="II-E-4.1" sheetId="135" r:id="rId34"/>
    <sheet name="II-E-4.1.1" sheetId="179" r:id="rId35"/>
    <sheet name="II-E-4.2" sheetId="134" r:id="rId36"/>
    <sheet name="II-E-4.3" sheetId="133" r:id="rId37"/>
    <sheet name="II-E-4.4" sheetId="132" r:id="rId38"/>
    <sheet name="II-E-4.5" sheetId="131" r:id="rId39"/>
    <sheet name="II-E-4.6" sheetId="177" r:id="rId40"/>
    <sheet name="II-E-5" sheetId="8" r:id="rId41"/>
  </sheets>
  <externalReferences>
    <externalReference r:id="rId42"/>
    <externalReference r:id="rId43"/>
    <externalReference r:id="rId44"/>
    <externalReference r:id="rId45"/>
    <externalReference r:id="rId46"/>
    <externalReference r:id="rId47"/>
  </externalReferences>
  <definedNames>
    <definedName name="____as1" hidden="1">{"FCB_ALL",#N/A,FALSE,"FCB"}</definedName>
    <definedName name="____AS2" hidden="1">{"FCB_ALL",#N/A,FALSE,"FCB"}</definedName>
    <definedName name="____as3" hidden="1">{"FCB_ALL",#N/A,FALSE,"FCB"}</definedName>
    <definedName name="____AS4" hidden="1">{"FCB_ALL",#N/A,FALSE,"FCB"}</definedName>
    <definedName name="____as6" hidden="1">{"FCB_ALL",#N/A,FALSE,"FCB"}</definedName>
    <definedName name="____AS7" hidden="1">{"FCB_ALL",#N/A,FALSE,"FCB"}</definedName>
    <definedName name="____dlj2" hidden="1">{"cap_structure",#N/A,FALSE,"Graph-Mkt Cap";"price",#N/A,FALSE,"Graph-Price";"ebit",#N/A,FALSE,"Graph-EBITDA";"ebitda",#N/A,FALSE,"Graph-EBITDA"}</definedName>
    <definedName name="____g2" hidden="1">{#N/A,"DR",FALSE,"increm pf";#N/A,"MAMSI",FALSE,"increm pf";#N/A,"MAXI",FALSE,"increm pf";#N/A,"PCAM",FALSE,"increm pf";#N/A,"PHSV",FALSE,"increm pf";#N/A,"SIE",FALSE,"increm pf"}</definedName>
    <definedName name="___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_h5" hidden="1">{#N/A,"DR",FALSE,"increm pf";#N/A,"MAMSI",FALSE,"increm pf";#N/A,"MAXI",FALSE,"increm pf";#N/A,"PCAM",FALSE,"increm pf";#N/A,"PHSV",FALSE,"increm pf";#N/A,"SIE",FALSE,"increm pf"}</definedName>
    <definedName name="___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___jjj2" hidden="1">{"summary1",#N/A,TRUE,"Comps";"summary2",#N/A,TRUE,"Comps";"summary3",#N/A,TRUE,"Comps"}</definedName>
    <definedName name="__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_sdf2" hidden="1">{#N/A,#N/A,FALSE,"Calc";#N/A,#N/A,FALSE,"Sensitivity";#N/A,#N/A,FALSE,"LT Earn.Dil.";#N/A,#N/A,FALSE,"Dil. AVP"}</definedName>
    <definedName name="____wrn2" hidden="1">{#N/A,#N/A,FALSE,"Calc";#N/A,#N/A,FALSE,"Sensitivity";#N/A,#N/A,FALSE,"LT Earn.Dil.";#N/A,#N/A,FALSE,"Dil. AVP"}</definedName>
    <definedName name="____xlfn.RTD" hidden="1">#NAME?</definedName>
    <definedName name="___as1" hidden="1">{"FCB_ALL",#N/A,FALSE,"FCB"}</definedName>
    <definedName name="___AS2" hidden="1">{"FCB_ALL",#N/A,FALSE,"FCB"}</definedName>
    <definedName name="___as3" hidden="1">{"FCB_ALL",#N/A,FALSE,"FCB"}</definedName>
    <definedName name="___AS4" hidden="1">{"FCB_ALL",#N/A,FALSE,"FCB"}</definedName>
    <definedName name="___as6" hidden="1">{"FCB_ALL",#N/A,FALSE,"FCB"}</definedName>
    <definedName name="___AS7" hidden="1">{"FCB_ALL",#N/A,FALSE,"FCB"}</definedName>
    <definedName name="___dlj2" hidden="1">{"cap_structure",#N/A,FALSE,"Graph-Mkt Cap";"price",#N/A,FALSE,"Graph-Price";"ebit",#N/A,FALSE,"Graph-EBITDA";"ebitda",#N/A,FALSE,"Graph-EBITDA"}</definedName>
    <definedName name="___g2" hidden="1">{#N/A,"DR",FALSE,"increm pf";#N/A,"MAMSI",FALSE,"increm pf";#N/A,"MAXI",FALSE,"increm pf";#N/A,"PCAM",FALSE,"increm pf";#N/A,"PHSV",FALSE,"increm pf";#N/A,"SIE",FALSE,"increm pf"}</definedName>
    <definedName name="__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h5" hidden="1">{#N/A,"DR",FALSE,"increm pf";#N/A,"MAMSI",FALSE,"increm pf";#N/A,"MAXI",FALSE,"increm pf";#N/A,"PCAM",FALSE,"increm pf";#N/A,"PHSV",FALSE,"increm pf";#N/A,"SIE",FALSE,"increm pf"}</definedName>
    <definedName name="__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__jjj2" hidden="1">{"summary1",#N/A,TRUE,"Comps";"summary2",#N/A,TRUE,"Comps";"summary3",#N/A,TRUE,"Comps"}</definedName>
    <definedName name="_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_sdf2" hidden="1">{#N/A,#N/A,FALSE,"Calc";#N/A,#N/A,FALSE,"Sensitivity";#N/A,#N/A,FALSE,"LT Earn.Dil.";#N/A,#N/A,FALSE,"Dil. AVP"}</definedName>
    <definedName name="___wrn2" hidden="1">{#N/A,#N/A,FALSE,"Calc";#N/A,#N/A,FALSE,"Sensitivity";#N/A,#N/A,FALSE,"LT Earn.Dil.";#N/A,#N/A,FALSE,"Dil. AVP"}</definedName>
    <definedName name="___xlfn.RTD" hidden="1">#NAME?</definedName>
    <definedName name="__as1" hidden="1">{"FCB_ALL",#N/A,FALSE,"FCB"}</definedName>
    <definedName name="__AS2" hidden="1">{"FCB_ALL",#N/A,FALSE,"FCB"}</definedName>
    <definedName name="__as3" hidden="1">{"FCB_ALL",#N/A,FALSE,"FCB"}</definedName>
    <definedName name="__AS4" hidden="1">{"FCB_ALL",#N/A,FALSE,"FCB"}</definedName>
    <definedName name="__as6" hidden="1">{"FCB_ALL",#N/A,FALSE,"FCB"}</definedName>
    <definedName name="__AS7" hidden="1">{"FCB_ALL",#N/A,FALSE,"FCB"}</definedName>
    <definedName name="__dlj2" hidden="1">{"cap_structure",#N/A,FALSE,"Graph-Mkt Cap";"price",#N/A,FALSE,"Graph-Price";"ebit",#N/A,FALSE,"Graph-EBITDA";"ebitda",#N/A,FALSE,"Graph-EBITDA"}</definedName>
    <definedName name="__FDS_HYPERLINK_TOGGLE_STATE__" hidden="1">"ON"</definedName>
    <definedName name="__g2" hidden="1">{#N/A,"DR",FALSE,"increm pf";#N/A,"MAMSI",FALSE,"increm pf";#N/A,"MAXI",FALSE,"increm pf";#N/A,"PCAM",FALSE,"increm pf";#N/A,"PHSV",FALSE,"increm pf";#N/A,"SIE",FALSE,"increm pf"}</definedName>
    <definedName name="_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h5" hidden="1">{#N/A,"DR",FALSE,"increm pf";#N/A,"MAMSI",FALSE,"increm pf";#N/A,"MAXI",FALSE,"increm pf";#N/A,"PCAM",FALSE,"increm pf";#N/A,"PHSV",FALSE,"increm pf";#N/A,"SIE",FALSE,"increm pf"}</definedName>
    <definedName name="_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_jjj2" hidden="1">{"summary1",#N/A,TRUE,"Comps";"summary2",#N/A,TRUE,"Comps";"summary3",#N/A,TRUE,"Comps"}</definedName>
    <definedName name="_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_sdf2" hidden="1">{#N/A,#N/A,FALSE,"Calc";#N/A,#N/A,FALSE,"Sensitivity";#N/A,#N/A,FALSE,"LT Earn.Dil.";#N/A,#N/A,FALSE,"Dil. AVP"}</definedName>
    <definedName name="__wrn2" hidden="1">{#N/A,#N/A,FALSE,"Calc";#N/A,#N/A,FALSE,"Sensitivity";#N/A,#N/A,FALSE,"LT Earn.Dil.";#N/A,#N/A,FALSE,"Dil. AVP"}</definedName>
    <definedName name="__xlfn.BAHTTEXT" hidden="1">#NAME?</definedName>
    <definedName name="__xlfn.RTD" hidden="1">#NAME?</definedName>
    <definedName name="_12__123Graph_ACHART_3" hidden="1">#REF!</definedName>
    <definedName name="_14__123Graph_BCHART_3" hidden="1">#REF!</definedName>
    <definedName name="_18__123Graph_LBL_ACHART_3" hidden="1">#REF!</definedName>
    <definedName name="_2___123Graph_ACHART_3" hidden="1">#REF!</definedName>
    <definedName name="_21___0__123Grap" hidden="1">#REF!</definedName>
    <definedName name="_22___0__123Grap" hidden="1">#REF!</definedName>
    <definedName name="_23_0__123Grap" hidden="1">#REF!</definedName>
    <definedName name="_24_0__123Grap" hidden="1">#REF!</definedName>
    <definedName name="_4___123Graph_BCHART_3" hidden="1">#REF!</definedName>
    <definedName name="_8___123Graph_LBL_ACHART_3" hidden="1">#REF!</definedName>
    <definedName name="_as1" hidden="1">{"FCB_ALL",#N/A,FALSE,"FCB"}</definedName>
    <definedName name="_AS2" hidden="1">{"FCB_ALL",#N/A,FALSE,"FCB"}</definedName>
    <definedName name="_as3" hidden="1">{"FCB_ALL",#N/A,FALSE,"FCB"}</definedName>
    <definedName name="_AS4" hidden="1">{"FCB_ALL",#N/A,FALSE,"FCB"}</definedName>
    <definedName name="_as6" hidden="1">{"FCB_ALL",#N/A,FALSE,"FCB"}</definedName>
    <definedName name="_AS7" hidden="1">{"FCB_ALL",#N/A,FALSE,"FCB"}</definedName>
    <definedName name="_bdm.FastTrackBookmark.10_10_2005_10_18_01_AM.edm" hidden="1">#REF!</definedName>
    <definedName name="_bdm.FastTrackBookmark.10_10_2005_10_18_06_AM.edm" hidden="1">#REF!</definedName>
    <definedName name="_dlj2" hidden="1">{"cap_structure",#N/A,FALSE,"Graph-Mkt Cap";"price",#N/A,FALSE,"Graph-Price";"ebit",#N/A,FALSE,"Graph-EBITDA";"ebitda",#N/A,FALSE,"Graph-EBITDA"}</definedName>
    <definedName name="_Fill" hidden="1">#REF!</definedName>
    <definedName name="_xlnm._FilterDatabase" localSheetId="1" hidden="1">'II-E-1'!$A$1:$AA$1</definedName>
    <definedName name="_xlnm._FilterDatabase" localSheetId="22" hidden="1">'II-E-3.15'!$A$1:$O$1</definedName>
    <definedName name="_xlnm._FilterDatabase" localSheetId="26" hidden="1">'II-E-3.19'!$A$13:$S$75</definedName>
    <definedName name="_xlnm._FilterDatabase" localSheetId="11" hidden="1">'II-E-3.5'!$A$15:$AI$98</definedName>
    <definedName name="_xlnm._FilterDatabase" localSheetId="12" hidden="1">'II-E-3.5a'!$A$33:$M$75</definedName>
    <definedName name="_g2" hidden="1">{#N/A,"DR",FALSE,"increm pf";#N/A,"MAMSI",FALSE,"increm pf";#N/A,"MAXI",FALSE,"increm pf";#N/A,"PCAM",FALSE,"increm pf";#N/A,"PHSV",FALSE,"increm pf";#N/A,"SIE",FALSE,"increm pf"}</definedName>
    <definedName name="_h2"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h5" hidden="1">{#N/A,"DR",FALSE,"increm pf";#N/A,"MAMSI",FALSE,"increm pf";#N/A,"MAXI",FALSE,"increm pf";#N/A,"PCAM",FALSE,"increm pf";#N/A,"PHSV",FALSE,"increm pf";#N/A,"SIE",FALSE,"increm pf"}</definedName>
    <definedName name="_h6"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_j2" hidden="1">{TRUE,TRUE,-1.25,-15.5,604.5,369,FALSE,FALSE,TRUE,TRUE,0,1,83,1,38,4,5,4,TRUE,TRUE,3,TRUE,1,TRUE,75,"Swvu.inputs._.raw._.data.","ACwvu.inputs._.raw._.data.",#N/A,FALSE,FALSE,0.5,0.5,0.5,0.5,2,"&amp;F","&amp;A&amp;RPage &amp;P",FALSE,FALSE,FALSE,FALSE,1,60,#N/A,#N/A,"=R1C61:R53C89","=C1:C5",#N/A,#N/A,FALSE,FALSE,FALSE,1,600,600,FALSE,FALSE,TRUE,TRUE,TRUE}</definedName>
    <definedName name="_jjj2" hidden="1">{"summary1",#N/A,TRUE,"Comps";"summary2",#N/A,TRUE,"Comps";"summary3",#N/A,TRUE,"Comps"}</definedName>
    <definedName name="_Key1" hidden="1">#REF!</definedName>
    <definedName name="_Key2" hidden="1">#REF!</definedName>
    <definedName name="_ok1"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_Order1" hidden="1">255</definedName>
    <definedName name="_Order2" hidden="1">255</definedName>
    <definedName name="_Regression_X" hidden="1">#REF!</definedName>
    <definedName name="_Regression_Y" hidden="1">#REF!</definedName>
    <definedName name="_sdf2" hidden="1">{#N/A,#N/A,FALSE,"Calc";#N/A,#N/A,FALSE,"Sensitivity";#N/A,#N/A,FALSE,"LT Earn.Dil.";#N/A,#N/A,FALSE,"Dil. AVP"}</definedName>
    <definedName name="_Sort" hidden="1">#REF!</definedName>
    <definedName name="_Table1_In1" hidden="1">#REF!</definedName>
    <definedName name="_Table1_Out" hidden="1">#REF!</definedName>
    <definedName name="_Table2_In1" hidden="1">#REF!</definedName>
    <definedName name="_Table2_In2" hidden="1">#REF!</definedName>
    <definedName name="_Table2_Out" hidden="1">#REF!</definedName>
    <definedName name="_Table3_In2" hidden="1">#REF!</definedName>
    <definedName name="_wrn2" hidden="1">{#N/A,#N/A,FALSE,"Calc";#N/A,#N/A,FALSE,"Sensitivity";#N/A,#N/A,FALSE,"LT Earn.Dil.";#N/A,#N/A,FALSE,"Dil. AVP"}</definedName>
    <definedName name="AAA_DOCTOPS" hidden="1">"AAA_SET"</definedName>
    <definedName name="AAA_duser" hidden="1">"OFF"</definedName>
    <definedName name="aaaa" hidden="1">{#N/A,#N/A,TRUE,"financial";#N/A,#N/A,TRUE,"plants"}</definedName>
    <definedName name="aaaaaaaaaaaaaaaaaa" hidden="1">{#N/A,#N/A,FALSE,"Calc";#N/A,#N/A,FALSE,"Sensitivity";#N/A,#N/A,FALSE,"LT Earn.Dil.";#N/A,#N/A,FALSE,"Dil. AVP"}</definedName>
    <definedName name="AAB_Addin5" hidden="1">"AAB_Description for addin 5,Description for addin 5,Description for addin 5,Description for addin 5,Description for addin 5,Description for addin 5"</definedName>
    <definedName name="ab" hidden="1">{#N/A,#N/A,TRUE,"Pro Forma";#N/A,#N/A,TRUE,"PF_Bal";#N/A,#N/A,TRUE,"PF_INC";#N/A,#N/A,TRUE,"CBE";#N/A,#N/A,TRUE,"SWK"}</definedName>
    <definedName name="addg" hidden="1">{#N/A,#N/A,FALSE,"CBE";#N/A,#N/A,FALSE,"SWK"}</definedName>
    <definedName name="ADLJK" hidden="1">{"inputs raw data",#N/A,TRUE,"INPUT"}</definedName>
    <definedName name="adljk2" hidden="1">{"inputs raw data",#N/A,TRUE,"INPUT"}</definedName>
    <definedName name="andy" hidden="1">{#N/A,#N/A,TRUE,"financial";#N/A,#N/A,TRUE,"plants"}</definedName>
    <definedName name="anscount" hidden="1">1</definedName>
    <definedName name="AS2DocOpenMode" hidden="1">"AS2DocumentBrowse"</definedName>
    <definedName name="asad" hidden="1">{"away stand alones",#N/A,FALSE,"Target"}</definedName>
    <definedName name="asdas" hidden="1">{"summary1",#N/A,TRUE,"Comps";"summary2",#N/A,TRUE,"Comps";"summary3",#N/A,TRUE,"Comps"}</definedName>
    <definedName name="asdaw" hidden="1">{"FCB_ALL",#N/A,FALSE,"FCB"}</definedName>
    <definedName name="asdf" hidden="1">{#N/A,#N/A,FALSE,"Calc";#N/A,#N/A,FALSE,"Sensitivity";#N/A,#N/A,FALSE,"LT Earn.Dil.";#N/A,#N/A,FALSE,"Dil. AVP"}</definedName>
    <definedName name="ATA" hidden="1">{#N/A,#N/A,FALSE,"Aging Summary";#N/A,#N/A,FALSE,"Ratio Analysis";#N/A,#N/A,FALSE,"Test 120 Day Accts";#N/A,#N/A,FALSE,"Tickmarks"}</definedName>
    <definedName name="avdd" hidden="1">{#N/A,#N/A,FALSE,"Calc";#N/A,#N/A,FALSE,"Sensitivity";#N/A,#N/A,FALSE,"LT Earn.Dil.";#N/A,#N/A,FALSE,"Dil. AVP"}</definedName>
    <definedName name="BLPH1" hidden="1">#REF!</definedName>
    <definedName name="BLPH11" hidden="1">#REF!</definedName>
    <definedName name="BLPH12" hidden="1">#REF!</definedName>
    <definedName name="BLPH13" hidden="1">#REF!</definedName>
    <definedName name="BLPH14" hidden="1">#REF!</definedName>
    <definedName name="BLPH15" hidden="1">#REF!</definedName>
    <definedName name="BLPH16" hidden="1">#REF!</definedName>
    <definedName name="BLPH17" hidden="1">#REF!</definedName>
    <definedName name="BLPH18" hidden="1">#REF!</definedName>
    <definedName name="BLPH19" hidden="1">#REF!</definedName>
    <definedName name="BLPH2" hidden="1">#REF!</definedName>
    <definedName name="BLPH20" hidden="1">#REF!</definedName>
    <definedName name="BLPH21" hidden="1">#REF!</definedName>
    <definedName name="BLPH22" hidden="1">#REF!</definedName>
    <definedName name="BLPH23" hidden="1">#REF!</definedName>
    <definedName name="BLPH24" hidden="1">#REF!</definedName>
    <definedName name="BLPH25" hidden="1">#REF!</definedName>
    <definedName name="BLPH26" hidden="1">#REF!</definedName>
    <definedName name="BLPH27" hidden="1">#REF!</definedName>
    <definedName name="BLPH28" hidden="1">#REF!</definedName>
    <definedName name="BLPH29" hidden="1">#REF!</definedName>
    <definedName name="BLPH30" hidden="1">#REF!</definedName>
    <definedName name="BLPH31" hidden="1">#REF!</definedName>
    <definedName name="BLPH32" hidden="1">#REF!</definedName>
    <definedName name="BLPH33" hidden="1">#REF!</definedName>
    <definedName name="BLPH34" hidden="1">#REF!</definedName>
    <definedName name="BLPH35" hidden="1">#REF!</definedName>
    <definedName name="BLPH36" hidden="1">#REF!</definedName>
    <definedName name="BLPH37" hidden="1">#REF!</definedName>
    <definedName name="BLPH38" hidden="1">#REF!</definedName>
    <definedName name="BLPH39" hidden="1">#REF!</definedName>
    <definedName name="BLPH40" hidden="1">#REF!</definedName>
    <definedName name="BLPH41" hidden="1">#REF!</definedName>
    <definedName name="BLPH42" hidden="1">#REF!</definedName>
    <definedName name="bnkj" hidden="1">{#N/A,#N/A,FALSE,"output";#N/A,#N/A,FALSE,"contrib";#N/A,#N/A,FALSE,"profile";#N/A,#N/A,FALSE,"comps"}</definedName>
    <definedName name="Cable" hidden="1">{#N/A,#N/A,FALSE,"Operations";#N/A,#N/A,FALSE,"Financials"}</definedName>
    <definedName name="Cable2" hidden="1">{#N/A,#N/A,FALSE,"Operations";#N/A,#N/A,FALSE,"Financials"}</definedName>
    <definedName name="CBWorkbookPriority" hidden="1">-31260691</definedName>
    <definedName name="cc" hidden="1">{#N/A,#N/A,FALSE,"CBE";#N/A,#N/A,FALSE,"SWK"}</definedName>
    <definedName name="confused" hidden="1">{"BS",#N/A,FALSE,"NGC";"PL",#N/A,FALSE,"NGC";"CF",#N/A,FALSE,"NGC"}</definedName>
    <definedName name="cooper2" hidden="1">{#N/A,#N/A,TRUE,"Pro Forma";#N/A,#N/A,TRUE,"PF_Bal";#N/A,#N/A,TRUE,"PF_INC";#N/A,#N/A,TRUE,"CBE";#N/A,#N/A,TRUE,"SWK"}</definedName>
    <definedName name="Cwvu.GREY_ALL." hidden="1">#REF!</definedName>
    <definedName name="Cwvy.GREY_ALL._dcf" hidden="1">#REF!</definedName>
    <definedName name="dasdasd" hidden="1">{TRUE,TRUE,-1.25,-15.5,604.5,369,FALSE,FALSE,TRUE,TRUE,0,1,83,1,38,4,5,4,TRUE,TRUE,3,TRUE,1,TRUE,75,"Swvu.inputs._.raw._.data.","ACwvu.inputs._.raw._.data.",#N/A,FALSE,FALSE,0.5,0.5,0.5,0.5,2,"&amp;F","&amp;A&amp;RPage &amp;P",FALSE,FALSE,FALSE,FALSE,1,60,#N/A,#N/A,"=R1C61:R53C89","=C1:C5",#N/A,#N/A,FALSE,FALSE,FALSE,1,600,600,FALSE,FALSE,TRUE,TRUE,TRUE}</definedName>
    <definedName name="dddddd" hidden="1">{"FCB_ALL",#N/A,FALSE,"FCB";"GREY_ALL",#N/A,FALSE,"GREY"}</definedName>
    <definedName name="df" hidden="1">{"comps",#N/A,FALSE,"comps";"notes",#N/A,FALSE,"comps"}</definedName>
    <definedName name="dfd" hidden="1">{"FCB_ALL",#N/A,FALSE,"FCB";"GREY_ALL",#N/A,FALSE,"GREY"}</definedName>
    <definedName name="dfdas" hidden="1">{"FCB_ALL",#N/A,FALSE,"FCB";"GREY_ALL",#N/A,FALSE,"GREY"}</definedName>
    <definedName name="dfdfd" hidden="1">{"FCB_ALL",#N/A,FALSE,"FCB";"GREY_ALL",#N/A,FALSE,"GREY"}</definedName>
    <definedName name="dfdfdfd" hidden="1">{"FCB_ALL",#N/A,FALSE,"FCB"}</definedName>
    <definedName name="dfsaadsfa" hidden="1">{#N/A,#N/A,FALSE,"Calc";#N/A,#N/A,FALSE,"Sensitivity";#N/A,#N/A,FALSE,"LT Earn.Dil.";#N/A,#N/A,FALSE,"Dil. AVP"}</definedName>
    <definedName name="edp" hidden="1">{"assumption 50 50",#N/A,TRUE,"Merger";"has gets cash",#N/A,TRUE,"Merger";"accretion dilution",#N/A,TRUE,"Merger";"comparison credit stats",#N/A,TRUE,"Merger";"pf credit stats",#N/A,TRUE,"Merger";"pf sheets",#N/A,TRUE,"Merger"}</definedName>
    <definedName name="eeee" hidden="1">{#N/A,#N/A,FALSE,"Calc";#N/A,#N/A,FALSE,"Sensitivity";#N/A,#N/A,FALSE,"LT Earn.Dil.";#N/A,#N/A,FALSE,"Dil. AVP"}</definedName>
    <definedName name="emily" hidden="1">{#N/A,#N/A,FALSE,"Calc";#N/A,#N/A,FALSE,"Sensitivity";#N/A,#N/A,FALSE,"LT Earn.Dil.";#N/A,#N/A,FALSE,"Dil. AVP"}</definedName>
    <definedName name="eyr" hidden="1">{"hiden",#N/A,FALSE,"14";"hidden",#N/A,FALSE,"16";"hidden",#N/A,FALSE,"18";"hidden",#N/A,FALSE,"20"}</definedName>
    <definedName name="fd" hidden="1">{"equity comps",#N/A,FALSE,"CS Comps";"equity comps",#N/A,FALSE,"PS Comps";"equity comps",#N/A,FALSE,"GIC_Comps";"equity comps",#N/A,FALSE,"GIC2_Comps";"debt comps",#N/A,FALSE,"CS Comps";"debt comps",#N/A,FALSE,"PS Comps";"debt comps",#N/A,FALSE,"GIC_Comps";"debt comps",#N/A,FALSE,"GIC2_Comps"}</definedName>
    <definedName name="fdf" hidden="1">{"Application Management",#N/A,FALSE,"Total Costs"}</definedName>
    <definedName name="FDP_0_1_aUrv" hidden="1">#REF!</definedName>
    <definedName name="FDP_1_1_aUrv" hidden="1">#REF!</definedName>
    <definedName name="FDP_10_1_aDrv" hidden="1">#REF!</definedName>
    <definedName name="FDP_100_1_aUrv" hidden="1">#REF!</definedName>
    <definedName name="FDP_101_1_aUrv" hidden="1">#REF!</definedName>
    <definedName name="FDP_102_1_aUrv" hidden="1">#REF!</definedName>
    <definedName name="FDP_103_1_aUrv" hidden="1">#REF!</definedName>
    <definedName name="FDP_104_1_aUrv" hidden="1">#REF!</definedName>
    <definedName name="FDP_105_1_aUrv" hidden="1">#REF!</definedName>
    <definedName name="FDP_106_1_aUrv" hidden="1">#REF!</definedName>
    <definedName name="FDP_107_1_aUrv" hidden="1">#REF!</definedName>
    <definedName name="FDP_108_1_aUrv" hidden="1">#REF!</definedName>
    <definedName name="FDP_109_1_aUrv" hidden="1">#REF!</definedName>
    <definedName name="FDP_11_1_aDrv" hidden="1">#REF!</definedName>
    <definedName name="FDP_110_1_aUrv" hidden="1">#REF!</definedName>
    <definedName name="FDP_111_1_aUrv" hidden="1">#REF!</definedName>
    <definedName name="FDP_112_1_aUrv" hidden="1">#REF!</definedName>
    <definedName name="FDP_113_1_aUrv" hidden="1">#REF!</definedName>
    <definedName name="FDP_114_1_aUrv" hidden="1">#REF!</definedName>
    <definedName name="FDP_115_1_aUrv" hidden="1">#REF!</definedName>
    <definedName name="FDP_116_1_aUrv" hidden="1">#REF!</definedName>
    <definedName name="FDP_117_1_aUrv" hidden="1">#REF!</definedName>
    <definedName name="FDP_118_1_aUrv" hidden="1">#REF!</definedName>
    <definedName name="FDP_119_1_aUrv" hidden="1">#REF!</definedName>
    <definedName name="FDP_12_1_aDrv" hidden="1">#REF!</definedName>
    <definedName name="FDP_120_1_aUrv" hidden="1">#REF!</definedName>
    <definedName name="FDP_121_1_aUrv" hidden="1">#REF!</definedName>
    <definedName name="FDP_122_1_aUrv" hidden="1">#REF!</definedName>
    <definedName name="FDP_123_1_aUrv" hidden="1">#REF!</definedName>
    <definedName name="FDP_124_1_aUrv" hidden="1">#REF!</definedName>
    <definedName name="FDP_125_1_aUrv" hidden="1">#REF!</definedName>
    <definedName name="FDP_126_1_aUrv" hidden="1">#REF!</definedName>
    <definedName name="FDP_127_1_aUrv" hidden="1">#REF!</definedName>
    <definedName name="FDP_128_1_aUrv" hidden="1">#REF!</definedName>
    <definedName name="FDP_129_1_aUrv" hidden="1">#REF!</definedName>
    <definedName name="FDP_13_1_aUrv" hidden="1">#REF!</definedName>
    <definedName name="FDP_130_1_aUrv" hidden="1">#REF!</definedName>
    <definedName name="FDP_131_1_aSrv" hidden="1">#REF!</definedName>
    <definedName name="FDP_132_1_aUrv" hidden="1">#REF!</definedName>
    <definedName name="FDP_133_1_aUrv" hidden="1">#REF!</definedName>
    <definedName name="FDP_134_1_aUrv" hidden="1">#REF!</definedName>
    <definedName name="FDP_135_1_aUrv" hidden="1">#REF!</definedName>
    <definedName name="FDP_136_1_aSrv" hidden="1">#REF!</definedName>
    <definedName name="FDP_137_1_aUrv" hidden="1">#REF!</definedName>
    <definedName name="FDP_138_1_aUrv" hidden="1">#REF!</definedName>
    <definedName name="FDP_139_1_aUrv" hidden="1">#REF!</definedName>
    <definedName name="FDP_14_1_aUrv" hidden="1">#REF!</definedName>
    <definedName name="FDP_140_1_aUrv" hidden="1">#REF!</definedName>
    <definedName name="FDP_141_1_aUrv" hidden="1">#REF!</definedName>
    <definedName name="FDP_142_1_aUrv" hidden="1">#REF!</definedName>
    <definedName name="FDP_143_1_aUrv" hidden="1">#REF!</definedName>
    <definedName name="FDP_144_1_aUrv" hidden="1">#REF!</definedName>
    <definedName name="FDP_145_1_aUrv" hidden="1">#REF!</definedName>
    <definedName name="FDP_146_1_aUrv" hidden="1">#REF!</definedName>
    <definedName name="FDP_147_1_aUrv" hidden="1">#REF!</definedName>
    <definedName name="FDP_148_1_aUrv" hidden="1">#REF!</definedName>
    <definedName name="FDP_149_1_aUrv" hidden="1">#REF!</definedName>
    <definedName name="FDP_15_1_aUrv" hidden="1">#REF!</definedName>
    <definedName name="FDP_150_1_aSrv" hidden="1">#REF!</definedName>
    <definedName name="FDP_151_1_aUrv" hidden="1">#REF!</definedName>
    <definedName name="FDP_152_1_aSrv" hidden="1">#REF!</definedName>
    <definedName name="FDP_153_1_aUrv" hidden="1">#REF!</definedName>
    <definedName name="FDP_154_1_aSrv" hidden="1">#REF!</definedName>
    <definedName name="FDP_155_1_aUrv" hidden="1">#REF!</definedName>
    <definedName name="FDP_156_1_aSrv" hidden="1">#REF!</definedName>
    <definedName name="FDP_157_1_aUrv" hidden="1">#REF!</definedName>
    <definedName name="FDP_158_1_aSrv" hidden="1">#REF!</definedName>
    <definedName name="FDP_159_1_aUrv" hidden="1">#REF!</definedName>
    <definedName name="FDP_16_1_aUrv" hidden="1">#REF!</definedName>
    <definedName name="FDP_160_1_aSrv" hidden="1">#REF!</definedName>
    <definedName name="FDP_161_1_aDrv" hidden="1">#REF!</definedName>
    <definedName name="FDP_162_1_aDrv" hidden="1">#REF!</definedName>
    <definedName name="FDP_163_1_aDrv" hidden="1">#REF!</definedName>
    <definedName name="FDP_164_1_aDrv" hidden="1">#REF!</definedName>
    <definedName name="FDP_165_1_aDrv" hidden="1">#REF!</definedName>
    <definedName name="FDP_166_1_aDrv" hidden="1">#REF!</definedName>
    <definedName name="FDP_167_1_aDrv" hidden="1">#REF!</definedName>
    <definedName name="FDP_168_1_aDrv" hidden="1">#REF!</definedName>
    <definedName name="FDP_169_1_aDrv" hidden="1">#REF!</definedName>
    <definedName name="FDP_17_1_aUrv" hidden="1">#REF!</definedName>
    <definedName name="FDP_170_1_aDrv" hidden="1">#REF!</definedName>
    <definedName name="FDP_171_1_aDrv" hidden="1">#REF!</definedName>
    <definedName name="FDP_172_1_aDrv" hidden="1">#REF!</definedName>
    <definedName name="FDP_173_1_aDrv" hidden="1">#REF!</definedName>
    <definedName name="FDP_174_1_aUrv" hidden="1">#REF!</definedName>
    <definedName name="FDP_175_1_aUrv" hidden="1">#REF!</definedName>
    <definedName name="FDP_176_1_aUrv" hidden="1">#REF!</definedName>
    <definedName name="FDP_177_1_aUrv" hidden="1">#REF!</definedName>
    <definedName name="FDP_178_1_aUrv" hidden="1">#REF!</definedName>
    <definedName name="FDP_179_1_aUrv" hidden="1">#REF!</definedName>
    <definedName name="FDP_18_1_aUrv" hidden="1">#REF!</definedName>
    <definedName name="FDP_180_1_aUdv" hidden="1">#REF!</definedName>
    <definedName name="FDP_181_1_aUdv" hidden="1">#REF!</definedName>
    <definedName name="FDP_182_1_aUdv" hidden="1">#REF!</definedName>
    <definedName name="FDP_183_1_aUdv" hidden="1">#REF!</definedName>
    <definedName name="FDP_184_1_aUdv" hidden="1">#REF!</definedName>
    <definedName name="FDP_185_1_aUdv" hidden="1">#REF!</definedName>
    <definedName name="FDP_186_1_aUdv" hidden="1">#REF!</definedName>
    <definedName name="FDP_187_1_aUdv" hidden="1">#REF!</definedName>
    <definedName name="FDP_188_1_aUdv" hidden="1">#REF!</definedName>
    <definedName name="FDP_189_1_aUdv" hidden="1">#REF!</definedName>
    <definedName name="FDP_19_1_aUrv" hidden="1">#REF!</definedName>
    <definedName name="FDP_190_1_aUdv" hidden="1">#REF!</definedName>
    <definedName name="FDP_191_1_aUdv" hidden="1">#REF!</definedName>
    <definedName name="FDP_192_1_aUdv" hidden="1">#REF!</definedName>
    <definedName name="FDP_193_1_aUdv" hidden="1">#REF!</definedName>
    <definedName name="FDP_194_1_aUdv" hidden="1">#REF!</definedName>
    <definedName name="FDP_195_1_aUdv" hidden="1">#REF!</definedName>
    <definedName name="FDP_196_1_aUdv" hidden="1">#REF!</definedName>
    <definedName name="FDP_197_1_aUdv" hidden="1">#REF!</definedName>
    <definedName name="FDP_198_1_aUdv" hidden="1">#REF!</definedName>
    <definedName name="FDP_199_1_aUdv" hidden="1">#REF!</definedName>
    <definedName name="FDP_2_1_aUrv" hidden="1">#REF!</definedName>
    <definedName name="FDP_20_1_aUrv" hidden="1">#REF!</definedName>
    <definedName name="FDP_21_1_aUrv" hidden="1">#REF!</definedName>
    <definedName name="FDP_22_1_aUrv" hidden="1">#REF!</definedName>
    <definedName name="FDP_23_1_aDrv" hidden="1">#REF!</definedName>
    <definedName name="FDP_24_1_aUrv" hidden="1">#REF!</definedName>
    <definedName name="FDP_25_1_aUrv" hidden="1">#REF!</definedName>
    <definedName name="FDP_26_1_aUrv" hidden="1">#REF!</definedName>
    <definedName name="FDP_27_1_aUrv" hidden="1">#REF!</definedName>
    <definedName name="FDP_28_1_aUrv" hidden="1">#REF!</definedName>
    <definedName name="FDP_29_1_aDrv" hidden="1">#REF!</definedName>
    <definedName name="FDP_3_1_aUrv" hidden="1">#REF!</definedName>
    <definedName name="FDP_30_1_aUrv" hidden="1">#REF!</definedName>
    <definedName name="FDP_31_1_aUrv" hidden="1">#REF!</definedName>
    <definedName name="FDP_32_1_aUrv" hidden="1">#REF!</definedName>
    <definedName name="FDP_33_1_aUrv" hidden="1">#REF!</definedName>
    <definedName name="FDP_34_1_aUrv" hidden="1">#REF!</definedName>
    <definedName name="FDP_35_1_aSrv" hidden="1">#REF!</definedName>
    <definedName name="FDP_36_1_aUrv" hidden="1">#REF!</definedName>
    <definedName name="FDP_37_1_aUrv" hidden="1">#REF!</definedName>
    <definedName name="FDP_38_1_aUrv" hidden="1">#REF!</definedName>
    <definedName name="FDP_39_1_aUrv" hidden="1">#REF!</definedName>
    <definedName name="FDP_4_1_aUrv" hidden="1">#REF!</definedName>
    <definedName name="FDP_40_1_aUrv" hidden="1">#REF!</definedName>
    <definedName name="FDP_41_1_aSrv" hidden="1">#REF!</definedName>
    <definedName name="FDP_42_1_aSrv" hidden="1">#REF!</definedName>
    <definedName name="FDP_43_1_aUrv" hidden="1">#REF!</definedName>
    <definedName name="FDP_44_1_aUrv" hidden="1">#REF!</definedName>
    <definedName name="FDP_45_1_aUrv" hidden="1">#REF!</definedName>
    <definedName name="FDP_46_1_aUrv" hidden="1">#REF!</definedName>
    <definedName name="FDP_47_1_aUrv" hidden="1">#REF!</definedName>
    <definedName name="FDP_48_1_aSrv" hidden="1">#REF!</definedName>
    <definedName name="FDP_49_1_aUrv" hidden="1">#REF!</definedName>
    <definedName name="FDP_5_1_aUrv" hidden="1">#REF!</definedName>
    <definedName name="FDP_50_1_aUrv" hidden="1">#REF!</definedName>
    <definedName name="FDP_51_1_aUrv" hidden="1">#REF!</definedName>
    <definedName name="FDP_52_1_aUrv" hidden="1">#REF!</definedName>
    <definedName name="FDP_53_1_aUrv" hidden="1">#REF!</definedName>
    <definedName name="FDP_54_1_aUrv" hidden="1">#REF!</definedName>
    <definedName name="FDP_55_1_aUrv" hidden="1">#REF!</definedName>
    <definedName name="FDP_56_1_aUrv" hidden="1">#REF!</definedName>
    <definedName name="FDP_57_1_aUrv" hidden="1">#REF!</definedName>
    <definedName name="FDP_58_1_aUrv" hidden="1">#REF!</definedName>
    <definedName name="FDP_59_1_aUrv" hidden="1">#REF!</definedName>
    <definedName name="FDP_6_1_aUrv" hidden="1">#REF!</definedName>
    <definedName name="FDP_60_1_aUrv" hidden="1">#REF!</definedName>
    <definedName name="FDP_61_1_aSrv" hidden="1">#REF!</definedName>
    <definedName name="FDP_62_1_aSrv" hidden="1">#REF!</definedName>
    <definedName name="FDP_63_1_aUrv" hidden="1">#REF!</definedName>
    <definedName name="FDP_64_1_aSrv" hidden="1">#REF!</definedName>
    <definedName name="FDP_65_1_aSrv" hidden="1">#REF!</definedName>
    <definedName name="FDP_66_1_aUrv" hidden="1">#REF!</definedName>
    <definedName name="FDP_67_1_aUrv" hidden="1">#REF!</definedName>
    <definedName name="FDP_68_1_aUrv" hidden="1">#REF!</definedName>
    <definedName name="FDP_69_1_aUrv" hidden="1">#REF!</definedName>
    <definedName name="FDP_7_1_aUrv" hidden="1">#REF!</definedName>
    <definedName name="FDP_70_1_aDrv" hidden="1">#REF!</definedName>
    <definedName name="FDP_71_1_aUrv" hidden="1">#REF!</definedName>
    <definedName name="FDP_72_1_aDrv" hidden="1">#REF!</definedName>
    <definedName name="FDP_73_1_aUrv" hidden="1">#REF!</definedName>
    <definedName name="FDP_74_1_aUrv" hidden="1">#REF!</definedName>
    <definedName name="FDP_75_1_aSrv" hidden="1">#REF!</definedName>
    <definedName name="FDP_76_1_aUrv" hidden="1">#REF!</definedName>
    <definedName name="FDP_77_1_aUrv" hidden="1">#REF!</definedName>
    <definedName name="FDP_78_1_aUrv" hidden="1">#REF!</definedName>
    <definedName name="FDP_79_1_aUrv" hidden="1">#REF!</definedName>
    <definedName name="FDP_8_1_aDrv" hidden="1">#REF!</definedName>
    <definedName name="FDP_80_1_aUrv" hidden="1">#REF!</definedName>
    <definedName name="FDP_81_1_aSrv" hidden="1">#REF!</definedName>
    <definedName name="FDP_82_1_aUrv" hidden="1">#REF!</definedName>
    <definedName name="FDP_83_1_aSrv" hidden="1">#REF!</definedName>
    <definedName name="FDP_84_1_aUrv" hidden="1">#REF!</definedName>
    <definedName name="FDP_85_1_aUrv" hidden="1">#REF!</definedName>
    <definedName name="FDP_86_1_aUrv" hidden="1">#REF!</definedName>
    <definedName name="FDP_87_1_aSrv" hidden="1">#REF!</definedName>
    <definedName name="FDP_88_1_aUrv" hidden="1">#REF!</definedName>
    <definedName name="FDP_89_1_aSrv" hidden="1">#REF!</definedName>
    <definedName name="FDP_9_1_aDrv" hidden="1">#REF!</definedName>
    <definedName name="FDP_90_1_aUrv" hidden="1">#REF!</definedName>
    <definedName name="FDP_91_1_aUrv" hidden="1">#REF!</definedName>
    <definedName name="FDP_92_1_aSrv" hidden="1">#REF!</definedName>
    <definedName name="FDP_93_1_aDrv" hidden="1">#REF!</definedName>
    <definedName name="FDP_94_1_aUrv" hidden="1">#REF!</definedName>
    <definedName name="FDP_95_1_aUrv" hidden="1">#REF!</definedName>
    <definedName name="FDP_96_1_aUrv" hidden="1">#REF!</definedName>
    <definedName name="FDP_97_1_aUrv" hidden="1">#REF!</definedName>
    <definedName name="FDP_98_1_aUrv" hidden="1">#REF!</definedName>
    <definedName name="FDP_99_1_aUrv" hidden="1">#REF!</definedName>
    <definedName name="fds" hidden="1">{"comps",#N/A,FALSE,"comps";"notes",#N/A,FALSE,"comps"}</definedName>
    <definedName name="fdsf" hidden="1">{"general",#N/A,FALSE,"Assumptions"}</definedName>
    <definedName name="fins1" hidden="1">{#N/A,#N/A,FALSE,"Calc";#N/A,#N/A,FALSE,"Sensitivity";#N/A,#N/A,FALSE,"LT Earn.Dil.";#N/A,#N/A,FALSE,"Dil. AVP"}</definedName>
    <definedName name="gds"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gfd"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gg" hidden="1">{#N/A,"DR",FALSE,"increm pf";#N/A,"MAMSI",FALSE,"increm pf";#N/A,"MAXI",FALSE,"increm pf";#N/A,"PCAM",FALSE,"increm pf";#N/A,"PHSV",FALSE,"increm pf";#N/A,"SIE",FALSE,"increm pf"}</definedName>
    <definedName name="ggf" hidden="1">{"comps",#N/A,FALSE,"comps";"notes",#N/A,FALSE,"comps"}</definedName>
    <definedName name="gsdg"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hh"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hhhsdf" hidden="1">{"up stand alones",#N/A,FALSE,"Acquiror"}</definedName>
    <definedName name="hthth"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ik" hidden="1">{"casespecific",#N/A,FALSE,"Assumptions"}</definedName>
    <definedName name="IQ_ACCOUNT_CHANGE" hidden="1">"c1449"</definedName>
    <definedName name="IQ_ACCOUNTS_PAY" hidden="1">"c1343"</definedName>
    <definedName name="IQ_ACCR_INT_PAY" hidden="1">"c1"</definedName>
    <definedName name="IQ_ACCR_INT_PAY_CF" hidden="1">"c2"</definedName>
    <definedName name="IQ_ACCR_INT_RECEIV" hidden="1">"c3"</definedName>
    <definedName name="IQ_ACCR_INT_RECEIV_CF" hidden="1">"c4"</definedName>
    <definedName name="IQ_ACCRUED_EXP" hidden="1">"c1341"</definedName>
    <definedName name="IQ_ACCT_RECV_10YR_ANN_GROWTH" hidden="1">"c1924"</definedName>
    <definedName name="IQ_ACCT_RECV_1YR_ANN_GROWTH" hidden="1">"c1919"</definedName>
    <definedName name="IQ_ACCT_RECV_2YR_ANN_GROWTH" hidden="1">"c1920"</definedName>
    <definedName name="IQ_ACCT_RECV_3YR_ANN_GROWTH" hidden="1">"c1921"</definedName>
    <definedName name="IQ_ACCT_RECV_5YR_ANN_GROWTH" hidden="1">"c1922"</definedName>
    <definedName name="IQ_ACCT_RECV_7YR_ANN_GROWTH" hidden="1">"c1923"</definedName>
    <definedName name="IQ_ACCUM_DEP" hidden="1">"c1340"</definedName>
    <definedName name="IQ_ACCUMULATED_PENSION_OBLIGATION" hidden="1">"c2244"</definedName>
    <definedName name="IQ_ACCUMULATED_PENSION_OBLIGATION_DOMESTIC" hidden="1">"c2657"</definedName>
    <definedName name="IQ_ACCUMULATED_PENSION_OBLIGATION_FOREIGN" hidden="1">"c2665"</definedName>
    <definedName name="IQ_ACQ_COST_SUB" hidden="1">"c2125"</definedName>
    <definedName name="IQ_ACQ_COSTS_CAPITALIZED" hidden="1">"c5"</definedName>
    <definedName name="IQ_ACQUIRE_REAL_ESTATE_CF" hidden="1">"c6"</definedName>
    <definedName name="IQ_ACQUISITION_RE_ASSETS" hidden="1">"c1628"</definedName>
    <definedName name="IQ_AD" hidden="1">"c7"</definedName>
    <definedName name="IQ_ADD_PAID_IN" hidden="1">"c1344"</definedName>
    <definedName name="IQ_ADDIN" hidden="1">"AUTO"</definedName>
    <definedName name="IQ_ADJ_AVG_BANK_ASSETS" hidden="1">"c2671"</definedName>
    <definedName name="IQ_ADMIN_RATIO" hidden="1">"c2784"</definedName>
    <definedName name="IQ_ADVERTISING" hidden="1">"c2246"</definedName>
    <definedName name="IQ_ADVERTISING_MARKETING" hidden="1">"c1566"</definedName>
    <definedName name="IQ_AE" hidden="1">"c8"</definedName>
    <definedName name="IQ_AE_BNK" hidden="1">"c9"</definedName>
    <definedName name="IQ_AE_BR" hidden="1">"c10"</definedName>
    <definedName name="IQ_AE_FIN" hidden="1">"c11"</definedName>
    <definedName name="IQ_AE_INS" hidden="1">"c12"</definedName>
    <definedName name="IQ_AE_REIT" hidden="1">"c13"</definedName>
    <definedName name="IQ_AE_UTI" hidden="1">"c14"</definedName>
    <definedName name="IQ_AH_EARNED" hidden="1">"c2744"</definedName>
    <definedName name="IQ_AH_POLICY_BENEFITS_EXP" hidden="1">"c2789"</definedName>
    <definedName name="IQ_AIR_AIRPLANES_NOT_IN_SERVICE" hidden="1">"c2842"</definedName>
    <definedName name="IQ_AIR_AIRPLANES_SUBLEASED" hidden="1">"c2841"</definedName>
    <definedName name="IQ_AIR_ASK" hidden="1">"c2813"</definedName>
    <definedName name="IQ_AIR_ASK_INCREASE" hidden="1">"c2826"</definedName>
    <definedName name="IQ_AIR_ASM" hidden="1">"c2812"</definedName>
    <definedName name="IQ_AIR_ASM_INCREASE" hidden="1">"c2825"</definedName>
    <definedName name="IQ_AIR_AVG_AGE" hidden="1">"c2843"</definedName>
    <definedName name="IQ_AIR_BREAK_EVEN_FACTOR" hidden="1">"c2822"</definedName>
    <definedName name="IQ_AIR_CAPITAL_LEASE" hidden="1">"c2833"</definedName>
    <definedName name="IQ_AIR_COMPLETION_FACTOR" hidden="1">"c2824"</definedName>
    <definedName name="IQ_AIR_ENPLANED_PSGRS" hidden="1">"c2809"</definedName>
    <definedName name="IQ_AIR_FUEL_CONSUMED" hidden="1">"c2806"</definedName>
    <definedName name="IQ_AIR_FUEL_CONSUMED_L" hidden="1">"c2807"</definedName>
    <definedName name="IQ_AIR_FUEL_COST" hidden="1">"c2803"</definedName>
    <definedName name="IQ_AIR_FUEL_COST_L" hidden="1">"c2804"</definedName>
    <definedName name="IQ_AIR_FUEL_EXP" hidden="1">"c2802"</definedName>
    <definedName name="IQ_AIR_FUEL_EXP_PERCENT" hidden="1">"c2805"</definedName>
    <definedName name="IQ_AIR_LEASED" hidden="1">"c2835"</definedName>
    <definedName name="IQ_AIR_LOAD_FACTOR" hidden="1">"c2823"</definedName>
    <definedName name="IQ_AIR_NEW_AIRPLANES" hidden="1">"c2839"</definedName>
    <definedName name="IQ_AIR_OPER_EXP_ASK" hidden="1">"c2821"</definedName>
    <definedName name="IQ_AIR_OPER_EXP_ASM" hidden="1">"c2820"</definedName>
    <definedName name="IQ_AIR_OPER_LEASE" hidden="1">"c2834"</definedName>
    <definedName name="IQ_AIR_OPER_REV_YIELD_ASK" hidden="1">"c2819"</definedName>
    <definedName name="IQ_AIR_OPER_REV_YIELD_ASM" hidden="1">"c2818"</definedName>
    <definedName name="IQ_AIR_OPTIONS" hidden="1">"c2837"</definedName>
    <definedName name="IQ_AIR_ORDERS" hidden="1">"c2836"</definedName>
    <definedName name="IQ_AIR_OWNED" hidden="1">"c2832"</definedName>
    <definedName name="IQ_AIR_PSGR_REV_YIELD_ASK" hidden="1">"c2817"</definedName>
    <definedName name="IQ_AIR_PSGR_REV_YIELD_ASM" hidden="1">"c2816"</definedName>
    <definedName name="IQ_AIR_PSGR_REV_YIELD_RPK" hidden="1">"c2815"</definedName>
    <definedName name="IQ_AIR_PSGR_REV_YIELD_RPM" hidden="1">"c2814"</definedName>
    <definedName name="IQ_AIR_PURCHASE_RIGHTS" hidden="1">"c2838"</definedName>
    <definedName name="IQ_AIR_RETIRED_AIRPLANES" hidden="1">"c2840"</definedName>
    <definedName name="IQ_AIR_REV_PSGRS_CARRIED" hidden="1">"c2808"</definedName>
    <definedName name="IQ_AIR_REV_SCHEDULED_SERVICE" hidden="1">"c2830"</definedName>
    <definedName name="IQ_AIR_RPK" hidden="1">"c2811"</definedName>
    <definedName name="IQ_AIR_RPM" hidden="1">"c2810"</definedName>
    <definedName name="IQ_AIR_STAGE_LENGTH" hidden="1">"c2828"</definedName>
    <definedName name="IQ_AIR_STAGE_LENGTH_KM" hidden="1">"c2829"</definedName>
    <definedName name="IQ_AIR_TOTAL" hidden="1">"c2831"</definedName>
    <definedName name="IQ_AIR_UTILIZATION" hidden="1">"c2827"</definedName>
    <definedName name="IQ_ALLOW_BORROW_CONST" hidden="1">"c15"</definedName>
    <definedName name="IQ_ALLOW_CONST" hidden="1">"c1342"</definedName>
    <definedName name="IQ_ALLOW_DOUBT_ACCT" hidden="1">"c2092"</definedName>
    <definedName name="IQ_ALLOW_EQUITY_CONST" hidden="1">"c16"</definedName>
    <definedName name="IQ_ALLOW_LL" hidden="1">"c17"</definedName>
    <definedName name="IQ_ALLOWANCE_10YR_ANN_GROWTH" hidden="1">"c18"</definedName>
    <definedName name="IQ_ALLOWANCE_1YR_ANN_GROWTH" hidden="1">"c19"</definedName>
    <definedName name="IQ_ALLOWANCE_2YR_ANN_GROWTH" hidden="1">"c20"</definedName>
    <definedName name="IQ_ALLOWANCE_3YR_ANN_GROWTH" hidden="1">"c21"</definedName>
    <definedName name="IQ_ALLOWANCE_5YR_ANN_GROWTH" hidden="1">"c22"</definedName>
    <definedName name="IQ_ALLOWANCE_7YR_ANN_GROWTH" hidden="1">"c23"</definedName>
    <definedName name="IQ_ALLOWANCE_CHARGE_OFFS" hidden="1">"c24"</definedName>
    <definedName name="IQ_ALLOWANCE_NON_PERF_LOANS" hidden="1">"c25"</definedName>
    <definedName name="IQ_ALLOWANCE_TOTAL_LOANS" hidden="1">"c26"</definedName>
    <definedName name="IQ_AMORTIZATION" hidden="1">"c1591"</definedName>
    <definedName name="IQ_AMT_OUT" hidden="1">"c2145"</definedName>
    <definedName name="IQ_ANNU_DISTRIBUTION_UNIT" hidden="1">"c3004"</definedName>
    <definedName name="IQ_ANNUALIZED_DIVIDEND" hidden="1">"c1579"</definedName>
    <definedName name="IQ_ANNUITY_LIAB" hidden="1">"c27"</definedName>
    <definedName name="IQ_ANNUITY_PAY" hidden="1">"c28"</definedName>
    <definedName name="IQ_ANNUITY_POLICY_EXP" hidden="1">"c29"</definedName>
    <definedName name="IQ_ANNUITY_REC" hidden="1">"c30"</definedName>
    <definedName name="IQ_ANNUITY_REV" hidden="1">"c31"</definedName>
    <definedName name="IQ_AP" hidden="1">"c32"</definedName>
    <definedName name="IQ_AP_BNK" hidden="1">"c33"</definedName>
    <definedName name="IQ_AP_BR" hidden="1">"c34"</definedName>
    <definedName name="IQ_AP_FIN" hidden="1">"c35"</definedName>
    <definedName name="IQ_AP_INS" hidden="1">"c36"</definedName>
    <definedName name="IQ_AP_REIT" hidden="1">"c37"</definedName>
    <definedName name="IQ_AP_UTI" hidden="1">"c38"</definedName>
    <definedName name="IQ_APIC" hidden="1">"c39"</definedName>
    <definedName name="IQ_AR" hidden="1">"c40"</definedName>
    <definedName name="IQ_AR_BR" hidden="1">"c41"</definedName>
    <definedName name="IQ_AR_LT" hidden="1">"c42"</definedName>
    <definedName name="IQ_AR_REIT" hidden="1">"c43"</definedName>
    <definedName name="IQ_AR_TURNS" hidden="1">"c44"</definedName>
    <definedName name="IQ_AR_UTI" hidden="1">"c45"</definedName>
    <definedName name="IQ_ARPU" hidden="1">"c2126"</definedName>
    <definedName name="IQ_ASSET_MGMT_FEE" hidden="1">"c46"</definedName>
    <definedName name="IQ_ASSET_TURNS" hidden="1">"c47"</definedName>
    <definedName name="IQ_ASSET_WRITEDOWN" hidden="1">"c48"</definedName>
    <definedName name="IQ_ASSET_WRITEDOWN_BNK" hidden="1">"c49"</definedName>
    <definedName name="IQ_ASSET_WRITEDOWN_BR" hidden="1">"c50"</definedName>
    <definedName name="IQ_ASSET_WRITEDOWN_CF" hidden="1">"c51"</definedName>
    <definedName name="IQ_ASSET_WRITEDOWN_CF_BNK" hidden="1">"c52"</definedName>
    <definedName name="IQ_ASSET_WRITEDOWN_CF_BR" hidden="1">"c53"</definedName>
    <definedName name="IQ_ASSET_WRITEDOWN_CF_FIN" hidden="1">"c54"</definedName>
    <definedName name="IQ_ASSET_WRITEDOWN_CF_INS" hidden="1">"c55"</definedName>
    <definedName name="IQ_ASSET_WRITEDOWN_CF_REIT" hidden="1">"c56"</definedName>
    <definedName name="IQ_ASSET_WRITEDOWN_CF_UTI" hidden="1">"c57"</definedName>
    <definedName name="IQ_ASSET_WRITEDOWN_FIN" hidden="1">"c58"</definedName>
    <definedName name="IQ_ASSET_WRITEDOWN_INS" hidden="1">"c59"</definedName>
    <definedName name="IQ_ASSET_WRITEDOWN_REIT" hidden="1">"c60"</definedName>
    <definedName name="IQ_ASSET_WRITEDOWN_UTI" hidden="1">"c61"</definedName>
    <definedName name="IQ_ASSETS_CAP_LEASE_DEPR" hidden="1">"c2068"</definedName>
    <definedName name="IQ_ASSETS_CAP_LEASE_GROSS" hidden="1">"c2069"</definedName>
    <definedName name="IQ_ASSETS_OPER_LEASE_DEPR" hidden="1">"c2070"</definedName>
    <definedName name="IQ_ASSETS_OPER_LEASE_GROSS" hidden="1">"c2071"</definedName>
    <definedName name="IQ_ASSUMED_AH_EARNED" hidden="1">"c2741"</definedName>
    <definedName name="IQ_ASSUMED_EARNED" hidden="1">"c2731"</definedName>
    <definedName name="IQ_ASSUMED_LIFE_EARNED" hidden="1">"c2736"</definedName>
    <definedName name="IQ_ASSUMED_LIFE_IN_FORCE" hidden="1">"c2766"</definedName>
    <definedName name="IQ_ASSUMED_PC_EARNED" hidden="1">"c2746"</definedName>
    <definedName name="IQ_ASSUMED_WRITTEN" hidden="1">"c2725"</definedName>
    <definedName name="IQ_AUDITOR_NAME" hidden="1">"c1539"</definedName>
    <definedName name="IQ_AUDITOR_OPINION" hidden="1">"c1540"</definedName>
    <definedName name="IQ_AUTO_WRITTEN" hidden="1">"c62"</definedName>
    <definedName name="IQ_AVG_BANK_ASSETS" hidden="1">"c2072"</definedName>
    <definedName name="IQ_AVG_BANK_LOANS" hidden="1">"c2073"</definedName>
    <definedName name="IQ_AVG_BROKER_REC" hidden="1">"c63"</definedName>
    <definedName name="IQ_AVG_BROKER_REC_NO" hidden="1">"c64"</definedName>
    <definedName name="IQ_AVG_BROKER_REC_NO_REUT" hidden="1">"c5315"</definedName>
    <definedName name="IQ_AVG_BROKER_REC_REUT" hidden="1">"c3630"</definedName>
    <definedName name="IQ_AVG_DAILY_VOL" hidden="1">"c65"</definedName>
    <definedName name="IQ_AVG_INDUSTRY_REC" hidden="1">"c4455"</definedName>
    <definedName name="IQ_AVG_INT_BEAR_LIAB" hidden="1">"c66"</definedName>
    <definedName name="IQ_AVG_INT_BEAR_LIAB_10YR_ANN_GROWTH" hidden="1">"c67"</definedName>
    <definedName name="IQ_AVG_INT_BEAR_LIAB_1YR_ANN_GROWTH" hidden="1">"c68"</definedName>
    <definedName name="IQ_AVG_INT_BEAR_LIAB_2YR_ANN_GROWTH" hidden="1">"c69"</definedName>
    <definedName name="IQ_AVG_INT_BEAR_LIAB_3YR_ANN_GROWTH" hidden="1">"c70"</definedName>
    <definedName name="IQ_AVG_INT_BEAR_LIAB_5YR_ANN_GROWTH" hidden="1">"c71"</definedName>
    <definedName name="IQ_AVG_INT_BEAR_LIAB_7YR_ANN_GROWTH" hidden="1">"c72"</definedName>
    <definedName name="IQ_AVG_INT_EARN_ASSETS" hidden="1">"c73"</definedName>
    <definedName name="IQ_AVG_INT_EARN_ASSETS_10YR_ANN_GROWTH" hidden="1">"c74"</definedName>
    <definedName name="IQ_AVG_INT_EARN_ASSETS_1YR_ANN_GROWTH" hidden="1">"c75"</definedName>
    <definedName name="IQ_AVG_INT_EARN_ASSETS_2YR_ANN_GROWTH" hidden="1">"c76"</definedName>
    <definedName name="IQ_AVG_INT_EARN_ASSETS_3YR_ANN_GROWTH" hidden="1">"c77"</definedName>
    <definedName name="IQ_AVG_INT_EARN_ASSETS_5YR_ANN_GROWTH" hidden="1">"c78"</definedName>
    <definedName name="IQ_AVG_INT_EARN_ASSETS_7YR_ANN_GROWTH" hidden="1">"c79"</definedName>
    <definedName name="IQ_AVG_MKTCAP" hidden="1">"c80"</definedName>
    <definedName name="IQ_AVG_PRICE" hidden="1">"c81"</definedName>
    <definedName name="IQ_AVG_SHAREOUTSTANDING" hidden="1">"c83"</definedName>
    <definedName name="IQ_AVG_TEV" hidden="1">"c84"</definedName>
    <definedName name="IQ_AVG_VOLUME" hidden="1">"c1346"</definedName>
    <definedName name="IQ_BANK_DEBT" hidden="1">"c2544"</definedName>
    <definedName name="IQ_BANK_DEBT_PCT" hidden="1">"c2545"</definedName>
    <definedName name="IQ_BASIC_EPS_EXCL" hidden="1">"c85"</definedName>
    <definedName name="IQ_BASIC_EPS_INCL" hidden="1">"c86"</definedName>
    <definedName name="IQ_BASIC_NORMAL_EPS" hidden="1">"c1592"</definedName>
    <definedName name="IQ_BASIC_WEIGHT" hidden="1">"c87"</definedName>
    <definedName name="IQ_BENCHMARK_SECURITY" hidden="1">"c2154"</definedName>
    <definedName name="IQ_BENCHMARK_SPRD" hidden="1">"c2153"</definedName>
    <definedName name="IQ_BETA" hidden="1">"c2133"</definedName>
    <definedName name="IQ_BETA_1YR" hidden="1">"c1966"</definedName>
    <definedName name="IQ_BETA_1YR_RSQ" hidden="1">"c2132"</definedName>
    <definedName name="IQ_BETA_2YR" hidden="1">"c1965"</definedName>
    <definedName name="IQ_BETA_2YR_RSQ" hidden="1">"c2131"</definedName>
    <definedName name="IQ_BETA_5YR" hidden="1">"c88"</definedName>
    <definedName name="IQ_BETA_5YR_RSQ" hidden="1">"c2130"</definedName>
    <definedName name="IQ_BIG_INT_BEAR_CD" hidden="1">"c89"</definedName>
    <definedName name="IQ_BOARD_MEMBER" hidden="1">"c96"</definedName>
    <definedName name="IQ_BOARD_MEMBER_BACKGROUND" hidden="1">"c2101"</definedName>
    <definedName name="IQ_BOARD_MEMBER_TITLE" hidden="1">"c97"</definedName>
    <definedName name="IQ_BOND_COUPON" hidden="1">"c2183"</definedName>
    <definedName name="IQ_BOND_COUPON_TYPE" hidden="1">"c2184"</definedName>
    <definedName name="IQ_BOND_PRICE" hidden="1">"c2162"</definedName>
    <definedName name="IQ_BROK_COMISSION" hidden="1">"c98"</definedName>
    <definedName name="IQ_BROK_COMMISSION" hidden="1">"c3514"</definedName>
    <definedName name="IQ_BUILDINGS" hidden="1">"c99"</definedName>
    <definedName name="IQ_BUS_SEG_ASSETS" hidden="1">"c4067"</definedName>
    <definedName name="IQ_BUS_SEG_ASSETS_ABS" hidden="1">"c4089"</definedName>
    <definedName name="IQ_BUS_SEG_ASSETS_TOTAL" hidden="1">"c4112"</definedName>
    <definedName name="IQ_BUS_SEG_CAPEX" hidden="1">"c4079"</definedName>
    <definedName name="IQ_BUS_SEG_CAPEX_ABS" hidden="1">"c4101"</definedName>
    <definedName name="IQ_BUS_SEG_CAPEX_TOTAL" hidden="1">"c4116"</definedName>
    <definedName name="IQ_BUS_SEG_DA" hidden="1">"c4078"</definedName>
    <definedName name="IQ_BUS_SEG_DA_ABS" hidden="1">"c4100"</definedName>
    <definedName name="IQ_BUS_SEG_DA_TOTAL" hidden="1">"c4115"</definedName>
    <definedName name="IQ_BUS_SEG_EARNINGS_OP" hidden="1">"c4063"</definedName>
    <definedName name="IQ_BUS_SEG_EARNINGS_OP_ABS" hidden="1">"c4085"</definedName>
    <definedName name="IQ_BUS_SEG_EARNINGS_OP_TOTAL" hidden="1">"c4108"</definedName>
    <definedName name="IQ_BUS_SEG_EBT" hidden="1">"c4064"</definedName>
    <definedName name="IQ_BUS_SEG_EBT_ABS" hidden="1">"c4086"</definedName>
    <definedName name="IQ_BUS_SEG_EBT_TOTAL" hidden="1">"c4110"</definedName>
    <definedName name="IQ_BUS_SEG_GP" hidden="1">"c4066"</definedName>
    <definedName name="IQ_BUS_SEG_GP_ABS" hidden="1">"c4088"</definedName>
    <definedName name="IQ_BUS_SEG_GP_TOTAL" hidden="1">"c4109"</definedName>
    <definedName name="IQ_BUS_SEG_INC_TAX" hidden="1">"c4077"</definedName>
    <definedName name="IQ_BUS_SEG_INC_TAX_ABS" hidden="1">"c4099"</definedName>
    <definedName name="IQ_BUS_SEG_INC_TAX_TOTAL" hidden="1">"c4114"</definedName>
    <definedName name="IQ_BUS_SEG_INTEREST_EXP" hidden="1">"c4076"</definedName>
    <definedName name="IQ_BUS_SEG_INTEREST_EXP_ABS" hidden="1">"c4098"</definedName>
    <definedName name="IQ_BUS_SEG_INTEREST_EXP_TOTAL" hidden="1">"c4113"</definedName>
    <definedName name="IQ_BUS_SEG_NAME" hidden="1">"c5482"</definedName>
    <definedName name="IQ_BUS_SEG_NAME_ABS" hidden="1">"c5483"</definedName>
    <definedName name="IQ_BUS_SEG_NI" hidden="1">"c4065"</definedName>
    <definedName name="IQ_BUS_SEG_NI_ABS" hidden="1">"c4087"</definedName>
    <definedName name="IQ_BUS_SEG_NI_TOTAL" hidden="1">"c4111"</definedName>
    <definedName name="IQ_BUS_SEG_OPER_INC" hidden="1">"c4062"</definedName>
    <definedName name="IQ_BUS_SEG_OPER_INC_ABS" hidden="1">"c4084"</definedName>
    <definedName name="IQ_BUS_SEG_OPER_INC_TOTAL" hidden="1">"c4107"</definedName>
    <definedName name="IQ_BUS_SEG_REV" hidden="1">"c4068"</definedName>
    <definedName name="IQ_BUS_SEG_REV_ABS" hidden="1">"c4090"</definedName>
    <definedName name="IQ_BUS_SEG_REV_TOTAL" hidden="1">"c4106"</definedName>
    <definedName name="IQ_BUSINESS_DESCRIPTION" hidden="1">"c322"</definedName>
    <definedName name="IQ_BV_OVER_SHARES" hidden="1">"c1349"</definedName>
    <definedName name="IQ_BV_SHARE" hidden="1">"c100"</definedName>
    <definedName name="IQ_BV_SHARE_ACT_OR_EST" hidden="1">"c3587"</definedName>
    <definedName name="IQ_BV_SHARE_EST" hidden="1">"c3541"</definedName>
    <definedName name="IQ_BV_SHARE_HIGH_EST" hidden="1">"c3542"</definedName>
    <definedName name="IQ_BV_SHARE_LOW_EST" hidden="1">"c3543"</definedName>
    <definedName name="IQ_BV_SHARE_MEDIAN_EST" hidden="1">"c3544"</definedName>
    <definedName name="IQ_BV_SHARE_NUM_EST" hidden="1">"c3539"</definedName>
    <definedName name="IQ_BV_SHARE_STDDEV_EST" hidden="1">"c3540"</definedName>
    <definedName name="IQ_CABLE_ARPU" hidden="1">"c2869"</definedName>
    <definedName name="IQ_CABLE_ARPU_ANALOG" hidden="1">"c2864"</definedName>
    <definedName name="IQ_CABLE_ARPU_BASIC" hidden="1">"c2866"</definedName>
    <definedName name="IQ_CABLE_ARPU_BBAND" hidden="1">"c2867"</definedName>
    <definedName name="IQ_CABLE_ARPU_DIG" hidden="1">"c2865"</definedName>
    <definedName name="IQ_CABLE_ARPU_PHONE" hidden="1">"c2868"</definedName>
    <definedName name="IQ_CABLE_BASIC_PENETRATION" hidden="1">"c2850"</definedName>
    <definedName name="IQ_CABLE_BBAND_PENETRATION" hidden="1">"c2852"</definedName>
    <definedName name="IQ_CABLE_BBAND_PENETRATION_THP" hidden="1">"c2851"</definedName>
    <definedName name="IQ_CABLE_CHURN" hidden="1">"c2874"</definedName>
    <definedName name="IQ_CABLE_CHURN_BASIC" hidden="1">"c2871"</definedName>
    <definedName name="IQ_CABLE_CHURN_BBAND" hidden="1">"c2872"</definedName>
    <definedName name="IQ_CABLE_CHURN_DIG" hidden="1">"c2870"</definedName>
    <definedName name="IQ_CABLE_CHURN_PHONE" hidden="1">"c2873"</definedName>
    <definedName name="IQ_CABLE_HOMES_PER_MILE" hidden="1">"c2849"</definedName>
    <definedName name="IQ_CABLE_HP_BBAND" hidden="1">"c2845"</definedName>
    <definedName name="IQ_CABLE_HP_DIG" hidden="1">"c2844"</definedName>
    <definedName name="IQ_CABLE_HP_PHONE" hidden="1">"c2846"</definedName>
    <definedName name="IQ_CABLE_MILES_PASSED" hidden="1">"c2848"</definedName>
    <definedName name="IQ_CABLE_OTHER_REV" hidden="1">"c2882"</definedName>
    <definedName name="IQ_CABLE_PHONE_PENETRATION" hidden="1">"c2853"</definedName>
    <definedName name="IQ_CABLE_PROGRAMMING_COSTS" hidden="1">"c2884"</definedName>
    <definedName name="IQ_CABLE_REV_ADVERT" hidden="1">"c2880"</definedName>
    <definedName name="IQ_CABLE_REV_ANALOG" hidden="1">"c2875"</definedName>
    <definedName name="IQ_CABLE_REV_BASIC" hidden="1">"c2877"</definedName>
    <definedName name="IQ_CABLE_REV_BBAND" hidden="1">"c2878"</definedName>
    <definedName name="IQ_CABLE_REV_COMMERCIAL" hidden="1">"c2881"</definedName>
    <definedName name="IQ_CABLE_REV_DIG" hidden="1">"c2876"</definedName>
    <definedName name="IQ_CABLE_REV_PHONE" hidden="1">"c2879"</definedName>
    <definedName name="IQ_CABLE_RGU" hidden="1">"c2863"</definedName>
    <definedName name="IQ_CABLE_SUBS_ANALOG" hidden="1">"c2855"</definedName>
    <definedName name="IQ_CABLE_SUBS_BASIC" hidden="1">"c2857"</definedName>
    <definedName name="IQ_CABLE_SUBS_BBAND" hidden="1">"c2858"</definedName>
    <definedName name="IQ_CABLE_SUBS_BUNDLED" hidden="1">"c2861"</definedName>
    <definedName name="IQ_CABLE_SUBS_DIG" hidden="1">"c2856"</definedName>
    <definedName name="IQ_CABLE_SUBS_NON_VIDEO" hidden="1">"c2860"</definedName>
    <definedName name="IQ_CABLE_SUBS_PHONE" hidden="1">"c2859"</definedName>
    <definedName name="IQ_CABLE_SUBS_TOTAL" hidden="1">"c2862"</definedName>
    <definedName name="IQ_CABLE_THP" hidden="1">"c2847"</definedName>
    <definedName name="IQ_CABLE_TOTAL_PENETRATION" hidden="1">"c2854"</definedName>
    <definedName name="IQ_CABLE_TOTAL_REV" hidden="1">"c2883"</definedName>
    <definedName name="IQ_CAL_Q" hidden="1">"c101"</definedName>
    <definedName name="IQ_CAL_Y" hidden="1">"c102"</definedName>
    <definedName name="IQ_CALC_TYPE_BS" hidden="1">"c3086"</definedName>
    <definedName name="IQ_CALC_TYPE_CF" hidden="1">"c3085"</definedName>
    <definedName name="IQ_CALC_TYPE_IS" hidden="1">"c3084"</definedName>
    <definedName name="IQ_CALL_DATE_SCHEDULE" hidden="1">"c2481"</definedName>
    <definedName name="IQ_CALL_FEATURE" hidden="1">"c2197"</definedName>
    <definedName name="IQ_CALL_PRICE_SCHEDULE" hidden="1">"c2482"</definedName>
    <definedName name="IQ_CALLABLE" hidden="1">"c2196"</definedName>
    <definedName name="IQ_CAP_LOSS_CF_1YR" hidden="1">"c3474"</definedName>
    <definedName name="IQ_CAP_LOSS_CF_2YR" hidden="1">"c3475"</definedName>
    <definedName name="IQ_CAP_LOSS_CF_3YR" hidden="1">"c3476"</definedName>
    <definedName name="IQ_CAP_LOSS_CF_4YR" hidden="1">"c3477"</definedName>
    <definedName name="IQ_CAP_LOSS_CF_5YR" hidden="1">"c3478"</definedName>
    <definedName name="IQ_CAP_LOSS_CF_AFTER_FIVE" hidden="1">"c3479"</definedName>
    <definedName name="IQ_CAP_LOSS_CF_MAX_YEAR" hidden="1">"c3482"</definedName>
    <definedName name="IQ_CAP_LOSS_CF_NO_EXP" hidden="1">"c3480"</definedName>
    <definedName name="IQ_CAP_LOSS_CF_TOTAL" hidden="1">"c3481"</definedName>
    <definedName name="IQ_CAPEX" hidden="1">"c103"</definedName>
    <definedName name="IQ_CAPEX_10YR_ANN_GROWTH" hidden="1">"c104"</definedName>
    <definedName name="IQ_CAPEX_1YR_ANN_GROWTH" hidden="1">"c105"</definedName>
    <definedName name="IQ_CAPEX_2YR_ANN_GROWTH" hidden="1">"c106"</definedName>
    <definedName name="IQ_CAPEX_3YR_ANN_GROWTH" hidden="1">"c107"</definedName>
    <definedName name="IQ_CAPEX_5YR_ANN_GROWTH" hidden="1">"c108"</definedName>
    <definedName name="IQ_CAPEX_7YR_ANN_GROWTH" hidden="1">"c109"</definedName>
    <definedName name="IQ_CAPEX_ACT_OR_EST" hidden="1">"c3584"</definedName>
    <definedName name="IQ_CAPEX_BNK" hidden="1">"c110"</definedName>
    <definedName name="IQ_CAPEX_BR" hidden="1">"c111"</definedName>
    <definedName name="IQ_CAPEX_EST" hidden="1">"c3523"</definedName>
    <definedName name="IQ_CAPEX_FIN" hidden="1">"c112"</definedName>
    <definedName name="IQ_CAPEX_HIGH_EST" hidden="1">"c3524"</definedName>
    <definedName name="IQ_CAPEX_INS" hidden="1">"c113"</definedName>
    <definedName name="IQ_CAPEX_LOW_EST" hidden="1">"c3525"</definedName>
    <definedName name="IQ_CAPEX_MEDIAN_EST" hidden="1">"c3526"</definedName>
    <definedName name="IQ_CAPEX_NUM_EST" hidden="1">"c3521"</definedName>
    <definedName name="IQ_CAPEX_STDDEV_EST" hidden="1">"c3522"</definedName>
    <definedName name="IQ_CAPEX_UTI" hidden="1">"c114"</definedName>
    <definedName name="IQ_CAPITAL_LEASE" hidden="1">"c1350"</definedName>
    <definedName name="IQ_CAPITAL_LEASES" hidden="1">"c115"</definedName>
    <definedName name="IQ_CAPITAL_LEASES_TOTAL" hidden="1">"c3031"</definedName>
    <definedName name="IQ_CAPITAL_LEASES_TOTAL_PCT" hidden="1">"c2506"</definedName>
    <definedName name="IQ_CAPITALIZED_INTEREST" hidden="1">"c2076"</definedName>
    <definedName name="IQ_CAPITALIZED_INTEREST_BOP" hidden="1">"c3459"</definedName>
    <definedName name="IQ_CAPITALIZED_INTEREST_EOP" hidden="1">"c3464"</definedName>
    <definedName name="IQ_CAPITALIZED_INTEREST_EXP" hidden="1">"c3461"</definedName>
    <definedName name="IQ_CAPITALIZED_INTEREST_OTHER_ADJ" hidden="1">"c3463"</definedName>
    <definedName name="IQ_CAPITALIZED_INTEREST_WRITE_OFF" hidden="1">"c3462"</definedName>
    <definedName name="IQ_CASH" hidden="1">"c1458"</definedName>
    <definedName name="IQ_CASH_ACQUIRE_CF" hidden="1">"c1630"</definedName>
    <definedName name="IQ_CASH_CONVERSION" hidden="1">"c117"</definedName>
    <definedName name="IQ_CASH_DUE_BANKS" hidden="1">"c1351"</definedName>
    <definedName name="IQ_CASH_EQUIV" hidden="1">"c118"</definedName>
    <definedName name="IQ_CASH_FINAN" hidden="1">"c119"</definedName>
    <definedName name="IQ_CASH_FLOW_ACT_OR_EST" hidden="1">"c4154"</definedName>
    <definedName name="IQ_CASH_INTEREST" hidden="1">"c120"</definedName>
    <definedName name="IQ_CASH_INVEST" hidden="1">"c121"</definedName>
    <definedName name="IQ_CASH_OPER" hidden="1">"c122"</definedName>
    <definedName name="IQ_CASH_OPER_ACT_OR_EST" hidden="1">"c4164"</definedName>
    <definedName name="IQ_CASH_SEGREG" hidden="1">"c123"</definedName>
    <definedName name="IQ_CASH_SHARE" hidden="1">"c1911"</definedName>
    <definedName name="IQ_CASH_ST" hidden="1">"c1355"</definedName>
    <definedName name="IQ_CASH_ST_INVEST" hidden="1">"c124"</definedName>
    <definedName name="IQ_CASH_TAXES" hidden="1">"c125"</definedName>
    <definedName name="IQ_CEDED_AH_EARNED" hidden="1">"c2743"</definedName>
    <definedName name="IQ_CEDED_CLAIM_EXP_INCUR" hidden="1">"c2756"</definedName>
    <definedName name="IQ_CEDED_CLAIM_EXP_PAID" hidden="1">"c2759"</definedName>
    <definedName name="IQ_CEDED_CLAIM_EXP_RES" hidden="1">"c2753"</definedName>
    <definedName name="IQ_CEDED_EARNED" hidden="1">"c2733"</definedName>
    <definedName name="IQ_CEDED_LIFE_EARNED" hidden="1">"c2738"</definedName>
    <definedName name="IQ_CEDED_LIFE_IN_FORCE" hidden="1">"c2768"</definedName>
    <definedName name="IQ_CEDED_PC_EARNED" hidden="1">"c2748"</definedName>
    <definedName name="IQ_CEDED_WRITTEN" hidden="1">"c2727"</definedName>
    <definedName name="IQ_CFO_10YR_ANN_GROWTH" hidden="1">"c126"</definedName>
    <definedName name="IQ_CFO_1YR_ANN_GROWTH" hidden="1">"c127"</definedName>
    <definedName name="IQ_CFO_2YR_ANN_GROWTH" hidden="1">"c128"</definedName>
    <definedName name="IQ_CFO_3YR_ANN_GROWTH" hidden="1">"c129"</definedName>
    <definedName name="IQ_CFO_5YR_ANN_GROWTH" hidden="1">"c130"</definedName>
    <definedName name="IQ_CFO_7YR_ANN_GROWTH" hidden="1">"c131"</definedName>
    <definedName name="IQ_CFO_CURRENT_LIAB" hidden="1">"c132"</definedName>
    <definedName name="IQ_CFPS_ACT_OR_EST" hidden="1">"c2217"</definedName>
    <definedName name="IQ_CFPS_EST" hidden="1">"c1667"</definedName>
    <definedName name="IQ_CFPS_HIGH_EST" hidden="1">"c1669"</definedName>
    <definedName name="IQ_CFPS_LOW_EST" hidden="1">"c1670"</definedName>
    <definedName name="IQ_CFPS_MEDIAN_EST" hidden="1">"c1668"</definedName>
    <definedName name="IQ_CFPS_NUM_EST" hidden="1">"c1671"</definedName>
    <definedName name="IQ_CFPS_STDDEV_EST" hidden="1">"c1672"</definedName>
    <definedName name="IQ_CHANGE_AP" hidden="1">"c133"</definedName>
    <definedName name="IQ_CHANGE_AP_BNK" hidden="1">"c134"</definedName>
    <definedName name="IQ_CHANGE_AP_BR" hidden="1">"c135"</definedName>
    <definedName name="IQ_CHANGE_AP_FIN" hidden="1">"c136"</definedName>
    <definedName name="IQ_CHANGE_AP_INS" hidden="1">"c137"</definedName>
    <definedName name="IQ_CHANGE_AP_REIT" hidden="1">"c138"</definedName>
    <definedName name="IQ_CHANGE_AP_UTI" hidden="1">"c139"</definedName>
    <definedName name="IQ_CHANGE_AR" hidden="1">"c140"</definedName>
    <definedName name="IQ_CHANGE_AR_BNK" hidden="1">"c141"</definedName>
    <definedName name="IQ_CHANGE_AR_BR" hidden="1">"c142"</definedName>
    <definedName name="IQ_CHANGE_AR_FIN" hidden="1">"c143"</definedName>
    <definedName name="IQ_CHANGE_AR_INS" hidden="1">"c144"</definedName>
    <definedName name="IQ_CHANGE_AR_REIT" hidden="1">"c145"</definedName>
    <definedName name="IQ_CHANGE_AR_UTI" hidden="1">"c146"</definedName>
    <definedName name="IQ_CHANGE_DEF_TAX" hidden="1">"c147"</definedName>
    <definedName name="IQ_CHANGE_DEPOSIT_ACCT" hidden="1">"c148"</definedName>
    <definedName name="IQ_CHANGE_INC_TAX" hidden="1">"c149"</definedName>
    <definedName name="IQ_CHANGE_INS_RES_LIAB" hidden="1">"c150"</definedName>
    <definedName name="IQ_CHANGE_INVENTORY" hidden="1">"c151"</definedName>
    <definedName name="IQ_CHANGE_NET_OPER_ASSETS" hidden="1">"c3592"</definedName>
    <definedName name="IQ_CHANGE_NET_WORKING_CAPITAL" hidden="1">"c1909"</definedName>
    <definedName name="IQ_CHANGE_OTHER_NET_OPER_ASSETS" hidden="1">"c3593"</definedName>
    <definedName name="IQ_CHANGE_OTHER_NET_OPER_ASSETS_BNK" hidden="1">"c3594"</definedName>
    <definedName name="IQ_CHANGE_OTHER_NET_OPER_ASSETS_BR" hidden="1">"c3595"</definedName>
    <definedName name="IQ_CHANGE_OTHER_NET_OPER_ASSETS_FIN" hidden="1">"c3596"</definedName>
    <definedName name="IQ_CHANGE_OTHER_NET_OPER_ASSETS_INS" hidden="1">"c3597"</definedName>
    <definedName name="IQ_CHANGE_OTHER_NET_OPER_ASSETS_REIT" hidden="1">"c3598"</definedName>
    <definedName name="IQ_CHANGE_OTHER_NET_OPER_ASSETS_UTI" hidden="1">"c3599"</definedName>
    <definedName name="IQ_CHANGE_OTHER_WORK_CAP" hidden="1">"c152"</definedName>
    <definedName name="IQ_CHANGE_OTHER_WORK_CAP_BNK" hidden="1">"c153"</definedName>
    <definedName name="IQ_CHANGE_OTHER_WORK_CAP_BR" hidden="1">"c154"</definedName>
    <definedName name="IQ_CHANGE_OTHER_WORK_CAP_FIN" hidden="1">"c155"</definedName>
    <definedName name="IQ_CHANGE_OTHER_WORK_CAP_INS" hidden="1">"c156"</definedName>
    <definedName name="IQ_CHANGE_OTHER_WORK_CAP_REIT" hidden="1">"c157"</definedName>
    <definedName name="IQ_CHANGE_OTHER_WORK_CAP_UTI" hidden="1">"c158"</definedName>
    <definedName name="IQ_CHANGE_TRADING_ASSETS" hidden="1">"c159"</definedName>
    <definedName name="IQ_CHANGE_UNEARN_REV" hidden="1">"c160"</definedName>
    <definedName name="IQ_CHANGE_WORK_CAP" hidden="1">"c161"</definedName>
    <definedName name="IQ_CHANGES_WORK_CAP" hidden="1">"c1357"</definedName>
    <definedName name="IQ_CHARGE_OFFS_GROSS" hidden="1">"c162"</definedName>
    <definedName name="IQ_CHARGE_OFFS_NET" hidden="1">"c163"</definedName>
    <definedName name="IQ_CHARGE_OFFS_RECOVERED" hidden="1">"c164"</definedName>
    <definedName name="IQ_CHARGE_OFFS_TOTAL_AVG_LOANS" hidden="1">"c165"</definedName>
    <definedName name="IQ_CITY" hidden="1">"c166"</definedName>
    <definedName name="IQ_CL_DUE_AFTER_FIVE" hidden="1">"c167"</definedName>
    <definedName name="IQ_CL_DUE_CY" hidden="1">"c168"</definedName>
    <definedName name="IQ_CL_DUE_CY1" hidden="1">"c169"</definedName>
    <definedName name="IQ_CL_DUE_CY2" hidden="1">"c170"</definedName>
    <definedName name="IQ_CL_DUE_CY3" hidden="1">"c171"</definedName>
    <definedName name="IQ_CL_DUE_CY4" hidden="1">"c172"</definedName>
    <definedName name="IQ_CL_DUE_NEXT_FIVE" hidden="1">"c173"</definedName>
    <definedName name="IQ_CL_OBLIGATION_IMMEDIATE" hidden="1">"c2253"</definedName>
    <definedName name="IQ_CLASSA_OPTIONS_BEG_OS" hidden="1">"c2679"</definedName>
    <definedName name="IQ_CLASSA_OPTIONS_CANCELLED" hidden="1">"c2682"</definedName>
    <definedName name="IQ_CLASSA_OPTIONS_END_OS" hidden="1">"c2683"</definedName>
    <definedName name="IQ_CLASSA_OPTIONS_EXERCISED" hidden="1">"c2681"</definedName>
    <definedName name="IQ_CLASSA_OPTIONS_GRANTED" hidden="1">"c2680"</definedName>
    <definedName name="IQ_CLASSA_OPTIONS_STRIKE_PRICE_OS" hidden="1">"c2684"</definedName>
    <definedName name="IQ_CLASSA_OUTSTANDING_BS_DATE" hidden="1">"c1971"</definedName>
    <definedName name="IQ_CLASSA_OUTSTANDING_FILING_DATE" hidden="1">"c1973"</definedName>
    <definedName name="IQ_CLASSA_STRIKE_PRICE_GRANTED" hidden="1">"c2685"</definedName>
    <definedName name="IQ_CLASSA_WARRANTS_BEG_OS" hidden="1">"c2705"</definedName>
    <definedName name="IQ_CLASSA_WARRANTS_CANCELLED" hidden="1">"c2708"</definedName>
    <definedName name="IQ_CLASSA_WARRANTS_END_OS" hidden="1">"c2709"</definedName>
    <definedName name="IQ_CLASSA_WARRANTS_EXERCISED" hidden="1">"c2707"</definedName>
    <definedName name="IQ_CLASSA_WARRANTS_ISSUED" hidden="1">"c2706"</definedName>
    <definedName name="IQ_CLASSA_WARRANTS_STRIKE_PRICE_ISSUED" hidden="1">"c2711"</definedName>
    <definedName name="IQ_CLASSA_WARRANTS_STRIKE_PRICE_OS" hidden="1">"c2710"</definedName>
    <definedName name="IQ_CLOSEPRICE" hidden="1">"c174"</definedName>
    <definedName name="IQ_CLOSEPRICE_ADJ" hidden="1">"c2115"</definedName>
    <definedName name="IQ_COGS" hidden="1">"c175"</definedName>
    <definedName name="IQ_COMBINED_RATIO" hidden="1">"c176"</definedName>
    <definedName name="IQ_COMMERCIAL_DOM" hidden="1">"c177"</definedName>
    <definedName name="IQ_COMMERCIAL_FIRE_WRITTEN" hidden="1">"c178"</definedName>
    <definedName name="IQ_COMMERCIAL_MORT" hidden="1">"c179"</definedName>
    <definedName name="IQ_COMMISS_FEES" hidden="1">"c180"</definedName>
    <definedName name="IQ_COMMISSION_DEF" hidden="1">"c181"</definedName>
    <definedName name="IQ_COMMON" hidden="1">"c182"</definedName>
    <definedName name="IQ_COMMON_APIC" hidden="1">"c183"</definedName>
    <definedName name="IQ_COMMON_APIC_BNK" hidden="1">"c184"</definedName>
    <definedName name="IQ_COMMON_APIC_BR" hidden="1">"c185"</definedName>
    <definedName name="IQ_COMMON_APIC_FIN" hidden="1">"c186"</definedName>
    <definedName name="IQ_COMMON_APIC_INS" hidden="1">"c187"</definedName>
    <definedName name="IQ_COMMON_APIC_REIT" hidden="1">"c188"</definedName>
    <definedName name="IQ_COMMON_APIC_UTI" hidden="1">"c189"</definedName>
    <definedName name="IQ_COMMON_DIV" hidden="1">"c3006"</definedName>
    <definedName name="IQ_COMMON_DIV_CF" hidden="1">"c190"</definedName>
    <definedName name="IQ_COMMON_EQUITY_10YR_ANN_GROWTH" hidden="1">"c191"</definedName>
    <definedName name="IQ_COMMON_EQUITY_1YR_ANN_GROWTH" hidden="1">"c192"</definedName>
    <definedName name="IQ_COMMON_EQUITY_2YR_ANN_GROWTH" hidden="1">"c193"</definedName>
    <definedName name="IQ_COMMON_EQUITY_3YR_ANN_GROWTH" hidden="1">"c194"</definedName>
    <definedName name="IQ_COMMON_EQUITY_5YR_ANN_GROWTH" hidden="1">"c195"</definedName>
    <definedName name="IQ_COMMON_EQUITY_7YR_ANN_GROWTH" hidden="1">"c196"</definedName>
    <definedName name="IQ_COMMON_ISSUED" hidden="1">"c197"</definedName>
    <definedName name="IQ_COMMON_ISSUED_BNK" hidden="1">"c198"</definedName>
    <definedName name="IQ_COMMON_ISSUED_BR" hidden="1">"c199"</definedName>
    <definedName name="IQ_COMMON_ISSUED_FIN" hidden="1">"c200"</definedName>
    <definedName name="IQ_COMMON_ISSUED_INS" hidden="1">"c201"</definedName>
    <definedName name="IQ_COMMON_ISSUED_REIT" hidden="1">"c202"</definedName>
    <definedName name="IQ_COMMON_ISSUED_UTI" hidden="1">"c203"</definedName>
    <definedName name="IQ_COMMON_PER_ADR" hidden="1">"c204"</definedName>
    <definedName name="IQ_COMMON_PREF_DIV_CF" hidden="1">"c205"</definedName>
    <definedName name="IQ_COMMON_REP" hidden="1">"c206"</definedName>
    <definedName name="IQ_COMMON_REP_BNK" hidden="1">"c207"</definedName>
    <definedName name="IQ_COMMON_REP_BR" hidden="1">"c208"</definedName>
    <definedName name="IQ_COMMON_REP_FIN" hidden="1">"c209"</definedName>
    <definedName name="IQ_COMMON_REP_INS" hidden="1">"c210"</definedName>
    <definedName name="IQ_COMMON_REP_REIT" hidden="1">"c211"</definedName>
    <definedName name="IQ_COMMON_REP_UTI" hidden="1">"c212"</definedName>
    <definedName name="IQ_COMMON_STOCK" hidden="1">"c1358"</definedName>
    <definedName name="IQ_COMP_BENEFITS" hidden="1">"c213"</definedName>
    <definedName name="IQ_COMPANY_ADDRESS" hidden="1">"c214"</definedName>
    <definedName name="IQ_COMPANY_ID" hidden="1">"c3513"</definedName>
    <definedName name="IQ_COMPANY_NAME" hidden="1">"c215"</definedName>
    <definedName name="IQ_COMPANY_NAME_LONG" hidden="1">"c1585"</definedName>
    <definedName name="IQ_COMPANY_PHONE" hidden="1">"c216"</definedName>
    <definedName name="IQ_COMPANY_STATUS" hidden="1">"c2097"</definedName>
    <definedName name="IQ_COMPANY_STREET1" hidden="1">"c217"</definedName>
    <definedName name="IQ_COMPANY_STREET2" hidden="1">"c218"</definedName>
    <definedName name="IQ_COMPANY_TICKER" hidden="1">"c219"</definedName>
    <definedName name="IQ_COMPANY_TYPE" hidden="1">"c2096"</definedName>
    <definedName name="IQ_COMPANY_WEBSITE" hidden="1">"c220"</definedName>
    <definedName name="IQ_COMPANY_ZIP" hidden="1">"c221"</definedName>
    <definedName name="IQ_CONSTRUCTION_LOANS" hidden="1">"c222"</definedName>
    <definedName name="IQ_CONSUMER_LOANS" hidden="1">"c223"</definedName>
    <definedName name="IQ_CONV_DATE" hidden="1">"c2191"</definedName>
    <definedName name="IQ_CONV_EXP_DATE" hidden="1">"c3043"</definedName>
    <definedName name="IQ_CONV_PREMIUM" hidden="1">"c2195"</definedName>
    <definedName name="IQ_CONV_PRICE" hidden="1">"c2193"</definedName>
    <definedName name="IQ_CONV_RATE" hidden="1">"c2192"</definedName>
    <definedName name="IQ_CONV_RATIO" hidden="1">"c2192"</definedName>
    <definedName name="IQ_CONV_SECURITY" hidden="1">"c2189"</definedName>
    <definedName name="IQ_CONV_SECURITY_ISSUER" hidden="1">"c2190"</definedName>
    <definedName name="IQ_CONV_SECURITY_PRICE" hidden="1">"c2194"</definedName>
    <definedName name="IQ_CONVERT" hidden="1">"c2536"</definedName>
    <definedName name="IQ_CONVERT_PCT" hidden="1">"c2537"</definedName>
    <definedName name="IQ_CONVEXITY" hidden="1">"c2182"</definedName>
    <definedName name="IQ_COST_BORROWING" hidden="1">"c2936"</definedName>
    <definedName name="IQ_COST_BORROWINGS" hidden="1">"c225"</definedName>
    <definedName name="IQ_COST_REV" hidden="1">"c226"</definedName>
    <definedName name="IQ_COST_REVENUE" hidden="1">"c1359"</definedName>
    <definedName name="IQ_COST_SAVINGS" hidden="1">"c227"</definedName>
    <definedName name="IQ_COST_SERVICE" hidden="1">"c228"</definedName>
    <definedName name="IQ_COST_TOTAL_BORROWINGS" hidden="1">"c229"</definedName>
    <definedName name="IQ_COUNTRY_NAME" hidden="1">"c230"</definedName>
    <definedName name="IQ_COVERED_POPS" hidden="1">"c2124"</definedName>
    <definedName name="IQ_CP" hidden="1">"c2495"</definedName>
    <definedName name="IQ_CP_PCT" hidden="1">"c2496"</definedName>
    <definedName name="IQ_CQ" hidden="1">5000</definedName>
    <definedName name="IQ_CREDIT_CARD_FEE_BNK" hidden="1">"c231"</definedName>
    <definedName name="IQ_CREDIT_CARD_FEE_FIN" hidden="1">"c1583"</definedName>
    <definedName name="IQ_CREDIT_LOSS_CF" hidden="1">"c232"</definedName>
    <definedName name="IQ_CUMULATIVE_SPLIT_FACTOR" hidden="1">"c2094"</definedName>
    <definedName name="IQ_CURR_DOMESTIC_TAXES" hidden="1">"c2074"</definedName>
    <definedName name="IQ_CURR_FOREIGN_TAXES" hidden="1">"c2075"</definedName>
    <definedName name="IQ_CURRENCY_FACTOR_BS" hidden="1">"c233"</definedName>
    <definedName name="IQ_CURRENCY_FACTOR_IS" hidden="1">"c234"</definedName>
    <definedName name="IQ_CURRENCY_GAIN" hidden="1">"c235"</definedName>
    <definedName name="IQ_CURRENCY_GAIN_BR" hidden="1">"c236"</definedName>
    <definedName name="IQ_CURRENCY_GAIN_FIN" hidden="1">"c237"</definedName>
    <definedName name="IQ_CURRENCY_GAIN_INS" hidden="1">"c238"</definedName>
    <definedName name="IQ_CURRENCY_GAIN_REIT" hidden="1">"c239"</definedName>
    <definedName name="IQ_CURRENCY_GAIN_UTI" hidden="1">"c240"</definedName>
    <definedName name="IQ_CURRENT_PORT" hidden="1">"c241"</definedName>
    <definedName name="IQ_CURRENT_PORT_BNK" hidden="1">"c242"</definedName>
    <definedName name="IQ_CURRENT_PORT_DEBT" hidden="1">"c243"</definedName>
    <definedName name="IQ_CURRENT_PORT_DEBT_BNK" hidden="1">"c244"</definedName>
    <definedName name="IQ_CURRENT_PORT_DEBT_BR" hidden="1">"c1567"</definedName>
    <definedName name="IQ_CURRENT_PORT_DEBT_FIN" hidden="1">"c1568"</definedName>
    <definedName name="IQ_CURRENT_PORT_DEBT_INS" hidden="1">"c1569"</definedName>
    <definedName name="IQ_CURRENT_PORT_DEBT_REIT" hidden="1">"c1570"</definedName>
    <definedName name="IQ_CURRENT_PORT_DEBT_UTI" hidden="1">"c1571"</definedName>
    <definedName name="IQ_CURRENT_PORT_LEASES" hidden="1">"c245"</definedName>
    <definedName name="IQ_CURRENT_PORT_PCT" hidden="1">"c2541"</definedName>
    <definedName name="IQ_CURRENT_RATIO" hidden="1">"c246"</definedName>
    <definedName name="IQ_CY" hidden="1">10000</definedName>
    <definedName name="IQ_DA" hidden="1">"c247"</definedName>
    <definedName name="IQ_DA_BR" hidden="1">"c248"</definedName>
    <definedName name="IQ_DA_CF" hidden="1">"c249"</definedName>
    <definedName name="IQ_DA_CF_BNK" hidden="1">"c250"</definedName>
    <definedName name="IQ_DA_CF_BR" hidden="1">"c251"</definedName>
    <definedName name="IQ_DA_CF_FIN" hidden="1">"c252"</definedName>
    <definedName name="IQ_DA_CF_INS" hidden="1">"c253"</definedName>
    <definedName name="IQ_DA_CF_REIT" hidden="1">"c254"</definedName>
    <definedName name="IQ_DA_CF_UTI" hidden="1">"c255"</definedName>
    <definedName name="IQ_DA_EBITDA" hidden="1">"c5528"</definedName>
    <definedName name="IQ_DA_FIN" hidden="1">"c256"</definedName>
    <definedName name="IQ_DA_INS" hidden="1">"c257"</definedName>
    <definedName name="IQ_DA_REIT" hidden="1">"c258"</definedName>
    <definedName name="IQ_DA_SUPPL" hidden="1">"c259"</definedName>
    <definedName name="IQ_DA_SUPPL_BR" hidden="1">"c260"</definedName>
    <definedName name="IQ_DA_SUPPL_CF" hidden="1">"c261"</definedName>
    <definedName name="IQ_DA_SUPPL_CF_BNK" hidden="1">"c262"</definedName>
    <definedName name="IQ_DA_SUPPL_CF_BR" hidden="1">"c263"</definedName>
    <definedName name="IQ_DA_SUPPL_CF_FIN" hidden="1">"c264"</definedName>
    <definedName name="IQ_DA_SUPPL_CF_INS" hidden="1">"c265"</definedName>
    <definedName name="IQ_DA_SUPPL_CF_REIT" hidden="1">"c266"</definedName>
    <definedName name="IQ_DA_SUPPL_CF_UTI" hidden="1">"c267"</definedName>
    <definedName name="IQ_DA_SUPPL_FIN" hidden="1">"c268"</definedName>
    <definedName name="IQ_DA_SUPPL_INS" hidden="1">"c269"</definedName>
    <definedName name="IQ_DA_SUPPL_REIT" hidden="1">"c270"</definedName>
    <definedName name="IQ_DA_SUPPL_UTI" hidden="1">"c271"</definedName>
    <definedName name="IQ_DA_UTI" hidden="1">"c272"</definedName>
    <definedName name="IQ_DATED_DATE" hidden="1">"c2185"</definedName>
    <definedName name="IQ_DAY_COUNT" hidden="1">"c2161"</definedName>
    <definedName name="IQ_DAYS_COVER_SHORT" hidden="1">"c1578"</definedName>
    <definedName name="IQ_DAYS_INVENTORY_OUT" hidden="1">"c273"</definedName>
    <definedName name="IQ_DAYS_PAY_OUTST" hidden="1">"c1362"</definedName>
    <definedName name="IQ_DAYS_PAYABLE_OUT" hidden="1">"c274"</definedName>
    <definedName name="IQ_DAYS_SALES_OUT" hidden="1">"c275"</definedName>
    <definedName name="IQ_DAYS_SALES_OUTST" hidden="1">"c1363"</definedName>
    <definedName name="IQ_DEBT_ADJ" hidden="1">"c2515"</definedName>
    <definedName name="IQ_DEBT_ADJ_PCT" hidden="1">"c2516"</definedName>
    <definedName name="IQ_DEBT_EQUIV_NET_PBO" hidden="1">"c2938"</definedName>
    <definedName name="IQ_DEBT_EQUIV_OPER_LEASE" hidden="1">"c2935"</definedName>
    <definedName name="IQ_DEF_ACQ_CST" hidden="1">"c1364"</definedName>
    <definedName name="IQ_DEF_AMORT" hidden="1">"c276"</definedName>
    <definedName name="IQ_DEF_AMORT_BNK" hidden="1">"c277"</definedName>
    <definedName name="IQ_DEF_AMORT_BR" hidden="1">"c278"</definedName>
    <definedName name="IQ_DEF_AMORT_FIN" hidden="1">"c279"</definedName>
    <definedName name="IQ_DEF_AMORT_INS" hidden="1">"c280"</definedName>
    <definedName name="IQ_DEF_AMORT_REIT" hidden="1">"c281"</definedName>
    <definedName name="IQ_DEF_AMORT_UTI" hidden="1">"c282"</definedName>
    <definedName name="IQ_DEF_BENEFIT_INTEREST_COST" hidden="1">"c283"</definedName>
    <definedName name="IQ_DEF_BENEFIT_INTEREST_COST_DOMESTIC" hidden="1">"c2652"</definedName>
    <definedName name="IQ_DEF_BENEFIT_INTEREST_COST_FOREIGN" hidden="1">"c2660"</definedName>
    <definedName name="IQ_DEF_BENEFIT_OTHER_COST" hidden="1">"c284"</definedName>
    <definedName name="IQ_DEF_BENEFIT_OTHER_COST_DOMESTIC" hidden="1">"c2654"</definedName>
    <definedName name="IQ_DEF_BENEFIT_OTHER_COST_FOREIGN" hidden="1">"c2662"</definedName>
    <definedName name="IQ_DEF_BENEFIT_ROA" hidden="1">"c285"</definedName>
    <definedName name="IQ_DEF_BENEFIT_ROA_DOMESTIC" hidden="1">"c2653"</definedName>
    <definedName name="IQ_DEF_BENEFIT_ROA_FOREIGN" hidden="1">"c2661"</definedName>
    <definedName name="IQ_DEF_BENEFIT_SERVICE_COST" hidden="1">"c286"</definedName>
    <definedName name="IQ_DEF_BENEFIT_SERVICE_COST_DOMESTIC" hidden="1">"c2651"</definedName>
    <definedName name="IQ_DEF_BENEFIT_SERVICE_COST_FOREIGN" hidden="1">"c2659"</definedName>
    <definedName name="IQ_DEF_BENEFIT_TOTAL_COST" hidden="1">"c287"</definedName>
    <definedName name="IQ_DEF_BENEFIT_TOTAL_COST_DOMESTIC" hidden="1">"c2655"</definedName>
    <definedName name="IQ_DEF_BENEFIT_TOTAL_COST_FOREIGN" hidden="1">"c2663"</definedName>
    <definedName name="IQ_DEF_CHARGES_BR" hidden="1">"c288"</definedName>
    <definedName name="IQ_DEF_CHARGES_CF" hidden="1">"c289"</definedName>
    <definedName name="IQ_DEF_CHARGES_FIN" hidden="1">"c290"</definedName>
    <definedName name="IQ_DEF_CHARGES_INS" hidden="1">"c291"</definedName>
    <definedName name="IQ_DEF_CHARGES_LT" hidden="1">"c292"</definedName>
    <definedName name="IQ_DEF_CHARGES_LT_BNK" hidden="1">"c293"</definedName>
    <definedName name="IQ_DEF_CHARGES_LT_BR" hidden="1">"c294"</definedName>
    <definedName name="IQ_DEF_CHARGES_LT_FIN" hidden="1">"c295"</definedName>
    <definedName name="IQ_DEF_CHARGES_LT_INS" hidden="1">"c296"</definedName>
    <definedName name="IQ_DEF_CHARGES_LT_REIT" hidden="1">"c297"</definedName>
    <definedName name="IQ_DEF_CHARGES_LT_UTI" hidden="1">"c298"</definedName>
    <definedName name="IQ_DEF_CHARGES_REIT" hidden="1">"c299"</definedName>
    <definedName name="IQ_DEF_CONTRIBUTION_TOTAL_COST" hidden="1">"c300"</definedName>
    <definedName name="IQ_DEF_INC_TAX" hidden="1">"c1365"</definedName>
    <definedName name="IQ_DEF_POLICY_ACQ_COSTS" hidden="1">"c301"</definedName>
    <definedName name="IQ_DEF_POLICY_ACQ_COSTS_CF" hidden="1">"c302"</definedName>
    <definedName name="IQ_DEF_POLICY_AMORT" hidden="1">"c303"</definedName>
    <definedName name="IQ_DEF_TAX_ASSET_LT_BR" hidden="1">"c304"</definedName>
    <definedName name="IQ_DEF_TAX_ASSET_LT_FIN" hidden="1">"c305"</definedName>
    <definedName name="IQ_DEF_TAX_ASSET_LT_INS" hidden="1">"c306"</definedName>
    <definedName name="IQ_DEF_TAX_ASSET_LT_REIT" hidden="1">"c307"</definedName>
    <definedName name="IQ_DEF_TAX_ASSET_LT_UTI" hidden="1">"c308"</definedName>
    <definedName name="IQ_DEF_TAX_ASSETS_CURRENT" hidden="1">"c309"</definedName>
    <definedName name="IQ_DEF_TAX_ASSETS_LT" hidden="1">"c310"</definedName>
    <definedName name="IQ_DEF_TAX_ASSETS_LT_BNK" hidden="1">"c311"</definedName>
    <definedName name="IQ_DEF_TAX_LIAB_CURRENT" hidden="1">"c312"</definedName>
    <definedName name="IQ_DEF_TAX_LIAB_LT" hidden="1">"c313"</definedName>
    <definedName name="IQ_DEF_TAX_LIAB_LT_BNK" hidden="1">"c314"</definedName>
    <definedName name="IQ_DEF_TAX_LIAB_LT_BR" hidden="1">"c315"</definedName>
    <definedName name="IQ_DEF_TAX_LIAB_LT_FIN" hidden="1">"c316"</definedName>
    <definedName name="IQ_DEF_TAX_LIAB_LT_INS" hidden="1">"c317"</definedName>
    <definedName name="IQ_DEF_TAX_LIAB_LT_REIT" hidden="1">"c318"</definedName>
    <definedName name="IQ_DEF_TAX_LIAB_LT_UTI" hidden="1">"c319"</definedName>
    <definedName name="IQ_DEFERRED_DOMESTIC_TAXES" hidden="1">"c2077"</definedName>
    <definedName name="IQ_DEFERRED_FOREIGN_TAXES" hidden="1">"c2078"</definedName>
    <definedName name="IQ_DEFERRED_INC_TAX" hidden="1">"c1447"</definedName>
    <definedName name="IQ_DEFERRED_TAXES" hidden="1">"c1356"</definedName>
    <definedName name="IQ_DEMAND_DEP" hidden="1">"c320"</definedName>
    <definedName name="IQ_DEPOSITS_FIN" hidden="1">"c321"</definedName>
    <definedName name="IQ_DEPOSITS_INTEREST_SECURITIES" hidden="1">"c5509"</definedName>
    <definedName name="IQ_DEPRE_AMORT" hidden="1">"c1360"</definedName>
    <definedName name="IQ_DEPRE_AMORT_SUPPL" hidden="1">"c1593"</definedName>
    <definedName name="IQ_DEPRE_DEPLE" hidden="1">"c1361"</definedName>
    <definedName name="IQ_DEPRE_SUPP" hidden="1">"c1443"</definedName>
    <definedName name="IQ_DESCRIPTION_LONG" hidden="1">"c1520"</definedName>
    <definedName name="IQ_DEVELOP_LAND" hidden="1">"c323"</definedName>
    <definedName name="IQ_DIFF_LASTCLOSE_TARGET_PRICE" hidden="1">"c1854"</definedName>
    <definedName name="IQ_DILUT_ADJUST" hidden="1">"c1621"</definedName>
    <definedName name="IQ_DILUT_EPS_EXCL" hidden="1">"c324"</definedName>
    <definedName name="IQ_DILUT_EPS_INCL" hidden="1">"c325"</definedName>
    <definedName name="IQ_DILUT_EPS_NORM" hidden="1">"c1903"</definedName>
    <definedName name="IQ_DILUT_NI" hidden="1">"c2079"</definedName>
    <definedName name="IQ_DILUT_NORMAL_EPS" hidden="1">"c1594"</definedName>
    <definedName name="IQ_DILUT_WEIGHT" hidden="1">"c326"</definedName>
    <definedName name="IQ_DIRECT_AH_EARNED" hidden="1">"c2740"</definedName>
    <definedName name="IQ_DIRECT_EARNED" hidden="1">"c2730"</definedName>
    <definedName name="IQ_DIRECT_LIFE_EARNED" hidden="1">"c2735"</definedName>
    <definedName name="IQ_DIRECT_LIFE_IN_FORCE" hidden="1">"c2765"</definedName>
    <definedName name="IQ_DIRECT_PC_EARNED" hidden="1">"c2745"</definedName>
    <definedName name="IQ_DIRECT_WRITTEN" hidden="1">"c2724"</definedName>
    <definedName name="IQ_DISCONT_OPER" hidden="1">"c1367"</definedName>
    <definedName name="IQ_DISCOUNT_RATE_PENSION_DOMESTIC" hidden="1">"c327"</definedName>
    <definedName name="IQ_DISCOUNT_RATE_PENSION_FOREIGN" hidden="1">"c328"</definedName>
    <definedName name="IQ_DISTR_EXCESS_EARN" hidden="1">"c329"</definedName>
    <definedName name="IQ_DISTRIBUTABLE_CASH" hidden="1">"c3002"</definedName>
    <definedName name="IQ_DISTRIBUTABLE_CASH_ACT_OR_EST" hidden="1">"c4278"</definedName>
    <definedName name="IQ_DISTRIBUTABLE_CASH_PAYOUT" hidden="1">"c3005"</definedName>
    <definedName name="IQ_DISTRIBUTABLE_CASH_SHARE" hidden="1">"c3003"</definedName>
    <definedName name="IQ_DISTRIBUTABLE_CASH_SHARE_ACT_OR_EST" hidden="1">"c4286"</definedName>
    <definedName name="IQ_DIV_AMOUNT" hidden="1">"c3041"</definedName>
    <definedName name="IQ_DIV_PAYMENT_DATE" hidden="1">"c2205"</definedName>
    <definedName name="IQ_DIV_RECORD_DATE" hidden="1">"c2204"</definedName>
    <definedName name="IQ_DIV_SHARE" hidden="1">"c330"</definedName>
    <definedName name="IQ_DIVEST_CF" hidden="1">"c331"</definedName>
    <definedName name="IQ_DIVID_SHARE" hidden="1">"c1366"</definedName>
    <definedName name="IQ_DIVIDEND_YIELD" hidden="1">"c332"</definedName>
    <definedName name="IQ_DO" hidden="1">"c333"</definedName>
    <definedName name="IQ_DO_ASSETS_CURRENT" hidden="1">"c334"</definedName>
    <definedName name="IQ_DO_ASSETS_LT" hidden="1">"c335"</definedName>
    <definedName name="IQ_DO_CF" hidden="1">"c336"</definedName>
    <definedName name="IQ_DPAC_ACC" hidden="1">"c2799"</definedName>
    <definedName name="IQ_DPAC_AMORT" hidden="1">"c2795"</definedName>
    <definedName name="IQ_DPAC_BEG" hidden="1">"c2791"</definedName>
    <definedName name="IQ_DPAC_COMMISSIONS" hidden="1">"c2792"</definedName>
    <definedName name="IQ_DPAC_END" hidden="1">"c2801"</definedName>
    <definedName name="IQ_DPAC_FX" hidden="1">"c2798"</definedName>
    <definedName name="IQ_DPAC_OTHER_ADJ" hidden="1">"c2800"</definedName>
    <definedName name="IQ_DPAC_OTHERS" hidden="1">"c2793"</definedName>
    <definedName name="IQ_DPAC_PERIOD" hidden="1">"c2794"</definedName>
    <definedName name="IQ_DPAC_REAL_GAIN" hidden="1">"c2797"</definedName>
    <definedName name="IQ_DPAC_UNREAL_GAIN" hidden="1">"c2796"</definedName>
    <definedName name="IQ_DPS_10YR_ANN_GROWTH" hidden="1">"c337"</definedName>
    <definedName name="IQ_DPS_1YR_ANN_GROWTH" hidden="1">"c338"</definedName>
    <definedName name="IQ_DPS_2YR_ANN_GROWTH" hidden="1">"c339"</definedName>
    <definedName name="IQ_DPS_3YR_ANN_GROWTH" hidden="1">"c340"</definedName>
    <definedName name="IQ_DPS_5YR_ANN_GROWTH" hidden="1">"c341"</definedName>
    <definedName name="IQ_DPS_7YR_ANN_GROWTH" hidden="1">"c342"</definedName>
    <definedName name="IQ_DPS_ACT_OR_EST" hidden="1">"c2218"</definedName>
    <definedName name="IQ_DPS_EST" hidden="1">"c1674"</definedName>
    <definedName name="IQ_DPS_HIGH_EST" hidden="1">"c1676"</definedName>
    <definedName name="IQ_DPS_LOW_EST" hidden="1">"c1677"</definedName>
    <definedName name="IQ_DPS_MEDIAN_EST" hidden="1">"c1675"</definedName>
    <definedName name="IQ_DPS_NUM_EST" hidden="1">"c1678"</definedName>
    <definedName name="IQ_DPS_STDDEV_EST" hidden="1">"c1679"</definedName>
    <definedName name="IQ_DURATION" hidden="1">"c2181"</definedName>
    <definedName name="IQ_EARNING_ASSET_YIELD" hidden="1">"c343"</definedName>
    <definedName name="IQ_EARNING_CO" hidden="1">"c344"</definedName>
    <definedName name="IQ_EARNING_CO_10YR_ANN_GROWTH" hidden="1">"c345"</definedName>
    <definedName name="IQ_EARNING_CO_1YR_ANN_GROWTH" hidden="1">"c346"</definedName>
    <definedName name="IQ_EARNING_CO_2YR_ANN_GROWTH" hidden="1">"c347"</definedName>
    <definedName name="IQ_EARNING_CO_3YR_ANN_GROWTH" hidden="1">"c348"</definedName>
    <definedName name="IQ_EARNING_CO_5YR_ANN_GROWTH" hidden="1">"c349"</definedName>
    <definedName name="IQ_EARNING_CO_7YR_ANN_GROWTH" hidden="1">"c350"</definedName>
    <definedName name="IQ_EARNING_CO_MARGIN" hidden="1">"c351"</definedName>
    <definedName name="IQ_EARNINGS_ANNOUNCE_DATE" hidden="1">"c1649"</definedName>
    <definedName name="IQ_EARNINGS_ANNOUNCE_DATE_REUT" hidden="1">"c5314"</definedName>
    <definedName name="IQ_EBIT" hidden="1">"c352"</definedName>
    <definedName name="IQ_EBIT_10YR_ANN_GROWTH" hidden="1">"c353"</definedName>
    <definedName name="IQ_EBIT_1YR_ANN_GROWTH" hidden="1">"c354"</definedName>
    <definedName name="IQ_EBIT_2YR_ANN_GROWTH" hidden="1">"c355"</definedName>
    <definedName name="IQ_EBIT_3YR_ANN_GROWTH" hidden="1">"c356"</definedName>
    <definedName name="IQ_EBIT_5YR_ANN_GROWTH" hidden="1">"c357"</definedName>
    <definedName name="IQ_EBIT_7YR_ANN_GROWTH" hidden="1">"c358"</definedName>
    <definedName name="IQ_EBIT_ACT_OR_EST" hidden="1">"c2219"</definedName>
    <definedName name="IQ_EBIT_EQ_INC" hidden="1">"c3498"</definedName>
    <definedName name="IQ_EBIT_EQ_INC_EXCL_SBC" hidden="1">"c3502"</definedName>
    <definedName name="IQ_EBIT_EST" hidden="1">"c1681"</definedName>
    <definedName name="IQ_EBIT_EXCL_SBC" hidden="1">"c3082"</definedName>
    <definedName name="IQ_EBIT_GW_ACT_OR_EST" hidden="1">"c4306"</definedName>
    <definedName name="IQ_EBIT_HIGH_EST" hidden="1">"c1683"</definedName>
    <definedName name="IQ_EBIT_INT" hidden="1">"c360"</definedName>
    <definedName name="IQ_EBIT_LOW_EST" hidden="1">"c1684"</definedName>
    <definedName name="IQ_EBIT_MARGIN" hidden="1">"c359"</definedName>
    <definedName name="IQ_EBIT_MEDIAN_EST" hidden="1">"c1682"</definedName>
    <definedName name="IQ_EBIT_NUM_EST" hidden="1">"c1685"</definedName>
    <definedName name="IQ_EBIT_OVER_IE" hidden="1">"c1369"</definedName>
    <definedName name="IQ_EBIT_SBC_ACT_OR_EST" hidden="1">"c4316"</definedName>
    <definedName name="IQ_EBIT_SBC_GW_ACT_OR_EST" hidden="1">"c4320"</definedName>
    <definedName name="IQ_EBIT_STDDEV_EST" hidden="1">"c1686"</definedName>
    <definedName name="IQ_EBITA" hidden="1">"c1910"</definedName>
    <definedName name="IQ_EBITA_10YR_ANN_GROWTH" hidden="1">"c1954"</definedName>
    <definedName name="IQ_EBITA_1YR_ANN_GROWTH" hidden="1">"c1949"</definedName>
    <definedName name="IQ_EBITA_2YR_ANN_GROWTH" hidden="1">"c1950"</definedName>
    <definedName name="IQ_EBITA_3YR_ANN_GROWTH" hidden="1">"c1951"</definedName>
    <definedName name="IQ_EBITA_5YR_ANN_GROWTH" hidden="1">"c1952"</definedName>
    <definedName name="IQ_EBITA_7YR_ANN_GROWTH" hidden="1">"c1953"</definedName>
    <definedName name="IQ_EBITA_EQ_INC" hidden="1">"c3497"</definedName>
    <definedName name="IQ_EBITA_EQ_INC_EXCL_SBC" hidden="1">"c3501"</definedName>
    <definedName name="IQ_EBITA_EXCL_SBC" hidden="1">"c3080"</definedName>
    <definedName name="IQ_EBITA_MARGIN" hidden="1">"c1963"</definedName>
    <definedName name="IQ_EBITDA" hidden="1">"c361"</definedName>
    <definedName name="IQ_EBITDA_10YR_ANN_GROWTH" hidden="1">"c362"</definedName>
    <definedName name="IQ_EBITDA_1YR_ANN_GROWTH" hidden="1">"c363"</definedName>
    <definedName name="IQ_EBITDA_2YR_ANN_GROWTH" hidden="1">"c364"</definedName>
    <definedName name="IQ_EBITDA_3YR_ANN_GROWTH" hidden="1">"c365"</definedName>
    <definedName name="IQ_EBITDA_5YR_ANN_GROWTH" hidden="1">"c366"</definedName>
    <definedName name="IQ_EBITDA_7YR_ANN_GROWTH" hidden="1">"c367"</definedName>
    <definedName name="IQ_EBITDA_ACT_OR_EST" hidden="1">"c2215"</definedName>
    <definedName name="IQ_EBITDA_CAPEX_INT" hidden="1">"c368"</definedName>
    <definedName name="IQ_EBITDA_CAPEX_OVER_TOTAL_IE" hidden="1">"c1370"</definedName>
    <definedName name="IQ_EBITDA_EQ_INC" hidden="1">"c3496"</definedName>
    <definedName name="IQ_EBITDA_EQ_INC_EXCL_SBC" hidden="1">"c3500"</definedName>
    <definedName name="IQ_EBITDA_EST" hidden="1">"c369"</definedName>
    <definedName name="IQ_EBITDA_EST_REUT" hidden="1">"c3640"</definedName>
    <definedName name="IQ_EBITDA_EXCL_SBC" hidden="1">"c3081"</definedName>
    <definedName name="IQ_EBITDA_HIGH_EST" hidden="1">"c370"</definedName>
    <definedName name="IQ_EBITDA_HIGH_EST_REUT" hidden="1">"c3642"</definedName>
    <definedName name="IQ_EBITDA_INT" hidden="1">"c373"</definedName>
    <definedName name="IQ_EBITDA_LOW_EST" hidden="1">"c371"</definedName>
    <definedName name="IQ_EBITDA_LOW_EST_REUT" hidden="1">"c3643"</definedName>
    <definedName name="IQ_EBITDA_MARGIN" hidden="1">"c372"</definedName>
    <definedName name="IQ_EBITDA_MEDIAN_EST" hidden="1">"c1663"</definedName>
    <definedName name="IQ_EBITDA_MEDIAN_EST_REUT" hidden="1">"c3641"</definedName>
    <definedName name="IQ_EBITDA_NUM_EST" hidden="1">"c374"</definedName>
    <definedName name="IQ_EBITDA_NUM_EST_REUT" hidden="1">"c3644"</definedName>
    <definedName name="IQ_EBITDA_OVER_TOTAL_IE" hidden="1">"c1371"</definedName>
    <definedName name="IQ_EBITDA_SBC_ACT_OR_EST" hidden="1">"c4337"</definedName>
    <definedName name="IQ_EBITDA_STDDEV_EST" hidden="1">"c375"</definedName>
    <definedName name="IQ_EBITDA_STDDEV_EST_REUT" hidden="1">"c3645"</definedName>
    <definedName name="IQ_EBITDAR" hidden="1">"c2989"</definedName>
    <definedName name="IQ_EBITDAR_EQ_INC" hidden="1">"c3499"</definedName>
    <definedName name="IQ_EBITDAR_EQ_INC_EXCL_SBC" hidden="1">"c3503"</definedName>
    <definedName name="IQ_EBITDAR_EXCL_SBC" hidden="1">"c3083"</definedName>
    <definedName name="IQ_EBT" hidden="1">"c376"</definedName>
    <definedName name="IQ_EBT_BNK" hidden="1">"c377"</definedName>
    <definedName name="IQ_EBT_BR" hidden="1">"c378"</definedName>
    <definedName name="IQ_EBT_EXCL" hidden="1">"c379"</definedName>
    <definedName name="IQ_EBT_EXCL_BNK" hidden="1">"c380"</definedName>
    <definedName name="IQ_EBT_EXCL_BR" hidden="1">"c381"</definedName>
    <definedName name="IQ_EBT_EXCL_FIN" hidden="1">"c382"</definedName>
    <definedName name="IQ_EBT_EXCL_INS" hidden="1">"c383"</definedName>
    <definedName name="IQ_EBT_EXCL_MARGIN" hidden="1">"c1462"</definedName>
    <definedName name="IQ_EBT_EXCL_REIT" hidden="1">"c384"</definedName>
    <definedName name="IQ_EBT_EXCL_UTI" hidden="1">"c385"</definedName>
    <definedName name="IQ_EBT_FIN" hidden="1">"c386"</definedName>
    <definedName name="IQ_EBT_INCL_MARGIN" hidden="1">"c387"</definedName>
    <definedName name="IQ_EBT_INS" hidden="1">"c388"</definedName>
    <definedName name="IQ_EBT_REIT" hidden="1">"c389"</definedName>
    <definedName name="IQ_EBT_SBC_ACT_OR_EST" hidden="1">"c4350"</definedName>
    <definedName name="IQ_EBT_SBC_GW_ACT_OR_EST" hidden="1">"c4354"</definedName>
    <definedName name="IQ_EBT_UTI" hidden="1">"c390"</definedName>
    <definedName name="IQ_EFFECT_SPECIAL_CHARGE" hidden="1">"c1595"</definedName>
    <definedName name="IQ_EFFECT_TAX_RATE" hidden="1">"c1899"</definedName>
    <definedName name="IQ_EFFICIENCY_RATIO" hidden="1">"c391"</definedName>
    <definedName name="IQ_EMPLOYEES" hidden="1">"c392"</definedName>
    <definedName name="IQ_ENTERPRISE_VALUE" hidden="1">"c1348"</definedName>
    <definedName name="IQ_EPS_10YR_ANN_GROWTH" hidden="1">"c393"</definedName>
    <definedName name="IQ_EPS_1YR_ANN_GROWTH" hidden="1">"c394"</definedName>
    <definedName name="IQ_EPS_2YR_ANN_GROWTH" hidden="1">"c395"</definedName>
    <definedName name="IQ_EPS_3YR_ANN_GROWTH" hidden="1">"c396"</definedName>
    <definedName name="IQ_EPS_5YR_ANN_GROWTH" hidden="1">"c397"</definedName>
    <definedName name="IQ_EPS_7YR_ANN_GROWTH" hidden="1">"c398"</definedName>
    <definedName name="IQ_EPS_ACT_OR_EST" hidden="1">"c2213"</definedName>
    <definedName name="IQ_EPS_EST" hidden="1">"c399"</definedName>
    <definedName name="IQ_EPS_EST_REUT" hidden="1">"c5453"</definedName>
    <definedName name="IQ_EPS_GW_ACT_OR_EST" hidden="1">"c2223"</definedName>
    <definedName name="IQ_EPS_GW_EST" hidden="1">"c1737"</definedName>
    <definedName name="IQ_EPS_GW_HIGH_EST" hidden="1">"c1739"</definedName>
    <definedName name="IQ_EPS_GW_LOW_EST" hidden="1">"c1740"</definedName>
    <definedName name="IQ_EPS_GW_MEDIAN_EST" hidden="1">"c1738"</definedName>
    <definedName name="IQ_EPS_GW_NUM_EST" hidden="1">"c1741"</definedName>
    <definedName name="IQ_EPS_GW_STDDEV_EST" hidden="1">"c1742"</definedName>
    <definedName name="IQ_EPS_HIGH_EST" hidden="1">"c400"</definedName>
    <definedName name="IQ_EPS_HIGH_EST_REUT" hidden="1">"c5454"</definedName>
    <definedName name="IQ_EPS_LOW_EST" hidden="1">"c401"</definedName>
    <definedName name="IQ_EPS_LOW_EST_REUT" hidden="1">"c5455"</definedName>
    <definedName name="IQ_EPS_MEDIAN_EST" hidden="1">"c1661"</definedName>
    <definedName name="IQ_EPS_MEDIAN_EST_REUT" hidden="1">"c5456"</definedName>
    <definedName name="IQ_EPS_NORM" hidden="1">"c1902"</definedName>
    <definedName name="IQ_EPS_NORM_EST" hidden="1">"c2226"</definedName>
    <definedName name="IQ_EPS_NORM_HIGH_EST" hidden="1">"c2228"</definedName>
    <definedName name="IQ_EPS_NORM_LOW_EST" hidden="1">"c2229"</definedName>
    <definedName name="IQ_EPS_NORM_MEDIAN_EST" hidden="1">"c2227"</definedName>
    <definedName name="IQ_EPS_NORM_NUM_EST" hidden="1">"c2230"</definedName>
    <definedName name="IQ_EPS_NORM_STDDEV_EST" hidden="1">"c2231"</definedName>
    <definedName name="IQ_EPS_NUM_EST" hidden="1">"c402"</definedName>
    <definedName name="IQ_EPS_NUM_EST_REUT" hidden="1">"c5451"</definedName>
    <definedName name="IQ_EPS_REPORT_ACT_OR_EST" hidden="1">"c2224"</definedName>
    <definedName name="IQ_EPS_REPORTED_EST" hidden="1">"c1744"</definedName>
    <definedName name="IQ_EPS_REPORTED_HIGH_EST" hidden="1">"c1746"</definedName>
    <definedName name="IQ_EPS_REPORTED_LOW_EST" hidden="1">"c1747"</definedName>
    <definedName name="IQ_EPS_REPORTED_MEDIAN_EST" hidden="1">"c1745"</definedName>
    <definedName name="IQ_EPS_REPORTED_NUM_EST" hidden="1">"c1748"</definedName>
    <definedName name="IQ_EPS_REPORTED_STDDEV_EST" hidden="1">"c1749"</definedName>
    <definedName name="IQ_EPS_SBC_ACT_OR_EST" hidden="1">"c4376"</definedName>
    <definedName name="IQ_EPS_SBC_GW_ACT_OR_EST" hidden="1">"c4380"</definedName>
    <definedName name="IQ_EPS_STDDEV_EST" hidden="1">"c403"</definedName>
    <definedName name="IQ_EPS_STDDEV_EST_REUT" hidden="1">"c5452"</definedName>
    <definedName name="IQ_EQUITY_AFFIL" hidden="1">"c1451"</definedName>
    <definedName name="IQ_EQUITY_METHOD" hidden="1">"c404"</definedName>
    <definedName name="IQ_EQV_OVER_BV" hidden="1">"c1596"</definedName>
    <definedName name="IQ_EQV_OVER_LTM_PRETAX_INC" hidden="1">"c1390"</definedName>
    <definedName name="IQ_ESOP_DEBT" hidden="1">"c1597"</definedName>
    <definedName name="IQ_EST_ACT_BV_SHARE" hidden="1">"c3549"</definedName>
    <definedName name="IQ_EST_ACT_CAPEX" hidden="1">"c3546"</definedName>
    <definedName name="IQ_EST_ACT_CFPS" hidden="1">"c1673"</definedName>
    <definedName name="IQ_EST_ACT_DPS" hidden="1">"c1680"</definedName>
    <definedName name="IQ_EST_ACT_EBIT" hidden="1">"c1687"</definedName>
    <definedName name="IQ_EST_ACT_EBITDA" hidden="1">"c1664"</definedName>
    <definedName name="IQ_EST_ACT_EPS" hidden="1">"c1648"</definedName>
    <definedName name="IQ_EST_ACT_EPS_GW" hidden="1">"c1743"</definedName>
    <definedName name="IQ_EST_ACT_EPS_NORM" hidden="1">"c2232"</definedName>
    <definedName name="IQ_EST_ACT_EPS_REPORTED" hidden="1">"c1750"</definedName>
    <definedName name="IQ_EST_ACT_FFO" hidden="1">"c1666"</definedName>
    <definedName name="IQ_EST_ACT_NAV" hidden="1">"c1757"</definedName>
    <definedName name="IQ_EST_ACT_NET_DEBT" hidden="1">"c3545"</definedName>
    <definedName name="IQ_EST_ACT_NI" hidden="1">"c1722"</definedName>
    <definedName name="IQ_EST_ACT_NI_GW" hidden="1">"c1729"</definedName>
    <definedName name="IQ_EST_ACT_NI_REPORTED" hidden="1">"c1736"</definedName>
    <definedName name="IQ_EST_ACT_OPER_INC" hidden="1">"c1694"</definedName>
    <definedName name="IQ_EST_ACT_PRETAX_GW_INC" hidden="1">"c1708"</definedName>
    <definedName name="IQ_EST_ACT_PRETAX_INC" hidden="1">"c1701"</definedName>
    <definedName name="IQ_EST_ACT_PRETAX_REPORT_INC" hidden="1">"c1715"</definedName>
    <definedName name="IQ_EST_ACT_RETURN_ASSETS" hidden="1">"c3547"</definedName>
    <definedName name="IQ_EST_ACT_RETURN_EQUITY" hidden="1">"c3548"</definedName>
    <definedName name="IQ_EST_ACT_REV" hidden="1">"c2113"</definedName>
    <definedName name="IQ_EST_CAPEX_GROWTH_1YR" hidden="1">"c3588"</definedName>
    <definedName name="IQ_EST_CAPEX_GROWTH_2YR" hidden="1">"c3589"</definedName>
    <definedName name="IQ_EST_CAPEX_GROWTH_Q_1YR" hidden="1">"c3590"</definedName>
    <definedName name="IQ_EST_CAPEX_SEQ_GROWTH_Q" hidden="1">"c3591"</definedName>
    <definedName name="IQ_EST_CFPS_DIFF" hidden="1">"c1871"</definedName>
    <definedName name="IQ_EST_CFPS_GROWTH_1YR" hidden="1">"c1774"</definedName>
    <definedName name="IQ_EST_CFPS_GROWTH_2YR" hidden="1">"c1775"</definedName>
    <definedName name="IQ_EST_CFPS_GROWTH_Q_1YR" hidden="1">"c1776"</definedName>
    <definedName name="IQ_EST_CFPS_SEQ_GROWTH_Q" hidden="1">"c1777"</definedName>
    <definedName name="IQ_EST_CFPS_SURPRISE_PERCENT" hidden="1">"c1872"</definedName>
    <definedName name="IQ_EST_CURRENCY" hidden="1">"c2140"</definedName>
    <definedName name="IQ_EST_CURRENCY_REUT" hidden="1">"c5437"</definedName>
    <definedName name="IQ_EST_DATE" hidden="1">"c1634"</definedName>
    <definedName name="IQ_EST_DATE_REUT" hidden="1">"c5438"</definedName>
    <definedName name="IQ_EST_DPS_DIFF" hidden="1">"c1873"</definedName>
    <definedName name="IQ_EST_DPS_GROWTH_1YR" hidden="1">"c1778"</definedName>
    <definedName name="IQ_EST_DPS_GROWTH_2YR" hidden="1">"c1779"</definedName>
    <definedName name="IQ_EST_DPS_GROWTH_Q_1YR" hidden="1">"c1780"</definedName>
    <definedName name="IQ_EST_DPS_SEQ_GROWTH_Q" hidden="1">"c1781"</definedName>
    <definedName name="IQ_EST_DPS_SURPRISE_PERCENT" hidden="1">"c1874"</definedName>
    <definedName name="IQ_EST_EBIT_DIFF" hidden="1">"c1875"</definedName>
    <definedName name="IQ_EST_EBIT_SURPRISE_PERCENT" hidden="1">"c1876"</definedName>
    <definedName name="IQ_EST_EBITDA_DIFF" hidden="1">"c1867"</definedName>
    <definedName name="IQ_EST_EBITDA_GROWTH_1YR" hidden="1">"c1766"</definedName>
    <definedName name="IQ_EST_EBITDA_GROWTH_2YR" hidden="1">"c1767"</definedName>
    <definedName name="IQ_EST_EBITDA_GROWTH_Q_1YR" hidden="1">"c1768"</definedName>
    <definedName name="IQ_EST_EBITDA_SEQ_GROWTH_Q" hidden="1">"c1769"</definedName>
    <definedName name="IQ_EST_EBITDA_SURPRISE_PERCENT" hidden="1">"c1868"</definedName>
    <definedName name="IQ_EST_EPS_DIFF" hidden="1">"c1864"</definedName>
    <definedName name="IQ_EST_EPS_GROWTH_1YR" hidden="1">"c1636"</definedName>
    <definedName name="IQ_EST_EPS_GROWTH_1YR_REUT" hidden="1">"c3646"</definedName>
    <definedName name="IQ_EST_EPS_GROWTH_2YR" hidden="1">"c1637"</definedName>
    <definedName name="IQ_EST_EPS_GROWTH_5YR" hidden="1">"c1655"</definedName>
    <definedName name="IQ_EST_EPS_GROWTH_5YR_HIGH" hidden="1">"c1657"</definedName>
    <definedName name="IQ_EST_EPS_GROWTH_5YR_LOW" hidden="1">"c1658"</definedName>
    <definedName name="IQ_EST_EPS_GROWTH_5YR_MEDIAN" hidden="1">"c1656"</definedName>
    <definedName name="IQ_EST_EPS_GROWTH_5YR_NUM" hidden="1">"c1659"</definedName>
    <definedName name="IQ_EST_EPS_GROWTH_5YR_REUT" hidden="1">"c3633"</definedName>
    <definedName name="IQ_EST_EPS_GROWTH_5YR_STDDEV" hidden="1">"c1660"</definedName>
    <definedName name="IQ_EST_EPS_GROWTH_Q_1YR" hidden="1">"c1641"</definedName>
    <definedName name="IQ_EST_EPS_GROWTH_Q_1YR_REUT" hidden="1">"c5410"</definedName>
    <definedName name="IQ_EST_EPS_GW_DIFF" hidden="1">"c1891"</definedName>
    <definedName name="IQ_EST_EPS_GW_SURPRISE_PERCENT" hidden="1">"c1892"</definedName>
    <definedName name="IQ_EST_EPS_NORM_DIFF" hidden="1">"c2247"</definedName>
    <definedName name="IQ_EST_EPS_NORM_SURPRISE_PERCENT" hidden="1">"c2248"</definedName>
    <definedName name="IQ_EST_EPS_REPORT_DIFF" hidden="1">"c1893"</definedName>
    <definedName name="IQ_EST_EPS_REPORT_SURPRISE_PERCENT" hidden="1">"c1894"</definedName>
    <definedName name="IQ_EST_EPS_SEQ_GROWTH_Q" hidden="1">"c1764"</definedName>
    <definedName name="IQ_EST_EPS_SURPRISE_PERCENT" hidden="1">"c1635"</definedName>
    <definedName name="IQ_EST_FFO_DIFF" hidden="1">"c1869"</definedName>
    <definedName name="IQ_EST_FFO_GROWTH_1YR" hidden="1">"c1770"</definedName>
    <definedName name="IQ_EST_FFO_GROWTH_2YR" hidden="1">"c1771"</definedName>
    <definedName name="IQ_EST_FFO_GROWTH_Q_1YR" hidden="1">"c1772"</definedName>
    <definedName name="IQ_EST_FFO_SEQ_GROWTH_Q" hidden="1">"c1773"</definedName>
    <definedName name="IQ_EST_FFO_SURPRISE_PERCENT" hidden="1">"c1870"</definedName>
    <definedName name="IQ_EST_NAV_DIFF" hidden="1">"c1895"</definedName>
    <definedName name="IQ_EST_NAV_SURPRISE_PERCENT" hidden="1">"c1896"</definedName>
    <definedName name="IQ_EST_NI_DIFF" hidden="1">"c1885"</definedName>
    <definedName name="IQ_EST_NI_GW_DIFF" hidden="1">"c1887"</definedName>
    <definedName name="IQ_EST_NI_GW_SURPRISE_PERCENT" hidden="1">"c1888"</definedName>
    <definedName name="IQ_EST_NI_REPORT_DIFF" hidden="1">"c1889"</definedName>
    <definedName name="IQ_EST_NI_REPORT_SURPRISE_PERCENT" hidden="1">"c1890"</definedName>
    <definedName name="IQ_EST_NI_SURPRISE_PERCENT" hidden="1">"c1886"</definedName>
    <definedName name="IQ_EST_NUM_BUY" hidden="1">"c1759"</definedName>
    <definedName name="IQ_EST_NUM_HOLD" hidden="1">"c1761"</definedName>
    <definedName name="IQ_EST_NUM_NO_OPINION" hidden="1">"c1758"</definedName>
    <definedName name="IQ_EST_NUM_OUTPERFORM" hidden="1">"c1760"</definedName>
    <definedName name="IQ_EST_NUM_SELL" hidden="1">"c1763"</definedName>
    <definedName name="IQ_EST_NUM_UNDERPERFORM" hidden="1">"c1762"</definedName>
    <definedName name="IQ_EST_OPER_INC_DIFF" hidden="1">"c1877"</definedName>
    <definedName name="IQ_EST_OPER_INC_SURPRISE_PERCENT" hidden="1">"c1878"</definedName>
    <definedName name="IQ_EST_PRE_TAX_DIFF" hidden="1">"c1879"</definedName>
    <definedName name="IQ_EST_PRE_TAX_GW_DIFF" hidden="1">"c1881"</definedName>
    <definedName name="IQ_EST_PRE_TAX_GW_SURPRISE_PERCENT" hidden="1">"c1882"</definedName>
    <definedName name="IQ_EST_PRE_TAX_REPORT_DIFF" hidden="1">"c1883"</definedName>
    <definedName name="IQ_EST_PRE_TAX_REPORT_SURPRISE_PERCENT" hidden="1">"c1884"</definedName>
    <definedName name="IQ_EST_PRE_TAX_SURPRISE_PERCENT" hidden="1">"c1880"</definedName>
    <definedName name="IQ_EST_REV_DIFF" hidden="1">"c1865"</definedName>
    <definedName name="IQ_EST_REV_GROWTH_1YR" hidden="1">"c1638"</definedName>
    <definedName name="IQ_EST_REV_GROWTH_2YR" hidden="1">"c1639"</definedName>
    <definedName name="IQ_EST_REV_GROWTH_Q_1YR" hidden="1">"c1640"</definedName>
    <definedName name="IQ_EST_REV_SEQ_GROWTH_Q" hidden="1">"c1765"</definedName>
    <definedName name="IQ_EST_REV_SURPRISE_PERCENT" hidden="1">"c1866"</definedName>
    <definedName name="IQ_EST_VENDOR" hidden="1">"c5564"</definedName>
    <definedName name="IQ_EV_OVER_EMPLOYEE" hidden="1">"c1428"</definedName>
    <definedName name="IQ_EV_OVER_LTM_EBIT" hidden="1">"c1426"</definedName>
    <definedName name="IQ_EV_OVER_LTM_EBITDA" hidden="1">"c1427"</definedName>
    <definedName name="IQ_EV_OVER_LTM_REVENUE" hidden="1">"c1429"</definedName>
    <definedName name="IQ_EVAL_DATE" hidden="1">"c2180"</definedName>
    <definedName name="IQ_EXCHANGE" hidden="1">"c405"</definedName>
    <definedName name="IQ_EXCISE_TAXES_EXCL_SALES" hidden="1">"c5515"</definedName>
    <definedName name="IQ_EXCISE_TAXES_INCL_SALES" hidden="1">"c5514"</definedName>
    <definedName name="IQ_EXERCISE_PRICE" hidden="1">"c1897"</definedName>
    <definedName name="IQ_EXERCISED" hidden="1">"c406"</definedName>
    <definedName name="IQ_EXP_RETURN_PENSION_DOMESTIC" hidden="1">"c407"</definedName>
    <definedName name="IQ_EXP_RETURN_PENSION_FOREIGN" hidden="1">"c408"</definedName>
    <definedName name="IQ_EXPLORE_DRILL" hidden="1">"c409"</definedName>
    <definedName name="IQ_EXTRA_ACC_ITEMS" hidden="1">"c410"</definedName>
    <definedName name="IQ_EXTRA_ACC_ITEMS_BNK" hidden="1">"c411"</definedName>
    <definedName name="IQ_EXTRA_ACC_ITEMS_BR" hidden="1">"c412"</definedName>
    <definedName name="IQ_EXTRA_ACC_ITEMS_FIN" hidden="1">"c413"</definedName>
    <definedName name="IQ_EXTRA_ACC_ITEMS_INS" hidden="1">"c414"</definedName>
    <definedName name="IQ_EXTRA_ACC_ITEMS_REIT" hidden="1">"c415"</definedName>
    <definedName name="IQ_EXTRA_ACC_ITEMS_UTI" hidden="1">"c416"</definedName>
    <definedName name="IQ_EXTRA_ITEMS" hidden="1">"c1459"</definedName>
    <definedName name="IQ_FDIC" hidden="1">"c417"</definedName>
    <definedName name="IQ_FEDFUNDS_SOLD" hidden="1">"c2256"</definedName>
    <definedName name="IQ_FFO" hidden="1">"c1574"</definedName>
    <definedName name="IQ_FFO_ACT_OR_EST" hidden="1">"c2216"</definedName>
    <definedName name="IQ_FFO_ADJ_ACT_OR_EST" hidden="1">"c4435"</definedName>
    <definedName name="IQ_FFO_EST" hidden="1">"c418"</definedName>
    <definedName name="IQ_FFO_HIGH_EST" hidden="1">"c419"</definedName>
    <definedName name="IQ_FFO_LOW_EST" hidden="1">"c420"</definedName>
    <definedName name="IQ_FFO_MEDIAN_EST" hidden="1">"c1665"</definedName>
    <definedName name="IQ_FFO_NUM_EST" hidden="1">"c421"</definedName>
    <definedName name="IQ_FFO_PAYOUT_RATIO" hidden="1">"c3492"</definedName>
    <definedName name="IQ_FFO_SHARE_ACT_OR_EST" hidden="1">"c4446"</definedName>
    <definedName name="IQ_FFO_STDDEV_EST" hidden="1">"c422"</definedName>
    <definedName name="IQ_FHLB_DEBT" hidden="1">"c423"</definedName>
    <definedName name="IQ_FHLB_DUE_CY" hidden="1">"c2080"</definedName>
    <definedName name="IQ_FHLB_DUE_CY1" hidden="1">"c2081"</definedName>
    <definedName name="IQ_FHLB_DUE_CY2" hidden="1">"c2082"</definedName>
    <definedName name="IQ_FHLB_DUE_CY3" hidden="1">"c2083"</definedName>
    <definedName name="IQ_FHLB_DUE_CY4" hidden="1">"c2084"</definedName>
    <definedName name="IQ_FHLB_DUE_NEXT_FIVE" hidden="1">"c2085"</definedName>
    <definedName name="IQ_FILING_CURRENCY" hidden="1">"c2129"</definedName>
    <definedName name="IQ_FILINGDATE_BS" hidden="1">"c424"</definedName>
    <definedName name="IQ_FILINGDATE_CF" hidden="1">"c425"</definedName>
    <definedName name="IQ_FILINGDATE_IS" hidden="1">"c426"</definedName>
    <definedName name="IQ_FILM_RIGHTS" hidden="1">"c2254"</definedName>
    <definedName name="IQ_FIN_DIV_ASSETS_CURRENT" hidden="1">"c427"</definedName>
    <definedName name="IQ_FIN_DIV_ASSETS_LT" hidden="1">"c428"</definedName>
    <definedName name="IQ_FIN_DIV_CURRENT_PORT_DEBT_TOTAL" hidden="1">"c5524"</definedName>
    <definedName name="IQ_FIN_DIV_CURRENT_PORT_LEASES_TOTAL" hidden="1">"c5523"</definedName>
    <definedName name="IQ_FIN_DIV_DEBT_CURRENT" hidden="1">"c429"</definedName>
    <definedName name="IQ_FIN_DIV_DEBT_LT" hidden="1">"c430"</definedName>
    <definedName name="IQ_FIN_DIV_DEBT_LT_TOTAL" hidden="1">"c5526"</definedName>
    <definedName name="IQ_FIN_DIV_EXP" hidden="1">"c431"</definedName>
    <definedName name="IQ_FIN_DIV_INT_EXP" hidden="1">"c432"</definedName>
    <definedName name="IQ_FIN_DIV_LEASES_LT_TOTAL" hidden="1">"c5525"</definedName>
    <definedName name="IQ_FIN_DIV_LIAB_CURRENT" hidden="1">"c433"</definedName>
    <definedName name="IQ_FIN_DIV_LIAB_LT" hidden="1">"c434"</definedName>
    <definedName name="IQ_FIN_DIV_LOANS_CURRENT" hidden="1">"c435"</definedName>
    <definedName name="IQ_FIN_DIV_LOANS_LT" hidden="1">"c436"</definedName>
    <definedName name="IQ_FIN_DIV_NOTES_PAY_TOTAL" hidden="1">"c5522"</definedName>
    <definedName name="IQ_FIN_DIV_REV" hidden="1">"c437"</definedName>
    <definedName name="IQ_FIN_DIV_ST_DEBT_TOTAL" hidden="1">"c5527"</definedName>
    <definedName name="IQ_FINANCING_CASH" hidden="1">"c1405"</definedName>
    <definedName name="IQ_FINANCING_CASH_SUPPL" hidden="1">"c1406"</definedName>
    <definedName name="IQ_FINISHED_INV" hidden="1">"c438"</definedName>
    <definedName name="IQ_FIRST_INT_DATE" hidden="1">"c2186"</definedName>
    <definedName name="IQ_FIRST_YEAR_LIFE" hidden="1">"c439"</definedName>
    <definedName name="IQ_FIRST_YEAR_LIFE_PREM" hidden="1">"c2787"</definedName>
    <definedName name="IQ_FIRST_YEAR_PREM" hidden="1">"c2786"</definedName>
    <definedName name="IQ_FIRSTPRICINGDATE" hidden="1">"c3050"</definedName>
    <definedName name="IQ_FISCAL_Q" hidden="1">"c440"</definedName>
    <definedName name="IQ_FISCAL_Y" hidden="1">"c441"</definedName>
    <definedName name="IQ_FIVE_PERCENT_OWNER" hidden="1">"c442"</definedName>
    <definedName name="IQ_FIVEPERCENT_PERCENT" hidden="1">"c443"</definedName>
    <definedName name="IQ_FIVEPERCENT_SHARES" hidden="1">"c444"</definedName>
    <definedName name="IQ_FIXED_ASSET_TURNS" hidden="1">"c445"</definedName>
    <definedName name="IQ_FLOAT_PERCENT" hidden="1">"c1575"</definedName>
    <definedName name="IQ_FOREIGN_DEP_IB" hidden="1">"c446"</definedName>
    <definedName name="IQ_FOREIGN_DEP_NON_IB" hidden="1">"c447"</definedName>
    <definedName name="IQ_FOREIGN_EXCHANGE" hidden="1">"c1376"</definedName>
    <definedName name="IQ_FOREIGN_LOANS" hidden="1">"c448"</definedName>
    <definedName name="IQ_FQ" hidden="1">500</definedName>
    <definedName name="IQ_FUEL" hidden="1">"c449"</definedName>
    <definedName name="IQ_FULL_TIME" hidden="1">"c450"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X" hidden="1">"c451"</definedName>
    <definedName name="IQ_FY" hidden="1">1000</definedName>
    <definedName name="IQ_GA_EXP" hidden="1">"c2241"</definedName>
    <definedName name="IQ_GAIN_ASSETS" hidden="1">"c452"</definedName>
    <definedName name="IQ_GAIN_ASSETS_BNK" hidden="1">"c453"</definedName>
    <definedName name="IQ_GAIN_ASSETS_BR" hidden="1">"c454"</definedName>
    <definedName name="IQ_GAIN_ASSETS_CF" hidden="1">"c455"</definedName>
    <definedName name="IQ_GAIN_ASSETS_CF_BNK" hidden="1">"c456"</definedName>
    <definedName name="IQ_GAIN_ASSETS_CF_BR" hidden="1">"c457"</definedName>
    <definedName name="IQ_GAIN_ASSETS_CF_FIN" hidden="1">"c458"</definedName>
    <definedName name="IQ_GAIN_ASSETS_CF_INS" hidden="1">"c459"</definedName>
    <definedName name="IQ_GAIN_ASSETS_CF_REIT" hidden="1">"c460"</definedName>
    <definedName name="IQ_GAIN_ASSETS_CF_UTI" hidden="1">"c461"</definedName>
    <definedName name="IQ_GAIN_ASSETS_FIN" hidden="1">"c462"</definedName>
    <definedName name="IQ_GAIN_ASSETS_INS" hidden="1">"c463"</definedName>
    <definedName name="IQ_GAIN_ASSETS_REIT" hidden="1">"c471"</definedName>
    <definedName name="IQ_GAIN_ASSETS_REV" hidden="1">"c472"</definedName>
    <definedName name="IQ_GAIN_ASSETS_REV_BNK" hidden="1">"c473"</definedName>
    <definedName name="IQ_GAIN_ASSETS_REV_BR" hidden="1">"c474"</definedName>
    <definedName name="IQ_GAIN_ASSETS_REV_FIN" hidden="1">"c475"</definedName>
    <definedName name="IQ_GAIN_ASSETS_REV_INS" hidden="1">"c476"</definedName>
    <definedName name="IQ_GAIN_ASSETS_REV_REIT" hidden="1">"c477"</definedName>
    <definedName name="IQ_GAIN_ASSETS_REV_UTI" hidden="1">"c478"</definedName>
    <definedName name="IQ_GAIN_ASSETS_UTI" hidden="1">"c479"</definedName>
    <definedName name="IQ_GAIN_INVEST" hidden="1">"c1463"</definedName>
    <definedName name="IQ_GAIN_INVEST_BNK" hidden="1">"c1582"</definedName>
    <definedName name="IQ_GAIN_INVEST_BR" hidden="1">"c1464"</definedName>
    <definedName name="IQ_GAIN_INVEST_CF" hidden="1">"c480"</definedName>
    <definedName name="IQ_GAIN_INVEST_CF_BNK" hidden="1">"c481"</definedName>
    <definedName name="IQ_GAIN_INVEST_CF_BR" hidden="1">"c482"</definedName>
    <definedName name="IQ_GAIN_INVEST_CF_FIN" hidden="1">"c483"</definedName>
    <definedName name="IQ_GAIN_INVEST_CF_INS" hidden="1">"c484"</definedName>
    <definedName name="IQ_GAIN_INVEST_CF_REIT" hidden="1">"c485"</definedName>
    <definedName name="IQ_GAIN_INVEST_CF_UTI" hidden="1">"c486"</definedName>
    <definedName name="IQ_GAIN_INVEST_FIN" hidden="1">"c1465"</definedName>
    <definedName name="IQ_GAIN_INVEST_INS" hidden="1">"c1466"</definedName>
    <definedName name="IQ_GAIN_INVEST_REIT" hidden="1">"c1467"</definedName>
    <definedName name="IQ_GAIN_INVEST_REV" hidden="1">"c494"</definedName>
    <definedName name="IQ_GAIN_INVEST_REV_BNK" hidden="1">"c495"</definedName>
    <definedName name="IQ_GAIN_INVEST_REV_BR" hidden="1">"c496"</definedName>
    <definedName name="IQ_GAIN_INVEST_REV_FIN" hidden="1">"c497"</definedName>
    <definedName name="IQ_GAIN_INVEST_REV_INS" hidden="1">"c498"</definedName>
    <definedName name="IQ_GAIN_INVEST_REV_REIT" hidden="1">"c499"</definedName>
    <definedName name="IQ_GAIN_INVEST_REV_UTI" hidden="1">"c500"</definedName>
    <definedName name="IQ_GAIN_INVEST_UTI" hidden="1">"c1468"</definedName>
    <definedName name="IQ_GAIN_LOANS_REC" hidden="1">"c501"</definedName>
    <definedName name="IQ_GAIN_LOANS_RECEIV" hidden="1">"c502"</definedName>
    <definedName name="IQ_GAIN_LOANS_RECEIV_REV_FIN" hidden="1">"c503"</definedName>
    <definedName name="IQ_GAIN_LOANS_REV" hidden="1">"c504"</definedName>
    <definedName name="IQ_GAIN_SALE_ASSETS" hidden="1">"c1377"</definedName>
    <definedName name="IQ_GEO_SEG_ASSETS" hidden="1">"c4069"</definedName>
    <definedName name="IQ_GEO_SEG_ASSETS_ABS" hidden="1">"c4091"</definedName>
    <definedName name="IQ_GEO_SEG_ASSETS_TOTAL" hidden="1">"c4123"</definedName>
    <definedName name="IQ_GEO_SEG_CAPEX" hidden="1">"c4083"</definedName>
    <definedName name="IQ_GEO_SEG_CAPEX_ABS" hidden="1">"c4105"</definedName>
    <definedName name="IQ_GEO_SEG_CAPEX_TOTAL" hidden="1">"c4127"</definedName>
    <definedName name="IQ_GEO_SEG_DA" hidden="1">"c4082"</definedName>
    <definedName name="IQ_GEO_SEG_DA_ABS" hidden="1">"c4104"</definedName>
    <definedName name="IQ_GEO_SEG_DA_TOTAL" hidden="1">"c4126"</definedName>
    <definedName name="IQ_GEO_SEG_EARNINGS_OP" hidden="1">"c4073"</definedName>
    <definedName name="IQ_GEO_SEG_EARNINGS_OP_ABS" hidden="1">"c4095"</definedName>
    <definedName name="IQ_GEO_SEG_EARNINGS_OP_TOTAL" hidden="1">"c4119"</definedName>
    <definedName name="IQ_GEO_SEG_EBT" hidden="1">"c4072"</definedName>
    <definedName name="IQ_GEO_SEG_EBT_ABS" hidden="1">"c4094"</definedName>
    <definedName name="IQ_GEO_SEG_EBT_TOTAL" hidden="1">"c4121"</definedName>
    <definedName name="IQ_GEO_SEG_GP" hidden="1">"c4070"</definedName>
    <definedName name="IQ_GEO_SEG_GP_ABS" hidden="1">"c4092"</definedName>
    <definedName name="IQ_GEO_SEG_GP_TOTAL" hidden="1">"c4120"</definedName>
    <definedName name="IQ_GEO_SEG_INC_TAX" hidden="1">"c4081"</definedName>
    <definedName name="IQ_GEO_SEG_INC_TAX_ABS" hidden="1">"c4103"</definedName>
    <definedName name="IQ_GEO_SEG_INC_TAX_TOTAL" hidden="1">"c4125"</definedName>
    <definedName name="IQ_GEO_SEG_INTEREST_EXP" hidden="1">"c4080"</definedName>
    <definedName name="IQ_GEO_SEG_INTEREST_EXP_ABS" hidden="1">"c4102"</definedName>
    <definedName name="IQ_GEO_SEG_INTEREST_EXP_TOTAL" hidden="1">"c4124"</definedName>
    <definedName name="IQ_GEO_SEG_NAME" hidden="1">"c5484"</definedName>
    <definedName name="IQ_GEO_SEG_NAME_ABS" hidden="1">"c5485"</definedName>
    <definedName name="IQ_GEO_SEG_NI" hidden="1">"c4071"</definedName>
    <definedName name="IQ_GEO_SEG_NI_ABS" hidden="1">"c4093"</definedName>
    <definedName name="IQ_GEO_SEG_NI_TOTAL" hidden="1">"c4122"</definedName>
    <definedName name="IQ_GEO_SEG_OPER_INC" hidden="1">"c4075"</definedName>
    <definedName name="IQ_GEO_SEG_OPER_INC_ABS" hidden="1">"c4097"</definedName>
    <definedName name="IQ_GEO_SEG_OPER_INC_TOTAL" hidden="1">"c4118"</definedName>
    <definedName name="IQ_GEO_SEG_REV" hidden="1">"c4074"</definedName>
    <definedName name="IQ_GEO_SEG_REV_ABS" hidden="1">"c4096"</definedName>
    <definedName name="IQ_GEO_SEG_REV_TOTAL" hidden="1">"c4117"</definedName>
    <definedName name="IQ_GOODWILL_NET" hidden="1">"c1380"</definedName>
    <definedName name="IQ_GP" hidden="1">"c511"</definedName>
    <definedName name="IQ_GP_10YR_ANN_GROWTH" hidden="1">"c512"</definedName>
    <definedName name="IQ_GP_1YR_ANN_GROWTH" hidden="1">"c513"</definedName>
    <definedName name="IQ_GP_2YR_ANN_GROWTH" hidden="1">"c514"</definedName>
    <definedName name="IQ_GP_3YR_ANN_GROWTH" hidden="1">"c515"</definedName>
    <definedName name="IQ_GP_5YR_ANN_GROWTH" hidden="1">"c516"</definedName>
    <definedName name="IQ_GP_7YR_ANN_GROWTH" hidden="1">"c517"</definedName>
    <definedName name="IQ_GPPE" hidden="1">"c518"</definedName>
    <definedName name="IQ_GROSS_AH_EARNED" hidden="1">"c2742"</definedName>
    <definedName name="IQ_GROSS_CLAIM_EXP_INCUR" hidden="1">"c2755"</definedName>
    <definedName name="IQ_GROSS_CLAIM_EXP_PAID" hidden="1">"c2758"</definedName>
    <definedName name="IQ_GROSS_CLAIM_EXP_RES" hidden="1">"c2752"</definedName>
    <definedName name="IQ_GROSS_DIVID" hidden="1">"c1446"</definedName>
    <definedName name="IQ_GROSS_EARNED" hidden="1">"c2732"</definedName>
    <definedName name="IQ_GROSS_LIFE_EARNED" hidden="1">"c2737"</definedName>
    <definedName name="IQ_GROSS_LIFE_IN_FORCE" hidden="1">"c2767"</definedName>
    <definedName name="IQ_GROSS_LOANS" hidden="1">"c521"</definedName>
    <definedName name="IQ_GROSS_LOANS_10YR_ANN_GROWTH" hidden="1">"c522"</definedName>
    <definedName name="IQ_GROSS_LOANS_1YR_ANN_GROWTH" hidden="1">"c523"</definedName>
    <definedName name="IQ_GROSS_LOANS_2YR_ANN_GROWTH" hidden="1">"c524"</definedName>
    <definedName name="IQ_GROSS_LOANS_3YR_ANN_GROWTH" hidden="1">"c525"</definedName>
    <definedName name="IQ_GROSS_LOANS_5YR_ANN_GROWTH" hidden="1">"c526"</definedName>
    <definedName name="IQ_GROSS_LOANS_7YR_ANN_GROWTH" hidden="1">"c527"</definedName>
    <definedName name="IQ_GROSS_LOANS_TOTAL_DEPOSITS" hidden="1">"c528"</definedName>
    <definedName name="IQ_GROSS_MARGIN" hidden="1">"c529"</definedName>
    <definedName name="IQ_GROSS_PC_EARNED" hidden="1">"c2747"</definedName>
    <definedName name="IQ_GROSS_PROFIT" hidden="1">"c1378"</definedName>
    <definedName name="IQ_GROSS_SPRD" hidden="1">"c2155"</definedName>
    <definedName name="IQ_GROSS_WRITTEN" hidden="1">"c2726"</definedName>
    <definedName name="IQ_GW" hidden="1">"c530"</definedName>
    <definedName name="IQ_GW_AMORT_BR" hidden="1">"c532"</definedName>
    <definedName name="IQ_GW_AMORT_FIN" hidden="1">"c540"</definedName>
    <definedName name="IQ_GW_AMORT_INS" hidden="1">"c541"</definedName>
    <definedName name="IQ_GW_AMORT_REIT" hidden="1">"c542"</definedName>
    <definedName name="IQ_GW_AMORT_UTI" hidden="1">"c543"</definedName>
    <definedName name="IQ_GW_INTAN_AMORT" hidden="1">"c1469"</definedName>
    <definedName name="IQ_GW_INTAN_AMORT_BNK" hidden="1">"c544"</definedName>
    <definedName name="IQ_GW_INTAN_AMORT_BR" hidden="1">"c1470"</definedName>
    <definedName name="IQ_GW_INTAN_AMORT_CF" hidden="1">"c1471"</definedName>
    <definedName name="IQ_GW_INTAN_AMORT_CF_BNK" hidden="1">"c1472"</definedName>
    <definedName name="IQ_GW_INTAN_AMORT_CF_BR" hidden="1">"c1473"</definedName>
    <definedName name="IQ_GW_INTAN_AMORT_CF_FIN" hidden="1">"c1474"</definedName>
    <definedName name="IQ_GW_INTAN_AMORT_CF_INS" hidden="1">"c1475"</definedName>
    <definedName name="IQ_GW_INTAN_AMORT_CF_REIT" hidden="1">"c1476"</definedName>
    <definedName name="IQ_GW_INTAN_AMORT_CF_UTI" hidden="1">"c1477"</definedName>
    <definedName name="IQ_GW_INTAN_AMORT_FIN" hidden="1">"c1478"</definedName>
    <definedName name="IQ_GW_INTAN_AMORT_INS" hidden="1">"c1479"</definedName>
    <definedName name="IQ_GW_INTAN_AMORT_REIT" hidden="1">"c1480"</definedName>
    <definedName name="IQ_GW_INTAN_AMORT_UTI" hidden="1">"c1481"</definedName>
    <definedName name="IQ_HIGH_TARGET_PRICE" hidden="1">"c1651"</definedName>
    <definedName name="IQ_HIGH_TARGET_PRICE_REUT" hidden="1">"c5317"</definedName>
    <definedName name="IQ_HIGHPRICE" hidden="1">"c545"</definedName>
    <definedName name="IQ_HOMEOWNERS_WRITTEN" hidden="1">"c546"</definedName>
    <definedName name="IQ_IMPAIR_OIL" hidden="1">"c547"</definedName>
    <definedName name="IQ_IMPAIRMENT_GW" hidden="1">"c548"</definedName>
    <definedName name="IQ_IMPUT_OPER_LEASE_DEPR" hidden="1">"c2987"</definedName>
    <definedName name="IQ_IMPUT_OPER_LEASE_INT_EXP" hidden="1">"c2986"</definedName>
    <definedName name="IQ_INC_AFTER_TAX" hidden="1">"c1598"</definedName>
    <definedName name="IQ_INC_AVAIL_EXCL" hidden="1">"c1395"</definedName>
    <definedName name="IQ_INC_AVAIL_INCL" hidden="1">"c1396"</definedName>
    <definedName name="IQ_INC_BEFORE_TAX" hidden="1">"c1375"</definedName>
    <definedName name="IQ_INC_EQUITY" hidden="1">"c549"</definedName>
    <definedName name="IQ_INC_EQUITY_BR" hidden="1">"c550"</definedName>
    <definedName name="IQ_INC_EQUITY_CF" hidden="1">"c551"</definedName>
    <definedName name="IQ_INC_EQUITY_FIN" hidden="1">"c552"</definedName>
    <definedName name="IQ_INC_EQUITY_INS" hidden="1">"c553"</definedName>
    <definedName name="IQ_INC_EQUITY_REC_BNK" hidden="1">"c554"</definedName>
    <definedName name="IQ_INC_EQUITY_REIT" hidden="1">"c555"</definedName>
    <definedName name="IQ_INC_EQUITY_REV_BNK" hidden="1">"c556"</definedName>
    <definedName name="IQ_INC_EQUITY_UTI" hidden="1">"c557"</definedName>
    <definedName name="IQ_INC_REAL_ESTATE_REC" hidden="1">"c558"</definedName>
    <definedName name="IQ_INC_REAL_ESTATE_REV" hidden="1">"c559"</definedName>
    <definedName name="IQ_INC_TAX" hidden="1">"c560"</definedName>
    <definedName name="IQ_INC_TAX_EXCL" hidden="1">"c1599"</definedName>
    <definedName name="IQ_INC_TAX_PAY_CURRENT" hidden="1">"c561"</definedName>
    <definedName name="IQ_INC_TRADE_ACT" hidden="1">"c562"</definedName>
    <definedName name="IQ_INDUSTRY" hidden="1">"c3601"</definedName>
    <definedName name="IQ_INDUSTRY_GROUP" hidden="1">"c3602"</definedName>
    <definedName name="IQ_INDUSTRY_SECTOR" hidden="1">"c3603"</definedName>
    <definedName name="IQ_INS_ANNUITY_LIAB" hidden="1">"c563"</definedName>
    <definedName name="IQ_INS_ANNUITY_REV" hidden="1">"c2788"</definedName>
    <definedName name="IQ_INS_DIV_EXP" hidden="1">"c564"</definedName>
    <definedName name="IQ_INS_DIV_REV" hidden="1">"c565"</definedName>
    <definedName name="IQ_INS_IN_FORCE" hidden="1">"c566"</definedName>
    <definedName name="IQ_INS_LIAB" hidden="1">"c567"</definedName>
    <definedName name="IQ_INS_POLICY_EXP" hidden="1">"c568"</definedName>
    <definedName name="IQ_INS_REV" hidden="1">"c569"</definedName>
    <definedName name="IQ_INS_SETTLE" hidden="1">"c570"</definedName>
    <definedName name="IQ_INS_SETTLE_BNK" hidden="1">"c571"</definedName>
    <definedName name="IQ_INS_SETTLE_BR" hidden="1">"c572"</definedName>
    <definedName name="IQ_INS_SETTLE_FIN" hidden="1">"c573"</definedName>
    <definedName name="IQ_INS_SETTLE_INS" hidden="1">"c574"</definedName>
    <definedName name="IQ_INS_SETTLE_REIT" hidden="1">"c575"</definedName>
    <definedName name="IQ_INS_SETTLE_UTI" hidden="1">"c576"</definedName>
    <definedName name="IQ_INSIDER_3MTH_BOUGHT_PCT" hidden="1">"c1534"</definedName>
    <definedName name="IQ_INSIDER_3MTH_NET_PCT" hidden="1">"c1535"</definedName>
    <definedName name="IQ_INSIDER_3MTH_SOLD_PCT" hidden="1">"c1533"</definedName>
    <definedName name="IQ_INSIDER_6MTH_BOUGHT_PCT" hidden="1">"c1537"</definedName>
    <definedName name="IQ_INSIDER_6MTH_NET_PCT" hidden="1">"c1538"</definedName>
    <definedName name="IQ_INSIDER_6MTH_SOLD_PCT" hidden="1">"c1536"</definedName>
    <definedName name="IQ_INSIDER_OVER_TOTAL" hidden="1">"c1581"</definedName>
    <definedName name="IQ_INSIDER_OWNER" hidden="1">"c577"</definedName>
    <definedName name="IQ_INSIDER_PERCENT" hidden="1">"c578"</definedName>
    <definedName name="IQ_INSIDER_SHARES" hidden="1">"c579"</definedName>
    <definedName name="IQ_INSTITUTIONAL_OVER_TOTAL" hidden="1">"c1580"</definedName>
    <definedName name="IQ_INSTITUTIONAL_OWNER" hidden="1">"c580"</definedName>
    <definedName name="IQ_INSTITUTIONAL_PERCENT" hidden="1">"c581"</definedName>
    <definedName name="IQ_INSTITUTIONAL_SHARES" hidden="1">"c582"</definedName>
    <definedName name="IQ_INSUR_RECEIV" hidden="1">"c1600"</definedName>
    <definedName name="IQ_INT_BORROW" hidden="1">"c583"</definedName>
    <definedName name="IQ_INT_DEPOSITS" hidden="1">"c584"</definedName>
    <definedName name="IQ_INT_DIV_INC" hidden="1">"c585"</definedName>
    <definedName name="IQ_INT_EXP_BR" hidden="1">"c586"</definedName>
    <definedName name="IQ_INT_EXP_COVERAGE" hidden="1">"c587"</definedName>
    <definedName name="IQ_INT_EXP_FIN" hidden="1">"c588"</definedName>
    <definedName name="IQ_INT_EXP_INCL_CAP" hidden="1">"c2988"</definedName>
    <definedName name="IQ_INT_EXP_INS" hidden="1">"c589"</definedName>
    <definedName name="IQ_INT_EXP_LTD" hidden="1">"c2086"</definedName>
    <definedName name="IQ_INT_EXP_REIT" hidden="1">"c590"</definedName>
    <definedName name="IQ_INT_EXP_TOTAL" hidden="1">"c591"</definedName>
    <definedName name="IQ_INT_EXP_UTI" hidden="1">"c592"</definedName>
    <definedName name="IQ_INT_INC_BR" hidden="1">"c593"</definedName>
    <definedName name="IQ_INT_INC_FIN" hidden="1">"c594"</definedName>
    <definedName name="IQ_INT_INC_INVEST" hidden="1">"c595"</definedName>
    <definedName name="IQ_INT_INC_LOANS" hidden="1">"c596"</definedName>
    <definedName name="IQ_INT_INC_REIT" hidden="1">"c597"</definedName>
    <definedName name="IQ_INT_INC_TOTAL" hidden="1">"c598"</definedName>
    <definedName name="IQ_INT_INC_UTI" hidden="1">"c599"</definedName>
    <definedName name="IQ_INT_INV_INC" hidden="1">"c600"</definedName>
    <definedName name="IQ_INT_INV_INC_REIT" hidden="1">"c601"</definedName>
    <definedName name="IQ_INT_INV_INC_UTI" hidden="1">"c602"</definedName>
    <definedName name="IQ_INT_ON_BORROWING_COVERAGE" hidden="1">"c603"</definedName>
    <definedName name="IQ_INT_RATE_SPREAD" hidden="1">"c604"</definedName>
    <definedName name="IQ_INTANGIBLES_NET" hidden="1">"c1407"</definedName>
    <definedName name="IQ_INTEREST_CASH_DEPOSITS" hidden="1">"c2255"</definedName>
    <definedName name="IQ_INTEREST_EXP" hidden="1">"c618"</definedName>
    <definedName name="IQ_INTEREST_EXP_NET" hidden="1">"c1450"</definedName>
    <definedName name="IQ_INTEREST_EXP_NON" hidden="1">"c1383"</definedName>
    <definedName name="IQ_INTEREST_EXP_SUPPL" hidden="1">"c1460"</definedName>
    <definedName name="IQ_INTEREST_INC" hidden="1">"c1393"</definedName>
    <definedName name="IQ_INTEREST_INC_NON" hidden="1">"c1384"</definedName>
    <definedName name="IQ_INTEREST_INVEST_INC" hidden="1">"c619"</definedName>
    <definedName name="IQ_INV_10YR_ANN_GROWTH" hidden="1">"c1930"</definedName>
    <definedName name="IQ_INV_1YR_ANN_GROWTH" hidden="1">"c1925"</definedName>
    <definedName name="IQ_INV_2YR_ANN_GROWTH" hidden="1">"c1926"</definedName>
    <definedName name="IQ_INV_3YR_ANN_GROWTH" hidden="1">"c1927"</definedName>
    <definedName name="IQ_INV_5YR_ANN_GROWTH" hidden="1">"c1928"</definedName>
    <definedName name="IQ_INV_7YR_ANN_GROWTH" hidden="1">"c1929"</definedName>
    <definedName name="IQ_INV_BANKING_FEE" hidden="1">"c620"</definedName>
    <definedName name="IQ_INV_METHOD" hidden="1">"c621"</definedName>
    <definedName name="IQ_INVENTORY" hidden="1">"c622"</definedName>
    <definedName name="IQ_INVENTORY_TURNS" hidden="1">"c623"</definedName>
    <definedName name="IQ_INVENTORY_UTI" hidden="1">"c624"</definedName>
    <definedName name="IQ_INVEST_DEBT" hidden="1">"c625"</definedName>
    <definedName name="IQ_INVEST_EQUITY_PREF" hidden="1">"c626"</definedName>
    <definedName name="IQ_INVEST_FHLB" hidden="1">"c627"</definedName>
    <definedName name="IQ_INVEST_GOV_SECURITY" hidden="1">"c5510"</definedName>
    <definedName name="IQ_INVEST_LOANS_CF" hidden="1">"c628"</definedName>
    <definedName name="IQ_INVEST_LOANS_CF_BNK" hidden="1">"c629"</definedName>
    <definedName name="IQ_INVEST_LOANS_CF_BR" hidden="1">"c630"</definedName>
    <definedName name="IQ_INVEST_LOANS_CF_FIN" hidden="1">"c631"</definedName>
    <definedName name="IQ_INVEST_LOANS_CF_INS" hidden="1">"c632"</definedName>
    <definedName name="IQ_INVEST_LOANS_CF_REIT" hidden="1">"c633"</definedName>
    <definedName name="IQ_INVEST_LOANS_CF_UTI" hidden="1">"c634"</definedName>
    <definedName name="IQ_INVEST_MUNI_SECURITY" hidden="1">"c5512"</definedName>
    <definedName name="IQ_INVEST_REAL_ESTATE" hidden="1">"c635"</definedName>
    <definedName name="IQ_INVEST_SECURITY" hidden="1">"c636"</definedName>
    <definedName name="IQ_INVEST_SECURITY_CF" hidden="1">"c637"</definedName>
    <definedName name="IQ_INVEST_SECURITY_CF_BNK" hidden="1">"c638"</definedName>
    <definedName name="IQ_INVEST_SECURITY_CF_BR" hidden="1">"c639"</definedName>
    <definedName name="IQ_INVEST_SECURITY_CF_FIN" hidden="1">"c640"</definedName>
    <definedName name="IQ_INVEST_SECURITY_CF_INS" hidden="1">"c641"</definedName>
    <definedName name="IQ_INVEST_SECURITY_CF_REIT" hidden="1">"c642"</definedName>
    <definedName name="IQ_INVEST_SECURITY_CF_UTI" hidden="1">"c643"</definedName>
    <definedName name="IQ_INVEST_SECURITY_SUPPL" hidden="1">"c5511"</definedName>
    <definedName name="IQ_IPRD" hidden="1">"c644"</definedName>
    <definedName name="IQ_ISS_DEBT_NET" hidden="1">"c1391"</definedName>
    <definedName name="IQ_ISS_STOCK_NET" hidden="1">"c1601"</definedName>
    <definedName name="IQ_ISSUE_CURRENCY" hidden="1">"c2156"</definedName>
    <definedName name="IQ_ISSUE_NAME" hidden="1">"c2142"</definedName>
    <definedName name="IQ_ISSUER" hidden="1">"c2143"</definedName>
    <definedName name="IQ_ISSUER_CIQID" hidden="1">"c2258"</definedName>
    <definedName name="IQ_ISSUER_PARENT" hidden="1">"c2144"</definedName>
    <definedName name="IQ_ISSUER_PARENT_CIQID" hidden="1">"c2260"</definedName>
    <definedName name="IQ_ISSUER_PARENT_TICKER" hidden="1">"c2259"</definedName>
    <definedName name="IQ_ISSUER_TICKER" hidden="1">"c2252"</definedName>
    <definedName name="IQ_JR_SUB_DEBT" hidden="1">"c2534"</definedName>
    <definedName name="IQ_JR_SUB_DEBT_EBITDA" hidden="1">"c2560"</definedName>
    <definedName name="IQ_JR_SUB_DEBT_EBITDA_CAPEX" hidden="1">"c2561"</definedName>
    <definedName name="IQ_JR_SUB_DEBT_PCT" hidden="1">"c2535"</definedName>
    <definedName name="IQ_LAND" hidden="1">"c645"</definedName>
    <definedName name="IQ_LAST_PMT_DATE" hidden="1">"c2188"</definedName>
    <definedName name="IQ_LAST_SPLIT_DATE" hidden="1">"c2095"</definedName>
    <definedName name="IQ_LAST_SPLIT_FACTOR" hidden="1">"c2093"</definedName>
    <definedName name="IQ_LASTPRICINGDATE" hidden="1">"c3051"</definedName>
    <definedName name="IQ_LASTSALEPRICE" hidden="1">"c646"</definedName>
    <definedName name="IQ_LASTSALEPRICE_DATE" hidden="1">"c2109"</definedName>
    <definedName name="IQ_LATESTK" hidden="1">1000</definedName>
    <definedName name="IQ_LATESTQ" hidden="1">500</definedName>
    <definedName name="IQ_LEGAL_SETTLE" hidden="1">"c647"</definedName>
    <definedName name="IQ_LEGAL_SETTLE_BNK" hidden="1">"c648"</definedName>
    <definedName name="IQ_LEGAL_SETTLE_BR" hidden="1">"c649"</definedName>
    <definedName name="IQ_LEGAL_SETTLE_FIN" hidden="1">"c650"</definedName>
    <definedName name="IQ_LEGAL_SETTLE_INS" hidden="1">"c651"</definedName>
    <definedName name="IQ_LEGAL_SETTLE_REIT" hidden="1">"c652"</definedName>
    <definedName name="IQ_LEGAL_SETTLE_UTI" hidden="1">"c653"</definedName>
    <definedName name="IQ_LEVERAGE_RATIO" hidden="1">"c654"</definedName>
    <definedName name="IQ_LEVERED_FCF" hidden="1">"c1907"</definedName>
    <definedName name="IQ_LFCF_10YR_ANN_GROWTH" hidden="1">"c1942"</definedName>
    <definedName name="IQ_LFCF_1YR_ANN_GROWTH" hidden="1">"c1937"</definedName>
    <definedName name="IQ_LFCF_2YR_ANN_GROWTH" hidden="1">"c1938"</definedName>
    <definedName name="IQ_LFCF_3YR_ANN_GROWTH" hidden="1">"c1939"</definedName>
    <definedName name="IQ_LFCF_5YR_ANN_GROWTH" hidden="1">"c1940"</definedName>
    <definedName name="IQ_LFCF_7YR_ANN_GROWTH" hidden="1">"c1941"</definedName>
    <definedName name="IQ_LFCF_MARGIN" hidden="1">"c1961"</definedName>
    <definedName name="IQ_LH_STATUTORY_SURPLUS" hidden="1">"c2771"</definedName>
    <definedName name="IQ_LICENSED_POPS" hidden="1">"c2123"</definedName>
    <definedName name="IQ_LIFE_EARNED" hidden="1">"c2739"</definedName>
    <definedName name="IQ_LIFOR" hidden="1">"c655"</definedName>
    <definedName name="IQ_LL" hidden="1">"c656"</definedName>
    <definedName name="IQ_LOAN_LEASE_RECEIV" hidden="1">"c657"</definedName>
    <definedName name="IQ_LOAN_LOSS" hidden="1">"c1386"</definedName>
    <definedName name="IQ_LOAN_SERVICE_REV" hidden="1">"c658"</definedName>
    <definedName name="IQ_LOANS_CF" hidden="1">"c659"</definedName>
    <definedName name="IQ_LOANS_CF_BNK" hidden="1">"c660"</definedName>
    <definedName name="IQ_LOANS_CF_BR" hidden="1">"c661"</definedName>
    <definedName name="IQ_LOANS_CF_FIN" hidden="1">"c662"</definedName>
    <definedName name="IQ_LOANS_CF_INS" hidden="1">"c663"</definedName>
    <definedName name="IQ_LOANS_CF_REIT" hidden="1">"c664"</definedName>
    <definedName name="IQ_LOANS_CF_UTI" hidden="1">"c665"</definedName>
    <definedName name="IQ_LOANS_FOR_SALE" hidden="1">"c666"</definedName>
    <definedName name="IQ_LOANS_PAST_DUE" hidden="1">"c667"</definedName>
    <definedName name="IQ_LOANS_RECEIV_CURRENT" hidden="1">"c668"</definedName>
    <definedName name="IQ_LOANS_RECEIV_LT" hidden="1">"c669"</definedName>
    <definedName name="IQ_LOANS_RECEIV_LT_UTI" hidden="1">"c670"</definedName>
    <definedName name="IQ_LONG_TERM_DEBT" hidden="1">"c1387"</definedName>
    <definedName name="IQ_LONG_TERM_DEBT_OVER_TOTAL_CAP" hidden="1">"c1388"</definedName>
    <definedName name="IQ_LONG_TERM_GROWTH" hidden="1">"c671"</definedName>
    <definedName name="IQ_LONG_TERM_INV" hidden="1">"c1389"</definedName>
    <definedName name="IQ_LOSS_LOSS_EXP" hidden="1">"c672"</definedName>
    <definedName name="IQ_LOSS_TO_NET_EARNED" hidden="1">"c2751"</definedName>
    <definedName name="IQ_LOW_TARGET_PRICE" hidden="1">"c1652"</definedName>
    <definedName name="IQ_LOW_TARGET_PRICE_REUT" hidden="1">"c5318"</definedName>
    <definedName name="IQ_LOWPRICE" hidden="1">"c673"</definedName>
    <definedName name="IQ_LT_DEBT" hidden="1">"c674"</definedName>
    <definedName name="IQ_LT_DEBT_BNK" hidden="1">"c675"</definedName>
    <definedName name="IQ_LT_DEBT_BR" hidden="1">"c676"</definedName>
    <definedName name="IQ_LT_DEBT_CAPITAL" hidden="1">"c677"</definedName>
    <definedName name="IQ_LT_DEBT_CAPITAL_LEASES" hidden="1">"c2542"</definedName>
    <definedName name="IQ_LT_DEBT_CAPITAL_LEASES_PCT" hidden="1">"c2543"</definedName>
    <definedName name="IQ_LT_DEBT_EQUITY" hidden="1">"c678"</definedName>
    <definedName name="IQ_LT_DEBT_FIN" hidden="1">"c679"</definedName>
    <definedName name="IQ_LT_DEBT_INS" hidden="1">"c680"</definedName>
    <definedName name="IQ_LT_DEBT_ISSUED" hidden="1">"c681"</definedName>
    <definedName name="IQ_LT_DEBT_ISSUED_BNK" hidden="1">"c682"</definedName>
    <definedName name="IQ_LT_DEBT_ISSUED_BR" hidden="1">"c683"</definedName>
    <definedName name="IQ_LT_DEBT_ISSUED_FIN" hidden="1">"c684"</definedName>
    <definedName name="IQ_LT_DEBT_ISSUED_INS" hidden="1">"c685"</definedName>
    <definedName name="IQ_LT_DEBT_ISSUED_REIT" hidden="1">"c686"</definedName>
    <definedName name="IQ_LT_DEBT_ISSUED_UTI" hidden="1">"c687"</definedName>
    <definedName name="IQ_LT_DEBT_REIT" hidden="1">"c688"</definedName>
    <definedName name="IQ_LT_DEBT_REPAID" hidden="1">"c689"</definedName>
    <definedName name="IQ_LT_DEBT_REPAID_BNK" hidden="1">"c690"</definedName>
    <definedName name="IQ_LT_DEBT_REPAID_BR" hidden="1">"c691"</definedName>
    <definedName name="IQ_LT_DEBT_REPAID_FIN" hidden="1">"c692"</definedName>
    <definedName name="IQ_LT_DEBT_REPAID_INS" hidden="1">"c693"</definedName>
    <definedName name="IQ_LT_DEBT_REPAID_REIT" hidden="1">"c694"</definedName>
    <definedName name="IQ_LT_DEBT_REPAID_UTI" hidden="1">"c695"</definedName>
    <definedName name="IQ_LT_DEBT_UTI" hidden="1">"c696"</definedName>
    <definedName name="IQ_LT_INVEST" hidden="1">"c697"</definedName>
    <definedName name="IQ_LT_INVEST_BR" hidden="1">"c698"</definedName>
    <definedName name="IQ_LT_INVEST_FIN" hidden="1">"c699"</definedName>
    <definedName name="IQ_LT_INVEST_REIT" hidden="1">"c700"</definedName>
    <definedName name="IQ_LT_INVEST_UTI" hidden="1">"c701"</definedName>
    <definedName name="IQ_LT_NOTE_RECEIV" hidden="1">"c1602"</definedName>
    <definedName name="IQ_LTD_DUE_AFTER_FIVE" hidden="1">"c704"</definedName>
    <definedName name="IQ_LTD_DUE_CY" hidden="1">"c705"</definedName>
    <definedName name="IQ_LTD_DUE_CY1" hidden="1">"c706"</definedName>
    <definedName name="IQ_LTD_DUE_CY2" hidden="1">"c707"</definedName>
    <definedName name="IQ_LTD_DUE_CY3" hidden="1">"c708"</definedName>
    <definedName name="IQ_LTD_DUE_CY4" hidden="1">"c709"</definedName>
    <definedName name="IQ_LTD_DUE_NEXT_FIVE" hidden="1">"c710"</definedName>
    <definedName name="IQ_LTM" hidden="1">2000</definedName>
    <definedName name="IQ_LTM_REVENUE_OVER_EMPLOYEES" hidden="1">"c1437"</definedName>
    <definedName name="IQ_MACHINERY" hidden="1">"c711"</definedName>
    <definedName name="IQ_MAINT_CAPEX" hidden="1">"c2947"</definedName>
    <definedName name="IQ_MAINT_CAPEX_ACT_OR_EST" hidden="1">"c4458"</definedName>
    <definedName name="IQ_MAINT_REPAIR" hidden="1">"c2087"</definedName>
    <definedName name="IQ_MAKE_WHOLE_END_DATE" hidden="1">"c2493"</definedName>
    <definedName name="IQ_MAKE_WHOLE_SPREAD" hidden="1">"c2494"</definedName>
    <definedName name="IQ_MAKE_WHOLE_START_DATE" hidden="1">"c2492"</definedName>
    <definedName name="IQ_MARKET_CAP_LFCF" hidden="1">"c2209"</definedName>
    <definedName name="IQ_MARKETCAP" hidden="1">"c712"</definedName>
    <definedName name="IQ_MARKETING" hidden="1">"c2239"</definedName>
    <definedName name="IQ_MATURITY_DATE" hidden="1">"c2146"</definedName>
    <definedName name="IQ_MC_RATIO" hidden="1">"c2783"</definedName>
    <definedName name="IQ_MC_STATUTORY_SURPLUS" hidden="1">"c2772"</definedName>
    <definedName name="IQ_MEDIAN_TARGET_PRICE" hidden="1">"c1650"</definedName>
    <definedName name="IQ_MEDIAN_TARGET_PRICE_REUT" hidden="1">"c5316"</definedName>
    <definedName name="IQ_MERGER" hidden="1">"c713"</definedName>
    <definedName name="IQ_MERGER_BNK" hidden="1">"c714"</definedName>
    <definedName name="IQ_MERGER_BR" hidden="1">"c715"</definedName>
    <definedName name="IQ_MERGER_FIN" hidden="1">"c716"</definedName>
    <definedName name="IQ_MERGER_INS" hidden="1">"c717"</definedName>
    <definedName name="IQ_MERGER_REIT" hidden="1">"c718"</definedName>
    <definedName name="IQ_MERGER_RESTRUCTURE" hidden="1">"c719"</definedName>
    <definedName name="IQ_MERGER_RESTRUCTURE_BNK" hidden="1">"c720"</definedName>
    <definedName name="IQ_MERGER_RESTRUCTURE_BR" hidden="1">"c721"</definedName>
    <definedName name="IQ_MERGER_RESTRUCTURE_FIN" hidden="1">"c722"</definedName>
    <definedName name="IQ_MERGER_RESTRUCTURE_INS" hidden="1">"c723"</definedName>
    <definedName name="IQ_MERGER_RESTRUCTURE_REIT" hidden="1">"c724"</definedName>
    <definedName name="IQ_MERGER_RESTRUCTURE_UTI" hidden="1">"c725"</definedName>
    <definedName name="IQ_MERGER_UTI" hidden="1">"c726"</definedName>
    <definedName name="IQ_MINORITY_INTEREST" hidden="1">"c727"</definedName>
    <definedName name="IQ_MINORITY_INTEREST_BNK" hidden="1">"c728"</definedName>
    <definedName name="IQ_MINORITY_INTEREST_BR" hidden="1">"c729"</definedName>
    <definedName name="IQ_MINORITY_INTEREST_CF" hidden="1">"c730"</definedName>
    <definedName name="IQ_MINORITY_INTEREST_FIN" hidden="1">"c731"</definedName>
    <definedName name="IQ_MINORITY_INTEREST_INS" hidden="1">"c732"</definedName>
    <definedName name="IQ_MINORITY_INTEREST_IS" hidden="1">"c733"</definedName>
    <definedName name="IQ_MINORITY_INTEREST_REIT" hidden="1">"c734"</definedName>
    <definedName name="IQ_MINORITY_INTEREST_TOTAL" hidden="1">"c1905"</definedName>
    <definedName name="IQ_MINORITY_INTEREST_UTI" hidden="1">"c735"</definedName>
    <definedName name="IQ_MISC_ADJUST_CF" hidden="1">"c736"</definedName>
    <definedName name="IQ_MISC_EARN_ADJ" hidden="1">"c1603"</definedName>
    <definedName name="IQ_MKTCAP_EBT_EXCL" hidden="1">"c737"</definedName>
    <definedName name="IQ_MKTCAP_EBT_EXCL_AVG" hidden="1">"c738"</definedName>
    <definedName name="IQ_MKTCAP_EBT_INCL_AVG" hidden="1">"c739"</definedName>
    <definedName name="IQ_MKTCAP_TOTAL_REV" hidden="1">"c740"</definedName>
    <definedName name="IQ_MKTCAP_TOTAL_REV_AVG" hidden="1">"c741"</definedName>
    <definedName name="IQ_MKTCAP_TOTAL_REV_FWD" hidden="1">"c742"</definedName>
    <definedName name="IQ_MKTCAP_TOTAL_REV_FWD_REUT" hidden="1">"c4048"</definedName>
    <definedName name="IQ_MM_ACCOUNT" hidden="1">"c743"</definedName>
    <definedName name="IQ_MORT_BANK_ACT" hidden="1">"c744"</definedName>
    <definedName name="IQ_MORT_BANKING_FEE" hidden="1">"c745"</definedName>
    <definedName name="IQ_MORT_INT_INC" hidden="1">"c746"</definedName>
    <definedName name="IQ_MORT_LOANS" hidden="1">"c747"</definedName>
    <definedName name="IQ_MORT_SECURITY" hidden="1">"c748"</definedName>
    <definedName name="IQ_MORTGAGE_SERV_RIGHTS" hidden="1">"c2242"</definedName>
    <definedName name="IQ_NAV_ACT_OR_EST" hidden="1">"c2225"</definedName>
    <definedName name="IQ_NAV_EST" hidden="1">"c1751"</definedName>
    <definedName name="IQ_NAV_HIGH_EST" hidden="1">"c1753"</definedName>
    <definedName name="IQ_NAV_LOW_EST" hidden="1">"c1754"</definedName>
    <definedName name="IQ_NAV_MEDIAN_EST" hidden="1">"c1752"</definedName>
    <definedName name="IQ_NAV_NUM_EST" hidden="1">"c1755"</definedName>
    <definedName name="IQ_NAV_STDDEV_EST" hidden="1">"c1756"</definedName>
    <definedName name="IQ_NET_CHANGE" hidden="1">"c749"</definedName>
    <definedName name="IQ_NET_CLAIM_EXP_INCUR" hidden="1">"c2757"</definedName>
    <definedName name="IQ_NET_CLAIM_EXP_INCUR_CY" hidden="1">"c2761"</definedName>
    <definedName name="IQ_NET_CLAIM_EXP_INCUR_PY" hidden="1">"c2762"</definedName>
    <definedName name="IQ_NET_CLAIM_EXP_PAID" hidden="1">"c2760"</definedName>
    <definedName name="IQ_NET_CLAIM_EXP_PAID_CY" hidden="1">"c2763"</definedName>
    <definedName name="IQ_NET_CLAIM_EXP_PAID_PY" hidden="1">"c2764"</definedName>
    <definedName name="IQ_NET_CLAIM_EXP_RES" hidden="1">"c2754"</definedName>
    <definedName name="IQ_NET_DEBT" hidden="1">"c1584"</definedName>
    <definedName name="IQ_NET_DEBT_ACT_OR_EST" hidden="1">"c3583"</definedName>
    <definedName name="IQ_NET_DEBT_EBITDA" hidden="1">"c750"</definedName>
    <definedName name="IQ_NET_DEBT_EBITDA_CAPEX" hidden="1">"c2949"</definedName>
    <definedName name="IQ_NET_DEBT_EST" hidden="1">"c3517"</definedName>
    <definedName name="IQ_NET_DEBT_HIGH_EST" hidden="1">"c3518"</definedName>
    <definedName name="IQ_NET_DEBT_ISSUED" hidden="1">"c751"</definedName>
    <definedName name="IQ_NET_DEBT_ISSUED_BNK" hidden="1">"c752"</definedName>
    <definedName name="IQ_NET_DEBT_ISSUED_BR" hidden="1">"c753"</definedName>
    <definedName name="IQ_NET_DEBT_ISSUED_FIN" hidden="1">"c754"</definedName>
    <definedName name="IQ_NET_DEBT_ISSUED_INS" hidden="1">"c755"</definedName>
    <definedName name="IQ_NET_DEBT_ISSUED_REIT" hidden="1">"c756"</definedName>
    <definedName name="IQ_NET_DEBT_ISSUED_UTI" hidden="1">"c757"</definedName>
    <definedName name="IQ_NET_DEBT_LOW_EST" hidden="1">"c3519"</definedName>
    <definedName name="IQ_NET_DEBT_MEDIAN_EST" hidden="1">"c3520"</definedName>
    <definedName name="IQ_NET_DEBT_NUM_EST" hidden="1">"c3515"</definedName>
    <definedName name="IQ_NET_DEBT_STDDEV_EST" hidden="1">"c3516"</definedName>
    <definedName name="IQ_NET_EARNED" hidden="1">"c2734"</definedName>
    <definedName name="IQ_NET_INC" hidden="1">"c1394"</definedName>
    <definedName name="IQ_NET_INC_BEFORE" hidden="1">"c1368"</definedName>
    <definedName name="IQ_NET_INC_CF" hidden="1">"c1397"</definedName>
    <definedName name="IQ_NET_INC_MARGIN" hidden="1">"c1398"</definedName>
    <definedName name="IQ_NET_INT_INC_10YR_ANN_GROWTH" hidden="1">"c758"</definedName>
    <definedName name="IQ_NET_INT_INC_1YR_ANN_GROWTH" hidden="1">"c759"</definedName>
    <definedName name="IQ_NET_INT_INC_2YR_ANN_GROWTH" hidden="1">"c760"</definedName>
    <definedName name="IQ_NET_INT_INC_3YR_ANN_GROWTH" hidden="1">"c761"</definedName>
    <definedName name="IQ_NET_INT_INC_5YR_ANN_GROWTH" hidden="1">"c762"</definedName>
    <definedName name="IQ_NET_INT_INC_7YR_ANN_GROWTH" hidden="1">"c763"</definedName>
    <definedName name="IQ_NET_INT_INC_BNK" hidden="1">"c764"</definedName>
    <definedName name="IQ_NET_INT_INC_BR" hidden="1">"c765"</definedName>
    <definedName name="IQ_NET_INT_INC_FIN" hidden="1">"c766"</definedName>
    <definedName name="IQ_NET_INT_INC_TOTAL_REV" hidden="1">"c767"</definedName>
    <definedName name="IQ_NET_INT_MARGIN" hidden="1">"c768"</definedName>
    <definedName name="IQ_NET_INTEREST_EXP" hidden="1">"c769"</definedName>
    <definedName name="IQ_NET_INTEREST_EXP_REIT" hidden="1">"c770"</definedName>
    <definedName name="IQ_NET_INTEREST_EXP_UTI" hidden="1">"c771"</definedName>
    <definedName name="IQ_NET_INTEREST_INC" hidden="1">"c1392"</definedName>
    <definedName name="IQ_NET_INTEREST_INC_AFTER_LL" hidden="1">"c1604"</definedName>
    <definedName name="IQ_NET_LIFE_INS_IN_FORCE" hidden="1">"c2769"</definedName>
    <definedName name="IQ_NET_LOANS" hidden="1">"c772"</definedName>
    <definedName name="IQ_NET_LOANS_10YR_ANN_GROWTH" hidden="1">"c773"</definedName>
    <definedName name="IQ_NET_LOANS_1YR_ANN_GROWTH" hidden="1">"c774"</definedName>
    <definedName name="IQ_NET_LOANS_2YR_ANN_GROWTH" hidden="1">"c775"</definedName>
    <definedName name="IQ_NET_LOANS_3YR_ANN_GROWTH" hidden="1">"c776"</definedName>
    <definedName name="IQ_NET_LOANS_5YR_ANN_GROWTH" hidden="1">"c777"</definedName>
    <definedName name="IQ_NET_LOANS_7YR_ANN_GROWTH" hidden="1">"c778"</definedName>
    <definedName name="IQ_NET_LOANS_TOTAL_DEPOSITS" hidden="1">"c779"</definedName>
    <definedName name="IQ_NET_RENTAL_EXP_FN" hidden="1">"c780"</definedName>
    <definedName name="IQ_NET_TO_GROSS_EARNED" hidden="1">"c2750"</definedName>
    <definedName name="IQ_NET_TO_GROSS_WRITTEN" hidden="1">"c2729"</definedName>
    <definedName name="IQ_NET_WORKING_CAP" hidden="1">"c3493"</definedName>
    <definedName name="IQ_NET_WRITTEN" hidden="1">"c2728"</definedName>
    <definedName name="IQ_NEW_PREM" hidden="1">"c2785"</definedName>
    <definedName name="IQ_NEXT_CALL_DATE" hidden="1">"c2198"</definedName>
    <definedName name="IQ_NEXT_CALL_PRICE" hidden="1">"c2199"</definedName>
    <definedName name="IQ_NEXT_INT_DATE" hidden="1">"c2187"</definedName>
    <definedName name="IQ_NEXT_PUT_DATE" hidden="1">"c2200"</definedName>
    <definedName name="IQ_NEXT_PUT_PRICE" hidden="1">"c2201"</definedName>
    <definedName name="IQ_NEXT_SINK_FUND_AMOUNT" hidden="1">"c2490"</definedName>
    <definedName name="IQ_NEXT_SINK_FUND_DATE" hidden="1">"c2489"</definedName>
    <definedName name="IQ_NEXT_SINK_FUND_PRICE" hidden="1">"c2491"</definedName>
    <definedName name="IQ_NI" hidden="1">"c781"</definedName>
    <definedName name="IQ_NI_10YR_ANN_GROWTH" hidden="1">"c782"</definedName>
    <definedName name="IQ_NI_1YR_ANN_GROWTH" hidden="1">"c783"</definedName>
    <definedName name="IQ_NI_2YR_ANN_GROWTH" hidden="1">"c784"</definedName>
    <definedName name="IQ_NI_3YR_ANN_GROWTH" hidden="1">"c785"</definedName>
    <definedName name="IQ_NI_5YR_ANN_GROWTH" hidden="1">"c786"</definedName>
    <definedName name="IQ_NI_7YR_ANN_GROWTH" hidden="1">"c787"</definedName>
    <definedName name="IQ_NI_ACT_OR_EST" hidden="1">"c2222"</definedName>
    <definedName name="IQ_NI_AFTER_CAPITALIZED" hidden="1">"c788"</definedName>
    <definedName name="IQ_NI_AVAIL_EXCL" hidden="1">"c789"</definedName>
    <definedName name="IQ_NI_AVAIL_EXCL_MARGIN" hidden="1">"c790"</definedName>
    <definedName name="IQ_NI_AVAIL_INCL" hidden="1">"c791"</definedName>
    <definedName name="IQ_NI_BEFORE_CAPITALIZED" hidden="1">"c792"</definedName>
    <definedName name="IQ_NI_CF" hidden="1">"c793"</definedName>
    <definedName name="IQ_NI_EST" hidden="1">"c1716"</definedName>
    <definedName name="IQ_NI_GW_EST" hidden="1">"c1723"</definedName>
    <definedName name="IQ_NI_GW_HIGH_EST" hidden="1">"c1725"</definedName>
    <definedName name="IQ_NI_GW_LOW_EST" hidden="1">"c1726"</definedName>
    <definedName name="IQ_NI_GW_MEDIAN_EST" hidden="1">"c1724"</definedName>
    <definedName name="IQ_NI_GW_NUM_EST" hidden="1">"c1727"</definedName>
    <definedName name="IQ_NI_GW_STDDEV_EST" hidden="1">"c1728"</definedName>
    <definedName name="IQ_NI_HIGH_EST" hidden="1">"c1718"</definedName>
    <definedName name="IQ_NI_LOW_EST" hidden="1">"c1719"</definedName>
    <definedName name="IQ_NI_MARGIN" hidden="1">"c794"</definedName>
    <definedName name="IQ_NI_MEDIAN_EST" hidden="1">"c1717"</definedName>
    <definedName name="IQ_NI_NORM" hidden="1">"c1901"</definedName>
    <definedName name="IQ_NI_NORM_10YR_ANN_GROWTH" hidden="1">"c1960"</definedName>
    <definedName name="IQ_NI_NORM_1YR_ANN_GROWTH" hidden="1">"c1955"</definedName>
    <definedName name="IQ_NI_NORM_2YR_ANN_GROWTH" hidden="1">"c1956"</definedName>
    <definedName name="IQ_NI_NORM_3YR_ANN_GROWTH" hidden="1">"c1957"</definedName>
    <definedName name="IQ_NI_NORM_5YR_ANN_GROWTH" hidden="1">"c1958"</definedName>
    <definedName name="IQ_NI_NORM_7YR_ANN_GROWTH" hidden="1">"c1959"</definedName>
    <definedName name="IQ_NI_NORM_MARGIN" hidden="1">"c1964"</definedName>
    <definedName name="IQ_NI_NUM_EST" hidden="1">"c1720"</definedName>
    <definedName name="IQ_NI_REPORTED_EST" hidden="1">"c1730"</definedName>
    <definedName name="IQ_NI_REPORTED_HIGH_EST" hidden="1">"c1732"</definedName>
    <definedName name="IQ_NI_REPORTED_LOW_EST" hidden="1">"c1733"</definedName>
    <definedName name="IQ_NI_REPORTED_MEDIAN_EST" hidden="1">"c1731"</definedName>
    <definedName name="IQ_NI_REPORTED_NUM_EST" hidden="1">"c1734"</definedName>
    <definedName name="IQ_NI_REPORTED_STDDEV_EST" hidden="1">"c1735"</definedName>
    <definedName name="IQ_NI_SBC_ACT_OR_EST" hidden="1">"c4474"</definedName>
    <definedName name="IQ_NI_SBC_GW_ACT_OR_EST" hidden="1">"c4478"</definedName>
    <definedName name="IQ_NI_SFAS" hidden="1">"c795"</definedName>
    <definedName name="IQ_NI_STDDEV_EST" hidden="1">"c1721"</definedName>
    <definedName name="IQ_NOL_CF_1YR" hidden="1">"c3465"</definedName>
    <definedName name="IQ_NOL_CF_2YR" hidden="1">"c3466"</definedName>
    <definedName name="IQ_NOL_CF_3YR" hidden="1">"c3467"</definedName>
    <definedName name="IQ_NOL_CF_4YR" hidden="1">"c3468"</definedName>
    <definedName name="IQ_NOL_CF_5YR" hidden="1">"c3469"</definedName>
    <definedName name="IQ_NOL_CF_AFTER_FIVE" hidden="1">"c3470"</definedName>
    <definedName name="IQ_NOL_CF_MAX_YEAR" hidden="1">"c3473"</definedName>
    <definedName name="IQ_NOL_CF_NO_EXP" hidden="1">"c3471"</definedName>
    <definedName name="IQ_NOL_CF_TOTAL" hidden="1">"c3472"</definedName>
    <definedName name="IQ_NON_ACCRUAL_LOANS" hidden="1">"c796"</definedName>
    <definedName name="IQ_NON_CASH" hidden="1">"c1399"</definedName>
    <definedName name="IQ_NON_CASH_ITEMS" hidden="1">"c797"</definedName>
    <definedName name="IQ_NON_INS_EXP" hidden="1">"c798"</definedName>
    <definedName name="IQ_NON_INS_REV" hidden="1">"c799"</definedName>
    <definedName name="IQ_NON_INT_BEAR_CD" hidden="1">"c800"</definedName>
    <definedName name="IQ_NON_INT_EXP" hidden="1">"c801"</definedName>
    <definedName name="IQ_NON_INT_INC" hidden="1">"c802"</definedName>
    <definedName name="IQ_NON_INT_INC_10YR_ANN_GROWTH" hidden="1">"c803"</definedName>
    <definedName name="IQ_NON_INT_INC_1YR_ANN_GROWTH" hidden="1">"c804"</definedName>
    <definedName name="IQ_NON_INT_INC_2YR_ANN_GROWTH" hidden="1">"c805"</definedName>
    <definedName name="IQ_NON_INT_INC_3YR_ANN_GROWTH" hidden="1">"c806"</definedName>
    <definedName name="IQ_NON_INT_INC_5YR_ANN_GROWTH" hidden="1">"c807"</definedName>
    <definedName name="IQ_NON_INT_INC_7YR_ANN_GROWTH" hidden="1">"c808"</definedName>
    <definedName name="IQ_NON_INTEREST_EXP" hidden="1">"c1400"</definedName>
    <definedName name="IQ_NON_INTEREST_INC" hidden="1">"c1401"</definedName>
    <definedName name="IQ_NON_OPER_EXP" hidden="1">"c809"</definedName>
    <definedName name="IQ_NON_OPER_INC" hidden="1">"c810"</definedName>
    <definedName name="IQ_NON_PERF_ASSETS_10YR_ANN_GROWTH" hidden="1">"c811"</definedName>
    <definedName name="IQ_NON_PERF_ASSETS_1YR_ANN_GROWTH" hidden="1">"c812"</definedName>
    <definedName name="IQ_NON_PERF_ASSETS_2YR_ANN_GROWTH" hidden="1">"c813"</definedName>
    <definedName name="IQ_NON_PERF_ASSETS_3YR_ANN_GROWTH" hidden="1">"c814"</definedName>
    <definedName name="IQ_NON_PERF_ASSETS_5YR_ANN_GROWTH" hidden="1">"c815"</definedName>
    <definedName name="IQ_NON_PERF_ASSETS_7YR_ANN_GROWTH" hidden="1">"c816"</definedName>
    <definedName name="IQ_NON_PERF_ASSETS_TOTAL_ASSETS" hidden="1">"c817"</definedName>
    <definedName name="IQ_NON_PERF_LOANS_10YR_ANN_GROWTH" hidden="1">"c818"</definedName>
    <definedName name="IQ_NON_PERF_LOANS_1YR_ANN_GROWTH" hidden="1">"c819"</definedName>
    <definedName name="IQ_NON_PERF_LOANS_2YR_ANN_GROWTH" hidden="1">"c820"</definedName>
    <definedName name="IQ_NON_PERF_LOANS_3YR_ANN_GROWTH" hidden="1">"c821"</definedName>
    <definedName name="IQ_NON_PERF_LOANS_5YR_ANN_GROWTH" hidden="1">"c822"</definedName>
    <definedName name="IQ_NON_PERF_LOANS_7YR_ANN_GROWTH" hidden="1">"c823"</definedName>
    <definedName name="IQ_NON_PERF_LOANS_TOTAL_ASSETS" hidden="1">"c824"</definedName>
    <definedName name="IQ_NON_PERF_LOANS_TOTAL_LOANS" hidden="1">"c825"</definedName>
    <definedName name="IQ_NON_PERFORMING_ASSETS" hidden="1">"c826"</definedName>
    <definedName name="IQ_NON_PERFORMING_LOANS" hidden="1">"c827"</definedName>
    <definedName name="IQ_NONCASH_PENSION_EXP" hidden="1">"c3000"</definedName>
    <definedName name="IQ_NONRECOURSE_DEBT" hidden="1">"c2550"</definedName>
    <definedName name="IQ_NONRECOURSE_DEBT_PCT" hidden="1">"c2551"</definedName>
    <definedName name="IQ_NONUTIL_REV" hidden="1">"c2089"</definedName>
    <definedName name="IQ_NORM_EPS_ACT_OR_EST" hidden="1">"c2249"</definedName>
    <definedName name="IQ_NORMAL_INC_AFTER" hidden="1">"c1605"</definedName>
    <definedName name="IQ_NORMAL_INC_AVAIL" hidden="1">"c1606"</definedName>
    <definedName name="IQ_NORMAL_INC_BEFORE" hidden="1">"c1607"</definedName>
    <definedName name="IQ_NOTES_PAY" hidden="1">"c1423"</definedName>
    <definedName name="IQ_NOW_ACCOUNT" hidden="1">"c828"</definedName>
    <definedName name="IQ_NPPE" hidden="1">"c829"</definedName>
    <definedName name="IQ_NPPE_10YR_ANN_GROWTH" hidden="1">"c830"</definedName>
    <definedName name="IQ_NPPE_1YR_ANN_GROWTH" hidden="1">"c831"</definedName>
    <definedName name="IQ_NPPE_2YR_ANN_GROWTH" hidden="1">"c832"</definedName>
    <definedName name="IQ_NPPE_3YR_ANN_GROWTH" hidden="1">"c833"</definedName>
    <definedName name="IQ_NPPE_5YR_ANN_GROWTH" hidden="1">"c834"</definedName>
    <definedName name="IQ_NPPE_7YR_ANN_GROWTH" hidden="1">"c835"</definedName>
    <definedName name="IQ_NTM" hidden="1">6000</definedName>
    <definedName name="IQ_NUKE" hidden="1">"c836"</definedName>
    <definedName name="IQ_NUKE_CF" hidden="1">"c837"</definedName>
    <definedName name="IQ_NUKE_CONTR" hidden="1">"c838"</definedName>
    <definedName name="IQ_NUM_BRANCHES" hidden="1">"c2088"</definedName>
    <definedName name="IQ_NUMBER_ADRHOLDERS" hidden="1">"c1970"</definedName>
    <definedName name="IQ_NUMBER_DAYS" hidden="1">"c1904"</definedName>
    <definedName name="IQ_NUMBER_SHAREHOLDERS" hidden="1">"c1967"</definedName>
    <definedName name="IQ_NUMBER_SHAREHOLDERS_CLASSA" hidden="1">"c1968"</definedName>
    <definedName name="IQ_NUMBER_SHAREHOLDERS_OTHER" hidden="1">"c1969"</definedName>
    <definedName name="IQ_OCCUPY_EXP" hidden="1">"c839"</definedName>
    <definedName name="IQ_OFFER_AMOUNT" hidden="1">"c2152"</definedName>
    <definedName name="IQ_OFFER_COUPON" hidden="1">"c2147"</definedName>
    <definedName name="IQ_OFFER_COUPON_TYPE" hidden="1">"c2148"</definedName>
    <definedName name="IQ_OFFER_DATE" hidden="1">"c2149"</definedName>
    <definedName name="IQ_OFFER_PRICE" hidden="1">"c2150"</definedName>
    <definedName name="IQ_OFFER_YIELD" hidden="1">"c2151"</definedName>
    <definedName name="IQ_OG_10DISC" hidden="1">"c1998"</definedName>
    <definedName name="IQ_OG_10DISC_GAS" hidden="1">"c2018"</definedName>
    <definedName name="IQ_OG_10DISC_OIL" hidden="1">"c2008"</definedName>
    <definedName name="IQ_OG_ACQ_COST_PROVED" hidden="1">"c1975"</definedName>
    <definedName name="IQ_OG_ACQ_COST_PROVED_GAS" hidden="1">"c1987"</definedName>
    <definedName name="IQ_OG_ACQ_COST_PROVED_OIL" hidden="1">"c1981"</definedName>
    <definedName name="IQ_OG_ACQ_COST_UNPROVED" hidden="1">"c1976"</definedName>
    <definedName name="IQ_OG_ACQ_COST_UNPROVED_GAS" hidden="1">"c1988"</definedName>
    <definedName name="IQ_OG_ACQ_COST_UNPROVED_OIL" hidden="1">"c1982"</definedName>
    <definedName name="IQ_OG_AVG_DAILY_PROD_GAS" hidden="1">"c2910"</definedName>
    <definedName name="IQ_OG_AVG_DAILY_PROD_NGL" hidden="1">"c2911"</definedName>
    <definedName name="IQ_OG_AVG_DAILY_PROD_OIL" hidden="1">"c2909"</definedName>
    <definedName name="IQ_OG_CLOSE_BALANCE_GAS" hidden="1">"c2049"</definedName>
    <definedName name="IQ_OG_CLOSE_BALANCE_NGL" hidden="1">"c2920"</definedName>
    <definedName name="IQ_OG_CLOSE_BALANCE_OIL" hidden="1">"c2037"</definedName>
    <definedName name="IQ_OG_DCF_BEFORE_TAXES" hidden="1">"c2023"</definedName>
    <definedName name="IQ_OG_DCF_BEFORE_TAXES_GAS" hidden="1">"c2025"</definedName>
    <definedName name="IQ_OG_DCF_BEFORE_TAXES_OIL" hidden="1">"c2024"</definedName>
    <definedName name="IQ_OG_DEVELOPED_RESERVES_GAS" hidden="1">"c2053"</definedName>
    <definedName name="IQ_OG_DEVELOPED_RESERVES_NGL" hidden="1">"c2922"</definedName>
    <definedName name="IQ_OG_DEVELOPED_RESERVES_OIL" hidden="1">"c2054"</definedName>
    <definedName name="IQ_OG_DEVELOPMENT_COSTS" hidden="1">"c1978"</definedName>
    <definedName name="IQ_OG_DEVELOPMENT_COSTS_GAS" hidden="1">"c1990"</definedName>
    <definedName name="IQ_OG_DEVELOPMENT_COSTS_OIL" hidden="1">"c1984"</definedName>
    <definedName name="IQ_OG_EQUITY_DCF" hidden="1">"c2002"</definedName>
    <definedName name="IQ_OG_EQUITY_DCF_GAS" hidden="1">"c2022"</definedName>
    <definedName name="IQ_OG_EQUITY_DCF_OIL" hidden="1">"c2012"</definedName>
    <definedName name="IQ_OG_EQUTY_RESERVES_GAS" hidden="1">"c2050"</definedName>
    <definedName name="IQ_OG_EQUTY_RESERVES_NGL" hidden="1">"c2921"</definedName>
    <definedName name="IQ_OG_EQUTY_RESERVES_OIL" hidden="1">"c2038"</definedName>
    <definedName name="IQ_OG_EXPLORATION_COSTS" hidden="1">"c1977"</definedName>
    <definedName name="IQ_OG_EXPLORATION_COSTS_GAS" hidden="1">"c1989"</definedName>
    <definedName name="IQ_OG_EXPLORATION_COSTS_OIL" hidden="1">"c1983"</definedName>
    <definedName name="IQ_OG_EXT_DISC_GAS" hidden="1">"c2043"</definedName>
    <definedName name="IQ_OG_EXT_DISC_NGL" hidden="1">"c2914"</definedName>
    <definedName name="IQ_OG_EXT_DISC_OIL" hidden="1">"c2031"</definedName>
    <definedName name="IQ_OG_FUTURE_CASH_INFLOWS" hidden="1">"c1993"</definedName>
    <definedName name="IQ_OG_FUTURE_CASH_INFLOWS_GAS" hidden="1">"c2013"</definedName>
    <definedName name="IQ_OG_FUTURE_CASH_INFLOWS_OIL" hidden="1">"c2003"</definedName>
    <definedName name="IQ_OG_FUTURE_DEVELOPMENT_COSTS" hidden="1">"c1995"</definedName>
    <definedName name="IQ_OG_FUTURE_DEVELOPMENT_COSTS_GAS" hidden="1">"c2015"</definedName>
    <definedName name="IQ_OG_FUTURE_DEVELOPMENT_COSTS_OIL" hidden="1">"c2005"</definedName>
    <definedName name="IQ_OG_FUTURE_INC_TAXES" hidden="1">"c1997"</definedName>
    <definedName name="IQ_OG_FUTURE_INC_TAXES_GAS" hidden="1">"c2017"</definedName>
    <definedName name="IQ_OG_FUTURE_INC_TAXES_OIL" hidden="1">"c2007"</definedName>
    <definedName name="IQ_OG_FUTURE_PRODUCTION_COSTS" hidden="1">"c1994"</definedName>
    <definedName name="IQ_OG_FUTURE_PRODUCTION_COSTS_GAS" hidden="1">"c2014"</definedName>
    <definedName name="IQ_OG_FUTURE_PRODUCTION_COSTS_OIL" hidden="1">"c2004"</definedName>
    <definedName name="IQ_OG_GAS_PRICE_HEDGED" hidden="1">"c2056"</definedName>
    <definedName name="IQ_OG_GAS_PRICE_UNHEDGED" hidden="1">"c2058"</definedName>
    <definedName name="IQ_OG_IMPROVED_RECOVERY_GAS" hidden="1">"c2044"</definedName>
    <definedName name="IQ_OG_IMPROVED_RECOVERY_NGL" hidden="1">"c2915"</definedName>
    <definedName name="IQ_OG_IMPROVED_RECOVERY_OIL" hidden="1">"c2032"</definedName>
    <definedName name="IQ_OG_LIQUID_GAS_PRICE_HEDGED" hidden="1">"c2233"</definedName>
    <definedName name="IQ_OG_LIQUID_GAS_PRICE_UNHEDGED" hidden="1">"c2234"</definedName>
    <definedName name="IQ_OG_NET_FUTURE_CASH_FLOWS" hidden="1">"c1996"</definedName>
    <definedName name="IQ_OG_NET_FUTURE_CASH_FLOWS_GAS" hidden="1">"c2016"</definedName>
    <definedName name="IQ_OG_NET_FUTURE_CASH_FLOWS_OIL" hidden="1">"c2006"</definedName>
    <definedName name="IQ_OG_OIL_PRICE_HEDGED" hidden="1">"c2055"</definedName>
    <definedName name="IQ_OG_OIL_PRICE_UNHEDGED" hidden="1">"c2057"</definedName>
    <definedName name="IQ_OG_OPEN_BALANCE_GAS" hidden="1">"c2041"</definedName>
    <definedName name="IQ_OG_OPEN_BALANCE_NGL" hidden="1">"c2912"</definedName>
    <definedName name="IQ_OG_OPEN_BALANCE_OIL" hidden="1">"c2029"</definedName>
    <definedName name="IQ_OG_OTHER_ADJ_FCF" hidden="1">"c1999"</definedName>
    <definedName name="IQ_OG_OTHER_ADJ_FCF_GAS" hidden="1">"c2019"</definedName>
    <definedName name="IQ_OG_OTHER_ADJ_FCF_OIL" hidden="1">"c2009"</definedName>
    <definedName name="IQ_OG_OTHER_ADJ_GAS" hidden="1">"c2048"</definedName>
    <definedName name="IQ_OG_OTHER_ADJ_NGL" hidden="1">"c2919"</definedName>
    <definedName name="IQ_OG_OTHER_ADJ_OIL" hidden="1">"c2036"</definedName>
    <definedName name="IQ_OG_OTHER_COSTS" hidden="1">"c1979"</definedName>
    <definedName name="IQ_OG_OTHER_COSTS_GAS" hidden="1">"c1991"</definedName>
    <definedName name="IQ_OG_OTHER_COSTS_OIL" hidden="1">"c1985"</definedName>
    <definedName name="IQ_OG_PRODUCTION_GAS" hidden="1">"c2047"</definedName>
    <definedName name="IQ_OG_PRODUCTION_NGL" hidden="1">"c2918"</definedName>
    <definedName name="IQ_OG_PRODUCTION_OIL" hidden="1">"c2035"</definedName>
    <definedName name="IQ_OG_PURCHASES_GAS" hidden="1">"c2045"</definedName>
    <definedName name="IQ_OG_PURCHASES_NGL" hidden="1">"c2916"</definedName>
    <definedName name="IQ_OG_PURCHASES_OIL" hidden="1">"c2033"</definedName>
    <definedName name="IQ_OG_REVISIONS_GAS" hidden="1">"c2042"</definedName>
    <definedName name="IQ_OG_REVISIONS_NGL" hidden="1">"c2913"</definedName>
    <definedName name="IQ_OG_REVISIONS_OIL" hidden="1">"c2030"</definedName>
    <definedName name="IQ_OG_SALES_IN_PLACE_GAS" hidden="1">"c2046"</definedName>
    <definedName name="IQ_OG_SALES_IN_PLACE_NGL" hidden="1">"c2917"</definedName>
    <definedName name="IQ_OG_SALES_IN_PLACE_OIL" hidden="1">"c2034"</definedName>
    <definedName name="IQ_OG_STANDARDIZED_DCF" hidden="1">"c2000"</definedName>
    <definedName name="IQ_OG_STANDARDIZED_DCF_GAS" hidden="1">"c2020"</definedName>
    <definedName name="IQ_OG_STANDARDIZED_DCF_HEDGED" hidden="1">"c2001"</definedName>
    <definedName name="IQ_OG_STANDARDIZED_DCF_HEDGED_GAS" hidden="1">"c2021"</definedName>
    <definedName name="IQ_OG_STANDARDIZED_DCF_HEDGED_OIL" hidden="1">"c2011"</definedName>
    <definedName name="IQ_OG_STANDARDIZED_DCF_OIL" hidden="1">"c2010"</definedName>
    <definedName name="IQ_OG_TAXES" hidden="1">"c2026"</definedName>
    <definedName name="IQ_OG_TAXES_GAS" hidden="1">"c2028"</definedName>
    <definedName name="IQ_OG_TAXES_OIL" hidden="1">"c2027"</definedName>
    <definedName name="IQ_OG_TOTAL_COSTS" hidden="1">"c1980"</definedName>
    <definedName name="IQ_OG_TOTAL_COSTS_GAS" hidden="1">"c1992"</definedName>
    <definedName name="IQ_OG_TOTAL_COSTS_OIL" hidden="1">"c1986"</definedName>
    <definedName name="IQ_OG_TOTAL_EST_PROVED_RESERVES_GAS" hidden="1">"c2052"</definedName>
    <definedName name="IQ_OG_TOTAL_GAS_PRODUCTION" hidden="1">"c2060"</definedName>
    <definedName name="IQ_OG_TOTAL_LIQUID_GAS_PRODUCTION" hidden="1">"c2235"</definedName>
    <definedName name="IQ_OG_TOTAL_OIL_PRODUCTION" hidden="1">"c2059"</definedName>
    <definedName name="IQ_OG_UNDEVELOPED_RESERVES_GAS" hidden="1">"c2051"</definedName>
    <definedName name="IQ_OG_UNDEVELOPED_RESERVES_NGL" hidden="1">"c2923"</definedName>
    <definedName name="IQ_OG_UNDEVELOPED_RESERVES_OIL" hidden="1">"c2039"</definedName>
    <definedName name="IQ_OIL_IMPAIR" hidden="1">"c840"</definedName>
    <definedName name="IQ_OL_COMM_AFTER_FIVE" hidden="1">"c841"</definedName>
    <definedName name="IQ_OL_COMM_CY" hidden="1">"c842"</definedName>
    <definedName name="IQ_OL_COMM_CY1" hidden="1">"c843"</definedName>
    <definedName name="IQ_OL_COMM_CY2" hidden="1">"c844"</definedName>
    <definedName name="IQ_OL_COMM_CY3" hidden="1">"c845"</definedName>
    <definedName name="IQ_OL_COMM_CY4" hidden="1">"c846"</definedName>
    <definedName name="IQ_OL_COMM_NEXT_FIVE" hidden="1">"c847"</definedName>
    <definedName name="IQ_OPEB_ACCRUED_LIAB" hidden="1">"c3308"</definedName>
    <definedName name="IQ_OPEB_ACCRUED_LIAB_DOM" hidden="1">"c3306"</definedName>
    <definedName name="IQ_OPEB_ACCRUED_LIAB_FOREIGN" hidden="1">"c3307"</definedName>
    <definedName name="IQ_OPEB_ACCUM_OTHER_CI" hidden="1">"c3314"</definedName>
    <definedName name="IQ_OPEB_ACCUM_OTHER_CI_DOM" hidden="1">"c3312"</definedName>
    <definedName name="IQ_OPEB_ACCUM_OTHER_CI_FOREIGN" hidden="1">"c3313"</definedName>
    <definedName name="IQ_OPEB_ASSETS" hidden="1">"c3356"</definedName>
    <definedName name="IQ_OPEB_ASSETS_ACQ" hidden="1">"c3347"</definedName>
    <definedName name="IQ_OPEB_ASSETS_ACQ_DOM" hidden="1">"c3345"</definedName>
    <definedName name="IQ_OPEB_ASSETS_ACQ_FOREIGN" hidden="1">"c3346"</definedName>
    <definedName name="IQ_OPEB_ASSETS_ACTUAL_RETURN" hidden="1">"c3332"</definedName>
    <definedName name="IQ_OPEB_ASSETS_ACTUAL_RETURN_DOM" hidden="1">"c3330"</definedName>
    <definedName name="IQ_OPEB_ASSETS_ACTUAL_RETURN_FOREIGN" hidden="1">"c3331"</definedName>
    <definedName name="IQ_OPEB_ASSETS_BEG" hidden="1">"c3329"</definedName>
    <definedName name="IQ_OPEB_ASSETS_BEG_DOM" hidden="1">"c3327"</definedName>
    <definedName name="IQ_OPEB_ASSETS_BEG_FOREIGN" hidden="1">"c3328"</definedName>
    <definedName name="IQ_OPEB_ASSETS_BENEFITS_PAID" hidden="1">"c3341"</definedName>
    <definedName name="IQ_OPEB_ASSETS_BENEFITS_PAID_DOM" hidden="1">"c3339"</definedName>
    <definedName name="IQ_OPEB_ASSETS_BENEFITS_PAID_FOREIGN" hidden="1">"c3340"</definedName>
    <definedName name="IQ_OPEB_ASSETS_CURTAIL" hidden="1">"c3350"</definedName>
    <definedName name="IQ_OPEB_ASSETS_CURTAIL_DOM" hidden="1">"c3348"</definedName>
    <definedName name="IQ_OPEB_ASSETS_CURTAIL_FOREIGN" hidden="1">"c3349"</definedName>
    <definedName name="IQ_OPEB_ASSETS_DOM" hidden="1">"c3354"</definedName>
    <definedName name="IQ_OPEB_ASSETS_EMPLOYER_CONTRIBUTIONS" hidden="1">"c3335"</definedName>
    <definedName name="IQ_OPEB_ASSETS_EMPLOYER_CONTRIBUTIONS_DOM" hidden="1">"c3333"</definedName>
    <definedName name="IQ_OPEB_ASSETS_EMPLOYER_CONTRIBUTIONS_FOREIGN" hidden="1">"c3334"</definedName>
    <definedName name="IQ_OPEB_ASSETS_FOREIGN" hidden="1">"c3355"</definedName>
    <definedName name="IQ_OPEB_ASSETS_FX_ADJ" hidden="1">"c3344"</definedName>
    <definedName name="IQ_OPEB_ASSETS_FX_ADJ_DOM" hidden="1">"c3342"</definedName>
    <definedName name="IQ_OPEB_ASSETS_FX_ADJ_FOREIGN" hidden="1">"c3343"</definedName>
    <definedName name="IQ_OPEB_ASSETS_OTHER_PLAN_ADJ" hidden="1">"c3353"</definedName>
    <definedName name="IQ_OPEB_ASSETS_OTHER_PLAN_ADJ_DOM" hidden="1">"c3351"</definedName>
    <definedName name="IQ_OPEB_ASSETS_OTHER_PLAN_ADJ_FOREIGN" hidden="1">"c3352"</definedName>
    <definedName name="IQ_OPEB_ASSETS_PARTICIP_CONTRIBUTIONS" hidden="1">"c3338"</definedName>
    <definedName name="IQ_OPEB_ASSETS_PARTICIP_CONTRIBUTIONS_DOM" hidden="1">"c3336"</definedName>
    <definedName name="IQ_OPEB_ASSETS_PARTICIP_CONTRIBUTIONS_FOREIGN" hidden="1">"c3337"</definedName>
    <definedName name="IQ_OPEB_BENEFIT_INFO_DATE" hidden="1">"c3410"</definedName>
    <definedName name="IQ_OPEB_BENEFIT_INFO_DATE_DOM" hidden="1">"c3408"</definedName>
    <definedName name="IQ_OPEB_BENEFIT_INFO_DATE_FOREIGN" hidden="1">"c3409"</definedName>
    <definedName name="IQ_OPEB_BREAKDOWN_EQ" hidden="1">"c3275"</definedName>
    <definedName name="IQ_OPEB_BREAKDOWN_EQ_DOM" hidden="1">"c3273"</definedName>
    <definedName name="IQ_OPEB_BREAKDOWN_EQ_FOREIGN" hidden="1">"c3274"</definedName>
    <definedName name="IQ_OPEB_BREAKDOWN_FI" hidden="1">"c3278"</definedName>
    <definedName name="IQ_OPEB_BREAKDOWN_FI_DOM" hidden="1">"c3276"</definedName>
    <definedName name="IQ_OPEB_BREAKDOWN_FI_FOREIGN" hidden="1">"c3277"</definedName>
    <definedName name="IQ_OPEB_BREAKDOWN_OTHER" hidden="1">"c3284"</definedName>
    <definedName name="IQ_OPEB_BREAKDOWN_OTHER_DOM" hidden="1">"c3282"</definedName>
    <definedName name="IQ_OPEB_BREAKDOWN_OTHER_FOREIGN" hidden="1">"c3283"</definedName>
    <definedName name="IQ_OPEB_BREAKDOWN_PCT_EQ" hidden="1">"c3263"</definedName>
    <definedName name="IQ_OPEB_BREAKDOWN_PCT_EQ_DOM" hidden="1">"c3261"</definedName>
    <definedName name="IQ_OPEB_BREAKDOWN_PCT_EQ_FOREIGN" hidden="1">"c3262"</definedName>
    <definedName name="IQ_OPEB_BREAKDOWN_PCT_FI" hidden="1">"c3266"</definedName>
    <definedName name="IQ_OPEB_BREAKDOWN_PCT_FI_DOM" hidden="1">"c3264"</definedName>
    <definedName name="IQ_OPEB_BREAKDOWN_PCT_FI_FOREIGN" hidden="1">"c3265"</definedName>
    <definedName name="IQ_OPEB_BREAKDOWN_PCT_OTHER" hidden="1">"c3272"</definedName>
    <definedName name="IQ_OPEB_BREAKDOWN_PCT_OTHER_DOM" hidden="1">"c3270"</definedName>
    <definedName name="IQ_OPEB_BREAKDOWN_PCT_OTHER_FOREIGN" hidden="1">"c3271"</definedName>
    <definedName name="IQ_OPEB_BREAKDOWN_PCT_RE" hidden="1">"c3269"</definedName>
    <definedName name="IQ_OPEB_BREAKDOWN_PCT_RE_DOM" hidden="1">"c3267"</definedName>
    <definedName name="IQ_OPEB_BREAKDOWN_PCT_RE_FOREIGN" hidden="1">"c3268"</definedName>
    <definedName name="IQ_OPEB_BREAKDOWN_RE" hidden="1">"c3281"</definedName>
    <definedName name="IQ_OPEB_BREAKDOWN_RE_DOM" hidden="1">"c3279"</definedName>
    <definedName name="IQ_OPEB_BREAKDOWN_RE_FOREIGN" hidden="1">"c3280"</definedName>
    <definedName name="IQ_OPEB_DECREASE_EFFECT_PBO" hidden="1">"c3458"</definedName>
    <definedName name="IQ_OPEB_DECREASE_EFFECT_PBO_DOM" hidden="1">"c3456"</definedName>
    <definedName name="IQ_OPEB_DECREASE_EFFECT_PBO_FOREIGN" hidden="1">"c3457"</definedName>
    <definedName name="IQ_OPEB_DECREASE_EFFECT_SERVICE_INT_COST" hidden="1">"c3455"</definedName>
    <definedName name="IQ_OPEB_DECREASE_EFFECT_SERVICE_INT_COST_DOM" hidden="1">"c3453"</definedName>
    <definedName name="IQ_OPEB_DECREASE_EFFECT_SERVICE_INT_COST_FOREIGN" hidden="1">"c3454"</definedName>
    <definedName name="IQ_OPEB_DISC_RATE_MAX" hidden="1">"c3422"</definedName>
    <definedName name="IQ_OPEB_DISC_RATE_MAX_DOM" hidden="1">"c3420"</definedName>
    <definedName name="IQ_OPEB_DISC_RATE_MAX_FOREIGN" hidden="1">"c3421"</definedName>
    <definedName name="IQ_OPEB_DISC_RATE_MIN" hidden="1">"c3419"</definedName>
    <definedName name="IQ_OPEB_DISC_RATE_MIN_DOM" hidden="1">"c3417"</definedName>
    <definedName name="IQ_OPEB_DISC_RATE_MIN_FOREIGN" hidden="1">"c3418"</definedName>
    <definedName name="IQ_OPEB_EST_BENEFIT_1YR" hidden="1">"c3287"</definedName>
    <definedName name="IQ_OPEB_EST_BENEFIT_1YR_DOM" hidden="1">"c3285"</definedName>
    <definedName name="IQ_OPEB_EST_BENEFIT_1YR_FOREIGN" hidden="1">"c3286"</definedName>
    <definedName name="IQ_OPEB_EST_BENEFIT_2YR" hidden="1">"c3290"</definedName>
    <definedName name="IQ_OPEB_EST_BENEFIT_2YR_DOM" hidden="1">"c3288"</definedName>
    <definedName name="IQ_OPEB_EST_BENEFIT_2YR_FOREIGN" hidden="1">"c3289"</definedName>
    <definedName name="IQ_OPEB_EST_BENEFIT_3YR" hidden="1">"c3293"</definedName>
    <definedName name="IQ_OPEB_EST_BENEFIT_3YR_DOM" hidden="1">"c3291"</definedName>
    <definedName name="IQ_OPEB_EST_BENEFIT_3YR_FOREIGN" hidden="1">"c3292"</definedName>
    <definedName name="IQ_OPEB_EST_BENEFIT_4YR" hidden="1">"c3296"</definedName>
    <definedName name="IQ_OPEB_EST_BENEFIT_4YR_DOM" hidden="1">"c3294"</definedName>
    <definedName name="IQ_OPEB_EST_BENEFIT_4YR_FOREIGN" hidden="1">"c3295"</definedName>
    <definedName name="IQ_OPEB_EST_BENEFIT_5YR" hidden="1">"c3299"</definedName>
    <definedName name="IQ_OPEB_EST_BENEFIT_5YR_DOM" hidden="1">"c3297"</definedName>
    <definedName name="IQ_OPEB_EST_BENEFIT_5YR_FOREIGN" hidden="1">"c3298"</definedName>
    <definedName name="IQ_OPEB_EST_BENEFIT_AFTER5" hidden="1">"c3302"</definedName>
    <definedName name="IQ_OPEB_EST_BENEFIT_AFTER5_DOM" hidden="1">"c3300"</definedName>
    <definedName name="IQ_OPEB_EST_BENEFIT_AFTER5_FOREIGN" hidden="1">"c3301"</definedName>
    <definedName name="IQ_OPEB_EXP_RATE_RETURN_MAX" hidden="1">"c3434"</definedName>
    <definedName name="IQ_OPEB_EXP_RATE_RETURN_MAX_DOM" hidden="1">"c3432"</definedName>
    <definedName name="IQ_OPEB_EXP_RATE_RETURN_MAX_FOREIGN" hidden="1">"c3433"</definedName>
    <definedName name="IQ_OPEB_EXP_RATE_RETURN_MIN" hidden="1">"c3431"</definedName>
    <definedName name="IQ_OPEB_EXP_RATE_RETURN_MIN_DOM" hidden="1">"c3429"</definedName>
    <definedName name="IQ_OPEB_EXP_RATE_RETURN_MIN_FOREIGN" hidden="1">"c3430"</definedName>
    <definedName name="IQ_OPEB_EXP_RETURN" hidden="1">"c3398"</definedName>
    <definedName name="IQ_OPEB_EXP_RETURN_DOM" hidden="1">"c3396"</definedName>
    <definedName name="IQ_OPEB_EXP_RETURN_FOREIGN" hidden="1">"c3397"</definedName>
    <definedName name="IQ_OPEB_HEALTH_COST_TREND_INITIAL" hidden="1">"c3413"</definedName>
    <definedName name="IQ_OPEB_HEALTH_COST_TREND_INITIAL_DOM" hidden="1">"c3411"</definedName>
    <definedName name="IQ_OPEB_HEALTH_COST_TREND_INITIAL_FOREIGN" hidden="1">"c3412"</definedName>
    <definedName name="IQ_OPEB_HEALTH_COST_TREND_ULTIMATE" hidden="1">"c3416"</definedName>
    <definedName name="IQ_OPEB_HEALTH_COST_TREND_ULTIMATE_DOM" hidden="1">"c3414"</definedName>
    <definedName name="IQ_OPEB_HEALTH_COST_TREND_ULTIMATE_FOREIGN" hidden="1">"c3415"</definedName>
    <definedName name="IQ_OPEB_INCREASE_EFFECT_PBO" hidden="1">"c3452"</definedName>
    <definedName name="IQ_OPEB_INCREASE_EFFECT_PBO_DOM" hidden="1">"c3450"</definedName>
    <definedName name="IQ_OPEB_INCREASE_EFFECT_PBO_FOREIGN" hidden="1">"c3451"</definedName>
    <definedName name="IQ_OPEB_INCREASE_EFFECT_SERVICE_INT_COST" hidden="1">"c3449"</definedName>
    <definedName name="IQ_OPEB_INCREASE_EFFECT_SERVICE_INT_COST_DOM" hidden="1">"c3447"</definedName>
    <definedName name="IQ_OPEB_INCREASE_EFFECT_SERVICE_INT_COST_FOREIGN" hidden="1">"c3448"</definedName>
    <definedName name="IQ_OPEB_INTAN_ASSETS" hidden="1">"c3311"</definedName>
    <definedName name="IQ_OPEB_INTAN_ASSETS_DOM" hidden="1">"c3309"</definedName>
    <definedName name="IQ_OPEB_INTAN_ASSETS_FOREIGN" hidden="1">"c3310"</definedName>
    <definedName name="IQ_OPEB_INTEREST_COST" hidden="1">"c3395"</definedName>
    <definedName name="IQ_OPEB_INTEREST_COST_DOM" hidden="1">"c3393"</definedName>
    <definedName name="IQ_OPEB_INTEREST_COST_FOREIGN" hidden="1">"c3394"</definedName>
    <definedName name="IQ_OPEB_NET_ASSET_RECOG" hidden="1">"c3326"</definedName>
    <definedName name="IQ_OPEB_NET_ASSET_RECOG_DOM" hidden="1">"c3324"</definedName>
    <definedName name="IQ_OPEB_NET_ASSET_RECOG_FOREIGN" hidden="1">"c3325"</definedName>
    <definedName name="IQ_OPEB_OBLIGATION_ACCUMULATED" hidden="1">"c3407"</definedName>
    <definedName name="IQ_OPEB_OBLIGATION_ACCUMULATED_DOM" hidden="1">"c3405"</definedName>
    <definedName name="IQ_OPEB_OBLIGATION_ACCUMULATED_FOREIGN" hidden="1">"c3406"</definedName>
    <definedName name="IQ_OPEB_OBLIGATION_ACQ" hidden="1">"c3380"</definedName>
    <definedName name="IQ_OPEB_OBLIGATION_ACQ_DOM" hidden="1">"c3378"</definedName>
    <definedName name="IQ_OPEB_OBLIGATION_ACQ_FOREIGN" hidden="1">"c3379"</definedName>
    <definedName name="IQ_OPEB_OBLIGATION_ACTUARIAL_GAIN_LOSS" hidden="1">"c3371"</definedName>
    <definedName name="IQ_OPEB_OBLIGATION_ACTUARIAL_GAIN_LOSS_DOM" hidden="1">"c3369"</definedName>
    <definedName name="IQ_OPEB_OBLIGATION_ACTUARIAL_GAIN_LOSS_FOREIGN" hidden="1">"c3370"</definedName>
    <definedName name="IQ_OPEB_OBLIGATION_BEG" hidden="1">"c3359"</definedName>
    <definedName name="IQ_OPEB_OBLIGATION_BEG_DOM" hidden="1">"c3357"</definedName>
    <definedName name="IQ_OPEB_OBLIGATION_BEG_FOREIGN" hidden="1">"c3358"</definedName>
    <definedName name="IQ_OPEB_OBLIGATION_CURTAIL" hidden="1">"c3383"</definedName>
    <definedName name="IQ_OPEB_OBLIGATION_CURTAIL_DOM" hidden="1">"c3381"</definedName>
    <definedName name="IQ_OPEB_OBLIGATION_CURTAIL_FOREIGN" hidden="1">"c3382"</definedName>
    <definedName name="IQ_OPEB_OBLIGATION_EMPLOYEE_CONTRIBUTIONS" hidden="1">"c3368"</definedName>
    <definedName name="IQ_OPEB_OBLIGATION_EMPLOYEE_CONTRIBUTIONS_DOM" hidden="1">"c3366"</definedName>
    <definedName name="IQ_OPEB_OBLIGATION_EMPLOYEE_CONTRIBUTIONS_FOREIGN" hidden="1">"c3367"</definedName>
    <definedName name="IQ_OPEB_OBLIGATION_FX_ADJ" hidden="1">"c3377"</definedName>
    <definedName name="IQ_OPEB_OBLIGATION_FX_ADJ_DOM" hidden="1">"c3375"</definedName>
    <definedName name="IQ_OPEB_OBLIGATION_FX_ADJ_FOREIGN" hidden="1">"c3376"</definedName>
    <definedName name="IQ_OPEB_OBLIGATION_INTEREST_COST" hidden="1">"c3365"</definedName>
    <definedName name="IQ_OPEB_OBLIGATION_INTEREST_COST_DOM" hidden="1">"c3363"</definedName>
    <definedName name="IQ_OPEB_OBLIGATION_INTEREST_COST_FOREIGN" hidden="1">"c3364"</definedName>
    <definedName name="IQ_OPEB_OBLIGATION_OTHER_PLAN_ADJ" hidden="1">"c3386"</definedName>
    <definedName name="IQ_OPEB_OBLIGATION_OTHER_PLAN_ADJ_DOM" hidden="1">"c3384"</definedName>
    <definedName name="IQ_OPEB_OBLIGATION_OTHER_PLAN_ADJ_FOREIGN" hidden="1">"c3385"</definedName>
    <definedName name="IQ_OPEB_OBLIGATION_PAID" hidden="1">"c3374"</definedName>
    <definedName name="IQ_OPEB_OBLIGATION_PAID_DOM" hidden="1">"c3372"</definedName>
    <definedName name="IQ_OPEB_OBLIGATION_PAID_FOREIGN" hidden="1">"c3373"</definedName>
    <definedName name="IQ_OPEB_OBLIGATION_PROJECTED" hidden="1">"c3389"</definedName>
    <definedName name="IQ_OPEB_OBLIGATION_PROJECTED_DOM" hidden="1">"c3387"</definedName>
    <definedName name="IQ_OPEB_OBLIGATION_PROJECTED_FOREIGN" hidden="1">"c3388"</definedName>
    <definedName name="IQ_OPEB_OBLIGATION_SERVICE_COST" hidden="1">"c3362"</definedName>
    <definedName name="IQ_OPEB_OBLIGATION_SERVICE_COST_DOM" hidden="1">"c3360"</definedName>
    <definedName name="IQ_OPEB_OBLIGATION_SERVICE_COST_FOREIGN" hidden="1">"c3361"</definedName>
    <definedName name="IQ_OPEB_OTHER" hidden="1">"c3317"</definedName>
    <definedName name="IQ_OPEB_OTHER_ADJ" hidden="1">"c3323"</definedName>
    <definedName name="IQ_OPEB_OTHER_ADJ_DOM" hidden="1">"c3321"</definedName>
    <definedName name="IQ_OPEB_OTHER_ADJ_FOREIGN" hidden="1">"c3322"</definedName>
    <definedName name="IQ_OPEB_OTHER_COST" hidden="1">"c3401"</definedName>
    <definedName name="IQ_OPEB_OTHER_COST_DOM" hidden="1">"c3399"</definedName>
    <definedName name="IQ_OPEB_OTHER_COST_FOREIGN" hidden="1">"c3400"</definedName>
    <definedName name="IQ_OPEB_OTHER_DOM" hidden="1">"c3315"</definedName>
    <definedName name="IQ_OPEB_OTHER_FOREIGN" hidden="1">"c3316"</definedName>
    <definedName name="IQ_OPEB_PBO_ASSUMED_RATE_RET_MAX" hidden="1">"c3440"</definedName>
    <definedName name="IQ_OPEB_PBO_ASSUMED_RATE_RET_MAX_DOM" hidden="1">"c3438"</definedName>
    <definedName name="IQ_OPEB_PBO_ASSUMED_RATE_RET_MAX_FOREIGN" hidden="1">"c3439"</definedName>
    <definedName name="IQ_OPEB_PBO_ASSUMED_RATE_RET_MIN" hidden="1">"c3437"</definedName>
    <definedName name="IQ_OPEB_PBO_ASSUMED_RATE_RET_MIN_DOM" hidden="1">"c3435"</definedName>
    <definedName name="IQ_OPEB_PBO_ASSUMED_RATE_RET_MIN_FOREIGN" hidden="1">"c3436"</definedName>
    <definedName name="IQ_OPEB_PBO_RATE_COMP_INCREASE_MAX" hidden="1">"c3446"</definedName>
    <definedName name="IQ_OPEB_PBO_RATE_COMP_INCREASE_MAX_DOM" hidden="1">"c3444"</definedName>
    <definedName name="IQ_OPEB_PBO_RATE_COMP_INCREASE_MAX_FOREIGN" hidden="1">"c3445"</definedName>
    <definedName name="IQ_OPEB_PBO_RATE_COMP_INCREASE_MIN" hidden="1">"c3443"</definedName>
    <definedName name="IQ_OPEB_PBO_RATE_COMP_INCREASE_MIN_DOM" hidden="1">"c3441"</definedName>
    <definedName name="IQ_OPEB_PBO_RATE_COMP_INCREASE_MIN_FOREIGN" hidden="1">"c3442"</definedName>
    <definedName name="IQ_OPEB_PREPAID_COST" hidden="1">"c3305"</definedName>
    <definedName name="IQ_OPEB_PREPAID_COST_DOM" hidden="1">"c3303"</definedName>
    <definedName name="IQ_OPEB_PREPAID_COST_FOREIGN" hidden="1">"c3304"</definedName>
    <definedName name="IQ_OPEB_RATE_COMP_INCREASE_MAX" hidden="1">"c3428"</definedName>
    <definedName name="IQ_OPEB_RATE_COMP_INCREASE_MAX_DOM" hidden="1">"c3426"</definedName>
    <definedName name="IQ_OPEB_RATE_COMP_INCREASE_MAX_FOREIGN" hidden="1">"c3427"</definedName>
    <definedName name="IQ_OPEB_RATE_COMP_INCREASE_MIN" hidden="1">"c3425"</definedName>
    <definedName name="IQ_OPEB_RATE_COMP_INCREASE_MIN_DOM" hidden="1">"c3423"</definedName>
    <definedName name="IQ_OPEB_RATE_COMP_INCREASE_MIN_FOREIGN" hidden="1">"c3424"</definedName>
    <definedName name="IQ_OPEB_SERVICE_COST" hidden="1">"c3392"</definedName>
    <definedName name="IQ_OPEB_SERVICE_COST_DOM" hidden="1">"c3390"</definedName>
    <definedName name="IQ_OPEB_SERVICE_COST_FOREIGN" hidden="1">"c3391"</definedName>
    <definedName name="IQ_OPEB_TOTAL_COST" hidden="1">"c3404"</definedName>
    <definedName name="IQ_OPEB_TOTAL_COST_DOM" hidden="1">"c3402"</definedName>
    <definedName name="IQ_OPEB_TOTAL_COST_FOREIGN" hidden="1">"c3403"</definedName>
    <definedName name="IQ_OPEB_UNRECOG_PRIOR" hidden="1">"c3320"</definedName>
    <definedName name="IQ_OPEB_UNRECOG_PRIOR_DOM" hidden="1">"c3318"</definedName>
    <definedName name="IQ_OPEB_UNRECOG_PRIOR_FOREIGN" hidden="1">"c3319"</definedName>
    <definedName name="IQ_OPENPRICE" hidden="1">"c848"</definedName>
    <definedName name="IQ_OPER_INC" hidden="1">"c849"</definedName>
    <definedName name="IQ_OPER_INC_ACT_OR_EST" hidden="1">"c2220"</definedName>
    <definedName name="IQ_OPER_INC_BR" hidden="1">"c850"</definedName>
    <definedName name="IQ_OPER_INC_EST" hidden="1">"c1688"</definedName>
    <definedName name="IQ_OPER_INC_FIN" hidden="1">"c851"</definedName>
    <definedName name="IQ_OPER_INC_HIGH_EST" hidden="1">"c1690"</definedName>
    <definedName name="IQ_OPER_INC_INS" hidden="1">"c852"</definedName>
    <definedName name="IQ_OPER_INC_LOW_EST" hidden="1">"c1691"</definedName>
    <definedName name="IQ_OPER_INC_MARGIN" hidden="1">"c1448"</definedName>
    <definedName name="IQ_OPER_INC_MEDIAN_EST" hidden="1">"c1689"</definedName>
    <definedName name="IQ_OPER_INC_NUM_EST" hidden="1">"c1692"</definedName>
    <definedName name="IQ_OPER_INC_REIT" hidden="1">"c853"</definedName>
    <definedName name="IQ_OPER_INC_STDDEV_EST" hidden="1">"c1693"</definedName>
    <definedName name="IQ_OPER_INC_UTI" hidden="1">"c854"</definedName>
    <definedName name="IQ_OPERATIONS_EXP" hidden="1">"c855"</definedName>
    <definedName name="IQ_OPTIONS_BEG_OS" hidden="1">"c1572"</definedName>
    <definedName name="IQ_OPTIONS_CANCELLED" hidden="1">"c856"</definedName>
    <definedName name="IQ_OPTIONS_END_OS" hidden="1">"c1573"</definedName>
    <definedName name="IQ_OPTIONS_EXERCISED" hidden="1">"c2116"</definedName>
    <definedName name="IQ_OPTIONS_GRANTED" hidden="1">"c2673"</definedName>
    <definedName name="IQ_OPTIONS_ISSUED" hidden="1">"c857"</definedName>
    <definedName name="IQ_OPTIONS_STRIKE_PRICE_GRANTED" hidden="1">"c2678"</definedName>
    <definedName name="IQ_OPTIONS_STRIKE_PRICE_OS" hidden="1">"c2677"</definedName>
    <definedName name="IQ_ORDER_BACKLOG" hidden="1">"c2090"</definedName>
    <definedName name="IQ_OTHER_ADJUST_GROSS_LOANS" hidden="1">"c859"</definedName>
    <definedName name="IQ_OTHER_AMORT" hidden="1">"c5563"</definedName>
    <definedName name="IQ_OTHER_ASSETS" hidden="1">"c860"</definedName>
    <definedName name="IQ_OTHER_ASSETS_BNK" hidden="1">"c861"</definedName>
    <definedName name="IQ_OTHER_ASSETS_BR" hidden="1">"c862"</definedName>
    <definedName name="IQ_OTHER_ASSETS_FIN" hidden="1">"c863"</definedName>
    <definedName name="IQ_OTHER_ASSETS_INS" hidden="1">"c864"</definedName>
    <definedName name="IQ_OTHER_ASSETS_REIT" hidden="1">"c865"</definedName>
    <definedName name="IQ_OTHER_ASSETS_SERV_RIGHTS" hidden="1">"c2243"</definedName>
    <definedName name="IQ_OTHER_ASSETS_UTI" hidden="1">"c866"</definedName>
    <definedName name="IQ_OTHER_BEARING_LIAB" hidden="1">"c1608"</definedName>
    <definedName name="IQ_OTHER_BENEFITS_OBLIGATION" hidden="1">"c867"</definedName>
    <definedName name="IQ_OTHER_CA" hidden="1">"c868"</definedName>
    <definedName name="IQ_OTHER_CA_SUPPL" hidden="1">"c869"</definedName>
    <definedName name="IQ_OTHER_CA_SUPPL_BNK" hidden="1">"c870"</definedName>
    <definedName name="IQ_OTHER_CA_SUPPL_BR" hidden="1">"c871"</definedName>
    <definedName name="IQ_OTHER_CA_SUPPL_FIN" hidden="1">"c872"</definedName>
    <definedName name="IQ_OTHER_CA_SUPPL_INS" hidden="1">"c873"</definedName>
    <definedName name="IQ_OTHER_CA_SUPPL_REIT" hidden="1">"c874"</definedName>
    <definedName name="IQ_OTHER_CA_SUPPL_UTI" hidden="1">"c875"</definedName>
    <definedName name="IQ_OTHER_CA_UTI" hidden="1">"c876"</definedName>
    <definedName name="IQ_OTHER_CL" hidden="1">"c877"</definedName>
    <definedName name="IQ_OTHER_CL_SUPPL" hidden="1">"c878"</definedName>
    <definedName name="IQ_OTHER_CL_SUPPL_BNK" hidden="1">"c879"</definedName>
    <definedName name="IQ_OTHER_CL_SUPPL_BR" hidden="1">"c880"</definedName>
    <definedName name="IQ_OTHER_CL_SUPPL_FIN" hidden="1">"c881"</definedName>
    <definedName name="IQ_OTHER_CL_SUPPL_REIT" hidden="1">"c882"</definedName>
    <definedName name="IQ_OTHER_CL_SUPPL_UTI" hidden="1">"c883"</definedName>
    <definedName name="IQ_OTHER_CL_UTI" hidden="1">"c884"</definedName>
    <definedName name="IQ_OTHER_CURRENT_ASSETS" hidden="1">"c1403"</definedName>
    <definedName name="IQ_OTHER_CURRENT_LIAB" hidden="1">"c1404"</definedName>
    <definedName name="IQ_OTHER_DEBT" hidden="1">"c2507"</definedName>
    <definedName name="IQ_OTHER_DEBT_PCT" hidden="1">"c2508"</definedName>
    <definedName name="IQ_OTHER_DEP" hidden="1">"c885"</definedName>
    <definedName name="IQ_OTHER_EARNING" hidden="1">"c1609"</definedName>
    <definedName name="IQ_OTHER_EQUITY" hidden="1">"c886"</definedName>
    <definedName name="IQ_OTHER_EQUITY_BNK" hidden="1">"c887"</definedName>
    <definedName name="IQ_OTHER_EQUITY_BR" hidden="1">"c888"</definedName>
    <definedName name="IQ_OTHER_EQUITY_FIN" hidden="1">"c889"</definedName>
    <definedName name="IQ_OTHER_EQUITY_INS" hidden="1">"c890"</definedName>
    <definedName name="IQ_OTHER_EQUITY_REIT" hidden="1">"c891"</definedName>
    <definedName name="IQ_OTHER_EQUITY_UTI" hidden="1">"c892"</definedName>
    <definedName name="IQ_OTHER_FINANCE_ACT" hidden="1">"c893"</definedName>
    <definedName name="IQ_OTHER_FINANCE_ACT_BNK" hidden="1">"c894"</definedName>
    <definedName name="IQ_OTHER_FINANCE_ACT_BR" hidden="1">"c895"</definedName>
    <definedName name="IQ_OTHER_FINANCE_ACT_FIN" hidden="1">"c896"</definedName>
    <definedName name="IQ_OTHER_FINANCE_ACT_INS" hidden="1">"c897"</definedName>
    <definedName name="IQ_OTHER_FINANCE_ACT_REIT" hidden="1">"c898"</definedName>
    <definedName name="IQ_OTHER_FINANCE_ACT_SUPPL" hidden="1">"c899"</definedName>
    <definedName name="IQ_OTHER_FINANCE_ACT_SUPPL_BNK" hidden="1">"c900"</definedName>
    <definedName name="IQ_OTHER_FINANCE_ACT_SUPPL_BR" hidden="1">"c901"</definedName>
    <definedName name="IQ_OTHER_FINANCE_ACT_SUPPL_FIN" hidden="1">"c902"</definedName>
    <definedName name="IQ_OTHER_FINANCE_ACT_SUPPL_INS" hidden="1">"c903"</definedName>
    <definedName name="IQ_OTHER_FINANCE_ACT_SUPPL_REIT" hidden="1">"c904"</definedName>
    <definedName name="IQ_OTHER_FINANCE_ACT_SUPPL_UTI" hidden="1">"c905"</definedName>
    <definedName name="IQ_OTHER_FINANCE_ACT_UTI" hidden="1">"c906"</definedName>
    <definedName name="IQ_OTHER_INTAN" hidden="1">"c907"</definedName>
    <definedName name="IQ_OTHER_INTAN_BNK" hidden="1">"c908"</definedName>
    <definedName name="IQ_OTHER_INTAN_BR" hidden="1">"c909"</definedName>
    <definedName name="IQ_OTHER_INTAN_FIN" hidden="1">"c910"</definedName>
    <definedName name="IQ_OTHER_INTAN_INS" hidden="1">"c911"</definedName>
    <definedName name="IQ_OTHER_INTAN_REIT" hidden="1">"c912"</definedName>
    <definedName name="IQ_OTHER_INTAN_UTI" hidden="1">"c913"</definedName>
    <definedName name="IQ_OTHER_INV" hidden="1">"c914"</definedName>
    <definedName name="IQ_OTHER_INVEST" hidden="1">"c915"</definedName>
    <definedName name="IQ_OTHER_INVEST_ACT" hidden="1">"c916"</definedName>
    <definedName name="IQ_OTHER_INVEST_ACT_BNK" hidden="1">"c917"</definedName>
    <definedName name="IQ_OTHER_INVEST_ACT_BR" hidden="1">"c918"</definedName>
    <definedName name="IQ_OTHER_INVEST_ACT_FIN" hidden="1">"c919"</definedName>
    <definedName name="IQ_OTHER_INVEST_ACT_INS" hidden="1">"c920"</definedName>
    <definedName name="IQ_OTHER_INVEST_ACT_REIT" hidden="1">"c921"</definedName>
    <definedName name="IQ_OTHER_INVEST_ACT_SUPPL" hidden="1">"c922"</definedName>
    <definedName name="IQ_OTHER_INVEST_ACT_SUPPL_BNK" hidden="1">"c923"</definedName>
    <definedName name="IQ_OTHER_INVEST_ACT_SUPPL_BR" hidden="1">"c924"</definedName>
    <definedName name="IQ_OTHER_INVEST_ACT_SUPPL_FIN" hidden="1">"c925"</definedName>
    <definedName name="IQ_OTHER_INVEST_ACT_SUPPL_INS" hidden="1">"c926"</definedName>
    <definedName name="IQ_OTHER_INVEST_ACT_SUPPL_REIT" hidden="1">"c927"</definedName>
    <definedName name="IQ_OTHER_INVEST_ACT_SUPPL_UTI" hidden="1">"c928"</definedName>
    <definedName name="IQ_OTHER_INVEST_ACT_UTI" hidden="1">"c929"</definedName>
    <definedName name="IQ_OTHER_INVESTING" hidden="1">"c1408"</definedName>
    <definedName name="IQ_OTHER_LIAB" hidden="1">"c930"</definedName>
    <definedName name="IQ_OTHER_LIAB_BNK" hidden="1">"c931"</definedName>
    <definedName name="IQ_OTHER_LIAB_BR" hidden="1">"c932"</definedName>
    <definedName name="IQ_OTHER_LIAB_FIN" hidden="1">"c933"</definedName>
    <definedName name="IQ_OTHER_LIAB_INS" hidden="1">"c934"</definedName>
    <definedName name="IQ_OTHER_LIAB_LT" hidden="1">"c935"</definedName>
    <definedName name="IQ_OTHER_LIAB_LT_BNK" hidden="1">"c936"</definedName>
    <definedName name="IQ_OTHER_LIAB_LT_BR" hidden="1">"c937"</definedName>
    <definedName name="IQ_OTHER_LIAB_LT_FIN" hidden="1">"c938"</definedName>
    <definedName name="IQ_OTHER_LIAB_LT_INS" hidden="1">"c939"</definedName>
    <definedName name="IQ_OTHER_LIAB_LT_REIT" hidden="1">"c940"</definedName>
    <definedName name="IQ_OTHER_LIAB_LT_UTI" hidden="1">"c941"</definedName>
    <definedName name="IQ_OTHER_LIAB_REIT" hidden="1">"c942"</definedName>
    <definedName name="IQ_OTHER_LIAB_UTI" hidden="1">"c943"</definedName>
    <definedName name="IQ_OTHER_LIAB_WRITTEN" hidden="1">"c944"</definedName>
    <definedName name="IQ_OTHER_LOANS" hidden="1">"c945"</definedName>
    <definedName name="IQ_OTHER_LONG_TERM" hidden="1">"c1409"</definedName>
    <definedName name="IQ_OTHER_LT_ASSETS" hidden="1">"c946"</definedName>
    <definedName name="IQ_OTHER_LT_ASSETS_BNK" hidden="1">"c947"</definedName>
    <definedName name="IQ_OTHER_LT_ASSETS_BR" hidden="1">"c948"</definedName>
    <definedName name="IQ_OTHER_LT_ASSETS_FIN" hidden="1">"c949"</definedName>
    <definedName name="IQ_OTHER_LT_ASSETS_INS" hidden="1">"c950"</definedName>
    <definedName name="IQ_OTHER_LT_ASSETS_REIT" hidden="1">"c951"</definedName>
    <definedName name="IQ_OTHER_LT_ASSETS_UTI" hidden="1">"c952"</definedName>
    <definedName name="IQ_OTHER_NET" hidden="1">"c1453"</definedName>
    <definedName name="IQ_OTHER_NON_INT_EXP" hidden="1">"c953"</definedName>
    <definedName name="IQ_OTHER_NON_INT_EXP_TOTAL" hidden="1">"c954"</definedName>
    <definedName name="IQ_OTHER_NON_INT_INC" hidden="1">"c955"</definedName>
    <definedName name="IQ_OTHER_NON_OPER_EXP" hidden="1">"c956"</definedName>
    <definedName name="IQ_OTHER_NON_OPER_EXP_BR" hidden="1">"c957"</definedName>
    <definedName name="IQ_OTHER_NON_OPER_EXP_FIN" hidden="1">"c958"</definedName>
    <definedName name="IQ_OTHER_NON_OPER_EXP_INS" hidden="1">"c959"</definedName>
    <definedName name="IQ_OTHER_NON_OPER_EXP_REIT" hidden="1">"c960"</definedName>
    <definedName name="IQ_OTHER_NON_OPER_EXP_SUPPL" hidden="1">"c961"</definedName>
    <definedName name="IQ_OTHER_NON_OPER_EXP_SUPPL_BR" hidden="1">"c962"</definedName>
    <definedName name="IQ_OTHER_NON_OPER_EXP_SUPPL_FIN" hidden="1">"c963"</definedName>
    <definedName name="IQ_OTHER_NON_OPER_EXP_SUPPL_INS" hidden="1">"c964"</definedName>
    <definedName name="IQ_OTHER_NON_OPER_EXP_SUPPL_REIT" hidden="1">"c965"</definedName>
    <definedName name="IQ_OTHER_NON_OPER_EXP_SUPPL_UTI" hidden="1">"c966"</definedName>
    <definedName name="IQ_OTHER_NON_OPER_EXP_UTI" hidden="1">"c967"</definedName>
    <definedName name="IQ_OTHER_OPER" hidden="1">"c982"</definedName>
    <definedName name="IQ_OTHER_OPER_ACT" hidden="1">"c983"</definedName>
    <definedName name="IQ_OTHER_OPER_ACT_BNK" hidden="1">"c984"</definedName>
    <definedName name="IQ_OTHER_OPER_ACT_BR" hidden="1">"c985"</definedName>
    <definedName name="IQ_OTHER_OPER_ACT_FIN" hidden="1">"c986"</definedName>
    <definedName name="IQ_OTHER_OPER_ACT_INS" hidden="1">"c987"</definedName>
    <definedName name="IQ_OTHER_OPER_ACT_REIT" hidden="1">"c988"</definedName>
    <definedName name="IQ_OTHER_OPER_ACT_UTI" hidden="1">"c989"</definedName>
    <definedName name="IQ_OTHER_OPER_BR" hidden="1">"c990"</definedName>
    <definedName name="IQ_OTHER_OPER_FIN" hidden="1">"c991"</definedName>
    <definedName name="IQ_OTHER_OPER_INS" hidden="1">"c992"</definedName>
    <definedName name="IQ_OTHER_OPER_REIT" hidden="1">"c993"</definedName>
    <definedName name="IQ_OTHER_OPER_SUPPL_BR" hidden="1">"c994"</definedName>
    <definedName name="IQ_OTHER_OPER_SUPPL_FIN" hidden="1">"c995"</definedName>
    <definedName name="IQ_OTHER_OPER_SUPPL_INS" hidden="1">"c996"</definedName>
    <definedName name="IQ_OTHER_OPER_SUPPL_REIT" hidden="1">"c997"</definedName>
    <definedName name="IQ_OTHER_OPER_SUPPL_UTI" hidden="1">"c998"</definedName>
    <definedName name="IQ_OTHER_OPER_TOT_BNK" hidden="1">"c999"</definedName>
    <definedName name="IQ_OTHER_OPER_TOT_BR" hidden="1">"c1000"</definedName>
    <definedName name="IQ_OTHER_OPER_TOT_FIN" hidden="1">"c1001"</definedName>
    <definedName name="IQ_OTHER_OPER_TOT_INS" hidden="1">"c1002"</definedName>
    <definedName name="IQ_OTHER_OPER_TOT_REIT" hidden="1">"c1003"</definedName>
    <definedName name="IQ_OTHER_OPER_TOT_UTI" hidden="1">"c1004"</definedName>
    <definedName name="IQ_OTHER_OPER_UTI" hidden="1">"c1005"</definedName>
    <definedName name="IQ_OTHER_OPTIONS_BEG_OS" hidden="1">"c2686"</definedName>
    <definedName name="IQ_OTHER_OPTIONS_CANCELLED" hidden="1">"c2689"</definedName>
    <definedName name="IQ_OTHER_OPTIONS_END_OS" hidden="1">"c2690"</definedName>
    <definedName name="IQ_OTHER_OPTIONS_EXERCISED" hidden="1">"c2688"</definedName>
    <definedName name="IQ_OTHER_OPTIONS_GRANTED" hidden="1">"c2687"</definedName>
    <definedName name="IQ_OTHER_OPTIONS_STRIKE_PRICE_OS" hidden="1">"c2691"</definedName>
    <definedName name="IQ_OTHER_OUTSTANDING_BS_DATE" hidden="1">"c1972"</definedName>
    <definedName name="IQ_OTHER_OUTSTANDING_FILING_DATE" hidden="1">"c1974"</definedName>
    <definedName name="IQ_OTHER_PC_WRITTEN" hidden="1">"c1006"</definedName>
    <definedName name="IQ_OTHER_REAL_ESTATE" hidden="1">"c1007"</definedName>
    <definedName name="IQ_OTHER_RECEIV" hidden="1">"c1008"</definedName>
    <definedName name="IQ_OTHER_RECEIV_INS" hidden="1">"c1009"</definedName>
    <definedName name="IQ_OTHER_REV" hidden="1">"c1010"</definedName>
    <definedName name="IQ_OTHER_REV_BR" hidden="1">"c1011"</definedName>
    <definedName name="IQ_OTHER_REV_FIN" hidden="1">"c1012"</definedName>
    <definedName name="IQ_OTHER_REV_INS" hidden="1">"c1013"</definedName>
    <definedName name="IQ_OTHER_REV_REIT" hidden="1">"c1014"</definedName>
    <definedName name="IQ_OTHER_REV_SUPPL" hidden="1">"c1015"</definedName>
    <definedName name="IQ_OTHER_REV_SUPPL_BR" hidden="1">"c1016"</definedName>
    <definedName name="IQ_OTHER_REV_SUPPL_FIN" hidden="1">"c1017"</definedName>
    <definedName name="IQ_OTHER_REV_SUPPL_INS" hidden="1">"c1018"</definedName>
    <definedName name="IQ_OTHER_REV_SUPPL_REIT" hidden="1">"c1019"</definedName>
    <definedName name="IQ_OTHER_REV_SUPPL_UTI" hidden="1">"c1020"</definedName>
    <definedName name="IQ_OTHER_REV_UTI" hidden="1">"c1021"</definedName>
    <definedName name="IQ_OTHER_REVENUE" hidden="1">"c1410"</definedName>
    <definedName name="IQ_OTHER_STRIKE_PRICE_GRANTED" hidden="1">"c2692"</definedName>
    <definedName name="IQ_OTHER_UNDRAWN" hidden="1">"c2522"</definedName>
    <definedName name="IQ_OTHER_UNUSUAL" hidden="1">"c1488"</definedName>
    <definedName name="IQ_OTHER_UNUSUAL_BNK" hidden="1">"c1560"</definedName>
    <definedName name="IQ_OTHER_UNUSUAL_BR" hidden="1">"c1561"</definedName>
    <definedName name="IQ_OTHER_UNUSUAL_FIN" hidden="1">"c1562"</definedName>
    <definedName name="IQ_OTHER_UNUSUAL_INS" hidden="1">"c1563"</definedName>
    <definedName name="IQ_OTHER_UNUSUAL_REIT" hidden="1">"c1564"</definedName>
    <definedName name="IQ_OTHER_UNUSUAL_SUPPL" hidden="1">"c1494"</definedName>
    <definedName name="IQ_OTHER_UNUSUAL_SUPPL_BNK" hidden="1">"c1495"</definedName>
    <definedName name="IQ_OTHER_UNUSUAL_SUPPL_BR" hidden="1">"c1496"</definedName>
    <definedName name="IQ_OTHER_UNUSUAL_SUPPL_FIN" hidden="1">"c1497"</definedName>
    <definedName name="IQ_OTHER_UNUSUAL_SUPPL_INS" hidden="1">"c1498"</definedName>
    <definedName name="IQ_OTHER_UNUSUAL_SUPPL_REIT" hidden="1">"c1499"</definedName>
    <definedName name="IQ_OTHER_UNUSUAL_SUPPL_UTI" hidden="1">"c1500"</definedName>
    <definedName name="IQ_OTHER_UNUSUAL_UTI" hidden="1">"c1565"</definedName>
    <definedName name="IQ_OTHER_WARRANTS_BEG_OS" hidden="1">"c2712"</definedName>
    <definedName name="IQ_OTHER_WARRANTS_CANCELLED" hidden="1">"c2715"</definedName>
    <definedName name="IQ_OTHER_WARRANTS_END_OS" hidden="1">"c2716"</definedName>
    <definedName name="IQ_OTHER_WARRANTS_EXERCISED" hidden="1">"c2714"</definedName>
    <definedName name="IQ_OTHER_WARRANTS_ISSUED" hidden="1">"c2713"</definedName>
    <definedName name="IQ_OTHER_WARRANTS_STRIKE_PRICE_ISSUED" hidden="1">"c2718"</definedName>
    <definedName name="IQ_OTHER_WARRANTS_STRIKE_PRICE_OS" hidden="1">"c2717"</definedName>
    <definedName name="IQ_OUTSTANDING_BS_DATE" hidden="1">"c2128"</definedName>
    <definedName name="IQ_OUTSTANDING_FILING_DATE" hidden="1">"c2127"</definedName>
    <definedName name="IQ_OWNERSHIP" hidden="1">"c2160"</definedName>
    <definedName name="IQ_PART_TIME" hidden="1">"c1024"</definedName>
    <definedName name="IQ_PAY_ACCRUED" hidden="1">"c1457"</definedName>
    <definedName name="IQ_PAYOUT_RATIO" hidden="1">"c1900"</definedName>
    <definedName name="IQ_PBV" hidden="1">"c1025"</definedName>
    <definedName name="IQ_PBV_AVG" hidden="1">"c1026"</definedName>
    <definedName name="IQ_PC_EARNED" hidden="1">"c2749"</definedName>
    <definedName name="IQ_PC_GAAP_COMBINED_RATIO" hidden="1">"c2781"</definedName>
    <definedName name="IQ_PC_GAAP_COMBINED_RATIO_EXCL_CL" hidden="1">"c2782"</definedName>
    <definedName name="IQ_PC_GAAP_EXPENSE_RATIO" hidden="1">"c2780"</definedName>
    <definedName name="IQ_PC_GAAP_LOSS" hidden="1">"c2779"</definedName>
    <definedName name="IQ_PC_POLICY_BENEFITS_EXP" hidden="1">"c2790"</definedName>
    <definedName name="IQ_PC_STAT_COMBINED_RATIO" hidden="1">"c2778"</definedName>
    <definedName name="IQ_PC_STAT_COMBINED_RATIO_EXCL_DIV" hidden="1">"c2777"</definedName>
    <definedName name="IQ_PC_STAT_DIVIDEND_RATIO" hidden="1">"c2776"</definedName>
    <definedName name="IQ_PC_STAT_EXPENSE_RATIO" hidden="1">"c2775"</definedName>
    <definedName name="IQ_PC_STAT_LOSS_RATIO" hidden="1">"c2774"</definedName>
    <definedName name="IQ_PC_STATUTORY_SURPLUS" hidden="1">"c2770"</definedName>
    <definedName name="IQ_PC_WRITTEN" hidden="1">"c1027"</definedName>
    <definedName name="IQ_PE_EXCL" hidden="1">"c1028"</definedName>
    <definedName name="IQ_PE_EXCL_AVG" hidden="1">"c1029"</definedName>
    <definedName name="IQ_PE_EXCL_FWD" hidden="1">"c1030"</definedName>
    <definedName name="IQ_PE_EXCL_FWD_REUT" hidden="1">"c4049"</definedName>
    <definedName name="IQ_PE_NORMALIZED" hidden="1">"c2207"</definedName>
    <definedName name="IQ_PE_RATIO" hidden="1">"c1610"</definedName>
    <definedName name="IQ_PEG_FWD" hidden="1">"c1863"</definedName>
    <definedName name="IQ_PEG_FWD_REUT" hidden="1">"c4052"</definedName>
    <definedName name="IQ_PENSION" hidden="1">"c1031"</definedName>
    <definedName name="IQ_PENSION_ACCRUED_LIAB" hidden="1">"c3134"</definedName>
    <definedName name="IQ_PENSION_ACCRUED_LIAB_DOM" hidden="1">"c3132"</definedName>
    <definedName name="IQ_PENSION_ACCRUED_LIAB_FOREIGN" hidden="1">"c3133"</definedName>
    <definedName name="IQ_PENSION_ACCUM_OTHER_CI" hidden="1">"c3140"</definedName>
    <definedName name="IQ_PENSION_ACCUM_OTHER_CI_DOM" hidden="1">"c3138"</definedName>
    <definedName name="IQ_PENSION_ACCUM_OTHER_CI_FOREIGN" hidden="1">"c3139"</definedName>
    <definedName name="IQ_PENSION_ACCUMULATED_OBLIGATION" hidden="1">"c3570"</definedName>
    <definedName name="IQ_PENSION_ACCUMULATED_OBLIGATION_DOMESTIC" hidden="1">"c3568"</definedName>
    <definedName name="IQ_PENSION_ACCUMULATED_OBLIGATION_FOREIGN" hidden="1">"c3569"</definedName>
    <definedName name="IQ_PENSION_ASSETS" hidden="1">"c3182"</definedName>
    <definedName name="IQ_PENSION_ASSETS_ACQ" hidden="1">"c3173"</definedName>
    <definedName name="IQ_PENSION_ASSETS_ACQ_DOM" hidden="1">"c3171"</definedName>
    <definedName name="IQ_PENSION_ASSETS_ACQ_FOREIGN" hidden="1">"c3172"</definedName>
    <definedName name="IQ_PENSION_ASSETS_ACTUAL_RETURN" hidden="1">"c3158"</definedName>
    <definedName name="IQ_PENSION_ASSETS_ACTUAL_RETURN_DOM" hidden="1">"c3156"</definedName>
    <definedName name="IQ_PENSION_ASSETS_ACTUAL_RETURN_FOREIGN" hidden="1">"c3157"</definedName>
    <definedName name="IQ_PENSION_ASSETS_BEG" hidden="1">"c3155"</definedName>
    <definedName name="IQ_PENSION_ASSETS_BEG_DOM" hidden="1">"c3153"</definedName>
    <definedName name="IQ_PENSION_ASSETS_BEG_FOREIGN" hidden="1">"c3154"</definedName>
    <definedName name="IQ_PENSION_ASSETS_BENEFITS_PAID" hidden="1">"c3167"</definedName>
    <definedName name="IQ_PENSION_ASSETS_BENEFITS_PAID_DOM" hidden="1">"c3165"</definedName>
    <definedName name="IQ_PENSION_ASSETS_BENEFITS_PAID_FOREIGN" hidden="1">"c3166"</definedName>
    <definedName name="IQ_PENSION_ASSETS_CURTAIL" hidden="1">"c3176"</definedName>
    <definedName name="IQ_PENSION_ASSETS_CURTAIL_DOM" hidden="1">"c3174"</definedName>
    <definedName name="IQ_PENSION_ASSETS_CURTAIL_FOREIGN" hidden="1">"c3175"</definedName>
    <definedName name="IQ_PENSION_ASSETS_DOM" hidden="1">"c3180"</definedName>
    <definedName name="IQ_PENSION_ASSETS_EMPLOYER_CONTRIBUTIONS" hidden="1">"c3161"</definedName>
    <definedName name="IQ_PENSION_ASSETS_EMPLOYER_CONTRIBUTIONS_DOM" hidden="1">"c3159"</definedName>
    <definedName name="IQ_PENSION_ASSETS_EMPLOYER_CONTRIBUTIONS_FOREIGN" hidden="1">"c3160"</definedName>
    <definedName name="IQ_PENSION_ASSETS_FOREIGN" hidden="1">"c3181"</definedName>
    <definedName name="IQ_PENSION_ASSETS_FX_ADJ" hidden="1">"c3170"</definedName>
    <definedName name="IQ_PENSION_ASSETS_FX_ADJ_DOM" hidden="1">"c3168"</definedName>
    <definedName name="IQ_PENSION_ASSETS_FX_ADJ_FOREIGN" hidden="1">"c3169"</definedName>
    <definedName name="IQ_PENSION_ASSETS_OTHER_PLAN_ADJ" hidden="1">"c3179"</definedName>
    <definedName name="IQ_PENSION_ASSETS_OTHER_PLAN_ADJ_DOM" hidden="1">"c3177"</definedName>
    <definedName name="IQ_PENSION_ASSETS_OTHER_PLAN_ADJ_FOREIGN" hidden="1">"c3178"</definedName>
    <definedName name="IQ_PENSION_ASSETS_PARTICIP_CONTRIBUTIONS" hidden="1">"c3164"</definedName>
    <definedName name="IQ_PENSION_ASSETS_PARTICIP_CONTRIBUTIONS_DOM" hidden="1">"c3162"</definedName>
    <definedName name="IQ_PENSION_ASSETS_PARTICIP_CONTRIBUTIONS_FOREIGN" hidden="1">"c3163"</definedName>
    <definedName name="IQ_PENSION_BENEFIT_INFO_DATE" hidden="1">"c3230"</definedName>
    <definedName name="IQ_PENSION_BENEFIT_INFO_DATE_DOM" hidden="1">"c3228"</definedName>
    <definedName name="IQ_PENSION_BENEFIT_INFO_DATE_FOREIGN" hidden="1">"c3229"</definedName>
    <definedName name="IQ_PENSION_BREAKDOWN_EQ" hidden="1">"c3101"</definedName>
    <definedName name="IQ_PENSION_BREAKDOWN_EQ_DOM" hidden="1">"c3099"</definedName>
    <definedName name="IQ_PENSION_BREAKDOWN_EQ_FOREIGN" hidden="1">"c3100"</definedName>
    <definedName name="IQ_PENSION_BREAKDOWN_FI" hidden="1">"c3104"</definedName>
    <definedName name="IQ_PENSION_BREAKDOWN_FI_DOM" hidden="1">"c3102"</definedName>
    <definedName name="IQ_PENSION_BREAKDOWN_FI_FOREIGN" hidden="1">"c3103"</definedName>
    <definedName name="IQ_PENSION_BREAKDOWN_OTHER" hidden="1">"c3110"</definedName>
    <definedName name="IQ_PENSION_BREAKDOWN_OTHER_DOM" hidden="1">"c3108"</definedName>
    <definedName name="IQ_PENSION_BREAKDOWN_OTHER_FOREIGN" hidden="1">"c3109"</definedName>
    <definedName name="IQ_PENSION_BREAKDOWN_PCT_EQ" hidden="1">"c3089"</definedName>
    <definedName name="IQ_PENSION_BREAKDOWN_PCT_EQ_DOM" hidden="1">"c3087"</definedName>
    <definedName name="IQ_PENSION_BREAKDOWN_PCT_EQ_FOREIGN" hidden="1">"c3088"</definedName>
    <definedName name="IQ_PENSION_BREAKDOWN_PCT_FI" hidden="1">"c3092"</definedName>
    <definedName name="IQ_PENSION_BREAKDOWN_PCT_FI_DOM" hidden="1">"c3090"</definedName>
    <definedName name="IQ_PENSION_BREAKDOWN_PCT_FI_FOREIGN" hidden="1">"c3091"</definedName>
    <definedName name="IQ_PENSION_BREAKDOWN_PCT_OTHER" hidden="1">"c3098"</definedName>
    <definedName name="IQ_PENSION_BREAKDOWN_PCT_OTHER_DOM" hidden="1">"c3096"</definedName>
    <definedName name="IQ_PENSION_BREAKDOWN_PCT_OTHER_FOREIGN" hidden="1">"c3097"</definedName>
    <definedName name="IQ_PENSION_BREAKDOWN_PCT_RE" hidden="1">"c3095"</definedName>
    <definedName name="IQ_PENSION_BREAKDOWN_PCT_RE_DOM" hidden="1">"c3093"</definedName>
    <definedName name="IQ_PENSION_BREAKDOWN_PCT_RE_FOREIGN" hidden="1">"c3094"</definedName>
    <definedName name="IQ_PENSION_BREAKDOWN_RE" hidden="1">"c3107"</definedName>
    <definedName name="IQ_PENSION_BREAKDOWN_RE_DOM" hidden="1">"c3105"</definedName>
    <definedName name="IQ_PENSION_BREAKDOWN_RE_FOREIGN" hidden="1">"c3106"</definedName>
    <definedName name="IQ_PENSION_CONTRIBUTION_TOTAL_COST" hidden="1">"c3559"</definedName>
    <definedName name="IQ_PENSION_DISC_RATE_MAX" hidden="1">"c3236"</definedName>
    <definedName name="IQ_PENSION_DISC_RATE_MAX_DOM" hidden="1">"c3234"</definedName>
    <definedName name="IQ_PENSION_DISC_RATE_MAX_FOREIGN" hidden="1">"c3235"</definedName>
    <definedName name="IQ_PENSION_DISC_RATE_MIN" hidden="1">"c3233"</definedName>
    <definedName name="IQ_PENSION_DISC_RATE_MIN_DOM" hidden="1">"c3231"</definedName>
    <definedName name="IQ_PENSION_DISC_RATE_MIN_FOREIGN" hidden="1">"c3232"</definedName>
    <definedName name="IQ_PENSION_DISCOUNT_RATE_DOMESTIC" hidden="1">"c3573"</definedName>
    <definedName name="IQ_PENSION_DISCOUNT_RATE_FOREIGN" hidden="1">"c3574"</definedName>
    <definedName name="IQ_PENSION_EST_BENEFIT_1YR" hidden="1">"c3113"</definedName>
    <definedName name="IQ_PENSION_EST_BENEFIT_1YR_DOM" hidden="1">"c3111"</definedName>
    <definedName name="IQ_PENSION_EST_BENEFIT_1YR_FOREIGN" hidden="1">"c3112"</definedName>
    <definedName name="IQ_PENSION_EST_BENEFIT_2YR" hidden="1">"c3116"</definedName>
    <definedName name="IQ_PENSION_EST_BENEFIT_2YR_DOM" hidden="1">"c3114"</definedName>
    <definedName name="IQ_PENSION_EST_BENEFIT_2YR_FOREIGN" hidden="1">"c3115"</definedName>
    <definedName name="IQ_PENSION_EST_BENEFIT_3YR" hidden="1">"c3119"</definedName>
    <definedName name="IQ_PENSION_EST_BENEFIT_3YR_DOM" hidden="1">"c3117"</definedName>
    <definedName name="IQ_PENSION_EST_BENEFIT_3YR_FOREIGN" hidden="1">"c3118"</definedName>
    <definedName name="IQ_PENSION_EST_BENEFIT_4YR" hidden="1">"c3122"</definedName>
    <definedName name="IQ_PENSION_EST_BENEFIT_4YR_DOM" hidden="1">"c3120"</definedName>
    <definedName name="IQ_PENSION_EST_BENEFIT_4YR_FOREIGN" hidden="1">"c3121"</definedName>
    <definedName name="IQ_PENSION_EST_BENEFIT_5YR" hidden="1">"c3125"</definedName>
    <definedName name="IQ_PENSION_EST_BENEFIT_5YR_DOM" hidden="1">"c3123"</definedName>
    <definedName name="IQ_PENSION_EST_BENEFIT_5YR_FOREIGN" hidden="1">"c3124"</definedName>
    <definedName name="IQ_PENSION_EST_BENEFIT_AFTER5" hidden="1">"c3128"</definedName>
    <definedName name="IQ_PENSION_EST_BENEFIT_AFTER5_DOM" hidden="1">"c3126"</definedName>
    <definedName name="IQ_PENSION_EST_BENEFIT_AFTER5_FOREIGN" hidden="1">"c3127"</definedName>
    <definedName name="IQ_PENSION_EST_CONTRIBUTIONS_NEXTYR" hidden="1">"c3218"</definedName>
    <definedName name="IQ_PENSION_EST_CONTRIBUTIONS_NEXTYR_DOM" hidden="1">"c3216"</definedName>
    <definedName name="IQ_PENSION_EST_CONTRIBUTIONS_NEXTYR_FOREIGN" hidden="1">"c3217"</definedName>
    <definedName name="IQ_PENSION_EXP_RATE_RETURN_MAX" hidden="1">"c3248"</definedName>
    <definedName name="IQ_PENSION_EXP_RATE_RETURN_MAX_DOM" hidden="1">"c3246"</definedName>
    <definedName name="IQ_PENSION_EXP_RATE_RETURN_MAX_FOREIGN" hidden="1">"c3247"</definedName>
    <definedName name="IQ_PENSION_EXP_RATE_RETURN_MIN" hidden="1">"c3245"</definedName>
    <definedName name="IQ_PENSION_EXP_RATE_RETURN_MIN_DOM" hidden="1">"c3243"</definedName>
    <definedName name="IQ_PENSION_EXP_RATE_RETURN_MIN_FOREIGN" hidden="1">"c3244"</definedName>
    <definedName name="IQ_PENSION_EXP_RETURN_DOMESTIC" hidden="1">"c3571"</definedName>
    <definedName name="IQ_PENSION_EXP_RETURN_FOREIGN" hidden="1">"c3572"</definedName>
    <definedName name="IQ_PENSION_INTAN_ASSETS" hidden="1">"c3137"</definedName>
    <definedName name="IQ_PENSION_INTAN_ASSETS_DOM" hidden="1">"c3135"</definedName>
    <definedName name="IQ_PENSION_INTAN_ASSETS_FOREIGN" hidden="1">"c3136"</definedName>
    <definedName name="IQ_PENSION_INTEREST_COST" hidden="1">"c3582"</definedName>
    <definedName name="IQ_PENSION_INTEREST_COST_DOM" hidden="1">"c3580"</definedName>
    <definedName name="IQ_PENSION_INTEREST_COST_FOREIGN" hidden="1">"c3581"</definedName>
    <definedName name="IQ_PENSION_NET_ASSET_RECOG" hidden="1">"c3152"</definedName>
    <definedName name="IQ_PENSION_NET_ASSET_RECOG_DOM" hidden="1">"c3150"</definedName>
    <definedName name="IQ_PENSION_NET_ASSET_RECOG_FOREIGN" hidden="1">"c3151"</definedName>
    <definedName name="IQ_PENSION_OBLIGATION_ACQ" hidden="1">"c3206"</definedName>
    <definedName name="IQ_PENSION_OBLIGATION_ACQ_DOM" hidden="1">"c3204"</definedName>
    <definedName name="IQ_PENSION_OBLIGATION_ACQ_FOREIGN" hidden="1">"c3205"</definedName>
    <definedName name="IQ_PENSION_OBLIGATION_ACTUARIAL_GAIN_LOSS" hidden="1">"c3197"</definedName>
    <definedName name="IQ_PENSION_OBLIGATION_ACTUARIAL_GAIN_LOSS_DOM" hidden="1">"c3195"</definedName>
    <definedName name="IQ_PENSION_OBLIGATION_ACTUARIAL_GAIN_LOSS_FOREIGN" hidden="1">"c3196"</definedName>
    <definedName name="IQ_PENSION_OBLIGATION_BEG" hidden="1">"c3185"</definedName>
    <definedName name="IQ_PENSION_OBLIGATION_BEG_DOM" hidden="1">"c3183"</definedName>
    <definedName name="IQ_PENSION_OBLIGATION_BEG_FOREIGN" hidden="1">"c3184"</definedName>
    <definedName name="IQ_PENSION_OBLIGATION_CURTAIL" hidden="1">"c3209"</definedName>
    <definedName name="IQ_PENSION_OBLIGATION_CURTAIL_DOM" hidden="1">"c3207"</definedName>
    <definedName name="IQ_PENSION_OBLIGATION_CURTAIL_FOREIGN" hidden="1">"c3208"</definedName>
    <definedName name="IQ_PENSION_OBLIGATION_EMPLOYEE_CONTRIBUTIONS" hidden="1">"c3194"</definedName>
    <definedName name="IQ_PENSION_OBLIGATION_EMPLOYEE_CONTRIBUTIONS_DOM" hidden="1">"c3192"</definedName>
    <definedName name="IQ_PENSION_OBLIGATION_EMPLOYEE_CONTRIBUTIONS_FOREIGN" hidden="1">"c3193"</definedName>
    <definedName name="IQ_PENSION_OBLIGATION_FX_ADJ" hidden="1">"c3203"</definedName>
    <definedName name="IQ_PENSION_OBLIGATION_FX_ADJ_DOM" hidden="1">"c3201"</definedName>
    <definedName name="IQ_PENSION_OBLIGATION_FX_ADJ_FOREIGN" hidden="1">"c3202"</definedName>
    <definedName name="IQ_PENSION_OBLIGATION_INTEREST_COST" hidden="1">"c3191"</definedName>
    <definedName name="IQ_PENSION_OBLIGATION_INTEREST_COST_DOM" hidden="1">"c3189"</definedName>
    <definedName name="IQ_PENSION_OBLIGATION_INTEREST_COST_FOREIGN" hidden="1">"c3190"</definedName>
    <definedName name="IQ_PENSION_OBLIGATION_OTHER_COST" hidden="1">"c3555"</definedName>
    <definedName name="IQ_PENSION_OBLIGATION_OTHER_COST_DOM" hidden="1">"c3553"</definedName>
    <definedName name="IQ_PENSION_OBLIGATION_OTHER_COST_FOREIGN" hidden="1">"c3554"</definedName>
    <definedName name="IQ_PENSION_OBLIGATION_OTHER_PLAN_ADJ" hidden="1">"c3212"</definedName>
    <definedName name="IQ_PENSION_OBLIGATION_OTHER_PLAN_ADJ_DOM" hidden="1">"c3210"</definedName>
    <definedName name="IQ_PENSION_OBLIGATION_OTHER_PLAN_ADJ_FOREIGN" hidden="1">"c3211"</definedName>
    <definedName name="IQ_PENSION_OBLIGATION_PAID" hidden="1">"c3200"</definedName>
    <definedName name="IQ_PENSION_OBLIGATION_PAID_DOM" hidden="1">"c3198"</definedName>
    <definedName name="IQ_PENSION_OBLIGATION_PAID_FOREIGN" hidden="1">"c3199"</definedName>
    <definedName name="IQ_PENSION_OBLIGATION_PROJECTED" hidden="1">"c3215"</definedName>
    <definedName name="IQ_PENSION_OBLIGATION_PROJECTED_DOM" hidden="1">"c3213"</definedName>
    <definedName name="IQ_PENSION_OBLIGATION_PROJECTED_FOREIGN" hidden="1">"c3214"</definedName>
    <definedName name="IQ_PENSION_OBLIGATION_ROA" hidden="1">"c3552"</definedName>
    <definedName name="IQ_PENSION_OBLIGATION_ROA_DOM" hidden="1">"c3550"</definedName>
    <definedName name="IQ_PENSION_OBLIGATION_ROA_FOREIGN" hidden="1">"c3551"</definedName>
    <definedName name="IQ_PENSION_OBLIGATION_SERVICE_COST" hidden="1">"c3188"</definedName>
    <definedName name="IQ_PENSION_OBLIGATION_SERVICE_COST_DOM" hidden="1">"c3186"</definedName>
    <definedName name="IQ_PENSION_OBLIGATION_SERVICE_COST_FOREIGN" hidden="1">"c3187"</definedName>
    <definedName name="IQ_PENSION_OBLIGATION_TOTAL_COST" hidden="1">"c3558"</definedName>
    <definedName name="IQ_PENSION_OBLIGATION_TOTAL_COST_DOM" hidden="1">"c3556"</definedName>
    <definedName name="IQ_PENSION_OBLIGATION_TOTAL_COST_FOREIGN" hidden="1">"c3557"</definedName>
    <definedName name="IQ_PENSION_OTHER" hidden="1">"c3143"</definedName>
    <definedName name="IQ_PENSION_OTHER_ADJ" hidden="1">"c3149"</definedName>
    <definedName name="IQ_PENSION_OTHER_ADJ_DOM" hidden="1">"c3147"</definedName>
    <definedName name="IQ_PENSION_OTHER_ADJ_FOREIGN" hidden="1">"c3148"</definedName>
    <definedName name="IQ_PENSION_OTHER_DOM" hidden="1">"c3141"</definedName>
    <definedName name="IQ_PENSION_OTHER_FOREIGN" hidden="1">"c3142"</definedName>
    <definedName name="IQ_PENSION_PBO_ASSUMED_RATE_RET_MAX" hidden="1">"c3254"</definedName>
    <definedName name="IQ_PENSION_PBO_ASSUMED_RATE_RET_MAX_DOM" hidden="1">"c3252"</definedName>
    <definedName name="IQ_PENSION_PBO_ASSUMED_RATE_RET_MAX_FOREIGN" hidden="1">"c3253"</definedName>
    <definedName name="IQ_PENSION_PBO_ASSUMED_RATE_RET_MIN" hidden="1">"c3251"</definedName>
    <definedName name="IQ_PENSION_PBO_ASSUMED_RATE_RET_MIN_DOM" hidden="1">"c3249"</definedName>
    <definedName name="IQ_PENSION_PBO_ASSUMED_RATE_RET_MIN_FOREIGN" hidden="1">"c3250"</definedName>
    <definedName name="IQ_PENSION_PBO_RATE_COMP_INCREASE_MAX" hidden="1">"c3260"</definedName>
    <definedName name="IQ_PENSION_PBO_RATE_COMP_INCREASE_MAX_DOM" hidden="1">"c3258"</definedName>
    <definedName name="IQ_PENSION_PBO_RATE_COMP_INCREASE_MAX_FOREIGN" hidden="1">"c3259"</definedName>
    <definedName name="IQ_PENSION_PBO_RATE_COMP_INCREASE_MIN" hidden="1">"c3257"</definedName>
    <definedName name="IQ_PENSION_PBO_RATE_COMP_INCREASE_MIN_DOM" hidden="1">"c3255"</definedName>
    <definedName name="IQ_PENSION_PBO_RATE_COMP_INCREASE_MIN_FOREIGN" hidden="1">"c3256"</definedName>
    <definedName name="IQ_PENSION_PREPAID_COST" hidden="1">"c3131"</definedName>
    <definedName name="IQ_PENSION_PREPAID_COST_DOM" hidden="1">"c3129"</definedName>
    <definedName name="IQ_PENSION_PREPAID_COST_FOREIGN" hidden="1">"c3130"</definedName>
    <definedName name="IQ_PENSION_PROJECTED_OBLIGATION" hidden="1">"c3566"</definedName>
    <definedName name="IQ_PENSION_PROJECTED_OBLIGATION_DOMESTIC" hidden="1">"c3564"</definedName>
    <definedName name="IQ_PENSION_PROJECTED_OBLIGATION_FOREIGN" hidden="1">"c3565"</definedName>
    <definedName name="IQ_PENSION_QUART_ADDL_CONTRIBUTIONS_EXP" hidden="1">"c3224"</definedName>
    <definedName name="IQ_PENSION_QUART_ADDL_CONTRIBUTIONS_EXP_DOM" hidden="1">"c3222"</definedName>
    <definedName name="IQ_PENSION_QUART_ADDL_CONTRIBUTIONS_EXP_FOREIGN" hidden="1">"c3223"</definedName>
    <definedName name="IQ_PENSION_QUART_EMPLOYER_CONTRIBUTIONS" hidden="1">"c3221"</definedName>
    <definedName name="IQ_PENSION_QUART_EMPLOYER_CONTRIBUTIONS_DOM" hidden="1">"c3219"</definedName>
    <definedName name="IQ_PENSION_QUART_EMPLOYER_CONTRIBUTIONS_FOREIGN" hidden="1">"c3220"</definedName>
    <definedName name="IQ_PENSION_RATE_COMP_GROWTH_DOMESTIC" hidden="1">"c3575"</definedName>
    <definedName name="IQ_PENSION_RATE_COMP_GROWTH_FOREIGN" hidden="1">"c3576"</definedName>
    <definedName name="IQ_PENSION_RATE_COMP_INCREASE_MAX" hidden="1">"c3242"</definedName>
    <definedName name="IQ_PENSION_RATE_COMP_INCREASE_MAX_DOM" hidden="1">"c3240"</definedName>
    <definedName name="IQ_PENSION_RATE_COMP_INCREASE_MAX_FOREIGN" hidden="1">"c3241"</definedName>
    <definedName name="IQ_PENSION_RATE_COMP_INCREASE_MIN" hidden="1">"c3239"</definedName>
    <definedName name="IQ_PENSION_RATE_COMP_INCREASE_MIN_DOM" hidden="1">"c3237"</definedName>
    <definedName name="IQ_PENSION_RATE_COMP_INCREASE_MIN_FOREIGN" hidden="1">"c3238"</definedName>
    <definedName name="IQ_PENSION_SERVICE_COST" hidden="1">"c3579"</definedName>
    <definedName name="IQ_PENSION_SERVICE_COST_DOM" hidden="1">"c3577"</definedName>
    <definedName name="IQ_PENSION_SERVICE_COST_FOREIGN" hidden="1">"c3578"</definedName>
    <definedName name="IQ_PENSION_TOTAL_ASSETS" hidden="1">"c3563"</definedName>
    <definedName name="IQ_PENSION_TOTAL_ASSETS_DOMESTIC" hidden="1">"c3561"</definedName>
    <definedName name="IQ_PENSION_TOTAL_ASSETS_FOREIGN" hidden="1">"c3562"</definedName>
    <definedName name="IQ_PENSION_TOTAL_EXP" hidden="1">"c3560"</definedName>
    <definedName name="IQ_PENSION_UNFUNDED_ADDL_MIN_LIAB" hidden="1">"c3227"</definedName>
    <definedName name="IQ_PENSION_UNFUNDED_ADDL_MIN_LIAB_DOM" hidden="1">"c3225"</definedName>
    <definedName name="IQ_PENSION_UNFUNDED_ADDL_MIN_LIAB_FOREIGN" hidden="1">"c3226"</definedName>
    <definedName name="IQ_PENSION_UNRECOG_PRIOR" hidden="1">"c3146"</definedName>
    <definedName name="IQ_PENSION_UNRECOG_PRIOR_DOM" hidden="1">"c3144"</definedName>
    <definedName name="IQ_PENSION_UNRECOG_PRIOR_FOREIGN" hidden="1">"c3145"</definedName>
    <definedName name="IQ_PENSION_UV_LIAB" hidden="1">"c3567"</definedName>
    <definedName name="IQ_PERCENT_CHANGE_EST_5YR_GROWTH_RATE_12MONTHS" hidden="1">"c1852"</definedName>
    <definedName name="IQ_PERCENT_CHANGE_EST_5YR_GROWTH_RATE_18MONTHS" hidden="1">"c1853"</definedName>
    <definedName name="IQ_PERCENT_CHANGE_EST_5YR_GROWTH_RATE_3MONTHS" hidden="1">"c1849"</definedName>
    <definedName name="IQ_PERCENT_CHANGE_EST_5YR_GROWTH_RATE_6MONTHS" hidden="1">"c1850"</definedName>
    <definedName name="IQ_PERCENT_CHANGE_EST_5YR_GROWTH_RATE_9MONTHS" hidden="1">"c1851"</definedName>
    <definedName name="IQ_PERCENT_CHANGE_EST_5YR_GROWTH_RATE_DAY" hidden="1">"c1846"</definedName>
    <definedName name="IQ_PERCENT_CHANGE_EST_5YR_GROWTH_RATE_MONTH" hidden="1">"c1848"</definedName>
    <definedName name="IQ_PERCENT_CHANGE_EST_5YR_GROWTH_RATE_WEEK" hidden="1">"c1847"</definedName>
    <definedName name="IQ_PERCENT_CHANGE_EST_CFPS_12MONTHS" hidden="1">"c1812"</definedName>
    <definedName name="IQ_PERCENT_CHANGE_EST_CFPS_18MONTHS" hidden="1">"c1813"</definedName>
    <definedName name="IQ_PERCENT_CHANGE_EST_CFPS_3MONTHS" hidden="1">"c1809"</definedName>
    <definedName name="IQ_PERCENT_CHANGE_EST_CFPS_6MONTHS" hidden="1">"c1810"</definedName>
    <definedName name="IQ_PERCENT_CHANGE_EST_CFPS_9MONTHS" hidden="1">"c1811"</definedName>
    <definedName name="IQ_PERCENT_CHANGE_EST_CFPS_DAY" hidden="1">"c1806"</definedName>
    <definedName name="IQ_PERCENT_CHANGE_EST_CFPS_MONTH" hidden="1">"c1808"</definedName>
    <definedName name="IQ_PERCENT_CHANGE_EST_CFPS_WEEK" hidden="1">"c1807"</definedName>
    <definedName name="IQ_PERCENT_CHANGE_EST_DPS_12MONTHS" hidden="1">"c1820"</definedName>
    <definedName name="IQ_PERCENT_CHANGE_EST_DPS_18MONTHS" hidden="1">"c1821"</definedName>
    <definedName name="IQ_PERCENT_CHANGE_EST_DPS_3MONTHS" hidden="1">"c1817"</definedName>
    <definedName name="IQ_PERCENT_CHANGE_EST_DPS_6MONTHS" hidden="1">"c1818"</definedName>
    <definedName name="IQ_PERCENT_CHANGE_EST_DPS_9MONTHS" hidden="1">"c1819"</definedName>
    <definedName name="IQ_PERCENT_CHANGE_EST_DPS_DAY" hidden="1">"c1814"</definedName>
    <definedName name="IQ_PERCENT_CHANGE_EST_DPS_MONTH" hidden="1">"c1816"</definedName>
    <definedName name="IQ_PERCENT_CHANGE_EST_DPS_WEEK" hidden="1">"c1815"</definedName>
    <definedName name="IQ_PERCENT_CHANGE_EST_EBITDA_12MONTHS" hidden="1">"c1804"</definedName>
    <definedName name="IQ_PERCENT_CHANGE_EST_EBITDA_18MONTHS" hidden="1">"c1805"</definedName>
    <definedName name="IQ_PERCENT_CHANGE_EST_EBITDA_3MONTHS" hidden="1">"c1801"</definedName>
    <definedName name="IQ_PERCENT_CHANGE_EST_EBITDA_6MONTHS" hidden="1">"c1802"</definedName>
    <definedName name="IQ_PERCENT_CHANGE_EST_EBITDA_9MONTHS" hidden="1">"c1803"</definedName>
    <definedName name="IQ_PERCENT_CHANGE_EST_EBITDA_DAY" hidden="1">"c1798"</definedName>
    <definedName name="IQ_PERCENT_CHANGE_EST_EBITDA_MONTH" hidden="1">"c1800"</definedName>
    <definedName name="IQ_PERCENT_CHANGE_EST_EBITDA_WEEK" hidden="1">"c1799"</definedName>
    <definedName name="IQ_PERCENT_CHANGE_EST_EPS_12MONTHS" hidden="1">"c1788"</definedName>
    <definedName name="IQ_PERCENT_CHANGE_EST_EPS_18MONTHS" hidden="1">"c1789"</definedName>
    <definedName name="IQ_PERCENT_CHANGE_EST_EPS_3MONTHS" hidden="1">"c1785"</definedName>
    <definedName name="IQ_PERCENT_CHANGE_EST_EPS_6MONTHS" hidden="1">"c1786"</definedName>
    <definedName name="IQ_PERCENT_CHANGE_EST_EPS_9MONTHS" hidden="1">"c1787"</definedName>
    <definedName name="IQ_PERCENT_CHANGE_EST_EPS_DAY" hidden="1">"c1782"</definedName>
    <definedName name="IQ_PERCENT_CHANGE_EST_EPS_MONTH" hidden="1">"c1784"</definedName>
    <definedName name="IQ_PERCENT_CHANGE_EST_EPS_WEEK" hidden="1">"c1783"</definedName>
    <definedName name="IQ_PERCENT_CHANGE_EST_FFO_12MONTHS" hidden="1">"c1828"</definedName>
    <definedName name="IQ_PERCENT_CHANGE_EST_FFO_18MONTHS" hidden="1">"c1829"</definedName>
    <definedName name="IQ_PERCENT_CHANGE_EST_FFO_3MONTHS" hidden="1">"c1825"</definedName>
    <definedName name="IQ_PERCENT_CHANGE_EST_FFO_6MONTHS" hidden="1">"c1826"</definedName>
    <definedName name="IQ_PERCENT_CHANGE_EST_FFO_9MONTHS" hidden="1">"c1827"</definedName>
    <definedName name="IQ_PERCENT_CHANGE_EST_FFO_DAY" hidden="1">"c1822"</definedName>
    <definedName name="IQ_PERCENT_CHANGE_EST_FFO_MONTH" hidden="1">"c1824"</definedName>
    <definedName name="IQ_PERCENT_CHANGE_EST_FFO_WEEK" hidden="1">"c1823"</definedName>
    <definedName name="IQ_PERCENT_CHANGE_EST_PRICE_TARGET_12MONTHS" hidden="1">"c1844"</definedName>
    <definedName name="IQ_PERCENT_CHANGE_EST_PRICE_TARGET_18MONTHS" hidden="1">"c1845"</definedName>
    <definedName name="IQ_PERCENT_CHANGE_EST_PRICE_TARGET_3MONTHS" hidden="1">"c1841"</definedName>
    <definedName name="IQ_PERCENT_CHANGE_EST_PRICE_TARGET_6MONTHS" hidden="1">"c1842"</definedName>
    <definedName name="IQ_PERCENT_CHANGE_EST_PRICE_TARGET_9MONTHS" hidden="1">"c1843"</definedName>
    <definedName name="IQ_PERCENT_CHANGE_EST_PRICE_TARGET_DAY" hidden="1">"c1838"</definedName>
    <definedName name="IQ_PERCENT_CHANGE_EST_PRICE_TARGET_MONTH" hidden="1">"c1840"</definedName>
    <definedName name="IQ_PERCENT_CHANGE_EST_PRICE_TARGET_WEEK" hidden="1">"c1839"</definedName>
    <definedName name="IQ_PERCENT_CHANGE_EST_RECO_12MONTHS" hidden="1">"c1836"</definedName>
    <definedName name="IQ_PERCENT_CHANGE_EST_RECO_18MONTHS" hidden="1">"c1837"</definedName>
    <definedName name="IQ_PERCENT_CHANGE_EST_RECO_3MONTHS" hidden="1">"c1833"</definedName>
    <definedName name="IQ_PERCENT_CHANGE_EST_RECO_6MONTHS" hidden="1">"c1834"</definedName>
    <definedName name="IQ_PERCENT_CHANGE_EST_RECO_9MONTHS" hidden="1">"c1835"</definedName>
    <definedName name="IQ_PERCENT_CHANGE_EST_RECO_DAY" hidden="1">"c1830"</definedName>
    <definedName name="IQ_PERCENT_CHANGE_EST_RECO_MONTH" hidden="1">"c1832"</definedName>
    <definedName name="IQ_PERCENT_CHANGE_EST_RECO_WEEK" hidden="1">"c1831"</definedName>
    <definedName name="IQ_PERCENT_CHANGE_EST_REV_12MONTHS" hidden="1">"c1796"</definedName>
    <definedName name="IQ_PERCENT_CHANGE_EST_REV_18MONTHS" hidden="1">"c1797"</definedName>
    <definedName name="IQ_PERCENT_CHANGE_EST_REV_3MONTHS" hidden="1">"c1793"</definedName>
    <definedName name="IQ_PERCENT_CHANGE_EST_REV_6MONTHS" hidden="1">"c1794"</definedName>
    <definedName name="IQ_PERCENT_CHANGE_EST_REV_9MONTHS" hidden="1">"c1795"</definedName>
    <definedName name="IQ_PERCENT_CHANGE_EST_REV_DAY" hidden="1">"c1790"</definedName>
    <definedName name="IQ_PERCENT_CHANGE_EST_REV_MONTH" hidden="1">"c1792"</definedName>
    <definedName name="IQ_PERCENT_CHANGE_EST_REV_WEEK" hidden="1">"c1791"</definedName>
    <definedName name="IQ_PERIODDATE" hidden="1">"c1414"</definedName>
    <definedName name="IQ_PERIODDATE_BS" hidden="1">"c1032"</definedName>
    <definedName name="IQ_PERIODDATE_CF" hidden="1">"c1033"</definedName>
    <definedName name="IQ_PERIODDATE_IS" hidden="1">"c1034"</definedName>
    <definedName name="IQ_PERIODLENGTH_CF" hidden="1">"c1502"</definedName>
    <definedName name="IQ_PERIODLENGTH_IS" hidden="1">"c1503"</definedName>
    <definedName name="IQ_PERTYPE" hidden="1">"c1611"</definedName>
    <definedName name="IQ_PLL" hidden="1">"c2114"</definedName>
    <definedName name="IQ_PMT_FREQ" hidden="1">"c2236"</definedName>
    <definedName name="IQ_POISON_PUT_EFFECT_DATE" hidden="1">"c2486"</definedName>
    <definedName name="IQ_POISON_PUT_EXPIRATION_DATE" hidden="1">"c2487"</definedName>
    <definedName name="IQ_POISON_PUT_PRICE" hidden="1">"c2488"</definedName>
    <definedName name="IQ_POLICY_BENEFITS" hidden="1">"c1036"</definedName>
    <definedName name="IQ_POLICY_COST" hidden="1">"c1037"</definedName>
    <definedName name="IQ_POLICY_LIAB" hidden="1">"c1612"</definedName>
    <definedName name="IQ_POLICY_LOANS" hidden="1">"c1038"</definedName>
    <definedName name="IQ_POST_RETIRE_EXP" hidden="1">"c1039"</definedName>
    <definedName name="IQ_POSTPAID_CHURN" hidden="1">"c2121"</definedName>
    <definedName name="IQ_POSTPAID_SUBS" hidden="1">"c2118"</definedName>
    <definedName name="IQ_POTENTIAL_UPSIDE" hidden="1">"c1855"</definedName>
    <definedName name="IQ_PRE_OPEN_COST" hidden="1">"c1040"</definedName>
    <definedName name="IQ_PRE_TAX_ACT_OR_EST" hidden="1">"c2221"</definedName>
    <definedName name="IQ_PREF_CONVERT" hidden="1">"c1041"</definedName>
    <definedName name="IQ_PREF_DIV_CF" hidden="1">"c1042"</definedName>
    <definedName name="IQ_PREF_DIV_OTHER" hidden="1">"c1043"</definedName>
    <definedName name="IQ_PREF_DIVID" hidden="1">"c1461"</definedName>
    <definedName name="IQ_PREF_EQUITY" hidden="1">"c1044"</definedName>
    <definedName name="IQ_PREF_ISSUED" hidden="1">"c1045"</definedName>
    <definedName name="IQ_PREF_ISSUED_BNK" hidden="1">"c1046"</definedName>
    <definedName name="IQ_PREF_ISSUED_BR" hidden="1">"c1047"</definedName>
    <definedName name="IQ_PREF_ISSUED_FIN" hidden="1">"c1048"</definedName>
    <definedName name="IQ_PREF_ISSUED_INS" hidden="1">"c1049"</definedName>
    <definedName name="IQ_PREF_ISSUED_REIT" hidden="1">"c1050"</definedName>
    <definedName name="IQ_PREF_ISSUED_UTI" hidden="1">"c1051"</definedName>
    <definedName name="IQ_PREF_NON_REDEEM" hidden="1">"c1052"</definedName>
    <definedName name="IQ_PREF_OTHER" hidden="1">"c1053"</definedName>
    <definedName name="IQ_PREF_OTHER_BNK" hidden="1">"c1054"</definedName>
    <definedName name="IQ_PREF_OTHER_BR" hidden="1">"c1055"</definedName>
    <definedName name="IQ_PREF_OTHER_FIN" hidden="1">"c1056"</definedName>
    <definedName name="IQ_PREF_OTHER_INS" hidden="1">"c1057"</definedName>
    <definedName name="IQ_PREF_OTHER_REIT" hidden="1">"c1058"</definedName>
    <definedName name="IQ_PREF_REDEEM" hidden="1">"c1059"</definedName>
    <definedName name="IQ_PREF_REP" hidden="1">"c1060"</definedName>
    <definedName name="IQ_PREF_REP_BNK" hidden="1">"c1061"</definedName>
    <definedName name="IQ_PREF_REP_BR" hidden="1">"c1062"</definedName>
    <definedName name="IQ_PREF_REP_FIN" hidden="1">"c1063"</definedName>
    <definedName name="IQ_PREF_REP_INS" hidden="1">"c1064"</definedName>
    <definedName name="IQ_PREF_REP_REIT" hidden="1">"c1065"</definedName>
    <definedName name="IQ_PREF_REP_UTI" hidden="1">"c1066"</definedName>
    <definedName name="IQ_PREF_STOCK" hidden="1">"c1416"</definedName>
    <definedName name="IQ_PREF_TOT" hidden="1">"c1415"</definedName>
    <definedName name="IQ_PREMIUMS_ANNUITY_REV" hidden="1">"c1067"</definedName>
    <definedName name="IQ_PREPAID_CHURN" hidden="1">"c2120"</definedName>
    <definedName name="IQ_PREPAID_EXP" hidden="1">"c1068"</definedName>
    <definedName name="IQ_PREPAID_EXPEN" hidden="1">"c1418"</definedName>
    <definedName name="IQ_PREPAID_SUBS" hidden="1">"c2117"</definedName>
    <definedName name="IQ_PRETAX_GW_INC_EST" hidden="1">"c1702"</definedName>
    <definedName name="IQ_PRETAX_GW_INC_HIGH_EST" hidden="1">"c1704"</definedName>
    <definedName name="IQ_PRETAX_GW_INC_LOW_EST" hidden="1">"c1705"</definedName>
    <definedName name="IQ_PRETAX_GW_INC_MEDIAN_EST" hidden="1">"c1703"</definedName>
    <definedName name="IQ_PRETAX_GW_INC_NUM_EST" hidden="1">"c1706"</definedName>
    <definedName name="IQ_PRETAX_GW_INC_STDDEV_EST" hidden="1">"c1707"</definedName>
    <definedName name="IQ_PRETAX_INC_EST" hidden="1">"c1695"</definedName>
    <definedName name="IQ_PRETAX_INC_HIGH_EST" hidden="1">"c1697"</definedName>
    <definedName name="IQ_PRETAX_INC_LOW_EST" hidden="1">"c1698"</definedName>
    <definedName name="IQ_PRETAX_INC_MEDIAN_EST" hidden="1">"c1696"</definedName>
    <definedName name="IQ_PRETAX_INC_NUM_EST" hidden="1">"c1699"</definedName>
    <definedName name="IQ_PRETAX_INC_STDDEV_EST" hidden="1">"c1700"</definedName>
    <definedName name="IQ_PRETAX_REPORT_INC_EST" hidden="1">"c1709"</definedName>
    <definedName name="IQ_PRETAX_REPORT_INC_HIGH_EST" hidden="1">"c1711"</definedName>
    <definedName name="IQ_PRETAX_REPORT_INC_LOW_EST" hidden="1">"c1712"</definedName>
    <definedName name="IQ_PRETAX_REPORT_INC_MEDIAN_EST" hidden="1">"c1710"</definedName>
    <definedName name="IQ_PRETAX_REPORT_INC_NUM_EST" hidden="1">"c1713"</definedName>
    <definedName name="IQ_PRETAX_REPORT_INC_STDDEV_EST" hidden="1">"c1714"</definedName>
    <definedName name="IQ_PRICE_CFPS_FWD" hidden="1">"c2237"</definedName>
    <definedName name="IQ_PRICE_OVER_BVPS" hidden="1">"c1412"</definedName>
    <definedName name="IQ_PRICE_OVER_LTM_EPS" hidden="1">"c1413"</definedName>
    <definedName name="IQ_PRICE_TARGET" hidden="1">"c82"</definedName>
    <definedName name="IQ_PRICE_TARGET_REUT" hidden="1">"c3631"</definedName>
    <definedName name="IQ_PRICEDATE" hidden="1">"c1069"</definedName>
    <definedName name="IQ_PRICING_DATE" hidden="1">"c1613"</definedName>
    <definedName name="IQ_PRIMARY_INDUSTRY" hidden="1">"c1070"</definedName>
    <definedName name="IQ_PRINCIPAL_AMT" hidden="1">"c2157"</definedName>
    <definedName name="IQ_PRO_FORMA_BASIC_EPS" hidden="1">"c1614"</definedName>
    <definedName name="IQ_PRO_FORMA_DILUT_EPS" hidden="1">"c1615"</definedName>
    <definedName name="IQ_PRO_FORMA_NET_INC" hidden="1">"c1452"</definedName>
    <definedName name="IQ_PROFESSIONAL" hidden="1">"c1071"</definedName>
    <definedName name="IQ_PROFESSIONAL_TITLE" hidden="1">"c1072"</definedName>
    <definedName name="IQ_PROJECTED_PENSION_OBLIGATION" hidden="1">"c1292"</definedName>
    <definedName name="IQ_PROJECTED_PENSION_OBLIGATION_DOMESTIC" hidden="1">"c2656"</definedName>
    <definedName name="IQ_PROJECTED_PENSION_OBLIGATION_FOREIGN" hidden="1">"c2664"</definedName>
    <definedName name="IQ_PROPERTY_EXP" hidden="1">"c1073"</definedName>
    <definedName name="IQ_PROPERTY_GROSS" hidden="1">"c1379"</definedName>
    <definedName name="IQ_PROPERTY_MGMT_FEE" hidden="1">"c1074"</definedName>
    <definedName name="IQ_PROPERTY_NET" hidden="1">"c1402"</definedName>
    <definedName name="IQ_PROV_BAD_DEBTS" hidden="1">"c1075"</definedName>
    <definedName name="IQ_PROV_BAD_DEBTS_CF" hidden="1">"c1076"</definedName>
    <definedName name="IQ_PROVISION_10YR_ANN_GROWTH" hidden="1">"c1077"</definedName>
    <definedName name="IQ_PROVISION_1YR_ANN_GROWTH" hidden="1">"c1078"</definedName>
    <definedName name="IQ_PROVISION_2YR_ANN_GROWTH" hidden="1">"c1079"</definedName>
    <definedName name="IQ_PROVISION_3YR_ANN_GROWTH" hidden="1">"c1080"</definedName>
    <definedName name="IQ_PROVISION_5YR_ANN_GROWTH" hidden="1">"c1081"</definedName>
    <definedName name="IQ_PROVISION_7YR_ANN_GROWTH" hidden="1">"c1082"</definedName>
    <definedName name="IQ_PROVISION_CHARGE_OFFS" hidden="1">"c1083"</definedName>
    <definedName name="IQ_PTBV" hidden="1">"c1084"</definedName>
    <definedName name="IQ_PTBV_AVG" hidden="1">"c1085"</definedName>
    <definedName name="IQ_PUT_DATE_SCHEDULE" hidden="1">"c2483"</definedName>
    <definedName name="IQ_PUT_NOTIFICATION" hidden="1">"c2485"</definedName>
    <definedName name="IQ_PUT_PRICE_SCHEDULE" hidden="1">"c2484"</definedName>
    <definedName name="IQ_QUICK_RATIO" hidden="1">"c1086"</definedName>
    <definedName name="IQ_RATE_COMP_GROWTH_DOMESTIC" hidden="1">"c1087"</definedName>
    <definedName name="IQ_RATE_COMP_GROWTH_FOREIGN" hidden="1">"c1088"</definedName>
    <definedName name="IQ_RAW_INV" hidden="1">"c1089"</definedName>
    <definedName name="IQ_RC" hidden="1">"c2497"</definedName>
    <definedName name="IQ_RC_PCT" hidden="1">"c2498"</definedName>
    <definedName name="IQ_RD_EXP" hidden="1">"c1090"</definedName>
    <definedName name="IQ_RD_EXP_FN" hidden="1">"c1091"</definedName>
    <definedName name="IQ_RE" hidden="1">"c1092"</definedName>
    <definedName name="IQ_REAL_ESTATE" hidden="1">"c1093"</definedName>
    <definedName name="IQ_REAL_ESTATE_ASSETS" hidden="1">"c1094"</definedName>
    <definedName name="IQ_RECURRING_PROFIT_ACT_OR_EST" hidden="1">"c4507"</definedName>
    <definedName name="IQ_RECURRING_PROFIT_SHARE_ACT_OR_EST" hidden="1">"c4508"</definedName>
    <definedName name="IQ_REDEEM_PREF_STOCK" hidden="1">"c1417"</definedName>
    <definedName name="IQ_REG_ASSETS" hidden="1">"c1095"</definedName>
    <definedName name="IQ_REINSUR_PAY" hidden="1">"c1096"</definedName>
    <definedName name="IQ_REINSUR_PAY_CF" hidden="1">"c1097"</definedName>
    <definedName name="IQ_REINSUR_RECOVER" hidden="1">"c1098"</definedName>
    <definedName name="IQ_REINSUR_RECOVER_CF" hidden="1">"c1099"</definedName>
    <definedName name="IQ_REINSURANCE" hidden="1">"c1100"</definedName>
    <definedName name="IQ_RENTAL_REV" hidden="1">"c1101"</definedName>
    <definedName name="IQ_RESEARCH_DEV" hidden="1">"c1419"</definedName>
    <definedName name="IQ_RESIDENTIAL_LOANS" hidden="1">"c1102"</definedName>
    <definedName name="IQ_RESTATEMENT_BS" hidden="1">"c1643"</definedName>
    <definedName name="IQ_RESTATEMENT_CF" hidden="1">"c1644"</definedName>
    <definedName name="IQ_RESTATEMENT_IS" hidden="1">"c1642"</definedName>
    <definedName name="IQ_RESTR_STOCK_COMP" hidden="1">"c3506"</definedName>
    <definedName name="IQ_RESTR_STOCK_COMP_PRETAX" hidden="1">"c3504"</definedName>
    <definedName name="IQ_RESTR_STOCK_COMP_TAX" hidden="1">"c3505"</definedName>
    <definedName name="IQ_RESTRICTED_CASH" hidden="1">"c1103"</definedName>
    <definedName name="IQ_RESTRUCTURE" hidden="1">"c1104"</definedName>
    <definedName name="IQ_RESTRUCTURE_BNK" hidden="1">"c1105"</definedName>
    <definedName name="IQ_RESTRUCTURE_BR" hidden="1">"c1106"</definedName>
    <definedName name="IQ_RESTRUCTURE_CF" hidden="1">"c1107"</definedName>
    <definedName name="IQ_RESTRUCTURE_FIN" hidden="1">"c1108"</definedName>
    <definedName name="IQ_RESTRUCTURE_INS" hidden="1">"c1109"</definedName>
    <definedName name="IQ_RESTRUCTURE_REIT" hidden="1">"c1110"</definedName>
    <definedName name="IQ_RESTRUCTURE_UTI" hidden="1">"c1111"</definedName>
    <definedName name="IQ_RESTRUCTURED_LOANS" hidden="1">"c1112"</definedName>
    <definedName name="IQ_RETAIL_ACQUIRED_FRANCHISE_STORES" hidden="1">"c2903"</definedName>
    <definedName name="IQ_RETAIL_ACQUIRED_OWNED_STORES" hidden="1">"c2895"</definedName>
    <definedName name="IQ_RETAIL_ACQUIRED_STORES" hidden="1">"c2887"</definedName>
    <definedName name="IQ_RETAIL_AVG_STORE_SIZE_GROSS" hidden="1">"c2066"</definedName>
    <definedName name="IQ_RETAIL_AVG_STORE_SIZE_NET" hidden="1">"c2067"</definedName>
    <definedName name="IQ_RETAIL_AVG_WK_SALES" hidden="1">"c2891"</definedName>
    <definedName name="IQ_RETAIL_AVG_WK_SALES_FRANCHISE" hidden="1">"c2899"</definedName>
    <definedName name="IQ_RETAIL_AVG_WK_SALES_OWNED" hidden="1">"c2907"</definedName>
    <definedName name="IQ_RETAIL_CLOSED_FRANCHISE_STORES" hidden="1">"c2896"</definedName>
    <definedName name="IQ_RETAIL_CLOSED_OWNED_STORES" hidden="1">"c2904"</definedName>
    <definedName name="IQ_RETAIL_CLOSED_STORES" hidden="1">"c2063"</definedName>
    <definedName name="IQ_RETAIL_FRANCHISE_STORES_BEG" hidden="1">"c2893"</definedName>
    <definedName name="IQ_RETAIL_OPENED_FRANCHISE_STORES" hidden="1">"c2894"</definedName>
    <definedName name="IQ_RETAIL_OPENED_OWNED_STORES" hidden="1">"c2902"</definedName>
    <definedName name="IQ_RETAIL_OPENED_STORES" hidden="1">"c2062"</definedName>
    <definedName name="IQ_RETAIL_OWNED_STORES_BEG" hidden="1">"c2901"</definedName>
    <definedName name="IQ_RETAIL_SALES_SQFT_ALL_GROSS" hidden="1">"c2138"</definedName>
    <definedName name="IQ_RETAIL_SALES_SQFT_ALL_NET" hidden="1">"c2139"</definedName>
    <definedName name="IQ_RETAIL_SALES_SQFT_COMPARABLE_GROSS" hidden="1">"c2136"</definedName>
    <definedName name="IQ_RETAIL_SALES_SQFT_COMPARABLE_NET" hidden="1">"c2137"</definedName>
    <definedName name="IQ_RETAIL_SALES_SQFT_OWNED_GROSS" hidden="1">"c2134"</definedName>
    <definedName name="IQ_RETAIL_SALES_SQFT_OWNED_NET" hidden="1">"c2135"</definedName>
    <definedName name="IQ_RETAIL_SOLD_FRANCHISE_STORES" hidden="1">"c2897"</definedName>
    <definedName name="IQ_RETAIL_SOLD_OWNED_STORES" hidden="1">"c2905"</definedName>
    <definedName name="IQ_RETAIL_SOLD_STORES" hidden="1">"c2889"</definedName>
    <definedName name="IQ_RETAIL_SQ_FOOTAGE" hidden="1">"c2064"</definedName>
    <definedName name="IQ_RETAIL_STORE_SELLING_AREA" hidden="1">"c2065"</definedName>
    <definedName name="IQ_RETAIL_STORES_BEG" hidden="1">"c2885"</definedName>
    <definedName name="IQ_RETAIL_TOTAL_FRANCHISE_STORES" hidden="1">"c2898"</definedName>
    <definedName name="IQ_RETAIL_TOTAL_OWNED_STORES" hidden="1">"c2906"</definedName>
    <definedName name="IQ_RETAIL_TOTAL_STORES" hidden="1">"c2061"</definedName>
    <definedName name="IQ_RETAINED_EARN" hidden="1">"c1420"</definedName>
    <definedName name="IQ_RETURN_ASSETS" hidden="1">"c1113"</definedName>
    <definedName name="IQ_RETURN_ASSETS_ACT_OR_EST" hidden="1">"c3585"</definedName>
    <definedName name="IQ_RETURN_ASSETS_BANK" hidden="1">"c1114"</definedName>
    <definedName name="IQ_RETURN_ASSETS_BROK" hidden="1">"c1115"</definedName>
    <definedName name="IQ_RETURN_ASSETS_EST" hidden="1">"c3529"</definedName>
    <definedName name="IQ_RETURN_ASSETS_FS" hidden="1">"c1116"</definedName>
    <definedName name="IQ_RETURN_ASSETS_HIGH_EST" hidden="1">"c3530"</definedName>
    <definedName name="IQ_RETURN_ASSETS_LOW_EST" hidden="1">"c3531"</definedName>
    <definedName name="IQ_RETURN_ASSETS_MEDIAN_EST" hidden="1">"c3532"</definedName>
    <definedName name="IQ_RETURN_ASSETS_NUM_EST" hidden="1">"c3527"</definedName>
    <definedName name="IQ_RETURN_ASSETS_STDDEV_EST" hidden="1">"c3528"</definedName>
    <definedName name="IQ_RETURN_CAPITAL" hidden="1">"c1117"</definedName>
    <definedName name="IQ_RETURN_EQUITY" hidden="1">"c1118"</definedName>
    <definedName name="IQ_RETURN_EQUITY_ACT_OR_EST" hidden="1">"c3586"</definedName>
    <definedName name="IQ_RETURN_EQUITY_BANK" hidden="1">"c1119"</definedName>
    <definedName name="IQ_RETURN_EQUITY_BROK" hidden="1">"c1120"</definedName>
    <definedName name="IQ_RETURN_EQUITY_EST" hidden="1">"c3535"</definedName>
    <definedName name="IQ_RETURN_EQUITY_FS" hidden="1">"c1121"</definedName>
    <definedName name="IQ_RETURN_EQUITY_HIGH_EST" hidden="1">"c3536"</definedName>
    <definedName name="IQ_RETURN_EQUITY_LOW_EST" hidden="1">"c3537"</definedName>
    <definedName name="IQ_RETURN_EQUITY_MEDIAN_EST" hidden="1">"c3538"</definedName>
    <definedName name="IQ_RETURN_EQUITY_NUM_EST" hidden="1">"c3533"</definedName>
    <definedName name="IQ_RETURN_EQUITY_STDDEV_EST" hidden="1">"c3534"</definedName>
    <definedName name="IQ_RETURN_INVESTMENT" hidden="1">"c1421"</definedName>
    <definedName name="IQ_REV" hidden="1">"c1122"</definedName>
    <definedName name="IQ_REV_BEFORE_LL" hidden="1">"c1123"</definedName>
    <definedName name="IQ_REV_STDDEV_EST" hidden="1">"c1124"</definedName>
    <definedName name="IQ_REV_STDDEV_EST_REUT" hidden="1">"c3639"</definedName>
    <definedName name="IQ_REV_UTI" hidden="1">"c1125"</definedName>
    <definedName name="IQ_REVENUE" hidden="1">"c1422"</definedName>
    <definedName name="IQ_REVENUE_ACT_OR_EST" hidden="1">"c2214"</definedName>
    <definedName name="IQ_REVENUE_EST" hidden="1">"c1126"</definedName>
    <definedName name="IQ_REVENUE_EST_REUT" hidden="1">"c3634"</definedName>
    <definedName name="IQ_REVENUE_HIGH_EST" hidden="1">"c1127"</definedName>
    <definedName name="IQ_REVENUE_HIGH_EST_REUT" hidden="1">"c3636"</definedName>
    <definedName name="IQ_REVENUE_LOW_EST" hidden="1">"c1128"</definedName>
    <definedName name="IQ_REVENUE_LOW_EST_REUT" hidden="1">"c3637"</definedName>
    <definedName name="IQ_REVENUE_MEDIAN_EST" hidden="1">"c1662"</definedName>
    <definedName name="IQ_REVENUE_MEDIAN_EST_REUT" hidden="1">"c3635"</definedName>
    <definedName name="IQ_REVENUE_NUM_EST" hidden="1">"c1129"</definedName>
    <definedName name="IQ_REVENUE_NUM_EST_REUT" hidden="1">"c3638"</definedName>
    <definedName name="IQ_REVISION_DATE_" hidden="1">38961.7261689815</definedName>
    <definedName name="IQ_RISK_ADJ_BANK_ASSETS" hidden="1">"c2670"</definedName>
    <definedName name="IQ_SALARY" hidden="1">"c1130"</definedName>
    <definedName name="IQ_SALE_INTAN_CF" hidden="1">"c1131"</definedName>
    <definedName name="IQ_SALE_INTAN_CF_BNK" hidden="1">"c1132"</definedName>
    <definedName name="IQ_SALE_INTAN_CF_BR" hidden="1">"c1133"</definedName>
    <definedName name="IQ_SALE_INTAN_CF_FIN" hidden="1">"c1134"</definedName>
    <definedName name="IQ_SALE_INTAN_CF_INS" hidden="1">"c1135"</definedName>
    <definedName name="IQ_SALE_INTAN_CF_REIT" hidden="1">"c1627"</definedName>
    <definedName name="IQ_SALE_INTAN_CF_UTI" hidden="1">"c1136"</definedName>
    <definedName name="IQ_SALE_PPE_CF" hidden="1">"c1137"</definedName>
    <definedName name="IQ_SALE_PPE_CF_BNK" hidden="1">"c1138"</definedName>
    <definedName name="IQ_SALE_PPE_CF_BR" hidden="1">"c1139"</definedName>
    <definedName name="IQ_SALE_PPE_CF_FIN" hidden="1">"c1140"</definedName>
    <definedName name="IQ_SALE_PPE_CF_INS" hidden="1">"c1141"</definedName>
    <definedName name="IQ_SALE_PPE_CF_UTI" hidden="1">"c1142"</definedName>
    <definedName name="IQ_SALE_RE_ASSETS" hidden="1">"c1629"</definedName>
    <definedName name="IQ_SALE_REAL_ESTATE_CF" hidden="1">"c1143"</definedName>
    <definedName name="IQ_SALE_REAL_ESTATE_CF_BNK" hidden="1">"c1144"</definedName>
    <definedName name="IQ_SALE_REAL_ESTATE_CF_BR" hidden="1">"c1145"</definedName>
    <definedName name="IQ_SALE_REAL_ESTATE_CF_FIN" hidden="1">"c1146"</definedName>
    <definedName name="IQ_SALE_REAL_ESTATE_CF_INS" hidden="1">"c1147"</definedName>
    <definedName name="IQ_SALE_REAL_ESTATE_CF_UTI" hidden="1">"c1148"</definedName>
    <definedName name="IQ_SALES_MARKETING" hidden="1">"c2240"</definedName>
    <definedName name="IQ_SAME_STORE" hidden="1">"c1149"</definedName>
    <definedName name="IQ_SAME_STORE_FRANCHISE" hidden="1">"c2900"</definedName>
    <definedName name="IQ_SAME_STORE_OWNED" hidden="1">"c2908"</definedName>
    <definedName name="IQ_SAME_STORE_TOTAL" hidden="1">"c2892"</definedName>
    <definedName name="IQ_SAVING_DEP" hidden="1">"c1150"</definedName>
    <definedName name="IQ_SEC_PURCHASED_RESELL" hidden="1">"c5513"</definedName>
    <definedName name="IQ_SECUR_RECEIV" hidden="1">"c1151"</definedName>
    <definedName name="IQ_SECURED_DEBT" hidden="1">"c2546"</definedName>
    <definedName name="IQ_SECURED_DEBT_PCT" hidden="1">"c2547"</definedName>
    <definedName name="IQ_SECURITY_BORROW" hidden="1">"c1152"</definedName>
    <definedName name="IQ_SECURITY_LEVEL" hidden="1">"c2159"</definedName>
    <definedName name="IQ_SECURITY_NOTES" hidden="1">"c2202"</definedName>
    <definedName name="IQ_SECURITY_OWN" hidden="1">"c1153"</definedName>
    <definedName name="IQ_SECURITY_RESELL" hidden="1">"c1154"</definedName>
    <definedName name="IQ_SECURITY_TYPE" hidden="1">"c2158"</definedName>
    <definedName name="IQ_SEPARATE_ACCT_ASSETS" hidden="1">"c1155"</definedName>
    <definedName name="IQ_SEPARATE_ACCT_LIAB" hidden="1">"c1156"</definedName>
    <definedName name="IQ_SERV_CHARGE_DEPOSITS" hidden="1">"c1157"</definedName>
    <definedName name="IQ_SGA" hidden="1">"c1158"</definedName>
    <definedName name="IQ_SGA_BNK" hidden="1">"c1159"</definedName>
    <definedName name="IQ_SGA_INS" hidden="1">"c1160"</definedName>
    <definedName name="IQ_SGA_MARGIN" hidden="1">"c1898"</definedName>
    <definedName name="IQ_SGA_REIT" hidden="1">"c1161"</definedName>
    <definedName name="IQ_SGA_SUPPL" hidden="1">"c1162"</definedName>
    <definedName name="IQ_SGA_UTI" hidden="1">"c1163"</definedName>
    <definedName name="IQ_SHAREOUTSTANDING" hidden="1">"c1347"</definedName>
    <definedName name="IQ_SHARESOUTSTANDING" hidden="1">"c1164"</definedName>
    <definedName name="IQ_SHORT_INTEREST" hidden="1">"c1165"</definedName>
    <definedName name="IQ_SHORT_INTEREST_OVER_FLOAT" hidden="1">"c1577"</definedName>
    <definedName name="IQ_SHORT_INTEREST_PERCENT" hidden="1">"c1576"</definedName>
    <definedName name="IQ_SHORT_TERM_INVEST" hidden="1">"c1425"</definedName>
    <definedName name="IQ_SMALL_INT_BEAR_CD" hidden="1">"c1166"</definedName>
    <definedName name="IQ_SOFTWARE" hidden="1">"c1167"</definedName>
    <definedName name="IQ_SOURCE" hidden="1">"c1168"</definedName>
    <definedName name="IQ_SP_BANK" hidden="1">"c2637"</definedName>
    <definedName name="IQ_SP_BANK_ACTION" hidden="1">"c2636"</definedName>
    <definedName name="IQ_SP_BANK_DATE" hidden="1">"c2635"</definedName>
    <definedName name="IQ_SP_FIN_ENHANCE_FX" hidden="1">"c2631"</definedName>
    <definedName name="IQ_SP_FIN_ENHANCE_FX_ACTION" hidden="1">"c2630"</definedName>
    <definedName name="IQ_SP_FIN_ENHANCE_FX_DATE" hidden="1">"c2629"</definedName>
    <definedName name="IQ_SP_FIN_ENHANCE_LC" hidden="1">"c2634"</definedName>
    <definedName name="IQ_SP_FIN_ENHANCE_LC_ACTION" hidden="1">"c2633"</definedName>
    <definedName name="IQ_SP_FIN_ENHANCE_LC_DATE" hidden="1">"c2632"</definedName>
    <definedName name="IQ_SP_FIN_STRENGTH_LC_ACTION_LT" hidden="1">"c2625"</definedName>
    <definedName name="IQ_SP_FIN_STRENGTH_LC_ACTION_ST" hidden="1">"c2626"</definedName>
    <definedName name="IQ_SP_FIN_STRENGTH_LC_DATE_LT" hidden="1">"c2623"</definedName>
    <definedName name="IQ_SP_FIN_STRENGTH_LC_DATE_ST" hidden="1">"c2624"</definedName>
    <definedName name="IQ_SP_FIN_STRENGTH_LC_LT" hidden="1">"c2627"</definedName>
    <definedName name="IQ_SP_FIN_STRENGTH_LC_ST" hidden="1">"c2628"</definedName>
    <definedName name="IQ_SP_FX_ACTION_LT" hidden="1">"c2613"</definedName>
    <definedName name="IQ_SP_FX_ACTION_ST" hidden="1">"c2614"</definedName>
    <definedName name="IQ_SP_FX_DATE_LT" hidden="1">"c2611"</definedName>
    <definedName name="IQ_SP_FX_DATE_ST" hidden="1">"c2612"</definedName>
    <definedName name="IQ_SP_FX_LT" hidden="1">"c2615"</definedName>
    <definedName name="IQ_SP_FX_ST" hidden="1">"c2616"</definedName>
    <definedName name="IQ_SP_ISSUE_ACTION" hidden="1">"c2644"</definedName>
    <definedName name="IQ_SP_ISSUE_DATE" hidden="1">"c2643"</definedName>
    <definedName name="IQ_SP_ISSUE_LT" hidden="1">"c2645"</definedName>
    <definedName name="IQ_SP_ISSUE_OUTLOOK_WATCH" hidden="1">"c2650"</definedName>
    <definedName name="IQ_SP_ISSUE_OUTLOOK_WATCH_DATE" hidden="1">"c2649"</definedName>
    <definedName name="IQ_SP_ISSUE_RECOVER" hidden="1">"c2648"</definedName>
    <definedName name="IQ_SP_ISSUE_RECOVER_ACTION" hidden="1">"c2647"</definedName>
    <definedName name="IQ_SP_ISSUE_RECOVER_DATE" hidden="1">"c2646"</definedName>
    <definedName name="IQ_SP_LC_ACTION_LT" hidden="1">"c2619"</definedName>
    <definedName name="IQ_SP_LC_ACTION_ST" hidden="1">"c2620"</definedName>
    <definedName name="IQ_SP_LC_DATE_LT" hidden="1">"c2617"</definedName>
    <definedName name="IQ_SP_LC_DATE_ST" hidden="1">"c2618"</definedName>
    <definedName name="IQ_SP_LC_LT" hidden="1">"c2621"</definedName>
    <definedName name="IQ_SP_LC_ST" hidden="1">"c2622"</definedName>
    <definedName name="IQ_SP_OUTLOOK_WATCH" hidden="1">"c2639"</definedName>
    <definedName name="IQ_SP_OUTLOOK_WATCH_DATE" hidden="1">"c2638"</definedName>
    <definedName name="IQ_SPECIAL_DIV_CF" hidden="1">"c1169"</definedName>
    <definedName name="IQ_SPECIAL_DIV_CF_BNK" hidden="1">"c1170"</definedName>
    <definedName name="IQ_SPECIAL_DIV_CF_BR" hidden="1">"c1171"</definedName>
    <definedName name="IQ_SPECIAL_DIV_CF_FIN" hidden="1">"c1172"</definedName>
    <definedName name="IQ_SPECIAL_DIV_CF_INS" hidden="1">"c1173"</definedName>
    <definedName name="IQ_SPECIAL_DIV_CF_REIT" hidden="1">"c1174"</definedName>
    <definedName name="IQ_SPECIAL_DIV_CF_UTI" hidden="1">"c1175"</definedName>
    <definedName name="IQ_SPECIAL_DIV_SHARE" hidden="1">"c3007"</definedName>
    <definedName name="IQ_SR_BONDS_NOTES" hidden="1">"c2501"</definedName>
    <definedName name="IQ_SR_BONDS_NOTES_PCT" hidden="1">"c2502"</definedName>
    <definedName name="IQ_SR_DEBT" hidden="1">"c2526"</definedName>
    <definedName name="IQ_SR_DEBT_EBITDA" hidden="1">"c2552"</definedName>
    <definedName name="IQ_SR_DEBT_EBITDA_CAPEX" hidden="1">"c2553"</definedName>
    <definedName name="IQ_SR_DEBT_PCT" hidden="1">"c2527"</definedName>
    <definedName name="IQ_SR_SUB_DEBT" hidden="1">"c2530"</definedName>
    <definedName name="IQ_SR_SUB_DEBT_EBITDA" hidden="1">"c2556"</definedName>
    <definedName name="IQ_SR_SUB_DEBT_EBITDA_CAPEX" hidden="1">"c2557"</definedName>
    <definedName name="IQ_SR_SUB_DEBT_PCT" hidden="1">"c2531"</definedName>
    <definedName name="IQ_ST_DEBT" hidden="1">"c1176"</definedName>
    <definedName name="IQ_ST_DEBT_BNK" hidden="1">"c1177"</definedName>
    <definedName name="IQ_ST_DEBT_BR" hidden="1">"c1178"</definedName>
    <definedName name="IQ_ST_DEBT_FIN" hidden="1">"c1179"</definedName>
    <definedName name="IQ_ST_DEBT_INS" hidden="1">"c1180"</definedName>
    <definedName name="IQ_ST_DEBT_ISSUED" hidden="1">"c1181"</definedName>
    <definedName name="IQ_ST_DEBT_ISSUED_BNK" hidden="1">"c1182"</definedName>
    <definedName name="IQ_ST_DEBT_ISSUED_BR" hidden="1">"c1183"</definedName>
    <definedName name="IQ_ST_DEBT_ISSUED_FIN" hidden="1">"c1184"</definedName>
    <definedName name="IQ_ST_DEBT_ISSUED_INS" hidden="1">"c1185"</definedName>
    <definedName name="IQ_ST_DEBT_ISSUED_REIT" hidden="1">"c1186"</definedName>
    <definedName name="IQ_ST_DEBT_ISSUED_UTI" hidden="1">"c1187"</definedName>
    <definedName name="IQ_ST_DEBT_PCT" hidden="1">"c2539"</definedName>
    <definedName name="IQ_ST_DEBT_REIT" hidden="1">"c1188"</definedName>
    <definedName name="IQ_ST_DEBT_REPAID" hidden="1">"c1189"</definedName>
    <definedName name="IQ_ST_DEBT_REPAID_BNK" hidden="1">"c1190"</definedName>
    <definedName name="IQ_ST_DEBT_REPAID_BR" hidden="1">"c1191"</definedName>
    <definedName name="IQ_ST_DEBT_REPAID_FIN" hidden="1">"c1192"</definedName>
    <definedName name="IQ_ST_DEBT_REPAID_INS" hidden="1">"c1193"</definedName>
    <definedName name="IQ_ST_DEBT_REPAID_REIT" hidden="1">"c1194"</definedName>
    <definedName name="IQ_ST_DEBT_REPAID_UTI" hidden="1">"c1195"</definedName>
    <definedName name="IQ_ST_DEBT_UTI" hidden="1">"c1196"</definedName>
    <definedName name="IQ_ST_INVEST" hidden="1">"c1197"</definedName>
    <definedName name="IQ_ST_INVEST_UTI" hidden="1">"c1198"</definedName>
    <definedName name="IQ_ST_NOTE_RECEIV" hidden="1">"c1199"</definedName>
    <definedName name="IQ_STATE" hidden="1">"c1200"</definedName>
    <definedName name="IQ_STATUTORY_SURPLUS" hidden="1">"c1201"</definedName>
    <definedName name="IQ_STOCK_BASED" hidden="1">"c1202"</definedName>
    <definedName name="IQ_STOCK_BASED_AT" hidden="1">"c2999"</definedName>
    <definedName name="IQ_STOCK_BASED_CF" hidden="1">"c1203"</definedName>
    <definedName name="IQ_STOCK_BASED_COGS" hidden="1">"c2990"</definedName>
    <definedName name="IQ_STOCK_BASED_COMP" hidden="1">"c3512"</definedName>
    <definedName name="IQ_STOCK_BASED_COMP_PRETAX" hidden="1">"c3510"</definedName>
    <definedName name="IQ_STOCK_BASED_COMP_TAX" hidden="1">"c3511"</definedName>
    <definedName name="IQ_STOCK_BASED_GA" hidden="1">"c2993"</definedName>
    <definedName name="IQ_STOCK_BASED_OTHER" hidden="1">"c2995"</definedName>
    <definedName name="IQ_STOCK_BASED_RD" hidden="1">"c2991"</definedName>
    <definedName name="IQ_STOCK_BASED_SGA" hidden="1">"c2994"</definedName>
    <definedName name="IQ_STOCK_BASED_SM" hidden="1">"c2992"</definedName>
    <definedName name="IQ_STOCK_BASED_TOTAL" hidden="1">"c3040"</definedName>
    <definedName name="IQ_STOCK_OPTIONS_COMP" hidden="1">"c3509"</definedName>
    <definedName name="IQ_STOCK_OPTIONS_COMP_PRETAX" hidden="1">"c3507"</definedName>
    <definedName name="IQ_STOCK_OPTIONS_COMP_TAX" hidden="1">"c3508"</definedName>
    <definedName name="IQ_STRIKE_PRICE_ISSUED" hidden="1">"c1645"</definedName>
    <definedName name="IQ_STRIKE_PRICE_OS" hidden="1">"c1646"</definedName>
    <definedName name="IQ_STW" hidden="1">"c2166"</definedName>
    <definedName name="IQ_SUB_BONDS_NOTES" hidden="1">"c2503"</definedName>
    <definedName name="IQ_SUB_BONDS_NOTES_PCT" hidden="1">"c2504"</definedName>
    <definedName name="IQ_SUB_DEBT" hidden="1">"c2532"</definedName>
    <definedName name="IQ_SUB_DEBT_EBITDA" hidden="1">"c2558"</definedName>
    <definedName name="IQ_SUB_DEBT_EBITDA_CAPEX" hidden="1">"c2559"</definedName>
    <definedName name="IQ_SUB_DEBT_PCT" hidden="1">"c2533"</definedName>
    <definedName name="IQ_SUB_LEASE_AFTER_FIVE" hidden="1">"c1207"</definedName>
    <definedName name="IQ_SUB_LEASE_INC_CY" hidden="1">"c1208"</definedName>
    <definedName name="IQ_SUB_LEASE_INC_CY1" hidden="1">"c1209"</definedName>
    <definedName name="IQ_SUB_LEASE_INC_CY2" hidden="1">"c1210"</definedName>
    <definedName name="IQ_SUB_LEASE_INC_CY3" hidden="1">"c1211"</definedName>
    <definedName name="IQ_SUB_LEASE_INC_CY4" hidden="1">"c1212"</definedName>
    <definedName name="IQ_SUB_LEASE_NEXT_FIVE" hidden="1">"c1213"</definedName>
    <definedName name="IQ_SVA" hidden="1">"c1214"</definedName>
    <definedName name="IQ_TARGET_PRICE_NUM" hidden="1">"c1653"</definedName>
    <definedName name="IQ_TARGET_PRICE_NUM_REUT" hidden="1">"c5319"</definedName>
    <definedName name="IQ_TARGET_PRICE_STDDEV" hidden="1">"c1654"</definedName>
    <definedName name="IQ_TARGET_PRICE_STDDEV_REUT" hidden="1">"c5320"</definedName>
    <definedName name="IQ_TAX_BENEFIT_CF_1YR" hidden="1">"c3483"</definedName>
    <definedName name="IQ_TAX_BENEFIT_CF_2YR" hidden="1">"c3484"</definedName>
    <definedName name="IQ_TAX_BENEFIT_CF_3YR" hidden="1">"c3485"</definedName>
    <definedName name="IQ_TAX_BENEFIT_CF_4YR" hidden="1">"c3486"</definedName>
    <definedName name="IQ_TAX_BENEFIT_CF_5YR" hidden="1">"c3487"</definedName>
    <definedName name="IQ_TAX_BENEFIT_CF_AFTER_FIVE" hidden="1">"c3488"</definedName>
    <definedName name="IQ_TAX_BENEFIT_CF_MAX_YEAR" hidden="1">"c3491"</definedName>
    <definedName name="IQ_TAX_BENEFIT_CF_NO_EXP" hidden="1">"c3489"</definedName>
    <definedName name="IQ_TAX_BENEFIT_CF_TOTAL" hidden="1">"c3490"</definedName>
    <definedName name="IQ_TAX_BENEFIT_OPTIONS" hidden="1">"c1215"</definedName>
    <definedName name="IQ_TAX_EQUIV_NET_INT_INC" hidden="1">"c1216"</definedName>
    <definedName name="IQ_TBV" hidden="1">"c1906"</definedName>
    <definedName name="IQ_TBV_10YR_ANN_GROWTH" hidden="1">"c1936"</definedName>
    <definedName name="IQ_TBV_1YR_ANN_GROWTH" hidden="1">"c1931"</definedName>
    <definedName name="IQ_TBV_2YR_ANN_GROWTH" hidden="1">"c1932"</definedName>
    <definedName name="IQ_TBV_3YR_ANN_GROWTH" hidden="1">"c1933"</definedName>
    <definedName name="IQ_TBV_5YR_ANN_GROWTH" hidden="1">"c1934"</definedName>
    <definedName name="IQ_TBV_7YR_ANN_GROWTH" hidden="1">"c1935"</definedName>
    <definedName name="IQ_TBV_SHARE" hidden="1">"c1217"</definedName>
    <definedName name="IQ_TEMPLATE" hidden="1">"c1521"</definedName>
    <definedName name="IQ_TENANT" hidden="1">"c1218"</definedName>
    <definedName name="IQ_TERM_LOANS" hidden="1">"c2499"</definedName>
    <definedName name="IQ_TERM_LOANS_PCT" hidden="1">"c2500"</definedName>
    <definedName name="IQ_TEV" hidden="1">"c1219"</definedName>
    <definedName name="IQ_TEV_EBIT" hidden="1">"c1220"</definedName>
    <definedName name="IQ_TEV_EBIT_AVG" hidden="1">"c1221"</definedName>
    <definedName name="IQ_TEV_EBIT_FWD" hidden="1">"c2238"</definedName>
    <definedName name="IQ_TEV_EBITDA" hidden="1">"c1222"</definedName>
    <definedName name="IQ_TEV_EBITDA_AVG" hidden="1">"c1223"</definedName>
    <definedName name="IQ_TEV_EBITDA_FWD" hidden="1">"c1224"</definedName>
    <definedName name="IQ_TEV_EBITDA_FWD_REUT" hidden="1">"c4050"</definedName>
    <definedName name="IQ_TEV_EMPLOYEE_AVG" hidden="1">"c1225"</definedName>
    <definedName name="IQ_TEV_TOTAL_REV" hidden="1">"c1226"</definedName>
    <definedName name="IQ_TEV_TOTAL_REV_AVG" hidden="1">"c1227"</definedName>
    <definedName name="IQ_TEV_TOTAL_REV_FWD" hidden="1">"c1228"</definedName>
    <definedName name="IQ_TEV_TOTAL_REV_FWD_REUT" hidden="1">"c4051"</definedName>
    <definedName name="IQ_TEV_UFCF" hidden="1">"c2208"</definedName>
    <definedName name="IQ_TIER_ONE_CAPITAL" hidden="1">"c2667"</definedName>
    <definedName name="IQ_TIER_ONE_RATIO" hidden="1">"c1229"</definedName>
    <definedName name="IQ_TIER_TWO_CAPITAL" hidden="1">"c2669"</definedName>
    <definedName name="IQ_TIME_DEP" hidden="1">"c1230"</definedName>
    <definedName name="IQ_TODAY" hidden="1">0</definedName>
    <definedName name="IQ_TOT_ADJ_INC" hidden="1">"c1616"</definedName>
    <definedName name="IQ_TOTAL_AR_BR" hidden="1">"c1231"</definedName>
    <definedName name="IQ_TOTAL_AR_REIT" hidden="1">"c1232"</definedName>
    <definedName name="IQ_TOTAL_AR_UTI" hidden="1">"c1233"</definedName>
    <definedName name="IQ_TOTAL_ASSETS" hidden="1">"c1234"</definedName>
    <definedName name="IQ_TOTAL_ASSETS_10YR_ANN_GROWTH" hidden="1">"c1235"</definedName>
    <definedName name="IQ_TOTAL_ASSETS_1YR_ANN_GROWTH" hidden="1">"c1236"</definedName>
    <definedName name="IQ_TOTAL_ASSETS_2YR_ANN_GROWTH" hidden="1">"c1237"</definedName>
    <definedName name="IQ_TOTAL_ASSETS_3YR_ANN_GROWTH" hidden="1">"c1238"</definedName>
    <definedName name="IQ_TOTAL_ASSETS_5YR_ANN_GROWTH" hidden="1">"c1239"</definedName>
    <definedName name="IQ_TOTAL_ASSETS_7YR_ANN_GROWTH" hidden="1">"c1240"</definedName>
    <definedName name="IQ_TOTAL_AVG_CE_TOTAL_AVG_ASSETS" hidden="1">"c1241"</definedName>
    <definedName name="IQ_TOTAL_AVG_EQUITY_TOTAL_AVG_ASSETS" hidden="1">"c1242"</definedName>
    <definedName name="IQ_TOTAL_BANK_CAPITAL" hidden="1">"c2668"</definedName>
    <definedName name="IQ_TOTAL_CA" hidden="1">"c1243"</definedName>
    <definedName name="IQ_TOTAL_CAP" hidden="1">"c1507"</definedName>
    <definedName name="IQ_TOTAL_CAPITAL_RATIO" hidden="1">"c1244"</definedName>
    <definedName name="IQ_TOTAL_CASH_DIVID" hidden="1">"c1455"</definedName>
    <definedName name="IQ_TOTAL_CASH_FINAN" hidden="1">"c1352"</definedName>
    <definedName name="IQ_TOTAL_CASH_INVEST" hidden="1">"c1353"</definedName>
    <definedName name="IQ_TOTAL_CASH_OPER" hidden="1">"c1354"</definedName>
    <definedName name="IQ_TOTAL_CHURN" hidden="1">"c2122"</definedName>
    <definedName name="IQ_TOTAL_CL" hidden="1">"c1245"</definedName>
    <definedName name="IQ_TOTAL_COMMON" hidden="1">"c1411"</definedName>
    <definedName name="IQ_TOTAL_COMMON_EQUITY" hidden="1">"c1246"</definedName>
    <definedName name="IQ_TOTAL_CURRENT_ASSETS" hidden="1">"c1430"</definedName>
    <definedName name="IQ_TOTAL_CURRENT_LIAB" hidden="1">"c1431"</definedName>
    <definedName name="IQ_TOTAL_DEBT" hidden="1">"c1247"</definedName>
    <definedName name="IQ_TOTAL_DEBT_CAPITAL" hidden="1">"c1248"</definedName>
    <definedName name="IQ_TOTAL_DEBT_EBITDA" hidden="1">"c1249"</definedName>
    <definedName name="IQ_TOTAL_DEBT_EBITDA_CAPEX" hidden="1">"c2948"</definedName>
    <definedName name="IQ_TOTAL_DEBT_EQUITY" hidden="1">"c1250"</definedName>
    <definedName name="IQ_TOTAL_DEBT_EXCL_FIN" hidden="1">"c2937"</definedName>
    <definedName name="IQ_TOTAL_DEBT_ISSUED" hidden="1">"c1251"</definedName>
    <definedName name="IQ_TOTAL_DEBT_ISSUED_BNK" hidden="1">"c1252"</definedName>
    <definedName name="IQ_TOTAL_DEBT_ISSUED_BR" hidden="1">"c1253"</definedName>
    <definedName name="IQ_TOTAL_DEBT_ISSUED_FIN" hidden="1">"c1254"</definedName>
    <definedName name="IQ_TOTAL_DEBT_ISSUED_REIT" hidden="1">"c1255"</definedName>
    <definedName name="IQ_TOTAL_DEBT_ISSUED_UTI" hidden="1">"c1256"</definedName>
    <definedName name="IQ_TOTAL_DEBT_ISSUES_INS" hidden="1">"c1257"</definedName>
    <definedName name="IQ_TOTAL_DEBT_OVER_EBITDA" hidden="1">"c1433"</definedName>
    <definedName name="IQ_TOTAL_DEBT_OVER_TOTAL_BV" hidden="1">"c1434"</definedName>
    <definedName name="IQ_TOTAL_DEBT_OVER_TOTAL_CAP" hidden="1">"c1432"</definedName>
    <definedName name="IQ_TOTAL_DEBT_REPAID" hidden="1">"c1258"</definedName>
    <definedName name="IQ_TOTAL_DEBT_REPAID_BNK" hidden="1">"c1259"</definedName>
    <definedName name="IQ_TOTAL_DEBT_REPAID_BR" hidden="1">"c1260"</definedName>
    <definedName name="IQ_TOTAL_DEBT_REPAID_FIN" hidden="1">"c1261"</definedName>
    <definedName name="IQ_TOTAL_DEBT_REPAID_INS" hidden="1">"c1262"</definedName>
    <definedName name="IQ_TOTAL_DEBT_REPAID_REIT" hidden="1">"c1263"</definedName>
    <definedName name="IQ_TOTAL_DEBT_REPAID_UTI" hidden="1">"c1264"</definedName>
    <definedName name="IQ_TOTAL_DEPOSITS" hidden="1">"c1265"</definedName>
    <definedName name="IQ_TOTAL_DIV_PAID_CF" hidden="1">"c1266"</definedName>
    <definedName name="IQ_TOTAL_EMPLOYEE" hidden="1">"c2141"</definedName>
    <definedName name="IQ_TOTAL_EMPLOYEES" hidden="1">"c1522"</definedName>
    <definedName name="IQ_TOTAL_EQUITY" hidden="1">"c1267"</definedName>
    <definedName name="IQ_TOTAL_EQUITY_10YR_ANN_GROWTH" hidden="1">"c1268"</definedName>
    <definedName name="IQ_TOTAL_EQUITY_1YR_ANN_GROWTH" hidden="1">"c1269"</definedName>
    <definedName name="IQ_TOTAL_EQUITY_2YR_ANN_GROWTH" hidden="1">"c1270"</definedName>
    <definedName name="IQ_TOTAL_EQUITY_3YR_ANN_GROWTH" hidden="1">"c1271"</definedName>
    <definedName name="IQ_TOTAL_EQUITY_5YR_ANN_GROWTH" hidden="1">"c1272"</definedName>
    <definedName name="IQ_TOTAL_EQUITY_7YR_ANN_GROWTH" hidden="1">"c1273"</definedName>
    <definedName name="IQ_TOTAL_EQUITY_ALLOWANCE_TOTAL_LOANS" hidden="1">"c1274"</definedName>
    <definedName name="IQ_TOTAL_INTEREST_EXP" hidden="1">"c1382"</definedName>
    <definedName name="IQ_TOTAL_INVENTORY" hidden="1">"c1385"</definedName>
    <definedName name="IQ_TOTAL_INVEST" hidden="1">"c1275"</definedName>
    <definedName name="IQ_TOTAL_LIAB" hidden="1">"c1276"</definedName>
    <definedName name="IQ_TOTAL_LIAB_BNK" hidden="1">"c1277"</definedName>
    <definedName name="IQ_TOTAL_LIAB_BR" hidden="1">"c1278"</definedName>
    <definedName name="IQ_TOTAL_LIAB_EQUITY" hidden="1">"c1279"</definedName>
    <definedName name="IQ_TOTAL_LIAB_FIN" hidden="1">"c1280"</definedName>
    <definedName name="IQ_TOTAL_LIAB_INS" hidden="1">"c1281"</definedName>
    <definedName name="IQ_TOTAL_LIAB_REIT" hidden="1">"c1282"</definedName>
    <definedName name="IQ_TOTAL_LIAB_SHAREHOLD" hidden="1">"c1435"</definedName>
    <definedName name="IQ_TOTAL_LIAB_TOTAL_ASSETS" hidden="1">"c1283"</definedName>
    <definedName name="IQ_TOTAL_LONG_DEBT" hidden="1">"c1617"</definedName>
    <definedName name="IQ_TOTAL_NON_REC" hidden="1">"c1444"</definedName>
    <definedName name="IQ_TOTAL_OPER_EXP_BR" hidden="1">"c1284"</definedName>
    <definedName name="IQ_TOTAL_OPER_EXP_FIN" hidden="1">"c1285"</definedName>
    <definedName name="IQ_TOTAL_OPER_EXP_INS" hidden="1">"c1286"</definedName>
    <definedName name="IQ_TOTAL_OPER_EXP_REIT" hidden="1">"c1287"</definedName>
    <definedName name="IQ_TOTAL_OPER_EXP_UTI" hidden="1">"c1288"</definedName>
    <definedName name="IQ_TOTAL_OPER_EXPEN" hidden="1">"c1445"</definedName>
    <definedName name="IQ_TOTAL_OPTIONS_BEG_OS" hidden="1">"c2693"</definedName>
    <definedName name="IQ_TOTAL_OPTIONS_CANCELLED" hidden="1">"c2696"</definedName>
    <definedName name="IQ_TOTAL_OPTIONS_END_OS" hidden="1">"c2697"</definedName>
    <definedName name="IQ_TOTAL_OPTIONS_EXERCISED" hidden="1">"c2695"</definedName>
    <definedName name="IQ_TOTAL_OPTIONS_GRANTED" hidden="1">"c2694"</definedName>
    <definedName name="IQ_TOTAL_OTHER_OPER" hidden="1">"c1289"</definedName>
    <definedName name="IQ_TOTAL_OUTSTANDING_BS_DATE" hidden="1">"c1022"</definedName>
    <definedName name="IQ_TOTAL_OUTSTANDING_FILING_DATE" hidden="1">"c2107"</definedName>
    <definedName name="IQ_TOTAL_PENSION_ASSETS" hidden="1">"c1290"</definedName>
    <definedName name="IQ_TOTAL_PENSION_ASSETS_DOMESTIC" hidden="1">"c2658"</definedName>
    <definedName name="IQ_TOTAL_PENSION_ASSETS_FOREIGN" hidden="1">"c2666"</definedName>
    <definedName name="IQ_TOTAL_PENSION_EXP" hidden="1">"c1291"</definedName>
    <definedName name="IQ_TOTAL_PRINCIPAL" hidden="1">"c2509"</definedName>
    <definedName name="IQ_TOTAL_PRINCIPAL_PCT" hidden="1">"c2510"</definedName>
    <definedName name="IQ_TOTAL_PROVED_RESERVES_NGL" hidden="1">"c2924"</definedName>
    <definedName name="IQ_TOTAL_PROVED_RESERVES_OIL" hidden="1">"c2040"</definedName>
    <definedName name="IQ_TOTAL_RECEIV" hidden="1">"c1293"</definedName>
    <definedName name="IQ_TOTAL_REV" hidden="1">"c1294"</definedName>
    <definedName name="IQ_TOTAL_REV_10YR_ANN_GROWTH" hidden="1">"c1295"</definedName>
    <definedName name="IQ_TOTAL_REV_1YR_ANN_GROWTH" hidden="1">"c1296"</definedName>
    <definedName name="IQ_TOTAL_REV_2YR_ANN_GROWTH" hidden="1">"c1297"</definedName>
    <definedName name="IQ_TOTAL_REV_3YR_ANN_GROWTH" hidden="1">"c1298"</definedName>
    <definedName name="IQ_TOTAL_REV_5YR_ANN_GROWTH" hidden="1">"c1299"</definedName>
    <definedName name="IQ_TOTAL_REV_7YR_ANN_GROWTH" hidden="1">"c1300"</definedName>
    <definedName name="IQ_TOTAL_REV_AS_REPORTED" hidden="1">"c1301"</definedName>
    <definedName name="IQ_TOTAL_REV_BNK" hidden="1">"c1302"</definedName>
    <definedName name="IQ_TOTAL_REV_BR" hidden="1">"c1303"</definedName>
    <definedName name="IQ_TOTAL_REV_EMPLOYEE" hidden="1">"c1304"</definedName>
    <definedName name="IQ_TOTAL_REV_FIN" hidden="1">"c1305"</definedName>
    <definedName name="IQ_TOTAL_REV_INS" hidden="1">"c1306"</definedName>
    <definedName name="IQ_TOTAL_REV_REIT" hidden="1">"c1307"</definedName>
    <definedName name="IQ_TOTAL_REV_SHARE" hidden="1">"c1912"</definedName>
    <definedName name="IQ_TOTAL_REV_UTI" hidden="1">"c1308"</definedName>
    <definedName name="IQ_TOTAL_REVENUE" hidden="1">"c1436"</definedName>
    <definedName name="IQ_TOTAL_SPECIAL" hidden="1">"c1618"</definedName>
    <definedName name="IQ_TOTAL_ST_BORROW" hidden="1">"c1424"</definedName>
    <definedName name="IQ_TOTAL_SUB_DEBT" hidden="1">"c2528"</definedName>
    <definedName name="IQ_TOTAL_SUB_DEBT_EBITDA" hidden="1">"c2554"</definedName>
    <definedName name="IQ_TOTAL_SUB_DEBT_EBITDA_CAPEX" hidden="1">"c2555"</definedName>
    <definedName name="IQ_TOTAL_SUB_DEBT_PCT" hidden="1">"c2529"</definedName>
    <definedName name="IQ_TOTAL_SUBS" hidden="1">"c2119"</definedName>
    <definedName name="IQ_TOTAL_UNUSUAL" hidden="1">"c1508"</definedName>
    <definedName name="IQ_TOTAL_UNUSUAL_BNK" hidden="1">"c5516"</definedName>
    <definedName name="IQ_TOTAL_UNUSUAL_BR" hidden="1">"c5517"</definedName>
    <definedName name="IQ_TOTAL_UNUSUAL_FIN" hidden="1">"c5518"</definedName>
    <definedName name="IQ_TOTAL_UNUSUAL_INS" hidden="1">"c5519"</definedName>
    <definedName name="IQ_TOTAL_UNUSUAL_REIT" hidden="1">"c5520"</definedName>
    <definedName name="IQ_TOTAL_UNUSUAL_UTI" hidden="1">"c5521"</definedName>
    <definedName name="IQ_TOTAL_WARRANTS_BEG_OS" hidden="1">"c2719"</definedName>
    <definedName name="IQ_TOTAL_WARRANTS_CANCELLED" hidden="1">"c2722"</definedName>
    <definedName name="IQ_TOTAL_WARRANTS_END_OS" hidden="1">"c2723"</definedName>
    <definedName name="IQ_TOTAL_WARRANTS_EXERCISED" hidden="1">"c2721"</definedName>
    <definedName name="IQ_TOTAL_WARRANTS_ISSUED" hidden="1">"c2720"</definedName>
    <definedName name="IQ_TR_ACCT_METHOD" hidden="1">"c2363"</definedName>
    <definedName name="IQ_TR_ACQ_52_WK_HI_PCT" hidden="1">"c2348"</definedName>
    <definedName name="IQ_TR_ACQ_52_WK_LOW_PCT" hidden="1">"c2347"</definedName>
    <definedName name="IQ_TR_ACQ_CASH_ST_INVEST" hidden="1">"c2372"</definedName>
    <definedName name="IQ_TR_ACQ_CLOSEPRICE_1D" hidden="1">"c3027"</definedName>
    <definedName name="IQ_TR_ACQ_DILUT_EPS_EXCL" hidden="1">"c3028"</definedName>
    <definedName name="IQ_TR_ACQ_EARNING_CO" hidden="1">"c2379"</definedName>
    <definedName name="IQ_TR_ACQ_EBIT" hidden="1">"c2380"</definedName>
    <definedName name="IQ_TR_ACQ_EBIT_EQ_INC" hidden="1">"c3611"</definedName>
    <definedName name="IQ_TR_ACQ_EBITDA" hidden="1">"c2381"</definedName>
    <definedName name="IQ_TR_ACQ_EBITDA_EQ_INC" hidden="1">"c3610"</definedName>
    <definedName name="IQ_TR_ACQ_FILING_CURRENCY" hidden="1">"c3033"</definedName>
    <definedName name="IQ_TR_ACQ_FILINGDATE" hidden="1">"c3607"</definedName>
    <definedName name="IQ_TR_ACQ_MCAP_1DAY" hidden="1">"c2345"</definedName>
    <definedName name="IQ_TR_ACQ_MIN_INT" hidden="1">"c2374"</definedName>
    <definedName name="IQ_TR_ACQ_NET_DEBT" hidden="1">"c2373"</definedName>
    <definedName name="IQ_TR_ACQ_NI" hidden="1">"c2378"</definedName>
    <definedName name="IQ_TR_ACQ_PERIODDATE" hidden="1">"c3606"</definedName>
    <definedName name="IQ_TR_ACQ_PRICEDATE_1D" hidden="1">"c2346"</definedName>
    <definedName name="IQ_TR_ACQ_RETURN" hidden="1">"c2349"</definedName>
    <definedName name="IQ_TR_ACQ_STOCKYEARHIGH_1D" hidden="1">"c2343"</definedName>
    <definedName name="IQ_TR_ACQ_STOCKYEARLOW_1D" hidden="1">"c2344"</definedName>
    <definedName name="IQ_TR_ACQ_TOTAL_ASSETS" hidden="1">"c2371"</definedName>
    <definedName name="IQ_TR_ACQ_TOTAL_COMMON_EQ" hidden="1">"c2377"</definedName>
    <definedName name="IQ_TR_ACQ_TOTAL_DEBT" hidden="1">"c2376"</definedName>
    <definedName name="IQ_TR_ACQ_TOTAL_PREF" hidden="1">"c2375"</definedName>
    <definedName name="IQ_TR_ACQ_TOTAL_REV" hidden="1">"c2382"</definedName>
    <definedName name="IQ_TR_ADJ_SIZE" hidden="1">"c3024"</definedName>
    <definedName name="IQ_TR_ANN_DATE" hidden="1">"c2395"</definedName>
    <definedName name="IQ_TR_ANN_DATE_BL" hidden="1">"c2394"</definedName>
    <definedName name="IQ_TR_BID_DATE" hidden="1">"c2357"</definedName>
    <definedName name="IQ_TR_BLUESKY_FEES" hidden="1">"c2277"</definedName>
    <definedName name="IQ_TR_BUY_ACC_ADVISORS" hidden="1">"c3048"</definedName>
    <definedName name="IQ_TR_BUY_FIN_ADVISORS" hidden="1">"c3045"</definedName>
    <definedName name="IQ_TR_BUY_LEG_ADVISORS" hidden="1">"c2387"</definedName>
    <definedName name="IQ_TR_BUYER_ID" hidden="1">"c2404"</definedName>
    <definedName name="IQ_TR_BUYERNAME" hidden="1">"c2401"</definedName>
    <definedName name="IQ_TR_CANCELLED_DATE" hidden="1">"c2284"</definedName>
    <definedName name="IQ_TR_CASH_CONSID_PCT" hidden="1">"c2296"</definedName>
    <definedName name="IQ_TR_CASH_ST_INVEST" hidden="1">"c3025"</definedName>
    <definedName name="IQ_TR_CHANGE_CONTROL" hidden="1">"c2365"</definedName>
    <definedName name="IQ_TR_CLOSED_DATE" hidden="1">"c2283"</definedName>
    <definedName name="IQ_TR_CO_NET_PROCEEDS" hidden="1">"c2268"</definedName>
    <definedName name="IQ_TR_CO_NET_PROCEEDS_PCT" hidden="1">"c2270"</definedName>
    <definedName name="IQ_TR_COMMENTS" hidden="1">"c2383"</definedName>
    <definedName name="IQ_TR_CURRENCY" hidden="1">"c3016"</definedName>
    <definedName name="IQ_TR_DEAL_ATTITUDE" hidden="1">"c2364"</definedName>
    <definedName name="IQ_TR_DEAL_CONDITIONS" hidden="1">"c2367"</definedName>
    <definedName name="IQ_TR_DEAL_RESOLUTION" hidden="1">"c2391"</definedName>
    <definedName name="IQ_TR_DEAL_RESPONSES" hidden="1">"c2366"</definedName>
    <definedName name="IQ_TR_DEBT_CONSID_PCT" hidden="1">"c2299"</definedName>
    <definedName name="IQ_TR_DEF_AGRMT_DATE" hidden="1">"c2285"</definedName>
    <definedName name="IQ_TR_DISCLOSED_FEES_EXP" hidden="1">"c2288"</definedName>
    <definedName name="IQ_TR_EARNOUTS" hidden="1">"c3023"</definedName>
    <definedName name="IQ_TR_EXPIRED_DATE" hidden="1">"c2412"</definedName>
    <definedName name="IQ_TR_GROSS_OFFERING_AMT" hidden="1">"c2262"</definedName>
    <definedName name="IQ_TR_HYBRID_CONSID_PCT" hidden="1">"c2300"</definedName>
    <definedName name="IQ_TR_IMPLIED_EQ" hidden="1">"c3018"</definedName>
    <definedName name="IQ_TR_IMPLIED_EQ_BV" hidden="1">"c3019"</definedName>
    <definedName name="IQ_TR_IMPLIED_EQ_NI_LTM" hidden="1">"c3020"</definedName>
    <definedName name="IQ_TR_IMPLIED_EV" hidden="1">"c2301"</definedName>
    <definedName name="IQ_TR_IMPLIED_EV_BV" hidden="1">"c2306"</definedName>
    <definedName name="IQ_TR_IMPLIED_EV_EBIT" hidden="1">"c2302"</definedName>
    <definedName name="IQ_TR_IMPLIED_EV_EBITDA" hidden="1">"c2303"</definedName>
    <definedName name="IQ_TR_IMPLIED_EV_NI_LTM" hidden="1">"c2307"</definedName>
    <definedName name="IQ_TR_IMPLIED_EV_REV" hidden="1">"c2304"</definedName>
    <definedName name="IQ_TR_INIT_FILED_DATE" hidden="1">"c3495"</definedName>
    <definedName name="IQ_TR_LOI_DATE" hidden="1">"c2282"</definedName>
    <definedName name="IQ_TR_MAJ_MIN_STAKE" hidden="1">"c2389"</definedName>
    <definedName name="IQ_TR_NEGOTIATED_BUYBACK_PRICE" hidden="1">"c2414"</definedName>
    <definedName name="IQ_TR_NET_ASSUM_LIABILITIES" hidden="1">"c2308"</definedName>
    <definedName name="IQ_TR_NET_PROCEEDS" hidden="1">"c2267"</definedName>
    <definedName name="IQ_TR_OFFER_DATE" hidden="1">"c2265"</definedName>
    <definedName name="IQ_TR_OFFER_DATE_MA" hidden="1">"c3035"</definedName>
    <definedName name="IQ_TR_OFFER_PER_SHARE" hidden="1">"c3017"</definedName>
    <definedName name="IQ_TR_OPTIONS_CONSID_PCT" hidden="1">"c2311"</definedName>
    <definedName name="IQ_TR_OTHER_CONSID" hidden="1">"c3022"</definedName>
    <definedName name="IQ_TR_PCT_SOUGHT" hidden="1">"c2309"</definedName>
    <definedName name="IQ_TR_PFEATURES" hidden="1">"c2384"</definedName>
    <definedName name="IQ_TR_PIPE_CONV_PRICE_SHARE" hidden="1">"c2292"</definedName>
    <definedName name="IQ_TR_PIPE_CPN_PCT" hidden="1">"c2291"</definedName>
    <definedName name="IQ_TR_PIPE_NUMBER_SHARES" hidden="1">"c2293"</definedName>
    <definedName name="IQ_TR_PIPE_PPS" hidden="1">"c2290"</definedName>
    <definedName name="IQ_TR_POSTMONEY_VAL" hidden="1">"c2286"</definedName>
    <definedName name="IQ_TR_PREDEAL_SITUATION" hidden="1">"c2390"</definedName>
    <definedName name="IQ_TR_PREF_CONSID_PCT" hidden="1">"c2310"</definedName>
    <definedName name="IQ_TR_PREMONEY_VAL" hidden="1">"c2287"</definedName>
    <definedName name="IQ_TR_PRINTING_FEES" hidden="1">"c2276"</definedName>
    <definedName name="IQ_TR_PT_MONETARY_VALUES" hidden="1">"c2415"</definedName>
    <definedName name="IQ_TR_PT_NUMBER_SHARES" hidden="1">"c2417"</definedName>
    <definedName name="IQ_TR_PT_PCT_SHARES" hidden="1">"c2416"</definedName>
    <definedName name="IQ_TR_RATING_FEES" hidden="1">"c2275"</definedName>
    <definedName name="IQ_TR_REG_EFFECT_DATE" hidden="1">"c2264"</definedName>
    <definedName name="IQ_TR_REG_FILED_DATE" hidden="1">"c2263"</definedName>
    <definedName name="IQ_TR_RENEWAL_BUYBACK" hidden="1">"c2413"</definedName>
    <definedName name="IQ_TR_ROUND_NUMBER" hidden="1">"c2295"</definedName>
    <definedName name="IQ_TR_SEC_FEES" hidden="1">"c2274"</definedName>
    <definedName name="IQ_TR_SECURITY_TYPE_REG" hidden="1">"c2279"</definedName>
    <definedName name="IQ_TR_SELL_ACC_ADVISORS" hidden="1">"c3049"</definedName>
    <definedName name="IQ_TR_SELL_FIN_ADVISORS" hidden="1">"c3046"</definedName>
    <definedName name="IQ_TR_SELL_LEG_ADVISORS" hidden="1">"c2388"</definedName>
    <definedName name="IQ_TR_SELLER_ID" hidden="1">"c2406"</definedName>
    <definedName name="IQ_TR_SELLERNAME" hidden="1">"c2402"</definedName>
    <definedName name="IQ_TR_SFEATURES" hidden="1">"c2385"</definedName>
    <definedName name="IQ_TR_SH_NET_PROCEEDS" hidden="1">"c2269"</definedName>
    <definedName name="IQ_TR_SH_NET_PROCEEDS_PCT" hidden="1">"c2271"</definedName>
    <definedName name="IQ_TR_SPECIAL_COMMITTEE" hidden="1">"c2362"</definedName>
    <definedName name="IQ_TR_STATUS" hidden="1">"c2399"</definedName>
    <definedName name="IQ_TR_STOCK_CONSID_PCT" hidden="1">"c2312"</definedName>
    <definedName name="IQ_TR_SUSPENDED_DATE" hidden="1">"c2407"</definedName>
    <definedName name="IQ_TR_TARGET_52WKHI_PCT" hidden="1">"c2351"</definedName>
    <definedName name="IQ_TR_TARGET_52WKLOW_PCT" hidden="1">"c2350"</definedName>
    <definedName name="IQ_TR_TARGET_ACC_ADVISORS" hidden="1">"c3047"</definedName>
    <definedName name="IQ_TR_TARGET_CASH_ST_INVEST" hidden="1">"c2327"</definedName>
    <definedName name="IQ_TR_TARGET_CLOSEPRICE_1D" hidden="1">"c2352"</definedName>
    <definedName name="IQ_TR_TARGET_CLOSEPRICE_1M" hidden="1">"c2354"</definedName>
    <definedName name="IQ_TR_TARGET_CLOSEPRICE_1W" hidden="1">"c2353"</definedName>
    <definedName name="IQ_TR_TARGET_DILUT_EPS_EXCL" hidden="1">"c2324"</definedName>
    <definedName name="IQ_TR_TARGET_EARNING_CO" hidden="1">"c2332"</definedName>
    <definedName name="IQ_TR_TARGET_EBIT" hidden="1">"c2333"</definedName>
    <definedName name="IQ_TR_TARGET_EBIT_EQ_INC" hidden="1">"c3609"</definedName>
    <definedName name="IQ_TR_TARGET_EBITDA" hidden="1">"c2334"</definedName>
    <definedName name="IQ_TR_TARGET_EBITDA_EQ_INC" hidden="1">"c3608"</definedName>
    <definedName name="IQ_TR_TARGET_FILING_CURRENCY" hidden="1">"c3034"</definedName>
    <definedName name="IQ_TR_TARGET_FILINGDATE" hidden="1">"c3605"</definedName>
    <definedName name="IQ_TR_TARGET_FIN_ADVISORS" hidden="1">"c3044"</definedName>
    <definedName name="IQ_TR_TARGET_ID" hidden="1">"c2405"</definedName>
    <definedName name="IQ_TR_TARGET_LEG_ADVISORS" hidden="1">"c2386"</definedName>
    <definedName name="IQ_TR_TARGET_MARKETCAP" hidden="1">"c2342"</definedName>
    <definedName name="IQ_TR_TARGET_MIN_INT" hidden="1">"c2328"</definedName>
    <definedName name="IQ_TR_TARGET_NET_DEBT" hidden="1">"c2326"</definedName>
    <definedName name="IQ_TR_TARGET_NI" hidden="1">"c2331"</definedName>
    <definedName name="IQ_TR_TARGET_PERIODDATE" hidden="1">"c3604"</definedName>
    <definedName name="IQ_TR_TARGET_PRICEDATE_1D" hidden="1">"c2341"</definedName>
    <definedName name="IQ_TR_TARGET_RETURN" hidden="1">"c2355"</definedName>
    <definedName name="IQ_TR_TARGET_SEC_DETAIL" hidden="1">"c3021"</definedName>
    <definedName name="IQ_TR_TARGET_SEC_TI_ID" hidden="1">"c2368"</definedName>
    <definedName name="IQ_TR_TARGET_SEC_TYPE" hidden="1">"c2369"</definedName>
    <definedName name="IQ_TR_TARGET_SPD" hidden="1">"c2313"</definedName>
    <definedName name="IQ_TR_TARGET_SPD_PCT" hidden="1">"c2314"</definedName>
    <definedName name="IQ_TR_TARGET_STOCKPREMIUM_1D" hidden="1">"c2336"</definedName>
    <definedName name="IQ_TR_TARGET_STOCKPREMIUM_1M" hidden="1">"c2337"</definedName>
    <definedName name="IQ_TR_TARGET_STOCKPREMIUM_1W" hidden="1">"c2338"</definedName>
    <definedName name="IQ_TR_TARGET_STOCKYEARHIGH_1D" hidden="1">"c2339"</definedName>
    <definedName name="IQ_TR_TARGET_STOCKYEARLOW_1D" hidden="1">"c2340"</definedName>
    <definedName name="IQ_TR_TARGET_TOTAL_ASSETS" hidden="1">"c2325"</definedName>
    <definedName name="IQ_TR_TARGET_TOTAL_COMMON_EQ" hidden="1">"c2421"</definedName>
    <definedName name="IQ_TR_TARGET_TOTAL_DEBT" hidden="1">"c2330"</definedName>
    <definedName name="IQ_TR_TARGET_TOTAL_PREF" hidden="1">"c2329"</definedName>
    <definedName name="IQ_TR_TARGET_TOTAL_REV" hidden="1">"c2335"</definedName>
    <definedName name="IQ_TR_TARGETNAME" hidden="1">"c2403"</definedName>
    <definedName name="IQ_TR_TERM_FEE" hidden="1">"c2298"</definedName>
    <definedName name="IQ_TR_TERM_FEE_PCT" hidden="1">"c2297"</definedName>
    <definedName name="IQ_TR_TODATE" hidden="1">"c3036"</definedName>
    <definedName name="IQ_TR_TODATE_MONETARY_VALUE" hidden="1">"c2418"</definedName>
    <definedName name="IQ_TR_TODATE_NUMBER_SHARES" hidden="1">"c2420"</definedName>
    <definedName name="IQ_TR_TODATE_PCT_SHARES" hidden="1">"c2419"</definedName>
    <definedName name="IQ_TR_TOTAL_ACCT_FEES" hidden="1">"c2273"</definedName>
    <definedName name="IQ_TR_TOTAL_CASH" hidden="1">"c2315"</definedName>
    <definedName name="IQ_TR_TOTAL_CONSID_SH" hidden="1">"c2316"</definedName>
    <definedName name="IQ_TR_TOTAL_DEBT" hidden="1">"c2317"</definedName>
    <definedName name="IQ_TR_TOTAL_GROSS_TV" hidden="1">"c2318"</definedName>
    <definedName name="IQ_TR_TOTAL_HYBRID" hidden="1">"c2319"</definedName>
    <definedName name="IQ_TR_TOTAL_LEGAL_FEES" hidden="1">"c2272"</definedName>
    <definedName name="IQ_TR_TOTAL_NET_TV" hidden="1">"c2320"</definedName>
    <definedName name="IQ_TR_TOTAL_NEWMONEY" hidden="1">"c2289"</definedName>
    <definedName name="IQ_TR_TOTAL_OPTIONS" hidden="1">"c2322"</definedName>
    <definedName name="IQ_TR_TOTAL_OPTIONS_BUYER" hidden="1">"c3026"</definedName>
    <definedName name="IQ_TR_TOTAL_PREFERRED" hidden="1">"c2321"</definedName>
    <definedName name="IQ_TR_TOTAL_REG_AMT" hidden="1">"c2261"</definedName>
    <definedName name="IQ_TR_TOTAL_STOCK" hidden="1">"c2323"</definedName>
    <definedName name="IQ_TR_TOTAL_TAKEDOWNS" hidden="1">"c2278"</definedName>
    <definedName name="IQ_TR_TOTAL_UW_COMP" hidden="1">"c2280"</definedName>
    <definedName name="IQ_TR_TOTALVALUE" hidden="1">"c2400"</definedName>
    <definedName name="IQ_TR_TRANSACTION_TYPE" hidden="1">"c2398"</definedName>
    <definedName name="IQ_TR_WITHDRAWN_DTE" hidden="1">"c2266"</definedName>
    <definedName name="IQ_TRADE_AR" hidden="1">"c1345"</definedName>
    <definedName name="IQ_TRADE_PRINCIPAL" hidden="1">"c1309"</definedName>
    <definedName name="IQ_TRADING_ASSETS" hidden="1">"c1310"</definedName>
    <definedName name="IQ_TRADING_CURRENCY" hidden="1">"c2212"</definedName>
    <definedName name="IQ_TREASURY" hidden="1">"c1311"</definedName>
    <definedName name="IQ_TREASURY_OTHER_EQUITY" hidden="1">"c1312"</definedName>
    <definedName name="IQ_TREASURY_OTHER_EQUITY_BNK" hidden="1">"c1313"</definedName>
    <definedName name="IQ_TREASURY_OTHER_EQUITY_BR" hidden="1">"c1314"</definedName>
    <definedName name="IQ_TREASURY_OTHER_EQUITY_FIN" hidden="1">"c1315"</definedName>
    <definedName name="IQ_TREASURY_OTHER_EQUITY_INS" hidden="1">"c1316"</definedName>
    <definedName name="IQ_TREASURY_OTHER_EQUITY_REIT" hidden="1">"c1317"</definedName>
    <definedName name="IQ_TREASURY_OTHER_EQUITY_UTI" hidden="1">"c1318"</definedName>
    <definedName name="IQ_TREASURY_STOCK" hidden="1">"c1438"</definedName>
    <definedName name="IQ_TRUST_INC" hidden="1">"c1319"</definedName>
    <definedName name="IQ_TRUST_PREF" hidden="1">"c1320"</definedName>
    <definedName name="IQ_TRUST_PREFERRED" hidden="1">"c3029"</definedName>
    <definedName name="IQ_TRUST_PREFERRED_PCT" hidden="1">"c3030"</definedName>
    <definedName name="IQ_UFCF_10YR_ANN_GROWTH" hidden="1">"c1948"</definedName>
    <definedName name="IQ_UFCF_1YR_ANN_GROWTH" hidden="1">"c1943"</definedName>
    <definedName name="IQ_UFCF_2YR_ANN_GROWTH" hidden="1">"c1944"</definedName>
    <definedName name="IQ_UFCF_3YR_ANN_GROWTH" hidden="1">"c1945"</definedName>
    <definedName name="IQ_UFCF_5YR_ANN_GROWTH" hidden="1">"c1946"</definedName>
    <definedName name="IQ_UFCF_7YR_ANN_GROWTH" hidden="1">"c1947"</definedName>
    <definedName name="IQ_UFCF_MARGIN" hidden="1">"c1962"</definedName>
    <definedName name="IQ_ULT_PARENT" hidden="1">"c3037"</definedName>
    <definedName name="IQ_ULT_PARENT_CIQID" hidden="1">"c3039"</definedName>
    <definedName name="IQ_ULT_PARENT_TICKER" hidden="1">"c3038"</definedName>
    <definedName name="IQ_UNAMORT_DISC" hidden="1">"c2513"</definedName>
    <definedName name="IQ_UNAMORT_DISC_PCT" hidden="1">"c2514"</definedName>
    <definedName name="IQ_UNAMORT_PREMIUM" hidden="1">"c2511"</definedName>
    <definedName name="IQ_UNAMORT_PREMIUM_PCT" hidden="1">"c2512"</definedName>
    <definedName name="IQ_UNDRAWN_CP" hidden="1">"c2518"</definedName>
    <definedName name="IQ_UNDRAWN_CREDIT" hidden="1">"c3032"</definedName>
    <definedName name="IQ_UNDRAWN_RC" hidden="1">"c2517"</definedName>
    <definedName name="IQ_UNDRAWN_TL" hidden="1">"c2519"</definedName>
    <definedName name="IQ_UNEARN_PREMIUM" hidden="1">"c1321"</definedName>
    <definedName name="IQ_UNEARN_REV_CURRENT" hidden="1">"c1322"</definedName>
    <definedName name="IQ_UNEARN_REV_CURRENT_BNK" hidden="1">"c1323"</definedName>
    <definedName name="IQ_UNEARN_REV_CURRENT_BR" hidden="1">"c1324"</definedName>
    <definedName name="IQ_UNEARN_REV_CURRENT_FIN" hidden="1">"c1325"</definedName>
    <definedName name="IQ_UNEARN_REV_CURRENT_INS" hidden="1">"c1326"</definedName>
    <definedName name="IQ_UNEARN_REV_CURRENT_REIT" hidden="1">"c1327"</definedName>
    <definedName name="IQ_UNEARN_REV_CURRENT_UTI" hidden="1">"c1328"</definedName>
    <definedName name="IQ_UNEARN_REV_LT" hidden="1">"c1329"</definedName>
    <definedName name="IQ_UNLEVERED_FCF" hidden="1">"c1908"</definedName>
    <definedName name="IQ_UNPAID_CLAIMS" hidden="1">"c1330"</definedName>
    <definedName name="IQ_UNREALIZED_GAIN" hidden="1">"c1619"</definedName>
    <definedName name="IQ_UNSECURED_DEBT" hidden="1">"c2548"</definedName>
    <definedName name="IQ_UNSECURED_DEBT_PCT" hidden="1">"c2549"</definedName>
    <definedName name="IQ_UNUSUAL_EXP" hidden="1">"c1456"</definedName>
    <definedName name="IQ_US_GAAP" hidden="1">"c1331"</definedName>
    <definedName name="IQ_US_GAAP_BASIC_EPS_EXCL" hidden="1">"c2984"</definedName>
    <definedName name="IQ_US_GAAP_BASIC_EPS_INCL" hidden="1">"c2982"</definedName>
    <definedName name="IQ_US_GAAP_BASIC_WEIGHT" hidden="1">"c2980"</definedName>
    <definedName name="IQ_US_GAAP_CA_ADJ" hidden="1">"c2925"</definedName>
    <definedName name="IQ_US_GAAP_CASH_FINAN" hidden="1">"c2945"</definedName>
    <definedName name="IQ_US_GAAP_CASH_FINAN_ADJ" hidden="1">"c2941"</definedName>
    <definedName name="IQ_US_GAAP_CASH_INVEST" hidden="1">"c2944"</definedName>
    <definedName name="IQ_US_GAAP_CASH_INVEST_ADJ" hidden="1">"c2940"</definedName>
    <definedName name="IQ_US_GAAP_CASH_OPER" hidden="1">"c2943"</definedName>
    <definedName name="IQ_US_GAAP_CASH_OPER_ADJ" hidden="1">"c2939"</definedName>
    <definedName name="IQ_US_GAAP_CL_ADJ" hidden="1">"c2927"</definedName>
    <definedName name="IQ_US_GAAP_COST_REV_ADJ" hidden="1">"c2951"</definedName>
    <definedName name="IQ_US_GAAP_DILUT_EPS_EXCL" hidden="1">"c2985"</definedName>
    <definedName name="IQ_US_GAAP_DILUT_EPS_INCL" hidden="1">"c2983"</definedName>
    <definedName name="IQ_US_GAAP_DILUT_NI" hidden="1">"c2979"</definedName>
    <definedName name="IQ_US_GAAP_DILUT_WEIGHT" hidden="1">"c2981"</definedName>
    <definedName name="IQ_US_GAAP_DO_ADJ" hidden="1">"c2959"</definedName>
    <definedName name="IQ_US_GAAP_EXTRA_ACC_ITEMS_ADJ" hidden="1">"c2958"</definedName>
    <definedName name="IQ_US_GAAP_INC_TAX_ADJ" hidden="1">"c2961"</definedName>
    <definedName name="IQ_US_GAAP_INTEREST_EXP_ADJ" hidden="1">"c2957"</definedName>
    <definedName name="IQ_US_GAAP_LIAB_LT_ADJ" hidden="1">"c2928"</definedName>
    <definedName name="IQ_US_GAAP_LIAB_TOTAL_LIAB" hidden="1">"c2933"</definedName>
    <definedName name="IQ_US_GAAP_MINORITY_INTEREST_IS_ADJ" hidden="1">"c2960"</definedName>
    <definedName name="IQ_US_GAAP_NCA_ADJ" hidden="1">"c2926"</definedName>
    <definedName name="IQ_US_GAAP_NET_CHANGE" hidden="1">"c2946"</definedName>
    <definedName name="IQ_US_GAAP_NET_CHANGE_ADJ" hidden="1">"c2942"</definedName>
    <definedName name="IQ_US_GAAP_NI" hidden="1">"c2976"</definedName>
    <definedName name="IQ_US_GAAP_NI_ADJ" hidden="1">"c2963"</definedName>
    <definedName name="IQ_US_GAAP_NI_AVAIL_INCL" hidden="1">"c2978"</definedName>
    <definedName name="IQ_US_GAAP_OTHER_ADJ_ADJ" hidden="1">"c2962"</definedName>
    <definedName name="IQ_US_GAAP_OTHER_NON_OPER_ADJ" hidden="1">"c2955"</definedName>
    <definedName name="IQ_US_GAAP_OTHER_OPER_ADJ" hidden="1">"c2954"</definedName>
    <definedName name="IQ_US_GAAP_RD_ADJ" hidden="1">"c2953"</definedName>
    <definedName name="IQ_US_GAAP_SGA_ADJ" hidden="1">"c2952"</definedName>
    <definedName name="IQ_US_GAAP_TOTAL_ASSETS" hidden="1">"c2931"</definedName>
    <definedName name="IQ_US_GAAP_TOTAL_EQUITY" hidden="1">"c2934"</definedName>
    <definedName name="IQ_US_GAAP_TOTAL_EQUITY_ADJ" hidden="1">"c2929"</definedName>
    <definedName name="IQ_US_GAAP_TOTAL_REV_ADJ" hidden="1">"c2950"</definedName>
    <definedName name="IQ_US_GAAP_TOTAL_UNUSUAL_ADJ" hidden="1">"c2956"</definedName>
    <definedName name="IQ_UTIL_PPE_NET" hidden="1">"c1620"</definedName>
    <definedName name="IQ_UTIL_REV" hidden="1">"c2091"</definedName>
    <definedName name="IQ_UV_PENSION_LIAB" hidden="1">"c1332"</definedName>
    <definedName name="IQ_VALUE_TRADED_LAST_3MTH" hidden="1">"c1530"</definedName>
    <definedName name="IQ_VALUE_TRADED_LAST_6MTH" hidden="1">"c1531"</definedName>
    <definedName name="IQ_VALUE_TRADED_LAST_MTH" hidden="1">"c1529"</definedName>
    <definedName name="IQ_VALUE_TRADED_LAST_WK" hidden="1">"c1528"</definedName>
    <definedName name="IQ_VALUE_TRADED_LAST_YR" hidden="1">"c1532"</definedName>
    <definedName name="IQ_VOL_LAST_3MTH" hidden="1">"c1525"</definedName>
    <definedName name="IQ_VOL_LAST_6MTH" hidden="1">"c1526"</definedName>
    <definedName name="IQ_VOL_LAST_MTH" hidden="1">"c1524"</definedName>
    <definedName name="IQ_VOL_LAST_WK" hidden="1">"c1523"</definedName>
    <definedName name="IQ_VOL_LAST_YR" hidden="1">"c1527"</definedName>
    <definedName name="IQ_VOLUME" hidden="1">"c1333"</definedName>
    <definedName name="IQ_WARRANTS_BEG_OS" hidden="1">"c2698"</definedName>
    <definedName name="IQ_WARRANTS_CANCELLED" hidden="1">"c2701"</definedName>
    <definedName name="IQ_WARRANTS_END_OS" hidden="1">"c2702"</definedName>
    <definedName name="IQ_WARRANTS_EXERCISED" hidden="1">"c2700"</definedName>
    <definedName name="IQ_WARRANTS_ISSUED" hidden="1">"c2699"</definedName>
    <definedName name="IQ_WARRANTS_STRIKE_PRICE_ISSUED" hidden="1">"c2704"</definedName>
    <definedName name="IQ_WARRANTS_STRIKE_PRICE_OS" hidden="1">"c2703"</definedName>
    <definedName name="IQ_WEIGHTED_AVG_PRICE" hidden="1">"c1334"</definedName>
    <definedName name="IQ_WIP_INV" hidden="1">"c1335"</definedName>
    <definedName name="IQ_WORKING_CAP" hidden="1">"c3494"</definedName>
    <definedName name="IQ_WORKMEN_WRITTEN" hidden="1">"c1336"</definedName>
    <definedName name="IQ_XDIV_DATE" hidden="1">"c2203"</definedName>
    <definedName name="IQ_YEARHIGH" hidden="1">"c1337"</definedName>
    <definedName name="IQ_YEARHIGH_DATE" hidden="1">"c2250"</definedName>
    <definedName name="IQ_YEARLOW" hidden="1">"c1338"</definedName>
    <definedName name="IQ_YEARLOW_DATE" hidden="1">"c2251"</definedName>
    <definedName name="IQ_YTD" hidden="1">3000</definedName>
    <definedName name="IQ_YTW" hidden="1">"c2163"</definedName>
    <definedName name="IQ_YTW_DATE" hidden="1">"c2164"</definedName>
    <definedName name="IQ_YTW_DATE_TYPE" hidden="1">"c2165"</definedName>
    <definedName name="IQ_Z_SCORE" hidden="1">"c1339"</definedName>
    <definedName name="KIT" hidden="1">{"equity comps",#N/A,FALSE,"CS Comps";"equity comps",#N/A,FALSE,"PS Comps";"equity comps",#N/A,FALSE,"GIC_Comps";"equity comps",#N/A,FALSE,"GIC2_Comps"}</definedName>
    <definedName name="kol" hidden="1">{"away stand alones",#N/A,FALSE,"Target"}</definedName>
    <definedName name="limcount" hidden="1">1</definedName>
    <definedName name="mason?" hidden="1">{#N/A,#N/A,FALSE,"Data &amp; Key Results";#N/A,#N/A,FALSE,"Summary Template";#N/A,#N/A,FALSE,"Budget";#N/A,#N/A,FALSE,"Present Value Comparison";#N/A,#N/A,FALSE,"Cashflow";#N/A,#N/A,FALSE,"Income";#N/A,#N/A,FALSE,"Inputs"}</definedName>
    <definedName name="mason2" hidden="1">{#N/A,#N/A,FALSE,"Data &amp; Key Results";#N/A,#N/A,FALSE,"Summary Template";#N/A,#N/A,FALSE,"Budget";#N/A,#N/A,FALSE,"Present Value Comparison";#N/A,#N/A,FALSE,"Cashflow";#N/A,#N/A,FALSE,"Income";#N/A,#N/A,FALSE,"Inputs"}</definedName>
    <definedName name="mason3" hidden="1">{#N/A,#N/A,FALSE,"Data &amp; Key Results";#N/A,#N/A,FALSE,"Summary Template";#N/A,#N/A,FALSE,"Budget";#N/A,#N/A,FALSE,"Present Value Comparison";#N/A,#N/A,FALSE,"Cashflow";#N/A,#N/A,FALSE,"Income";#N/A,#N/A,FALSE,"Inputs"}</definedName>
    <definedName name="mason4" hidden="1">{#N/A,#N/A,FALSE,"Data &amp; Key Results";#N/A,#N/A,FALSE,"Summary Template";#N/A,#N/A,FALSE,"Budget";#N/A,#N/A,FALSE,"Present Value Comparison";#N/A,#N/A,FALSE,"Cashflow";#N/A,#N/A,FALSE,"Income";#N/A,#N/A,FALSE,"Inputs"}</definedName>
    <definedName name="mason5" hidden="1">{#N/A,#N/A,FALSE,"Data &amp; Key Results";#N/A,#N/A,FALSE,"Summary Template";#N/A,#N/A,FALSE,"Budget";#N/A,#N/A,FALSE,"Present Value Comparison";#N/A,#N/A,FALSE,"Cashflow";#N/A,#N/A,FALSE,"Income";#N/A,#N/A,FALSE,"Inputs"}</definedName>
    <definedName name="masonII" hidden="1">{#N/A,#N/A,FALSE,"Data &amp; Key Results";#N/A,#N/A,FALSE,"Summary Template";#N/A,#N/A,FALSE,"Budget";#N/A,#N/A,FALSE,"Present Value Comparison";#N/A,#N/A,FALSE,"Cashflow";#N/A,#N/A,FALSE,"Income";#N/A,#N/A,FALSE,"Inputs"}</definedName>
    <definedName name="Mktsize" hidden="1">{#N/A,#N/A,FALSE,"Summary";#N/A,#N/A,FALSE,"Assumptions";#N/A,#N/A,FALSE,"Scenarios";#N/A,#N/A,FALSE,"LBE (Base)";#N/A,#N/A,FALSE,"Scen A";#N/A,#N/A,FALSE,"Scen B";"Debt Paydown Scenario",#N/A,FALSE,"Cash in Bank";#N/A,#N/A,FALSE,"Debt&amp;Equity Rec"}</definedName>
    <definedName name="New" hidden="1">{#N/A,#N/A,FALSE,"Summary";#N/A,#N/A,FALSE,"Assumptions";#N/A,#N/A,FALSE,"Scenarios";#N/A,#N/A,FALSE,"LBE (Base)";#N/A,#N/A,FALSE,"Scen A";#N/A,#N/A,FALSE,"Scen B";"Debt Paydown Scenario",#N/A,FALSE,"Cash in Bank";#N/A,#N/A,FALSE,"Debt&amp;Equity Rec"}</definedName>
    <definedName name="noidea" hidden="1">{#N/A,#N/A,FALSE,"Calc";#N/A,#N/A,FALSE,"Sensitivity";#N/A,#N/A,FALSE,"LT Earn.Dil.";#N/A,#N/A,FALSE,"Dil. AVP"}</definedName>
    <definedName name="NOIDEA2" hidden="1">{#N/A,#N/A,FALSE,"Calc";#N/A,#N/A,FALSE,"Sensitivity";#N/A,#N/A,FALSE,"LT Earn.Dil.";#N/A,#N/A,FALSE,"Dil. AVP"}</definedName>
    <definedName name="oku" hidden="1">{"equity comps",#N/A,FALSE,"CS Comps";"equity comps",#N/A,FALSE,"PS Comps";"equity comps",#N/A,FALSE,"GIC_Comps";"equity comps",#N/A,FALSE,"GIC2_Comps";"debt comps",#N/A,FALSE,"CS Comps";"debt comps",#N/A,FALSE,"PS Comps";"debt comps",#N/A,FALSE,"GIC_Comps";"debt comps",#N/A,FALSE,"GIC2_Comps"}</definedName>
    <definedName name="OP" hidden="1">{#N/A,#N/A,FALSE,"Operations";#N/A,#N/A,FALSE,"Financials"}</definedName>
    <definedName name="po" hidden="1">{#N/A,#N/A,FALSE,"Calc";#N/A,#N/A,FALSE,"Sensitivity";#N/A,#N/A,FALSE,"LT Earn.Dil.";#N/A,#N/A,FALSE,"Dil. AVP"}</definedName>
    <definedName name="poi" hidden="1">{"assumption 50 50",#N/A,TRUE,"Merger";"has gets cash",#N/A,TRUE,"Merger";"accretion dilution",#N/A,TRUE,"Merger";"comparison credit stats",#N/A,TRUE,"Merger";"pf credit stats",#N/A,TRUE,"Merger";"pf sheets",#N/A,TRUE,"Merger"}</definedName>
    <definedName name="_xlnm.Print_Area" localSheetId="1">'II-E-1'!$A$10:$W$85</definedName>
    <definedName name="_xlnm.Print_Area" localSheetId="2">'II-E-2'!$A$10:$W$36</definedName>
    <definedName name="_xlnm.Print_Area" localSheetId="3">'II-E-2.1'!$A$10:$T$30</definedName>
    <definedName name="_xlnm.Print_Area" localSheetId="5">'II-E-3'!$A$10:$W$55</definedName>
    <definedName name="_xlnm.Print_Area" localSheetId="4">'II-E-3 Attachment'!$A$10:$D$52</definedName>
    <definedName name="_xlnm.Print_Area" localSheetId="6">'II-E-3.1'!$A$14:$E$95</definedName>
    <definedName name="_xlnm.Print_Area" localSheetId="17">'II-E-3.10'!$A$10:$I$22</definedName>
    <definedName name="_xlnm.Print_Area" localSheetId="18">'II-E-3.11'!$A$10:$I$21</definedName>
    <definedName name="_xlnm.Print_Area" localSheetId="19">'II-E-3.12'!$A$10:$G$21</definedName>
    <definedName name="_xlnm.Print_Area" localSheetId="20">'II-E-3.13'!$A$10:$L$15</definedName>
    <definedName name="_xlnm.Print_Area" localSheetId="21">'II-E-3.14'!$A$10:$X$20</definedName>
    <definedName name="_xlnm.Print_Area" localSheetId="22">'II-E-3.15'!$A$14:$E$128</definedName>
    <definedName name="_xlnm.Print_Area" localSheetId="23">'II-E-3.16'!$A$10:$G$86</definedName>
    <definedName name="_xlnm.Print_Area" localSheetId="24">'II-E-3.17'!$A$10:$Q$15</definedName>
    <definedName name="_xlnm.Print_Area" localSheetId="25">'II-E-3.18'!$A$8:$W$40</definedName>
    <definedName name="_xlnm.Print_Area" localSheetId="26">'II-E-3.19'!$A$10:$Q$76</definedName>
    <definedName name="_xlnm.Print_Area" localSheetId="27">'II-E-3.20'!$A$12:$H$12</definedName>
    <definedName name="_xlnm.Print_Area" localSheetId="28">'II-E-3.21'!$A$10:$D$18</definedName>
    <definedName name="_xlnm.Print_Area" localSheetId="29">'II-E-3.22'!$A$10:$M$39</definedName>
    <definedName name="_xlnm.Print_Area" localSheetId="30">'II-E-3.23'!$A$10:$F$25</definedName>
    <definedName name="_xlnm.Print_Area" localSheetId="31">'II-E-3.24'!$A$10:$I$18</definedName>
    <definedName name="_xlnm.Print_Area" localSheetId="7">'II-E-3.2a'!$A$10:$E$31</definedName>
    <definedName name="_xlnm.Print_Area" localSheetId="8">'II-E-3.2b'!$A$10:$E$48</definedName>
    <definedName name="_xlnm.Print_Area" localSheetId="9">'II-E-3.3'!$A$10:$M$218</definedName>
    <definedName name="_xlnm.Print_Area" localSheetId="10">'II-E-3.4'!$A$7:$L$16</definedName>
    <definedName name="_xlnm.Print_Area" localSheetId="11">'II-E-3.5'!$A$10:$X$99</definedName>
    <definedName name="_xlnm.Print_Area" localSheetId="12">'II-E-3.5a'!$A$10:$ED$79</definedName>
    <definedName name="_xlnm.Print_Area" localSheetId="13">'II-E-3.6'!$A$10:$D$66</definedName>
    <definedName name="_xlnm.Print_Area" localSheetId="14">'II-E-3.7'!$A$10:$F$48</definedName>
    <definedName name="_xlnm.Print_Area" localSheetId="15">'II-E-3.8'!$A$10:$G$39</definedName>
    <definedName name="_xlnm.Print_Area" localSheetId="16">'II-E-3.9'!$A$10:$D$35</definedName>
    <definedName name="_xlnm.Print_Area" localSheetId="32">'II-E-4'!$A$10:$W$24</definedName>
    <definedName name="_xlnm.Print_Area" localSheetId="33">'II-E-4.1'!$A$11:$W$91</definedName>
    <definedName name="_xlnm.Print_Area" localSheetId="34">'II-E-4.1.1'!$D$13:$S$117</definedName>
    <definedName name="_xlnm.Print_Area" localSheetId="35">'II-E-4.2'!$A$11:$P$50</definedName>
    <definedName name="_xlnm.Print_Area" localSheetId="36">'II-E-4.3'!$A$16:$I$17</definedName>
    <definedName name="_xlnm.Print_Area" localSheetId="37">'II-E-4.4'!$A$9:$R$30</definedName>
    <definedName name="_xlnm.Print_Area" localSheetId="38">'II-E-4.5'!$A$11:$M$49</definedName>
    <definedName name="_xlnm.Print_Area" localSheetId="39">'II-E-4.6'!$A$11:$G$12</definedName>
    <definedName name="_xlnm.Print_Area" localSheetId="40">'II-E-5'!$A$10:$X$33</definedName>
    <definedName name="_xlnm.Print_Titles" localSheetId="1">'II-E-1'!$A:$D,'II-E-1'!$10:$14</definedName>
    <definedName name="_xlnm.Print_Titles" localSheetId="2">'II-E-2'!$A:$D</definedName>
    <definedName name="_xlnm.Print_Titles" localSheetId="5">'II-E-3'!$A:$C,'II-E-3'!$10:$13</definedName>
    <definedName name="_xlnm.Print_Titles" localSheetId="6">'II-E-3.1'!$10:$13</definedName>
    <definedName name="_xlnm.Print_Titles" localSheetId="21">'II-E-3.14'!$A:$D</definedName>
    <definedName name="_xlnm.Print_Titles" localSheetId="22">'II-E-3.15'!$10:$13</definedName>
    <definedName name="_xlnm.Print_Titles" localSheetId="25">'II-E-3.18'!$A:$B</definedName>
    <definedName name="_xlnm.Print_Titles" localSheetId="26">'II-E-3.19'!$A:$C,'II-E-3.19'!$10:$12</definedName>
    <definedName name="_xlnm.Print_Titles" localSheetId="9">'II-E-3.3'!$10:$10</definedName>
    <definedName name="_xlnm.Print_Titles" localSheetId="11">'II-E-3.5'!$A:$D,'II-E-3.5'!$10:$14</definedName>
    <definedName name="_xlnm.Print_Titles" localSheetId="12">'II-E-3.5a'!$A:$C,'II-E-3.5a'!$10:$12</definedName>
    <definedName name="_xlnm.Print_Titles" localSheetId="13">'II-E-3.6'!$10:$11</definedName>
    <definedName name="_xlnm.Print_Titles" localSheetId="32">'II-E-4'!$A:$D</definedName>
    <definedName name="_xlnm.Print_Titles" localSheetId="33">'II-E-4.1'!$A:$D,'II-E-4.1'!$11:$15</definedName>
    <definedName name="_xlnm.Print_Titles" localSheetId="34">'II-E-4.1.1'!$A:$C,'II-E-4.1.1'!$10:$12</definedName>
    <definedName name="_xlnm.Print_Titles" localSheetId="37">'II-E-4.4'!$A:$B</definedName>
    <definedName name="_xlnm.Print_Titles" localSheetId="40">'II-E-5'!$A:$D</definedName>
    <definedName name="prout" hidden="1">{"comp1",#N/A,FALSE,"COMPS";"footnotes",#N/A,FALSE,"COMPS"}</definedName>
    <definedName name="qewreqrqwer" hidden="1">{"comp1",#N/A,FALSE,"COMPS";"footnotes",#N/A,FALSE,"COMPS"}</definedName>
    <definedName name="qq" hidden="1">{"equity comps",#N/A,FALSE,"CS Comps";"equity comps",#N/A,FALSE,"PS Comps";"equity comps",#N/A,FALSE,"GIC_Comps";"equity comps",#N/A,FALSE,"GIC2_Comps"}</definedName>
    <definedName name="qqqqqq" hidden="1">{"FCB_ALL",#N/A,FALSE,"FCB"}</definedName>
    <definedName name="qwe" hidden="1">{"assumption cash",#N/A,TRUE,"Merger";"has gets cash",#N/A,TRUE,"Merger";"accretion dilution",#N/A,TRUE,"Merger";"comparison credit stats",#N/A,TRUE,"Merger";"pf credit stats",#N/A,TRUE,"Merger";"pf sheets",#N/A,TRUE,"Merger"}</definedName>
    <definedName name="qwer" hidden="1">{"hiden",#N/A,FALSE,"14";"hidden",#N/A,FALSE,"16";"hidden",#N/A,FALSE,"18";"hidden",#N/A,FALSE,"20"}</definedName>
    <definedName name="qwerqewr" hidden="1">{#N/A,#N/A,FALSE,"Calc";#N/A,#N/A,FALSE,"Sensitivity";#N/A,#N/A,FALSE,"LT Earn.Dil.";#N/A,#N/A,FALSE,"Dil. AVP"}</definedName>
    <definedName name="qwerqwerq" hidden="1">{"assumption 50 50",#N/A,TRUE,"Merger";"has gets cash",#N/A,TRUE,"Merger";"accretion dilution",#N/A,TRUE,"Merger";"comparison credit stats",#N/A,TRUE,"Merger";"pf credit stats",#N/A,TRUE,"Merger";"pf sheets",#N/A,TRUE,"Merger"}</definedName>
    <definedName name="rrrr" hidden="1">{"comp1",#N/A,FALSE,"COMPS";"footnotes",#N/A,FALSE,"COMPS"}</definedName>
    <definedName name="rty" hidden="1">{#N/A,#N/A,TRUE,"Pro Forma";#N/A,#N/A,TRUE,"PF_Bal";#N/A,#N/A,TRUE,"PF_INC";#N/A,#N/A,TRUE,"CBE";#N/A,#N/A,TRUE,"SWK"}</definedName>
    <definedName name="saaaaaaaaaaaaaaa" hidden="1">{"up stand alones",#N/A,FALSE,"Acquiror"}</definedName>
    <definedName name="sadfsdfsdfsaf" hidden="1">{"wpocash",#N/A,FALSE,"WPOALLT";"wpoinc",#N/A,FALSE,"WPOALLT";"wpobroad",#N/A,FALSE,"WPOALLT";"wpocable",#N/A,FALSE,"WPOALLT";"wpoexcl",#N/A,FALSE,"WPOALLT";"wponwsweek",#N/A,FALSE,"WPOALLT";"wpopost",#N/A,FALSE,"WPOALLT"}</definedName>
    <definedName name="SAPBEXdnldView" hidden="1">"D3F6J5CPI9NGORO9TICK7IUYB"</definedName>
    <definedName name="SAPBEXsysID" hidden="1">"HBP"</definedName>
    <definedName name="Scenarios" hidden="1">{#N/A,"ICF Downside",FALSE,"Inputs";#N/A,"High Inflation",FALSE,"Inputs"}</definedName>
    <definedName name="sdafsdafsaf" hidden="1">{"wpocash",#N/A,FALSE,"WPOALLT";"wpoinc",#N/A,FALSE,"WPOALLT";"wpobroad",#N/A,FALSE,"WPOALLT";"wpocable",#N/A,FALSE,"WPOALLT";"wpoexcl",#N/A,FALSE,"WPOALLT";"wponwsweek",#N/A,FALSE,"WPOALLT";"wpopost",#N/A,FALSE,"WPOALLT"}</definedName>
    <definedName name="sdf" hidden="1">{#N/A,#N/A,FALSE,"Calc";#N/A,#N/A,FALSE,"Sensitivity";#N/A,#N/A,FALSE,"LT Earn.Dil.";#N/A,#N/A,FALSE,"Dil. AVP"}</definedName>
    <definedName name="sdfsdfsdfsafsdf" hidden="1">{"FCB_ALL",#N/A,FALSE,"FCB"}</definedName>
    <definedName name="sdgdfghfhgfjhgfjhjjjg" hidden="1">{"general",#N/A,FALSE,"Assumptions"}</definedName>
    <definedName name="se" hidden="1">{"consolidated",#N/A,FALSE,"Sheet1";"cms",#N/A,FALSE,"Sheet1";"fse",#N/A,FALSE,"Sheet1"}</definedName>
    <definedName name="sencount" hidden="1">1</definedName>
    <definedName name="sfs" hidden="1">{"comps",#N/A,FALSE,"HANDPACK";"footnotes",#N/A,FALSE,"HANDPACK"}</definedName>
    <definedName name="SPS" hidden="1">{#N/A,#N/A,TRUE,"financial";#N/A,#N/A,TRUE,"plants"}</definedName>
    <definedName name="ss" hidden="1">{#N/A,#N/A,TRUE,"Pro Forma";#N/A,#N/A,TRUE,"PF_Bal";#N/A,#N/A,TRUE,"PF_INC";#N/A,#N/A,TRUE,"CBE";#N/A,#N/A,TRUE,"SWK"}</definedName>
    <definedName name="svfs" hidden="1">{"comps2",#N/A,FALSE,"AERO";"footnotes",#N/A,FALSE,"AERO"}</definedName>
    <definedName name="ththt" hidden="1">{#N/A,"DR",FALSE,"increm pf";#N/A,"MAMSI",FALSE,"increm pf";#N/A,"MAXI",FALSE,"increm pf";#N/A,"PCAM",FALSE,"increm pf";#N/A,"PHSV",FALSE,"increm pf";#N/A,"SIE",FALSE,"increm pf"}</definedName>
    <definedName name="tt" hidden="1">{"away stand alones",#N/A,FALSE,"Target"}</definedName>
    <definedName name="tyu" hidden="1">{"consolidated",#N/A,FALSE,"Sheet1";"cms",#N/A,FALSE,"Sheet1";"fse",#N/A,FALSE,"Sheet1"}</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u" hidden="1">{"away stand alones",#N/A,FALSE,"Target"}</definedName>
    <definedName name="vsv" hidden="1">{"comp",#N/A,FALSE,"SPEC";"footnotes",#N/A,FALSE,"SPEC"}</definedName>
    <definedName name="wefsdfasdf" hidden="1">{"equity comps",#N/A,FALSE,"CS Comps";"equity comps",#N/A,FALSE,"PS Comps";"equity comps",#N/A,FALSE,"GIC_Comps";"equity comps",#N/A,FALSE,"GIC2_Comps";"debt comps",#N/A,FALSE,"CS Comps";"debt comps",#N/A,FALSE,"PS Comps";"debt comps",#N/A,FALSE,"GIC_Comps";"debt comps",#N/A,FALSE,"GIC2_Comps"}</definedName>
    <definedName name="where" hidden="1">{"inputs raw data",#N/A,TRUE,"INPUT"}</definedName>
    <definedName name="wrn"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1." hidden="1">{#N/A,#N/A,FALSE,"Calc";#N/A,#N/A,FALSE,"Sensitivity";#N/A,#N/A,FALSE,"LT Earn.Dil.";#N/A,#N/A,FALSE,"Dil. AVP"}</definedName>
    <definedName name="WRN.2." hidden="1">{#N/A,#N/A,FALSE,"Calc";#N/A,#N/A,FALSE,"Sensitivity";#N/A,#N/A,FALSE,"LT Earn.Dil.";#N/A,#N/A,FALSE,"Dil. AVP"}</definedName>
    <definedName name="wrn.20._.year._.indices." hidden="1">{#N/A,#N/A,FALSE,"20 yrindrefema";#N/A,#N/A,FALSE,"20yrindloema";#N/A,#N/A,FALSE,"20yrindhiema"}</definedName>
    <definedName name="wrn.3cases." hidden="1">{#N/A,"Base",FALSE,"Dividend";#N/A,"Conservative",FALSE,"Dividend";#N/A,"Downside",FALSE,"Dividend"}</definedName>
    <definedName name="wrn.50._.50." hidden="1">{"assumption 50 50",#N/A,TRUE,"Merger";"has gets cash",#N/A,TRUE,"Merger";"accretion dilution",#N/A,TRUE,"Merger";"comparison credit stats",#N/A,TRUE,"Merger";"pf credit stats",#N/A,TRUE,"Merger";"pf sheets",#N/A,TRUE,"Merger"}</definedName>
    <definedName name="wrn.50.2" hidden="1">{"assumption 50 50",#N/A,TRUE,"Merger";"has gets cash",#N/A,TRUE,"Merger";"accretion dilution",#N/A,TRUE,"Merger";"comparison credit stats",#N/A,TRUE,"Merger";"pf credit stats",#N/A,TRUE,"Merger";"pf sheets",#N/A,TRUE,"Merger"}</definedName>
    <definedName name="wrn.50_.501" hidden="1">{"assumption 50 50",#N/A,TRUE,"Merger";"has gets cash",#N/A,TRUE,"Merger";"accretion dilution",#N/A,TRUE,"Merger";"comparison credit stats",#N/A,TRUE,"Merger";"pf credit stats",#N/A,TRUE,"Merger";"pf sheets",#N/A,TRUE,"Merger"}</definedName>
    <definedName name="wrn.Accretion." hidden="1">{"Accretion",#N/A,FALSE,"Assum"}</definedName>
    <definedName name="wrn.Aging._.and._.Trend._.Analysis." hidden="1">{#N/A,#N/A,FALSE,"Aging Summary";#N/A,#N/A,FALSE,"Ratio Analysis";#N/A,#N/A,FALSE,"Test 120 Day Accts";#N/A,#N/A,FALSE,"Tickmarks"}</definedName>
    <definedName name="wrn.ALAN." hidden="1">{"CREDIT STATISTICS",#N/A,FALSE,"STATS";"CF_AND_IS",#N/A,FALSE,"PLAN";"DEBT SCHEDULE",#N/A,FALSE,"PLAN";"SUBSCRIBERS",#N/A,FALSE,"PLAN";"DETAIL_REV",#N/A,FALSE,"PLAN";"DETAIL_EXPENSE",#N/A,FALSE,"PLAN";"SALES_AND EXP_DRIVERS",#N/A,FALSE,"PLAN";"FIXED ASSETS",#N/A,FALSE,"PLAN";"DEPRECIATION SCHEDULE",#N/A,FALSE,"PLAN"}</definedName>
    <definedName name="wrn.ALL." hidden="1">{"CS",#N/A,FALSE,"STATS";"Inc",#N/A,FALSE,"PLAN";"CASH F",#N/A,FALSE,"PLAN";"Bal S",#N/A,FALSE,"BALANCE SHEET";"Subs",#N/A,FALSE,"PLAN";"Dep",#N/A,FALSE,"PLAN";"Debt",#N/A,FALSE,"PLAN";"Sales",#N/A,FALSE,"PLAN";"FA",#N/A,FALSE,"PLAN";"Rev",#N/A,FALSE,"PLAN";"Exp",#N/A,FALSE,"PLAN"}</definedName>
    <definedName name="wrn.all._.comps." hidden="1">{"equity comps",#N/A,FALSE,"CS Comps";"equity comps",#N/A,FALSE,"PS Comps";"equity comps",#N/A,FALSE,"GIC_Comps";"equity comps",#N/A,FALSE,"GIC2_Comps";"debt comps",#N/A,FALSE,"CS Comps";"debt comps",#N/A,FALSE,"PS Comps";"debt comps",#N/A,FALSE,"GIC_Comps";"debt comps",#N/A,FALSE,"GIC2_Comps"}</definedName>
    <definedName name="wrn.all._.costsl1" hidden="1">{"Help Desk",#N/A,FALSE,"Total Costs";"Server Management",#N/A,FALSE,"Total Costs";"Application Management",#N/A,FALSE,"Total Costs"}</definedName>
    <definedName name="wrn.all._.input." hidden="1">{"basic esc rates",#N/A,FALSE,"Basic data";"basic units on",#N/A,FALSE,"Basic data";"basic capacity",#N/A,FALSE,"Basic data";"basic cap factor",#N/A,FALSE,"Basic data";"basic heat rates",#N/A,FALSE,"Basic data";"basic generation",#N/A,FALSE,"Basic data";"basic price",#N/A,FALSE,"Basic data";"basic rev mp",#N/A,FALSE,"Basic data";"basic rev cos",#N/A,FALSE,"Basic data";"basic fuel cost",#N/A,FALSE,"Basic data";"basic o_m",#N/A,FALSE,"Basic data";"basic nox o_m",#N/A,FALSE,"Basic data";"basic env o_m",#N/A,FALSE,"Basic data";"basic corp oh",#N/A,FALSE,"Basic data";"basic oil inv",#N/A,FALSE,"Basic data";"basic prop tax",#N/A,FALSE,"Basic data";"basic summary costs",#N/A,FALSE,"Basic data";"basic gross book value",#N/A,FALSE,"Basic data";"basic cap add",#N/A,FALSE,"Basic data";"basic nox cap add",#N/A,FALSE,"Basic data";"basic other env cap add",#N/A,FALSE,"Basic data";"basic deprec",#N/A,FALSE,"Basic data";"basic decom",#N/A,FALSE,"Basic data";"basic rate base",#N/A,FALSE,"Basic data";"basic summary book value",#N/A,FALSE,"Basic data"}</definedName>
    <definedName name="wrn.All._.Reports." hidden="1">{"BS",#N/A,FALSE,"NGC";"PL",#N/A,FALSE,"NGC";"CF",#N/A,FALSE,"NGC"}</definedName>
    <definedName name="wrn.All._.Total._.Costsl." hidden="1">{"Help Desk",#N/A,FALSE,"Total Costs";"Server Management",#N/A,FALSE,"Total Costs";"Application Management",#N/A,FALSE,"Total Costs"}</definedName>
    <definedName name="wrn.all._.Total._Costsl2." hidden="1">{"Help Desk",#N/A,FALSE,"Total Costs";"Server Management",#N/A,FALSE,"Total Costs";"Application Management",#N/A,FALSE,"Total Costs"}</definedName>
    <definedName name="wrn.All._.Up." hidden="1">{"All Up",#N/A,FALSE,"Feedstock"}</definedName>
    <definedName name="wrn.All._.Worksheets." hidden="1">{#N/A,#N/A,FALSE,"Scenario Manager";#N/A,#N/A,FALSE,"Key Data";#N/A,#N/A,FALSE,"Cash Flow";#N/A,#N/A,FALSE,"Income Statement";#N/A,#N/A,FALSE,"Cost Model";#N/A,#N/A,FALSE,"Yearly S and U";#N/A,#N/A,FALSE,"Monthly S and U";#N/A,#N/A,FALSE,"Revenue";#N/A,#N/A,FALSE,"NonFuel Expenses";#N/A,#N/A,FALSE,"Debt ";#N/A,#N/A,FALSE,"Tax";#N/A,#N/A,FALSE,"Fuel";#N/A,#N/A,FALSE,"Depreciation";#N/A,#N/A,FALSE,"Technical";#N/A,#N/A,FALSE,"Working Capital";#N/A,#N/A,FALSE,"Returns";#N/A,#N/A,FALSE,"Energy Price";#N/A,#N/A,FALSE,"Gas Price";#N/A,#N/A,FALSE,"Graphs"}</definedName>
    <definedName name="wrn.ANADARKO." hidden="1">{"Table1",#N/A,FALSE,"ANADARKO";"Table2",#N/A,FALSE,"ANADARKO";"Table3",#N/A,FALSE,"ANADARKO";"Table3c",#N/A,FALSE,"ANADARKO";"Table3c2",#N/A,FALSE,"ANADARKO";"Table5",#N/A,FALSE,"ANADARKO"}</definedName>
    <definedName name="wrn.Application._.Management._.Total._.Costs." hidden="1">{"Application Management",#N/A,FALSE,"Total Costs"}</definedName>
    <definedName name="wrn.Assumptions." hidden="1">{"Assumptions",#N/A,FALSE,"Assum"}</definedName>
    <definedName name="wrn.away." hidden="1">{"away stand alones",#N/A,FALSE,"Target"}</definedName>
    <definedName name="wrn.BidCo." hidden="1">{#N/A,#N/A,FALSE,"BidCo Assumptions";#N/A,#N/A,FALSE,"Credit Stats";#N/A,#N/A,FALSE,"Bidco Summary";#N/A,#N/A,FALSE,"BIDCO Consolidated"}</definedName>
    <definedName name="wrn.brian." hidden="1">{#N/A,#N/A,FALSE,"output";#N/A,#N/A,FALSE,"contrib";#N/A,#N/A,FALSE,"profile";#N/A,#N/A,FALSE,"comps"}</definedName>
    <definedName name="wrn.Budget." hidden="1">{"Budget",#N/A,FALSE,"Summary"}</definedName>
    <definedName name="wrn.Buildups." hidden="1">{"ACQ",#N/A,FALSE,"ACQUISITIONS";"ACQF",#N/A,FALSE,"ACQUISITIONS";"PF",#N/A,FALSE,"PROYECTOVILA";"PV",#N/A,FALSE,"PROYECTOVILA";"Fee Dev",#N/A,FALSE,"DEVELOPMENT GROWTH";"gd",#N/A,FALSE,"DEVELOPMENT GROWTH"}</definedName>
    <definedName name="wrn.CAG." hidden="1">{#N/A,#N/A,FALSE,"CAG"}</definedName>
    <definedName name="wrn.cash." hidden="1">{"assumption cash",#N/A,TRUE,"Merger";"has gets cash",#N/A,TRUE,"Merger";"accretion dilution",#N/A,TRUE,"Merger";"comparison credit stats",#N/A,TRUE,"Merger";"pf credit stats",#N/A,TRUE,"Merger";"pf sheets",#N/A,TRUE,"Merger"}</definedName>
    <definedName name="wrn.Compco._.Only." hidden="1">{"vi1",#N/A,FALSE,"6_30_96";"vi2",#N/A,FALSE,"6_30_96";"vi3",#N/A,FALSE,"6_30_96"}</definedName>
    <definedName name="wrn.comps." hidden="1">{"comps",#N/A,FALSE,"comps";"notes",#N/A,FALSE,"comps"}</definedName>
    <definedName name="wrn.cooper." hidden="1">{#N/A,#N/A,TRUE,"Pro Forma";#N/A,#N/A,TRUE,"PF_Bal";#N/A,#N/A,TRUE,"PF_INC";#N/A,#N/A,TRUE,"CBE";#N/A,#N/A,TRUE,"SWK"}</definedName>
    <definedName name="wrn.CPB." hidden="1">{#N/A,#N/A,FALSE,"CPB"}</definedName>
    <definedName name="wrn.Credit._.Summary." hidden="1">{#N/A,#N/A,FALSE,"Credit Summary"}</definedName>
    <definedName name="wrn.DCF._.Valuation." hidden="1">{"value box",#N/A,TRUE,"DPL Inc. Fin Statements";"unlevered free cash flows",#N/A,TRUE,"DPL Inc. Fin Statements"}</definedName>
    <definedName name="wrn.Detailed._.Report." hidden="1">{"fullreport",#N/A,FALSE,"DetailRpt"}</definedName>
    <definedName name="wrn.DevRptMatz." hidden="1">{"DevSumm-Matz",#N/A,FALSE,"DevSumm-Matz";"DevSumm-Matz,2",#N/A,FALSE,"DevSumm-Matz";"DevSumm-Matz,3",#N/A,FALSE,"DevSumm-Matz"}</definedName>
    <definedName name="wrn.dil_anal." hidden="1">{"hiden",#N/A,FALSE,"14";"hidden",#N/A,FALSE,"16";"hidden",#N/A,FALSE,"18";"hidden",#N/A,FALSE,"20"}</definedName>
    <definedName name="wrn.document." hidden="1">{"consolidated",#N/A,FALSE,"Sheet1";"cms",#N/A,FALSE,"Sheet1";"fse",#N/A,FALSE,"Sheet1"}</definedName>
    <definedName name="wrn.documentaero." hidden="1">{"comps2",#N/A,FALSE,"AERO";"footnotes",#N/A,FALSE,"AERO"}</definedName>
    <definedName name="wrn.documenthand." hidden="1">{"comps",#N/A,FALSE,"HANDPACK";"footnotes",#N/A,FALSE,"HANDPACK"}</definedName>
    <definedName name="wrn.Earnings._.Model." hidden="1">{#N/A,#N/A,FALSE,"Product Revenue";#N/A,#N/A,FALSE,"Geographic Revenue";#N/A,#N/A,FALSE,"Income Statement - As Reported";#N/A,#N/A,FALSE,"Income Statement - Operating";#N/A,#N/A,FALSE,"Income Statement - %Revenue";#N/A,#N/A,FALSE,"Year-over-Year Growth";#N/A,#N/A,FALSE,"Sequential Growth";#N/A,#N/A,FALSE,"Balance Sheet";#N/A,#N/A,FALSE,"Cash Flow";#N/A,#N/A,FALSE,"Ratios";#N/A,#N/A,FALSE,"Valuation"}</definedName>
    <definedName name="wrn.equity._.comps." hidden="1">{"equity comps",#N/A,FALSE,"CS Comps";"equity comps",#N/A,FALSE,"PS Comps";"equity comps",#N/A,FALSE,"GIC_Comps";"equity comps",#N/A,FALSE,"GIC2_Comps"}</definedName>
    <definedName name="wrn.FCB." hidden="1">{"FCB_ALL",#N/A,FALSE,"FCB"}</definedName>
    <definedName name="wrn.fcb._dcf" hidden="1">{"FCB_ALL",#N/A,FALSE,"FCB"}</definedName>
    <definedName name="wrn.fcb2" hidden="1">{"FCB_ALL",#N/A,FALSE,"FCB"}</definedName>
    <definedName name="wrn.fcb2_dcf" hidden="1">{"FCB_ALL",#N/A,FALSE,"FCB"}</definedName>
    <definedName name="wrn.Feedstock." hidden="1">{"Feedstock",#N/A,FALSE,"Feedstock"}</definedName>
    <definedName name="wrn.Financials." hidden="1">{#N/A,#N/A,TRUE,"Income Statement";#N/A,#N/A,TRUE,"Balance Sheet";#N/A,#N/A,TRUE,"Cash Flow"}</definedName>
    <definedName name="wrn.Financials_long." hidden="1">{"IS",#N/A,FALSE,"Financials2 (Expanded)";"bsa",#N/A,FALSE,"Financials2 (Expanded)";"BS",#N/A,FALSE,"Financials2 (Expanded)";"CF",#N/A,FALSE,"Financials2 (Expanded)"}</definedName>
    <definedName name="wrn.FREELANCER." hidden="1">{#N/A,#N/A,FALSE,"712";#N/A,#N/A,FALSE,"_718";#N/A,#N/A,FALSE,"724";#N/A,#N/A,FALSE,"_751";#N/A,#N/A,FALSE,"_752";#N/A,#N/A,FALSE,"753";#N/A,#N/A,FALSE,"754";#N/A,#N/A,FALSE,"758";#N/A,#N/A,FALSE,"_761";#N/A,#N/A,FALSE,"_769"}</definedName>
    <definedName name="wrn.Friendly." hidden="1">{#N/A,#N/A,TRUE,"Julio";#N/A,#N/A,TRUE,"Agosto";#N/A,#N/A,TRUE,"BHCo";#N/A,#N/A,TRUE,"Abril";#N/A,#N/A,TRUE,"Pro Forma"}</definedName>
    <definedName name="wrn.full." hidden="1">{"vi1",#N/A,FALSE,"Pagcc";"vi2",#N/A,FALSE,"Pagcc";"vi3",#N/A,FALSE,"Pagcc";"vi4",#N/A,FALSE,"Pagcc";"vi5",#N/A,FALSE,"Pagcc";#N/A,#N/A,FALSE,"Contribution"}</definedName>
    <definedName name="wrn.Full._.Monty." hidden="1">{"ROIC",#N/A,FALSE,"ROIC";"Graphs",#N/A,FALSE,"TY analysis";"fcf",#N/A,FALSE,"FCF";"Matrix_2004",#N/A,FALSE,"MATRIX(2004)";"matrix_2008",#N/A,FALSE,"MATRIX(2008)";"FS_Condensed",#N/A,FALSE,"Financial Statements2";"TAXES",#N/A,FALSE,"Taxes";"DEBT_INVEST",#N/A,FALSE,"Debt&amp;Investment Schedule";"Main_menu",#N/A,FALSE,"Main Menu"}</definedName>
    <definedName name="wrn.Full._.Pack." hidden="1">{#N/A,#N/A,FALSE,"Summary";#N/A,#N/A,FALSE,"Assumptions";#N/A,#N/A,FALSE,"Scenarios";#N/A,#N/A,FALSE,"LBE (Base)";#N/A,#N/A,FALSE,"Scen A";#N/A,#N/A,FALSE,"Scen B";"Debt Paydown Scenario",#N/A,FALSE,"Cash in Bank";#N/A,#N/A,FALSE,"Debt&amp;Equity Rec"}</definedName>
    <definedName name="wrn.full._.report." hidden="1">{"Header",#N/A,FALSE,"Assumptions";"Header",#N/A,FALSE,"Summary";"Header",#N/A,FALSE,"Credit Stats";"Header",#N/A,FALSE,"Pro Forma BS";"Header",#N/A,FALSE,"Pro Forma Financials";"Header",#N/A,FALSE,"Consol Balance Sheet";"Header",#N/A,FALSE,"Consol Income Statement";"Header",#N/A,FALSE,"Consol Cash Flow";"Header",#N/A,FALSE,"IRR-EBITDA"}</definedName>
    <definedName name="wrn.GIS." hidden="1">{#N/A,#N/A,FALSE,"GIS"}</definedName>
    <definedName name="wrn.Help._.Desk._.Total._.Costs." hidden="1">{"Help Desk",#N/A,FALSE,"Total Costs"}</definedName>
    <definedName name="wrn.HNZ." hidden="1">{#N/A,#N/A,FALSE,"HNZ"}</definedName>
    <definedName name="wrn.INDEPS." hidden="1">{"page1",#N/A,FALSE,"TIND_CC1";"page2",#N/A,FALSE,"TIND_CC1";"page3",#N/A,FALSE,"TIND_CC1";"page4",#N/A,FALSE,"TIND_CC1";"page5",#N/A,FALSE,"TIND_CC1"}</definedName>
    <definedName name="wrn.K." hidden="1">{#N/A,#N/A,FALSE,"K"}</definedName>
    <definedName name="wrn.Mason._.Deliverables." hidden="1">{#N/A,#N/A,FALSE,"Data &amp; Key Results";#N/A,#N/A,FALSE,"Summary Template";#N/A,#N/A,FALSE,"Budget";#N/A,#N/A,FALSE,"Present Value Comparison";#N/A,#N/A,FALSE,"Cashflow";#N/A,#N/A,FALSE,"Income";#N/A,#N/A,FALSE,"Inputs"}</definedName>
    <definedName name="wrn.MCCRK." hidden="1">{#N/A,#N/A,FALSE,"MCCRK"}</definedName>
    <definedName name="wrn.memo." hidden="1">{#N/A,#N/A,TRUE,"financial";#N/A,#N/A,TRUE,"plants"}</definedName>
    <definedName name="wrn.merger." hidden="1">{"assumption merger",#N/A,TRUE,"Merger";"has gets merger",#N/A,TRUE,"Merger";"accretion dilution",#N/A,TRUE,"Merger";"accretion dilution sensitivity",#N/A,TRUE,"Merger";"comparison credit stats",#N/A,TRUE,"Merger";"pf credit stats",#N/A,TRUE,"Merger";"rel contribution",#N/A,TRUE,"contribution";"avp",#N/A,TRUE,"AVP";"pf sheets",#N/A,TRUE,"Merger";"segment analysis",#N/A,TRUE,"contribution"}</definedName>
    <definedName name="wrn.Monthly._.no._.Notes." hidden="1">{"Without Notes",#N/A,FALSE,"23 Mo Forecast"}</definedName>
    <definedName name="wrn.Monthly._.with._.Notes." hidden="1">{"With Notes",#N/A,FALSE,"23 Mo Forecast"}</definedName>
    <definedName name="wrn.NA." hidden="1">{#N/A,#N/A,FALSE,"NA"}</definedName>
    <definedName name="wrn.new." hidden="1">{#N/A,#N/A,FALSE,"Impl";#N/A,#N/A,FALSE,"sum";#N/A,#N/A,FALSE,"cat";#N/A,#N/A,FALSE,"cum";#N/A,#N/A,FALSE,"varity";#N/A,#N/A,FALSE,"ddc";#N/A,#N/A,FALSE,"man";#N/A,#N/A,FALSE,"metra";#N/A,#N/A,FALSE,"volvo"}</definedName>
    <definedName name="wrn.Paging._.Compco." hidden="1">{"financials",#N/A,TRUE,"6_30_96";"footnotes",#N/A,TRUE,"6_30_96";"valuation",#N/A,TRUE,"6_30_96"}</definedName>
    <definedName name="wrn.perimeter._.comp." hidden="1">{#N/A,#N/A,TRUE,"comp";#N/A,#N/A,TRUE,"notes"}</definedName>
    <definedName name="wrn.Pianocomp." hidden="1">{"page_1",#N/A,TRUE,"Sheet1";"page_2",#N/A,TRUE,"Sheet1";"page_notes",#N/A,TRUE,"Sheet1"}</definedName>
    <definedName name="wrn.print." hidden="1">{"ass",#N/A,FALSE,"Assumptions";#N/A,#N/A,FALSE,"Merg";"sens",#N/A,FALSE,"Assumptions";#N/A,#N/A,FALSE,"Bach";#N/A,#N/A,FALSE,"Kent";#N/A,#N/A,FALSE,"Bell"}</definedName>
    <definedName name="wrn.print._.graphs." hidden="1">{"cap_structure",#N/A,FALSE,"Graph-Mkt Cap";"price",#N/A,FALSE,"Graph-Price";"ebit",#N/A,FALSE,"Graph-EBITDA";"ebitda",#N/A,FALSE,"Graph-EBITDA"}</definedName>
    <definedName name="wrn.print._.raw._.data._.entry." hidden="1">{"inputs raw data",#N/A,TRUE,"INPUT"}</definedName>
    <definedName name="wrn.print._.summary._.sheets." hidden="1">{"summary1",#N/A,TRUE,"Comps";"summary2",#N/A,TRUE,"Comps";"summary3",#N/A,TRUE,"Comps"}</definedName>
    <definedName name="wrn.print._.summary._.sheets.2" hidden="1">{"summary1",#N/A,TRUE,"Comps";"summary2",#N/A,TRUE,"Comps";"summary3",#N/A,TRUE,"Comps"}</definedName>
    <definedName name="wrn.Print._.the._.lot." hidden="1">{"First Page",#N/A,FALSE,"Surfactants LBO";"Second Page",#N/A,FALSE,"Surfactants LBO"}</definedName>
    <definedName name="wrn.Print_Buyer." hidden="1">{#N/A,"DR",FALSE,"increm pf";#N/A,"MAMSI",FALSE,"increm pf";#N/A,"MAXI",FALSE,"increm pf";#N/A,"PCAM",FALSE,"increm pf";#N/A,"PHSV",FALSE,"increm pf";#N/A,"SIE",FALSE,"increm pf"}</definedName>
    <definedName name="wrn.Print_Target."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wrn.PrintAll." hidden="1">{"PA1",#N/A,TRUE,"BORDMW";"pa2",#N/A,TRUE,"BORDMW";"PA3",#N/A,TRUE,"BORDMW";"PA4",#N/A,TRUE,"BORDMW"}</definedName>
    <definedName name="wrn.Printing._.Report." hidden="1">{"Assumptions",#N/A,FALSE,"Assumptions";"Sensitivities1",#N/A,FALSE,"Sensitivities";"Sensitivities2",#N/A,FALSE,"Sensitivities";"Sensitivities3",#N/A,FALSE,"Sensitivities";"Bidder",#N/A,FALSE,"Bidder";"Annualised_Target",#N/A,FALSE,"Target";"Target",#N/A,FALSE,"Target";"Summary",#N/A,FALSE,"Summary";"Historic",#N/A,FALSE,"Hist";"Current",#N/A,FALSE,"Curr";"Prospective",#N/A,FALSE,"Prosp";"Prospective+1",#N/A,FALSE,"Prosp+1"}</definedName>
    <definedName name="wrn.Report1." hidden="1">{#N/A,#N/A,FALSE,"Operations";#N/A,#N/A,FALSE,"Financials"}</definedName>
    <definedName name="wrn.sales." hidden="1">{"sales",#N/A,FALSE,"Sales";"sales existing",#N/A,FALSE,"Sales";"sales rd1",#N/A,FALSE,"Sales";"sales rd2",#N/A,FALSE,"Sales"}</definedName>
    <definedName name="wrn.Scenarios." hidden="1">{#N/A,"ICF Downside",FALSE,"Inputs";#N/A,"High Inflation",FALSE,"Inputs"}</definedName>
    <definedName name="wrn.sens." hidden="1">{#N/A,#N/A,FALSE,"Sensitivities";#N/A,#N/A,FALSE,"Sensitivities2"}</definedName>
    <definedName name="wrn.sensitivity._.analyses." hidden="1">{"general",#N/A,FALSE,"Assumptions"}</definedName>
    <definedName name="wrn.Server._.Management._.Total._.Costs." hidden="1">{"Server Management",#N/A,FALSE,"Total Costs"}</definedName>
    <definedName name="wrn.SHORT." hidden="1">{"CREDIT STATISTICS",#N/A,FALSE,"STATS";"CF_AND_IS",#N/A,FALSE,"PLAN";"BALSHEET",#N/A,FALSE,"BALANCE SHEET"}</definedName>
    <definedName name="wrn.stand_alone." hidden="1">{#N/A,#N/A,FALSE,"CBE";#N/A,#N/A,FALSE,"SWK"}</definedName>
    <definedName name="wrn.STAND_ALONE_BOTH." hidden="1">{"FCB_ALL",#N/A,FALSE,"FCB";"GREY_ALL",#N/A,FALSE,"GREY"}</definedName>
    <definedName name="wrn.Stand_alone_both._dcf" hidden="1">{"FCB_ALL",#N/A,FALSE,"FCB";"GREY_ALL",#N/A,FALSE,"GREY"}</definedName>
    <definedName name="wrn.Summary." hidden="1">{#N/A,#N/A,FALSE,"Summary3";#N/A,#N/A,FALSE,"Summary1";#N/A,#N/A,FALSE,"Summary2";#N/A,#N/A,FALSE,"Sensitivities1";#N/A,#N/A,FALSE,"Sensitivities2"}</definedName>
    <definedName name="wrn.Summary._.Report." hidden="1">{"summaryall",#N/A,FALSE,"SumryRpt"}</definedName>
    <definedName name="wrn.Thomas_Case." hidden="1">{#N/A,#N/A,TRUE,"Thomas Case";#N/A,#N/A,TRUE,"Corporate Overhead";#N/A,#N/A,TRUE,"Arizona";#N/A,#N/A,TRUE,"Cal";#N/A,#N/A,TRUE,"Illinois";#N/A,#N/A,TRUE,"Indiana";#N/A,#N/A,TRUE,"Ohio";#N/A,#N/A,TRUE,"Pennsylvania";#N/A,#N/A,TRUE,"Growth";#N/A,#N/A,TRUE,"Anthem";#N/A,#N/A,TRUE,"Pipeline"}</definedName>
    <definedName name="wrn.TotalBud." hidden="1">{"SumBud",#N/A,FALSE,"Summary";"IEMBud",#N/A,FALSE,"IE&amp;M";"GenBud",#N/A,FALSE,"Gen";"ETBud",#N/A,FALSE,"ET";"IPBud",#N/A,FALSE,"Interstate Pipeline";"NEGBud",#N/A,FALSE,"NEG";"MerchBud",#N/A,FALSE,"Merch";#N/A,#N/A,FALSE,"LT Cont (2)";#N/A,#N/A,FALSE,"Mgmt"}</definedName>
    <definedName name="wrn.totalcomp." hidden="1">{"comp1",#N/A,FALSE,"COMPS";"footnotes",#N/A,FALSE,"COMPS"}</definedName>
    <definedName name="wrn.Trading._.Summary." hidden="1">{#N/A,#N/A,FALSE,"Trading Summary"}</definedName>
    <definedName name="wrn.trans._.sum." hidden="1">{"trans assumptions",#N/A,FALSE,"Merger";"trans accretion",#N/A,FALSE,"Merger"}</definedName>
    <definedName name="wrn.up." hidden="1">{"up stand alones",#N/A,FALSE,"Acquiror"}</definedName>
    <definedName name="wrn.Wacc." hidden="1">{"Area1",#N/A,FALSE,"OREWACC";"Area2",#N/A,FALSE,"OREWACC"}</definedName>
    <definedName name="wrn.wpoall." hidden="1">{"wpocash",#N/A,FALSE,"WPOALLT";"wpoinc",#N/A,FALSE,"WPOALLT";"wpobroad",#N/A,FALSE,"WPOALLT";"wpocable",#N/A,FALSE,"WPOALLT";"wpoexcl",#N/A,FALSE,"WPOALLT";"wponwsweek",#N/A,FALSE,"WPOALLT";"wpopost",#N/A,FALSE,"WPOALLT"}</definedName>
    <definedName name="wrn.WWY." hidden="1">{#N/A,#N/A,FALSE,"WWY"}</definedName>
    <definedName name="WRN2.Document" hidden="1">{"consolidated",#N/A,FALSE,"Sheet1";"cms",#N/A,FALSE,"Sheet1";"fse",#N/A,FALSE,"Sheet1"}</definedName>
    <definedName name="wvu.inputs._.raw._.data." hidden="1">{TRUE,TRUE,-1.25,-15.5,604.5,369,FALSE,FALSE,TRUE,TRUE,0,1,83,1,38,4,5,4,TRUE,TRUE,3,TRUE,1,TRUE,75,"Swvu.inputs._.raw._.data.","ACwvu.inputs._.raw._.data.",#N/A,FALSE,FALSE,0.5,0.5,0.5,0.5,2,"&amp;F","&amp;A&amp;RPage &amp;P",FALSE,FALSE,FALSE,FALSE,1,60,#N/A,#N/A,"=R1C61:R53C89","=C1:C5",#N/A,#N/A,FALSE,FALSE,FALSE,1,600,600,FALSE,FALSE,TRUE,TRUE,TRUE}</definedName>
    <definedName name="wvu.summary1." hidden="1">{TRUE,TRUE,-1.25,-15.5,604.5,369,FALSE,FALSE,TRUE,TRUE,0,1,#N/A,1,#N/A,20.5555555555556,28.9285714285714,1,FALSE,FALSE,3,TRUE,1,FALSE,80,"Swvu.summary1.","ACwvu.summary1.",#N/A,FALSE,FALSE,0.5,0.5,0.5,0.5,2,"&amp;F","&amp;L&amp;D&amp;C&amp;A&amp;RPage &amp;P",TRUE,FALSE,FALSE,FALSE,1,50,#N/A,#N/A,"=R1C1:R55C31",FALSE,#N/A,#N/A,FALSE,FALSE,TRUE,1,600,600,FALSE,FALSE,TRUE,TRUE,TRUE}</definedName>
    <definedName name="wvu.summary2." hidden="1">{TRUE,TRUE,-1.25,-15.5,604.5,369,FALSE,FALSE,TRUE,TRUE,0,1,#N/A,41,#N/A,20.5555555555556,27.0714285714286,1,FALSE,FALSE,3,TRUE,1,FALSE,80,"Swvu.summary2.","ACwvu.summary2.",#N/A,FALSE,FALSE,0.5,0.5,0.5,0.5,2,"&amp;F","&amp;A&amp;RPage &amp;P",TRUE,FALSE,FALSE,FALSE,1,50,#N/A,#N/A,"=R56C1:R103C31",FALSE,#N/A,#N/A,FALSE,FALSE,TRUE,1,600,600,FALSE,FALSE,TRUE,TRUE,TRUE}</definedName>
    <definedName name="wvu.summary3." hidden="1">{TRUE,TRUE,-1.25,-15.5,604.5,369,FALSE,FALSE,TRUE,TRUE,0,1,#N/A,91,#N/A,20.5555555555556,24.8571428571429,1,FALSE,FALSE,3,TRUE,1,FALSE,80,"Swvu.summary3.","ACwvu.summary3.",#N/A,FALSE,FALSE,0.5,0.5,0.5,0.5,2,"&amp;F","&amp;A&amp;RPage &amp;P",TRUE,FALSE,FALSE,FALSE,1,50,#N/A,#N/A,"=R104C1:R153C31",FALSE,#N/A,#N/A,FALSE,FALSE,TRUE,1,600,600,FALSE,FALSE,TRUE,TRUE,TRUE}</definedName>
    <definedName name="www" hidden="1">{#N/A,"Foundation Health",FALSE,"increm pf";#N/A,"FHP International",FALSE,"increm pf";#N/A,"Healthsource",FALSE,"increm pf";#N/A,"Humana",FALSE,"increm pf";#N/A,"Oxford Health Plans",FALSE,"increm pf";#N/A,"PacifiCare",FALSE,"increm pf";#N/A,"United HealthCare",FALSE,"increm pf";#N/A,"U.S. Healthcare",FALSE,"increm pf";#N/A,"Value Health",FALSE,"increm pf";#N/A,"WellPoint",FALSE,"increm pf"}</definedName>
    <definedName name="x" hidden="1">{#N/A,#N/A,FALSE,"Aging Summary";#N/A,#N/A,FALSE,"Ratio Analysis";#N/A,#N/A,FALSE,"Test 120 Day Accts";#N/A,#N/A,FALSE,"Tickmarks"}</definedName>
    <definedName name="Z_1274F59B_7521_45EF_A600_7E27F1CE7ABF_.wvu.PrintArea" localSheetId="13" hidden="1">'II-E-3.6'!$A$10:$F$95</definedName>
    <definedName name="Z_1274F59B_7521_45EF_A600_7E27F1CE7ABF_.wvu.PrintTitles" localSheetId="13" hidden="1">'II-E-3.6'!$10:$12</definedName>
    <definedName name="Z_2891AF67_639B_11D2_AA4E_AB73DC59AB4D_.wvu.PrintArea" hidden="1">#REF!</definedName>
    <definedName name="Z_2891AF68_639B_11D2_AA4E_AB73DC59AB4D_.wvu.PrintArea" hidden="1">#REF!</definedName>
    <definedName name="Z_D5258982_C814_11D7_9311_00065B14ACBA_.wvu.FilterData" hidden="1">#REF!</definedName>
    <definedName name="Z_D5258982_C814_11D7_9311_00065B14ACBA_.wvu.PrintArea" hidden="1">#REF!</definedName>
    <definedName name="Z_D5258982_C814_11D7_9311_00065B14ACBA_.wvu.PrintTitles" hidden="1">#REF!,#REF!</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1" i="16" l="1"/>
  <c r="V30" i="16"/>
  <c r="U30" i="16"/>
  <c r="T30" i="16"/>
  <c r="S30" i="16"/>
  <c r="R30" i="16"/>
  <c r="Q30" i="16"/>
  <c r="P30" i="16"/>
  <c r="O30" i="16"/>
  <c r="N30" i="16"/>
  <c r="I30" i="16"/>
  <c r="I25" i="16"/>
  <c r="I20" i="16"/>
  <c r="I19" i="16"/>
  <c r="I18" i="16"/>
  <c r="E20" i="16"/>
  <c r="E19" i="16"/>
  <c r="E18" i="16"/>
  <c r="D19" i="169"/>
  <c r="D17" i="169"/>
  <c r="D15" i="169"/>
  <c r="E57" i="159"/>
  <c r="E36" i="159"/>
  <c r="E35" i="159"/>
  <c r="H34" i="159"/>
  <c r="E34" i="159"/>
  <c r="E33" i="159"/>
  <c r="E32" i="159"/>
  <c r="E31" i="159"/>
  <c r="E30" i="159"/>
  <c r="E25" i="159"/>
  <c r="E24" i="159"/>
  <c r="E23" i="159"/>
  <c r="E22" i="159"/>
  <c r="E21" i="159"/>
  <c r="V20" i="159"/>
  <c r="U20" i="159"/>
  <c r="S20" i="159"/>
  <c r="R20" i="159"/>
  <c r="P20" i="159"/>
  <c r="O20" i="159"/>
  <c r="N20" i="159"/>
  <c r="V17" i="159"/>
  <c r="U17" i="159"/>
  <c r="T17" i="159"/>
  <c r="S17" i="159"/>
  <c r="R17" i="159"/>
  <c r="Q17" i="159"/>
  <c r="P17" i="159"/>
  <c r="O17" i="159"/>
  <c r="N17" i="159"/>
  <c r="H20" i="159"/>
  <c r="E20" i="159"/>
  <c r="H17" i="159"/>
  <c r="E17" i="159"/>
  <c r="E71" i="179"/>
  <c r="E69" i="179"/>
  <c r="Q78" i="128"/>
  <c r="P78" i="128"/>
  <c r="O78" i="128"/>
  <c r="N78" i="128"/>
  <c r="M78" i="128"/>
  <c r="L78" i="128"/>
  <c r="K78" i="128"/>
  <c r="J78" i="128"/>
  <c r="I78" i="128"/>
  <c r="H78" i="128"/>
  <c r="E78" i="128"/>
  <c r="H111" i="174"/>
  <c r="H110" i="174"/>
  <c r="H109" i="174"/>
  <c r="H108" i="174"/>
  <c r="H107" i="174"/>
  <c r="H106" i="174"/>
  <c r="H105" i="174"/>
  <c r="V57" i="174"/>
  <c r="V55" i="174"/>
  <c r="H56" i="174"/>
  <c r="H55" i="174"/>
  <c r="W45" i="174"/>
  <c r="V45" i="174"/>
  <c r="T45" i="174"/>
  <c r="Q45" i="174"/>
  <c r="P45" i="174"/>
  <c r="O45" i="174"/>
  <c r="W41" i="174"/>
  <c r="V41" i="174"/>
  <c r="T41" i="174"/>
  <c r="Q41" i="174"/>
  <c r="P41" i="174"/>
  <c r="O41" i="174"/>
  <c r="H40" i="174"/>
  <c r="N31" i="134"/>
  <c r="L31" i="134"/>
  <c r="K31" i="134"/>
  <c r="I31" i="134"/>
  <c r="H31" i="134"/>
  <c r="G31" i="134"/>
  <c r="N30" i="134"/>
  <c r="L30" i="134"/>
  <c r="K30" i="134"/>
  <c r="I30" i="134"/>
  <c r="H30" i="134"/>
  <c r="G30" i="134"/>
  <c r="N29" i="134"/>
  <c r="L29" i="134"/>
  <c r="K29" i="134"/>
  <c r="I29" i="134"/>
  <c r="H29" i="134"/>
  <c r="G29" i="134"/>
  <c r="N23" i="134"/>
  <c r="L23" i="134"/>
  <c r="K23" i="134"/>
  <c r="I23" i="134"/>
  <c r="H23" i="134"/>
  <c r="G23" i="134"/>
  <c r="N22" i="134"/>
  <c r="L22" i="134"/>
  <c r="K22" i="134"/>
  <c r="I22" i="134"/>
  <c r="H22" i="134"/>
  <c r="G22" i="134"/>
  <c r="N21" i="134"/>
  <c r="L21" i="134"/>
  <c r="K21" i="134"/>
  <c r="I21" i="134"/>
  <c r="H21" i="134"/>
  <c r="G21" i="134"/>
  <c r="N20" i="134"/>
  <c r="L20" i="134"/>
  <c r="K20" i="134"/>
  <c r="I20" i="134"/>
  <c r="H20" i="134"/>
  <c r="G20" i="134"/>
  <c r="N19" i="134"/>
  <c r="L19" i="134"/>
  <c r="K19" i="134"/>
  <c r="I19" i="134"/>
  <c r="H19" i="134"/>
  <c r="G19" i="134"/>
  <c r="U62" i="135"/>
  <c r="S62" i="135"/>
  <c r="R62" i="135"/>
  <c r="P62" i="135"/>
  <c r="O62" i="135"/>
  <c r="N62" i="135"/>
  <c r="U61" i="135"/>
  <c r="S61" i="135"/>
  <c r="R61" i="135"/>
  <c r="P61" i="135"/>
  <c r="O61" i="135"/>
  <c r="N61" i="135"/>
  <c r="U56" i="135"/>
  <c r="S56" i="135"/>
  <c r="R56" i="135"/>
  <c r="P56" i="135"/>
  <c r="O56" i="135"/>
  <c r="N56" i="135"/>
  <c r="P70" i="128"/>
  <c r="O70" i="128"/>
  <c r="L70" i="128"/>
  <c r="J70" i="128"/>
  <c r="I70" i="128"/>
  <c r="H70" i="128"/>
  <c r="P69" i="128"/>
  <c r="O69" i="128"/>
  <c r="M69" i="128"/>
  <c r="J69" i="128"/>
  <c r="I69" i="128"/>
  <c r="H69" i="128"/>
  <c r="P33" i="128"/>
  <c r="O33" i="128"/>
  <c r="M33" i="128"/>
  <c r="L33" i="128"/>
  <c r="J33" i="128"/>
  <c r="I33" i="128"/>
  <c r="H33" i="128"/>
  <c r="P23" i="128"/>
  <c r="O23" i="128"/>
  <c r="M23" i="128"/>
  <c r="J23" i="128"/>
  <c r="I23" i="128"/>
  <c r="H23" i="128"/>
  <c r="P18" i="128"/>
  <c r="O18" i="128"/>
  <c r="M18" i="128"/>
  <c r="L18" i="128"/>
  <c r="J18" i="128"/>
  <c r="I18" i="128"/>
  <c r="H18" i="128"/>
  <c r="P17" i="128"/>
  <c r="O17" i="128"/>
  <c r="M17" i="128"/>
  <c r="J17" i="128"/>
  <c r="I17" i="128"/>
  <c r="H17" i="128"/>
  <c r="P16" i="128"/>
  <c r="O16" i="128"/>
  <c r="M16" i="128"/>
  <c r="L16" i="128"/>
  <c r="J16" i="128"/>
  <c r="I16" i="128"/>
  <c r="H16" i="128"/>
  <c r="P15" i="128"/>
  <c r="O15" i="128"/>
  <c r="M15" i="128"/>
  <c r="L15" i="128"/>
  <c r="J15" i="128"/>
  <c r="I15" i="128"/>
  <c r="H15" i="128"/>
  <c r="U33" i="162"/>
  <c r="T33" i="162"/>
  <c r="R33" i="162"/>
  <c r="Q33" i="162"/>
  <c r="O33" i="162"/>
  <c r="N33" i="162"/>
  <c r="M33" i="162"/>
  <c r="U32" i="162"/>
  <c r="T32" i="162"/>
  <c r="R32" i="162"/>
  <c r="O32" i="162"/>
  <c r="N32" i="162"/>
  <c r="M32" i="162"/>
  <c r="U23" i="162"/>
  <c r="T23" i="162"/>
  <c r="R23" i="162"/>
  <c r="Q23" i="162"/>
  <c r="O23" i="162"/>
  <c r="N23" i="162"/>
  <c r="M23" i="162"/>
  <c r="T22" i="162"/>
  <c r="R22" i="162"/>
  <c r="Q22" i="162"/>
  <c r="O22" i="162"/>
  <c r="N22" i="162"/>
  <c r="M22" i="162"/>
  <c r="U18" i="162"/>
  <c r="T18" i="162"/>
  <c r="R18" i="162"/>
  <c r="Q18" i="162"/>
  <c r="O18" i="162"/>
  <c r="N18" i="162"/>
  <c r="M18" i="162"/>
  <c r="T17" i="162"/>
  <c r="R17" i="162"/>
  <c r="Q17" i="162"/>
  <c r="O17" i="162"/>
  <c r="N17" i="162"/>
  <c r="M17" i="162"/>
  <c r="D38" i="171"/>
  <c r="C38" i="171"/>
  <c r="D37" i="171"/>
  <c r="C37" i="171"/>
  <c r="D36" i="171"/>
  <c r="C36" i="171"/>
  <c r="D35" i="171"/>
  <c r="C35" i="171"/>
  <c r="D34" i="171"/>
  <c r="C34" i="171"/>
  <c r="D33" i="171"/>
  <c r="C33" i="171"/>
  <c r="D32" i="171"/>
  <c r="C32" i="171"/>
  <c r="D31" i="171"/>
  <c r="C31" i="171"/>
  <c r="D30" i="171"/>
  <c r="C30" i="171"/>
  <c r="ED76" i="178"/>
  <c r="EC76" i="178"/>
  <c r="EA76" i="178"/>
  <c r="DZ76" i="178"/>
  <c r="DX76" i="178"/>
  <c r="DW76" i="178"/>
  <c r="DV76" i="178"/>
  <c r="DS76" i="178"/>
  <c r="DR76" i="178"/>
  <c r="DP76" i="178"/>
  <c r="DO76" i="178"/>
  <c r="DM76" i="178"/>
  <c r="DL76" i="178"/>
  <c r="DK76" i="178"/>
  <c r="DH76" i="178"/>
  <c r="DG76" i="178"/>
  <c r="DE76" i="178"/>
  <c r="DD76" i="178"/>
  <c r="DB76" i="178"/>
  <c r="DA76" i="178"/>
  <c r="CZ76" i="178"/>
  <c r="CW76" i="178"/>
  <c r="CV76" i="178"/>
  <c r="CT76" i="178"/>
  <c r="CS76" i="178"/>
  <c r="CQ76" i="178"/>
  <c r="CP76" i="178"/>
  <c r="CO76" i="178"/>
  <c r="CL76" i="178"/>
  <c r="CK76" i="178"/>
  <c r="CI76" i="178"/>
  <c r="CH76" i="178"/>
  <c r="CF76" i="178"/>
  <c r="CE76" i="178"/>
  <c r="CD76" i="178"/>
  <c r="CA76" i="178"/>
  <c r="BZ76" i="178"/>
  <c r="BX76" i="178"/>
  <c r="BW76" i="178"/>
  <c r="BU76" i="178"/>
  <c r="BT76" i="178"/>
  <c r="BS76" i="178"/>
  <c r="BP76" i="178"/>
  <c r="BO76" i="178"/>
  <c r="BM76" i="178"/>
  <c r="BL76" i="178"/>
  <c r="BJ76" i="178"/>
  <c r="BI76" i="178"/>
  <c r="BH76" i="178"/>
  <c r="BE76" i="178"/>
  <c r="BD76" i="178"/>
  <c r="BB76" i="178"/>
  <c r="BA76" i="178"/>
  <c r="AY76" i="178"/>
  <c r="AX76" i="178"/>
  <c r="AW76" i="178"/>
  <c r="AT76" i="178"/>
  <c r="AS76" i="178"/>
  <c r="AQ76" i="178"/>
  <c r="AP76" i="178"/>
  <c r="AN76" i="178"/>
  <c r="AM76" i="178"/>
  <c r="AL76" i="178"/>
  <c r="AI76" i="178"/>
  <c r="AH76" i="178"/>
  <c r="AF76" i="178"/>
  <c r="AE76" i="178"/>
  <c r="AC76" i="178"/>
  <c r="AB76" i="178"/>
  <c r="AA76" i="178"/>
  <c r="X76" i="178"/>
  <c r="W76" i="178"/>
  <c r="U76" i="178"/>
  <c r="T76" i="178"/>
  <c r="R76" i="178"/>
  <c r="Q76" i="178"/>
  <c r="P76" i="178"/>
  <c r="M76" i="178"/>
  <c r="L76" i="178"/>
  <c r="J76" i="178"/>
  <c r="I76" i="178"/>
  <c r="G76" i="178"/>
  <c r="F76" i="178"/>
  <c r="E76" i="178"/>
  <c r="ED75" i="178"/>
  <c r="EC75" i="178"/>
  <c r="EA75" i="178"/>
  <c r="DZ75" i="178"/>
  <c r="DX75" i="178"/>
  <c r="DW75" i="178"/>
  <c r="DV75" i="178"/>
  <c r="DS75" i="178"/>
  <c r="DR75" i="178"/>
  <c r="DP75" i="178"/>
  <c r="DO75" i="178"/>
  <c r="DM75" i="178"/>
  <c r="DL75" i="178"/>
  <c r="DK75" i="178"/>
  <c r="DH75" i="178"/>
  <c r="DG75" i="178"/>
  <c r="DE75" i="178"/>
  <c r="DD75" i="178"/>
  <c r="DB75" i="178"/>
  <c r="DA75" i="178"/>
  <c r="CZ75" i="178"/>
  <c r="CW75" i="178"/>
  <c r="CV75" i="178"/>
  <c r="CT75" i="178"/>
  <c r="CS75" i="178"/>
  <c r="CQ75" i="178"/>
  <c r="CP75" i="178"/>
  <c r="CO75" i="178"/>
  <c r="CL75" i="178"/>
  <c r="CK75" i="178"/>
  <c r="CI75" i="178"/>
  <c r="CH75" i="178"/>
  <c r="CF75" i="178"/>
  <c r="CE75" i="178"/>
  <c r="CD75" i="178"/>
  <c r="CA75" i="178"/>
  <c r="BZ75" i="178"/>
  <c r="BX75" i="178"/>
  <c r="BW75" i="178"/>
  <c r="BU75" i="178"/>
  <c r="BT75" i="178"/>
  <c r="BS75" i="178"/>
  <c r="BP75" i="178"/>
  <c r="BO75" i="178"/>
  <c r="BM75" i="178"/>
  <c r="BL75" i="178"/>
  <c r="BJ75" i="178"/>
  <c r="BI75" i="178"/>
  <c r="BH75" i="178"/>
  <c r="BE75" i="178"/>
  <c r="BD75" i="178"/>
  <c r="BB75" i="178"/>
  <c r="BA75" i="178"/>
  <c r="AY75" i="178"/>
  <c r="AX75" i="178"/>
  <c r="AW75" i="178"/>
  <c r="AT75" i="178"/>
  <c r="AS75" i="178"/>
  <c r="AQ75" i="178"/>
  <c r="AP75" i="178"/>
  <c r="AN75" i="178"/>
  <c r="AM75" i="178"/>
  <c r="AL75" i="178"/>
  <c r="AI75" i="178"/>
  <c r="AH75" i="178"/>
  <c r="AF75" i="178"/>
  <c r="AE75" i="178"/>
  <c r="AC75" i="178"/>
  <c r="AB75" i="178"/>
  <c r="AA75" i="178"/>
  <c r="X75" i="178"/>
  <c r="W75" i="178"/>
  <c r="U75" i="178"/>
  <c r="T75" i="178"/>
  <c r="R75" i="178"/>
  <c r="Q75" i="178"/>
  <c r="P75" i="178"/>
  <c r="M75" i="178"/>
  <c r="L75" i="178"/>
  <c r="J75" i="178"/>
  <c r="I75" i="178"/>
  <c r="G75" i="178"/>
  <c r="F75" i="178"/>
  <c r="E75" i="178"/>
  <c r="ED72" i="178"/>
  <c r="EC72" i="178"/>
  <c r="EA72" i="178"/>
  <c r="DZ72" i="178"/>
  <c r="DX72" i="178"/>
  <c r="DW72" i="178"/>
  <c r="DV72" i="178"/>
  <c r="DS72" i="178"/>
  <c r="DR72" i="178"/>
  <c r="DP72" i="178"/>
  <c r="DO72" i="178"/>
  <c r="DM72" i="178"/>
  <c r="DL72" i="178"/>
  <c r="DK72" i="178"/>
  <c r="DH72" i="178"/>
  <c r="DG72" i="178"/>
  <c r="DE72" i="178"/>
  <c r="DD72" i="178"/>
  <c r="DB72" i="178"/>
  <c r="DA72" i="178"/>
  <c r="CZ72" i="178"/>
  <c r="CW72" i="178"/>
  <c r="CV72" i="178"/>
  <c r="CT72" i="178"/>
  <c r="CS72" i="178"/>
  <c r="CQ72" i="178"/>
  <c r="CP72" i="178"/>
  <c r="CO72" i="178"/>
  <c r="CL72" i="178"/>
  <c r="CK72" i="178"/>
  <c r="CI72" i="178"/>
  <c r="CH72" i="178"/>
  <c r="CF72" i="178"/>
  <c r="CE72" i="178"/>
  <c r="CD72" i="178"/>
  <c r="CA72" i="178"/>
  <c r="BZ72" i="178"/>
  <c r="BX72" i="178"/>
  <c r="BW72" i="178"/>
  <c r="BU72" i="178"/>
  <c r="BT72" i="178"/>
  <c r="BS72" i="178"/>
  <c r="BP72" i="178"/>
  <c r="BO72" i="178"/>
  <c r="BM72" i="178"/>
  <c r="BL72" i="178"/>
  <c r="BJ72" i="178"/>
  <c r="BI72" i="178"/>
  <c r="BH72" i="178"/>
  <c r="BE72" i="178"/>
  <c r="BD72" i="178"/>
  <c r="BB72" i="178"/>
  <c r="BA72" i="178"/>
  <c r="AY72" i="178"/>
  <c r="AX72" i="178"/>
  <c r="AW72" i="178"/>
  <c r="AT72" i="178"/>
  <c r="AS72" i="178"/>
  <c r="AQ72" i="178"/>
  <c r="AP72" i="178"/>
  <c r="AN72" i="178"/>
  <c r="AM72" i="178"/>
  <c r="AL72" i="178"/>
  <c r="AI72" i="178"/>
  <c r="AH72" i="178"/>
  <c r="AF72" i="178"/>
  <c r="AE72" i="178"/>
  <c r="AC72" i="178"/>
  <c r="AB72" i="178"/>
  <c r="AA72" i="178"/>
  <c r="X72" i="178"/>
  <c r="W72" i="178"/>
  <c r="U72" i="178"/>
  <c r="T72" i="178"/>
  <c r="R72" i="178"/>
  <c r="Q72" i="178"/>
  <c r="P72" i="178"/>
  <c r="M72" i="178"/>
  <c r="L72" i="178"/>
  <c r="J72" i="178"/>
  <c r="I72" i="178"/>
  <c r="G72" i="178"/>
  <c r="F72" i="178"/>
  <c r="E72" i="178"/>
  <c r="ED71" i="178"/>
  <c r="EC71" i="178"/>
  <c r="EA71" i="178"/>
  <c r="DZ71" i="178"/>
  <c r="DX71" i="178"/>
  <c r="DW71" i="178"/>
  <c r="DV71" i="178"/>
  <c r="DS71" i="178"/>
  <c r="DR71" i="178"/>
  <c r="DP71" i="178"/>
  <c r="DO71" i="178"/>
  <c r="DM71" i="178"/>
  <c r="DL71" i="178"/>
  <c r="DK71" i="178"/>
  <c r="DH71" i="178"/>
  <c r="DG71" i="178"/>
  <c r="DE71" i="178"/>
  <c r="DD71" i="178"/>
  <c r="DB71" i="178"/>
  <c r="DA71" i="178"/>
  <c r="CZ71" i="178"/>
  <c r="CW71" i="178"/>
  <c r="CV71" i="178"/>
  <c r="CT71" i="178"/>
  <c r="CS71" i="178"/>
  <c r="CQ71" i="178"/>
  <c r="CP71" i="178"/>
  <c r="CO71" i="178"/>
  <c r="CL71" i="178"/>
  <c r="CK71" i="178"/>
  <c r="CI71" i="178"/>
  <c r="CH71" i="178"/>
  <c r="CF71" i="178"/>
  <c r="CE71" i="178"/>
  <c r="CD71" i="178"/>
  <c r="CA71" i="178"/>
  <c r="BZ71" i="178"/>
  <c r="BX71" i="178"/>
  <c r="BW71" i="178"/>
  <c r="BU71" i="178"/>
  <c r="BT71" i="178"/>
  <c r="BS71" i="178"/>
  <c r="BP71" i="178"/>
  <c r="BO71" i="178"/>
  <c r="BM71" i="178"/>
  <c r="BL71" i="178"/>
  <c r="BJ71" i="178"/>
  <c r="BI71" i="178"/>
  <c r="BH71" i="178"/>
  <c r="BE71" i="178"/>
  <c r="BD71" i="178"/>
  <c r="BB71" i="178"/>
  <c r="BA71" i="178"/>
  <c r="AY71" i="178"/>
  <c r="AX71" i="178"/>
  <c r="AW71" i="178"/>
  <c r="AT71" i="178"/>
  <c r="AS71" i="178"/>
  <c r="AQ71" i="178"/>
  <c r="AP71" i="178"/>
  <c r="AN71" i="178"/>
  <c r="AM71" i="178"/>
  <c r="AL71" i="178"/>
  <c r="AI71" i="178"/>
  <c r="AH71" i="178"/>
  <c r="AF71" i="178"/>
  <c r="AE71" i="178"/>
  <c r="AC71" i="178"/>
  <c r="AB71" i="178"/>
  <c r="AA71" i="178"/>
  <c r="X71" i="178"/>
  <c r="W71" i="178"/>
  <c r="U71" i="178"/>
  <c r="T71" i="178"/>
  <c r="R71" i="178"/>
  <c r="Q71" i="178"/>
  <c r="P71" i="178"/>
  <c r="M71" i="178"/>
  <c r="L71" i="178"/>
  <c r="J71" i="178"/>
  <c r="I71" i="178"/>
  <c r="G71" i="178"/>
  <c r="F71" i="178"/>
  <c r="E71" i="178"/>
  <c r="ED70" i="178"/>
  <c r="EC70" i="178"/>
  <c r="EA70" i="178"/>
  <c r="DZ70" i="178"/>
  <c r="DX70" i="178"/>
  <c r="DW70" i="178"/>
  <c r="DV70" i="178"/>
  <c r="DS70" i="178"/>
  <c r="DR70" i="178"/>
  <c r="DP70" i="178"/>
  <c r="DO70" i="178"/>
  <c r="DM70" i="178"/>
  <c r="DL70" i="178"/>
  <c r="DK70" i="178"/>
  <c r="DH70" i="178"/>
  <c r="DG70" i="178"/>
  <c r="DE70" i="178"/>
  <c r="DD70" i="178"/>
  <c r="DB70" i="178"/>
  <c r="DA70" i="178"/>
  <c r="CZ70" i="178"/>
  <c r="CW70" i="178"/>
  <c r="CV70" i="178"/>
  <c r="CT70" i="178"/>
  <c r="CS70" i="178"/>
  <c r="CQ70" i="178"/>
  <c r="CP70" i="178"/>
  <c r="CO70" i="178"/>
  <c r="CL70" i="178"/>
  <c r="CK70" i="178"/>
  <c r="CI70" i="178"/>
  <c r="CH70" i="178"/>
  <c r="CF70" i="178"/>
  <c r="CE70" i="178"/>
  <c r="CD70" i="178"/>
  <c r="CA70" i="178"/>
  <c r="BZ70" i="178"/>
  <c r="BX70" i="178"/>
  <c r="BW70" i="178"/>
  <c r="BU70" i="178"/>
  <c r="BT70" i="178"/>
  <c r="BS70" i="178"/>
  <c r="BP70" i="178"/>
  <c r="BO70" i="178"/>
  <c r="BM70" i="178"/>
  <c r="BL70" i="178"/>
  <c r="BJ70" i="178"/>
  <c r="BI70" i="178"/>
  <c r="BH70" i="178"/>
  <c r="BE70" i="178"/>
  <c r="BD70" i="178"/>
  <c r="BB70" i="178"/>
  <c r="BA70" i="178"/>
  <c r="AY70" i="178"/>
  <c r="AX70" i="178"/>
  <c r="AW70" i="178"/>
  <c r="AT70" i="178"/>
  <c r="AS70" i="178"/>
  <c r="AQ70" i="178"/>
  <c r="AP70" i="178"/>
  <c r="AN70" i="178"/>
  <c r="AM70" i="178"/>
  <c r="AL70" i="178"/>
  <c r="AI70" i="178"/>
  <c r="AH70" i="178"/>
  <c r="AF70" i="178"/>
  <c r="AE70" i="178"/>
  <c r="AC70" i="178"/>
  <c r="AB70" i="178"/>
  <c r="AA70" i="178"/>
  <c r="X70" i="178"/>
  <c r="W70" i="178"/>
  <c r="U70" i="178"/>
  <c r="T70" i="178"/>
  <c r="R70" i="178"/>
  <c r="Q70" i="178"/>
  <c r="P70" i="178"/>
  <c r="M70" i="178"/>
  <c r="L70" i="178"/>
  <c r="J70" i="178"/>
  <c r="I70" i="178"/>
  <c r="G70" i="178"/>
  <c r="F70" i="178"/>
  <c r="E70" i="178"/>
  <c r="ED69" i="178"/>
  <c r="EC69" i="178"/>
  <c r="EA69" i="178"/>
  <c r="DZ69" i="178"/>
  <c r="DX69" i="178"/>
  <c r="DW69" i="178"/>
  <c r="DV69" i="178"/>
  <c r="DS69" i="178"/>
  <c r="DR69" i="178"/>
  <c r="DP69" i="178"/>
  <c r="DO69" i="178"/>
  <c r="DM69" i="178"/>
  <c r="DL69" i="178"/>
  <c r="DK69" i="178"/>
  <c r="DH69" i="178"/>
  <c r="DG69" i="178"/>
  <c r="DE69" i="178"/>
  <c r="DD69" i="178"/>
  <c r="DB69" i="178"/>
  <c r="DA69" i="178"/>
  <c r="CZ69" i="178"/>
  <c r="CW69" i="178"/>
  <c r="CV69" i="178"/>
  <c r="CT69" i="178"/>
  <c r="CS69" i="178"/>
  <c r="CQ69" i="178"/>
  <c r="CP69" i="178"/>
  <c r="CO69" i="178"/>
  <c r="CL69" i="178"/>
  <c r="CK69" i="178"/>
  <c r="CI69" i="178"/>
  <c r="CH69" i="178"/>
  <c r="CF69" i="178"/>
  <c r="CE69" i="178"/>
  <c r="CD69" i="178"/>
  <c r="CA69" i="178"/>
  <c r="BZ69" i="178"/>
  <c r="BX69" i="178"/>
  <c r="BW69" i="178"/>
  <c r="BU69" i="178"/>
  <c r="BT69" i="178"/>
  <c r="BS69" i="178"/>
  <c r="BP69" i="178"/>
  <c r="BO69" i="178"/>
  <c r="BM69" i="178"/>
  <c r="BL69" i="178"/>
  <c r="BJ69" i="178"/>
  <c r="BI69" i="178"/>
  <c r="BH69" i="178"/>
  <c r="BE69" i="178"/>
  <c r="BD69" i="178"/>
  <c r="BB69" i="178"/>
  <c r="BA69" i="178"/>
  <c r="AY69" i="178"/>
  <c r="AX69" i="178"/>
  <c r="AW69" i="178"/>
  <c r="AT69" i="178"/>
  <c r="AS69" i="178"/>
  <c r="AQ69" i="178"/>
  <c r="AP69" i="178"/>
  <c r="AN69" i="178"/>
  <c r="AM69" i="178"/>
  <c r="AL69" i="178"/>
  <c r="AI69" i="178"/>
  <c r="AH69" i="178"/>
  <c r="AF69" i="178"/>
  <c r="AE69" i="178"/>
  <c r="AC69" i="178"/>
  <c r="AB69" i="178"/>
  <c r="AA69" i="178"/>
  <c r="X69" i="178"/>
  <c r="W69" i="178"/>
  <c r="U69" i="178"/>
  <c r="T69" i="178"/>
  <c r="R69" i="178"/>
  <c r="Q69" i="178"/>
  <c r="P69" i="178"/>
  <c r="M69" i="178"/>
  <c r="L69" i="178"/>
  <c r="J69" i="178"/>
  <c r="I69" i="178"/>
  <c r="G69" i="178"/>
  <c r="F69" i="178"/>
  <c r="E69" i="178"/>
  <c r="ED68" i="178"/>
  <c r="EC68" i="178"/>
  <c r="EA68" i="178"/>
  <c r="DZ68" i="178"/>
  <c r="DX68" i="178"/>
  <c r="DW68" i="178"/>
  <c r="DV68" i="178"/>
  <c r="DS68" i="178"/>
  <c r="DR68" i="178"/>
  <c r="DP68" i="178"/>
  <c r="DO68" i="178"/>
  <c r="DM68" i="178"/>
  <c r="DL68" i="178"/>
  <c r="DK68" i="178"/>
  <c r="DH68" i="178"/>
  <c r="DG68" i="178"/>
  <c r="DE68" i="178"/>
  <c r="DD68" i="178"/>
  <c r="DB68" i="178"/>
  <c r="DA68" i="178"/>
  <c r="CZ68" i="178"/>
  <c r="CW68" i="178"/>
  <c r="CV68" i="178"/>
  <c r="CT68" i="178"/>
  <c r="CS68" i="178"/>
  <c r="CQ68" i="178"/>
  <c r="CP68" i="178"/>
  <c r="CO68" i="178"/>
  <c r="CL68" i="178"/>
  <c r="CK68" i="178"/>
  <c r="CI68" i="178"/>
  <c r="CH68" i="178"/>
  <c r="CF68" i="178"/>
  <c r="CE68" i="178"/>
  <c r="CD68" i="178"/>
  <c r="CA68" i="178"/>
  <c r="BZ68" i="178"/>
  <c r="BX68" i="178"/>
  <c r="BW68" i="178"/>
  <c r="BU68" i="178"/>
  <c r="BT68" i="178"/>
  <c r="BS68" i="178"/>
  <c r="BP68" i="178"/>
  <c r="BO68" i="178"/>
  <c r="BM68" i="178"/>
  <c r="BL68" i="178"/>
  <c r="BJ68" i="178"/>
  <c r="BI68" i="178"/>
  <c r="BH68" i="178"/>
  <c r="BE68" i="178"/>
  <c r="BD68" i="178"/>
  <c r="BB68" i="178"/>
  <c r="BA68" i="178"/>
  <c r="AY68" i="178"/>
  <c r="AX68" i="178"/>
  <c r="AW68" i="178"/>
  <c r="AT68" i="178"/>
  <c r="AS68" i="178"/>
  <c r="AQ68" i="178"/>
  <c r="AP68" i="178"/>
  <c r="AN68" i="178"/>
  <c r="AM68" i="178"/>
  <c r="AL68" i="178"/>
  <c r="AI68" i="178"/>
  <c r="AH68" i="178"/>
  <c r="AF68" i="178"/>
  <c r="AE68" i="178"/>
  <c r="AC68" i="178"/>
  <c r="AB68" i="178"/>
  <c r="AA68" i="178"/>
  <c r="X68" i="178"/>
  <c r="W68" i="178"/>
  <c r="U68" i="178"/>
  <c r="T68" i="178"/>
  <c r="R68" i="178"/>
  <c r="Q68" i="178"/>
  <c r="P68" i="178"/>
  <c r="M68" i="178"/>
  <c r="L68" i="178"/>
  <c r="J68" i="178"/>
  <c r="I68" i="178"/>
  <c r="G68" i="178"/>
  <c r="F68" i="178"/>
  <c r="E68" i="178"/>
  <c r="ED67" i="178"/>
  <c r="EC67" i="178"/>
  <c r="EA67" i="178"/>
  <c r="DZ67" i="178"/>
  <c r="DX67" i="178"/>
  <c r="DW67" i="178"/>
  <c r="DV67" i="178"/>
  <c r="DS67" i="178"/>
  <c r="DR67" i="178"/>
  <c r="DP67" i="178"/>
  <c r="DO67" i="178"/>
  <c r="DM67" i="178"/>
  <c r="DL67" i="178"/>
  <c r="DK67" i="178"/>
  <c r="DH67" i="178"/>
  <c r="DG67" i="178"/>
  <c r="DE67" i="178"/>
  <c r="DD67" i="178"/>
  <c r="DB67" i="178"/>
  <c r="DA67" i="178"/>
  <c r="CZ67" i="178"/>
  <c r="CW67" i="178"/>
  <c r="CV67" i="178"/>
  <c r="CT67" i="178"/>
  <c r="CS67" i="178"/>
  <c r="CQ67" i="178"/>
  <c r="CP67" i="178"/>
  <c r="CO67" i="178"/>
  <c r="CL67" i="178"/>
  <c r="CK67" i="178"/>
  <c r="CI67" i="178"/>
  <c r="CH67" i="178"/>
  <c r="CF67" i="178"/>
  <c r="CE67" i="178"/>
  <c r="CD67" i="178"/>
  <c r="CA67" i="178"/>
  <c r="BZ67" i="178"/>
  <c r="BX67" i="178"/>
  <c r="BW67" i="178"/>
  <c r="BU67" i="178"/>
  <c r="BT67" i="178"/>
  <c r="BS67" i="178"/>
  <c r="BP67" i="178"/>
  <c r="BO67" i="178"/>
  <c r="BM67" i="178"/>
  <c r="BL67" i="178"/>
  <c r="BJ67" i="178"/>
  <c r="BI67" i="178"/>
  <c r="BH67" i="178"/>
  <c r="BE67" i="178"/>
  <c r="BD67" i="178"/>
  <c r="BB67" i="178"/>
  <c r="BA67" i="178"/>
  <c r="AY67" i="178"/>
  <c r="AX67" i="178"/>
  <c r="AW67" i="178"/>
  <c r="AT67" i="178"/>
  <c r="AS67" i="178"/>
  <c r="AQ67" i="178"/>
  <c r="AP67" i="178"/>
  <c r="AN67" i="178"/>
  <c r="AM67" i="178"/>
  <c r="AL67" i="178"/>
  <c r="AI67" i="178"/>
  <c r="AH67" i="178"/>
  <c r="AF67" i="178"/>
  <c r="AE67" i="178"/>
  <c r="AC67" i="178"/>
  <c r="AB67" i="178"/>
  <c r="AA67" i="178"/>
  <c r="X67" i="178"/>
  <c r="W67" i="178"/>
  <c r="U67" i="178"/>
  <c r="T67" i="178"/>
  <c r="R67" i="178"/>
  <c r="Q67" i="178"/>
  <c r="P67" i="178"/>
  <c r="M67" i="178"/>
  <c r="L67" i="178"/>
  <c r="J67" i="178"/>
  <c r="I67" i="178"/>
  <c r="G67" i="178"/>
  <c r="F67" i="178"/>
  <c r="E67" i="178"/>
  <c r="ED65" i="178"/>
  <c r="EC65" i="178"/>
  <c r="EA65" i="178"/>
  <c r="DZ65" i="178"/>
  <c r="DX65" i="178"/>
  <c r="DW65" i="178"/>
  <c r="DV65" i="178"/>
  <c r="DS65" i="178"/>
  <c r="DR65" i="178"/>
  <c r="DP65" i="178"/>
  <c r="DO65" i="178"/>
  <c r="DM65" i="178"/>
  <c r="DL65" i="178"/>
  <c r="DK65" i="178"/>
  <c r="DH65" i="178"/>
  <c r="DG65" i="178"/>
  <c r="DE65" i="178"/>
  <c r="DD65" i="178"/>
  <c r="DB65" i="178"/>
  <c r="DA65" i="178"/>
  <c r="CZ65" i="178"/>
  <c r="CW65" i="178"/>
  <c r="CV65" i="178"/>
  <c r="CT65" i="178"/>
  <c r="CS65" i="178"/>
  <c r="CQ65" i="178"/>
  <c r="CP65" i="178"/>
  <c r="CO65" i="178"/>
  <c r="CL65" i="178"/>
  <c r="CK65" i="178"/>
  <c r="CI65" i="178"/>
  <c r="CH65" i="178"/>
  <c r="CF65" i="178"/>
  <c r="CE65" i="178"/>
  <c r="CD65" i="178"/>
  <c r="CA65" i="178"/>
  <c r="BZ65" i="178"/>
  <c r="BX65" i="178"/>
  <c r="BW65" i="178"/>
  <c r="BU65" i="178"/>
  <c r="BT65" i="178"/>
  <c r="BS65" i="178"/>
  <c r="BP65" i="178"/>
  <c r="BO65" i="178"/>
  <c r="BM65" i="178"/>
  <c r="BL65" i="178"/>
  <c r="BJ65" i="178"/>
  <c r="BI65" i="178"/>
  <c r="BH65" i="178"/>
  <c r="BE65" i="178"/>
  <c r="BD65" i="178"/>
  <c r="BB65" i="178"/>
  <c r="BA65" i="178"/>
  <c r="AY65" i="178"/>
  <c r="AX65" i="178"/>
  <c r="AW65" i="178"/>
  <c r="AT65" i="178"/>
  <c r="AS65" i="178"/>
  <c r="AQ65" i="178"/>
  <c r="AP65" i="178"/>
  <c r="AN65" i="178"/>
  <c r="AM65" i="178"/>
  <c r="AL65" i="178"/>
  <c r="AI65" i="178"/>
  <c r="AH65" i="178"/>
  <c r="AF65" i="178"/>
  <c r="AE65" i="178"/>
  <c r="AC65" i="178"/>
  <c r="AB65" i="178"/>
  <c r="AA65" i="178"/>
  <c r="X65" i="178"/>
  <c r="W65" i="178"/>
  <c r="U65" i="178"/>
  <c r="T65" i="178"/>
  <c r="R65" i="178"/>
  <c r="Q65" i="178"/>
  <c r="P65" i="178"/>
  <c r="M65" i="178"/>
  <c r="L65" i="178"/>
  <c r="J65" i="178"/>
  <c r="I65" i="178"/>
  <c r="G65" i="178"/>
  <c r="F65" i="178"/>
  <c r="E65" i="178"/>
  <c r="ED57" i="178"/>
  <c r="EC57" i="178"/>
  <c r="EA57" i="178"/>
  <c r="DZ57" i="178"/>
  <c r="DX57" i="178"/>
  <c r="DW57" i="178"/>
  <c r="DV57" i="178"/>
  <c r="DS57" i="178"/>
  <c r="DR57" i="178"/>
  <c r="DP57" i="178"/>
  <c r="DO57" i="178"/>
  <c r="DM57" i="178"/>
  <c r="DL57" i="178"/>
  <c r="DK57" i="178"/>
  <c r="DH57" i="178"/>
  <c r="DG57" i="178"/>
  <c r="DE57" i="178"/>
  <c r="DD57" i="178"/>
  <c r="DB57" i="178"/>
  <c r="DA57" i="178"/>
  <c r="CZ57" i="178"/>
  <c r="CW57" i="178"/>
  <c r="CV57" i="178"/>
  <c r="CT57" i="178"/>
  <c r="CS57" i="178"/>
  <c r="CQ57" i="178"/>
  <c r="CP57" i="178"/>
  <c r="CO57" i="178"/>
  <c r="CL57" i="178"/>
  <c r="CK57" i="178"/>
  <c r="CI57" i="178"/>
  <c r="CH57" i="178"/>
  <c r="CF57" i="178"/>
  <c r="CE57" i="178"/>
  <c r="CD57" i="178"/>
  <c r="CA57" i="178"/>
  <c r="BZ57" i="178"/>
  <c r="BX57" i="178"/>
  <c r="BW57" i="178"/>
  <c r="BU57" i="178"/>
  <c r="BT57" i="178"/>
  <c r="BS57" i="178"/>
  <c r="BP57" i="178"/>
  <c r="BO57" i="178"/>
  <c r="BM57" i="178"/>
  <c r="BL57" i="178"/>
  <c r="BJ57" i="178"/>
  <c r="BI57" i="178"/>
  <c r="BH57" i="178"/>
  <c r="BE57" i="178"/>
  <c r="BD57" i="178"/>
  <c r="BB57" i="178"/>
  <c r="BA57" i="178"/>
  <c r="AY57" i="178"/>
  <c r="AX57" i="178"/>
  <c r="AW57" i="178"/>
  <c r="AT57" i="178"/>
  <c r="AS57" i="178"/>
  <c r="AQ57" i="178"/>
  <c r="AP57" i="178"/>
  <c r="AN57" i="178"/>
  <c r="AM57" i="178"/>
  <c r="AL57" i="178"/>
  <c r="AI57" i="178"/>
  <c r="AH57" i="178"/>
  <c r="AF57" i="178"/>
  <c r="AE57" i="178"/>
  <c r="AC57" i="178"/>
  <c r="AB57" i="178"/>
  <c r="AA57" i="178"/>
  <c r="X57" i="178"/>
  <c r="W57" i="178"/>
  <c r="U57" i="178"/>
  <c r="T57" i="178"/>
  <c r="R57" i="178"/>
  <c r="Q57" i="178"/>
  <c r="P57" i="178"/>
  <c r="M57" i="178"/>
  <c r="L57" i="178"/>
  <c r="J57" i="178"/>
  <c r="I57" i="178"/>
  <c r="G57" i="178"/>
  <c r="F57" i="178"/>
  <c r="E57" i="178"/>
  <c r="ED56" i="178"/>
  <c r="EC56" i="178"/>
  <c r="EA56" i="178"/>
  <c r="DZ56" i="178"/>
  <c r="DX56" i="178"/>
  <c r="DW56" i="178"/>
  <c r="DV56" i="178"/>
  <c r="DS56" i="178"/>
  <c r="DR56" i="178"/>
  <c r="DP56" i="178"/>
  <c r="DO56" i="178"/>
  <c r="DM56" i="178"/>
  <c r="DL56" i="178"/>
  <c r="DK56" i="178"/>
  <c r="DH56" i="178"/>
  <c r="DG56" i="178"/>
  <c r="DE56" i="178"/>
  <c r="DD56" i="178"/>
  <c r="DB56" i="178"/>
  <c r="DA56" i="178"/>
  <c r="CZ56" i="178"/>
  <c r="CW56" i="178"/>
  <c r="CV56" i="178"/>
  <c r="CT56" i="178"/>
  <c r="CS56" i="178"/>
  <c r="CQ56" i="178"/>
  <c r="CP56" i="178"/>
  <c r="CO56" i="178"/>
  <c r="CL56" i="178"/>
  <c r="CK56" i="178"/>
  <c r="CI56" i="178"/>
  <c r="CH56" i="178"/>
  <c r="CF56" i="178"/>
  <c r="CE56" i="178"/>
  <c r="CD56" i="178"/>
  <c r="CA56" i="178"/>
  <c r="BZ56" i="178"/>
  <c r="BX56" i="178"/>
  <c r="BW56" i="178"/>
  <c r="BU56" i="178"/>
  <c r="BT56" i="178"/>
  <c r="BS56" i="178"/>
  <c r="BP56" i="178"/>
  <c r="BO56" i="178"/>
  <c r="BM56" i="178"/>
  <c r="BL56" i="178"/>
  <c r="BJ56" i="178"/>
  <c r="BI56" i="178"/>
  <c r="BH56" i="178"/>
  <c r="BE56" i="178"/>
  <c r="BD56" i="178"/>
  <c r="BB56" i="178"/>
  <c r="BA56" i="178"/>
  <c r="AY56" i="178"/>
  <c r="AX56" i="178"/>
  <c r="AW56" i="178"/>
  <c r="AT56" i="178"/>
  <c r="AS56" i="178"/>
  <c r="AQ56" i="178"/>
  <c r="AP56" i="178"/>
  <c r="AN56" i="178"/>
  <c r="AM56" i="178"/>
  <c r="AL56" i="178"/>
  <c r="AI56" i="178"/>
  <c r="AH56" i="178"/>
  <c r="AF56" i="178"/>
  <c r="AE56" i="178"/>
  <c r="AC56" i="178"/>
  <c r="AB56" i="178"/>
  <c r="AA56" i="178"/>
  <c r="X56" i="178"/>
  <c r="W56" i="178"/>
  <c r="U56" i="178"/>
  <c r="T56" i="178"/>
  <c r="R56" i="178"/>
  <c r="Q56" i="178"/>
  <c r="P56" i="178"/>
  <c r="M56" i="178"/>
  <c r="L56" i="178"/>
  <c r="J56" i="178"/>
  <c r="I56" i="178"/>
  <c r="G56" i="178"/>
  <c r="F56" i="178"/>
  <c r="E56" i="178"/>
  <c r="ED51" i="178"/>
  <c r="EC51" i="178"/>
  <c r="EA51" i="178"/>
  <c r="DZ51" i="178"/>
  <c r="DX51" i="178"/>
  <c r="DW51" i="178"/>
  <c r="DV51" i="178"/>
  <c r="DS51" i="178"/>
  <c r="DR51" i="178"/>
  <c r="DP51" i="178"/>
  <c r="DO51" i="178"/>
  <c r="DM51" i="178"/>
  <c r="DL51" i="178"/>
  <c r="DK51" i="178"/>
  <c r="DH51" i="178"/>
  <c r="DG51" i="178"/>
  <c r="DE51" i="178"/>
  <c r="DD51" i="178"/>
  <c r="DB51" i="178"/>
  <c r="DA51" i="178"/>
  <c r="CZ51" i="178"/>
  <c r="CW51" i="178"/>
  <c r="CV51" i="178"/>
  <c r="CT51" i="178"/>
  <c r="CS51" i="178"/>
  <c r="CQ51" i="178"/>
  <c r="CP51" i="178"/>
  <c r="CO51" i="178"/>
  <c r="CL51" i="178"/>
  <c r="CK51" i="178"/>
  <c r="CI51" i="178"/>
  <c r="CH51" i="178"/>
  <c r="CF51" i="178"/>
  <c r="CE51" i="178"/>
  <c r="CD51" i="178"/>
  <c r="CA51" i="178"/>
  <c r="BZ51" i="178"/>
  <c r="BX51" i="178"/>
  <c r="BW51" i="178"/>
  <c r="BU51" i="178"/>
  <c r="BT51" i="178"/>
  <c r="BS51" i="178"/>
  <c r="BP51" i="178"/>
  <c r="BO51" i="178"/>
  <c r="BM51" i="178"/>
  <c r="BL51" i="178"/>
  <c r="BJ51" i="178"/>
  <c r="BI51" i="178"/>
  <c r="BH51" i="178"/>
  <c r="BE51" i="178"/>
  <c r="BD51" i="178"/>
  <c r="BB51" i="178"/>
  <c r="BA51" i="178"/>
  <c r="AY51" i="178"/>
  <c r="AX51" i="178"/>
  <c r="AW51" i="178"/>
  <c r="AT51" i="178"/>
  <c r="AS51" i="178"/>
  <c r="AQ51" i="178"/>
  <c r="AP51" i="178"/>
  <c r="AN51" i="178"/>
  <c r="AM51" i="178"/>
  <c r="AL51" i="178"/>
  <c r="AI51" i="178"/>
  <c r="AH51" i="178"/>
  <c r="AF51" i="178"/>
  <c r="AE51" i="178"/>
  <c r="AC51" i="178"/>
  <c r="AB51" i="178"/>
  <c r="AA51" i="178"/>
  <c r="X51" i="178"/>
  <c r="W51" i="178"/>
  <c r="U51" i="178"/>
  <c r="T51" i="178"/>
  <c r="R51" i="178"/>
  <c r="Q51" i="178"/>
  <c r="P51" i="178"/>
  <c r="M51" i="178"/>
  <c r="L51" i="178"/>
  <c r="J51" i="178"/>
  <c r="I51" i="178"/>
  <c r="G51" i="178"/>
  <c r="F51" i="178"/>
  <c r="E51" i="178"/>
  <c r="ED50" i="178"/>
  <c r="EC50" i="178"/>
  <c r="EA50" i="178"/>
  <c r="DZ50" i="178"/>
  <c r="DX50" i="178"/>
  <c r="DW50" i="178"/>
  <c r="DV50" i="178"/>
  <c r="DS50" i="178"/>
  <c r="DR50" i="178"/>
  <c r="DP50" i="178"/>
  <c r="DO50" i="178"/>
  <c r="DM50" i="178"/>
  <c r="DL50" i="178"/>
  <c r="DK50" i="178"/>
  <c r="DH50" i="178"/>
  <c r="DG50" i="178"/>
  <c r="DE50" i="178"/>
  <c r="DD50" i="178"/>
  <c r="DB50" i="178"/>
  <c r="DA50" i="178"/>
  <c r="CZ50" i="178"/>
  <c r="CW50" i="178"/>
  <c r="CV50" i="178"/>
  <c r="CT50" i="178"/>
  <c r="CS50" i="178"/>
  <c r="CQ50" i="178"/>
  <c r="CP50" i="178"/>
  <c r="CO50" i="178"/>
  <c r="CL50" i="178"/>
  <c r="CK50" i="178"/>
  <c r="CI50" i="178"/>
  <c r="CH50" i="178"/>
  <c r="CF50" i="178"/>
  <c r="CE50" i="178"/>
  <c r="CD50" i="178"/>
  <c r="CA50" i="178"/>
  <c r="BZ50" i="178"/>
  <c r="BX50" i="178"/>
  <c r="BW50" i="178"/>
  <c r="BU50" i="178"/>
  <c r="BT50" i="178"/>
  <c r="BS50" i="178"/>
  <c r="BP50" i="178"/>
  <c r="BO50" i="178"/>
  <c r="BM50" i="178"/>
  <c r="BL50" i="178"/>
  <c r="BJ50" i="178"/>
  <c r="BI50" i="178"/>
  <c r="BH50" i="178"/>
  <c r="BE50" i="178"/>
  <c r="BD50" i="178"/>
  <c r="BB50" i="178"/>
  <c r="BA50" i="178"/>
  <c r="AY50" i="178"/>
  <c r="AX50" i="178"/>
  <c r="AW50" i="178"/>
  <c r="AT50" i="178"/>
  <c r="AS50" i="178"/>
  <c r="AQ50" i="178"/>
  <c r="AP50" i="178"/>
  <c r="AN50" i="178"/>
  <c r="AM50" i="178"/>
  <c r="AL50" i="178"/>
  <c r="AI50" i="178"/>
  <c r="AH50" i="178"/>
  <c r="AF50" i="178"/>
  <c r="AE50" i="178"/>
  <c r="AC50" i="178"/>
  <c r="AB50" i="178"/>
  <c r="AA50" i="178"/>
  <c r="X50" i="178"/>
  <c r="W50" i="178"/>
  <c r="U50" i="178"/>
  <c r="T50" i="178"/>
  <c r="R50" i="178"/>
  <c r="Q50" i="178"/>
  <c r="P50" i="178"/>
  <c r="M50" i="178"/>
  <c r="L50" i="178"/>
  <c r="J50" i="178"/>
  <c r="I50" i="178"/>
  <c r="G50" i="178"/>
  <c r="F50" i="178"/>
  <c r="E50" i="178"/>
  <c r="ED40" i="178"/>
  <c r="EC40" i="178"/>
  <c r="EA40" i="178"/>
  <c r="DZ40" i="178"/>
  <c r="DX40" i="178"/>
  <c r="DW40" i="178"/>
  <c r="DV40" i="178"/>
  <c r="DS40" i="178"/>
  <c r="DR40" i="178"/>
  <c r="DP40" i="178"/>
  <c r="DO40" i="178"/>
  <c r="DM40" i="178"/>
  <c r="DL40" i="178"/>
  <c r="DK40" i="178"/>
  <c r="DH40" i="178"/>
  <c r="DG40" i="178"/>
  <c r="DE40" i="178"/>
  <c r="DD40" i="178"/>
  <c r="DB40" i="178"/>
  <c r="DA40" i="178"/>
  <c r="CZ40" i="178"/>
  <c r="CW40" i="178"/>
  <c r="CV40" i="178"/>
  <c r="CT40" i="178"/>
  <c r="CS40" i="178"/>
  <c r="CQ40" i="178"/>
  <c r="CP40" i="178"/>
  <c r="CO40" i="178"/>
  <c r="CL40" i="178"/>
  <c r="CK40" i="178"/>
  <c r="CI40" i="178"/>
  <c r="CH40" i="178"/>
  <c r="CF40" i="178"/>
  <c r="CE40" i="178"/>
  <c r="CD40" i="178"/>
  <c r="CA40" i="178"/>
  <c r="BZ40" i="178"/>
  <c r="BX40" i="178"/>
  <c r="BW40" i="178"/>
  <c r="BU40" i="178"/>
  <c r="BT40" i="178"/>
  <c r="BS40" i="178"/>
  <c r="BP40" i="178"/>
  <c r="BO40" i="178"/>
  <c r="BM40" i="178"/>
  <c r="BL40" i="178"/>
  <c r="BJ40" i="178"/>
  <c r="BI40" i="178"/>
  <c r="BH40" i="178"/>
  <c r="BE40" i="178"/>
  <c r="BD40" i="178"/>
  <c r="BB40" i="178"/>
  <c r="BA40" i="178"/>
  <c r="AY40" i="178"/>
  <c r="AX40" i="178"/>
  <c r="AW40" i="178"/>
  <c r="AT40" i="178"/>
  <c r="AS40" i="178"/>
  <c r="AQ40" i="178"/>
  <c r="AP40" i="178"/>
  <c r="AN40" i="178"/>
  <c r="AM40" i="178"/>
  <c r="AL40" i="178"/>
  <c r="AI40" i="178"/>
  <c r="AH40" i="178"/>
  <c r="AF40" i="178"/>
  <c r="AE40" i="178"/>
  <c r="AC40" i="178"/>
  <c r="AB40" i="178"/>
  <c r="AA40" i="178"/>
  <c r="X40" i="178"/>
  <c r="W40" i="178"/>
  <c r="U40" i="178"/>
  <c r="T40" i="178"/>
  <c r="R40" i="178"/>
  <c r="Q40" i="178"/>
  <c r="P40" i="178"/>
  <c r="M40" i="178"/>
  <c r="L40" i="178"/>
  <c r="J40" i="178"/>
  <c r="I40" i="178"/>
  <c r="G40" i="178"/>
  <c r="F40" i="178"/>
  <c r="E40" i="178"/>
  <c r="ED39" i="178"/>
  <c r="EC39" i="178"/>
  <c r="EA39" i="178"/>
  <c r="DZ39" i="178"/>
  <c r="DX39" i="178"/>
  <c r="DW39" i="178"/>
  <c r="DV39" i="178"/>
  <c r="DS39" i="178"/>
  <c r="DR39" i="178"/>
  <c r="DP39" i="178"/>
  <c r="DO39" i="178"/>
  <c r="DM39" i="178"/>
  <c r="DL39" i="178"/>
  <c r="DK39" i="178"/>
  <c r="DH39" i="178"/>
  <c r="DG39" i="178"/>
  <c r="DE39" i="178"/>
  <c r="DD39" i="178"/>
  <c r="DB39" i="178"/>
  <c r="DA39" i="178"/>
  <c r="CZ39" i="178"/>
  <c r="CW39" i="178"/>
  <c r="CV39" i="178"/>
  <c r="CT39" i="178"/>
  <c r="CS39" i="178"/>
  <c r="CQ39" i="178"/>
  <c r="CP39" i="178"/>
  <c r="CO39" i="178"/>
  <c r="CL39" i="178"/>
  <c r="CK39" i="178"/>
  <c r="CI39" i="178"/>
  <c r="CH39" i="178"/>
  <c r="CF39" i="178"/>
  <c r="CE39" i="178"/>
  <c r="CD39" i="178"/>
  <c r="CA39" i="178"/>
  <c r="BZ39" i="178"/>
  <c r="BX39" i="178"/>
  <c r="BW39" i="178"/>
  <c r="BU39" i="178"/>
  <c r="BT39" i="178"/>
  <c r="BS39" i="178"/>
  <c r="BP39" i="178"/>
  <c r="BO39" i="178"/>
  <c r="BM39" i="178"/>
  <c r="BL39" i="178"/>
  <c r="BJ39" i="178"/>
  <c r="BI39" i="178"/>
  <c r="BH39" i="178"/>
  <c r="BE39" i="178"/>
  <c r="BD39" i="178"/>
  <c r="BB39" i="178"/>
  <c r="BA39" i="178"/>
  <c r="AY39" i="178"/>
  <c r="AX39" i="178"/>
  <c r="AW39" i="178"/>
  <c r="AT39" i="178"/>
  <c r="AS39" i="178"/>
  <c r="AQ39" i="178"/>
  <c r="AP39" i="178"/>
  <c r="AN39" i="178"/>
  <c r="AM39" i="178"/>
  <c r="AL39" i="178"/>
  <c r="AI39" i="178"/>
  <c r="AH39" i="178"/>
  <c r="AF39" i="178"/>
  <c r="AE39" i="178"/>
  <c r="AC39" i="178"/>
  <c r="AB39" i="178"/>
  <c r="AA39" i="178"/>
  <c r="X39" i="178"/>
  <c r="W39" i="178"/>
  <c r="U39" i="178"/>
  <c r="T39" i="178"/>
  <c r="R39" i="178"/>
  <c r="Q39" i="178"/>
  <c r="P39" i="178"/>
  <c r="M39" i="178"/>
  <c r="L39" i="178"/>
  <c r="J39" i="178"/>
  <c r="I39" i="178"/>
  <c r="G39" i="178"/>
  <c r="F39" i="178"/>
  <c r="E39" i="178"/>
  <c r="ED37" i="178"/>
  <c r="EC37" i="178"/>
  <c r="EA37" i="178"/>
  <c r="DZ37" i="178"/>
  <c r="DX37" i="178"/>
  <c r="DW37" i="178"/>
  <c r="DV37" i="178"/>
  <c r="DS37" i="178"/>
  <c r="DR37" i="178"/>
  <c r="DP37" i="178"/>
  <c r="DO37" i="178"/>
  <c r="DM37" i="178"/>
  <c r="DL37" i="178"/>
  <c r="DK37" i="178"/>
  <c r="DH37" i="178"/>
  <c r="DG37" i="178"/>
  <c r="DE37" i="178"/>
  <c r="DD37" i="178"/>
  <c r="DB37" i="178"/>
  <c r="DA37" i="178"/>
  <c r="CZ37" i="178"/>
  <c r="CW37" i="178"/>
  <c r="CV37" i="178"/>
  <c r="CT37" i="178"/>
  <c r="CS37" i="178"/>
  <c r="CQ37" i="178"/>
  <c r="CP37" i="178"/>
  <c r="CO37" i="178"/>
  <c r="CL37" i="178"/>
  <c r="CK37" i="178"/>
  <c r="CI37" i="178"/>
  <c r="CH37" i="178"/>
  <c r="CF37" i="178"/>
  <c r="CE37" i="178"/>
  <c r="CD37" i="178"/>
  <c r="CA37" i="178"/>
  <c r="BZ37" i="178"/>
  <c r="BX37" i="178"/>
  <c r="BW37" i="178"/>
  <c r="BU37" i="178"/>
  <c r="BT37" i="178"/>
  <c r="BS37" i="178"/>
  <c r="BP37" i="178"/>
  <c r="BO37" i="178"/>
  <c r="BM37" i="178"/>
  <c r="BL37" i="178"/>
  <c r="BJ37" i="178"/>
  <c r="BI37" i="178"/>
  <c r="BH37" i="178"/>
  <c r="BE37" i="178"/>
  <c r="BD37" i="178"/>
  <c r="BB37" i="178"/>
  <c r="BA37" i="178"/>
  <c r="AY37" i="178"/>
  <c r="AX37" i="178"/>
  <c r="AW37" i="178"/>
  <c r="AT37" i="178"/>
  <c r="AS37" i="178"/>
  <c r="AQ37" i="178"/>
  <c r="AP37" i="178"/>
  <c r="AN37" i="178"/>
  <c r="AM37" i="178"/>
  <c r="AL37" i="178"/>
  <c r="AI37" i="178"/>
  <c r="AH37" i="178"/>
  <c r="AF37" i="178"/>
  <c r="AE37" i="178"/>
  <c r="AC37" i="178"/>
  <c r="AB37" i="178"/>
  <c r="AA37" i="178"/>
  <c r="X37" i="178"/>
  <c r="W37" i="178"/>
  <c r="U37" i="178"/>
  <c r="T37" i="178"/>
  <c r="R37" i="178"/>
  <c r="Q37" i="178"/>
  <c r="P37" i="178"/>
  <c r="M37" i="178"/>
  <c r="L37" i="178"/>
  <c r="J37" i="178"/>
  <c r="I37" i="178"/>
  <c r="G37" i="178"/>
  <c r="F37" i="178"/>
  <c r="E37" i="178"/>
  <c r="ED35" i="178"/>
  <c r="EC35" i="178"/>
  <c r="EA35" i="178"/>
  <c r="DZ35" i="178"/>
  <c r="DX35" i="178"/>
  <c r="DW35" i="178"/>
  <c r="DV35" i="178"/>
  <c r="DS35" i="178"/>
  <c r="DR35" i="178"/>
  <c r="DP35" i="178"/>
  <c r="DO35" i="178"/>
  <c r="DM35" i="178"/>
  <c r="DL35" i="178"/>
  <c r="DK35" i="178"/>
  <c r="DH35" i="178"/>
  <c r="DG35" i="178"/>
  <c r="DE35" i="178"/>
  <c r="DD35" i="178"/>
  <c r="DB35" i="178"/>
  <c r="DA35" i="178"/>
  <c r="CZ35" i="178"/>
  <c r="CW35" i="178"/>
  <c r="CV35" i="178"/>
  <c r="CT35" i="178"/>
  <c r="CS35" i="178"/>
  <c r="CQ35" i="178"/>
  <c r="CP35" i="178"/>
  <c r="CO35" i="178"/>
  <c r="CL35" i="178"/>
  <c r="CK35" i="178"/>
  <c r="CI35" i="178"/>
  <c r="CH35" i="178"/>
  <c r="CF35" i="178"/>
  <c r="CE35" i="178"/>
  <c r="CD35" i="178"/>
  <c r="CA35" i="178"/>
  <c r="BZ35" i="178"/>
  <c r="BX35" i="178"/>
  <c r="BW35" i="178"/>
  <c r="BU35" i="178"/>
  <c r="BT35" i="178"/>
  <c r="BS35" i="178"/>
  <c r="BP35" i="178"/>
  <c r="BO35" i="178"/>
  <c r="BM35" i="178"/>
  <c r="BL35" i="178"/>
  <c r="BJ35" i="178"/>
  <c r="BI35" i="178"/>
  <c r="BH35" i="178"/>
  <c r="BE35" i="178"/>
  <c r="BD35" i="178"/>
  <c r="BB35" i="178"/>
  <c r="BA35" i="178"/>
  <c r="AY35" i="178"/>
  <c r="AX35" i="178"/>
  <c r="AW35" i="178"/>
  <c r="AT35" i="178"/>
  <c r="AS35" i="178"/>
  <c r="AQ35" i="178"/>
  <c r="AP35" i="178"/>
  <c r="AN35" i="178"/>
  <c r="AM35" i="178"/>
  <c r="AL35" i="178"/>
  <c r="AI35" i="178"/>
  <c r="AH35" i="178"/>
  <c r="AF35" i="178"/>
  <c r="AE35" i="178"/>
  <c r="AC35" i="178"/>
  <c r="AB35" i="178"/>
  <c r="AA35" i="178"/>
  <c r="X35" i="178"/>
  <c r="W35" i="178"/>
  <c r="U35" i="178"/>
  <c r="T35" i="178"/>
  <c r="R35" i="178"/>
  <c r="Q35" i="178"/>
  <c r="P35" i="178"/>
  <c r="M35" i="178"/>
  <c r="L35" i="178"/>
  <c r="J35" i="178"/>
  <c r="I35" i="178"/>
  <c r="G35" i="178"/>
  <c r="F35" i="178"/>
  <c r="E35" i="178"/>
  <c r="ED32" i="178"/>
  <c r="EC32" i="178"/>
  <c r="EA32" i="178"/>
  <c r="DZ32" i="178"/>
  <c r="DX32" i="178"/>
  <c r="DW32" i="178"/>
  <c r="DV32" i="178"/>
  <c r="DS32" i="178"/>
  <c r="DR32" i="178"/>
  <c r="DP32" i="178"/>
  <c r="DO32" i="178"/>
  <c r="DM32" i="178"/>
  <c r="DL32" i="178"/>
  <c r="DK32" i="178"/>
  <c r="DH32" i="178"/>
  <c r="DG32" i="178"/>
  <c r="DE32" i="178"/>
  <c r="DD32" i="178"/>
  <c r="DB32" i="178"/>
  <c r="DA32" i="178"/>
  <c r="CZ32" i="178"/>
  <c r="CW32" i="178"/>
  <c r="CV32" i="178"/>
  <c r="CT32" i="178"/>
  <c r="CS32" i="178"/>
  <c r="CQ32" i="178"/>
  <c r="CP32" i="178"/>
  <c r="CO32" i="178"/>
  <c r="CL32" i="178"/>
  <c r="CK32" i="178"/>
  <c r="CI32" i="178"/>
  <c r="CH32" i="178"/>
  <c r="CF32" i="178"/>
  <c r="CE32" i="178"/>
  <c r="CD32" i="178"/>
  <c r="CA32" i="178"/>
  <c r="BZ32" i="178"/>
  <c r="BX32" i="178"/>
  <c r="BW32" i="178"/>
  <c r="BU32" i="178"/>
  <c r="BT32" i="178"/>
  <c r="BS32" i="178"/>
  <c r="BP32" i="178"/>
  <c r="BO32" i="178"/>
  <c r="BM32" i="178"/>
  <c r="BL32" i="178"/>
  <c r="BJ32" i="178"/>
  <c r="BI32" i="178"/>
  <c r="BH32" i="178"/>
  <c r="BE32" i="178"/>
  <c r="BD32" i="178"/>
  <c r="BB32" i="178"/>
  <c r="BA32" i="178"/>
  <c r="AY32" i="178"/>
  <c r="AX32" i="178"/>
  <c r="AW32" i="178"/>
  <c r="AT32" i="178"/>
  <c r="AS32" i="178"/>
  <c r="AQ32" i="178"/>
  <c r="AP32" i="178"/>
  <c r="AN32" i="178"/>
  <c r="AM32" i="178"/>
  <c r="AL32" i="178"/>
  <c r="AI32" i="178"/>
  <c r="AH32" i="178"/>
  <c r="AF32" i="178"/>
  <c r="AE32" i="178"/>
  <c r="AC32" i="178"/>
  <c r="AB32" i="178"/>
  <c r="AA32" i="178"/>
  <c r="X32" i="178"/>
  <c r="W32" i="178"/>
  <c r="U32" i="178"/>
  <c r="T32" i="178"/>
  <c r="R32" i="178"/>
  <c r="Q32" i="178"/>
  <c r="P32" i="178"/>
  <c r="M32" i="178"/>
  <c r="L32" i="178"/>
  <c r="J32" i="178"/>
  <c r="I32" i="178"/>
  <c r="G32" i="178"/>
  <c r="F32" i="178"/>
  <c r="E32" i="178"/>
  <c r="ED29" i="178"/>
  <c r="EC29" i="178"/>
  <c r="EA29" i="178"/>
  <c r="DZ29" i="178"/>
  <c r="DX29" i="178"/>
  <c r="DW29" i="178"/>
  <c r="DV29" i="178"/>
  <c r="DS29" i="178"/>
  <c r="DR29" i="178"/>
  <c r="DP29" i="178"/>
  <c r="DO29" i="178"/>
  <c r="DM29" i="178"/>
  <c r="DL29" i="178"/>
  <c r="DK29" i="178"/>
  <c r="DH29" i="178"/>
  <c r="DG29" i="178"/>
  <c r="DE29" i="178"/>
  <c r="DD29" i="178"/>
  <c r="DB29" i="178"/>
  <c r="DA29" i="178"/>
  <c r="CZ29" i="178"/>
  <c r="CW29" i="178"/>
  <c r="CV29" i="178"/>
  <c r="CT29" i="178"/>
  <c r="CS29" i="178"/>
  <c r="CQ29" i="178"/>
  <c r="CP29" i="178"/>
  <c r="CO29" i="178"/>
  <c r="CL29" i="178"/>
  <c r="CK29" i="178"/>
  <c r="CI29" i="178"/>
  <c r="CH29" i="178"/>
  <c r="CF29" i="178"/>
  <c r="CE29" i="178"/>
  <c r="CD29" i="178"/>
  <c r="CA29" i="178"/>
  <c r="BZ29" i="178"/>
  <c r="BX29" i="178"/>
  <c r="BW29" i="178"/>
  <c r="BU29" i="178"/>
  <c r="BT29" i="178"/>
  <c r="BS29" i="178"/>
  <c r="BP29" i="178"/>
  <c r="BO29" i="178"/>
  <c r="BM29" i="178"/>
  <c r="BL29" i="178"/>
  <c r="BJ29" i="178"/>
  <c r="BI29" i="178"/>
  <c r="BH29" i="178"/>
  <c r="BE29" i="178"/>
  <c r="BD29" i="178"/>
  <c r="BB29" i="178"/>
  <c r="BA29" i="178"/>
  <c r="AY29" i="178"/>
  <c r="AX29" i="178"/>
  <c r="AW29" i="178"/>
  <c r="AT29" i="178"/>
  <c r="AS29" i="178"/>
  <c r="AQ29" i="178"/>
  <c r="AP29" i="178"/>
  <c r="AN29" i="178"/>
  <c r="AM29" i="178"/>
  <c r="AL29" i="178"/>
  <c r="AI29" i="178"/>
  <c r="AH29" i="178"/>
  <c r="AF29" i="178"/>
  <c r="AE29" i="178"/>
  <c r="AC29" i="178"/>
  <c r="AB29" i="178"/>
  <c r="AA29" i="178"/>
  <c r="X29" i="178"/>
  <c r="W29" i="178"/>
  <c r="U29" i="178"/>
  <c r="T29" i="178"/>
  <c r="R29" i="178"/>
  <c r="Q29" i="178"/>
  <c r="P29" i="178"/>
  <c r="M29" i="178"/>
  <c r="L29" i="178"/>
  <c r="J29" i="178"/>
  <c r="I29" i="178"/>
  <c r="G29" i="178"/>
  <c r="F29" i="178"/>
  <c r="E29" i="178"/>
  <c r="ED28" i="178"/>
  <c r="EC28" i="178"/>
  <c r="EA28" i="178"/>
  <c r="DZ28" i="178"/>
  <c r="DX28" i="178"/>
  <c r="DW28" i="178"/>
  <c r="DV28" i="178"/>
  <c r="DS28" i="178"/>
  <c r="DR28" i="178"/>
  <c r="DP28" i="178"/>
  <c r="DO28" i="178"/>
  <c r="DM28" i="178"/>
  <c r="DL28" i="178"/>
  <c r="DK28" i="178"/>
  <c r="DH28" i="178"/>
  <c r="DG28" i="178"/>
  <c r="DE28" i="178"/>
  <c r="DD28" i="178"/>
  <c r="DB28" i="178"/>
  <c r="DA28" i="178"/>
  <c r="CZ28" i="178"/>
  <c r="CW28" i="178"/>
  <c r="CV28" i="178"/>
  <c r="CT28" i="178"/>
  <c r="CS28" i="178"/>
  <c r="CQ28" i="178"/>
  <c r="CP28" i="178"/>
  <c r="CO28" i="178"/>
  <c r="CL28" i="178"/>
  <c r="CK28" i="178"/>
  <c r="CI28" i="178"/>
  <c r="CH28" i="178"/>
  <c r="CF28" i="178"/>
  <c r="CE28" i="178"/>
  <c r="CD28" i="178"/>
  <c r="CA28" i="178"/>
  <c r="BZ28" i="178"/>
  <c r="BX28" i="178"/>
  <c r="BW28" i="178"/>
  <c r="BU28" i="178"/>
  <c r="BT28" i="178"/>
  <c r="BS28" i="178"/>
  <c r="BP28" i="178"/>
  <c r="BO28" i="178"/>
  <c r="BM28" i="178"/>
  <c r="BL28" i="178"/>
  <c r="BJ28" i="178"/>
  <c r="BI28" i="178"/>
  <c r="BH28" i="178"/>
  <c r="BE28" i="178"/>
  <c r="BD28" i="178"/>
  <c r="BB28" i="178"/>
  <c r="BA28" i="178"/>
  <c r="AY28" i="178"/>
  <c r="AX28" i="178"/>
  <c r="AW28" i="178"/>
  <c r="AT28" i="178"/>
  <c r="AS28" i="178"/>
  <c r="AQ28" i="178"/>
  <c r="AP28" i="178"/>
  <c r="AN28" i="178"/>
  <c r="AM28" i="178"/>
  <c r="AL28" i="178"/>
  <c r="AI28" i="178"/>
  <c r="AH28" i="178"/>
  <c r="AF28" i="178"/>
  <c r="AE28" i="178"/>
  <c r="AC28" i="178"/>
  <c r="AB28" i="178"/>
  <c r="AA28" i="178"/>
  <c r="X28" i="178"/>
  <c r="W28" i="178"/>
  <c r="U28" i="178"/>
  <c r="T28" i="178"/>
  <c r="R28" i="178"/>
  <c r="Q28" i="178"/>
  <c r="P28" i="178"/>
  <c r="M28" i="178"/>
  <c r="L28" i="178"/>
  <c r="J28" i="178"/>
  <c r="I28" i="178"/>
  <c r="G28" i="178"/>
  <c r="F28" i="178"/>
  <c r="E28" i="178"/>
  <c r="ED27" i="178"/>
  <c r="EC27" i="178"/>
  <c r="EA27" i="178"/>
  <c r="DZ27" i="178"/>
  <c r="DX27" i="178"/>
  <c r="DW27" i="178"/>
  <c r="DV27" i="178"/>
  <c r="DS27" i="178"/>
  <c r="DR27" i="178"/>
  <c r="DP27" i="178"/>
  <c r="DO27" i="178"/>
  <c r="DM27" i="178"/>
  <c r="DL27" i="178"/>
  <c r="DK27" i="178"/>
  <c r="DH27" i="178"/>
  <c r="DG27" i="178"/>
  <c r="DE27" i="178"/>
  <c r="DD27" i="178"/>
  <c r="DB27" i="178"/>
  <c r="DA27" i="178"/>
  <c r="CZ27" i="178"/>
  <c r="CW27" i="178"/>
  <c r="CV27" i="178"/>
  <c r="CT27" i="178"/>
  <c r="CS27" i="178"/>
  <c r="CQ27" i="178"/>
  <c r="CP27" i="178"/>
  <c r="CO27" i="178"/>
  <c r="CL27" i="178"/>
  <c r="CK27" i="178"/>
  <c r="CI27" i="178"/>
  <c r="CH27" i="178"/>
  <c r="CF27" i="178"/>
  <c r="CE27" i="178"/>
  <c r="CD27" i="178"/>
  <c r="CA27" i="178"/>
  <c r="BZ27" i="178"/>
  <c r="BX27" i="178"/>
  <c r="BW27" i="178"/>
  <c r="BU27" i="178"/>
  <c r="BT27" i="178"/>
  <c r="BS27" i="178"/>
  <c r="BP27" i="178"/>
  <c r="BO27" i="178"/>
  <c r="BM27" i="178"/>
  <c r="BL27" i="178"/>
  <c r="BJ27" i="178"/>
  <c r="BI27" i="178"/>
  <c r="BH27" i="178"/>
  <c r="BE27" i="178"/>
  <c r="BD27" i="178"/>
  <c r="BB27" i="178"/>
  <c r="BA27" i="178"/>
  <c r="AY27" i="178"/>
  <c r="AX27" i="178"/>
  <c r="AW27" i="178"/>
  <c r="AT27" i="178"/>
  <c r="AS27" i="178"/>
  <c r="AQ27" i="178"/>
  <c r="AP27" i="178"/>
  <c r="AN27" i="178"/>
  <c r="AM27" i="178"/>
  <c r="AL27" i="178"/>
  <c r="AI27" i="178"/>
  <c r="AH27" i="178"/>
  <c r="AF27" i="178"/>
  <c r="AE27" i="178"/>
  <c r="AC27" i="178"/>
  <c r="AB27" i="178"/>
  <c r="AA27" i="178"/>
  <c r="X27" i="178"/>
  <c r="W27" i="178"/>
  <c r="U27" i="178"/>
  <c r="T27" i="178"/>
  <c r="R27" i="178"/>
  <c r="Q27" i="178"/>
  <c r="P27" i="178"/>
  <c r="M27" i="178"/>
  <c r="L27" i="178"/>
  <c r="J27" i="178"/>
  <c r="I27" i="178"/>
  <c r="G27" i="178"/>
  <c r="F27" i="178"/>
  <c r="E27" i="178"/>
  <c r="ED26" i="178"/>
  <c r="EC26" i="178"/>
  <c r="EA26" i="178"/>
  <c r="DZ26" i="178"/>
  <c r="DX26" i="178"/>
  <c r="DW26" i="178"/>
  <c r="DV26" i="178"/>
  <c r="DS26" i="178"/>
  <c r="DR26" i="178"/>
  <c r="DP26" i="178"/>
  <c r="DO26" i="178"/>
  <c r="DM26" i="178"/>
  <c r="DL26" i="178"/>
  <c r="DK26" i="178"/>
  <c r="DH26" i="178"/>
  <c r="DG26" i="178"/>
  <c r="DE26" i="178"/>
  <c r="DD26" i="178"/>
  <c r="DB26" i="178"/>
  <c r="DA26" i="178"/>
  <c r="CZ26" i="178"/>
  <c r="CW26" i="178"/>
  <c r="CV26" i="178"/>
  <c r="CT26" i="178"/>
  <c r="CS26" i="178"/>
  <c r="CQ26" i="178"/>
  <c r="CP26" i="178"/>
  <c r="CO26" i="178"/>
  <c r="CL26" i="178"/>
  <c r="CK26" i="178"/>
  <c r="CI26" i="178"/>
  <c r="CH26" i="178"/>
  <c r="CF26" i="178"/>
  <c r="CE26" i="178"/>
  <c r="CD26" i="178"/>
  <c r="CA26" i="178"/>
  <c r="BZ26" i="178"/>
  <c r="BX26" i="178"/>
  <c r="BW26" i="178"/>
  <c r="BU26" i="178"/>
  <c r="BT26" i="178"/>
  <c r="BS26" i="178"/>
  <c r="BP26" i="178"/>
  <c r="BO26" i="178"/>
  <c r="BM26" i="178"/>
  <c r="BL26" i="178"/>
  <c r="BJ26" i="178"/>
  <c r="BI26" i="178"/>
  <c r="BH26" i="178"/>
  <c r="BE26" i="178"/>
  <c r="BD26" i="178"/>
  <c r="BB26" i="178"/>
  <c r="BA26" i="178"/>
  <c r="AY26" i="178"/>
  <c r="AX26" i="178"/>
  <c r="AW26" i="178"/>
  <c r="AT26" i="178"/>
  <c r="AS26" i="178"/>
  <c r="AQ26" i="178"/>
  <c r="AP26" i="178"/>
  <c r="AN26" i="178"/>
  <c r="AM26" i="178"/>
  <c r="AL26" i="178"/>
  <c r="AI26" i="178"/>
  <c r="AH26" i="178"/>
  <c r="AF26" i="178"/>
  <c r="AE26" i="178"/>
  <c r="AC26" i="178"/>
  <c r="AB26" i="178"/>
  <c r="AA26" i="178"/>
  <c r="X26" i="178"/>
  <c r="W26" i="178"/>
  <c r="U26" i="178"/>
  <c r="T26" i="178"/>
  <c r="R26" i="178"/>
  <c r="Q26" i="178"/>
  <c r="P26" i="178"/>
  <c r="M26" i="178"/>
  <c r="L26" i="178"/>
  <c r="J26" i="178"/>
  <c r="I26" i="178"/>
  <c r="G26" i="178"/>
  <c r="F26" i="178"/>
  <c r="E26" i="178"/>
  <c r="ED25" i="178"/>
  <c r="EC25" i="178"/>
  <c r="EA25" i="178"/>
  <c r="DZ25" i="178"/>
  <c r="DX25" i="178"/>
  <c r="DW25" i="178"/>
  <c r="DV25" i="178"/>
  <c r="DS25" i="178"/>
  <c r="DR25" i="178"/>
  <c r="DP25" i="178"/>
  <c r="DO25" i="178"/>
  <c r="DM25" i="178"/>
  <c r="DL25" i="178"/>
  <c r="DK25" i="178"/>
  <c r="DH25" i="178"/>
  <c r="DG25" i="178"/>
  <c r="DE25" i="178"/>
  <c r="DD25" i="178"/>
  <c r="DB25" i="178"/>
  <c r="DA25" i="178"/>
  <c r="CZ25" i="178"/>
  <c r="CW25" i="178"/>
  <c r="CV25" i="178"/>
  <c r="CT25" i="178"/>
  <c r="CS25" i="178"/>
  <c r="CQ25" i="178"/>
  <c r="CP25" i="178"/>
  <c r="CO25" i="178"/>
  <c r="CL25" i="178"/>
  <c r="CK25" i="178"/>
  <c r="CI25" i="178"/>
  <c r="CH25" i="178"/>
  <c r="CF25" i="178"/>
  <c r="CE25" i="178"/>
  <c r="CD25" i="178"/>
  <c r="CA25" i="178"/>
  <c r="BZ25" i="178"/>
  <c r="BX25" i="178"/>
  <c r="BW25" i="178"/>
  <c r="BU25" i="178"/>
  <c r="BT25" i="178"/>
  <c r="BS25" i="178"/>
  <c r="BP25" i="178"/>
  <c r="BO25" i="178"/>
  <c r="BM25" i="178"/>
  <c r="BL25" i="178"/>
  <c r="BJ25" i="178"/>
  <c r="BI25" i="178"/>
  <c r="BH25" i="178"/>
  <c r="BE25" i="178"/>
  <c r="BD25" i="178"/>
  <c r="BB25" i="178"/>
  <c r="BA25" i="178"/>
  <c r="AY25" i="178"/>
  <c r="AX25" i="178"/>
  <c r="AW25" i="178"/>
  <c r="AT25" i="178"/>
  <c r="AS25" i="178"/>
  <c r="AQ25" i="178"/>
  <c r="AP25" i="178"/>
  <c r="AN25" i="178"/>
  <c r="AM25" i="178"/>
  <c r="AL25" i="178"/>
  <c r="AI25" i="178"/>
  <c r="AH25" i="178"/>
  <c r="AF25" i="178"/>
  <c r="AE25" i="178"/>
  <c r="AC25" i="178"/>
  <c r="AB25" i="178"/>
  <c r="AA25" i="178"/>
  <c r="X25" i="178"/>
  <c r="W25" i="178"/>
  <c r="U25" i="178"/>
  <c r="T25" i="178"/>
  <c r="R25" i="178"/>
  <c r="Q25" i="178"/>
  <c r="P25" i="178"/>
  <c r="M25" i="178"/>
  <c r="L25" i="178"/>
  <c r="J25" i="178"/>
  <c r="I25" i="178"/>
  <c r="G25" i="178"/>
  <c r="F25" i="178"/>
  <c r="E25" i="178"/>
  <c r="ED24" i="178"/>
  <c r="EC24" i="178"/>
  <c r="EA24" i="178"/>
  <c r="DZ24" i="178"/>
  <c r="DX24" i="178"/>
  <c r="DW24" i="178"/>
  <c r="DV24" i="178"/>
  <c r="DS24" i="178"/>
  <c r="DR24" i="178"/>
  <c r="DP24" i="178"/>
  <c r="DO24" i="178"/>
  <c r="DM24" i="178"/>
  <c r="DL24" i="178"/>
  <c r="DK24" i="178"/>
  <c r="DH24" i="178"/>
  <c r="DG24" i="178"/>
  <c r="DE24" i="178"/>
  <c r="DD24" i="178"/>
  <c r="DB24" i="178"/>
  <c r="DA24" i="178"/>
  <c r="CZ24" i="178"/>
  <c r="CW24" i="178"/>
  <c r="CV24" i="178"/>
  <c r="CT24" i="178"/>
  <c r="CS24" i="178"/>
  <c r="CQ24" i="178"/>
  <c r="CP24" i="178"/>
  <c r="CO24" i="178"/>
  <c r="CL24" i="178"/>
  <c r="CK24" i="178"/>
  <c r="CI24" i="178"/>
  <c r="CH24" i="178"/>
  <c r="CF24" i="178"/>
  <c r="CE24" i="178"/>
  <c r="CD24" i="178"/>
  <c r="CA24" i="178"/>
  <c r="BZ24" i="178"/>
  <c r="BX24" i="178"/>
  <c r="BW24" i="178"/>
  <c r="BU24" i="178"/>
  <c r="BT24" i="178"/>
  <c r="BS24" i="178"/>
  <c r="BP24" i="178"/>
  <c r="BO24" i="178"/>
  <c r="BM24" i="178"/>
  <c r="BL24" i="178"/>
  <c r="BJ24" i="178"/>
  <c r="BI24" i="178"/>
  <c r="BH24" i="178"/>
  <c r="BE24" i="178"/>
  <c r="BD24" i="178"/>
  <c r="BB24" i="178"/>
  <c r="BA24" i="178"/>
  <c r="AY24" i="178"/>
  <c r="AX24" i="178"/>
  <c r="AW24" i="178"/>
  <c r="AT24" i="178"/>
  <c r="AS24" i="178"/>
  <c r="AQ24" i="178"/>
  <c r="AP24" i="178"/>
  <c r="AN24" i="178"/>
  <c r="AM24" i="178"/>
  <c r="AL24" i="178"/>
  <c r="AI24" i="178"/>
  <c r="AH24" i="178"/>
  <c r="AF24" i="178"/>
  <c r="AE24" i="178"/>
  <c r="AC24" i="178"/>
  <c r="AB24" i="178"/>
  <c r="AA24" i="178"/>
  <c r="X24" i="178"/>
  <c r="W24" i="178"/>
  <c r="U24" i="178"/>
  <c r="T24" i="178"/>
  <c r="R24" i="178"/>
  <c r="Q24" i="178"/>
  <c r="P24" i="178"/>
  <c r="M24" i="178"/>
  <c r="L24" i="178"/>
  <c r="J24" i="178"/>
  <c r="I24" i="178"/>
  <c r="G24" i="178"/>
  <c r="F24" i="178"/>
  <c r="E24" i="178"/>
  <c r="ED23" i="178"/>
  <c r="EC23" i="178"/>
  <c r="EA23" i="178"/>
  <c r="DZ23" i="178"/>
  <c r="DX23" i="178"/>
  <c r="DW23" i="178"/>
  <c r="DV23" i="178"/>
  <c r="DS23" i="178"/>
  <c r="DR23" i="178"/>
  <c r="DP23" i="178"/>
  <c r="DO23" i="178"/>
  <c r="DM23" i="178"/>
  <c r="DL23" i="178"/>
  <c r="DK23" i="178"/>
  <c r="DH23" i="178"/>
  <c r="DG23" i="178"/>
  <c r="DE23" i="178"/>
  <c r="DD23" i="178"/>
  <c r="DB23" i="178"/>
  <c r="DA23" i="178"/>
  <c r="CZ23" i="178"/>
  <c r="CW23" i="178"/>
  <c r="CV23" i="178"/>
  <c r="CT23" i="178"/>
  <c r="CS23" i="178"/>
  <c r="CQ23" i="178"/>
  <c r="CP23" i="178"/>
  <c r="CO23" i="178"/>
  <c r="CL23" i="178"/>
  <c r="CK23" i="178"/>
  <c r="CI23" i="178"/>
  <c r="CH23" i="178"/>
  <c r="CF23" i="178"/>
  <c r="CE23" i="178"/>
  <c r="CD23" i="178"/>
  <c r="CA23" i="178"/>
  <c r="BZ23" i="178"/>
  <c r="BX23" i="178"/>
  <c r="BW23" i="178"/>
  <c r="BU23" i="178"/>
  <c r="BT23" i="178"/>
  <c r="BS23" i="178"/>
  <c r="BP23" i="178"/>
  <c r="BO23" i="178"/>
  <c r="BM23" i="178"/>
  <c r="BL23" i="178"/>
  <c r="BJ23" i="178"/>
  <c r="BI23" i="178"/>
  <c r="BH23" i="178"/>
  <c r="BE23" i="178"/>
  <c r="BD23" i="178"/>
  <c r="BB23" i="178"/>
  <c r="BA23" i="178"/>
  <c r="AY23" i="178"/>
  <c r="AX23" i="178"/>
  <c r="AW23" i="178"/>
  <c r="AT23" i="178"/>
  <c r="AS23" i="178"/>
  <c r="AQ23" i="178"/>
  <c r="AP23" i="178"/>
  <c r="AN23" i="178"/>
  <c r="AM23" i="178"/>
  <c r="AL23" i="178"/>
  <c r="AI23" i="178"/>
  <c r="AH23" i="178"/>
  <c r="AF23" i="178"/>
  <c r="AE23" i="178"/>
  <c r="AC23" i="178"/>
  <c r="AB23" i="178"/>
  <c r="AA23" i="178"/>
  <c r="X23" i="178"/>
  <c r="W23" i="178"/>
  <c r="U23" i="178"/>
  <c r="T23" i="178"/>
  <c r="R23" i="178"/>
  <c r="Q23" i="178"/>
  <c r="P23" i="178"/>
  <c r="M23" i="178"/>
  <c r="L23" i="178"/>
  <c r="J23" i="178"/>
  <c r="I23" i="178"/>
  <c r="G23" i="178"/>
  <c r="F23" i="178"/>
  <c r="E23" i="178"/>
  <c r="ED22" i="178"/>
  <c r="EC22" i="178"/>
  <c r="EA22" i="178"/>
  <c r="DZ22" i="178"/>
  <c r="DX22" i="178"/>
  <c r="DW22" i="178"/>
  <c r="DV22" i="178"/>
  <c r="DS22" i="178"/>
  <c r="DR22" i="178"/>
  <c r="DP22" i="178"/>
  <c r="DO22" i="178"/>
  <c r="DM22" i="178"/>
  <c r="DL22" i="178"/>
  <c r="DK22" i="178"/>
  <c r="DH22" i="178"/>
  <c r="DG22" i="178"/>
  <c r="DE22" i="178"/>
  <c r="DD22" i="178"/>
  <c r="DB22" i="178"/>
  <c r="DA22" i="178"/>
  <c r="CZ22" i="178"/>
  <c r="CW22" i="178"/>
  <c r="CV22" i="178"/>
  <c r="CT22" i="178"/>
  <c r="CS22" i="178"/>
  <c r="CQ22" i="178"/>
  <c r="CP22" i="178"/>
  <c r="CO22" i="178"/>
  <c r="CL22" i="178"/>
  <c r="CK22" i="178"/>
  <c r="CI22" i="178"/>
  <c r="CH22" i="178"/>
  <c r="CF22" i="178"/>
  <c r="CE22" i="178"/>
  <c r="CD22" i="178"/>
  <c r="CA22" i="178"/>
  <c r="BZ22" i="178"/>
  <c r="BX22" i="178"/>
  <c r="BW22" i="178"/>
  <c r="BU22" i="178"/>
  <c r="BT22" i="178"/>
  <c r="BS22" i="178"/>
  <c r="BP22" i="178"/>
  <c r="BO22" i="178"/>
  <c r="BM22" i="178"/>
  <c r="BL22" i="178"/>
  <c r="BJ22" i="178"/>
  <c r="BI22" i="178"/>
  <c r="BH22" i="178"/>
  <c r="BE22" i="178"/>
  <c r="BD22" i="178"/>
  <c r="BB22" i="178"/>
  <c r="BA22" i="178"/>
  <c r="AY22" i="178"/>
  <c r="AX22" i="178"/>
  <c r="AW22" i="178"/>
  <c r="AT22" i="178"/>
  <c r="AS22" i="178"/>
  <c r="AQ22" i="178"/>
  <c r="AP22" i="178"/>
  <c r="AN22" i="178"/>
  <c r="AM22" i="178"/>
  <c r="AL22" i="178"/>
  <c r="AI22" i="178"/>
  <c r="AH22" i="178"/>
  <c r="AF22" i="178"/>
  <c r="AE22" i="178"/>
  <c r="AC22" i="178"/>
  <c r="AB22" i="178"/>
  <c r="AA22" i="178"/>
  <c r="X22" i="178"/>
  <c r="W22" i="178"/>
  <c r="U22" i="178"/>
  <c r="T22" i="178"/>
  <c r="R22" i="178"/>
  <c r="Q22" i="178"/>
  <c r="P22" i="178"/>
  <c r="M22" i="178"/>
  <c r="L22" i="178"/>
  <c r="J22" i="178"/>
  <c r="I22" i="178"/>
  <c r="G22" i="178"/>
  <c r="F22" i="178"/>
  <c r="E22" i="178"/>
  <c r="ED21" i="178"/>
  <c r="EC21" i="178"/>
  <c r="EA21" i="178"/>
  <c r="DZ21" i="178"/>
  <c r="DX21" i="178"/>
  <c r="DW21" i="178"/>
  <c r="DV21" i="178"/>
  <c r="DS21" i="178"/>
  <c r="DR21" i="178"/>
  <c r="DP21" i="178"/>
  <c r="DO21" i="178"/>
  <c r="DM21" i="178"/>
  <c r="DL21" i="178"/>
  <c r="DK21" i="178"/>
  <c r="DH21" i="178"/>
  <c r="DG21" i="178"/>
  <c r="DE21" i="178"/>
  <c r="DD21" i="178"/>
  <c r="DB21" i="178"/>
  <c r="DA21" i="178"/>
  <c r="CZ21" i="178"/>
  <c r="CW21" i="178"/>
  <c r="CV21" i="178"/>
  <c r="CT21" i="178"/>
  <c r="CS21" i="178"/>
  <c r="CQ21" i="178"/>
  <c r="CP21" i="178"/>
  <c r="CO21" i="178"/>
  <c r="CL21" i="178"/>
  <c r="CK21" i="178"/>
  <c r="CI21" i="178"/>
  <c r="CH21" i="178"/>
  <c r="CF21" i="178"/>
  <c r="CE21" i="178"/>
  <c r="CD21" i="178"/>
  <c r="CA21" i="178"/>
  <c r="BZ21" i="178"/>
  <c r="BX21" i="178"/>
  <c r="BW21" i="178"/>
  <c r="BU21" i="178"/>
  <c r="BT21" i="178"/>
  <c r="BS21" i="178"/>
  <c r="BP21" i="178"/>
  <c r="BO21" i="178"/>
  <c r="BM21" i="178"/>
  <c r="BL21" i="178"/>
  <c r="BJ21" i="178"/>
  <c r="BI21" i="178"/>
  <c r="BH21" i="178"/>
  <c r="BE21" i="178"/>
  <c r="BD21" i="178"/>
  <c r="BB21" i="178"/>
  <c r="BA21" i="178"/>
  <c r="AY21" i="178"/>
  <c r="AX21" i="178"/>
  <c r="AW21" i="178"/>
  <c r="AT21" i="178"/>
  <c r="AS21" i="178"/>
  <c r="AQ21" i="178"/>
  <c r="AP21" i="178"/>
  <c r="AN21" i="178"/>
  <c r="AM21" i="178"/>
  <c r="AL21" i="178"/>
  <c r="AI21" i="178"/>
  <c r="AH21" i="178"/>
  <c r="AF21" i="178"/>
  <c r="AE21" i="178"/>
  <c r="AC21" i="178"/>
  <c r="AB21" i="178"/>
  <c r="AA21" i="178"/>
  <c r="X21" i="178"/>
  <c r="W21" i="178"/>
  <c r="U21" i="178"/>
  <c r="T21" i="178"/>
  <c r="R21" i="178"/>
  <c r="Q21" i="178"/>
  <c r="P21" i="178"/>
  <c r="M21" i="178"/>
  <c r="L21" i="178"/>
  <c r="J21" i="178"/>
  <c r="I21" i="178"/>
  <c r="G21" i="178"/>
  <c r="F21" i="178"/>
  <c r="E21" i="178"/>
  <c r="ED20" i="178"/>
  <c r="EC20" i="178"/>
  <c r="EA20" i="178"/>
  <c r="DZ20" i="178"/>
  <c r="DX20" i="178"/>
  <c r="DW20" i="178"/>
  <c r="DV20" i="178"/>
  <c r="DS20" i="178"/>
  <c r="DR20" i="178"/>
  <c r="DP20" i="178"/>
  <c r="DO20" i="178"/>
  <c r="DM20" i="178"/>
  <c r="DL20" i="178"/>
  <c r="DK20" i="178"/>
  <c r="DH20" i="178"/>
  <c r="DG20" i="178"/>
  <c r="DE20" i="178"/>
  <c r="DD20" i="178"/>
  <c r="DB20" i="178"/>
  <c r="DA20" i="178"/>
  <c r="CZ20" i="178"/>
  <c r="CW20" i="178"/>
  <c r="CV20" i="178"/>
  <c r="CT20" i="178"/>
  <c r="CS20" i="178"/>
  <c r="CQ20" i="178"/>
  <c r="CP20" i="178"/>
  <c r="CO20" i="178"/>
  <c r="CL20" i="178"/>
  <c r="CK20" i="178"/>
  <c r="CI20" i="178"/>
  <c r="CH20" i="178"/>
  <c r="CF20" i="178"/>
  <c r="CE20" i="178"/>
  <c r="CD20" i="178"/>
  <c r="CA20" i="178"/>
  <c r="BZ20" i="178"/>
  <c r="BX20" i="178"/>
  <c r="BW20" i="178"/>
  <c r="BU20" i="178"/>
  <c r="BT20" i="178"/>
  <c r="BS20" i="178"/>
  <c r="BP20" i="178"/>
  <c r="BO20" i="178"/>
  <c r="BM20" i="178"/>
  <c r="BL20" i="178"/>
  <c r="BJ20" i="178"/>
  <c r="BI20" i="178"/>
  <c r="BH20" i="178"/>
  <c r="BE20" i="178"/>
  <c r="BD20" i="178"/>
  <c r="BB20" i="178"/>
  <c r="BA20" i="178"/>
  <c r="AY20" i="178"/>
  <c r="AX20" i="178"/>
  <c r="AW20" i="178"/>
  <c r="AT20" i="178"/>
  <c r="AS20" i="178"/>
  <c r="AQ20" i="178"/>
  <c r="AP20" i="178"/>
  <c r="AN20" i="178"/>
  <c r="AM20" i="178"/>
  <c r="AL20" i="178"/>
  <c r="AI20" i="178"/>
  <c r="AH20" i="178"/>
  <c r="AF20" i="178"/>
  <c r="AE20" i="178"/>
  <c r="AC20" i="178"/>
  <c r="AB20" i="178"/>
  <c r="AA20" i="178"/>
  <c r="X20" i="178"/>
  <c r="W20" i="178"/>
  <c r="U20" i="178"/>
  <c r="T20" i="178"/>
  <c r="R20" i="178"/>
  <c r="Q20" i="178"/>
  <c r="P20" i="178"/>
  <c r="M20" i="178"/>
  <c r="L20" i="178"/>
  <c r="J20" i="178"/>
  <c r="I20" i="178"/>
  <c r="G20" i="178"/>
  <c r="F20" i="178"/>
  <c r="E20" i="178"/>
  <c r="ED19" i="178"/>
  <c r="EC19" i="178"/>
  <c r="EA19" i="178"/>
  <c r="DZ19" i="178"/>
  <c r="DX19" i="178"/>
  <c r="DW19" i="178"/>
  <c r="DV19" i="178"/>
  <c r="DS19" i="178"/>
  <c r="DR19" i="178"/>
  <c r="DP19" i="178"/>
  <c r="DO19" i="178"/>
  <c r="DM19" i="178"/>
  <c r="DL19" i="178"/>
  <c r="DK19" i="178"/>
  <c r="DH19" i="178"/>
  <c r="DG19" i="178"/>
  <c r="DE19" i="178"/>
  <c r="DD19" i="178"/>
  <c r="DB19" i="178"/>
  <c r="DA19" i="178"/>
  <c r="CZ19" i="178"/>
  <c r="CW19" i="178"/>
  <c r="CV19" i="178"/>
  <c r="CT19" i="178"/>
  <c r="CS19" i="178"/>
  <c r="CQ19" i="178"/>
  <c r="CP19" i="178"/>
  <c r="CO19" i="178"/>
  <c r="CL19" i="178"/>
  <c r="CK19" i="178"/>
  <c r="CI19" i="178"/>
  <c r="CH19" i="178"/>
  <c r="CF19" i="178"/>
  <c r="CE19" i="178"/>
  <c r="CD19" i="178"/>
  <c r="CA19" i="178"/>
  <c r="BZ19" i="178"/>
  <c r="BX19" i="178"/>
  <c r="BW19" i="178"/>
  <c r="BU19" i="178"/>
  <c r="BT19" i="178"/>
  <c r="BS19" i="178"/>
  <c r="BP19" i="178"/>
  <c r="BO19" i="178"/>
  <c r="BM19" i="178"/>
  <c r="BL19" i="178"/>
  <c r="BJ19" i="178"/>
  <c r="BI19" i="178"/>
  <c r="BH19" i="178"/>
  <c r="BE19" i="178"/>
  <c r="BD19" i="178"/>
  <c r="BB19" i="178"/>
  <c r="BA19" i="178"/>
  <c r="AY19" i="178"/>
  <c r="AX19" i="178"/>
  <c r="AW19" i="178"/>
  <c r="AT19" i="178"/>
  <c r="AS19" i="178"/>
  <c r="AQ19" i="178"/>
  <c r="AP19" i="178"/>
  <c r="AN19" i="178"/>
  <c r="AM19" i="178"/>
  <c r="AL19" i="178"/>
  <c r="AI19" i="178"/>
  <c r="AH19" i="178"/>
  <c r="AF19" i="178"/>
  <c r="AE19" i="178"/>
  <c r="AC19" i="178"/>
  <c r="AB19" i="178"/>
  <c r="AA19" i="178"/>
  <c r="X19" i="178"/>
  <c r="W19" i="178"/>
  <c r="U19" i="178"/>
  <c r="T19" i="178"/>
  <c r="R19" i="178"/>
  <c r="Q19" i="178"/>
  <c r="P19" i="178"/>
  <c r="M19" i="178"/>
  <c r="L19" i="178"/>
  <c r="J19" i="178"/>
  <c r="I19" i="178"/>
  <c r="G19" i="178"/>
  <c r="F19" i="178"/>
  <c r="E19" i="178"/>
  <c r="ED18" i="178"/>
  <c r="EC18" i="178"/>
  <c r="EA18" i="178"/>
  <c r="DZ18" i="178"/>
  <c r="DX18" i="178"/>
  <c r="DW18" i="178"/>
  <c r="DV18" i="178"/>
  <c r="DS18" i="178"/>
  <c r="DR18" i="178"/>
  <c r="DP18" i="178"/>
  <c r="DO18" i="178"/>
  <c r="DM18" i="178"/>
  <c r="DL18" i="178"/>
  <c r="DK18" i="178"/>
  <c r="DH18" i="178"/>
  <c r="DG18" i="178"/>
  <c r="DE18" i="178"/>
  <c r="DD18" i="178"/>
  <c r="DB18" i="178"/>
  <c r="DA18" i="178"/>
  <c r="CZ18" i="178"/>
  <c r="CW18" i="178"/>
  <c r="CV18" i="178"/>
  <c r="CT18" i="178"/>
  <c r="CS18" i="178"/>
  <c r="CQ18" i="178"/>
  <c r="CP18" i="178"/>
  <c r="CO18" i="178"/>
  <c r="CL18" i="178"/>
  <c r="CK18" i="178"/>
  <c r="CI18" i="178"/>
  <c r="CH18" i="178"/>
  <c r="CF18" i="178"/>
  <c r="CE18" i="178"/>
  <c r="CD18" i="178"/>
  <c r="CA18" i="178"/>
  <c r="BZ18" i="178"/>
  <c r="BX18" i="178"/>
  <c r="BW18" i="178"/>
  <c r="BU18" i="178"/>
  <c r="BT18" i="178"/>
  <c r="BS18" i="178"/>
  <c r="BP18" i="178"/>
  <c r="BO18" i="178"/>
  <c r="BM18" i="178"/>
  <c r="BL18" i="178"/>
  <c r="BJ18" i="178"/>
  <c r="BI18" i="178"/>
  <c r="BH18" i="178"/>
  <c r="BE18" i="178"/>
  <c r="BD18" i="178"/>
  <c r="BB18" i="178"/>
  <c r="BA18" i="178"/>
  <c r="AY18" i="178"/>
  <c r="AX18" i="178"/>
  <c r="AW18" i="178"/>
  <c r="AT18" i="178"/>
  <c r="AS18" i="178"/>
  <c r="AQ18" i="178"/>
  <c r="AP18" i="178"/>
  <c r="AN18" i="178"/>
  <c r="AM18" i="178"/>
  <c r="AL18" i="178"/>
  <c r="AI18" i="178"/>
  <c r="AH18" i="178"/>
  <c r="AF18" i="178"/>
  <c r="AE18" i="178"/>
  <c r="AC18" i="178"/>
  <c r="AB18" i="178"/>
  <c r="AA18" i="178"/>
  <c r="X18" i="178"/>
  <c r="W18" i="178"/>
  <c r="U18" i="178"/>
  <c r="T18" i="178"/>
  <c r="R18" i="178"/>
  <c r="Q18" i="178"/>
  <c r="P18" i="178"/>
  <c r="M18" i="178"/>
  <c r="L18" i="178"/>
  <c r="J18" i="178"/>
  <c r="I18" i="178"/>
  <c r="G18" i="178"/>
  <c r="F18" i="178"/>
  <c r="E18" i="178"/>
  <c r="ED17" i="178"/>
  <c r="EC17" i="178"/>
  <c r="EA17" i="178"/>
  <c r="DZ17" i="178"/>
  <c r="DX17" i="178"/>
  <c r="DW17" i="178"/>
  <c r="DV17" i="178"/>
  <c r="DS17" i="178"/>
  <c r="DR17" i="178"/>
  <c r="DP17" i="178"/>
  <c r="DO17" i="178"/>
  <c r="DM17" i="178"/>
  <c r="DL17" i="178"/>
  <c r="DK17" i="178"/>
  <c r="DH17" i="178"/>
  <c r="DG17" i="178"/>
  <c r="DE17" i="178"/>
  <c r="DD17" i="178"/>
  <c r="DB17" i="178"/>
  <c r="DA17" i="178"/>
  <c r="CZ17" i="178"/>
  <c r="CW17" i="178"/>
  <c r="CV17" i="178"/>
  <c r="CT17" i="178"/>
  <c r="CS17" i="178"/>
  <c r="CQ17" i="178"/>
  <c r="CP17" i="178"/>
  <c r="CO17" i="178"/>
  <c r="CL17" i="178"/>
  <c r="CK17" i="178"/>
  <c r="CI17" i="178"/>
  <c r="CH17" i="178"/>
  <c r="CF17" i="178"/>
  <c r="CE17" i="178"/>
  <c r="CD17" i="178"/>
  <c r="CA17" i="178"/>
  <c r="BZ17" i="178"/>
  <c r="BX17" i="178"/>
  <c r="BW17" i="178"/>
  <c r="BU17" i="178"/>
  <c r="BT17" i="178"/>
  <c r="BS17" i="178"/>
  <c r="BP17" i="178"/>
  <c r="BO17" i="178"/>
  <c r="BM17" i="178"/>
  <c r="BL17" i="178"/>
  <c r="BJ17" i="178"/>
  <c r="BI17" i="178"/>
  <c r="BH17" i="178"/>
  <c r="BE17" i="178"/>
  <c r="BD17" i="178"/>
  <c r="BB17" i="178"/>
  <c r="BA17" i="178"/>
  <c r="AY17" i="178"/>
  <c r="AX17" i="178"/>
  <c r="AW17" i="178"/>
  <c r="AT17" i="178"/>
  <c r="AS17" i="178"/>
  <c r="AQ17" i="178"/>
  <c r="AP17" i="178"/>
  <c r="AN17" i="178"/>
  <c r="AM17" i="178"/>
  <c r="AL17" i="178"/>
  <c r="AI17" i="178"/>
  <c r="AH17" i="178"/>
  <c r="AF17" i="178"/>
  <c r="AE17" i="178"/>
  <c r="AC17" i="178"/>
  <c r="AB17" i="178"/>
  <c r="AA17" i="178"/>
  <c r="X17" i="178"/>
  <c r="W17" i="178"/>
  <c r="U17" i="178"/>
  <c r="T17" i="178"/>
  <c r="R17" i="178"/>
  <c r="Q17" i="178"/>
  <c r="P17" i="178"/>
  <c r="M17" i="178"/>
  <c r="L17" i="178"/>
  <c r="J17" i="178"/>
  <c r="I17" i="178"/>
  <c r="G17" i="178"/>
  <c r="F17" i="178"/>
  <c r="E17" i="178"/>
  <c r="ED16" i="178"/>
  <c r="EC16" i="178"/>
  <c r="EA16" i="178"/>
  <c r="DZ16" i="178"/>
  <c r="DX16" i="178"/>
  <c r="DW16" i="178"/>
  <c r="DV16" i="178"/>
  <c r="DS16" i="178"/>
  <c r="DR16" i="178"/>
  <c r="DP16" i="178"/>
  <c r="DO16" i="178"/>
  <c r="DM16" i="178"/>
  <c r="DL16" i="178"/>
  <c r="DK16" i="178"/>
  <c r="DH16" i="178"/>
  <c r="DG16" i="178"/>
  <c r="DE16" i="178"/>
  <c r="DD16" i="178"/>
  <c r="DB16" i="178"/>
  <c r="DA16" i="178"/>
  <c r="CZ16" i="178"/>
  <c r="CW16" i="178"/>
  <c r="CV16" i="178"/>
  <c r="CT16" i="178"/>
  <c r="CS16" i="178"/>
  <c r="CQ16" i="178"/>
  <c r="CP16" i="178"/>
  <c r="CO16" i="178"/>
  <c r="CL16" i="178"/>
  <c r="CK16" i="178"/>
  <c r="CI16" i="178"/>
  <c r="CH16" i="178"/>
  <c r="CF16" i="178"/>
  <c r="CE16" i="178"/>
  <c r="CD16" i="178"/>
  <c r="CA16" i="178"/>
  <c r="BZ16" i="178"/>
  <c r="BX16" i="178"/>
  <c r="BW16" i="178"/>
  <c r="BU16" i="178"/>
  <c r="BT16" i="178"/>
  <c r="BS16" i="178"/>
  <c r="BP16" i="178"/>
  <c r="BO16" i="178"/>
  <c r="BM16" i="178"/>
  <c r="BL16" i="178"/>
  <c r="BJ16" i="178"/>
  <c r="BI16" i="178"/>
  <c r="BH16" i="178"/>
  <c r="BE16" i="178"/>
  <c r="BD16" i="178"/>
  <c r="BB16" i="178"/>
  <c r="BA16" i="178"/>
  <c r="AY16" i="178"/>
  <c r="AX16" i="178"/>
  <c r="AW16" i="178"/>
  <c r="AT16" i="178"/>
  <c r="AS16" i="178"/>
  <c r="AQ16" i="178"/>
  <c r="AP16" i="178"/>
  <c r="AN16" i="178"/>
  <c r="AM16" i="178"/>
  <c r="AL16" i="178"/>
  <c r="AI16" i="178"/>
  <c r="AH16" i="178"/>
  <c r="AF16" i="178"/>
  <c r="AE16" i="178"/>
  <c r="AC16" i="178"/>
  <c r="AB16" i="178"/>
  <c r="AA16" i="178"/>
  <c r="X16" i="178"/>
  <c r="W16" i="178"/>
  <c r="U16" i="178"/>
  <c r="T16" i="178"/>
  <c r="R16" i="178"/>
  <c r="Q16" i="178"/>
  <c r="P16" i="178"/>
  <c r="M16" i="178"/>
  <c r="L16" i="178"/>
  <c r="J16" i="178"/>
  <c r="I16" i="178"/>
  <c r="G16" i="178"/>
  <c r="F16" i="178"/>
  <c r="E16" i="178"/>
  <c r="ED15" i="178"/>
  <c r="EC15" i="178"/>
  <c r="EA15" i="178"/>
  <c r="DZ15" i="178"/>
  <c r="DX15" i="178"/>
  <c r="DW15" i="178"/>
  <c r="DV15" i="178"/>
  <c r="DS15" i="178"/>
  <c r="DR15" i="178"/>
  <c r="DP15" i="178"/>
  <c r="DO15" i="178"/>
  <c r="DM15" i="178"/>
  <c r="DL15" i="178"/>
  <c r="DK15" i="178"/>
  <c r="DH15" i="178"/>
  <c r="DG15" i="178"/>
  <c r="DE15" i="178"/>
  <c r="DD15" i="178"/>
  <c r="DB15" i="178"/>
  <c r="DA15" i="178"/>
  <c r="CZ15" i="178"/>
  <c r="CW15" i="178"/>
  <c r="CV15" i="178"/>
  <c r="CT15" i="178"/>
  <c r="CS15" i="178"/>
  <c r="CQ15" i="178"/>
  <c r="CP15" i="178"/>
  <c r="CO15" i="178"/>
  <c r="CL15" i="178"/>
  <c r="CK15" i="178"/>
  <c r="CI15" i="178"/>
  <c r="CH15" i="178"/>
  <c r="CF15" i="178"/>
  <c r="CE15" i="178"/>
  <c r="CD15" i="178"/>
  <c r="CA15" i="178"/>
  <c r="BZ15" i="178"/>
  <c r="BX15" i="178"/>
  <c r="BW15" i="178"/>
  <c r="BU15" i="178"/>
  <c r="BT15" i="178"/>
  <c r="BS15" i="178"/>
  <c r="BP15" i="178"/>
  <c r="BO15" i="178"/>
  <c r="BM15" i="178"/>
  <c r="BL15" i="178"/>
  <c r="BJ15" i="178"/>
  <c r="BI15" i="178"/>
  <c r="BH15" i="178"/>
  <c r="BE15" i="178"/>
  <c r="BD15" i="178"/>
  <c r="BB15" i="178"/>
  <c r="BA15" i="178"/>
  <c r="AY15" i="178"/>
  <c r="AX15" i="178"/>
  <c r="AW15" i="178"/>
  <c r="AT15" i="178"/>
  <c r="AS15" i="178"/>
  <c r="AQ15" i="178"/>
  <c r="AP15" i="178"/>
  <c r="AN15" i="178"/>
  <c r="AM15" i="178"/>
  <c r="AL15" i="178"/>
  <c r="AI15" i="178"/>
  <c r="AH15" i="178"/>
  <c r="AF15" i="178"/>
  <c r="AE15" i="178"/>
  <c r="AC15" i="178"/>
  <c r="AB15" i="178"/>
  <c r="AA15" i="178"/>
  <c r="X15" i="178"/>
  <c r="W15" i="178"/>
  <c r="U15" i="178"/>
  <c r="T15" i="178"/>
  <c r="R15" i="178"/>
  <c r="Q15" i="178"/>
  <c r="P15" i="178"/>
  <c r="M15" i="178"/>
  <c r="L15" i="178"/>
  <c r="J15" i="178"/>
  <c r="I15" i="178"/>
  <c r="G15" i="178"/>
  <c r="F15" i="178"/>
  <c r="E15" i="178"/>
  <c r="ED14" i="178"/>
  <c r="EC14" i="178"/>
  <c r="EA14" i="178"/>
  <c r="DZ14" i="178"/>
  <c r="DX14" i="178"/>
  <c r="DW14" i="178"/>
  <c r="DV14" i="178"/>
  <c r="DS14" i="178"/>
  <c r="DR14" i="178"/>
  <c r="DP14" i="178"/>
  <c r="DO14" i="178"/>
  <c r="DM14" i="178"/>
  <c r="DL14" i="178"/>
  <c r="DK14" i="178"/>
  <c r="DH14" i="178"/>
  <c r="DG14" i="178"/>
  <c r="DE14" i="178"/>
  <c r="DD14" i="178"/>
  <c r="DB14" i="178"/>
  <c r="DA14" i="178"/>
  <c r="CZ14" i="178"/>
  <c r="CW14" i="178"/>
  <c r="CV14" i="178"/>
  <c r="CT14" i="178"/>
  <c r="CS14" i="178"/>
  <c r="CQ14" i="178"/>
  <c r="CP14" i="178"/>
  <c r="CO14" i="178"/>
  <c r="CL14" i="178"/>
  <c r="CK14" i="178"/>
  <c r="CI14" i="178"/>
  <c r="CH14" i="178"/>
  <c r="CF14" i="178"/>
  <c r="CE14" i="178"/>
  <c r="CD14" i="178"/>
  <c r="CA14" i="178"/>
  <c r="BZ14" i="178"/>
  <c r="BX14" i="178"/>
  <c r="BW14" i="178"/>
  <c r="BU14" i="178"/>
  <c r="BT14" i="178"/>
  <c r="BS14" i="178"/>
  <c r="BP14" i="178"/>
  <c r="BO14" i="178"/>
  <c r="BM14" i="178"/>
  <c r="BL14" i="178"/>
  <c r="BJ14" i="178"/>
  <c r="BI14" i="178"/>
  <c r="BH14" i="178"/>
  <c r="BE14" i="178"/>
  <c r="BD14" i="178"/>
  <c r="BB14" i="178"/>
  <c r="BA14" i="178"/>
  <c r="AY14" i="178"/>
  <c r="AX14" i="178"/>
  <c r="AW14" i="178"/>
  <c r="AT14" i="178"/>
  <c r="AS14" i="178"/>
  <c r="AQ14" i="178"/>
  <c r="AP14" i="178"/>
  <c r="AN14" i="178"/>
  <c r="AM14" i="178"/>
  <c r="AL14" i="178"/>
  <c r="AI14" i="178"/>
  <c r="AH14" i="178"/>
  <c r="AF14" i="178"/>
  <c r="AE14" i="178"/>
  <c r="AC14" i="178"/>
  <c r="AB14" i="178"/>
  <c r="AA14" i="178"/>
  <c r="X14" i="178"/>
  <c r="W14" i="178"/>
  <c r="U14" i="178"/>
  <c r="T14" i="178"/>
  <c r="R14" i="178"/>
  <c r="Q14" i="178"/>
  <c r="P14" i="178"/>
  <c r="M14" i="178"/>
  <c r="L14" i="178"/>
  <c r="J14" i="178"/>
  <c r="I14" i="178"/>
  <c r="G14" i="178"/>
  <c r="F14" i="178"/>
  <c r="E14" i="178"/>
  <c r="V93" i="174"/>
  <c r="T93" i="174"/>
  <c r="S93" i="174"/>
  <c r="R93" i="174"/>
  <c r="Q93" i="174"/>
  <c r="P93" i="174"/>
  <c r="O93" i="174"/>
  <c r="V92" i="174"/>
  <c r="T92" i="174"/>
  <c r="S92" i="174"/>
  <c r="R92" i="174"/>
  <c r="Q92" i="174"/>
  <c r="P92" i="174"/>
  <c r="O92" i="174"/>
  <c r="W88" i="174"/>
  <c r="V88" i="174"/>
  <c r="T88" i="174"/>
  <c r="S88" i="174"/>
  <c r="R88" i="174"/>
  <c r="Q88" i="174"/>
  <c r="P88" i="174"/>
  <c r="O88" i="174"/>
  <c r="W87" i="174"/>
  <c r="V87" i="174"/>
  <c r="T87" i="174"/>
  <c r="S87" i="174"/>
  <c r="R87" i="174"/>
  <c r="Q87" i="174"/>
  <c r="P87" i="174"/>
  <c r="O87" i="174"/>
  <c r="W86" i="174"/>
  <c r="V86" i="174"/>
  <c r="T86" i="174"/>
  <c r="S86" i="174"/>
  <c r="R86" i="174"/>
  <c r="Q86" i="174"/>
  <c r="P86" i="174"/>
  <c r="O86" i="174"/>
  <c r="W85" i="174"/>
  <c r="V85" i="174"/>
  <c r="T85" i="174"/>
  <c r="S85" i="174"/>
  <c r="R85" i="174"/>
  <c r="Q85" i="174"/>
  <c r="P85" i="174"/>
  <c r="O85" i="174"/>
  <c r="W84" i="174"/>
  <c r="V84" i="174"/>
  <c r="T84" i="174"/>
  <c r="S84" i="174"/>
  <c r="R84" i="174"/>
  <c r="Q84" i="174"/>
  <c r="P84" i="174"/>
  <c r="O84" i="174"/>
  <c r="W82" i="174"/>
  <c r="V82" i="174"/>
  <c r="T82" i="174"/>
  <c r="S82" i="174"/>
  <c r="Q82" i="174"/>
  <c r="P82" i="174"/>
  <c r="O82" i="174"/>
  <c r="W80" i="174"/>
  <c r="V80" i="174"/>
  <c r="T80" i="174"/>
  <c r="R80" i="174"/>
  <c r="Q80" i="174"/>
  <c r="P80" i="174"/>
  <c r="O80" i="174"/>
  <c r="W72" i="174"/>
  <c r="V72" i="174"/>
  <c r="T72" i="174"/>
  <c r="R72" i="174"/>
  <c r="Q72" i="174"/>
  <c r="P72" i="174"/>
  <c r="O72" i="174"/>
  <c r="W71" i="174"/>
  <c r="V71" i="174"/>
  <c r="T71" i="174"/>
  <c r="R71" i="174"/>
  <c r="Q71" i="174"/>
  <c r="P71" i="174"/>
  <c r="O71" i="174"/>
  <c r="W66" i="174"/>
  <c r="V66" i="174"/>
  <c r="T66" i="174"/>
  <c r="R66" i="174"/>
  <c r="Q66" i="174"/>
  <c r="P66" i="174"/>
  <c r="O66" i="174"/>
  <c r="W61" i="174"/>
  <c r="V61" i="174"/>
  <c r="T61" i="174"/>
  <c r="R61" i="174"/>
  <c r="Q61" i="174"/>
  <c r="P61" i="174"/>
  <c r="O61" i="174"/>
  <c r="W49" i="174"/>
  <c r="V49" i="174"/>
  <c r="T49" i="174"/>
  <c r="R49" i="174"/>
  <c r="Q49" i="174"/>
  <c r="P49" i="174"/>
  <c r="O49" i="174"/>
  <c r="W48" i="174"/>
  <c r="V48" i="174"/>
  <c r="T48" i="174"/>
  <c r="R48" i="174"/>
  <c r="Q48" i="174"/>
  <c r="P48" i="174"/>
  <c r="O48" i="174"/>
  <c r="V46" i="174"/>
  <c r="W44" i="174"/>
  <c r="V44" i="174"/>
  <c r="T44" i="174"/>
  <c r="R44" i="174"/>
  <c r="Q44" i="174"/>
  <c r="P44" i="174"/>
  <c r="O44" i="174"/>
  <c r="W42" i="174"/>
  <c r="V42" i="174"/>
  <c r="T42" i="174"/>
  <c r="R42" i="174"/>
  <c r="Q42" i="174"/>
  <c r="P42" i="174"/>
  <c r="O42" i="174"/>
  <c r="W39" i="174"/>
  <c r="V39" i="174"/>
  <c r="T39" i="174"/>
  <c r="Q39" i="174"/>
  <c r="P39" i="174"/>
  <c r="O39" i="174"/>
  <c r="W36" i="174"/>
  <c r="V36" i="174"/>
  <c r="T36" i="174"/>
  <c r="R36" i="174"/>
  <c r="Q36" i="174"/>
  <c r="P36" i="174"/>
  <c r="O36" i="174"/>
  <c r="W35" i="174"/>
  <c r="V35" i="174"/>
  <c r="T35" i="174"/>
  <c r="R35" i="174"/>
  <c r="Q35" i="174"/>
  <c r="P35" i="174"/>
  <c r="O35" i="174"/>
  <c r="W34" i="174"/>
  <c r="V34" i="174"/>
  <c r="T34" i="174"/>
  <c r="R34" i="174"/>
  <c r="Q34" i="174"/>
  <c r="P34" i="174"/>
  <c r="O34" i="174"/>
  <c r="W33" i="174"/>
  <c r="V33" i="174"/>
  <c r="T33" i="174"/>
  <c r="R33" i="174"/>
  <c r="Q33" i="174"/>
  <c r="P33" i="174"/>
  <c r="O33" i="174"/>
  <c r="W32" i="174"/>
  <c r="V32" i="174"/>
  <c r="T32" i="174"/>
  <c r="R32" i="174"/>
  <c r="Q32" i="174"/>
  <c r="P32" i="174"/>
  <c r="O32" i="174"/>
  <c r="W31" i="174"/>
  <c r="V31" i="174"/>
  <c r="T31" i="174"/>
  <c r="R31" i="174"/>
  <c r="Q31" i="174"/>
  <c r="P31" i="174"/>
  <c r="O31" i="174"/>
  <c r="W30" i="174"/>
  <c r="V30" i="174"/>
  <c r="T30" i="174"/>
  <c r="R30" i="174"/>
  <c r="Q30" i="174"/>
  <c r="P30" i="174"/>
  <c r="O30" i="174"/>
  <c r="W29" i="174"/>
  <c r="V29" i="174"/>
  <c r="T29" i="174"/>
  <c r="R29" i="174"/>
  <c r="Q29" i="174"/>
  <c r="P29" i="174"/>
  <c r="O29" i="174"/>
  <c r="W28" i="174"/>
  <c r="V28" i="174"/>
  <c r="T28" i="174"/>
  <c r="R28" i="174"/>
  <c r="Q28" i="174"/>
  <c r="P28" i="174"/>
  <c r="O28" i="174"/>
  <c r="W27" i="174"/>
  <c r="V27" i="174"/>
  <c r="T27" i="174"/>
  <c r="R27" i="174"/>
  <c r="Q27" i="174"/>
  <c r="P27" i="174"/>
  <c r="O27" i="174"/>
  <c r="W26" i="174"/>
  <c r="V26" i="174"/>
  <c r="U26" i="174"/>
  <c r="T26" i="174"/>
  <c r="S26" i="174"/>
  <c r="R26" i="174"/>
  <c r="Q26" i="174"/>
  <c r="P26" i="174"/>
  <c r="O26" i="174"/>
  <c r="W25" i="174"/>
  <c r="V25" i="174"/>
  <c r="U25" i="174"/>
  <c r="T25" i="174"/>
  <c r="R25" i="174"/>
  <c r="Q25" i="174"/>
  <c r="P25" i="174"/>
  <c r="O25" i="174"/>
  <c r="W24" i="174"/>
  <c r="V24" i="174"/>
  <c r="T24" i="174"/>
  <c r="S24" i="174"/>
  <c r="R24" i="174"/>
  <c r="Q24" i="174"/>
  <c r="P24" i="174"/>
  <c r="O24" i="174"/>
  <c r="W23" i="174"/>
  <c r="V23" i="174"/>
  <c r="T23" i="174"/>
  <c r="R23" i="174"/>
  <c r="Q23" i="174"/>
  <c r="P23" i="174"/>
  <c r="O23" i="174"/>
  <c r="W22" i="174"/>
  <c r="V22" i="174"/>
  <c r="T22" i="174"/>
  <c r="R22" i="174"/>
  <c r="Q22" i="174"/>
  <c r="P22" i="174"/>
  <c r="O22" i="174"/>
  <c r="W21" i="174"/>
  <c r="V21" i="174"/>
  <c r="T21" i="174"/>
  <c r="R21" i="174"/>
  <c r="Q21" i="174"/>
  <c r="P21" i="174"/>
  <c r="O21" i="174"/>
  <c r="V18" i="174"/>
  <c r="E194" i="170"/>
  <c r="E168" i="170"/>
  <c r="E142" i="170"/>
  <c r="E116" i="170"/>
  <c r="E90" i="170"/>
  <c r="E64" i="170"/>
  <c r="E38" i="170"/>
  <c r="S19" i="107"/>
  <c r="R19" i="107"/>
  <c r="P19" i="107"/>
  <c r="O19" i="107"/>
  <c r="M19" i="107"/>
  <c r="L19" i="107"/>
  <c r="K19" i="107"/>
  <c r="R17" i="107"/>
  <c r="P17" i="107"/>
  <c r="O17" i="107"/>
  <c r="M17" i="107"/>
  <c r="L17" i="107"/>
  <c r="K17" i="107"/>
  <c r="R15" i="107"/>
  <c r="P15" i="107"/>
  <c r="O15" i="107"/>
  <c r="M15" i="107"/>
  <c r="L15" i="107"/>
  <c r="K15" i="107"/>
  <c r="R13" i="107"/>
  <c r="P13" i="107"/>
  <c r="O13" i="107"/>
  <c r="M13" i="107"/>
  <c r="L13" i="107"/>
  <c r="K13" i="107"/>
  <c r="V32" i="16"/>
  <c r="U32" i="16"/>
  <c r="S32" i="16"/>
  <c r="R32" i="16"/>
  <c r="P32" i="16"/>
  <c r="N32" i="16"/>
  <c r="E19" i="166"/>
  <c r="E18" i="166"/>
  <c r="E17" i="166"/>
  <c r="E14" i="166"/>
  <c r="A5" i="8"/>
  <c r="A3" i="8"/>
  <c r="A5" i="177"/>
  <c r="A3" i="177"/>
  <c r="A5" i="131"/>
  <c r="A3" i="131"/>
  <c r="A5" i="132"/>
  <c r="A3" i="132"/>
  <c r="A5" i="133"/>
  <c r="A3" i="133"/>
  <c r="A5" i="134"/>
  <c r="A3" i="134"/>
  <c r="A5" i="179"/>
  <c r="A3" i="179"/>
  <c r="A5" i="135"/>
  <c r="A3" i="135"/>
  <c r="A5" i="14"/>
  <c r="A3" i="14"/>
  <c r="A5" i="157"/>
  <c r="A3" i="157"/>
  <c r="A5" i="156"/>
  <c r="A3" i="156"/>
  <c r="A5" i="155"/>
  <c r="A3" i="155"/>
  <c r="A5" i="126"/>
  <c r="A3" i="126"/>
  <c r="A5" i="127"/>
  <c r="A3" i="127"/>
  <c r="A5" i="128"/>
  <c r="A3" i="128"/>
  <c r="A5" i="162"/>
  <c r="A3" i="162"/>
  <c r="A5" i="154"/>
  <c r="A3" i="154"/>
  <c r="A5" i="160"/>
  <c r="A3" i="160"/>
  <c r="A5" i="166"/>
  <c r="A3" i="166"/>
  <c r="A5" i="153"/>
  <c r="A3" i="153"/>
  <c r="A5" i="120"/>
  <c r="A3" i="120"/>
  <c r="A5" i="152"/>
  <c r="A3" i="152"/>
  <c r="A5" i="151"/>
  <c r="A3" i="151"/>
  <c r="A5" i="150"/>
  <c r="A3" i="150"/>
  <c r="A5" i="149"/>
  <c r="A3" i="149"/>
  <c r="A5" i="171"/>
  <c r="A3" i="171"/>
  <c r="A5" i="175"/>
  <c r="A3" i="175"/>
  <c r="A5" i="176"/>
  <c r="A3" i="176"/>
  <c r="A5" i="178"/>
  <c r="A3" i="178"/>
  <c r="A5" i="174"/>
  <c r="A3" i="174"/>
  <c r="A5" i="114"/>
  <c r="A3" i="114"/>
  <c r="A5" i="170"/>
  <c r="A3" i="170"/>
  <c r="A5" i="144"/>
  <c r="A3" i="144"/>
  <c r="A5" i="143"/>
  <c r="A3" i="143"/>
  <c r="A5" i="169"/>
  <c r="A3" i="169"/>
  <c r="A5" i="159"/>
  <c r="A3" i="159"/>
  <c r="A5" i="54"/>
  <c r="A3" i="54"/>
  <c r="A5" i="107"/>
  <c r="A3" i="107"/>
  <c r="A5" i="16"/>
  <c r="A3" i="16"/>
  <c r="A5" i="17"/>
  <c r="A3" i="17"/>
  <c r="A4" i="8"/>
  <c r="A2" i="8"/>
  <c r="A1" i="8"/>
  <c r="A4" i="177"/>
  <c r="A2" i="177"/>
  <c r="A1" i="177"/>
  <c r="A4" i="131"/>
  <c r="A2" i="131"/>
  <c r="A1" i="131"/>
  <c r="A4" i="132"/>
  <c r="A2" i="132"/>
  <c r="A1" i="132"/>
  <c r="A4" i="133"/>
  <c r="A2" i="133"/>
  <c r="A1" i="133"/>
  <c r="A4" i="134"/>
  <c r="A2" i="134"/>
  <c r="A1" i="134"/>
  <c r="A4" i="179"/>
  <c r="A2" i="179"/>
  <c r="A1" i="179"/>
  <c r="A4" i="135"/>
  <c r="A2" i="135"/>
  <c r="A1" i="135"/>
  <c r="A4" i="14"/>
  <c r="A2" i="14"/>
  <c r="A1" i="14"/>
  <c r="A4" i="157"/>
  <c r="A2" i="157"/>
  <c r="A1" i="157"/>
  <c r="A4" i="156"/>
  <c r="A2" i="156"/>
  <c r="A1" i="156"/>
  <c r="A4" i="155"/>
  <c r="A2" i="155"/>
  <c r="A1" i="155"/>
  <c r="A4" i="126"/>
  <c r="A2" i="126"/>
  <c r="A1" i="126"/>
  <c r="A4" i="127"/>
  <c r="A2" i="127"/>
  <c r="A1" i="127"/>
  <c r="A4" i="128"/>
  <c r="A2" i="128"/>
  <c r="A1" i="128"/>
  <c r="A4" i="162"/>
  <c r="A2" i="162"/>
  <c r="A1" i="162"/>
  <c r="A4" i="154"/>
  <c r="A2" i="154"/>
  <c r="A1" i="154"/>
  <c r="A4" i="160"/>
  <c r="A2" i="160"/>
  <c r="A1" i="160"/>
  <c r="A4" i="166"/>
  <c r="A2" i="166"/>
  <c r="A1" i="166"/>
  <c r="A4" i="153"/>
  <c r="A2" i="153"/>
  <c r="A1" i="153"/>
  <c r="A4" i="120"/>
  <c r="A2" i="120"/>
  <c r="A1" i="120"/>
  <c r="A4" i="152"/>
  <c r="A2" i="152"/>
  <c r="A1" i="152"/>
  <c r="A4" i="151"/>
  <c r="A2" i="151"/>
  <c r="A1" i="151"/>
  <c r="A4" i="150"/>
  <c r="A2" i="150"/>
  <c r="A1" i="150"/>
  <c r="A4" i="149"/>
  <c r="A2" i="149"/>
  <c r="A1" i="149"/>
  <c r="A4" i="171"/>
  <c r="A2" i="171"/>
  <c r="A1" i="171"/>
  <c r="A4" i="175"/>
  <c r="A2" i="175"/>
  <c r="A1" i="175"/>
  <c r="A4" i="176"/>
  <c r="A2" i="176"/>
  <c r="A1" i="176"/>
  <c r="A4" i="178"/>
  <c r="A2" i="178"/>
  <c r="A1" i="178"/>
  <c r="A4" i="174"/>
  <c r="A2" i="174"/>
  <c r="A1" i="174"/>
  <c r="A4" i="114"/>
  <c r="A2" i="114"/>
  <c r="A1" i="114"/>
  <c r="A4" i="170"/>
  <c r="A2" i="170"/>
  <c r="A1" i="170"/>
  <c r="A4" i="144"/>
  <c r="A2" i="144"/>
  <c r="A1" i="144"/>
  <c r="A4" i="143"/>
  <c r="A2" i="143"/>
  <c r="A1" i="143"/>
  <c r="A4" i="169"/>
  <c r="A2" i="169"/>
  <c r="A1" i="169"/>
  <c r="A4" i="159"/>
  <c r="A2" i="159"/>
  <c r="A1" i="159"/>
  <c r="A4" i="54"/>
  <c r="A2" i="54"/>
  <c r="A1" i="54"/>
  <c r="A4" i="107"/>
  <c r="A2" i="107"/>
  <c r="A1" i="107"/>
  <c r="A4" i="16"/>
  <c r="A2" i="16"/>
  <c r="A1" i="16"/>
  <c r="A4" i="17"/>
  <c r="A2" i="17"/>
  <c r="A1" i="17"/>
  <c r="O29" i="8"/>
  <c r="I29" i="8"/>
  <c r="K32" i="16" l="1"/>
  <c r="W92" i="174"/>
  <c r="Q20" i="132"/>
  <c r="P20" i="132"/>
  <c r="Q19" i="132"/>
  <c r="P19" i="132"/>
  <c r="Q18" i="132"/>
  <c r="P18" i="132"/>
  <c r="Q17" i="132"/>
  <c r="P17" i="132"/>
  <c r="Q16" i="132"/>
  <c r="P16" i="132"/>
  <c r="Q15" i="132"/>
  <c r="P15" i="132"/>
  <c r="Q14" i="132"/>
  <c r="P14" i="132"/>
  <c r="N20" i="132"/>
  <c r="N19" i="132"/>
  <c r="N18" i="132"/>
  <c r="M18" i="132"/>
  <c r="N17" i="132"/>
  <c r="M17" i="132"/>
  <c r="N16" i="132"/>
  <c r="M16" i="132"/>
  <c r="N15" i="132"/>
  <c r="M15" i="132"/>
  <c r="N14" i="132"/>
  <c r="M14" i="132"/>
  <c r="J14" i="132"/>
  <c r="K14" i="132"/>
  <c r="J15" i="132"/>
  <c r="K15" i="132"/>
  <c r="J16" i="132"/>
  <c r="K16" i="132"/>
  <c r="J17" i="132"/>
  <c r="K17" i="132"/>
  <c r="J18" i="132"/>
  <c r="K18" i="132"/>
  <c r="J19" i="132"/>
  <c r="K19" i="132"/>
  <c r="J20" i="132"/>
  <c r="K20" i="132"/>
  <c r="I20" i="132"/>
  <c r="I19" i="132"/>
  <c r="I18" i="132"/>
  <c r="I17" i="132"/>
  <c r="I16" i="132"/>
  <c r="I15" i="132"/>
  <c r="I14" i="132"/>
  <c r="G18" i="132"/>
  <c r="G17" i="132"/>
  <c r="G16" i="132"/>
  <c r="G15" i="132"/>
  <c r="G14" i="132"/>
  <c r="C20" i="132"/>
  <c r="C19" i="132"/>
  <c r="C18" i="132"/>
  <c r="C17" i="132"/>
  <c r="C16" i="132"/>
  <c r="C15" i="132"/>
  <c r="C14" i="132"/>
  <c r="B15" i="132"/>
  <c r="B16" i="132"/>
  <c r="B17" i="132"/>
  <c r="B19" i="132"/>
  <c r="B20" i="132"/>
  <c r="B14" i="132"/>
  <c r="A193" i="170" l="1"/>
  <c r="A194" i="170"/>
  <c r="A195" i="170" s="1"/>
  <c r="A196" i="170" s="1"/>
  <c r="A197" i="170" s="1"/>
  <c r="A198" i="170" s="1"/>
  <c r="A199" i="170" s="1"/>
  <c r="A200" i="170" s="1"/>
  <c r="A201" i="170" s="1"/>
  <c r="A202" i="170" s="1"/>
  <c r="A203" i="170" s="1"/>
  <c r="A204" i="170" s="1"/>
  <c r="A205" i="170" s="1"/>
  <c r="A206" i="170" s="1"/>
  <c r="A207" i="170" s="1"/>
  <c r="A208" i="170" s="1"/>
  <c r="A209" i="170" s="1"/>
  <c r="A210" i="170" s="1"/>
  <c r="A211" i="170" s="1"/>
  <c r="A212" i="170" s="1"/>
  <c r="A213" i="170" s="1"/>
  <c r="A214" i="170" s="1"/>
  <c r="A215" i="170" s="1"/>
  <c r="A216" i="170" s="1"/>
  <c r="A217" i="170" s="1"/>
  <c r="A218" i="170" s="1"/>
  <c r="G98" i="179" l="1"/>
  <c r="H98" i="179" s="1"/>
  <c r="H97" i="179"/>
  <c r="F99" i="179"/>
  <c r="F98" i="179"/>
  <c r="F97" i="179"/>
  <c r="E97" i="179"/>
  <c r="E98" i="179"/>
  <c r="E99" i="179"/>
  <c r="D98" i="179"/>
  <c r="D99" i="179" s="1"/>
  <c r="D97" i="179"/>
  <c r="V20" i="17"/>
  <c r="A16" i="175"/>
  <c r="A17" i="175" s="1"/>
  <c r="A18" i="175" s="1"/>
  <c r="A19" i="175" s="1"/>
  <c r="A20" i="175" s="1"/>
  <c r="A21" i="175" s="1"/>
  <c r="A22" i="175" s="1"/>
  <c r="A23" i="175" s="1"/>
  <c r="A24" i="175" s="1"/>
  <c r="A25" i="175" s="1"/>
  <c r="A26" i="175" s="1"/>
  <c r="A27" i="175" s="1"/>
  <c r="A28" i="175" s="1"/>
  <c r="A29" i="175" s="1"/>
  <c r="A30" i="175" s="1"/>
  <c r="A31" i="175" s="1"/>
  <c r="A32" i="175" s="1"/>
  <c r="A33" i="175" s="1"/>
  <c r="A34" i="175" s="1"/>
  <c r="A35" i="175" s="1"/>
  <c r="A36" i="175" s="1"/>
  <c r="A37" i="175" s="1"/>
  <c r="A38" i="175" s="1"/>
  <c r="A39" i="175" s="1"/>
  <c r="A40" i="175" s="1"/>
  <c r="A41" i="175" s="1"/>
  <c r="A42" i="175" s="1"/>
  <c r="A43" i="175" s="1"/>
  <c r="A44" i="175" s="1"/>
  <c r="A45" i="175" s="1"/>
  <c r="A46" i="175" s="1"/>
  <c r="A47" i="175" s="1"/>
  <c r="A48" i="175" s="1"/>
  <c r="D24" i="175"/>
  <c r="G99" i="179" l="1"/>
  <c r="D74" i="135"/>
  <c r="D72" i="135"/>
  <c r="O71" i="179"/>
  <c r="I20" i="8" l="1"/>
  <c r="F26" i="160" l="1"/>
  <c r="F34" i="160"/>
  <c r="H19" i="107"/>
  <c r="H17" i="107"/>
  <c r="H15" i="107"/>
  <c r="H13" i="107"/>
  <c r="O31" i="8"/>
  <c r="O33" i="8" s="1"/>
  <c r="F24" i="160"/>
  <c r="F15" i="160"/>
  <c r="F51" i="160"/>
  <c r="F71" i="160"/>
  <c r="E69" i="128" l="1"/>
  <c r="L29" i="128"/>
  <c r="E29" i="128"/>
  <c r="L39" i="128"/>
  <c r="E39" i="128"/>
  <c r="L59" i="128"/>
  <c r="E59" i="128"/>
  <c r="S27" i="162" l="1"/>
  <c r="S28" i="162"/>
  <c r="S29" i="162"/>
  <c r="S26" i="162"/>
  <c r="P27" i="162"/>
  <c r="P28" i="162"/>
  <c r="P29" i="162"/>
  <c r="P26" i="162"/>
  <c r="N40" i="128" l="1"/>
  <c r="N41" i="128"/>
  <c r="N42" i="128"/>
  <c r="N43" i="128"/>
  <c r="N44" i="128"/>
  <c r="N45" i="128"/>
  <c r="N46" i="128"/>
  <c r="N47" i="128"/>
  <c r="N48" i="128"/>
  <c r="N49" i="128"/>
  <c r="N50" i="128"/>
  <c r="N51" i="128"/>
  <c r="N52" i="128"/>
  <c r="N53" i="128"/>
  <c r="N54" i="128"/>
  <c r="N55" i="128"/>
  <c r="N56" i="128"/>
  <c r="N57" i="128"/>
  <c r="N58" i="128"/>
  <c r="N59" i="128"/>
  <c r="N60" i="128"/>
  <c r="N61" i="128"/>
  <c r="N62" i="128"/>
  <c r="N63" i="128"/>
  <c r="N64" i="128"/>
  <c r="N65" i="128"/>
  <c r="N66" i="128"/>
  <c r="N39" i="128"/>
  <c r="N38" i="128"/>
  <c r="N25" i="128"/>
  <c r="N26" i="128"/>
  <c r="N27" i="128"/>
  <c r="N28" i="128"/>
  <c r="N29" i="128"/>
  <c r="N30" i="128"/>
  <c r="N31" i="128"/>
  <c r="N32" i="128"/>
  <c r="N34" i="128"/>
  <c r="N35" i="128"/>
  <c r="N24" i="128"/>
  <c r="K40" i="128"/>
  <c r="K41" i="128"/>
  <c r="K42" i="128"/>
  <c r="K43" i="128"/>
  <c r="K44" i="128"/>
  <c r="K45" i="128"/>
  <c r="K46" i="128"/>
  <c r="K47" i="128"/>
  <c r="K48" i="128"/>
  <c r="K49" i="128"/>
  <c r="K50" i="128"/>
  <c r="K51" i="128"/>
  <c r="K52" i="128"/>
  <c r="K53" i="128"/>
  <c r="K54" i="128"/>
  <c r="K55" i="128"/>
  <c r="K56" i="128"/>
  <c r="K57" i="128"/>
  <c r="K58" i="128"/>
  <c r="K59" i="128"/>
  <c r="K60" i="128"/>
  <c r="K61" i="128"/>
  <c r="K62" i="128"/>
  <c r="K63" i="128"/>
  <c r="K64" i="128"/>
  <c r="K65" i="128"/>
  <c r="K66" i="128"/>
  <c r="K25" i="128"/>
  <c r="K26" i="128"/>
  <c r="K27" i="128"/>
  <c r="K28" i="128"/>
  <c r="K29" i="128"/>
  <c r="K30" i="128"/>
  <c r="K31" i="128"/>
  <c r="K32" i="128"/>
  <c r="K34" i="128"/>
  <c r="K35" i="128"/>
  <c r="K24" i="128"/>
  <c r="T32" i="16" l="1"/>
  <c r="Q32" i="16"/>
  <c r="I32" i="16"/>
  <c r="G32" i="16"/>
  <c r="G34" i="16" s="1"/>
  <c r="F34" i="16"/>
  <c r="E34" i="16"/>
  <c r="F52" i="159" l="1"/>
  <c r="F46" i="159"/>
  <c r="F47" i="159"/>
  <c r="F48" i="159"/>
  <c r="W32" i="16" l="1"/>
  <c r="Y32" i="16" l="1"/>
  <c r="X32" i="16"/>
  <c r="S41" i="174"/>
  <c r="EE74" i="178"/>
  <c r="EE75" i="178"/>
  <c r="EE73" i="178"/>
  <c r="EE69" i="178"/>
  <c r="EE70" i="178"/>
  <c r="EE71" i="178"/>
  <c r="EE72" i="178"/>
  <c r="EE68" i="178"/>
  <c r="EE52" i="178"/>
  <c r="EE53" i="178"/>
  <c r="EE54" i="178"/>
  <c r="EE55" i="178"/>
  <c r="EE56" i="178"/>
  <c r="EE57" i="178"/>
  <c r="EE58" i="178"/>
  <c r="EE59" i="178"/>
  <c r="EE60" i="178"/>
  <c r="EE61" i="178"/>
  <c r="EE62" i="178"/>
  <c r="EE63" i="178"/>
  <c r="EE64" i="178"/>
  <c r="EE65" i="178"/>
  <c r="EE66" i="178"/>
  <c r="EE67" i="178"/>
  <c r="EE51" i="178"/>
  <c r="EE50" i="178"/>
  <c r="EE40" i="178"/>
  <c r="EE41" i="178"/>
  <c r="EE42" i="178"/>
  <c r="EE43" i="178"/>
  <c r="EE44" i="178"/>
  <c r="EE45" i="178"/>
  <c r="EE48" i="178"/>
  <c r="EE49" i="178"/>
  <c r="EE39" i="178"/>
  <c r="EE34" i="178"/>
  <c r="EE35" i="178"/>
  <c r="EE36" i="178"/>
  <c r="EE37" i="178"/>
  <c r="EE38" i="178"/>
  <c r="EE32" i="178"/>
  <c r="EF78" i="178"/>
  <c r="DU77" i="178"/>
  <c r="DJ77" i="178"/>
  <c r="CY77" i="178"/>
  <c r="CN77" i="178"/>
  <c r="CC77" i="178"/>
  <c r="BR77" i="178"/>
  <c r="BG77" i="178"/>
  <c r="AV77" i="178"/>
  <c r="AK77" i="178"/>
  <c r="Z77" i="178"/>
  <c r="O77" i="178"/>
  <c r="D77" i="178"/>
  <c r="EB74" i="178"/>
  <c r="DW74" i="178"/>
  <c r="DY74" i="178" s="1"/>
  <c r="DQ74" i="178"/>
  <c r="DL74" i="178"/>
  <c r="DN74" i="178" s="1"/>
  <c r="DF74" i="178"/>
  <c r="DA74" i="178"/>
  <c r="DC74" i="178" s="1"/>
  <c r="CU74" i="178"/>
  <c r="CP74" i="178"/>
  <c r="CR74" i="178" s="1"/>
  <c r="CJ74" i="178"/>
  <c r="CE74" i="178"/>
  <c r="CG74" i="178" s="1"/>
  <c r="BY74" i="178"/>
  <c r="BT74" i="178"/>
  <c r="BV74" i="178" s="1"/>
  <c r="BN74" i="178"/>
  <c r="BI74" i="178"/>
  <c r="BK74" i="178" s="1"/>
  <c r="BC74" i="178"/>
  <c r="AX74" i="178"/>
  <c r="AZ74" i="178" s="1"/>
  <c r="AR74" i="178"/>
  <c r="AM74" i="178"/>
  <c r="AO74" i="178" s="1"/>
  <c r="AG74" i="178"/>
  <c r="AB74" i="178"/>
  <c r="AD74" i="178" s="1"/>
  <c r="V74" i="178"/>
  <c r="Q74" i="178"/>
  <c r="S74" i="178" s="1"/>
  <c r="K74" i="178"/>
  <c r="F74" i="178"/>
  <c r="H74" i="178" s="1"/>
  <c r="DZ73" i="178"/>
  <c r="EB73" i="178" s="1"/>
  <c r="EF73" i="178" s="1"/>
  <c r="DY73" i="178"/>
  <c r="DO73" i="178"/>
  <c r="DQ73" i="178" s="1"/>
  <c r="DN73" i="178"/>
  <c r="DD73" i="178"/>
  <c r="DF73" i="178" s="1"/>
  <c r="DC73" i="178"/>
  <c r="CS73" i="178"/>
  <c r="CU73" i="178" s="1"/>
  <c r="CR73" i="178"/>
  <c r="CH73" i="178"/>
  <c r="CJ73" i="178" s="1"/>
  <c r="CG73" i="178"/>
  <c r="BW73" i="178"/>
  <c r="BY73" i="178" s="1"/>
  <c r="BV73" i="178"/>
  <c r="BL73" i="178"/>
  <c r="BN73" i="178" s="1"/>
  <c r="BK73" i="178"/>
  <c r="BA73" i="178"/>
  <c r="BC73" i="178" s="1"/>
  <c r="AZ73" i="178"/>
  <c r="AP73" i="178"/>
  <c r="AR73" i="178" s="1"/>
  <c r="AO73" i="178"/>
  <c r="AE73" i="178"/>
  <c r="AG73" i="178" s="1"/>
  <c r="AD73" i="178"/>
  <c r="T73" i="178"/>
  <c r="V73" i="178" s="1"/>
  <c r="S73" i="178"/>
  <c r="I73" i="178"/>
  <c r="K73" i="178" s="1"/>
  <c r="H73" i="178"/>
  <c r="EB64" i="178"/>
  <c r="DZ64" i="178"/>
  <c r="DY64" i="178"/>
  <c r="EF64" i="178" s="1"/>
  <c r="DO64" i="178"/>
  <c r="DQ64" i="178" s="1"/>
  <c r="DN64" i="178"/>
  <c r="DD64" i="178"/>
  <c r="DF64" i="178" s="1"/>
  <c r="DC64" i="178"/>
  <c r="CU64" i="178"/>
  <c r="CS64" i="178"/>
  <c r="CR64" i="178"/>
  <c r="CJ64" i="178"/>
  <c r="CH64" i="178"/>
  <c r="CG64" i="178"/>
  <c r="BW64" i="178"/>
  <c r="BY64" i="178" s="1"/>
  <c r="BV64" i="178"/>
  <c r="BL64" i="178"/>
  <c r="BN64" i="178" s="1"/>
  <c r="BK64" i="178"/>
  <c r="BC64" i="178"/>
  <c r="BA64" i="178"/>
  <c r="AZ64" i="178"/>
  <c r="AR64" i="178"/>
  <c r="AP64" i="178"/>
  <c r="AO64" i="178"/>
  <c r="AE64" i="178"/>
  <c r="AG64" i="178" s="1"/>
  <c r="AD64" i="178"/>
  <c r="T64" i="178"/>
  <c r="V64" i="178" s="1"/>
  <c r="S64" i="178"/>
  <c r="K64" i="178"/>
  <c r="I64" i="178"/>
  <c r="H64" i="178"/>
  <c r="EB63" i="178"/>
  <c r="DZ63" i="178"/>
  <c r="DY63" i="178"/>
  <c r="DO63" i="178"/>
  <c r="DQ63" i="178" s="1"/>
  <c r="DN63" i="178"/>
  <c r="DD63" i="178"/>
  <c r="DF63" i="178" s="1"/>
  <c r="DC63" i="178"/>
  <c r="CU63" i="178"/>
  <c r="CS63" i="178"/>
  <c r="CR63" i="178"/>
  <c r="CJ63" i="178"/>
  <c r="CH63" i="178"/>
  <c r="CG63" i="178"/>
  <c r="BW63" i="178"/>
  <c r="BY63" i="178" s="1"/>
  <c r="BV63" i="178"/>
  <c r="BL63" i="178"/>
  <c r="BN63" i="178" s="1"/>
  <c r="BK63" i="178"/>
  <c r="BC63" i="178"/>
  <c r="BA63" i="178"/>
  <c r="AZ63" i="178"/>
  <c r="AR63" i="178"/>
  <c r="AP63" i="178"/>
  <c r="AO63" i="178"/>
  <c r="AE63" i="178"/>
  <c r="AG63" i="178" s="1"/>
  <c r="AD63" i="178"/>
  <c r="T63" i="178"/>
  <c r="V63" i="178" s="1"/>
  <c r="S63" i="178"/>
  <c r="K63" i="178"/>
  <c r="I63" i="178"/>
  <c r="H63" i="178"/>
  <c r="EC62" i="178"/>
  <c r="EB62" i="178"/>
  <c r="EF62" i="178" s="1"/>
  <c r="DY62" i="178"/>
  <c r="DR62" i="178"/>
  <c r="DQ62" i="178"/>
  <c r="DN62" i="178"/>
  <c r="DG62" i="178"/>
  <c r="DF62" i="178"/>
  <c r="DC62" i="178"/>
  <c r="CV62" i="178"/>
  <c r="CU62" i="178"/>
  <c r="CR62" i="178"/>
  <c r="CK62" i="178"/>
  <c r="CJ62" i="178"/>
  <c r="CG62" i="178"/>
  <c r="BZ62" i="178"/>
  <c r="BY62" i="178"/>
  <c r="BV62" i="178"/>
  <c r="BO62" i="178"/>
  <c r="BN62" i="178"/>
  <c r="BK62" i="178"/>
  <c r="BD62" i="178"/>
  <c r="BC62" i="178"/>
  <c r="AZ62" i="178"/>
  <c r="AS62" i="178"/>
  <c r="AR62" i="178"/>
  <c r="AO62" i="178"/>
  <c r="AH62" i="178"/>
  <c r="AG62" i="178"/>
  <c r="AD62" i="178"/>
  <c r="W62" i="178"/>
  <c r="V62" i="178"/>
  <c r="S62" i="178"/>
  <c r="L62" i="178"/>
  <c r="K62" i="178"/>
  <c r="H62" i="178"/>
  <c r="EF61" i="178"/>
  <c r="DZ61" i="178"/>
  <c r="EB61" i="178" s="1"/>
  <c r="DY61" i="178"/>
  <c r="DQ61" i="178"/>
  <c r="DO61" i="178"/>
  <c r="DN61" i="178"/>
  <c r="DF61" i="178"/>
  <c r="DD61" i="178"/>
  <c r="DC61" i="178"/>
  <c r="CS61" i="178"/>
  <c r="CU61" i="178" s="1"/>
  <c r="CR61" i="178"/>
  <c r="CH61" i="178"/>
  <c r="CJ61" i="178" s="1"/>
  <c r="CG61" i="178"/>
  <c r="BY61" i="178"/>
  <c r="BW61" i="178"/>
  <c r="BV61" i="178"/>
  <c r="BN61" i="178"/>
  <c r="BL61" i="178"/>
  <c r="BK61" i="178"/>
  <c r="BA61" i="178"/>
  <c r="BC61" i="178" s="1"/>
  <c r="AZ61" i="178"/>
  <c r="AP61" i="178"/>
  <c r="AR61" i="178" s="1"/>
  <c r="AO61" i="178"/>
  <c r="AG61" i="178"/>
  <c r="AE61" i="178"/>
  <c r="AD61" i="178"/>
  <c r="V61" i="178"/>
  <c r="T61" i="178"/>
  <c r="S61" i="178"/>
  <c r="I61" i="178"/>
  <c r="K61" i="178" s="1"/>
  <c r="H61" i="178"/>
  <c r="EB60" i="178"/>
  <c r="DZ60" i="178"/>
  <c r="DY60" i="178"/>
  <c r="EF60" i="178" s="1"/>
  <c r="DQ60" i="178"/>
  <c r="DO60" i="178"/>
  <c r="DN60" i="178"/>
  <c r="DD60" i="178"/>
  <c r="DF60" i="178" s="1"/>
  <c r="DC60" i="178"/>
  <c r="CS60" i="178"/>
  <c r="CU60" i="178" s="1"/>
  <c r="CR60" i="178"/>
  <c r="CJ60" i="178"/>
  <c r="CH60" i="178"/>
  <c r="CG60" i="178"/>
  <c r="BY60" i="178"/>
  <c r="BW60" i="178"/>
  <c r="BV60" i="178"/>
  <c r="BL60" i="178"/>
  <c r="BN60" i="178" s="1"/>
  <c r="BK60" i="178"/>
  <c r="BA60" i="178"/>
  <c r="BC60" i="178" s="1"/>
  <c r="AZ60" i="178"/>
  <c r="AR60" i="178"/>
  <c r="AP60" i="178"/>
  <c r="AO60" i="178"/>
  <c r="AG60" i="178"/>
  <c r="AE60" i="178"/>
  <c r="AD60" i="178"/>
  <c r="T60" i="178"/>
  <c r="V60" i="178" s="1"/>
  <c r="S60" i="178"/>
  <c r="I60" i="178"/>
  <c r="K60" i="178" s="1"/>
  <c r="H60" i="178"/>
  <c r="EB59" i="178"/>
  <c r="DZ59" i="178"/>
  <c r="DY59" i="178"/>
  <c r="EF59" i="178" s="1"/>
  <c r="DQ59" i="178"/>
  <c r="DO59" i="178"/>
  <c r="DN59" i="178"/>
  <c r="DF59" i="178"/>
  <c r="DD59" i="178"/>
  <c r="DC59" i="178"/>
  <c r="CU59" i="178"/>
  <c r="CS59" i="178"/>
  <c r="CR59" i="178"/>
  <c r="CJ59" i="178"/>
  <c r="CH59" i="178"/>
  <c r="CG59" i="178"/>
  <c r="BY59" i="178"/>
  <c r="BW59" i="178"/>
  <c r="BV59" i="178"/>
  <c r="BN59" i="178"/>
  <c r="BL59" i="178"/>
  <c r="BK59" i="178"/>
  <c r="BC59" i="178"/>
  <c r="BA59" i="178"/>
  <c r="AZ59" i="178"/>
  <c r="AR59" i="178"/>
  <c r="AP59" i="178"/>
  <c r="AO59" i="178"/>
  <c r="AG59" i="178"/>
  <c r="AE59" i="178"/>
  <c r="AD59" i="178"/>
  <c r="V59" i="178"/>
  <c r="T59" i="178"/>
  <c r="S59" i="178"/>
  <c r="K59" i="178"/>
  <c r="I59" i="178"/>
  <c r="H59" i="178"/>
  <c r="EF58" i="178"/>
  <c r="EB58" i="178"/>
  <c r="DZ58" i="178"/>
  <c r="DY58" i="178"/>
  <c r="DQ58" i="178"/>
  <c r="DO58" i="178"/>
  <c r="DN58" i="178"/>
  <c r="DF58" i="178"/>
  <c r="DD58" i="178"/>
  <c r="DC58" i="178"/>
  <c r="CU58" i="178"/>
  <c r="CS58" i="178"/>
  <c r="CR58" i="178"/>
  <c r="CJ58" i="178"/>
  <c r="CH58" i="178"/>
  <c r="CG58" i="178"/>
  <c r="BY58" i="178"/>
  <c r="BW58" i="178"/>
  <c r="BV58" i="178"/>
  <c r="BN58" i="178"/>
  <c r="BL58" i="178"/>
  <c r="BK58" i="178"/>
  <c r="BC58" i="178"/>
  <c r="BA58" i="178"/>
  <c r="AZ58" i="178"/>
  <c r="AR58" i="178"/>
  <c r="AP58" i="178"/>
  <c r="AO58" i="178"/>
  <c r="AG58" i="178"/>
  <c r="AE58" i="178"/>
  <c r="AD58" i="178"/>
  <c r="V58" i="178"/>
  <c r="T58" i="178"/>
  <c r="S58" i="178"/>
  <c r="K58" i="178"/>
  <c r="I58" i="178"/>
  <c r="H58" i="178"/>
  <c r="DZ55" i="178"/>
  <c r="EB55" i="178" s="1"/>
  <c r="DY55" i="178"/>
  <c r="EF55" i="178" s="1"/>
  <c r="DQ55" i="178"/>
  <c r="DO55" i="178"/>
  <c r="DN55" i="178"/>
  <c r="DF55" i="178"/>
  <c r="DD55" i="178"/>
  <c r="DC55" i="178"/>
  <c r="CU55" i="178"/>
  <c r="CS55" i="178"/>
  <c r="CR55" i="178"/>
  <c r="CH55" i="178"/>
  <c r="CJ55" i="178" s="1"/>
  <c r="CG55" i="178"/>
  <c r="BY55" i="178"/>
  <c r="BW55" i="178"/>
  <c r="BV55" i="178"/>
  <c r="BN55" i="178"/>
  <c r="BL55" i="178"/>
  <c r="BK55" i="178"/>
  <c r="BA55" i="178"/>
  <c r="BC55" i="178" s="1"/>
  <c r="AZ55" i="178"/>
  <c r="AR55" i="178"/>
  <c r="AP55" i="178"/>
  <c r="AO55" i="178"/>
  <c r="AG55" i="178"/>
  <c r="AE55" i="178"/>
  <c r="AD55" i="178"/>
  <c r="V55" i="178"/>
  <c r="T55" i="178"/>
  <c r="S55" i="178"/>
  <c r="K55" i="178"/>
  <c r="I55" i="178"/>
  <c r="H55" i="178"/>
  <c r="EB54" i="178"/>
  <c r="DZ54" i="178"/>
  <c r="DY54" i="178"/>
  <c r="DQ54" i="178"/>
  <c r="DO54" i="178"/>
  <c r="DN54" i="178"/>
  <c r="DF54" i="178"/>
  <c r="DD54" i="178"/>
  <c r="DC54" i="178"/>
  <c r="CU54" i="178"/>
  <c r="CS54" i="178"/>
  <c r="CR54" i="178"/>
  <c r="CJ54" i="178"/>
  <c r="CH54" i="178"/>
  <c r="CG54" i="178"/>
  <c r="BY54" i="178"/>
  <c r="BW54" i="178"/>
  <c r="BV54" i="178"/>
  <c r="BN54" i="178"/>
  <c r="BL54" i="178"/>
  <c r="BK54" i="178"/>
  <c r="BC54" i="178"/>
  <c r="BA54" i="178"/>
  <c r="AZ54" i="178"/>
  <c r="AR54" i="178"/>
  <c r="AP54" i="178"/>
  <c r="AO54" i="178"/>
  <c r="AG54" i="178"/>
  <c r="AE54" i="178"/>
  <c r="AD54" i="178"/>
  <c r="V54" i="178"/>
  <c r="T54" i="178"/>
  <c r="S54" i="178"/>
  <c r="K54" i="178"/>
  <c r="I54" i="178"/>
  <c r="H54" i="178"/>
  <c r="EF53" i="178"/>
  <c r="EC53" i="178"/>
  <c r="EB53" i="178"/>
  <c r="DY53" i="178"/>
  <c r="DR53" i="178"/>
  <c r="DQ53" i="178"/>
  <c r="DN53" i="178"/>
  <c r="DG53" i="178"/>
  <c r="DF53" i="178"/>
  <c r="DC53" i="178"/>
  <c r="CV53" i="178"/>
  <c r="CU53" i="178"/>
  <c r="CR53" i="178"/>
  <c r="CK53" i="178"/>
  <c r="CJ53" i="178"/>
  <c r="CG53" i="178"/>
  <c r="BZ53" i="178"/>
  <c r="BY53" i="178"/>
  <c r="BV53" i="178"/>
  <c r="BO53" i="178"/>
  <c r="BN53" i="178"/>
  <c r="BK53" i="178"/>
  <c r="BD53" i="178"/>
  <c r="BC53" i="178"/>
  <c r="AZ53" i="178"/>
  <c r="AS53" i="178"/>
  <c r="AR53" i="178"/>
  <c r="AO53" i="178"/>
  <c r="AH53" i="178"/>
  <c r="AG53" i="178"/>
  <c r="AD53" i="178"/>
  <c r="W53" i="178"/>
  <c r="V53" i="178"/>
  <c r="S53" i="178"/>
  <c r="L53" i="178"/>
  <c r="K53" i="178"/>
  <c r="H53" i="178"/>
  <c r="EB52" i="178"/>
  <c r="DY52" i="178"/>
  <c r="EF52" i="178" s="1"/>
  <c r="DQ52" i="178"/>
  <c r="DN52" i="178"/>
  <c r="DF52" i="178"/>
  <c r="DC52" i="178"/>
  <c r="CU52" i="178"/>
  <c r="CR52" i="178"/>
  <c r="CJ52" i="178"/>
  <c r="CG52" i="178"/>
  <c r="BY52" i="178"/>
  <c r="BV52" i="178"/>
  <c r="BN52" i="178"/>
  <c r="BK52" i="178"/>
  <c r="BC52" i="178"/>
  <c r="AZ52" i="178"/>
  <c r="AR52" i="178"/>
  <c r="AO52" i="178"/>
  <c r="AG52" i="178"/>
  <c r="AD52" i="178"/>
  <c r="V52" i="178"/>
  <c r="S52" i="178"/>
  <c r="K52" i="178"/>
  <c r="H52" i="178"/>
  <c r="DZ49" i="178"/>
  <c r="EB49" i="178" s="1"/>
  <c r="EF49" i="178" s="1"/>
  <c r="DY49" i="178"/>
  <c r="DQ49" i="178"/>
  <c r="DO49" i="178"/>
  <c r="DN49" i="178"/>
  <c r="DF49" i="178"/>
  <c r="DD49" i="178"/>
  <c r="DC49" i="178"/>
  <c r="CS49" i="178"/>
  <c r="CU49" i="178" s="1"/>
  <c r="CR49" i="178"/>
  <c r="CH49" i="178"/>
  <c r="CJ49" i="178" s="1"/>
  <c r="CG49" i="178"/>
  <c r="BY49" i="178"/>
  <c r="BW49" i="178"/>
  <c r="BV49" i="178"/>
  <c r="BN49" i="178"/>
  <c r="BL49" i="178"/>
  <c r="BK49" i="178"/>
  <c r="BA49" i="178"/>
  <c r="BC49" i="178" s="1"/>
  <c r="AZ49" i="178"/>
  <c r="AP49" i="178"/>
  <c r="AR49" i="178" s="1"/>
  <c r="AO49" i="178"/>
  <c r="AG49" i="178"/>
  <c r="AE49" i="178"/>
  <c r="AD49" i="178"/>
  <c r="V49" i="178"/>
  <c r="T49" i="178"/>
  <c r="S49" i="178"/>
  <c r="I49" i="178"/>
  <c r="K49" i="178" s="1"/>
  <c r="H49" i="178"/>
  <c r="EF48" i="178"/>
  <c r="EB48" i="178"/>
  <c r="DZ48" i="178"/>
  <c r="DY48" i="178"/>
  <c r="DQ48" i="178"/>
  <c r="DO48" i="178"/>
  <c r="DN48" i="178"/>
  <c r="DF48" i="178"/>
  <c r="DD48" i="178"/>
  <c r="DC48" i="178"/>
  <c r="CS48" i="178"/>
  <c r="CU48" i="178" s="1"/>
  <c r="CR48" i="178"/>
  <c r="CJ48" i="178"/>
  <c r="CH48" i="178"/>
  <c r="CG48" i="178"/>
  <c r="BY48" i="178"/>
  <c r="BW48" i="178"/>
  <c r="BV48" i="178"/>
  <c r="BL48" i="178"/>
  <c r="BN48" i="178" s="1"/>
  <c r="BK48" i="178"/>
  <c r="BA48" i="178"/>
  <c r="BC48" i="178" s="1"/>
  <c r="AZ48" i="178"/>
  <c r="AR48" i="178"/>
  <c r="AP48" i="178"/>
  <c r="AO48" i="178"/>
  <c r="AG48" i="178"/>
  <c r="AE48" i="178"/>
  <c r="AD48" i="178"/>
  <c r="V48" i="178"/>
  <c r="T48" i="178"/>
  <c r="S48" i="178"/>
  <c r="I48" i="178"/>
  <c r="K48" i="178" s="1"/>
  <c r="H48" i="178"/>
  <c r="EF45" i="178"/>
  <c r="EB45" i="178"/>
  <c r="DV45" i="178"/>
  <c r="DY45" i="178" s="1"/>
  <c r="DQ45" i="178"/>
  <c r="DK45" i="178"/>
  <c r="DN45" i="178" s="1"/>
  <c r="DF45" i="178"/>
  <c r="DC45" i="178"/>
  <c r="CZ45" i="178"/>
  <c r="CU45" i="178"/>
  <c r="CR45" i="178"/>
  <c r="CO45" i="178"/>
  <c r="CJ45" i="178"/>
  <c r="CD45" i="178"/>
  <c r="CG45" i="178" s="1"/>
  <c r="BY45" i="178"/>
  <c r="BS45" i="178"/>
  <c r="BV45" i="178" s="1"/>
  <c r="BN45" i="178"/>
  <c r="BK45" i="178"/>
  <c r="BH45" i="178"/>
  <c r="BC45" i="178"/>
  <c r="AZ45" i="178"/>
  <c r="AW45" i="178"/>
  <c r="AR45" i="178"/>
  <c r="AL45" i="178"/>
  <c r="AO45" i="178" s="1"/>
  <c r="AG45" i="178"/>
  <c r="AA45" i="178"/>
  <c r="AD45" i="178" s="1"/>
  <c r="V45" i="178"/>
  <c r="S45" i="178"/>
  <c r="P45" i="178"/>
  <c r="K45" i="178"/>
  <c r="H45" i="178"/>
  <c r="E45" i="178"/>
  <c r="EF44" i="178"/>
  <c r="EB44" i="178"/>
  <c r="DZ44" i="178"/>
  <c r="DY44" i="178"/>
  <c r="DQ44" i="178"/>
  <c r="DO44" i="178"/>
  <c r="DN44" i="178"/>
  <c r="DF44" i="178"/>
  <c r="DD44" i="178"/>
  <c r="DC44" i="178"/>
  <c r="CS44" i="178"/>
  <c r="CU44" i="178" s="1"/>
  <c r="CR44" i="178"/>
  <c r="CJ44" i="178"/>
  <c r="CH44" i="178"/>
  <c r="CG44" i="178"/>
  <c r="BY44" i="178"/>
  <c r="BW44" i="178"/>
  <c r="BV44" i="178"/>
  <c r="BL44" i="178"/>
  <c r="BN44" i="178" s="1"/>
  <c r="BK44" i="178"/>
  <c r="BA44" i="178"/>
  <c r="BC44" i="178" s="1"/>
  <c r="AZ44" i="178"/>
  <c r="AR44" i="178"/>
  <c r="AP44" i="178"/>
  <c r="AO44" i="178"/>
  <c r="AG44" i="178"/>
  <c r="AE44" i="178"/>
  <c r="AD44" i="178"/>
  <c r="T44" i="178"/>
  <c r="V44" i="178" s="1"/>
  <c r="S44" i="178"/>
  <c r="I44" i="178"/>
  <c r="K44" i="178" s="1"/>
  <c r="H44" i="178"/>
  <c r="EB43" i="178"/>
  <c r="EF43" i="178" s="1"/>
  <c r="DZ43" i="178"/>
  <c r="DY43" i="178"/>
  <c r="DO43" i="178"/>
  <c r="DQ43" i="178" s="1"/>
  <c r="DN43" i="178"/>
  <c r="DD43" i="178"/>
  <c r="DF43" i="178" s="1"/>
  <c r="DC43" i="178"/>
  <c r="CU43" i="178"/>
  <c r="CS43" i="178"/>
  <c r="CR43" i="178"/>
  <c r="CJ43" i="178"/>
  <c r="CH43" i="178"/>
  <c r="CG43" i="178"/>
  <c r="BW43" i="178"/>
  <c r="BY43" i="178" s="1"/>
  <c r="BV43" i="178"/>
  <c r="BL43" i="178"/>
  <c r="BN43" i="178" s="1"/>
  <c r="BK43" i="178"/>
  <c r="BC43" i="178"/>
  <c r="BA43" i="178"/>
  <c r="AZ43" i="178"/>
  <c r="AR43" i="178"/>
  <c r="AP43" i="178"/>
  <c r="AO43" i="178"/>
  <c r="AG43" i="178"/>
  <c r="AE43" i="178"/>
  <c r="AD43" i="178"/>
  <c r="T43" i="178"/>
  <c r="V43" i="178" s="1"/>
  <c r="S43" i="178"/>
  <c r="K43" i="178"/>
  <c r="I43" i="178"/>
  <c r="H43" i="178"/>
  <c r="ED42" i="178"/>
  <c r="EB42" i="178"/>
  <c r="DY42" i="178"/>
  <c r="DS42" i="178"/>
  <c r="DQ42" i="178"/>
  <c r="DN42" i="178"/>
  <c r="DH42" i="178"/>
  <c r="DF42" i="178"/>
  <c r="DC42" i="178"/>
  <c r="CW42" i="178"/>
  <c r="CU42" i="178"/>
  <c r="CR42" i="178"/>
  <c r="CL42" i="178"/>
  <c r="CJ42" i="178"/>
  <c r="CG42" i="178"/>
  <c r="CA42" i="178"/>
  <c r="BY42" i="178"/>
  <c r="BV42" i="178"/>
  <c r="BP42" i="178"/>
  <c r="BN42" i="178"/>
  <c r="BK42" i="178"/>
  <c r="BE42" i="178"/>
  <c r="BC42" i="178"/>
  <c r="AZ42" i="178"/>
  <c r="AT42" i="178"/>
  <c r="AR42" i="178"/>
  <c r="AO42" i="178"/>
  <c r="AI42" i="178"/>
  <c r="AG42" i="178"/>
  <c r="AD42" i="178"/>
  <c r="X42" i="178"/>
  <c r="V42" i="178"/>
  <c r="S42" i="178"/>
  <c r="M42" i="178"/>
  <c r="K42" i="178"/>
  <c r="H42" i="178"/>
  <c r="DZ41" i="178"/>
  <c r="EB41" i="178" s="1"/>
  <c r="EF41" i="178" s="1"/>
  <c r="DY41" i="178"/>
  <c r="DQ41" i="178"/>
  <c r="DO41" i="178"/>
  <c r="DN41" i="178"/>
  <c r="DF41" i="178"/>
  <c r="DD41" i="178"/>
  <c r="DC41" i="178"/>
  <c r="CU41" i="178"/>
  <c r="CS41" i="178"/>
  <c r="CR41" i="178"/>
  <c r="CH41" i="178"/>
  <c r="CJ41" i="178" s="1"/>
  <c r="CG41" i="178"/>
  <c r="BY41" i="178"/>
  <c r="BW41" i="178"/>
  <c r="BV41" i="178"/>
  <c r="BN41" i="178"/>
  <c r="BL41" i="178"/>
  <c r="BK41" i="178"/>
  <c r="BC41" i="178"/>
  <c r="BA41" i="178"/>
  <c r="AZ41" i="178"/>
  <c r="AP41" i="178"/>
  <c r="AR41" i="178" s="1"/>
  <c r="AO41" i="178"/>
  <c r="AG41" i="178"/>
  <c r="AE41" i="178"/>
  <c r="AD41" i="178"/>
  <c r="V41" i="178"/>
  <c r="T41" i="178"/>
  <c r="S41" i="178"/>
  <c r="I41" i="178"/>
  <c r="K41" i="178" s="1"/>
  <c r="H41" i="178"/>
  <c r="EC36" i="178"/>
  <c r="EF36" i="178" s="1"/>
  <c r="EB36" i="178"/>
  <c r="DY36" i="178"/>
  <c r="DR36" i="178"/>
  <c r="DQ36" i="178"/>
  <c r="DN36" i="178"/>
  <c r="DG36" i="178"/>
  <c r="DF36" i="178"/>
  <c r="DC36" i="178"/>
  <c r="CV36" i="178"/>
  <c r="CU36" i="178"/>
  <c r="CR36" i="178"/>
  <c r="CK36" i="178"/>
  <c r="CJ36" i="178"/>
  <c r="CG36" i="178"/>
  <c r="BZ36" i="178"/>
  <c r="BY36" i="178"/>
  <c r="BV36" i="178"/>
  <c r="BO36" i="178"/>
  <c r="BN36" i="178"/>
  <c r="BK36" i="178"/>
  <c r="BD36" i="178"/>
  <c r="BC36" i="178"/>
  <c r="AZ36" i="178"/>
  <c r="AS36" i="178"/>
  <c r="AR36" i="178"/>
  <c r="AO36" i="178"/>
  <c r="AH36" i="178"/>
  <c r="AG36" i="178"/>
  <c r="AD36" i="178"/>
  <c r="W36" i="178"/>
  <c r="V36" i="178"/>
  <c r="S36" i="178"/>
  <c r="L36" i="178"/>
  <c r="K36" i="178"/>
  <c r="H36" i="178"/>
  <c r="DZ33" i="178"/>
  <c r="EB33" i="178" s="1"/>
  <c r="EF33" i="178" s="1"/>
  <c r="DY33" i="178"/>
  <c r="DO33" i="178"/>
  <c r="DQ33" i="178" s="1"/>
  <c r="DN33" i="178"/>
  <c r="DD33" i="178"/>
  <c r="DF33" i="178" s="1"/>
  <c r="DC33" i="178"/>
  <c r="CS33" i="178"/>
  <c r="CU33" i="178" s="1"/>
  <c r="CR33" i="178"/>
  <c r="CH33" i="178"/>
  <c r="CJ33" i="178" s="1"/>
  <c r="CG33" i="178"/>
  <c r="BW33" i="178"/>
  <c r="BY33" i="178" s="1"/>
  <c r="BV33" i="178"/>
  <c r="BL33" i="178"/>
  <c r="BN33" i="178" s="1"/>
  <c r="BK33" i="178"/>
  <c r="BA33" i="178"/>
  <c r="BC33" i="178" s="1"/>
  <c r="AZ33" i="178"/>
  <c r="AP33" i="178"/>
  <c r="AR33" i="178" s="1"/>
  <c r="AO33" i="178"/>
  <c r="AE33" i="178"/>
  <c r="AG33" i="178" s="1"/>
  <c r="AD33" i="178"/>
  <c r="T33" i="178"/>
  <c r="V33" i="178" s="1"/>
  <c r="S33" i="178"/>
  <c r="I33" i="178"/>
  <c r="K33" i="178" s="1"/>
  <c r="H33" i="178"/>
  <c r="DU30" i="178"/>
  <c r="DJ30" i="178"/>
  <c r="DJ79" i="178" s="1"/>
  <c r="CY30" i="178"/>
  <c r="CY79" i="178" s="1"/>
  <c r="CN30" i="178"/>
  <c r="CN79" i="178" s="1"/>
  <c r="CC30" i="178"/>
  <c r="CC79" i="178" s="1"/>
  <c r="BR30" i="178"/>
  <c r="BR79" i="178" s="1"/>
  <c r="BG30" i="178"/>
  <c r="BG79" i="178" s="1"/>
  <c r="AV30" i="178"/>
  <c r="AV79" i="178" s="1"/>
  <c r="AK30" i="178"/>
  <c r="AK79" i="178" s="1"/>
  <c r="Z30" i="178"/>
  <c r="Z79" i="178" s="1"/>
  <c r="O30" i="178"/>
  <c r="O79" i="178" s="1"/>
  <c r="D30" i="178"/>
  <c r="D79" i="178" s="1"/>
  <c r="EE29" i="178"/>
  <c r="EE28" i="178"/>
  <c r="EE27" i="178"/>
  <c r="EE26" i="178"/>
  <c r="EE25" i="178"/>
  <c r="EE24" i="178"/>
  <c r="EE23" i="178"/>
  <c r="EE22" i="178"/>
  <c r="EE20" i="178"/>
  <c r="EE19" i="178"/>
  <c r="EE18" i="178"/>
  <c r="EE17" i="178"/>
  <c r="EE16" i="178"/>
  <c r="EE15" i="178"/>
  <c r="A15" i="178"/>
  <c r="A16" i="178" s="1"/>
  <c r="A17" i="178" s="1"/>
  <c r="A18" i="178" s="1"/>
  <c r="A19" i="178" s="1"/>
  <c r="A20" i="178" s="1"/>
  <c r="A21" i="178" s="1"/>
  <c r="A22" i="178" s="1"/>
  <c r="A23" i="178" s="1"/>
  <c r="A24" i="178" s="1"/>
  <c r="A25" i="178" s="1"/>
  <c r="A26" i="178" s="1"/>
  <c r="A27" i="178" s="1"/>
  <c r="A28" i="178" s="1"/>
  <c r="A29" i="178" s="1"/>
  <c r="A30" i="178" s="1"/>
  <c r="A31" i="178" s="1"/>
  <c r="A32" i="178" s="1"/>
  <c r="A33" i="178" s="1"/>
  <c r="A34" i="178" s="1"/>
  <c r="A35" i="178" s="1"/>
  <c r="A36" i="178" s="1"/>
  <c r="A37" i="178" s="1"/>
  <c r="A38" i="178" s="1"/>
  <c r="A39" i="178" s="1"/>
  <c r="A40" i="178" s="1"/>
  <c r="A41" i="178" s="1"/>
  <c r="A42" i="178" s="1"/>
  <c r="A43" i="178" s="1"/>
  <c r="A44" i="178" s="1"/>
  <c r="A45" i="178" s="1"/>
  <c r="A46" i="178" s="1"/>
  <c r="A47" i="178" s="1"/>
  <c r="A48" i="178" s="1"/>
  <c r="A49" i="178" s="1"/>
  <c r="A50" i="178" s="1"/>
  <c r="A51" i="178" s="1"/>
  <c r="A52" i="178" s="1"/>
  <c r="A53" i="178" s="1"/>
  <c r="A54" i="178" s="1"/>
  <c r="A55" i="178" s="1"/>
  <c r="A56" i="178" s="1"/>
  <c r="A57" i="178" s="1"/>
  <c r="A58" i="178" s="1"/>
  <c r="A59" i="178" s="1"/>
  <c r="A60" i="178" s="1"/>
  <c r="A61" i="178" s="1"/>
  <c r="A62" i="178" s="1"/>
  <c r="A63" i="178" s="1"/>
  <c r="A64" i="178" s="1"/>
  <c r="A65" i="178" s="1"/>
  <c r="A66" i="178" s="1"/>
  <c r="A67" i="178" s="1"/>
  <c r="A68" i="178" s="1"/>
  <c r="A69" i="178" s="1"/>
  <c r="A70" i="178" s="1"/>
  <c r="A71" i="178" s="1"/>
  <c r="A72" i="178" s="1"/>
  <c r="A73" i="178" s="1"/>
  <c r="A74" i="178" s="1"/>
  <c r="A75" i="178" s="1"/>
  <c r="A76" i="178" s="1"/>
  <c r="A77" i="178" s="1"/>
  <c r="A78" i="178" s="1"/>
  <c r="A79" i="178" s="1"/>
  <c r="EE14" i="178"/>
  <c r="A14" i="178"/>
  <c r="AG71" i="178" l="1"/>
  <c r="DU79" i="178"/>
  <c r="EF74" i="178"/>
  <c r="BN37" i="178"/>
  <c r="EB57" i="178"/>
  <c r="CG71" i="178"/>
  <c r="AG56" i="178"/>
  <c r="BV69" i="178"/>
  <c r="CJ37" i="178"/>
  <c r="EB56" i="178"/>
  <c r="BY57" i="178"/>
  <c r="BC67" i="178"/>
  <c r="AO70" i="178"/>
  <c r="BY72" i="178"/>
  <c r="EB37" i="178"/>
  <c r="EB68" i="178"/>
  <c r="V67" i="178"/>
  <c r="BC57" i="178"/>
  <c r="AR65" i="178"/>
  <c r="H68" i="178"/>
  <c r="AZ69" i="178"/>
  <c r="BY69" i="178"/>
  <c r="AR56" i="178"/>
  <c r="DF72" i="178"/>
  <c r="BY65" i="178"/>
  <c r="DQ72" i="178"/>
  <c r="DC56" i="178"/>
  <c r="CG70" i="178"/>
  <c r="V68" i="178"/>
  <c r="DN69" i="178"/>
  <c r="DF70" i="178"/>
  <c r="V72" i="178"/>
  <c r="K67" i="178"/>
  <c r="K71" i="178"/>
  <c r="AR70" i="178"/>
  <c r="S56" i="178"/>
  <c r="DQ65" i="178"/>
  <c r="CU65" i="178"/>
  <c r="EB65" i="178"/>
  <c r="AR68" i="178"/>
  <c r="K69" i="178"/>
  <c r="CJ69" i="178"/>
  <c r="AR72" i="178"/>
  <c r="AZ70" i="178"/>
  <c r="AO65" i="178"/>
  <c r="CG67" i="178"/>
  <c r="K70" i="178"/>
  <c r="H71" i="178"/>
  <c r="CJ72" i="178"/>
  <c r="CU37" i="178"/>
  <c r="DF68" i="178"/>
  <c r="BY37" i="178"/>
  <c r="AR67" i="178"/>
  <c r="CJ68" i="178"/>
  <c r="H69" i="178"/>
  <c r="H56" i="178"/>
  <c r="CU57" i="178"/>
  <c r="AG65" i="178"/>
  <c r="BY67" i="178"/>
  <c r="BC70" i="178"/>
  <c r="EB70" i="178"/>
  <c r="CG65" i="178"/>
  <c r="H70" i="178"/>
  <c r="BK56" i="178"/>
  <c r="CJ65" i="178"/>
  <c r="AZ68" i="178"/>
  <c r="BC71" i="178"/>
  <c r="CJ56" i="178"/>
  <c r="BN56" i="178"/>
  <c r="DF67" i="178"/>
  <c r="K57" i="178"/>
  <c r="AZ37" i="178"/>
  <c r="DQ56" i="178"/>
  <c r="CJ57" i="178"/>
  <c r="V65" i="178"/>
  <c r="DN71" i="178"/>
  <c r="AZ65" i="178"/>
  <c r="AZ56" i="178"/>
  <c r="CU70" i="178"/>
  <c r="S71" i="178"/>
  <c r="H37" i="178"/>
  <c r="AG69" i="178"/>
  <c r="BC65" i="178"/>
  <c r="AZ72" i="178"/>
  <c r="CG37" i="178"/>
  <c r="V57" i="178"/>
  <c r="K37" i="178"/>
  <c r="AD37" i="178"/>
  <c r="DN56" i="178"/>
  <c r="AR57" i="178"/>
  <c r="DN57" i="178"/>
  <c r="BV65" i="178"/>
  <c r="BN67" i="178"/>
  <c r="BN68" i="178"/>
  <c r="DC68" i="178"/>
  <c r="BN69" i="178"/>
  <c r="DN70" i="178"/>
  <c r="EB72" i="178"/>
  <c r="DY67" i="178"/>
  <c r="DY37" i="178"/>
  <c r="AD57" i="178"/>
  <c r="DQ71" i="178"/>
  <c r="DY65" i="178"/>
  <c r="AG37" i="178"/>
  <c r="S37" i="178"/>
  <c r="CR67" i="178"/>
  <c r="BV68" i="178"/>
  <c r="CR70" i="178"/>
  <c r="AZ71" i="178"/>
  <c r="BN72" i="178"/>
  <c r="DN37" i="178"/>
  <c r="BC56" i="178"/>
  <c r="CR56" i="178"/>
  <c r="AD65" i="178"/>
  <c r="DN68" i="178"/>
  <c r="BK37" i="178"/>
  <c r="BY56" i="178"/>
  <c r="K65" i="178"/>
  <c r="BN65" i="178"/>
  <c r="H67" i="178"/>
  <c r="AO67" i="178"/>
  <c r="BK68" i="178"/>
  <c r="AG72" i="178"/>
  <c r="S65" i="178"/>
  <c r="AZ67" i="178"/>
  <c r="BY71" i="178"/>
  <c r="CR71" i="178"/>
  <c r="EB71" i="178"/>
  <c r="BV72" i="178"/>
  <c r="DC65" i="178"/>
  <c r="V71" i="178"/>
  <c r="AO71" i="178"/>
  <c r="DC69" i="178"/>
  <c r="AD70" i="178"/>
  <c r="BN70" i="178"/>
  <c r="CR68" i="178"/>
  <c r="AO37" i="178"/>
  <c r="AO56" i="178"/>
  <c r="DY56" i="178"/>
  <c r="CG57" i="178"/>
  <c r="S67" i="178"/>
  <c r="DQ67" i="178"/>
  <c r="BY68" i="178"/>
  <c r="DY69" i="178"/>
  <c r="AR71" i="178"/>
  <c r="CU71" i="178"/>
  <c r="AR37" i="178"/>
  <c r="DQ57" i="178"/>
  <c r="DC67" i="178"/>
  <c r="S69" i="178"/>
  <c r="BC69" i="178"/>
  <c r="CJ70" i="178"/>
  <c r="BK71" i="178"/>
  <c r="BV57" i="178"/>
  <c r="H65" i="178"/>
  <c r="K68" i="178"/>
  <c r="AD68" i="178"/>
  <c r="H72" i="178"/>
  <c r="BK72" i="178"/>
  <c r="K56" i="178"/>
  <c r="AD56" i="178"/>
  <c r="CU56" i="178"/>
  <c r="DC57" i="178"/>
  <c r="V69" i="178"/>
  <c r="AO69" i="178"/>
  <c r="EB69" i="178"/>
  <c r="DY70" i="178"/>
  <c r="BN71" i="178"/>
  <c r="CR72" i="178"/>
  <c r="AO57" i="178"/>
  <c r="DN65" i="178"/>
  <c r="AG68" i="178"/>
  <c r="DQ68" i="178"/>
  <c r="BK69" i="178"/>
  <c r="V70" i="178"/>
  <c r="BV70" i="178"/>
  <c r="AD72" i="178"/>
  <c r="DN72" i="178"/>
  <c r="DQ37" i="178"/>
  <c r="CG56" i="178"/>
  <c r="BK65" i="178"/>
  <c r="S68" i="178"/>
  <c r="AR69" i="178"/>
  <c r="CU69" i="178"/>
  <c r="DC71" i="178"/>
  <c r="H57" i="178"/>
  <c r="BK67" i="178"/>
  <c r="AD69" i="178"/>
  <c r="BC37" i="178"/>
  <c r="BV37" i="178"/>
  <c r="DC37" i="178"/>
  <c r="BK57" i="178"/>
  <c r="CU67" i="178"/>
  <c r="AO68" i="178"/>
  <c r="BC68" i="178"/>
  <c r="DY68" i="178"/>
  <c r="CG69" i="178"/>
  <c r="DQ69" i="178"/>
  <c r="DF71" i="178"/>
  <c r="DY71" i="178"/>
  <c r="S72" i="178"/>
  <c r="DC72" i="178"/>
  <c r="S57" i="178"/>
  <c r="EF42" i="178"/>
  <c r="V37" i="178"/>
  <c r="AG57" i="178"/>
  <c r="AG67" i="178"/>
  <c r="EF54" i="178"/>
  <c r="BV56" i="178"/>
  <c r="DF57" i="178"/>
  <c r="DY57" i="178"/>
  <c r="CR37" i="178"/>
  <c r="DF37" i="178"/>
  <c r="V56" i="178"/>
  <c r="DF56" i="178"/>
  <c r="CR57" i="178"/>
  <c r="EF63" i="178"/>
  <c r="AD67" i="178"/>
  <c r="AD71" i="178"/>
  <c r="CR65" i="178"/>
  <c r="DF65" i="178"/>
  <c r="S70" i="178"/>
  <c r="AG70" i="178"/>
  <c r="K72" i="178"/>
  <c r="DY72" i="178"/>
  <c r="AZ57" i="178"/>
  <c r="BN57" i="178"/>
  <c r="DC70" i="178"/>
  <c r="DQ70" i="178"/>
  <c r="CG72" i="178"/>
  <c r="CU72" i="178"/>
  <c r="DN67" i="178"/>
  <c r="EB67" i="178"/>
  <c r="CR69" i="178"/>
  <c r="DF69" i="178"/>
  <c r="CG68" i="178"/>
  <c r="CU68" i="178"/>
  <c r="BV71" i="178"/>
  <c r="CJ71" i="178"/>
  <c r="BV67" i="178"/>
  <c r="CJ67" i="178"/>
  <c r="BK70" i="178"/>
  <c r="BY70" i="178"/>
  <c r="AO72" i="178"/>
  <c r="BC72" i="178"/>
  <c r="EF37" i="178" l="1"/>
  <c r="EF57" i="178"/>
  <c r="EF68" i="178"/>
  <c r="EF56" i="178"/>
  <c r="EF72" i="178"/>
  <c r="EF65" i="178"/>
  <c r="EF70" i="178"/>
  <c r="EF71" i="178"/>
  <c r="EF67" i="178"/>
  <c r="EF69" i="178"/>
  <c r="V77" i="174" l="1"/>
  <c r="D30" i="175"/>
  <c r="D26" i="175"/>
  <c r="D29" i="175" l="1"/>
  <c r="D27" i="175"/>
  <c r="H46" i="174"/>
  <c r="D25" i="175"/>
  <c r="W76" i="17" l="1"/>
  <c r="W75" i="17"/>
  <c r="W74" i="17"/>
  <c r="W73" i="17"/>
  <c r="W72" i="17"/>
  <c r="W71" i="17"/>
  <c r="W70" i="17"/>
  <c r="W69" i="17"/>
  <c r="W68" i="17"/>
  <c r="W67" i="17"/>
  <c r="W66" i="17"/>
  <c r="W65" i="17"/>
  <c r="W64" i="17"/>
  <c r="W63" i="17"/>
  <c r="W57" i="17"/>
  <c r="W56" i="17"/>
  <c r="W55" i="17"/>
  <c r="W54" i="17"/>
  <c r="W53" i="17"/>
  <c r="W52" i="17"/>
  <c r="W51" i="17"/>
  <c r="W50" i="17"/>
  <c r="W49" i="17"/>
  <c r="W48" i="17"/>
  <c r="W47" i="17"/>
  <c r="W46" i="17"/>
  <c r="W45" i="17"/>
  <c r="W44" i="17"/>
  <c r="W43" i="17"/>
  <c r="W42" i="17"/>
  <c r="W37" i="17"/>
  <c r="W36" i="17"/>
  <c r="W35" i="17"/>
  <c r="W34" i="17"/>
  <c r="W33" i="17"/>
  <c r="W32" i="17"/>
  <c r="W31" i="17"/>
  <c r="W30" i="17"/>
  <c r="W29" i="17"/>
  <c r="W28" i="17"/>
  <c r="W27" i="17"/>
  <c r="W26" i="17"/>
  <c r="W25" i="17"/>
  <c r="W19" i="17"/>
  <c r="W18" i="17"/>
  <c r="T76" i="17"/>
  <c r="T75" i="17"/>
  <c r="T74" i="17"/>
  <c r="T73" i="17"/>
  <c r="T72" i="17"/>
  <c r="T71" i="17"/>
  <c r="T70" i="17"/>
  <c r="T69" i="17"/>
  <c r="T68" i="17"/>
  <c r="T67" i="17"/>
  <c r="T66" i="17"/>
  <c r="T65" i="17"/>
  <c r="T64" i="17"/>
  <c r="T63" i="17"/>
  <c r="T57" i="17"/>
  <c r="T56" i="17"/>
  <c r="T55" i="17"/>
  <c r="T54" i="17"/>
  <c r="T53" i="17"/>
  <c r="T52" i="17"/>
  <c r="T51" i="17"/>
  <c r="T50" i="17"/>
  <c r="T49" i="17"/>
  <c r="T48" i="17"/>
  <c r="T47" i="17"/>
  <c r="T46" i="17"/>
  <c r="T45" i="17"/>
  <c r="T44" i="17"/>
  <c r="T43" i="17"/>
  <c r="T42" i="17"/>
  <c r="T37" i="17"/>
  <c r="T36" i="17"/>
  <c r="T35" i="17"/>
  <c r="T34" i="17"/>
  <c r="T33" i="17"/>
  <c r="T32" i="17"/>
  <c r="T31" i="17"/>
  <c r="T30" i="17"/>
  <c r="T29" i="17"/>
  <c r="T28" i="17"/>
  <c r="T27" i="17"/>
  <c r="T26" i="17"/>
  <c r="T25" i="17"/>
  <c r="T19" i="17"/>
  <c r="T18" i="17"/>
  <c r="Q76" i="17"/>
  <c r="Q75" i="17"/>
  <c r="Q74" i="17"/>
  <c r="Q73" i="17"/>
  <c r="Q72" i="17"/>
  <c r="Q71" i="17"/>
  <c r="Q70" i="17"/>
  <c r="Q69" i="17"/>
  <c r="Q68" i="17"/>
  <c r="Q67" i="17"/>
  <c r="Q66" i="17"/>
  <c r="Q65" i="17"/>
  <c r="Q64" i="17"/>
  <c r="Q63" i="17"/>
  <c r="Q57" i="17"/>
  <c r="Q56" i="17"/>
  <c r="Q55" i="17"/>
  <c r="Q54" i="17"/>
  <c r="Q53" i="17"/>
  <c r="Q52" i="17"/>
  <c r="Q51" i="17"/>
  <c r="Q50" i="17"/>
  <c r="Q49" i="17"/>
  <c r="Q48" i="17"/>
  <c r="Q47" i="17"/>
  <c r="Q46" i="17"/>
  <c r="Q45" i="17"/>
  <c r="Q44" i="17"/>
  <c r="Q43" i="17"/>
  <c r="Q42" i="17"/>
  <c r="Q37" i="17"/>
  <c r="Q36" i="17"/>
  <c r="Q35" i="17"/>
  <c r="Q34" i="17"/>
  <c r="Q33" i="17"/>
  <c r="Q32" i="17"/>
  <c r="Q31" i="17"/>
  <c r="Q30" i="17"/>
  <c r="Q29" i="17"/>
  <c r="Q28" i="17"/>
  <c r="Q27" i="17"/>
  <c r="Q26" i="17"/>
  <c r="Q25" i="17"/>
  <c r="Q20" i="17"/>
  <c r="Q19" i="17"/>
  <c r="Q18" i="17"/>
  <c r="K20" i="179" l="1"/>
  <c r="J20" i="179"/>
  <c r="I20" i="179"/>
  <c r="E98" i="174" l="1"/>
  <c r="B5" i="138" s="1"/>
  <c r="U95" i="174"/>
  <c r="U94" i="174"/>
  <c r="U91" i="174"/>
  <c r="U90" i="174"/>
  <c r="U89" i="174"/>
  <c r="U83" i="174"/>
  <c r="U81" i="174"/>
  <c r="U79" i="174"/>
  <c r="U78" i="174"/>
  <c r="U76" i="174"/>
  <c r="U75" i="174"/>
  <c r="U74" i="174"/>
  <c r="U73" i="174"/>
  <c r="U70" i="174"/>
  <c r="U69" i="174"/>
  <c r="U68" i="174"/>
  <c r="U67" i="174"/>
  <c r="U65" i="174"/>
  <c r="U60" i="174"/>
  <c r="U59" i="174"/>
  <c r="U54" i="174"/>
  <c r="U53" i="174"/>
  <c r="U52" i="174"/>
  <c r="U51" i="174"/>
  <c r="U50" i="174"/>
  <c r="U47" i="174"/>
  <c r="U43" i="174"/>
  <c r="U20" i="174"/>
  <c r="U19" i="174"/>
  <c r="P103" i="138"/>
  <c r="H94" i="138"/>
  <c r="I94" i="138"/>
  <c r="J94" i="138"/>
  <c r="L94" i="138"/>
  <c r="N94" i="138"/>
  <c r="O94" i="138"/>
  <c r="H95" i="138"/>
  <c r="P95" i="138" s="1"/>
  <c r="I95" i="138"/>
  <c r="J95" i="138"/>
  <c r="K95" i="138"/>
  <c r="L95" i="138"/>
  <c r="M95" i="138"/>
  <c r="N95" i="138"/>
  <c r="O95" i="138"/>
  <c r="H96" i="138"/>
  <c r="I96" i="138"/>
  <c r="J96" i="138"/>
  <c r="K96" i="138"/>
  <c r="L96" i="138"/>
  <c r="M96" i="138"/>
  <c r="N96" i="138"/>
  <c r="O96" i="138"/>
  <c r="N97" i="138"/>
  <c r="H98" i="138"/>
  <c r="I98" i="138"/>
  <c r="J98" i="138"/>
  <c r="K98" i="138"/>
  <c r="L98" i="138"/>
  <c r="M98" i="138"/>
  <c r="N98" i="138"/>
  <c r="O98" i="138"/>
  <c r="H99" i="138"/>
  <c r="I99" i="138"/>
  <c r="J99" i="138"/>
  <c r="K99" i="138"/>
  <c r="L99" i="138"/>
  <c r="M99" i="138"/>
  <c r="N99" i="138"/>
  <c r="O99" i="138"/>
  <c r="H100" i="138"/>
  <c r="I100" i="138"/>
  <c r="J100" i="138"/>
  <c r="K100" i="138"/>
  <c r="L100" i="138"/>
  <c r="M100" i="138"/>
  <c r="N100" i="138"/>
  <c r="O100" i="138"/>
  <c r="H101" i="138"/>
  <c r="I101" i="138"/>
  <c r="J101" i="138"/>
  <c r="K101" i="138"/>
  <c r="L101" i="138"/>
  <c r="M101" i="138"/>
  <c r="N101" i="138"/>
  <c r="O101" i="138"/>
  <c r="H102" i="138"/>
  <c r="I102" i="138"/>
  <c r="J102" i="138"/>
  <c r="K102" i="138"/>
  <c r="L102" i="138"/>
  <c r="M102" i="138"/>
  <c r="N102" i="138"/>
  <c r="O102" i="138"/>
  <c r="H103" i="138"/>
  <c r="I103" i="138"/>
  <c r="J103" i="138"/>
  <c r="K103" i="138"/>
  <c r="L103" i="138"/>
  <c r="M103" i="138"/>
  <c r="N103" i="138"/>
  <c r="O103" i="138"/>
  <c r="H104" i="138"/>
  <c r="P104" i="138" s="1"/>
  <c r="I104" i="138"/>
  <c r="J104" i="138"/>
  <c r="K104" i="138"/>
  <c r="L104" i="138"/>
  <c r="M104" i="138"/>
  <c r="N104" i="138"/>
  <c r="O104" i="138"/>
  <c r="H105" i="138"/>
  <c r="I105" i="138"/>
  <c r="L105" i="138"/>
  <c r="N105" i="138"/>
  <c r="O105" i="138"/>
  <c r="H106" i="138"/>
  <c r="I106" i="138"/>
  <c r="K106" i="138"/>
  <c r="L106" i="138"/>
  <c r="M106" i="138"/>
  <c r="N106" i="138"/>
  <c r="O106" i="138"/>
  <c r="H107" i="138"/>
  <c r="I107" i="138"/>
  <c r="K107" i="138"/>
  <c r="L107" i="138"/>
  <c r="M107" i="138"/>
  <c r="N107" i="138"/>
  <c r="O107" i="138"/>
  <c r="G100" i="138"/>
  <c r="P100" i="138" s="1"/>
  <c r="G101" i="138"/>
  <c r="P101" i="138" s="1"/>
  <c r="G102" i="138"/>
  <c r="P102" i="138" s="1"/>
  <c r="G103" i="138"/>
  <c r="G104" i="138"/>
  <c r="G105" i="138"/>
  <c r="G106" i="138"/>
  <c r="G107" i="138"/>
  <c r="G99" i="138"/>
  <c r="P99" i="138" s="1"/>
  <c r="G95" i="138"/>
  <c r="G96" i="138"/>
  <c r="P96" i="138" s="1"/>
  <c r="G97" i="138"/>
  <c r="G98" i="138"/>
  <c r="P98" i="138" s="1"/>
  <c r="G94" i="138"/>
  <c r="F95" i="138"/>
  <c r="F96" i="138"/>
  <c r="F97" i="138"/>
  <c r="F98" i="138"/>
  <c r="F99" i="138"/>
  <c r="F100" i="138"/>
  <c r="F101" i="138"/>
  <c r="F102" i="138"/>
  <c r="F103" i="138"/>
  <c r="F104" i="138"/>
  <c r="F106" i="138"/>
  <c r="F107" i="138"/>
  <c r="E100" i="138"/>
  <c r="E101" i="138"/>
  <c r="E102" i="138"/>
  <c r="E103" i="138"/>
  <c r="E104" i="138"/>
  <c r="E105" i="138"/>
  <c r="E106" i="138"/>
  <c r="E107" i="138"/>
  <c r="E99" i="138"/>
  <c r="E95" i="138"/>
  <c r="E96" i="138"/>
  <c r="E97" i="138"/>
  <c r="E98" i="138"/>
  <c r="E94" i="138"/>
  <c r="D100" i="138"/>
  <c r="D101" i="138"/>
  <c r="D102" i="138"/>
  <c r="D103" i="138"/>
  <c r="D104" i="138"/>
  <c r="D105" i="138"/>
  <c r="D106" i="138"/>
  <c r="D107" i="138"/>
  <c r="D99" i="138"/>
  <c r="D95" i="138"/>
  <c r="D96" i="138"/>
  <c r="D97" i="138"/>
  <c r="D98" i="138"/>
  <c r="D94" i="138"/>
  <c r="C94" i="138"/>
  <c r="C95" i="138"/>
  <c r="C96" i="138"/>
  <c r="C97" i="138"/>
  <c r="C98" i="138"/>
  <c r="C99" i="138"/>
  <c r="C100" i="138"/>
  <c r="C101" i="138"/>
  <c r="C102" i="138"/>
  <c r="C103" i="138"/>
  <c r="C104" i="138"/>
  <c r="C105" i="138"/>
  <c r="C106" i="138"/>
  <c r="C107" i="138"/>
  <c r="B100" i="138"/>
  <c r="B101" i="138"/>
  <c r="B102" i="138"/>
  <c r="B103" i="138"/>
  <c r="B104" i="138"/>
  <c r="B105" i="138"/>
  <c r="B106" i="138"/>
  <c r="B107" i="138"/>
  <c r="B99" i="138"/>
  <c r="B95" i="138"/>
  <c r="B96" i="138"/>
  <c r="B97" i="138"/>
  <c r="B98" i="138"/>
  <c r="B94" i="138"/>
  <c r="P107" i="138" l="1"/>
  <c r="P106" i="138"/>
  <c r="V83" i="17" l="1"/>
  <c r="S83" i="17"/>
  <c r="P83" i="17"/>
  <c r="O83" i="17"/>
  <c r="B2" i="138" l="1"/>
  <c r="S79" i="174" l="1"/>
  <c r="S78" i="174"/>
  <c r="S76" i="174"/>
  <c r="S75" i="174"/>
  <c r="S74" i="174"/>
  <c r="S73" i="174"/>
  <c r="S70" i="174"/>
  <c r="X70" i="174" s="1"/>
  <c r="S69" i="174"/>
  <c r="X69" i="174" s="1"/>
  <c r="S67" i="174"/>
  <c r="X67" i="174" s="1"/>
  <c r="X95" i="174"/>
  <c r="X94" i="174"/>
  <c r="X91" i="174"/>
  <c r="X90" i="174"/>
  <c r="X89" i="174"/>
  <c r="X83" i="174"/>
  <c r="X81" i="174"/>
  <c r="X79" i="174"/>
  <c r="X78" i="174"/>
  <c r="X76" i="174"/>
  <c r="X75" i="174"/>
  <c r="X74" i="174"/>
  <c r="X73" i="174"/>
  <c r="X68" i="174"/>
  <c r="X65" i="174"/>
  <c r="S53" i="174"/>
  <c r="X53" i="174" s="1"/>
  <c r="S52" i="174"/>
  <c r="S50" i="174"/>
  <c r="X60" i="174"/>
  <c r="X59" i="174"/>
  <c r="X54" i="174"/>
  <c r="X52" i="174"/>
  <c r="X50" i="174"/>
  <c r="X47" i="174"/>
  <c r="X20" i="174"/>
  <c r="X19" i="174"/>
  <c r="U82" i="174" l="1"/>
  <c r="S72" i="174"/>
  <c r="U72" i="174" s="1"/>
  <c r="X77" i="174"/>
  <c r="U77" i="174"/>
  <c r="S71" i="174"/>
  <c r="U71" i="174" s="1"/>
  <c r="X82" i="174"/>
  <c r="X72" i="174"/>
  <c r="X71" i="174" l="1"/>
  <c r="S23" i="128"/>
  <c r="R23" i="128"/>
  <c r="I33" i="8" l="1"/>
  <c r="H33" i="8"/>
  <c r="G33" i="8"/>
  <c r="F33" i="8"/>
  <c r="E33" i="8"/>
  <c r="R17" i="8"/>
  <c r="H17" i="8"/>
  <c r="J17" i="8" s="1"/>
  <c r="E66" i="179"/>
  <c r="E67" i="179"/>
  <c r="E68" i="179"/>
  <c r="E70" i="179"/>
  <c r="E72" i="179"/>
  <c r="E73" i="179"/>
  <c r="E65" i="179"/>
  <c r="K65" i="179" s="1"/>
  <c r="L17" i="8" l="1"/>
  <c r="S17" i="8" s="1"/>
  <c r="F94" i="138"/>
  <c r="U17" i="8" l="1"/>
  <c r="M94" i="138" s="1"/>
  <c r="K94" i="138"/>
  <c r="P94" i="138" s="1"/>
  <c r="F78" i="135"/>
  <c r="V86" i="135"/>
  <c r="U86" i="135"/>
  <c r="S86" i="135"/>
  <c r="Q86" i="135"/>
  <c r="P86" i="135"/>
  <c r="O86" i="135"/>
  <c r="N86" i="135"/>
  <c r="V85" i="135"/>
  <c r="S85" i="135"/>
  <c r="P85" i="135"/>
  <c r="O85" i="135"/>
  <c r="V84" i="135"/>
  <c r="U84" i="135"/>
  <c r="S84" i="135"/>
  <c r="P84" i="135"/>
  <c r="O84" i="135"/>
  <c r="F87" i="135"/>
  <c r="F86" i="135"/>
  <c r="F85" i="135"/>
  <c r="X17" i="8" l="1"/>
  <c r="Z17" i="8"/>
  <c r="Y17" i="8"/>
  <c r="A75" i="128" l="1"/>
  <c r="D21" i="175"/>
  <c r="D20" i="175"/>
  <c r="D23" i="171"/>
  <c r="E23" i="171"/>
  <c r="F23" i="171"/>
  <c r="C23" i="171"/>
  <c r="A24" i="171"/>
  <c r="A25" i="171"/>
  <c r="A26" i="171" s="1"/>
  <c r="A27" i="171" s="1"/>
  <c r="A28" i="171" s="1"/>
  <c r="A29" i="171" s="1"/>
  <c r="A30" i="171" s="1"/>
  <c r="A31" i="171" s="1"/>
  <c r="E52" i="134" l="1"/>
  <c r="E53" i="134"/>
  <c r="E51" i="134"/>
  <c r="E55" i="134" s="1"/>
  <c r="E48" i="134"/>
  <c r="E79" i="160" l="1"/>
  <c r="A74" i="160"/>
  <c r="A75" i="160"/>
  <c r="A76" i="160"/>
  <c r="A77" i="160"/>
  <c r="A78" i="160" s="1"/>
  <c r="A79" i="160" s="1"/>
  <c r="A80" i="160" s="1"/>
  <c r="A81" i="160" s="1"/>
  <c r="A82" i="160" s="1"/>
  <c r="A83" i="160" s="1"/>
  <c r="A84" i="160" s="1"/>
  <c r="A85" i="160" s="1"/>
  <c r="A86" i="160" s="1"/>
  <c r="D40" i="160"/>
  <c r="F40" i="160" s="1"/>
  <c r="D41" i="160"/>
  <c r="F41" i="160" s="1"/>
  <c r="C138" i="166"/>
  <c r="C134" i="166"/>
  <c r="C118" i="166"/>
  <c r="U31" i="8"/>
  <c r="U30" i="8"/>
  <c r="U28" i="8"/>
  <c r="U27" i="8"/>
  <c r="U26" i="8"/>
  <c r="U25" i="8"/>
  <c r="U24" i="8"/>
  <c r="U23" i="8"/>
  <c r="U21" i="8"/>
  <c r="U19" i="8"/>
  <c r="U18" i="8"/>
  <c r="H31" i="8"/>
  <c r="H30" i="8"/>
  <c r="H29" i="8"/>
  <c r="H28" i="8"/>
  <c r="H27" i="8"/>
  <c r="H26" i="8"/>
  <c r="H25" i="8"/>
  <c r="H24" i="8"/>
  <c r="H23" i="8"/>
  <c r="H21" i="8"/>
  <c r="H20" i="8"/>
  <c r="H19" i="8"/>
  <c r="H18" i="8"/>
  <c r="Y20" i="135"/>
  <c r="Y21" i="135"/>
  <c r="Y41" i="135"/>
  <c r="Y42" i="135"/>
  <c r="Y43" i="135"/>
  <c r="Y46" i="135"/>
  <c r="Y47" i="135"/>
  <c r="Y48" i="135"/>
  <c r="Y77" i="135"/>
  <c r="E76" i="135"/>
  <c r="B76" i="135"/>
  <c r="E75" i="135"/>
  <c r="B75" i="135"/>
  <c r="E74" i="135"/>
  <c r="G74" i="135" s="1"/>
  <c r="B74" i="135"/>
  <c r="E73" i="135"/>
  <c r="G73" i="135" s="1"/>
  <c r="B73" i="135"/>
  <c r="E72" i="135"/>
  <c r="B72" i="135"/>
  <c r="E71" i="135"/>
  <c r="G71" i="135" s="1"/>
  <c r="B71" i="135"/>
  <c r="E70" i="135"/>
  <c r="G70" i="135" s="1"/>
  <c r="B70" i="135"/>
  <c r="E69" i="135"/>
  <c r="G69" i="135" s="1"/>
  <c r="B69" i="135"/>
  <c r="E68" i="135"/>
  <c r="B68" i="135"/>
  <c r="E67" i="135"/>
  <c r="G67" i="135" s="1"/>
  <c r="D67" i="135"/>
  <c r="B67" i="135"/>
  <c r="E66" i="135"/>
  <c r="D66" i="135"/>
  <c r="B66" i="135"/>
  <c r="E65" i="135"/>
  <c r="D65" i="135"/>
  <c r="B65" i="135"/>
  <c r="E64" i="135"/>
  <c r="D64" i="135"/>
  <c r="B64" i="135"/>
  <c r="E63" i="135"/>
  <c r="G63" i="135" s="1"/>
  <c r="D63" i="135"/>
  <c r="B63" i="135"/>
  <c r="E62" i="135"/>
  <c r="G62" i="135" s="1"/>
  <c r="D62" i="135"/>
  <c r="B62" i="135"/>
  <c r="E61" i="135"/>
  <c r="G61" i="135" s="1"/>
  <c r="D61" i="135"/>
  <c r="B61" i="135"/>
  <c r="E60" i="135"/>
  <c r="D60" i="135"/>
  <c r="B60" i="135"/>
  <c r="E59" i="135"/>
  <c r="G59" i="135" s="1"/>
  <c r="D59" i="135"/>
  <c r="B59" i="135"/>
  <c r="E58" i="135"/>
  <c r="G58" i="135" s="1"/>
  <c r="D58" i="135"/>
  <c r="B58" i="135"/>
  <c r="E57" i="135"/>
  <c r="G57" i="135" s="1"/>
  <c r="D57" i="135"/>
  <c r="B57" i="135"/>
  <c r="E56" i="135"/>
  <c r="G56" i="135" s="1"/>
  <c r="D56" i="135"/>
  <c r="B56" i="135"/>
  <c r="E55" i="135"/>
  <c r="D55" i="135"/>
  <c r="B55" i="135"/>
  <c r="E54" i="135"/>
  <c r="G54" i="135" s="1"/>
  <c r="D54" i="135"/>
  <c r="B54" i="135"/>
  <c r="E53" i="135"/>
  <c r="G53" i="135" s="1"/>
  <c r="D53" i="135"/>
  <c r="E52" i="135"/>
  <c r="D52" i="135"/>
  <c r="E51" i="135"/>
  <c r="G51" i="135" s="1"/>
  <c r="D51" i="135"/>
  <c r="E50" i="135"/>
  <c r="G50" i="135" s="1"/>
  <c r="D50" i="135"/>
  <c r="E49" i="135"/>
  <c r="D49" i="135"/>
  <c r="D48" i="135"/>
  <c r="E44" i="135"/>
  <c r="E45" i="135" s="1"/>
  <c r="E86" i="135" s="1"/>
  <c r="D44" i="135"/>
  <c r="B44" i="135"/>
  <c r="D40" i="135"/>
  <c r="E39" i="135"/>
  <c r="D39" i="135"/>
  <c r="B39" i="135"/>
  <c r="E38" i="135"/>
  <c r="G38" i="135" s="1"/>
  <c r="D38" i="135"/>
  <c r="B38" i="135"/>
  <c r="E37" i="135"/>
  <c r="G37" i="135" s="1"/>
  <c r="D37" i="135"/>
  <c r="B37" i="135"/>
  <c r="D36" i="135"/>
  <c r="B36" i="135"/>
  <c r="E35" i="135"/>
  <c r="D35" i="135"/>
  <c r="B35" i="135"/>
  <c r="E34" i="135"/>
  <c r="D34" i="135"/>
  <c r="B34" i="135"/>
  <c r="E33" i="135"/>
  <c r="G33" i="135" s="1"/>
  <c r="D33" i="135"/>
  <c r="B33" i="135"/>
  <c r="E32" i="135"/>
  <c r="G32" i="135" s="1"/>
  <c r="D32" i="135"/>
  <c r="B32" i="135"/>
  <c r="E31" i="135"/>
  <c r="G31" i="135" s="1"/>
  <c r="D31" i="135"/>
  <c r="B31" i="135"/>
  <c r="E30" i="135"/>
  <c r="G30" i="135" s="1"/>
  <c r="D30" i="135"/>
  <c r="B30" i="135"/>
  <c r="E29" i="135"/>
  <c r="G29" i="135" s="1"/>
  <c r="D29" i="135"/>
  <c r="B29" i="135"/>
  <c r="E28" i="135"/>
  <c r="G28" i="135" s="1"/>
  <c r="D28" i="135"/>
  <c r="B28" i="135"/>
  <c r="E27" i="135"/>
  <c r="G27" i="135" s="1"/>
  <c r="D27" i="135"/>
  <c r="E26" i="135"/>
  <c r="G26" i="135" s="1"/>
  <c r="D26" i="135"/>
  <c r="E25" i="135"/>
  <c r="G25" i="135" s="1"/>
  <c r="D25" i="135"/>
  <c r="E24" i="135"/>
  <c r="D24" i="135"/>
  <c r="B24" i="135"/>
  <c r="D23" i="135"/>
  <c r="E22" i="135"/>
  <c r="D22" i="135"/>
  <c r="D21" i="135"/>
  <c r="D19" i="135"/>
  <c r="E18" i="135"/>
  <c r="D18" i="135"/>
  <c r="E17" i="135"/>
  <c r="G17" i="135" s="1"/>
  <c r="D17" i="135"/>
  <c r="D16" i="135"/>
  <c r="Q76" i="135"/>
  <c r="G76" i="135"/>
  <c r="Q75" i="135"/>
  <c r="G75" i="135"/>
  <c r="Q74" i="135"/>
  <c r="Q73" i="135"/>
  <c r="Q72" i="135"/>
  <c r="G72" i="135"/>
  <c r="Q71" i="135"/>
  <c r="Q70" i="135"/>
  <c r="Q69" i="135"/>
  <c r="Q68" i="135"/>
  <c r="G68" i="135"/>
  <c r="T67" i="135"/>
  <c r="Q67" i="135"/>
  <c r="T66" i="135"/>
  <c r="Q66" i="135"/>
  <c r="G66" i="135"/>
  <c r="G65" i="135"/>
  <c r="Q64" i="135"/>
  <c r="G64" i="135"/>
  <c r="Q60" i="135"/>
  <c r="G60" i="135"/>
  <c r="T59" i="135"/>
  <c r="Q58" i="135"/>
  <c r="T57" i="135"/>
  <c r="Q57" i="135"/>
  <c r="T55" i="135"/>
  <c r="G55" i="135"/>
  <c r="Q54" i="135"/>
  <c r="Q53" i="135"/>
  <c r="T52" i="135"/>
  <c r="G52" i="135"/>
  <c r="Q50" i="135"/>
  <c r="Q49" i="135"/>
  <c r="V45" i="135"/>
  <c r="U45" i="135"/>
  <c r="S45" i="135"/>
  <c r="P45" i="135"/>
  <c r="O45" i="135"/>
  <c r="N45" i="135"/>
  <c r="F45" i="135"/>
  <c r="Q44" i="135"/>
  <c r="P40" i="135"/>
  <c r="F40" i="135"/>
  <c r="Q39" i="135"/>
  <c r="G39" i="135"/>
  <c r="Q38" i="135"/>
  <c r="Q37" i="135"/>
  <c r="Q36" i="135"/>
  <c r="T35" i="135"/>
  <c r="Q35" i="135"/>
  <c r="G35" i="135"/>
  <c r="T34" i="135"/>
  <c r="Q34" i="135"/>
  <c r="G34" i="135"/>
  <c r="Q33" i="135"/>
  <c r="T32" i="135"/>
  <c r="Q31" i="135"/>
  <c r="T30" i="135"/>
  <c r="Q30" i="135"/>
  <c r="T29" i="135"/>
  <c r="Q29" i="135"/>
  <c r="Q28" i="135"/>
  <c r="Q27" i="135"/>
  <c r="T26" i="135"/>
  <c r="T25" i="135"/>
  <c r="Q24" i="135"/>
  <c r="Q23" i="135"/>
  <c r="Q22" i="135"/>
  <c r="V19" i="135"/>
  <c r="U19" i="135"/>
  <c r="S19" i="135"/>
  <c r="P19" i="135"/>
  <c r="O19" i="135"/>
  <c r="F19" i="135"/>
  <c r="F84" i="135" s="1"/>
  <c r="Q18" i="135"/>
  <c r="G18" i="135"/>
  <c r="B18" i="135"/>
  <c r="T17" i="135"/>
  <c r="D82" i="179"/>
  <c r="D91" i="179" s="1"/>
  <c r="K78" i="179"/>
  <c r="I78" i="179"/>
  <c r="E78" i="179"/>
  <c r="P77" i="179"/>
  <c r="P78" i="179" s="1"/>
  <c r="L77" i="179"/>
  <c r="L78" i="179" s="1"/>
  <c r="J78" i="179"/>
  <c r="J74" i="179"/>
  <c r="L73" i="179"/>
  <c r="L72" i="179"/>
  <c r="L71" i="179"/>
  <c r="L70" i="179"/>
  <c r="L69" i="179"/>
  <c r="L67" i="179"/>
  <c r="S66" i="179"/>
  <c r="S67" i="179" s="1"/>
  <c r="S68" i="179" s="1"/>
  <c r="O66" i="179"/>
  <c r="L66" i="179"/>
  <c r="L65" i="179"/>
  <c r="P64" i="179"/>
  <c r="H67" i="135" s="1"/>
  <c r="I64" i="179"/>
  <c r="I74" i="179" s="1"/>
  <c r="L63" i="179"/>
  <c r="L60" i="179"/>
  <c r="K60" i="179" s="1"/>
  <c r="P60" i="179" s="1"/>
  <c r="H62" i="135" s="1"/>
  <c r="L59" i="179"/>
  <c r="K59" i="179" s="1"/>
  <c r="P59" i="179" s="1"/>
  <c r="H61" i="135" s="1"/>
  <c r="L58" i="179"/>
  <c r="K58" i="179" s="1"/>
  <c r="P58" i="179" s="1"/>
  <c r="H60" i="135" s="1"/>
  <c r="L56" i="179"/>
  <c r="K56" i="179" s="1"/>
  <c r="P56" i="179" s="1"/>
  <c r="H58" i="135" s="1"/>
  <c r="L55" i="179"/>
  <c r="K55" i="179" s="1"/>
  <c r="P55" i="179" s="1"/>
  <c r="H57" i="135" s="1"/>
  <c r="L54" i="179"/>
  <c r="K54" i="179" s="1"/>
  <c r="P54" i="179" s="1"/>
  <c r="H56" i="135" s="1"/>
  <c r="L53" i="179"/>
  <c r="K53" i="179" s="1"/>
  <c r="P53" i="179" s="1"/>
  <c r="H55" i="135" s="1"/>
  <c r="L52" i="179"/>
  <c r="K52" i="179" s="1"/>
  <c r="P52" i="179" s="1"/>
  <c r="H54" i="135" s="1"/>
  <c r="L51" i="179"/>
  <c r="K51" i="179" s="1"/>
  <c r="P51" i="179" s="1"/>
  <c r="H53" i="135" s="1"/>
  <c r="K50" i="179"/>
  <c r="P50" i="179" s="1"/>
  <c r="H52" i="135" s="1"/>
  <c r="L49" i="179"/>
  <c r="K49" i="179" s="1"/>
  <c r="P49" i="179" s="1"/>
  <c r="H51" i="135" s="1"/>
  <c r="L48" i="179"/>
  <c r="K48" i="179"/>
  <c r="P48" i="179" s="1"/>
  <c r="H50" i="135" s="1"/>
  <c r="F48" i="179"/>
  <c r="L47" i="179"/>
  <c r="K43" i="179"/>
  <c r="J43" i="179"/>
  <c r="I43" i="179"/>
  <c r="E43" i="179"/>
  <c r="P41" i="179"/>
  <c r="P43" i="179" s="1"/>
  <c r="L41" i="179"/>
  <c r="L43" i="179" s="1"/>
  <c r="L36" i="179"/>
  <c r="K36" i="179"/>
  <c r="P36" i="179" s="1"/>
  <c r="H39" i="135" s="1"/>
  <c r="L35" i="179"/>
  <c r="E61" i="179" s="1"/>
  <c r="L61" i="179" s="1"/>
  <c r="K61" i="179" s="1"/>
  <c r="P61" i="179" s="1"/>
  <c r="H63" i="135" s="1"/>
  <c r="K35" i="179"/>
  <c r="P35" i="179" s="1"/>
  <c r="H38" i="135" s="1"/>
  <c r="L34" i="179"/>
  <c r="K34" i="179"/>
  <c r="P34" i="179" s="1"/>
  <c r="H37" i="135" s="1"/>
  <c r="J33" i="179"/>
  <c r="E36" i="135" s="1"/>
  <c r="G36" i="135" s="1"/>
  <c r="K32" i="179"/>
  <c r="P32" i="179" s="1"/>
  <c r="H35" i="135" s="1"/>
  <c r="L32" i="179"/>
  <c r="L31" i="179"/>
  <c r="K31" i="179"/>
  <c r="P31" i="179" s="1"/>
  <c r="H34" i="135" s="1"/>
  <c r="L30" i="179"/>
  <c r="K30" i="179"/>
  <c r="P30" i="179" s="1"/>
  <c r="H33" i="135" s="1"/>
  <c r="K29" i="179"/>
  <c r="P29" i="179" s="1"/>
  <c r="H32" i="135" s="1"/>
  <c r="I29" i="179"/>
  <c r="L29" i="179" s="1"/>
  <c r="M29" i="179" s="1"/>
  <c r="L28" i="179"/>
  <c r="K28" i="179"/>
  <c r="P28" i="179" s="1"/>
  <c r="H31" i="135" s="1"/>
  <c r="K27" i="179"/>
  <c r="P27" i="179" s="1"/>
  <c r="H30" i="135" s="1"/>
  <c r="I27" i="179"/>
  <c r="E27" i="179"/>
  <c r="L26" i="179"/>
  <c r="K26" i="179"/>
  <c r="P26" i="179" s="1"/>
  <c r="H29" i="135" s="1"/>
  <c r="L25" i="179"/>
  <c r="K25" i="179"/>
  <c r="P25" i="179" s="1"/>
  <c r="H28" i="135" s="1"/>
  <c r="K24" i="179"/>
  <c r="P24" i="179" s="1"/>
  <c r="H27" i="135" s="1"/>
  <c r="E24" i="179"/>
  <c r="L24" i="179" s="1"/>
  <c r="M24" i="179" s="1"/>
  <c r="L23" i="179"/>
  <c r="K23" i="179"/>
  <c r="P23" i="179" s="1"/>
  <c r="H26" i="135" s="1"/>
  <c r="P22" i="179"/>
  <c r="H25" i="135" s="1"/>
  <c r="M22" i="179"/>
  <c r="P21" i="179"/>
  <c r="H24" i="135" s="1"/>
  <c r="L21" i="179"/>
  <c r="M21" i="179" s="1"/>
  <c r="P20" i="179"/>
  <c r="H23" i="135" s="1"/>
  <c r="H20" i="179"/>
  <c r="H21" i="179" s="1"/>
  <c r="H22" i="179" s="1"/>
  <c r="H23" i="179" s="1"/>
  <c r="H24" i="179" s="1"/>
  <c r="H25" i="179" s="1"/>
  <c r="H26" i="179" s="1"/>
  <c r="H27" i="179" s="1"/>
  <c r="H28" i="179" s="1"/>
  <c r="H29" i="179" s="1"/>
  <c r="H30" i="179" s="1"/>
  <c r="H31" i="179" s="1"/>
  <c r="H32" i="179" s="1"/>
  <c r="H33" i="179" s="1"/>
  <c r="H34" i="179" s="1"/>
  <c r="H35" i="179" s="1"/>
  <c r="H36" i="179" s="1"/>
  <c r="E20" i="179"/>
  <c r="K19" i="179"/>
  <c r="P19" i="179" s="1"/>
  <c r="H22" i="135" s="1"/>
  <c r="I19" i="179"/>
  <c r="L16" i="179"/>
  <c r="J16" i="179"/>
  <c r="E16" i="179"/>
  <c r="K15" i="179"/>
  <c r="P15" i="179" s="1"/>
  <c r="H18" i="135" s="1"/>
  <c r="I15" i="179"/>
  <c r="I16" i="179" s="1"/>
  <c r="K14" i="179"/>
  <c r="M14" i="179" s="1"/>
  <c r="R40" i="174"/>
  <c r="R41" i="174"/>
  <c r="R77" i="174"/>
  <c r="Y77" i="174"/>
  <c r="Z77" i="174"/>
  <c r="R78" i="174"/>
  <c r="Y78" i="174"/>
  <c r="Z78" i="174"/>
  <c r="H103" i="174"/>
  <c r="G77" i="174"/>
  <c r="I77" i="174" s="1"/>
  <c r="K77" i="174" s="1"/>
  <c r="G78" i="174"/>
  <c r="I78" i="174" s="1"/>
  <c r="K78" i="174" s="1"/>
  <c r="G79" i="174"/>
  <c r="I79" i="174" s="1"/>
  <c r="K79" i="174" s="1"/>
  <c r="A77" i="174"/>
  <c r="A78" i="174" s="1"/>
  <c r="C65" i="166"/>
  <c r="C66" i="166"/>
  <c r="A55" i="169"/>
  <c r="A56" i="169" s="1"/>
  <c r="A57" i="169" s="1"/>
  <c r="A58" i="169" s="1"/>
  <c r="A59" i="169" s="1"/>
  <c r="A60" i="169" s="1"/>
  <c r="A61" i="169" s="1"/>
  <c r="A62" i="169" s="1"/>
  <c r="A63" i="169" s="1"/>
  <c r="A64" i="169" s="1"/>
  <c r="A65" i="169" s="1"/>
  <c r="A66" i="169" s="1"/>
  <c r="A67" i="169" s="1"/>
  <c r="A68" i="169" s="1"/>
  <c r="G24" i="135" l="1"/>
  <c r="G87" i="135" s="1"/>
  <c r="E87" i="135"/>
  <c r="M32" i="179"/>
  <c r="K63" i="179"/>
  <c r="P63" i="179" s="1"/>
  <c r="H65" i="135" s="1"/>
  <c r="I65" i="135" s="1"/>
  <c r="G49" i="135"/>
  <c r="G78" i="135" s="1"/>
  <c r="E78" i="135"/>
  <c r="I37" i="179"/>
  <c r="M36" i="179"/>
  <c r="E62" i="179"/>
  <c r="L62" i="179" s="1"/>
  <c r="K62" i="179" s="1"/>
  <c r="P62" i="179" s="1"/>
  <c r="H64" i="135" s="1"/>
  <c r="I64" i="135" s="1"/>
  <c r="K64" i="135" s="1"/>
  <c r="R64" i="135" s="1"/>
  <c r="T64" i="135" s="1"/>
  <c r="O67" i="179"/>
  <c r="K66" i="179"/>
  <c r="H68" i="135"/>
  <c r="I68" i="135" s="1"/>
  <c r="I67" i="135"/>
  <c r="K67" i="135" s="1"/>
  <c r="U67" i="135" s="1"/>
  <c r="W67" i="135" s="1"/>
  <c r="Y67" i="135" s="1"/>
  <c r="M31" i="179"/>
  <c r="I37" i="135"/>
  <c r="K37" i="135" s="1"/>
  <c r="M25" i="179"/>
  <c r="M23" i="179"/>
  <c r="I38" i="135"/>
  <c r="K38" i="135" s="1"/>
  <c r="R38" i="135" s="1"/>
  <c r="T38" i="135" s="1"/>
  <c r="W38" i="135" s="1"/>
  <c r="Y38" i="135" s="1"/>
  <c r="L20" i="179"/>
  <c r="M20" i="179" s="1"/>
  <c r="K33" i="179"/>
  <c r="P33" i="179" s="1"/>
  <c r="H36" i="135" s="1"/>
  <c r="H40" i="135" s="1"/>
  <c r="I33" i="135"/>
  <c r="K33" i="135" s="1"/>
  <c r="L33" i="179"/>
  <c r="M33" i="179" s="1"/>
  <c r="M15" i="179"/>
  <c r="I25" i="135"/>
  <c r="K25" i="135" s="1"/>
  <c r="R33" i="135"/>
  <c r="T33" i="135" s="1"/>
  <c r="W33" i="135" s="1"/>
  <c r="Y33" i="135" s="1"/>
  <c r="I29" i="135"/>
  <c r="K29" i="135" s="1"/>
  <c r="R37" i="135"/>
  <c r="T37" i="135" s="1"/>
  <c r="W37" i="135" s="1"/>
  <c r="Y37" i="135" s="1"/>
  <c r="I26" i="135"/>
  <c r="K26" i="135" s="1"/>
  <c r="M28" i="179"/>
  <c r="I27" i="135"/>
  <c r="K27" i="135" s="1"/>
  <c r="I18" i="135"/>
  <c r="K18" i="135" s="1"/>
  <c r="I35" i="135"/>
  <c r="K35" i="135" s="1"/>
  <c r="I55" i="135"/>
  <c r="K55" i="135" s="1"/>
  <c r="F89" i="135"/>
  <c r="I34" i="135"/>
  <c r="K34" i="135" s="1"/>
  <c r="P14" i="179"/>
  <c r="I63" i="135"/>
  <c r="K63" i="135" s="1"/>
  <c r="R63" i="135" s="1"/>
  <c r="I51" i="135"/>
  <c r="K51" i="135" s="1"/>
  <c r="R51" i="135" s="1"/>
  <c r="M34" i="179"/>
  <c r="I56" i="135"/>
  <c r="K56" i="135" s="1"/>
  <c r="E23" i="135"/>
  <c r="G23" i="135" s="1"/>
  <c r="I23" i="135" s="1"/>
  <c r="K23" i="135" s="1"/>
  <c r="M35" i="179"/>
  <c r="M26" i="179"/>
  <c r="I31" i="135"/>
  <c r="K31" i="135" s="1"/>
  <c r="I39" i="135"/>
  <c r="K39" i="135" s="1"/>
  <c r="I28" i="135"/>
  <c r="K28" i="135" s="1"/>
  <c r="I32" i="135"/>
  <c r="K32" i="135" s="1"/>
  <c r="I57" i="135"/>
  <c r="K57" i="135" s="1"/>
  <c r="I53" i="135"/>
  <c r="K53" i="135" s="1"/>
  <c r="L27" i="179"/>
  <c r="M27" i="179" s="1"/>
  <c r="I61" i="135"/>
  <c r="K61" i="135" s="1"/>
  <c r="H44" i="135"/>
  <c r="H45" i="135" s="1"/>
  <c r="H86" i="135" s="1"/>
  <c r="H66" i="135"/>
  <c r="I66" i="135" s="1"/>
  <c r="K66" i="135" s="1"/>
  <c r="I62" i="135"/>
  <c r="K62" i="135" s="1"/>
  <c r="I24" i="135"/>
  <c r="K24" i="135" s="1"/>
  <c r="G41" i="160"/>
  <c r="E66" i="166"/>
  <c r="G40" i="160"/>
  <c r="E65" i="166"/>
  <c r="E41" i="160"/>
  <c r="E40" i="160"/>
  <c r="I54" i="135"/>
  <c r="K54" i="135" s="1"/>
  <c r="I60" i="135"/>
  <c r="K60" i="135" s="1"/>
  <c r="R60" i="135" s="1"/>
  <c r="T60" i="135" s="1"/>
  <c r="I58" i="135"/>
  <c r="K58" i="135" s="1"/>
  <c r="R58" i="135" s="1"/>
  <c r="T58" i="135" s="1"/>
  <c r="W58" i="135" s="1"/>
  <c r="Y58" i="135" s="1"/>
  <c r="I52" i="135"/>
  <c r="K52" i="135" s="1"/>
  <c r="G44" i="135"/>
  <c r="I30" i="135"/>
  <c r="K30" i="135" s="1"/>
  <c r="G19" i="135"/>
  <c r="G84" i="135" s="1"/>
  <c r="W60" i="135"/>
  <c r="Y60" i="135" s="1"/>
  <c r="I50" i="135"/>
  <c r="E19" i="135"/>
  <c r="E84" i="135" s="1"/>
  <c r="F88" i="135"/>
  <c r="G22" i="135"/>
  <c r="Q45" i="135"/>
  <c r="K47" i="179"/>
  <c r="M30" i="179"/>
  <c r="J37" i="179"/>
  <c r="E37" i="179"/>
  <c r="L57" i="179"/>
  <c r="K57" i="179" s="1"/>
  <c r="P57" i="179" s="1"/>
  <c r="H59" i="135" s="1"/>
  <c r="L68" i="179"/>
  <c r="K16" i="179"/>
  <c r="M19" i="179"/>
  <c r="D17" i="160"/>
  <c r="D18" i="160"/>
  <c r="D19" i="160"/>
  <c r="D20" i="160"/>
  <c r="D21" i="160"/>
  <c r="D22" i="160"/>
  <c r="D23" i="160"/>
  <c r="D24" i="160"/>
  <c r="D25" i="160"/>
  <c r="D26" i="160"/>
  <c r="D27" i="160"/>
  <c r="D28" i="160"/>
  <c r="D29" i="160"/>
  <c r="D30" i="160"/>
  <c r="D31" i="160"/>
  <c r="D32" i="160"/>
  <c r="D33" i="160"/>
  <c r="D34" i="160"/>
  <c r="D35" i="160"/>
  <c r="D36" i="160"/>
  <c r="D37" i="160"/>
  <c r="D38" i="160"/>
  <c r="D39" i="160"/>
  <c r="D42" i="160"/>
  <c r="D43" i="160"/>
  <c r="D44" i="160"/>
  <c r="D45" i="160"/>
  <c r="D46" i="160"/>
  <c r="D47" i="160"/>
  <c r="D48" i="160"/>
  <c r="D49" i="160"/>
  <c r="D50" i="160"/>
  <c r="D51" i="160"/>
  <c r="D52" i="160"/>
  <c r="D53" i="160"/>
  <c r="D54" i="160"/>
  <c r="D55" i="160"/>
  <c r="D56" i="160"/>
  <c r="D57" i="160"/>
  <c r="D58" i="160"/>
  <c r="D59" i="160"/>
  <c r="D60" i="160"/>
  <c r="D61" i="160"/>
  <c r="D62" i="160"/>
  <c r="D63" i="160"/>
  <c r="D64" i="160"/>
  <c r="D65" i="160"/>
  <c r="D66" i="160"/>
  <c r="D67" i="160"/>
  <c r="D68" i="160"/>
  <c r="D69" i="160"/>
  <c r="D70" i="160"/>
  <c r="D71" i="160"/>
  <c r="D16" i="160"/>
  <c r="D15" i="160"/>
  <c r="K37" i="179" l="1"/>
  <c r="R54" i="135"/>
  <c r="T54" i="135" s="1"/>
  <c r="W54" i="135" s="1"/>
  <c r="Y54" i="135" s="1"/>
  <c r="I44" i="135"/>
  <c r="F91" i="135"/>
  <c r="E85" i="135"/>
  <c r="G85" i="135"/>
  <c r="K65" i="135"/>
  <c r="R65" i="135" s="1"/>
  <c r="T65" i="135" s="1"/>
  <c r="O68" i="179"/>
  <c r="K67" i="179"/>
  <c r="H70" i="135" s="1"/>
  <c r="I70" i="135" s="1"/>
  <c r="K70" i="135" s="1"/>
  <c r="R70" i="135" s="1"/>
  <c r="T70" i="135" s="1"/>
  <c r="W70" i="135" s="1"/>
  <c r="Y70" i="135" s="1"/>
  <c r="H69" i="135"/>
  <c r="I69" i="135" s="1"/>
  <c r="K69" i="135" s="1"/>
  <c r="R69" i="135" s="1"/>
  <c r="T69" i="135" s="1"/>
  <c r="W69" i="135" s="1"/>
  <c r="Y69" i="135" s="1"/>
  <c r="K68" i="135"/>
  <c r="R68" i="135" s="1"/>
  <c r="T68" i="135" s="1"/>
  <c r="W68" i="135" s="1"/>
  <c r="I36" i="135"/>
  <c r="K36" i="135" s="1"/>
  <c r="S36" i="135" s="1"/>
  <c r="E40" i="135"/>
  <c r="E89" i="135" s="1"/>
  <c r="P37" i="179"/>
  <c r="U66" i="135"/>
  <c r="W66" i="135" s="1"/>
  <c r="Y66" i="135" s="1"/>
  <c r="O32" i="135"/>
  <c r="V34" i="135"/>
  <c r="W34" i="135" s="1"/>
  <c r="Y34" i="135"/>
  <c r="T28" i="135"/>
  <c r="W28" i="135" s="1"/>
  <c r="Y28" i="135" s="1"/>
  <c r="V29" i="135"/>
  <c r="R27" i="135"/>
  <c r="T27" i="135" s="1"/>
  <c r="W27" i="135" s="1"/>
  <c r="Y27" i="135"/>
  <c r="V30" i="135"/>
  <c r="W30" i="135" s="1"/>
  <c r="Y30" i="135"/>
  <c r="V57" i="135"/>
  <c r="W57" i="135" s="1"/>
  <c r="Y57" i="135"/>
  <c r="R39" i="135"/>
  <c r="T39" i="135" s="1"/>
  <c r="W39" i="135" s="1"/>
  <c r="Y39" i="135"/>
  <c r="N55" i="135"/>
  <c r="Q55" i="135" s="1"/>
  <c r="W55" i="135" s="1"/>
  <c r="Y55" i="135" s="1"/>
  <c r="R53" i="135"/>
  <c r="T53" i="135" s="1"/>
  <c r="W53" i="135" s="1"/>
  <c r="Y53" i="135" s="1"/>
  <c r="N52" i="135"/>
  <c r="Q52" i="135" s="1"/>
  <c r="W52" i="135" s="1"/>
  <c r="Y52" i="135" s="1"/>
  <c r="R24" i="135"/>
  <c r="T24" i="135" s="1"/>
  <c r="W24" i="135" s="1"/>
  <c r="Y24" i="135" s="1"/>
  <c r="R31" i="135"/>
  <c r="T31" i="135" s="1"/>
  <c r="W31" i="135" s="1"/>
  <c r="Y31" i="135" s="1"/>
  <c r="V35" i="135"/>
  <c r="W35" i="135" s="1"/>
  <c r="Y35" i="135"/>
  <c r="R18" i="135"/>
  <c r="L37" i="179"/>
  <c r="N26" i="135"/>
  <c r="Q26" i="135" s="1"/>
  <c r="W26" i="135" s="1"/>
  <c r="Y26" i="135" s="1"/>
  <c r="P16" i="179"/>
  <c r="H17" i="135"/>
  <c r="G45" i="135"/>
  <c r="G86" i="135" s="1"/>
  <c r="R23" i="135"/>
  <c r="N25" i="135"/>
  <c r="T63" i="135"/>
  <c r="I59" i="135"/>
  <c r="K59" i="135" s="1"/>
  <c r="T51" i="135"/>
  <c r="V64" i="135"/>
  <c r="W64" i="135" s="1"/>
  <c r="Y64" i="135" s="1"/>
  <c r="Q51" i="135"/>
  <c r="G40" i="135"/>
  <c r="I22" i="135"/>
  <c r="K44" i="135"/>
  <c r="I45" i="135"/>
  <c r="I86" i="135" s="1"/>
  <c r="Q63" i="135"/>
  <c r="Q65" i="135"/>
  <c r="K50" i="135"/>
  <c r="P47" i="179"/>
  <c r="H49" i="135" s="1"/>
  <c r="L74" i="179"/>
  <c r="E74" i="179"/>
  <c r="C42" i="166"/>
  <c r="C43" i="166"/>
  <c r="C44" i="166"/>
  <c r="C45" i="166"/>
  <c r="C46" i="166"/>
  <c r="C47" i="166"/>
  <c r="C48" i="166"/>
  <c r="C49" i="166"/>
  <c r="C50" i="166"/>
  <c r="C51" i="166"/>
  <c r="C52" i="166"/>
  <c r="C53" i="166"/>
  <c r="C54" i="166"/>
  <c r="C55" i="166"/>
  <c r="C56" i="166"/>
  <c r="C57" i="166"/>
  <c r="C58" i="166"/>
  <c r="C59" i="166"/>
  <c r="C60" i="166"/>
  <c r="C61" i="166"/>
  <c r="C62" i="166"/>
  <c r="C63" i="166"/>
  <c r="C64" i="166"/>
  <c r="C67" i="166"/>
  <c r="C68" i="166"/>
  <c r="C69" i="166"/>
  <c r="C70" i="166"/>
  <c r="C71" i="166"/>
  <c r="C72" i="166"/>
  <c r="C73" i="166"/>
  <c r="C74" i="166"/>
  <c r="C75" i="166"/>
  <c r="C76" i="166"/>
  <c r="C77" i="166"/>
  <c r="C78" i="166"/>
  <c r="C79" i="166"/>
  <c r="C80" i="166"/>
  <c r="C81" i="166"/>
  <c r="C82" i="166"/>
  <c r="C83" i="166"/>
  <c r="C84" i="166"/>
  <c r="C85" i="166"/>
  <c r="C86" i="166"/>
  <c r="C87" i="166"/>
  <c r="C88" i="166"/>
  <c r="C89" i="166"/>
  <c r="C90" i="166"/>
  <c r="C91" i="166"/>
  <c r="C92" i="166"/>
  <c r="C93" i="166"/>
  <c r="C94" i="166"/>
  <c r="C95" i="166"/>
  <c r="C96" i="166"/>
  <c r="C41" i="166"/>
  <c r="C40" i="166"/>
  <c r="J27" i="169"/>
  <c r="E98" i="169"/>
  <c r="D98" i="169"/>
  <c r="C142" i="166" s="1"/>
  <c r="G24" i="160"/>
  <c r="F16" i="160"/>
  <c r="E41" i="166" s="1"/>
  <c r="F17" i="160"/>
  <c r="F18" i="160"/>
  <c r="F19" i="160"/>
  <c r="F20" i="160"/>
  <c r="F21" i="160"/>
  <c r="E46" i="166" s="1"/>
  <c r="F22" i="160"/>
  <c r="F23" i="160"/>
  <c r="E49" i="166"/>
  <c r="E50" i="166"/>
  <c r="F27" i="160"/>
  <c r="F28" i="160"/>
  <c r="F29" i="160"/>
  <c r="F30" i="160"/>
  <c r="F31" i="160"/>
  <c r="F32" i="160"/>
  <c r="F33" i="160"/>
  <c r="E58" i="166" s="1"/>
  <c r="F35" i="160"/>
  <c r="E60" i="166" s="1"/>
  <c r="F36" i="160"/>
  <c r="E61" i="166" s="1"/>
  <c r="F37" i="160"/>
  <c r="E62" i="166" s="1"/>
  <c r="F38" i="160"/>
  <c r="E63" i="166" s="1"/>
  <c r="F39" i="160"/>
  <c r="F42" i="160"/>
  <c r="F43" i="160"/>
  <c r="F44" i="160"/>
  <c r="F45" i="160"/>
  <c r="F46" i="160"/>
  <c r="F47" i="160"/>
  <c r="E72" i="166" s="1"/>
  <c r="F48" i="160"/>
  <c r="F49" i="160"/>
  <c r="E74" i="166" s="1"/>
  <c r="F50" i="160"/>
  <c r="E75" i="166" s="1"/>
  <c r="E76" i="166"/>
  <c r="E77" i="166"/>
  <c r="F54" i="160"/>
  <c r="F55" i="160"/>
  <c r="F57" i="160"/>
  <c r="F58" i="160"/>
  <c r="F59" i="160"/>
  <c r="E84" i="166" s="1"/>
  <c r="F60" i="160"/>
  <c r="F61" i="160"/>
  <c r="E86" i="166" s="1"/>
  <c r="F62" i="160"/>
  <c r="E87" i="166" s="1"/>
  <c r="F63" i="160"/>
  <c r="E88" i="166" s="1"/>
  <c r="F64" i="160"/>
  <c r="E89" i="166" s="1"/>
  <c r="F65" i="160"/>
  <c r="F66" i="160"/>
  <c r="F67" i="160"/>
  <c r="F68" i="160"/>
  <c r="F69" i="160"/>
  <c r="F70" i="160"/>
  <c r="E96" i="166"/>
  <c r="E16" i="160"/>
  <c r="E17" i="160"/>
  <c r="E18" i="160"/>
  <c r="E19" i="160"/>
  <c r="E20" i="160"/>
  <c r="E21" i="160"/>
  <c r="E22" i="160"/>
  <c r="E23" i="160"/>
  <c r="E24" i="160"/>
  <c r="E25" i="160"/>
  <c r="E26" i="160"/>
  <c r="E27" i="160"/>
  <c r="E28" i="160"/>
  <c r="E29" i="160"/>
  <c r="E30" i="160"/>
  <c r="E31" i="160"/>
  <c r="E32" i="160"/>
  <c r="E33" i="160"/>
  <c r="E34" i="160"/>
  <c r="E35" i="160"/>
  <c r="E36" i="160"/>
  <c r="E37" i="160"/>
  <c r="E38" i="160"/>
  <c r="E39" i="160"/>
  <c r="E42" i="160"/>
  <c r="E43" i="160"/>
  <c r="E44" i="160"/>
  <c r="E45" i="160"/>
  <c r="E46" i="160"/>
  <c r="E47" i="160"/>
  <c r="E48" i="160"/>
  <c r="E49" i="160"/>
  <c r="E50" i="160"/>
  <c r="E51" i="160"/>
  <c r="E52" i="160"/>
  <c r="E53" i="160"/>
  <c r="E54" i="160"/>
  <c r="E55" i="160"/>
  <c r="E56" i="160"/>
  <c r="E57" i="160"/>
  <c r="E58" i="160"/>
  <c r="E59" i="160"/>
  <c r="E60" i="160"/>
  <c r="E61" i="160"/>
  <c r="E62" i="160"/>
  <c r="E63" i="160"/>
  <c r="E64" i="160"/>
  <c r="E65" i="160"/>
  <c r="E66" i="160"/>
  <c r="E67" i="160"/>
  <c r="E68" i="160"/>
  <c r="E69" i="160"/>
  <c r="E70" i="160"/>
  <c r="E71" i="160"/>
  <c r="K27" i="169"/>
  <c r="I27" i="169"/>
  <c r="I49" i="135" l="1"/>
  <c r="K49" i="135" s="1"/>
  <c r="H85" i="135"/>
  <c r="I85" i="135"/>
  <c r="N85" i="135"/>
  <c r="T23" i="135"/>
  <c r="R85" i="135"/>
  <c r="R83" i="17" s="1"/>
  <c r="E83" i="17"/>
  <c r="E88" i="135"/>
  <c r="E91" i="135" s="1"/>
  <c r="K68" i="179"/>
  <c r="Y68" i="135"/>
  <c r="P87" i="135"/>
  <c r="P88" i="135" s="1"/>
  <c r="P78" i="135"/>
  <c r="P89" i="135" s="1"/>
  <c r="O78" i="135"/>
  <c r="O87" i="135"/>
  <c r="S78" i="135"/>
  <c r="S89" i="135" s="1"/>
  <c r="S87" i="135"/>
  <c r="S88" i="135" s="1"/>
  <c r="U87" i="135"/>
  <c r="U78" i="135"/>
  <c r="N87" i="135"/>
  <c r="N78" i="135"/>
  <c r="T56" i="135"/>
  <c r="T61" i="135"/>
  <c r="Q56" i="135"/>
  <c r="Q62" i="135"/>
  <c r="S40" i="135"/>
  <c r="T36" i="135"/>
  <c r="W36" i="135" s="1"/>
  <c r="Y36" i="135" s="1"/>
  <c r="Q61" i="135"/>
  <c r="R49" i="135"/>
  <c r="T49" i="135" s="1"/>
  <c r="W49" i="135" s="1"/>
  <c r="Y49" i="135" s="1"/>
  <c r="W29" i="135"/>
  <c r="Y29" i="135" s="1"/>
  <c r="V40" i="135"/>
  <c r="H19" i="135"/>
  <c r="H84" i="135" s="1"/>
  <c r="I17" i="135"/>
  <c r="O40" i="135"/>
  <c r="Q32" i="135"/>
  <c r="W32" i="135" s="1"/>
  <c r="Y32" i="135" s="1"/>
  <c r="T18" i="135"/>
  <c r="R19" i="135"/>
  <c r="R84" i="135" s="1"/>
  <c r="G89" i="135"/>
  <c r="G91" i="135" s="1"/>
  <c r="O59" i="135"/>
  <c r="Q59" i="135" s="1"/>
  <c r="W59" i="135" s="1"/>
  <c r="Y59" i="135" s="1"/>
  <c r="Q25" i="135"/>
  <c r="Q85" i="135" s="1"/>
  <c r="N40" i="135"/>
  <c r="T62" i="135"/>
  <c r="G50" i="160"/>
  <c r="R50" i="135"/>
  <c r="W63" i="135"/>
  <c r="Y63" i="135" s="1"/>
  <c r="W65" i="135"/>
  <c r="Y65" i="135" s="1"/>
  <c r="W51" i="135"/>
  <c r="Y51" i="135" s="1"/>
  <c r="R44" i="135"/>
  <c r="K45" i="135"/>
  <c r="K86" i="135" s="1"/>
  <c r="I40" i="135"/>
  <c r="K22" i="135"/>
  <c r="G88" i="135"/>
  <c r="H99" i="179"/>
  <c r="G35" i="160"/>
  <c r="G59" i="160"/>
  <c r="G49" i="160"/>
  <c r="G36" i="160"/>
  <c r="G64" i="160"/>
  <c r="G60" i="160"/>
  <c r="E85" i="166"/>
  <c r="G48" i="160"/>
  <c r="E73" i="166"/>
  <c r="G34" i="160"/>
  <c r="E59" i="166"/>
  <c r="G22" i="160"/>
  <c r="E47" i="166"/>
  <c r="G26" i="160"/>
  <c r="E51" i="166"/>
  <c r="G52" i="160"/>
  <c r="G21" i="160"/>
  <c r="G70" i="160"/>
  <c r="E95" i="166"/>
  <c r="G58" i="160"/>
  <c r="E83" i="166"/>
  <c r="G46" i="160"/>
  <c r="E71" i="166"/>
  <c r="G32" i="160"/>
  <c r="E57" i="166"/>
  <c r="G20" i="160"/>
  <c r="E45" i="166"/>
  <c r="G51" i="160"/>
  <c r="G69" i="160"/>
  <c r="E94" i="166"/>
  <c r="G57" i="160"/>
  <c r="E82" i="166"/>
  <c r="G45" i="160"/>
  <c r="E70" i="166"/>
  <c r="G31" i="160"/>
  <c r="E56" i="166"/>
  <c r="G19" i="160"/>
  <c r="E44" i="166"/>
  <c r="G68" i="160"/>
  <c r="E93" i="166"/>
  <c r="G56" i="160"/>
  <c r="E81" i="166"/>
  <c r="G44" i="160"/>
  <c r="E69" i="166"/>
  <c r="G30" i="160"/>
  <c r="E55" i="166"/>
  <c r="G18" i="160"/>
  <c r="E43" i="166"/>
  <c r="G67" i="160"/>
  <c r="E92" i="166"/>
  <c r="G55" i="160"/>
  <c r="E80" i="166"/>
  <c r="G43" i="160"/>
  <c r="E68" i="166"/>
  <c r="G29" i="160"/>
  <c r="E54" i="166"/>
  <c r="G17" i="160"/>
  <c r="E42" i="166"/>
  <c r="G47" i="160"/>
  <c r="G66" i="160"/>
  <c r="E91" i="166"/>
  <c r="G54" i="160"/>
  <c r="E79" i="166"/>
  <c r="G42" i="160"/>
  <c r="E67" i="166"/>
  <c r="G28" i="160"/>
  <c r="E53" i="166"/>
  <c r="G38" i="160"/>
  <c r="G65" i="160"/>
  <c r="E90" i="166"/>
  <c r="G53" i="160"/>
  <c r="E78" i="166"/>
  <c r="G39" i="160"/>
  <c r="E64" i="166"/>
  <c r="G27" i="160"/>
  <c r="E52" i="166"/>
  <c r="G71" i="160"/>
  <c r="G37" i="160"/>
  <c r="G62" i="160"/>
  <c r="G33" i="160"/>
  <c r="G63" i="160"/>
  <c r="G23" i="160"/>
  <c r="E48" i="166"/>
  <c r="G61" i="160"/>
  <c r="G25" i="160"/>
  <c r="A18" i="162"/>
  <c r="A19" i="162" s="1"/>
  <c r="A20" i="162" s="1"/>
  <c r="A21" i="162" s="1"/>
  <c r="A22" i="162" s="1"/>
  <c r="A23" i="162" s="1"/>
  <c r="A24" i="162" s="1"/>
  <c r="A25" i="162" s="1"/>
  <c r="A26" i="162" s="1"/>
  <c r="A27" i="162" s="1"/>
  <c r="A28" i="162" s="1"/>
  <c r="A29" i="162" s="1"/>
  <c r="A30" i="162" s="1"/>
  <c r="A31" i="162" s="1"/>
  <c r="A32" i="162" s="1"/>
  <c r="A33" i="162" s="1"/>
  <c r="A34" i="162" s="1"/>
  <c r="A35" i="162" s="1"/>
  <c r="A36" i="162" s="1"/>
  <c r="A37" i="162" s="1"/>
  <c r="A38" i="162" s="1"/>
  <c r="A39" i="162" s="1"/>
  <c r="D34" i="162"/>
  <c r="E34" i="162"/>
  <c r="C34" i="162"/>
  <c r="D30" i="162"/>
  <c r="C30" i="162"/>
  <c r="D24" i="162"/>
  <c r="C24" i="162"/>
  <c r="C46" i="144"/>
  <c r="H83" i="17" l="1"/>
  <c r="C36" i="162"/>
  <c r="W23" i="135"/>
  <c r="Y23" i="135" s="1"/>
  <c r="U22" i="135"/>
  <c r="U85" i="135" s="1"/>
  <c r="K85" i="135"/>
  <c r="K69" i="179"/>
  <c r="P69" i="179" s="1"/>
  <c r="V62" i="135"/>
  <c r="V56" i="135"/>
  <c r="Q78" i="135"/>
  <c r="Q87" i="135"/>
  <c r="V61" i="135"/>
  <c r="W18" i="135"/>
  <c r="Y18" i="135" s="1"/>
  <c r="T19" i="135"/>
  <c r="T84" i="135" s="1"/>
  <c r="W25" i="135"/>
  <c r="Y25" i="135" s="1"/>
  <c r="Q40" i="135"/>
  <c r="I19" i="135"/>
  <c r="I84" i="135" s="1"/>
  <c r="K17" i="135"/>
  <c r="D36" i="162"/>
  <c r="O88" i="135"/>
  <c r="O89" i="135"/>
  <c r="K40" i="135"/>
  <c r="T50" i="135"/>
  <c r="T85" i="135" s="1"/>
  <c r="T44" i="135"/>
  <c r="R45" i="135"/>
  <c r="R86" i="135" s="1"/>
  <c r="L36" i="170"/>
  <c r="K36" i="170"/>
  <c r="J36" i="170"/>
  <c r="G36" i="170"/>
  <c r="A14" i="170"/>
  <c r="A15" i="170" s="1"/>
  <c r="A16" i="170" s="1"/>
  <c r="A17" i="170" s="1"/>
  <c r="A18" i="170" s="1"/>
  <c r="A19" i="170" s="1"/>
  <c r="A20" i="170" s="1"/>
  <c r="A21" i="170" s="1"/>
  <c r="A22" i="170" s="1"/>
  <c r="A23" i="170" s="1"/>
  <c r="A24" i="170" s="1"/>
  <c r="A25" i="170" s="1"/>
  <c r="A26" i="170" s="1"/>
  <c r="A27" i="170" s="1"/>
  <c r="A28" i="170" s="1"/>
  <c r="A29" i="170" s="1"/>
  <c r="A30" i="170" s="1"/>
  <c r="A31" i="170" s="1"/>
  <c r="A32" i="170" s="1"/>
  <c r="A33" i="170" s="1"/>
  <c r="A34" i="170" s="1"/>
  <c r="A35" i="170" s="1"/>
  <c r="A36" i="170" s="1"/>
  <c r="A37" i="170" s="1"/>
  <c r="A38" i="170" s="1"/>
  <c r="A39" i="170" s="1"/>
  <c r="A40" i="170" s="1"/>
  <c r="A41" i="170" s="1"/>
  <c r="A42" i="170" s="1"/>
  <c r="A43" i="170" s="1"/>
  <c r="A44" i="170" s="1"/>
  <c r="A45" i="170" s="1"/>
  <c r="A46" i="170" s="1"/>
  <c r="A47" i="170" s="1"/>
  <c r="A48" i="170" s="1"/>
  <c r="A49" i="170" s="1"/>
  <c r="A50" i="170" s="1"/>
  <c r="A51" i="170" s="1"/>
  <c r="A52" i="170" s="1"/>
  <c r="A53" i="170" s="1"/>
  <c r="A54" i="170" s="1"/>
  <c r="A55" i="170" s="1"/>
  <c r="A56" i="170" s="1"/>
  <c r="A57" i="170" s="1"/>
  <c r="A58" i="170" s="1"/>
  <c r="A59" i="170" s="1"/>
  <c r="A60" i="170" s="1"/>
  <c r="A61" i="170" s="1"/>
  <c r="A62" i="170" s="1"/>
  <c r="A63" i="170" s="1"/>
  <c r="A64" i="170" s="1"/>
  <c r="A65" i="170" s="1"/>
  <c r="A66" i="170" s="1"/>
  <c r="A67" i="170" s="1"/>
  <c r="A68" i="170" s="1"/>
  <c r="A69" i="170" s="1"/>
  <c r="A70" i="170" s="1"/>
  <c r="A71" i="170" s="1"/>
  <c r="A72" i="170" s="1"/>
  <c r="A73" i="170" s="1"/>
  <c r="A74" i="170" s="1"/>
  <c r="A75" i="170" s="1"/>
  <c r="A76" i="170" s="1"/>
  <c r="A77" i="170" s="1"/>
  <c r="A78" i="170" s="1"/>
  <c r="A79" i="170" s="1"/>
  <c r="A80" i="170" s="1"/>
  <c r="A81" i="170" s="1"/>
  <c r="A82" i="170" s="1"/>
  <c r="A83" i="170" s="1"/>
  <c r="A84" i="170" s="1"/>
  <c r="A85" i="170" s="1"/>
  <c r="A86" i="170" s="1"/>
  <c r="A87" i="170" s="1"/>
  <c r="A88" i="170" s="1"/>
  <c r="A89" i="170" s="1"/>
  <c r="A90" i="170" s="1"/>
  <c r="A91" i="170" s="1"/>
  <c r="A92" i="170" s="1"/>
  <c r="A93" i="170" s="1"/>
  <c r="A94" i="170" s="1"/>
  <c r="A95" i="170" s="1"/>
  <c r="A96" i="170" s="1"/>
  <c r="A97" i="170" s="1"/>
  <c r="A98" i="170" s="1"/>
  <c r="A99" i="170" s="1"/>
  <c r="A100" i="170" s="1"/>
  <c r="A101" i="170" s="1"/>
  <c r="A102" i="170" s="1"/>
  <c r="A103" i="170" s="1"/>
  <c r="A104" i="170" s="1"/>
  <c r="A105" i="170" s="1"/>
  <c r="A106" i="170" s="1"/>
  <c r="A107" i="170" s="1"/>
  <c r="A108" i="170" s="1"/>
  <c r="A109" i="170" s="1"/>
  <c r="A110" i="170" s="1"/>
  <c r="A111" i="170" s="1"/>
  <c r="A112" i="170" s="1"/>
  <c r="A113" i="170" s="1"/>
  <c r="A114" i="170" s="1"/>
  <c r="A115" i="170" s="1"/>
  <c r="A116" i="170" s="1"/>
  <c r="A117" i="170" s="1"/>
  <c r="A118" i="170" s="1"/>
  <c r="A119" i="170" s="1"/>
  <c r="A120" i="170" s="1"/>
  <c r="A121" i="170" s="1"/>
  <c r="A122" i="170" s="1"/>
  <c r="A123" i="170" s="1"/>
  <c r="A124" i="170" s="1"/>
  <c r="A125" i="170" s="1"/>
  <c r="A126" i="170" s="1"/>
  <c r="A127" i="170" s="1"/>
  <c r="A128" i="170" s="1"/>
  <c r="A129" i="170" s="1"/>
  <c r="A130" i="170" s="1"/>
  <c r="A131" i="170" s="1"/>
  <c r="A132" i="170" s="1"/>
  <c r="A133" i="170" s="1"/>
  <c r="A134" i="170" s="1"/>
  <c r="A135" i="170" s="1"/>
  <c r="A136" i="170" s="1"/>
  <c r="A137" i="170" s="1"/>
  <c r="A138" i="170" s="1"/>
  <c r="A139" i="170" s="1"/>
  <c r="A140" i="170" s="1"/>
  <c r="A141" i="170" s="1"/>
  <c r="A142" i="170" s="1"/>
  <c r="A143" i="170" s="1"/>
  <c r="A144" i="170" s="1"/>
  <c r="A145" i="170" s="1"/>
  <c r="A146" i="170" s="1"/>
  <c r="A147" i="170" s="1"/>
  <c r="A148" i="170" s="1"/>
  <c r="A149" i="170" s="1"/>
  <c r="A150" i="170" s="1"/>
  <c r="A151" i="170" s="1"/>
  <c r="A152" i="170" s="1"/>
  <c r="A153" i="170" s="1"/>
  <c r="A154" i="170" s="1"/>
  <c r="A155" i="170" s="1"/>
  <c r="A156" i="170" s="1"/>
  <c r="A157" i="170" s="1"/>
  <c r="A158" i="170" s="1"/>
  <c r="A159" i="170" s="1"/>
  <c r="A160" i="170" s="1"/>
  <c r="A161" i="170" s="1"/>
  <c r="A162" i="170" s="1"/>
  <c r="A163" i="170" s="1"/>
  <c r="A164" i="170" s="1"/>
  <c r="A165" i="170" s="1"/>
  <c r="A166" i="170" s="1"/>
  <c r="A167" i="170" s="1"/>
  <c r="A168" i="170" s="1"/>
  <c r="A169" i="170" s="1"/>
  <c r="A170" i="170" s="1"/>
  <c r="A171" i="170" s="1"/>
  <c r="A172" i="170" s="1"/>
  <c r="A173" i="170" s="1"/>
  <c r="A174" i="170" s="1"/>
  <c r="A175" i="170" s="1"/>
  <c r="A176" i="170" s="1"/>
  <c r="A177" i="170" s="1"/>
  <c r="A178" i="170" s="1"/>
  <c r="A179" i="170" s="1"/>
  <c r="A180" i="170" s="1"/>
  <c r="A181" i="170" s="1"/>
  <c r="A182" i="170" s="1"/>
  <c r="A183" i="170" s="1"/>
  <c r="A184" i="170" s="1"/>
  <c r="A185" i="170" s="1"/>
  <c r="A186" i="170" s="1"/>
  <c r="A187" i="170" s="1"/>
  <c r="A188" i="170" s="1"/>
  <c r="A189" i="170" s="1"/>
  <c r="A190" i="170" s="1"/>
  <c r="A191" i="170" s="1"/>
  <c r="A192" i="170" s="1"/>
  <c r="H36" i="170"/>
  <c r="F36" i="170"/>
  <c r="A13" i="170"/>
  <c r="U40" i="135" l="1"/>
  <c r="U83" i="17"/>
  <c r="K70" i="179"/>
  <c r="H71" i="135"/>
  <c r="H72" i="135"/>
  <c r="W62" i="135"/>
  <c r="Y62" i="135" s="1"/>
  <c r="W56" i="135"/>
  <c r="Y56" i="135" s="1"/>
  <c r="V87" i="135"/>
  <c r="V88" i="135" s="1"/>
  <c r="V78" i="135"/>
  <c r="V89" i="135" s="1"/>
  <c r="W61" i="135"/>
  <c r="Y61" i="135" s="1"/>
  <c r="N17" i="135"/>
  <c r="K19" i="135"/>
  <c r="K84" i="135" s="1"/>
  <c r="U88" i="135"/>
  <c r="U89" i="135"/>
  <c r="T45" i="135"/>
  <c r="T86" i="135" s="1"/>
  <c r="W44" i="135"/>
  <c r="W50" i="135"/>
  <c r="R40" i="135"/>
  <c r="T22" i="135"/>
  <c r="L62" i="170"/>
  <c r="I62" i="170"/>
  <c r="K62" i="170"/>
  <c r="F62" i="170"/>
  <c r="J62" i="170"/>
  <c r="I36" i="170"/>
  <c r="I72" i="135" l="1"/>
  <c r="G19" i="132"/>
  <c r="K72" i="135"/>
  <c r="R72" i="135" s="1"/>
  <c r="K71" i="179"/>
  <c r="P71" i="179" s="1"/>
  <c r="I71" i="135"/>
  <c r="Y50" i="135"/>
  <c r="W45" i="135"/>
  <c r="W86" i="135" s="1"/>
  <c r="Y86" i="135" s="1"/>
  <c r="Y44" i="135"/>
  <c r="N19" i="135"/>
  <c r="N84" i="135" s="1"/>
  <c r="N83" i="17" s="1"/>
  <c r="Q17" i="135"/>
  <c r="W22" i="135"/>
  <c r="T40" i="135"/>
  <c r="G62" i="170"/>
  <c r="H62" i="170"/>
  <c r="T72" i="135" l="1"/>
  <c r="W72" i="135" s="1"/>
  <c r="Y72" i="135" s="1"/>
  <c r="M19" i="132"/>
  <c r="Y22" i="135"/>
  <c r="W85" i="135"/>
  <c r="Y85" i="135" s="1"/>
  <c r="K71" i="135"/>
  <c r="H73" i="135"/>
  <c r="K73" i="179"/>
  <c r="K72" i="179"/>
  <c r="H74" i="135"/>
  <c r="N89" i="135"/>
  <c r="N88" i="135"/>
  <c r="Q19" i="135"/>
  <c r="Q84" i="135" s="1"/>
  <c r="W17" i="135"/>
  <c r="W19" i="135" s="1"/>
  <c r="W84" i="135" s="1"/>
  <c r="Y84" i="135" s="1"/>
  <c r="Y45" i="135"/>
  <c r="W40" i="135"/>
  <c r="Y40" i="135" s="1"/>
  <c r="I74" i="135" l="1"/>
  <c r="K74" i="135" s="1"/>
  <c r="R74" i="135" s="1"/>
  <c r="G20" i="132"/>
  <c r="H76" i="135"/>
  <c r="I76" i="135" s="1"/>
  <c r="K74" i="179"/>
  <c r="I73" i="135"/>
  <c r="R71" i="135"/>
  <c r="Y19" i="135"/>
  <c r="Q89" i="135"/>
  <c r="Q88" i="135"/>
  <c r="D22" i="175"/>
  <c r="D40" i="175"/>
  <c r="D38" i="175"/>
  <c r="D37" i="175"/>
  <c r="R57" i="174"/>
  <c r="R58" i="174"/>
  <c r="T74" i="135" l="1"/>
  <c r="W74" i="135" s="1"/>
  <c r="Y74" i="135" s="1"/>
  <c r="M20" i="132"/>
  <c r="K76" i="135"/>
  <c r="R76" i="135" s="1"/>
  <c r="T76" i="135" s="1"/>
  <c r="W76" i="135" s="1"/>
  <c r="Y76" i="135" s="1"/>
  <c r="T71" i="135"/>
  <c r="K73" i="135"/>
  <c r="H75" i="135"/>
  <c r="P74" i="179"/>
  <c r="H27" i="169"/>
  <c r="I75" i="135" l="1"/>
  <c r="H87" i="135"/>
  <c r="H88" i="135" s="1"/>
  <c r="H78" i="135"/>
  <c r="H89" i="135" s="1"/>
  <c r="R73" i="135"/>
  <c r="W71" i="135"/>
  <c r="A23" i="144"/>
  <c r="A24" i="144" s="1"/>
  <c r="A25" i="144" s="1"/>
  <c r="A26" i="144" s="1"/>
  <c r="A27" i="144" s="1"/>
  <c r="A28" i="144" s="1"/>
  <c r="A29" i="144" s="1"/>
  <c r="A30" i="144" s="1"/>
  <c r="A31" i="144" s="1"/>
  <c r="H91" i="135" l="1"/>
  <c r="Y71" i="135"/>
  <c r="K75" i="135"/>
  <c r="I87" i="135"/>
  <c r="I88" i="135" s="1"/>
  <c r="I78" i="135"/>
  <c r="I89" i="135" s="1"/>
  <c r="T73" i="135"/>
  <c r="R24" i="8"/>
  <c r="X24" i="8"/>
  <c r="R25" i="8"/>
  <c r="X25" i="8" s="1"/>
  <c r="R26" i="8"/>
  <c r="X26" i="8" s="1"/>
  <c r="J21" i="8"/>
  <c r="I19" i="8"/>
  <c r="J19" i="8" s="1"/>
  <c r="J26" i="8"/>
  <c r="L26" i="8" s="1"/>
  <c r="J25" i="8"/>
  <c r="L25" i="8" s="1"/>
  <c r="J24" i="8"/>
  <c r="L24" i="8" s="1"/>
  <c r="J23" i="8"/>
  <c r="L23" i="8" s="1"/>
  <c r="X18" i="153"/>
  <c r="X16" i="153"/>
  <c r="A16" i="152"/>
  <c r="A17" i="152"/>
  <c r="I15" i="151"/>
  <c r="A16" i="151"/>
  <c r="A17" i="151" s="1"/>
  <c r="A16" i="150"/>
  <c r="A17" i="150" s="1"/>
  <c r="A18" i="150" s="1"/>
  <c r="A19" i="150" s="1"/>
  <c r="A20" i="150" s="1"/>
  <c r="A21" i="150" s="1"/>
  <c r="I91" i="135" l="1"/>
  <c r="W73" i="135"/>
  <c r="R75" i="135"/>
  <c r="K78" i="135"/>
  <c r="K89" i="135" s="1"/>
  <c r="K87" i="135"/>
  <c r="K88" i="135" s="1"/>
  <c r="K91" i="135" s="1"/>
  <c r="Z26" i="8"/>
  <c r="Y26" i="8"/>
  <c r="Y25" i="8"/>
  <c r="Z25" i="8"/>
  <c r="Y24" i="8"/>
  <c r="Z24" i="8"/>
  <c r="E27" i="162"/>
  <c r="E32" i="162"/>
  <c r="E23" i="162"/>
  <c r="E28" i="162"/>
  <c r="E29" i="162"/>
  <c r="E33" i="162"/>
  <c r="E26" i="162"/>
  <c r="E22" i="162"/>
  <c r="T75" i="135" l="1"/>
  <c r="R87" i="135"/>
  <c r="R88" i="135" s="1"/>
  <c r="R78" i="135"/>
  <c r="R89" i="135" s="1"/>
  <c r="Y73" i="135"/>
  <c r="E30" i="162"/>
  <c r="E24" i="162"/>
  <c r="E36" i="162" s="1"/>
  <c r="Q54" i="128" l="1"/>
  <c r="Q47" i="128"/>
  <c r="Q43" i="128"/>
  <c r="Q55" i="128"/>
  <c r="Q50" i="128"/>
  <c r="Q46" i="128"/>
  <c r="W75" i="135"/>
  <c r="T78" i="135"/>
  <c r="T89" i="135" s="1"/>
  <c r="T87" i="135"/>
  <c r="T88" i="135" s="1"/>
  <c r="G24" i="162"/>
  <c r="I29" i="162"/>
  <c r="I23" i="162"/>
  <c r="F23" i="162"/>
  <c r="F22" i="162"/>
  <c r="I22" i="162"/>
  <c r="F24" i="162" l="1"/>
  <c r="Y75" i="135"/>
  <c r="W87" i="135"/>
  <c r="W78" i="135"/>
  <c r="I24" i="162"/>
  <c r="F29" i="162"/>
  <c r="F26" i="162"/>
  <c r="I26" i="162"/>
  <c r="F28" i="162"/>
  <c r="I28" i="162"/>
  <c r="D31" i="144"/>
  <c r="Y78" i="135" l="1"/>
  <c r="W89" i="135"/>
  <c r="Y89" i="135" s="1"/>
  <c r="Y87" i="135"/>
  <c r="W88" i="135"/>
  <c r="Y88" i="135" s="1"/>
  <c r="A21" i="54"/>
  <c r="A22" i="54" s="1"/>
  <c r="A23" i="54" s="1"/>
  <c r="A24" i="54" s="1"/>
  <c r="A25" i="54" s="1"/>
  <c r="A26" i="54" s="1"/>
  <c r="A27" i="54" s="1"/>
  <c r="A28" i="54" s="1"/>
  <c r="A29" i="54" s="1"/>
  <c r="A30" i="54" s="1"/>
  <c r="A23" i="159" l="1"/>
  <c r="A24" i="159" s="1"/>
  <c r="A25" i="159" s="1"/>
  <c r="A26" i="159" s="1"/>
  <c r="A27" i="159" s="1"/>
  <c r="A28" i="159" s="1"/>
  <c r="A29" i="159" s="1"/>
  <c r="A30" i="159" s="1"/>
  <c r="A31" i="159" s="1"/>
  <c r="R81" i="174"/>
  <c r="R82" i="174"/>
  <c r="R83" i="174"/>
  <c r="R89" i="174"/>
  <c r="R90" i="174"/>
  <c r="Y69" i="174"/>
  <c r="Z70" i="174"/>
  <c r="G93" i="174"/>
  <c r="I93" i="174" s="1"/>
  <c r="K93" i="174" s="1"/>
  <c r="G69" i="174"/>
  <c r="I69" i="174" s="1"/>
  <c r="K69" i="174" s="1"/>
  <c r="G70" i="174"/>
  <c r="I70" i="174" s="1"/>
  <c r="K70" i="174" s="1"/>
  <c r="F23" i="174"/>
  <c r="E62" i="174"/>
  <c r="G57" i="174"/>
  <c r="I57" i="174" s="1"/>
  <c r="K57" i="174" s="1"/>
  <c r="G58" i="174"/>
  <c r="I58" i="174" s="1"/>
  <c r="K58" i="174" s="1"/>
  <c r="S58" i="174" s="1"/>
  <c r="G45" i="174"/>
  <c r="I45" i="174" s="1"/>
  <c r="K45" i="174" s="1"/>
  <c r="U18" i="174"/>
  <c r="R18" i="174"/>
  <c r="G18" i="174"/>
  <c r="O48" i="138"/>
  <c r="N48" i="138"/>
  <c r="M48" i="138"/>
  <c r="L48" i="138"/>
  <c r="K48" i="138"/>
  <c r="J48" i="138"/>
  <c r="I48" i="138"/>
  <c r="H48" i="138"/>
  <c r="G48" i="138"/>
  <c r="E48" i="138"/>
  <c r="O47" i="138"/>
  <c r="N47" i="138"/>
  <c r="M47" i="138"/>
  <c r="L47" i="138"/>
  <c r="K47" i="138"/>
  <c r="J47" i="138"/>
  <c r="I47" i="138"/>
  <c r="H47" i="138"/>
  <c r="G47" i="138"/>
  <c r="E47" i="138"/>
  <c r="O27" i="138"/>
  <c r="N27" i="138"/>
  <c r="M27" i="138"/>
  <c r="L27" i="138"/>
  <c r="K27" i="138"/>
  <c r="J27" i="138"/>
  <c r="I27" i="138"/>
  <c r="H27" i="138"/>
  <c r="G27" i="138"/>
  <c r="E27" i="138"/>
  <c r="O26" i="138"/>
  <c r="N26" i="138"/>
  <c r="M26" i="138"/>
  <c r="L26" i="138"/>
  <c r="K26" i="138"/>
  <c r="J26" i="138"/>
  <c r="I26" i="138"/>
  <c r="H26" i="138"/>
  <c r="G26" i="138"/>
  <c r="E26" i="138"/>
  <c r="O13" i="138"/>
  <c r="N13" i="138"/>
  <c r="M13" i="138"/>
  <c r="L13" i="138"/>
  <c r="K13" i="138"/>
  <c r="J13" i="138"/>
  <c r="I13" i="138"/>
  <c r="H13" i="138"/>
  <c r="G13" i="138"/>
  <c r="E13" i="138"/>
  <c r="O12" i="138"/>
  <c r="N12" i="138"/>
  <c r="M12" i="138"/>
  <c r="L12" i="138"/>
  <c r="K12" i="138"/>
  <c r="J12" i="138"/>
  <c r="I12" i="138"/>
  <c r="H12" i="138"/>
  <c r="G12" i="138"/>
  <c r="E12" i="138"/>
  <c r="O11" i="138"/>
  <c r="N11" i="138"/>
  <c r="M11" i="138"/>
  <c r="L11" i="138"/>
  <c r="K11" i="138"/>
  <c r="J11" i="138"/>
  <c r="I11" i="138"/>
  <c r="H11" i="138"/>
  <c r="G11" i="138"/>
  <c r="E11" i="138"/>
  <c r="G73" i="17"/>
  <c r="I73" i="17" s="1"/>
  <c r="K73" i="17" s="1"/>
  <c r="G72" i="17"/>
  <c r="I72" i="17" s="1"/>
  <c r="K72" i="17" s="1"/>
  <c r="G47" i="17"/>
  <c r="I47" i="17" s="1"/>
  <c r="K47" i="17" s="1"/>
  <c r="G46" i="17"/>
  <c r="I46" i="17" s="1"/>
  <c r="K46" i="17" s="1"/>
  <c r="G28" i="17"/>
  <c r="I28" i="17" s="1"/>
  <c r="K28" i="17" s="1"/>
  <c r="G27" i="17"/>
  <c r="I27" i="17" s="1"/>
  <c r="K27" i="17" s="1"/>
  <c r="D26" i="138" l="1"/>
  <c r="F27" i="138"/>
  <c r="S57" i="174"/>
  <c r="X58" i="174"/>
  <c r="Z58" i="174" s="1"/>
  <c r="U58" i="174"/>
  <c r="P12" i="138"/>
  <c r="Q12" i="138" s="1"/>
  <c r="P13" i="138"/>
  <c r="Q13" i="138" s="1"/>
  <c r="P48" i="138"/>
  <c r="P27" i="138"/>
  <c r="P26" i="138"/>
  <c r="F48" i="138"/>
  <c r="D47" i="138"/>
  <c r="D48" i="138"/>
  <c r="F47" i="138"/>
  <c r="F26" i="138"/>
  <c r="D27" i="138"/>
  <c r="F13" i="138"/>
  <c r="D13" i="138"/>
  <c r="D12" i="138"/>
  <c r="F12" i="138"/>
  <c r="P47" i="138"/>
  <c r="P11" i="138"/>
  <c r="F62" i="174"/>
  <c r="F98" i="174" s="1"/>
  <c r="Z69" i="174"/>
  <c r="Y70" i="174"/>
  <c r="H18" i="174"/>
  <c r="D17" i="175" s="1"/>
  <c r="Y73" i="17"/>
  <c r="X73" i="17"/>
  <c r="Y72" i="17"/>
  <c r="X72" i="17"/>
  <c r="Y47" i="17"/>
  <c r="X47" i="17"/>
  <c r="Y46" i="17"/>
  <c r="X46" i="17"/>
  <c r="Y28" i="17"/>
  <c r="X28" i="17"/>
  <c r="Y27" i="17"/>
  <c r="X27" i="17"/>
  <c r="Y58" i="174" l="1"/>
  <c r="X57" i="174"/>
  <c r="U57" i="174"/>
  <c r="C5" i="138"/>
  <c r="C2" i="138"/>
  <c r="I18" i="174"/>
  <c r="M49" i="131"/>
  <c r="Y57" i="174" l="1"/>
  <c r="Z57" i="174"/>
  <c r="K18" i="174"/>
  <c r="M28" i="134"/>
  <c r="H28" i="134"/>
  <c r="J28" i="134" s="1"/>
  <c r="M19" i="134" l="1"/>
  <c r="J19" i="134"/>
  <c r="E23" i="134"/>
  <c r="Q11" i="138"/>
  <c r="G26" i="17"/>
  <c r="I26" i="17" l="1"/>
  <c r="D11" i="138"/>
  <c r="O19" i="134"/>
  <c r="K26" i="17" l="1"/>
  <c r="F11" i="138"/>
  <c r="Q56" i="128" l="1"/>
  <c r="X26" i="17"/>
  <c r="Y26" i="17"/>
  <c r="K39" i="128" l="1"/>
  <c r="Q39" i="128" l="1"/>
  <c r="Q53" i="128"/>
  <c r="D45" i="159" l="1"/>
  <c r="D46" i="159"/>
  <c r="D47" i="159"/>
  <c r="D44" i="159"/>
  <c r="H36" i="131" l="1"/>
  <c r="J36" i="131" s="1"/>
  <c r="G36" i="131"/>
  <c r="H32" i="131"/>
  <c r="J32" i="131" s="1"/>
  <c r="G32" i="131"/>
  <c r="H31" i="131"/>
  <c r="J31" i="131" s="1"/>
  <c r="G31" i="131"/>
  <c r="H25" i="131"/>
  <c r="J25" i="131" s="1"/>
  <c r="G25" i="131"/>
  <c r="H24" i="131"/>
  <c r="R18" i="153" l="1"/>
  <c r="U18" i="153"/>
  <c r="R16" i="153"/>
  <c r="U16" i="153"/>
  <c r="C20" i="166" l="1"/>
  <c r="F21" i="171" l="1"/>
  <c r="F20" i="171"/>
  <c r="F19" i="171"/>
  <c r="F18" i="171"/>
  <c r="F17" i="171"/>
  <c r="F16" i="171"/>
  <c r="F15" i="171"/>
  <c r="F14" i="171"/>
  <c r="R43" i="174" l="1"/>
  <c r="R46" i="174"/>
  <c r="R47" i="174"/>
  <c r="R50" i="174"/>
  <c r="R51" i="174"/>
  <c r="R52" i="174"/>
  <c r="R53" i="174"/>
  <c r="R60" i="174"/>
  <c r="V59" i="17" l="1"/>
  <c r="U59" i="17"/>
  <c r="V39" i="17"/>
  <c r="U39" i="17"/>
  <c r="V22" i="17"/>
  <c r="U22" i="17"/>
  <c r="S59" i="17"/>
  <c r="R59" i="17"/>
  <c r="S39" i="17"/>
  <c r="R39" i="17"/>
  <c r="S22" i="17"/>
  <c r="N59" i="17"/>
  <c r="P59" i="17"/>
  <c r="O59" i="17"/>
  <c r="O39" i="17"/>
  <c r="N39" i="17"/>
  <c r="P39" i="17"/>
  <c r="O22" i="17"/>
  <c r="P22" i="17"/>
  <c r="N22" i="17"/>
  <c r="H59" i="17"/>
  <c r="H39" i="17"/>
  <c r="H22" i="17"/>
  <c r="F59" i="17"/>
  <c r="F39" i="17"/>
  <c r="F22" i="17"/>
  <c r="C80" i="138" l="1"/>
  <c r="G80" i="138"/>
  <c r="I80" i="138"/>
  <c r="J80" i="138"/>
  <c r="K80" i="138"/>
  <c r="L80" i="138"/>
  <c r="M80" i="138"/>
  <c r="O80" i="138"/>
  <c r="P80" i="138"/>
  <c r="Q45" i="128" l="1"/>
  <c r="Q42" i="128"/>
  <c r="Q40" i="128"/>
  <c r="Q51" i="128" l="1"/>
  <c r="G80" i="174" l="1"/>
  <c r="I80" i="174" s="1"/>
  <c r="G81" i="174"/>
  <c r="I81" i="174" s="1"/>
  <c r="G92" i="174"/>
  <c r="I92" i="174" s="1"/>
  <c r="G41" i="174"/>
  <c r="I41" i="174" s="1"/>
  <c r="G42" i="174"/>
  <c r="I42" i="174" s="1"/>
  <c r="G43" i="174"/>
  <c r="I43" i="174" s="1"/>
  <c r="G44" i="174"/>
  <c r="I44" i="174" s="1"/>
  <c r="G46" i="174"/>
  <c r="G47" i="174"/>
  <c r="G48" i="174"/>
  <c r="I48" i="174" s="1"/>
  <c r="G49" i="174"/>
  <c r="I49" i="174" s="1"/>
  <c r="G50" i="174"/>
  <c r="I50" i="174" s="1"/>
  <c r="G51" i="174"/>
  <c r="G52" i="174"/>
  <c r="I52" i="174" s="1"/>
  <c r="G53" i="174"/>
  <c r="I53" i="174" s="1"/>
  <c r="G54" i="174"/>
  <c r="I54" i="174" s="1"/>
  <c r="G55" i="174"/>
  <c r="G56" i="174"/>
  <c r="G59" i="174"/>
  <c r="G60" i="174"/>
  <c r="G61" i="174"/>
  <c r="I61" i="174" s="1"/>
  <c r="G40" i="174"/>
  <c r="G20" i="174"/>
  <c r="H20" i="174" s="1"/>
  <c r="G21" i="174"/>
  <c r="I21" i="174" s="1"/>
  <c r="G22" i="174"/>
  <c r="I22" i="174" s="1"/>
  <c r="G23" i="174"/>
  <c r="G24" i="174"/>
  <c r="I24" i="174" s="1"/>
  <c r="G25" i="174"/>
  <c r="I25" i="174" s="1"/>
  <c r="G26" i="174"/>
  <c r="I26" i="174" s="1"/>
  <c r="G27" i="174"/>
  <c r="G28" i="174"/>
  <c r="G29" i="174"/>
  <c r="I29" i="174" s="1"/>
  <c r="G30" i="174"/>
  <c r="I30" i="174" s="1"/>
  <c r="G31" i="174"/>
  <c r="I31" i="174" s="1"/>
  <c r="G32" i="174"/>
  <c r="I32" i="174" s="1"/>
  <c r="G33" i="174"/>
  <c r="I33" i="174" s="1"/>
  <c r="G34" i="174"/>
  <c r="I34" i="174" s="1"/>
  <c r="G35" i="174"/>
  <c r="I35" i="174" s="1"/>
  <c r="G36" i="174"/>
  <c r="I36" i="174" s="1"/>
  <c r="H47" i="174" l="1"/>
  <c r="I46" i="174"/>
  <c r="H59" i="174"/>
  <c r="I56" i="174"/>
  <c r="EE47" i="178" s="1"/>
  <c r="I55" i="174"/>
  <c r="I23" i="174"/>
  <c r="I27" i="174"/>
  <c r="I28" i="174"/>
  <c r="K92" i="174"/>
  <c r="K81" i="174"/>
  <c r="K80" i="174"/>
  <c r="I59" i="174"/>
  <c r="H60" i="174"/>
  <c r="I20" i="174"/>
  <c r="EE46" i="178" l="1"/>
  <c r="I47" i="174"/>
  <c r="D28" i="175"/>
  <c r="K47" i="174"/>
  <c r="D31" i="175"/>
  <c r="H86" i="174"/>
  <c r="D41" i="175" s="1"/>
  <c r="Z81" i="174"/>
  <c r="Y81" i="174"/>
  <c r="D32" i="175"/>
  <c r="I60" i="174"/>
  <c r="S80" i="174" l="1"/>
  <c r="A15" i="152"/>
  <c r="A18" i="152" s="1"/>
  <c r="A19" i="152" s="1"/>
  <c r="A20" i="152" s="1"/>
  <c r="A21" i="152" s="1"/>
  <c r="A15" i="150"/>
  <c r="X80" i="174" l="1"/>
  <c r="U80" i="174"/>
  <c r="G78" i="160"/>
  <c r="E81" i="160"/>
  <c r="E78" i="160"/>
  <c r="E93" i="169" l="1"/>
  <c r="E15" i="160"/>
  <c r="O52" i="159" l="1"/>
  <c r="P52" i="159"/>
  <c r="R52" i="159"/>
  <c r="S52" i="159"/>
  <c r="U52" i="159"/>
  <c r="V52" i="159"/>
  <c r="N52" i="159"/>
  <c r="T35" i="159"/>
  <c r="T52" i="159" s="1"/>
  <c r="Q35" i="159"/>
  <c r="W35" i="159" l="1"/>
  <c r="W52" i="159" s="1"/>
  <c r="N80" i="138"/>
  <c r="Q52" i="159"/>
  <c r="C31" i="144"/>
  <c r="C30" i="144"/>
  <c r="C29" i="144"/>
  <c r="C28" i="144"/>
  <c r="T36" i="159" l="1"/>
  <c r="T32" i="159"/>
  <c r="Q36" i="159"/>
  <c r="Q32" i="159"/>
  <c r="A14" i="171" l="1"/>
  <c r="A15" i="171" s="1"/>
  <c r="A16" i="171" s="1"/>
  <c r="A17" i="171" s="1"/>
  <c r="A18" i="171" s="1"/>
  <c r="A19" i="171" s="1"/>
  <c r="A20" i="171" s="1"/>
  <c r="A21" i="171" s="1"/>
  <c r="A22" i="171" s="1"/>
  <c r="A23" i="171" s="1"/>
  <c r="A32" i="171" l="1"/>
  <c r="A33" i="171" s="1"/>
  <c r="A34" i="171" s="1"/>
  <c r="A35" i="171" s="1"/>
  <c r="A36" i="171" s="1"/>
  <c r="A37" i="171" s="1"/>
  <c r="A38" i="171" s="1"/>
  <c r="A39" i="171" s="1"/>
  <c r="K24" i="174"/>
  <c r="M51" i="159" l="1"/>
  <c r="M45" i="159"/>
  <c r="M46" i="159"/>
  <c r="M47" i="159"/>
  <c r="M48" i="159"/>
  <c r="M44" i="159"/>
  <c r="F19" i="132" l="1"/>
  <c r="L20" i="132"/>
  <c r="F20" i="132"/>
  <c r="R31" i="8" l="1"/>
  <c r="J107" i="138" s="1"/>
  <c r="R29" i="8"/>
  <c r="J105" i="138" s="1"/>
  <c r="R23" i="8"/>
  <c r="R21" i="8"/>
  <c r="R19" i="8"/>
  <c r="S47" i="128" l="1"/>
  <c r="S51" i="128"/>
  <c r="A14" i="128" l="1"/>
  <c r="A15" i="128" s="1"/>
  <c r="A16" i="128" s="1"/>
  <c r="A17" i="128" s="1"/>
  <c r="A18" i="128" s="1"/>
  <c r="A19" i="128" s="1"/>
  <c r="R47" i="128"/>
  <c r="R51" i="128"/>
  <c r="E36" i="128"/>
  <c r="A20" i="128" l="1"/>
  <c r="A21" i="128" s="1"/>
  <c r="A22" i="128" s="1"/>
  <c r="A23" i="128" s="1"/>
  <c r="A24" i="128" s="1"/>
  <c r="A25" i="128" s="1"/>
  <c r="A26" i="128" s="1"/>
  <c r="A27" i="128" s="1"/>
  <c r="A28" i="128" s="1"/>
  <c r="A29" i="128" s="1"/>
  <c r="A30" i="128" s="1"/>
  <c r="R54" i="128"/>
  <c r="S54" i="128"/>
  <c r="R55" i="128"/>
  <c r="S55" i="128"/>
  <c r="R45" i="128"/>
  <c r="S45" i="128"/>
  <c r="R43" i="128"/>
  <c r="S43" i="128"/>
  <c r="R50" i="128"/>
  <c r="S50" i="128"/>
  <c r="R46" i="128"/>
  <c r="S46" i="128"/>
  <c r="R42" i="128"/>
  <c r="S42" i="128"/>
  <c r="D36" i="128"/>
  <c r="A31" i="128" l="1"/>
  <c r="A32" i="128" s="1"/>
  <c r="A33" i="128" s="1"/>
  <c r="A34" i="128" s="1"/>
  <c r="A35" i="128" s="1"/>
  <c r="A36" i="128" s="1"/>
  <c r="A37" i="128" s="1"/>
  <c r="A38" i="128" s="1"/>
  <c r="A39" i="128" s="1"/>
  <c r="A40" i="128" s="1"/>
  <c r="A41" i="128" s="1"/>
  <c r="A42" i="128" s="1"/>
  <c r="A43" i="128" s="1"/>
  <c r="A44" i="128" s="1"/>
  <c r="A45" i="128" s="1"/>
  <c r="A46" i="128" s="1"/>
  <c r="A47" i="128" s="1"/>
  <c r="A48" i="128" s="1"/>
  <c r="A49" i="128" s="1"/>
  <c r="A50" i="128" s="1"/>
  <c r="A51" i="128" s="1"/>
  <c r="A52" i="128" s="1"/>
  <c r="A53" i="128" s="1"/>
  <c r="A54" i="128" s="1"/>
  <c r="A55" i="128" s="1"/>
  <c r="A56" i="128" s="1"/>
  <c r="A57" i="128" s="1"/>
  <c r="A58" i="128" s="1"/>
  <c r="A59" i="128" s="1"/>
  <c r="A60" i="128" s="1"/>
  <c r="A61" i="128" s="1"/>
  <c r="A62" i="128" s="1"/>
  <c r="A63" i="128" s="1"/>
  <c r="A64" i="128" s="1"/>
  <c r="A65" i="128" s="1"/>
  <c r="A66" i="128" s="1"/>
  <c r="A67" i="128" s="1"/>
  <c r="A68" i="128" s="1"/>
  <c r="A69" i="128" s="1"/>
  <c r="A70" i="128" s="1"/>
  <c r="A71" i="128" s="1"/>
  <c r="A72" i="128" s="1"/>
  <c r="A73" i="128" s="1"/>
  <c r="A74" i="128" s="1"/>
  <c r="R40" i="128"/>
  <c r="S40" i="128"/>
  <c r="R67" i="174" l="1"/>
  <c r="R68" i="174"/>
  <c r="R73" i="174"/>
  <c r="R74" i="174"/>
  <c r="R75" i="174"/>
  <c r="R76" i="174"/>
  <c r="R79" i="174"/>
  <c r="R94" i="174"/>
  <c r="R95" i="174"/>
  <c r="H19" i="132" l="1"/>
  <c r="H20" i="132"/>
  <c r="O20" i="132" s="1"/>
  <c r="R20" i="132" s="1"/>
  <c r="S20" i="132" s="1"/>
  <c r="D19" i="162"/>
  <c r="C19" i="162"/>
  <c r="E18" i="162"/>
  <c r="E17" i="162"/>
  <c r="F17" i="162" s="1"/>
  <c r="A17" i="162"/>
  <c r="Z59" i="135" l="1"/>
  <c r="E19" i="162"/>
  <c r="I17" i="162"/>
  <c r="Z61" i="135" l="1"/>
  <c r="Z60" i="135"/>
  <c r="Z58" i="135"/>
  <c r="B69" i="138"/>
  <c r="B98" i="166"/>
  <c r="C33" i="166"/>
  <c r="Z50" i="135" l="1"/>
  <c r="Z55" i="135"/>
  <c r="D93" i="169"/>
  <c r="E72" i="160"/>
  <c r="D72" i="160"/>
  <c r="G16" i="160" l="1"/>
  <c r="F98" i="166"/>
  <c r="G93" i="169"/>
  <c r="Z57" i="135"/>
  <c r="Z56" i="135"/>
  <c r="H112" i="174"/>
  <c r="D23" i="175"/>
  <c r="K59" i="174"/>
  <c r="Z59" i="174" l="1"/>
  <c r="Y59" i="174"/>
  <c r="K61" i="174" l="1"/>
  <c r="K60" i="174"/>
  <c r="D28" i="144"/>
  <c r="D30" i="144"/>
  <c r="C23" i="144"/>
  <c r="Z60" i="174" l="1"/>
  <c r="Y60" i="174"/>
  <c r="C21" i="54"/>
  <c r="D36" i="54"/>
  <c r="C36" i="54"/>
  <c r="C68" i="138" l="1"/>
  <c r="C69" i="138"/>
  <c r="C78" i="138"/>
  <c r="E78" i="138"/>
  <c r="G24" i="159"/>
  <c r="C18" i="54"/>
  <c r="E47" i="159"/>
  <c r="W39" i="159"/>
  <c r="V39" i="159"/>
  <c r="U39" i="159"/>
  <c r="T39" i="159"/>
  <c r="S39" i="159"/>
  <c r="R39" i="159"/>
  <c r="Q39" i="159"/>
  <c r="P39" i="159"/>
  <c r="O39" i="159"/>
  <c r="N39" i="159"/>
  <c r="K39" i="159"/>
  <c r="F39" i="159"/>
  <c r="G39" i="159"/>
  <c r="H39" i="159"/>
  <c r="I39" i="159"/>
  <c r="E39" i="159"/>
  <c r="C32" i="54"/>
  <c r="D24" i="169"/>
  <c r="C44" i="54" l="1"/>
  <c r="C117" i="166"/>
  <c r="E77" i="160" s="1"/>
  <c r="C30" i="166"/>
  <c r="C24" i="144"/>
  <c r="B70" i="138"/>
  <c r="C27" i="54"/>
  <c r="D23" i="169"/>
  <c r="E28" i="144"/>
  <c r="C28" i="54"/>
  <c r="E30" i="144"/>
  <c r="D25" i="169"/>
  <c r="C31" i="166" s="1"/>
  <c r="C30" i="54"/>
  <c r="E31" i="144"/>
  <c r="D26" i="169"/>
  <c r="C32" i="166" s="1"/>
  <c r="E48" i="159"/>
  <c r="C22" i="54"/>
  <c r="B78" i="138"/>
  <c r="C29" i="54"/>
  <c r="D69" i="138"/>
  <c r="G33" i="159"/>
  <c r="G47" i="159"/>
  <c r="D78" i="138" l="1"/>
  <c r="C45" i="54"/>
  <c r="C104" i="166"/>
  <c r="I33" i="159"/>
  <c r="E31" i="166" l="1"/>
  <c r="F78" i="138"/>
  <c r="D29" i="54"/>
  <c r="K33" i="159"/>
  <c r="U33" i="159" l="1"/>
  <c r="S33" i="159"/>
  <c r="O33" i="159"/>
  <c r="N33" i="159"/>
  <c r="R33" i="159"/>
  <c r="P33" i="159"/>
  <c r="C28" i="143"/>
  <c r="V33" i="159" l="1"/>
  <c r="P92" i="138"/>
  <c r="H91" i="138"/>
  <c r="I91" i="138"/>
  <c r="L91" i="138"/>
  <c r="N91" i="138"/>
  <c r="O91" i="138"/>
  <c r="H62" i="138"/>
  <c r="I62" i="138"/>
  <c r="L62" i="138"/>
  <c r="N62" i="138"/>
  <c r="O62" i="138"/>
  <c r="H77" i="138"/>
  <c r="I77" i="138"/>
  <c r="K77" i="138"/>
  <c r="L77" i="138"/>
  <c r="N77" i="138"/>
  <c r="O77" i="138"/>
  <c r="H81" i="138"/>
  <c r="I81" i="138"/>
  <c r="K81" i="138"/>
  <c r="L81" i="138"/>
  <c r="N81" i="138"/>
  <c r="O81" i="138"/>
  <c r="H7" i="138"/>
  <c r="I7" i="138"/>
  <c r="K7" i="138"/>
  <c r="L7" i="138"/>
  <c r="N7" i="138"/>
  <c r="O7" i="138"/>
  <c r="H8" i="138"/>
  <c r="I8" i="138"/>
  <c r="K8" i="138"/>
  <c r="L8" i="138"/>
  <c r="N8" i="138"/>
  <c r="O8" i="138"/>
  <c r="H9" i="138"/>
  <c r="I9" i="138"/>
  <c r="L9" i="138"/>
  <c r="N9" i="138"/>
  <c r="O9" i="138"/>
  <c r="H10" i="138"/>
  <c r="I10" i="138"/>
  <c r="K10" i="138"/>
  <c r="L10" i="138"/>
  <c r="N10" i="138"/>
  <c r="O10" i="138"/>
  <c r="H14" i="138"/>
  <c r="I14" i="138"/>
  <c r="K14" i="138"/>
  <c r="L14" i="138"/>
  <c r="N14" i="138"/>
  <c r="O14" i="138"/>
  <c r="H15" i="138"/>
  <c r="I15" i="138"/>
  <c r="K15" i="138"/>
  <c r="L15" i="138"/>
  <c r="N15" i="138"/>
  <c r="O15" i="138"/>
  <c r="H16" i="138"/>
  <c r="I16" i="138"/>
  <c r="K16" i="138"/>
  <c r="L16" i="138"/>
  <c r="N16" i="138"/>
  <c r="O16" i="138"/>
  <c r="H17" i="138"/>
  <c r="I17" i="138"/>
  <c r="K17" i="138"/>
  <c r="L17" i="138"/>
  <c r="N17" i="138"/>
  <c r="O17" i="138"/>
  <c r="H18" i="138"/>
  <c r="I18" i="138"/>
  <c r="K18" i="138"/>
  <c r="L18" i="138"/>
  <c r="N18" i="138"/>
  <c r="O18" i="138"/>
  <c r="H19" i="138"/>
  <c r="I19" i="138"/>
  <c r="K19" i="138"/>
  <c r="L19" i="138"/>
  <c r="N19" i="138"/>
  <c r="O19" i="138"/>
  <c r="H20" i="138"/>
  <c r="I20" i="138"/>
  <c r="K20" i="138"/>
  <c r="L20" i="138"/>
  <c r="N20" i="138"/>
  <c r="O20" i="138"/>
  <c r="H21" i="138"/>
  <c r="I21" i="138"/>
  <c r="K21" i="138"/>
  <c r="L21" i="138"/>
  <c r="N21" i="138"/>
  <c r="O21" i="138"/>
  <c r="H22" i="138"/>
  <c r="I22" i="138"/>
  <c r="K22" i="138"/>
  <c r="L22" i="138"/>
  <c r="N22" i="138"/>
  <c r="O22" i="138"/>
  <c r="H23" i="138"/>
  <c r="I23" i="138"/>
  <c r="K23" i="138"/>
  <c r="L23" i="138"/>
  <c r="N23" i="138"/>
  <c r="O23" i="138"/>
  <c r="H24" i="138"/>
  <c r="I24" i="138"/>
  <c r="K24" i="138"/>
  <c r="L24" i="138"/>
  <c r="N24" i="138"/>
  <c r="O24" i="138"/>
  <c r="H25" i="138"/>
  <c r="I25" i="138"/>
  <c r="K25" i="138"/>
  <c r="L25" i="138"/>
  <c r="N25" i="138"/>
  <c r="O25" i="138"/>
  <c r="H28" i="138"/>
  <c r="I28" i="138"/>
  <c r="K28" i="138"/>
  <c r="L28" i="138"/>
  <c r="N28" i="138"/>
  <c r="O28" i="138"/>
  <c r="H29" i="138"/>
  <c r="I29" i="138"/>
  <c r="K29" i="138"/>
  <c r="L29" i="138"/>
  <c r="N29" i="138"/>
  <c r="O29" i="138"/>
  <c r="H30" i="138"/>
  <c r="I30" i="138"/>
  <c r="K30" i="138"/>
  <c r="L30" i="138"/>
  <c r="N30" i="138"/>
  <c r="O30" i="138"/>
  <c r="H31" i="138"/>
  <c r="I31" i="138"/>
  <c r="K31" i="138"/>
  <c r="L31" i="138"/>
  <c r="N31" i="138"/>
  <c r="O31" i="138"/>
  <c r="H32" i="138"/>
  <c r="I32" i="138"/>
  <c r="K32" i="138"/>
  <c r="L32" i="138"/>
  <c r="N32" i="138"/>
  <c r="O32" i="138"/>
  <c r="H33" i="138"/>
  <c r="I33" i="138"/>
  <c r="K33" i="138"/>
  <c r="L33" i="138"/>
  <c r="N33" i="138"/>
  <c r="O33" i="138"/>
  <c r="H34" i="138"/>
  <c r="I34" i="138"/>
  <c r="K34" i="138"/>
  <c r="L34" i="138"/>
  <c r="N34" i="138"/>
  <c r="O34" i="138"/>
  <c r="H35" i="138"/>
  <c r="I35" i="138"/>
  <c r="K35" i="138"/>
  <c r="L35" i="138"/>
  <c r="N35" i="138"/>
  <c r="O35" i="138"/>
  <c r="H36" i="138"/>
  <c r="I36" i="138"/>
  <c r="K36" i="138"/>
  <c r="L36" i="138"/>
  <c r="N36" i="138"/>
  <c r="O36" i="138"/>
  <c r="H37" i="138"/>
  <c r="I37" i="138"/>
  <c r="K37" i="138"/>
  <c r="L37" i="138"/>
  <c r="N37" i="138"/>
  <c r="O37" i="138"/>
  <c r="H38" i="138"/>
  <c r="I38" i="138"/>
  <c r="K38" i="138"/>
  <c r="L38" i="138"/>
  <c r="N38" i="138"/>
  <c r="O38" i="138"/>
  <c r="H39" i="138"/>
  <c r="I39" i="138"/>
  <c r="K39" i="138"/>
  <c r="L39" i="138"/>
  <c r="N39" i="138"/>
  <c r="O39" i="138"/>
  <c r="H40" i="138"/>
  <c r="I40" i="138"/>
  <c r="K40" i="138"/>
  <c r="L40" i="138"/>
  <c r="N40" i="138"/>
  <c r="O40" i="138"/>
  <c r="H41" i="138"/>
  <c r="I41" i="138"/>
  <c r="K41" i="138"/>
  <c r="L41" i="138"/>
  <c r="N41" i="138"/>
  <c r="O41" i="138"/>
  <c r="H42" i="138"/>
  <c r="I42" i="138"/>
  <c r="K42" i="138"/>
  <c r="L42" i="138"/>
  <c r="N42" i="138"/>
  <c r="O42" i="138"/>
  <c r="H43" i="138"/>
  <c r="I43" i="138"/>
  <c r="K43" i="138"/>
  <c r="L43" i="138"/>
  <c r="N43" i="138"/>
  <c r="O43" i="138"/>
  <c r="H44" i="138"/>
  <c r="I44" i="138"/>
  <c r="K44" i="138"/>
  <c r="L44" i="138"/>
  <c r="N44" i="138"/>
  <c r="O44" i="138"/>
  <c r="H45" i="138"/>
  <c r="I45" i="138"/>
  <c r="K45" i="138"/>
  <c r="L45" i="138"/>
  <c r="N45" i="138"/>
  <c r="O45" i="138"/>
  <c r="H46" i="138"/>
  <c r="I46" i="138"/>
  <c r="K46" i="138"/>
  <c r="L46" i="138"/>
  <c r="N46" i="138"/>
  <c r="O46" i="138"/>
  <c r="H49" i="138"/>
  <c r="I49" i="138"/>
  <c r="K49" i="138"/>
  <c r="L49" i="138"/>
  <c r="N49" i="138"/>
  <c r="O49" i="138"/>
  <c r="H50" i="138"/>
  <c r="I50" i="138"/>
  <c r="K50" i="138"/>
  <c r="L50" i="138"/>
  <c r="N50" i="138"/>
  <c r="O50" i="138"/>
  <c r="H51" i="138"/>
  <c r="I51" i="138"/>
  <c r="K51" i="138"/>
  <c r="L51" i="138"/>
  <c r="N51" i="138"/>
  <c r="O51" i="138"/>
  <c r="R18" i="8"/>
  <c r="M34" i="131"/>
  <c r="J24" i="131"/>
  <c r="N24" i="131" s="1"/>
  <c r="J23" i="131"/>
  <c r="H34" i="131"/>
  <c r="I34" i="131"/>
  <c r="K34" i="131"/>
  <c r="L34" i="131"/>
  <c r="I27" i="131"/>
  <c r="K27" i="131"/>
  <c r="L27" i="131"/>
  <c r="G24" i="131"/>
  <c r="G23" i="131"/>
  <c r="G22" i="131"/>
  <c r="F34" i="131"/>
  <c r="F27" i="131"/>
  <c r="E34" i="131"/>
  <c r="E27" i="131"/>
  <c r="O16" i="132"/>
  <c r="O15" i="132"/>
  <c r="O14" i="132"/>
  <c r="L18" i="132"/>
  <c r="L17" i="132"/>
  <c r="L16" i="132"/>
  <c r="L15" i="132"/>
  <c r="L14" i="132"/>
  <c r="O20" i="14"/>
  <c r="P20" i="14"/>
  <c r="S20" i="14"/>
  <c r="U20" i="14"/>
  <c r="V20" i="14"/>
  <c r="Q18" i="14"/>
  <c r="J91" i="138" s="1"/>
  <c r="R65" i="174"/>
  <c r="R20" i="174"/>
  <c r="R19" i="174"/>
  <c r="T53" i="159"/>
  <c r="Q53" i="159"/>
  <c r="M81" i="138"/>
  <c r="J77" i="138"/>
  <c r="J81" i="138"/>
  <c r="N36" i="131" l="1"/>
  <c r="N32" i="131"/>
  <c r="N31" i="131"/>
  <c r="N25" i="131"/>
  <c r="O110" i="138"/>
  <c r="I84" i="138"/>
  <c r="E39" i="131"/>
  <c r="G34" i="131"/>
  <c r="K39" i="131"/>
  <c r="J34" i="131"/>
  <c r="M23" i="131"/>
  <c r="I39" i="131"/>
  <c r="W53" i="159"/>
  <c r="L39" i="131"/>
  <c r="Q20" i="14"/>
  <c r="F39" i="131"/>
  <c r="I110" i="138"/>
  <c r="I53" i="138"/>
  <c r="G27" i="131"/>
  <c r="O84" i="138"/>
  <c r="O53" i="138"/>
  <c r="W32" i="159"/>
  <c r="P81" i="138"/>
  <c r="M77" i="138"/>
  <c r="P77" i="138" s="1"/>
  <c r="W36" i="159"/>
  <c r="N34" i="131" l="1"/>
  <c r="G39" i="131"/>
  <c r="Q31" i="16"/>
  <c r="J62" i="138" s="1"/>
  <c r="O78" i="17" l="1"/>
  <c r="P78" i="17"/>
  <c r="R78" i="17"/>
  <c r="S78" i="17"/>
  <c r="U78" i="17"/>
  <c r="V78" i="17"/>
  <c r="M51" i="138"/>
  <c r="M50" i="138"/>
  <c r="M49" i="138"/>
  <c r="M46" i="138"/>
  <c r="M45" i="138"/>
  <c r="M44" i="138"/>
  <c r="M43" i="138"/>
  <c r="M42" i="138"/>
  <c r="M41" i="138"/>
  <c r="M40" i="138"/>
  <c r="M39" i="138"/>
  <c r="M38" i="138"/>
  <c r="M37" i="138"/>
  <c r="M36" i="138"/>
  <c r="M35" i="138"/>
  <c r="M34" i="138"/>
  <c r="M33" i="138"/>
  <c r="M32" i="138"/>
  <c r="M31" i="138"/>
  <c r="M30" i="138"/>
  <c r="M29" i="138"/>
  <c r="M28" i="138"/>
  <c r="M25" i="138"/>
  <c r="M24" i="138"/>
  <c r="M23" i="138"/>
  <c r="M22" i="138"/>
  <c r="M21" i="138"/>
  <c r="M20" i="138"/>
  <c r="M19" i="138"/>
  <c r="M18" i="138"/>
  <c r="M17" i="138"/>
  <c r="M16" i="138"/>
  <c r="M15" i="138"/>
  <c r="M14" i="138"/>
  <c r="M10" i="138"/>
  <c r="M8" i="138"/>
  <c r="M7" i="138"/>
  <c r="J51" i="138"/>
  <c r="J50" i="138"/>
  <c r="J49" i="138"/>
  <c r="J46" i="138"/>
  <c r="J45" i="138"/>
  <c r="J44" i="138"/>
  <c r="J43" i="138"/>
  <c r="J42" i="138"/>
  <c r="J41" i="138"/>
  <c r="J40" i="138"/>
  <c r="J39" i="138"/>
  <c r="J38" i="138"/>
  <c r="J37" i="138"/>
  <c r="J36" i="138"/>
  <c r="J35" i="138"/>
  <c r="J34" i="138"/>
  <c r="J33" i="138"/>
  <c r="J32" i="138"/>
  <c r="J31" i="138"/>
  <c r="J30" i="138"/>
  <c r="J29" i="138"/>
  <c r="J28" i="138"/>
  <c r="J25" i="138"/>
  <c r="J24" i="138"/>
  <c r="J23" i="138"/>
  <c r="J22" i="138"/>
  <c r="J21" i="138"/>
  <c r="J20" i="138"/>
  <c r="J19" i="138"/>
  <c r="J18" i="138"/>
  <c r="J17" i="138"/>
  <c r="J16" i="138"/>
  <c r="J15" i="138"/>
  <c r="J14" i="138"/>
  <c r="J10" i="138"/>
  <c r="J9" i="138"/>
  <c r="J8" i="138"/>
  <c r="J7" i="138"/>
  <c r="P8" i="138" l="1"/>
  <c r="S80" i="17"/>
  <c r="P7" i="138"/>
  <c r="P80" i="17"/>
  <c r="P85" i="17" s="1"/>
  <c r="O80" i="17"/>
  <c r="U80" i="17"/>
  <c r="T78" i="17"/>
  <c r="P40" i="138"/>
  <c r="P44" i="138"/>
  <c r="P50" i="138"/>
  <c r="P41" i="138"/>
  <c r="P45" i="138"/>
  <c r="P51" i="138"/>
  <c r="Q78" i="17"/>
  <c r="P38" i="138"/>
  <c r="P42" i="138"/>
  <c r="P46" i="138"/>
  <c r="P39" i="138"/>
  <c r="P43" i="138"/>
  <c r="P49" i="138"/>
  <c r="T59" i="17"/>
  <c r="P25" i="138"/>
  <c r="P31" i="138"/>
  <c r="P28" i="138"/>
  <c r="P36" i="138"/>
  <c r="P23" i="138"/>
  <c r="P29" i="138"/>
  <c r="P33" i="138"/>
  <c r="P37" i="138"/>
  <c r="P24" i="138"/>
  <c r="P30" i="138"/>
  <c r="P34" i="138"/>
  <c r="Q59" i="17"/>
  <c r="P35" i="138"/>
  <c r="P22" i="138"/>
  <c r="P32" i="138"/>
  <c r="T39" i="17"/>
  <c r="P18" i="138"/>
  <c r="P19" i="138"/>
  <c r="P15" i="138"/>
  <c r="P16" i="138"/>
  <c r="P20" i="138"/>
  <c r="P14" i="138"/>
  <c r="Q39" i="17"/>
  <c r="P10" i="138"/>
  <c r="P17" i="138"/>
  <c r="P21" i="138"/>
  <c r="V80" i="17"/>
  <c r="V85" i="17" s="1"/>
  <c r="Q22" i="17"/>
  <c r="Q80" i="17" l="1"/>
  <c r="W39" i="17"/>
  <c r="W78" i="17"/>
  <c r="W59" i="17"/>
  <c r="C24" i="149" l="1"/>
  <c r="C22" i="149" s="1"/>
  <c r="J18" i="8" l="1"/>
  <c r="L18" i="8" l="1"/>
  <c r="X18" i="8" l="1"/>
  <c r="Z64" i="135" l="1"/>
  <c r="Y18" i="8"/>
  <c r="Z18" i="8"/>
  <c r="Z45" i="135"/>
  <c r="Z65" i="135" l="1"/>
  <c r="Z62" i="135"/>
  <c r="Z66" i="135" l="1"/>
  <c r="Z43" i="135"/>
  <c r="Z41" i="135"/>
  <c r="Z42" i="135"/>
  <c r="Z47" i="135" l="1"/>
  <c r="Z49" i="135"/>
  <c r="Z46" i="135"/>
  <c r="Z39" i="135"/>
  <c r="Z48" i="135" l="1"/>
  <c r="O85" i="17" l="1"/>
  <c r="G75" i="174"/>
  <c r="I75" i="174" s="1"/>
  <c r="K75" i="174" l="1"/>
  <c r="H53" i="138"/>
  <c r="H84" i="138"/>
  <c r="H110" i="138"/>
  <c r="Z20" i="135"/>
  <c r="Z75" i="174" l="1"/>
  <c r="Z22" i="135"/>
  <c r="Y75" i="174"/>
  <c r="Z21" i="135"/>
  <c r="N84" i="138"/>
  <c r="N110" i="138"/>
  <c r="N53" i="138"/>
  <c r="C3" i="138"/>
  <c r="B3" i="138"/>
  <c r="J29" i="8"/>
  <c r="J28" i="8"/>
  <c r="J27" i="8"/>
  <c r="D34" i="131"/>
  <c r="D27" i="131"/>
  <c r="E24" i="132"/>
  <c r="D24" i="132"/>
  <c r="C24" i="132"/>
  <c r="F18" i="132"/>
  <c r="F17" i="132"/>
  <c r="H17" i="132" s="1"/>
  <c r="F16" i="132"/>
  <c r="H16" i="132" s="1"/>
  <c r="R16" i="132" s="1"/>
  <c r="F15" i="132"/>
  <c r="H15" i="132" s="1"/>
  <c r="R15" i="132" s="1"/>
  <c r="F14" i="132"/>
  <c r="E32" i="134"/>
  <c r="E24" i="134"/>
  <c r="E39" i="134" s="1"/>
  <c r="E45" i="134" s="1"/>
  <c r="U82" i="17"/>
  <c r="N20" i="14"/>
  <c r="N82" i="17" s="1"/>
  <c r="Q82" i="17" s="1"/>
  <c r="H20" i="14"/>
  <c r="H82" i="17" s="1"/>
  <c r="F20" i="14"/>
  <c r="F82" i="17" s="1"/>
  <c r="E20" i="14"/>
  <c r="E82" i="17" s="1"/>
  <c r="G18" i="14"/>
  <c r="A15" i="160"/>
  <c r="A16" i="160" s="1"/>
  <c r="A17" i="160" s="1"/>
  <c r="A18" i="160" s="1"/>
  <c r="A19" i="160" s="1"/>
  <c r="A20" i="160" s="1"/>
  <c r="A21" i="160" s="1"/>
  <c r="A22" i="160" s="1"/>
  <c r="A23" i="160" s="1"/>
  <c r="A24" i="160" s="1"/>
  <c r="A25" i="160" s="1"/>
  <c r="A26" i="160" s="1"/>
  <c r="A27" i="160" s="1"/>
  <c r="A28" i="160" s="1"/>
  <c r="A29" i="160" s="1"/>
  <c r="A30" i="160" s="1"/>
  <c r="A31" i="160" s="1"/>
  <c r="A32" i="160" s="1"/>
  <c r="A33" i="160" s="1"/>
  <c r="A34" i="160" s="1"/>
  <c r="A35" i="160" s="1"/>
  <c r="A36" i="160" s="1"/>
  <c r="A37" i="160" s="1"/>
  <c r="E103" i="166"/>
  <c r="E23" i="166"/>
  <c r="A15" i="166"/>
  <c r="A16" i="166" s="1"/>
  <c r="A17" i="166" s="1"/>
  <c r="A18" i="166" s="1"/>
  <c r="A19" i="166" s="1"/>
  <c r="A20" i="166" s="1"/>
  <c r="A21" i="166" s="1"/>
  <c r="A22" i="166" s="1"/>
  <c r="A23" i="166" s="1"/>
  <c r="A24" i="166" s="1"/>
  <c r="A25" i="166" s="1"/>
  <c r="A26" i="166" s="1"/>
  <c r="A27" i="166" s="1"/>
  <c r="A28" i="166" s="1"/>
  <c r="A29" i="166" s="1"/>
  <c r="A30" i="166" s="1"/>
  <c r="A31" i="166" s="1"/>
  <c r="A32" i="166" s="1"/>
  <c r="A33" i="166" s="1"/>
  <c r="A34" i="166" s="1"/>
  <c r="A35" i="166" s="1"/>
  <c r="A36" i="166" s="1"/>
  <c r="A37" i="166" s="1"/>
  <c r="A38" i="166" s="1"/>
  <c r="A39" i="166" s="1"/>
  <c r="A40" i="166" s="1"/>
  <c r="A41" i="166" s="1"/>
  <c r="A42" i="166" s="1"/>
  <c r="A43" i="166" s="1"/>
  <c r="A44" i="166" s="1"/>
  <c r="A45" i="166" s="1"/>
  <c r="A46" i="166" s="1"/>
  <c r="A47" i="166" s="1"/>
  <c r="A48" i="166" s="1"/>
  <c r="A49" i="166" s="1"/>
  <c r="A50" i="166" s="1"/>
  <c r="A51" i="166" s="1"/>
  <c r="A52" i="166" s="1"/>
  <c r="A53" i="166" s="1"/>
  <c r="A54" i="166" s="1"/>
  <c r="A55" i="166" s="1"/>
  <c r="A56" i="166" s="1"/>
  <c r="A57" i="166" s="1"/>
  <c r="A58" i="166" s="1"/>
  <c r="A59" i="166" s="1"/>
  <c r="A60" i="166" s="1"/>
  <c r="A61" i="166" s="1"/>
  <c r="A62" i="166" s="1"/>
  <c r="H20" i="153"/>
  <c r="F20" i="153"/>
  <c r="E20" i="153"/>
  <c r="G18" i="153"/>
  <c r="I18" i="153" s="1"/>
  <c r="K18" i="153" s="1"/>
  <c r="G16" i="153"/>
  <c r="I16" i="153" s="1"/>
  <c r="A14" i="120"/>
  <c r="F18" i="152"/>
  <c r="D18" i="152"/>
  <c r="C18" i="152"/>
  <c r="E16" i="152"/>
  <c r="G16" i="152" s="1"/>
  <c r="H18" i="151"/>
  <c r="F18" i="151"/>
  <c r="E18" i="151"/>
  <c r="G16" i="151"/>
  <c r="I16" i="151" s="1"/>
  <c r="G15" i="151"/>
  <c r="A15" i="151"/>
  <c r="A18" i="151" s="1"/>
  <c r="A19" i="151" s="1"/>
  <c r="A20" i="151" s="1"/>
  <c r="A21" i="151" s="1"/>
  <c r="G14" i="151"/>
  <c r="I14" i="151" s="1"/>
  <c r="G18" i="150"/>
  <c r="E18" i="150"/>
  <c r="I16" i="150"/>
  <c r="I15" i="150"/>
  <c r="I14" i="150"/>
  <c r="A15" i="175"/>
  <c r="F96" i="174"/>
  <c r="E96" i="174"/>
  <c r="G95" i="174"/>
  <c r="G94" i="174"/>
  <c r="G91" i="174"/>
  <c r="I91" i="174" s="1"/>
  <c r="G90" i="174"/>
  <c r="G89" i="174"/>
  <c r="G88" i="174"/>
  <c r="I88" i="174" s="1"/>
  <c r="G87" i="174"/>
  <c r="I87" i="174" s="1"/>
  <c r="G86" i="174"/>
  <c r="G85" i="174"/>
  <c r="G84" i="174"/>
  <c r="I84" i="174" s="1"/>
  <c r="G83" i="174"/>
  <c r="G82" i="174"/>
  <c r="I82" i="174" s="1"/>
  <c r="G76" i="174"/>
  <c r="G74" i="174"/>
  <c r="I74" i="174" s="1"/>
  <c r="G73" i="174"/>
  <c r="I73" i="174" s="1"/>
  <c r="G72" i="174"/>
  <c r="I72" i="174" s="1"/>
  <c r="G71" i="174"/>
  <c r="I71" i="174" s="1"/>
  <c r="G68" i="174"/>
  <c r="I68" i="174" s="1"/>
  <c r="G67" i="174"/>
  <c r="G66" i="174"/>
  <c r="G65" i="174"/>
  <c r="K52" i="174"/>
  <c r="K50" i="174"/>
  <c r="K49" i="174"/>
  <c r="K48" i="174"/>
  <c r="K44" i="174"/>
  <c r="K43" i="174"/>
  <c r="K42" i="174"/>
  <c r="K41" i="174"/>
  <c r="G39" i="174"/>
  <c r="I39" i="174" s="1"/>
  <c r="K36" i="174"/>
  <c r="K35" i="174"/>
  <c r="K34" i="174"/>
  <c r="K33" i="174"/>
  <c r="K32" i="174"/>
  <c r="K31" i="174"/>
  <c r="K30" i="174"/>
  <c r="K29" i="174"/>
  <c r="K28" i="174"/>
  <c r="EE21" i="178" s="1"/>
  <c r="K27" i="174"/>
  <c r="K26" i="174"/>
  <c r="K23" i="174"/>
  <c r="K21" i="174"/>
  <c r="G19" i="174"/>
  <c r="H19" i="174" s="1"/>
  <c r="H62" i="174" s="1"/>
  <c r="H98" i="174" s="1"/>
  <c r="A16" i="174"/>
  <c r="A17" i="174" s="1"/>
  <c r="A18" i="174" s="1"/>
  <c r="A19" i="174" s="1"/>
  <c r="A20" i="174" s="1"/>
  <c r="A21" i="174" s="1"/>
  <c r="A22" i="174" s="1"/>
  <c r="A10" i="114"/>
  <c r="A11" i="114" s="1"/>
  <c r="C29" i="143"/>
  <c r="C35" i="144"/>
  <c r="D27" i="144"/>
  <c r="C20" i="144"/>
  <c r="A16" i="144"/>
  <c r="A17" i="144" s="1"/>
  <c r="A18" i="144" s="1"/>
  <c r="C30" i="143"/>
  <c r="A16" i="143"/>
  <c r="A17" i="143" s="1"/>
  <c r="A18" i="143" s="1"/>
  <c r="A19" i="143" s="1"/>
  <c r="A20" i="143" s="1"/>
  <c r="A21" i="143" s="1"/>
  <c r="A22" i="143" s="1"/>
  <c r="A23" i="143" s="1"/>
  <c r="A24" i="143" s="1"/>
  <c r="A25" i="143" s="1"/>
  <c r="A26" i="143" s="1"/>
  <c r="A27" i="143" s="1"/>
  <c r="A28" i="143" s="1"/>
  <c r="A29" i="143" s="1"/>
  <c r="A30" i="143" s="1"/>
  <c r="A31" i="143" s="1"/>
  <c r="E30" i="169"/>
  <c r="E95" i="169" s="1"/>
  <c r="C29" i="166"/>
  <c r="A15" i="169"/>
  <c r="A16" i="169" s="1"/>
  <c r="A17" i="169" s="1"/>
  <c r="A18" i="169" s="1"/>
  <c r="A19" i="169" s="1"/>
  <c r="A20" i="169" s="1"/>
  <c r="A21" i="169" s="1"/>
  <c r="A22" i="169" s="1"/>
  <c r="A23" i="169" s="1"/>
  <c r="A24" i="169" s="1"/>
  <c r="A25" i="169" s="1"/>
  <c r="A26" i="169" s="1"/>
  <c r="A27" i="169" s="1"/>
  <c r="A28" i="169" s="1"/>
  <c r="A29" i="169" s="1"/>
  <c r="A30" i="169" s="1"/>
  <c r="A31" i="169" s="1"/>
  <c r="A32" i="169" s="1"/>
  <c r="A33" i="169" s="1"/>
  <c r="A34" i="169" s="1"/>
  <c r="A35" i="169" s="1"/>
  <c r="A36" i="169" s="1"/>
  <c r="A37" i="169" s="1"/>
  <c r="A38" i="169" s="1"/>
  <c r="A39" i="169" s="1"/>
  <c r="A40" i="169" s="1"/>
  <c r="A41" i="169" s="1"/>
  <c r="A42" i="169" s="1"/>
  <c r="A43" i="169" s="1"/>
  <c r="A44" i="169" s="1"/>
  <c r="A45" i="169" s="1"/>
  <c r="A46" i="169" s="1"/>
  <c r="A47" i="169" s="1"/>
  <c r="A48" i="169" s="1"/>
  <c r="A49" i="169" s="1"/>
  <c r="A50" i="169" s="1"/>
  <c r="A51" i="169" s="1"/>
  <c r="A52" i="169" s="1"/>
  <c r="A53" i="169" s="1"/>
  <c r="A54" i="169" s="1"/>
  <c r="C50" i="54"/>
  <c r="A15" i="54"/>
  <c r="A16" i="54" s="1"/>
  <c r="A17" i="54" s="1"/>
  <c r="A18" i="54" s="1"/>
  <c r="A19" i="54" s="1"/>
  <c r="A20" i="54" s="1"/>
  <c r="A31" i="54" s="1"/>
  <c r="A32" i="54" s="1"/>
  <c r="A33" i="54" s="1"/>
  <c r="A34" i="54" s="1"/>
  <c r="F53" i="159"/>
  <c r="E53" i="159"/>
  <c r="H51" i="159"/>
  <c r="F51" i="159"/>
  <c r="F45" i="159"/>
  <c r="F44" i="159"/>
  <c r="E44" i="159"/>
  <c r="G36" i="159"/>
  <c r="G34" i="159"/>
  <c r="G32" i="159"/>
  <c r="G31" i="159"/>
  <c r="F27" i="159"/>
  <c r="G25" i="159"/>
  <c r="G21" i="159"/>
  <c r="H21" i="159" s="1"/>
  <c r="A16" i="159"/>
  <c r="A17" i="159" s="1"/>
  <c r="A18" i="159" s="1"/>
  <c r="A19" i="159" s="1"/>
  <c r="A20" i="159" s="1"/>
  <c r="A21" i="159" s="1"/>
  <c r="A22" i="159" s="1"/>
  <c r="A32" i="159" s="1"/>
  <c r="A33" i="159" s="1"/>
  <c r="A34" i="159" s="1"/>
  <c r="A35" i="159" s="1"/>
  <c r="A36" i="159" s="1"/>
  <c r="A37" i="159" s="1"/>
  <c r="A38" i="159" s="1"/>
  <c r="A39" i="159" s="1"/>
  <c r="A40" i="159" s="1"/>
  <c r="A41" i="159" s="1"/>
  <c r="A42" i="159" s="1"/>
  <c r="A43" i="159" s="1"/>
  <c r="A44" i="159" s="1"/>
  <c r="A45" i="159" s="1"/>
  <c r="A46" i="159" s="1"/>
  <c r="A47" i="159" s="1"/>
  <c r="A48" i="159" s="1"/>
  <c r="A49" i="159" s="1"/>
  <c r="A50" i="159" s="1"/>
  <c r="A51" i="159" s="1"/>
  <c r="A52" i="159" s="1"/>
  <c r="A53" i="159" s="1"/>
  <c r="A54" i="159" s="1"/>
  <c r="A14" i="107"/>
  <c r="A15" i="107" s="1"/>
  <c r="A16" i="107" s="1"/>
  <c r="A17" i="107" s="1"/>
  <c r="A18" i="107" s="1"/>
  <c r="A19" i="107" s="1"/>
  <c r="G31" i="16"/>
  <c r="G30" i="16"/>
  <c r="F27" i="16"/>
  <c r="E27" i="16"/>
  <c r="G25" i="16"/>
  <c r="F22" i="16"/>
  <c r="E22" i="16"/>
  <c r="G20" i="16"/>
  <c r="G19" i="16"/>
  <c r="G18" i="16"/>
  <c r="N78" i="17"/>
  <c r="H78" i="17"/>
  <c r="F78" i="17"/>
  <c r="E78" i="17"/>
  <c r="G76" i="17"/>
  <c r="I76" i="17" s="1"/>
  <c r="G75" i="17"/>
  <c r="D50" i="138" s="1"/>
  <c r="G74" i="17"/>
  <c r="G71" i="17"/>
  <c r="G70" i="17"/>
  <c r="G69" i="17"/>
  <c r="G68" i="17"/>
  <c r="G67" i="17"/>
  <c r="G66" i="17"/>
  <c r="G65" i="17"/>
  <c r="G64" i="17"/>
  <c r="G63" i="17"/>
  <c r="E59" i="17"/>
  <c r="G57" i="17"/>
  <c r="G56" i="17"/>
  <c r="G55" i="17"/>
  <c r="G54" i="17"/>
  <c r="G53" i="17"/>
  <c r="G52" i="17"/>
  <c r="G51" i="17"/>
  <c r="G50" i="17"/>
  <c r="G49" i="17"/>
  <c r="G48" i="17"/>
  <c r="G45" i="17"/>
  <c r="D25" i="138" s="1"/>
  <c r="G44" i="17"/>
  <c r="G43" i="17"/>
  <c r="G42" i="17"/>
  <c r="E39" i="17"/>
  <c r="G37" i="17"/>
  <c r="I37" i="17" s="1"/>
  <c r="K37" i="17" s="1"/>
  <c r="G36" i="17"/>
  <c r="D21" i="138" s="1"/>
  <c r="G35" i="17"/>
  <c r="G34" i="17"/>
  <c r="G33" i="17"/>
  <c r="G32" i="17"/>
  <c r="G31" i="17"/>
  <c r="G30" i="17"/>
  <c r="G29" i="17"/>
  <c r="G25" i="17"/>
  <c r="E22" i="17"/>
  <c r="G20" i="17"/>
  <c r="G19" i="17"/>
  <c r="G18" i="17"/>
  <c r="G91" i="138"/>
  <c r="E91" i="138"/>
  <c r="C91" i="138"/>
  <c r="B91" i="138"/>
  <c r="G81" i="138"/>
  <c r="C81" i="138"/>
  <c r="B81" i="138"/>
  <c r="E79" i="138"/>
  <c r="C79" i="138"/>
  <c r="B79" i="138"/>
  <c r="G77" i="138"/>
  <c r="C77" i="138"/>
  <c r="B77" i="138"/>
  <c r="E76" i="138"/>
  <c r="C76" i="138"/>
  <c r="B76" i="138"/>
  <c r="E75" i="138"/>
  <c r="C75" i="138"/>
  <c r="C70" i="138"/>
  <c r="C67" i="138"/>
  <c r="C66" i="138"/>
  <c r="B66" i="138"/>
  <c r="C65" i="138"/>
  <c r="C63" i="138"/>
  <c r="B63" i="138"/>
  <c r="G62" i="138"/>
  <c r="C62" i="138"/>
  <c r="B62" i="138"/>
  <c r="C60" i="138"/>
  <c r="B60" i="138"/>
  <c r="C58" i="138"/>
  <c r="B58" i="138"/>
  <c r="C57" i="138"/>
  <c r="B57" i="138"/>
  <c r="C56" i="138"/>
  <c r="B56" i="138"/>
  <c r="G51" i="138"/>
  <c r="E51" i="138"/>
  <c r="G50" i="138"/>
  <c r="E50" i="138"/>
  <c r="G49" i="138"/>
  <c r="E49" i="138"/>
  <c r="G46" i="138"/>
  <c r="E46" i="138"/>
  <c r="G45" i="138"/>
  <c r="E45" i="138"/>
  <c r="G44" i="138"/>
  <c r="E44" i="138"/>
  <c r="G43" i="138"/>
  <c r="E43" i="138"/>
  <c r="G42" i="138"/>
  <c r="E42" i="138"/>
  <c r="G41" i="138"/>
  <c r="E41" i="138"/>
  <c r="G40" i="138"/>
  <c r="E40" i="138"/>
  <c r="G39" i="138"/>
  <c r="E39" i="138"/>
  <c r="G38" i="138"/>
  <c r="E38" i="138"/>
  <c r="G37" i="138"/>
  <c r="E37" i="138"/>
  <c r="G36" i="138"/>
  <c r="E36" i="138"/>
  <c r="G35" i="138"/>
  <c r="E35" i="138"/>
  <c r="G34" i="138"/>
  <c r="E34" i="138"/>
  <c r="G33" i="138"/>
  <c r="E33" i="138"/>
  <c r="G32" i="138"/>
  <c r="E32" i="138"/>
  <c r="G31" i="138"/>
  <c r="E31" i="138"/>
  <c r="G30" i="138"/>
  <c r="E30" i="138"/>
  <c r="G29" i="138"/>
  <c r="E29" i="138"/>
  <c r="G28" i="138"/>
  <c r="E28" i="138"/>
  <c r="G25" i="138"/>
  <c r="E25" i="138"/>
  <c r="G24" i="138"/>
  <c r="E24" i="138"/>
  <c r="G23" i="138"/>
  <c r="E23" i="138"/>
  <c r="G22" i="138"/>
  <c r="E22" i="138"/>
  <c r="G21" i="138"/>
  <c r="E21" i="138"/>
  <c r="G20" i="138"/>
  <c r="E20" i="138"/>
  <c r="G19" i="138"/>
  <c r="E19" i="138"/>
  <c r="G18" i="138"/>
  <c r="E18" i="138"/>
  <c r="G17" i="138"/>
  <c r="E17" i="138"/>
  <c r="G16" i="138"/>
  <c r="E16" i="138"/>
  <c r="G15" i="138"/>
  <c r="E15" i="138"/>
  <c r="G14" i="138"/>
  <c r="E14" i="138"/>
  <c r="G10" i="138"/>
  <c r="E10" i="138"/>
  <c r="G9" i="138"/>
  <c r="E9" i="138"/>
  <c r="G8" i="138"/>
  <c r="E8" i="138"/>
  <c r="G7" i="138"/>
  <c r="E7" i="138"/>
  <c r="F105" i="138" l="1"/>
  <c r="J33" i="8"/>
  <c r="H115" i="174"/>
  <c r="U41" i="174"/>
  <c r="X41" i="174"/>
  <c r="E5" i="138"/>
  <c r="A38" i="160"/>
  <c r="A39" i="160" s="1"/>
  <c r="A40" i="160" s="1"/>
  <c r="A41" i="160" s="1"/>
  <c r="A42" i="160" s="1"/>
  <c r="A43" i="160" s="1"/>
  <c r="A44" i="160" s="1"/>
  <c r="A45" i="160" s="1"/>
  <c r="A46" i="160" s="1"/>
  <c r="A47" i="160" s="1"/>
  <c r="A48" i="160" s="1"/>
  <c r="A49" i="160" s="1"/>
  <c r="A50" i="160" s="1"/>
  <c r="A51" i="160" s="1"/>
  <c r="A52" i="160" s="1"/>
  <c r="A53" i="160" s="1"/>
  <c r="A54" i="160" s="1"/>
  <c r="A55" i="160" s="1"/>
  <c r="A56" i="160" s="1"/>
  <c r="A57" i="160" s="1"/>
  <c r="A58" i="160" s="1"/>
  <c r="A59" i="160" s="1"/>
  <c r="A60" i="160" s="1"/>
  <c r="A61" i="160" s="1"/>
  <c r="A62" i="160" s="1"/>
  <c r="A63" i="160" s="1"/>
  <c r="A64" i="160" s="1"/>
  <c r="A65" i="160" s="1"/>
  <c r="A66" i="160" s="1"/>
  <c r="A67" i="160" s="1"/>
  <c r="A68" i="160" s="1"/>
  <c r="A69" i="160" s="1"/>
  <c r="A70" i="160" s="1"/>
  <c r="A71" i="160" s="1"/>
  <c r="A72" i="160" s="1"/>
  <c r="A73" i="160" s="1"/>
  <c r="A63" i="166"/>
  <c r="A64" i="166" s="1"/>
  <c r="A65" i="166" s="1"/>
  <c r="A66" i="166" s="1"/>
  <c r="A67" i="166" s="1"/>
  <c r="A68" i="166" s="1"/>
  <c r="A69" i="166" s="1"/>
  <c r="A70" i="166" s="1"/>
  <c r="A71" i="166" s="1"/>
  <c r="A72" i="166" s="1"/>
  <c r="A73" i="166" s="1"/>
  <c r="A74" i="166" s="1"/>
  <c r="A75" i="166" s="1"/>
  <c r="A76" i="166" s="1"/>
  <c r="A77" i="166" s="1"/>
  <c r="A78" i="166" s="1"/>
  <c r="A79" i="166" s="1"/>
  <c r="A80" i="166" s="1"/>
  <c r="A81" i="166" s="1"/>
  <c r="A82" i="166" s="1"/>
  <c r="A83" i="166" s="1"/>
  <c r="A84" i="166" s="1"/>
  <c r="A85" i="166" s="1"/>
  <c r="A86" i="166" s="1"/>
  <c r="A87" i="166" s="1"/>
  <c r="A88" i="166" s="1"/>
  <c r="A89" i="166" s="1"/>
  <c r="A90" i="166" s="1"/>
  <c r="A91" i="166" s="1"/>
  <c r="A92" i="166" s="1"/>
  <c r="A93" i="166" s="1"/>
  <c r="A94" i="166" s="1"/>
  <c r="A95" i="166" s="1"/>
  <c r="A96" i="166" s="1"/>
  <c r="A97" i="166" s="1"/>
  <c r="A98" i="166" s="1"/>
  <c r="A99" i="166" s="1"/>
  <c r="A100" i="166" s="1"/>
  <c r="A101" i="166" s="1"/>
  <c r="A102" i="166" s="1"/>
  <c r="A103" i="166" s="1"/>
  <c r="A104" i="166" s="1"/>
  <c r="A105" i="166" s="1"/>
  <c r="A106" i="166" s="1"/>
  <c r="A107" i="166" s="1"/>
  <c r="A108" i="166" s="1"/>
  <c r="A109" i="166" s="1"/>
  <c r="A110" i="166" s="1"/>
  <c r="A111" i="166" s="1"/>
  <c r="A112" i="166" s="1"/>
  <c r="A113" i="166" s="1"/>
  <c r="A114" i="166" s="1"/>
  <c r="A115" i="166" s="1"/>
  <c r="Y50" i="174"/>
  <c r="Z52" i="174"/>
  <c r="G15" i="160"/>
  <c r="E40" i="166"/>
  <c r="E36" i="16"/>
  <c r="H83" i="174"/>
  <c r="G62" i="174"/>
  <c r="G98" i="174" s="1"/>
  <c r="J30" i="8"/>
  <c r="L30" i="8" s="1"/>
  <c r="J31" i="8"/>
  <c r="L31" i="8" s="1"/>
  <c r="H94" i="174"/>
  <c r="D43" i="175" s="1"/>
  <c r="I86" i="174"/>
  <c r="K86" i="174" s="1"/>
  <c r="H65" i="174"/>
  <c r="D36" i="175" s="1"/>
  <c r="D24" i="144"/>
  <c r="E24" i="144" s="1"/>
  <c r="D40" i="138"/>
  <c r="D42" i="138"/>
  <c r="D44" i="138"/>
  <c r="D46" i="138"/>
  <c r="I74" i="17"/>
  <c r="K74" i="17" s="1"/>
  <c r="D38" i="138"/>
  <c r="D23" i="138"/>
  <c r="D29" i="138"/>
  <c r="D31" i="138"/>
  <c r="D33" i="138"/>
  <c r="D35" i="138"/>
  <c r="D37" i="138"/>
  <c r="D10" i="138"/>
  <c r="D15" i="138"/>
  <c r="D17" i="138"/>
  <c r="D19" i="138"/>
  <c r="F36" i="16"/>
  <c r="D20" i="144"/>
  <c r="E20" i="144" s="1"/>
  <c r="A23" i="174"/>
  <c r="A24" i="174" s="1"/>
  <c r="K84" i="174"/>
  <c r="K39" i="174"/>
  <c r="K72" i="174"/>
  <c r="K91" i="174"/>
  <c r="K71" i="174"/>
  <c r="K73" i="174"/>
  <c r="K74" i="174"/>
  <c r="K68" i="174"/>
  <c r="V68" i="174" s="1"/>
  <c r="Z68" i="174" s="1"/>
  <c r="K88" i="174"/>
  <c r="K87" i="174"/>
  <c r="K82" i="174"/>
  <c r="A35" i="54"/>
  <c r="A36" i="54" s="1"/>
  <c r="E66" i="138"/>
  <c r="H44" i="159"/>
  <c r="C41" i="54"/>
  <c r="C123" i="166"/>
  <c r="E80" i="160" s="1"/>
  <c r="V43" i="174"/>
  <c r="X43" i="174" s="1"/>
  <c r="D63" i="138"/>
  <c r="H95" i="174"/>
  <c r="D44" i="175" s="1"/>
  <c r="H89" i="174"/>
  <c r="A19" i="144"/>
  <c r="A20" i="144" s="1"/>
  <c r="A21" i="144" s="1"/>
  <c r="A22" i="144" s="1"/>
  <c r="A32" i="144" s="1"/>
  <c r="A33" i="144" s="1"/>
  <c r="A34" i="144" s="1"/>
  <c r="A35" i="144" s="1"/>
  <c r="A36" i="144" s="1"/>
  <c r="A37" i="144" s="1"/>
  <c r="O17" i="132"/>
  <c r="B108" i="138"/>
  <c r="C108" i="138"/>
  <c r="D39" i="131"/>
  <c r="L20" i="8"/>
  <c r="G27" i="16"/>
  <c r="D81" i="138"/>
  <c r="I31" i="159"/>
  <c r="E29" i="166" s="1"/>
  <c r="D62" i="138"/>
  <c r="D26" i="149"/>
  <c r="D3" i="138"/>
  <c r="D91" i="138"/>
  <c r="I18" i="14"/>
  <c r="B84" i="138"/>
  <c r="B110" i="138"/>
  <c r="D66" i="138"/>
  <c r="G48" i="159"/>
  <c r="E99" i="169"/>
  <c r="F38" i="159"/>
  <c r="F41" i="159" s="1"/>
  <c r="K55" i="174"/>
  <c r="D57" i="138"/>
  <c r="D58" i="138"/>
  <c r="D60" i="138"/>
  <c r="F80" i="17"/>
  <c r="G53" i="159"/>
  <c r="G22" i="17"/>
  <c r="Y37" i="17"/>
  <c r="H80" i="17"/>
  <c r="C48" i="144"/>
  <c r="C31" i="143"/>
  <c r="L27" i="8"/>
  <c r="O27" i="8" s="1"/>
  <c r="H32" i="159"/>
  <c r="D77" i="138"/>
  <c r="L28" i="8"/>
  <c r="U85" i="17"/>
  <c r="H36" i="159"/>
  <c r="L29" i="8"/>
  <c r="S29" i="8" s="1"/>
  <c r="I34" i="159"/>
  <c r="D79" i="138"/>
  <c r="D70" i="138"/>
  <c r="I18" i="151"/>
  <c r="D84" i="138"/>
  <c r="I64" i="17"/>
  <c r="D39" i="138"/>
  <c r="G78" i="17"/>
  <c r="I68" i="17"/>
  <c r="D43" i="138"/>
  <c r="I29" i="17"/>
  <c r="D14" i="138"/>
  <c r="I33" i="17"/>
  <c r="D18" i="138"/>
  <c r="I42" i="17"/>
  <c r="D22" i="138"/>
  <c r="G59" i="17"/>
  <c r="I48" i="17"/>
  <c r="D28" i="138"/>
  <c r="I52" i="17"/>
  <c r="D32" i="138"/>
  <c r="I56" i="17"/>
  <c r="D36" i="138"/>
  <c r="G39" i="17"/>
  <c r="I66" i="17"/>
  <c r="D41" i="138"/>
  <c r="I70" i="17"/>
  <c r="D45" i="138"/>
  <c r="D7" i="138"/>
  <c r="I18" i="17"/>
  <c r="I19" i="17"/>
  <c r="D8" i="138"/>
  <c r="D9" i="138"/>
  <c r="I20" i="17"/>
  <c r="I31" i="17"/>
  <c r="D16" i="138"/>
  <c r="I35" i="17"/>
  <c r="D20" i="138"/>
  <c r="X37" i="17"/>
  <c r="I44" i="17"/>
  <c r="D24" i="138"/>
  <c r="I50" i="17"/>
  <c r="D30" i="138"/>
  <c r="I54" i="17"/>
  <c r="D34" i="138"/>
  <c r="F51" i="138"/>
  <c r="K76" i="17"/>
  <c r="E80" i="17"/>
  <c r="D56" i="138"/>
  <c r="I25" i="17"/>
  <c r="I30" i="17"/>
  <c r="I32" i="17"/>
  <c r="I34" i="17"/>
  <c r="I36" i="17"/>
  <c r="I43" i="17"/>
  <c r="I45" i="17"/>
  <c r="I49" i="17"/>
  <c r="I51" i="17"/>
  <c r="I53" i="17"/>
  <c r="I55" i="17"/>
  <c r="I57" i="17"/>
  <c r="I63" i="17"/>
  <c r="I65" i="17"/>
  <c r="I67" i="17"/>
  <c r="I69" i="17"/>
  <c r="I71" i="17"/>
  <c r="I75" i="17"/>
  <c r="G22" i="16"/>
  <c r="G44" i="159"/>
  <c r="K25" i="174"/>
  <c r="N80" i="17"/>
  <c r="F24" i="132"/>
  <c r="H14" i="132"/>
  <c r="D49" i="138"/>
  <c r="D51" i="138"/>
  <c r="D76" i="138"/>
  <c r="D19" i="175"/>
  <c r="K20" i="174"/>
  <c r="I67" i="174"/>
  <c r="I94" i="174"/>
  <c r="I66" i="174"/>
  <c r="E18" i="152"/>
  <c r="G18" i="152"/>
  <c r="D18" i="149"/>
  <c r="C35" i="149" s="1"/>
  <c r="I20" i="153"/>
  <c r="K16" i="153"/>
  <c r="S16" i="132"/>
  <c r="I18" i="150"/>
  <c r="G18" i="151"/>
  <c r="G20" i="153"/>
  <c r="G20" i="14"/>
  <c r="C84" i="138"/>
  <c r="Q8" i="138"/>
  <c r="Q7" i="138"/>
  <c r="G96" i="174"/>
  <c r="C15" i="144"/>
  <c r="C17" i="144" s="1"/>
  <c r="D30" i="169"/>
  <c r="D95" i="169" s="1"/>
  <c r="F100" i="166" s="1"/>
  <c r="Q10" i="138"/>
  <c r="G82" i="17"/>
  <c r="I82" i="17" s="1"/>
  <c r="P55" i="174" l="1"/>
  <c r="O55" i="174"/>
  <c r="U29" i="8"/>
  <c r="M105" i="138" s="1"/>
  <c r="K105" i="138"/>
  <c r="P105" i="138" s="1"/>
  <c r="L33" i="8"/>
  <c r="S20" i="8"/>
  <c r="Z41" i="174"/>
  <c r="Y41" i="174"/>
  <c r="D5" i="138"/>
  <c r="D2" i="138"/>
  <c r="A116" i="166"/>
  <c r="A117" i="166" s="1"/>
  <c r="A118" i="166" s="1"/>
  <c r="A119" i="166" s="1"/>
  <c r="A120" i="166" s="1"/>
  <c r="A121" i="166" s="1"/>
  <c r="A122" i="166" s="1"/>
  <c r="A123" i="166" s="1"/>
  <c r="A124" i="166" s="1"/>
  <c r="A125" i="166" s="1"/>
  <c r="A126" i="166" s="1"/>
  <c r="A127" i="166" s="1"/>
  <c r="A128" i="166" s="1"/>
  <c r="S44" i="174"/>
  <c r="R27" i="8"/>
  <c r="E100" i="174"/>
  <c r="D14" i="175"/>
  <c r="P91" i="174"/>
  <c r="R91" i="174" s="1"/>
  <c r="I83" i="174"/>
  <c r="D39" i="175"/>
  <c r="A69" i="169"/>
  <c r="A70" i="169" s="1"/>
  <c r="A71" i="169" s="1"/>
  <c r="A72" i="169" s="1"/>
  <c r="A73" i="169" s="1"/>
  <c r="A74" i="169" s="1"/>
  <c r="A75" i="169" s="1"/>
  <c r="A76" i="169" s="1"/>
  <c r="A77" i="169" s="1"/>
  <c r="A78" i="169" s="1"/>
  <c r="A79" i="169" s="1"/>
  <c r="A80" i="169" s="1"/>
  <c r="A81" i="169" s="1"/>
  <c r="A82" i="169" s="1"/>
  <c r="A83" i="169" s="1"/>
  <c r="A84" i="169" s="1"/>
  <c r="A85" i="169" s="1"/>
  <c r="A86" i="169" s="1"/>
  <c r="A87" i="169" s="1"/>
  <c r="A88" i="169" s="1"/>
  <c r="A89" i="169" s="1"/>
  <c r="A90" i="169" s="1"/>
  <c r="A91" i="169" s="1"/>
  <c r="A92" i="169" s="1"/>
  <c r="A93" i="169" s="1"/>
  <c r="A94" i="169" s="1"/>
  <c r="A95" i="169" s="1"/>
  <c r="I25" i="159"/>
  <c r="H48" i="159"/>
  <c r="I48" i="159" s="1"/>
  <c r="E70" i="138"/>
  <c r="K83" i="174"/>
  <c r="A25" i="174"/>
  <c r="A26" i="174" s="1"/>
  <c r="A27" i="174" s="1"/>
  <c r="A28" i="174" s="1"/>
  <c r="A29" i="174" s="1"/>
  <c r="A30" i="174" s="1"/>
  <c r="A31" i="174" s="1"/>
  <c r="A32" i="174" s="1"/>
  <c r="A33" i="174" s="1"/>
  <c r="A34" i="174" s="1"/>
  <c r="A35" i="174" s="1"/>
  <c r="A36" i="174" s="1"/>
  <c r="A37" i="174" s="1"/>
  <c r="A38" i="174" s="1"/>
  <c r="A39" i="174" s="1"/>
  <c r="A40" i="174" s="1"/>
  <c r="I65" i="174"/>
  <c r="Y73" i="174"/>
  <c r="K18" i="14"/>
  <c r="E20" i="166" s="1"/>
  <c r="F49" i="138"/>
  <c r="Y79" i="174"/>
  <c r="K94" i="174"/>
  <c r="Y94" i="174" s="1"/>
  <c r="K65" i="174"/>
  <c r="Z65" i="174" s="1"/>
  <c r="G36" i="16"/>
  <c r="A37" i="54"/>
  <c r="A38" i="54" s="1"/>
  <c r="A39" i="54" s="1"/>
  <c r="A40" i="54" s="1"/>
  <c r="A41" i="54" s="1"/>
  <c r="A42" i="54" s="1"/>
  <c r="A43" i="54" s="1"/>
  <c r="A44" i="54" s="1"/>
  <c r="A45" i="54" s="1"/>
  <c r="A46" i="54" s="1"/>
  <c r="A47" i="54" s="1"/>
  <c r="A48" i="54" s="1"/>
  <c r="A49" i="54" s="1"/>
  <c r="A50" i="54" s="1"/>
  <c r="A51" i="54" s="1"/>
  <c r="A52" i="54" s="1"/>
  <c r="D29" i="144"/>
  <c r="E29" i="144" s="1"/>
  <c r="K66" i="174"/>
  <c r="K67" i="174"/>
  <c r="Z67" i="174" s="1"/>
  <c r="I19" i="174"/>
  <c r="Y43" i="174"/>
  <c r="D30" i="54"/>
  <c r="E32" i="166"/>
  <c r="Y20" i="174"/>
  <c r="Z20" i="174"/>
  <c r="Y52" i="174"/>
  <c r="Z73" i="174"/>
  <c r="Y68" i="174"/>
  <c r="Z50" i="174"/>
  <c r="L21" i="8"/>
  <c r="D18" i="175"/>
  <c r="I95" i="174"/>
  <c r="K46" i="174"/>
  <c r="I76" i="174"/>
  <c r="I89" i="174"/>
  <c r="D42" i="175"/>
  <c r="A38" i="144"/>
  <c r="A39" i="144" s="1"/>
  <c r="A40" i="144" s="1"/>
  <c r="A41" i="144" s="1"/>
  <c r="A42" i="144" s="1"/>
  <c r="A43" i="144" s="1"/>
  <c r="A44" i="144" s="1"/>
  <c r="A45" i="144" s="1"/>
  <c r="A46" i="144" s="1"/>
  <c r="A47" i="144" s="1"/>
  <c r="A48" i="144" s="1"/>
  <c r="K110" i="138"/>
  <c r="K53" i="138"/>
  <c r="K84" i="138"/>
  <c r="F25" i="166"/>
  <c r="K22" i="174"/>
  <c r="H96" i="174"/>
  <c r="I90" i="174"/>
  <c r="F76" i="138"/>
  <c r="D27" i="54"/>
  <c r="D18" i="54"/>
  <c r="R14" i="132"/>
  <c r="R17" i="132"/>
  <c r="S17" i="132" s="1"/>
  <c r="K31" i="159"/>
  <c r="D108" i="138"/>
  <c r="F66" i="138"/>
  <c r="E108" i="138"/>
  <c r="K21" i="159"/>
  <c r="N21" i="159" s="1"/>
  <c r="E77" i="138"/>
  <c r="C35" i="166"/>
  <c r="K34" i="159"/>
  <c r="E81" i="138"/>
  <c r="I44" i="159"/>
  <c r="I32" i="159"/>
  <c r="H53" i="159"/>
  <c r="K53" i="174"/>
  <c r="K54" i="174"/>
  <c r="F22" i="14"/>
  <c r="F24" i="14" s="1"/>
  <c r="E22" i="14"/>
  <c r="D28" i="149"/>
  <c r="C15" i="143"/>
  <c r="C17" i="143" s="1"/>
  <c r="F111" i="166"/>
  <c r="I36" i="159"/>
  <c r="D110" i="138"/>
  <c r="D53" i="138"/>
  <c r="F79" i="138"/>
  <c r="L19" i="8"/>
  <c r="F42" i="138"/>
  <c r="K67" i="17"/>
  <c r="F35" i="138"/>
  <c r="K55" i="17"/>
  <c r="F25" i="138"/>
  <c r="K45" i="17"/>
  <c r="F17" i="138"/>
  <c r="K32" i="17"/>
  <c r="F16" i="138"/>
  <c r="K31" i="17"/>
  <c r="F8" i="138"/>
  <c r="K19" i="17"/>
  <c r="F41" i="138"/>
  <c r="K66" i="17"/>
  <c r="F18" i="138"/>
  <c r="K33" i="17"/>
  <c r="F43" i="138"/>
  <c r="K68" i="17"/>
  <c r="S15" i="132"/>
  <c r="K75" i="17"/>
  <c r="F50" i="138"/>
  <c r="F40" i="138"/>
  <c r="K65" i="17"/>
  <c r="F33" i="138"/>
  <c r="K53" i="17"/>
  <c r="F23" i="138"/>
  <c r="K43" i="17"/>
  <c r="F15" i="138"/>
  <c r="K30" i="17"/>
  <c r="H18" i="132"/>
  <c r="Y76" i="17"/>
  <c r="X76" i="17"/>
  <c r="F30" i="138"/>
  <c r="K50" i="17"/>
  <c r="F9" i="138"/>
  <c r="K20" i="17"/>
  <c r="F7" i="138"/>
  <c r="I22" i="17"/>
  <c r="K18" i="17"/>
  <c r="F32" i="138"/>
  <c r="K52" i="17"/>
  <c r="G80" i="17"/>
  <c r="I20" i="14"/>
  <c r="F91" i="138"/>
  <c r="K20" i="153"/>
  <c r="K71" i="17"/>
  <c r="F46" i="138"/>
  <c r="F38" i="138"/>
  <c r="I78" i="17"/>
  <c r="K63" i="17"/>
  <c r="F31" i="138"/>
  <c r="K51" i="17"/>
  <c r="F21" i="138"/>
  <c r="K36" i="17"/>
  <c r="F10" i="138"/>
  <c r="I39" i="17"/>
  <c r="K25" i="17"/>
  <c r="F20" i="138"/>
  <c r="K35" i="17"/>
  <c r="F45" i="138"/>
  <c r="K70" i="17"/>
  <c r="F22" i="138"/>
  <c r="K42" i="17"/>
  <c r="I59" i="17"/>
  <c r="F14" i="138"/>
  <c r="K29" i="17"/>
  <c r="E85" i="17"/>
  <c r="F83" i="17"/>
  <c r="C110" i="138"/>
  <c r="F44" i="138"/>
  <c r="K69" i="17"/>
  <c r="F37" i="138"/>
  <c r="K57" i="17"/>
  <c r="F29" i="138"/>
  <c r="K49" i="17"/>
  <c r="F19" i="138"/>
  <c r="K34" i="17"/>
  <c r="Y74" i="17"/>
  <c r="X74" i="17"/>
  <c r="F34" i="138"/>
  <c r="K54" i="17"/>
  <c r="F24" i="138"/>
  <c r="K44" i="17"/>
  <c r="F36" i="138"/>
  <c r="K56" i="17"/>
  <c r="F28" i="138"/>
  <c r="K48" i="17"/>
  <c r="F39" i="138"/>
  <c r="K64" i="17"/>
  <c r="U34" i="159" l="1"/>
  <c r="S34" i="159"/>
  <c r="R34" i="159"/>
  <c r="O34" i="159"/>
  <c r="N34" i="159"/>
  <c r="P34" i="159"/>
  <c r="U31" i="159"/>
  <c r="S31" i="159"/>
  <c r="R31" i="159"/>
  <c r="O31" i="159"/>
  <c r="N31" i="159"/>
  <c r="P31" i="159"/>
  <c r="W20" i="17"/>
  <c r="W22" i="17" s="1"/>
  <c r="W80" i="17" s="1"/>
  <c r="T20" i="17"/>
  <c r="R22" i="17"/>
  <c r="R80" i="17" s="1"/>
  <c r="K9" i="138"/>
  <c r="K97" i="138"/>
  <c r="S33" i="8"/>
  <c r="U87" i="174"/>
  <c r="U86" i="174"/>
  <c r="U84" i="174"/>
  <c r="S55" i="174"/>
  <c r="X55" i="174" s="1"/>
  <c r="X44" i="174"/>
  <c r="U44" i="174"/>
  <c r="U88" i="174"/>
  <c r="X88" i="174"/>
  <c r="X86" i="174"/>
  <c r="X84" i="174"/>
  <c r="X87" i="174"/>
  <c r="K25" i="159"/>
  <c r="R55" i="174"/>
  <c r="D22" i="54"/>
  <c r="Y74" i="174"/>
  <c r="Z74" i="174"/>
  <c r="Z91" i="174"/>
  <c r="Y91" i="174"/>
  <c r="Z53" i="174"/>
  <c r="O54" i="174"/>
  <c r="R54" i="174" s="1"/>
  <c r="Y54" i="174" s="1"/>
  <c r="F70" i="138"/>
  <c r="A41" i="174"/>
  <c r="A42" i="174" s="1"/>
  <c r="A43" i="174" s="1"/>
  <c r="R18" i="14"/>
  <c r="K91" i="138" s="1"/>
  <c r="Z94" i="174"/>
  <c r="K95" i="174"/>
  <c r="Z95" i="174" s="1"/>
  <c r="Y65" i="174"/>
  <c r="K89" i="174"/>
  <c r="Y89" i="174" s="1"/>
  <c r="K76" i="174"/>
  <c r="K90" i="174"/>
  <c r="K19" i="174"/>
  <c r="D32" i="54"/>
  <c r="D41" i="54"/>
  <c r="R28" i="8"/>
  <c r="Y67" i="174"/>
  <c r="R30" i="8"/>
  <c r="Z43" i="174"/>
  <c r="Z79" i="174"/>
  <c r="D28" i="54"/>
  <c r="E30" i="166"/>
  <c r="E35" i="166" s="1"/>
  <c r="F108" i="138"/>
  <c r="Z18" i="135"/>
  <c r="D45" i="54"/>
  <c r="E104" i="166"/>
  <c r="X21" i="8"/>
  <c r="Z21" i="8" s="1"/>
  <c r="X23" i="8"/>
  <c r="F3" i="138"/>
  <c r="E3" i="138"/>
  <c r="C98" i="166"/>
  <c r="D35" i="144"/>
  <c r="E35" i="144" s="1"/>
  <c r="F81" i="138"/>
  <c r="K32" i="159"/>
  <c r="F54" i="159"/>
  <c r="C112" i="138" s="1"/>
  <c r="K48" i="159"/>
  <c r="K44" i="159"/>
  <c r="E123" i="166"/>
  <c r="F77" i="138"/>
  <c r="G22" i="14"/>
  <c r="G24" i="14" s="1"/>
  <c r="I53" i="159"/>
  <c r="I85" i="174"/>
  <c r="K36" i="159"/>
  <c r="Y56" i="17"/>
  <c r="X56" i="17"/>
  <c r="Y54" i="17"/>
  <c r="X54" i="17"/>
  <c r="Y34" i="17"/>
  <c r="X34" i="17"/>
  <c r="Y57" i="17"/>
  <c r="X57" i="17"/>
  <c r="Y70" i="17"/>
  <c r="X70" i="17"/>
  <c r="Y36" i="17"/>
  <c r="X36" i="17"/>
  <c r="K78" i="17"/>
  <c r="Y63" i="17"/>
  <c r="X63" i="17"/>
  <c r="Y71" i="17"/>
  <c r="X71" i="17"/>
  <c r="K22" i="17"/>
  <c r="Y18" i="17"/>
  <c r="X18" i="17"/>
  <c r="Y43" i="17"/>
  <c r="X43" i="17"/>
  <c r="Y65" i="17"/>
  <c r="X65" i="17"/>
  <c r="Y19" i="17"/>
  <c r="X19" i="17"/>
  <c r="Y45" i="17"/>
  <c r="X45" i="17"/>
  <c r="Y67" i="17"/>
  <c r="X67" i="17"/>
  <c r="F85" i="17"/>
  <c r="G83" i="17"/>
  <c r="K39" i="17"/>
  <c r="Y25" i="17"/>
  <c r="X25" i="17"/>
  <c r="I80" i="17"/>
  <c r="Y50" i="17"/>
  <c r="X50" i="17"/>
  <c r="G84" i="138"/>
  <c r="Y68" i="17"/>
  <c r="X68" i="17"/>
  <c r="Y66" i="17"/>
  <c r="X66" i="17"/>
  <c r="Y48" i="17"/>
  <c r="X48" i="17"/>
  <c r="Y44" i="17"/>
  <c r="X44" i="17"/>
  <c r="Y49" i="17"/>
  <c r="X49" i="17"/>
  <c r="Y69" i="17"/>
  <c r="X69" i="17"/>
  <c r="K59" i="17"/>
  <c r="Y42" i="17"/>
  <c r="X42" i="17"/>
  <c r="Y35" i="17"/>
  <c r="X35" i="17"/>
  <c r="Y51" i="17"/>
  <c r="X51" i="17"/>
  <c r="Y52" i="17"/>
  <c r="X52" i="17"/>
  <c r="Y30" i="17"/>
  <c r="X30" i="17"/>
  <c r="Y53" i="17"/>
  <c r="X53" i="17"/>
  <c r="Y31" i="17"/>
  <c r="X31" i="17"/>
  <c r="Y32" i="17"/>
  <c r="X32" i="17"/>
  <c r="Y55" i="17"/>
  <c r="X55" i="17"/>
  <c r="Y64" i="17"/>
  <c r="X64" i="17"/>
  <c r="Y29" i="17"/>
  <c r="X29" i="17"/>
  <c r="K20" i="14"/>
  <c r="Y20" i="17"/>
  <c r="X20" i="17"/>
  <c r="Y75" i="17"/>
  <c r="X75" i="17"/>
  <c r="Y33" i="17"/>
  <c r="X33" i="17"/>
  <c r="K82" i="17"/>
  <c r="D99" i="169"/>
  <c r="U25" i="159" l="1"/>
  <c r="T25" i="159"/>
  <c r="S25" i="159"/>
  <c r="R25" i="159"/>
  <c r="P25" i="159"/>
  <c r="O25" i="159"/>
  <c r="N25" i="159"/>
  <c r="V31" i="159"/>
  <c r="M9" i="138"/>
  <c r="P9" i="138" s="1"/>
  <c r="Q9" i="138" s="1"/>
  <c r="T22" i="17"/>
  <c r="T80" i="17" s="1"/>
  <c r="V34" i="159"/>
  <c r="U55" i="174"/>
  <c r="Q34" i="159"/>
  <c r="J106" i="138"/>
  <c r="T34" i="159"/>
  <c r="Y23" i="8"/>
  <c r="Y76" i="174"/>
  <c r="A44" i="174"/>
  <c r="A45" i="174" s="1"/>
  <c r="A46" i="174" s="1"/>
  <c r="A47" i="174" s="1"/>
  <c r="A48" i="174" s="1"/>
  <c r="A49" i="174" s="1"/>
  <c r="A50" i="174" s="1"/>
  <c r="A51" i="174" s="1"/>
  <c r="A52" i="174" s="1"/>
  <c r="A53" i="174" s="1"/>
  <c r="A54" i="174" s="1"/>
  <c r="A55" i="174" s="1"/>
  <c r="A56" i="174" s="1"/>
  <c r="A57" i="174" s="1"/>
  <c r="A58" i="174" s="1"/>
  <c r="A59" i="174" s="1"/>
  <c r="A60" i="174" s="1"/>
  <c r="A61" i="174" s="1"/>
  <c r="A62" i="174" s="1"/>
  <c r="A63" i="174" s="1"/>
  <c r="A64" i="174" s="1"/>
  <c r="A65" i="174" s="1"/>
  <c r="A66" i="174" s="1"/>
  <c r="A67" i="174" s="1"/>
  <c r="A68" i="174" s="1"/>
  <c r="A69" i="174" s="1"/>
  <c r="A70" i="174" s="1"/>
  <c r="A71" i="174" s="1"/>
  <c r="A72" i="174" s="1"/>
  <c r="A73" i="174" s="1"/>
  <c r="A74" i="174" s="1"/>
  <c r="A75" i="174" s="1"/>
  <c r="A76" i="174" s="1"/>
  <c r="A79" i="174" s="1"/>
  <c r="A80" i="174" s="1"/>
  <c r="A81" i="174" s="1"/>
  <c r="A82" i="174" s="1"/>
  <c r="A83" i="174" s="1"/>
  <c r="A84" i="174" s="1"/>
  <c r="S90" i="174"/>
  <c r="Y90" i="174" s="1"/>
  <c r="T18" i="14"/>
  <c r="R20" i="14"/>
  <c r="R82" i="17" s="1"/>
  <c r="Z19" i="174"/>
  <c r="Z89" i="174"/>
  <c r="Z90" i="174"/>
  <c r="Y95" i="174"/>
  <c r="Y19" i="174"/>
  <c r="Z76" i="174"/>
  <c r="X28" i="8"/>
  <c r="X27" i="8"/>
  <c r="X30" i="8"/>
  <c r="E30" i="143"/>
  <c r="G80" i="160"/>
  <c r="D91" i="160"/>
  <c r="D92" i="160" s="1"/>
  <c r="C111" i="166"/>
  <c r="Y21" i="8"/>
  <c r="Y53" i="174"/>
  <c r="Z54" i="174"/>
  <c r="Z23" i="8"/>
  <c r="Y32" i="159"/>
  <c r="X32" i="159"/>
  <c r="D50" i="54"/>
  <c r="E107" i="166"/>
  <c r="X29" i="8"/>
  <c r="Y29" i="8" s="1"/>
  <c r="X31" i="8"/>
  <c r="Z31" i="8" s="1"/>
  <c r="O18" i="132"/>
  <c r="J110" i="138"/>
  <c r="J53" i="138"/>
  <c r="J84" i="138"/>
  <c r="T82" i="17"/>
  <c r="W82" i="17" s="1"/>
  <c r="Y82" i="17" s="1"/>
  <c r="R85" i="17"/>
  <c r="T20" i="14"/>
  <c r="W18" i="14"/>
  <c r="W20" i="14" s="1"/>
  <c r="M91" i="138"/>
  <c r="Z17" i="135"/>
  <c r="Y17" i="135"/>
  <c r="E47" i="144"/>
  <c r="Y36" i="159"/>
  <c r="K53" i="159"/>
  <c r="X53" i="159" s="1"/>
  <c r="X36" i="159"/>
  <c r="K85" i="174"/>
  <c r="I96" i="174"/>
  <c r="Y39" i="17"/>
  <c r="X39" i="17"/>
  <c r="G85" i="17"/>
  <c r="Y59" i="17"/>
  <c r="X59" i="17"/>
  <c r="Y22" i="17"/>
  <c r="X22" i="17"/>
  <c r="Q83" i="17"/>
  <c r="G53" i="138"/>
  <c r="G110" i="138"/>
  <c r="S14" i="132"/>
  <c r="X78" i="17"/>
  <c r="K80" i="17"/>
  <c r="W34" i="159" l="1"/>
  <c r="A85" i="174"/>
  <c r="A86" i="174" s="1"/>
  <c r="A87" i="174" s="1"/>
  <c r="A88" i="174" s="1"/>
  <c r="A89" i="174" s="1"/>
  <c r="A90" i="174" s="1"/>
  <c r="A91" i="174" s="1"/>
  <c r="A92" i="174" s="1"/>
  <c r="A93" i="174" s="1"/>
  <c r="A94" i="174" s="1"/>
  <c r="A95" i="174" s="1"/>
  <c r="A96" i="174" s="1"/>
  <c r="A97" i="174" s="1"/>
  <c r="A98" i="174" s="1"/>
  <c r="Z27" i="8"/>
  <c r="Y27" i="8"/>
  <c r="Y28" i="8"/>
  <c r="Z28" i="8"/>
  <c r="Z30" i="8"/>
  <c r="Y30" i="8"/>
  <c r="Z29" i="8"/>
  <c r="X18" i="14"/>
  <c r="Y31" i="8"/>
  <c r="X19" i="8"/>
  <c r="Y19" i="8" s="1"/>
  <c r="R18" i="132"/>
  <c r="X82" i="17"/>
  <c r="P91" i="138"/>
  <c r="Q85" i="17"/>
  <c r="Y53" i="159"/>
  <c r="K96" i="174"/>
  <c r="X80" i="17"/>
  <c r="Y80" i="17"/>
  <c r="N85" i="17"/>
  <c r="U85" i="174" l="1"/>
  <c r="X85" i="174"/>
  <c r="Z19" i="8"/>
  <c r="S18" i="132"/>
  <c r="J22" i="131" l="1"/>
  <c r="J27" i="131" l="1"/>
  <c r="M22" i="131"/>
  <c r="M27" i="131" s="1"/>
  <c r="M39" i="131" s="1"/>
  <c r="H27" i="131"/>
  <c r="H39" i="131" s="1"/>
  <c r="N49" i="131" l="1"/>
  <c r="O49" i="131"/>
  <c r="J39" i="131"/>
  <c r="N39" i="131" s="1"/>
  <c r="N27" i="131"/>
  <c r="P19" i="134"/>
  <c r="Q19" i="134" s="1"/>
  <c r="J18" i="134"/>
  <c r="M18" i="134" l="1"/>
  <c r="P18" i="134" l="1"/>
  <c r="Q18" i="134" l="1"/>
  <c r="K56" i="174" l="1"/>
  <c r="W56" i="174" l="1"/>
  <c r="V56" i="174"/>
  <c r="T56" i="174"/>
  <c r="Q56" i="174"/>
  <c r="P56" i="174"/>
  <c r="O56" i="174"/>
  <c r="L19" i="132"/>
  <c r="O19" i="132" l="1"/>
  <c r="R19" i="132" l="1"/>
  <c r="S19" i="132" l="1"/>
  <c r="M24" i="132" l="1"/>
  <c r="K24" i="132"/>
  <c r="J24" i="132"/>
  <c r="Q24" i="132"/>
  <c r="P24" i="132"/>
  <c r="N24" i="132" l="1"/>
  <c r="I24" i="132"/>
  <c r="L24" i="132" l="1"/>
  <c r="O24" i="132"/>
  <c r="R24" i="132" l="1"/>
  <c r="I79" i="138" l="1"/>
  <c r="L79" i="138"/>
  <c r="N79" i="138"/>
  <c r="O79" i="138"/>
  <c r="H79" i="138"/>
  <c r="G79" i="138" l="1"/>
  <c r="M79" i="138"/>
  <c r="K79" i="138"/>
  <c r="Y88" i="174" l="1"/>
  <c r="Y44" i="174"/>
  <c r="Y84" i="174"/>
  <c r="Z87" i="174"/>
  <c r="Y86" i="174"/>
  <c r="S56" i="128"/>
  <c r="Z85" i="174"/>
  <c r="Z80" i="174"/>
  <c r="Z82" i="174"/>
  <c r="Z83" i="174"/>
  <c r="J79" i="138"/>
  <c r="P79" i="138" s="1"/>
  <c r="Z88" i="174" l="1"/>
  <c r="Y80" i="174"/>
  <c r="Z44" i="174"/>
  <c r="Y87" i="174"/>
  <c r="R56" i="128"/>
  <c r="Y85" i="174"/>
  <c r="Z86" i="174"/>
  <c r="Z84" i="174"/>
  <c r="Y82" i="174"/>
  <c r="Y83" i="174"/>
  <c r="Y34" i="159"/>
  <c r="X34" i="159"/>
  <c r="L78" i="138" l="1"/>
  <c r="L76" i="138"/>
  <c r="N78" i="138"/>
  <c r="N76" i="138"/>
  <c r="H78" i="138"/>
  <c r="H76" i="138"/>
  <c r="I78" i="138"/>
  <c r="I76" i="138"/>
  <c r="M29" i="134" l="1"/>
  <c r="M30" i="134"/>
  <c r="I32" i="134"/>
  <c r="M22" i="134"/>
  <c r="J22" i="134"/>
  <c r="N32" i="134"/>
  <c r="J31" i="134"/>
  <c r="G108" i="138"/>
  <c r="J21" i="134"/>
  <c r="G32" i="134"/>
  <c r="H32" i="134"/>
  <c r="Q31" i="159"/>
  <c r="G76" i="138"/>
  <c r="J30" i="134"/>
  <c r="J23" i="134"/>
  <c r="H24" i="134"/>
  <c r="N24" i="134"/>
  <c r="K32" i="134"/>
  <c r="L32" i="134"/>
  <c r="T31" i="159"/>
  <c r="M76" i="138" s="1"/>
  <c r="K76" i="138"/>
  <c r="M20" i="134"/>
  <c r="K24" i="134"/>
  <c r="I24" i="134"/>
  <c r="Q33" i="159"/>
  <c r="G78" i="138"/>
  <c r="G24" i="134"/>
  <c r="J20" i="134"/>
  <c r="J29" i="134"/>
  <c r="T33" i="159"/>
  <c r="M78" i="138" s="1"/>
  <c r="K78" i="138"/>
  <c r="L24" i="134"/>
  <c r="O22" i="134" l="1"/>
  <c r="P22" i="134" s="1"/>
  <c r="Q22" i="134" s="1"/>
  <c r="O30" i="134"/>
  <c r="P30" i="134" s="1"/>
  <c r="M31" i="134"/>
  <c r="M32" i="134" s="1"/>
  <c r="M23" i="134"/>
  <c r="O23" i="134" s="1"/>
  <c r="P23" i="134" s="1"/>
  <c r="Q23" i="134" s="1"/>
  <c r="O29" i="134"/>
  <c r="P29" i="134" s="1"/>
  <c r="M21" i="134"/>
  <c r="O21" i="134" s="1"/>
  <c r="O20" i="134"/>
  <c r="P20" i="134" s="1"/>
  <c r="G3" i="138"/>
  <c r="Z51" i="135"/>
  <c r="P28" i="134"/>
  <c r="R28" i="134" s="1"/>
  <c r="J32" i="134"/>
  <c r="J24" i="134"/>
  <c r="J76" i="138"/>
  <c r="J78" i="138"/>
  <c r="M24" i="134" l="1"/>
  <c r="O31" i="134"/>
  <c r="O32" i="134" s="1"/>
  <c r="O78" i="138"/>
  <c r="P78" i="138" s="1"/>
  <c r="O76" i="138"/>
  <c r="P76" i="138" s="1"/>
  <c r="Z54" i="135"/>
  <c r="Q29" i="134"/>
  <c r="R29" i="134"/>
  <c r="Q30" i="134"/>
  <c r="R30" i="134"/>
  <c r="Z52" i="135"/>
  <c r="Z53" i="135"/>
  <c r="W33" i="159"/>
  <c r="Y33" i="159" s="1"/>
  <c r="O24" i="134"/>
  <c r="P21" i="134"/>
  <c r="Q21" i="134" s="1"/>
  <c r="W31" i="159"/>
  <c r="X31" i="159" s="1"/>
  <c r="Q28" i="134"/>
  <c r="Z72" i="174"/>
  <c r="Y72" i="174"/>
  <c r="Z71" i="174"/>
  <c r="Y71" i="174"/>
  <c r="R53" i="128"/>
  <c r="S53" i="128"/>
  <c r="Q20" i="134"/>
  <c r="P31" i="134" l="1"/>
  <c r="Q31" i="134" s="1"/>
  <c r="X33" i="159"/>
  <c r="Y31" i="159"/>
  <c r="P24" i="134"/>
  <c r="P32" i="134" l="1"/>
  <c r="R31" i="134"/>
  <c r="H24" i="132"/>
  <c r="S24" i="132" s="1"/>
  <c r="G24" i="132"/>
  <c r="O20" i="153" l="1"/>
  <c r="G66" i="138"/>
  <c r="N44" i="159"/>
  <c r="P20" i="153" l="1"/>
  <c r="Q21" i="159"/>
  <c r="V20" i="153"/>
  <c r="W20" i="153"/>
  <c r="T20" i="153"/>
  <c r="Q20" i="153"/>
  <c r="S20" i="153"/>
  <c r="O44" i="159"/>
  <c r="H66" i="138"/>
  <c r="P44" i="159"/>
  <c r="I66" i="138"/>
  <c r="T21" i="159"/>
  <c r="R44" i="159"/>
  <c r="K66" i="138"/>
  <c r="L66" i="138"/>
  <c r="S44" i="159"/>
  <c r="N66" i="138"/>
  <c r="U44" i="159"/>
  <c r="O66" i="138"/>
  <c r="V44" i="159"/>
  <c r="J66" i="138" l="1"/>
  <c r="W21" i="159"/>
  <c r="R20" i="153"/>
  <c r="U20" i="153"/>
  <c r="Q44" i="159"/>
  <c r="T44" i="159"/>
  <c r="M66" i="138"/>
  <c r="P66" i="138" s="1"/>
  <c r="W44" i="159" l="1"/>
  <c r="Y44" i="159" s="1"/>
  <c r="X21" i="159"/>
  <c r="Y21" i="159"/>
  <c r="X44" i="159" l="1"/>
  <c r="Y47" i="174" l="1"/>
  <c r="Z47" i="174"/>
  <c r="S39" i="128" l="1"/>
  <c r="R39" i="128"/>
  <c r="I51" i="174" l="1"/>
  <c r="K51" i="174" l="1"/>
  <c r="W51" i="174" s="1"/>
  <c r="X51" i="174" s="1"/>
  <c r="Y51" i="174" l="1"/>
  <c r="Z51" i="174" l="1"/>
  <c r="E84" i="138" l="1"/>
  <c r="E110" i="138"/>
  <c r="E53" i="138"/>
  <c r="H85" i="17" l="1"/>
  <c r="I83" i="17"/>
  <c r="F110" i="138"/>
  <c r="F84" i="138"/>
  <c r="F53" i="138"/>
  <c r="I85" i="17" l="1"/>
  <c r="K83" i="17"/>
  <c r="L84" i="138" l="1"/>
  <c r="L53" i="138"/>
  <c r="L110" i="138"/>
  <c r="K85" i="17"/>
  <c r="Z44" i="135" l="1"/>
  <c r="M53" i="138"/>
  <c r="P53" i="138" s="1"/>
  <c r="M84" i="138"/>
  <c r="P84" i="138" s="1"/>
  <c r="M110" i="138"/>
  <c r="P110" i="138" s="1"/>
  <c r="S85" i="17"/>
  <c r="T83" i="17"/>
  <c r="Z19" i="135"/>
  <c r="Z55" i="174" l="1"/>
  <c r="Y55" i="174"/>
  <c r="T85" i="17"/>
  <c r="W83" i="17"/>
  <c r="W85" i="17" l="1"/>
  <c r="X83" i="17"/>
  <c r="Y83" i="17"/>
  <c r="X85" i="17" l="1"/>
  <c r="Y85" i="17"/>
  <c r="I40" i="174" l="1"/>
  <c r="E2" i="138"/>
  <c r="I62" i="174" l="1"/>
  <c r="I98" i="174" s="1"/>
  <c r="EE33" i="178"/>
  <c r="D46" i="175"/>
  <c r="D48" i="175" s="1"/>
  <c r="G72" i="160"/>
  <c r="E98" i="166"/>
  <c r="F72" i="160"/>
  <c r="F99" i="166" s="1"/>
  <c r="K40" i="174"/>
  <c r="S40" i="174" s="1"/>
  <c r="F5" i="138" l="1"/>
  <c r="F2" i="138"/>
  <c r="U40" i="174"/>
  <c r="X40" i="174"/>
  <c r="K62" i="174"/>
  <c r="D52" i="175"/>
  <c r="D53" i="175" s="1"/>
  <c r="F91" i="160"/>
  <c r="F92" i="160" s="1"/>
  <c r="E111" i="166"/>
  <c r="F112" i="166"/>
  <c r="K98" i="174" l="1"/>
  <c r="DU82" i="178" s="1"/>
  <c r="DU83" i="178" s="1"/>
  <c r="Z40" i="135" l="1"/>
  <c r="Y18" i="153"/>
  <c r="Y16" i="153" l="1"/>
  <c r="X20" i="153"/>
  <c r="Y20" i="153" s="1"/>
  <c r="Z67" i="135" l="1"/>
  <c r="Q49" i="128" l="1"/>
  <c r="Z69" i="135"/>
  <c r="Z68" i="135"/>
  <c r="R49" i="128" l="1"/>
  <c r="S49" i="128"/>
  <c r="Z63" i="135"/>
  <c r="G30" i="162" l="1"/>
  <c r="D67" i="128"/>
  <c r="I27" i="162" l="1"/>
  <c r="I30" i="162" s="1"/>
  <c r="F27" i="162"/>
  <c r="F30" i="162" s="1"/>
  <c r="H23" i="159" l="1"/>
  <c r="D19" i="128"/>
  <c r="G19" i="162" l="1"/>
  <c r="I18" i="162"/>
  <c r="F18" i="162"/>
  <c r="F19" i="162" s="1"/>
  <c r="D22" i="144"/>
  <c r="H46" i="159"/>
  <c r="E68" i="138"/>
  <c r="H22" i="159" l="1"/>
  <c r="I19" i="162"/>
  <c r="H45" i="159" l="1"/>
  <c r="D21" i="144"/>
  <c r="E67" i="138"/>
  <c r="E19" i="128" l="1"/>
  <c r="E67" i="128"/>
  <c r="E71" i="128" l="1"/>
  <c r="E73" i="128" l="1"/>
  <c r="E75" i="128" s="1"/>
  <c r="E79" i="128" s="1"/>
  <c r="C27" i="144" l="1"/>
  <c r="C26" i="54"/>
  <c r="B75" i="138"/>
  <c r="G30" i="159"/>
  <c r="E51" i="159"/>
  <c r="E27" i="144" l="1"/>
  <c r="I30" i="159"/>
  <c r="D75" i="138"/>
  <c r="C48" i="54"/>
  <c r="G51" i="159"/>
  <c r="I51" i="159" s="1"/>
  <c r="C114" i="166"/>
  <c r="E74" i="160" l="1"/>
  <c r="C17" i="54"/>
  <c r="B65" i="138"/>
  <c r="G20" i="159"/>
  <c r="C22" i="166"/>
  <c r="C25" i="166" s="1"/>
  <c r="D48" i="54"/>
  <c r="E114" i="166"/>
  <c r="K51" i="159"/>
  <c r="K30" i="159"/>
  <c r="F75" i="138"/>
  <c r="D26" i="54"/>
  <c r="P30" i="159" l="1"/>
  <c r="O30" i="159"/>
  <c r="V30" i="159"/>
  <c r="N30" i="159"/>
  <c r="U30" i="159"/>
  <c r="R30" i="159"/>
  <c r="Q30" i="159"/>
  <c r="T30" i="159"/>
  <c r="S30" i="159"/>
  <c r="F26" i="166"/>
  <c r="C100" i="166"/>
  <c r="G74" i="160"/>
  <c r="D65" i="138"/>
  <c r="C143" i="166" l="1"/>
  <c r="C144" i="166" s="1"/>
  <c r="C102" i="166"/>
  <c r="C105" i="166" s="1"/>
  <c r="C109" i="166" s="1"/>
  <c r="C139" i="166" l="1"/>
  <c r="C140" i="166" s="1"/>
  <c r="G17" i="159" l="1"/>
  <c r="C14" i="54"/>
  <c r="K3" i="138" l="1"/>
  <c r="K108" i="138"/>
  <c r="Y40" i="174" l="1"/>
  <c r="Z40" i="174"/>
  <c r="F32" i="162" l="1"/>
  <c r="I32" i="162"/>
  <c r="G34" i="162"/>
  <c r="G36" i="162" s="1"/>
  <c r="D71" i="128"/>
  <c r="D73" i="128" s="1"/>
  <c r="D75" i="128" s="1"/>
  <c r="I46" i="162" s="1"/>
  <c r="F33" i="162" l="1"/>
  <c r="F34" i="162" s="1"/>
  <c r="F36" i="162" s="1"/>
  <c r="I33" i="162"/>
  <c r="I34" i="162" s="1"/>
  <c r="I36" i="162" s="1"/>
  <c r="H24" i="159" l="1"/>
  <c r="D23" i="144" l="1"/>
  <c r="H47" i="159"/>
  <c r="I47" i="159" s="1"/>
  <c r="E69" i="138"/>
  <c r="I24" i="159"/>
  <c r="K24" i="159" l="1"/>
  <c r="E117" i="166"/>
  <c r="F69" i="138"/>
  <c r="D21" i="54"/>
  <c r="K47" i="159"/>
  <c r="D44" i="54"/>
  <c r="E23" i="144"/>
  <c r="G77" i="160" l="1"/>
  <c r="C39" i="162" l="1"/>
  <c r="E39" i="162"/>
  <c r="G39" i="162"/>
  <c r="D39" i="162"/>
  <c r="I39" i="162"/>
  <c r="I47" i="162" s="1"/>
  <c r="F39" i="162"/>
  <c r="D78" i="128" l="1"/>
  <c r="D79" i="128" s="1"/>
  <c r="Q65" i="128" l="1"/>
  <c r="Q34" i="128"/>
  <c r="Q66" i="128"/>
  <c r="Q35" i="128"/>
  <c r="R34" i="128" l="1"/>
  <c r="R65" i="128"/>
  <c r="V28" i="162"/>
  <c r="V29" i="162"/>
  <c r="X29" i="162" s="1"/>
  <c r="X28" i="162"/>
  <c r="Y28" i="162"/>
  <c r="S34" i="128" l="1"/>
  <c r="S65" i="128"/>
  <c r="Y29" i="162"/>
  <c r="R35" i="128"/>
  <c r="S35" i="128"/>
  <c r="S66" i="128"/>
  <c r="R66" i="128"/>
  <c r="L97" i="138" l="1"/>
  <c r="V33" i="8"/>
  <c r="Q24" i="128"/>
  <c r="P33" i="8" l="1"/>
  <c r="H3" i="138" s="1"/>
  <c r="H97" i="138"/>
  <c r="H108" i="138" s="1"/>
  <c r="Q33" i="8"/>
  <c r="I3" i="138" s="1"/>
  <c r="I97" i="138"/>
  <c r="I108" i="138" s="1"/>
  <c r="Q25" i="128"/>
  <c r="Q26" i="128"/>
  <c r="Q32" i="128"/>
  <c r="Q29" i="128"/>
  <c r="Q31" i="128"/>
  <c r="Q28" i="128"/>
  <c r="Q30" i="128"/>
  <c r="Q27" i="128"/>
  <c r="U20" i="8"/>
  <c r="T33" i="8"/>
  <c r="L3" i="138" s="1"/>
  <c r="L108" i="138"/>
  <c r="N108" i="138"/>
  <c r="N3" i="138"/>
  <c r="R20" i="8"/>
  <c r="R33" i="8" l="1"/>
  <c r="J97" i="138"/>
  <c r="U33" i="8"/>
  <c r="M3" i="138" s="1"/>
  <c r="M97" i="138"/>
  <c r="M108" i="138" s="1"/>
  <c r="R31" i="128"/>
  <c r="R32" i="128"/>
  <c r="V26" i="162"/>
  <c r="J3" i="138" l="1"/>
  <c r="W33" i="8"/>
  <c r="O3" i="138" s="1"/>
  <c r="P3" i="138" s="1"/>
  <c r="O97" i="138"/>
  <c r="P97" i="138" s="1"/>
  <c r="S32" i="128"/>
  <c r="S31" i="128"/>
  <c r="X26" i="162"/>
  <c r="Y26" i="162"/>
  <c r="R30" i="128"/>
  <c r="S30" i="128"/>
  <c r="R28" i="128"/>
  <c r="S28" i="128"/>
  <c r="R25" i="128"/>
  <c r="S25" i="128"/>
  <c r="R26" i="128"/>
  <c r="S26" i="128"/>
  <c r="J108" i="138"/>
  <c r="R29" i="128"/>
  <c r="S29" i="128"/>
  <c r="X20" i="8"/>
  <c r="X33" i="8" s="1"/>
  <c r="R27" i="128"/>
  <c r="S27" i="128"/>
  <c r="O108" i="138" l="1"/>
  <c r="R3" i="138"/>
  <c r="Z20" i="8"/>
  <c r="Y20" i="8"/>
  <c r="P108" i="138"/>
  <c r="Z33" i="8" l="1"/>
  <c r="Y33" i="8"/>
  <c r="Q3" i="138"/>
  <c r="B68" i="138" l="1"/>
  <c r="C20" i="54"/>
  <c r="C22" i="144"/>
  <c r="E22" i="144" s="1"/>
  <c r="G23" i="159"/>
  <c r="E46" i="159"/>
  <c r="C43" i="162"/>
  <c r="C44" i="162" s="1"/>
  <c r="E45" i="159"/>
  <c r="B67" i="138"/>
  <c r="C21" i="144"/>
  <c r="C19" i="54"/>
  <c r="C23" i="54" s="1"/>
  <c r="G22" i="159"/>
  <c r="E27" i="159"/>
  <c r="E21" i="144" l="1"/>
  <c r="C42" i="54"/>
  <c r="C115" i="166"/>
  <c r="C43" i="54"/>
  <c r="C116" i="166"/>
  <c r="E76" i="160" s="1"/>
  <c r="D68" i="138"/>
  <c r="G46" i="159"/>
  <c r="I23" i="159"/>
  <c r="D67" i="138"/>
  <c r="G45" i="159"/>
  <c r="I22" i="159"/>
  <c r="G27" i="159"/>
  <c r="I45" i="159" l="1"/>
  <c r="I46" i="159"/>
  <c r="D43" i="54" s="1"/>
  <c r="D20" i="54"/>
  <c r="K23" i="159"/>
  <c r="E116" i="166"/>
  <c r="G76" i="160" s="1"/>
  <c r="F68" i="138"/>
  <c r="E75" i="160"/>
  <c r="E83" i="160" s="1"/>
  <c r="F121" i="166" s="1"/>
  <c r="C121" i="166"/>
  <c r="C34" i="144"/>
  <c r="C37" i="144" s="1"/>
  <c r="C31" i="54"/>
  <c r="C33" i="54" s="1"/>
  <c r="C35" i="54" s="1"/>
  <c r="C38" i="54" s="1"/>
  <c r="G35" i="159"/>
  <c r="G38" i="159" s="1"/>
  <c r="G41" i="159" s="1"/>
  <c r="B80" i="138"/>
  <c r="E52" i="159"/>
  <c r="E38" i="159"/>
  <c r="E41" i="159" s="1"/>
  <c r="E54" i="159" s="1"/>
  <c r="K46" i="159"/>
  <c r="F67" i="138"/>
  <c r="K22" i="159"/>
  <c r="D19" i="54"/>
  <c r="E115" i="166"/>
  <c r="D81" i="128"/>
  <c r="I43" i="162"/>
  <c r="I44" i="162" s="1"/>
  <c r="G43" i="162"/>
  <c r="G44" i="162" s="1"/>
  <c r="K45" i="159"/>
  <c r="D42" i="54"/>
  <c r="G75" i="160" l="1"/>
  <c r="G83" i="160" s="1"/>
  <c r="E121" i="166"/>
  <c r="C20" i="143"/>
  <c r="C22" i="143" s="1"/>
  <c r="C39" i="144"/>
  <c r="C54" i="54"/>
  <c r="C50" i="144"/>
  <c r="B112" i="138"/>
  <c r="G52" i="159"/>
  <c r="C49" i="54"/>
  <c r="C52" i="54" s="1"/>
  <c r="D80" i="138"/>
  <c r="H35" i="159"/>
  <c r="I35" i="159" s="1"/>
  <c r="C135" i="166"/>
  <c r="C136" i="166" s="1"/>
  <c r="E91" i="160"/>
  <c r="E92" i="160" s="1"/>
  <c r="C125" i="166"/>
  <c r="C131" i="166" s="1"/>
  <c r="C132" i="166" s="1"/>
  <c r="F80" i="138" l="1"/>
  <c r="D31" i="54"/>
  <c r="D33" i="54" s="1"/>
  <c r="K35" i="159"/>
  <c r="H52" i="159"/>
  <c r="D34" i="144" s="1"/>
  <c r="E80" i="138"/>
  <c r="C41" i="144"/>
  <c r="C52" i="144"/>
  <c r="C24" i="143"/>
  <c r="C36" i="143"/>
  <c r="I52" i="159"/>
  <c r="E29" i="143"/>
  <c r="G91" i="160"/>
  <c r="G92" i="160" s="1"/>
  <c r="E135" i="166"/>
  <c r="E46" i="144"/>
  <c r="C51" i="144"/>
  <c r="E134" i="166"/>
  <c r="F122" i="166"/>
  <c r="C55" i="54"/>
  <c r="G54" i="159"/>
  <c r="D112" i="138" l="1"/>
  <c r="E136" i="166"/>
  <c r="D49" i="54"/>
  <c r="K52" i="159"/>
  <c r="E34" i="144"/>
  <c r="E37" i="144" s="1"/>
  <c r="D37" i="144"/>
  <c r="D20" i="143" s="1"/>
  <c r="E20" i="143" s="1"/>
  <c r="F20" i="143" s="1"/>
  <c r="H80" i="138"/>
  <c r="X35" i="159"/>
  <c r="Y35" i="159"/>
  <c r="X52" i="159" l="1"/>
  <c r="Y52" i="159"/>
  <c r="C34" i="143" l="1"/>
  <c r="C35" i="143" s="1"/>
  <c r="E24" i="14"/>
  <c r="E58" i="159"/>
  <c r="N30" i="162" l="1"/>
  <c r="P30" i="162"/>
  <c r="R30" i="162"/>
  <c r="U30" i="162" l="1"/>
  <c r="M30" i="162"/>
  <c r="O30" i="162"/>
  <c r="T30" i="162" l="1"/>
  <c r="Q30" i="162" l="1"/>
  <c r="S30" i="162" l="1"/>
  <c r="V27" i="162"/>
  <c r="X27" i="162" l="1"/>
  <c r="Y27" i="162"/>
  <c r="V30" i="162"/>
  <c r="Q61" i="128" l="1"/>
  <c r="S61" i="128" l="1"/>
  <c r="R61" i="128"/>
  <c r="Q41" i="128" l="1"/>
  <c r="S41" i="128" l="1"/>
  <c r="R41" i="128"/>
  <c r="Q48" i="128" l="1"/>
  <c r="S48" i="128" l="1"/>
  <c r="R48" i="128"/>
  <c r="Q52" i="128" l="1"/>
  <c r="S52" i="128" l="1"/>
  <c r="R52" i="128"/>
  <c r="Q57" i="128" l="1"/>
  <c r="S57" i="128" l="1"/>
  <c r="R57" i="128"/>
  <c r="Q58" i="128" l="1"/>
  <c r="S58" i="128" l="1"/>
  <c r="R58" i="128"/>
  <c r="Q62" i="128"/>
  <c r="S62" i="128" l="1"/>
  <c r="R62" i="128"/>
  <c r="Q60" i="128"/>
  <c r="R60" i="128" l="1"/>
  <c r="S60" i="128"/>
  <c r="Q59" i="128" l="1"/>
  <c r="S59" i="128" l="1"/>
  <c r="R59" i="128"/>
  <c r="K38" i="128" l="1"/>
  <c r="Q38" i="128" l="1"/>
  <c r="R38" i="128" l="1"/>
  <c r="S38" i="128"/>
  <c r="AZ46" i="178" l="1"/>
  <c r="CU38" i="178"/>
  <c r="K38" i="178"/>
  <c r="EB38" i="178"/>
  <c r="AR38" i="178"/>
  <c r="BY38" i="178"/>
  <c r="CJ46" i="178"/>
  <c r="AG46" i="178"/>
  <c r="DQ46" i="178"/>
  <c r="BN46" i="178"/>
  <c r="K46" i="178"/>
  <c r="V46" i="178"/>
  <c r="DF46" i="178"/>
  <c r="BC46" i="178" l="1"/>
  <c r="BN38" i="178"/>
  <c r="BK38" i="178"/>
  <c r="AD38" i="178"/>
  <c r="DQ38" i="178"/>
  <c r="V38" i="178"/>
  <c r="DN46" i="178"/>
  <c r="AD46" i="178"/>
  <c r="CG38" i="178"/>
  <c r="BC38" i="178"/>
  <c r="AO38" i="178"/>
  <c r="EB46" i="178"/>
  <c r="CR46" i="178"/>
  <c r="CU46" i="178"/>
  <c r="DF38" i="178"/>
  <c r="DY38" i="178"/>
  <c r="EF38" i="178" s="1"/>
  <c r="H46" i="178"/>
  <c r="AR46" i="178"/>
  <c r="DN38" i="178"/>
  <c r="H38" i="178"/>
  <c r="CG46" i="178"/>
  <c r="V66" i="178"/>
  <c r="BC66" i="178"/>
  <c r="DQ66" i="178"/>
  <c r="CJ66" i="178"/>
  <c r="AG66" i="178"/>
  <c r="BN66" i="178"/>
  <c r="CU66" i="178"/>
  <c r="EB66" i="178"/>
  <c r="K66" i="178"/>
  <c r="BY66" i="178"/>
  <c r="AR66" i="178"/>
  <c r="DF66" i="178"/>
  <c r="BK46" i="178"/>
  <c r="CR38" i="178"/>
  <c r="BY46" i="178"/>
  <c r="S38" i="178"/>
  <c r="DY46" i="178"/>
  <c r="DC46" i="178"/>
  <c r="BV38" i="178"/>
  <c r="CJ38" i="178"/>
  <c r="AG38" i="178"/>
  <c r="DC38" i="178"/>
  <c r="AZ38" i="178"/>
  <c r="BV46" i="178"/>
  <c r="K47" i="178"/>
  <c r="AO46" i="178"/>
  <c r="S46" i="178"/>
  <c r="AD47" i="178" l="1"/>
  <c r="EF46" i="178"/>
  <c r="H47" i="178"/>
  <c r="DC66" i="178"/>
  <c r="CR66" i="178"/>
  <c r="H66" i="178"/>
  <c r="DY66" i="178"/>
  <c r="DN66" i="178"/>
  <c r="CG47" i="178"/>
  <c r="EF66" i="178"/>
  <c r="AZ47" i="178"/>
  <c r="DC47" i="178"/>
  <c r="BN47" i="178"/>
  <c r="S34" i="178"/>
  <c r="CG34" i="178"/>
  <c r="DQ34" i="178"/>
  <c r="DN47" i="178"/>
  <c r="CJ47" i="178"/>
  <c r="AG34" i="178"/>
  <c r="DQ47" i="178"/>
  <c r="S47" i="178"/>
  <c r="DC34" i="178"/>
  <c r="BN34" i="178"/>
  <c r="BK47" i="178"/>
  <c r="BK66" i="178"/>
  <c r="AG47" i="178"/>
  <c r="DN34" i="178"/>
  <c r="BC34" i="178"/>
  <c r="AD66" i="178"/>
  <c r="V47" i="178"/>
  <c r="BV34" i="178"/>
  <c r="AZ34" i="178"/>
  <c r="BC47" i="178"/>
  <c r="AO34" i="178"/>
  <c r="V34" i="178"/>
  <c r="CG66" i="178"/>
  <c r="DF47" i="178"/>
  <c r="CU34" i="178"/>
  <c r="DY34" i="178"/>
  <c r="DF34" i="178"/>
  <c r="BV47" i="178"/>
  <c r="BY47" i="178"/>
  <c r="CR47" i="178"/>
  <c r="H34" i="178"/>
  <c r="BY34" i="178"/>
  <c r="AO47" i="178"/>
  <c r="S66" i="178"/>
  <c r="AZ66" i="178"/>
  <c r="AR47" i="178"/>
  <c r="CR34" i="178"/>
  <c r="AR34" i="178"/>
  <c r="EB47" i="178"/>
  <c r="CJ34" i="178"/>
  <c r="BK34" i="178"/>
  <c r="EB34" i="178"/>
  <c r="CU47" i="178"/>
  <c r="DY47" i="178"/>
  <c r="EF47" i="178" s="1"/>
  <c r="K34" i="178"/>
  <c r="AO66" i="178"/>
  <c r="BV66" i="178"/>
  <c r="AD34" i="178"/>
  <c r="EF34" i="178" l="1"/>
  <c r="Q63" i="128" l="1"/>
  <c r="R63" i="128" l="1"/>
  <c r="S63" i="128"/>
  <c r="J67" i="128" l="1"/>
  <c r="Q44" i="128"/>
  <c r="H67" i="128"/>
  <c r="M67" i="128"/>
  <c r="O67" i="128"/>
  <c r="I67" i="128"/>
  <c r="P67" i="128"/>
  <c r="Q64" i="128" l="1"/>
  <c r="R64" i="128"/>
  <c r="S64" i="128"/>
  <c r="Q67" i="128"/>
  <c r="S67" i="128" s="1"/>
  <c r="R44" i="128"/>
  <c r="S44" i="128"/>
  <c r="L67" i="128"/>
  <c r="K67" i="128"/>
  <c r="N67" i="128" l="1"/>
  <c r="R67" i="128"/>
  <c r="AR18" i="178" l="1"/>
  <c r="AR19" i="178"/>
  <c r="V18" i="178"/>
  <c r="CU19" i="178"/>
  <c r="DQ19" i="178"/>
  <c r="BY19" i="178"/>
  <c r="BC18" i="178"/>
  <c r="EB18" i="178"/>
  <c r="DF18" i="178"/>
  <c r="DQ18" i="178"/>
  <c r="BY18" i="178"/>
  <c r="AG18" i="178"/>
  <c r="EB19" i="178"/>
  <c r="CJ19" i="178"/>
  <c r="CU18" i="178"/>
  <c r="BN19" i="178"/>
  <c r="CJ18" i="178"/>
  <c r="BN18" i="178"/>
  <c r="AG19" i="178"/>
  <c r="DF19" i="178"/>
  <c r="V19" i="178"/>
  <c r="BC19" i="178"/>
  <c r="H18" i="178"/>
  <c r="AO19" i="178" l="1"/>
  <c r="DY18" i="178"/>
  <c r="EF18" i="178" s="1"/>
  <c r="DC18" i="178"/>
  <c r="AD19" i="178"/>
  <c r="AD18" i="178"/>
  <c r="AZ18" i="178"/>
  <c r="CR19" i="178"/>
  <c r="S18" i="178"/>
  <c r="K19" i="178"/>
  <c r="DN19" i="178"/>
  <c r="S19" i="178"/>
  <c r="DY19" i="178"/>
  <c r="EF19" i="178" s="1"/>
  <c r="BV18" i="178"/>
  <c r="K18" i="178"/>
  <c r="CR18" i="178"/>
  <c r="H19" i="178"/>
  <c r="CG18" i="178"/>
  <c r="AZ19" i="178"/>
  <c r="S25" i="174"/>
  <c r="X25" i="174" s="1"/>
  <c r="DC19" i="178"/>
  <c r="X26" i="174"/>
  <c r="BK19" i="178"/>
  <c r="DN18" i="178"/>
  <c r="BK18" i="178"/>
  <c r="BV19" i="178"/>
  <c r="CG19" i="178"/>
  <c r="AO18" i="178"/>
  <c r="Y25" i="174" l="1"/>
  <c r="Z25" i="174"/>
  <c r="Z26" i="174"/>
  <c r="Y26" i="174"/>
  <c r="S23" i="159" l="1"/>
  <c r="F35" i="171"/>
  <c r="S24" i="159"/>
  <c r="O23" i="159" l="1"/>
  <c r="O24" i="159"/>
  <c r="F31" i="171"/>
  <c r="F38" i="171"/>
  <c r="L68" i="138"/>
  <c r="S46" i="159"/>
  <c r="AR17" i="178"/>
  <c r="BN17" i="178"/>
  <c r="K17" i="178"/>
  <c r="DF17" i="178"/>
  <c r="AG17" i="178"/>
  <c r="EB17" i="178"/>
  <c r="BC17" i="178"/>
  <c r="CU17" i="178"/>
  <c r="CJ17" i="178"/>
  <c r="V17" i="178"/>
  <c r="BY17" i="178"/>
  <c r="DQ17" i="178"/>
  <c r="S23" i="162"/>
  <c r="F34" i="171"/>
  <c r="S18" i="162"/>
  <c r="S33" i="162"/>
  <c r="U24" i="174"/>
  <c r="N33" i="128"/>
  <c r="N16" i="128"/>
  <c r="N18" i="128"/>
  <c r="F30" i="171"/>
  <c r="F32" i="171"/>
  <c r="F37" i="171"/>
  <c r="L69" i="138"/>
  <c r="S47" i="159"/>
  <c r="F36" i="171"/>
  <c r="P23" i="162" l="1"/>
  <c r="V23" i="162" s="1"/>
  <c r="AZ17" i="178"/>
  <c r="P33" i="162"/>
  <c r="S17" i="178"/>
  <c r="BV17" i="178"/>
  <c r="K70" i="128"/>
  <c r="M70" i="128" s="1"/>
  <c r="N70" i="128" s="1"/>
  <c r="DY17" i="178"/>
  <c r="EF17" i="178" s="1"/>
  <c r="DC17" i="178"/>
  <c r="BK17" i="178"/>
  <c r="H17" i="178"/>
  <c r="X24" i="174"/>
  <c r="AO17" i="178"/>
  <c r="AD17" i="178"/>
  <c r="DN17" i="178"/>
  <c r="K33" i="128"/>
  <c r="Q33" i="128"/>
  <c r="K18" i="128"/>
  <c r="Q18" i="128" s="1"/>
  <c r="K16" i="128"/>
  <c r="Q16" i="128" s="1"/>
  <c r="CR17" i="178"/>
  <c r="CG17" i="178"/>
  <c r="P18" i="162"/>
  <c r="V18" i="162" s="1"/>
  <c r="O46" i="159"/>
  <c r="H68" i="138"/>
  <c r="V33" i="162"/>
  <c r="H69" i="138"/>
  <c r="O47" i="159"/>
  <c r="X23" i="162" l="1"/>
  <c r="Y23" i="162"/>
  <c r="Q70" i="128"/>
  <c r="S70" i="128" s="1"/>
  <c r="D39" i="171"/>
  <c r="F33" i="171"/>
  <c r="Y33" i="162"/>
  <c r="X33" i="162"/>
  <c r="Y24" i="174"/>
  <c r="Z24" i="174"/>
  <c r="S16" i="128"/>
  <c r="R16" i="128"/>
  <c r="Y18" i="162"/>
  <c r="X18" i="162"/>
  <c r="R18" i="128"/>
  <c r="S18" i="128"/>
  <c r="R70" i="128"/>
  <c r="R33" i="128"/>
  <c r="S33" i="128"/>
  <c r="Q13" i="107" l="1"/>
  <c r="Q15" i="107"/>
  <c r="E30" i="171"/>
  <c r="G30" i="171" s="1"/>
  <c r="Q17" i="107" l="1"/>
  <c r="Q19" i="107"/>
  <c r="R24" i="162"/>
  <c r="M71" i="128"/>
  <c r="R19" i="162"/>
  <c r="S22" i="159" s="1"/>
  <c r="M36" i="128"/>
  <c r="R34" i="162"/>
  <c r="E35" i="171"/>
  <c r="G35" i="171" s="1"/>
  <c r="BY75" i="178"/>
  <c r="BY51" i="178"/>
  <c r="K29" i="178"/>
  <c r="CU27" i="178"/>
  <c r="V27" i="178"/>
  <c r="BC26" i="178"/>
  <c r="CJ25" i="178"/>
  <c r="AR24" i="178"/>
  <c r="BY23" i="178"/>
  <c r="DF22" i="178"/>
  <c r="DF76" i="178"/>
  <c r="BN75" i="178"/>
  <c r="CU29" i="178"/>
  <c r="EB28" i="178"/>
  <c r="V26" i="178"/>
  <c r="BC25" i="178"/>
  <c r="CJ24" i="178"/>
  <c r="BC28" i="178"/>
  <c r="CJ27" i="178"/>
  <c r="DQ26" i="178"/>
  <c r="K24" i="178"/>
  <c r="DF51" i="178"/>
  <c r="AG24" i="178"/>
  <c r="BN23" i="178"/>
  <c r="BC27" i="178"/>
  <c r="CJ26" i="178"/>
  <c r="CJ20" i="178"/>
  <c r="EB27" i="178"/>
  <c r="DQ22" i="178"/>
  <c r="AR22" i="178"/>
  <c r="K20" i="178"/>
  <c r="V15" i="178"/>
  <c r="K27" i="178"/>
  <c r="V22" i="178"/>
  <c r="BN15" i="178"/>
  <c r="BY21" i="178"/>
  <c r="AG21" i="178"/>
  <c r="BC75" i="178"/>
  <c r="EB75" i="178"/>
  <c r="E34" i="171"/>
  <c r="G34" i="171" s="1"/>
  <c r="U93" i="174"/>
  <c r="H71" i="128"/>
  <c r="DK30" i="178"/>
  <c r="N15" i="107"/>
  <c r="S15" i="107" s="1"/>
  <c r="T15" i="107" s="1"/>
  <c r="M24" i="162"/>
  <c r="N23" i="159"/>
  <c r="N24" i="162"/>
  <c r="I71" i="128"/>
  <c r="I36" i="128"/>
  <c r="E31" i="171"/>
  <c r="G31" i="171" s="1"/>
  <c r="N34" i="162"/>
  <c r="N19" i="162"/>
  <c r="O22" i="159" s="1"/>
  <c r="O71" i="128"/>
  <c r="T19" i="162"/>
  <c r="U22" i="159" s="1"/>
  <c r="E37" i="171"/>
  <c r="G37" i="171" s="1"/>
  <c r="O36" i="128"/>
  <c r="N17" i="107"/>
  <c r="S17" i="107" s="1"/>
  <c r="T17" i="107" s="1"/>
  <c r="CO30" i="178"/>
  <c r="AW30" i="178"/>
  <c r="AA30" i="178"/>
  <c r="M19" i="162"/>
  <c r="N22" i="159" s="1"/>
  <c r="N13" i="107"/>
  <c r="S13" i="107" s="1"/>
  <c r="T13" i="107" s="1"/>
  <c r="CD30" i="178"/>
  <c r="O96" i="174"/>
  <c r="P30" i="178"/>
  <c r="N19" i="107"/>
  <c r="T19" i="107" s="1"/>
  <c r="CZ30" i="178"/>
  <c r="AL30" i="178"/>
  <c r="DV30" i="178"/>
  <c r="P71" i="128"/>
  <c r="E38" i="171"/>
  <c r="G38" i="171" s="1"/>
  <c r="P36" i="128"/>
  <c r="E30" i="178"/>
  <c r="G75" i="138"/>
  <c r="N51" i="159"/>
  <c r="H19" i="128"/>
  <c r="H36" i="128"/>
  <c r="N48" i="159"/>
  <c r="G70" i="138"/>
  <c r="N24" i="159"/>
  <c r="M34" i="162"/>
  <c r="BH30" i="178"/>
  <c r="BS30" i="178"/>
  <c r="CR76" i="178"/>
  <c r="CG29" i="178"/>
  <c r="DN76" i="178"/>
  <c r="DC29" i="178"/>
  <c r="BK25" i="178"/>
  <c r="CR24" i="178"/>
  <c r="DY23" i="178"/>
  <c r="S24" i="178"/>
  <c r="AZ23" i="178"/>
  <c r="CG22" i="178"/>
  <c r="DN21" i="178"/>
  <c r="DN16" i="178"/>
  <c r="DC22" i="178"/>
  <c r="CR20" i="178"/>
  <c r="BV29" i="178"/>
  <c r="DC28" i="178"/>
  <c r="AD25" i="178"/>
  <c r="BK51" i="178"/>
  <c r="AD28" i="178"/>
  <c r="BK27" i="178"/>
  <c r="CR26" i="178"/>
  <c r="DY25" i="178"/>
  <c r="S26" i="178"/>
  <c r="BV25" i="178"/>
  <c r="DC16" i="178"/>
  <c r="DC21" i="178"/>
  <c r="CG20" i="178"/>
  <c r="CG23" i="178"/>
  <c r="AZ16" i="178"/>
  <c r="AO14" i="178"/>
  <c r="DC51" i="178"/>
  <c r="AD27" i="178"/>
  <c r="BK26" i="178"/>
  <c r="AZ14" i="178"/>
  <c r="BK23" i="178"/>
  <c r="DN22" i="178"/>
  <c r="H20" i="178"/>
  <c r="S16" i="178"/>
  <c r="CR15" i="178"/>
  <c r="S15" i="178"/>
  <c r="AO20" i="178"/>
  <c r="AZ21" i="178"/>
  <c r="AD75" i="178"/>
  <c r="DY75" i="178"/>
  <c r="J71" i="128"/>
  <c r="J36" i="128"/>
  <c r="O19" i="162"/>
  <c r="P22" i="159" s="1"/>
  <c r="E32" i="171"/>
  <c r="G32" i="171" s="1"/>
  <c r="DN14" i="178" l="1"/>
  <c r="S21" i="178"/>
  <c r="DN28" i="178"/>
  <c r="AG15" i="178"/>
  <c r="AG27" i="178"/>
  <c r="BY22" i="178"/>
  <c r="BC20" i="178"/>
  <c r="AG25" i="178"/>
  <c r="AR75" i="178"/>
  <c r="AR21" i="178"/>
  <c r="EB23" i="178"/>
  <c r="EF23" i="178" s="1"/>
  <c r="AR28" i="178"/>
  <c r="CG75" i="178"/>
  <c r="AR51" i="178"/>
  <c r="BY27" i="178"/>
  <c r="DY21" i="178"/>
  <c r="DY15" i="178"/>
  <c r="AR15" i="178"/>
  <c r="AR23" i="178"/>
  <c r="DQ23" i="178"/>
  <c r="CJ76" i="178"/>
  <c r="AO15" i="178"/>
  <c r="AG75" i="178"/>
  <c r="BN24" i="178"/>
  <c r="V21" i="178"/>
  <c r="DY76" i="178"/>
  <c r="CG21" i="178"/>
  <c r="AZ29" i="178"/>
  <c r="S51" i="178"/>
  <c r="DF16" i="178"/>
  <c r="DN51" i="178"/>
  <c r="S75" i="178"/>
  <c r="AO25" i="178"/>
  <c r="S28" i="178"/>
  <c r="AG51" i="178"/>
  <c r="K16" i="178"/>
  <c r="S31" i="174"/>
  <c r="DN15" i="178"/>
  <c r="H75" i="178"/>
  <c r="DN75" i="178"/>
  <c r="H26" i="178"/>
  <c r="AZ51" i="178"/>
  <c r="EB24" i="178"/>
  <c r="CU22" i="178"/>
  <c r="CG51" i="178"/>
  <c r="BV28" i="178"/>
  <c r="BV26" i="178"/>
  <c r="CG28" i="178"/>
  <c r="BK22" i="178"/>
  <c r="BV24" i="178"/>
  <c r="AZ27" i="178"/>
  <c r="DY16" i="178"/>
  <c r="BV15" i="178"/>
  <c r="BN26" i="178"/>
  <c r="BY16" i="178"/>
  <c r="CU16" i="178"/>
  <c r="CU23" i="178"/>
  <c r="K28" i="178"/>
  <c r="BC76" i="178"/>
  <c r="DQ24" i="178"/>
  <c r="DF26" i="178"/>
  <c r="DF75" i="178"/>
  <c r="V25" i="178"/>
  <c r="BC51" i="178"/>
  <c r="DQ76" i="178"/>
  <c r="DF21" i="178"/>
  <c r="DF28" i="178"/>
  <c r="K25" i="178"/>
  <c r="M73" i="128"/>
  <c r="M19" i="128"/>
  <c r="CU28" i="178"/>
  <c r="V51" i="178"/>
  <c r="CU51" i="178"/>
  <c r="AG76" i="178"/>
  <c r="DQ20" i="178"/>
  <c r="V20" i="178"/>
  <c r="V75" i="178"/>
  <c r="CU75" i="178"/>
  <c r="BN22" i="178"/>
  <c r="AG29" i="178"/>
  <c r="DC75" i="178"/>
  <c r="BN20" i="178"/>
  <c r="CJ21" i="178"/>
  <c r="EB22" i="178"/>
  <c r="AR27" i="178"/>
  <c r="EB29" i="178"/>
  <c r="BN16" i="178"/>
  <c r="EF75" i="178"/>
  <c r="H15" i="178"/>
  <c r="AO24" i="178"/>
  <c r="AD22" i="178"/>
  <c r="H25" i="178"/>
  <c r="AO76" i="178"/>
  <c r="BV16" i="178"/>
  <c r="DC25" i="178"/>
  <c r="S27" i="178"/>
  <c r="DY20" i="178"/>
  <c r="AD20" i="178"/>
  <c r="DF20" i="178"/>
  <c r="CU25" i="178"/>
  <c r="V76" i="178"/>
  <c r="AD51" i="178"/>
  <c r="H27" i="178"/>
  <c r="CR21" i="178"/>
  <c r="CG26" i="178"/>
  <c r="K15" i="178"/>
  <c r="K75" i="178"/>
  <c r="DN20" i="178"/>
  <c r="S22" i="178"/>
  <c r="EB15" i="178"/>
  <c r="S29" i="178"/>
  <c r="AD14" i="178"/>
  <c r="CR27" i="178"/>
  <c r="BY28" i="178"/>
  <c r="K22" i="178"/>
  <c r="BN28" i="178"/>
  <c r="AG23" i="178"/>
  <c r="M75" i="128"/>
  <c r="AR16" i="178"/>
  <c r="V96" i="174"/>
  <c r="BC21" i="178"/>
  <c r="AO23" i="178"/>
  <c r="DY26" i="178"/>
  <c r="DC76" i="178"/>
  <c r="H28" i="178"/>
  <c r="AO21" i="178"/>
  <c r="AD76" i="178"/>
  <c r="CR25" i="178"/>
  <c r="BK15" i="178"/>
  <c r="AZ22" i="178"/>
  <c r="BK75" i="178"/>
  <c r="H24" i="178"/>
  <c r="K17" i="128"/>
  <c r="L17" i="128" s="1"/>
  <c r="N17" i="128" s="1"/>
  <c r="Q17" i="128" s="1"/>
  <c r="CR29" i="178"/>
  <c r="AD16" i="178"/>
  <c r="CR51" i="178"/>
  <c r="BK29" i="178"/>
  <c r="DN23" i="178"/>
  <c r="X92" i="174"/>
  <c r="Y92" i="174" s="1"/>
  <c r="AZ20" i="178"/>
  <c r="CR23" i="178"/>
  <c r="AO16" i="178"/>
  <c r="CR75" i="178"/>
  <c r="AD15" i="178"/>
  <c r="AZ25" i="178"/>
  <c r="BK16" i="178"/>
  <c r="AO51" i="178"/>
  <c r="H22" i="178"/>
  <c r="BV27" i="178"/>
  <c r="S27" i="174"/>
  <c r="U27" i="174" s="1"/>
  <c r="DC20" i="178"/>
  <c r="BY20" i="178"/>
  <c r="AO27" i="178"/>
  <c r="BV20" i="178"/>
  <c r="BC15" i="178"/>
  <c r="T96" i="174"/>
  <c r="CG24" i="178"/>
  <c r="S76" i="178"/>
  <c r="CG14" i="178"/>
  <c r="AO75" i="178"/>
  <c r="DN24" i="178"/>
  <c r="AD29" i="178"/>
  <c r="AO28" i="178"/>
  <c r="AO22" i="178"/>
  <c r="CR28" i="178"/>
  <c r="DQ15" i="178"/>
  <c r="K21" i="178"/>
  <c r="BN51" i="178"/>
  <c r="BY26" i="178"/>
  <c r="BN29" i="178"/>
  <c r="BV22" i="178"/>
  <c r="CU76" i="178"/>
  <c r="EB16" i="178"/>
  <c r="EF16" i="178" s="1"/>
  <c r="W93" i="174"/>
  <c r="W96" i="174" s="1"/>
  <c r="K51" i="178"/>
  <c r="DQ29" i="178"/>
  <c r="S21" i="174"/>
  <c r="U21" i="174" s="1"/>
  <c r="H21" i="178"/>
  <c r="DC27" i="178"/>
  <c r="AZ28" i="178"/>
  <c r="U22" i="162"/>
  <c r="U24" i="162" s="1"/>
  <c r="DY51" i="178"/>
  <c r="U92" i="174"/>
  <c r="DQ16" i="178"/>
  <c r="CU15" i="178"/>
  <c r="S35" i="174"/>
  <c r="U35" i="174" s="1"/>
  <c r="AT30" i="178"/>
  <c r="BK24" i="178"/>
  <c r="BV75" i="178"/>
  <c r="CJ29" i="178"/>
  <c r="BV76" i="178"/>
  <c r="BV23" i="178"/>
  <c r="DY29" i="178"/>
  <c r="V28" i="178"/>
  <c r="CJ15" i="178"/>
  <c r="AR26" i="178"/>
  <c r="BC24" i="178"/>
  <c r="P73" i="128"/>
  <c r="BJ30" i="178"/>
  <c r="P22" i="162"/>
  <c r="K23" i="178"/>
  <c r="P96" i="174"/>
  <c r="Q30" i="178"/>
  <c r="CR22" i="178"/>
  <c r="H16" i="178"/>
  <c r="AZ76" i="178"/>
  <c r="AZ15" i="178"/>
  <c r="S23" i="178"/>
  <c r="H76" i="178"/>
  <c r="DN27" i="178"/>
  <c r="BK76" i="178"/>
  <c r="AD26" i="178"/>
  <c r="DC23" i="178"/>
  <c r="AZ75" i="178"/>
  <c r="CG15" i="178"/>
  <c r="DC24" i="178"/>
  <c r="S20" i="178"/>
  <c r="S34" i="174"/>
  <c r="U34" i="174" s="1"/>
  <c r="DY22" i="178"/>
  <c r="CG76" i="178"/>
  <c r="CG25" i="178"/>
  <c r="S33" i="174"/>
  <c r="U33" i="174" s="1"/>
  <c r="DY28" i="178"/>
  <c r="EF28" i="178" s="1"/>
  <c r="DN29" i="178"/>
  <c r="BK21" i="178"/>
  <c r="CQ30" i="178"/>
  <c r="AZ26" i="178"/>
  <c r="CR16" i="178"/>
  <c r="H29" i="178"/>
  <c r="H23" i="178"/>
  <c r="P32" i="162"/>
  <c r="Q32" i="162" s="1"/>
  <c r="S30" i="174"/>
  <c r="U30" i="174" s="1"/>
  <c r="AD21" i="178"/>
  <c r="DF24" i="178"/>
  <c r="S32" i="174"/>
  <c r="U32" i="174" s="1"/>
  <c r="DC15" i="178"/>
  <c r="BK20" i="178"/>
  <c r="BV51" i="178"/>
  <c r="DN25" i="178"/>
  <c r="I19" i="128"/>
  <c r="S29" i="174"/>
  <c r="U29" i="174" s="1"/>
  <c r="CL30" i="178"/>
  <c r="S23" i="174"/>
  <c r="U23" i="174" s="1"/>
  <c r="DN26" i="178"/>
  <c r="DX30" i="178"/>
  <c r="I73" i="128"/>
  <c r="AD24" i="178"/>
  <c r="H51" i="178"/>
  <c r="AD23" i="178"/>
  <c r="AZ24" i="178"/>
  <c r="J73" i="128"/>
  <c r="CG27" i="178"/>
  <c r="DC14" i="178"/>
  <c r="DC26" i="178"/>
  <c r="S25" i="178"/>
  <c r="CJ28" i="178"/>
  <c r="CJ22" i="178"/>
  <c r="S22" i="174"/>
  <c r="U22" i="174" s="1"/>
  <c r="DY24" i="178"/>
  <c r="CG16" i="178"/>
  <c r="AO26" i="178"/>
  <c r="AO29" i="178"/>
  <c r="BK28" i="178"/>
  <c r="BV21" i="178"/>
  <c r="DY27" i="178"/>
  <c r="EF27" i="178" s="1"/>
  <c r="S36" i="174"/>
  <c r="U36" i="174" s="1"/>
  <c r="V25" i="159"/>
  <c r="O34" i="162"/>
  <c r="P24" i="159"/>
  <c r="S14" i="178"/>
  <c r="U24" i="159"/>
  <c r="T34" i="162"/>
  <c r="L30" i="178"/>
  <c r="DR30" i="178"/>
  <c r="AX30" i="178"/>
  <c r="AM30" i="178"/>
  <c r="BI30" i="178"/>
  <c r="S22" i="162"/>
  <c r="S24" i="162" s="1"/>
  <c r="Q24" i="162"/>
  <c r="R23" i="159"/>
  <c r="T30" i="178"/>
  <c r="V14" i="178"/>
  <c r="K14" i="178"/>
  <c r="I30" i="178"/>
  <c r="AQ30" i="178"/>
  <c r="X30" i="178"/>
  <c r="V13" i="107"/>
  <c r="U13" i="107"/>
  <c r="U51" i="159"/>
  <c r="N75" i="138"/>
  <c r="T24" i="162"/>
  <c r="U23" i="159"/>
  <c r="CK30" i="178"/>
  <c r="DW30" i="178"/>
  <c r="BT30" i="178"/>
  <c r="L69" i="128"/>
  <c r="AR29" i="178"/>
  <c r="DQ14" i="178"/>
  <c r="DO30" i="178"/>
  <c r="P45" i="159"/>
  <c r="I67" i="138"/>
  <c r="CW30" i="178"/>
  <c r="AB30" i="178"/>
  <c r="U15" i="107"/>
  <c r="V15" i="107"/>
  <c r="K69" i="128"/>
  <c r="K71" i="128" s="1"/>
  <c r="CT30" i="178"/>
  <c r="U30" i="178"/>
  <c r="I75" i="138"/>
  <c r="P51" i="159"/>
  <c r="N47" i="159"/>
  <c r="G69" i="138"/>
  <c r="CA30" i="178"/>
  <c r="V19" i="107"/>
  <c r="U19" i="107"/>
  <c r="AS30" i="178"/>
  <c r="CV30" i="178"/>
  <c r="BD30" i="178"/>
  <c r="CP30" i="178"/>
  <c r="F30" i="178"/>
  <c r="BN14" i="178"/>
  <c r="BL30" i="178"/>
  <c r="DD30" i="178"/>
  <c r="DF14" i="178"/>
  <c r="CH30" i="178"/>
  <c r="CJ14" i="178"/>
  <c r="AF30" i="178"/>
  <c r="DF27" i="178"/>
  <c r="AN30" i="178"/>
  <c r="G30" i="178"/>
  <c r="S66" i="174"/>
  <c r="X66" i="174" s="1"/>
  <c r="AH30" i="178"/>
  <c r="O48" i="159"/>
  <c r="H70" i="138"/>
  <c r="BM30" i="178"/>
  <c r="BB30" i="178"/>
  <c r="J19" i="128"/>
  <c r="P48" i="159"/>
  <c r="I70" i="138"/>
  <c r="Q25" i="159"/>
  <c r="H14" i="178"/>
  <c r="V51" i="159"/>
  <c r="O75" i="138"/>
  <c r="M30" i="178"/>
  <c r="H67" i="138"/>
  <c r="N43" i="162"/>
  <c r="O45" i="159"/>
  <c r="BA30" i="178"/>
  <c r="BC14" i="178"/>
  <c r="W30" i="178"/>
  <c r="EB14" i="178"/>
  <c r="DZ30" i="178"/>
  <c r="DG30" i="178"/>
  <c r="L75" i="138"/>
  <c r="S51" i="159"/>
  <c r="DY14" i="178"/>
  <c r="U48" i="159"/>
  <c r="N70" i="138"/>
  <c r="H75" i="138"/>
  <c r="O51" i="159"/>
  <c r="DA30" i="178"/>
  <c r="CE30" i="178"/>
  <c r="N15" i="128"/>
  <c r="AP30" i="178"/>
  <c r="AR14" i="178"/>
  <c r="EB51" i="178"/>
  <c r="BN76" i="178"/>
  <c r="CU24" i="178"/>
  <c r="K75" i="138"/>
  <c r="R51" i="159"/>
  <c r="AY30" i="178"/>
  <c r="R30" i="178"/>
  <c r="K23" i="128"/>
  <c r="K36" i="128" s="1"/>
  <c r="P19" i="128"/>
  <c r="AI30" i="178"/>
  <c r="CR14" i="178"/>
  <c r="BO30" i="178"/>
  <c r="EC30" i="178"/>
  <c r="Q19" i="162"/>
  <c r="R22" i="159" s="1"/>
  <c r="S17" i="162"/>
  <c r="S19" i="162" s="1"/>
  <c r="DF15" i="178"/>
  <c r="BW30" i="178"/>
  <c r="BY14" i="178"/>
  <c r="BY76" i="178"/>
  <c r="V29" i="178"/>
  <c r="BC22" i="178"/>
  <c r="BY29" i="178"/>
  <c r="V16" i="178"/>
  <c r="BN25" i="178"/>
  <c r="AG20" i="178"/>
  <c r="L67" i="138"/>
  <c r="R43" i="162"/>
  <c r="S45" i="159"/>
  <c r="BX30" i="178"/>
  <c r="X31" i="174"/>
  <c r="U31" i="174"/>
  <c r="ED30" i="178"/>
  <c r="M70" i="138"/>
  <c r="E36" i="171"/>
  <c r="G36" i="171" s="1"/>
  <c r="O24" i="162"/>
  <c r="P23" i="159"/>
  <c r="Q23" i="159" s="1"/>
  <c r="L23" i="128"/>
  <c r="BP30" i="178"/>
  <c r="O19" i="128"/>
  <c r="R48" i="159"/>
  <c r="K70" i="138"/>
  <c r="BC16" i="178"/>
  <c r="AE30" i="178"/>
  <c r="AG14" i="178"/>
  <c r="BY15" i="178"/>
  <c r="AG16" i="178"/>
  <c r="CJ51" i="178"/>
  <c r="V23" i="178"/>
  <c r="K76" i="178"/>
  <c r="DQ27" i="178"/>
  <c r="DQ21" i="178"/>
  <c r="AG26" i="178"/>
  <c r="DF23" i="178"/>
  <c r="H73" i="128"/>
  <c r="H75" i="128" s="1"/>
  <c r="U34" i="162"/>
  <c r="V24" i="159"/>
  <c r="BE30" i="178"/>
  <c r="N67" i="138"/>
  <c r="U45" i="159"/>
  <c r="N36" i="162"/>
  <c r="N39" i="162" s="1"/>
  <c r="CJ23" i="178"/>
  <c r="EB21" i="178"/>
  <c r="CJ75" i="178"/>
  <c r="EB25" i="178"/>
  <c r="EF25" i="178" s="1"/>
  <c r="CU20" i="178"/>
  <c r="DF29" i="178"/>
  <c r="BY24" i="178"/>
  <c r="S48" i="159"/>
  <c r="L70" i="138"/>
  <c r="CI30" i="178"/>
  <c r="EA30" i="178"/>
  <c r="DE30" i="178"/>
  <c r="DB30" i="178"/>
  <c r="DS30" i="178"/>
  <c r="BU30" i="178"/>
  <c r="S28" i="174"/>
  <c r="U28" i="174" s="1"/>
  <c r="CF30" i="178"/>
  <c r="K15" i="128"/>
  <c r="DH30" i="178"/>
  <c r="U17" i="162"/>
  <c r="U19" i="162" s="1"/>
  <c r="V22" i="159" s="1"/>
  <c r="V17" i="107"/>
  <c r="U17" i="107"/>
  <c r="BZ30" i="178"/>
  <c r="DQ25" i="178"/>
  <c r="EB76" i="178"/>
  <c r="EF76" i="178" s="1"/>
  <c r="CU26" i="178"/>
  <c r="BN21" i="178"/>
  <c r="BC29" i="178"/>
  <c r="BC23" i="178"/>
  <c r="AR76" i="178"/>
  <c r="AR25" i="178"/>
  <c r="DP30" i="178"/>
  <c r="AC30" i="178"/>
  <c r="Q96" i="174"/>
  <c r="DM30" i="178"/>
  <c r="BV14" i="178"/>
  <c r="BK14" i="178"/>
  <c r="P17" i="162"/>
  <c r="O73" i="128"/>
  <c r="DL30" i="178"/>
  <c r="N46" i="159"/>
  <c r="G68" i="138"/>
  <c r="BY25" i="178"/>
  <c r="CJ16" i="178"/>
  <c r="BN27" i="178"/>
  <c r="AG22" i="178"/>
  <c r="DQ51" i="178"/>
  <c r="V24" i="178"/>
  <c r="EB20" i="178"/>
  <c r="EF20" i="178" s="1"/>
  <c r="K26" i="178"/>
  <c r="G67" i="138"/>
  <c r="N45" i="159"/>
  <c r="Q22" i="159"/>
  <c r="M43" i="162"/>
  <c r="M36" i="162"/>
  <c r="M39" i="162" s="1"/>
  <c r="CS30" i="178"/>
  <c r="CU14" i="178"/>
  <c r="AR20" i="178"/>
  <c r="AG28" i="178"/>
  <c r="DF25" i="178"/>
  <c r="DQ75" i="178"/>
  <c r="EB26" i="178"/>
  <c r="CU21" i="178"/>
  <c r="DQ28" i="178"/>
  <c r="R36" i="162"/>
  <c r="R39" i="162" s="1"/>
  <c r="J30" i="178"/>
  <c r="EF15" i="178" l="1"/>
  <c r="EF21" i="178"/>
  <c r="EF24" i="178"/>
  <c r="EF26" i="178"/>
  <c r="X35" i="174"/>
  <c r="Y35" i="174" s="1"/>
  <c r="J68" i="138"/>
  <c r="EF29" i="178"/>
  <c r="EF22" i="178"/>
  <c r="X93" i="174"/>
  <c r="Z93" i="174" s="1"/>
  <c r="V48" i="159"/>
  <c r="EF51" i="178"/>
  <c r="X32" i="174"/>
  <c r="Y32" i="174" s="1"/>
  <c r="X34" i="174"/>
  <c r="Z34" i="174" s="1"/>
  <c r="T43" i="162"/>
  <c r="O70" i="138"/>
  <c r="P34" i="162"/>
  <c r="AZ30" i="178"/>
  <c r="X27" i="174"/>
  <c r="Z27" i="174" s="1"/>
  <c r="X30" i="174"/>
  <c r="S30" i="178"/>
  <c r="K73" i="128"/>
  <c r="Z92" i="174"/>
  <c r="X33" i="174"/>
  <c r="Z33" i="174" s="1"/>
  <c r="AD30" i="178"/>
  <c r="BK30" i="178"/>
  <c r="BV30" i="178"/>
  <c r="O36" i="162"/>
  <c r="O39" i="162" s="1"/>
  <c r="I75" i="128"/>
  <c r="X21" i="174"/>
  <c r="Y21" i="174" s="1"/>
  <c r="DN30" i="178"/>
  <c r="X22" i="174"/>
  <c r="Z22" i="174" s="1"/>
  <c r="X36" i="174"/>
  <c r="Z36" i="174" s="1"/>
  <c r="V22" i="162"/>
  <c r="V24" i="162" s="1"/>
  <c r="R44" i="162"/>
  <c r="J75" i="128"/>
  <c r="V23" i="159"/>
  <c r="AO30" i="178"/>
  <c r="CG30" i="178"/>
  <c r="DC30" i="178"/>
  <c r="DQ30" i="178"/>
  <c r="P24" i="162"/>
  <c r="H30" i="178"/>
  <c r="X29" i="174"/>
  <c r="Y29" i="174" s="1"/>
  <c r="N19" i="128"/>
  <c r="Q45" i="159"/>
  <c r="X23" i="174"/>
  <c r="Y23" i="174" s="1"/>
  <c r="L19" i="128"/>
  <c r="N44" i="162"/>
  <c r="BC30" i="178"/>
  <c r="CR30" i="178"/>
  <c r="U36" i="162"/>
  <c r="U39" i="162" s="1"/>
  <c r="P75" i="128"/>
  <c r="Q48" i="159"/>
  <c r="L36" i="128"/>
  <c r="N23" i="128"/>
  <c r="N36" i="128" s="1"/>
  <c r="DF30" i="178"/>
  <c r="S32" i="162"/>
  <c r="Q34" i="162"/>
  <c r="Q36" i="162" s="1"/>
  <c r="Q39" i="162" s="1"/>
  <c r="R24" i="159"/>
  <c r="U47" i="159"/>
  <c r="N69" i="138"/>
  <c r="N69" i="128"/>
  <c r="N71" i="128" s="1"/>
  <c r="L71" i="128"/>
  <c r="EB30" i="178"/>
  <c r="M44" i="162"/>
  <c r="BN30" i="178"/>
  <c r="K30" i="178"/>
  <c r="Q24" i="159"/>
  <c r="I69" i="138"/>
  <c r="P47" i="159"/>
  <c r="Q47" i="159" s="1"/>
  <c r="V30" i="178"/>
  <c r="BY30" i="178"/>
  <c r="N68" i="138"/>
  <c r="U46" i="159"/>
  <c r="J75" i="138"/>
  <c r="Q51" i="159"/>
  <c r="W30" i="159"/>
  <c r="T36" i="162"/>
  <c r="T39" i="162" s="1"/>
  <c r="R46" i="159"/>
  <c r="K68" i="138"/>
  <c r="T23" i="159"/>
  <c r="R96" i="174"/>
  <c r="Q23" i="128"/>
  <c r="S17" i="128"/>
  <c r="R17" i="128"/>
  <c r="CU30" i="178"/>
  <c r="Z31" i="174"/>
  <c r="Y31" i="174"/>
  <c r="K19" i="128"/>
  <c r="Q15" i="128"/>
  <c r="P46" i="159"/>
  <c r="Q46" i="159" s="1"/>
  <c r="I68" i="138"/>
  <c r="O75" i="128"/>
  <c r="EF14" i="178"/>
  <c r="DY30" i="178"/>
  <c r="C39" i="171"/>
  <c r="E33" i="171"/>
  <c r="G33" i="171" s="1"/>
  <c r="G39" i="171" s="1"/>
  <c r="AG30" i="178"/>
  <c r="R45" i="159"/>
  <c r="T22" i="159"/>
  <c r="K67" i="138"/>
  <c r="U66" i="174"/>
  <c r="U96" i="174" s="1"/>
  <c r="S96" i="174"/>
  <c r="Q69" i="128"/>
  <c r="AR30" i="178"/>
  <c r="X96" i="174"/>
  <c r="Y66" i="174"/>
  <c r="Z66" i="174"/>
  <c r="CJ30" i="178"/>
  <c r="M75" i="138"/>
  <c r="T51" i="159"/>
  <c r="V47" i="159"/>
  <c r="O69" i="138"/>
  <c r="O43" i="162"/>
  <c r="J67" i="138"/>
  <c r="P19" i="162"/>
  <c r="V17" i="162"/>
  <c r="V45" i="159"/>
  <c r="O67" i="138"/>
  <c r="W25" i="159"/>
  <c r="J70" i="138"/>
  <c r="X28" i="174"/>
  <c r="T48" i="159"/>
  <c r="Y93" i="174" l="1"/>
  <c r="Z35" i="174"/>
  <c r="T44" i="162"/>
  <c r="Z32" i="174"/>
  <c r="T45" i="159"/>
  <c r="U43" i="162"/>
  <c r="U44" i="162" s="1"/>
  <c r="P43" i="162"/>
  <c r="T46" i="159"/>
  <c r="Q43" i="162"/>
  <c r="Q44" i="162" s="1"/>
  <c r="O68" i="138"/>
  <c r="V46" i="159"/>
  <c r="P36" i="162"/>
  <c r="P39" i="162" s="1"/>
  <c r="P44" i="162" s="1"/>
  <c r="Y34" i="174"/>
  <c r="O44" i="162"/>
  <c r="P70" i="138"/>
  <c r="Y33" i="174"/>
  <c r="Y27" i="174"/>
  <c r="K75" i="128"/>
  <c r="Y22" i="174"/>
  <c r="Y22" i="162"/>
  <c r="Z23" i="174"/>
  <c r="X22" i="162"/>
  <c r="Z21" i="174"/>
  <c r="Y36" i="174"/>
  <c r="Z30" i="174"/>
  <c r="Y30" i="174"/>
  <c r="Z29" i="174"/>
  <c r="P75" i="138"/>
  <c r="W48" i="159"/>
  <c r="Y48" i="159" s="1"/>
  <c r="W45" i="159"/>
  <c r="Y45" i="159" s="1"/>
  <c r="X48" i="159"/>
  <c r="W23" i="159"/>
  <c r="M68" i="138"/>
  <c r="T24" i="159"/>
  <c r="M69" i="138" s="1"/>
  <c r="R47" i="159"/>
  <c r="K69" i="138"/>
  <c r="Q36" i="128"/>
  <c r="R24" i="128"/>
  <c r="S24" i="128"/>
  <c r="M67" i="138"/>
  <c r="P67" i="138" s="1"/>
  <c r="S34" i="162"/>
  <c r="S36" i="162" s="1"/>
  <c r="S39" i="162" s="1"/>
  <c r="V32" i="162"/>
  <c r="Z96" i="174"/>
  <c r="Y96" i="174"/>
  <c r="W22" i="159"/>
  <c r="J69" i="138"/>
  <c r="Z28" i="174"/>
  <c r="Y28" i="174"/>
  <c r="X25" i="159"/>
  <c r="Y25" i="159"/>
  <c r="N73" i="128"/>
  <c r="N75" i="128" s="1"/>
  <c r="V19" i="162"/>
  <c r="X17" i="162"/>
  <c r="Y17" i="162"/>
  <c r="Y30" i="159"/>
  <c r="X30" i="159"/>
  <c r="L73" i="128"/>
  <c r="L75" i="128" s="1"/>
  <c r="R69" i="128"/>
  <c r="Q71" i="128"/>
  <c r="S69" i="128"/>
  <c r="R15" i="128"/>
  <c r="S15" i="128"/>
  <c r="Q19" i="128"/>
  <c r="W51" i="159"/>
  <c r="P68" i="138" l="1"/>
  <c r="W46" i="159"/>
  <c r="Y46" i="159" s="1"/>
  <c r="T47" i="159"/>
  <c r="W47" i="159" s="1"/>
  <c r="Y47" i="159" s="1"/>
  <c r="X45" i="159"/>
  <c r="P69" i="138"/>
  <c r="S43" i="162"/>
  <c r="S44" i="162" s="1"/>
  <c r="R36" i="128"/>
  <c r="S36" i="128"/>
  <c r="Q73" i="128"/>
  <c r="X22" i="159"/>
  <c r="Y22" i="159"/>
  <c r="X51" i="159"/>
  <c r="Y51" i="159"/>
  <c r="X19" i="162"/>
  <c r="Y19" i="162"/>
  <c r="R19" i="128"/>
  <c r="S19" i="128"/>
  <c r="S71" i="128"/>
  <c r="R71" i="128"/>
  <c r="V34" i="162"/>
  <c r="V36" i="162" s="1"/>
  <c r="Y32" i="162"/>
  <c r="X32" i="162"/>
  <c r="Y23" i="159"/>
  <c r="X23" i="159"/>
  <c r="W24" i="159"/>
  <c r="V43" i="162" s="1"/>
  <c r="X47" i="159" l="1"/>
  <c r="X46" i="159"/>
  <c r="X36" i="162"/>
  <c r="Y36" i="162"/>
  <c r="X24" i="159"/>
  <c r="Y24" i="159"/>
  <c r="R73" i="128"/>
  <c r="S73" i="128"/>
  <c r="Q75" i="128"/>
  <c r="V39" i="162"/>
  <c r="X39" i="162" s="1"/>
  <c r="V44" i="162" l="1"/>
  <c r="S75" i="128"/>
  <c r="R75" i="128"/>
  <c r="S46" i="174" l="1"/>
  <c r="U46" i="174" l="1"/>
  <c r="X46" i="174"/>
  <c r="W18" i="174"/>
  <c r="X18" i="174" l="1"/>
  <c r="Z46" i="174"/>
  <c r="Y46" i="174"/>
  <c r="Y18" i="174" l="1"/>
  <c r="Z18" i="174"/>
  <c r="H31" i="16" l="1"/>
  <c r="E62" i="138" s="1"/>
  <c r="F62" i="138"/>
  <c r="K31" i="16"/>
  <c r="R31" i="16" s="1"/>
  <c r="K62" i="138" l="1"/>
  <c r="T31" i="16"/>
  <c r="W31" i="16" l="1"/>
  <c r="M62" i="138"/>
  <c r="P62" i="138" s="1"/>
  <c r="X31" i="16" l="1"/>
  <c r="Y31" i="16"/>
  <c r="I22" i="16" l="1"/>
  <c r="F56" i="138"/>
  <c r="H18" i="16"/>
  <c r="K18" i="16"/>
  <c r="H19" i="16"/>
  <c r="F57" i="138"/>
  <c r="K19" i="16"/>
  <c r="F58" i="138"/>
  <c r="K20" i="16"/>
  <c r="H20" i="16"/>
  <c r="N20" i="16" l="1"/>
  <c r="U20" i="16"/>
  <c r="S20" i="16"/>
  <c r="R20" i="16"/>
  <c r="P20" i="16"/>
  <c r="O20" i="16"/>
  <c r="U19" i="16"/>
  <c r="S19" i="16"/>
  <c r="R19" i="16"/>
  <c r="P19" i="16"/>
  <c r="O19" i="16"/>
  <c r="N19" i="16"/>
  <c r="N18" i="16"/>
  <c r="U18" i="16"/>
  <c r="S18" i="16"/>
  <c r="R18" i="16"/>
  <c r="P18" i="16"/>
  <c r="O18" i="16"/>
  <c r="E58" i="138"/>
  <c r="E57" i="138"/>
  <c r="H22" i="16"/>
  <c r="E56" i="138"/>
  <c r="K22" i="16"/>
  <c r="H57" i="138" l="1"/>
  <c r="L57" i="138"/>
  <c r="N58" i="138"/>
  <c r="N57" i="138"/>
  <c r="I58" i="138"/>
  <c r="L58" i="138"/>
  <c r="H58" i="138"/>
  <c r="I57" i="138"/>
  <c r="N22" i="16"/>
  <c r="G56" i="138"/>
  <c r="Q18" i="16"/>
  <c r="T18" i="16"/>
  <c r="K56" i="138"/>
  <c r="R22" i="16"/>
  <c r="N56" i="138"/>
  <c r="U22" i="16"/>
  <c r="G58" i="138"/>
  <c r="Q20" i="16"/>
  <c r="Q19" i="16"/>
  <c r="G57" i="138"/>
  <c r="H56" i="138"/>
  <c r="O22" i="16"/>
  <c r="L56" i="138"/>
  <c r="S22" i="16"/>
  <c r="P22" i="16"/>
  <c r="I56" i="138"/>
  <c r="K57" i="138"/>
  <c r="T19" i="16"/>
  <c r="K58" i="138"/>
  <c r="T20" i="16"/>
  <c r="M58" i="138" l="1"/>
  <c r="M57" i="138"/>
  <c r="J57" i="138"/>
  <c r="V19" i="16"/>
  <c r="M56" i="138"/>
  <c r="T22" i="16"/>
  <c r="J58" i="138"/>
  <c r="V20" i="16"/>
  <c r="Q22" i="16"/>
  <c r="J56" i="138"/>
  <c r="V18" i="16"/>
  <c r="O57" i="138" l="1"/>
  <c r="P57" i="138" s="1"/>
  <c r="O58" i="138"/>
  <c r="W20" i="16"/>
  <c r="W19" i="16"/>
  <c r="V22" i="16"/>
  <c r="O56" i="138"/>
  <c r="W18" i="16"/>
  <c r="P56" i="138" l="1"/>
  <c r="P58" i="138"/>
  <c r="W22" i="16"/>
  <c r="X18" i="16"/>
  <c r="Y18" i="16"/>
  <c r="Y19" i="16"/>
  <c r="X19" i="16"/>
  <c r="Y20" i="16"/>
  <c r="X20" i="16"/>
  <c r="X22" i="16" l="1"/>
  <c r="Y22" i="16"/>
  <c r="R45" i="174" l="1"/>
  <c r="R56" i="174" l="1"/>
  <c r="S56" i="174" l="1"/>
  <c r="U56" i="174" l="1"/>
  <c r="X56" i="174"/>
  <c r="Z56" i="174" l="1"/>
  <c r="Y56" i="174"/>
  <c r="AG32" i="178" l="1"/>
  <c r="EB32" i="178"/>
  <c r="BY32" i="178"/>
  <c r="BN32" i="178"/>
  <c r="K32" i="178"/>
  <c r="BC32" i="178"/>
  <c r="CJ32" i="178"/>
  <c r="AD32" i="178"/>
  <c r="AR32" i="178" l="1"/>
  <c r="CG32" i="178"/>
  <c r="CR32" i="178"/>
  <c r="AO32" i="178"/>
  <c r="DC32" i="178"/>
  <c r="S39" i="174"/>
  <c r="U39" i="174" s="1"/>
  <c r="R39" i="174"/>
  <c r="X39" i="174"/>
  <c r="DY32" i="178"/>
  <c r="EF32" i="178"/>
  <c r="DQ32" i="178"/>
  <c r="DF32" i="178"/>
  <c r="BV32" i="178"/>
  <c r="V32" i="178"/>
  <c r="BK32" i="178"/>
  <c r="AZ32" i="178"/>
  <c r="S32" i="178"/>
  <c r="DN32" i="178"/>
  <c r="H32" i="178"/>
  <c r="CU32" i="178"/>
  <c r="Y39" i="174" l="1"/>
  <c r="Z39" i="174"/>
  <c r="S45" i="174" l="1"/>
  <c r="U45" i="174" l="1"/>
  <c r="X45" i="174"/>
  <c r="Y45" i="174" l="1"/>
  <c r="Z45" i="174"/>
  <c r="H79" i="128" l="1"/>
  <c r="I79" i="128" l="1"/>
  <c r="L79" i="128"/>
  <c r="P79" i="128"/>
  <c r="M79" i="128"/>
  <c r="O79" i="128"/>
  <c r="J79" i="128"/>
  <c r="N79" i="128" l="1"/>
  <c r="K79" i="128"/>
  <c r="Q79" i="128"/>
  <c r="P34" i="16" l="1"/>
  <c r="I63" i="138"/>
  <c r="U34" i="16"/>
  <c r="N63" i="138"/>
  <c r="R34" i="16"/>
  <c r="K63" i="138"/>
  <c r="S34" i="16" l="1"/>
  <c r="L63" i="138"/>
  <c r="V34" i="16"/>
  <c r="O63" i="138"/>
  <c r="T34" i="16" l="1"/>
  <c r="M63" i="138"/>
  <c r="O34" i="16"/>
  <c r="H63" i="138"/>
  <c r="N34" i="16" l="1"/>
  <c r="G63" i="138"/>
  <c r="H30" i="16" l="1"/>
  <c r="I34" i="16"/>
  <c r="K30" i="16"/>
  <c r="F63" i="138"/>
  <c r="K34" i="16" l="1"/>
  <c r="H34" i="16"/>
  <c r="E63" i="138"/>
  <c r="Q34" i="16" l="1"/>
  <c r="J63" i="138"/>
  <c r="W30" i="16"/>
  <c r="W34" i="16" l="1"/>
  <c r="Y30" i="16"/>
  <c r="X30" i="16"/>
  <c r="P63" i="138"/>
  <c r="X34" i="16" l="1"/>
  <c r="Y34" i="16"/>
  <c r="N65" i="138" l="1"/>
  <c r="O65" i="138"/>
  <c r="S27" i="159" l="1"/>
  <c r="L65" i="138"/>
  <c r="P27" i="159"/>
  <c r="I65" i="138"/>
  <c r="U27" i="159"/>
  <c r="U38" i="159" s="1"/>
  <c r="V27" i="159"/>
  <c r="S38" i="159"/>
  <c r="W20" i="159" l="1"/>
  <c r="N27" i="159"/>
  <c r="Q20" i="159"/>
  <c r="G65" i="138"/>
  <c r="S41" i="159"/>
  <c r="V38" i="159"/>
  <c r="T20" i="159"/>
  <c r="R27" i="159"/>
  <c r="K65" i="138"/>
  <c r="P38" i="159"/>
  <c r="U41" i="159"/>
  <c r="O27" i="159"/>
  <c r="H65" i="138"/>
  <c r="N38" i="159" l="1"/>
  <c r="R38" i="159"/>
  <c r="Q27" i="159"/>
  <c r="Q38" i="159" s="1"/>
  <c r="J65" i="138"/>
  <c r="O38" i="159"/>
  <c r="H27" i="159"/>
  <c r="H38" i="159" s="1"/>
  <c r="I20" i="159"/>
  <c r="E65" i="138"/>
  <c r="U54" i="159"/>
  <c r="M65" i="138"/>
  <c r="T27" i="159"/>
  <c r="T38" i="159" s="1"/>
  <c r="V41" i="159"/>
  <c r="P41" i="159"/>
  <c r="S54" i="159"/>
  <c r="I17" i="159"/>
  <c r="W17" i="159"/>
  <c r="W27" i="159"/>
  <c r="P65" i="138" l="1"/>
  <c r="L112" i="138"/>
  <c r="W38" i="159"/>
  <c r="O41" i="159"/>
  <c r="P54" i="159"/>
  <c r="R41" i="159"/>
  <c r="I27" i="159"/>
  <c r="D17" i="54"/>
  <c r="D23" i="54" s="1"/>
  <c r="K20" i="159"/>
  <c r="F65" i="138"/>
  <c r="E22" i="166"/>
  <c r="E25" i="166" s="1"/>
  <c r="V54" i="159"/>
  <c r="H41" i="159"/>
  <c r="N112" i="138"/>
  <c r="D14" i="54"/>
  <c r="K17" i="159"/>
  <c r="N41" i="159"/>
  <c r="D35" i="54" l="1"/>
  <c r="D38" i="54" s="1"/>
  <c r="D52" i="54" s="1"/>
  <c r="O112" i="138"/>
  <c r="I38" i="159"/>
  <c r="N54" i="159"/>
  <c r="Q41" i="159"/>
  <c r="H54" i="159"/>
  <c r="O54" i="159"/>
  <c r="X20" i="159"/>
  <c r="Y20" i="159"/>
  <c r="K27" i="159"/>
  <c r="R54" i="159"/>
  <c r="T41" i="159"/>
  <c r="I112" i="138"/>
  <c r="E100" i="166"/>
  <c r="E102" i="166" s="1"/>
  <c r="E105" i="166" s="1"/>
  <c r="E109" i="166" s="1"/>
  <c r="I60" i="159"/>
  <c r="X17" i="159"/>
  <c r="Y17" i="159"/>
  <c r="M77" i="178" l="1"/>
  <c r="M79" i="178" s="1"/>
  <c r="DH77" i="178"/>
  <c r="DH79" i="178" s="1"/>
  <c r="CA77" i="178"/>
  <c r="CA79" i="178" s="1"/>
  <c r="BM77" i="178"/>
  <c r="BM79" i="178" s="1"/>
  <c r="AF77" i="178"/>
  <c r="AF79" i="178" s="1"/>
  <c r="EA77" i="178"/>
  <c r="EA79" i="178" s="1"/>
  <c r="T62" i="174"/>
  <c r="T98" i="174" s="1"/>
  <c r="X27" i="159"/>
  <c r="Y27" i="159"/>
  <c r="E112" i="138"/>
  <c r="I41" i="159"/>
  <c r="DW77" i="178"/>
  <c r="DW79" i="178" s="1"/>
  <c r="BT77" i="178"/>
  <c r="BT79" i="178" s="1"/>
  <c r="P62" i="174"/>
  <c r="P98" i="174" s="1"/>
  <c r="E45" i="144"/>
  <c r="E48" i="144" s="1"/>
  <c r="E125" i="166"/>
  <c r="E131" i="166" s="1"/>
  <c r="E28" i="143"/>
  <c r="E139" i="166"/>
  <c r="DR77" i="178"/>
  <c r="DR79" i="178" s="1"/>
  <c r="CK77" i="178"/>
  <c r="CK79" i="178" s="1"/>
  <c r="EC77" i="178"/>
  <c r="EC79" i="178" s="1"/>
  <c r="CV77" i="178"/>
  <c r="CV79" i="178" s="1"/>
  <c r="V62" i="174"/>
  <c r="V98" i="174" s="1"/>
  <c r="AC77" i="178"/>
  <c r="AC79" i="178" s="1"/>
  <c r="BU77" i="178"/>
  <c r="BU79" i="178" s="1"/>
  <c r="K38" i="159"/>
  <c r="W41" i="159"/>
  <c r="Q54" i="159"/>
  <c r="DY39" i="178"/>
  <c r="BV40" i="178"/>
  <c r="S50" i="178"/>
  <c r="AZ39" i="178"/>
  <c r="BV39" i="178"/>
  <c r="S40" i="178"/>
  <c r="DN40" i="178"/>
  <c r="BK50" i="178"/>
  <c r="CR39" i="178"/>
  <c r="AO40" i="178"/>
  <c r="S39" i="178"/>
  <c r="AO39" i="178"/>
  <c r="DC50" i="178"/>
  <c r="CG40" i="178"/>
  <c r="AD50" i="178"/>
  <c r="BK39" i="178"/>
  <c r="H40" i="178"/>
  <c r="DY50" i="178"/>
  <c r="H39" i="178"/>
  <c r="DY40" i="178"/>
  <c r="BV50" i="178"/>
  <c r="DC39" i="178"/>
  <c r="AZ40" i="178"/>
  <c r="AD39" i="178"/>
  <c r="CR50" i="178"/>
  <c r="T54" i="159"/>
  <c r="H112" i="138"/>
  <c r="G112" i="138"/>
  <c r="J112" i="138" s="1"/>
  <c r="CJ39" i="178"/>
  <c r="AG40" i="178"/>
  <c r="K39" i="178"/>
  <c r="EB40" i="178"/>
  <c r="BY50" i="178"/>
  <c r="BC40" i="178"/>
  <c r="AG39" i="178"/>
  <c r="CU50" i="178"/>
  <c r="EB39" i="178"/>
  <c r="BY40" i="178"/>
  <c r="V50" i="178"/>
  <c r="BC39" i="178"/>
  <c r="AR50" i="178"/>
  <c r="BY39" i="178"/>
  <c r="V40" i="178"/>
  <c r="DQ40" i="178"/>
  <c r="BN50" i="178"/>
  <c r="CU39" i="178"/>
  <c r="AR40" i="178"/>
  <c r="V39" i="178"/>
  <c r="K50" i="178"/>
  <c r="AR39" i="178"/>
  <c r="DF50" i="178"/>
  <c r="CJ40" i="178"/>
  <c r="AG50" i="178"/>
  <c r="BN39" i="178"/>
  <c r="K40" i="178"/>
  <c r="EB50" i="178"/>
  <c r="DF40" i="178"/>
  <c r="BC50" i="178"/>
  <c r="K112" i="138"/>
  <c r="M112" i="138" s="1"/>
  <c r="EF50" i="178" l="1"/>
  <c r="EF39" i="178"/>
  <c r="AB77" i="178"/>
  <c r="AB79" i="178" s="1"/>
  <c r="AT77" i="178"/>
  <c r="AT79" i="178" s="1"/>
  <c r="AO35" i="178"/>
  <c r="AL77" i="178"/>
  <c r="AL79" i="178" s="1"/>
  <c r="CG35" i="178"/>
  <c r="CD77" i="178"/>
  <c r="CD79" i="178" s="1"/>
  <c r="DB77" i="178"/>
  <c r="DB79" i="178" s="1"/>
  <c r="AM77" i="178"/>
  <c r="AM79" i="178" s="1"/>
  <c r="BE77" i="178"/>
  <c r="BE79" i="178" s="1"/>
  <c r="L5" i="138"/>
  <c r="L2" i="138"/>
  <c r="EA82" i="178"/>
  <c r="EA83" i="178" s="1"/>
  <c r="DC35" i="178"/>
  <c r="CZ77" i="178"/>
  <c r="CZ79" i="178" s="1"/>
  <c r="AN77" i="178"/>
  <c r="AN79" i="178" s="1"/>
  <c r="AZ35" i="178"/>
  <c r="AW77" i="178"/>
  <c r="AW79" i="178" s="1"/>
  <c r="E31" i="143"/>
  <c r="K59" i="159" s="1"/>
  <c r="E138" i="166"/>
  <c r="E140" i="166" s="1"/>
  <c r="DA77" i="178"/>
  <c r="DA79" i="178" s="1"/>
  <c r="BX77" i="178"/>
  <c r="BX79" i="178" s="1"/>
  <c r="DE77" i="178"/>
  <c r="DE79" i="178" s="1"/>
  <c r="H2" i="138"/>
  <c r="H5" i="138"/>
  <c r="DW82" i="178"/>
  <c r="DW83" i="178" s="1"/>
  <c r="BO77" i="178"/>
  <c r="BO79" i="178" s="1"/>
  <c r="T77" i="178"/>
  <c r="T79" i="178" s="1"/>
  <c r="V35" i="178"/>
  <c r="V77" i="178" s="1"/>
  <c r="V79" i="178" s="1"/>
  <c r="DF39" i="178"/>
  <c r="EB35" i="178"/>
  <c r="EB77" i="178" s="1"/>
  <c r="EB79" i="178" s="1"/>
  <c r="DZ77" i="178"/>
  <c r="DZ79" i="178" s="1"/>
  <c r="CL77" i="178"/>
  <c r="CL79" i="178" s="1"/>
  <c r="DS77" i="178"/>
  <c r="DS79" i="178" s="1"/>
  <c r="BC35" i="178"/>
  <c r="BC77" i="178" s="1"/>
  <c r="BC79" i="178" s="1"/>
  <c r="BA77" i="178"/>
  <c r="BA79" i="178" s="1"/>
  <c r="W77" i="178"/>
  <c r="W79" i="178" s="1"/>
  <c r="CU35" i="178"/>
  <c r="CS77" i="178"/>
  <c r="CS79" i="178" s="1"/>
  <c r="S48" i="174"/>
  <c r="U48" i="174" s="1"/>
  <c r="X48" i="174"/>
  <c r="G77" i="178"/>
  <c r="G79" i="178" s="1"/>
  <c r="BZ77" i="178"/>
  <c r="BZ79" i="178" s="1"/>
  <c r="DG77" i="178"/>
  <c r="DG79" i="178" s="1"/>
  <c r="DL77" i="178"/>
  <c r="DL79" i="178" s="1"/>
  <c r="DP77" i="178"/>
  <c r="DP79" i="178" s="1"/>
  <c r="N5" i="138"/>
  <c r="N2" i="138"/>
  <c r="EC82" i="178"/>
  <c r="EC83" i="178" s="1"/>
  <c r="CJ35" i="178"/>
  <c r="CH77" i="178"/>
  <c r="CH79" i="178" s="1"/>
  <c r="H35" i="178"/>
  <c r="E77" i="178"/>
  <c r="E79" i="178" s="1"/>
  <c r="CU40" i="178"/>
  <c r="EF40" i="178"/>
  <c r="DQ39" i="178"/>
  <c r="BK35" i="178"/>
  <c r="BH77" i="178"/>
  <c r="BH79" i="178" s="1"/>
  <c r="CR35" i="178"/>
  <c r="CR77" i="178" s="1"/>
  <c r="CR79" i="178" s="1"/>
  <c r="CO77" i="178"/>
  <c r="CO79" i="178" s="1"/>
  <c r="X38" i="159"/>
  <c r="Y38" i="159"/>
  <c r="K41" i="159"/>
  <c r="AY77" i="178"/>
  <c r="AY79" i="178" s="1"/>
  <c r="F77" i="178"/>
  <c r="F79" i="178" s="1"/>
  <c r="J77" i="178"/>
  <c r="J79" i="178" s="1"/>
  <c r="AQ77" i="178"/>
  <c r="AQ79" i="178" s="1"/>
  <c r="ED77" i="178"/>
  <c r="ED79" i="178" s="1"/>
  <c r="AH77" i="178"/>
  <c r="AH79" i="178" s="1"/>
  <c r="DM77" i="178"/>
  <c r="DM79" i="178" s="1"/>
  <c r="DF35" i="178"/>
  <c r="DF77" i="178" s="1"/>
  <c r="DF79" i="178" s="1"/>
  <c r="DD77" i="178"/>
  <c r="DD79" i="178" s="1"/>
  <c r="P112" i="138"/>
  <c r="AD40" i="178"/>
  <c r="O62" i="174"/>
  <c r="O98" i="174" s="1"/>
  <c r="S42" i="174"/>
  <c r="X42" i="174" s="1"/>
  <c r="DY35" i="178"/>
  <c r="DV77" i="178"/>
  <c r="DV79" i="178" s="1"/>
  <c r="R77" i="178"/>
  <c r="R79" i="178" s="1"/>
  <c r="AX77" i="178"/>
  <c r="AX79" i="178" s="1"/>
  <c r="BB77" i="178"/>
  <c r="BB79" i="178" s="1"/>
  <c r="X77" i="178"/>
  <c r="X79" i="178" s="1"/>
  <c r="BN40" i="178"/>
  <c r="BN35" i="178"/>
  <c r="BN77" i="178" s="1"/>
  <c r="BN79" i="178" s="1"/>
  <c r="BL77" i="178"/>
  <c r="BL79" i="178" s="1"/>
  <c r="DQ50" i="178"/>
  <c r="W54" i="159"/>
  <c r="BY35" i="178"/>
  <c r="BY77" i="178" s="1"/>
  <c r="BY79" i="178" s="1"/>
  <c r="BW77" i="178"/>
  <c r="BW79" i="178" s="1"/>
  <c r="CG39" i="178"/>
  <c r="H50" i="178"/>
  <c r="AO50" i="178"/>
  <c r="Q77" i="178"/>
  <c r="Q79" i="178" s="1"/>
  <c r="U77" i="178"/>
  <c r="U79" i="178" s="1"/>
  <c r="DQ35" i="178"/>
  <c r="DO77" i="178"/>
  <c r="DO79" i="178" s="1"/>
  <c r="DN35" i="178"/>
  <c r="DK77" i="178"/>
  <c r="DK79" i="178" s="1"/>
  <c r="S35" i="178"/>
  <c r="S77" i="178" s="1"/>
  <c r="S79" i="178" s="1"/>
  <c r="P77" i="178"/>
  <c r="P79" i="178" s="1"/>
  <c r="S61" i="174"/>
  <c r="U61" i="174" s="1"/>
  <c r="X61" i="174"/>
  <c r="BK40" i="178"/>
  <c r="CR40" i="178"/>
  <c r="CF77" i="178"/>
  <c r="CF79" i="178" s="1"/>
  <c r="L77" i="178"/>
  <c r="L79" i="178" s="1"/>
  <c r="AS77" i="178"/>
  <c r="AS79" i="178" s="1"/>
  <c r="AI77" i="178"/>
  <c r="AI79" i="178" s="1"/>
  <c r="BV35" i="178"/>
  <c r="BV77" i="178" s="1"/>
  <c r="BV79" i="178" s="1"/>
  <c r="BS77" i="178"/>
  <c r="BS79" i="178" s="1"/>
  <c r="R62" i="174"/>
  <c r="R98" i="174" s="1"/>
  <c r="CJ50" i="178"/>
  <c r="AR35" i="178"/>
  <c r="AR77" i="178" s="1"/>
  <c r="AR79" i="178" s="1"/>
  <c r="AP77" i="178"/>
  <c r="AP79" i="178" s="1"/>
  <c r="AZ50" i="178"/>
  <c r="DN39" i="178"/>
  <c r="AD35" i="178"/>
  <c r="AD77" i="178" s="1"/>
  <c r="AD79" i="178" s="1"/>
  <c r="AI81" i="178" s="1"/>
  <c r="AA77" i="178"/>
  <c r="AA79" i="178" s="1"/>
  <c r="BJ77" i="178"/>
  <c r="BJ79" i="178" s="1"/>
  <c r="CQ77" i="178"/>
  <c r="CQ79" i="178" s="1"/>
  <c r="BD77" i="178"/>
  <c r="BD79" i="178" s="1"/>
  <c r="CE77" i="178"/>
  <c r="CE79" i="178" s="1"/>
  <c r="CI77" i="178"/>
  <c r="CI79" i="178" s="1"/>
  <c r="BP77" i="178"/>
  <c r="BP79" i="178" s="1"/>
  <c r="CW77" i="178"/>
  <c r="CW79" i="178" s="1"/>
  <c r="S49" i="174"/>
  <c r="U49" i="174" s="1"/>
  <c r="X49" i="174"/>
  <c r="AG35" i="178"/>
  <c r="AG77" i="178" s="1"/>
  <c r="AG79" i="178" s="1"/>
  <c r="AE77" i="178"/>
  <c r="AE79" i="178" s="1"/>
  <c r="K35" i="178"/>
  <c r="K77" i="178" s="1"/>
  <c r="K79" i="178" s="1"/>
  <c r="I77" i="178"/>
  <c r="I79" i="178" s="1"/>
  <c r="DC40" i="178"/>
  <c r="CG50" i="178"/>
  <c r="DN50" i="178"/>
  <c r="Q62" i="174"/>
  <c r="Q98" i="174" s="1"/>
  <c r="DX77" i="178"/>
  <c r="DX79" i="178" s="1"/>
  <c r="BI77" i="178"/>
  <c r="BI79" i="178" s="1"/>
  <c r="CP77" i="178"/>
  <c r="CP79" i="178" s="1"/>
  <c r="I54" i="159"/>
  <c r="CT77" i="178"/>
  <c r="CT79" i="178" s="1"/>
  <c r="W62" i="174"/>
  <c r="W98" i="174" s="1"/>
  <c r="AZ77" i="178" l="1"/>
  <c r="AZ79" i="178" s="1"/>
  <c r="BE81" i="178" s="1"/>
  <c r="H77" i="178"/>
  <c r="H79" i="178" s="1"/>
  <c r="M81" i="178" s="1"/>
  <c r="DC77" i="178"/>
  <c r="DC79" i="178" s="1"/>
  <c r="DH81" i="178" s="1"/>
  <c r="Y48" i="174"/>
  <c r="Z48" i="174"/>
  <c r="G2" i="138"/>
  <c r="DV82" i="178"/>
  <c r="DV83" i="178" s="1"/>
  <c r="G5" i="138"/>
  <c r="J5" i="138"/>
  <c r="DY82" i="178"/>
  <c r="CU77" i="178"/>
  <c r="CU79" i="178" s="1"/>
  <c r="CW81" i="178" s="1"/>
  <c r="Y61" i="174"/>
  <c r="Z61" i="174"/>
  <c r="Y49" i="174"/>
  <c r="Z49" i="174"/>
  <c r="DQ77" i="178"/>
  <c r="DQ79" i="178" s="1"/>
  <c r="CJ77" i="178"/>
  <c r="CJ79" i="178" s="1"/>
  <c r="CG77" i="178"/>
  <c r="CG79" i="178" s="1"/>
  <c r="CL81" i="178" s="1"/>
  <c r="X81" i="178"/>
  <c r="CA81" i="178"/>
  <c r="X41" i="159"/>
  <c r="Y41" i="159"/>
  <c r="K54" i="159"/>
  <c r="K60" i="159" s="1"/>
  <c r="AO77" i="178"/>
  <c r="AO79" i="178" s="1"/>
  <c r="AT81" i="178" s="1"/>
  <c r="X62" i="174"/>
  <c r="Y42" i="174"/>
  <c r="Z42" i="174"/>
  <c r="BK77" i="178"/>
  <c r="BK79" i="178" s="1"/>
  <c r="BP81" i="178" s="1"/>
  <c r="I5" i="138"/>
  <c r="I2" i="138"/>
  <c r="DX82" i="178"/>
  <c r="DX83" i="178" s="1"/>
  <c r="EF35" i="178"/>
  <c r="DY77" i="178"/>
  <c r="ED82" i="178"/>
  <c r="ED83" i="178" s="1"/>
  <c r="O5" i="138"/>
  <c r="O2" i="138"/>
  <c r="DN77" i="178"/>
  <c r="DN79" i="178" s="1"/>
  <c r="E50" i="144"/>
  <c r="E130" i="166"/>
  <c r="E132" i="166" s="1"/>
  <c r="E34" i="143"/>
  <c r="D54" i="54"/>
  <c r="D55" i="54" s="1"/>
  <c r="F112" i="138"/>
  <c r="Q112" i="138" s="1"/>
  <c r="E15" i="144"/>
  <c r="E15" i="143"/>
  <c r="E17" i="143" s="1"/>
  <c r="E22" i="143" s="1"/>
  <c r="I59" i="159"/>
  <c r="I61" i="159" s="1"/>
  <c r="S62" i="174"/>
  <c r="S98" i="174" s="1"/>
  <c r="U42" i="174"/>
  <c r="U62" i="174" s="1"/>
  <c r="U98" i="174" s="1"/>
  <c r="DS81" i="178" l="1"/>
  <c r="Y62" i="174"/>
  <c r="Z62" i="174"/>
  <c r="X98" i="174"/>
  <c r="K5" i="138"/>
  <c r="K2" i="138"/>
  <c r="DZ82" i="178"/>
  <c r="DZ83" i="178" s="1"/>
  <c r="M5" i="138"/>
  <c r="EB82" i="178"/>
  <c r="EB83" i="178" s="1"/>
  <c r="J2" i="138"/>
  <c r="P2" i="138"/>
  <c r="X54" i="159"/>
  <c r="Y54" i="159"/>
  <c r="E24" i="143"/>
  <c r="E36" i="143"/>
  <c r="E17" i="144"/>
  <c r="G25" i="166"/>
  <c r="G26" i="166" s="1"/>
  <c r="D15" i="144"/>
  <c r="D15" i="143" s="1"/>
  <c r="DY79" i="178"/>
  <c r="EF77" i="178"/>
  <c r="E35" i="143"/>
  <c r="F15" i="143" l="1"/>
  <c r="D17" i="143"/>
  <c r="ED81" i="178"/>
  <c r="EF79" i="178"/>
  <c r="Q2" i="138"/>
  <c r="S2" i="138"/>
  <c r="R2" i="138"/>
  <c r="M2" i="138"/>
  <c r="E39" i="144"/>
  <c r="D17" i="144"/>
  <c r="Y98" i="174"/>
  <c r="Z98" i="174"/>
  <c r="P5" i="138"/>
  <c r="DY83" i="178"/>
  <c r="F17" i="143" l="1"/>
  <c r="D22" i="143"/>
  <c r="F22" i="143" s="1"/>
  <c r="E41" i="144"/>
  <c r="E51" i="144"/>
  <c r="E52" i="144"/>
  <c r="H25" i="16" l="1"/>
  <c r="K25" i="16"/>
  <c r="I27" i="16"/>
  <c r="I36" i="16" s="1"/>
  <c r="I22" i="14" s="1"/>
  <c r="I24" i="14" s="1"/>
  <c r="F60" i="138"/>
  <c r="K27" i="16" l="1"/>
  <c r="U25" i="16"/>
  <c r="S25" i="16"/>
  <c r="R25" i="16"/>
  <c r="P25" i="16"/>
  <c r="O25" i="16"/>
  <c r="N25" i="16"/>
  <c r="K36" i="16"/>
  <c r="E60" i="138"/>
  <c r="H27" i="16"/>
  <c r="H36" i="16" s="1"/>
  <c r="H22" i="14" s="1"/>
  <c r="H24" i="14" s="1"/>
  <c r="G60" i="138" l="1"/>
  <c r="N27" i="16"/>
  <c r="N36" i="16" s="1"/>
  <c r="N22" i="14" s="1"/>
  <c r="N24" i="14" s="1"/>
  <c r="Q25" i="16"/>
  <c r="O27" i="16"/>
  <c r="O36" i="16" s="1"/>
  <c r="O22" i="14" s="1"/>
  <c r="O24" i="14" s="1"/>
  <c r="H60" i="138"/>
  <c r="P27" i="16"/>
  <c r="P36" i="16" s="1"/>
  <c r="P22" i="14" s="1"/>
  <c r="P24" i="14" s="1"/>
  <c r="I60" i="138"/>
  <c r="R27" i="16"/>
  <c r="R36" i="16" s="1"/>
  <c r="R22" i="14" s="1"/>
  <c r="R24" i="14" s="1"/>
  <c r="T25" i="16"/>
  <c r="K60" i="138"/>
  <c r="S27" i="16"/>
  <c r="S36" i="16" s="1"/>
  <c r="S22" i="14" s="1"/>
  <c r="S24" i="14" s="1"/>
  <c r="L60" i="138"/>
  <c r="U27" i="16"/>
  <c r="U36" i="16" s="1"/>
  <c r="U22" i="14" s="1"/>
  <c r="U24" i="14" s="1"/>
  <c r="N60" i="138"/>
  <c r="K22" i="14"/>
  <c r="K24" i="14" s="1"/>
  <c r="T27" i="16" l="1"/>
  <c r="T36" i="16" s="1"/>
  <c r="T22" i="14" s="1"/>
  <c r="T24" i="14" s="1"/>
  <c r="M60" i="138"/>
  <c r="Q27" i="16"/>
  <c r="Q36" i="16" s="1"/>
  <c r="Q22" i="14" s="1"/>
  <c r="Q24" i="14" s="1"/>
  <c r="J60" i="138"/>
  <c r="V25" i="16"/>
  <c r="W25" i="16" s="1"/>
  <c r="V27" i="16" l="1"/>
  <c r="V36" i="16" s="1"/>
  <c r="V22" i="14" s="1"/>
  <c r="V24" i="14" s="1"/>
  <c r="O60" i="138"/>
  <c r="P60" i="138" s="1"/>
  <c r="W27" i="16"/>
  <c r="Y25" i="16"/>
  <c r="X25" i="16"/>
  <c r="W36" i="16" l="1"/>
  <c r="X27" i="16"/>
  <c r="Y27" i="16"/>
  <c r="W22" i="14" l="1"/>
  <c r="W24" i="14" s="1"/>
  <c r="X36" i="16"/>
  <c r="Y36" i="16"/>
</calcChain>
</file>

<file path=xl/sharedStrings.xml><?xml version="1.0" encoding="utf-8"?>
<sst xmlns="http://schemas.openxmlformats.org/spreadsheetml/2006/main" count="4510" uniqueCount="1340">
  <si>
    <t>Office Furniture</t>
  </si>
  <si>
    <t>Also, TARS tracked the reversals of timing differences normalized at a different rate than the current corporate income tax rate.  When a vintaged timing difference began to reverse, TARS associated the reversal on a pro-rata basis (based on original deferrals) to timing differences normalized at 52%, 48%, 46%, 39.95%, 34% and those previously flowed through.  For timing differences required to be normalized by the IRC, this method is consistent with Section 203(e) of the Tax Reform Act of 1986, that requires reversals of excess DFIT be based on the Average Rate Assumption Method, if vintaged DFIT tax records are maintained.</t>
  </si>
  <si>
    <t xml:space="preserve">  Investment tax credit amortization</t>
  </si>
  <si>
    <t>Reductions in federal operating income taxes resulting from:</t>
  </si>
  <si>
    <t>Distribution of operating income tax expense</t>
  </si>
  <si>
    <t xml:space="preserve">  Current federal income taxes - operating</t>
  </si>
  <si>
    <t xml:space="preserve">    Total</t>
  </si>
  <si>
    <t xml:space="preserve">  Deferred federal income taxes - operating</t>
  </si>
  <si>
    <t>Regulatory Asset for Employee Benefit</t>
  </si>
  <si>
    <t>Current Year Amortization of Investment Tax Credits</t>
  </si>
  <si>
    <t>Prior Years Amortization of Investment Tax Credits</t>
  </si>
  <si>
    <t xml:space="preserve">No post test year adjustments for plant in service were included in the RFP.  </t>
  </si>
  <si>
    <t>Oncor Electric Delivery has included no Nonrecurring or</t>
  </si>
  <si>
    <t>PAYXAG</t>
  </si>
  <si>
    <t>Vintage:</t>
  </si>
  <si>
    <t>Total ADFIT</t>
  </si>
  <si>
    <t>Temporary Difference:</t>
  </si>
  <si>
    <t>AFUDC</t>
  </si>
  <si>
    <t>Mixed Service Cost</t>
  </si>
  <si>
    <t xml:space="preserve">Oncor Electric Delivery Company LLC has not generated any new investment tax credits.  </t>
  </si>
  <si>
    <t xml:space="preserve">Oncor Electric Delivery Company LLC is not a member of a consolidated federal </t>
  </si>
  <si>
    <t xml:space="preserve">income tax return.  Consequently, this schedule is not applicable.  Please see the </t>
  </si>
  <si>
    <t xml:space="preserve">The protected excess deferreds were not transitioned to FMP during 2005 and therefore were tracked using ACUFILE through 2007.  </t>
  </si>
  <si>
    <t>Gross Investment Tax Credits</t>
  </si>
  <si>
    <t>Net Investment Tax Credit Balance</t>
  </si>
  <si>
    <t>Bad Debts</t>
  </si>
  <si>
    <t>Gain/(Loss) on Disposition of Assets</t>
  </si>
  <si>
    <t>AFUDC Debt</t>
  </si>
  <si>
    <t>CIAC</t>
  </si>
  <si>
    <t>Difference</t>
  </si>
  <si>
    <t>All investment tax credits have been utilized on prior federal income tax returns.</t>
  </si>
  <si>
    <t>1146 Explorer St</t>
  </si>
  <si>
    <t>Prior Period Adjustments</t>
  </si>
  <si>
    <t>Investment Tax Credit</t>
  </si>
  <si>
    <t>Less: credits</t>
  </si>
  <si>
    <t>Federal Income Tax after credits</t>
  </si>
  <si>
    <t>Investment Tax Credit Adjustments</t>
  </si>
  <si>
    <t>difference</t>
  </si>
  <si>
    <t>Timing Difference</t>
  </si>
  <si>
    <t>Gross ITC - Subject to Amortization</t>
  </si>
  <si>
    <t>Accumulated Deferred ITC - Amortization</t>
  </si>
  <si>
    <t>Additional</t>
  </si>
  <si>
    <t>Components</t>
  </si>
  <si>
    <t>to</t>
  </si>
  <si>
    <t>Protected excess deferred taxes:</t>
  </si>
  <si>
    <t xml:space="preserve">          Total protected excess deferred taxes</t>
  </si>
  <si>
    <t>Line No</t>
  </si>
  <si>
    <t>Texas Gross Margin Tax</t>
  </si>
  <si>
    <t>Witness</t>
  </si>
  <si>
    <t>II-E-3.1</t>
  </si>
  <si>
    <t>II-E-3.15</t>
  </si>
  <si>
    <t>II-E-3.16</t>
  </si>
  <si>
    <t>Notes:</t>
  </si>
  <si>
    <t>Adjusted Test Year</t>
  </si>
  <si>
    <t>Deferred Only Items:</t>
  </si>
  <si>
    <t>Employee Compensation Plans</t>
  </si>
  <si>
    <t>FF #</t>
  </si>
  <si>
    <t>Non-Regulated/</t>
  </si>
  <si>
    <t>Method</t>
  </si>
  <si>
    <t xml:space="preserve">  Less:  Amortization</t>
  </si>
  <si>
    <t>Item Deferred</t>
  </si>
  <si>
    <t>Regulated</t>
  </si>
  <si>
    <t>Adjusted</t>
  </si>
  <si>
    <t>T&amp;D</t>
  </si>
  <si>
    <t>Description</t>
  </si>
  <si>
    <t>Distribution</t>
  </si>
  <si>
    <t>Reference</t>
  </si>
  <si>
    <t xml:space="preserve"> </t>
  </si>
  <si>
    <t>Schedule</t>
  </si>
  <si>
    <t>Account</t>
  </si>
  <si>
    <t>Functionalization</t>
  </si>
  <si>
    <t xml:space="preserve">Total </t>
  </si>
  <si>
    <t>Non-Regulated or</t>
  </si>
  <si>
    <t>Total</t>
  </si>
  <si>
    <t>FF</t>
  </si>
  <si>
    <t>Factor</t>
  </si>
  <si>
    <t>Company</t>
  </si>
  <si>
    <t xml:space="preserve"> Non-Electric</t>
  </si>
  <si>
    <t>Electric</t>
  </si>
  <si>
    <t>Texas</t>
  </si>
  <si>
    <t>#</t>
  </si>
  <si>
    <t>Name</t>
  </si>
  <si>
    <t>A301</t>
  </si>
  <si>
    <t>Organization</t>
  </si>
  <si>
    <t>Subtotal</t>
  </si>
  <si>
    <t>A302</t>
  </si>
  <si>
    <t>A303</t>
  </si>
  <si>
    <t>Miscellaneous Intangible Plant</t>
  </si>
  <si>
    <t>Structures and Improvements</t>
  </si>
  <si>
    <t>A350</t>
  </si>
  <si>
    <t>Land and Land Rights</t>
  </si>
  <si>
    <t>A352</t>
  </si>
  <si>
    <t>A353</t>
  </si>
  <si>
    <t>Station Equipment</t>
  </si>
  <si>
    <t>A354</t>
  </si>
  <si>
    <t>Towers and Fixtures</t>
  </si>
  <si>
    <t>A355</t>
  </si>
  <si>
    <t>Poles and Fixtures</t>
  </si>
  <si>
    <t>A356</t>
  </si>
  <si>
    <t>O.H. Conductors &amp; Devices</t>
  </si>
  <si>
    <t>A357</t>
  </si>
  <si>
    <t>Undergound Conduit</t>
  </si>
  <si>
    <t>A358</t>
  </si>
  <si>
    <t>Underground Conductors</t>
  </si>
  <si>
    <t>A359</t>
  </si>
  <si>
    <t>Roads and Trails</t>
  </si>
  <si>
    <t>A360</t>
  </si>
  <si>
    <t>A361</t>
  </si>
  <si>
    <t>A362</t>
  </si>
  <si>
    <t>A364</t>
  </si>
  <si>
    <t>Poles,Towers &amp; Fixtures</t>
  </si>
  <si>
    <t>A365</t>
  </si>
  <si>
    <t>A366</t>
  </si>
  <si>
    <t>Underground Conduits</t>
  </si>
  <si>
    <t>A367</t>
  </si>
  <si>
    <t>U.G. Conductors &amp; Devices</t>
  </si>
  <si>
    <t>A368</t>
  </si>
  <si>
    <t>Line Transformers</t>
  </si>
  <si>
    <t>A369</t>
  </si>
  <si>
    <t>Services</t>
  </si>
  <si>
    <t>A370</t>
  </si>
  <si>
    <t>Meters</t>
  </si>
  <si>
    <t>A371</t>
  </si>
  <si>
    <t>Install. on Customer Prem.</t>
  </si>
  <si>
    <t>A372</t>
  </si>
  <si>
    <t>Leased Prop. on Cust. Premises</t>
  </si>
  <si>
    <t>Street Lights</t>
  </si>
  <si>
    <t>A390</t>
  </si>
  <si>
    <t>A391</t>
  </si>
  <si>
    <t>A392</t>
  </si>
  <si>
    <t>A393</t>
  </si>
  <si>
    <t>A394</t>
  </si>
  <si>
    <t>A395</t>
  </si>
  <si>
    <t>A396</t>
  </si>
  <si>
    <t>Power Operated Equipment</t>
  </si>
  <si>
    <t>A398</t>
  </si>
  <si>
    <t>A399</t>
  </si>
  <si>
    <t>Other</t>
  </si>
  <si>
    <t>Others</t>
  </si>
  <si>
    <t>No.</t>
  </si>
  <si>
    <t>(p)</t>
  </si>
  <si>
    <t>Total Payroll</t>
  </si>
  <si>
    <t>Net Income Before Taxes</t>
  </si>
  <si>
    <t>Permanent Items:</t>
  </si>
  <si>
    <t>Total Permanent Items</t>
  </si>
  <si>
    <t>Temporary Differences:</t>
  </si>
  <si>
    <t>Federal Taxable Income</t>
  </si>
  <si>
    <t>State Income Taxes</t>
  </si>
  <si>
    <t>Depreciation and Amortization Expense</t>
  </si>
  <si>
    <t>Transmission Plant</t>
  </si>
  <si>
    <t>A373</t>
  </si>
  <si>
    <t>General Plant</t>
  </si>
  <si>
    <t>Taxes Other than Income Taxes</t>
  </si>
  <si>
    <t>Payroll-Related</t>
  </si>
  <si>
    <t>FICA</t>
  </si>
  <si>
    <t>FUTA</t>
  </si>
  <si>
    <t>Property Related</t>
  </si>
  <si>
    <t>Federal Income Taxes</t>
  </si>
  <si>
    <t>Return on Rate Base</t>
  </si>
  <si>
    <t>Deductions:</t>
  </si>
  <si>
    <t>Additions:</t>
  </si>
  <si>
    <t>Taxable Component of Return</t>
  </si>
  <si>
    <t>Tax Factor</t>
  </si>
  <si>
    <t>Federal Income Taxes Before Adjust.</t>
  </si>
  <si>
    <t xml:space="preserve">  Misc.Other Expenses</t>
  </si>
  <si>
    <t>Misc.Items</t>
  </si>
  <si>
    <t xml:space="preserve">  Tax &gt; Book Depreciation</t>
  </si>
  <si>
    <t>Performance Incentive Plan</t>
  </si>
  <si>
    <t>Debt Recall Premium and Expense</t>
  </si>
  <si>
    <t>Pension Accrual / Funding Difference</t>
  </si>
  <si>
    <t>4264500</t>
  </si>
  <si>
    <t>4264600</t>
  </si>
  <si>
    <t>4265500</t>
  </si>
  <si>
    <t>Other Deductions-Non Operating</t>
  </si>
  <si>
    <t>4092000</t>
  </si>
  <si>
    <t>4092100</t>
  </si>
  <si>
    <t>4102000</t>
  </si>
  <si>
    <t>4112000</t>
  </si>
  <si>
    <t>Total Non-Operating Income Taxes</t>
  </si>
  <si>
    <t>Eliminations</t>
  </si>
  <si>
    <t>Vacation Pay Accrual</t>
  </si>
  <si>
    <t>IBNR Medical Dental</t>
  </si>
  <si>
    <t>Protected Excess Deferred Taxes</t>
  </si>
  <si>
    <t>Tax Class</t>
  </si>
  <si>
    <t>Rate</t>
  </si>
  <si>
    <t>Convention</t>
  </si>
  <si>
    <t>Total Adjustments</t>
  </si>
  <si>
    <t>Interest On Customer Deposits</t>
  </si>
  <si>
    <t>TOTAL OTHER EXPENSES EXCLUDING FIT</t>
  </si>
  <si>
    <t>Non-Electric Revenue</t>
  </si>
  <si>
    <t>A454</t>
  </si>
  <si>
    <t>A450</t>
  </si>
  <si>
    <t>A451</t>
  </si>
  <si>
    <t>A456</t>
  </si>
  <si>
    <t>MET</t>
  </si>
  <si>
    <t>Intangible Plant</t>
  </si>
  <si>
    <t>Franchise and Consents</t>
  </si>
  <si>
    <t>Total Property</t>
  </si>
  <si>
    <t>TRAN</t>
  </si>
  <si>
    <t>DIST</t>
  </si>
  <si>
    <t>Synchronized Interest</t>
  </si>
  <si>
    <t>Tax Credits</t>
  </si>
  <si>
    <t>ADD:</t>
  </si>
  <si>
    <t>Number</t>
  </si>
  <si>
    <t>A389.1</t>
  </si>
  <si>
    <t>Other Intangible Prop - Depletable</t>
  </si>
  <si>
    <t>Other Intangible Prop - Depr</t>
  </si>
  <si>
    <t>Misc Equip</t>
  </si>
  <si>
    <t>Lab Equip</t>
  </si>
  <si>
    <t>Tools, Shop &amp; Garage Equip</t>
  </si>
  <si>
    <t>Store Equipment</t>
  </si>
  <si>
    <t>Transportation equipment</t>
  </si>
  <si>
    <t>A391 Office Furniture</t>
  </si>
  <si>
    <t>ITC Amortization</t>
  </si>
  <si>
    <t>TOTAL TAXES OTHER THAN INCOME TAXES</t>
  </si>
  <si>
    <t>TOTAL FEDERAL INCOME TAXES</t>
  </si>
  <si>
    <t>Other Revenues:</t>
  </si>
  <si>
    <t>TOTAL OTHER REVENUES</t>
  </si>
  <si>
    <t>TOTAL OTHER EXPENSES INCLUDING FIT</t>
  </si>
  <si>
    <t>Amount</t>
  </si>
  <si>
    <t>II-E-1</t>
  </si>
  <si>
    <t>II-E-3</t>
  </si>
  <si>
    <t>II-E-4</t>
  </si>
  <si>
    <t>II-E-1-2+4</t>
  </si>
  <si>
    <t>II-E-1-4</t>
  </si>
  <si>
    <t>II-E-5</t>
  </si>
  <si>
    <t>(a)</t>
  </si>
  <si>
    <t>(b)</t>
  </si>
  <si>
    <t>(c)</t>
  </si>
  <si>
    <t>(d)</t>
  </si>
  <si>
    <t>(e)</t>
  </si>
  <si>
    <t>(f)</t>
  </si>
  <si>
    <t>(g)</t>
  </si>
  <si>
    <t>(h)</t>
  </si>
  <si>
    <t>(i)</t>
  </si>
  <si>
    <t>(j)</t>
  </si>
  <si>
    <t>(k)</t>
  </si>
  <si>
    <t>(l)</t>
  </si>
  <si>
    <t>(m)</t>
  </si>
  <si>
    <t>(n)</t>
  </si>
  <si>
    <t>(o)</t>
  </si>
  <si>
    <t>Line</t>
  </si>
  <si>
    <t>Test Period</t>
  </si>
  <si>
    <t>Total Requested</t>
  </si>
  <si>
    <t>Deduct:</t>
  </si>
  <si>
    <t>Add:</t>
  </si>
  <si>
    <t>Total Federal Income Taxes</t>
  </si>
  <si>
    <t>Investment Tax Credits earned in test period</t>
  </si>
  <si>
    <t>Pro Forma Adjustments (if any)</t>
  </si>
  <si>
    <t>Less</t>
  </si>
  <si>
    <t>Total Amortization</t>
  </si>
  <si>
    <t>Test:</t>
  </si>
  <si>
    <t>Stripped Book Depreciation Rate requested</t>
  </si>
  <si>
    <t xml:space="preserve">   Gross Amortizable Base (exclude QPEs)</t>
  </si>
  <si>
    <t>Total Revenue Requirement</t>
  </si>
  <si>
    <t>Less Cost of Service items:</t>
  </si>
  <si>
    <t>Less Deductions not included in Cost of Service:</t>
  </si>
  <si>
    <t>Tax Rate</t>
  </si>
  <si>
    <t>Federal Income Taxes before credits</t>
  </si>
  <si>
    <t>Current Federal Income Taxes</t>
  </si>
  <si>
    <t>Total Deferred Federal Income Taxes**</t>
  </si>
  <si>
    <t>Total Requested Federal Income Taxes</t>
  </si>
  <si>
    <t>Test Period Amount Booked</t>
  </si>
  <si>
    <t>Amount Requested</t>
  </si>
  <si>
    <t>Basis</t>
  </si>
  <si>
    <t>Depreciation</t>
  </si>
  <si>
    <t xml:space="preserve">    XXXXXXX</t>
  </si>
  <si>
    <t xml:space="preserve">   XXXXXXX</t>
  </si>
  <si>
    <t>No</t>
  </si>
  <si>
    <t>Allocation</t>
  </si>
  <si>
    <t>(q)</t>
  </si>
  <si>
    <t xml:space="preserve">  Subtotal</t>
  </si>
  <si>
    <t>Forfeited Discounts</t>
  </si>
  <si>
    <t>Misc. Service Revenues - Other</t>
  </si>
  <si>
    <t>Other Electric Revenues</t>
  </si>
  <si>
    <t>SUTA</t>
  </si>
  <si>
    <t>Ad Valorem</t>
  </si>
  <si>
    <t>Docket</t>
  </si>
  <si>
    <t>Amortization</t>
  </si>
  <si>
    <t>TDCS</t>
  </si>
  <si>
    <t>(r)</t>
  </si>
  <si>
    <t>(s)</t>
  </si>
  <si>
    <t>Discretionary Revenue</t>
  </si>
  <si>
    <t>282</t>
  </si>
  <si>
    <t>283</t>
  </si>
  <si>
    <t>ADFIT</t>
  </si>
  <si>
    <t>Match to
Schedule</t>
  </si>
  <si>
    <t>Balance</t>
  </si>
  <si>
    <t>Adjust</t>
  </si>
  <si>
    <t>Liberalized Depreciation</t>
  </si>
  <si>
    <t>Extraordinary Expenses in this cost of service filing.</t>
  </si>
  <si>
    <t>Total Regulatory Commission Expense</t>
  </si>
  <si>
    <t>Consultant Expenses</t>
  </si>
  <si>
    <t>Accounting</t>
  </si>
  <si>
    <t>Engineering</t>
  </si>
  <si>
    <t>Legal</t>
  </si>
  <si>
    <t>Total Consultant Expenses</t>
  </si>
  <si>
    <t>Company Expenses</t>
  </si>
  <si>
    <t>Employee</t>
  </si>
  <si>
    <t>Total Company Expenses</t>
  </si>
  <si>
    <t>Intervenor Expenses</t>
  </si>
  <si>
    <t>Total Request</t>
  </si>
  <si>
    <t>II-E-4.1</t>
  </si>
  <si>
    <t>Plant-in</t>
  </si>
  <si>
    <t>Non-Regulated</t>
  </si>
  <si>
    <t>Service</t>
  </si>
  <si>
    <t>Project</t>
  </si>
  <si>
    <t>or Non-Electric</t>
  </si>
  <si>
    <t>Factor Name</t>
  </si>
  <si>
    <t xml:space="preserve">Amount at </t>
  </si>
  <si>
    <t xml:space="preserve">No. </t>
  </si>
  <si>
    <t>Vintage year</t>
  </si>
  <si>
    <t>QPE's</t>
  </si>
  <si>
    <t>Test Year End</t>
  </si>
  <si>
    <t>ITC</t>
  </si>
  <si>
    <t xml:space="preserve">ITC </t>
  </si>
  <si>
    <t>QPE's Generated</t>
  </si>
  <si>
    <t>Other Generated</t>
  </si>
  <si>
    <t>ITC Generated</t>
  </si>
  <si>
    <t>Utilized</t>
  </si>
  <si>
    <t>Carryforward - Other</t>
  </si>
  <si>
    <t>Amortization of Regulatory Asset</t>
  </si>
  <si>
    <t>Cost of Removal</t>
  </si>
  <si>
    <t>Total Federal Deferred*</t>
  </si>
  <si>
    <t xml:space="preserve">    Prior Period Adjustments</t>
  </si>
  <si>
    <t>Rent from Property:</t>
  </si>
  <si>
    <t>Pole Contacts</t>
  </si>
  <si>
    <t>Fiber Optics</t>
  </si>
  <si>
    <t>Antenna Leases</t>
  </si>
  <si>
    <t>DEPRECIATION &amp; AMORTIZATION II-E-1</t>
  </si>
  <si>
    <t>AMORTIZATION FROM SCHEDULE II-E-4.1</t>
  </si>
  <si>
    <t>TOTAL DEPRECIATION &amp; AMORTIZATION EXPENSE</t>
  </si>
  <si>
    <t>Total Other Deductions</t>
  </si>
  <si>
    <t>Municipal Franchise Fees</t>
  </si>
  <si>
    <t>Non-Electric</t>
  </si>
  <si>
    <t>TOTAL</t>
  </si>
  <si>
    <t>TAXABLE OPERATING INCOME:</t>
  </si>
  <si>
    <t>Operating Income Per Books</t>
  </si>
  <si>
    <t>Funct.</t>
  </si>
  <si>
    <t>Book Depreciation</t>
  </si>
  <si>
    <t xml:space="preserve">(d) </t>
  </si>
  <si>
    <t>Supplemental Retirement Plan</t>
  </si>
  <si>
    <t>Capitalized Interest</t>
  </si>
  <si>
    <t>Software Development Costs</t>
  </si>
  <si>
    <t>Misc. Service Revenues - Discretionary</t>
  </si>
  <si>
    <t>Rate Case Expenses</t>
  </si>
  <si>
    <t>Tax Elections</t>
  </si>
  <si>
    <t>IRS Audit Status</t>
  </si>
  <si>
    <t>Private Letter Rulings</t>
  </si>
  <si>
    <t>Prepaid Insurance</t>
  </si>
  <si>
    <t>Casualty Losses</t>
  </si>
  <si>
    <t>Non-Regulated
Non-Electric</t>
  </si>
  <si>
    <t>Account Number</t>
  </si>
  <si>
    <t>Balance at Test Year End</t>
  </si>
  <si>
    <t>Schedule Reference</t>
  </si>
  <si>
    <t>Test Year
Amortization
As Adjusted</t>
  </si>
  <si>
    <t>Line
No.</t>
  </si>
  <si>
    <t>PLTSVC-N</t>
  </si>
  <si>
    <t>Direct Assigned</t>
  </si>
  <si>
    <t>Tax at statutory rate</t>
  </si>
  <si>
    <t>Reduction in federal income taxes resulting from</t>
  </si>
  <si>
    <t>differences and other adjustments</t>
  </si>
  <si>
    <t>Effective tax rate</t>
  </si>
  <si>
    <t>Total Company</t>
  </si>
  <si>
    <t>T&amp;D Electric</t>
  </si>
  <si>
    <t>Tax effect of total differences and other adjustments</t>
  </si>
  <si>
    <t>Amortization of Organizational Expenditures</t>
  </si>
  <si>
    <t>Deferred Revenue - AMS</t>
  </si>
  <si>
    <t>Regulatory Asset for Deferred Depreciation</t>
  </si>
  <si>
    <t>Underground Conduit</t>
  </si>
  <si>
    <t>Total Tax Depr Basis</t>
  </si>
  <si>
    <t>Poles, Towers &amp; Fixtures</t>
  </si>
  <si>
    <t>Communication Equipment</t>
  </si>
  <si>
    <t>II-B</t>
  </si>
  <si>
    <t>Depreciation Differences</t>
  </si>
  <si>
    <t xml:space="preserve">The Company, consistent with the election under section 46(f)(2) of the Internal Revenue Code, </t>
  </si>
  <si>
    <t>records the ratable flow through of the Investment Tax Credit as a reduction to the cost of service.</t>
  </si>
  <si>
    <t>Pre-tax operating income</t>
  </si>
  <si>
    <t>Total federal income tax expense - operating</t>
  </si>
  <si>
    <t>Known and</t>
  </si>
  <si>
    <t>Measurable</t>
  </si>
  <si>
    <t>Adjustments</t>
  </si>
  <si>
    <t>WP/II-E-3/2</t>
  </si>
  <si>
    <t>WP/II-E-3/1</t>
  </si>
  <si>
    <t>Intangible</t>
  </si>
  <si>
    <t>A165</t>
  </si>
  <si>
    <t>A926</t>
  </si>
  <si>
    <t>Direct Assignment</t>
  </si>
  <si>
    <t>Before 1970, the Company did not normalize income tax expense for book/tax timing differences except for rapid tax amortization on a portion of certain generating facilities.  The deferred income tax generated by this rapid tax amortization was fully reversed by the end of 1988.</t>
  </si>
  <si>
    <t>Deferred federal income taxes (DFIT) for 1970 and 1971 property additions were accrued for differences between sum-of-years digits and straight-line (SL) methods based on the same tax life.  For 1972 to 1977 vintages, Texas Electric Service Co (TESCO) and Texas Power &amp; Light (TP&amp;L) normalized only the difference between actual tax depreciation and tax SL depreciation based on the Asset Depreciation Range (ADR) median life.  Section 167(1) of the Internal Revenue Code (IRC) required this difference to be normalized before allowing a public utility to claim ADR accelerated tax depreciation.  For years 1972 to 1977, Dallas Power &amp; Light (DP&amp;L) accrued DFIT for the difference between actual accelerated tax depreciation and composite tax SL depreciation at 3.6%.</t>
  </si>
  <si>
    <t>The Commission granted full normalization for all timing difference to be effective as follows:</t>
  </si>
  <si>
    <t>The Economic Recovery Act of 1981 (IRC Section 168) requires that all differences between book and tax depreciation (except basis differences) be normalized for public utilities.  Since Accelerated Cost Recovery System retirements (net of salvage and prior depreciation) are currently deducted for taxable income, the Company began normalizing this timing difference in 1981.</t>
  </si>
  <si>
    <t>Other Taxes</t>
  </si>
  <si>
    <t>Rate Case Expenses - Total Request</t>
  </si>
  <si>
    <t>Meals &amp; Entertainment</t>
  </si>
  <si>
    <t>Social Club Dues</t>
  </si>
  <si>
    <t>ck to II-E-3</t>
  </si>
  <si>
    <t>Repair Expense</t>
  </si>
  <si>
    <t>LTIP Amortization</t>
  </si>
  <si>
    <t>Salary Deferral Plan</t>
  </si>
  <si>
    <t>Deferred Unbilled TCRF/EECRF Reg Liability</t>
  </si>
  <si>
    <t>Self Insurance Reserve</t>
  </si>
  <si>
    <t>Contra Debt Amortization - Oncor</t>
  </si>
  <si>
    <t>Regulatory Asset for Workers Compensation</t>
  </si>
  <si>
    <t>Total Temporary Items</t>
  </si>
  <si>
    <t>ck</t>
  </si>
  <si>
    <t>diff</t>
  </si>
  <si>
    <t>Basis**</t>
  </si>
  <si>
    <t>Taxable Income</t>
  </si>
  <si>
    <t>Deferred Income Taxes on Temporary Differences</t>
  </si>
  <si>
    <t>*   Excess of tax depreciation claimed in cost of service</t>
  </si>
  <si>
    <t>**  Must agree with deferred tax analysis</t>
  </si>
  <si>
    <t>Property</t>
  </si>
  <si>
    <t>Software Amortization</t>
  </si>
  <si>
    <t>Self Constructed Assets (Mixed Service Costs)</t>
  </si>
  <si>
    <t>Provision for Self Insurance</t>
  </si>
  <si>
    <t>Deferred Revenue - AMS Fed</t>
  </si>
  <si>
    <t>Reg Asset Costs - AMS Meters</t>
  </si>
  <si>
    <t>Reg Asset - TCRF</t>
  </si>
  <si>
    <t>Reg Asset - Defaulted REPs</t>
  </si>
  <si>
    <t>Reg Asset Workers Comp</t>
  </si>
  <si>
    <t>Performance Enhancement Plan</t>
  </si>
  <si>
    <t>Rate Case Expense</t>
  </si>
  <si>
    <t>IBNR - Medical/PIPD</t>
  </si>
  <si>
    <t>OPEB FAS 106</t>
  </si>
  <si>
    <t>OPEB FAS 112</t>
  </si>
  <si>
    <t>Reg Liability - Energy Eff Program Cost</t>
  </si>
  <si>
    <t>Pension/OPEB - FAS109</t>
  </si>
  <si>
    <t>Explanation</t>
  </si>
  <si>
    <t>Remove tax grossup with offsetting regulatory asset</t>
  </si>
  <si>
    <t>Ck to II-E-3.5</t>
  </si>
  <si>
    <t>Amortization of Investment Tax Credits</t>
  </si>
  <si>
    <t>No additional depreciation is requested.</t>
  </si>
  <si>
    <r>
      <t>Debit:</t>
    </r>
    <r>
      <rPr>
        <sz val="10"/>
        <rFont val="Arial"/>
        <family val="2"/>
      </rPr>
      <t xml:space="preserve">  Current Federal Income Tax Expense</t>
    </r>
  </si>
  <si>
    <r>
      <t xml:space="preserve">     Credit:</t>
    </r>
    <r>
      <rPr>
        <sz val="10"/>
        <rFont val="Arial"/>
        <family val="2"/>
      </rPr>
      <t xml:space="preserve">  Current FIT Payable</t>
    </r>
  </si>
  <si>
    <r>
      <t>Debit:</t>
    </r>
    <r>
      <rPr>
        <sz val="10"/>
        <rFont val="Arial"/>
        <family val="2"/>
      </rPr>
      <t xml:space="preserve">  Deferred Tax Asset - Net Operating Loss</t>
    </r>
  </si>
  <si>
    <r>
      <t xml:space="preserve">     Credit: </t>
    </r>
    <r>
      <rPr>
        <sz val="10"/>
        <rFont val="Arial"/>
        <family val="2"/>
      </rPr>
      <t xml:space="preserve"> Deferred Federal Income Tax Expense</t>
    </r>
  </si>
  <si>
    <t>WP/II-E-3</t>
  </si>
  <si>
    <t>check</t>
  </si>
  <si>
    <t>A920</t>
  </si>
  <si>
    <t xml:space="preserve">Diff due to State </t>
  </si>
  <si>
    <t>calc</t>
  </si>
  <si>
    <t>Other:</t>
  </si>
  <si>
    <t>A925</t>
  </si>
  <si>
    <t>K&amp;M for offsetting Reg Assets</t>
  </si>
  <si>
    <t>Federal Benefit of State Deferred</t>
  </si>
  <si>
    <t>Month</t>
  </si>
  <si>
    <t>July 1977</t>
  </si>
  <si>
    <t>Former Divisions</t>
  </si>
  <si>
    <t>TESCO</t>
  </si>
  <si>
    <t>DP&amp;L</t>
  </si>
  <si>
    <t>TP&amp;L</t>
  </si>
  <si>
    <t>January 1978</t>
  </si>
  <si>
    <t>August 1978</t>
  </si>
  <si>
    <t>Meals and Entertainment</t>
  </si>
  <si>
    <t>Deductible State Tax</t>
  </si>
  <si>
    <t>Current federal income taxes - operating</t>
  </si>
  <si>
    <t>Deferred federal income taxes - operating</t>
  </si>
  <si>
    <t>Investment tax credit amortization</t>
  </si>
  <si>
    <t>Line No.</t>
  </si>
  <si>
    <t>Tax Year</t>
  </si>
  <si>
    <t>Total Taxes Paid for Calendar Year**</t>
  </si>
  <si>
    <t xml:space="preserve">1.  Test year Ad Valorem tax expense is shown on Schedule II-E-2, Line 11. </t>
  </si>
  <si>
    <t>3.  All ad valorem taxes are expensed.  None is capitalized.</t>
  </si>
  <si>
    <t>Adjustment</t>
  </si>
  <si>
    <t>4250000</t>
  </si>
  <si>
    <t>4263000</t>
  </si>
  <si>
    <t>4264100</t>
  </si>
  <si>
    <t>Amortization of Electric Plant Acquisition Adjustments - Andrews County Line</t>
  </si>
  <si>
    <t>A431</t>
  </si>
  <si>
    <t>Function</t>
  </si>
  <si>
    <t>Non-standard metering service (Docket No. 41890 one-time costs) (3)</t>
  </si>
  <si>
    <t>Balance at</t>
  </si>
  <si>
    <t>(t)</t>
  </si>
  <si>
    <t>(u)</t>
  </si>
  <si>
    <t>(v)</t>
  </si>
  <si>
    <t>(w)</t>
  </si>
  <si>
    <t>Non-Property</t>
  </si>
  <si>
    <t>Total Accumulated Deferred Taxes</t>
  </si>
  <si>
    <t>Remaining Life</t>
  </si>
  <si>
    <t>Account 190</t>
  </si>
  <si>
    <t>The difference will reverse when the liability for the incentive plan is paid.</t>
  </si>
  <si>
    <t>Account 282</t>
  </si>
  <si>
    <t>Account 283</t>
  </si>
  <si>
    <t xml:space="preserve">Measurable </t>
  </si>
  <si>
    <t xml:space="preserve">T&amp;D </t>
  </si>
  <si>
    <t>Pre-tax Income</t>
  </si>
  <si>
    <t>The difference will reverse as the assets are depreciated and/or retired for both book and tax.</t>
  </si>
  <si>
    <t>Replacement costs incurred in order to maintain facilities in an efficient operating condition are capitalized for book.  For tax, these expenditures may be deductible as repairs under the tangible property regulations.</t>
  </si>
  <si>
    <t>This balance will reverse as part of depreciation differences as the book capitalized expenditures are depreciated.</t>
  </si>
  <si>
    <t>For book, indirect service costs related to self-constructed assets are capitalized and depreciated over the life of the assets.  For tax, certain indirect service costs are currently deductible.</t>
  </si>
  <si>
    <t>This balance will reverse as part of depreciation differences as the indirect costs related to self-constructed assets are fully depreciated for book.</t>
  </si>
  <si>
    <t>For book, software development costs are capitalized and amortized.  For tax, the software development costs are expensed as incurred.</t>
  </si>
  <si>
    <t>The difference will reverse as intangible plant is depreciated for book.</t>
  </si>
  <si>
    <t>The difference will reverse as part of depreciation differences as the assets are depreciated or retired for tax.</t>
  </si>
  <si>
    <t xml:space="preserve">The difference will reverse as part of depreciation differences as the self constructed assets are depreciated for both book and tax. </t>
  </si>
  <si>
    <t>For book, prepaid insurance is deferred and amortized over the policy period.  For tax, the policy premiums are deductible when paid.</t>
  </si>
  <si>
    <t>The difference will reverse as the policy premiums are amortized.</t>
  </si>
  <si>
    <t>The difference will reverse as the revenue for AMS is collected.</t>
  </si>
  <si>
    <t>The difference will reverse as the regulatory asset is amortized.</t>
  </si>
  <si>
    <t>The difference will reverse as the deferred benefit expenses are amortized.</t>
  </si>
  <si>
    <t>The difference will reverse as the debt costs are amortized.</t>
  </si>
  <si>
    <t xml:space="preserve">The difference will reverse when the receivable is paid or is charged-off. </t>
  </si>
  <si>
    <t>The difference will reverse as the unbilled revenue increases/decreases.</t>
  </si>
  <si>
    <t>Schedule II-E-4.1</t>
  </si>
  <si>
    <t>For book, AFUDC is capitalized on self constructed assets.  The calculation is based on complex cost-of-funds calculation using the avoided cost method and the most recent embedded cost of long term debt. For Tax, interest is capitalized based on the rules of IRC Sec. 263A(f) for property it produces.</t>
  </si>
  <si>
    <t>Debt Recall Premium &amp; Expense
Contra-Debt Amortization</t>
  </si>
  <si>
    <t>A provision for uncollectible miscellaneous accounts receivable is expensed based on a periodic analysis of accounts receivable. For tax, the bad debt is deductible when charged-off.</t>
  </si>
  <si>
    <t>This balance represents the federal tax benefit of the deferred margin taxes related to the AMS Deferred Revenue regulatory asset.</t>
  </si>
  <si>
    <t>The balance will reverse as the carried over vacation is taken in the following year.</t>
  </si>
  <si>
    <t xml:space="preserve">For book , the incentive compensation plan is expensed and/or capitalized in the year the compensation is earned. For tax, it is deductible when it is paid. </t>
  </si>
  <si>
    <t>For book, increases/decreases in unbilled revenue are debited/credited to revenue with the offset to the regulatory liability. For tax, the unbilled revenue is taxable in the month it is earned.</t>
  </si>
  <si>
    <t>For book, the expected future costs for incurred but not reported self-insured medical, dental and prescription drug claims and personal injury and property damage claims are accrued. For tax, these costs are deductible when paid.</t>
  </si>
  <si>
    <t>The balance will reverse as the liability for estimated medical, dental and prescription drugs and personal injury and property damage claims is adjusted for charges after year-end, but for which services or damages were incurred by the company prior to year end.</t>
  </si>
  <si>
    <t>For book, long-term incentive compensation ("LTIP") is expensed/capitalized over a designated three year period and then paid if certain performance measures are met. For tax, LTIP is deductible when paid.</t>
  </si>
  <si>
    <t>OPEB FAS 106
OPEB FAS 112</t>
  </si>
  <si>
    <t>This balance will reverse when the final payment is made to the last surviving employee in this plan for post employment health care benefits.</t>
  </si>
  <si>
    <t>The Company began to expense retirement benefits using the projected unit credit method in accordance with SFAS 87. Funding is determined using cash balance formula or the traditional defined benefit formula, depending on the hire date of all eligible employees, as allowed by the Employee Retirement Income Security Act of 1974. For tax purposes, a deduction is allowed as amounts are contributed to a qualified trust fund.</t>
  </si>
  <si>
    <t>The balance will reverse over the remaining life of current employees and retirees (or dependents) eligible for pension benefits.</t>
  </si>
  <si>
    <t>Contra-Debt Amortization</t>
  </si>
  <si>
    <t>A406</t>
  </si>
  <si>
    <t>A924</t>
  </si>
  <si>
    <t>A928</t>
  </si>
  <si>
    <t>A904</t>
  </si>
  <si>
    <t>Date Amortization Began</t>
  </si>
  <si>
    <t>Authority/ Commission Order Shown on Schedule</t>
  </si>
  <si>
    <t>Jun 2016</t>
  </si>
  <si>
    <t>Pending approval in this docket</t>
  </si>
  <si>
    <t>II-B-11</t>
  </si>
  <si>
    <t>II-B-12</t>
  </si>
  <si>
    <t>n/a</t>
  </si>
  <si>
    <t>II-D-2</t>
  </si>
  <si>
    <t>II-D-1</t>
  </si>
  <si>
    <t>2013-2014</t>
  </si>
  <si>
    <t>Aug 2014</t>
  </si>
  <si>
    <t>Pension regulatory asset amortization - to be reviewed (2)</t>
  </si>
  <si>
    <t>OPEB regulatory asset amortization - to be reviewed (2)</t>
  </si>
  <si>
    <t>Total Regulatory Asset Amortization included in Operating Expense</t>
  </si>
  <si>
    <t>Total Rate Case Expense Amortization included in Operating Expense</t>
  </si>
  <si>
    <t>Line
No</t>
  </si>
  <si>
    <t>Power Factor</t>
  </si>
  <si>
    <t>FERC Account
for
Amortization</t>
  </si>
  <si>
    <t>Authorizing Docket</t>
  </si>
  <si>
    <t>Total Amortization Taken by the Beginning of the Year</t>
  </si>
  <si>
    <t>Amortization Expense Included in Test Year</t>
  </si>
  <si>
    <t>Amortization Expense Included in Requested Cost of Service</t>
  </si>
  <si>
    <t>Unamortized Amount as of the End of the Test Year</t>
  </si>
  <si>
    <t>Date if Fully Amortized</t>
  </si>
  <si>
    <t>K&amp;M
Adjustment</t>
  </si>
  <si>
    <t>Requested Amortization Expense Reflected on Schedule</t>
  </si>
  <si>
    <t>Docket 41890</t>
  </si>
  <si>
    <t>Original
Amount to be
Amortized</t>
  </si>
  <si>
    <t>Deferred
Period</t>
  </si>
  <si>
    <t>K&amp;M
Adjustment
for O&amp;M Expenses</t>
  </si>
  <si>
    <t>Amortization Period Requested</t>
  </si>
  <si>
    <t>Remaining
Amortization
Period in Years</t>
  </si>
  <si>
    <t>WP/II-E-2/4</t>
  </si>
  <si>
    <t>WP/II-E-2/1</t>
  </si>
  <si>
    <t>WP/II-E-2/3</t>
  </si>
  <si>
    <t>WP/II-E-2/6</t>
  </si>
  <si>
    <t>ARAM</t>
  </si>
  <si>
    <t xml:space="preserve">      Total protected excess deferred taxes</t>
  </si>
  <si>
    <t>Oncor Electric Delivery has not included any expenses in this cost of service</t>
  </si>
  <si>
    <t>filing that were previously denied by the Commission.</t>
  </si>
  <si>
    <t xml:space="preserve">     Reference 16 TAC §25.133.</t>
  </si>
  <si>
    <t>Deferred Revenue - AMS - FBOS</t>
  </si>
  <si>
    <t>Excess DFIT - Tax Gross-up</t>
  </si>
  <si>
    <t>ITC-Deferred Tax Gross-up</t>
  </si>
  <si>
    <t>Reverse Flow Through</t>
  </si>
  <si>
    <t>Direct Testimony</t>
  </si>
  <si>
    <t>Pages</t>
  </si>
  <si>
    <t>NTU</t>
  </si>
  <si>
    <t>DC</t>
  </si>
  <si>
    <t>TIE</t>
  </si>
  <si>
    <t>Consol</t>
  </si>
  <si>
    <t>Tie</t>
  </si>
  <si>
    <t>NTU
TRAN</t>
  </si>
  <si>
    <t>DC
TIE</t>
  </si>
  <si>
    <t>Consol
TRAN</t>
  </si>
  <si>
    <t>NTU
DIST</t>
  </si>
  <si>
    <t>Consol
DIST</t>
  </si>
  <si>
    <t>(I)</t>
  </si>
  <si>
    <t>NTU TRAN</t>
  </si>
  <si>
    <t>DC TIE</t>
  </si>
  <si>
    <t>Consol TRAN</t>
  </si>
  <si>
    <t>NTU DIST</t>
  </si>
  <si>
    <t>Consol DIST</t>
  </si>
  <si>
    <t>Commuter Expenses</t>
  </si>
  <si>
    <t>Amortization of Protected Excess ADFIT</t>
  </si>
  <si>
    <t>Amortization of Non-protected Excess ADFIT</t>
  </si>
  <si>
    <t>Amortization of Excess ADFIT Reserve</t>
  </si>
  <si>
    <t xml:space="preserve">    ITC Amortization</t>
  </si>
  <si>
    <t xml:space="preserve">    Amortization of Protected Excess ADFIT</t>
  </si>
  <si>
    <t xml:space="preserve">    Amortization of Non-protected Excess ADFIT</t>
  </si>
  <si>
    <t xml:space="preserve">    Amortization of Excess ADFIT Reserve</t>
  </si>
  <si>
    <t xml:space="preserve">    Social Club Dues</t>
  </si>
  <si>
    <t xml:space="preserve">    Commuter Expenses</t>
  </si>
  <si>
    <t>II-E-3 * 21%</t>
  </si>
  <si>
    <t>direct testimony of Bonnie L. Clutter</t>
  </si>
  <si>
    <t>P&amp;O Non-Service Cost (CWIP&amp;PIS)</t>
  </si>
  <si>
    <t>Tax Depreciation</t>
  </si>
  <si>
    <t>G/L on Interest Rate Swaps</t>
  </si>
  <si>
    <t>Reg Asset - Sharyland Whlsle Dist Sub Tariff</t>
  </si>
  <si>
    <t>Reg Asset - Sharyland Residential Interim Rates</t>
  </si>
  <si>
    <t>Reg Asset - Rocky Mound Series Compensator</t>
  </si>
  <si>
    <t>Reg Asset - Power Line Safety</t>
  </si>
  <si>
    <t>Reg Asset - COVID19 - Incremental Expense</t>
  </si>
  <si>
    <t>Deferred Unbilled TCRF Reg Liability</t>
  </si>
  <si>
    <t>Cap Structure Refund</t>
  </si>
  <si>
    <t>FIT Refund</t>
  </si>
  <si>
    <t>Deferred Unbilled EECRF Reg Liability</t>
  </si>
  <si>
    <t>Interest Rate Savings Reg Liability</t>
  </si>
  <si>
    <t>Merger Transaction Costs</t>
  </si>
  <si>
    <t>Reg Asset - NTU Transition Costs</t>
  </si>
  <si>
    <t>Reg Asset - Energy Efficiency Program Costs</t>
  </si>
  <si>
    <t xml:space="preserve">x 21 % </t>
  </si>
  <si>
    <t>x  21%</t>
  </si>
  <si>
    <t>Non-protected Excess Deferred Taxes</t>
  </si>
  <si>
    <t>408</t>
  </si>
  <si>
    <t>WP/II-E-2.1/1</t>
  </si>
  <si>
    <t xml:space="preserve">  Meals &amp; Entertainment</t>
  </si>
  <si>
    <t xml:space="preserve">  Social Club Dues</t>
  </si>
  <si>
    <t xml:space="preserve">  Commuter Expenses</t>
  </si>
  <si>
    <t xml:space="preserve">  Employee Compensation Plans</t>
  </si>
  <si>
    <t xml:space="preserve">  Deductible State Tax</t>
  </si>
  <si>
    <t xml:space="preserve">  Fuel Expense</t>
  </si>
  <si>
    <t xml:space="preserve">  Other O &amp; M Expense</t>
  </si>
  <si>
    <t xml:space="preserve">  Depreciation and Amortization</t>
  </si>
  <si>
    <t xml:space="preserve">  Taxes Other Than Income</t>
  </si>
  <si>
    <t xml:space="preserve">  Interest on Customer Deposits</t>
  </si>
  <si>
    <t xml:space="preserve">  Interest Expense on Debt (including amount capitalized)</t>
  </si>
  <si>
    <t xml:space="preserve">  Additional Tax Depreciation*</t>
  </si>
  <si>
    <t xml:space="preserve">  Prior Period Adjustments</t>
  </si>
  <si>
    <t xml:space="preserve">  Depreciation Differences</t>
  </si>
  <si>
    <t xml:space="preserve">  Protected Excess Deferred Taxes</t>
  </si>
  <si>
    <t xml:space="preserve">  Non-protected Excess Deferred Taxes</t>
  </si>
  <si>
    <t xml:space="preserve">  Federal Benefit of State Deferred</t>
  </si>
  <si>
    <t>Reg Asset - Efficiency Performance Bonus</t>
  </si>
  <si>
    <t xml:space="preserve">  Oncor liberalized depreciation</t>
  </si>
  <si>
    <t xml:space="preserve">  NTU liberalized depreciation</t>
  </si>
  <si>
    <t xml:space="preserve">  Oncor plant-related basis differences</t>
  </si>
  <si>
    <t xml:space="preserve">  Oncor non-plant temporary differences </t>
  </si>
  <si>
    <t xml:space="preserve">  Oncor excess reserve</t>
  </si>
  <si>
    <t xml:space="preserve">  NTU plant-related basis differences</t>
  </si>
  <si>
    <t xml:space="preserve">  NTU non-plant temporary differences </t>
  </si>
  <si>
    <t xml:space="preserve">  NTU excess reserve</t>
  </si>
  <si>
    <t xml:space="preserve">     Total excess deferred taxes</t>
  </si>
  <si>
    <t>A407</t>
  </si>
  <si>
    <t>Rocky Mound reactive compensation facilities project termination</t>
  </si>
  <si>
    <t>A563,A583</t>
  </si>
  <si>
    <t>Power Line Safety Act PURA § 36066</t>
  </si>
  <si>
    <t>A566,A588</t>
  </si>
  <si>
    <t>COVID19-Incremental Expense</t>
  </si>
  <si>
    <t>A588</t>
  </si>
  <si>
    <t>Self-insurance reserve regulatory asset amortization - to be reviewed (1)</t>
  </si>
  <si>
    <t>Rider CSR - Capital structure refund - over-refund</t>
  </si>
  <si>
    <t>Rider TRF - FIT rate refund - over-refund</t>
  </si>
  <si>
    <t>Prior to Sharyland Exchange</t>
  </si>
  <si>
    <t>2009 - Nov 2017</t>
  </si>
  <si>
    <t>Project terminated Jan 2018</t>
  </si>
  <si>
    <t>To be reviewed in this docket</t>
  </si>
  <si>
    <t>Sep 2017 - Dec 2017</t>
  </si>
  <si>
    <t>Prior to acquisition of Oncor NTU</t>
  </si>
  <si>
    <t>Sync_Int</t>
  </si>
  <si>
    <t>Contributions in Aid of Construction - Oncor</t>
  </si>
  <si>
    <t>Contributions in Aid of Construction - NTU</t>
  </si>
  <si>
    <t>Sec 1031 LKE Basis Difference</t>
  </si>
  <si>
    <t>Audit Adjustments</t>
  </si>
  <si>
    <t>Software</t>
  </si>
  <si>
    <t>Tax Capitalized Interest</t>
  </si>
  <si>
    <t>Other Basis Differences</t>
  </si>
  <si>
    <t>Basis Differences In-service - NTU</t>
  </si>
  <si>
    <t>Basis Differences CWIP - NTU</t>
  </si>
  <si>
    <t>Amo of Organizational Expenditures</t>
  </si>
  <si>
    <t>Reg Asset - Local Gross Receipts Taxes</t>
  </si>
  <si>
    <t>Capitalized Intangibles - NTU</t>
  </si>
  <si>
    <t>Transaction Costs - NTU</t>
  </si>
  <si>
    <t>Excess Reserve - Oncor</t>
  </si>
  <si>
    <t>Excess Reserve - NTU</t>
  </si>
  <si>
    <t>Total Excess Deferred Taxes</t>
  </si>
  <si>
    <t>WP/II-E-3.19</t>
  </si>
  <si>
    <t>Pension Plan</t>
  </si>
  <si>
    <t>II-E-3.18</t>
  </si>
  <si>
    <t>Diff</t>
  </si>
  <si>
    <t>PLTSVC-ONC</t>
  </si>
  <si>
    <t>PLTSVC-NTU</t>
  </si>
  <si>
    <t>Tax Repairs</t>
  </si>
  <si>
    <t>Pension_OPEB Non Srvc Cost</t>
  </si>
  <si>
    <t>DC Tie</t>
  </si>
  <si>
    <t>Non-Operating Income Taxes ***</t>
  </si>
  <si>
    <t>Sch.</t>
  </si>
  <si>
    <t>Ref.</t>
  </si>
  <si>
    <t>Direct Assgn.</t>
  </si>
  <si>
    <t>Amort.</t>
  </si>
  <si>
    <t>Meth.</t>
  </si>
  <si>
    <t>II-E-3.2b</t>
  </si>
  <si>
    <t>Total deferred should be (II-E-3.15)</t>
  </si>
  <si>
    <t>Distribution of operating income tax expense:</t>
  </si>
  <si>
    <t>NTU Book/Tax Depreciation</t>
  </si>
  <si>
    <t>NTU ADFIT</t>
  </si>
  <si>
    <t>Oncor ADFIT</t>
  </si>
  <si>
    <t>WP/II-E-3.8/1, Column (j)</t>
  </si>
  <si>
    <t>Non-protected excess deferred taxes:</t>
  </si>
  <si>
    <t xml:space="preserve">     Total non-protected excess deferred taxes</t>
  </si>
  <si>
    <t>Non-protected plant-related excess deferred taxes</t>
  </si>
  <si>
    <t>Non-protected non-plant-related excess deferred taxes</t>
  </si>
  <si>
    <t>Non-protected excess reserve deferred taxes</t>
  </si>
  <si>
    <t xml:space="preserve">          Total non-protected excess deferred taxes</t>
  </si>
  <si>
    <t>In 1980, TESCO, with assistance of Arthur Andersen &amp; Co., implemented the Tax Accounting and Reporting System (TARS).  In 1984 book, tax and deferred tax data from DP&amp;L and TP&amp;L were combined with TESCO’s TARS as of December 31, 1983.  This system produced all property related schedules for the income tax returns filed during that period.  In addition, TARS maintained detailed vintaged records of all deferred income taxes related to utility plant.  TARS identified book depreciation differences so that deferred taxes were not reversed for an amount in excess of the original deferrals.</t>
  </si>
  <si>
    <t>Effective January 1, 1993, TU Electric converted the income tax and deferred tax information contained in TARS to ACUFILE, an Electronic Data Systems tax depreciation and deferred tax software package.  ACUFILE began producing all property related schedules for the income tax returns filed during that period.  ACUFILE also maintained the detailed vintaged records of deferred income taxes related to utility plant and used a methodology similar to the TARS method previously described for tracking the occurrence and reversal of deferred income taxes.</t>
  </si>
  <si>
    <t>In 2006, TU Electric transitioned from using ACUFILE to a newly developed tax depreciation system named FileMakerPro (FMP).  FMP is a tax depreciation system that was developed by an outside consulting firm working under the direction of the TXU tax department.  FMP is designed to track tax assets at the same level of detail as is being depreciated in the financial depreciation system.  The transition to using FMP provided a tax depreciation system that tracked at the asset level which enhanced TXU’s reporting ability.  FMP tracked tax basis, accumulated depreciation, deferred taxes, and gain/loss on disposal of fixed assets.  FMP was used to calculate tax depreciation and gain/loss for the 2005, 2006 and 2007 Federal Income Tax Returns.</t>
  </si>
  <si>
    <t>Direct Assignment DIST</t>
  </si>
  <si>
    <t>Direct Assignment TDCS</t>
  </si>
  <si>
    <t>Direct Assignment TRAN</t>
  </si>
  <si>
    <t>(x)</t>
  </si>
  <si>
    <t>(y)</t>
  </si>
  <si>
    <t>(z)</t>
  </si>
  <si>
    <t>(aa)</t>
  </si>
  <si>
    <t>(bb)</t>
  </si>
  <si>
    <t>(cc)</t>
  </si>
  <si>
    <t>(dd)</t>
  </si>
  <si>
    <t>(ee)</t>
  </si>
  <si>
    <t>(ff)</t>
  </si>
  <si>
    <t>(gg)</t>
  </si>
  <si>
    <t>(hh)</t>
  </si>
  <si>
    <t>(ii)</t>
  </si>
  <si>
    <t>(jj)</t>
  </si>
  <si>
    <t>(kk)</t>
  </si>
  <si>
    <t>(ll)</t>
  </si>
  <si>
    <t>(mm)</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</si>
  <si>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</si>
  <si>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</si>
  <si>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</si>
  <si>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</si>
  <si>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</si>
  <si>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</si>
  <si>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</si>
  <si>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</si>
  <si>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</si>
  <si>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</si>
  <si>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</si>
  <si>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</si>
  <si>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</si>
  <si>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</si>
  <si>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</si>
  <si>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</si>
  <si>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</si>
  <si>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</si>
  <si>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</si>
  <si>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</si>
  <si>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</si>
  <si>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</si>
  <si>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</si>
  <si>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</si>
  <si>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</si>
  <si>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</si>
  <si>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</si>
  <si>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</si>
  <si>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</si>
  <si>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</si>
  <si>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</si>
  <si>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</si>
  <si>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</si>
  <si>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</si>
  <si>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</si>
  <si>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</si>
  <si>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</si>
  <si>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</si>
  <si>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</si>
  <si>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</si>
  <si>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</si>
  <si>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</si>
  <si>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</si>
  <si>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</si>
  <si>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</si>
  <si>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</si>
  <si>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</si>
  <si>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</si>
  <si>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</si>
  <si>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</si>
  <si>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</si>
  <si>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</si>
  <si>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</si>
  <si>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</si>
  <si>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</si>
  <si>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</si>
  <si>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</si>
  <si>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</si>
  <si>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</si>
  <si>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</si>
  <si>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</si>
  <si>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(wwww)</t>
  </si>
  <si>
    <t>(xxxx)</t>
  </si>
  <si>
    <t>(yyyy)</t>
  </si>
  <si>
    <t>(zzzz)</t>
  </si>
  <si>
    <t>(aaaaa)</t>
  </si>
  <si>
    <t>(bbbbb)</t>
  </si>
  <si>
    <t>(ccccc)</t>
  </si>
  <si>
    <t>(ddddd)</t>
  </si>
  <si>
    <t>(eeeee)</t>
  </si>
  <si>
    <t>(fffff)</t>
  </si>
  <si>
    <t>(ggggg)</t>
  </si>
  <si>
    <t>(hhhhh)</t>
  </si>
  <si>
    <t>(iiiii)</t>
  </si>
  <si>
    <t>(jjjjj)</t>
  </si>
  <si>
    <t>(kkkkk)</t>
  </si>
  <si>
    <t>(lllll)</t>
  </si>
  <si>
    <t>(mmmmm)</t>
  </si>
  <si>
    <t>(nnnnn)</t>
  </si>
  <si>
    <t>(ooooo)</t>
  </si>
  <si>
    <t>(ppppp)</t>
  </si>
  <si>
    <t>(qqqqq)</t>
  </si>
  <si>
    <t>(rrrrr)</t>
  </si>
  <si>
    <t>This is the deferred tax liability for the operating lease asset as a result of ASU 2016-02, Topic 842.</t>
  </si>
  <si>
    <t>P&amp;O Non-Service Cost</t>
  </si>
  <si>
    <t xml:space="preserve">Repair Expense
</t>
  </si>
  <si>
    <t xml:space="preserve">Self Constructed Assets (Mixed Service Costs)
</t>
  </si>
  <si>
    <t>Software Development Costs
Software Amortization</t>
  </si>
  <si>
    <t>For book, rate case expenses are deferred to a regulatory asset and amortized over a period of time as determined by the PUCT. For tax, the expenses are deductible when incurred.</t>
  </si>
  <si>
    <t>For book, self-insured property and liability losses are deferred to a regulatory asset and amortized over a PUCT approved amortization period.  For tax, the losses are deductible as incurred.</t>
  </si>
  <si>
    <t>The difference will reverse as the loss is amortized to interest expense over the life of the related debt.</t>
  </si>
  <si>
    <t>For book, under collected revenues related to the AMS deployment is deferred to a regulatory asset.  For tax, the revenue is taxable when it is collected.</t>
  </si>
  <si>
    <t>The difference will reverse as the AMS regulatory asset is amortized.</t>
  </si>
  <si>
    <t>This balance will reverse as the regulatory asset is amortized.</t>
  </si>
  <si>
    <t>Reg Asset -  Rocky Mound Series Compensator</t>
  </si>
  <si>
    <t>The balance will reverse as the regulatory asset is amortized.</t>
  </si>
  <si>
    <t>Earned vacation carried over to the next year is expensed for books in the current year, but for tax purposes it is expensed when taken.</t>
  </si>
  <si>
    <t>The difference will reverse when the revenue credit is refunded via customer bills.</t>
  </si>
  <si>
    <t>A regulatory asset was acquired as part of the Sharyland transaction related to study and transition to competition costs.  For book, the regulatory asset is amortized per PUCT order.  For tax, the regulatory asset is amortized over 15 years.</t>
  </si>
  <si>
    <t xml:space="preserve">The balance will reverse over a 15 year tax amortization period. </t>
  </si>
  <si>
    <t>* Please see WP/II-B-11 for the required details.</t>
  </si>
  <si>
    <t>A406*</t>
  </si>
  <si>
    <t>Amortization of Electric Plant Acquisition Adjustments - Stanton</t>
  </si>
  <si>
    <t>Prior to 2017 Oncor and Sharyland Exchange</t>
  </si>
  <si>
    <t>Amortization
Period
(Years)</t>
  </si>
  <si>
    <t>Other Deductions *</t>
  </si>
  <si>
    <t>Disposition of Property-Loss</t>
  </si>
  <si>
    <t>Reg Asset Amortization</t>
  </si>
  <si>
    <t>Other Deductions - Total Company</t>
  </si>
  <si>
    <t>WP/II-E-3/4</t>
  </si>
  <si>
    <t>FIN 48 Interest</t>
  </si>
  <si>
    <t>TGMT credits</t>
  </si>
  <si>
    <t>DSIT</t>
  </si>
  <si>
    <t>FIN48 State</t>
  </si>
  <si>
    <t>Reg Liability - Deferred OPEB Cost</t>
  </si>
  <si>
    <t>Reg Liability - Over-Collection of Int Asset Amort</t>
  </si>
  <si>
    <t>Leased Assets</t>
  </si>
  <si>
    <t>Reg Asset - Energy Efficiency Performance Bonus</t>
  </si>
  <si>
    <t xml:space="preserve">  Federal Impact of State Tax Adjustments</t>
  </si>
  <si>
    <t>PP 51000 CY Op + P&amp;O Non-service cost + Elim</t>
  </si>
  <si>
    <t>Excess ADFIT Reserve</t>
  </si>
  <si>
    <t xml:space="preserve">  Excess ADFIT Reserve</t>
  </si>
  <si>
    <t>These timing difference are detailed on Schedule II-E-3.16.</t>
  </si>
  <si>
    <t>A407**</t>
  </si>
  <si>
    <t>** Please see Schedule II-B-12 and II-E-4.1.1 and supporting workpapers for the required details relating to these deferrals and amortization expenses.</t>
  </si>
  <si>
    <t>TOMXFP</t>
  </si>
  <si>
    <t>PURA § 36.064, to be reviewed in this docket</t>
  </si>
  <si>
    <t>PURA § 36.065, to be reviewed in this docket</t>
  </si>
  <si>
    <t>Summary for II-E-1 - Depreciation &amp; Amortization Expense</t>
  </si>
  <si>
    <t>(1) PURA §36.064</t>
  </si>
  <si>
    <t>(2) PURA §36.065</t>
  </si>
  <si>
    <t>(3) Docket No. 41890:  ratepayers that have not elected service pursuant to this opt-out tariff shall not be responsible for any unrecovered costs incurred by Oncor in implementing this tariff schedule.  Reference 16 TAC § 25.133.</t>
  </si>
  <si>
    <t>2017 - 2021</t>
  </si>
  <si>
    <t>Aug 2032</t>
  </si>
  <si>
    <t>Jan 2045</t>
  </si>
  <si>
    <t>or</t>
  </si>
  <si>
    <t>Oct 2019 - Dec 2021</t>
  </si>
  <si>
    <t>Mar 2020 - Dec 2021</t>
  </si>
  <si>
    <t>Nov 2017 - Dec 2021</t>
  </si>
  <si>
    <t>Aug 2018 - Dec 2021</t>
  </si>
  <si>
    <t>Nov 2018 - Dec 2021</t>
  </si>
  <si>
    <t>Other Deductions (pre-tax) *</t>
  </si>
  <si>
    <t>Plus</t>
  </si>
  <si>
    <t>per GAAP income statement</t>
  </si>
  <si>
    <t>Operating Lease Asset</t>
  </si>
  <si>
    <t>Reg Asset - Workers Comp</t>
  </si>
  <si>
    <t>RB impact of Adjs</t>
  </si>
  <si>
    <t>II-E-19</t>
  </si>
  <si>
    <t>Operating Lease Obligation</t>
  </si>
  <si>
    <t>Direct Assignment MET</t>
  </si>
  <si>
    <t>Direct Assignment NTU</t>
  </si>
  <si>
    <t>A589</t>
  </si>
  <si>
    <t>Capital Lease O&amp;M Amortization</t>
  </si>
  <si>
    <t>Total Capital Lease O&amp;M Amortization</t>
  </si>
  <si>
    <t>January 2022</t>
  </si>
  <si>
    <t>00.11</t>
  </si>
  <si>
    <t>00.11: Furn, Fixt, Equip</t>
  </si>
  <si>
    <t>MACRS 7</t>
  </si>
  <si>
    <t>HY</t>
  </si>
  <si>
    <t>00.12</t>
  </si>
  <si>
    <t>00.12: Info Systems</t>
  </si>
  <si>
    <t>MACRS 5</t>
  </si>
  <si>
    <t>00.21</t>
  </si>
  <si>
    <t>00.21: Airplanes</t>
  </si>
  <si>
    <t>00.22</t>
  </si>
  <si>
    <t>00.22: Automobiles</t>
  </si>
  <si>
    <t>00.241</t>
  </si>
  <si>
    <t>00.241: Light Trucks</t>
  </si>
  <si>
    <t>00.242</t>
  </si>
  <si>
    <t>00.242: Heavy Trucks</t>
  </si>
  <si>
    <t>00.27</t>
  </si>
  <si>
    <t>00.27: Trailers</t>
  </si>
  <si>
    <t>00.28</t>
  </si>
  <si>
    <t>00.28: Boats</t>
  </si>
  <si>
    <t>MACRS 10</t>
  </si>
  <si>
    <t>00.3</t>
  </si>
  <si>
    <t>00.3: Land Improv</t>
  </si>
  <si>
    <t>MACRS 15</t>
  </si>
  <si>
    <t>40.4</t>
  </si>
  <si>
    <t>40.4: Railroad Track</t>
  </si>
  <si>
    <t>49.14</t>
  </si>
  <si>
    <t>49.14: Trans &amp; Dist Plnt</t>
  </si>
  <si>
    <t>MACRS 20</t>
  </si>
  <si>
    <t>49.14A</t>
  </si>
  <si>
    <t>49.14A: Trans 4/05-1/11</t>
  </si>
  <si>
    <t>49.14B</t>
  </si>
  <si>
    <t>49.14B: Meters</t>
  </si>
  <si>
    <t>49.14C</t>
  </si>
  <si>
    <t>49.14C: Smart Meters</t>
  </si>
  <si>
    <t>49.14D</t>
  </si>
  <si>
    <t>49.14D Street Lighting</t>
  </si>
  <si>
    <t>57.0</t>
  </si>
  <si>
    <t>57.0: Distr Trades Serv</t>
  </si>
  <si>
    <t>AM15</t>
  </si>
  <si>
    <t>AM15: 197 Amortization</t>
  </si>
  <si>
    <t>SL 15</t>
  </si>
  <si>
    <t>MM</t>
  </si>
  <si>
    <t>LH</t>
  </si>
  <si>
    <t>LH: LH Improv</t>
  </si>
  <si>
    <t>MACRS 39</t>
  </si>
  <si>
    <t>LR46</t>
  </si>
  <si>
    <t>LR46: Easements 46 Yr</t>
  </si>
  <si>
    <t>SL 46</t>
  </si>
  <si>
    <t>LR84</t>
  </si>
  <si>
    <t>LR84: Easements 84 Yr</t>
  </si>
  <si>
    <t>SL 84</t>
  </si>
  <si>
    <t>ND</t>
  </si>
  <si>
    <t>ND: Non Depr</t>
  </si>
  <si>
    <t>None</t>
  </si>
  <si>
    <t>RP</t>
  </si>
  <si>
    <t>RP: RP 81-86 &amp; Post92</t>
  </si>
  <si>
    <t>TRAN TOTAL</t>
  </si>
  <si>
    <t>NTU TRAN TOTAL</t>
  </si>
  <si>
    <t>DC TIE TOTAL</t>
  </si>
  <si>
    <t>DIST TOTAL</t>
  </si>
  <si>
    <t>NTU DIST TOTAL</t>
  </si>
  <si>
    <t>MET TOTAL</t>
  </si>
  <si>
    <t>TDCS TOTAL</t>
  </si>
  <si>
    <t>Total Federal Income Taxes Before Adjustments</t>
  </si>
  <si>
    <t xml:space="preserve">    Meals and Entertainment</t>
  </si>
  <si>
    <t xml:space="preserve">    Depreciation Differences</t>
  </si>
  <si>
    <t xml:space="preserve">    Employee Compensation Plans</t>
  </si>
  <si>
    <t>EPIS - Flow Through Gross-up</t>
  </si>
  <si>
    <t>CWIP - Flow Through Gross-up</t>
  </si>
  <si>
    <t>CIAC and Relocation</t>
  </si>
  <si>
    <t>Reg Asset - Deferred Pension &amp; OPEB Costs</t>
  </si>
  <si>
    <t>Reg Asset - Deferred Mobile Generator Costs</t>
  </si>
  <si>
    <t>Reg Asset - Wholesale Distribution Substation Service</t>
  </si>
  <si>
    <t>Pension/OPEB - Gross-up</t>
  </si>
  <si>
    <t>Pension Plan Liability</t>
  </si>
  <si>
    <t>Tax Capitalized Interest
AFUDC Debt</t>
  </si>
  <si>
    <t>Remove ADFIT consistent with treatment of underlying temporary difference</t>
  </si>
  <si>
    <t>Adjust ADFIT consistent with treatment of underlying temporary difference</t>
  </si>
  <si>
    <t>Bonnie L. Clutter</t>
  </si>
  <si>
    <t>The difference will increase/ decrease per the value of the operating leases.</t>
  </si>
  <si>
    <t>For regulatory purposes, a portion of the pension and OPEB non-service costs is capitalized and depreciated.  For GAAP purposes, the non-service cost is not capitalized and instead deferred to a regulatory asset.  As the cost are deferred, a deferred tax liability is recorded which offsets the deferred tax asset on the pension and OPEB plan liabilities.  Pension &amp; OPEB costs are deductible as qualified contributions are made.</t>
  </si>
  <si>
    <t>For book, CIAC for new construction and relocations are recorded as a reduction to book basis to offset the  reimbursed asset.  For tax, CIAC and relocations not subject to eminent domain are taxable when received, included in tax basis, and depreciated.  The company has a two year reinvestment window for relocations subject to eminent domain before the proceeds become taxable.</t>
  </si>
  <si>
    <t>For book, the loss on settlement of interest rate swaps is recorded to OCI and amortized to interest expense over the life of the related debt.  For tax, the loss is deductible on the settlement date.</t>
  </si>
  <si>
    <t xml:space="preserve">For book, pension and OPEB costs in excess of what has been allowed in rates are deferred to a regulatory asset.  The deferred costs are reviewed in rate proceedings before the PUCT and, if allowed, are amortized over an agreed upon amortization period.  For tax, the deferred benefit expense (credit to expense) is not taxable.  Pension and OPEB costs are deductible as qualifying contributions are made.     </t>
  </si>
  <si>
    <t>For book, debt reacquisition costs are amortized over the life of the original debt.  For tax, the costs are deductible when paid.</t>
  </si>
  <si>
    <t>For book, TCRF revenues are reconcilable and any over or under collection is deferred to a regulatory asset.  For tax, TCRF revenues are taxable when received.</t>
  </si>
  <si>
    <t>For book, uncollectible accounts receivable from REPS are deferred to a regulatory asset to be amortized upon approval in a rate proceeding.  For tax, the uncollectible accounts receivable is deductible when the A/R is removed from the books.</t>
  </si>
  <si>
    <t>For book, the expense Oncor incurs for Sharyland's wholesale distribution substation service (WDSS) tariff is deferred to a regulatory asset.  For tax, the WDSS expense is deductible when paid.</t>
  </si>
  <si>
    <t>For book, expenses incurred for a project initiated by the PUCT which was later cancelled were deferred to a regulatory asset.  For tax, the expenses were deductible when paid.</t>
  </si>
  <si>
    <t>For book, expenses related to the Power Line Safety Act are being deferred to a regulatory asset.  For tax, the expenses are deductible when paid.</t>
  </si>
  <si>
    <t>For book, incremental expenses resulting from the effects of the Covid-19 pandemic are deferred to a regulatory asset.  For tax, the expenses are deductible when paid.</t>
  </si>
  <si>
    <t>Gain/Loss on Derivatives</t>
  </si>
  <si>
    <t>This is the deferred tax asset for the operating lease liability as a result of ASU 2016-02, Topic 842.</t>
  </si>
  <si>
    <t>The difference will increase / decrease per the value of the operating leases.</t>
  </si>
  <si>
    <t>For book, a regulatory liability was recorded related to Oncor's capital structure being different than the approved capital structure in Docket 46957.  The reduction in book revenue is not deductible until there is a refund to the customers.</t>
  </si>
  <si>
    <t>For book, a regulatory liability was recorded related to the change in FIT rates not reflected in billed tariffs approved in Docket. 46957.  The reduction in  book revenue is not deductible for tax until there is a refund to customers.</t>
  </si>
  <si>
    <t xml:space="preserve">For book, OPEB costs that are less what is allowed in rates are deferred to a regulatory liability.  The over-collected amounts will be returned to customers upon approval from the PUCT.  For tax, OPEB costs are deductible as qualifying contributions are made.     </t>
  </si>
  <si>
    <t>The difference will reverse as the over-collected amounts are returned to customers.</t>
  </si>
  <si>
    <t>For book, a regulatory liability was set-up to account for the over-billing of intangible software that had been amortized beyond its useful life.  For tax, the refund to customers will be deductible when paid.</t>
  </si>
  <si>
    <t>The difference will reverse as the over-collected amount is returned to customers.</t>
  </si>
  <si>
    <t>The balance will reverse when the last payment is made to the participants in this plan.</t>
  </si>
  <si>
    <t>For book, the net periodic costs are expensed and accrued to the liability accounts based on actuarial studies that determine the expected benefit obligation, in accordance with FAS 106 and FAS 112.  For tax, the actual payments to employees or contributions to a qualified plan are deductible.</t>
  </si>
  <si>
    <t>For book, the compensation that is deferred is amortized either over a seven year period or in the year that the employee performs the service. For tax, a deduction is allowed when there are distributions to participants in the plan.</t>
  </si>
  <si>
    <t>The difference will reverse when all of the liabilities for this plan have been paid to the eligible participants in these plans.</t>
  </si>
  <si>
    <t xml:space="preserve">Reg Asset - NTU Transition Costs </t>
  </si>
  <si>
    <t>For book, lease expense on the 777 Main St. office building in Fort Worth is being accrued monthly, but payments, due to a one year rent holiday, are on a one year lag.  For tax, the lease expense will be deductible when the lease payments are made.</t>
  </si>
  <si>
    <t>Approved in Docket No. 41890</t>
  </si>
  <si>
    <t>II-E-3.5</t>
  </si>
  <si>
    <t>Property-related ADFIT Liabilities</t>
  </si>
  <si>
    <t>Non-property-related ADFIT Liabilities</t>
  </si>
  <si>
    <t>Less:  ADFIT Assets</t>
  </si>
  <si>
    <t>Net ADFIT Liabilities (Assets)</t>
  </si>
  <si>
    <t>Accumulated Deferred Federal Income Taxes:</t>
  </si>
  <si>
    <t>Sub-Total ADFIT Liabilities</t>
  </si>
  <si>
    <t>Sub-Total ADFIT Assets</t>
  </si>
  <si>
    <t>Adjustments to ADFIT Liabilities</t>
  </si>
  <si>
    <t>Adjustments to ADFIT Assets</t>
  </si>
  <si>
    <t>Ln 4</t>
  </si>
  <si>
    <t>Ln 5</t>
  </si>
  <si>
    <t>Ln 13</t>
  </si>
  <si>
    <t>Ln 44</t>
  </si>
  <si>
    <t>Ln 45</t>
  </si>
  <si>
    <t>Ln 51</t>
  </si>
  <si>
    <t>Ln 68</t>
  </si>
  <si>
    <t>Ln 73</t>
  </si>
  <si>
    <t>Ln 78</t>
  </si>
  <si>
    <t>Accelerated deductions taken for tax in prior years for losses incurred due to federal disaster declarations.</t>
  </si>
  <si>
    <t>Ln 81</t>
  </si>
  <si>
    <t>WP/II-E-3.19/1</t>
  </si>
  <si>
    <t>WP/II-E-3.9/1</t>
  </si>
  <si>
    <t>Functionalization Factor Name</t>
  </si>
  <si>
    <t>Tax Credits:</t>
  </si>
  <si>
    <t>(4) Reference Schedule II-E-4.5 Rate Case Expenses.</t>
  </si>
  <si>
    <t>*  For test period amount, net of accounts 410.1 &amp; 411.1; for amount requested, net of amounts shown on Analysis of Federal Income Taxes.</t>
  </si>
  <si>
    <t>** From amounts included in Analysis of Federal Income Taxes.</t>
  </si>
  <si>
    <t>Oth Ded - Misc Amortization</t>
  </si>
  <si>
    <t>Oth Ded - Penalties</t>
  </si>
  <si>
    <t>Oth Ded - Pac</t>
  </si>
  <si>
    <t>Oth Ded - Lobbying - NonOper</t>
  </si>
  <si>
    <t>Oth Ded - Lobbying PAC NonOper</t>
  </si>
  <si>
    <t>Oth Ded - Other Non Operating</t>
  </si>
  <si>
    <t>CFIT Exp - Curr Other Income</t>
  </si>
  <si>
    <t>CSIT Exp - Curr Other Income</t>
  </si>
  <si>
    <t>DFIT Exp - Other Income</t>
  </si>
  <si>
    <t>DFIT Exp - Other Income - Cr</t>
  </si>
  <si>
    <t>* Other Deductions for GAAP shown below, beginning line 26.</t>
  </si>
  <si>
    <t>** See WP/II-E-3/2 for the reconciliation of non-operating income taxes.</t>
  </si>
  <si>
    <t>Line 10 shown above</t>
  </si>
  <si>
    <t>Sch II-B-13</t>
  </si>
  <si>
    <t>Sch II-E-1 (Recoverable non-service costs pension and OPEBs reclassed from A403 for GAAP presentation)</t>
  </si>
  <si>
    <t>Sch II-D-2, Line 9 (Recoverable non-service costs pension and OPEBs reclassed from account 926 for GAAP presentation)</t>
  </si>
  <si>
    <t>Rate Case Expenses - 2021 Test Year, Docket No. 53601 (Post-Cutoff)</t>
  </si>
  <si>
    <t>Rate Case Expenses - DCRF Case, Docket No. 55190</t>
  </si>
  <si>
    <t>Rate Case Expenses - DCRF Case, Docket No. 55525</t>
  </si>
  <si>
    <t>Rate Case Expenses - DCRF Case, Docket No. 56306</t>
  </si>
  <si>
    <t>Rate Case Expenses - DCRF Case, Docket No. 56963</t>
  </si>
  <si>
    <t>Rate Case Expenses - DCRF Case, Docket No. 57707</t>
  </si>
  <si>
    <t>Rate Case Expenses - December 2024 Test Year Rate Case (Estimate)</t>
  </si>
  <si>
    <t>A351.1</t>
  </si>
  <si>
    <t>Computer Hardware</t>
  </si>
  <si>
    <t>A351.2</t>
  </si>
  <si>
    <t>Computer Software</t>
  </si>
  <si>
    <t>A351.3</t>
  </si>
  <si>
    <t>A363.1</t>
  </si>
  <si>
    <t>A363.2</t>
  </si>
  <si>
    <t>A363.3</t>
  </si>
  <si>
    <t>A397.1</t>
  </si>
  <si>
    <t>A397.2</t>
  </si>
  <si>
    <t>A397.3</t>
  </si>
  <si>
    <t xml:space="preserve">Reg Asset - HB 2483 Long Lead Materials </t>
  </si>
  <si>
    <t>Reg Asset - SRP-O&amp;M</t>
  </si>
  <si>
    <t>Reg Asset - SRP-VM</t>
  </si>
  <si>
    <t>Reg Asset - SRP-O&amp;M - FBOS</t>
  </si>
  <si>
    <t>Reg Asset - SRP-VM - FBOS</t>
  </si>
  <si>
    <t>Docket No. 53601 Disallowance</t>
  </si>
  <si>
    <t>FIN 48 Tax and Interest</t>
  </si>
  <si>
    <t>** All ad valorem taxes during the test year were paid to jurisdictions within the state of Texas.  $232,152,532 was paid in Q1 2025, subsequent to the test year end, for the 2024 tax year.</t>
  </si>
  <si>
    <t>Under the terms of the Tax Sharing Agreement, Oncor Electric Delivery Company LLC records taxes as if it were a separate corporation even thought it files a partnership information tax return.  Oncor can utilize tax attributes, including net operating losses ("NOL" or "NOLs"), as applicable as if it filed a separate return with the Internal Revenue Service.  Any taxable loss can be carried forward to offset any taxable income in those years.  If Oncor should have a taxable loss it can be carried forward and a deferred tax asset would be set up since the company will be able to offset the carryforward loss against future taxable income.  The following entry is made when the deferred tax asset is set up:</t>
  </si>
  <si>
    <t>As of December 31, 2024, Oncor has a zero balance in accumulated deferred federal income taxes related to NOLs.</t>
  </si>
  <si>
    <t>General Business Credit</t>
  </si>
  <si>
    <t>FIN 48 Tax and  Interest</t>
  </si>
  <si>
    <t xml:space="preserve">  Oncor cost of removal</t>
  </si>
  <si>
    <t xml:space="preserve">  NTU cost of removal</t>
  </si>
  <si>
    <t>Cost of Removal - NTU</t>
  </si>
  <si>
    <t>Method/Life Depreciation - Oncor</t>
  </si>
  <si>
    <t>Method/Life Depreciation - NTU</t>
  </si>
  <si>
    <t>Book Lives</t>
  </si>
  <si>
    <t>Net ADIT at December 31, 2024 Per Books</t>
  </si>
  <si>
    <t>Adjusted Total at December 31, 2024</t>
  </si>
  <si>
    <t>System Resiliency Plan</t>
  </si>
  <si>
    <t>Rent from Property and ROW</t>
  </si>
  <si>
    <t>Total Cost of Ownership - NTUSU</t>
  </si>
  <si>
    <t>Total Cost of Ownership - Sharyland</t>
  </si>
  <si>
    <t>DC Ties with Investment</t>
  </si>
  <si>
    <t>DC Ties without Investment</t>
  </si>
  <si>
    <t>WP/II-E-3.18</t>
  </si>
  <si>
    <t>Cont. 5 yr from Docket No. 53601</t>
  </si>
  <si>
    <t xml:space="preserve">Book Lives </t>
  </si>
  <si>
    <t>2024</t>
  </si>
  <si>
    <t>2023</t>
  </si>
  <si>
    <t>No new elections applicable to the Company have been made since the last test year ending December 31, 2021.</t>
  </si>
  <si>
    <t xml:space="preserve">The statute of limitations is open for our partnership tax returns for the years beginning after December 31, 2020.  There are no IRS audits currently active.  </t>
  </si>
  <si>
    <t>Ln 33</t>
  </si>
  <si>
    <t>Ln 6</t>
  </si>
  <si>
    <t>Ln 14</t>
  </si>
  <si>
    <t>Reclass to ADFIT for FAS 112</t>
  </si>
  <si>
    <t>Reclass from ADFIT for workers compensation</t>
  </si>
  <si>
    <t>Ln 58</t>
  </si>
  <si>
    <t>Ln 59</t>
  </si>
  <si>
    <t>Remove ADFIT consistent with treatment of underlying temporary difference - disallowed</t>
  </si>
  <si>
    <t>Adjust ADFIT for reconciling difference</t>
  </si>
  <si>
    <t>Ln 67</t>
  </si>
  <si>
    <t>Ln 70</t>
  </si>
  <si>
    <t>Ln 79</t>
  </si>
  <si>
    <t>Ln 9</t>
  </si>
  <si>
    <t>Ln 31</t>
  </si>
  <si>
    <t>For assets acquired or placed into service January 2022 through December 31, 2024.</t>
  </si>
  <si>
    <t>There are no Investment Tax Credits related to any additions placed into service January 1, 2022 through December 31, 2024.</t>
  </si>
  <si>
    <t>2022 Tax Additions</t>
  </si>
  <si>
    <t>2023 Tax Additions</t>
  </si>
  <si>
    <t>2024 Tax Additions</t>
  </si>
  <si>
    <t>2025 Forecast Depr on Oncor V2022-V2024 and NTU</t>
  </si>
  <si>
    <t>2024 Depr on Oncor V2022-V2024 and NTU</t>
  </si>
  <si>
    <t>2026 Forecast Depr on Oncor V2022-V2024 and NTU</t>
  </si>
  <si>
    <t>ADFIT for Oncor V2022-V2024 and NTU at 12/31/2024</t>
  </si>
  <si>
    <t>00.13</t>
  </si>
  <si>
    <t>00.13: Data Handling Eq</t>
  </si>
  <si>
    <t xml:space="preserve">    General Business Credit</t>
  </si>
  <si>
    <t xml:space="preserve">    FIN 48 Tax and Interest</t>
  </si>
  <si>
    <t xml:space="preserve">  Non-protected excess excluding COR</t>
  </si>
  <si>
    <t xml:space="preserve">  Non-protected excess for COR</t>
  </si>
  <si>
    <t xml:space="preserve">  Non-protected excess reserve</t>
  </si>
  <si>
    <t>2018 Amended Return</t>
  </si>
  <si>
    <t>2019 - 2021 Amended Returns</t>
  </si>
  <si>
    <t>Regulatory Asset - HB 2483 Long Lead Time Materials</t>
  </si>
  <si>
    <t>Reg Asset - Residential Interim Rates</t>
  </si>
  <si>
    <t>Reg Asset - Rocky Mond Series Compensator</t>
  </si>
  <si>
    <t>Reg Asset - Other Reg Assets by Project</t>
  </si>
  <si>
    <t>Dckt 53601 Disallowance Contra</t>
  </si>
  <si>
    <t>Reg Asset - SRP - O&amp;M</t>
  </si>
  <si>
    <t>Reg Asset - SRP - VM</t>
  </si>
  <si>
    <t>This schedule is manual input from PowerPlan</t>
  </si>
  <si>
    <t>I-A</t>
  </si>
  <si>
    <t>Requested s/b $0 bc state in taxes other than income</t>
  </si>
  <si>
    <t>(b) Does not include state/TGMT; (d) does include state/TGMT</t>
  </si>
  <si>
    <t>Deferred Unbilled AMCRF Reg Liability</t>
  </si>
  <si>
    <t>Deferred Unbilled RCE Reg Liability</t>
  </si>
  <si>
    <t>Current - Line 96 should be</t>
  </si>
  <si>
    <t xml:space="preserve">Line 96 is </t>
  </si>
  <si>
    <t xml:space="preserve">TI - Line 87 should be </t>
  </si>
  <si>
    <t>Line 87 is</t>
  </si>
  <si>
    <t>Acquisition Adjustments Approved in Docket No. 53601:</t>
  </si>
  <si>
    <t>Dockets 44671, 45054-CCN, 46957, 53601</t>
  </si>
  <si>
    <t>Docket No. 46957 rates (Nov 27, 2017)</t>
  </si>
  <si>
    <t>Dockets 47469, 46957, 53601</t>
  </si>
  <si>
    <t>Total Acquisition Adjustments &amp; Related Account 406 amortization expense</t>
  </si>
  <si>
    <t>Under-recovered AMS</t>
  </si>
  <si>
    <t>Dockets 35718,39552,41814,46957,49721, 53601</t>
  </si>
  <si>
    <t>May 1, 2023 (Docket 53601 rates)</t>
  </si>
  <si>
    <t>Apr 2028 (Dkt No. 53601 five-year amortization)</t>
  </si>
  <si>
    <t>Wholesale Distribution Substation Service</t>
  </si>
  <si>
    <t>Dockets 46957, 48929, 53601</t>
  </si>
  <si>
    <t>Dockets 33672, 37902, 38517, 53601</t>
  </si>
  <si>
    <t>Over-collection - Intangible Asset Over-Amortization (TRAN)</t>
  </si>
  <si>
    <t>Docket 53601</t>
  </si>
  <si>
    <t>Over-collection - Intangible Asset Over-Amortization (DIST)</t>
  </si>
  <si>
    <t>Docket 49827, 53601</t>
  </si>
  <si>
    <t>Docket 50664, 53601</t>
  </si>
  <si>
    <t>Bad Debt Expenses (Defaulted REPs - 16 TAC § 25.107, bad debt expense (5))</t>
  </si>
  <si>
    <t>Dec 2017 - Dec 2021</t>
  </si>
  <si>
    <t>Self-insurance reserve (1)</t>
  </si>
  <si>
    <t>PURA § 36.064, Docket 53601</t>
  </si>
  <si>
    <t>through Dec 2021</t>
  </si>
  <si>
    <t>Self-insurance reserve - NTU (1)</t>
  </si>
  <si>
    <t>Pension regulatory asset (2)</t>
  </si>
  <si>
    <t>PURA § 36.065, Docket 53601</t>
  </si>
  <si>
    <t>OPEB regulatory liability (2)</t>
  </si>
  <si>
    <t>Acquisition Regulatory Asset (Study Costs/Transition to Comp - NTU)</t>
  </si>
  <si>
    <t>Dockets 40537, 41430, 41474, 48929, 53601</t>
  </si>
  <si>
    <t>Sharyland Residential Interim Rates</t>
  </si>
  <si>
    <t>Dockets 45414, 47469, 53601</t>
  </si>
  <si>
    <t>Dockets 46957, 48522, 53601</t>
  </si>
  <si>
    <t>Docket 48325, 53601</t>
  </si>
  <si>
    <t>Total Five-Year Amortizations Approved in Docket No. 53601</t>
  </si>
  <si>
    <t>HB 2483 Mobile generator capital leases (TEEEF PURA Sec. 39.918)</t>
  </si>
  <si>
    <t>HB 2483, PURA § 39.918, Dockets 53601, 56306</t>
  </si>
  <si>
    <t>SRP Regulatory Asset - SRP Operating Expenses</t>
  </si>
  <si>
    <r>
      <t xml:space="preserve">PURA Sec. 38.078, 16 TAC </t>
    </r>
    <r>
      <rPr>
        <sz val="10"/>
        <rFont val="Calibri"/>
        <family val="2"/>
      </rPr>
      <t>§</t>
    </r>
    <r>
      <rPr>
        <sz val="8.5"/>
        <rFont val="Arial"/>
        <family val="2"/>
      </rPr>
      <t xml:space="preserve"> </t>
    </r>
    <r>
      <rPr>
        <sz val="10"/>
        <rFont val="Arial"/>
        <family val="2"/>
      </rPr>
      <t>25.62, Docket 56545, DCRF Docket #</t>
    </r>
  </si>
  <si>
    <t>Beginning November 2024 after approval of Docket No. 56545 SRP</t>
  </si>
  <si>
    <t>SRP Regulatory Asset - SRP Vegetation Management Operating Expenses</t>
  </si>
  <si>
    <t>Dockets 46957, 48929, 53601, post 2021 to be reviewed in this docket</t>
  </si>
  <si>
    <t>Jan 2022 - Apr 2023</t>
  </si>
  <si>
    <t>With rates approved in this docket</t>
  </si>
  <si>
    <t>Docket No. 53601, post 2021 to be reviewed in this docket</t>
  </si>
  <si>
    <t>2022-2024</t>
  </si>
  <si>
    <t>Power Line Safety Act PURA § 36.066</t>
  </si>
  <si>
    <t>Docket 50664, to be reviewed in this docket</t>
  </si>
  <si>
    <t>2022-Q1 2023</t>
  </si>
  <si>
    <t>Self-insurance reserve regulatory asset amortization - to be reviewed - NTU (1)</t>
  </si>
  <si>
    <t>2022-2023</t>
  </si>
  <si>
    <t>Interest-rate savings Dkt 47675 &amp; 55453</t>
  </si>
  <si>
    <t>Docket No. 47675 &amp; 55453 (final refund)</t>
  </si>
  <si>
    <t>March 2018-Dec 2023 refund (cancel/rebills through Dec 2024)</t>
  </si>
  <si>
    <t>2018 - 2022 (Docket No. 53601 Order on Rehearing page 36)</t>
  </si>
  <si>
    <t>Fully amortized February 2025</t>
  </si>
  <si>
    <t>February 21, 2025 (Docket No. 57799)</t>
  </si>
  <si>
    <t>Regulatory asset amortizations recognized January 1, 2022 through April 30, 2023 while Docket No. 46957 rates were in effect:</t>
  </si>
  <si>
    <t>Under-recovered AMS - as approved in Dkt 46957</t>
  </si>
  <si>
    <t>Bad Debt Expenses (Defaulted REPs - 16 TAC § 25.107, bad debt expense (5)) - as approved in Dkt 46957</t>
  </si>
  <si>
    <t>Self-insurance reserve regulatory asset - as approved in Dkt 46957 (1)</t>
  </si>
  <si>
    <t>Pension regulatory asset amortization - as approved in Dkt 46957 (2)</t>
  </si>
  <si>
    <t>OPEB regulatory asset amortization - as approved in Dkt 46957 (2)</t>
  </si>
  <si>
    <t>Amortizations were recognized Jan 1, 2022 through Apr 30, 2023 until Docket 53601 rates were effective May 1, 2023</t>
  </si>
  <si>
    <t>Direct Assigned (Dkt 53601)</t>
  </si>
  <si>
    <t>Total Amortization in Account 406</t>
  </si>
  <si>
    <t>Total Amortization in Account 407</t>
  </si>
  <si>
    <t>Total Capital Lease Amortization</t>
  </si>
  <si>
    <t>Total Amortization in O&amp;M Expense Accounts</t>
  </si>
  <si>
    <t>Docket 53601 Approved</t>
  </si>
  <si>
    <t>Unamortized Amt / Amort Exp.</t>
  </si>
  <si>
    <t xml:space="preserve">  General Business Credit</t>
  </si>
  <si>
    <t xml:space="preserve">  FIN 48 Tax</t>
  </si>
  <si>
    <t xml:space="preserve">  FIN 48 Interest</t>
  </si>
  <si>
    <t xml:space="preserve">Total - Line 112 should be </t>
  </si>
  <si>
    <t>Line 112 is</t>
  </si>
  <si>
    <t>Deferred - Line 108 plus Line 110 should be</t>
  </si>
  <si>
    <t>Line 108 plus Line 110 is</t>
  </si>
  <si>
    <t>FIN 48 Tax</t>
  </si>
  <si>
    <t>Non-operating income taxes</t>
  </si>
  <si>
    <t>Line 18 shown above</t>
  </si>
  <si>
    <t>Tax Effect of items included in RFP</t>
  </si>
  <si>
    <t>Cost of removal is not vintaged; therefore, the total ADFIT balance is shown.</t>
  </si>
  <si>
    <t>Ln 10</t>
  </si>
  <si>
    <t>PLTSVC-ONC (Dkt 53601)</t>
  </si>
  <si>
    <t>PLTSVC-NTU (Dkt 53601)</t>
  </si>
  <si>
    <t>December 2021 - 2022</t>
  </si>
  <si>
    <t>A902</t>
  </si>
  <si>
    <t>A908</t>
  </si>
  <si>
    <t>Reg Asset Fully Amortized November 26, 2022</t>
  </si>
  <si>
    <t>January 2029 &amp; May 2029</t>
  </si>
  <si>
    <t>2021 Test Year, Docket No. 53601 (Post-Cutoff)</t>
  </si>
  <si>
    <t>DCRF Case, Docket No. 55190</t>
  </si>
  <si>
    <t>DCRF Case, Docket No. 55525</t>
  </si>
  <si>
    <t>DCRF Case, Docket No. 56306</t>
  </si>
  <si>
    <t>DCRF Case, Docket No. 56963</t>
  </si>
  <si>
    <t>DCRF Case, Docket No. 57707</t>
  </si>
  <si>
    <t>A442</t>
  </si>
  <si>
    <t>Nov 2022 - Feb 2025</t>
  </si>
  <si>
    <t>July 2023 - Dec 2024</t>
  </si>
  <si>
    <t>Jan 2024 - Oct 2024</t>
  </si>
  <si>
    <t>Jan 2024 - Feb 2025</t>
  </si>
  <si>
    <t>May 2024 - Oct 2024</t>
  </si>
  <si>
    <t>Aug 2024 - Feb 2025</t>
  </si>
  <si>
    <t>MISC. OTHER EXPENSES FROM SCHEDULE II-E-4</t>
  </si>
  <si>
    <t>Ln 27</t>
  </si>
  <si>
    <t>Remove ADFIT on EEPB per 16 TAC 25.182(e)(7)</t>
  </si>
  <si>
    <t>Ln 32</t>
  </si>
  <si>
    <t>Ln 37</t>
  </si>
  <si>
    <t>Ln 46</t>
  </si>
  <si>
    <t>make sure they tie</t>
  </si>
  <si>
    <t>Rate Case Expenses - 2021 Test Year, Docket No. 53601 (Post-Cutoff) ***</t>
  </si>
  <si>
    <t>Rate Case Expenses - DCRF Case, Docket No. 55190 ***</t>
  </si>
  <si>
    <t>Rate Case Expenses - DCRF Case, Docket No. 55525 ***</t>
  </si>
  <si>
    <t>Rate Case Expenses - DCRF Case, Docket No. 56306 ***</t>
  </si>
  <si>
    <t>Rate Case Expenses - DCRF Case, Docket No. 56963 ***</t>
  </si>
  <si>
    <t>Rate Case Expenses - DCRF Case, Docket No. 57707 ***</t>
  </si>
  <si>
    <t>Rate Case Expenses - December 2024 Test Year Rate Case (Estimate) ***</t>
  </si>
  <si>
    <t>*** Requesting a One-Year recovery through a RCE Rider</t>
  </si>
  <si>
    <t>A165 (Dkt 53601)</t>
  </si>
  <si>
    <t>A926 (Dkt 53601)</t>
  </si>
  <si>
    <t>Sync_Int (Dkt 53601)</t>
  </si>
  <si>
    <t>PAYXAG (Dkt 53601)</t>
  </si>
  <si>
    <t>A925 (Dkt 53601)</t>
  </si>
  <si>
    <t>A920 (Dkt 53601)</t>
  </si>
  <si>
    <t>TCS_ONC (Dkt 53601)</t>
  </si>
  <si>
    <t>CS-NET</t>
  </si>
  <si>
    <t>4.  The Company does not pay ad valorem taxes on plant leased to others.</t>
  </si>
  <si>
    <t>Reg Asset - Deferred Long Lead Tim Materials Costs</t>
  </si>
  <si>
    <t>For book, expenses incurred related to the long-lead time materials are deferred to a regulatory asset.  For tax, the expenses are deductible when incurred.</t>
  </si>
  <si>
    <t>Reg Asset - SRP O&amp;M
Reg Asset - SRP VM</t>
  </si>
  <si>
    <t>Other Franchise Taxes</t>
  </si>
  <si>
    <t>In 2008, Oncor began a transition process to transition data from FMP Tax to the industry-leading fixed asset management application, PowerTax.  PowerTax is an actual tax depreciation and deferred tax system, designed specifically for the utility industries (electric, gas, water, telecom) or other asset intensive companies.  It is also a data gathering and preparation system, collecting and processing book transactions and M-Items using built-in routines.  PowerTax was used to calculate tax depreciation and gain/loss since for the 2008 through 2022 Federal Income Tax Return.</t>
  </si>
  <si>
    <t xml:space="preserve">The protected excess deferreds that were historically tracked using ACUFILE were transitioned into PowerTax.  PowerTax was used to calculate protected excess deferreds and reverse flow throughs from 2008 through 2023.  </t>
  </si>
  <si>
    <t>In 2024, Oncor migrated its tax depreciation, plant-related ADFIT, and protected excess deferreds data to Tax Fixed Assets (TFA).  TFA is PowerPlan’s next-generation replacement of PowerTax and, like PowerTax, is specifically designed for the utility industries and other asset-intensive companies.  TFA, like PowerTax before it, supports full normalization, partial normalization, and flow through of method, life, cost of removal, and basis differences.  TFA was used to calculate tax depreciation and gain/loss since for the 2023 Federal Income Tax Return. TFA has been used to track protected excess deferreds and reverse flow throughs since 2024.</t>
  </si>
  <si>
    <t>2.  No penalties paid by the Company relating to ad valorem taxes have been included in cost of service.</t>
  </si>
  <si>
    <t>Two-Year Recovery Approved in Docket No. 53601:</t>
  </si>
  <si>
    <t>II-E-4.5</t>
  </si>
  <si>
    <t>Adj. #13</t>
  </si>
  <si>
    <t>Adj. #12</t>
  </si>
  <si>
    <t>Adj. #14</t>
  </si>
  <si>
    <t>Adj. #15</t>
  </si>
  <si>
    <t>Adj. #16</t>
  </si>
  <si>
    <t>Adj. #17</t>
  </si>
  <si>
    <t>Adj. #18</t>
  </si>
  <si>
    <t>Adj. #19</t>
  </si>
  <si>
    <t>Adj. #20</t>
  </si>
  <si>
    <t>Adj. #21</t>
  </si>
  <si>
    <t xml:space="preserve">         DC Ties without Investment</t>
  </si>
  <si>
    <t>Beginning Book Plant Balance Subject to Ad Valorem Tax*</t>
  </si>
  <si>
    <t>Adjusted Taxable Value of Plant Subject to Ad Valorem Tax*</t>
  </si>
  <si>
    <t>Adjusted Ad Valorem Tax Expense*</t>
  </si>
  <si>
    <t>* Amounts exclude non-utility plant, SPS acquisition adjustment, and prior period adjustments.</t>
  </si>
  <si>
    <t xml:space="preserve">   Taxes paid to jurisdictions outside the state of Texas during 2023, 2022, and 2021 were $14,621, $13,975, and $41,741, respectively.</t>
  </si>
  <si>
    <t>Gain / Loss on Derivatives</t>
  </si>
  <si>
    <t>Reg Asset - SRP O&amp;M - FBOS
Reg Asset - SRP VM - FBOS</t>
  </si>
  <si>
    <t>These balances represent the federal tax benefit of the system resiliency plan (SRP) O&amp;M and vegetation management regulatory assets.</t>
  </si>
  <si>
    <t>For book, this is the regulatory liability, ordered by PUCT in Docket No. 47675, for the interest rate savings arising from the Sempra transaction.  The reduction in book revenue is not deductible until there is a refund to customers.</t>
  </si>
  <si>
    <t>The balance will reverse as costs are incurred for the energy efficiency program.</t>
  </si>
  <si>
    <t>The balance will reverse as the lease payments are made.</t>
  </si>
  <si>
    <t>For book purposes, the incremental O&amp;M and vegetation management (VM) costs and any related carrying costs (i.e. taxes, return) attributable to implementing the approved System Resiliency Plan (SRP) are being deferred to regulatory assets with the offset to operating revenue.  For tax, the revenue is not taxable until the  regulatory assets are approved in a future rate proceeding and the revenue is collected from the ratepayer.</t>
  </si>
  <si>
    <t>The balances will reverse over a yet to be approved amortization period in a future DCRF proceeding.</t>
  </si>
  <si>
    <t>For book purposes, the settlement of a hedge is results in either a gain or loss which is booked to OCI and then amortized to the income statement over the remaining life of the hedged instrument.  For tax, the gain or loss is recognized upon settlement of the hedged instrument.</t>
  </si>
  <si>
    <t>The balance will reverse over the remaining lives of the hedged instruments.</t>
  </si>
  <si>
    <t>Deferred Revenue - AMS - FOBS</t>
  </si>
  <si>
    <t>For book, a disallowance of capitalized benefit costs was booked in 2023 as a result of PUCT Docket 53601 settlement.  For tax, the write-off was not deductible and will reverse as the disallowance is being amortized as a credit  to depreciation expense.</t>
  </si>
  <si>
    <t>Effective Tax Rate Applicable to Net Plant</t>
  </si>
  <si>
    <t>Ln 26</t>
  </si>
  <si>
    <t>Total Five-Year Amortizations of Regulatory Assets &amp; Liabilities to be Reviewed in this Case</t>
  </si>
  <si>
    <t>SRP Application and Compliance, Docket No. 56545 &amp; 57147</t>
  </si>
  <si>
    <t>Insurance Case, Docket No. 57774 &amp; 57932</t>
  </si>
  <si>
    <t>Capital Lease O&amp;M Amortization (Docket No. 56306)</t>
  </si>
  <si>
    <t>Total Capital Lease O&amp;M Amortization (Docket No. 56306)</t>
  </si>
  <si>
    <t xml:space="preserve">Differences </t>
  </si>
  <si>
    <t>Check</t>
  </si>
  <si>
    <t>SRP Case, Docket No. 56545 &amp; 57147</t>
  </si>
  <si>
    <t>Rate case expenses - Docket No. 53601 Rider RCE &amp; Rider WRCE &amp; Docket No. 57799</t>
  </si>
  <si>
    <t>AMS Severance - Meter Readers/Installers as approved in Dkt. 46957</t>
  </si>
  <si>
    <t>AMS Customer Education as approved in Dkt. 46957</t>
  </si>
  <si>
    <t>Acquisition Regulatory Asset (Study Costs/Transition to Comp - NTU) - as approved in Dkt  48929</t>
  </si>
  <si>
    <t>FERC Account 406</t>
  </si>
  <si>
    <t>FERC Account 407</t>
  </si>
  <si>
    <t>Amortization from Schedule II-E-4.1 Shown on II-E-1 Line 69</t>
  </si>
  <si>
    <t>Adj. #29</t>
  </si>
  <si>
    <t>Adj. #28</t>
  </si>
  <si>
    <t>Adj. #30</t>
  </si>
  <si>
    <t>Docket No. 57707</t>
  </si>
  <si>
    <t>Pending RCE rider approval</t>
  </si>
  <si>
    <t>Non-standard metering service (Docket No. 41890 one-time costs) (1)</t>
  </si>
  <si>
    <t>(1) Docket No. 41890:  ratepayers that have not elected service pursuant to this opt-out tariff shall not be responsible for any unrecovered costs incurred by Oncor in implementing this tariff schedule.</t>
  </si>
  <si>
    <t>HB 2483 Long-Lead Time Facilities (PURA 39.918)</t>
  </si>
  <si>
    <t>Sep 2022 - Mar 2025</t>
  </si>
  <si>
    <t>Jan 2025 - Mar 2025</t>
  </si>
  <si>
    <t>The information presented below reflects actual costs related to Docket No. 53601 rate case expenses recorded after the October 25,2022 cutoff, actual costs related to DCRF Docket Nos. 55190, 55525, 56306, 56963, and 57707, and an estimate for costs to be incurred for this proceeding.  The estimated costs will be replaced with actual costs later in the proceeding. These deferred costs are not included in the Company's base rate revenue requirement but are proposed to be recovered through a rate-case expense rider over a one-year period.</t>
  </si>
  <si>
    <t>Five-Year Amortizations of Regulatory Assets &amp; Liabilities Approved in Docket No. 53601:</t>
  </si>
  <si>
    <t>Five-Year Amortizations of Regulatory Assets &amp; Liabilities to be Reviewed in this Case:</t>
  </si>
  <si>
    <t xml:space="preserve">Book Depreciation 
Tax Depreciation
Cost of Removal
Gain / (Loss) on Disposition of Assets
Reverse Flow Through           
NTU Book/Tax Depreciation                                           </t>
  </si>
  <si>
    <t>This represents the tax-effected difference between tax deductions [depreciation, Asset Depreciation Range (ADR), Accelerated Cost Recovery System (ACRS) and Modified Accelerated Cost Recovery System (MACRS), cost of removal, loss on ACRS and MACRS retirements, less taxable salvage] and book depreciation.  The Tax Depreciation System, Tax Fixed Assets, calculates this difference and tracks the deferred tax.</t>
  </si>
  <si>
    <t>The difference will reverse as revenue is collected and the regulatory asset is amortized.</t>
  </si>
  <si>
    <t>The difference will reverse when the revenue credit is refunded to customers.</t>
  </si>
  <si>
    <t>For book, a regulatory liability is set-up with the offset to customer assistance expense.  The expense offsets the energy efficiency revenue being collected through rates.  For tax, the revenue is taxable when collected.</t>
  </si>
  <si>
    <t>The balance will reverse as the contra plant is amortized.</t>
  </si>
  <si>
    <t>In 2017, Sharyland Utilities recorded a regulatory asset for the differential between approved (in Docket 45414) and interim residential rates.  For tax, the revenue will be taxable when collected in current rates.</t>
  </si>
  <si>
    <t>Pages 11 - 41</t>
  </si>
  <si>
    <t>No new private letter rulings have been requested by the Company since the last test year ending December 31, 2021.</t>
  </si>
  <si>
    <t>Total Other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</si>
</sst>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9">
    <numFmt numFmtId="6" formatCode="&quot;$&quot;#,##0_);[Red]\(&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_(* #,##0_);_(* \(#,##0\);_(* &quot;-&quot;??_);_(@_)"/>
    <numFmt numFmtId="165" formatCode="_(* #,##0.0000_);_(* \(#,##0.0000\);_(* &quot;-&quot;??_);_(@_)"/>
    <numFmt numFmtId="166" formatCode="0.0%"/>
    <numFmt numFmtId="167" formatCode="_(&quot;$&quot;* #,##0_);_(&quot;$&quot;* \(#,##0\);_(&quot;$&quot;* &quot;-&quot;??_);_(@_)"/>
    <numFmt numFmtId="168" formatCode="_(* #,##0.000_);_(* \(#,##0.000\);_(* &quot;-&quot;??_);_(@_)"/>
    <numFmt numFmtId="169" formatCode="_(* #,##0.000000_);_(* \(#,##0.000000\);_(* &quot;-&quot;??_);_(@_)"/>
    <numFmt numFmtId="170" formatCode="0.00000%"/>
    <numFmt numFmtId="171" formatCode="_(* #,##0.000000_);_(* \(#,##0.000000\);_(* &quot;-&quot;??????_);_(@_)"/>
    <numFmt numFmtId="172" formatCode="0.0"/>
    <numFmt numFmtId="173" formatCode="0.000000"/>
    <numFmt numFmtId="174" formatCode="000.0000"/>
    <numFmt numFmtId="175" formatCode="0.0000000%"/>
    <numFmt numFmtId="176" formatCode="0.000000%"/>
    <numFmt numFmtId="177" formatCode="\£\ #,##0_);[Red]\(\£\ #,##0\)"/>
    <numFmt numFmtId="178" formatCode="\¥\ #,##0_);[Red]\(\¥\ #,##0\)"/>
    <numFmt numFmtId="179" formatCode="\•\ \ @"/>
    <numFmt numFmtId="180" formatCode="#,##0,_);[Red]\(#,##0,\)"/>
    <numFmt numFmtId="181" formatCode="\ \ _•\–\ \ \ \ @"/>
    <numFmt numFmtId="182" formatCode="0.000000000%"/>
    <numFmt numFmtId="183" formatCode="0.00000000%"/>
    <numFmt numFmtId="184" formatCode="0.00_)"/>
    <numFmt numFmtId="185" formatCode="[Blue]#,##0,_);[Red]\(#,##0,\)"/>
    <numFmt numFmtId="186" formatCode="_(* #,##0.000000_);_(* \(#,##0.000000\);_(* &quot;-&quot;_);_(@_)"/>
    <numFmt numFmtId="187" formatCode="_(* #,##0.0_);_(* \(#,##0.0\);_(* &quot;-&quot;?_);_(@_)"/>
    <numFmt numFmtId="188" formatCode="#,##0.00000_);[Red]\(#,##0.00000\)"/>
    <numFmt numFmtId="189" formatCode="_(&quot;$&quot;* #,##0.0_);_(&quot;$&quot;* \(#,##0.0\);_(&quot;$&quot;* &quot;-&quot;_);_(@_)"/>
    <numFmt numFmtId="190" formatCode="_(* #,##0.00000_);_(* \(#,##0.00000\);_(* &quot;-&quot;??_);_(@_)"/>
    <numFmt numFmtId="191" formatCode="_(* #,##0.00000_);_(* \(#,##0.00000\);_(* &quot;-&quot;?????_);_(@_)"/>
    <numFmt numFmtId="192" formatCode="_(* #,##0.00_);_(* \(#,##0.00\);_(* &quot;-&quot;_);_(@_)"/>
    <numFmt numFmtId="193" formatCode="_(&quot;$&quot;* #,##0.00_);_(&quot;$&quot;* \(#,##0.00\);_(&quot;$&quot;* &quot;-&quot;_);_(@_)"/>
    <numFmt numFmtId="194" formatCode="_(&quot;$&quot;* #,##0.000000_);_(&quot;$&quot;* \(#,##0.000000\);_(&quot;$&quot;* &quot;-&quot;??_);_(@_)"/>
    <numFmt numFmtId="195" formatCode="_(&quot;$&quot;* #,##0.00000_);_(&quot;$&quot;* \(#,##0.00000\);_(&quot;$&quot;* &quot;-&quot;??_);_(@_)"/>
  </numFmts>
  <fonts count="82">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8"/>
      <name val="Arial"/>
      <family val="2"/>
    </font>
    <font>
      <sz val="10"/>
      <name val="Arial"/>
      <family val="2"/>
    </font>
    <font>
      <u/>
      <sz val="10"/>
      <name val="Arial"/>
      <family val="2"/>
    </font>
    <font>
      <b/>
      <u/>
      <sz val="10"/>
      <name val="Arial"/>
      <family val="2"/>
    </font>
    <font>
      <u/>
      <sz val="10"/>
      <color indexed="12"/>
      <name val="Arial"/>
      <family val="2"/>
    </font>
    <font>
      <b/>
      <sz val="10"/>
      <name val="Arial"/>
      <family val="2"/>
    </font>
    <font>
      <sz val="10"/>
      <color indexed="8"/>
      <name val="Arial"/>
      <family val="2"/>
    </font>
    <font>
      <u/>
      <sz val="10"/>
      <color indexed="12"/>
      <name val="Arial"/>
      <family val="2"/>
    </font>
    <font>
      <b/>
      <sz val="10"/>
      <color indexed="10"/>
      <name val="Arial"/>
      <family val="2"/>
    </font>
    <font>
      <sz val="12"/>
      <name val="Arial"/>
      <family val="2"/>
    </font>
    <font>
      <b/>
      <sz val="12"/>
      <name val="Arial"/>
      <family val="2"/>
    </font>
    <font>
      <sz val="10"/>
      <color indexed="10"/>
      <name val="Arial"/>
      <family val="2"/>
    </font>
    <font>
      <sz val="10"/>
      <name val="Times New Roman"/>
      <family val="1"/>
    </font>
    <font>
      <sz val="10"/>
      <color indexed="12"/>
      <name val="Arial"/>
      <family val="2"/>
    </font>
    <font>
      <sz val="10"/>
      <color indexed="17"/>
      <name val="Arial"/>
      <family val="2"/>
    </font>
    <font>
      <sz val="10"/>
      <color indexed="14"/>
      <name val="Arial"/>
      <family val="2"/>
    </font>
    <font>
      <b/>
      <u/>
      <sz val="10"/>
      <name val="Times New Roman"/>
      <family val="1"/>
    </font>
    <font>
      <sz val="12"/>
      <name val="Times New Roman"/>
      <family val="1"/>
    </font>
    <font>
      <b/>
      <u/>
      <sz val="12"/>
      <name val="Arial"/>
      <family val="2"/>
    </font>
    <font>
      <sz val="8"/>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theme="1"/>
      <name val="Arial"/>
      <family val="2"/>
    </font>
    <font>
      <sz val="10"/>
      <color rgb="FFFF0000"/>
      <name val="Arial"/>
      <family val="2"/>
    </font>
    <font>
      <sz val="10"/>
      <color rgb="FFFF0000"/>
      <name val="Calibri"/>
      <family val="2"/>
      <scheme val="minor"/>
    </font>
    <font>
      <sz val="10"/>
      <name val="Arial Unicode MS"/>
      <family val="2"/>
    </font>
    <font>
      <sz val="10"/>
      <color indexed="9"/>
      <name val="Verdana"/>
      <family val="2"/>
    </font>
    <font>
      <sz val="10"/>
      <color indexed="8"/>
      <name val="Sans serif"/>
    </font>
    <font>
      <sz val="10"/>
      <color theme="1"/>
      <name val="Calibri"/>
      <family val="2"/>
      <scheme val="minor"/>
    </font>
    <font>
      <sz val="8"/>
      <color rgb="FFFF0000"/>
      <name val="Arial"/>
      <family val="2"/>
    </font>
    <font>
      <sz val="10"/>
      <name val="Arial"/>
      <family val="2"/>
    </font>
    <font>
      <sz val="10"/>
      <name val="Arial"/>
      <family val="2"/>
    </font>
    <font>
      <b/>
      <sz val="10"/>
      <color theme="1"/>
      <name val="Arial"/>
      <family val="2"/>
    </font>
    <font>
      <b/>
      <u/>
      <sz val="10"/>
      <color theme="1"/>
      <name val="Arial"/>
      <family val="2"/>
    </font>
    <font>
      <sz val="8"/>
      <color indexed="10"/>
      <name val="Arial"/>
      <family val="2"/>
    </font>
    <font>
      <sz val="10"/>
      <color indexed="12"/>
      <name val="Tahoma"/>
      <family val="2"/>
    </font>
    <font>
      <b/>
      <sz val="12"/>
      <name val="Times New Roman"/>
      <family val="1"/>
    </font>
    <font>
      <sz val="11"/>
      <color indexed="8"/>
      <name val="Calibri"/>
      <family val="2"/>
    </font>
    <font>
      <sz val="10"/>
      <name val="BERNHARD"/>
      <family val="2"/>
    </font>
    <font>
      <sz val="10"/>
      <name val="Helv"/>
      <family val="2"/>
    </font>
    <font>
      <sz val="1"/>
      <color indexed="8"/>
      <name val="Courier"/>
      <family val="3"/>
    </font>
    <font>
      <b/>
      <sz val="1"/>
      <color indexed="8"/>
      <name val="Courier"/>
      <family val="3"/>
    </font>
    <font>
      <sz val="11"/>
      <name val="Times New Roman"/>
      <family val="1"/>
    </font>
    <font>
      <b/>
      <i/>
      <sz val="16"/>
      <name val="Helv"/>
      <family val="2"/>
    </font>
    <font>
      <sz val="10"/>
      <color indexed="62"/>
      <name val="Arial"/>
      <family val="2"/>
    </font>
    <font>
      <sz val="8"/>
      <color indexed="12"/>
      <name val="Arial"/>
      <family val="2"/>
    </font>
    <font>
      <b/>
      <sz val="10"/>
      <name val="Times New Roman"/>
      <family val="1"/>
    </font>
    <font>
      <sz val="10"/>
      <name val="MS Sans Serif"/>
      <family val="2"/>
    </font>
    <font>
      <b/>
      <sz val="10"/>
      <name val="MS Sans Serif"/>
      <family val="2"/>
    </font>
    <font>
      <sz val="9"/>
      <color rgb="FFFF0000"/>
      <name val="Arial"/>
      <family val="2"/>
    </font>
    <font>
      <sz val="9"/>
      <color indexed="10"/>
      <name val="Arial"/>
      <family val="2"/>
    </font>
    <font>
      <b/>
      <sz val="10"/>
      <color rgb="FFFF0000"/>
      <name val="Arial"/>
      <family val="2"/>
    </font>
    <font>
      <i/>
      <sz val="10"/>
      <name val="Arial"/>
      <family val="2"/>
    </font>
    <font>
      <sz val="10"/>
      <color rgb="FF000000"/>
      <name val="Arial"/>
      <family val="2"/>
    </font>
    <font>
      <sz val="10"/>
      <name val="Calibri"/>
      <family val="2"/>
    </font>
    <font>
      <sz val="8.5"/>
      <name val="Arial"/>
      <family val="2"/>
    </font>
    <font>
      <b/>
      <u val="singleAccounting"/>
      <sz val="10"/>
      <name val="Arial"/>
      <family val="2"/>
    </font>
    <font>
      <b/>
      <u val="singleAccounting"/>
      <sz val="10"/>
      <color indexed="10"/>
      <name val="Arial"/>
      <family val="2"/>
    </font>
    <font>
      <sz val="10"/>
      <name val="Arial"/>
      <family val="2"/>
    </font>
  </fonts>
  <fills count="36">
    <fill>
      <patternFill patternType="none"/>
    </fill>
    <fill>
      <patternFill patternType="gray125"/>
    </fill>
    <fill>
      <patternFill patternType="solid">
        <fgColor indexed="4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2"/>
        <bgColor indexed="64"/>
      </patternFill>
    </fill>
    <fill>
      <patternFill patternType="solid">
        <fgColor indexed="41"/>
        <bgColor indexed="64"/>
      </patternFill>
    </fill>
    <fill>
      <patternFill patternType="solid">
        <fgColor indexed="44"/>
        <bgColor indexed="64"/>
      </patternFill>
    </fill>
    <fill>
      <patternFill patternType="mediumGray">
        <fgColor indexed="22"/>
      </patternFill>
    </fill>
  </fills>
  <borders count="52">
    <border>
      <left/>
      <right/>
      <top/>
      <bottom/>
      <diagonal/>
    </border>
    <border>
      <left/>
      <right/>
      <top/>
      <bottom style="thin">
        <color indexed="64"/>
      </bottom>
      <diagonal/>
    </border>
    <border>
      <left style="medium">
        <color indexed="64"/>
      </left>
      <right/>
      <top/>
      <bottom/>
      <diagonal/>
    </border>
    <border>
      <left/>
      <right/>
      <top/>
      <bottom style="medium">
        <color indexed="64"/>
      </bottom>
      <diagonal/>
    </border>
    <border>
      <left/>
      <right/>
      <top style="thin">
        <color indexed="64"/>
      </top>
      <bottom/>
      <diagonal/>
    </border>
    <border>
      <left/>
      <right/>
      <top/>
      <bottom style="double">
        <color indexed="64"/>
      </bottom>
      <diagonal/>
    </border>
    <border>
      <left/>
      <right/>
      <top style="thin">
        <color indexed="64"/>
      </top>
      <bottom style="thin">
        <color indexed="64"/>
      </bottom>
      <diagonal/>
    </border>
    <border>
      <left style="thin">
        <color indexed="64"/>
      </left>
      <right style="thin">
        <color indexed="64"/>
      </right>
      <top/>
      <bottom/>
      <diagonal/>
    </border>
    <border>
      <left/>
      <right style="medium">
        <color indexed="64"/>
      </right>
      <top/>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3F3F3F"/>
      </left>
      <right style="thin">
        <color rgb="FF3F3F3F"/>
      </right>
      <top style="thin">
        <color rgb="FF3F3F3F"/>
      </top>
      <bottom style="thin">
        <color rgb="FF3F3F3F"/>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style="thin">
        <color indexed="64"/>
      </top>
      <bottom style="medium">
        <color indexed="64"/>
      </bottom>
      <diagonal/>
    </border>
    <border>
      <left/>
      <right/>
      <top/>
      <bottom style="medium">
        <color indexed="45"/>
      </bottom>
      <diagonal/>
    </border>
    <border>
      <left/>
      <right/>
      <top/>
      <bottom style="thin">
        <color indexed="45"/>
      </bottom>
      <diagonal/>
    </border>
    <border>
      <left/>
      <right/>
      <top style="medium">
        <color indexed="45"/>
      </top>
      <bottom/>
      <diagonal/>
    </border>
    <border>
      <left/>
      <right/>
      <top/>
      <bottom style="double">
        <color indexed="45"/>
      </bottom>
      <diagonal/>
    </border>
    <border>
      <left style="thick">
        <color auto="1"/>
      </left>
      <right style="thick">
        <color auto="1"/>
      </right>
      <top style="thick">
        <color auto="1"/>
      </top>
      <bottom style="thick">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thick">
        <color auto="1"/>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bottom style="thin">
        <color auto="1"/>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s>
  <cellStyleXfs count="327">
    <xf numFmtId="0" fontId="0" fillId="0" borderId="0"/>
    <xf numFmtId="172" fontId="9" fillId="0" borderId="0">
      <alignment horizontal="left" wrapText="1"/>
    </xf>
    <xf numFmtId="43" fontId="9" fillId="0" borderId="0" applyFont="0" applyFill="0" applyBorder="0" applyAlignment="0" applyProtection="0"/>
    <xf numFmtId="44" fontId="9" fillId="0" borderId="0" applyFont="0" applyFill="0" applyBorder="0" applyAlignment="0" applyProtection="0"/>
    <xf numFmtId="0" fontId="14" fillId="0" borderId="0" applyNumberFormat="0" applyFill="0" applyBorder="0" applyAlignment="0" applyProtection="0">
      <alignment vertical="top"/>
      <protection locked="0"/>
    </xf>
    <xf numFmtId="0" fontId="27" fillId="2" borderId="0" applyNumberFormat="0" applyFont="0" applyBorder="0" applyAlignment="0">
      <protection locked="0"/>
    </xf>
    <xf numFmtId="9" fontId="9" fillId="0" borderId="0" applyFont="0" applyFill="0" applyBorder="0" applyAlignment="0" applyProtection="0"/>
    <xf numFmtId="0" fontId="22" fillId="0" borderId="0">
      <alignment vertical="top"/>
    </xf>
    <xf numFmtId="0" fontId="30" fillId="0" borderId="0" applyNumberFormat="0" applyFill="0" applyBorder="0" applyAlignment="0" applyProtection="0"/>
    <xf numFmtId="0" fontId="31" fillId="0" borderId="21" applyNumberFormat="0" applyFill="0" applyAlignment="0" applyProtection="0"/>
    <xf numFmtId="0" fontId="32" fillId="0" borderId="22" applyNumberFormat="0" applyFill="0" applyAlignment="0" applyProtection="0"/>
    <xf numFmtId="0" fontId="33" fillId="0" borderId="23" applyNumberFormat="0" applyFill="0" applyAlignment="0" applyProtection="0"/>
    <xf numFmtId="0" fontId="33" fillId="0" borderId="0" applyNumberFormat="0" applyFill="0" applyBorder="0" applyAlignment="0" applyProtection="0"/>
    <xf numFmtId="0" fontId="34" fillId="3" borderId="0" applyNumberFormat="0" applyBorder="0" applyAlignment="0" applyProtection="0"/>
    <xf numFmtId="0" fontId="35" fillId="4" borderId="0" applyNumberFormat="0" applyBorder="0" applyAlignment="0" applyProtection="0"/>
    <xf numFmtId="0" fontId="36" fillId="5" borderId="0" applyNumberFormat="0" applyBorder="0" applyAlignment="0" applyProtection="0"/>
    <xf numFmtId="0" fontId="37" fillId="6" borderId="24" applyNumberFormat="0" applyAlignment="0" applyProtection="0"/>
    <xf numFmtId="0" fontId="38" fillId="6" borderId="25" applyNumberFormat="0" applyAlignment="0" applyProtection="0"/>
    <xf numFmtId="0" fontId="39" fillId="0" borderId="26" applyNumberFormat="0" applyFill="0" applyAlignment="0" applyProtection="0"/>
    <xf numFmtId="0" fontId="40" fillId="7" borderId="27" applyNumberFormat="0" applyAlignment="0" applyProtection="0"/>
    <xf numFmtId="0" fontId="41" fillId="0" borderId="0" applyNumberFormat="0" applyFill="0" applyBorder="0" applyAlignment="0" applyProtection="0"/>
    <xf numFmtId="0" fontId="42" fillId="0" borderId="0" applyNumberFormat="0" applyFill="0" applyBorder="0" applyAlignment="0" applyProtection="0"/>
    <xf numFmtId="0" fontId="43" fillId="0" borderId="28" applyNumberFormat="0" applyFill="0" applyAlignment="0" applyProtection="0"/>
    <xf numFmtId="0" fontId="44"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44" fillId="11" borderId="0" applyNumberFormat="0" applyBorder="0" applyAlignment="0" applyProtection="0"/>
    <xf numFmtId="0" fontId="44" fillId="12" borderId="0" applyNumberFormat="0" applyBorder="0" applyAlignment="0" applyProtection="0"/>
    <xf numFmtId="0" fontId="7" fillId="13" borderId="0" applyNumberFormat="0" applyBorder="0" applyAlignment="0" applyProtection="0"/>
    <xf numFmtId="0" fontId="7"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44" fillId="31"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9" fillId="0" borderId="0"/>
    <xf numFmtId="0" fontId="6" fillId="0" borderId="0"/>
    <xf numFmtId="0" fontId="48" fillId="0" borderId="0"/>
    <xf numFmtId="41" fontId="53" fillId="0" borderId="0" applyFont="0" applyFill="0" applyBorder="0" applyAlignment="0" applyProtection="0"/>
    <xf numFmtId="43" fontId="5" fillId="0" borderId="0" applyFont="0" applyFill="0" applyBorder="0" applyAlignment="0" applyProtection="0"/>
    <xf numFmtId="0" fontId="9" fillId="0" borderId="0"/>
    <xf numFmtId="0" fontId="5" fillId="0" borderId="0"/>
    <xf numFmtId="0" fontId="4" fillId="0" borderId="0"/>
    <xf numFmtId="43" fontId="4" fillId="0" borderId="0" applyFont="0" applyFill="0" applyBorder="0" applyAlignment="0" applyProtection="0"/>
    <xf numFmtId="41" fontId="4" fillId="0" borderId="0" applyFont="0" applyFill="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54" fillId="0" borderId="0"/>
    <xf numFmtId="43" fontId="9" fillId="0" borderId="0" applyFont="0" applyFill="0" applyBorder="0" applyAlignment="0" applyProtection="0"/>
    <xf numFmtId="44" fontId="9" fillId="0" borderId="0" applyFont="0" applyFill="0" applyBorder="0" applyAlignment="0" applyProtection="0"/>
    <xf numFmtId="0" fontId="27" fillId="2" borderId="0" applyNumberFormat="0" applyFont="0" applyBorder="0" applyAlignment="0">
      <protection locked="0"/>
    </xf>
    <xf numFmtId="9" fontId="9" fillId="0" borderId="0" applyFont="0" applyFill="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4" fillId="17" borderId="0" applyNumberFormat="0" applyBorder="0" applyAlignment="0" applyProtection="0"/>
    <xf numFmtId="0" fontId="4" fillId="18"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4" fillId="25" borderId="0" applyNumberFormat="0" applyBorder="0" applyAlignment="0" applyProtection="0"/>
    <xf numFmtId="0" fontId="4" fillId="26" borderId="0" applyNumberFormat="0" applyBorder="0" applyAlignment="0" applyProtection="0"/>
    <xf numFmtId="0" fontId="4" fillId="29" borderId="0" applyNumberFormat="0" applyBorder="0" applyAlignment="0" applyProtection="0"/>
    <xf numFmtId="0" fontId="4" fillId="30" borderId="0" applyNumberFormat="0" applyBorder="0" applyAlignment="0" applyProtection="0"/>
    <xf numFmtId="0" fontId="4" fillId="0" borderId="0"/>
    <xf numFmtId="41" fontId="54" fillId="0" borderId="0" applyFont="0" applyFill="0" applyBorder="0" applyAlignment="0" applyProtection="0"/>
    <xf numFmtId="43" fontId="4" fillId="0" borderId="0" applyFont="0" applyFill="0" applyBorder="0" applyAlignment="0" applyProtection="0"/>
    <xf numFmtId="0" fontId="4" fillId="0" borderId="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1"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3" fillId="0" borderId="0"/>
    <xf numFmtId="43" fontId="3" fillId="0" borderId="0" applyFont="0" applyFill="0" applyBorder="0" applyAlignment="0" applyProtection="0"/>
    <xf numFmtId="43" fontId="9" fillId="0" borderId="0" applyFont="0" applyFill="0" applyBorder="0" applyAlignment="0" applyProtection="0"/>
    <xf numFmtId="177" fontId="27" fillId="0" borderId="0" applyFont="0" applyFill="0" applyBorder="0" applyAlignment="0" applyProtection="0"/>
    <xf numFmtId="178" fontId="27" fillId="0" borderId="0" applyFont="0" applyFill="0" applyBorder="0" applyAlignment="0" applyProtection="0"/>
    <xf numFmtId="0" fontId="58" fillId="0" borderId="0" applyNumberFormat="0" applyFill="0" applyBorder="0" applyAlignment="0">
      <protection locked="0"/>
    </xf>
    <xf numFmtId="0" fontId="59" fillId="0" borderId="1" applyNumberFormat="0" applyFill="0" applyAlignment="0" applyProtection="0"/>
    <xf numFmtId="179" fontId="27" fillId="0" borderId="0" applyFont="0" applyFill="0" applyBorder="0" applyAlignment="0" applyProtection="0"/>
    <xf numFmtId="0" fontId="9" fillId="0" borderId="0"/>
    <xf numFmtId="43" fontId="9" fillId="0" borderId="0" applyFont="0" applyFill="0" applyBorder="0" applyAlignment="0" applyProtection="0"/>
    <xf numFmtId="43" fontId="60" fillId="0" borderId="0" applyFont="0" applyFill="0" applyBorder="0" applyAlignment="0" applyProtection="0"/>
    <xf numFmtId="43" fontId="22" fillId="0" borderId="0" applyFont="0" applyFill="0" applyBorder="0" applyAlignment="0" applyProtection="0"/>
    <xf numFmtId="0" fontId="3" fillId="0" borderId="0"/>
    <xf numFmtId="0" fontId="61" fillId="0" borderId="0"/>
    <xf numFmtId="0" fontId="62" fillId="0" borderId="0"/>
    <xf numFmtId="0" fontId="61" fillId="0" borderId="0"/>
    <xf numFmtId="0" fontId="62" fillId="0" borderId="0"/>
    <xf numFmtId="180" fontId="9" fillId="0" borderId="0" applyFont="0" applyFill="0" applyBorder="0" applyAlignment="0" applyProtection="0"/>
    <xf numFmtId="43" fontId="3" fillId="0" borderId="0" applyFont="0" applyFill="0" applyBorder="0" applyAlignment="0" applyProtection="0"/>
    <xf numFmtId="7" fontId="9" fillId="0" borderId="0" applyFont="0" applyFill="0" applyBorder="0" applyAlignment="0" applyProtection="0"/>
    <xf numFmtId="44" fontId="9" fillId="0" borderId="0" applyFont="0" applyFill="0" applyBorder="0" applyAlignment="0" applyProtection="0"/>
    <xf numFmtId="7" fontId="9" fillId="0" borderId="0" applyFont="0" applyFill="0" applyBorder="0" applyAlignment="0" applyProtection="0"/>
    <xf numFmtId="181" fontId="27" fillId="0" borderId="0" applyFont="0" applyFill="0" applyBorder="0" applyAlignment="0" applyProtection="0"/>
    <xf numFmtId="0" fontId="63" fillId="0" borderId="0">
      <protection locked="0"/>
    </xf>
    <xf numFmtId="0" fontId="64" fillId="0" borderId="0">
      <protection locked="0"/>
    </xf>
    <xf numFmtId="0" fontId="64" fillId="0" borderId="0">
      <protection locked="0"/>
    </xf>
    <xf numFmtId="0" fontId="63" fillId="0" borderId="0">
      <protection locked="0"/>
    </xf>
    <xf numFmtId="0" fontId="63" fillId="0" borderId="0">
      <protection locked="0"/>
    </xf>
    <xf numFmtId="0" fontId="63" fillId="0" borderId="0">
      <protection locked="0"/>
    </xf>
    <xf numFmtId="0" fontId="63" fillId="0" borderId="0">
      <protection locked="0"/>
    </xf>
    <xf numFmtId="0" fontId="63" fillId="0" borderId="0">
      <protection locked="0"/>
    </xf>
    <xf numFmtId="0" fontId="63" fillId="0" borderId="0">
      <protection locked="0"/>
    </xf>
    <xf numFmtId="0" fontId="63" fillId="0" borderId="0">
      <protection locked="0"/>
    </xf>
    <xf numFmtId="0" fontId="63" fillId="0" borderId="0">
      <protection locked="0"/>
    </xf>
    <xf numFmtId="0" fontId="63" fillId="0" borderId="0">
      <protection locked="0"/>
    </xf>
    <xf numFmtId="175" fontId="65" fillId="0" borderId="0" applyFont="0" applyFill="0" applyBorder="0" applyAlignment="0" applyProtection="0"/>
    <xf numFmtId="182" fontId="65" fillId="0" borderId="0" applyFont="0" applyFill="0" applyBorder="0" applyAlignment="0" applyProtection="0"/>
    <xf numFmtId="176" fontId="65" fillId="0" borderId="0" applyFont="0" applyFill="0" applyBorder="0" applyAlignment="0" applyProtection="0"/>
    <xf numFmtId="183" fontId="65" fillId="0" borderId="0" applyFont="0" applyFill="0" applyBorder="0" applyAlignment="0" applyProtection="0"/>
    <xf numFmtId="184" fontId="66" fillId="0" borderId="0"/>
    <xf numFmtId="43" fontId="3" fillId="0" borderId="0" applyFont="0" applyFill="0" applyBorder="0" applyAlignment="0" applyProtection="0"/>
    <xf numFmtId="0" fontId="22" fillId="0" borderId="0"/>
    <xf numFmtId="0" fontId="9" fillId="0" borderId="0"/>
    <xf numFmtId="0" fontId="9" fillId="0" borderId="0"/>
    <xf numFmtId="43" fontId="67" fillId="0" borderId="0"/>
    <xf numFmtId="185" fontId="68" fillId="0" borderId="0"/>
    <xf numFmtId="0" fontId="69" fillId="0" borderId="30" applyNumberFormat="0" applyAlignment="0" applyProtection="0"/>
    <xf numFmtId="0" fontId="22" fillId="32" borderId="0" applyNumberFormat="0" applyFont="0" applyBorder="0" applyAlignment="0" applyProtection="0"/>
    <xf numFmtId="0" fontId="10" fillId="33" borderId="7" applyNumberFormat="0" applyFont="0" applyBorder="0" applyAlignment="0" applyProtection="0">
      <alignment horizontal="center"/>
    </xf>
    <xf numFmtId="0" fontId="10" fillId="34" borderId="7" applyNumberFormat="0" applyFont="0" applyBorder="0" applyAlignment="0" applyProtection="0">
      <alignment horizontal="center"/>
    </xf>
    <xf numFmtId="0" fontId="22" fillId="0" borderId="31" applyNumberFormat="0" applyAlignment="0" applyProtection="0"/>
    <xf numFmtId="0" fontId="22" fillId="0" borderId="32" applyNumberFormat="0" applyAlignment="0" applyProtection="0"/>
    <xf numFmtId="0" fontId="69" fillId="0" borderId="33" applyNumberFormat="0" applyAlignment="0" applyProtection="0"/>
    <xf numFmtId="0" fontId="3" fillId="0" borderId="0"/>
    <xf numFmtId="9" fontId="22" fillId="0" borderId="0" applyFont="0" applyFill="0" applyBorder="0" applyAlignment="0" applyProtection="0"/>
    <xf numFmtId="9" fontId="9" fillId="0" borderId="0" applyFont="0" applyFill="0" applyBorder="0" applyAlignment="0" applyProtection="0"/>
    <xf numFmtId="0" fontId="70" fillId="0" borderId="0" applyNumberFormat="0" applyFont="0" applyFill="0" applyBorder="0" applyAlignment="0" applyProtection="0">
      <alignment horizontal="left"/>
    </xf>
    <xf numFmtId="15" fontId="70" fillId="0" borderId="0" applyFont="0" applyFill="0" applyBorder="0" applyAlignment="0" applyProtection="0"/>
    <xf numFmtId="4" fontId="70" fillId="0" borderId="0" applyFont="0" applyFill="0" applyBorder="0" applyAlignment="0" applyProtection="0"/>
    <xf numFmtId="0" fontId="71" fillId="0" borderId="3">
      <alignment horizontal="center"/>
    </xf>
    <xf numFmtId="3" fontId="70" fillId="0" borderId="0" applyFont="0" applyFill="0" applyBorder="0" applyAlignment="0" applyProtection="0"/>
    <xf numFmtId="0" fontId="70" fillId="35" borderId="0" applyNumberFormat="0" applyFont="0" applyBorder="0" applyAlignment="0" applyProtection="0"/>
    <xf numFmtId="0" fontId="9" fillId="0" borderId="0"/>
    <xf numFmtId="0" fontId="48" fillId="0" borderId="0"/>
    <xf numFmtId="0" fontId="33" fillId="0" borderId="23" applyNumberFormat="0" applyFill="0" applyAlignment="0" applyProtection="0"/>
    <xf numFmtId="0" fontId="33" fillId="0" borderId="0" applyNumberFormat="0" applyFill="0" applyBorder="0" applyAlignment="0" applyProtection="0"/>
    <xf numFmtId="0" fontId="9" fillId="0" borderId="0"/>
    <xf numFmtId="41" fontId="9" fillId="0" borderId="0" applyFont="0" applyFill="0" applyBorder="0" applyAlignment="0" applyProtection="0"/>
    <xf numFmtId="0" fontId="3" fillId="0" borderId="0"/>
    <xf numFmtId="0" fontId="3" fillId="0" borderId="0"/>
    <xf numFmtId="0" fontId="3" fillId="0" borderId="0"/>
    <xf numFmtId="0" fontId="3" fillId="0" borderId="0"/>
    <xf numFmtId="43" fontId="10" fillId="0" borderId="0" applyFont="0" applyFill="0" applyBorder="0" applyAlignment="0" applyProtection="0"/>
    <xf numFmtId="0" fontId="3" fillId="0" borderId="0"/>
    <xf numFmtId="2" fontId="70" fillId="0" borderId="0" applyFont="0" applyFill="0" applyBorder="0" applyAlignment="0" applyProtection="0"/>
    <xf numFmtId="2" fontId="70" fillId="0" borderId="0" applyFont="0" applyFill="0" applyBorder="0" applyAlignment="0" applyProtection="0"/>
    <xf numFmtId="2" fontId="70" fillId="0" borderId="0" applyFont="0" applyFill="0" applyBorder="0" applyAlignment="0" applyProtection="0"/>
    <xf numFmtId="43" fontId="9" fillId="0" borderId="0" applyFont="0" applyFill="0" applyBorder="0" applyAlignment="0" applyProtection="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0" fontId="3" fillId="0" borderId="0"/>
    <xf numFmtId="43" fontId="3" fillId="0" borderId="0" applyFont="0" applyFill="0" applyBorder="0" applyAlignment="0" applyProtection="0"/>
    <xf numFmtId="0" fontId="3" fillId="0" borderId="0"/>
    <xf numFmtId="43" fontId="3" fillId="0" borderId="0" applyFont="0" applyFill="0" applyBorder="0" applyAlignment="0" applyProtection="0"/>
    <xf numFmtId="43" fontId="3" fillId="0" borderId="0" applyFont="0" applyFill="0" applyBorder="0" applyAlignment="0" applyProtection="0"/>
    <xf numFmtId="0" fontId="3" fillId="0" borderId="0"/>
    <xf numFmtId="43" fontId="3" fillId="0" borderId="0" applyFont="0" applyFill="0" applyBorder="0" applyAlignment="0" applyProtection="0"/>
    <xf numFmtId="0" fontId="9" fillId="0" borderId="0"/>
    <xf numFmtId="0" fontId="2" fillId="9" borderId="0" applyNumberFormat="0" applyBorder="0" applyAlignment="0" applyProtection="0"/>
    <xf numFmtId="0" fontId="2" fillId="9" borderId="0" applyNumberFormat="0" applyBorder="0" applyAlignment="0" applyProtection="0"/>
    <xf numFmtId="0" fontId="2" fillId="9"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3"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17"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1"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5"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29"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0"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4"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18"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2"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26"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0" fontId="2" fillId="30" borderId="0" applyNumberFormat="0" applyBorder="0" applyAlignment="0" applyProtection="0"/>
    <xf numFmtId="41"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 fillId="0" borderId="0"/>
    <xf numFmtId="0" fontId="2" fillId="0" borderId="0"/>
    <xf numFmtId="0" fontId="2" fillId="0" borderId="0"/>
    <xf numFmtId="0" fontId="2" fillId="0" borderId="0"/>
    <xf numFmtId="0" fontId="2" fillId="0" borderId="0"/>
    <xf numFmtId="0" fontId="2"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9" fillId="0" borderId="0"/>
    <xf numFmtId="0" fontId="1" fillId="0" borderId="0"/>
    <xf numFmtId="0" fontId="1" fillId="0" borderId="0"/>
    <xf numFmtId="43" fontId="1" fillId="0" borderId="0" applyFont="0" applyFill="0" applyBorder="0" applyAlignment="0" applyProtection="0"/>
    <xf numFmtId="0" fontId="48" fillId="0" borderId="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0" fontId="1" fillId="0" borderId="0"/>
    <xf numFmtId="43" fontId="1" fillId="0" borderId="0" applyFont="0" applyFill="0" applyBorder="0" applyAlignment="0" applyProtection="0"/>
    <xf numFmtId="42" fontId="81" fillId="0" borderId="0" applyFont="0" applyFill="0" applyBorder="0" applyAlignment="0" applyProtection="0"/>
  </cellStyleXfs>
  <cellXfs count="877">
    <xf numFmtId="0" fontId="0" fillId="0" borderId="0" xfId="0"/>
    <xf numFmtId="9" fontId="9" fillId="0" borderId="0" xfId="6" applyFont="1" applyAlignment="1">
      <alignment horizontal="center"/>
    </xf>
    <xf numFmtId="41" fontId="9" fillId="0" borderId="0" xfId="2" applyNumberFormat="1" applyFont="1" applyAlignment="1">
      <alignment horizontal="center"/>
    </xf>
    <xf numFmtId="164" fontId="9" fillId="0" borderId="0" xfId="2" applyNumberFormat="1" applyFont="1" applyAlignment="1">
      <alignment horizontal="center"/>
    </xf>
    <xf numFmtId="0" fontId="49" fillId="0" borderId="0" xfId="0" applyFont="1"/>
    <xf numFmtId="164" fontId="8" fillId="0" borderId="0" xfId="2" applyNumberFormat="1" applyFont="1" applyBorder="1"/>
    <xf numFmtId="0" fontId="9" fillId="0" borderId="1" xfId="0" applyFont="1" applyBorder="1" applyAlignment="1">
      <alignment horizontal="center"/>
    </xf>
    <xf numFmtId="10" fontId="9" fillId="0" borderId="1" xfId="0" applyNumberFormat="1" applyFont="1" applyFill="1" applyBorder="1" applyAlignment="1">
      <alignment horizontal="right"/>
    </xf>
    <xf numFmtId="0" fontId="8" fillId="0" borderId="0" xfId="0" applyFont="1" applyFill="1" applyBorder="1" applyAlignment="1"/>
    <xf numFmtId="41" fontId="9" fillId="0" borderId="0" xfId="0" applyNumberFormat="1" applyFont="1" applyAlignment="1">
      <alignment horizontal="center"/>
    </xf>
    <xf numFmtId="41" fontId="9" fillId="0" borderId="0" xfId="2" applyNumberFormat="1" applyFont="1" applyAlignment="1"/>
    <xf numFmtId="0" fontId="9" fillId="0" borderId="0" xfId="0" applyFont="1" applyFill="1" applyBorder="1" applyAlignment="1"/>
    <xf numFmtId="0" fontId="50" fillId="0" borderId="0" xfId="0" applyFont="1" applyAlignment="1"/>
    <xf numFmtId="41" fontId="9" fillId="0" borderId="0" xfId="2" applyNumberFormat="1" applyFont="1"/>
    <xf numFmtId="41" fontId="9" fillId="0" borderId="0" xfId="2" applyNumberFormat="1" applyFont="1" applyBorder="1"/>
    <xf numFmtId="0" fontId="13" fillId="0" borderId="0" xfId="0" applyFont="1" applyFill="1" applyBorder="1" applyAlignment="1">
      <alignment horizontal="center"/>
    </xf>
    <xf numFmtId="164" fontId="8" fillId="0" borderId="0" xfId="2" applyNumberFormat="1" applyFont="1" applyFill="1" applyBorder="1" applyAlignment="1">
      <alignment horizontal="center"/>
    </xf>
    <xf numFmtId="0" fontId="8" fillId="0" borderId="0" xfId="0" applyFont="1" applyFill="1" applyBorder="1" applyAlignment="1" applyProtection="1">
      <alignment horizontal="right"/>
      <protection locked="0"/>
    </xf>
    <xf numFmtId="164" fontId="8" fillId="0" borderId="0" xfId="2" applyNumberFormat="1" applyFont="1" applyFill="1" applyBorder="1" applyProtection="1">
      <protection locked="0"/>
    </xf>
    <xf numFmtId="0" fontId="8" fillId="0" borderId="0" xfId="0" applyFont="1" applyFill="1" applyBorder="1" applyAlignment="1" applyProtection="1">
      <alignment horizontal="center"/>
      <protection locked="0"/>
    </xf>
    <xf numFmtId="0" fontId="9" fillId="0" borderId="0" xfId="0" applyFont="1" applyFill="1" applyBorder="1" applyAlignment="1" applyProtection="1">
      <alignment horizontal="right"/>
      <protection locked="0"/>
    </xf>
    <xf numFmtId="0" fontId="8" fillId="0" borderId="0" xfId="0" applyFont="1" applyFill="1" applyBorder="1" applyAlignment="1" applyProtection="1">
      <alignment horizontal="left"/>
      <protection locked="0"/>
    </xf>
    <xf numFmtId="164" fontId="8" fillId="0" borderId="0" xfId="2" quotePrefix="1" applyNumberFormat="1" applyFont="1" applyFill="1" applyBorder="1" applyAlignment="1" applyProtection="1">
      <alignment horizontal="center"/>
      <protection locked="0"/>
    </xf>
    <xf numFmtId="0" fontId="8" fillId="0" borderId="0" xfId="0" quotePrefix="1" applyFont="1" applyFill="1" applyBorder="1" applyAlignment="1" applyProtection="1">
      <alignment horizontal="left"/>
      <protection locked="0"/>
    </xf>
    <xf numFmtId="0" fontId="0" fillId="0" borderId="0" xfId="0" applyAlignment="1">
      <alignment horizontal="center"/>
    </xf>
    <xf numFmtId="0" fontId="0" fillId="0" borderId="0" xfId="0" applyBorder="1"/>
    <xf numFmtId="0" fontId="11" fillId="0" borderId="0" xfId="0" applyFont="1" applyBorder="1" applyAlignment="1">
      <alignment horizontal="center"/>
    </xf>
    <xf numFmtId="0" fontId="11" fillId="0" borderId="0" xfId="0" applyFont="1" applyFill="1" applyBorder="1"/>
    <xf numFmtId="0" fontId="15" fillId="0" borderId="0" xfId="0" applyFont="1"/>
    <xf numFmtId="0" fontId="11" fillId="0" borderId="0" xfId="0" applyFont="1" applyBorder="1"/>
    <xf numFmtId="0" fontId="15" fillId="0" borderId="0" xfId="0" applyFont="1" applyFill="1" applyBorder="1" applyAlignment="1">
      <alignment horizontal="left"/>
    </xf>
    <xf numFmtId="0" fontId="15" fillId="0" borderId="0" xfId="0" applyFont="1" applyFill="1" applyBorder="1"/>
    <xf numFmtId="0" fontId="15" fillId="0" borderId="10" xfId="0" applyFont="1" applyFill="1" applyBorder="1"/>
    <xf numFmtId="0" fontId="15" fillId="0" borderId="10" xfId="0" applyFont="1" applyFill="1" applyBorder="1" applyAlignment="1">
      <alignment horizontal="center"/>
    </xf>
    <xf numFmtId="0" fontId="15" fillId="0" borderId="11" xfId="0" applyFont="1" applyFill="1" applyBorder="1" applyAlignment="1">
      <alignment horizontal="center"/>
    </xf>
    <xf numFmtId="0" fontId="15" fillId="0" borderId="12" xfId="0" applyFont="1" applyFill="1" applyBorder="1" applyAlignment="1">
      <alignment horizontal="center"/>
    </xf>
    <xf numFmtId="0" fontId="11" fillId="0" borderId="0" xfId="0" quotePrefix="1" applyFont="1" applyFill="1" applyBorder="1"/>
    <xf numFmtId="164" fontId="11" fillId="0" borderId="0" xfId="2" applyNumberFormat="1" applyFont="1" applyFill="1" applyBorder="1"/>
    <xf numFmtId="0" fontId="11" fillId="0" borderId="9" xfId="0" applyFont="1" applyFill="1" applyBorder="1"/>
    <xf numFmtId="0" fontId="11" fillId="0" borderId="9" xfId="0" applyFont="1" applyFill="1" applyBorder="1" applyAlignment="1">
      <alignment horizontal="center"/>
    </xf>
    <xf numFmtId="0" fontId="13" fillId="0" borderId="0" xfId="0" applyFont="1" applyFill="1" applyBorder="1"/>
    <xf numFmtId="0" fontId="11" fillId="0" borderId="0" xfId="0" applyFont="1" applyFill="1" applyBorder="1" applyAlignment="1">
      <alignment horizontal="center"/>
    </xf>
    <xf numFmtId="0" fontId="15" fillId="0" borderId="0" xfId="0" applyFont="1" applyFill="1" applyBorder="1" applyAlignment="1">
      <alignment horizontal="center"/>
    </xf>
    <xf numFmtId="164" fontId="15" fillId="0" borderId="0" xfId="2" applyNumberFormat="1" applyFont="1" applyFill="1" applyBorder="1"/>
    <xf numFmtId="164" fontId="11" fillId="0" borderId="0" xfId="0" applyNumberFormat="1" applyFont="1" applyFill="1" applyBorder="1"/>
    <xf numFmtId="0" fontId="15" fillId="0" borderId="0" xfId="0" applyFont="1" applyFill="1" applyBorder="1" applyAlignment="1">
      <alignment horizontal="right"/>
    </xf>
    <xf numFmtId="0" fontId="11" fillId="0" borderId="0" xfId="0" quotePrefix="1" applyFont="1" applyFill="1" applyBorder="1" applyAlignment="1">
      <alignment horizontal="left"/>
    </xf>
    <xf numFmtId="0" fontId="11" fillId="0" borderId="0" xfId="0" quotePrefix="1" applyFont="1" applyFill="1" applyBorder="1" applyAlignment="1">
      <alignment horizontal="center"/>
    </xf>
    <xf numFmtId="0" fontId="15" fillId="0" borderId="0" xfId="0" quotePrefix="1" applyFont="1" applyFill="1" applyBorder="1" applyAlignment="1">
      <alignment horizontal="left"/>
    </xf>
    <xf numFmtId="164" fontId="15" fillId="0" borderId="0" xfId="2" applyNumberFormat="1" applyFont="1" applyFill="1" applyBorder="1" applyAlignment="1">
      <alignment horizontal="center"/>
    </xf>
    <xf numFmtId="0" fontId="15" fillId="0" borderId="11" xfId="0" quotePrefix="1" applyFont="1" applyFill="1" applyBorder="1" applyAlignment="1">
      <alignment horizontal="center"/>
    </xf>
    <xf numFmtId="0" fontId="11" fillId="0" borderId="0" xfId="0" applyFont="1" applyFill="1"/>
    <xf numFmtId="37" fontId="11" fillId="0" borderId="0" xfId="0" quotePrefix="1" applyNumberFormat="1" applyFont="1" applyFill="1" applyBorder="1" applyAlignment="1">
      <alignment horizontal="center"/>
    </xf>
    <xf numFmtId="0" fontId="11" fillId="0" borderId="12" xfId="0" applyFont="1" applyFill="1" applyBorder="1" applyAlignment="1">
      <alignment horizontal="center"/>
    </xf>
    <xf numFmtId="0" fontId="11" fillId="0" borderId="0" xfId="0" applyFont="1" applyFill="1" applyBorder="1" applyAlignment="1">
      <alignment horizontal="left"/>
    </xf>
    <xf numFmtId="0" fontId="11" fillId="0" borderId="0" xfId="0" applyFont="1" applyFill="1" applyBorder="1" applyProtection="1">
      <protection locked="0"/>
    </xf>
    <xf numFmtId="0" fontId="11" fillId="0" borderId="0" xfId="0" applyFont="1" applyFill="1" applyBorder="1" applyAlignment="1" applyProtection="1">
      <alignment horizontal="center"/>
      <protection locked="0"/>
    </xf>
    <xf numFmtId="0" fontId="11" fillId="0" borderId="0" xfId="0" applyFont="1" applyBorder="1" applyProtection="1">
      <protection locked="0"/>
    </xf>
    <xf numFmtId="0" fontId="11" fillId="0" borderId="0" xfId="0" quotePrefix="1" applyFont="1" applyFill="1" applyBorder="1" applyProtection="1">
      <protection locked="0"/>
    </xf>
    <xf numFmtId="0" fontId="15" fillId="0" borderId="0" xfId="0" applyFont="1" applyFill="1" applyBorder="1" applyProtection="1">
      <protection locked="0"/>
    </xf>
    <xf numFmtId="0" fontId="11" fillId="0" borderId="0" xfId="0" quotePrefix="1" applyFont="1" applyFill="1" applyBorder="1" applyAlignment="1" applyProtection="1">
      <alignment horizontal="center"/>
      <protection locked="0"/>
    </xf>
    <xf numFmtId="37" fontId="11" fillId="0" borderId="0" xfId="0" quotePrefix="1" applyNumberFormat="1" applyFont="1" applyFill="1" applyBorder="1" applyAlignment="1" applyProtection="1">
      <alignment horizontal="center"/>
      <protection locked="0"/>
    </xf>
    <xf numFmtId="0" fontId="11" fillId="0" borderId="0" xfId="0" applyFont="1" applyBorder="1" applyAlignment="1" applyProtection="1">
      <alignment horizontal="center"/>
      <protection locked="0"/>
    </xf>
    <xf numFmtId="0" fontId="11" fillId="0" borderId="9" xfId="0" applyFont="1" applyFill="1" applyBorder="1" applyProtection="1">
      <protection locked="0"/>
    </xf>
    <xf numFmtId="0" fontId="11" fillId="0" borderId="9" xfId="0" applyFont="1" applyFill="1" applyBorder="1" applyAlignment="1" applyProtection="1">
      <alignment horizontal="center"/>
      <protection locked="0"/>
    </xf>
    <xf numFmtId="0" fontId="15" fillId="0" borderId="0" xfId="0" quotePrefix="1" applyFont="1" applyFill="1" applyBorder="1" applyAlignment="1" applyProtection="1">
      <alignment horizontal="left"/>
      <protection locked="0"/>
    </xf>
    <xf numFmtId="164" fontId="15" fillId="0" borderId="0" xfId="2" applyNumberFormat="1" applyFont="1" applyFill="1" applyBorder="1" applyAlignment="1" applyProtection="1">
      <alignment horizontal="center"/>
      <protection locked="0"/>
    </xf>
    <xf numFmtId="164" fontId="15" fillId="0" borderId="0" xfId="2" applyNumberFormat="1" applyFont="1" applyFill="1" applyBorder="1" applyProtection="1">
      <protection locked="0"/>
    </xf>
    <xf numFmtId="0" fontId="15" fillId="0" borderId="0" xfId="0" applyFont="1" applyFill="1" applyBorder="1" applyAlignment="1" applyProtection="1">
      <alignment horizontal="center"/>
      <protection locked="0"/>
    </xf>
    <xf numFmtId="164" fontId="11" fillId="0" borderId="0" xfId="2" applyNumberFormat="1" applyFont="1" applyFill="1" applyBorder="1" applyProtection="1">
      <protection locked="0"/>
    </xf>
    <xf numFmtId="0" fontId="15" fillId="0" borderId="0" xfId="0" applyFont="1" applyFill="1" applyBorder="1" applyAlignment="1" applyProtection="1">
      <alignment horizontal="right"/>
      <protection locked="0"/>
    </xf>
    <xf numFmtId="0" fontId="11" fillId="0" borderId="0" xfId="0" applyFont="1" applyFill="1" applyBorder="1" applyAlignment="1" applyProtection="1">
      <alignment horizontal="right"/>
      <protection locked="0"/>
    </xf>
    <xf numFmtId="164" fontId="11" fillId="0" borderId="0" xfId="2" quotePrefix="1" applyNumberFormat="1" applyFont="1" applyFill="1" applyBorder="1" applyAlignment="1" applyProtection="1">
      <alignment horizontal="center"/>
      <protection locked="0"/>
    </xf>
    <xf numFmtId="0" fontId="13" fillId="0" borderId="0" xfId="0" quotePrefix="1" applyFont="1" applyFill="1" applyBorder="1" applyAlignment="1" applyProtection="1">
      <alignment horizontal="left"/>
      <protection locked="0"/>
    </xf>
    <xf numFmtId="0" fontId="11" fillId="0" borderId="0" xfId="0" quotePrefix="1" applyFont="1" applyFill="1" applyBorder="1" applyAlignment="1" applyProtection="1">
      <alignment horizontal="left"/>
      <protection locked="0"/>
    </xf>
    <xf numFmtId="0" fontId="15" fillId="0" borderId="0" xfId="0" quotePrefix="1" applyFont="1" applyFill="1" applyBorder="1" applyAlignment="1" applyProtection="1">
      <alignment horizontal="center"/>
      <protection locked="0"/>
    </xf>
    <xf numFmtId="0" fontId="13" fillId="0" borderId="0" xfId="0" applyFont="1" applyFill="1" applyBorder="1" applyProtection="1">
      <protection locked="0"/>
    </xf>
    <xf numFmtId="164" fontId="13" fillId="0" borderId="0" xfId="2" applyNumberFormat="1" applyFont="1" applyFill="1" applyBorder="1" applyProtection="1">
      <protection locked="0"/>
    </xf>
    <xf numFmtId="0" fontId="13" fillId="0" borderId="0" xfId="0" applyFont="1" applyFill="1" applyBorder="1" applyAlignment="1" applyProtection="1">
      <alignment horizontal="center"/>
      <protection locked="0"/>
    </xf>
    <xf numFmtId="164" fontId="12" fillId="0" borderId="0" xfId="2" applyNumberFormat="1" applyFont="1" applyFill="1" applyBorder="1" applyProtection="1">
      <protection locked="0"/>
    </xf>
    <xf numFmtId="0" fontId="12" fillId="0" borderId="0" xfId="0" applyFont="1" applyFill="1" applyBorder="1" applyAlignment="1" applyProtection="1">
      <alignment horizontal="center"/>
      <protection locked="0"/>
    </xf>
    <xf numFmtId="0" fontId="15" fillId="0" borderId="0" xfId="0" applyFont="1" applyFill="1" applyBorder="1" applyAlignment="1" applyProtection="1">
      <alignment horizontal="left"/>
      <protection locked="0"/>
    </xf>
    <xf numFmtId="164" fontId="15" fillId="0" borderId="0" xfId="2" quotePrefix="1" applyNumberFormat="1" applyFont="1" applyFill="1" applyBorder="1" applyAlignment="1" applyProtection="1">
      <alignment horizontal="center"/>
      <protection locked="0"/>
    </xf>
    <xf numFmtId="0" fontId="12" fillId="0" borderId="0" xfId="0" applyFont="1" applyFill="1" applyBorder="1" applyProtection="1">
      <protection locked="0"/>
    </xf>
    <xf numFmtId="0" fontId="11" fillId="0" borderId="0" xfId="0" applyFont="1" applyFill="1" applyBorder="1" applyAlignment="1" applyProtection="1">
      <alignment horizontal="left"/>
      <protection locked="0"/>
    </xf>
    <xf numFmtId="0" fontId="17" fillId="0" borderId="0" xfId="4" applyFont="1" applyFill="1" applyBorder="1" applyAlignment="1" applyProtection="1">
      <protection locked="0"/>
    </xf>
    <xf numFmtId="0" fontId="17" fillId="0" borderId="0" xfId="4" applyFont="1" applyFill="1" applyBorder="1" applyAlignment="1" applyProtection="1"/>
    <xf numFmtId="0" fontId="11" fillId="0" borderId="9" xfId="0" quotePrefix="1" applyFont="1" applyFill="1" applyBorder="1" applyAlignment="1">
      <alignment horizontal="center"/>
    </xf>
    <xf numFmtId="164" fontId="15" fillId="0" borderId="0" xfId="2" applyNumberFormat="1" applyFont="1" applyFill="1" applyBorder="1" applyAlignment="1">
      <alignment horizontal="right"/>
    </xf>
    <xf numFmtId="14" fontId="15" fillId="0" borderId="0" xfId="0" applyNumberFormat="1" applyFont="1" applyFill="1" applyBorder="1" applyAlignment="1">
      <alignment horizontal="left"/>
    </xf>
    <xf numFmtId="169" fontId="11" fillId="0" borderId="0" xfId="2" applyNumberFormat="1" applyFont="1" applyFill="1" applyBorder="1"/>
    <xf numFmtId="164" fontId="11" fillId="0" borderId="0" xfId="2" applyNumberFormat="1" applyFont="1" applyFill="1" applyBorder="1" applyAlignment="1"/>
    <xf numFmtId="37" fontId="0" fillId="0" borderId="0" xfId="0" applyNumberFormat="1"/>
    <xf numFmtId="0" fontId="9" fillId="0" borderId="0" xfId="0" applyFont="1" applyAlignment="1">
      <alignment horizontal="center"/>
    </xf>
    <xf numFmtId="43" fontId="11" fillId="0" borderId="0" xfId="0" applyNumberFormat="1" applyFont="1" applyFill="1" applyBorder="1" applyProtection="1">
      <protection locked="0"/>
    </xf>
    <xf numFmtId="0" fontId="18" fillId="0" borderId="0" xfId="0" applyFont="1" applyFill="1" applyBorder="1" applyProtection="1">
      <protection locked="0"/>
    </xf>
    <xf numFmtId="0" fontId="15" fillId="0" borderId="0" xfId="0" applyFont="1" applyAlignment="1">
      <alignment horizontal="center"/>
    </xf>
    <xf numFmtId="0" fontId="15" fillId="0" borderId="1" xfId="0" applyFont="1" applyBorder="1" applyAlignment="1">
      <alignment horizontal="center"/>
    </xf>
    <xf numFmtId="0" fontId="11" fillId="0" borderId="0" xfId="0" applyFont="1" applyAlignment="1">
      <alignment horizontal="center"/>
    </xf>
    <xf numFmtId="164" fontId="0" fillId="0" borderId="0" xfId="2" applyNumberFormat="1" applyFont="1"/>
    <xf numFmtId="164" fontId="0" fillId="0" borderId="0" xfId="0" applyNumberFormat="1"/>
    <xf numFmtId="0" fontId="13" fillId="0" borderId="0" xfId="0" applyFont="1"/>
    <xf numFmtId="164" fontId="0" fillId="0" borderId="0" xfId="2" applyNumberFormat="1" applyFont="1" applyFill="1"/>
    <xf numFmtId="0" fontId="0" fillId="0" borderId="0" xfId="0" applyAlignment="1">
      <alignment horizontal="left"/>
    </xf>
    <xf numFmtId="0" fontId="15" fillId="0" borderId="0" xfId="0" applyFont="1" applyBorder="1" applyAlignment="1">
      <alignment horizontal="center"/>
    </xf>
    <xf numFmtId="0" fontId="8" fillId="0" borderId="0" xfId="0" applyFont="1"/>
    <xf numFmtId="0" fontId="15" fillId="0" borderId="13" xfId="0" applyFont="1" applyBorder="1" applyAlignment="1">
      <alignment horizontal="center" wrapText="1"/>
    </xf>
    <xf numFmtId="0" fontId="15" fillId="0" borderId="0" xfId="0" applyFont="1" applyBorder="1" applyAlignment="1">
      <alignment horizontal="center" wrapText="1"/>
    </xf>
    <xf numFmtId="0" fontId="0" fillId="0" borderId="14" xfId="0" applyBorder="1" applyAlignment="1">
      <alignment horizontal="center"/>
    </xf>
    <xf numFmtId="0" fontId="15" fillId="0" borderId="7" xfId="0" applyFont="1" applyBorder="1" applyAlignment="1">
      <alignment horizontal="center" wrapText="1"/>
    </xf>
    <xf numFmtId="164" fontId="9" fillId="0" borderId="0" xfId="2" applyNumberFormat="1" applyFont="1"/>
    <xf numFmtId="0" fontId="9" fillId="0" borderId="0" xfId="0" applyFont="1"/>
    <xf numFmtId="43" fontId="11" fillId="0" borderId="0" xfId="2" applyFont="1" applyFill="1" applyBorder="1"/>
    <xf numFmtId="43" fontId="15" fillId="0" borderId="0" xfId="2" applyFont="1" applyFill="1" applyBorder="1"/>
    <xf numFmtId="173" fontId="0" fillId="0" borderId="0" xfId="0" applyNumberFormat="1" applyAlignment="1">
      <alignment horizontal="center"/>
    </xf>
    <xf numFmtId="0" fontId="15" fillId="0" borderId="0" xfId="0" applyFont="1" applyAlignment="1">
      <alignment horizontal="center" wrapText="1"/>
    </xf>
    <xf numFmtId="43" fontId="0" fillId="0" borderId="0" xfId="2" applyFont="1"/>
    <xf numFmtId="164" fontId="9" fillId="0" borderId="0" xfId="2" applyNumberFormat="1" applyFill="1"/>
    <xf numFmtId="164" fontId="11" fillId="0" borderId="4" xfId="2" applyNumberFormat="1" applyFont="1" applyFill="1" applyBorder="1"/>
    <xf numFmtId="164" fontId="11" fillId="0" borderId="4" xfId="2" quotePrefix="1" applyNumberFormat="1" applyFont="1" applyFill="1" applyBorder="1" applyAlignment="1">
      <alignment horizontal="center"/>
    </xf>
    <xf numFmtId="0" fontId="11" fillId="0" borderId="4" xfId="0" applyFont="1" applyFill="1" applyBorder="1" applyAlignment="1">
      <alignment horizontal="center"/>
    </xf>
    <xf numFmtId="164" fontId="11" fillId="0" borderId="4" xfId="2" applyNumberFormat="1" applyFont="1" applyFill="1" applyBorder="1" applyAlignment="1">
      <alignment horizontal="center"/>
    </xf>
    <xf numFmtId="43" fontId="15" fillId="0" borderId="0" xfId="2" applyFont="1"/>
    <xf numFmtId="0" fontId="21" fillId="0" borderId="0" xfId="0" applyFont="1"/>
    <xf numFmtId="0" fontId="23" fillId="0" borderId="0" xfId="0" applyFont="1"/>
    <xf numFmtId="0" fontId="24" fillId="0" borderId="0" xfId="0" applyFont="1"/>
    <xf numFmtId="0" fontId="25" fillId="0" borderId="0" xfId="0" applyFont="1"/>
    <xf numFmtId="164" fontId="11" fillId="0" borderId="0" xfId="0" applyNumberFormat="1" applyFont="1" applyBorder="1"/>
    <xf numFmtId="167" fontId="0" fillId="0" borderId="0" xfId="3" applyNumberFormat="1" applyFont="1"/>
    <xf numFmtId="164" fontId="0" fillId="0" borderId="4" xfId="2" applyNumberFormat="1" applyFont="1" applyBorder="1"/>
    <xf numFmtId="167" fontId="15" fillId="0" borderId="5" xfId="3" applyNumberFormat="1" applyFont="1" applyBorder="1"/>
    <xf numFmtId="167" fontId="15" fillId="0" borderId="6" xfId="3" applyNumberFormat="1" applyFont="1" applyBorder="1"/>
    <xf numFmtId="164" fontId="11" fillId="0" borderId="0" xfId="0" applyNumberFormat="1" applyFont="1" applyFill="1" applyBorder="1" applyProtection="1">
      <protection locked="0"/>
    </xf>
    <xf numFmtId="168" fontId="0" fillId="0" borderId="0" xfId="0" applyNumberFormat="1"/>
    <xf numFmtId="165" fontId="15" fillId="0" borderId="0" xfId="2" applyNumberFormat="1" applyFont="1" applyFill="1" applyBorder="1"/>
    <xf numFmtId="43" fontId="11" fillId="0" borderId="0" xfId="0" applyNumberFormat="1" applyFont="1" applyFill="1" applyBorder="1"/>
    <xf numFmtId="9" fontId="11" fillId="0" borderId="0" xfId="6" applyFont="1" applyFill="1" applyBorder="1" applyAlignment="1">
      <alignment horizontal="center"/>
    </xf>
    <xf numFmtId="9" fontId="0" fillId="0" borderId="0" xfId="6" applyFont="1" applyAlignment="1">
      <alignment horizontal="center"/>
    </xf>
    <xf numFmtId="9" fontId="15" fillId="0" borderId="0" xfId="6" applyFont="1" applyFill="1" applyBorder="1" applyAlignment="1">
      <alignment horizontal="center"/>
    </xf>
    <xf numFmtId="0" fontId="9" fillId="0" borderId="0" xfId="0" applyFont="1" applyFill="1" applyBorder="1"/>
    <xf numFmtId="164" fontId="9" fillId="0" borderId="0" xfId="2" applyNumberFormat="1" applyFont="1" applyFill="1" applyBorder="1"/>
    <xf numFmtId="0" fontId="0" fillId="0" borderId="0" xfId="0" applyAlignment="1">
      <alignment horizontal="center"/>
    </xf>
    <xf numFmtId="0" fontId="9" fillId="0" borderId="0" xfId="0" applyFont="1" applyFill="1" applyBorder="1"/>
    <xf numFmtId="0" fontId="9" fillId="0" borderId="0" xfId="0" applyFont="1" applyFill="1"/>
    <xf numFmtId="0" fontId="9" fillId="0" borderId="0" xfId="0" applyFont="1"/>
    <xf numFmtId="164" fontId="9" fillId="0" borderId="0" xfId="2" applyNumberFormat="1" applyFont="1" applyBorder="1"/>
    <xf numFmtId="0" fontId="22" fillId="0" borderId="0" xfId="0" applyNumberFormat="1" applyFont="1"/>
    <xf numFmtId="0" fontId="22" fillId="0" borderId="0" xfId="0" applyFont="1"/>
    <xf numFmtId="0" fontId="0" fillId="0" borderId="0" xfId="0" applyFont="1" applyAlignment="1">
      <alignment horizontal="center"/>
    </xf>
    <xf numFmtId="0" fontId="19" fillId="0" borderId="0" xfId="0" applyFont="1" applyAlignment="1">
      <alignment horizontal="center"/>
    </xf>
    <xf numFmtId="0" fontId="20" fillId="0" borderId="0" xfId="0" applyFont="1"/>
    <xf numFmtId="0" fontId="19" fillId="0" borderId="0" xfId="0" applyFont="1"/>
    <xf numFmtId="0" fontId="20" fillId="0" borderId="0" xfId="0" applyFont="1" applyFill="1" applyBorder="1"/>
    <xf numFmtId="0" fontId="20" fillId="0" borderId="0" xfId="0" applyFont="1" applyFill="1" applyBorder="1" applyAlignment="1">
      <alignment horizontal="left"/>
    </xf>
    <xf numFmtId="14" fontId="20" fillId="0" borderId="0" xfId="0" applyNumberFormat="1" applyFont="1" applyFill="1" applyBorder="1" applyAlignment="1">
      <alignment horizontal="left"/>
    </xf>
    <xf numFmtId="0" fontId="19" fillId="0" borderId="0" xfId="0" applyFont="1" applyAlignment="1">
      <alignment horizontal="left"/>
    </xf>
    <xf numFmtId="43" fontId="19" fillId="0" borderId="0" xfId="0" applyNumberFormat="1" applyFont="1"/>
    <xf numFmtId="0" fontId="28" fillId="0" borderId="0" xfId="0" applyFont="1" applyAlignment="1">
      <alignment horizontal="center"/>
    </xf>
    <xf numFmtId="37" fontId="19" fillId="0" borderId="0" xfId="0" applyNumberFormat="1" applyFont="1"/>
    <xf numFmtId="0" fontId="19" fillId="0" borderId="0" xfId="0" applyFont="1" applyAlignment="1">
      <alignment horizontal="left" indent="1"/>
    </xf>
    <xf numFmtId="167" fontId="11" fillId="0" borderId="0" xfId="3" applyNumberFormat="1" applyFont="1" applyFill="1" applyBorder="1"/>
    <xf numFmtId="167" fontId="15" fillId="0" borderId="0" xfId="3" applyNumberFormat="1" applyFont="1" applyFill="1" applyBorder="1"/>
    <xf numFmtId="0" fontId="8" fillId="0" borderId="0" xfId="0" applyFont="1" applyFill="1" applyBorder="1" applyAlignment="1">
      <alignment horizontal="left"/>
    </xf>
    <xf numFmtId="0" fontId="8" fillId="0" borderId="0" xfId="0" applyFont="1" applyFill="1" applyBorder="1"/>
    <xf numFmtId="14" fontId="8" fillId="0" borderId="0" xfId="0" applyNumberFormat="1" applyFont="1" applyFill="1" applyBorder="1" applyAlignment="1">
      <alignment horizontal="left"/>
    </xf>
    <xf numFmtId="0" fontId="8" fillId="0" borderId="11" xfId="0" applyFont="1" applyFill="1" applyBorder="1" applyAlignment="1">
      <alignment horizontal="center"/>
    </xf>
    <xf numFmtId="0" fontId="8" fillId="0" borderId="0" xfId="0" applyFont="1" applyFill="1" applyBorder="1" applyAlignment="1">
      <alignment horizontal="center"/>
    </xf>
    <xf numFmtId="0" fontId="8" fillId="0" borderId="1" xfId="0" applyFont="1" applyBorder="1" applyAlignment="1">
      <alignment horizontal="center"/>
    </xf>
    <xf numFmtId="0" fontId="8" fillId="0" borderId="0" xfId="0" applyFont="1" applyAlignment="1">
      <alignment horizontal="center"/>
    </xf>
    <xf numFmtId="0" fontId="9" fillId="0" borderId="0" xfId="0" applyFont="1" applyFill="1" applyBorder="1" applyProtection="1">
      <protection locked="0"/>
    </xf>
    <xf numFmtId="0" fontId="0" fillId="0" borderId="0" xfId="0" applyAlignment="1"/>
    <xf numFmtId="0" fontId="9" fillId="0" borderId="0" xfId="0" applyFont="1" applyAlignment="1">
      <alignment wrapText="1"/>
    </xf>
    <xf numFmtId="0" fontId="9" fillId="0" borderId="0" xfId="0" applyFont="1" applyBorder="1" applyAlignment="1">
      <alignment wrapText="1"/>
    </xf>
    <xf numFmtId="0" fontId="8" fillId="0" borderId="0" xfId="0" applyFont="1" applyAlignment="1">
      <alignment horizontal="center"/>
    </xf>
    <xf numFmtId="164" fontId="9" fillId="0" borderId="0" xfId="0" applyNumberFormat="1" applyFont="1"/>
    <xf numFmtId="0" fontId="45" fillId="0" borderId="0" xfId="0" applyFont="1" applyFill="1"/>
    <xf numFmtId="0" fontId="9" fillId="0" borderId="0" xfId="0" applyFont="1" applyAlignment="1">
      <alignment horizontal="center"/>
    </xf>
    <xf numFmtId="0" fontId="8" fillId="0" borderId="1" xfId="0" applyFont="1" applyBorder="1" applyAlignment="1">
      <alignment horizontal="center"/>
    </xf>
    <xf numFmtId="0" fontId="8" fillId="0" borderId="0" xfId="0" applyFont="1" applyAlignment="1"/>
    <xf numFmtId="0" fontId="0" fillId="0" borderId="0" xfId="0" applyFill="1"/>
    <xf numFmtId="0" fontId="0" fillId="0" borderId="0" xfId="0" applyFill="1" applyAlignment="1">
      <alignment horizontal="center"/>
    </xf>
    <xf numFmtId="0" fontId="0" fillId="0" borderId="0" xfId="0" applyFill="1" applyBorder="1"/>
    <xf numFmtId="0" fontId="9" fillId="0" borderId="0" xfId="0" applyFont="1" applyBorder="1"/>
    <xf numFmtId="0" fontId="0" fillId="0" borderId="0" xfId="0" applyFill="1" applyAlignment="1">
      <alignment horizontal="left"/>
    </xf>
    <xf numFmtId="0" fontId="8" fillId="0" borderId="0" xfId="0" applyFont="1" applyBorder="1" applyAlignment="1">
      <alignment horizontal="center"/>
    </xf>
    <xf numFmtId="0" fontId="8" fillId="0" borderId="0" xfId="0" applyFont="1" applyFill="1" applyBorder="1" applyAlignment="1">
      <alignment horizontal="left"/>
    </xf>
    <xf numFmtId="0" fontId="8" fillId="0" borderId="0" xfId="0" applyFont="1" applyFill="1" applyAlignment="1">
      <alignment horizontal="center"/>
    </xf>
    <xf numFmtId="14" fontId="8" fillId="0" borderId="0" xfId="0" applyNumberFormat="1" applyFont="1" applyFill="1" applyBorder="1" applyAlignment="1">
      <alignment horizontal="left"/>
    </xf>
    <xf numFmtId="0" fontId="8" fillId="0" borderId="0" xfId="0" applyFont="1" applyFill="1" applyBorder="1"/>
    <xf numFmtId="0" fontId="8" fillId="0" borderId="0" xfId="0" applyFont="1"/>
    <xf numFmtId="0" fontId="9" fillId="0" borderId="0" xfId="0" applyFont="1" applyFill="1" applyAlignment="1">
      <alignment horizontal="center"/>
    </xf>
    <xf numFmtId="164" fontId="9" fillId="0" borderId="0" xfId="0" applyNumberFormat="1" applyFont="1" applyFill="1" applyBorder="1"/>
    <xf numFmtId="0" fontId="9" fillId="0" borderId="0" xfId="0" applyFont="1" applyFill="1"/>
    <xf numFmtId="164" fontId="9" fillId="0" borderId="0" xfId="2" applyNumberFormat="1" applyFont="1" applyFill="1"/>
    <xf numFmtId="0" fontId="8" fillId="0" borderId="0" xfId="0" applyFont="1" applyFill="1"/>
    <xf numFmtId="164" fontId="8" fillId="0" borderId="0" xfId="2" applyNumberFormat="1" applyFont="1" applyFill="1" applyBorder="1"/>
    <xf numFmtId="0" fontId="8" fillId="0" borderId="0" xfId="0" applyFont="1" applyFill="1" applyAlignment="1"/>
    <xf numFmtId="0" fontId="46" fillId="0" borderId="0" xfId="0" applyFont="1" applyFill="1"/>
    <xf numFmtId="164" fontId="46" fillId="0" borderId="0" xfId="2" applyNumberFormat="1" applyFont="1" applyFill="1"/>
    <xf numFmtId="0" fontId="8" fillId="0" borderId="0" xfId="0" applyFont="1" applyFill="1" applyBorder="1" applyProtection="1">
      <protection locked="0"/>
    </xf>
    <xf numFmtId="0" fontId="9" fillId="0" borderId="0" xfId="0" applyFont="1" applyBorder="1" applyProtection="1">
      <protection locked="0"/>
    </xf>
    <xf numFmtId="0" fontId="8" fillId="0" borderId="0" xfId="0" applyFont="1" applyBorder="1" applyProtection="1">
      <protection locked="0"/>
    </xf>
    <xf numFmtId="0" fontId="9" fillId="0" borderId="0" xfId="0" applyFont="1" applyBorder="1" applyAlignment="1" applyProtection="1">
      <alignment horizontal="center"/>
      <protection locked="0"/>
    </xf>
    <xf numFmtId="0" fontId="21" fillId="0" borderId="0" xfId="0" applyFont="1" applyBorder="1" applyProtection="1">
      <protection locked="0"/>
    </xf>
    <xf numFmtId="43" fontId="21" fillId="0" borderId="0" xfId="2" applyFont="1" applyBorder="1" applyProtection="1">
      <protection locked="0"/>
    </xf>
    <xf numFmtId="0" fontId="14" fillId="0" borderId="0" xfId="4" applyFont="1" applyFill="1" applyBorder="1" applyAlignment="1" applyProtection="1">
      <protection locked="0"/>
    </xf>
    <xf numFmtId="0" fontId="9" fillId="0" borderId="0" xfId="0" applyFont="1" applyFill="1" applyBorder="1" applyAlignment="1" applyProtection="1">
      <alignment horizontal="center"/>
      <protection locked="0"/>
    </xf>
    <xf numFmtId="164" fontId="9" fillId="0" borderId="0" xfId="0" applyNumberFormat="1" applyFont="1" applyFill="1" applyBorder="1" applyProtection="1">
      <protection locked="0"/>
    </xf>
    <xf numFmtId="0" fontId="9" fillId="0" borderId="0" xfId="0" quotePrefix="1" applyFont="1" applyFill="1" applyBorder="1" applyProtection="1">
      <protection locked="0"/>
    </xf>
    <xf numFmtId="0" fontId="47" fillId="0" borderId="0" xfId="20" applyFont="1" applyFill="1"/>
    <xf numFmtId="0" fontId="9" fillId="0" borderId="0" xfId="0" quotePrefix="1" applyFont="1" applyFill="1" applyBorder="1" applyAlignment="1" applyProtection="1">
      <alignment horizontal="center"/>
      <protection locked="0"/>
    </xf>
    <xf numFmtId="0" fontId="8" fillId="0" borderId="10" xfId="0" applyFont="1" applyFill="1" applyBorder="1"/>
    <xf numFmtId="0" fontId="8" fillId="0" borderId="10" xfId="0" applyFont="1" applyFill="1" applyBorder="1" applyAlignment="1">
      <alignment horizontal="center"/>
    </xf>
    <xf numFmtId="0" fontId="8" fillId="0" borderId="11" xfId="0" quotePrefix="1" applyFont="1" applyFill="1" applyBorder="1" applyAlignment="1">
      <alignment horizontal="center"/>
    </xf>
    <xf numFmtId="0" fontId="8" fillId="0" borderId="12" xfId="0" applyFont="1" applyFill="1" applyBorder="1" applyAlignment="1">
      <alignment horizontal="center"/>
    </xf>
    <xf numFmtId="0" fontId="9" fillId="0" borderId="12" xfId="0" applyFont="1" applyFill="1" applyBorder="1" applyAlignment="1">
      <alignment horizontal="center"/>
    </xf>
    <xf numFmtId="0" fontId="9" fillId="0" borderId="9" xfId="0" applyFont="1" applyFill="1" applyBorder="1" applyProtection="1">
      <protection locked="0"/>
    </xf>
    <xf numFmtId="0" fontId="8" fillId="0" borderId="9" xfId="0" applyFont="1" applyFill="1" applyBorder="1" applyProtection="1">
      <protection locked="0"/>
    </xf>
    <xf numFmtId="0" fontId="9" fillId="0" borderId="9" xfId="0" applyFont="1" applyFill="1" applyBorder="1" applyAlignment="1" applyProtection="1">
      <alignment horizontal="center"/>
      <protection locked="0"/>
    </xf>
    <xf numFmtId="0" fontId="21" fillId="0" borderId="0" xfId="0" applyFont="1" applyFill="1" applyBorder="1" applyProtection="1">
      <protection locked="0"/>
    </xf>
    <xf numFmtId="43" fontId="21" fillId="0" borderId="0" xfId="2" applyFont="1" applyFill="1" applyBorder="1" applyProtection="1">
      <protection locked="0"/>
    </xf>
    <xf numFmtId="0" fontId="9" fillId="0" borderId="0" xfId="0" applyFont="1" applyFill="1" applyBorder="1" applyAlignment="1">
      <alignment horizontal="center"/>
    </xf>
    <xf numFmtId="0" fontId="18" fillId="0" borderId="0" xfId="0" applyFont="1" applyFill="1" applyBorder="1"/>
    <xf numFmtId="43" fontId="18" fillId="0" borderId="0" xfId="2" applyFont="1" applyFill="1" applyBorder="1"/>
    <xf numFmtId="0" fontId="21" fillId="0" borderId="0" xfId="0" applyFont="1" applyFill="1" applyBorder="1"/>
    <xf numFmtId="43" fontId="21" fillId="0" borderId="0" xfId="2" applyFont="1" applyFill="1" applyBorder="1"/>
    <xf numFmtId="0" fontId="8" fillId="0" borderId="0" xfId="0" quotePrefix="1" applyFont="1" applyFill="1" applyBorder="1" applyAlignment="1">
      <alignment horizontal="left"/>
    </xf>
    <xf numFmtId="9" fontId="9" fillId="0" borderId="0" xfId="6" applyFont="1" applyFill="1" applyBorder="1" applyAlignment="1">
      <alignment horizontal="center"/>
    </xf>
    <xf numFmtId="164" fontId="9" fillId="0" borderId="0" xfId="2" applyNumberFormat="1" applyFont="1" applyFill="1" applyBorder="1" applyAlignment="1"/>
    <xf numFmtId="0" fontId="8" fillId="0" borderId="0" xfId="0" quotePrefix="1" applyFont="1" applyFill="1" applyBorder="1" applyAlignment="1">
      <alignment horizontal="center"/>
    </xf>
    <xf numFmtId="164" fontId="21" fillId="0" borderId="0" xfId="0" applyNumberFormat="1" applyFont="1" applyFill="1" applyBorder="1"/>
    <xf numFmtId="9" fontId="9" fillId="0" borderId="0" xfId="6" applyFont="1" applyBorder="1" applyAlignment="1">
      <alignment horizontal="center"/>
    </xf>
    <xf numFmtId="164" fontId="9" fillId="0" borderId="4" xfId="2" applyNumberFormat="1" applyFont="1" applyFill="1" applyBorder="1"/>
    <xf numFmtId="0" fontId="8" fillId="0" borderId="0" xfId="0" applyFont="1" applyFill="1" applyBorder="1" applyAlignment="1">
      <alignment horizontal="right"/>
    </xf>
    <xf numFmtId="9" fontId="8" fillId="0" borderId="0" xfId="6" applyFont="1" applyFill="1" applyBorder="1" applyAlignment="1">
      <alignment horizontal="center"/>
    </xf>
    <xf numFmtId="0" fontId="9" fillId="0" borderId="0" xfId="0" applyFont="1" applyFill="1" applyBorder="1" applyAlignment="1">
      <alignment horizontal="left"/>
    </xf>
    <xf numFmtId="0" fontId="9" fillId="0" borderId="0" xfId="0" applyFont="1" applyFill="1" applyBorder="1" applyAlignment="1">
      <alignment horizontal="right"/>
    </xf>
    <xf numFmtId="43" fontId="9" fillId="0" borderId="4" xfId="2" applyNumberFormat="1" applyFont="1" applyFill="1" applyBorder="1"/>
    <xf numFmtId="170" fontId="16" fillId="0" borderId="0" xfId="6" applyNumberFormat="1" applyFont="1" applyFill="1" applyBorder="1" applyProtection="1"/>
    <xf numFmtId="9" fontId="16" fillId="0" borderId="0" xfId="6" applyFont="1" applyFill="1" applyBorder="1" applyAlignment="1" applyProtection="1">
      <alignment horizontal="center"/>
    </xf>
    <xf numFmtId="10" fontId="8" fillId="0" borderId="0" xfId="6" applyNumberFormat="1" applyFont="1" applyFill="1" applyBorder="1"/>
    <xf numFmtId="43" fontId="9" fillId="0" borderId="0" xfId="2" applyNumberFormat="1" applyFont="1" applyFill="1" applyBorder="1"/>
    <xf numFmtId="0" fontId="9" fillId="0" borderId="0" xfId="0" applyFont="1" applyFill="1" applyBorder="1" applyAlignment="1" applyProtection="1">
      <alignment horizontal="left"/>
      <protection locked="0"/>
    </xf>
    <xf numFmtId="164" fontId="9" fillId="0" borderId="0" xfId="2" applyNumberFormat="1" applyFont="1" applyFill="1" applyBorder="1" applyProtection="1">
      <protection locked="0"/>
    </xf>
    <xf numFmtId="164" fontId="9" fillId="0" borderId="0" xfId="2" quotePrefix="1" applyNumberFormat="1" applyFont="1" applyFill="1" applyBorder="1" applyAlignment="1" applyProtection="1">
      <alignment horizontal="center"/>
      <protection locked="0"/>
    </xf>
    <xf numFmtId="43" fontId="9" fillId="0" borderId="0" xfId="0" applyNumberFormat="1" applyFont="1" applyFill="1" applyBorder="1" applyProtection="1">
      <protection locked="0"/>
    </xf>
    <xf numFmtId="164" fontId="21" fillId="0" borderId="0" xfId="0" applyNumberFormat="1" applyFont="1" applyBorder="1"/>
    <xf numFmtId="43" fontId="9" fillId="0" borderId="0" xfId="2" applyFont="1" applyFill="1" applyBorder="1" applyProtection="1">
      <protection locked="0"/>
    </xf>
    <xf numFmtId="0" fontId="14" fillId="0" borderId="0" xfId="4" applyFont="1" applyAlignment="1" applyProtection="1"/>
    <xf numFmtId="0" fontId="9" fillId="0" borderId="0" xfId="0" applyFont="1" applyAlignment="1">
      <alignment horizontal="right"/>
    </xf>
    <xf numFmtId="0" fontId="9" fillId="0" borderId="0" xfId="0" applyFont="1" applyAlignment="1"/>
    <xf numFmtId="0" fontId="8" fillId="0" borderId="10" xfId="0" applyFont="1" applyBorder="1"/>
    <xf numFmtId="0" fontId="8" fillId="0" borderId="0" xfId="0" applyFont="1" applyBorder="1"/>
    <xf numFmtId="0" fontId="9" fillId="0" borderId="0" xfId="0" applyFont="1" applyBorder="1" applyAlignment="1">
      <alignment horizontal="center"/>
    </xf>
    <xf numFmtId="170" fontId="16" fillId="0" borderId="0" xfId="6" applyNumberFormat="1" applyFont="1" applyFill="1" applyProtection="1"/>
    <xf numFmtId="164" fontId="9" fillId="0" borderId="0" xfId="0" applyNumberFormat="1" applyFont="1"/>
    <xf numFmtId="164" fontId="21" fillId="0" borderId="0" xfId="2" applyNumberFormat="1" applyFont="1"/>
    <xf numFmtId="0" fontId="46" fillId="0" borderId="0" xfId="0" applyFont="1"/>
    <xf numFmtId="164" fontId="21" fillId="0" borderId="0" xfId="0" applyNumberFormat="1" applyFont="1"/>
    <xf numFmtId="0" fontId="8" fillId="0" borderId="10" xfId="0" applyFont="1" applyBorder="1" applyAlignment="1">
      <alignment horizontal="center"/>
    </xf>
    <xf numFmtId="0" fontId="8" fillId="0" borderId="11" xfId="0" applyFont="1" applyBorder="1" applyAlignment="1">
      <alignment horizontal="center"/>
    </xf>
    <xf numFmtId="0" fontId="9" fillId="0" borderId="12" xfId="0" applyFont="1" applyBorder="1" applyAlignment="1">
      <alignment horizontal="center"/>
    </xf>
    <xf numFmtId="164" fontId="9" fillId="0" borderId="0" xfId="2" applyNumberFormat="1" applyFont="1" applyBorder="1" applyAlignment="1">
      <alignment horizontal="center"/>
    </xf>
    <xf numFmtId="0" fontId="46" fillId="0" borderId="0" xfId="0" applyFont="1" applyAlignment="1">
      <alignment horizontal="right"/>
    </xf>
    <xf numFmtId="164" fontId="46" fillId="0" borderId="0" xfId="0" applyNumberFormat="1" applyFont="1"/>
    <xf numFmtId="0" fontId="8" fillId="0" borderId="16" xfId="0" applyFont="1" applyBorder="1" applyAlignment="1">
      <alignment horizontal="center"/>
    </xf>
    <xf numFmtId="0" fontId="8" fillId="0" borderId="9" xfId="0" applyFont="1" applyBorder="1" applyAlignment="1">
      <alignment horizontal="center"/>
    </xf>
    <xf numFmtId="164" fontId="8" fillId="0" borderId="9" xfId="2" quotePrefix="1" applyNumberFormat="1" applyFont="1" applyBorder="1" applyAlignment="1">
      <alignment horizontal="center"/>
    </xf>
    <xf numFmtId="0" fontId="8" fillId="0" borderId="2" xfId="0" applyFont="1" applyBorder="1" applyAlignment="1">
      <alignment horizontal="center"/>
    </xf>
    <xf numFmtId="0" fontId="8" fillId="0" borderId="0" xfId="0" applyFont="1" applyBorder="1" applyAlignment="1">
      <alignment horizontal="center"/>
    </xf>
    <xf numFmtId="164" fontId="8" fillId="0" borderId="0" xfId="2" quotePrefix="1" applyNumberFormat="1" applyFont="1" applyBorder="1" applyAlignment="1">
      <alignment horizontal="center"/>
    </xf>
    <xf numFmtId="0" fontId="9" fillId="0" borderId="18" xfId="0" applyFont="1" applyBorder="1"/>
    <xf numFmtId="0" fontId="9" fillId="0" borderId="3" xfId="0" applyFont="1" applyBorder="1" applyAlignment="1">
      <alignment horizontal="center"/>
    </xf>
    <xf numFmtId="164" fontId="9" fillId="0" borderId="3" xfId="2" applyNumberFormat="1" applyFont="1" applyBorder="1" applyAlignment="1">
      <alignment horizontal="center"/>
    </xf>
    <xf numFmtId="40" fontId="9" fillId="0" borderId="0" xfId="0" applyNumberFormat="1" applyFont="1" applyFill="1"/>
    <xf numFmtId="41" fontId="21" fillId="0" borderId="0" xfId="0" applyNumberFormat="1" applyFont="1"/>
    <xf numFmtId="40" fontId="8" fillId="0" borderId="0" xfId="0" applyNumberFormat="1" applyFont="1" applyFill="1"/>
    <xf numFmtId="43" fontId="9" fillId="0" borderId="0" xfId="2" applyFont="1"/>
    <xf numFmtId="8" fontId="9" fillId="0" borderId="0" xfId="0" applyNumberFormat="1" applyFont="1"/>
    <xf numFmtId="40" fontId="9" fillId="0" borderId="0" xfId="0" applyNumberFormat="1" applyFont="1" applyFill="1" applyAlignment="1">
      <alignment horizontal="left"/>
    </xf>
    <xf numFmtId="0" fontId="48" fillId="0" borderId="0" xfId="0" applyFont="1" applyFill="1" applyBorder="1" applyAlignment="1">
      <alignment horizontal="left" wrapText="1"/>
    </xf>
    <xf numFmtId="0" fontId="48" fillId="0" borderId="0" xfId="0" applyFont="1" applyFill="1" applyBorder="1" applyAlignment="1">
      <alignment wrapText="1"/>
    </xf>
    <xf numFmtId="0" fontId="14" fillId="0" borderId="0" xfId="4" applyFont="1" applyFill="1" applyAlignment="1" applyProtection="1"/>
    <xf numFmtId="0" fontId="9" fillId="0" borderId="0" xfId="0" applyFont="1" applyFill="1" applyAlignment="1"/>
    <xf numFmtId="0" fontId="9" fillId="0" borderId="2" xfId="0" applyFont="1" applyFill="1" applyBorder="1" applyAlignment="1">
      <alignment horizontal="center"/>
    </xf>
    <xf numFmtId="164" fontId="9" fillId="0" borderId="0" xfId="0" applyNumberFormat="1" applyFont="1" applyFill="1"/>
    <xf numFmtId="0" fontId="8" fillId="0" borderId="5" xfId="0" applyFont="1" applyFill="1" applyBorder="1"/>
    <xf numFmtId="164" fontId="8" fillId="0" borderId="5" xfId="2" applyNumberFormat="1" applyFont="1" applyFill="1" applyBorder="1"/>
    <xf numFmtId="164" fontId="8" fillId="0" borderId="5" xfId="2" applyNumberFormat="1" applyFont="1" applyFill="1" applyBorder="1" applyAlignment="1">
      <alignment horizontal="center"/>
    </xf>
    <xf numFmtId="0" fontId="21" fillId="0" borderId="0" xfId="0" applyFont="1" applyFill="1"/>
    <xf numFmtId="164" fontId="21" fillId="0" borderId="0" xfId="2" applyNumberFormat="1" applyFont="1" applyFill="1"/>
    <xf numFmtId="164" fontId="21" fillId="0" borderId="0" xfId="0" applyNumberFormat="1" applyFont="1" applyFill="1"/>
    <xf numFmtId="164" fontId="21" fillId="0" borderId="0" xfId="0" applyNumberFormat="1" applyFont="1" applyFill="1" applyAlignment="1"/>
    <xf numFmtId="0" fontId="21" fillId="0" borderId="0" xfId="0" applyFont="1" applyFill="1" applyAlignment="1"/>
    <xf numFmtId="0" fontId="9" fillId="0" borderId="0" xfId="0" applyFont="1" applyBorder="1"/>
    <xf numFmtId="43" fontId="21" fillId="0" borderId="0" xfId="2" applyFont="1" applyFill="1"/>
    <xf numFmtId="43" fontId="21" fillId="0" borderId="0" xfId="0" applyNumberFormat="1" applyFont="1" applyFill="1"/>
    <xf numFmtId="164" fontId="9" fillId="0" borderId="0" xfId="0" applyNumberFormat="1" applyFont="1" applyAlignment="1"/>
    <xf numFmtId="164" fontId="9" fillId="0" borderId="0" xfId="0" applyNumberFormat="1" applyFont="1" applyFill="1" applyAlignment="1"/>
    <xf numFmtId="43" fontId="21" fillId="0" borderId="0" xfId="2" applyFont="1"/>
    <xf numFmtId="164" fontId="9" fillId="0" borderId="0" xfId="2" applyNumberFormat="1" applyFont="1" applyFill="1" applyAlignment="1"/>
    <xf numFmtId="43" fontId="9" fillId="0" borderId="0" xfId="2" applyFont="1" applyAlignment="1"/>
    <xf numFmtId="164" fontId="46" fillId="0" borderId="0" xfId="0" applyNumberFormat="1" applyFont="1" applyFill="1" applyBorder="1"/>
    <xf numFmtId="164" fontId="9" fillId="0" borderId="0" xfId="0" applyNumberFormat="1" applyFont="1" applyBorder="1"/>
    <xf numFmtId="9" fontId="9" fillId="0" borderId="0" xfId="6" applyFont="1" applyFill="1" applyBorder="1"/>
    <xf numFmtId="164" fontId="9" fillId="0" borderId="0" xfId="2" applyNumberFormat="1" applyFont="1" applyFill="1" applyBorder="1" applyAlignment="1">
      <alignment horizontal="center"/>
    </xf>
    <xf numFmtId="0" fontId="9" fillId="0" borderId="10" xfId="0" applyFont="1" applyBorder="1"/>
    <xf numFmtId="164" fontId="8" fillId="0" borderId="11" xfId="2" applyNumberFormat="1" applyFont="1" applyBorder="1" applyAlignment="1">
      <alignment horizontal="center"/>
    </xf>
    <xf numFmtId="0" fontId="9" fillId="0" borderId="12" xfId="0" applyFont="1" applyBorder="1"/>
    <xf numFmtId="0" fontId="9" fillId="0" borderId="12" xfId="0" quotePrefix="1" applyFont="1" applyBorder="1" applyAlignment="1">
      <alignment horizontal="center"/>
    </xf>
    <xf numFmtId="166" fontId="9" fillId="0" borderId="0" xfId="6" applyNumberFormat="1" applyFont="1"/>
    <xf numFmtId="0" fontId="8" fillId="0" borderId="12" xfId="0" applyFont="1" applyBorder="1" applyAlignment="1">
      <alignment horizontal="center"/>
    </xf>
    <xf numFmtId="164" fontId="9" fillId="0" borderId="12" xfId="2" applyNumberFormat="1" applyFont="1" applyBorder="1" applyAlignment="1">
      <alignment horizontal="center"/>
    </xf>
    <xf numFmtId="164" fontId="8" fillId="0" borderId="0" xfId="2" applyNumberFormat="1" applyFont="1" applyBorder="1" applyAlignment="1">
      <alignment horizontal="center"/>
    </xf>
    <xf numFmtId="43" fontId="9" fillId="0" borderId="0" xfId="0" applyNumberFormat="1" applyFont="1" applyFill="1"/>
    <xf numFmtId="10" fontId="9" fillId="0" borderId="0" xfId="6" applyNumberFormat="1" applyFont="1"/>
    <xf numFmtId="37" fontId="9" fillId="0" borderId="0" xfId="0" applyNumberFormat="1" applyFont="1" applyFill="1"/>
    <xf numFmtId="0" fontId="9" fillId="0" borderId="0" xfId="0" applyFont="1" applyFill="1" applyAlignment="1">
      <alignment horizontal="left"/>
    </xf>
    <xf numFmtId="37" fontId="9" fillId="0" borderId="0" xfId="0" applyNumberFormat="1" applyFont="1" applyFill="1" applyAlignment="1"/>
    <xf numFmtId="37" fontId="8" fillId="0" borderId="10" xfId="0" applyNumberFormat="1" applyFont="1" applyFill="1" applyBorder="1"/>
    <xf numFmtId="37" fontId="8" fillId="0" borderId="11" xfId="0" quotePrefix="1" applyNumberFormat="1" applyFont="1" applyFill="1" applyBorder="1" applyAlignment="1">
      <alignment horizontal="center"/>
    </xf>
    <xf numFmtId="37" fontId="9" fillId="0" borderId="12" xfId="0" applyNumberFormat="1" applyFont="1" applyFill="1" applyBorder="1" applyAlignment="1">
      <alignment horizontal="center"/>
    </xf>
    <xf numFmtId="164" fontId="9" fillId="0" borderId="0" xfId="0" applyNumberFormat="1" applyFont="1" applyFill="1" applyAlignment="1">
      <alignment horizontal="left"/>
    </xf>
    <xf numFmtId="49" fontId="9" fillId="0" borderId="0" xfId="0" applyNumberFormat="1" applyFont="1" applyFill="1" applyAlignment="1">
      <alignment horizontal="center"/>
    </xf>
    <xf numFmtId="37" fontId="9" fillId="0" borderId="0" xfId="0" applyNumberFormat="1" applyFont="1" applyFill="1" applyBorder="1" applyAlignment="1">
      <alignment horizontal="left"/>
    </xf>
    <xf numFmtId="164" fontId="9" fillId="0" borderId="0" xfId="0" applyNumberFormat="1" applyFont="1" applyFill="1" applyBorder="1" applyAlignment="1">
      <alignment horizontal="left"/>
    </xf>
    <xf numFmtId="10" fontId="9" fillId="0" borderId="0" xfId="0" applyNumberFormat="1" applyFont="1" applyFill="1" applyBorder="1"/>
    <xf numFmtId="0" fontId="9" fillId="0" borderId="0" xfId="0" applyNumberFormat="1" applyFont="1" applyFill="1" applyAlignment="1">
      <alignment horizontal="center"/>
    </xf>
    <xf numFmtId="0" fontId="9" fillId="0" borderId="0" xfId="0" applyNumberFormat="1" applyFont="1" applyFill="1"/>
    <xf numFmtId="164" fontId="8" fillId="0" borderId="0" xfId="0" applyNumberFormat="1" applyFont="1" applyFill="1"/>
    <xf numFmtId="0" fontId="9" fillId="0" borderId="0" xfId="0" applyFont="1" applyFill="1" applyAlignment="1">
      <alignment horizontal="center" wrapText="1"/>
    </xf>
    <xf numFmtId="0" fontId="45" fillId="0" borderId="0" xfId="0" applyFont="1"/>
    <xf numFmtId="0" fontId="9" fillId="0" borderId="0" xfId="0" applyFont="1" applyFill="1" applyAlignment="1">
      <alignment wrapText="1"/>
    </xf>
    <xf numFmtId="164" fontId="8" fillId="0" borderId="0" xfId="0" applyNumberFormat="1" applyFont="1" applyFill="1" applyAlignment="1">
      <alignment horizontal="left"/>
    </xf>
    <xf numFmtId="0" fontId="8" fillId="0" borderId="0" xfId="0" applyFont="1" applyFill="1" applyAlignment="1">
      <alignment horizontal="left"/>
    </xf>
    <xf numFmtId="43" fontId="9" fillId="0" borderId="0" xfId="0" applyNumberFormat="1" applyFont="1" applyFill="1" applyAlignment="1">
      <alignment horizontal="left"/>
    </xf>
    <xf numFmtId="43" fontId="9" fillId="0" borderId="0" xfId="2" applyFont="1" applyFill="1" applyAlignment="1">
      <alignment horizontal="left"/>
    </xf>
    <xf numFmtId="0" fontId="8" fillId="0" borderId="1" xfId="0" applyFont="1" applyFill="1" applyBorder="1" applyAlignment="1">
      <alignment horizontal="center"/>
    </xf>
    <xf numFmtId="0" fontId="9" fillId="0" borderId="0" xfId="0" applyFont="1" applyAlignment="1">
      <alignment horizontal="left"/>
    </xf>
    <xf numFmtId="0" fontId="8" fillId="0" borderId="0" xfId="0" applyFont="1" applyAlignment="1">
      <alignment horizontal="left"/>
    </xf>
    <xf numFmtId="164" fontId="9" fillId="0" borderId="0" xfId="0" applyNumberFormat="1" applyFont="1" applyFill="1" applyAlignment="1">
      <alignment horizontal="right"/>
    </xf>
    <xf numFmtId="0" fontId="0" fillId="0" borderId="0" xfId="0"/>
    <xf numFmtId="0" fontId="9" fillId="0" borderId="0" xfId="0" quotePrefix="1" applyFont="1" applyAlignment="1">
      <alignment horizontal="center"/>
    </xf>
    <xf numFmtId="164" fontId="9" fillId="0" borderId="4" xfId="0" applyNumberFormat="1" applyFont="1" applyBorder="1"/>
    <xf numFmtId="0" fontId="9" fillId="0" borderId="4" xfId="0" applyFont="1" applyBorder="1"/>
    <xf numFmtId="167" fontId="9" fillId="0" borderId="0" xfId="0" applyNumberFormat="1" applyFont="1"/>
    <xf numFmtId="0" fontId="9" fillId="0" borderId="0" xfId="0" applyFont="1"/>
    <xf numFmtId="0" fontId="9" fillId="0" borderId="0" xfId="0" applyFont="1" applyAlignment="1">
      <alignment horizontal="center"/>
    </xf>
    <xf numFmtId="0" fontId="13" fillId="0" borderId="0" xfId="0" applyFont="1"/>
    <xf numFmtId="0" fontId="9" fillId="0" borderId="0" xfId="0" applyFont="1" applyAlignment="1">
      <alignment horizontal="left"/>
    </xf>
    <xf numFmtId="0" fontId="9" fillId="0" borderId="0" xfId="0" applyFont="1" applyAlignment="1">
      <alignment wrapText="1"/>
    </xf>
    <xf numFmtId="0" fontId="9" fillId="0" borderId="14" xfId="0" applyFont="1" applyBorder="1" applyAlignment="1">
      <alignment horizontal="center"/>
    </xf>
    <xf numFmtId="164" fontId="9" fillId="0" borderId="4" xfId="2" applyNumberFormat="1" applyFont="1" applyBorder="1"/>
    <xf numFmtId="43" fontId="8" fillId="0" borderId="0" xfId="2" applyFont="1" applyAlignment="1">
      <alignment horizontal="center"/>
    </xf>
    <xf numFmtId="164" fontId="47" fillId="0" borderId="0" xfId="0" applyNumberFormat="1" applyFont="1"/>
    <xf numFmtId="43" fontId="9" fillId="0" borderId="0" xfId="2" applyFont="1" applyFill="1"/>
    <xf numFmtId="43" fontId="46" fillId="0" borderId="0" xfId="0" applyNumberFormat="1" applyFont="1"/>
    <xf numFmtId="0" fontId="46" fillId="0" borderId="0" xfId="0" applyFont="1" applyFill="1" applyAlignment="1">
      <alignment horizontal="left"/>
    </xf>
    <xf numFmtId="37" fontId="46" fillId="0" borderId="0" xfId="0" applyNumberFormat="1" applyFont="1" applyFill="1"/>
    <xf numFmtId="164" fontId="46" fillId="0" borderId="0" xfId="2" applyNumberFormat="1" applyFont="1" applyFill="1" applyAlignment="1">
      <alignment horizontal="left"/>
    </xf>
    <xf numFmtId="43" fontId="46" fillId="0" borderId="0" xfId="2" applyFont="1" applyFill="1" applyAlignment="1">
      <alignment horizontal="left"/>
    </xf>
    <xf numFmtId="37" fontId="46" fillId="0" borderId="6" xfId="0" applyNumberFormat="1" applyFont="1" applyFill="1" applyBorder="1"/>
    <xf numFmtId="43" fontId="51" fillId="0" borderId="0" xfId="2" applyFont="1" applyFill="1"/>
    <xf numFmtId="8" fontId="9" fillId="0" borderId="0" xfId="0" applyNumberFormat="1" applyFont="1" applyFill="1"/>
    <xf numFmtId="17" fontId="9" fillId="0" borderId="0" xfId="0" quotePrefix="1" applyNumberFormat="1" applyFont="1" applyAlignment="1">
      <alignment horizontal="center"/>
    </xf>
    <xf numFmtId="0" fontId="52" fillId="0" borderId="0" xfId="0" applyFont="1"/>
    <xf numFmtId="0" fontId="0" fillId="0" borderId="0" xfId="0"/>
    <xf numFmtId="164" fontId="46" fillId="0" borderId="0" xfId="0" applyNumberFormat="1" applyFont="1" applyFill="1" applyAlignment="1">
      <alignment horizontal="left"/>
    </xf>
    <xf numFmtId="164" fontId="9" fillId="0" borderId="0" xfId="2" applyNumberFormat="1" applyFont="1" applyFill="1" applyBorder="1"/>
    <xf numFmtId="167" fontId="9" fillId="0" borderId="0" xfId="3" applyNumberFormat="1" applyFont="1" applyFill="1" applyBorder="1"/>
    <xf numFmtId="167" fontId="9" fillId="0" borderId="0" xfId="3" applyNumberFormat="1" applyFont="1" applyFill="1" applyBorder="1"/>
    <xf numFmtId="164" fontId="9" fillId="0" borderId="0" xfId="2" applyNumberFormat="1" applyFont="1" applyFill="1" applyBorder="1"/>
    <xf numFmtId="167" fontId="9" fillId="0" borderId="0" xfId="3" applyNumberFormat="1" applyFont="1" applyFill="1" applyBorder="1"/>
    <xf numFmtId="164" fontId="9" fillId="0" borderId="0" xfId="2" applyNumberFormat="1" applyFont="1" applyFill="1" applyBorder="1"/>
    <xf numFmtId="167" fontId="9" fillId="0" borderId="0" xfId="3" applyNumberFormat="1" applyFont="1" applyFill="1" applyBorder="1"/>
    <xf numFmtId="164" fontId="9" fillId="0" borderId="0" xfId="2" applyNumberFormat="1" applyFont="1" applyFill="1" applyBorder="1"/>
    <xf numFmtId="167" fontId="9" fillId="0" borderId="0" xfId="3" applyNumberFormat="1" applyFont="1" applyFill="1" applyBorder="1"/>
    <xf numFmtId="43" fontId="8" fillId="0" borderId="15" xfId="0" applyNumberFormat="1" applyFont="1" applyBorder="1"/>
    <xf numFmtId="42" fontId="0" fillId="0" borderId="0" xfId="2" applyNumberFormat="1" applyFont="1"/>
    <xf numFmtId="42" fontId="15" fillId="0" borderId="0" xfId="0" applyNumberFormat="1" applyFont="1" applyBorder="1"/>
    <xf numFmtId="41" fontId="0" fillId="0" borderId="0" xfId="2" applyNumberFormat="1" applyFont="1"/>
    <xf numFmtId="41" fontId="15" fillId="0" borderId="0" xfId="0" applyNumberFormat="1" applyFont="1" applyBorder="1"/>
    <xf numFmtId="42" fontId="15" fillId="0" borderId="6" xfId="0" applyNumberFormat="1" applyFont="1" applyBorder="1"/>
    <xf numFmtId="0" fontId="9" fillId="0" borderId="0" xfId="0" applyFont="1" applyFill="1" applyBorder="1" applyAlignment="1">
      <alignment horizontal="left" indent="3"/>
    </xf>
    <xf numFmtId="0" fontId="11" fillId="0" borderId="0" xfId="0" applyFont="1" applyFill="1" applyBorder="1" applyAlignment="1">
      <alignment horizontal="left" indent="3"/>
    </xf>
    <xf numFmtId="42" fontId="0" fillId="0" borderId="0" xfId="0" applyNumberFormat="1"/>
    <xf numFmtId="42" fontId="15" fillId="0" borderId="0" xfId="2" applyNumberFormat="1" applyFont="1" applyFill="1" applyBorder="1"/>
    <xf numFmtId="42" fontId="11" fillId="0" borderId="0" xfId="2" applyNumberFormat="1" applyFont="1" applyFill="1" applyBorder="1"/>
    <xf numFmtId="41" fontId="46" fillId="0" borderId="0" xfId="62" applyFont="1" applyFill="1" applyAlignment="1">
      <alignment horizontal="left"/>
    </xf>
    <xf numFmtId="0" fontId="8" fillId="0" borderId="0" xfId="65" applyFont="1" applyBorder="1" applyAlignment="1">
      <alignment horizontal="center"/>
    </xf>
    <xf numFmtId="0" fontId="9" fillId="0" borderId="0" xfId="65" applyFont="1" applyBorder="1"/>
    <xf numFmtId="0" fontId="8" fillId="0" borderId="1" xfId="65" applyFont="1" applyBorder="1" applyAlignment="1">
      <alignment horizontal="center" wrapText="1"/>
    </xf>
    <xf numFmtId="0" fontId="9" fillId="0" borderId="1" xfId="65" applyFont="1" applyBorder="1" applyAlignment="1">
      <alignment wrapText="1"/>
    </xf>
    <xf numFmtId="0" fontId="8" fillId="0" borderId="0" xfId="65" applyFont="1"/>
    <xf numFmtId="0" fontId="51" fillId="0" borderId="0" xfId="65" applyFont="1"/>
    <xf numFmtId="0" fontId="9" fillId="0" borderId="0" xfId="65" applyFont="1" applyAlignment="1">
      <alignment horizontal="center"/>
    </xf>
    <xf numFmtId="0" fontId="16" fillId="0" borderId="0" xfId="65" applyFont="1" applyAlignment="1">
      <alignment vertical="center"/>
    </xf>
    <xf numFmtId="164" fontId="9" fillId="0" borderId="0" xfId="63" applyNumberFormat="1" applyFont="1"/>
    <xf numFmtId="10" fontId="9" fillId="0" borderId="0" xfId="65" applyNumberFormat="1" applyFont="1"/>
    <xf numFmtId="41" fontId="9" fillId="0" borderId="0" xfId="62" applyFont="1"/>
    <xf numFmtId="41" fontId="9" fillId="0" borderId="0" xfId="62" applyNumberFormat="1" applyFont="1"/>
    <xf numFmtId="0" fontId="8" fillId="0" borderId="0" xfId="65" applyFont="1" applyBorder="1" applyAlignment="1">
      <alignment horizontal="center" wrapText="1"/>
    </xf>
    <xf numFmtId="41" fontId="51" fillId="0" borderId="0" xfId="62" applyFont="1"/>
    <xf numFmtId="164" fontId="0" fillId="0" borderId="4" xfId="0" applyNumberFormat="1" applyBorder="1"/>
    <xf numFmtId="164" fontId="15" fillId="0" borderId="4" xfId="2" applyNumberFormat="1" applyFont="1" applyBorder="1"/>
    <xf numFmtId="41" fontId="55" fillId="0" borderId="0" xfId="68" applyFont="1" applyFill="1" applyAlignment="1">
      <alignment horizontal="center"/>
    </xf>
    <xf numFmtId="6" fontId="45" fillId="0" borderId="0" xfId="0" applyNumberFormat="1" applyFont="1"/>
    <xf numFmtId="6" fontId="56" fillId="0" borderId="0" xfId="0" applyNumberFormat="1" applyFont="1"/>
    <xf numFmtId="6" fontId="45" fillId="0" borderId="0" xfId="0" applyNumberFormat="1" applyFont="1" applyFill="1" applyAlignment="1">
      <alignment horizontal="center"/>
    </xf>
    <xf numFmtId="0" fontId="45" fillId="0" borderId="0" xfId="0" applyFont="1" applyAlignment="1">
      <alignment horizontal="center"/>
    </xf>
    <xf numFmtId="41" fontId="9" fillId="0" borderId="0" xfId="2" applyNumberFormat="1" applyFont="1" applyFill="1" applyBorder="1"/>
    <xf numFmtId="41" fontId="9" fillId="0" borderId="4" xfId="2" applyNumberFormat="1" applyFont="1" applyFill="1" applyBorder="1"/>
    <xf numFmtId="41" fontId="8" fillId="0" borderId="0" xfId="2" applyNumberFormat="1" applyFont="1" applyFill="1" applyBorder="1"/>
    <xf numFmtId="43" fontId="52" fillId="0" borderId="0" xfId="0" applyNumberFormat="1" applyFont="1" applyFill="1" applyBorder="1" applyProtection="1">
      <protection locked="0"/>
    </xf>
    <xf numFmtId="164" fontId="52" fillId="0" borderId="0" xfId="0" applyNumberFormat="1" applyFont="1" applyFill="1" applyBorder="1" applyProtection="1">
      <protection locked="0"/>
    </xf>
    <xf numFmtId="41" fontId="52" fillId="0" borderId="0" xfId="62" applyFont="1" applyFill="1" applyBorder="1" applyProtection="1">
      <protection locked="0"/>
    </xf>
    <xf numFmtId="0" fontId="10" fillId="0" borderId="0" xfId="0" applyFont="1" applyFill="1" applyBorder="1" applyProtection="1">
      <protection locked="0"/>
    </xf>
    <xf numFmtId="0" fontId="8" fillId="0" borderId="17" xfId="0" applyFont="1" applyFill="1" applyBorder="1"/>
    <xf numFmtId="0" fontId="8" fillId="0" borderId="8" xfId="0" applyFont="1" applyFill="1" applyBorder="1"/>
    <xf numFmtId="0" fontId="9" fillId="0" borderId="19" xfId="0" applyFont="1" applyFill="1" applyBorder="1"/>
    <xf numFmtId="0" fontId="8" fillId="0" borderId="16" xfId="0" applyFont="1" applyFill="1" applyBorder="1" applyAlignment="1">
      <alignment horizontal="center"/>
    </xf>
    <xf numFmtId="0" fontId="8" fillId="0" borderId="2" xfId="0" applyFont="1" applyFill="1" applyBorder="1" applyAlignment="1">
      <alignment horizontal="center"/>
    </xf>
    <xf numFmtId="0" fontId="9" fillId="0" borderId="18" xfId="0" applyFont="1" applyFill="1" applyBorder="1" applyAlignment="1">
      <alignment horizontal="center"/>
    </xf>
    <xf numFmtId="0" fontId="8" fillId="0" borderId="0" xfId="0" applyFont="1" applyAlignment="1">
      <alignment horizontal="center" vertical="center"/>
    </xf>
    <xf numFmtId="0" fontId="9" fillId="0" borderId="0" xfId="0" applyFont="1" applyAlignment="1">
      <alignment horizontal="center" vertical="center"/>
    </xf>
    <xf numFmtId="0" fontId="9" fillId="0" borderId="0" xfId="0" applyFont="1" applyFill="1" applyBorder="1" applyAlignment="1">
      <alignment vertical="center" wrapText="1"/>
    </xf>
    <xf numFmtId="0" fontId="9" fillId="0" borderId="0" xfId="0" applyFont="1" applyAlignment="1">
      <alignment vertical="center"/>
    </xf>
    <xf numFmtId="0" fontId="9" fillId="0" borderId="0" xfId="0" applyFont="1" applyFill="1" applyAlignment="1">
      <alignment vertical="center"/>
    </xf>
    <xf numFmtId="0" fontId="9" fillId="0" borderId="0" xfId="0" applyFont="1" applyAlignment="1">
      <alignment vertical="center" wrapText="1"/>
    </xf>
    <xf numFmtId="0" fontId="9" fillId="0" borderId="0" xfId="0" applyFont="1" applyAlignment="1">
      <alignment horizontal="center" vertical="top"/>
    </xf>
    <xf numFmtId="164" fontId="46" fillId="0" borderId="0" xfId="0" applyNumberFormat="1" applyFont="1" applyFill="1" applyBorder="1" applyAlignment="1" applyProtection="1">
      <alignment horizontal="center"/>
      <protection locked="0"/>
    </xf>
    <xf numFmtId="186" fontId="0" fillId="0" borderId="0" xfId="0" applyNumberFormat="1"/>
    <xf numFmtId="41" fontId="0" fillId="0" borderId="0" xfId="0" applyNumberFormat="1"/>
    <xf numFmtId="41" fontId="0" fillId="0" borderId="0" xfId="2" applyNumberFormat="1" applyFont="1" applyFill="1"/>
    <xf numFmtId="41" fontId="0" fillId="0" borderId="0" xfId="0" applyNumberFormat="1" applyFill="1"/>
    <xf numFmtId="186" fontId="0" fillId="0" borderId="0" xfId="0" applyNumberFormat="1" applyFill="1"/>
    <xf numFmtId="0" fontId="8" fillId="0" borderId="0" xfId="0" applyFont="1" applyAlignment="1">
      <alignment horizontal="center" wrapText="1"/>
    </xf>
    <xf numFmtId="42" fontId="8" fillId="0" borderId="15" xfId="2" applyNumberFormat="1" applyFont="1" applyBorder="1"/>
    <xf numFmtId="0" fontId="9" fillId="0" borderId="0" xfId="0" applyFont="1" applyAlignment="1">
      <alignment horizontal="center" wrapText="1"/>
    </xf>
    <xf numFmtId="0" fontId="8" fillId="0" borderId="34" xfId="0" applyFont="1" applyBorder="1" applyAlignment="1">
      <alignment horizontal="center" wrapText="1"/>
    </xf>
    <xf numFmtId="164" fontId="8" fillId="0" borderId="10" xfId="2" quotePrefix="1" applyNumberFormat="1" applyFont="1" applyBorder="1" applyAlignment="1">
      <alignment horizontal="center"/>
    </xf>
    <xf numFmtId="164" fontId="8" fillId="0" borderId="11" xfId="2" quotePrefix="1" applyNumberFormat="1" applyFont="1" applyBorder="1" applyAlignment="1">
      <alignment horizontal="center"/>
    </xf>
    <xf numFmtId="164" fontId="51" fillId="0" borderId="0" xfId="2" applyNumberFormat="1" applyFont="1"/>
    <xf numFmtId="0" fontId="9" fillId="0" borderId="0" xfId="65" applyFont="1" applyAlignment="1">
      <alignment horizontal="left"/>
    </xf>
    <xf numFmtId="0" fontId="50" fillId="0" borderId="0" xfId="0" applyFont="1" applyAlignment="1">
      <alignment wrapText="1"/>
    </xf>
    <xf numFmtId="0" fontId="8" fillId="0" borderId="9" xfId="0" applyFont="1" applyFill="1" applyBorder="1" applyAlignment="1">
      <alignment horizontal="center"/>
    </xf>
    <xf numFmtId="43" fontId="57" fillId="0" borderId="0" xfId="0" applyNumberFormat="1" applyFont="1" applyFill="1"/>
    <xf numFmtId="42" fontId="9" fillId="0" borderId="0" xfId="2" applyNumberFormat="1" applyFont="1" applyFill="1" applyBorder="1"/>
    <xf numFmtId="42" fontId="8" fillId="0" borderId="0" xfId="2" applyNumberFormat="1" applyFont="1" applyFill="1" applyBorder="1"/>
    <xf numFmtId="42" fontId="9" fillId="0" borderId="0" xfId="0" applyNumberFormat="1" applyFont="1" applyFill="1" applyAlignment="1">
      <alignment horizontal="left"/>
    </xf>
    <xf numFmtId="41" fontId="9" fillId="0" borderId="0" xfId="0" applyNumberFormat="1" applyFont="1" applyFill="1" applyAlignment="1">
      <alignment horizontal="left"/>
    </xf>
    <xf numFmtId="41" fontId="9" fillId="0" borderId="0" xfId="0" applyNumberFormat="1" applyFont="1" applyFill="1"/>
    <xf numFmtId="41" fontId="8" fillId="0" borderId="0" xfId="0" applyNumberFormat="1" applyFont="1" applyFill="1"/>
    <xf numFmtId="42" fontId="8" fillId="0" borderId="0" xfId="0" applyNumberFormat="1" applyFont="1" applyFill="1" applyAlignment="1">
      <alignment horizontal="left"/>
    </xf>
    <xf numFmtId="42" fontId="8" fillId="0" borderId="0" xfId="2" applyNumberFormat="1" applyFont="1"/>
    <xf numFmtId="41" fontId="8" fillId="0" borderId="0" xfId="2" applyNumberFormat="1" applyFont="1"/>
    <xf numFmtId="41" fontId="8" fillId="0" borderId="0" xfId="0" applyNumberFormat="1" applyFont="1"/>
    <xf numFmtId="167" fontId="8" fillId="0" borderId="0" xfId="3" applyNumberFormat="1" applyFont="1"/>
    <xf numFmtId="164" fontId="8" fillId="0" borderId="0" xfId="2" applyNumberFormat="1" applyFont="1"/>
    <xf numFmtId="42" fontId="9" fillId="0" borderId="0" xfId="2" applyNumberFormat="1" applyFont="1"/>
    <xf numFmtId="41" fontId="9" fillId="0" borderId="0" xfId="0" applyNumberFormat="1" applyFont="1"/>
    <xf numFmtId="41" fontId="9" fillId="0" borderId="0" xfId="2" applyNumberFormat="1" applyFont="1" applyFill="1"/>
    <xf numFmtId="41" fontId="9" fillId="0" borderId="1" xfId="2" applyNumberFormat="1" applyFont="1" applyBorder="1"/>
    <xf numFmtId="42" fontId="9" fillId="0" borderId="0" xfId="0" applyNumberFormat="1" applyFont="1"/>
    <xf numFmtId="42" fontId="9" fillId="0" borderId="6" xfId="2" applyNumberFormat="1" applyFont="1" applyBorder="1"/>
    <xf numFmtId="42" fontId="9" fillId="0" borderId="15" xfId="0" applyNumberFormat="1" applyFont="1" applyBorder="1"/>
    <xf numFmtId="42" fontId="21" fillId="0" borderId="0" xfId="0" applyNumberFormat="1" applyFont="1"/>
    <xf numFmtId="41" fontId="9" fillId="0" borderId="0" xfId="0" applyNumberFormat="1" applyFont="1" applyFill="1" applyAlignment="1">
      <alignment horizontal="right"/>
    </xf>
    <xf numFmtId="42" fontId="9" fillId="0" borderId="0" xfId="63" applyNumberFormat="1" applyFont="1"/>
    <xf numFmtId="41" fontId="9" fillId="0" borderId="0" xfId="63" applyNumberFormat="1" applyFont="1"/>
    <xf numFmtId="42" fontId="9" fillId="0" borderId="6" xfId="63" applyNumberFormat="1" applyFont="1" applyBorder="1"/>
    <xf numFmtId="42" fontId="9" fillId="0" borderId="1" xfId="2" applyNumberFormat="1" applyFont="1" applyBorder="1"/>
    <xf numFmtId="41" fontId="9" fillId="0" borderId="0" xfId="0" applyNumberFormat="1" applyFont="1" applyBorder="1"/>
    <xf numFmtId="41" fontId="9" fillId="0" borderId="0" xfId="6" applyNumberFormat="1" applyFont="1"/>
    <xf numFmtId="41" fontId="9" fillId="0" borderId="1" xfId="0" applyNumberFormat="1" applyFont="1" applyBorder="1" applyAlignment="1">
      <alignment horizontal="right"/>
    </xf>
    <xf numFmtId="42" fontId="9" fillId="0" borderId="0" xfId="0" applyNumberFormat="1" applyFont="1" applyBorder="1"/>
    <xf numFmtId="42" fontId="9" fillId="0" borderId="5" xfId="0" applyNumberFormat="1" applyFont="1" applyBorder="1"/>
    <xf numFmtId="42" fontId="9" fillId="0" borderId="0" xfId="2" applyNumberFormat="1" applyFont="1" applyBorder="1"/>
    <xf numFmtId="42" fontId="8" fillId="0" borderId="5" xfId="2" applyNumberFormat="1" applyFont="1" applyBorder="1"/>
    <xf numFmtId="42" fontId="9" fillId="0" borderId="0" xfId="0" applyNumberFormat="1" applyFont="1" applyFill="1" applyBorder="1"/>
    <xf numFmtId="42" fontId="9" fillId="0" borderId="0" xfId="0" applyNumberFormat="1" applyFont="1" applyBorder="1" applyAlignment="1">
      <alignment horizontal="center"/>
    </xf>
    <xf numFmtId="41" fontId="9" fillId="0" borderId="0" xfId="0" applyNumberFormat="1" applyFont="1" applyFill="1" applyBorder="1"/>
    <xf numFmtId="41" fontId="9" fillId="0" borderId="0" xfId="0" applyNumberFormat="1" applyFont="1" applyBorder="1" applyAlignment="1">
      <alignment horizontal="center"/>
    </xf>
    <xf numFmtId="41" fontId="9" fillId="0" borderId="0" xfId="0" applyNumberFormat="1" applyFont="1" applyFill="1" applyBorder="1" applyAlignment="1">
      <alignment horizontal="center"/>
    </xf>
    <xf numFmtId="42" fontId="9" fillId="0" borderId="15" xfId="0" applyNumberFormat="1" applyFont="1" applyFill="1" applyBorder="1"/>
    <xf numFmtId="42" fontId="9" fillId="0" borderId="5" xfId="0" applyNumberFormat="1" applyFont="1" applyFill="1" applyBorder="1"/>
    <xf numFmtId="42" fontId="9" fillId="0" borderId="0" xfId="2" applyNumberFormat="1" applyFont="1" applyFill="1"/>
    <xf numFmtId="42" fontId="9" fillId="0" borderId="0" xfId="0" applyNumberFormat="1" applyFont="1" applyFill="1"/>
    <xf numFmtId="42" fontId="8" fillId="0" borderId="4" xfId="2" applyNumberFormat="1" applyFont="1" applyFill="1" applyBorder="1"/>
    <xf numFmtId="42" fontId="9" fillId="0" borderId="15" xfId="0" applyNumberFormat="1" applyFont="1" applyBorder="1" applyAlignment="1">
      <alignment horizontal="center"/>
    </xf>
    <xf numFmtId="9" fontId="9" fillId="0" borderId="4" xfId="6" applyFont="1" applyBorder="1" applyAlignment="1">
      <alignment horizontal="center"/>
    </xf>
    <xf numFmtId="41" fontId="9" fillId="0" borderId="4" xfId="0" applyNumberFormat="1" applyFont="1" applyBorder="1" applyAlignment="1">
      <alignment horizontal="center"/>
    </xf>
    <xf numFmtId="41" fontId="11" fillId="0" borderId="0" xfId="0" applyNumberFormat="1" applyFont="1" applyBorder="1" applyAlignment="1">
      <alignment horizontal="center"/>
    </xf>
    <xf numFmtId="42" fontId="0" fillId="0" borderId="0" xfId="3" applyNumberFormat="1" applyFont="1"/>
    <xf numFmtId="42" fontId="15" fillId="0" borderId="0" xfId="3" applyNumberFormat="1" applyFont="1"/>
    <xf numFmtId="41" fontId="15" fillId="0" borderId="0" xfId="2" applyNumberFormat="1" applyFont="1"/>
    <xf numFmtId="42" fontId="15" fillId="0" borderId="5" xfId="3" applyNumberFormat="1" applyFont="1" applyBorder="1"/>
    <xf numFmtId="0" fontId="45" fillId="0" borderId="0" xfId="0" applyNumberFormat="1" applyFont="1" applyFill="1" applyAlignment="1">
      <alignment horizontal="center"/>
    </xf>
    <xf numFmtId="0" fontId="9" fillId="0" borderId="0" xfId="207" applyFont="1"/>
    <xf numFmtId="0" fontId="9" fillId="0" borderId="0" xfId="0" applyFont="1" applyAlignment="1"/>
    <xf numFmtId="37" fontId="8" fillId="0" borderId="0" xfId="0" applyNumberFormat="1" applyFont="1" applyFill="1"/>
    <xf numFmtId="0" fontId="8" fillId="0" borderId="7" xfId="0" applyFont="1" applyBorder="1" applyAlignment="1">
      <alignment horizontal="center" wrapText="1"/>
    </xf>
    <xf numFmtId="42" fontId="8" fillId="0" borderId="0" xfId="0" applyNumberFormat="1" applyFont="1"/>
    <xf numFmtId="43" fontId="18" fillId="0" borderId="0" xfId="2" applyFont="1" applyFill="1" applyBorder="1" applyProtection="1">
      <protection locked="0"/>
    </xf>
    <xf numFmtId="0" fontId="8" fillId="0" borderId="16" xfId="0" applyFont="1" applyFill="1" applyBorder="1" applyAlignment="1">
      <alignment horizontal="center" wrapText="1"/>
    </xf>
    <xf numFmtId="0" fontId="8" fillId="0" borderId="10" xfId="0" applyFont="1" applyFill="1" applyBorder="1" applyAlignment="1">
      <alignment horizontal="center" wrapText="1"/>
    </xf>
    <xf numFmtId="0" fontId="8" fillId="0" borderId="0" xfId="0" applyFont="1" applyFill="1" applyBorder="1" applyAlignment="1">
      <alignment horizontal="center" wrapText="1"/>
    </xf>
    <xf numFmtId="0" fontId="9" fillId="0" borderId="12" xfId="0" quotePrefix="1" applyFont="1" applyFill="1" applyBorder="1" applyAlignment="1">
      <alignment horizontal="center"/>
    </xf>
    <xf numFmtId="0" fontId="9" fillId="0" borderId="19" xfId="0" applyFont="1" applyFill="1" applyBorder="1" applyAlignment="1">
      <alignment horizontal="center"/>
    </xf>
    <xf numFmtId="0" fontId="8" fillId="0" borderId="17" xfId="0" applyFont="1" applyFill="1" applyBorder="1" applyAlignment="1">
      <alignment horizontal="center"/>
    </xf>
    <xf numFmtId="0" fontId="8" fillId="0" borderId="9" xfId="0" applyFont="1" applyFill="1" applyBorder="1" applyAlignment="1">
      <alignment horizontal="center" wrapText="1"/>
    </xf>
    <xf numFmtId="0" fontId="8" fillId="0" borderId="8" xfId="0" applyFont="1" applyFill="1" applyBorder="1" applyAlignment="1">
      <alignment horizontal="center"/>
    </xf>
    <xf numFmtId="0" fontId="9" fillId="0" borderId="18" xfId="0" quotePrefix="1" applyFont="1" applyFill="1" applyBorder="1" applyAlignment="1">
      <alignment horizontal="center"/>
    </xf>
    <xf numFmtId="0" fontId="9" fillId="0" borderId="3" xfId="0" applyFont="1" applyFill="1" applyBorder="1" applyAlignment="1">
      <alignment horizontal="center"/>
    </xf>
    <xf numFmtId="0" fontId="9" fillId="0" borderId="0" xfId="0" quotePrefix="1" applyFont="1" applyFill="1" applyBorder="1" applyAlignment="1">
      <alignment horizontal="center"/>
    </xf>
    <xf numFmtId="41" fontId="9" fillId="0" borderId="0" xfId="0" applyNumberFormat="1" applyFont="1" applyFill="1" applyAlignment="1">
      <alignment horizontal="center"/>
    </xf>
    <xf numFmtId="41" fontId="9" fillId="0" borderId="0" xfId="2" applyNumberFormat="1" applyFont="1" applyFill="1" applyAlignment="1">
      <alignment horizontal="center"/>
    </xf>
    <xf numFmtId="41" fontId="9" fillId="0" borderId="0" xfId="2" applyNumberFormat="1" applyFont="1" applyFill="1" applyAlignment="1"/>
    <xf numFmtId="171" fontId="9" fillId="0" borderId="0" xfId="2" applyNumberFormat="1" applyFont="1" applyFill="1" applyAlignment="1"/>
    <xf numFmtId="42" fontId="9" fillId="0" borderId="0" xfId="0" applyNumberFormat="1" applyFont="1" applyFill="1" applyAlignment="1">
      <alignment horizontal="center"/>
    </xf>
    <xf numFmtId="42" fontId="9" fillId="0" borderId="0" xfId="2" applyNumberFormat="1" applyFont="1" applyFill="1" applyAlignment="1">
      <alignment horizontal="center"/>
    </xf>
    <xf numFmtId="42" fontId="9" fillId="0" borderId="0" xfId="2" applyNumberFormat="1" applyFont="1" applyFill="1" applyAlignment="1"/>
    <xf numFmtId="41" fontId="9" fillId="0" borderId="0" xfId="2" applyNumberFormat="1" applyFont="1" applyFill="1" applyBorder="1" applyAlignment="1"/>
    <xf numFmtId="0" fontId="45" fillId="0" borderId="0" xfId="0" applyFont="1" applyFill="1" applyAlignment="1">
      <alignment horizontal="center"/>
    </xf>
    <xf numFmtId="41" fontId="9" fillId="0" borderId="0" xfId="2" applyNumberFormat="1" applyFont="1" applyFill="1" applyBorder="1" applyAlignment="1">
      <alignment horizontal="center"/>
    </xf>
    <xf numFmtId="0" fontId="15" fillId="0" borderId="10" xfId="0" applyFont="1" applyFill="1" applyBorder="1" applyAlignment="1">
      <alignment horizontal="center" wrapText="1"/>
    </xf>
    <xf numFmtId="0" fontId="15" fillId="0" borderId="11" xfId="0" applyFont="1" applyFill="1" applyBorder="1" applyAlignment="1">
      <alignment horizontal="center" wrapText="1"/>
    </xf>
    <xf numFmtId="0" fontId="15" fillId="0" borderId="35" xfId="0" applyFont="1" applyFill="1" applyBorder="1"/>
    <xf numFmtId="0" fontId="15" fillId="0" borderId="35" xfId="0" applyFont="1" applyFill="1" applyBorder="1" applyAlignment="1">
      <alignment horizontal="center"/>
    </xf>
    <xf numFmtId="0" fontId="15" fillId="0" borderId="0" xfId="0" applyFont="1" applyFill="1"/>
    <xf numFmtId="0" fontId="15" fillId="0" borderId="36" xfId="0" applyFont="1" applyFill="1" applyBorder="1" applyAlignment="1">
      <alignment horizontal="center"/>
    </xf>
    <xf numFmtId="0" fontId="15" fillId="0" borderId="36" xfId="0" applyFont="1" applyFill="1" applyBorder="1"/>
    <xf numFmtId="0" fontId="8" fillId="0" borderId="36" xfId="0" applyFont="1" applyFill="1" applyBorder="1" applyAlignment="1">
      <alignment horizontal="center"/>
    </xf>
    <xf numFmtId="0" fontId="8" fillId="0" borderId="37" xfId="0" applyFont="1" applyFill="1" applyBorder="1" applyAlignment="1">
      <alignment horizontal="center"/>
    </xf>
    <xf numFmtId="0" fontId="15" fillId="0" borderId="0" xfId="0" applyFont="1" applyFill="1" applyAlignment="1">
      <alignment horizontal="center"/>
    </xf>
    <xf numFmtId="0" fontId="15" fillId="0" borderId="1" xfId="0" applyFont="1" applyFill="1" applyBorder="1" applyAlignment="1">
      <alignment horizontal="center"/>
    </xf>
    <xf numFmtId="0" fontId="0" fillId="0" borderId="4" xfId="0" applyFill="1" applyBorder="1" applyAlignment="1">
      <alignment horizontal="center"/>
    </xf>
    <xf numFmtId="0" fontId="9" fillId="0" borderId="4" xfId="0" applyFont="1" applyFill="1" applyBorder="1" applyAlignment="1">
      <alignment horizontal="center"/>
    </xf>
    <xf numFmtId="0" fontId="9" fillId="0" borderId="0" xfId="278" applyFont="1" applyFill="1" applyAlignment="1"/>
    <xf numFmtId="0" fontId="9" fillId="0" borderId="0" xfId="292" applyFont="1"/>
    <xf numFmtId="164" fontId="52" fillId="0" borderId="0" xfId="2" applyNumberFormat="1" applyFont="1"/>
    <xf numFmtId="0" fontId="72" fillId="0" borderId="13" xfId="0" applyFont="1" applyBorder="1"/>
    <xf numFmtId="164" fontId="52" fillId="0" borderId="7" xfId="2" applyNumberFormat="1" applyFont="1" applyBorder="1"/>
    <xf numFmtId="164" fontId="52" fillId="0" borderId="14" xfId="2" applyNumberFormat="1" applyFont="1" applyBorder="1"/>
    <xf numFmtId="164" fontId="73" fillId="0" borderId="0" xfId="0" applyNumberFormat="1" applyFont="1"/>
    <xf numFmtId="0" fontId="9" fillId="0" borderId="0" xfId="288" applyFont="1"/>
    <xf numFmtId="0" fontId="9" fillId="0" borderId="0" xfId="295" applyFont="1"/>
    <xf numFmtId="37" fontId="46" fillId="0" borderId="0" xfId="15" applyNumberFormat="1" applyFont="1" applyFill="1"/>
    <xf numFmtId="0" fontId="46" fillId="0" borderId="0" xfId="26" applyFont="1" applyFill="1" applyAlignment="1">
      <alignment horizontal="left"/>
    </xf>
    <xf numFmtId="0" fontId="45" fillId="0" borderId="0" xfId="279" applyFont="1"/>
    <xf numFmtId="43" fontId="21" fillId="0" borderId="0" xfId="0" applyNumberFormat="1" applyFont="1"/>
    <xf numFmtId="0" fontId="9" fillId="0" borderId="0" xfId="0" applyFont="1" applyAlignment="1"/>
    <xf numFmtId="0" fontId="0" fillId="0" borderId="0" xfId="0" applyFont="1" applyFill="1" applyAlignment="1"/>
    <xf numFmtId="42" fontId="9" fillId="0" borderId="6" xfId="0" applyNumberFormat="1" applyFont="1" applyBorder="1" applyAlignment="1">
      <alignment horizontal="center"/>
    </xf>
    <xf numFmtId="0" fontId="0" fillId="0" borderId="0" xfId="0" applyFont="1" applyAlignment="1">
      <alignment horizontal="left"/>
    </xf>
    <xf numFmtId="0" fontId="0" fillId="0" borderId="0" xfId="0" applyFont="1" applyFill="1" applyBorder="1" applyAlignment="1"/>
    <xf numFmtId="41" fontId="52" fillId="0" borderId="0" xfId="0" applyNumberFormat="1" applyFont="1" applyAlignment="1"/>
    <xf numFmtId="0" fontId="52" fillId="0" borderId="0" xfId="0" applyFont="1" applyAlignment="1">
      <alignment horizontal="right"/>
    </xf>
    <xf numFmtId="41" fontId="75" fillId="0" borderId="0" xfId="0" applyNumberFormat="1" applyFont="1" applyFill="1"/>
    <xf numFmtId="0" fontId="12" fillId="0" borderId="0" xfId="0" applyFont="1" applyFill="1" applyAlignment="1"/>
    <xf numFmtId="0" fontId="12" fillId="0" borderId="0" xfId="0" applyFont="1" applyAlignment="1">
      <alignment horizontal="left"/>
    </xf>
    <xf numFmtId="0" fontId="45" fillId="0" borderId="0" xfId="169" applyFont="1"/>
    <xf numFmtId="42" fontId="9" fillId="0" borderId="6" xfId="0" applyNumberFormat="1" applyFont="1" applyFill="1" applyBorder="1" applyAlignment="1">
      <alignment horizontal="center"/>
    </xf>
    <xf numFmtId="42" fontId="9" fillId="0" borderId="0" xfId="0" applyNumberFormat="1" applyFont="1" applyFill="1" applyBorder="1" applyAlignment="1">
      <alignment horizontal="center"/>
    </xf>
    <xf numFmtId="164" fontId="45" fillId="0" borderId="0" xfId="0" applyNumberFormat="1" applyFont="1" applyFill="1"/>
    <xf numFmtId="167" fontId="8" fillId="0" borderId="15" xfId="3" applyNumberFormat="1" applyFont="1" applyFill="1" applyBorder="1" applyAlignment="1">
      <alignment horizontal="center"/>
    </xf>
    <xf numFmtId="167" fontId="9" fillId="0" borderId="15" xfId="3" applyNumberFormat="1" applyFont="1" applyFill="1" applyBorder="1" applyAlignment="1">
      <alignment horizontal="center"/>
    </xf>
    <xf numFmtId="0" fontId="13" fillId="0" borderId="0" xfId="0" applyFont="1" applyFill="1" applyAlignment="1"/>
    <xf numFmtId="0" fontId="13" fillId="0" borderId="0" xfId="0" applyFont="1" applyAlignment="1">
      <alignment horizontal="left"/>
    </xf>
    <xf numFmtId="41" fontId="8" fillId="0" borderId="0" xfId="2" applyNumberFormat="1" applyFont="1" applyAlignment="1">
      <alignment horizontal="center"/>
    </xf>
    <xf numFmtId="0" fontId="74" fillId="0" borderId="0" xfId="0" applyFont="1" applyFill="1" applyBorder="1" applyAlignment="1">
      <alignment horizontal="center" wrapText="1"/>
    </xf>
    <xf numFmtId="0" fontId="46" fillId="0" borderId="0" xfId="0" applyFont="1" applyFill="1" applyAlignment="1">
      <alignment horizontal="center"/>
    </xf>
    <xf numFmtId="0" fontId="45" fillId="0" borderId="0" xfId="169" applyFont="1" applyFill="1"/>
    <xf numFmtId="167" fontId="52" fillId="0" borderId="0" xfId="0" applyNumberFormat="1" applyFont="1" applyFill="1"/>
    <xf numFmtId="42" fontId="9" fillId="0" borderId="0" xfId="2" applyNumberFormat="1" applyFont="1" applyAlignment="1"/>
    <xf numFmtId="42" fontId="9" fillId="0" borderId="0" xfId="0" applyNumberFormat="1" applyFont="1" applyAlignment="1"/>
    <xf numFmtId="0" fontId="52" fillId="0" borderId="0" xfId="0" applyFont="1" applyAlignment="1">
      <alignment horizontal="left"/>
    </xf>
    <xf numFmtId="0" fontId="74" fillId="0" borderId="0" xfId="0" applyFont="1" applyFill="1" applyAlignment="1"/>
    <xf numFmtId="6" fontId="47" fillId="0" borderId="0" xfId="0" applyNumberFormat="1" applyFont="1"/>
    <xf numFmtId="0" fontId="9" fillId="0" borderId="0" xfId="65" applyFont="1" applyFill="1" applyAlignment="1">
      <alignment horizontal="left"/>
    </xf>
    <xf numFmtId="10" fontId="9" fillId="0" borderId="0" xfId="65" applyNumberFormat="1" applyFont="1" applyBorder="1"/>
    <xf numFmtId="10" fontId="9" fillId="0" borderId="0" xfId="0" applyNumberFormat="1" applyFont="1"/>
    <xf numFmtId="10" fontId="9" fillId="0" borderId="1" xfId="0" applyNumberFormat="1" applyFont="1" applyBorder="1"/>
    <xf numFmtId="164" fontId="72" fillId="0" borderId="0" xfId="2" applyNumberFormat="1" applyFont="1" applyFill="1" applyBorder="1" applyProtection="1">
      <protection locked="0"/>
    </xf>
    <xf numFmtId="0" fontId="72" fillId="0" borderId="0" xfId="0" applyFont="1" applyFill="1" applyBorder="1" applyProtection="1">
      <protection locked="0"/>
    </xf>
    <xf numFmtId="164" fontId="73" fillId="0" borderId="0" xfId="0" applyNumberFormat="1" applyFont="1" applyBorder="1"/>
    <xf numFmtId="0" fontId="52" fillId="0" borderId="0" xfId="0" applyFont="1" applyFill="1" applyBorder="1" applyAlignment="1" applyProtection="1">
      <alignment horizontal="right"/>
      <protection locked="0"/>
    </xf>
    <xf numFmtId="0" fontId="72" fillId="0" borderId="0" xfId="0" applyFont="1" applyFill="1" applyBorder="1" applyAlignment="1" applyProtection="1">
      <alignment horizontal="right"/>
      <protection locked="0"/>
    </xf>
    <xf numFmtId="164" fontId="72" fillId="0" borderId="0" xfId="0" applyNumberFormat="1" applyFont="1" applyFill="1" applyBorder="1" applyAlignment="1" applyProtection="1">
      <alignment horizontal="center"/>
      <protection locked="0"/>
    </xf>
    <xf numFmtId="44" fontId="72" fillId="0" borderId="0" xfId="0" applyNumberFormat="1" applyFont="1" applyFill="1" applyBorder="1" applyAlignment="1" applyProtection="1">
      <alignment horizontal="center"/>
      <protection locked="0"/>
    </xf>
    <xf numFmtId="164" fontId="46" fillId="0" borderId="0" xfId="2" applyNumberFormat="1" applyFont="1"/>
    <xf numFmtId="164" fontId="46" fillId="0" borderId="15" xfId="2" applyNumberFormat="1" applyFont="1" applyFill="1" applyBorder="1"/>
    <xf numFmtId="164" fontId="46" fillId="0" borderId="0" xfId="2" applyNumberFormat="1" applyFont="1" applyFill="1" applyBorder="1"/>
    <xf numFmtId="167" fontId="9" fillId="0" borderId="0" xfId="2" applyNumberFormat="1" applyFont="1"/>
    <xf numFmtId="0" fontId="74" fillId="0" borderId="0" xfId="0" applyFont="1" applyFill="1"/>
    <xf numFmtId="0" fontId="74" fillId="0" borderId="0" xfId="0" applyFont="1" applyFill="1" applyBorder="1" applyProtection="1">
      <protection locked="0"/>
    </xf>
    <xf numFmtId="0" fontId="46" fillId="0" borderId="0" xfId="0" applyFont="1" applyFill="1" applyBorder="1"/>
    <xf numFmtId="171" fontId="46" fillId="0" borderId="0" xfId="0" applyNumberFormat="1" applyFont="1" applyFill="1"/>
    <xf numFmtId="10" fontId="9" fillId="0" borderId="6" xfId="65" applyNumberFormat="1" applyFont="1" applyBorder="1"/>
    <xf numFmtId="9" fontId="8" fillId="0" borderId="1" xfId="6" applyFont="1" applyFill="1" applyBorder="1" applyAlignment="1">
      <alignment horizontal="center"/>
    </xf>
    <xf numFmtId="43" fontId="9" fillId="0" borderId="0" xfId="0" applyNumberFormat="1" applyFont="1"/>
    <xf numFmtId="0" fontId="46" fillId="0" borderId="0" xfId="0" applyFont="1" applyAlignment="1"/>
    <xf numFmtId="0" fontId="74" fillId="0" borderId="0" xfId="0" applyFont="1" applyFill="1" applyBorder="1" applyAlignment="1">
      <alignment horizontal="center"/>
    </xf>
    <xf numFmtId="0" fontId="46" fillId="0" borderId="0" xfId="0" applyFont="1" applyFill="1" applyBorder="1" applyAlignment="1">
      <alignment horizontal="center"/>
    </xf>
    <xf numFmtId="0" fontId="46" fillId="0" borderId="0" xfId="0" applyFont="1" applyFill="1" applyAlignment="1"/>
    <xf numFmtId="171" fontId="46" fillId="0" borderId="0" xfId="0" applyNumberFormat="1" applyFont="1" applyFill="1" applyAlignment="1"/>
    <xf numFmtId="0" fontId="0" fillId="0" borderId="0" xfId="0" applyFont="1"/>
    <xf numFmtId="37" fontId="9" fillId="0" borderId="0" xfId="0" applyNumberFormat="1" applyFont="1" applyFill="1" applyBorder="1"/>
    <xf numFmtId="41" fontId="55" fillId="0" borderId="0" xfId="68" applyFont="1" applyFill="1" applyBorder="1" applyAlignment="1">
      <alignment horizontal="center"/>
    </xf>
    <xf numFmtId="41" fontId="45" fillId="0" borderId="0" xfId="0" applyNumberFormat="1" applyFont="1"/>
    <xf numFmtId="41" fontId="52" fillId="0" borderId="0" xfId="68" applyFont="1" applyFill="1"/>
    <xf numFmtId="41" fontId="52" fillId="0" borderId="0" xfId="68" applyFont="1" applyFill="1" applyBorder="1"/>
    <xf numFmtId="41" fontId="0" fillId="0" borderId="0" xfId="0" applyNumberFormat="1" applyFill="1" applyBorder="1"/>
    <xf numFmtId="14" fontId="45" fillId="0" borderId="0" xfId="68" applyNumberFormat="1" applyFont="1" applyBorder="1" applyAlignment="1">
      <alignment horizontal="center"/>
    </xf>
    <xf numFmtId="14" fontId="45" fillId="0" borderId="0" xfId="68" applyNumberFormat="1" applyFont="1" applyFill="1" applyBorder="1" applyAlignment="1">
      <alignment horizontal="center"/>
    </xf>
    <xf numFmtId="6" fontId="45" fillId="0" borderId="0" xfId="66" quotePrefix="1" applyNumberFormat="1" applyFont="1" applyAlignment="1">
      <alignment horizontal="center"/>
    </xf>
    <xf numFmtId="6" fontId="45" fillId="0" borderId="0" xfId="66" applyNumberFormat="1" applyFont="1" applyAlignment="1">
      <alignment horizontal="center"/>
    </xf>
    <xf numFmtId="165" fontId="46" fillId="0" borderId="0" xfId="2" applyNumberFormat="1" applyFont="1" applyFill="1"/>
    <xf numFmtId="0" fontId="9" fillId="0" borderId="38" xfId="0" applyFont="1" applyBorder="1" applyAlignment="1">
      <alignment horizontal="center" vertical="center"/>
    </xf>
    <xf numFmtId="0" fontId="45" fillId="0" borderId="40" xfId="0" applyFont="1" applyBorder="1" applyAlignment="1">
      <alignment vertical="center" wrapText="1"/>
    </xf>
    <xf numFmtId="0" fontId="45" fillId="0" borderId="41" xfId="0" applyFont="1" applyBorder="1" applyAlignment="1">
      <alignment vertical="center" wrapText="1"/>
    </xf>
    <xf numFmtId="174" fontId="9" fillId="0" borderId="40" xfId="0" applyNumberFormat="1" applyFont="1" applyBorder="1" applyAlignment="1">
      <alignment horizontal="center" vertical="center"/>
    </xf>
    <xf numFmtId="0" fontId="9" fillId="0" borderId="41" xfId="0" applyFont="1" applyBorder="1" applyAlignment="1">
      <alignment vertical="center" wrapText="1"/>
    </xf>
    <xf numFmtId="0" fontId="9" fillId="0" borderId="40" xfId="0" applyFont="1" applyBorder="1" applyAlignment="1">
      <alignment vertical="center" wrapText="1"/>
    </xf>
    <xf numFmtId="0" fontId="9" fillId="0" borderId="43" xfId="0" applyFont="1" applyBorder="1" applyAlignment="1">
      <alignment horizontal="center" vertical="center"/>
    </xf>
    <xf numFmtId="0" fontId="45" fillId="0" borderId="42" xfId="0" applyFont="1" applyBorder="1" applyAlignment="1">
      <alignment horizontal="center" vertical="center" wrapText="1"/>
    </xf>
    <xf numFmtId="0" fontId="45" fillId="0" borderId="44" xfId="0" applyFont="1" applyBorder="1" applyAlignment="1">
      <alignment horizontal="center" vertical="center" wrapText="1"/>
    </xf>
    <xf numFmtId="43" fontId="8" fillId="0" borderId="0" xfId="2" applyNumberFormat="1" applyFont="1" applyFill="1" applyBorder="1" applyProtection="1">
      <protection locked="0"/>
    </xf>
    <xf numFmtId="43" fontId="9" fillId="0" borderId="0" xfId="2" applyNumberFormat="1" applyFont="1" applyFill="1" applyBorder="1" applyProtection="1">
      <protection locked="0"/>
    </xf>
    <xf numFmtId="164" fontId="0" fillId="0" borderId="0" xfId="2" applyNumberFormat="1" applyFont="1" applyFill="1" applyAlignment="1">
      <alignment horizontal="right"/>
    </xf>
    <xf numFmtId="0" fontId="8" fillId="0" borderId="34" xfId="0" applyFont="1" applyFill="1" applyBorder="1" applyAlignment="1">
      <alignment horizontal="center" wrapText="1"/>
    </xf>
    <xf numFmtId="0" fontId="0" fillId="0" borderId="0" xfId="0" applyAlignment="1">
      <alignment horizontal="left" indent="1"/>
    </xf>
    <xf numFmtId="0" fontId="0" fillId="0" borderId="0" xfId="0" applyFill="1" applyBorder="1" applyAlignment="1">
      <alignment horizontal="center"/>
    </xf>
    <xf numFmtId="41" fontId="9" fillId="0" borderId="0" xfId="0" applyNumberFormat="1" applyFont="1" applyFill="1" applyBorder="1" applyProtection="1">
      <protection locked="0"/>
    </xf>
    <xf numFmtId="43" fontId="9" fillId="0" borderId="0" xfId="2" applyFont="1" applyBorder="1"/>
    <xf numFmtId="164" fontId="45" fillId="0" borderId="0" xfId="2" applyNumberFormat="1" applyFont="1"/>
    <xf numFmtId="42" fontId="46" fillId="0" borderId="0" xfId="0" applyNumberFormat="1" applyFont="1"/>
    <xf numFmtId="0" fontId="9" fillId="0" borderId="0" xfId="0" applyFont="1" applyAlignment="1"/>
    <xf numFmtId="41" fontId="50" fillId="0" borderId="0" xfId="0" applyNumberFormat="1" applyFont="1" applyAlignment="1">
      <alignment wrapText="1"/>
    </xf>
    <xf numFmtId="167" fontId="9" fillId="0" borderId="0" xfId="0" applyNumberFormat="1" applyFont="1" applyFill="1" applyAlignment="1">
      <alignment horizontal="center"/>
    </xf>
    <xf numFmtId="42" fontId="9" fillId="0" borderId="0" xfId="0" applyNumberFormat="1" applyFont="1" applyFill="1" applyBorder="1" applyAlignment="1">
      <alignment horizontal="left"/>
    </xf>
    <xf numFmtId="42" fontId="8" fillId="0" borderId="0" xfId="2" applyNumberFormat="1" applyFont="1" applyBorder="1"/>
    <xf numFmtId="188" fontId="46" fillId="0" borderId="0" xfId="0" applyNumberFormat="1" applyFont="1" applyFill="1"/>
    <xf numFmtId="0" fontId="45" fillId="0" borderId="0" xfId="0" quotePrefix="1" applyFont="1"/>
    <xf numFmtId="0" fontId="45" fillId="0" borderId="0" xfId="0" applyFont="1" applyAlignment="1">
      <alignment horizontal="left"/>
    </xf>
    <xf numFmtId="0" fontId="55" fillId="0" borderId="0" xfId="0" applyFont="1"/>
    <xf numFmtId="164" fontId="45" fillId="0" borderId="6" xfId="0" applyNumberFormat="1" applyFont="1" applyBorder="1"/>
    <xf numFmtId="164" fontId="45" fillId="0" borderId="0" xfId="0" applyNumberFormat="1" applyFont="1"/>
    <xf numFmtId="42" fontId="8" fillId="0" borderId="15" xfId="2" applyNumberFormat="1" applyFont="1" applyFill="1" applyBorder="1"/>
    <xf numFmtId="42" fontId="0" fillId="0" borderId="0" xfId="2" applyNumberFormat="1" applyFont="1" applyFill="1"/>
    <xf numFmtId="189" fontId="9" fillId="0" borderId="0" xfId="2" applyNumberFormat="1" applyFont="1" applyFill="1" applyBorder="1"/>
    <xf numFmtId="190" fontId="9" fillId="0" borderId="0" xfId="2" applyNumberFormat="1" applyFont="1" applyBorder="1" applyProtection="1">
      <protection locked="0"/>
    </xf>
    <xf numFmtId="190" fontId="8" fillId="0" borderId="0" xfId="2" applyNumberFormat="1" applyFont="1" applyFill="1" applyBorder="1" applyProtection="1">
      <protection locked="0"/>
    </xf>
    <xf numFmtId="190" fontId="9" fillId="0" borderId="0" xfId="2" applyNumberFormat="1" applyFont="1" applyFill="1" applyBorder="1" applyProtection="1">
      <protection locked="0"/>
    </xf>
    <xf numFmtId="190" fontId="8" fillId="0" borderId="0" xfId="2" applyNumberFormat="1" applyFont="1" applyFill="1" applyBorder="1"/>
    <xf numFmtId="190" fontId="9" fillId="0" borderId="0" xfId="2" applyNumberFormat="1" applyFont="1" applyFill="1" applyBorder="1"/>
    <xf numFmtId="43" fontId="9" fillId="0" borderId="0" xfId="2" applyNumberFormat="1" applyFont="1"/>
    <xf numFmtId="43" fontId="52" fillId="0" borderId="0" xfId="2" applyFont="1"/>
    <xf numFmtId="191" fontId="46" fillId="0" borderId="0" xfId="0" applyNumberFormat="1" applyFont="1"/>
    <xf numFmtId="43" fontId="11" fillId="0" borderId="0" xfId="2" applyFont="1" applyBorder="1"/>
    <xf numFmtId="44" fontId="52" fillId="0" borderId="0" xfId="0" applyNumberFormat="1" applyFont="1" applyFill="1"/>
    <xf numFmtId="43" fontId="52" fillId="0" borderId="0" xfId="2" applyNumberFormat="1" applyFont="1"/>
    <xf numFmtId="0" fontId="8" fillId="0" borderId="45" xfId="0" applyFont="1" applyBorder="1" applyAlignment="1">
      <alignment horizontal="center" vertical="center"/>
    </xf>
    <xf numFmtId="0" fontId="8" fillId="0" borderId="47" xfId="0" applyFont="1" applyBorder="1" applyAlignment="1">
      <alignment horizontal="center" vertical="center" wrapText="1"/>
    </xf>
    <xf numFmtId="167" fontId="9" fillId="0" borderId="0" xfId="3" applyNumberFormat="1" applyFont="1"/>
    <xf numFmtId="167" fontId="9" fillId="0" borderId="5" xfId="3" applyNumberFormat="1" applyFont="1" applyBorder="1"/>
    <xf numFmtId="0" fontId="21" fillId="0" borderId="0" xfId="0" applyFont="1" applyBorder="1"/>
    <xf numFmtId="0" fontId="8" fillId="0" borderId="1" xfId="0" applyFont="1" applyFill="1" applyBorder="1" applyAlignment="1">
      <alignment horizontal="center" wrapText="1"/>
    </xf>
    <xf numFmtId="0" fontId="18" fillId="0" borderId="0" xfId="0" applyFont="1" applyFill="1" applyAlignment="1">
      <alignment horizontal="center"/>
    </xf>
    <xf numFmtId="164" fontId="9" fillId="0" borderId="0" xfId="2" quotePrefix="1" applyNumberFormat="1" applyFont="1" applyAlignment="1">
      <alignment horizontal="center"/>
    </xf>
    <xf numFmtId="10" fontId="9" fillId="0" borderId="0" xfId="6" quotePrefix="1" applyNumberFormat="1" applyFont="1" applyAlignment="1">
      <alignment horizontal="center"/>
    </xf>
    <xf numFmtId="165" fontId="46" fillId="0" borderId="0" xfId="0" applyNumberFormat="1" applyFont="1"/>
    <xf numFmtId="9" fontId="9" fillId="0" borderId="0" xfId="6" applyFont="1"/>
    <xf numFmtId="0" fontId="45" fillId="0" borderId="0" xfId="279" applyFont="1" applyAlignment="1">
      <alignment horizontal="center"/>
    </xf>
    <xf numFmtId="0" fontId="9" fillId="0" borderId="0" xfId="0" applyFont="1" applyAlignment="1">
      <alignment wrapText="1"/>
    </xf>
    <xf numFmtId="41" fontId="15" fillId="0" borderId="0" xfId="2" applyNumberFormat="1" applyFont="1" applyFill="1"/>
    <xf numFmtId="167" fontId="0" fillId="0" borderId="0" xfId="3" applyNumberFormat="1" applyFont="1" applyFill="1"/>
    <xf numFmtId="167" fontId="15" fillId="0" borderId="15" xfId="3" applyNumberFormat="1" applyFont="1" applyFill="1" applyBorder="1"/>
    <xf numFmtId="0" fontId="0" fillId="0" borderId="0" xfId="0" applyFont="1" applyFill="1"/>
    <xf numFmtId="41" fontId="74" fillId="0" borderId="0" xfId="2" applyNumberFormat="1" applyFont="1" applyFill="1" applyAlignment="1">
      <alignment horizontal="center"/>
    </xf>
    <xf numFmtId="164" fontId="0" fillId="0" borderId="48" xfId="2" applyNumberFormat="1" applyFont="1" applyBorder="1"/>
    <xf numFmtId="0" fontId="9" fillId="0" borderId="0" xfId="0" applyFont="1" applyProtection="1">
      <protection locked="0"/>
    </xf>
    <xf numFmtId="0" fontId="9" fillId="0" borderId="0" xfId="0" applyFont="1" applyAlignment="1"/>
    <xf numFmtId="164" fontId="9" fillId="0" borderId="0" xfId="2" applyNumberFormat="1" applyFont="1" applyFill="1" applyAlignment="1">
      <alignment horizontal="center"/>
    </xf>
    <xf numFmtId="41" fontId="9" fillId="0" borderId="0" xfId="0" applyNumberFormat="1" applyFont="1" applyAlignment="1"/>
    <xf numFmtId="41" fontId="52" fillId="0" borderId="0" xfId="0" applyNumberFormat="1" applyFont="1" applyBorder="1" applyAlignment="1"/>
    <xf numFmtId="41" fontId="9" fillId="0" borderId="0" xfId="2" applyNumberFormat="1" applyFont="1" applyBorder="1" applyAlignment="1"/>
    <xf numFmtId="0" fontId="9" fillId="0" borderId="0" xfId="0" applyFont="1" applyBorder="1" applyAlignment="1"/>
    <xf numFmtId="0" fontId="21" fillId="0" borderId="0" xfId="0" applyFont="1" applyAlignment="1">
      <alignment horizontal="center"/>
    </xf>
    <xf numFmtId="0" fontId="45" fillId="0" borderId="0" xfId="279" applyFont="1" applyFill="1" applyAlignment="1">
      <alignment horizontal="center"/>
    </xf>
    <xf numFmtId="192" fontId="52" fillId="0" borderId="0" xfId="0" applyNumberFormat="1" applyFont="1" applyAlignment="1"/>
    <xf numFmtId="0" fontId="55" fillId="0" borderId="48" xfId="0" applyFont="1" applyBorder="1"/>
    <xf numFmtId="0" fontId="8" fillId="0" borderId="48" xfId="64" applyFont="1" applyBorder="1" applyAlignment="1">
      <alignment horizontal="center"/>
    </xf>
    <xf numFmtId="0" fontId="8" fillId="0" borderId="48" xfId="64" applyFont="1" applyBorder="1" applyAlignment="1">
      <alignment horizontal="center" wrapText="1"/>
    </xf>
    <xf numFmtId="0" fontId="9" fillId="0" borderId="0" xfId="64" applyAlignment="1">
      <alignment horizontal="center"/>
    </xf>
    <xf numFmtId="0" fontId="9" fillId="0" borderId="0" xfId="64" applyAlignment="1">
      <alignment horizontal="center" wrapText="1"/>
    </xf>
    <xf numFmtId="0" fontId="13" fillId="0" borderId="0" xfId="64" applyFont="1" applyAlignment="1">
      <alignment horizontal="center"/>
    </xf>
    <xf numFmtId="0" fontId="8" fillId="0" borderId="0" xfId="64" applyFont="1" applyAlignment="1">
      <alignment horizontal="center"/>
    </xf>
    <xf numFmtId="0" fontId="8" fillId="0" borderId="0" xfId="64" applyFont="1" applyAlignment="1">
      <alignment horizontal="center" wrapText="1"/>
    </xf>
    <xf numFmtId="0" fontId="13" fillId="0" borderId="0" xfId="64" applyFont="1" applyAlignment="1">
      <alignment horizontal="left"/>
    </xf>
    <xf numFmtId="0" fontId="9" fillId="0" borderId="0" xfId="0" applyFont="1" applyAlignment="1"/>
    <xf numFmtId="41" fontId="9" fillId="0" borderId="48" xfId="0" applyNumberFormat="1" applyFont="1" applyBorder="1" applyAlignment="1">
      <alignment horizontal="center"/>
    </xf>
    <xf numFmtId="41" fontId="9" fillId="0" borderId="48" xfId="2" applyNumberFormat="1" applyFont="1" applyFill="1" applyBorder="1"/>
    <xf numFmtId="41" fontId="9" fillId="0" borderId="48" xfId="2" applyNumberFormat="1" applyFont="1" applyFill="1" applyBorder="1" applyAlignment="1">
      <alignment horizontal="center"/>
    </xf>
    <xf numFmtId="43" fontId="9" fillId="0" borderId="7" xfId="2" applyFont="1" applyBorder="1"/>
    <xf numFmtId="41" fontId="9" fillId="0" borderId="48" xfId="2" applyNumberFormat="1" applyFont="1" applyBorder="1"/>
    <xf numFmtId="0" fontId="9" fillId="0" borderId="48" xfId="0" applyFont="1" applyBorder="1" applyAlignment="1">
      <alignment horizontal="center"/>
    </xf>
    <xf numFmtId="42" fontId="0" fillId="0" borderId="0" xfId="0" applyNumberFormat="1" applyFill="1" applyBorder="1"/>
    <xf numFmtId="0" fontId="0" fillId="0" borderId="0" xfId="0" applyFill="1" applyBorder="1" applyAlignment="1">
      <alignment horizontal="right"/>
    </xf>
    <xf numFmtId="42" fontId="8" fillId="0" borderId="0" xfId="0" applyNumberFormat="1" applyFont="1" applyFill="1" applyBorder="1"/>
    <xf numFmtId="0" fontId="0" fillId="0" borderId="0" xfId="59" applyFont="1" applyFill="1" applyBorder="1"/>
    <xf numFmtId="0" fontId="9" fillId="0" borderId="0" xfId="59" applyFill="1" applyBorder="1"/>
    <xf numFmtId="0" fontId="9" fillId="0" borderId="0" xfId="59" applyFill="1" applyBorder="1" applyAlignment="1">
      <alignment horizontal="left" indent="1"/>
    </xf>
    <xf numFmtId="42" fontId="8" fillId="0" borderId="0" xfId="59" applyNumberFormat="1" applyFont="1" applyFill="1" applyBorder="1"/>
    <xf numFmtId="44" fontId="9" fillId="0" borderId="0" xfId="59" applyNumberFormat="1" applyFill="1" applyBorder="1"/>
    <xf numFmtId="0" fontId="9" fillId="0" borderId="0" xfId="59" applyFill="1" applyBorder="1" applyAlignment="1">
      <alignment horizontal="center" wrapText="1"/>
    </xf>
    <xf numFmtId="42" fontId="9" fillId="0" borderId="0" xfId="59" applyNumberFormat="1" applyFill="1" applyBorder="1"/>
    <xf numFmtId="41" fontId="0" fillId="0" borderId="0" xfId="83" applyNumberFormat="1" applyFont="1" applyFill="1" applyBorder="1"/>
    <xf numFmtId="42" fontId="0" fillId="0" borderId="0" xfId="3" applyNumberFormat="1" applyFont="1" applyFill="1" applyBorder="1"/>
    <xf numFmtId="41" fontId="0" fillId="0" borderId="0" xfId="3" applyNumberFormat="1" applyFont="1" applyFill="1" applyBorder="1"/>
    <xf numFmtId="0" fontId="0" fillId="0" borderId="0" xfId="0" applyFill="1" applyBorder="1" applyAlignment="1">
      <alignment horizontal="right" indent="1"/>
    </xf>
    <xf numFmtId="0" fontId="9" fillId="0" borderId="0" xfId="0" quotePrefix="1" applyFont="1"/>
    <xf numFmtId="43" fontId="0" fillId="0" borderId="0" xfId="0" applyNumberFormat="1" applyAlignment="1">
      <alignment horizontal="right"/>
    </xf>
    <xf numFmtId="17" fontId="9" fillId="0" borderId="0" xfId="0" quotePrefix="1" applyNumberFormat="1" applyFont="1"/>
    <xf numFmtId="187" fontId="0" fillId="0" borderId="0" xfId="0" applyNumberFormat="1"/>
    <xf numFmtId="0" fontId="0" fillId="0" borderId="0" xfId="0" applyAlignment="1">
      <alignment horizontal="right"/>
    </xf>
    <xf numFmtId="41" fontId="0" fillId="0" borderId="48" xfId="0" applyNumberFormat="1" applyBorder="1"/>
    <xf numFmtId="42" fontId="0" fillId="0" borderId="48" xfId="0" applyNumberFormat="1" applyBorder="1"/>
    <xf numFmtId="0" fontId="8" fillId="0" borderId="0" xfId="0" applyFont="1" applyAlignment="1">
      <alignment horizontal="left" indent="1"/>
    </xf>
    <xf numFmtId="0" fontId="9" fillId="0" borderId="0" xfId="0" applyFont="1" applyAlignment="1">
      <alignment horizontal="left" indent="1"/>
    </xf>
    <xf numFmtId="187" fontId="9" fillId="0" borderId="0" xfId="0" quotePrefix="1" applyNumberFormat="1" applyFont="1"/>
    <xf numFmtId="187" fontId="9" fillId="0" borderId="0" xfId="0" applyNumberFormat="1" applyFont="1"/>
    <xf numFmtId="42" fontId="8" fillId="0" borderId="15" xfId="0" applyNumberFormat="1" applyFont="1" applyBorder="1"/>
    <xf numFmtId="17" fontId="0" fillId="0" borderId="0" xfId="0" quotePrefix="1" applyNumberFormat="1"/>
    <xf numFmtId="43" fontId="0" fillId="0" borderId="0" xfId="0" applyNumberFormat="1"/>
    <xf numFmtId="167" fontId="9" fillId="0" borderId="0" xfId="3" applyNumberFormat="1" applyFont="1" applyFill="1"/>
    <xf numFmtId="167" fontId="8" fillId="0" borderId="15" xfId="3" applyNumberFormat="1" applyFont="1" applyBorder="1"/>
    <xf numFmtId="0" fontId="8" fillId="0" borderId="35" xfId="0" applyFont="1" applyBorder="1" applyAlignment="1">
      <alignment horizontal="center"/>
    </xf>
    <xf numFmtId="0" fontId="8" fillId="0" borderId="36" xfId="0" applyFont="1" applyBorder="1" applyAlignment="1">
      <alignment horizontal="center"/>
    </xf>
    <xf numFmtId="0" fontId="8" fillId="0" borderId="37" xfId="0" applyFont="1" applyBorder="1" applyAlignment="1">
      <alignment horizontal="center"/>
    </xf>
    <xf numFmtId="164" fontId="8" fillId="0" borderId="0" xfId="2" applyNumberFormat="1" applyFont="1" applyFill="1"/>
    <xf numFmtId="187" fontId="9" fillId="0" borderId="48" xfId="0" applyNumberFormat="1" applyFont="1" applyBorder="1" applyAlignment="1">
      <alignment horizontal="center"/>
    </xf>
    <xf numFmtId="43" fontId="9" fillId="0" borderId="48" xfId="0" applyNumberFormat="1" applyFont="1" applyBorder="1" applyAlignment="1">
      <alignment horizontal="right"/>
    </xf>
    <xf numFmtId="9" fontId="0" fillId="0" borderId="0" xfId="6" applyFont="1" applyFill="1" applyAlignment="1">
      <alignment horizontal="center"/>
    </xf>
    <xf numFmtId="44" fontId="0" fillId="0" borderId="0" xfId="0" applyNumberFormat="1"/>
    <xf numFmtId="167" fontId="9" fillId="0" borderId="0" xfId="3" applyNumberFormat="1" applyFont="1" applyFill="1" applyAlignment="1">
      <alignment horizontal="center"/>
    </xf>
    <xf numFmtId="167" fontId="8" fillId="0" borderId="0" xfId="3" applyNumberFormat="1" applyFont="1" applyFill="1"/>
    <xf numFmtId="193" fontId="0" fillId="0" borderId="0" xfId="0" applyNumberFormat="1"/>
    <xf numFmtId="193" fontId="8" fillId="0" borderId="0" xfId="0" applyNumberFormat="1" applyFont="1" applyFill="1" applyAlignment="1">
      <alignment horizontal="left"/>
    </xf>
    <xf numFmtId="164" fontId="9" fillId="0" borderId="0" xfId="2" applyNumberFormat="1"/>
    <xf numFmtId="43" fontId="79" fillId="0" borderId="0" xfId="2" applyFont="1" applyAlignment="1">
      <alignment horizontal="center"/>
    </xf>
    <xf numFmtId="43" fontId="79" fillId="0" borderId="0" xfId="2" applyFont="1" applyFill="1" applyAlignment="1">
      <alignment horizontal="center"/>
    </xf>
    <xf numFmtId="43" fontId="80" fillId="0" borderId="0" xfId="2" applyFont="1" applyFill="1" applyAlignment="1">
      <alignment horizontal="center"/>
    </xf>
    <xf numFmtId="41" fontId="46" fillId="0" borderId="0" xfId="62" applyFont="1"/>
    <xf numFmtId="10" fontId="9" fillId="0" borderId="1" xfId="6" applyNumberFormat="1" applyFont="1" applyFill="1" applyBorder="1" applyAlignment="1">
      <alignment horizontal="right"/>
    </xf>
    <xf numFmtId="0" fontId="4" fillId="0" borderId="0" xfId="66"/>
    <xf numFmtId="6" fontId="55" fillId="0" borderId="0" xfId="66" applyNumberFormat="1" applyFont="1"/>
    <xf numFmtId="6" fontId="55" fillId="0" borderId="0" xfId="66" applyNumberFormat="1" applyFont="1" applyAlignment="1">
      <alignment horizontal="center"/>
    </xf>
    <xf numFmtId="0" fontId="55" fillId="0" borderId="48" xfId="66" applyFont="1" applyBorder="1" applyAlignment="1">
      <alignment horizontal="center"/>
    </xf>
    <xf numFmtId="6" fontId="55" fillId="0" borderId="48" xfId="66" quotePrefix="1" applyNumberFormat="1" applyFont="1" applyBorder="1" applyAlignment="1">
      <alignment horizontal="center"/>
    </xf>
    <xf numFmtId="14" fontId="55" fillId="0" borderId="48" xfId="66" quotePrefix="1" applyNumberFormat="1" applyFont="1" applyBorder="1" applyAlignment="1">
      <alignment horizontal="center"/>
    </xf>
    <xf numFmtId="6" fontId="55" fillId="0" borderId="0" xfId="66" quotePrefix="1" applyNumberFormat="1" applyFont="1" applyAlignment="1">
      <alignment horizontal="center"/>
    </xf>
    <xf numFmtId="14" fontId="8" fillId="0" borderId="48" xfId="0" applyNumberFormat="1" applyFont="1" applyBorder="1" applyAlignment="1">
      <alignment horizontal="center"/>
    </xf>
    <xf numFmtId="0" fontId="45" fillId="0" borderId="0" xfId="66" applyFont="1" applyAlignment="1">
      <alignment horizontal="center"/>
    </xf>
    <xf numFmtId="14" fontId="45" fillId="0" borderId="0" xfId="66" quotePrefix="1" applyNumberFormat="1" applyFont="1" applyAlignment="1">
      <alignment horizontal="center"/>
    </xf>
    <xf numFmtId="6" fontId="56" fillId="0" borderId="0" xfId="0" quotePrefix="1" applyNumberFormat="1" applyFont="1"/>
    <xf numFmtId="6" fontId="56" fillId="0" borderId="0" xfId="0" quotePrefix="1" applyNumberFormat="1" applyFont="1" applyAlignment="1">
      <alignment horizontal="center"/>
    </xf>
    <xf numFmtId="41" fontId="55" fillId="0" borderId="0" xfId="183" applyFont="1" applyFill="1" applyAlignment="1">
      <alignment horizontal="center"/>
    </xf>
    <xf numFmtId="41" fontId="55" fillId="0" borderId="0" xfId="183" applyFont="1" applyFill="1" applyBorder="1" applyAlignment="1">
      <alignment horizontal="center"/>
    </xf>
    <xf numFmtId="0" fontId="9" fillId="0" borderId="0" xfId="59" applyAlignment="1">
      <alignment horizontal="center"/>
    </xf>
    <xf numFmtId="42" fontId="45" fillId="0" borderId="0" xfId="183" applyNumberFormat="1" applyFont="1" applyFill="1"/>
    <xf numFmtId="42" fontId="45" fillId="0" borderId="0" xfId="183" applyNumberFormat="1" applyFont="1" applyFill="1" applyBorder="1"/>
    <xf numFmtId="188" fontId="46" fillId="0" borderId="0" xfId="0" applyNumberFormat="1" applyFont="1"/>
    <xf numFmtId="41" fontId="45" fillId="0" borderId="0" xfId="183" applyFont="1" applyFill="1"/>
    <xf numFmtId="41" fontId="45" fillId="0" borderId="0" xfId="183" applyFont="1" applyFill="1" applyBorder="1"/>
    <xf numFmtId="6" fontId="45" fillId="0" borderId="0" xfId="0" applyNumberFormat="1" applyFont="1" applyAlignment="1">
      <alignment horizontal="center"/>
    </xf>
    <xf numFmtId="42" fontId="45" fillId="0" borderId="6" xfId="183" applyNumberFormat="1" applyFont="1" applyFill="1" applyBorder="1"/>
    <xf numFmtId="6" fontId="56" fillId="0" borderId="0" xfId="0" applyNumberFormat="1" applyFont="1" applyAlignment="1">
      <alignment horizontal="center"/>
    </xf>
    <xf numFmtId="42" fontId="45" fillId="0" borderId="0" xfId="326" applyFont="1" applyFill="1"/>
    <xf numFmtId="42" fontId="45" fillId="0" borderId="0" xfId="0" applyNumberFormat="1" applyFont="1"/>
    <xf numFmtId="42" fontId="45" fillId="0" borderId="29" xfId="183" applyNumberFormat="1" applyFont="1" applyFill="1" applyBorder="1"/>
    <xf numFmtId="42" fontId="52" fillId="0" borderId="0" xfId="0" applyNumberFormat="1" applyFont="1"/>
    <xf numFmtId="42" fontId="0" fillId="0" borderId="0" xfId="0" applyNumberFormat="1" applyFill="1"/>
    <xf numFmtId="41" fontId="9" fillId="0" borderId="0" xfId="62" applyFont="1" applyFill="1" applyAlignment="1"/>
    <xf numFmtId="192" fontId="9" fillId="0" borderId="0" xfId="0" applyNumberFormat="1" applyFont="1" applyFill="1"/>
    <xf numFmtId="192" fontId="8" fillId="0" borderId="0" xfId="0" applyNumberFormat="1" applyFont="1" applyFill="1"/>
    <xf numFmtId="0" fontId="9" fillId="0" borderId="0" xfId="59" applyFill="1" applyAlignment="1">
      <alignment horizontal="center"/>
    </xf>
    <xf numFmtId="0" fontId="9" fillId="0" borderId="0" xfId="0" applyFont="1" applyAlignment="1">
      <alignment vertical="center" wrapText="1"/>
    </xf>
    <xf numFmtId="41" fontId="52" fillId="0" borderId="0" xfId="62" applyFont="1" applyAlignment="1"/>
    <xf numFmtId="41" fontId="9" fillId="0" borderId="0" xfId="62" applyFont="1" applyFill="1" applyAlignment="1">
      <alignment horizontal="center"/>
    </xf>
    <xf numFmtId="0" fontId="9" fillId="0" borderId="0" xfId="0" applyFont="1" applyBorder="1" applyAlignment="1">
      <alignment horizontal="left"/>
    </xf>
    <xf numFmtId="43" fontId="46" fillId="0" borderId="0" xfId="0" applyNumberFormat="1" applyFont="1" applyFill="1"/>
    <xf numFmtId="192" fontId="9" fillId="0" borderId="0" xfId="62" applyNumberFormat="1" applyFont="1"/>
    <xf numFmtId="42" fontId="9" fillId="0" borderId="0" xfId="326" applyFont="1" applyAlignment="1">
      <alignment horizontal="center"/>
    </xf>
    <xf numFmtId="41" fontId="9" fillId="0" borderId="48" xfId="62" applyFont="1" applyFill="1" applyBorder="1" applyAlignment="1">
      <alignment horizontal="center"/>
    </xf>
    <xf numFmtId="41" fontId="9" fillId="0" borderId="48" xfId="0" applyNumberFormat="1" applyFont="1" applyFill="1" applyBorder="1" applyAlignment="1">
      <alignment horizontal="center"/>
    </xf>
    <xf numFmtId="0" fontId="52" fillId="0" borderId="0" xfId="0" applyFont="1" applyBorder="1"/>
    <xf numFmtId="42" fontId="52" fillId="0" borderId="0" xfId="0" applyNumberFormat="1" applyFont="1" applyBorder="1" applyAlignment="1"/>
    <xf numFmtId="0" fontId="46" fillId="0" borderId="0" xfId="0" applyFont="1" applyBorder="1" applyAlignment="1"/>
    <xf numFmtId="0" fontId="10" fillId="0" borderId="0" xfId="0" applyFont="1" applyBorder="1" applyAlignment="1"/>
    <xf numFmtId="0" fontId="52" fillId="0" borderId="0" xfId="0" applyFont="1" applyBorder="1" applyAlignment="1">
      <alignment horizontal="right"/>
    </xf>
    <xf numFmtId="192" fontId="52" fillId="0" borderId="0" xfId="0" applyNumberFormat="1" applyFont="1" applyBorder="1" applyAlignment="1"/>
    <xf numFmtId="41" fontId="52" fillId="0" borderId="0" xfId="62" applyFont="1" applyBorder="1" applyAlignment="1"/>
    <xf numFmtId="41" fontId="52" fillId="0" borderId="0" xfId="62" applyNumberFormat="1" applyFont="1" applyBorder="1" applyAlignment="1"/>
    <xf numFmtId="0" fontId="52" fillId="0" borderId="0" xfId="0" applyFont="1" applyBorder="1" applyAlignment="1"/>
    <xf numFmtId="192" fontId="9" fillId="0" borderId="0" xfId="2" applyNumberFormat="1" applyFont="1" applyFill="1" applyAlignment="1">
      <alignment horizontal="center"/>
    </xf>
    <xf numFmtId="194" fontId="52" fillId="0" borderId="0" xfId="0" applyNumberFormat="1" applyFont="1" applyFill="1"/>
    <xf numFmtId="6" fontId="45" fillId="0" borderId="0" xfId="0" applyNumberFormat="1" applyFont="1" applyFill="1"/>
    <xf numFmtId="0" fontId="55" fillId="0" borderId="0" xfId="0" applyFont="1" applyFill="1" applyAlignment="1">
      <alignment horizontal="left"/>
    </xf>
    <xf numFmtId="10" fontId="9" fillId="0" borderId="0" xfId="64" applyNumberFormat="1" applyFill="1" applyAlignment="1">
      <alignment horizontal="center"/>
    </xf>
    <xf numFmtId="41" fontId="45" fillId="0" borderId="0" xfId="62" applyFont="1"/>
    <xf numFmtId="41" fontId="45" fillId="0" borderId="6" xfId="62" applyFont="1" applyBorder="1"/>
    <xf numFmtId="0" fontId="8" fillId="0" borderId="46" xfId="0" applyFont="1" applyBorder="1" applyAlignment="1">
      <alignment horizontal="center" vertical="top"/>
    </xf>
    <xf numFmtId="0" fontId="45" fillId="0" borderId="42" xfId="0" applyFont="1" applyBorder="1" applyAlignment="1">
      <alignment horizontal="center" vertical="top"/>
    </xf>
    <xf numFmtId="0" fontId="13" fillId="0" borderId="14" xfId="0" applyFont="1" applyBorder="1" applyAlignment="1">
      <alignment vertical="center"/>
    </xf>
    <xf numFmtId="0" fontId="45" fillId="0" borderId="14" xfId="0" applyFont="1" applyBorder="1" applyAlignment="1">
      <alignment vertical="center" wrapText="1"/>
    </xf>
    <xf numFmtId="0" fontId="9" fillId="0" borderId="39" xfId="0" applyFont="1" applyBorder="1" applyAlignment="1">
      <alignment vertical="center" wrapText="1"/>
    </xf>
    <xf numFmtId="0" fontId="45" fillId="0" borderId="40" xfId="0" applyFont="1" applyBorder="1" applyAlignment="1">
      <alignment horizontal="left" vertical="center" wrapText="1"/>
    </xf>
    <xf numFmtId="0" fontId="45" fillId="0" borderId="41" xfId="0" applyFont="1" applyBorder="1" applyAlignment="1">
      <alignment horizontal="left" vertical="center" wrapText="1"/>
    </xf>
    <xf numFmtId="0" fontId="45" fillId="0" borderId="14" xfId="0" applyFont="1" applyBorder="1" applyAlignment="1">
      <alignment horizontal="left" vertical="center" wrapText="1"/>
    </xf>
    <xf numFmtId="0" fontId="9" fillId="0" borderId="39" xfId="0" applyFont="1" applyBorder="1" applyAlignment="1">
      <alignment horizontal="left" vertical="center" wrapText="1"/>
    </xf>
    <xf numFmtId="0" fontId="45" fillId="0" borderId="40" xfId="0" applyFont="1" applyBorder="1" applyAlignment="1">
      <alignment vertical="center"/>
    </xf>
    <xf numFmtId="0" fontId="9" fillId="0" borderId="40" xfId="0" applyFont="1" applyBorder="1" applyAlignment="1">
      <alignment vertical="center"/>
    </xf>
    <xf numFmtId="0" fontId="13" fillId="0" borderId="40" xfId="0" applyFont="1" applyBorder="1" applyAlignment="1">
      <alignment vertical="center"/>
    </xf>
    <xf numFmtId="0" fontId="9" fillId="0" borderId="0" xfId="0" applyFont="1" applyAlignment="1">
      <alignment wrapText="1"/>
    </xf>
    <xf numFmtId="0" fontId="0" fillId="0" borderId="0" xfId="0" applyAlignment="1">
      <alignment wrapText="1"/>
    </xf>
    <xf numFmtId="0" fontId="9" fillId="0" borderId="0" xfId="0" applyFont="1"/>
    <xf numFmtId="192" fontId="9" fillId="0" borderId="0" xfId="2" applyNumberFormat="1" applyFont="1" applyFill="1" applyBorder="1"/>
    <xf numFmtId="0" fontId="0" fillId="0" borderId="0" xfId="0" applyFill="1" applyAlignment="1">
      <alignment horizontal="right"/>
    </xf>
    <xf numFmtId="0" fontId="9" fillId="0" borderId="0" xfId="0" applyFont="1" applyFill="1" applyAlignment="1">
      <alignment horizontal="right"/>
    </xf>
    <xf numFmtId="0" fontId="9" fillId="0" borderId="0" xfId="0" applyFont="1"/>
    <xf numFmtId="0" fontId="8" fillId="0" borderId="48" xfId="0" applyFont="1" applyFill="1" applyBorder="1" applyAlignment="1">
      <alignment horizontal="center" wrapText="1"/>
    </xf>
    <xf numFmtId="0" fontId="8" fillId="0" borderId="48" xfId="0" applyFont="1" applyFill="1" applyBorder="1" applyAlignment="1">
      <alignment horizontal="center"/>
    </xf>
    <xf numFmtId="10" fontId="9" fillId="0" borderId="0" xfId="6" quotePrefix="1" applyNumberFormat="1" applyFont="1" applyFill="1" applyAlignment="1">
      <alignment horizontal="center"/>
    </xf>
    <xf numFmtId="0" fontId="45" fillId="0" borderId="49" xfId="0" applyFont="1" applyBorder="1" applyAlignment="1">
      <alignment vertical="center" wrapText="1"/>
    </xf>
    <xf numFmtId="0" fontId="9" fillId="0" borderId="49" xfId="0" applyFont="1" applyBorder="1" applyAlignment="1">
      <alignment vertical="center" wrapText="1"/>
    </xf>
    <xf numFmtId="0" fontId="9" fillId="0" borderId="50" xfId="0" applyFont="1" applyBorder="1" applyAlignment="1">
      <alignment vertical="center" wrapText="1"/>
    </xf>
    <xf numFmtId="0" fontId="0" fillId="0" borderId="40" xfId="0" applyBorder="1" applyAlignment="1">
      <alignment vertical="center" wrapText="1"/>
    </xf>
    <xf numFmtId="0" fontId="0" fillId="0" borderId="41" xfId="0" applyBorder="1" applyAlignment="1">
      <alignment vertical="center" wrapText="1"/>
    </xf>
    <xf numFmtId="195" fontId="0" fillId="0" borderId="0" xfId="0" applyNumberFormat="1" applyFill="1"/>
    <xf numFmtId="0" fontId="9" fillId="0" borderId="0" xfId="0" applyFont="1"/>
    <xf numFmtId="17" fontId="0" fillId="0" borderId="0" xfId="0" quotePrefix="1" applyNumberFormat="1" applyFill="1"/>
    <xf numFmtId="0" fontId="9" fillId="0" borderId="0" xfId="0" quotePrefix="1" applyFont="1" applyFill="1" applyAlignment="1">
      <alignment horizontal="left"/>
    </xf>
    <xf numFmtId="43" fontId="9" fillId="0" borderId="0" xfId="2" applyFont="1" applyFill="1" applyAlignment="1"/>
    <xf numFmtId="0" fontId="9" fillId="0" borderId="0" xfId="0" applyFont="1" applyFill="1" applyProtection="1">
      <protection locked="0"/>
    </xf>
    <xf numFmtId="0" fontId="13" fillId="0" borderId="0" xfId="0" applyFont="1" applyFill="1"/>
    <xf numFmtId="0" fontId="9" fillId="0" borderId="0" xfId="0" quotePrefix="1" applyFont="1" applyFill="1"/>
    <xf numFmtId="0" fontId="9" fillId="0" borderId="0" xfId="0" applyFont="1"/>
    <xf numFmtId="167" fontId="8" fillId="0" borderId="15" xfId="3" applyNumberFormat="1" applyFont="1" applyFill="1" applyBorder="1"/>
    <xf numFmtId="17" fontId="9" fillId="0" borderId="0" xfId="0" quotePrefix="1" applyNumberFormat="1" applyFont="1" applyFill="1"/>
    <xf numFmtId="0" fontId="8" fillId="0" borderId="0" xfId="0" applyFont="1" applyFill="1" applyAlignment="1">
      <alignment horizontal="left" indent="1"/>
    </xf>
    <xf numFmtId="42" fontId="8" fillId="0" borderId="15" xfId="0" applyNumberFormat="1" applyFont="1" applyFill="1" applyBorder="1"/>
    <xf numFmtId="0" fontId="8" fillId="0" borderId="0" xfId="0" applyFont="1" applyFill="1" applyAlignment="1">
      <alignment horizontal="right"/>
    </xf>
    <xf numFmtId="6" fontId="1" fillId="0" borderId="0" xfId="297" applyNumberFormat="1" applyFill="1"/>
    <xf numFmtId="164" fontId="1" fillId="0" borderId="0" xfId="303" applyNumberFormat="1" applyFont="1" applyFill="1"/>
    <xf numFmtId="0" fontId="9" fillId="0" borderId="0" xfId="0" applyFont="1"/>
    <xf numFmtId="0" fontId="9" fillId="0" borderId="0" xfId="0" applyFont="1"/>
    <xf numFmtId="0" fontId="9" fillId="0" borderId="51" xfId="0" applyFont="1" applyBorder="1" applyAlignment="1">
      <alignment horizontal="center" vertical="center"/>
    </xf>
    <xf numFmtId="0" fontId="45" fillId="0" borderId="49" xfId="0" applyFont="1" applyBorder="1" applyAlignment="1">
      <alignment vertical="center"/>
    </xf>
    <xf numFmtId="0" fontId="45" fillId="0" borderId="42" xfId="0" applyFont="1" applyBorder="1" applyAlignment="1">
      <alignment vertical="center" wrapText="1"/>
    </xf>
    <xf numFmtId="0" fontId="45" fillId="0" borderId="19" xfId="0" applyFont="1" applyBorder="1" applyAlignment="1">
      <alignment vertical="center" wrapText="1"/>
    </xf>
    <xf numFmtId="193" fontId="9" fillId="0" borderId="0" xfId="0" applyNumberFormat="1" applyFont="1" applyFill="1" applyBorder="1" applyAlignment="1" applyProtection="1">
      <alignment horizontal="center"/>
      <protection locked="0"/>
    </xf>
    <xf numFmtId="164" fontId="15" fillId="0" borderId="0" xfId="0" applyNumberFormat="1" applyFont="1" applyFill="1" applyBorder="1"/>
    <xf numFmtId="0" fontId="8" fillId="0" borderId="48" xfId="64" applyFont="1" applyBorder="1" applyAlignment="1">
      <alignment horizontal="center"/>
    </xf>
    <xf numFmtId="0" fontId="9" fillId="0" borderId="4" xfId="64" quotePrefix="1" applyBorder="1" applyAlignment="1">
      <alignment horizontal="center"/>
    </xf>
    <xf numFmtId="0" fontId="9" fillId="0" borderId="0" xfId="0" applyFont="1" applyAlignment="1">
      <alignment horizontal="left" wrapText="1"/>
    </xf>
    <xf numFmtId="0" fontId="8" fillId="0" borderId="20" xfId="0" applyFont="1" applyFill="1" applyBorder="1" applyAlignment="1">
      <alignment horizontal="center"/>
    </xf>
    <xf numFmtId="0" fontId="9" fillId="0" borderId="0" xfId="0" applyFont="1" applyAlignment="1">
      <alignment wrapText="1"/>
    </xf>
    <xf numFmtId="0" fontId="9" fillId="0" borderId="0" xfId="0" applyFont="1"/>
    <xf numFmtId="0" fontId="26" fillId="0" borderId="0" xfId="0" applyFont="1" applyAlignment="1">
      <alignment horizontal="center"/>
    </xf>
    <xf numFmtId="0" fontId="0" fillId="0" borderId="0" xfId="0" applyAlignment="1">
      <alignment wrapText="1"/>
    </xf>
    <xf numFmtId="17" fontId="22" fillId="0" borderId="0" xfId="0" quotePrefix="1" applyNumberFormat="1" applyFont="1" applyAlignment="1">
      <alignment horizontal="center"/>
    </xf>
    <xf numFmtId="0" fontId="22" fillId="0" borderId="0" xfId="0" applyFont="1" applyAlignment="1">
      <alignment horizontal="center"/>
    </xf>
    <xf numFmtId="0" fontId="76" fillId="0" borderId="0" xfId="0" applyFont="1" applyAlignment="1">
      <alignment horizontal="left" wrapText="1"/>
    </xf>
    <xf numFmtId="0" fontId="19" fillId="0" borderId="0" xfId="0" applyFont="1" applyAlignment="1">
      <alignment horizontal="center"/>
    </xf>
    <xf numFmtId="0" fontId="9" fillId="0" borderId="0" xfId="0" applyFont="1" applyAlignment="1">
      <alignment vertical="center" wrapText="1"/>
    </xf>
    <xf numFmtId="0" fontId="0" fillId="0" borderId="0" xfId="0" applyAlignment="1">
      <alignment vertical="center" wrapText="1"/>
    </xf>
  </cellXfs>
  <cellStyles count="327">
    <cellStyle name="_TXU Gas Plants ML - Henwood 12-5-05 " xfId="1" xr:uid="{00000000-0005-0000-0000-000000000000}"/>
    <cellStyle name="£ BP" xfId="119" xr:uid="{00000000-0005-0000-0000-000001000000}"/>
    <cellStyle name="¥ JY" xfId="120" xr:uid="{00000000-0005-0000-0000-000002000000}"/>
    <cellStyle name="20% - Accent1" xfId="24" builtinId="30" customBuiltin="1"/>
    <cellStyle name="20% - Accent1 2" xfId="47" xr:uid="{00000000-0005-0000-0000-000004000000}"/>
    <cellStyle name="20% - Accent1 2 2" xfId="86" xr:uid="{00000000-0005-0000-0000-000005000000}"/>
    <cellStyle name="20% - Accent1 2 2 2" xfId="209" xr:uid="{00000000-0005-0000-0000-000006000000}"/>
    <cellStyle name="20% - Accent1 2 3" xfId="208" xr:uid="{00000000-0005-0000-0000-000007000000}"/>
    <cellStyle name="20% - Accent1 3" xfId="69" xr:uid="{00000000-0005-0000-0000-000008000000}"/>
    <cellStyle name="20% - Accent1 3 2" xfId="210" xr:uid="{00000000-0005-0000-0000-000009000000}"/>
    <cellStyle name="20% - Accent2" xfId="28" builtinId="34" customBuiltin="1"/>
    <cellStyle name="20% - Accent2 2" xfId="49" xr:uid="{00000000-0005-0000-0000-00000B000000}"/>
    <cellStyle name="20% - Accent2 2 2" xfId="88" xr:uid="{00000000-0005-0000-0000-00000C000000}"/>
    <cellStyle name="20% - Accent2 2 2 2" xfId="212" xr:uid="{00000000-0005-0000-0000-00000D000000}"/>
    <cellStyle name="20% - Accent2 2 3" xfId="211" xr:uid="{00000000-0005-0000-0000-00000E000000}"/>
    <cellStyle name="20% - Accent2 3" xfId="71" xr:uid="{00000000-0005-0000-0000-00000F000000}"/>
    <cellStyle name="20% - Accent2 3 2" xfId="213" xr:uid="{00000000-0005-0000-0000-000010000000}"/>
    <cellStyle name="20% - Accent3" xfId="32" builtinId="38" customBuiltin="1"/>
    <cellStyle name="20% - Accent3 2" xfId="51" xr:uid="{00000000-0005-0000-0000-000012000000}"/>
    <cellStyle name="20% - Accent3 2 2" xfId="90" xr:uid="{00000000-0005-0000-0000-000013000000}"/>
    <cellStyle name="20% - Accent3 2 2 2" xfId="215" xr:uid="{00000000-0005-0000-0000-000014000000}"/>
    <cellStyle name="20% - Accent3 2 3" xfId="214" xr:uid="{00000000-0005-0000-0000-000015000000}"/>
    <cellStyle name="20% - Accent3 3" xfId="73" xr:uid="{00000000-0005-0000-0000-000016000000}"/>
    <cellStyle name="20% - Accent3 3 2" xfId="216" xr:uid="{00000000-0005-0000-0000-000017000000}"/>
    <cellStyle name="20% - Accent4" xfId="36" builtinId="42" customBuiltin="1"/>
    <cellStyle name="20% - Accent4 2" xfId="53" xr:uid="{00000000-0005-0000-0000-000019000000}"/>
    <cellStyle name="20% - Accent4 2 2" xfId="92" xr:uid="{00000000-0005-0000-0000-00001A000000}"/>
    <cellStyle name="20% - Accent4 2 2 2" xfId="218" xr:uid="{00000000-0005-0000-0000-00001B000000}"/>
    <cellStyle name="20% - Accent4 2 3" xfId="217" xr:uid="{00000000-0005-0000-0000-00001C000000}"/>
    <cellStyle name="20% - Accent4 3" xfId="75" xr:uid="{00000000-0005-0000-0000-00001D000000}"/>
    <cellStyle name="20% - Accent4 3 2" xfId="219" xr:uid="{00000000-0005-0000-0000-00001E000000}"/>
    <cellStyle name="20% - Accent5" xfId="40" builtinId="46" customBuiltin="1"/>
    <cellStyle name="20% - Accent5 2" xfId="55" xr:uid="{00000000-0005-0000-0000-000020000000}"/>
    <cellStyle name="20% - Accent5 2 2" xfId="94" xr:uid="{00000000-0005-0000-0000-000021000000}"/>
    <cellStyle name="20% - Accent5 2 2 2" xfId="221" xr:uid="{00000000-0005-0000-0000-000022000000}"/>
    <cellStyle name="20% - Accent5 2 3" xfId="220" xr:uid="{00000000-0005-0000-0000-000023000000}"/>
    <cellStyle name="20% - Accent5 3" xfId="77" xr:uid="{00000000-0005-0000-0000-000024000000}"/>
    <cellStyle name="20% - Accent5 3 2" xfId="222" xr:uid="{00000000-0005-0000-0000-000025000000}"/>
    <cellStyle name="20% - Accent6" xfId="44" builtinId="50" customBuiltin="1"/>
    <cellStyle name="20% - Accent6 2" xfId="57" xr:uid="{00000000-0005-0000-0000-000027000000}"/>
    <cellStyle name="20% - Accent6 2 2" xfId="96" xr:uid="{00000000-0005-0000-0000-000028000000}"/>
    <cellStyle name="20% - Accent6 2 2 2" xfId="224" xr:uid="{00000000-0005-0000-0000-000029000000}"/>
    <cellStyle name="20% - Accent6 2 3" xfId="223" xr:uid="{00000000-0005-0000-0000-00002A000000}"/>
    <cellStyle name="20% - Accent6 3" xfId="79" xr:uid="{00000000-0005-0000-0000-00002B000000}"/>
    <cellStyle name="20% - Accent6 3 2" xfId="225" xr:uid="{00000000-0005-0000-0000-00002C000000}"/>
    <cellStyle name="40% - Accent1" xfId="25" builtinId="31" customBuiltin="1"/>
    <cellStyle name="40% - Accent1 2" xfId="48" xr:uid="{00000000-0005-0000-0000-00002E000000}"/>
    <cellStyle name="40% - Accent1 2 2" xfId="87" xr:uid="{00000000-0005-0000-0000-00002F000000}"/>
    <cellStyle name="40% - Accent1 2 2 2" xfId="227" xr:uid="{00000000-0005-0000-0000-000030000000}"/>
    <cellStyle name="40% - Accent1 2 3" xfId="226" xr:uid="{00000000-0005-0000-0000-000031000000}"/>
    <cellStyle name="40% - Accent1 3" xfId="70" xr:uid="{00000000-0005-0000-0000-000032000000}"/>
    <cellStyle name="40% - Accent1 3 2" xfId="228" xr:uid="{00000000-0005-0000-0000-000033000000}"/>
    <cellStyle name="40% - Accent2" xfId="29" builtinId="35" customBuiltin="1"/>
    <cellStyle name="40% - Accent2 2" xfId="50" xr:uid="{00000000-0005-0000-0000-000035000000}"/>
    <cellStyle name="40% - Accent2 2 2" xfId="89" xr:uid="{00000000-0005-0000-0000-000036000000}"/>
    <cellStyle name="40% - Accent2 2 2 2" xfId="230" xr:uid="{00000000-0005-0000-0000-000037000000}"/>
    <cellStyle name="40% - Accent2 2 3" xfId="229" xr:uid="{00000000-0005-0000-0000-000038000000}"/>
    <cellStyle name="40% - Accent2 3" xfId="72" xr:uid="{00000000-0005-0000-0000-000039000000}"/>
    <cellStyle name="40% - Accent2 3 2" xfId="231" xr:uid="{00000000-0005-0000-0000-00003A000000}"/>
    <cellStyle name="40% - Accent3" xfId="33" builtinId="39" customBuiltin="1"/>
    <cellStyle name="40% - Accent3 2" xfId="52" xr:uid="{00000000-0005-0000-0000-00003C000000}"/>
    <cellStyle name="40% - Accent3 2 2" xfId="91" xr:uid="{00000000-0005-0000-0000-00003D000000}"/>
    <cellStyle name="40% - Accent3 2 2 2" xfId="233" xr:uid="{00000000-0005-0000-0000-00003E000000}"/>
    <cellStyle name="40% - Accent3 2 3" xfId="232" xr:uid="{00000000-0005-0000-0000-00003F000000}"/>
    <cellStyle name="40% - Accent3 3" xfId="74" xr:uid="{00000000-0005-0000-0000-000040000000}"/>
    <cellStyle name="40% - Accent3 3 2" xfId="234" xr:uid="{00000000-0005-0000-0000-000041000000}"/>
    <cellStyle name="40% - Accent4" xfId="37" builtinId="43" customBuiltin="1"/>
    <cellStyle name="40% - Accent4 2" xfId="54" xr:uid="{00000000-0005-0000-0000-000043000000}"/>
    <cellStyle name="40% - Accent4 2 2" xfId="93" xr:uid="{00000000-0005-0000-0000-000044000000}"/>
    <cellStyle name="40% - Accent4 2 2 2" xfId="236" xr:uid="{00000000-0005-0000-0000-000045000000}"/>
    <cellStyle name="40% - Accent4 2 3" xfId="235" xr:uid="{00000000-0005-0000-0000-000046000000}"/>
    <cellStyle name="40% - Accent4 3" xfId="76" xr:uid="{00000000-0005-0000-0000-000047000000}"/>
    <cellStyle name="40% - Accent4 3 2" xfId="237" xr:uid="{00000000-0005-0000-0000-000048000000}"/>
    <cellStyle name="40% - Accent5" xfId="41" builtinId="47" customBuiltin="1"/>
    <cellStyle name="40% - Accent5 2" xfId="56" xr:uid="{00000000-0005-0000-0000-00004A000000}"/>
    <cellStyle name="40% - Accent5 2 2" xfId="95" xr:uid="{00000000-0005-0000-0000-00004B000000}"/>
    <cellStyle name="40% - Accent5 2 2 2" xfId="239" xr:uid="{00000000-0005-0000-0000-00004C000000}"/>
    <cellStyle name="40% - Accent5 2 3" xfId="238" xr:uid="{00000000-0005-0000-0000-00004D000000}"/>
    <cellStyle name="40% - Accent5 3" xfId="78" xr:uid="{00000000-0005-0000-0000-00004E000000}"/>
    <cellStyle name="40% - Accent5 3 2" xfId="240" xr:uid="{00000000-0005-0000-0000-00004F000000}"/>
    <cellStyle name="40% - Accent6" xfId="45" builtinId="51" customBuiltin="1"/>
    <cellStyle name="40% - Accent6 2" xfId="58" xr:uid="{00000000-0005-0000-0000-000051000000}"/>
    <cellStyle name="40% - Accent6 2 2" xfId="97" xr:uid="{00000000-0005-0000-0000-000052000000}"/>
    <cellStyle name="40% - Accent6 2 2 2" xfId="242" xr:uid="{00000000-0005-0000-0000-000053000000}"/>
    <cellStyle name="40% - Accent6 2 3" xfId="241" xr:uid="{00000000-0005-0000-0000-000054000000}"/>
    <cellStyle name="40% - Accent6 3" xfId="80" xr:uid="{00000000-0005-0000-0000-000055000000}"/>
    <cellStyle name="40% - Accent6 3 2" xfId="243" xr:uid="{00000000-0005-0000-0000-000056000000}"/>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Adjustable" xfId="121" xr:uid="{00000000-0005-0000-0000-000063000000}"/>
    <cellStyle name="Bad" xfId="14" builtinId="27" customBuiltin="1"/>
    <cellStyle name="Bold/Border" xfId="122" xr:uid="{00000000-0005-0000-0000-000065000000}"/>
    <cellStyle name="Bullet" xfId="123" xr:uid="{00000000-0005-0000-0000-000066000000}"/>
    <cellStyle name="Calculation" xfId="17" builtinId="22" customBuiltin="1"/>
    <cellStyle name="Cancel 2 2" xfId="124" xr:uid="{00000000-0005-0000-0000-000068000000}"/>
    <cellStyle name="Check Cell" xfId="19" builtinId="23" customBuiltin="1"/>
    <cellStyle name="Comma" xfId="2" builtinId="3"/>
    <cellStyle name="Comma [0]" xfId="62" builtinId="6"/>
    <cellStyle name="Comma [0] 2" xfId="99" xr:uid="{00000000-0005-0000-0000-00006C000000}"/>
    <cellStyle name="Comma [0] 2 2" xfId="183" xr:uid="{00000000-0005-0000-0000-00006D000000}"/>
    <cellStyle name="Comma [0] 3" xfId="110" xr:uid="{00000000-0005-0000-0000-00006E000000}"/>
    <cellStyle name="Comma [0] 4" xfId="68" xr:uid="{00000000-0005-0000-0000-00006F000000}"/>
    <cellStyle name="Comma [0] 4 2" xfId="244" xr:uid="{00000000-0005-0000-0000-000070000000}"/>
    <cellStyle name="Comma 10" xfId="115" xr:uid="{00000000-0005-0000-0000-000071000000}"/>
    <cellStyle name="Comma 11" xfId="113" xr:uid="{00000000-0005-0000-0000-000072000000}"/>
    <cellStyle name="Comma 12" xfId="108" xr:uid="{00000000-0005-0000-0000-000073000000}"/>
    <cellStyle name="Comma 13" xfId="105" xr:uid="{00000000-0005-0000-0000-000074000000}"/>
    <cellStyle name="Comma 14" xfId="106" xr:uid="{00000000-0005-0000-0000-000075000000}"/>
    <cellStyle name="Comma 15" xfId="114" xr:uid="{00000000-0005-0000-0000-000076000000}"/>
    <cellStyle name="Comma 16" xfId="109" xr:uid="{00000000-0005-0000-0000-000077000000}"/>
    <cellStyle name="Comma 17" xfId="67" xr:uid="{00000000-0005-0000-0000-000078000000}"/>
    <cellStyle name="Comma 17 2" xfId="245" xr:uid="{00000000-0005-0000-0000-000079000000}"/>
    <cellStyle name="Comma 18" xfId="117" xr:uid="{00000000-0005-0000-0000-00007A000000}"/>
    <cellStyle name="Comma 18 2" xfId="246" xr:uid="{00000000-0005-0000-0000-00007B000000}"/>
    <cellStyle name="Comma 19" xfId="156" xr:uid="{00000000-0005-0000-0000-00007C000000}"/>
    <cellStyle name="Comma 19 2" xfId="247" xr:uid="{00000000-0005-0000-0000-00007D000000}"/>
    <cellStyle name="Comma 2" xfId="63" xr:uid="{00000000-0005-0000-0000-00007E000000}"/>
    <cellStyle name="Comma 2 2" xfId="100" xr:uid="{00000000-0005-0000-0000-00007F000000}"/>
    <cellStyle name="Comma 2 2 2" xfId="125" xr:uid="{00000000-0005-0000-0000-000080000000}"/>
    <cellStyle name="Comma 2 2 3" xfId="249" xr:uid="{00000000-0005-0000-0000-000081000000}"/>
    <cellStyle name="Comma 2 3" xfId="118" xr:uid="{00000000-0005-0000-0000-000082000000}"/>
    <cellStyle name="Comma 2 4" xfId="248" xr:uid="{00000000-0005-0000-0000-000083000000}"/>
    <cellStyle name="Comma 20" xfId="203" xr:uid="{00000000-0005-0000-0000-000084000000}"/>
    <cellStyle name="Comma 20 2" xfId="250" xr:uid="{00000000-0005-0000-0000-000085000000}"/>
    <cellStyle name="Comma 21" xfId="134" xr:uid="{00000000-0005-0000-0000-000086000000}"/>
    <cellStyle name="Comma 21 2" xfId="251" xr:uid="{00000000-0005-0000-0000-000087000000}"/>
    <cellStyle name="Comma 22" xfId="201" xr:uid="{00000000-0005-0000-0000-000088000000}"/>
    <cellStyle name="Comma 22 2" xfId="252" xr:uid="{00000000-0005-0000-0000-000089000000}"/>
    <cellStyle name="Comma 23" xfId="197" xr:uid="{00000000-0005-0000-0000-00008A000000}"/>
    <cellStyle name="Comma 23 2" xfId="253" xr:uid="{00000000-0005-0000-0000-00008B000000}"/>
    <cellStyle name="Comma 24" xfId="204" xr:uid="{00000000-0005-0000-0000-00008C000000}"/>
    <cellStyle name="Comma 24 2" xfId="254" xr:uid="{00000000-0005-0000-0000-00008D000000}"/>
    <cellStyle name="Comma 25" xfId="195" xr:uid="{00000000-0005-0000-0000-00008E000000}"/>
    <cellStyle name="Comma 25 2" xfId="255" xr:uid="{00000000-0005-0000-0000-00008F000000}"/>
    <cellStyle name="Comma 26" xfId="198" xr:uid="{00000000-0005-0000-0000-000090000000}"/>
    <cellStyle name="Comma 26 2" xfId="256" xr:uid="{00000000-0005-0000-0000-000091000000}"/>
    <cellStyle name="Comma 27" xfId="206" xr:uid="{00000000-0005-0000-0000-000092000000}"/>
    <cellStyle name="Comma 27 2" xfId="257" xr:uid="{00000000-0005-0000-0000-000093000000}"/>
    <cellStyle name="Comma 28" xfId="298" xr:uid="{00000000-0005-0000-0000-000094000000}"/>
    <cellStyle name="Comma 29" xfId="301" xr:uid="{00000000-0005-0000-0000-000095000000}"/>
    <cellStyle name="Comma 3" xfId="82" xr:uid="{00000000-0005-0000-0000-000096000000}"/>
    <cellStyle name="Comma 3 2" xfId="127" xr:uid="{00000000-0005-0000-0000-000097000000}"/>
    <cellStyle name="Comma 3 2 2" xfId="193" xr:uid="{00000000-0005-0000-0000-000098000000}"/>
    <cellStyle name="Comma 3 3" xfId="126" xr:uid="{00000000-0005-0000-0000-000099000000}"/>
    <cellStyle name="Comma 30" xfId="303" xr:uid="{00000000-0005-0000-0000-00009A000000}"/>
    <cellStyle name="Comma 31" xfId="305" xr:uid="{00000000-0005-0000-0000-00009B000000}"/>
    <cellStyle name="Comma 32" xfId="307" xr:uid="{00000000-0005-0000-0000-00009C000000}"/>
    <cellStyle name="Comma 33" xfId="309" xr:uid="{00000000-0005-0000-0000-00009D000000}"/>
    <cellStyle name="Comma 34" xfId="311" xr:uid="{00000000-0005-0000-0000-00009E000000}"/>
    <cellStyle name="Comma 35" xfId="313" xr:uid="{00000000-0005-0000-0000-00009F000000}"/>
    <cellStyle name="Comma 36" xfId="315" xr:uid="{00000000-0005-0000-0000-0000A0000000}"/>
    <cellStyle name="Comma 37" xfId="317" xr:uid="{00000000-0005-0000-0000-0000A1000000}"/>
    <cellStyle name="Comma 38" xfId="319" xr:uid="{00000000-0005-0000-0000-0000A2000000}"/>
    <cellStyle name="Comma 39" xfId="321" xr:uid="{00000000-0005-0000-0000-0000A3000000}"/>
    <cellStyle name="Comma 4" xfId="102" xr:uid="{00000000-0005-0000-0000-0000A4000000}"/>
    <cellStyle name="Comma 40" xfId="323" xr:uid="{00000000-0005-0000-0000-0000A5000000}"/>
    <cellStyle name="Comma 41" xfId="325" xr:uid="{00000000-0005-0000-0000-0000A6000000}"/>
    <cellStyle name="Comma 5" xfId="104" xr:uid="{00000000-0005-0000-0000-0000A7000000}"/>
    <cellStyle name="Comma 6" xfId="111" xr:uid="{00000000-0005-0000-0000-0000A8000000}"/>
    <cellStyle name="Comma 7" xfId="112" xr:uid="{00000000-0005-0000-0000-0000A9000000}"/>
    <cellStyle name="Comma 8" xfId="103" xr:uid="{00000000-0005-0000-0000-0000AA000000}"/>
    <cellStyle name="Comma 9" xfId="107" xr:uid="{00000000-0005-0000-0000-0000AB000000}"/>
    <cellStyle name="Comma0 - Modelo1" xfId="129" xr:uid="{00000000-0005-0000-0000-0000AC000000}"/>
    <cellStyle name="Comma0 - Style1" xfId="130" xr:uid="{00000000-0005-0000-0000-0000AD000000}"/>
    <cellStyle name="Comma1 - Modelo2" xfId="131" xr:uid="{00000000-0005-0000-0000-0000AE000000}"/>
    <cellStyle name="Comma1 - Style2" xfId="132" xr:uid="{00000000-0005-0000-0000-0000AF000000}"/>
    <cellStyle name="CommaRounded" xfId="133" xr:uid="{00000000-0005-0000-0000-0000B0000000}"/>
    <cellStyle name="Currency" xfId="3" builtinId="4"/>
    <cellStyle name="Currency [0]" xfId="326" builtinId="7"/>
    <cellStyle name="Currency 2" xfId="83" xr:uid="{00000000-0005-0000-0000-0000B2000000}"/>
    <cellStyle name="Currency 2 2" xfId="135" xr:uid="{00000000-0005-0000-0000-0000B3000000}"/>
    <cellStyle name="Currency 2 3" xfId="136" xr:uid="{00000000-0005-0000-0000-0000B4000000}"/>
    <cellStyle name="Currency 2_Sheet1" xfId="137" xr:uid="{00000000-0005-0000-0000-0000B5000000}"/>
    <cellStyle name="Dash" xfId="138" xr:uid="{00000000-0005-0000-0000-0000B6000000}"/>
    <cellStyle name="Dia" xfId="139" xr:uid="{00000000-0005-0000-0000-0000B7000000}"/>
    <cellStyle name="Encabez1" xfId="140" xr:uid="{00000000-0005-0000-0000-0000B8000000}"/>
    <cellStyle name="Encabez2" xfId="141" xr:uid="{00000000-0005-0000-0000-0000B9000000}"/>
    <cellStyle name="Explanatory Text" xfId="21" builtinId="53" customBuiltin="1"/>
    <cellStyle name="F2" xfId="142" xr:uid="{00000000-0005-0000-0000-0000BB000000}"/>
    <cellStyle name="F3" xfId="143" xr:uid="{00000000-0005-0000-0000-0000BC000000}"/>
    <cellStyle name="F4" xfId="144" xr:uid="{00000000-0005-0000-0000-0000BD000000}"/>
    <cellStyle name="F5" xfId="145" xr:uid="{00000000-0005-0000-0000-0000BE000000}"/>
    <cellStyle name="F6" xfId="146" xr:uid="{00000000-0005-0000-0000-0000BF000000}"/>
    <cellStyle name="F7" xfId="147" xr:uid="{00000000-0005-0000-0000-0000C0000000}"/>
    <cellStyle name="F8" xfId="148" xr:uid="{00000000-0005-0000-0000-0000C1000000}"/>
    <cellStyle name="Fijo" xfId="149" xr:uid="{00000000-0005-0000-0000-0000C2000000}"/>
    <cellStyle name="Financiero" xfId="150" xr:uid="{00000000-0005-0000-0000-0000C3000000}"/>
    <cellStyle name="Good" xfId="13" builtinId="26" customBuiltin="1"/>
    <cellStyle name="Heading 1" xfId="9" builtinId="16" customBuiltin="1"/>
    <cellStyle name="Heading 2" xfId="10" builtinId="17" customBuiltin="1"/>
    <cellStyle name="Heading 3" xfId="11" builtinId="18" customBuiltin="1"/>
    <cellStyle name="Heading 3 2" xfId="180" xr:uid="{00000000-0005-0000-0000-0000C8000000}"/>
    <cellStyle name="Heading 4" xfId="12" builtinId="19" customBuiltin="1"/>
    <cellStyle name="Heading 4 2" xfId="181" xr:uid="{00000000-0005-0000-0000-0000CA000000}"/>
    <cellStyle name="Hyperlink" xfId="4" builtinId="8"/>
    <cellStyle name="Input" xfId="5" builtinId="20" customBuiltin="1"/>
    <cellStyle name="Input 2" xfId="84" xr:uid="{00000000-0005-0000-0000-0000CD000000}"/>
    <cellStyle name="Linked Cell" xfId="18" builtinId="24" customBuiltin="1"/>
    <cellStyle name="Millares [0]_10 AVERIAS MASIVAS + ANT" xfId="151" xr:uid="{00000000-0005-0000-0000-0000CF000000}"/>
    <cellStyle name="Millares_10 AVERIAS MASIVAS + ANT" xfId="152" xr:uid="{00000000-0005-0000-0000-0000D0000000}"/>
    <cellStyle name="Moneda [0]_10 AVERIAS MASIVAS + ANT" xfId="153" xr:uid="{00000000-0005-0000-0000-0000D1000000}"/>
    <cellStyle name="Moneda_10 AVERIAS MASIVAS + ANT" xfId="154" xr:uid="{00000000-0005-0000-0000-0000D2000000}"/>
    <cellStyle name="Neutral" xfId="15" builtinId="28" customBuiltin="1"/>
    <cellStyle name="Normal" xfId="0" builtinId="0"/>
    <cellStyle name="Normal - Style1" xfId="155" xr:uid="{00000000-0005-0000-0000-0000D5000000}"/>
    <cellStyle name="Normal 10" xfId="128" xr:uid="{00000000-0005-0000-0000-0000D6000000}"/>
    <cellStyle name="Normal 10 2" xfId="258" xr:uid="{00000000-0005-0000-0000-0000D7000000}"/>
    <cellStyle name="Normal 11" xfId="200" xr:uid="{00000000-0005-0000-0000-0000D8000000}"/>
    <cellStyle name="Normal 11 2" xfId="259" xr:uid="{00000000-0005-0000-0000-0000D9000000}"/>
    <cellStyle name="Normal 12" xfId="196" xr:uid="{00000000-0005-0000-0000-0000DA000000}"/>
    <cellStyle name="Normal 12 2" xfId="260" xr:uid="{00000000-0005-0000-0000-0000DB000000}"/>
    <cellStyle name="Normal 13" xfId="199" xr:uid="{00000000-0005-0000-0000-0000DC000000}"/>
    <cellStyle name="Normal 13 2" xfId="261" xr:uid="{00000000-0005-0000-0000-0000DD000000}"/>
    <cellStyle name="Normal 14" xfId="194" xr:uid="{00000000-0005-0000-0000-0000DE000000}"/>
    <cellStyle name="Normal 14 2" xfId="262" xr:uid="{00000000-0005-0000-0000-0000DF000000}"/>
    <cellStyle name="Normal 15" xfId="189" xr:uid="{00000000-0005-0000-0000-0000E0000000}"/>
    <cellStyle name="Normal 15 2" xfId="263" xr:uid="{00000000-0005-0000-0000-0000E1000000}"/>
    <cellStyle name="Normal 16" xfId="205" xr:uid="{00000000-0005-0000-0000-0000E2000000}"/>
    <cellStyle name="Normal 16 2" xfId="264" xr:uid="{00000000-0005-0000-0000-0000E3000000}"/>
    <cellStyle name="Normal 17" xfId="184" xr:uid="{00000000-0005-0000-0000-0000E4000000}"/>
    <cellStyle name="Normal 17 2" xfId="265" xr:uid="{00000000-0005-0000-0000-0000E5000000}"/>
    <cellStyle name="Normal 18" xfId="207" xr:uid="{00000000-0005-0000-0000-0000E6000000}"/>
    <cellStyle name="Normal 19" xfId="288" xr:uid="{00000000-0005-0000-0000-0000E7000000}"/>
    <cellStyle name="Normal 2" xfId="59" xr:uid="{00000000-0005-0000-0000-0000E8000000}"/>
    <cellStyle name="Normal 2 2" xfId="61" xr:uid="{00000000-0005-0000-0000-0000E9000000}"/>
    <cellStyle name="Normal 2 2 2" xfId="64" xr:uid="{00000000-0005-0000-0000-0000EA000000}"/>
    <cellStyle name="Normal 2 3" xfId="157" xr:uid="{00000000-0005-0000-0000-0000EB000000}"/>
    <cellStyle name="Normal 2_JE_2010-10-31_0000327287" xfId="158" xr:uid="{00000000-0005-0000-0000-0000EC000000}"/>
    <cellStyle name="Normal 20" xfId="289" xr:uid="{00000000-0005-0000-0000-0000ED000000}"/>
    <cellStyle name="Normal 21" xfId="290" xr:uid="{00000000-0005-0000-0000-0000EE000000}"/>
    <cellStyle name="Normal 22" xfId="291" xr:uid="{00000000-0005-0000-0000-0000EF000000}"/>
    <cellStyle name="Normal 23" xfId="292" xr:uid="{00000000-0005-0000-0000-0000F0000000}"/>
    <cellStyle name="Normal 24" xfId="293" xr:uid="{00000000-0005-0000-0000-0000F1000000}"/>
    <cellStyle name="Normal 25" xfId="294" xr:uid="{00000000-0005-0000-0000-0000F2000000}"/>
    <cellStyle name="Normal 26" xfId="185" xr:uid="{00000000-0005-0000-0000-0000F3000000}"/>
    <cellStyle name="Normal 26 2" xfId="266" xr:uid="{00000000-0005-0000-0000-0000F4000000}"/>
    <cellStyle name="Normal 27" xfId="295" xr:uid="{00000000-0005-0000-0000-0000F5000000}"/>
    <cellStyle name="Normal 276" xfId="299" xr:uid="{00000000-0005-0000-0000-0000F6000000}"/>
    <cellStyle name="Normal 28" xfId="279" xr:uid="{00000000-0005-0000-0000-0000F7000000}"/>
    <cellStyle name="Normal 29" xfId="280" xr:uid="{00000000-0005-0000-0000-0000F8000000}"/>
    <cellStyle name="Normal 3" xfId="60" xr:uid="{00000000-0005-0000-0000-0000F9000000}"/>
    <cellStyle name="Normal 3 2" xfId="98" xr:uid="{00000000-0005-0000-0000-0000FA000000}"/>
    <cellStyle name="Normal 3 2 2" xfId="268" xr:uid="{00000000-0005-0000-0000-0000FB000000}"/>
    <cellStyle name="Normal 3 3" xfId="159" xr:uid="{00000000-0005-0000-0000-0000FC000000}"/>
    <cellStyle name="Normal 3 4" xfId="267" xr:uid="{00000000-0005-0000-0000-0000FD000000}"/>
    <cellStyle name="Normal 30" xfId="281" xr:uid="{00000000-0005-0000-0000-0000FE000000}"/>
    <cellStyle name="Normal 31" xfId="282" xr:uid="{00000000-0005-0000-0000-0000FF000000}"/>
    <cellStyle name="Normal 32" xfId="283" xr:uid="{00000000-0005-0000-0000-000000010000}"/>
    <cellStyle name="Normal 33" xfId="284" xr:uid="{00000000-0005-0000-0000-000001010000}"/>
    <cellStyle name="Normal 34" xfId="285" xr:uid="{00000000-0005-0000-0000-000002010000}"/>
    <cellStyle name="Normal 35" xfId="287" xr:uid="{00000000-0005-0000-0000-000003010000}"/>
    <cellStyle name="Normal 36" xfId="286" xr:uid="{00000000-0005-0000-0000-000004010000}"/>
    <cellStyle name="Normal 37" xfId="186" xr:uid="{00000000-0005-0000-0000-000005010000}"/>
    <cellStyle name="Normal 37 2" xfId="269" xr:uid="{00000000-0005-0000-0000-000006010000}"/>
    <cellStyle name="Normal 38" xfId="296" xr:uid="{00000000-0005-0000-0000-000007010000}"/>
    <cellStyle name="Normal 39" xfId="297" xr:uid="{00000000-0005-0000-0000-000008010000}"/>
    <cellStyle name="Normal 4" xfId="65" xr:uid="{00000000-0005-0000-0000-000009010000}"/>
    <cellStyle name="Normal 4 2" xfId="101" xr:uid="{00000000-0005-0000-0000-00000A010000}"/>
    <cellStyle name="Normal 4 2 2" xfId="271" xr:uid="{00000000-0005-0000-0000-00000B010000}"/>
    <cellStyle name="Normal 4 3" xfId="178" xr:uid="{00000000-0005-0000-0000-00000C010000}"/>
    <cellStyle name="Normal 4 4" xfId="270" xr:uid="{00000000-0005-0000-0000-00000D010000}"/>
    <cellStyle name="Normal 40" xfId="300" xr:uid="{00000000-0005-0000-0000-00000E010000}"/>
    <cellStyle name="Normal 41" xfId="302" xr:uid="{00000000-0005-0000-0000-00000F010000}"/>
    <cellStyle name="Normal 42" xfId="304" xr:uid="{00000000-0005-0000-0000-000010010000}"/>
    <cellStyle name="Normal 43" xfId="306" xr:uid="{00000000-0005-0000-0000-000011010000}"/>
    <cellStyle name="Normal 44" xfId="308" xr:uid="{00000000-0005-0000-0000-000012010000}"/>
    <cellStyle name="Normal 45" xfId="310" xr:uid="{00000000-0005-0000-0000-000013010000}"/>
    <cellStyle name="Normal 46" xfId="312" xr:uid="{00000000-0005-0000-0000-000014010000}"/>
    <cellStyle name="Normal 47" xfId="314" xr:uid="{00000000-0005-0000-0000-000015010000}"/>
    <cellStyle name="Normal 48" xfId="316" xr:uid="{00000000-0005-0000-0000-000016010000}"/>
    <cellStyle name="Normal 49" xfId="318" xr:uid="{00000000-0005-0000-0000-000017010000}"/>
    <cellStyle name="Normal 5" xfId="81" xr:uid="{00000000-0005-0000-0000-000018010000}"/>
    <cellStyle name="Normal 5 2" xfId="179" xr:uid="{00000000-0005-0000-0000-000019010000}"/>
    <cellStyle name="Normal 5 3" xfId="272" xr:uid="{00000000-0005-0000-0000-00001A010000}"/>
    <cellStyle name="Normal 50" xfId="320" xr:uid="{00000000-0005-0000-0000-00001B010000}"/>
    <cellStyle name="Normal 51" xfId="322" xr:uid="{00000000-0005-0000-0000-00001C010000}"/>
    <cellStyle name="Normal 52" xfId="324" xr:uid="{00000000-0005-0000-0000-00001D010000}"/>
    <cellStyle name="Normal 6" xfId="66" xr:uid="{00000000-0005-0000-0000-00001E010000}"/>
    <cellStyle name="Normal 6 2" xfId="182" xr:uid="{00000000-0005-0000-0000-00001F010000}"/>
    <cellStyle name="Normal 6 3" xfId="273" xr:uid="{00000000-0005-0000-0000-000020010000}"/>
    <cellStyle name="Normal 7" xfId="116" xr:uid="{00000000-0005-0000-0000-000021010000}"/>
    <cellStyle name="Normal 7 2" xfId="274" xr:uid="{00000000-0005-0000-0000-000022010000}"/>
    <cellStyle name="Normal 74" xfId="187" xr:uid="{00000000-0005-0000-0000-000023010000}"/>
    <cellStyle name="Normal 74 2" xfId="275" xr:uid="{00000000-0005-0000-0000-000024010000}"/>
    <cellStyle name="Normal 8" xfId="169" xr:uid="{00000000-0005-0000-0000-000025010000}"/>
    <cellStyle name="Normal 8 2" xfId="276" xr:uid="{00000000-0005-0000-0000-000026010000}"/>
    <cellStyle name="Normal 9" xfId="202" xr:uid="{00000000-0005-0000-0000-000027010000}"/>
    <cellStyle name="Normal 9 2" xfId="277" xr:uid="{00000000-0005-0000-0000-000028010000}"/>
    <cellStyle name="Normal_2008 Q1 Variance Report" xfId="278" xr:uid="{00000000-0005-0000-0000-000029010000}"/>
    <cellStyle name="nPlosion" xfId="160" xr:uid="{00000000-0005-0000-0000-00002A010000}"/>
    <cellStyle name="Number" xfId="190" xr:uid="{00000000-0005-0000-0000-00002B010000}"/>
    <cellStyle name="nvision" xfId="161" xr:uid="{00000000-0005-0000-0000-00002C010000}"/>
    <cellStyle name="Output" xfId="16" builtinId="21" customBuiltin="1"/>
    <cellStyle name="PB Table Heading" xfId="162" xr:uid="{00000000-0005-0000-0000-00002E010000}"/>
    <cellStyle name="PB Table Highlight1" xfId="163" xr:uid="{00000000-0005-0000-0000-00002F010000}"/>
    <cellStyle name="PB Table Highlight2" xfId="164" xr:uid="{00000000-0005-0000-0000-000030010000}"/>
    <cellStyle name="PB Table Highlight3" xfId="165" xr:uid="{00000000-0005-0000-0000-000031010000}"/>
    <cellStyle name="PB Table Standard Row" xfId="166" xr:uid="{00000000-0005-0000-0000-000032010000}"/>
    <cellStyle name="PB Table Subtotal Row" xfId="167" xr:uid="{00000000-0005-0000-0000-000033010000}"/>
    <cellStyle name="PB Table Total Row" xfId="168" xr:uid="{00000000-0005-0000-0000-000034010000}"/>
    <cellStyle name="Percent" xfId="6" builtinId="5"/>
    <cellStyle name="Percent 2" xfId="85" xr:uid="{00000000-0005-0000-0000-000036010000}"/>
    <cellStyle name="Percent 2 2" xfId="170" xr:uid="{00000000-0005-0000-0000-000037010000}"/>
    <cellStyle name="Percent 2 3" xfId="171" xr:uid="{00000000-0005-0000-0000-000038010000}"/>
    <cellStyle name="PSChar" xfId="172" xr:uid="{00000000-0005-0000-0000-000039010000}"/>
    <cellStyle name="PSCustom" xfId="191" xr:uid="{00000000-0005-0000-0000-00003A010000}"/>
    <cellStyle name="PSDate" xfId="173" xr:uid="{00000000-0005-0000-0000-00003B010000}"/>
    <cellStyle name="PSDec" xfId="174" xr:uid="{00000000-0005-0000-0000-00003C010000}"/>
    <cellStyle name="PSHeading" xfId="175" xr:uid="{00000000-0005-0000-0000-00003D010000}"/>
    <cellStyle name="PSInt" xfId="176" xr:uid="{00000000-0005-0000-0000-00003E010000}"/>
    <cellStyle name="PSSpacer" xfId="177" xr:uid="{00000000-0005-0000-0000-00003F010000}"/>
    <cellStyle name="PSSum" xfId="192" xr:uid="{00000000-0005-0000-0000-000040010000}"/>
    <cellStyle name="r_Accretion " xfId="7" xr:uid="{00000000-0005-0000-0000-000041010000}"/>
    <cellStyle name="Report" xfId="188" xr:uid="{00000000-0005-0000-0000-000042010000}"/>
    <cellStyle name="Title" xfId="8" builtinId="15" customBuiltin="1"/>
    <cellStyle name="Total" xfId="22" builtinId="25" customBuiltin="1"/>
    <cellStyle name="Warning Text" xfId="20" builtinId="11" customBuilti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externalLink" Target="externalLinks/externalLink6.xml"/><Relationship Id="rId50"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5.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drawing1.xml><?xml version="1.0" encoding="utf-8"?>
<xdr:wsDr xmlns:xdr="http://schemas.openxmlformats.org/drawingml/2006/spreadsheetDrawing" xmlns:a="http://schemas.openxmlformats.org/drawingml/2006/main">
  <xdr:twoCellAnchor>
    <xdr:from>
      <xdr:col>6</xdr:col>
      <xdr:colOff>775606</xdr:colOff>
      <xdr:row>16</xdr:row>
      <xdr:rowOff>81642</xdr:rowOff>
    </xdr:from>
    <xdr:to>
      <xdr:col>6</xdr:col>
      <xdr:colOff>789213</xdr:colOff>
      <xdr:row>27</xdr:row>
      <xdr:rowOff>163285</xdr:rowOff>
    </xdr:to>
    <xdr:cxnSp macro="">
      <xdr:nvCxnSpPr>
        <xdr:cNvPr id="2" name="Straight Connector 1">
          <a:extLst>
            <a:ext uri="{FF2B5EF4-FFF2-40B4-BE49-F238E27FC236}">
              <a16:creationId xmlns:a16="http://schemas.microsoft.com/office/drawing/2014/main" id="{00000000-0008-0000-0600-000002000000}"/>
            </a:ext>
          </a:extLst>
        </xdr:cNvPr>
        <xdr:cNvCxnSpPr/>
      </xdr:nvCxnSpPr>
      <xdr:spPr>
        <a:xfrm flipH="1">
          <a:off x="9614806" y="2853417"/>
          <a:ext cx="13607" cy="186281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748394</xdr:colOff>
      <xdr:row>16</xdr:row>
      <xdr:rowOff>81642</xdr:rowOff>
    </xdr:from>
    <xdr:to>
      <xdr:col>6</xdr:col>
      <xdr:colOff>775607</xdr:colOff>
      <xdr:row>16</xdr:row>
      <xdr:rowOff>95249</xdr:rowOff>
    </xdr:to>
    <xdr:cxnSp macro="">
      <xdr:nvCxnSpPr>
        <xdr:cNvPr id="3" name="Straight Arrow Connector 2">
          <a:extLst>
            <a:ext uri="{FF2B5EF4-FFF2-40B4-BE49-F238E27FC236}">
              <a16:creationId xmlns:a16="http://schemas.microsoft.com/office/drawing/2014/main" id="{00000000-0008-0000-0600-000003000000}"/>
            </a:ext>
          </a:extLst>
        </xdr:cNvPr>
        <xdr:cNvCxnSpPr/>
      </xdr:nvCxnSpPr>
      <xdr:spPr>
        <a:xfrm flipH="1">
          <a:off x="8330294" y="2853417"/>
          <a:ext cx="1284513" cy="1360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748395</xdr:colOff>
      <xdr:row>27</xdr:row>
      <xdr:rowOff>122464</xdr:rowOff>
    </xdr:from>
    <xdr:to>
      <xdr:col>6</xdr:col>
      <xdr:colOff>775608</xdr:colOff>
      <xdr:row>27</xdr:row>
      <xdr:rowOff>136071</xdr:rowOff>
    </xdr:to>
    <xdr:cxnSp macro="">
      <xdr:nvCxnSpPr>
        <xdr:cNvPr id="4" name="Straight Arrow Connector 3">
          <a:extLst>
            <a:ext uri="{FF2B5EF4-FFF2-40B4-BE49-F238E27FC236}">
              <a16:creationId xmlns:a16="http://schemas.microsoft.com/office/drawing/2014/main" id="{00000000-0008-0000-0600-000004000000}"/>
            </a:ext>
          </a:extLst>
        </xdr:cNvPr>
        <xdr:cNvCxnSpPr/>
      </xdr:nvCxnSpPr>
      <xdr:spPr>
        <a:xfrm flipH="1">
          <a:off x="8330295" y="4675414"/>
          <a:ext cx="1284513" cy="1360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775606</xdr:colOff>
      <xdr:row>16</xdr:row>
      <xdr:rowOff>81642</xdr:rowOff>
    </xdr:from>
    <xdr:to>
      <xdr:col>6</xdr:col>
      <xdr:colOff>789213</xdr:colOff>
      <xdr:row>27</xdr:row>
      <xdr:rowOff>163285</xdr:rowOff>
    </xdr:to>
    <xdr:cxnSp macro="">
      <xdr:nvCxnSpPr>
        <xdr:cNvPr id="8" name="Straight Connector 7">
          <a:extLst>
            <a:ext uri="{FF2B5EF4-FFF2-40B4-BE49-F238E27FC236}">
              <a16:creationId xmlns:a16="http://schemas.microsoft.com/office/drawing/2014/main" id="{00000000-0008-0000-0600-000008000000}"/>
            </a:ext>
          </a:extLst>
        </xdr:cNvPr>
        <xdr:cNvCxnSpPr/>
      </xdr:nvCxnSpPr>
      <xdr:spPr>
        <a:xfrm flipH="1">
          <a:off x="9614806" y="2691492"/>
          <a:ext cx="13607" cy="186281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748394</xdr:colOff>
      <xdr:row>16</xdr:row>
      <xdr:rowOff>81642</xdr:rowOff>
    </xdr:from>
    <xdr:to>
      <xdr:col>6</xdr:col>
      <xdr:colOff>775607</xdr:colOff>
      <xdr:row>16</xdr:row>
      <xdr:rowOff>95249</xdr:rowOff>
    </xdr:to>
    <xdr:cxnSp macro="">
      <xdr:nvCxnSpPr>
        <xdr:cNvPr id="9" name="Straight Arrow Connector 8">
          <a:extLst>
            <a:ext uri="{FF2B5EF4-FFF2-40B4-BE49-F238E27FC236}">
              <a16:creationId xmlns:a16="http://schemas.microsoft.com/office/drawing/2014/main" id="{00000000-0008-0000-0600-000009000000}"/>
            </a:ext>
          </a:extLst>
        </xdr:cNvPr>
        <xdr:cNvCxnSpPr/>
      </xdr:nvCxnSpPr>
      <xdr:spPr>
        <a:xfrm flipH="1">
          <a:off x="8330294" y="2691492"/>
          <a:ext cx="1284513" cy="1360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748395</xdr:colOff>
      <xdr:row>27</xdr:row>
      <xdr:rowOff>122464</xdr:rowOff>
    </xdr:from>
    <xdr:to>
      <xdr:col>6</xdr:col>
      <xdr:colOff>775608</xdr:colOff>
      <xdr:row>27</xdr:row>
      <xdr:rowOff>136071</xdr:rowOff>
    </xdr:to>
    <xdr:cxnSp macro="">
      <xdr:nvCxnSpPr>
        <xdr:cNvPr id="10" name="Straight Arrow Connector 9">
          <a:extLst>
            <a:ext uri="{FF2B5EF4-FFF2-40B4-BE49-F238E27FC236}">
              <a16:creationId xmlns:a16="http://schemas.microsoft.com/office/drawing/2014/main" id="{00000000-0008-0000-0600-00000A000000}"/>
            </a:ext>
          </a:extLst>
        </xdr:cNvPr>
        <xdr:cNvCxnSpPr/>
      </xdr:nvCxnSpPr>
      <xdr:spPr>
        <a:xfrm flipH="1">
          <a:off x="8330295" y="4513489"/>
          <a:ext cx="1284513" cy="13607"/>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hedule%20II-E%20Workpapers/WP%20II-E-2%20(Taxes%20Other%20Than%20Income)%202024T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Schedule%20II-E%20Workpapers/WP%20II-E-3%20(2024TY).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Schedules%20&amp;%20Schedule%20Workpapers/Schedule%20Headings.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chedules%20&amp;%20Schedule%20Workpapers/Section%20I%20(Summary)/Schedule%20I-A.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F%20(Functionalization%20Factors)/Schedule%20II-F.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Schedules%20&amp;%20Schedule%20Workpapers/Section%20II%20(Test%20Year%20Data)/Schedule%20B%20(Rate%20Base)/Schedule%20II-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 Valorem Taxes Summary (WP1)"/>
      <sheetName val="Ad Valorem Tax Calc (WP2)"/>
      <sheetName val="TGMT (WP3)"/>
      <sheetName val="TGMT (WP3 p2)"/>
      <sheetName val="Payroll Rates (WP4)"/>
      <sheetName val="PR Tax Returns (WP5)"/>
      <sheetName val="LGR - kWh (WP6)"/>
      <sheetName val="WP II-E-2 (Taxes Other Than Inc"/>
    </sheetNames>
    <sheetDataSet>
      <sheetData sheetId="0">
        <row r="23">
          <cell r="F23">
            <v>283553736.94</v>
          </cell>
        </row>
      </sheetData>
      <sheetData sheetId="1"/>
      <sheetData sheetId="2">
        <row r="28">
          <cell r="D28">
            <v>38283647</v>
          </cell>
          <cell r="E28">
            <v>6129510.8200000003</v>
          </cell>
          <cell r="F28">
            <v>520027.59</v>
          </cell>
          <cell r="G28">
            <v>10989.64</v>
          </cell>
          <cell r="H28">
            <v>6660528.0499999998</v>
          </cell>
          <cell r="I28">
            <v>29832300.199999999</v>
          </cell>
          <cell r="J28">
            <v>0</v>
          </cell>
          <cell r="K28">
            <v>29832300.199999999</v>
          </cell>
          <cell r="L28">
            <v>1151630.57</v>
          </cell>
          <cell r="M28">
            <v>639188.18000000005</v>
          </cell>
        </row>
      </sheetData>
      <sheetData sheetId="3"/>
      <sheetData sheetId="4">
        <row r="19">
          <cell r="C19">
            <v>20953312.190000001</v>
          </cell>
          <cell r="K19">
            <v>20367418.104483142</v>
          </cell>
        </row>
        <row r="20">
          <cell r="C20">
            <v>416408.25</v>
          </cell>
          <cell r="K20">
            <v>442124.46971769969</v>
          </cell>
        </row>
        <row r="21">
          <cell r="C21">
            <v>473446.80000000005</v>
          </cell>
          <cell r="K21">
            <v>420278.09325507493</v>
          </cell>
        </row>
      </sheetData>
      <sheetData sheetId="5"/>
      <sheetData sheetId="6">
        <row r="44">
          <cell r="D44">
            <v>300041884.94999999</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p Income"/>
      <sheetName val="Op ETR"/>
      <sheetName val="NonOp Adj"/>
      <sheetName val="Ret &amp; Int"/>
      <sheetName val="WP II-E-3 (2024TY)"/>
    </sheetNames>
    <sheetDataSet>
      <sheetData sheetId="0">
        <row r="16">
          <cell r="E16">
            <v>176917597.8900001</v>
          </cell>
        </row>
        <row r="17">
          <cell r="E17">
            <v>31866850.189999998</v>
          </cell>
        </row>
        <row r="18">
          <cell r="E18">
            <v>-479524.92</v>
          </cell>
        </row>
        <row r="21">
          <cell r="E21">
            <v>902103492.5999999</v>
          </cell>
        </row>
      </sheetData>
      <sheetData sheetId="1">
        <row r="15">
          <cell r="F15">
            <v>4310520.8099999996</v>
          </cell>
        </row>
        <row r="18">
          <cell r="F18">
            <v>267483.76</v>
          </cell>
        </row>
        <row r="19">
          <cell r="F19">
            <v>1524901.52</v>
          </cell>
        </row>
        <row r="21">
          <cell r="F21">
            <v>-14221770.000000002</v>
          </cell>
        </row>
        <row r="24">
          <cell r="F24">
            <v>5716651</v>
          </cell>
        </row>
        <row r="29">
          <cell r="G29">
            <v>-16233756.41</v>
          </cell>
        </row>
        <row r="30">
          <cell r="G30">
            <v>-36089813.840000004</v>
          </cell>
        </row>
        <row r="31">
          <cell r="G31">
            <v>1608928.6</v>
          </cell>
        </row>
        <row r="32">
          <cell r="G32">
            <v>884662.91</v>
          </cell>
        </row>
        <row r="36">
          <cell r="G36">
            <v>-479524.92</v>
          </cell>
        </row>
        <row r="37">
          <cell r="G37">
            <v>-79367.460000000006</v>
          </cell>
        </row>
        <row r="38">
          <cell r="G38">
            <v>-19042</v>
          </cell>
        </row>
        <row r="39">
          <cell r="G39">
            <v>856722.03</v>
          </cell>
        </row>
        <row r="43">
          <cell r="G43">
            <v>176438072.97</v>
          </cell>
        </row>
      </sheetData>
      <sheetData sheetId="2"/>
      <sheetData sheetId="3">
        <row r="23">
          <cell r="D23">
            <v>1555644227.1300001</v>
          </cell>
          <cell r="E23">
            <v>421070528.94999999</v>
          </cell>
          <cell r="G23">
            <v>827295386.49000001</v>
          </cell>
          <cell r="H23">
            <v>82898105.900000006</v>
          </cell>
          <cell r="I23">
            <v>690085.35</v>
          </cell>
          <cell r="J23">
            <v>910883577.74000001</v>
          </cell>
          <cell r="K23">
            <v>1009018361.9299999</v>
          </cell>
          <cell r="L23">
            <v>6673855.4100000001</v>
          </cell>
          <cell r="M23">
            <v>1015692217.3399999</v>
          </cell>
          <cell r="N23">
            <v>32952955.559999999</v>
          </cell>
          <cell r="O23">
            <v>17186005.440000001</v>
          </cell>
        </row>
        <row r="26">
          <cell r="D26">
            <v>653540734.52999997</v>
          </cell>
          <cell r="E26">
            <v>66226887.5</v>
          </cell>
          <cell r="G26">
            <v>301237409.81</v>
          </cell>
          <cell r="H26">
            <v>30185120.219999999</v>
          </cell>
          <cell r="I26">
            <v>251276.06</v>
          </cell>
          <cell r="K26">
            <v>367406953.74000001</v>
          </cell>
          <cell r="L26">
            <v>2430105.3199999998</v>
          </cell>
          <cell r="N26">
            <v>11998934.289999999</v>
          </cell>
          <cell r="O26">
            <v>6257822.5999999996</v>
          </cell>
        </row>
      </sheetData>
      <sheetData sheetId="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Data"/>
      <sheetName val="Schedule Sponsors"/>
    </sheetNames>
    <sheetDataSet>
      <sheetData sheetId="0">
        <row r="2">
          <cell r="A2" t="str">
            <v>ONCOR ELECTRIC DELIVERY COMPANY LLC</v>
          </cell>
        </row>
        <row r="4">
          <cell r="A4" t="str">
            <v>TEST YEAR ENDING DECEMBER 31, 2024</v>
          </cell>
        </row>
        <row r="9">
          <cell r="A9" t="str">
            <v>2025 RATE CASE</v>
          </cell>
        </row>
      </sheetData>
      <sheetData sheetId="1">
        <row r="82">
          <cell r="A82" t="str">
            <v xml:space="preserve">II-E-1   </v>
          </cell>
          <cell r="B82" t="str">
            <v>DEPRECIATION EXPENSE</v>
          </cell>
          <cell r="D82" t="str">
            <v>R. PRACHYL &amp;&amp; D. WATSON</v>
          </cell>
        </row>
        <row r="83">
          <cell r="A83" t="str">
            <v xml:space="preserve">II-E-2   </v>
          </cell>
          <cell r="B83" t="str">
            <v>TAXES OTHER THAN FEDERAL INCOME TAXES</v>
          </cell>
          <cell r="D83" t="str">
            <v>B. L. CLUTTER</v>
          </cell>
        </row>
        <row r="84">
          <cell r="A84" t="str">
            <v xml:space="preserve">II-E-2.1  </v>
          </cell>
          <cell r="B84" t="str">
            <v>AD VALOREM TAXES &amp;&amp; PLANT BALANCES</v>
          </cell>
          <cell r="D84" t="str">
            <v>B. L. CLUTTER</v>
          </cell>
        </row>
        <row r="85">
          <cell r="A85" t="str">
            <v xml:space="preserve">II-E-3   </v>
          </cell>
          <cell r="B85" t="str">
            <v>FEDERAL INCOME TAXES</v>
          </cell>
          <cell r="D85" t="str">
            <v>B. L. CLUTTER</v>
          </cell>
        </row>
        <row r="86">
          <cell r="A86" t="str">
            <v xml:space="preserve">II-E-3.1  </v>
          </cell>
          <cell r="B86" t="str">
            <v>RECONCILIATION OF TEST YEAR BOOK NET INCOME TO TAXABLE NET INCOME</v>
          </cell>
          <cell r="D86" t="str">
            <v>B. L. CLUTTER</v>
          </cell>
        </row>
        <row r="87">
          <cell r="A87" t="str">
            <v xml:space="preserve">II-E-3.2  </v>
          </cell>
          <cell r="B87" t="str">
            <v>RECONCILIATION OF TIMING DIFFERENCES</v>
          </cell>
          <cell r="D87" t="str">
            <v>B. L. CLUTTER</v>
          </cell>
        </row>
        <row r="88">
          <cell r="A88" t="str">
            <v xml:space="preserve">II-E-3.3  </v>
          </cell>
          <cell r="B88" t="str">
            <v>PLANT ADJUSTMENTS</v>
          </cell>
          <cell r="D88" t="str">
            <v>B. L. CLUTTER</v>
          </cell>
        </row>
        <row r="89">
          <cell r="A89" t="str">
            <v xml:space="preserve">II-E-3.4  </v>
          </cell>
          <cell r="B89" t="str">
            <v>CONSOLIDATION/INTER-CORPORATE TAX ALLOCATION</v>
          </cell>
          <cell r="D89" t="str">
            <v>B. L. CLUTTER</v>
          </cell>
        </row>
        <row r="90">
          <cell r="A90" t="str">
            <v xml:space="preserve">II-E-3.5  </v>
          </cell>
          <cell r="B90" t="str">
            <v>ADFIT</v>
          </cell>
        </row>
        <row r="91">
          <cell r="A91" t="str">
            <v xml:space="preserve">II-E-3.6  </v>
          </cell>
          <cell r="B91" t="str">
            <v>ADFIT – DESCRIPTION OF TIMING DIFFERENCES</v>
          </cell>
        </row>
        <row r="92">
          <cell r="A92" t="str">
            <v xml:space="preserve">II-E-3.7  </v>
          </cell>
          <cell r="B92" t="str">
            <v>ADJUSTMENTS TO ADFIT</v>
          </cell>
          <cell r="D92" t="str">
            <v>B. L. CLUTTER</v>
          </cell>
        </row>
        <row r="93">
          <cell r="A93" t="str">
            <v xml:space="preserve">II-E-3.8  </v>
          </cell>
          <cell r="B93" t="str">
            <v>ADFIT AND ITC – PLANT ADJUSTMENTS &amp;&amp; ALLOCATIONS</v>
          </cell>
          <cell r="D93" t="str">
            <v>B. L. CLUTTER</v>
          </cell>
        </row>
        <row r="94">
          <cell r="A94" t="str">
            <v xml:space="preserve">II-E-3.9  </v>
          </cell>
          <cell r="B94" t="str">
            <v>ANALYSIS OF ITCS</v>
          </cell>
          <cell r="D94" t="str">
            <v>B. L. CLUTTER</v>
          </cell>
        </row>
        <row r="95">
          <cell r="A95" t="str">
            <v xml:space="preserve">II-E-3.10  </v>
          </cell>
          <cell r="B95" t="str">
            <v>UTILIZED</v>
          </cell>
          <cell r="D95" t="str">
            <v>B. L. CLUTTER</v>
          </cell>
        </row>
        <row r="96">
          <cell r="A96" t="str">
            <v xml:space="preserve">II-E-3.11  </v>
          </cell>
          <cell r="B96" t="str">
            <v>GENERATED BUT NOT UTILIZED</v>
          </cell>
          <cell r="D96" t="str">
            <v>B. L. CLUTTER</v>
          </cell>
        </row>
        <row r="97">
          <cell r="A97" t="str">
            <v xml:space="preserve">II-E-3.12  </v>
          </cell>
          <cell r="B97" t="str">
            <v>UTILIZED – STAND ALONE BASIS</v>
          </cell>
          <cell r="D97" t="str">
            <v>B. L. CLUTTER</v>
          </cell>
        </row>
        <row r="98">
          <cell r="A98" t="str">
            <v xml:space="preserve">II-E-3.13  </v>
          </cell>
          <cell r="B98" t="str">
            <v>ITC ELECTION</v>
          </cell>
          <cell r="D98" t="str">
            <v>B. L. CLUTTER</v>
          </cell>
        </row>
        <row r="99">
          <cell r="A99" t="str">
            <v xml:space="preserve">II-E-3.14  </v>
          </cell>
          <cell r="B99" t="str">
            <v>FERC ACCOUNT 255 BALANCE</v>
          </cell>
          <cell r="D99" t="str">
            <v>B. L. CLUTTER</v>
          </cell>
        </row>
        <row r="100">
          <cell r="A100" t="str">
            <v xml:space="preserve">II-E-3.15  </v>
          </cell>
          <cell r="B100" t="str">
            <v>ANALYSIS OF TEST YEAR FIT &amp;&amp; REQUESTED FIT-TAX METHOD 2</v>
          </cell>
          <cell r="D100" t="str">
            <v>B. L. CLUTTER</v>
          </cell>
        </row>
        <row r="101">
          <cell r="A101" t="str">
            <v xml:space="preserve">II-E-3.16  </v>
          </cell>
          <cell r="B101" t="str">
            <v>ANALYSIS OF DEFERRED FIT</v>
          </cell>
          <cell r="D101" t="str">
            <v>B. L. CLUTTER</v>
          </cell>
        </row>
        <row r="102">
          <cell r="A102" t="str">
            <v xml:space="preserve">II-E-3.17  </v>
          </cell>
          <cell r="B102" t="str">
            <v>ANALYSIS OF ADDITIONAL DEPRECIATION REQUESTED</v>
          </cell>
          <cell r="D102" t="str">
            <v>B. L. CLUTTER</v>
          </cell>
        </row>
        <row r="103">
          <cell r="A103" t="str">
            <v xml:space="preserve">II-E-3.18  </v>
          </cell>
          <cell r="B103" t="str">
            <v>AMORTIZATION OF PROTECTED AND UNPROTECTED EXCESS DEFERRED TAXES</v>
          </cell>
          <cell r="D103" t="str">
            <v>B. L. CLUTTER</v>
          </cell>
        </row>
        <row r="104">
          <cell r="A104" t="str">
            <v xml:space="preserve">II-E-3.19  </v>
          </cell>
          <cell r="B104" t="str">
            <v>ANALYSIS OF EXCESS DEFERRED TAXES BY TIMING DIFFERENCE</v>
          </cell>
          <cell r="D104" t="str">
            <v>B. L. CLUTTER</v>
          </cell>
        </row>
        <row r="105">
          <cell r="A105" t="str">
            <v xml:space="preserve">II-E-3.20  </v>
          </cell>
          <cell r="B105" t="str">
            <v>EFFECTS OF POST TEST YEAR ADJUSTMENT</v>
          </cell>
          <cell r="D105" t="str">
            <v>B. L. CLUTTER</v>
          </cell>
        </row>
        <row r="106">
          <cell r="A106" t="str">
            <v xml:space="preserve">II-E-3.21  </v>
          </cell>
          <cell r="B106" t="str">
            <v>LIST OF FIT TESTIMONY</v>
          </cell>
          <cell r="D106" t="str">
            <v>B. L. CLUTTER</v>
          </cell>
        </row>
        <row r="107">
          <cell r="A107" t="str">
            <v xml:space="preserve">II-E-3.22  </v>
          </cell>
          <cell r="B107" t="str">
            <v>HISTORY OF TAX NORMALIZATION</v>
          </cell>
          <cell r="D107" t="str">
            <v>B. L. CLUTTER</v>
          </cell>
        </row>
        <row r="108">
          <cell r="A108" t="str">
            <v xml:space="preserve">II-E-3.23  </v>
          </cell>
          <cell r="B108" t="str">
            <v>TAX ELECTIONS, IRS AUDIT STATUS AND PRIVATE LETTER RULINGS</v>
          </cell>
          <cell r="D108" t="str">
            <v>B. L. CLUTTER</v>
          </cell>
        </row>
        <row r="109">
          <cell r="A109" t="str">
            <v xml:space="preserve">II-E-3.24  </v>
          </cell>
          <cell r="B109" t="str">
            <v>METHOD OF ACCOUNTING FOR ADFIT RELATED TO NOL CARRYFORWARD</v>
          </cell>
          <cell r="D109" t="str">
            <v>B. L. CLUTTER</v>
          </cell>
        </row>
        <row r="110">
          <cell r="A110" t="str">
            <v xml:space="preserve">II-E-4   </v>
          </cell>
          <cell r="B110" t="str">
            <v>OTHER EXPENSES</v>
          </cell>
          <cell r="D110" t="str">
            <v>R. PRACHYL</v>
          </cell>
        </row>
        <row r="111">
          <cell r="A111" t="str">
            <v xml:space="preserve">II-E-4.1  </v>
          </cell>
          <cell r="B111" t="str">
            <v>DEFERRED EXPENSES FROM PRIOR DOCKETS</v>
          </cell>
          <cell r="D111" t="str">
            <v>R. PRACHYL</v>
          </cell>
        </row>
        <row r="112">
          <cell r="A112" t="str">
            <v xml:space="preserve">II-E-4.2 </v>
          </cell>
          <cell r="B112" t="str">
            <v>BELOW THE LINE EXPENSES</v>
          </cell>
          <cell r="D112" t="str">
            <v>R. PRACHYL</v>
          </cell>
        </row>
        <row r="113">
          <cell r="A113" t="str">
            <v xml:space="preserve">II-E-4.3  </v>
          </cell>
          <cell r="B113" t="str">
            <v>NONRECURRING OR EXTRAORDINARY EXPENSES</v>
          </cell>
          <cell r="D113" t="str">
            <v>R. PRACHYL</v>
          </cell>
        </row>
        <row r="114">
          <cell r="A114" t="str">
            <v xml:space="preserve">II-E-4.4  </v>
          </cell>
          <cell r="B114" t="str">
            <v>REGULATORY COMMISSION EXPENSES</v>
          </cell>
          <cell r="D114" t="str">
            <v>R. PRACHYL</v>
          </cell>
        </row>
        <row r="115">
          <cell r="A115" t="str">
            <v xml:space="preserve">II-E-4.5  </v>
          </cell>
          <cell r="B115" t="str">
            <v>RATE CASE EXPENSES</v>
          </cell>
          <cell r="D115" t="str">
            <v>C. SANDERS &amp;&amp; R. PRACHYL</v>
          </cell>
        </row>
        <row r="116">
          <cell r="A116" t="str">
            <v xml:space="preserve">II-E-4.6  </v>
          </cell>
          <cell r="B116" t="str">
            <v>EXPENSES PREVIOUSLY DENIED BY THE COMMISSION</v>
          </cell>
          <cell r="D116" t="str">
            <v>R. PRACHYL</v>
          </cell>
        </row>
        <row r="117">
          <cell r="A117" t="str">
            <v xml:space="preserve">II-E-5  </v>
          </cell>
          <cell r="B117" t="str">
            <v>OTHER REVENUE ITEMS (CREDIT)</v>
          </cell>
          <cell r="D117" t="str">
            <v>R. PRACHYL</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A"/>
      <sheetName val="I-A-1"/>
      <sheetName val="I-A-2"/>
    </sheetNames>
    <sheetDataSet>
      <sheetData sheetId="0">
        <row r="4">
          <cell r="D4">
            <v>3798577774.0999999</v>
          </cell>
        </row>
        <row r="5">
          <cell r="D5">
            <v>1245705675.5000002</v>
          </cell>
        </row>
        <row r="6">
          <cell r="D6">
            <v>643110889.54999995</v>
          </cell>
        </row>
        <row r="9">
          <cell r="D9">
            <v>7938293036.0941353</v>
          </cell>
        </row>
      </sheetData>
      <sheetData sheetId="1"/>
      <sheetData sheetId="2"/>
      <sheetData sheetId="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I-F Alloc_Data"/>
      <sheetName val="II-F Alloc_Factor"/>
    </sheetNames>
    <sheetDataSet>
      <sheetData sheetId="0"/>
      <sheetData sheetId="1"/>
      <sheetData sheetId="2">
        <row r="17">
          <cell r="E17">
            <v>0.2248192628221051</v>
          </cell>
          <cell r="F17">
            <v>0</v>
          </cell>
          <cell r="G17">
            <v>0</v>
          </cell>
          <cell r="H17">
            <v>0.2248192628221051</v>
          </cell>
          <cell r="I17">
            <v>0.60040851838364839</v>
          </cell>
          <cell r="J17">
            <v>0</v>
          </cell>
          <cell r="L17">
            <v>0.16789036047896269</v>
          </cell>
          <cell r="M17">
            <v>6.8818583152838453E-3</v>
          </cell>
        </row>
        <row r="18">
          <cell r="E18">
            <v>7.3528132448274067E-2</v>
          </cell>
          <cell r="F18">
            <v>0</v>
          </cell>
          <cell r="G18">
            <v>0</v>
          </cell>
          <cell r="I18">
            <v>0.85597256320590254</v>
          </cell>
          <cell r="J18">
            <v>0</v>
          </cell>
          <cell r="L18">
            <v>3.7003152829188597E-2</v>
          </cell>
        </row>
        <row r="19">
          <cell r="E19">
            <v>0.43199243934462989</v>
          </cell>
          <cell r="F19">
            <v>4.6018866905154131E-2</v>
          </cell>
          <cell r="G19">
            <v>3.7113577409041062E-4</v>
          </cell>
          <cell r="I19">
            <v>0.49337869279172447</v>
          </cell>
          <cell r="J19">
            <v>3.6757188873826163E-3</v>
          </cell>
          <cell r="L19">
            <v>1.4787500647117518E-2</v>
          </cell>
          <cell r="M19">
            <v>9.7756456499008618E-3</v>
          </cell>
        </row>
        <row r="26">
          <cell r="E26">
            <v>0.33637581614630352</v>
          </cell>
          <cell r="F26">
            <v>0</v>
          </cell>
          <cell r="G26">
            <v>0</v>
          </cell>
          <cell r="I26">
            <v>0.66362418385369648</v>
          </cell>
          <cell r="J26">
            <v>0</v>
          </cell>
          <cell r="L26">
            <v>0</v>
          </cell>
          <cell r="M26">
            <v>0</v>
          </cell>
        </row>
        <row r="27">
          <cell r="E27">
            <v>0.20876246650104441</v>
          </cell>
          <cell r="F27">
            <v>0</v>
          </cell>
          <cell r="G27">
            <v>0</v>
          </cell>
          <cell r="H27">
            <v>0.20876246650104441</v>
          </cell>
          <cell r="I27">
            <v>0.53406309237158212</v>
          </cell>
          <cell r="J27">
            <v>0</v>
          </cell>
          <cell r="L27">
            <v>0.19133634325890875</v>
          </cell>
          <cell r="M27">
            <v>6.5838097868464812E-2</v>
          </cell>
        </row>
        <row r="30">
          <cell r="E30">
            <v>0.21057771560752045</v>
          </cell>
          <cell r="F30">
            <v>0</v>
          </cell>
          <cell r="G30">
            <v>0</v>
          </cell>
          <cell r="H30">
            <v>0.21057771560752045</v>
          </cell>
          <cell r="I30">
            <v>0.49547761550750224</v>
          </cell>
          <cell r="J30">
            <v>0</v>
          </cell>
          <cell r="L30">
            <v>0.13778546119282473</v>
          </cell>
          <cell r="M30">
            <v>0.15615920769215258</v>
          </cell>
        </row>
        <row r="32">
          <cell r="E32">
            <v>0.11886231852907132</v>
          </cell>
          <cell r="F32">
            <v>0</v>
          </cell>
          <cell r="G32">
            <v>0</v>
          </cell>
          <cell r="I32">
            <v>0.87351704344616599</v>
          </cell>
          <cell r="J32">
            <v>0</v>
          </cell>
          <cell r="L32">
            <v>3.9998645891527428E-3</v>
          </cell>
          <cell r="M32">
            <v>3.6207734356097764E-3</v>
          </cell>
        </row>
        <row r="34">
          <cell r="E34">
            <v>0.44257750096999038</v>
          </cell>
          <cell r="F34">
            <v>0</v>
          </cell>
          <cell r="G34">
            <v>0</v>
          </cell>
          <cell r="H34">
            <v>0.44257750096999038</v>
          </cell>
          <cell r="I34">
            <v>0.53979368474787659</v>
          </cell>
          <cell r="J34">
            <v>0</v>
          </cell>
          <cell r="L34">
            <v>1.7628814282133153E-2</v>
          </cell>
          <cell r="M34">
            <v>0</v>
          </cell>
        </row>
        <row r="35">
          <cell r="L35">
            <v>0</v>
          </cell>
        </row>
        <row r="38">
          <cell r="E38">
            <v>0.45458274033396245</v>
          </cell>
          <cell r="F38">
            <v>0</v>
          </cell>
          <cell r="G38">
            <v>3.9054368052814981E-4</v>
          </cell>
          <cell r="H38">
            <v>0.45497328401449061</v>
          </cell>
          <cell r="I38">
            <v>0.51917908223557052</v>
          </cell>
          <cell r="J38">
            <v>0</v>
          </cell>
          <cell r="K38">
            <v>0.51917908223557052</v>
          </cell>
          <cell r="L38">
            <v>1.5560787538446273E-2</v>
          </cell>
          <cell r="M38">
            <v>1.0286846211492508E-2</v>
          </cell>
        </row>
        <row r="39">
          <cell r="E39">
            <v>0</v>
          </cell>
          <cell r="F39">
            <v>0.92603381578170541</v>
          </cell>
          <cell r="G39">
            <v>0</v>
          </cell>
          <cell r="H39">
            <v>0.92603381578170541</v>
          </cell>
          <cell r="I39">
            <v>0</v>
          </cell>
          <cell r="J39">
            <v>7.3966184218294553E-2</v>
          </cell>
          <cell r="K39">
            <v>7.3966184218294553E-2</v>
          </cell>
          <cell r="L39">
            <v>0</v>
          </cell>
          <cell r="M39">
            <v>0</v>
          </cell>
        </row>
        <row r="41">
          <cell r="E41">
            <v>0.25309311439344795</v>
          </cell>
          <cell r="F41">
            <v>0</v>
          </cell>
          <cell r="G41">
            <v>0</v>
          </cell>
          <cell r="H41">
            <v>0.25309311439344795</v>
          </cell>
          <cell r="I41">
            <v>0.43935695826151799</v>
          </cell>
          <cell r="J41">
            <v>0</v>
          </cell>
          <cell r="K41">
            <v>0.43935695826151799</v>
          </cell>
          <cell r="L41">
            <v>4.1517138799358859E-2</v>
          </cell>
          <cell r="M41">
            <v>0.26603278854567519</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nk Sheet"/>
      <sheetName val="II-B"/>
      <sheetName val="II-B-1"/>
      <sheetName val="II-B-1a"/>
      <sheetName val="II-B-2"/>
      <sheetName val="II-B-3"/>
      <sheetName val="II-B-4"/>
      <sheetName val="II-B-5"/>
      <sheetName val="II-B-6"/>
      <sheetName val="II-B-7"/>
      <sheetName val="II-B-8"/>
      <sheetName val="II-B-9"/>
      <sheetName val="II-B-10"/>
      <sheetName val="II-B-11"/>
      <sheetName val="II-B-12"/>
      <sheetName val="II-B-13"/>
      <sheetName val="II-B-14"/>
      <sheetName val="II-B-14 Attachment 1"/>
      <sheetName val="II-B-15A"/>
      <sheetName val="II-B-15B"/>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2">
          <cell r="H22">
            <v>0</v>
          </cell>
        </row>
        <row r="23">
          <cell r="U23">
            <v>0</v>
          </cell>
        </row>
        <row r="24">
          <cell r="K24">
            <v>697529.98</v>
          </cell>
          <cell r="N24">
            <v>484273.18</v>
          </cell>
          <cell r="O24">
            <v>0</v>
          </cell>
          <cell r="P24">
            <v>0</v>
          </cell>
          <cell r="S24">
            <v>0</v>
          </cell>
          <cell r="U24">
            <v>0</v>
          </cell>
          <cell r="V24">
            <v>0</v>
          </cell>
        </row>
        <row r="28">
          <cell r="I28">
            <v>23154208.280000001</v>
          </cell>
          <cell r="N28">
            <v>2004410</v>
          </cell>
          <cell r="O28">
            <v>0</v>
          </cell>
          <cell r="P28">
            <v>0</v>
          </cell>
          <cell r="S28">
            <v>0</v>
          </cell>
          <cell r="U28">
            <v>1056229.6200000001</v>
          </cell>
          <cell r="V28">
            <v>863133.80999999959</v>
          </cell>
        </row>
        <row r="29">
          <cell r="I29">
            <v>2402428.7200000002</v>
          </cell>
          <cell r="N29">
            <v>176646.1</v>
          </cell>
          <cell r="O29">
            <v>0</v>
          </cell>
          <cell r="P29">
            <v>0</v>
          </cell>
          <cell r="S29">
            <v>0</v>
          </cell>
          <cell r="U29">
            <v>88897.44</v>
          </cell>
          <cell r="V29">
            <v>80472.110000000044</v>
          </cell>
        </row>
        <row r="40">
          <cell r="K40">
            <v>5010390.6500000004</v>
          </cell>
          <cell r="N40">
            <v>4229327.6100000003</v>
          </cell>
          <cell r="O40">
            <v>370801.4</v>
          </cell>
        </row>
        <row r="41">
          <cell r="H41">
            <v>0</v>
          </cell>
          <cell r="K41">
            <v>3467695.0199999996</v>
          </cell>
          <cell r="N41">
            <v>3382067.1099999994</v>
          </cell>
          <cell r="O41">
            <v>52721.26999999996</v>
          </cell>
          <cell r="U41">
            <v>0</v>
          </cell>
        </row>
        <row r="42">
          <cell r="N42">
            <v>14569025.09</v>
          </cell>
          <cell r="O42">
            <v>2435676.29</v>
          </cell>
          <cell r="P42">
            <v>0</v>
          </cell>
          <cell r="S42">
            <v>0</v>
          </cell>
          <cell r="U42">
            <v>0</v>
          </cell>
          <cell r="V42">
            <v>0</v>
          </cell>
        </row>
        <row r="43">
          <cell r="N43">
            <v>32518079.279999997</v>
          </cell>
          <cell r="O43">
            <v>-946280.72</v>
          </cell>
          <cell r="P43">
            <v>0</v>
          </cell>
          <cell r="S43">
            <v>0</v>
          </cell>
          <cell r="U43">
            <v>0</v>
          </cell>
          <cell r="V43">
            <v>0</v>
          </cell>
        </row>
        <row r="51">
          <cell r="H51">
            <v>21463.180000000633</v>
          </cell>
          <cell r="I51">
            <v>4823828.9400000004</v>
          </cell>
        </row>
        <row r="53">
          <cell r="H53">
            <v>5040.1999999999825</v>
          </cell>
          <cell r="I53">
            <v>146499.54999999999</v>
          </cell>
        </row>
        <row r="81">
          <cell r="H81">
            <v>-43566659.75</v>
          </cell>
        </row>
        <row r="82">
          <cell r="H82">
            <v>-8476771.2699999996</v>
          </cell>
        </row>
        <row r="84">
          <cell r="H84">
            <v>-13532890.859999999</v>
          </cell>
        </row>
        <row r="88">
          <cell r="H88">
            <v>542395.86</v>
          </cell>
        </row>
        <row r="90">
          <cell r="H90">
            <v>13219690.810000001</v>
          </cell>
        </row>
        <row r="92">
          <cell r="H92">
            <v>266566197.09999999</v>
          </cell>
        </row>
        <row r="95">
          <cell r="H95">
            <v>-4539355.9800000004</v>
          </cell>
        </row>
        <row r="100">
          <cell r="I100">
            <v>-984541792.64999998</v>
          </cell>
          <cell r="N100">
            <v>-417370698.04999995</v>
          </cell>
          <cell r="O100">
            <v>-46023122.030000001</v>
          </cell>
          <cell r="P100">
            <v>-381709.46999999991</v>
          </cell>
          <cell r="Q100">
            <v>-463775529.55000001</v>
          </cell>
          <cell r="R100">
            <v>-489654274.89000005</v>
          </cell>
          <cell r="S100">
            <v>-3675249.5799999987</v>
          </cell>
          <cell r="T100">
            <v>-493329524.48000002</v>
          </cell>
          <cell r="U100">
            <v>-19223925.460000001</v>
          </cell>
          <cell r="V100">
            <v>-8212813.1699999971</v>
          </cell>
          <cell r="W100">
            <v>-984541792.64999986</v>
          </cell>
        </row>
      </sheetData>
      <sheetData sheetId="15"/>
      <sheetData sheetId="16"/>
      <sheetData sheetId="17"/>
      <sheetData sheetId="18"/>
      <sheetData sheetId="1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indexed="10"/>
  </sheetPr>
  <dimension ref="A1:S114"/>
  <sheetViews>
    <sheetView zoomScale="85" workbookViewId="0">
      <pane ySplit="1" topLeftCell="A2" activePane="bottomLeft" state="frozen"/>
      <selection activeCell="B38" sqref="B38"/>
      <selection pane="bottomLeft" activeCell="A56" sqref="A56"/>
    </sheetView>
  </sheetViews>
  <sheetFormatPr defaultRowHeight="12.75"/>
  <cols>
    <col min="1" max="1" width="38.5703125" bestFit="1" customWidth="1"/>
    <col min="2" max="2" width="29.42578125" bestFit="1" customWidth="1"/>
    <col min="3" max="3" width="19.5703125" customWidth="1"/>
    <col min="4" max="4" width="17.28515625" bestFit="1" customWidth="1"/>
    <col min="5" max="5" width="16" bestFit="1" customWidth="1"/>
    <col min="6" max="6" width="18" bestFit="1" customWidth="1"/>
    <col min="7" max="7" width="16.7109375" bestFit="1" customWidth="1"/>
    <col min="8" max="10" width="16.7109375" style="366" customWidth="1"/>
    <col min="11" max="11" width="16.5703125" bestFit="1" customWidth="1"/>
    <col min="12" max="13" width="16.5703125" style="366" customWidth="1"/>
    <col min="14" max="15" width="15.28515625" bestFit="1" customWidth="1"/>
    <col min="16" max="16" width="16.7109375" bestFit="1" customWidth="1"/>
    <col min="17" max="17" width="9.5703125" bestFit="1" customWidth="1"/>
    <col min="19" max="19" width="15.28515625" bestFit="1" customWidth="1"/>
  </cols>
  <sheetData>
    <row r="1" spans="1:19" s="96" customFormat="1" ht="25.5">
      <c r="B1" s="96" t="s">
        <v>363</v>
      </c>
      <c r="C1" s="115" t="s">
        <v>351</v>
      </c>
      <c r="D1" s="96" t="s">
        <v>61</v>
      </c>
      <c r="E1" s="96" t="s">
        <v>288</v>
      </c>
      <c r="F1" s="115" t="s">
        <v>53</v>
      </c>
      <c r="G1" s="96" t="s">
        <v>198</v>
      </c>
      <c r="H1" s="173" t="s">
        <v>582</v>
      </c>
      <c r="I1" s="173" t="s">
        <v>583</v>
      </c>
      <c r="J1" s="173" t="s">
        <v>584</v>
      </c>
      <c r="K1" s="104" t="s">
        <v>199</v>
      </c>
      <c r="L1" s="269" t="s">
        <v>585</v>
      </c>
      <c r="M1" s="269" t="s">
        <v>586</v>
      </c>
      <c r="N1" s="42" t="s">
        <v>194</v>
      </c>
      <c r="O1" s="42" t="s">
        <v>279</v>
      </c>
      <c r="P1" s="42" t="s">
        <v>73</v>
      </c>
      <c r="Q1" s="115" t="s">
        <v>286</v>
      </c>
      <c r="R1" s="96" t="s">
        <v>287</v>
      </c>
    </row>
    <row r="2" spans="1:19">
      <c r="A2" t="s">
        <v>285</v>
      </c>
      <c r="B2" s="116">
        <f>ROUND(+'II-E-3.5'!E98,2)</f>
        <v>2551880640.0300002</v>
      </c>
      <c r="C2" s="116">
        <f>ROUND(+'II-E-3.5'!F98,2)</f>
        <v>0</v>
      </c>
      <c r="D2" s="116">
        <f>ROUND(+'II-E-3.5'!G98,2)</f>
        <v>2551880640.0300002</v>
      </c>
      <c r="E2" s="116">
        <f>ROUND(+'II-E-3.5'!H98,2)</f>
        <v>217513681.38</v>
      </c>
      <c r="F2" s="116">
        <f>ROUND(+'II-E-3.5'!I98,2)</f>
        <v>2769394321.4099998</v>
      </c>
      <c r="G2" s="116">
        <f>ROUND(+'II-E-3.5'!O98,2)</f>
        <v>1106355572.98</v>
      </c>
      <c r="H2" s="116">
        <f>ROUND(+'II-E-3.5'!P98,2)</f>
        <v>151650766.90000001</v>
      </c>
      <c r="I2" s="116">
        <f>ROUND(+'II-E-3.5'!Q98,2)</f>
        <v>949894.97</v>
      </c>
      <c r="J2" s="116">
        <f>+G2+H2+I2</f>
        <v>1258956234.8500001</v>
      </c>
      <c r="K2" s="116">
        <f>ROUND(+'II-E-3.5'!S98,2)</f>
        <v>1434321915.47</v>
      </c>
      <c r="L2" s="116">
        <f>ROUND(+'II-E-3.5'!T98,2)</f>
        <v>12113322.48</v>
      </c>
      <c r="M2" s="116">
        <f>+K2+L2</f>
        <v>1446435237.95</v>
      </c>
      <c r="N2" s="116">
        <f>ROUND(+'II-E-3.5'!V98,2)</f>
        <v>11971648.140000001</v>
      </c>
      <c r="O2" s="116">
        <f>ROUND(+'II-E-3.5'!W98,2)</f>
        <v>52031200.460000001</v>
      </c>
      <c r="P2" s="116">
        <f>+G2+H2+I2+K2+L2+N2+O2</f>
        <v>2769394321.4000001</v>
      </c>
      <c r="Q2" t="b">
        <f>+P2='II-E-3.5'!X98</f>
        <v>0</v>
      </c>
      <c r="R2" t="b">
        <f>+P2=F2</f>
        <v>0</v>
      </c>
      <c r="S2" s="734">
        <f>+F2-P2</f>
        <v>9.9997520446777344E-3</v>
      </c>
    </row>
    <row r="3" spans="1:19">
      <c r="A3" s="27" t="s">
        <v>282</v>
      </c>
      <c r="B3" s="112">
        <f>+'II-E-5'!E33</f>
        <v>87353271.270000011</v>
      </c>
      <c r="C3" s="112">
        <f>+'II-E-5'!G33</f>
        <v>0</v>
      </c>
      <c r="D3" s="112">
        <f>+'II-E-5'!H33</f>
        <v>94183571.75</v>
      </c>
      <c r="E3" s="112">
        <f>+'II-E-5'!I33</f>
        <v>32962474.130000003</v>
      </c>
      <c r="F3" s="112">
        <f>+'II-E-5'!J33</f>
        <v>127146045.88000003</v>
      </c>
      <c r="G3" s="116">
        <f>+'II-E-5'!O33</f>
        <v>44003243.119999997</v>
      </c>
      <c r="H3" s="116">
        <f>+'II-E-5'!P33</f>
        <v>373328.27</v>
      </c>
      <c r="I3" s="116">
        <f>+'II-E-5'!Q33</f>
        <v>1755145.34</v>
      </c>
      <c r="J3" s="116">
        <f>+'II-E-5'!R33</f>
        <v>46131716.729999997</v>
      </c>
      <c r="K3" s="116">
        <f>+'II-E-5'!S33</f>
        <v>66812956.150000006</v>
      </c>
      <c r="L3" s="116">
        <f>+'II-E-5'!T33</f>
        <v>0</v>
      </c>
      <c r="M3" s="116">
        <f>+'II-E-5'!U33</f>
        <v>66812956.150000006</v>
      </c>
      <c r="N3" s="116">
        <f>+'II-E-5'!V33</f>
        <v>14115591</v>
      </c>
      <c r="O3" s="116">
        <f>+'II-E-5'!W33</f>
        <v>85782</v>
      </c>
      <c r="P3" s="116">
        <f>+J3+M3+N3+O3</f>
        <v>127146045.88</v>
      </c>
      <c r="Q3" t="b">
        <f>+P3='II-E-5'!X33</f>
        <v>1</v>
      </c>
      <c r="R3" t="b">
        <f>+F3=P3</f>
        <v>1</v>
      </c>
    </row>
    <row r="4" spans="1:19">
      <c r="F4" s="116"/>
      <c r="G4" s="116"/>
      <c r="H4" s="116"/>
      <c r="I4" s="116"/>
      <c r="J4" s="116"/>
      <c r="K4" s="116"/>
      <c r="L4" s="116"/>
      <c r="M4" s="116"/>
      <c r="N4" s="116"/>
      <c r="O4" s="116"/>
      <c r="P4" s="116"/>
    </row>
    <row r="5" spans="1:19">
      <c r="B5" s="747">
        <f>+'II-E-3.5'!E98</f>
        <v>2551880640.0300002</v>
      </c>
      <c r="C5" s="747">
        <f>+'II-E-3.5'!F98</f>
        <v>0</v>
      </c>
      <c r="D5" s="747">
        <f>+'II-E-3.5'!G98</f>
        <v>2551880640.0300002</v>
      </c>
      <c r="E5" s="747">
        <f>+'II-E-3.5'!H98</f>
        <v>217513681.38</v>
      </c>
      <c r="F5" s="747">
        <f>+'II-E-3.5'!I98</f>
        <v>2769394321.4099998</v>
      </c>
      <c r="G5" s="116">
        <f>+'II-E-3.5'!O98</f>
        <v>1106355572.98</v>
      </c>
      <c r="H5" s="116">
        <f>+'II-E-3.5'!P98</f>
        <v>151650766.90000001</v>
      </c>
      <c r="I5" s="116">
        <f>+'II-E-3.5'!Q98</f>
        <v>949894.97</v>
      </c>
      <c r="J5" s="116">
        <f>+'II-E-3.5'!R98</f>
        <v>1258956234.8599999</v>
      </c>
      <c r="K5" s="116">
        <f>+'II-E-3.5'!S98</f>
        <v>1434321915.47</v>
      </c>
      <c r="L5" s="116">
        <f>+'II-E-3.5'!T98</f>
        <v>12113322.48</v>
      </c>
      <c r="M5" s="116">
        <f>+'II-E-3.5'!U98</f>
        <v>1446435237.9400001</v>
      </c>
      <c r="N5" s="116">
        <f>+'II-E-3.5'!V98</f>
        <v>11971648.140000001</v>
      </c>
      <c r="O5" s="116">
        <f>+'II-E-3.5'!W98</f>
        <v>52031200.460000001</v>
      </c>
      <c r="P5" s="116">
        <f>+'II-E-3.5'!X98</f>
        <v>2769394321.4099998</v>
      </c>
    </row>
    <row r="6" spans="1:19">
      <c r="A6" s="40" t="s">
        <v>148</v>
      </c>
      <c r="F6" s="116"/>
      <c r="G6" s="116"/>
      <c r="H6" s="116"/>
      <c r="I6" s="116"/>
      <c r="J6" s="116"/>
      <c r="K6" s="116"/>
      <c r="L6" s="116"/>
      <c r="M6" s="116"/>
      <c r="N6" s="116"/>
      <c r="O6" s="116"/>
      <c r="P6" s="116"/>
    </row>
    <row r="7" spans="1:19">
      <c r="A7" s="123" t="s">
        <v>82</v>
      </c>
      <c r="B7" s="123" t="s">
        <v>83</v>
      </c>
      <c r="D7" s="116">
        <f>+'II-E-1'!G18</f>
        <v>0</v>
      </c>
      <c r="E7" s="116">
        <f>+'II-E-1'!H18</f>
        <v>0</v>
      </c>
      <c r="F7" s="116">
        <f>+'II-E-1'!I18</f>
        <v>0</v>
      </c>
      <c r="G7" s="116">
        <f>+'II-E-1'!N18</f>
        <v>0</v>
      </c>
      <c r="H7" s="116">
        <f>+'II-E-1'!O18</f>
        <v>0</v>
      </c>
      <c r="I7" s="116">
        <f>+'II-E-1'!P18</f>
        <v>0</v>
      </c>
      <c r="J7" s="116">
        <f>+'II-E-1'!Q18</f>
        <v>0</v>
      </c>
      <c r="K7" s="116">
        <f>+'II-E-1'!R18</f>
        <v>0</v>
      </c>
      <c r="L7" s="116">
        <f>+'II-E-1'!S18</f>
        <v>0</v>
      </c>
      <c r="M7" s="116">
        <f>+'II-E-1'!T18</f>
        <v>0</v>
      </c>
      <c r="N7" s="116">
        <f>+'II-E-1'!U18</f>
        <v>0</v>
      </c>
      <c r="O7" s="116">
        <f>+'II-E-1'!V18</f>
        <v>0</v>
      </c>
      <c r="P7" s="122">
        <f t="shared" ref="P7:P53" si="0">+J7+M7+N7+O7</f>
        <v>0</v>
      </c>
      <c r="Q7" t="b">
        <f>+P7='II-E-1'!W18</f>
        <v>1</v>
      </c>
    </row>
    <row r="8" spans="1:19">
      <c r="A8" s="123" t="s">
        <v>85</v>
      </c>
      <c r="B8" s="123" t="s">
        <v>196</v>
      </c>
      <c r="D8" s="116">
        <f>+'II-E-1'!G19</f>
        <v>0</v>
      </c>
      <c r="E8" s="116">
        <f>+'II-E-1'!H19</f>
        <v>0</v>
      </c>
      <c r="F8" s="116">
        <f>+'II-E-1'!I19</f>
        <v>0</v>
      </c>
      <c r="G8" s="116">
        <f>+'II-E-1'!N19</f>
        <v>0</v>
      </c>
      <c r="H8" s="116">
        <f>+'II-E-1'!O19</f>
        <v>0</v>
      </c>
      <c r="I8" s="116">
        <f>+'II-E-1'!P19</f>
        <v>0</v>
      </c>
      <c r="J8" s="116">
        <f>+'II-E-1'!Q19</f>
        <v>0</v>
      </c>
      <c r="K8" s="116">
        <f>+'II-E-1'!R19</f>
        <v>0</v>
      </c>
      <c r="L8" s="116">
        <f>+'II-E-1'!S19</f>
        <v>0</v>
      </c>
      <c r="M8" s="116">
        <f>+'II-E-1'!T19</f>
        <v>0</v>
      </c>
      <c r="N8" s="116">
        <f>+'II-E-1'!U19</f>
        <v>0</v>
      </c>
      <c r="O8" s="116">
        <f>+'II-E-1'!V19</f>
        <v>0</v>
      </c>
      <c r="P8" s="122">
        <f t="shared" si="0"/>
        <v>0</v>
      </c>
      <c r="Q8" t="b">
        <f>+P8='II-E-1'!W19</f>
        <v>1</v>
      </c>
    </row>
    <row r="9" spans="1:19">
      <c r="A9" s="123" t="s">
        <v>86</v>
      </c>
      <c r="B9" s="123" t="s">
        <v>87</v>
      </c>
      <c r="D9" s="116">
        <f>+'II-E-1'!G20</f>
        <v>107434101.61</v>
      </c>
      <c r="E9" s="116">
        <f>+'II-E-1'!H20</f>
        <v>-106293017.45999999</v>
      </c>
      <c r="F9" s="116">
        <f>+'II-E-1'!I20</f>
        <v>1141084.150000006</v>
      </c>
      <c r="G9" s="116">
        <f>+'II-E-1'!N20</f>
        <v>486900.61</v>
      </c>
      <c r="H9" s="116">
        <f>+'II-E-1'!O20</f>
        <v>0</v>
      </c>
      <c r="I9" s="116">
        <f>+'II-E-1'!P20</f>
        <v>0</v>
      </c>
      <c r="J9" s="116">
        <f>+'II-E-1'!Q20</f>
        <v>486900.61</v>
      </c>
      <c r="K9" s="116">
        <f>+'II-E-1'!R20</f>
        <v>620475.91</v>
      </c>
      <c r="L9" s="116">
        <f>+'II-E-1'!S20</f>
        <v>0</v>
      </c>
      <c r="M9" s="116">
        <f>+'II-E-1'!T20</f>
        <v>620475.91</v>
      </c>
      <c r="N9" s="116">
        <f>+'II-E-1'!U20</f>
        <v>23278.12</v>
      </c>
      <c r="O9" s="116">
        <f>+'II-E-1'!V20</f>
        <v>10429.510000005943</v>
      </c>
      <c r="P9" s="122">
        <f t="shared" si="0"/>
        <v>1141084.150000006</v>
      </c>
      <c r="Q9" t="b">
        <f>+P9='II-E-1'!W20</f>
        <v>1</v>
      </c>
    </row>
    <row r="10" spans="1:19">
      <c r="A10" s="124" t="s">
        <v>89</v>
      </c>
      <c r="B10" s="124" t="s">
        <v>90</v>
      </c>
      <c r="D10" s="116">
        <f>+'II-E-1'!G25</f>
        <v>6059977.29</v>
      </c>
      <c r="E10" s="116">
        <f>+'II-E-1'!H25</f>
        <v>381318.79</v>
      </c>
      <c r="F10" s="116">
        <f>+'II-E-1'!I25</f>
        <v>6441296.0800000001</v>
      </c>
      <c r="G10" s="116">
        <f>+'II-E-1'!N25</f>
        <v>5541481.3300000001</v>
      </c>
      <c r="H10" s="116">
        <f>+'II-E-1'!O25</f>
        <v>899814.75</v>
      </c>
      <c r="I10" s="116">
        <f>+'II-E-1'!P25</f>
        <v>0</v>
      </c>
      <c r="J10" s="116">
        <f>+'II-E-1'!Q25</f>
        <v>6441296.0800000001</v>
      </c>
      <c r="K10" s="116">
        <f>+'II-E-1'!R25</f>
        <v>0</v>
      </c>
      <c r="L10" s="116">
        <f>+'II-E-1'!S25</f>
        <v>0</v>
      </c>
      <c r="M10" s="116">
        <f>+'II-E-1'!T25</f>
        <v>0</v>
      </c>
      <c r="N10" s="116">
        <f>+'II-E-1'!U25</f>
        <v>0</v>
      </c>
      <c r="O10" s="116">
        <f>+'II-E-1'!V25</f>
        <v>0</v>
      </c>
      <c r="P10" s="122">
        <f t="shared" si="0"/>
        <v>6441296.0800000001</v>
      </c>
      <c r="Q10" t="b">
        <f>+P10='II-E-1'!W25</f>
        <v>1</v>
      </c>
    </row>
    <row r="11" spans="1:19" s="366" customFormat="1">
      <c r="A11" s="124" t="s">
        <v>1043</v>
      </c>
      <c r="B11" s="124" t="s">
        <v>1044</v>
      </c>
      <c r="D11" s="116">
        <f>+'II-E-1'!G26</f>
        <v>0</v>
      </c>
      <c r="E11" s="116">
        <f>+'II-E-1'!H26</f>
        <v>0</v>
      </c>
      <c r="F11" s="116">
        <f>+'II-E-1'!I26</f>
        <v>0</v>
      </c>
      <c r="G11" s="116">
        <f>+'II-E-1'!N26</f>
        <v>0</v>
      </c>
      <c r="H11" s="116">
        <f>+'II-E-1'!O26</f>
        <v>0</v>
      </c>
      <c r="I11" s="116">
        <f>+'II-E-1'!P26</f>
        <v>0</v>
      </c>
      <c r="J11" s="116">
        <f>+'II-E-1'!Q26</f>
        <v>0</v>
      </c>
      <c r="K11" s="116">
        <f>+'II-E-1'!R26</f>
        <v>0</v>
      </c>
      <c r="L11" s="116">
        <f>+'II-E-1'!S26</f>
        <v>0</v>
      </c>
      <c r="M11" s="116">
        <f>+'II-E-1'!T26</f>
        <v>0</v>
      </c>
      <c r="N11" s="116">
        <f>+'II-E-1'!U26</f>
        <v>0</v>
      </c>
      <c r="O11" s="116">
        <f>+'II-E-1'!V26</f>
        <v>0</v>
      </c>
      <c r="P11" s="122">
        <f t="shared" ref="P11:P13" si="1">+J11+M11+N11+O11</f>
        <v>0</v>
      </c>
      <c r="Q11" s="366" t="b">
        <f>+P11='II-E-1'!W26</f>
        <v>1</v>
      </c>
    </row>
    <row r="12" spans="1:19" s="366" customFormat="1">
      <c r="A12" s="124" t="s">
        <v>1045</v>
      </c>
      <c r="B12" s="124" t="s">
        <v>1046</v>
      </c>
      <c r="D12" s="116">
        <f>+'II-E-1'!G27</f>
        <v>0</v>
      </c>
      <c r="E12" s="116">
        <f>+'II-E-1'!H27</f>
        <v>12662464.560000001</v>
      </c>
      <c r="F12" s="116">
        <f>+'II-E-1'!I27</f>
        <v>12662464.560000001</v>
      </c>
      <c r="G12" s="116">
        <f>+'II-E-1'!N27</f>
        <v>12662464.560000001</v>
      </c>
      <c r="H12" s="116">
        <f>+'II-E-1'!O27</f>
        <v>0</v>
      </c>
      <c r="I12" s="116">
        <f>+'II-E-1'!P27</f>
        <v>0</v>
      </c>
      <c r="J12" s="116">
        <f>+'II-E-1'!Q27</f>
        <v>12662464.560000001</v>
      </c>
      <c r="K12" s="116">
        <f>+'II-E-1'!R27</f>
        <v>0</v>
      </c>
      <c r="L12" s="116">
        <f>+'II-E-1'!S27</f>
        <v>0</v>
      </c>
      <c r="M12" s="116">
        <f>+'II-E-1'!T27</f>
        <v>0</v>
      </c>
      <c r="N12" s="116">
        <f>+'II-E-1'!U27</f>
        <v>0</v>
      </c>
      <c r="O12" s="116">
        <f>+'II-E-1'!V27</f>
        <v>0</v>
      </c>
      <c r="P12" s="122">
        <f t="shared" si="1"/>
        <v>12662464.560000001</v>
      </c>
      <c r="Q12" s="366" t="b">
        <f>+P12='II-E-1'!W27</f>
        <v>1</v>
      </c>
    </row>
    <row r="13" spans="1:19" s="366" customFormat="1">
      <c r="A13" s="124" t="s">
        <v>1047</v>
      </c>
      <c r="B13" s="124" t="s">
        <v>372</v>
      </c>
      <c r="D13" s="116">
        <f>+'II-E-1'!G28</f>
        <v>0</v>
      </c>
      <c r="E13" s="116">
        <f>+'II-E-1'!H28</f>
        <v>122277.99</v>
      </c>
      <c r="F13" s="116">
        <f>+'II-E-1'!I28</f>
        <v>122277.99</v>
      </c>
      <c r="G13" s="116">
        <f>+'II-E-1'!N28</f>
        <v>122277.99</v>
      </c>
      <c r="H13" s="116">
        <f>+'II-E-1'!O28</f>
        <v>0</v>
      </c>
      <c r="I13" s="116">
        <f>+'II-E-1'!P28</f>
        <v>0</v>
      </c>
      <c r="J13" s="116">
        <f>+'II-E-1'!Q28</f>
        <v>122277.99</v>
      </c>
      <c r="K13" s="116">
        <f>+'II-E-1'!R28</f>
        <v>0</v>
      </c>
      <c r="L13" s="116">
        <f>+'II-E-1'!S28</f>
        <v>0</v>
      </c>
      <c r="M13" s="116">
        <f>+'II-E-1'!T28</f>
        <v>0</v>
      </c>
      <c r="N13" s="116">
        <f>+'II-E-1'!U28</f>
        <v>0</v>
      </c>
      <c r="O13" s="116">
        <f>+'II-E-1'!V28</f>
        <v>0</v>
      </c>
      <c r="P13" s="122">
        <f t="shared" si="1"/>
        <v>122277.99</v>
      </c>
      <c r="Q13" s="366" t="b">
        <f>+P13='II-E-1'!W28</f>
        <v>1</v>
      </c>
    </row>
    <row r="14" spans="1:19">
      <c r="A14" s="124" t="s">
        <v>91</v>
      </c>
      <c r="B14" s="124" t="s">
        <v>88</v>
      </c>
      <c r="D14" s="116">
        <f>+'II-E-1'!G29</f>
        <v>16511584.35</v>
      </c>
      <c r="E14" s="116">
        <f>+'II-E-1'!H29</f>
        <v>-924237.09</v>
      </c>
      <c r="F14" s="116">
        <f>+'II-E-1'!I29</f>
        <v>15587347.26</v>
      </c>
      <c r="G14" s="116">
        <f>+'II-E-1'!N29</f>
        <v>13179235.99</v>
      </c>
      <c r="H14" s="116">
        <f>+'II-E-1'!O29</f>
        <v>2370870.4700000002</v>
      </c>
      <c r="I14" s="116">
        <f>+'II-E-1'!P29</f>
        <v>37240.800000000003</v>
      </c>
      <c r="J14" s="116">
        <f>+'II-E-1'!Q29</f>
        <v>15587347.260000002</v>
      </c>
      <c r="K14" s="116">
        <f>+'II-E-1'!R29</f>
        <v>0</v>
      </c>
      <c r="L14" s="116">
        <f>+'II-E-1'!S29</f>
        <v>0</v>
      </c>
      <c r="M14" s="116">
        <f>+'II-E-1'!T29</f>
        <v>0</v>
      </c>
      <c r="N14" s="116">
        <f>+'II-E-1'!U29</f>
        <v>0</v>
      </c>
      <c r="O14" s="116">
        <f>+'II-E-1'!V29</f>
        <v>0</v>
      </c>
      <c r="P14" s="122">
        <f t="shared" si="0"/>
        <v>15587347.260000002</v>
      </c>
    </row>
    <row r="15" spans="1:19">
      <c r="A15" s="124" t="s">
        <v>92</v>
      </c>
      <c r="B15" s="124" t="s">
        <v>93</v>
      </c>
      <c r="D15" s="116">
        <f>+'II-E-1'!G30</f>
        <v>105866388.55</v>
      </c>
      <c r="E15" s="116">
        <f>+'II-E-1'!H30</f>
        <v>11546819.630000001</v>
      </c>
      <c r="F15" s="116">
        <f>+'II-E-1'!I30</f>
        <v>117413208.17999999</v>
      </c>
      <c r="G15" s="116">
        <f>+'II-E-1'!N30</f>
        <v>96507114.760000005</v>
      </c>
      <c r="H15" s="116">
        <f>+'II-E-1'!O30</f>
        <v>7658423.3300000001</v>
      </c>
      <c r="I15" s="116">
        <f>+'II-E-1'!P30</f>
        <v>687106.39</v>
      </c>
      <c r="J15" s="116">
        <f>+'II-E-1'!Q30</f>
        <v>104852644.48</v>
      </c>
      <c r="K15" s="116">
        <f>+'II-E-1'!R30</f>
        <v>11435177.9</v>
      </c>
      <c r="L15" s="116">
        <f>+'II-E-1'!S30</f>
        <v>1125385.8</v>
      </c>
      <c r="M15" s="116">
        <f>+'II-E-1'!T30</f>
        <v>12560563.700000001</v>
      </c>
      <c r="N15" s="116">
        <f>+'II-E-1'!U30</f>
        <v>0</v>
      </c>
      <c r="O15" s="116">
        <f>+'II-E-1'!V30</f>
        <v>0</v>
      </c>
      <c r="P15" s="122">
        <f t="shared" si="0"/>
        <v>117413208.18000001</v>
      </c>
    </row>
    <row r="16" spans="1:19">
      <c r="A16" s="124" t="s">
        <v>94</v>
      </c>
      <c r="B16" s="124" t="s">
        <v>95</v>
      </c>
      <c r="D16" s="116">
        <f>+'II-E-1'!G31</f>
        <v>38621975.509999998</v>
      </c>
      <c r="E16" s="116">
        <f>+'II-E-1'!H31</f>
        <v>2714681.84</v>
      </c>
      <c r="F16" s="116">
        <f>+'II-E-1'!I31</f>
        <v>41336657.349999994</v>
      </c>
      <c r="G16" s="116">
        <f>+'II-E-1'!N31</f>
        <v>31838793.829999998</v>
      </c>
      <c r="H16" s="116">
        <f>+'II-E-1'!O31</f>
        <v>9497863.5199999996</v>
      </c>
      <c r="I16" s="116">
        <f>+'II-E-1'!P31</f>
        <v>0</v>
      </c>
      <c r="J16" s="116">
        <f>+'II-E-1'!Q31</f>
        <v>41336657.349999994</v>
      </c>
      <c r="K16" s="116">
        <f>+'II-E-1'!R31</f>
        <v>0</v>
      </c>
      <c r="L16" s="116">
        <f>+'II-E-1'!S31</f>
        <v>0</v>
      </c>
      <c r="M16" s="116">
        <f>+'II-E-1'!T31</f>
        <v>0</v>
      </c>
      <c r="N16" s="116">
        <f>+'II-E-1'!U31</f>
        <v>0</v>
      </c>
      <c r="O16" s="116">
        <f>+'II-E-1'!V31</f>
        <v>0</v>
      </c>
      <c r="P16" s="122">
        <f t="shared" si="0"/>
        <v>41336657.349999994</v>
      </c>
    </row>
    <row r="17" spans="1:16">
      <c r="A17" s="124" t="s">
        <v>96</v>
      </c>
      <c r="B17" s="124" t="s">
        <v>97</v>
      </c>
      <c r="D17" s="116">
        <f>+'II-E-1'!G32</f>
        <v>117316397.05</v>
      </c>
      <c r="E17" s="116">
        <f>+'II-E-1'!H32</f>
        <v>8343405.21</v>
      </c>
      <c r="F17" s="116">
        <f>+'II-E-1'!I32</f>
        <v>125659802.25999999</v>
      </c>
      <c r="G17" s="116">
        <f>+'II-E-1'!N32</f>
        <v>118716217.62</v>
      </c>
      <c r="H17" s="116">
        <f>+'II-E-1'!O32</f>
        <v>6943584.6399999997</v>
      </c>
      <c r="I17" s="116">
        <f>+'II-E-1'!P32</f>
        <v>0</v>
      </c>
      <c r="J17" s="116">
        <f>+'II-E-1'!Q32</f>
        <v>125659802.26000001</v>
      </c>
      <c r="K17" s="116">
        <f>+'II-E-1'!R32</f>
        <v>0</v>
      </c>
      <c r="L17" s="116">
        <f>+'II-E-1'!S32</f>
        <v>0</v>
      </c>
      <c r="M17" s="116">
        <f>+'II-E-1'!T32</f>
        <v>0</v>
      </c>
      <c r="N17" s="116">
        <f>+'II-E-1'!U32</f>
        <v>0</v>
      </c>
      <c r="O17" s="116">
        <f>+'II-E-1'!V32</f>
        <v>0</v>
      </c>
      <c r="P17" s="122">
        <f t="shared" si="0"/>
        <v>125659802.26000001</v>
      </c>
    </row>
    <row r="18" spans="1:16">
      <c r="A18" s="124" t="s">
        <v>98</v>
      </c>
      <c r="B18" s="124" t="s">
        <v>99</v>
      </c>
      <c r="D18" s="116">
        <f>+'II-E-1'!G33</f>
        <v>77828285.170000002</v>
      </c>
      <c r="E18" s="116">
        <f>+'II-E-1'!H33</f>
        <v>9303574.2300000004</v>
      </c>
      <c r="F18" s="116">
        <f>+'II-E-1'!I33</f>
        <v>87131859.400000006</v>
      </c>
      <c r="G18" s="116">
        <f>+'II-E-1'!N33</f>
        <v>76870775.469999999</v>
      </c>
      <c r="H18" s="116">
        <f>+'II-E-1'!O33</f>
        <v>10261083.93</v>
      </c>
      <c r="I18" s="116">
        <f>+'II-E-1'!P33</f>
        <v>0</v>
      </c>
      <c r="J18" s="116">
        <f>+'II-E-1'!Q33</f>
        <v>87131859.400000006</v>
      </c>
      <c r="K18" s="116">
        <f>+'II-E-1'!R33</f>
        <v>0</v>
      </c>
      <c r="L18" s="116">
        <f>+'II-E-1'!S33</f>
        <v>0</v>
      </c>
      <c r="M18" s="116">
        <f>+'II-E-1'!T33</f>
        <v>0</v>
      </c>
      <c r="N18" s="116">
        <f>+'II-E-1'!U33</f>
        <v>0</v>
      </c>
      <c r="O18" s="116">
        <f>+'II-E-1'!V33</f>
        <v>0</v>
      </c>
      <c r="P18" s="122">
        <f t="shared" si="0"/>
        <v>87131859.400000006</v>
      </c>
    </row>
    <row r="19" spans="1:16">
      <c r="A19" s="124" t="s">
        <v>100</v>
      </c>
      <c r="B19" s="124" t="s">
        <v>101</v>
      </c>
      <c r="D19" s="116">
        <f>+'II-E-1'!G34</f>
        <v>983025.55</v>
      </c>
      <c r="E19" s="116">
        <f>+'II-E-1'!H34</f>
        <v>39562.300000000003</v>
      </c>
      <c r="F19" s="116">
        <f>+'II-E-1'!I34</f>
        <v>1022587.8500000001</v>
      </c>
      <c r="G19" s="116">
        <f>+'II-E-1'!N34</f>
        <v>1022587.85</v>
      </c>
      <c r="H19" s="116">
        <f>+'II-E-1'!O34</f>
        <v>0</v>
      </c>
      <c r="I19" s="116">
        <f>+'II-E-1'!P34</f>
        <v>0</v>
      </c>
      <c r="J19" s="116">
        <f>+'II-E-1'!Q34</f>
        <v>1022587.85</v>
      </c>
      <c r="K19" s="116">
        <f>+'II-E-1'!R34</f>
        <v>0</v>
      </c>
      <c r="L19" s="116">
        <f>+'II-E-1'!S34</f>
        <v>0</v>
      </c>
      <c r="M19" s="116">
        <f>+'II-E-1'!T34</f>
        <v>0</v>
      </c>
      <c r="N19" s="116">
        <f>+'II-E-1'!U34</f>
        <v>0</v>
      </c>
      <c r="O19" s="116">
        <f>+'II-E-1'!V34</f>
        <v>0</v>
      </c>
      <c r="P19" s="122">
        <f t="shared" si="0"/>
        <v>1022587.85</v>
      </c>
    </row>
    <row r="20" spans="1:16">
      <c r="A20" s="124" t="s">
        <v>102</v>
      </c>
      <c r="B20" s="124" t="s">
        <v>103</v>
      </c>
      <c r="D20" s="116">
        <f>+'II-E-1'!G35</f>
        <v>1985359.28</v>
      </c>
      <c r="E20" s="116">
        <f>+'II-E-1'!H35</f>
        <v>-201938.81</v>
      </c>
      <c r="F20" s="116">
        <f>+'II-E-1'!I35</f>
        <v>1783420.47</v>
      </c>
      <c r="G20" s="116">
        <f>+'II-E-1'!N35</f>
        <v>1783420.47</v>
      </c>
      <c r="H20" s="116">
        <f>+'II-E-1'!O35</f>
        <v>0</v>
      </c>
      <c r="I20" s="116">
        <f>+'II-E-1'!P35</f>
        <v>0</v>
      </c>
      <c r="J20" s="116">
        <f>+'II-E-1'!Q35</f>
        <v>1783420.47</v>
      </c>
      <c r="K20" s="116">
        <f>+'II-E-1'!R35</f>
        <v>0</v>
      </c>
      <c r="L20" s="116">
        <f>+'II-E-1'!S35</f>
        <v>0</v>
      </c>
      <c r="M20" s="116">
        <f>+'II-E-1'!T35</f>
        <v>0</v>
      </c>
      <c r="N20" s="116">
        <f>+'II-E-1'!U35</f>
        <v>0</v>
      </c>
      <c r="O20" s="116">
        <f>+'II-E-1'!V35</f>
        <v>0</v>
      </c>
      <c r="P20" s="122">
        <f t="shared" si="0"/>
        <v>1783420.47</v>
      </c>
    </row>
    <row r="21" spans="1:16">
      <c r="A21" s="124" t="s">
        <v>104</v>
      </c>
      <c r="B21" s="124" t="s">
        <v>105</v>
      </c>
      <c r="D21" s="116">
        <f>+'II-E-1'!G36</f>
        <v>0</v>
      </c>
      <c r="E21" s="116">
        <f>+'II-E-1'!H36</f>
        <v>0</v>
      </c>
      <c r="F21" s="116">
        <f>+'II-E-1'!I36</f>
        <v>0</v>
      </c>
      <c r="G21" s="116">
        <f>+'II-E-1'!N36</f>
        <v>0</v>
      </c>
      <c r="H21" s="116">
        <f>+'II-E-1'!O36</f>
        <v>0</v>
      </c>
      <c r="I21" s="116">
        <f>+'II-E-1'!P36</f>
        <v>0</v>
      </c>
      <c r="J21" s="116">
        <f>+'II-E-1'!Q36</f>
        <v>0</v>
      </c>
      <c r="K21" s="116">
        <f>+'II-E-1'!R36</f>
        <v>0</v>
      </c>
      <c r="L21" s="116">
        <f>+'II-E-1'!S36</f>
        <v>0</v>
      </c>
      <c r="M21" s="116">
        <f>+'II-E-1'!T36</f>
        <v>0</v>
      </c>
      <c r="N21" s="116">
        <f>+'II-E-1'!U36</f>
        <v>0</v>
      </c>
      <c r="O21" s="116">
        <f>+'II-E-1'!V36</f>
        <v>0</v>
      </c>
      <c r="P21" s="122">
        <f t="shared" si="0"/>
        <v>0</v>
      </c>
    </row>
    <row r="22" spans="1:16">
      <c r="A22" s="125" t="s">
        <v>106</v>
      </c>
      <c r="B22" s="125" t="s">
        <v>90</v>
      </c>
      <c r="D22" s="116">
        <f>+'II-E-1'!G42</f>
        <v>348121.12</v>
      </c>
      <c r="E22" s="116">
        <f>+'II-E-1'!H42</f>
        <v>48855.39</v>
      </c>
      <c r="F22" s="116">
        <f>+'II-E-1'!I42</f>
        <v>396976.51</v>
      </c>
      <c r="G22" s="116">
        <f>+'II-E-1'!N42</f>
        <v>36178.58</v>
      </c>
      <c r="H22" s="116">
        <f>+'II-E-1'!O42</f>
        <v>0</v>
      </c>
      <c r="I22" s="116">
        <f>+'II-E-1'!P42</f>
        <v>0</v>
      </c>
      <c r="J22" s="116">
        <f>+'II-E-1'!Q42</f>
        <v>36178.58</v>
      </c>
      <c r="K22" s="116">
        <f>+'II-E-1'!R42</f>
        <v>360797.93</v>
      </c>
      <c r="L22" s="116">
        <f>+'II-E-1'!S42</f>
        <v>0</v>
      </c>
      <c r="M22" s="116">
        <f>+'II-E-1'!T42</f>
        <v>360797.93</v>
      </c>
      <c r="N22" s="116">
        <f>+'II-E-1'!U42</f>
        <v>0</v>
      </c>
      <c r="O22" s="116">
        <f>+'II-E-1'!V42</f>
        <v>0</v>
      </c>
      <c r="P22" s="122">
        <f t="shared" si="0"/>
        <v>396976.51</v>
      </c>
    </row>
    <row r="23" spans="1:16">
      <c r="A23" s="125" t="s">
        <v>107</v>
      </c>
      <c r="B23" s="125" t="s">
        <v>88</v>
      </c>
      <c r="D23" s="116">
        <f>+'II-E-1'!G43</f>
        <v>7840271.6299999999</v>
      </c>
      <c r="E23" s="116">
        <f>+'II-E-1'!H43</f>
        <v>1126387.1499999999</v>
      </c>
      <c r="F23" s="116">
        <f>+'II-E-1'!I43</f>
        <v>8966658.7799999993</v>
      </c>
      <c r="G23" s="116">
        <f>+'II-E-1'!N43</f>
        <v>2546969.31</v>
      </c>
      <c r="H23" s="116">
        <f>+'II-E-1'!O43</f>
        <v>341106.59</v>
      </c>
      <c r="I23" s="116">
        <f>+'II-E-1'!P43</f>
        <v>0</v>
      </c>
      <c r="J23" s="116">
        <f>+'II-E-1'!Q43</f>
        <v>2888075.9</v>
      </c>
      <c r="K23" s="116">
        <f>+'II-E-1'!R43</f>
        <v>5614303.75</v>
      </c>
      <c r="L23" s="116">
        <f>+'II-E-1'!S43</f>
        <v>464279.13</v>
      </c>
      <c r="M23" s="116">
        <f>+'II-E-1'!T43</f>
        <v>6078582.8799999999</v>
      </c>
      <c r="N23" s="116">
        <f>+'II-E-1'!U43</f>
        <v>0</v>
      </c>
      <c r="O23" s="116">
        <f>+'II-E-1'!V43</f>
        <v>0</v>
      </c>
      <c r="P23" s="122">
        <f t="shared" si="0"/>
        <v>8966658.7799999993</v>
      </c>
    </row>
    <row r="24" spans="1:16">
      <c r="A24" s="125" t="s">
        <v>108</v>
      </c>
      <c r="B24" s="125" t="s">
        <v>93</v>
      </c>
      <c r="D24" s="116">
        <f>+'II-E-1'!G44</f>
        <v>64620424.520000003</v>
      </c>
      <c r="E24" s="116">
        <f>+'II-E-1'!H44</f>
        <v>16238360.210000001</v>
      </c>
      <c r="F24" s="116">
        <f>+'II-E-1'!I44</f>
        <v>80858784.730000004</v>
      </c>
      <c r="G24" s="116">
        <f>+'II-E-1'!N44</f>
        <v>20422605.559999999</v>
      </c>
      <c r="H24" s="116">
        <f>+'II-E-1'!O44</f>
        <v>899421.54</v>
      </c>
      <c r="I24" s="116">
        <f>+'II-E-1'!P44</f>
        <v>0</v>
      </c>
      <c r="J24" s="116">
        <f>+'II-E-1'!Q44</f>
        <v>21322027.099999998</v>
      </c>
      <c r="K24" s="116">
        <f>+'II-E-1'!R44</f>
        <v>58018119.409999996</v>
      </c>
      <c r="L24" s="116">
        <f>+'II-E-1'!S44</f>
        <v>1518638.22</v>
      </c>
      <c r="M24" s="116">
        <f>+'II-E-1'!T44</f>
        <v>59536757.629999995</v>
      </c>
      <c r="N24" s="116">
        <f>+'II-E-1'!U44</f>
        <v>0</v>
      </c>
      <c r="O24" s="116">
        <f>+'II-E-1'!V44</f>
        <v>0</v>
      </c>
      <c r="P24" s="122">
        <f t="shared" si="0"/>
        <v>80858784.729999989</v>
      </c>
    </row>
    <row r="25" spans="1:16">
      <c r="A25" s="125" t="s">
        <v>1048</v>
      </c>
      <c r="B25" s="125" t="s">
        <v>1044</v>
      </c>
      <c r="D25" s="116">
        <f>+'II-E-1'!G45</f>
        <v>0</v>
      </c>
      <c r="E25" s="116">
        <f>+'II-E-1'!H45</f>
        <v>0</v>
      </c>
      <c r="F25" s="116">
        <f>+'II-E-1'!I45</f>
        <v>0</v>
      </c>
      <c r="G25" s="116">
        <f>+'II-E-1'!N45</f>
        <v>0</v>
      </c>
      <c r="H25" s="116">
        <f>+'II-E-1'!O45</f>
        <v>0</v>
      </c>
      <c r="I25" s="116">
        <f>+'II-E-1'!P45</f>
        <v>0</v>
      </c>
      <c r="J25" s="116">
        <f>+'II-E-1'!Q45</f>
        <v>0</v>
      </c>
      <c r="K25" s="116">
        <f>+'II-E-1'!R45</f>
        <v>0</v>
      </c>
      <c r="L25" s="116">
        <f>+'II-E-1'!S45</f>
        <v>0</v>
      </c>
      <c r="M25" s="116">
        <f>+'II-E-1'!T45</f>
        <v>0</v>
      </c>
      <c r="N25" s="116">
        <f>+'II-E-1'!U45</f>
        <v>0</v>
      </c>
      <c r="O25" s="116">
        <f>+'II-E-1'!V45</f>
        <v>0</v>
      </c>
      <c r="P25" s="122">
        <f t="shared" si="0"/>
        <v>0</v>
      </c>
    </row>
    <row r="26" spans="1:16" s="366" customFormat="1">
      <c r="A26" s="125" t="s">
        <v>1049</v>
      </c>
      <c r="B26" s="125" t="s">
        <v>1046</v>
      </c>
      <c r="D26" s="116">
        <f>+'II-E-1'!G46</f>
        <v>0</v>
      </c>
      <c r="E26" s="116">
        <f>+'II-E-1'!H46</f>
        <v>61123258.920000002</v>
      </c>
      <c r="F26" s="116">
        <f>+'II-E-1'!I46</f>
        <v>61123258.920000002</v>
      </c>
      <c r="G26" s="116">
        <f>+'II-E-1'!N46</f>
        <v>0</v>
      </c>
      <c r="H26" s="116">
        <f>+'II-E-1'!O46</f>
        <v>0</v>
      </c>
      <c r="I26" s="116">
        <f>+'II-E-1'!P46</f>
        <v>0</v>
      </c>
      <c r="J26" s="116">
        <f>+'II-E-1'!Q46</f>
        <v>0</v>
      </c>
      <c r="K26" s="116">
        <f>+'II-E-1'!R46</f>
        <v>27237168.699999999</v>
      </c>
      <c r="L26" s="116">
        <f>+'II-E-1'!S46</f>
        <v>0</v>
      </c>
      <c r="M26" s="116">
        <f>+'II-E-1'!T46</f>
        <v>27237168.699999999</v>
      </c>
      <c r="N26" s="116">
        <f>+'II-E-1'!U46</f>
        <v>3385973.72</v>
      </c>
      <c r="O26" s="116">
        <f>+'II-E-1'!V46</f>
        <v>30500116.5</v>
      </c>
      <c r="P26" s="122">
        <f t="shared" ref="P26:P27" si="2">+J26+M26+N26+O26</f>
        <v>61123258.920000002</v>
      </c>
    </row>
    <row r="27" spans="1:16" s="366" customFormat="1">
      <c r="A27" s="125" t="s">
        <v>1050</v>
      </c>
      <c r="B27" s="125" t="s">
        <v>372</v>
      </c>
      <c r="D27" s="116">
        <f>+'II-E-1'!G47</f>
        <v>0</v>
      </c>
      <c r="E27" s="116">
        <f>+'II-E-1'!H47</f>
        <v>0</v>
      </c>
      <c r="F27" s="116">
        <f>+'II-E-1'!I47</f>
        <v>0</v>
      </c>
      <c r="G27" s="116">
        <f>+'II-E-1'!N47</f>
        <v>0</v>
      </c>
      <c r="H27" s="116">
        <f>+'II-E-1'!O47</f>
        <v>0</v>
      </c>
      <c r="I27" s="116">
        <f>+'II-E-1'!P47</f>
        <v>0</v>
      </c>
      <c r="J27" s="116">
        <f>+'II-E-1'!Q47</f>
        <v>0</v>
      </c>
      <c r="K27" s="116">
        <f>+'II-E-1'!R47</f>
        <v>0</v>
      </c>
      <c r="L27" s="116">
        <f>+'II-E-1'!S47</f>
        <v>0</v>
      </c>
      <c r="M27" s="116">
        <f>+'II-E-1'!T47</f>
        <v>0</v>
      </c>
      <c r="N27" s="116">
        <f>+'II-E-1'!U47</f>
        <v>0</v>
      </c>
      <c r="O27" s="116">
        <f>+'II-E-1'!V47</f>
        <v>0</v>
      </c>
      <c r="P27" s="122">
        <f t="shared" si="2"/>
        <v>0</v>
      </c>
    </row>
    <row r="28" spans="1:16">
      <c r="A28" s="125" t="s">
        <v>109</v>
      </c>
      <c r="B28" s="125" t="s">
        <v>110</v>
      </c>
      <c r="D28" s="116">
        <f>+'II-E-1'!G48</f>
        <v>119364492.42</v>
      </c>
      <c r="E28" s="116">
        <f>+'II-E-1'!H48</f>
        <v>13431992.73</v>
      </c>
      <c r="F28" s="116">
        <f>+'II-E-1'!I48</f>
        <v>132796485.15000001</v>
      </c>
      <c r="G28" s="116">
        <f>+'II-E-1'!N48</f>
        <v>0</v>
      </c>
      <c r="H28" s="116">
        <f>+'II-E-1'!O48</f>
        <v>0</v>
      </c>
      <c r="I28" s="116">
        <f>+'II-E-1'!P48</f>
        <v>0</v>
      </c>
      <c r="J28" s="116">
        <f>+'II-E-1'!Q48</f>
        <v>0</v>
      </c>
      <c r="K28" s="116">
        <f>+'II-E-1'!R48</f>
        <v>132772031.77</v>
      </c>
      <c r="L28" s="116">
        <f>+'II-E-1'!S48</f>
        <v>24453.38</v>
      </c>
      <c r="M28" s="116">
        <f>+'II-E-1'!T48</f>
        <v>132796485.14999999</v>
      </c>
      <c r="N28" s="116">
        <f>+'II-E-1'!U48</f>
        <v>0</v>
      </c>
      <c r="O28" s="116">
        <f>+'II-E-1'!V48</f>
        <v>0</v>
      </c>
      <c r="P28" s="122">
        <f t="shared" si="0"/>
        <v>132796485.14999999</v>
      </c>
    </row>
    <row r="29" spans="1:16">
      <c r="A29" s="125" t="s">
        <v>111</v>
      </c>
      <c r="B29" s="125" t="s">
        <v>99</v>
      </c>
      <c r="D29" s="116">
        <f>+'II-E-1'!G49</f>
        <v>66363956.960000001</v>
      </c>
      <c r="E29" s="116">
        <f>+'II-E-1'!H49</f>
        <v>-4632960.62</v>
      </c>
      <c r="F29" s="116">
        <f>+'II-E-1'!I49</f>
        <v>61730996.340000004</v>
      </c>
      <c r="G29" s="116">
        <f>+'II-E-1'!N49</f>
        <v>0</v>
      </c>
      <c r="H29" s="116">
        <f>+'II-E-1'!O49</f>
        <v>0</v>
      </c>
      <c r="I29" s="116">
        <f>+'II-E-1'!P49</f>
        <v>0</v>
      </c>
      <c r="J29" s="116">
        <f>+'II-E-1'!Q49</f>
        <v>0</v>
      </c>
      <c r="K29" s="116">
        <f>+'II-E-1'!R49</f>
        <v>61699776.700000003</v>
      </c>
      <c r="L29" s="116">
        <f>+'II-E-1'!S49</f>
        <v>31219.64</v>
      </c>
      <c r="M29" s="116">
        <f>+'II-E-1'!T49</f>
        <v>61730996.340000004</v>
      </c>
      <c r="N29" s="116">
        <f>+'II-E-1'!U49</f>
        <v>0</v>
      </c>
      <c r="O29" s="116">
        <f>+'II-E-1'!V49</f>
        <v>0</v>
      </c>
      <c r="P29" s="122">
        <f t="shared" si="0"/>
        <v>61730996.340000004</v>
      </c>
    </row>
    <row r="30" spans="1:16">
      <c r="A30" s="125" t="s">
        <v>112</v>
      </c>
      <c r="B30" s="125" t="s">
        <v>113</v>
      </c>
      <c r="D30" s="116">
        <f>+'II-E-1'!G50</f>
        <v>34057475.969999999</v>
      </c>
      <c r="E30" s="116">
        <f>+'II-E-1'!H50</f>
        <v>6099264.3300000001</v>
      </c>
      <c r="F30" s="116">
        <f>+'II-E-1'!I50</f>
        <v>40156740.299999997</v>
      </c>
      <c r="G30" s="116">
        <f>+'II-E-1'!N50</f>
        <v>0</v>
      </c>
      <c r="H30" s="116">
        <f>+'II-E-1'!O50</f>
        <v>0</v>
      </c>
      <c r="I30" s="116">
        <f>+'II-E-1'!P50</f>
        <v>0</v>
      </c>
      <c r="J30" s="116">
        <f>+'II-E-1'!Q50</f>
        <v>0</v>
      </c>
      <c r="K30" s="116">
        <f>+'II-E-1'!R50</f>
        <v>40143407.219999999</v>
      </c>
      <c r="L30" s="116">
        <f>+'II-E-1'!S50</f>
        <v>13333.08</v>
      </c>
      <c r="M30" s="116">
        <f>+'II-E-1'!T50</f>
        <v>40156740.299999997</v>
      </c>
      <c r="N30" s="116">
        <f>+'II-E-1'!U50</f>
        <v>0</v>
      </c>
      <c r="O30" s="116">
        <f>+'II-E-1'!V50</f>
        <v>0</v>
      </c>
      <c r="P30" s="122">
        <f t="shared" si="0"/>
        <v>40156740.299999997</v>
      </c>
    </row>
    <row r="31" spans="1:16">
      <c r="A31" s="125" t="s">
        <v>114</v>
      </c>
      <c r="B31" s="125" t="s">
        <v>115</v>
      </c>
      <c r="D31" s="116">
        <f>+'II-E-1'!G51</f>
        <v>67389875.620000005</v>
      </c>
      <c r="E31" s="116">
        <f>+'II-E-1'!H51</f>
        <v>12540555.24</v>
      </c>
      <c r="F31" s="116">
        <f>+'II-E-1'!I51</f>
        <v>79930430.859999999</v>
      </c>
      <c r="G31" s="116">
        <f>+'II-E-1'!N51</f>
        <v>0</v>
      </c>
      <c r="H31" s="116">
        <f>+'II-E-1'!O51</f>
        <v>0</v>
      </c>
      <c r="I31" s="116">
        <f>+'II-E-1'!P51</f>
        <v>0</v>
      </c>
      <c r="J31" s="116">
        <f>+'II-E-1'!Q51</f>
        <v>0</v>
      </c>
      <c r="K31" s="116">
        <f>+'II-E-1'!R51</f>
        <v>79884161.159999996</v>
      </c>
      <c r="L31" s="116">
        <f>+'II-E-1'!S51</f>
        <v>46269.7</v>
      </c>
      <c r="M31" s="116">
        <f>+'II-E-1'!T51</f>
        <v>79930430.859999999</v>
      </c>
      <c r="N31" s="116">
        <f>+'II-E-1'!U51</f>
        <v>0</v>
      </c>
      <c r="O31" s="116">
        <f>+'II-E-1'!V51</f>
        <v>0</v>
      </c>
      <c r="P31" s="122">
        <f t="shared" si="0"/>
        <v>79930430.859999999</v>
      </c>
    </row>
    <row r="32" spans="1:16">
      <c r="A32" s="125" t="s">
        <v>116</v>
      </c>
      <c r="B32" s="125" t="s">
        <v>117</v>
      </c>
      <c r="D32" s="116">
        <f>+'II-E-1'!G52</f>
        <v>68754514.599999994</v>
      </c>
      <c r="E32" s="116">
        <f>+'II-E-1'!H52</f>
        <v>5991526.1900000004</v>
      </c>
      <c r="F32" s="116">
        <f>+'II-E-1'!I52</f>
        <v>74746040.789999992</v>
      </c>
      <c r="G32" s="116">
        <f>+'II-E-1'!N52</f>
        <v>0</v>
      </c>
      <c r="H32" s="116">
        <f>+'II-E-1'!O52</f>
        <v>0</v>
      </c>
      <c r="I32" s="116">
        <f>+'II-E-1'!P52</f>
        <v>0</v>
      </c>
      <c r="J32" s="116">
        <f>+'II-E-1'!Q52</f>
        <v>0</v>
      </c>
      <c r="K32" s="116">
        <f>+'II-E-1'!R52</f>
        <v>74745921.769999996</v>
      </c>
      <c r="L32" s="116">
        <f>+'II-E-1'!S52</f>
        <v>119.02</v>
      </c>
      <c r="M32" s="116">
        <f>+'II-E-1'!T52</f>
        <v>74746040.789999992</v>
      </c>
      <c r="N32" s="116">
        <f>+'II-E-1'!U52</f>
        <v>0</v>
      </c>
      <c r="O32" s="116">
        <f>+'II-E-1'!V52</f>
        <v>0</v>
      </c>
      <c r="P32" s="122">
        <f t="shared" si="0"/>
        <v>74746040.789999992</v>
      </c>
    </row>
    <row r="33" spans="1:16">
      <c r="A33" s="125" t="s">
        <v>118</v>
      </c>
      <c r="B33" s="125" t="s">
        <v>119</v>
      </c>
      <c r="D33" s="116">
        <f>+'II-E-1'!G53</f>
        <v>57182473.460000001</v>
      </c>
      <c r="E33" s="116">
        <f>+'II-E-1'!H53</f>
        <v>11845939.890000001</v>
      </c>
      <c r="F33" s="116">
        <f>+'II-E-1'!I53</f>
        <v>69028413.349999994</v>
      </c>
      <c r="G33" s="116">
        <f>+'II-E-1'!N53</f>
        <v>0</v>
      </c>
      <c r="H33" s="116">
        <f>+'II-E-1'!O53</f>
        <v>0</v>
      </c>
      <c r="I33" s="116">
        <f>+'II-E-1'!P53</f>
        <v>0</v>
      </c>
      <c r="J33" s="116">
        <f>+'II-E-1'!Q53</f>
        <v>0</v>
      </c>
      <c r="K33" s="116">
        <f>+'II-E-1'!R53</f>
        <v>69028413.349999994</v>
      </c>
      <c r="L33" s="116">
        <f>+'II-E-1'!S53</f>
        <v>0</v>
      </c>
      <c r="M33" s="116">
        <f>+'II-E-1'!T53</f>
        <v>69028413.349999994</v>
      </c>
      <c r="N33" s="116">
        <f>+'II-E-1'!U53</f>
        <v>0</v>
      </c>
      <c r="O33" s="116">
        <f>+'II-E-1'!V53</f>
        <v>0</v>
      </c>
      <c r="P33" s="122">
        <f t="shared" si="0"/>
        <v>69028413.349999994</v>
      </c>
    </row>
    <row r="34" spans="1:16">
      <c r="A34" s="125" t="s">
        <v>120</v>
      </c>
      <c r="B34" s="125" t="s">
        <v>121</v>
      </c>
      <c r="D34" s="116">
        <f>+'II-E-1'!G54</f>
        <v>21720667.18</v>
      </c>
      <c r="E34" s="116">
        <f>+'II-E-1'!H54</f>
        <v>-1407657.23</v>
      </c>
      <c r="F34" s="116">
        <f>+'II-E-1'!I54</f>
        <v>20313009.949999999</v>
      </c>
      <c r="G34" s="116">
        <f>+'II-E-1'!N54</f>
        <v>0</v>
      </c>
      <c r="H34" s="116">
        <f>+'II-E-1'!O54</f>
        <v>0</v>
      </c>
      <c r="I34" s="116">
        <f>+'II-E-1'!P54</f>
        <v>0</v>
      </c>
      <c r="J34" s="116">
        <f>+'II-E-1'!Q54</f>
        <v>0</v>
      </c>
      <c r="K34" s="116">
        <f>+'II-E-1'!R54</f>
        <v>0</v>
      </c>
      <c r="L34" s="116">
        <f>+'II-E-1'!S54</f>
        <v>0</v>
      </c>
      <c r="M34" s="116">
        <f>+'II-E-1'!T54</f>
        <v>0</v>
      </c>
      <c r="N34" s="116">
        <f>+'II-E-1'!U54</f>
        <v>20313009.949999999</v>
      </c>
      <c r="O34" s="116">
        <f>+'II-E-1'!V54</f>
        <v>0</v>
      </c>
      <c r="P34" s="122">
        <f t="shared" si="0"/>
        <v>20313009.949999999</v>
      </c>
    </row>
    <row r="35" spans="1:16">
      <c r="A35" s="125" t="s">
        <v>122</v>
      </c>
      <c r="B35" s="125" t="s">
        <v>123</v>
      </c>
      <c r="D35" s="116">
        <f>+'II-E-1'!G55</f>
        <v>2351974.7599999998</v>
      </c>
      <c r="E35" s="116">
        <f>+'II-E-1'!H55</f>
        <v>335973.2</v>
      </c>
      <c r="F35" s="116">
        <f>+'II-E-1'!I55</f>
        <v>2687947.96</v>
      </c>
      <c r="G35" s="116">
        <f>+'II-E-1'!N55</f>
        <v>0</v>
      </c>
      <c r="H35" s="116">
        <f>+'II-E-1'!O55</f>
        <v>0</v>
      </c>
      <c r="I35" s="116">
        <f>+'II-E-1'!P55</f>
        <v>0</v>
      </c>
      <c r="J35" s="116">
        <f>+'II-E-1'!Q55</f>
        <v>0</v>
      </c>
      <c r="K35" s="116">
        <f>+'II-E-1'!R55</f>
        <v>2687947.96</v>
      </c>
      <c r="L35" s="116">
        <f>+'II-E-1'!S55</f>
        <v>0</v>
      </c>
      <c r="M35" s="116">
        <f>+'II-E-1'!T55</f>
        <v>2687947.96</v>
      </c>
      <c r="N35" s="116">
        <f>+'II-E-1'!U55</f>
        <v>0</v>
      </c>
      <c r="O35" s="116">
        <f>+'II-E-1'!V55</f>
        <v>0</v>
      </c>
      <c r="P35" s="122">
        <f t="shared" si="0"/>
        <v>2687947.96</v>
      </c>
    </row>
    <row r="36" spans="1:16">
      <c r="A36" s="125" t="s">
        <v>124</v>
      </c>
      <c r="B36" s="125" t="s">
        <v>125</v>
      </c>
      <c r="D36" s="116">
        <f>+'II-E-1'!G56</f>
        <v>0</v>
      </c>
      <c r="E36" s="116">
        <f>+'II-E-1'!H56</f>
        <v>0</v>
      </c>
      <c r="F36" s="116">
        <f>+'II-E-1'!I56</f>
        <v>0</v>
      </c>
      <c r="G36" s="116">
        <f>+'II-E-1'!N56</f>
        <v>0</v>
      </c>
      <c r="H36" s="116">
        <f>+'II-E-1'!O56</f>
        <v>0</v>
      </c>
      <c r="I36" s="116">
        <f>+'II-E-1'!P56</f>
        <v>0</v>
      </c>
      <c r="J36" s="116">
        <f>+'II-E-1'!Q56</f>
        <v>0</v>
      </c>
      <c r="K36" s="116">
        <f>+'II-E-1'!R56</f>
        <v>0</v>
      </c>
      <c r="L36" s="116">
        <f>+'II-E-1'!S56</f>
        <v>0</v>
      </c>
      <c r="M36" s="116">
        <f>+'II-E-1'!T56</f>
        <v>0</v>
      </c>
      <c r="N36" s="116">
        <f>+'II-E-1'!U56</f>
        <v>0</v>
      </c>
      <c r="O36" s="116">
        <f>+'II-E-1'!V56</f>
        <v>0</v>
      </c>
      <c r="P36" s="122">
        <f t="shared" si="0"/>
        <v>0</v>
      </c>
    </row>
    <row r="37" spans="1:16">
      <c r="A37" s="125" t="s">
        <v>150</v>
      </c>
      <c r="B37" s="125" t="s">
        <v>126</v>
      </c>
      <c r="D37" s="116">
        <f>+'II-E-1'!G57</f>
        <v>24930169.34</v>
      </c>
      <c r="E37" s="116">
        <f>+'II-E-1'!H57</f>
        <v>976137.05</v>
      </c>
      <c r="F37" s="116">
        <f>+'II-E-1'!I57</f>
        <v>25906306.390000001</v>
      </c>
      <c r="G37" s="116">
        <f>+'II-E-1'!N57</f>
        <v>0</v>
      </c>
      <c r="H37" s="116">
        <f>+'II-E-1'!O57</f>
        <v>0</v>
      </c>
      <c r="I37" s="116">
        <f>+'II-E-1'!P57</f>
        <v>0</v>
      </c>
      <c r="J37" s="116">
        <f>+'II-E-1'!Q57</f>
        <v>0</v>
      </c>
      <c r="K37" s="116">
        <f>+'II-E-1'!R57</f>
        <v>25905960.890000001</v>
      </c>
      <c r="L37" s="116">
        <f>+'II-E-1'!S57</f>
        <v>345.5</v>
      </c>
      <c r="M37" s="116">
        <f>+'II-E-1'!T57</f>
        <v>25906306.390000001</v>
      </c>
      <c r="N37" s="116">
        <f>+'II-E-1'!U57</f>
        <v>0</v>
      </c>
      <c r="O37" s="116">
        <f>+'II-E-1'!V57</f>
        <v>0</v>
      </c>
      <c r="P37" s="122">
        <f t="shared" si="0"/>
        <v>25906306.390000001</v>
      </c>
    </row>
    <row r="38" spans="1:16">
      <c r="A38" s="126" t="s">
        <v>204</v>
      </c>
      <c r="B38" s="126" t="s">
        <v>90</v>
      </c>
      <c r="D38" s="116">
        <f>+'II-E-1'!G63</f>
        <v>2761.04</v>
      </c>
      <c r="E38" s="116">
        <f>+'II-E-1'!H63</f>
        <v>65.86</v>
      </c>
      <c r="F38" s="116">
        <f>+'II-E-1'!I63</f>
        <v>2826.9</v>
      </c>
      <c r="G38" s="116">
        <f>+'II-E-1'!N63</f>
        <v>1197.03</v>
      </c>
      <c r="H38" s="116">
        <f>+'II-E-1'!O63</f>
        <v>0</v>
      </c>
      <c r="I38" s="116">
        <f>+'II-E-1'!P63</f>
        <v>0</v>
      </c>
      <c r="J38" s="116">
        <f>+'II-E-1'!Q63</f>
        <v>1197.03</v>
      </c>
      <c r="K38" s="116">
        <f>+'II-E-1'!R63</f>
        <v>1539.35</v>
      </c>
      <c r="L38" s="116">
        <f>+'II-E-1'!S63</f>
        <v>0</v>
      </c>
      <c r="M38" s="116">
        <f>+'II-E-1'!T63</f>
        <v>1539.35</v>
      </c>
      <c r="N38" s="116">
        <f>+'II-E-1'!U63</f>
        <v>64.39</v>
      </c>
      <c r="O38" s="116">
        <f>+'II-E-1'!V63</f>
        <v>26.13</v>
      </c>
      <c r="P38" s="122">
        <f t="shared" si="0"/>
        <v>2826.9</v>
      </c>
    </row>
    <row r="39" spans="1:16">
      <c r="A39" s="126" t="s">
        <v>127</v>
      </c>
      <c r="B39" s="126" t="s">
        <v>88</v>
      </c>
      <c r="D39" s="116">
        <f>+'II-E-1'!G64</f>
        <v>7443096.5999999996</v>
      </c>
      <c r="E39" s="116">
        <f>+'II-E-1'!H64</f>
        <v>750689.99</v>
      </c>
      <c r="F39" s="116">
        <f>+'II-E-1'!I64</f>
        <v>8193786.5899999999</v>
      </c>
      <c r="G39" s="116">
        <f>+'II-E-1'!N64</f>
        <v>2635235.08</v>
      </c>
      <c r="H39" s="116">
        <f>+'II-E-1'!O64</f>
        <v>29688.41</v>
      </c>
      <c r="I39" s="116">
        <f>+'II-E-1'!P64</f>
        <v>0</v>
      </c>
      <c r="J39" s="116">
        <f>+'II-E-1'!Q64</f>
        <v>2664923.4900000002</v>
      </c>
      <c r="K39" s="116">
        <f>+'II-E-1'!R64</f>
        <v>4484234.24</v>
      </c>
      <c r="L39" s="116">
        <f>+'II-E-1'!S64</f>
        <v>0</v>
      </c>
      <c r="M39" s="116">
        <f>+'II-E-1'!T64</f>
        <v>4484234.24</v>
      </c>
      <c r="N39" s="116">
        <f>+'II-E-1'!U64</f>
        <v>666116.93999999994</v>
      </c>
      <c r="O39" s="116">
        <f>+'II-E-1'!V64</f>
        <v>378511.92</v>
      </c>
      <c r="P39" s="122">
        <f t="shared" si="0"/>
        <v>8193786.5899999999</v>
      </c>
    </row>
    <row r="40" spans="1:16">
      <c r="A40" s="126" t="s">
        <v>128</v>
      </c>
      <c r="B40" s="126" t="s">
        <v>212</v>
      </c>
      <c r="D40" s="116">
        <f>+'II-E-1'!G65</f>
        <v>31714261.27</v>
      </c>
      <c r="E40" s="116">
        <f>+'II-E-1'!H65</f>
        <v>-29841529.309999999</v>
      </c>
      <c r="F40" s="116">
        <f>+'II-E-1'!I65</f>
        <v>1872731.9600000009</v>
      </c>
      <c r="G40" s="116">
        <f>+'II-E-1'!N65</f>
        <v>684218.69</v>
      </c>
      <c r="H40" s="116">
        <f>+'II-E-1'!O65</f>
        <v>140978.07999999999</v>
      </c>
      <c r="I40" s="116">
        <f>+'II-E-1'!P65</f>
        <v>0</v>
      </c>
      <c r="J40" s="116">
        <f>+'II-E-1'!Q65</f>
        <v>825196.7699999999</v>
      </c>
      <c r="K40" s="116">
        <f>+'II-E-1'!R65</f>
        <v>872993.73</v>
      </c>
      <c r="L40" s="116">
        <f>+'II-E-1'!S65</f>
        <v>0</v>
      </c>
      <c r="M40" s="116">
        <f>+'II-E-1'!T65</f>
        <v>872993.73</v>
      </c>
      <c r="N40" s="116">
        <f>+'II-E-1'!U65</f>
        <v>103421.83</v>
      </c>
      <c r="O40" s="116">
        <f>+'II-E-1'!V65</f>
        <v>71119.63</v>
      </c>
      <c r="P40" s="122">
        <f t="shared" si="0"/>
        <v>1872731.96</v>
      </c>
    </row>
    <row r="41" spans="1:16">
      <c r="A41" s="126" t="s">
        <v>129</v>
      </c>
      <c r="B41" s="126" t="s">
        <v>211</v>
      </c>
      <c r="D41" s="116">
        <f>+'II-E-1'!G66</f>
        <v>1894795.83</v>
      </c>
      <c r="E41" s="116">
        <f>+'II-E-1'!H66</f>
        <v>108861.65</v>
      </c>
      <c r="F41" s="116">
        <f>+'II-E-1'!I66</f>
        <v>2003657.48</v>
      </c>
      <c r="G41" s="116">
        <f>+'II-E-1'!N66</f>
        <v>963840.19</v>
      </c>
      <c r="H41" s="116">
        <f>+'II-E-1'!O66</f>
        <v>20261.73</v>
      </c>
      <c r="I41" s="116">
        <f>+'II-E-1'!P66</f>
        <v>0</v>
      </c>
      <c r="J41" s="116">
        <f>+'II-E-1'!Q66</f>
        <v>984101.91999999993</v>
      </c>
      <c r="K41" s="116">
        <f>+'II-E-1'!R66</f>
        <v>1019555.56</v>
      </c>
      <c r="L41" s="116">
        <f>+'II-E-1'!S66</f>
        <v>0</v>
      </c>
      <c r="M41" s="116">
        <f>+'II-E-1'!T66</f>
        <v>1019555.56</v>
      </c>
      <c r="N41" s="116">
        <f>+'II-E-1'!U66</f>
        <v>0</v>
      </c>
      <c r="O41" s="116">
        <f>+'II-E-1'!V66</f>
        <v>0</v>
      </c>
      <c r="P41" s="122">
        <f t="shared" si="0"/>
        <v>2003657.48</v>
      </c>
    </row>
    <row r="42" spans="1:16">
      <c r="A42" s="126" t="s">
        <v>130</v>
      </c>
      <c r="B42" s="126" t="s">
        <v>210</v>
      </c>
      <c r="D42" s="116">
        <f>+'II-E-1'!G67</f>
        <v>383122.8</v>
      </c>
      <c r="E42" s="116">
        <f>+'II-E-1'!H67</f>
        <v>21823.29</v>
      </c>
      <c r="F42" s="116">
        <f>+'II-E-1'!I67</f>
        <v>404946.08999999997</v>
      </c>
      <c r="G42" s="116">
        <f>+'II-E-1'!N67</f>
        <v>144269.21</v>
      </c>
      <c r="H42" s="116">
        <f>+'II-E-1'!O67</f>
        <v>0</v>
      </c>
      <c r="I42" s="116">
        <f>+'II-E-1'!P67</f>
        <v>0</v>
      </c>
      <c r="J42" s="116">
        <f>+'II-E-1'!Q67</f>
        <v>144269.21</v>
      </c>
      <c r="K42" s="116">
        <f>+'II-E-1'!R67</f>
        <v>241776.52</v>
      </c>
      <c r="L42" s="116">
        <f>+'II-E-1'!S67</f>
        <v>0</v>
      </c>
      <c r="M42" s="116">
        <f>+'II-E-1'!T67</f>
        <v>241776.52</v>
      </c>
      <c r="N42" s="116">
        <f>+'II-E-1'!U67</f>
        <v>18900.36</v>
      </c>
      <c r="O42" s="116">
        <f>+'II-E-1'!V67</f>
        <v>0</v>
      </c>
      <c r="P42" s="122">
        <f t="shared" si="0"/>
        <v>404946.08999999997</v>
      </c>
    </row>
    <row r="43" spans="1:16">
      <c r="A43" s="126" t="s">
        <v>131</v>
      </c>
      <c r="B43" s="126" t="s">
        <v>209</v>
      </c>
      <c r="D43" s="116">
        <f>+'II-E-1'!G68</f>
        <v>3061645.09</v>
      </c>
      <c r="E43" s="116">
        <f>+'II-E-1'!H68</f>
        <v>150941.60999999999</v>
      </c>
      <c r="F43" s="116">
        <f>+'II-E-1'!I68</f>
        <v>3212586.6999999997</v>
      </c>
      <c r="G43" s="116">
        <f>+'II-E-1'!N68</f>
        <v>1197771.42</v>
      </c>
      <c r="H43" s="116">
        <f>+'II-E-1'!O68</f>
        <v>3065.84</v>
      </c>
      <c r="I43" s="116">
        <f>+'II-E-1'!P68</f>
        <v>0</v>
      </c>
      <c r="J43" s="116">
        <f>+'II-E-1'!Q68</f>
        <v>1200837.26</v>
      </c>
      <c r="K43" s="116">
        <f>+'II-E-1'!R68</f>
        <v>1862721.24</v>
      </c>
      <c r="L43" s="116">
        <f>+'II-E-1'!S68</f>
        <v>0</v>
      </c>
      <c r="M43" s="116">
        <f>+'II-E-1'!T68</f>
        <v>1862721.24</v>
      </c>
      <c r="N43" s="116">
        <f>+'II-E-1'!U68</f>
        <v>149028.20000000001</v>
      </c>
      <c r="O43" s="116">
        <f>+'II-E-1'!V68</f>
        <v>0</v>
      </c>
      <c r="P43" s="122">
        <f t="shared" si="0"/>
        <v>3212586.7</v>
      </c>
    </row>
    <row r="44" spans="1:16">
      <c r="A44" s="126" t="s">
        <v>132</v>
      </c>
      <c r="B44" s="126" t="s">
        <v>208</v>
      </c>
      <c r="D44" s="116">
        <f>+'II-E-1'!G69</f>
        <v>3555144.55</v>
      </c>
      <c r="E44" s="116">
        <f>+'II-E-1'!H69</f>
        <v>80202.25</v>
      </c>
      <c r="F44" s="116">
        <f>+'II-E-1'!I69</f>
        <v>3635346.8</v>
      </c>
      <c r="G44" s="116">
        <f>+'II-E-1'!N69</f>
        <v>2109846.2400000002</v>
      </c>
      <c r="H44" s="116">
        <f>+'II-E-1'!O69</f>
        <v>0</v>
      </c>
      <c r="I44" s="116">
        <f>+'II-E-1'!P69</f>
        <v>0</v>
      </c>
      <c r="J44" s="116">
        <f>+'II-E-1'!Q69</f>
        <v>2109846.2400000002</v>
      </c>
      <c r="K44" s="116">
        <f>+'II-E-1'!R69</f>
        <v>1349974.31</v>
      </c>
      <c r="L44" s="116">
        <f>+'II-E-1'!S69</f>
        <v>0</v>
      </c>
      <c r="M44" s="116">
        <f>+'II-E-1'!T69</f>
        <v>1349974.31</v>
      </c>
      <c r="N44" s="116">
        <f>+'II-E-1'!U69</f>
        <v>175526.25</v>
      </c>
      <c r="O44" s="116">
        <f>+'II-E-1'!V69</f>
        <v>0</v>
      </c>
      <c r="P44" s="122">
        <f t="shared" si="0"/>
        <v>3635346.8000000003</v>
      </c>
    </row>
    <row r="45" spans="1:16">
      <c r="A45" s="126" t="s">
        <v>133</v>
      </c>
      <c r="B45" s="126" t="s">
        <v>134</v>
      </c>
      <c r="D45" s="116">
        <f>+'II-E-1'!G70</f>
        <v>801773.1</v>
      </c>
      <c r="E45" s="116">
        <f>+'II-E-1'!H70</f>
        <v>164737.45000000001</v>
      </c>
      <c r="F45" s="116">
        <f>+'II-E-1'!I70</f>
        <v>966510.55</v>
      </c>
      <c r="G45" s="116">
        <f>+'II-E-1'!N70</f>
        <v>191221.62</v>
      </c>
      <c r="H45" s="116">
        <f>+'II-E-1'!O70</f>
        <v>29474.82</v>
      </c>
      <c r="I45" s="116">
        <f>+'II-E-1'!P70</f>
        <v>0</v>
      </c>
      <c r="J45" s="116">
        <f>+'II-E-1'!Q70</f>
        <v>220696.44</v>
      </c>
      <c r="K45" s="116">
        <f>+'II-E-1'!R70</f>
        <v>670961.80000000005</v>
      </c>
      <c r="L45" s="116">
        <f>+'II-E-1'!S70</f>
        <v>0</v>
      </c>
      <c r="M45" s="116">
        <f>+'II-E-1'!T70</f>
        <v>670961.80000000005</v>
      </c>
      <c r="N45" s="116">
        <f>+'II-E-1'!U70</f>
        <v>74852.31</v>
      </c>
      <c r="O45" s="116">
        <f>+'II-E-1'!V70</f>
        <v>0</v>
      </c>
      <c r="P45" s="122">
        <f t="shared" si="0"/>
        <v>966510.55</v>
      </c>
    </row>
    <row r="46" spans="1:16">
      <c r="A46" s="126" t="s">
        <v>1051</v>
      </c>
      <c r="B46" s="126" t="s">
        <v>1044</v>
      </c>
      <c r="D46" s="116">
        <f>+'II-E-1'!G71</f>
        <v>0</v>
      </c>
      <c r="E46" s="116">
        <f>+'II-E-1'!H71</f>
        <v>33007312.989999998</v>
      </c>
      <c r="F46" s="116">
        <f>+'II-E-1'!I71</f>
        <v>33007312.989999998</v>
      </c>
      <c r="G46" s="116">
        <f>+'II-E-1'!N71</f>
        <v>8162694.2199999997</v>
      </c>
      <c r="H46" s="116">
        <f>+'II-E-1'!O71</f>
        <v>0</v>
      </c>
      <c r="I46" s="116">
        <f>+'II-E-1'!P71</f>
        <v>0</v>
      </c>
      <c r="J46" s="116">
        <f>+'II-E-1'!Q71</f>
        <v>8162694.2199999997</v>
      </c>
      <c r="K46" s="116">
        <f>+'II-E-1'!R71</f>
        <v>13211162.220000001</v>
      </c>
      <c r="L46" s="116">
        <f>+'II-E-1'!S71</f>
        <v>0</v>
      </c>
      <c r="M46" s="116">
        <f>+'II-E-1'!T71</f>
        <v>13211162.220000001</v>
      </c>
      <c r="N46" s="116">
        <f>+'II-E-1'!U71</f>
        <v>3187582.92</v>
      </c>
      <c r="O46" s="116">
        <f>+'II-E-1'!V71</f>
        <v>8445873.6300000008</v>
      </c>
      <c r="P46" s="122">
        <f t="shared" si="0"/>
        <v>33007312.990000002</v>
      </c>
    </row>
    <row r="47" spans="1:16" s="366" customFormat="1">
      <c r="A47" s="126" t="s">
        <v>1052</v>
      </c>
      <c r="B47" s="126" t="s">
        <v>1046</v>
      </c>
      <c r="D47" s="116">
        <f>+'II-E-1'!G72</f>
        <v>0</v>
      </c>
      <c r="E47" s="116">
        <f>+'II-E-1'!H72</f>
        <v>59789519.740000002</v>
      </c>
      <c r="F47" s="116">
        <f>+'II-E-1'!I72</f>
        <v>59789519.740000002</v>
      </c>
      <c r="G47" s="116">
        <f>+'II-E-1'!N72</f>
        <v>27598244.41</v>
      </c>
      <c r="H47" s="116">
        <f>+'II-E-1'!O72</f>
        <v>0</v>
      </c>
      <c r="I47" s="116">
        <f>+'II-E-1'!P72</f>
        <v>0</v>
      </c>
      <c r="J47" s="116">
        <f>+'II-E-1'!Q72</f>
        <v>27598244.41</v>
      </c>
      <c r="K47" s="116">
        <f>+'II-E-1'!R72</f>
        <v>31269918.829999998</v>
      </c>
      <c r="L47" s="116">
        <f>+'II-E-1'!S72</f>
        <v>0</v>
      </c>
      <c r="M47" s="116">
        <f>+'II-E-1'!T72</f>
        <v>31269918.829999998</v>
      </c>
      <c r="N47" s="116">
        <f>+'II-E-1'!U72</f>
        <v>860969.08</v>
      </c>
      <c r="O47" s="116">
        <f>+'II-E-1'!V72</f>
        <v>60387.42</v>
      </c>
      <c r="P47" s="122">
        <f t="shared" ref="P47:P48" si="3">+J47+M47+N47+O47</f>
        <v>59789519.739999995</v>
      </c>
    </row>
    <row r="48" spans="1:16" s="366" customFormat="1">
      <c r="A48" s="126" t="s">
        <v>1053</v>
      </c>
      <c r="B48" s="126" t="s">
        <v>372</v>
      </c>
      <c r="D48" s="116">
        <f>+'II-E-1'!G73</f>
        <v>7298048.0700000003</v>
      </c>
      <c r="E48" s="116">
        <f>+'II-E-1'!H73</f>
        <v>4138652.5</v>
      </c>
      <c r="F48" s="116">
        <f>+'II-E-1'!I73</f>
        <v>11436700.57</v>
      </c>
      <c r="G48" s="116">
        <f>+'II-E-1'!N73</f>
        <v>4403742.8</v>
      </c>
      <c r="H48" s="116">
        <f>+'II-E-1'!O73</f>
        <v>1179.3499999999999</v>
      </c>
      <c r="I48" s="116">
        <f>+'II-E-1'!P73</f>
        <v>0</v>
      </c>
      <c r="J48" s="116">
        <f>+'II-E-1'!Q73</f>
        <v>4404922.1499999994</v>
      </c>
      <c r="K48" s="116">
        <f>+'II-E-1'!R73</f>
        <v>5714691.2800000003</v>
      </c>
      <c r="L48" s="116">
        <f>+'II-E-1'!S73</f>
        <v>0</v>
      </c>
      <c r="M48" s="116">
        <f>+'II-E-1'!T73</f>
        <v>5714691.2800000003</v>
      </c>
      <c r="N48" s="116">
        <f>+'II-E-1'!U73</f>
        <v>789978.38</v>
      </c>
      <c r="O48" s="116">
        <f>+'II-E-1'!V73</f>
        <v>527108.76</v>
      </c>
      <c r="P48" s="122">
        <f t="shared" si="3"/>
        <v>11436700.57</v>
      </c>
    </row>
    <row r="49" spans="1:16">
      <c r="A49" s="126" t="s">
        <v>135</v>
      </c>
      <c r="B49" s="126" t="s">
        <v>207</v>
      </c>
      <c r="D49" s="116">
        <f>+'II-E-1'!G74</f>
        <v>943947.53</v>
      </c>
      <c r="E49" s="116">
        <f>+'II-E-1'!H74</f>
        <v>89730.02</v>
      </c>
      <c r="F49" s="116">
        <f>+'II-E-1'!I74</f>
        <v>1033677.55</v>
      </c>
      <c r="G49" s="116">
        <f>+'II-E-1'!N74</f>
        <v>378991.01</v>
      </c>
      <c r="H49" s="116">
        <f>+'II-E-1'!O74</f>
        <v>1834.87</v>
      </c>
      <c r="I49" s="116">
        <f>+'II-E-1'!P74</f>
        <v>0</v>
      </c>
      <c r="J49" s="116">
        <f>+'II-E-1'!Q74</f>
        <v>380825.88</v>
      </c>
      <c r="K49" s="116">
        <f>+'II-E-1'!R74</f>
        <v>563858.28</v>
      </c>
      <c r="L49" s="116">
        <f>+'II-E-1'!S74</f>
        <v>0</v>
      </c>
      <c r="M49" s="116">
        <f>+'II-E-1'!T74</f>
        <v>563858.28</v>
      </c>
      <c r="N49" s="116">
        <f>+'II-E-1'!U74</f>
        <v>88993.39</v>
      </c>
      <c r="O49" s="116">
        <f>+'II-E-1'!V74</f>
        <v>0</v>
      </c>
      <c r="P49" s="122">
        <f t="shared" si="0"/>
        <v>1033677.55</v>
      </c>
    </row>
    <row r="50" spans="1:16">
      <c r="A50" s="126" t="s">
        <v>136</v>
      </c>
      <c r="B50" s="126" t="s">
        <v>206</v>
      </c>
      <c r="D50" s="116">
        <f>+'II-E-1'!G75</f>
        <v>0</v>
      </c>
      <c r="E50" s="116">
        <f>+'II-E-1'!H75</f>
        <v>0</v>
      </c>
      <c r="F50" s="116">
        <f>+'II-E-1'!I75</f>
        <v>0</v>
      </c>
      <c r="G50" s="116">
        <f>+'II-E-1'!N75</f>
        <v>0</v>
      </c>
      <c r="H50" s="116">
        <f>+'II-E-1'!O75</f>
        <v>0</v>
      </c>
      <c r="I50" s="116">
        <f>+'II-E-1'!P75</f>
        <v>0</v>
      </c>
      <c r="J50" s="116">
        <f>+'II-E-1'!Q75</f>
        <v>0</v>
      </c>
      <c r="K50" s="116">
        <f>+'II-E-1'!R75</f>
        <v>0</v>
      </c>
      <c r="L50" s="116">
        <f>+'II-E-1'!S75</f>
        <v>0</v>
      </c>
      <c r="M50" s="116">
        <f>+'II-E-1'!T75</f>
        <v>0</v>
      </c>
      <c r="N50" s="116">
        <f>+'II-E-1'!U75</f>
        <v>0</v>
      </c>
      <c r="O50" s="116">
        <f>+'II-E-1'!V75</f>
        <v>0</v>
      </c>
      <c r="P50" s="122">
        <f t="shared" si="0"/>
        <v>0</v>
      </c>
    </row>
    <row r="51" spans="1:16">
      <c r="A51" s="126" t="s">
        <v>136</v>
      </c>
      <c r="B51" s="126" t="s">
        <v>205</v>
      </c>
      <c r="D51" s="116">
        <f>+'II-E-1'!G76</f>
        <v>0</v>
      </c>
      <c r="E51" s="116">
        <f>+'II-E-1'!H76</f>
        <v>0</v>
      </c>
      <c r="F51" s="116">
        <f>+'II-E-1'!I76</f>
        <v>0</v>
      </c>
      <c r="G51" s="116">
        <f>+'II-E-1'!N76</f>
        <v>0</v>
      </c>
      <c r="H51" s="116">
        <f>+'II-E-1'!O76</f>
        <v>0</v>
      </c>
      <c r="I51" s="116">
        <f>+'II-E-1'!P76</f>
        <v>0</v>
      </c>
      <c r="J51" s="116">
        <f>+'II-E-1'!Q76</f>
        <v>0</v>
      </c>
      <c r="K51" s="116">
        <f>+'II-E-1'!R76</f>
        <v>0</v>
      </c>
      <c r="L51" s="116">
        <f>+'II-E-1'!S76</f>
        <v>0</v>
      </c>
      <c r="M51" s="116">
        <f>+'II-E-1'!T76</f>
        <v>0</v>
      </c>
      <c r="N51" s="116">
        <f>+'II-E-1'!U76</f>
        <v>0</v>
      </c>
      <c r="O51" s="116">
        <f>+'II-E-1'!V76</f>
        <v>0</v>
      </c>
      <c r="P51" s="122">
        <f t="shared" si="0"/>
        <v>0</v>
      </c>
    </row>
    <row r="53" spans="1:16">
      <c r="A53" s="59" t="s">
        <v>330</v>
      </c>
      <c r="D53" s="116">
        <f>+'II-E-4.1'!G26</f>
        <v>-32624.000000000004</v>
      </c>
      <c r="E53" s="116">
        <f>+'II-E-4.1'!H26</f>
        <v>0</v>
      </c>
      <c r="F53" s="116">
        <f>+'II-E-4.1'!I26</f>
        <v>-32624.000000000004</v>
      </c>
      <c r="G53" s="116">
        <f>+'II-E-4.1'!N26</f>
        <v>-32624.000000000004</v>
      </c>
      <c r="H53" s="116">
        <f>+'II-E-4.1'!O26</f>
        <v>0</v>
      </c>
      <c r="I53" s="116">
        <f>+'II-E-4.1'!P26</f>
        <v>0</v>
      </c>
      <c r="J53" s="116">
        <f>+'II-E-4.1'!Q26</f>
        <v>-32624.000000000004</v>
      </c>
      <c r="K53" s="116">
        <f>+'II-E-4.1'!R26</f>
        <v>0</v>
      </c>
      <c r="L53" s="116">
        <f>+'II-E-4.1'!S26</f>
        <v>0</v>
      </c>
      <c r="M53" s="116">
        <f>+'II-E-4.1'!T26</f>
        <v>0</v>
      </c>
      <c r="N53" s="116">
        <f>+'II-E-4.1'!U26</f>
        <v>0</v>
      </c>
      <c r="O53" s="116">
        <f>+'II-E-4.1'!V26</f>
        <v>0</v>
      </c>
      <c r="P53" s="122">
        <f t="shared" si="0"/>
        <v>-32624.000000000004</v>
      </c>
    </row>
    <row r="56" spans="1:16">
      <c r="A56" s="27" t="s">
        <v>154</v>
      </c>
      <c r="B56" s="116">
        <f>+'II-E-2'!E18</f>
        <v>20953312.190000001</v>
      </c>
      <c r="C56" s="116">
        <f>+'II-E-2'!F18</f>
        <v>0</v>
      </c>
      <c r="D56" s="116">
        <f>+'II-E-2'!G18</f>
        <v>20953312.190000001</v>
      </c>
      <c r="E56" s="116">
        <f>+'II-E-2'!H18</f>
        <v>-585894.08999999985</v>
      </c>
      <c r="F56" s="116">
        <f>+'II-E-2'!I18</f>
        <v>20367418.100000001</v>
      </c>
      <c r="G56" s="116">
        <f>+'II-E-2'!N18</f>
        <v>4578987.92</v>
      </c>
      <c r="H56" s="116">
        <f>+'II-E-2'!O18</f>
        <v>0</v>
      </c>
      <c r="I56" s="116">
        <f>+'II-E-2'!P18</f>
        <v>0</v>
      </c>
      <c r="J56" s="116">
        <f>+'II-E-2'!Q18</f>
        <v>4578987.92</v>
      </c>
      <c r="K56" s="116">
        <f>+'II-E-2'!R18</f>
        <v>12228771.32</v>
      </c>
      <c r="L56" s="116">
        <f>+'II-E-2'!S18</f>
        <v>0</v>
      </c>
      <c r="M56" s="116">
        <f>+'II-E-2'!T18</f>
        <v>12228771.32</v>
      </c>
      <c r="N56" s="116">
        <f>+'II-E-2'!U18</f>
        <v>3419493.17</v>
      </c>
      <c r="O56" s="116">
        <f>+'II-E-2'!V18</f>
        <v>140165.69000000134</v>
      </c>
      <c r="P56" s="122">
        <f t="shared" ref="P56:P58" si="4">+J56+M56+N56+O56</f>
        <v>20367418.100000005</v>
      </c>
    </row>
    <row r="57" spans="1:16">
      <c r="A57" s="27" t="s">
        <v>155</v>
      </c>
      <c r="B57" s="116">
        <f>+'II-E-2'!E19</f>
        <v>416408.25</v>
      </c>
      <c r="C57" s="116">
        <f>+'II-E-2'!F19</f>
        <v>0</v>
      </c>
      <c r="D57" s="116">
        <f>+'II-E-2'!G19</f>
        <v>416408.25</v>
      </c>
      <c r="E57" s="116">
        <f>+'II-E-2'!H19</f>
        <v>25716.219999999972</v>
      </c>
      <c r="F57" s="116">
        <f>+'II-E-2'!I19</f>
        <v>442124.47</v>
      </c>
      <c r="G57" s="116">
        <f>+'II-E-2'!N19</f>
        <v>99398.1</v>
      </c>
      <c r="H57" s="116">
        <f>+'II-E-2'!O19</f>
        <v>0</v>
      </c>
      <c r="I57" s="116">
        <f>+'II-E-2'!P19</f>
        <v>0</v>
      </c>
      <c r="J57" s="116">
        <f>+'II-E-2'!Q19</f>
        <v>99398.1</v>
      </c>
      <c r="K57" s="116">
        <f>+'II-E-2'!R19</f>
        <v>265455.3</v>
      </c>
      <c r="L57" s="116">
        <f>+'II-E-2'!S19</f>
        <v>0</v>
      </c>
      <c r="M57" s="116">
        <f>+'II-E-2'!T19</f>
        <v>265455.3</v>
      </c>
      <c r="N57" s="116">
        <f>+'II-E-2'!U19</f>
        <v>74228.44</v>
      </c>
      <c r="O57" s="116">
        <f>+'II-E-2'!V19</f>
        <v>3042.6300000000047</v>
      </c>
      <c r="P57" s="122">
        <f t="shared" si="4"/>
        <v>442124.47000000003</v>
      </c>
    </row>
    <row r="58" spans="1:16">
      <c r="A58" s="27" t="s">
        <v>275</v>
      </c>
      <c r="B58" s="116">
        <f>+'II-E-2'!E20</f>
        <v>473446.8</v>
      </c>
      <c r="C58" s="116">
        <f>+'II-E-2'!F20</f>
        <v>0</v>
      </c>
      <c r="D58" s="116">
        <f>+'II-E-2'!G20</f>
        <v>473446.8</v>
      </c>
      <c r="E58" s="116">
        <f>+'II-E-2'!H20</f>
        <v>-53168.709999999963</v>
      </c>
      <c r="F58" s="116">
        <f>+'II-E-2'!I20</f>
        <v>420278.09</v>
      </c>
      <c r="G58" s="116">
        <f>+'II-E-2'!N20</f>
        <v>94486.61</v>
      </c>
      <c r="H58" s="116">
        <f>+'II-E-2'!O20</f>
        <v>0</v>
      </c>
      <c r="I58" s="116">
        <f>+'II-E-2'!P20</f>
        <v>0</v>
      </c>
      <c r="J58" s="116">
        <f>+'II-E-2'!Q20</f>
        <v>94486.61</v>
      </c>
      <c r="K58" s="116">
        <f>+'II-E-2'!R20</f>
        <v>252338.55</v>
      </c>
      <c r="L58" s="116">
        <f>+'II-E-2'!S20</f>
        <v>0</v>
      </c>
      <c r="M58" s="116">
        <f>+'II-E-2'!T20</f>
        <v>252338.55</v>
      </c>
      <c r="N58" s="116">
        <f>+'II-E-2'!U20</f>
        <v>70560.639999999999</v>
      </c>
      <c r="O58" s="116">
        <f>+'II-E-2'!V20</f>
        <v>2892.2900000000518</v>
      </c>
      <c r="P58" s="122">
        <f t="shared" si="4"/>
        <v>420278.09</v>
      </c>
    </row>
    <row r="59" spans="1:16">
      <c r="K59" s="366"/>
      <c r="N59" s="366"/>
      <c r="O59" s="366"/>
    </row>
    <row r="60" spans="1:16">
      <c r="A60" s="27" t="s">
        <v>276</v>
      </c>
      <c r="B60" s="116">
        <f>+'II-E-2'!E25</f>
        <v>254333384.25</v>
      </c>
      <c r="C60" s="116">
        <f>+'II-E-2'!F25</f>
        <v>0</v>
      </c>
      <c r="D60" s="116">
        <f>+'II-E-2'!G25</f>
        <v>254333384.25</v>
      </c>
      <c r="E60" s="116">
        <f>+'II-E-2'!H25</f>
        <v>29220352.689999998</v>
      </c>
      <c r="F60" s="116">
        <f>+'II-E-2'!I25</f>
        <v>283553736.94</v>
      </c>
      <c r="G60" s="116">
        <f>+'II-E-2'!N25</f>
        <v>122493070.51000001</v>
      </c>
      <c r="H60" s="116">
        <f>+'II-E-2'!O25</f>
        <v>13048821.68</v>
      </c>
      <c r="I60" s="116">
        <f>+'II-E-2'!P25</f>
        <v>105236.94</v>
      </c>
      <c r="J60" s="116">
        <f>+'II-E-2'!Q25</f>
        <v>135647129.13</v>
      </c>
      <c r="K60" s="116">
        <f>+'II-E-2'!R25</f>
        <v>139899372.06999999</v>
      </c>
      <c r="L60" s="116">
        <f>+'II-E-2'!S25</f>
        <v>1042263.83</v>
      </c>
      <c r="M60" s="116">
        <f>+'II-E-2'!T25</f>
        <v>140941635.90000001</v>
      </c>
      <c r="N60" s="116">
        <f>+'II-E-2'!U25</f>
        <v>4193051.07</v>
      </c>
      <c r="O60" s="116">
        <f>+'II-E-2'!V25</f>
        <v>2771920.8399999966</v>
      </c>
      <c r="P60" s="122">
        <f t="shared" ref="P60" si="5">+J60+M60+N60+O60</f>
        <v>283553736.93999994</v>
      </c>
    </row>
    <row r="61" spans="1:16">
      <c r="K61" s="366"/>
      <c r="N61" s="366"/>
      <c r="O61" s="366"/>
    </row>
    <row r="62" spans="1:16">
      <c r="A62" s="54" t="s">
        <v>333</v>
      </c>
      <c r="B62" s="116">
        <f>+'II-E-2'!E31</f>
        <v>294946844.52999997</v>
      </c>
      <c r="C62" s="116">
        <f>+'II-E-2'!F31</f>
        <v>0</v>
      </c>
      <c r="D62" s="116">
        <f>+'II-E-2'!G31</f>
        <v>294946844.52999997</v>
      </c>
      <c r="E62" s="116">
        <f>+'II-E-2'!H31</f>
        <v>5095040.4200000167</v>
      </c>
      <c r="F62" s="116">
        <f>+'II-E-2'!I31</f>
        <v>300041884.94999999</v>
      </c>
      <c r="G62" s="116">
        <f>+'II-E-2'!N31</f>
        <v>0</v>
      </c>
      <c r="H62" s="116">
        <f>+'II-E-2'!O31</f>
        <v>0</v>
      </c>
      <c r="I62" s="116">
        <f>+'II-E-2'!P31</f>
        <v>0</v>
      </c>
      <c r="J62" s="116">
        <f>+'II-E-2'!Q31</f>
        <v>0</v>
      </c>
      <c r="K62" s="116">
        <f>+'II-E-2'!R31</f>
        <v>300041884.94999999</v>
      </c>
      <c r="L62" s="116">
        <f>+'II-E-2'!S31</f>
        <v>0</v>
      </c>
      <c r="M62" s="116">
        <f>+'II-E-2'!T31</f>
        <v>300041884.94999999</v>
      </c>
      <c r="N62" s="116">
        <f>+'II-E-2'!U31</f>
        <v>0</v>
      </c>
      <c r="O62" s="116">
        <f>+'II-E-2'!V31</f>
        <v>0</v>
      </c>
      <c r="P62" s="122">
        <f t="shared" ref="P62:P63" si="6">+J62+M62+N62+O62</f>
        <v>300041884.94999999</v>
      </c>
    </row>
    <row r="63" spans="1:16">
      <c r="A63" t="s">
        <v>47</v>
      </c>
      <c r="B63" s="116">
        <f>+'II-E-2'!E30</f>
        <v>31866850.189999998</v>
      </c>
      <c r="C63" s="116">
        <f>+'II-E-2'!F30</f>
        <v>0</v>
      </c>
      <c r="D63" s="116">
        <f>+'II-E-2'!G30</f>
        <v>31866850.189999998</v>
      </c>
      <c r="E63" s="116">
        <f>+'II-E-2'!H30</f>
        <v>6416796.8100000024</v>
      </c>
      <c r="F63" s="116">
        <f>+'II-E-2'!I30</f>
        <v>38283647</v>
      </c>
      <c r="G63" s="116">
        <f>+'II-E-2'!N30</f>
        <v>6129510.8200000003</v>
      </c>
      <c r="H63" s="116">
        <f>+'II-E-2'!O30</f>
        <v>520027.59</v>
      </c>
      <c r="I63" s="116">
        <f>+'II-E-2'!P30</f>
        <v>10989.64</v>
      </c>
      <c r="J63" s="116">
        <f>+'II-E-2'!Q30</f>
        <v>6660528.0499999998</v>
      </c>
      <c r="K63" s="116">
        <f>+'II-E-2'!R30</f>
        <v>29832300.199999999</v>
      </c>
      <c r="L63" s="116">
        <f>+'II-E-2'!S30</f>
        <v>0</v>
      </c>
      <c r="M63" s="116">
        <f>+'II-E-2'!T30</f>
        <v>29832300.199999999</v>
      </c>
      <c r="N63" s="116">
        <f>+'II-E-2'!U30</f>
        <v>1151630.57</v>
      </c>
      <c r="O63" s="116">
        <f>+'II-E-2'!V30</f>
        <v>639188.18000000005</v>
      </c>
      <c r="P63" s="122">
        <f t="shared" si="6"/>
        <v>38283647</v>
      </c>
    </row>
    <row r="64" spans="1:16">
      <c r="K64" s="366"/>
      <c r="N64" s="366"/>
      <c r="O64" s="366"/>
    </row>
    <row r="65" spans="1:16">
      <c r="A65" s="142" t="s">
        <v>200</v>
      </c>
      <c r="B65" s="116">
        <f>+'II-E-3'!E20</f>
        <v>653540734.52999997</v>
      </c>
      <c r="C65" s="116">
        <f>+'II-E-3'!F20</f>
        <v>0</v>
      </c>
      <c r="D65" s="116">
        <f>+'II-E-3'!G20</f>
        <v>653540734.52999997</v>
      </c>
      <c r="E65" s="116">
        <f>+'II-E-3'!H20</f>
        <v>66226887.5</v>
      </c>
      <c r="F65" s="116">
        <f>+'II-E-3'!I20</f>
        <v>719767622.02999997</v>
      </c>
      <c r="G65" s="116">
        <f>+'II-E-3'!N20</f>
        <v>301237409.81</v>
      </c>
      <c r="H65" s="116">
        <f>+'II-E-3'!O20</f>
        <v>30185120.219999999</v>
      </c>
      <c r="I65" s="116">
        <f>+'II-E-3'!P20</f>
        <v>251276.06</v>
      </c>
      <c r="J65" s="116">
        <f>+'II-E-3'!Q20</f>
        <v>331673806.08999997</v>
      </c>
      <c r="K65" s="116">
        <f>+'II-E-3'!R20</f>
        <v>367406953.74000001</v>
      </c>
      <c r="L65" s="116">
        <f>+'II-E-3'!S20</f>
        <v>2430105.3199999998</v>
      </c>
      <c r="M65" s="116">
        <f>+'II-E-3'!T20</f>
        <v>369837059.06</v>
      </c>
      <c r="N65" s="116">
        <f>+'II-E-3'!U20</f>
        <v>11998934.289999999</v>
      </c>
      <c r="O65" s="116">
        <f>+'II-E-3'!V20</f>
        <v>6257822.5999999996</v>
      </c>
      <c r="P65" s="122">
        <f t="shared" ref="P65:P70" si="7">+J65+M65+N65+O65</f>
        <v>719767622.03999996</v>
      </c>
    </row>
    <row r="66" spans="1:16">
      <c r="A66" s="142" t="s">
        <v>213</v>
      </c>
      <c r="B66" s="116">
        <f>+'II-E-3'!E21</f>
        <v>479524.92</v>
      </c>
      <c r="C66" s="116">
        <f>+'II-E-3'!F21</f>
        <v>0</v>
      </c>
      <c r="D66" s="116">
        <f>+'II-E-3'!G21</f>
        <v>479524.92</v>
      </c>
      <c r="E66" s="116">
        <f>+'II-E-3'!H21</f>
        <v>5704.570000000007</v>
      </c>
      <c r="F66" s="116">
        <f>+'II-E-3'!I21</f>
        <v>485229.49</v>
      </c>
      <c r="G66" s="116">
        <f>+'II-E-3'!N21</f>
        <v>485229.49</v>
      </c>
      <c r="H66" s="116">
        <f>+'II-E-3'!O21</f>
        <v>0</v>
      </c>
      <c r="I66" s="116">
        <f>+'II-E-3'!P21</f>
        <v>0</v>
      </c>
      <c r="J66" s="116">
        <f>+'II-E-3'!Q21</f>
        <v>485229.49</v>
      </c>
      <c r="K66" s="116">
        <f>+'II-E-3'!R21</f>
        <v>0</v>
      </c>
      <c r="L66" s="116">
        <f>+'II-E-3'!S21</f>
        <v>0</v>
      </c>
      <c r="M66" s="116">
        <f>+'II-E-3'!T21</f>
        <v>0</v>
      </c>
      <c r="N66" s="116">
        <f>+'II-E-3'!U21</f>
        <v>0</v>
      </c>
      <c r="O66" s="116">
        <f>+'II-E-3'!V21</f>
        <v>0</v>
      </c>
      <c r="P66" s="122">
        <f t="shared" si="7"/>
        <v>485229.49</v>
      </c>
    </row>
    <row r="67" spans="1:16">
      <c r="A67" s="142" t="s">
        <v>588</v>
      </c>
      <c r="B67" s="116">
        <f>+'II-E-3'!E22</f>
        <v>16233756.41</v>
      </c>
      <c r="C67" s="116">
        <f>+'II-E-3'!F22</f>
        <v>0</v>
      </c>
      <c r="D67" s="116">
        <f>+'II-E-3'!G22</f>
        <v>16233756.41</v>
      </c>
      <c r="E67" s="116">
        <f>+'II-E-3'!H22</f>
        <v>1037983.71</v>
      </c>
      <c r="F67" s="116">
        <f>+'II-E-3'!I22</f>
        <v>17271740.120000001</v>
      </c>
      <c r="G67" s="116">
        <f>+'II-E-3'!N22</f>
        <v>6948808.5300000003</v>
      </c>
      <c r="H67" s="116">
        <f>+'II-E-3'!O22</f>
        <v>1838746.88</v>
      </c>
      <c r="I67" s="116">
        <f>+'II-E-3'!P22</f>
        <v>5969.9</v>
      </c>
      <c r="J67" s="116">
        <f>+'II-E-3'!Q22</f>
        <v>8793525.3100000005</v>
      </c>
      <c r="K67" s="116">
        <f>+'II-E-3'!R22</f>
        <v>7936236.2800000003</v>
      </c>
      <c r="L67" s="116">
        <f>+'II-E-3'!S22</f>
        <v>146868.38</v>
      </c>
      <c r="M67" s="116">
        <f>+'II-E-3'!T22</f>
        <v>8083104.6600000001</v>
      </c>
      <c r="N67" s="116">
        <f>+'II-E-3'!U22</f>
        <v>237864.14</v>
      </c>
      <c r="O67" s="116">
        <f>+'II-E-3'!V22</f>
        <v>157246.0099999985</v>
      </c>
      <c r="P67" s="122">
        <f t="shared" si="7"/>
        <v>17271740.119999997</v>
      </c>
    </row>
    <row r="68" spans="1:16" s="366" customFormat="1">
      <c r="A68" s="142" t="s">
        <v>589</v>
      </c>
      <c r="B68" s="116">
        <f>+'II-E-3'!E23</f>
        <v>36089813.840000004</v>
      </c>
      <c r="C68" s="116">
        <f>+'II-E-3'!F23</f>
        <v>0</v>
      </c>
      <c r="D68" s="116">
        <f>+'II-E-3'!G23</f>
        <v>36089813.840000004</v>
      </c>
      <c r="E68" s="116">
        <f>+'II-E-3'!H23</f>
        <v>-3501637.7599999993</v>
      </c>
      <c r="F68" s="116">
        <f>+'II-E-3'!I23</f>
        <v>32588176.080000006</v>
      </c>
      <c r="G68" s="116">
        <f>+'II-E-3'!N23</f>
        <v>11745181.179999998</v>
      </c>
      <c r="H68" s="116">
        <f>+'II-E-3'!O23</f>
        <v>-263925.28000000003</v>
      </c>
      <c r="I68" s="116">
        <f>+'II-E-3'!P23</f>
        <v>20328.059999999998</v>
      </c>
      <c r="J68" s="116">
        <f>+'II-E-3'!Q23</f>
        <v>11501583.959999999</v>
      </c>
      <c r="K68" s="116">
        <f>+'II-E-3'!R23</f>
        <v>18862682.34</v>
      </c>
      <c r="L68" s="116">
        <f>+'II-E-3'!S23</f>
        <v>-21323.58</v>
      </c>
      <c r="M68" s="116">
        <f>+'II-E-3'!T23</f>
        <v>18841358.760000002</v>
      </c>
      <c r="N68" s="116">
        <f>+'II-E-3'!U23</f>
        <v>2497334.4699999997</v>
      </c>
      <c r="O68" s="116">
        <f>+'II-E-3'!V23</f>
        <v>-252101.1100000001</v>
      </c>
      <c r="P68" s="122">
        <f t="shared" ref="P68:P69" si="8">+J68+M68+N68+O68</f>
        <v>32588176.079999998</v>
      </c>
    </row>
    <row r="69" spans="1:16" s="366" customFormat="1">
      <c r="A69" s="142" t="s">
        <v>590</v>
      </c>
      <c r="B69" s="116">
        <f>+'II-E-3'!E24</f>
        <v>-1608928.6</v>
      </c>
      <c r="C69" s="116">
        <f>+'II-E-3'!F24</f>
        <v>0</v>
      </c>
      <c r="D69" s="116">
        <f>+'II-E-3'!G24</f>
        <v>-1608928.6</v>
      </c>
      <c r="E69" s="116">
        <f>+'II-E-3'!H24</f>
        <v>-2338469.7800000003</v>
      </c>
      <c r="F69" s="116">
        <f>+'II-E-3'!I24</f>
        <v>-3947398.3800000004</v>
      </c>
      <c r="G69" s="116">
        <f>+'II-E-3'!N24</f>
        <v>-2772127.43</v>
      </c>
      <c r="H69" s="116">
        <f>+'II-E-3'!O24</f>
        <v>1991696.63</v>
      </c>
      <c r="I69" s="116">
        <f>+'II-E-3'!P24</f>
        <v>-2381.61</v>
      </c>
      <c r="J69" s="116">
        <f>+'II-E-3'!Q24</f>
        <v>-782812.41000000027</v>
      </c>
      <c r="K69" s="116">
        <f>+'II-E-3'!R24</f>
        <v>-3166047.5599999996</v>
      </c>
      <c r="L69" s="116">
        <f>+'II-E-3'!S24</f>
        <v>159085.12</v>
      </c>
      <c r="M69" s="116">
        <f>+'II-E-3'!T24</f>
        <v>-3006962.4399999995</v>
      </c>
      <c r="N69" s="116">
        <f>+'II-E-3'!U24</f>
        <v>-94892.49</v>
      </c>
      <c r="O69" s="116">
        <f>+'II-E-3'!V24</f>
        <v>-62731.040000000001</v>
      </c>
      <c r="P69" s="122">
        <f t="shared" si="8"/>
        <v>-3947398.38</v>
      </c>
    </row>
    <row r="70" spans="1:16">
      <c r="A70" s="142" t="s">
        <v>1064</v>
      </c>
      <c r="B70" s="116">
        <f>+'II-E-3'!E25</f>
        <v>79367.460000000006</v>
      </c>
      <c r="C70" s="116">
        <f>+'II-E-3'!F25</f>
        <v>0</v>
      </c>
      <c r="D70" s="116">
        <f>+'II-E-3'!G25</f>
        <v>79367.460000000006</v>
      </c>
      <c r="E70" s="116">
        <f>+'II-E-3'!H25</f>
        <v>0</v>
      </c>
      <c r="F70" s="116">
        <f>+'II-E-3'!I25</f>
        <v>79367.460000000006</v>
      </c>
      <c r="G70" s="116">
        <f>+'II-E-3'!N25</f>
        <v>36079.08</v>
      </c>
      <c r="H70" s="116">
        <f>+'II-E-3'!O25</f>
        <v>0</v>
      </c>
      <c r="I70" s="116">
        <f>+'II-E-3'!P25</f>
        <v>31</v>
      </c>
      <c r="J70" s="116">
        <f>+'II-E-3'!Q25</f>
        <v>36110.080000000002</v>
      </c>
      <c r="K70" s="116">
        <f>+'II-E-3'!R25</f>
        <v>41205.93</v>
      </c>
      <c r="L70" s="116">
        <f>+'II-E-3'!S25</f>
        <v>0</v>
      </c>
      <c r="M70" s="116">
        <f>+'II-E-3'!T25</f>
        <v>41205.93</v>
      </c>
      <c r="N70" s="116">
        <f>+'II-E-3'!U25</f>
        <v>1235.02</v>
      </c>
      <c r="O70" s="116">
        <f>+'II-E-3'!V25</f>
        <v>816.43000000000438</v>
      </c>
      <c r="P70" s="122">
        <f t="shared" si="7"/>
        <v>79367.460000000021</v>
      </c>
    </row>
    <row r="71" spans="1:16" s="366" customFormat="1">
      <c r="A71" s="346"/>
      <c r="B71" s="116"/>
      <c r="C71" s="116"/>
      <c r="D71" s="116"/>
      <c r="E71" s="116"/>
      <c r="F71" s="116"/>
      <c r="G71" s="116"/>
      <c r="H71" s="116"/>
      <c r="I71" s="116"/>
      <c r="J71" s="116"/>
      <c r="K71" s="116"/>
      <c r="L71" s="116"/>
      <c r="M71" s="116"/>
      <c r="N71" s="116"/>
      <c r="O71" s="116"/>
      <c r="P71" s="122"/>
    </row>
    <row r="72" spans="1:16" s="366" customFormat="1">
      <c r="A72" s="142"/>
      <c r="B72" s="116"/>
      <c r="C72" s="116"/>
      <c r="D72" s="116"/>
      <c r="E72" s="116"/>
      <c r="F72" s="116"/>
      <c r="G72" s="116"/>
      <c r="H72" s="116"/>
      <c r="I72" s="116"/>
      <c r="J72" s="116"/>
      <c r="K72" s="116"/>
      <c r="L72" s="116"/>
      <c r="M72" s="116"/>
      <c r="N72" s="116"/>
      <c r="O72" s="116"/>
      <c r="P72" s="116"/>
    </row>
    <row r="73" spans="1:16">
      <c r="A73" s="144"/>
      <c r="B73" s="116"/>
      <c r="C73" s="116"/>
      <c r="D73" s="116"/>
      <c r="E73" s="116"/>
      <c r="F73" s="116"/>
      <c r="G73" s="116"/>
      <c r="H73" s="116"/>
      <c r="I73" s="116"/>
      <c r="J73" s="116"/>
      <c r="K73" s="116"/>
      <c r="L73" s="116"/>
      <c r="M73" s="116"/>
      <c r="N73" s="116"/>
      <c r="O73" s="116"/>
      <c r="P73" s="122"/>
    </row>
    <row r="74" spans="1:16">
      <c r="K74" s="366"/>
      <c r="N74" s="366"/>
      <c r="O74" s="366"/>
    </row>
    <row r="75" spans="1:16">
      <c r="A75" s="235" t="s">
        <v>374</v>
      </c>
      <c r="B75" s="116">
        <f>+'II-E-3'!E30</f>
        <v>884662.91</v>
      </c>
      <c r="C75" s="116">
        <f>+'II-E-3'!F30</f>
        <v>0</v>
      </c>
      <c r="D75" s="116">
        <f>+'II-E-3'!G30</f>
        <v>884662.91</v>
      </c>
      <c r="E75" s="116">
        <f>+'II-E-3'!H30</f>
        <v>0</v>
      </c>
      <c r="F75" s="116">
        <f>+'II-E-3'!I30</f>
        <v>884662.91</v>
      </c>
      <c r="G75" s="116">
        <f>+'II-E-3'!N30</f>
        <v>402152.49</v>
      </c>
      <c r="H75" s="116">
        <f>+'II-E-3'!O30</f>
        <v>0</v>
      </c>
      <c r="I75" s="116">
        <f>+'II-E-3'!P30</f>
        <v>345.5</v>
      </c>
      <c r="J75" s="116">
        <f>+'II-E-3'!Q30</f>
        <v>402497.99</v>
      </c>
      <c r="K75" s="116">
        <f>+'II-E-3'!R30</f>
        <v>459298.48</v>
      </c>
      <c r="L75" s="116">
        <f>+'II-E-3'!S30</f>
        <v>0</v>
      </c>
      <c r="M75" s="116">
        <f>+'II-E-3'!T30</f>
        <v>459298.48</v>
      </c>
      <c r="N75" s="116">
        <f>+'II-E-3'!U30</f>
        <v>13766.05</v>
      </c>
      <c r="O75" s="116">
        <f>+'II-E-3'!V30</f>
        <v>9100.39</v>
      </c>
      <c r="P75" s="122">
        <f t="shared" ref="P75:P81" si="9">+J75+M75+N75+O75</f>
        <v>884662.91</v>
      </c>
    </row>
    <row r="76" spans="1:16">
      <c r="A76" s="142" t="s">
        <v>394</v>
      </c>
      <c r="B76" s="116">
        <f>+'II-E-3'!E31</f>
        <v>4310520.8099999996</v>
      </c>
      <c r="C76" s="116">
        <f>+'II-E-3'!F31</f>
        <v>0</v>
      </c>
      <c r="D76" s="116">
        <f>+'II-E-3'!G31</f>
        <v>4310520.8099999996</v>
      </c>
      <c r="E76" s="116">
        <f>+'II-E-3'!H31</f>
        <v>0</v>
      </c>
      <c r="F76" s="116">
        <f>+'II-E-3'!I31</f>
        <v>4310520.8099999996</v>
      </c>
      <c r="G76" s="116">
        <f>+'II-E-3'!N31</f>
        <v>969088.11</v>
      </c>
      <c r="H76" s="116">
        <f>+'II-E-3'!O31</f>
        <v>0</v>
      </c>
      <c r="I76" s="116">
        <f>+'II-E-3'!P31</f>
        <v>0</v>
      </c>
      <c r="J76" s="116">
        <f>+'II-E-3'!Q31</f>
        <v>969088.11</v>
      </c>
      <c r="K76" s="116">
        <f>+'II-E-3'!R31</f>
        <v>2588073.41</v>
      </c>
      <c r="L76" s="116">
        <f>+'II-E-3'!S31</f>
        <v>0</v>
      </c>
      <c r="M76" s="116">
        <f>+'II-E-3'!T31</f>
        <v>2588073.41</v>
      </c>
      <c r="N76" s="116">
        <f>+'II-E-3'!U31</f>
        <v>723694.89</v>
      </c>
      <c r="O76" s="116">
        <f>+'II-E-3'!V31</f>
        <v>29664.399999999558</v>
      </c>
      <c r="P76" s="122">
        <f t="shared" si="9"/>
        <v>4310520.8099999996</v>
      </c>
    </row>
    <row r="77" spans="1:16">
      <c r="A77" s="142" t="s">
        <v>395</v>
      </c>
      <c r="B77" s="116">
        <f>+'II-E-3'!E32</f>
        <v>267483.76</v>
      </c>
      <c r="C77" s="116">
        <f>+'II-E-3'!F32</f>
        <v>0</v>
      </c>
      <c r="D77" s="116">
        <f>+'II-E-3'!G32</f>
        <v>267483.76</v>
      </c>
      <c r="E77" s="116">
        <f>+'II-E-3'!H32</f>
        <v>-267483.76</v>
      </c>
      <c r="F77" s="116">
        <f>+'II-E-3'!I32</f>
        <v>0</v>
      </c>
      <c r="G77" s="116">
        <f>+'II-E-3'!N32</f>
        <v>0</v>
      </c>
      <c r="H77" s="116">
        <f>+'II-E-3'!O32</f>
        <v>0</v>
      </c>
      <c r="I77" s="116">
        <f>+'II-E-3'!P32</f>
        <v>0</v>
      </c>
      <c r="J77" s="116">
        <f>+'II-E-3'!Q32</f>
        <v>0</v>
      </c>
      <c r="K77" s="116">
        <f>+'II-E-3'!R32</f>
        <v>0</v>
      </c>
      <c r="L77" s="116">
        <f>+'II-E-3'!S32</f>
        <v>0</v>
      </c>
      <c r="M77" s="116">
        <f>+'II-E-3'!T32</f>
        <v>0</v>
      </c>
      <c r="N77" s="116">
        <f>+'II-E-3'!U32</f>
        <v>0</v>
      </c>
      <c r="O77" s="116">
        <f>+'II-E-3'!V32</f>
        <v>0</v>
      </c>
      <c r="P77" s="122">
        <f>+J77+M77+N77+O77</f>
        <v>0</v>
      </c>
    </row>
    <row r="78" spans="1:16">
      <c r="A78" s="538" t="s">
        <v>587</v>
      </c>
      <c r="B78" s="116">
        <f>+'II-E-3'!E33</f>
        <v>1524901.52</v>
      </c>
      <c r="C78" s="116">
        <f>+'II-E-3'!F33</f>
        <v>0</v>
      </c>
      <c r="D78" s="116">
        <f>+'II-E-3'!G33</f>
        <v>1524901.52</v>
      </c>
      <c r="E78" s="116">
        <f>+'II-E-3'!H33</f>
        <v>0</v>
      </c>
      <c r="F78" s="116">
        <f>+'II-E-3'!I33</f>
        <v>1524901.52</v>
      </c>
      <c r="G78" s="116">
        <f>+'II-E-3'!N33</f>
        <v>342827.24</v>
      </c>
      <c r="H78" s="116">
        <f>+'II-E-3'!O33</f>
        <v>0</v>
      </c>
      <c r="I78" s="116">
        <f>+'II-E-3'!P33</f>
        <v>0</v>
      </c>
      <c r="J78" s="116">
        <f>+'II-E-3'!Q33</f>
        <v>342827.24</v>
      </c>
      <c r="K78" s="116">
        <f>+'II-E-3'!R33</f>
        <v>915563.86</v>
      </c>
      <c r="L78" s="116">
        <f>+'II-E-3'!S33</f>
        <v>0</v>
      </c>
      <c r="M78" s="116">
        <f>+'II-E-3'!T33</f>
        <v>915563.86</v>
      </c>
      <c r="N78" s="116">
        <f>+'II-E-3'!U33</f>
        <v>256016.27</v>
      </c>
      <c r="O78" s="116">
        <f>+'II-E-3'!V33</f>
        <v>10494.150000000052</v>
      </c>
      <c r="P78" s="122">
        <f t="shared" si="9"/>
        <v>1524901.5200000003</v>
      </c>
    </row>
    <row r="79" spans="1:16">
      <c r="A79" s="142" t="s">
        <v>55</v>
      </c>
      <c r="B79" s="116">
        <f>+'II-E-3'!E34</f>
        <v>-8505119.0000000019</v>
      </c>
      <c r="C79" s="116">
        <f>+'II-E-3'!F34</f>
        <v>0</v>
      </c>
      <c r="D79" s="116">
        <f>+'II-E-3'!G34</f>
        <v>-8505119.0000000019</v>
      </c>
      <c r="E79" s="116">
        <f>+'II-E-3'!H34</f>
        <v>-5716651</v>
      </c>
      <c r="F79" s="116">
        <f>+'II-E-3'!I34</f>
        <v>-14221770.000000002</v>
      </c>
      <c r="G79" s="116">
        <f>+'II-E-3'!N34</f>
        <v>-2968971.78</v>
      </c>
      <c r="H79" s="116">
        <f>+'II-E-3'!O34</f>
        <v>0</v>
      </c>
      <c r="I79" s="116">
        <f>+'II-E-3'!P34</f>
        <v>0</v>
      </c>
      <c r="J79" s="116">
        <f>+'II-E-3'!Q34</f>
        <v>-2968971.78</v>
      </c>
      <c r="K79" s="116">
        <f>+'II-E-3'!R34</f>
        <v>-7595322.4699999997</v>
      </c>
      <c r="L79" s="116">
        <f>+'II-E-3'!S34</f>
        <v>0</v>
      </c>
      <c r="M79" s="116">
        <f>+'II-E-3'!T34</f>
        <v>-7595322.4699999997</v>
      </c>
      <c r="N79" s="116">
        <f>+'II-E-3'!U34</f>
        <v>-2721141.47</v>
      </c>
      <c r="O79" s="116">
        <f>+'II-E-3'!V34</f>
        <v>-936334.28000000259</v>
      </c>
      <c r="P79" s="122">
        <f t="shared" si="9"/>
        <v>-14221770.000000004</v>
      </c>
    </row>
    <row r="80" spans="1:16" s="366" customFormat="1">
      <c r="A80" s="142" t="s">
        <v>840</v>
      </c>
      <c r="B80" s="116">
        <f>+'II-E-3'!E35</f>
        <v>-19042</v>
      </c>
      <c r="C80" s="116">
        <f>+'II-E-3'!F35</f>
        <v>0</v>
      </c>
      <c r="D80" s="116">
        <f>+'II-E-3'!G35</f>
        <v>-19042</v>
      </c>
      <c r="E80" s="116">
        <f>+'II-E-3'!H35</f>
        <v>19042</v>
      </c>
      <c r="F80" s="116">
        <f>+'II-E-3'!I35</f>
        <v>0</v>
      </c>
      <c r="G80" s="116">
        <f>+'II-E-3'!J35</f>
        <v>1</v>
      </c>
      <c r="H80" s="116">
        <f>+'II-E-3'!K35</f>
        <v>0</v>
      </c>
      <c r="I80" s="116">
        <f>+'II-E-3'!L35</f>
        <v>0</v>
      </c>
      <c r="J80" s="116">
        <f>+'II-E-3'!M35</f>
        <v>0</v>
      </c>
      <c r="K80" s="116">
        <f>+'II-E-3'!N35</f>
        <v>0</v>
      </c>
      <c r="L80" s="116">
        <f>+'II-E-3'!O35</f>
        <v>0</v>
      </c>
      <c r="M80" s="116">
        <f>+'II-E-3'!P35</f>
        <v>0</v>
      </c>
      <c r="N80" s="116">
        <f>+'II-E-3'!Q35</f>
        <v>0</v>
      </c>
      <c r="O80" s="116">
        <f>+'II-E-3'!R35</f>
        <v>0</v>
      </c>
      <c r="P80" s="116">
        <f>+'II-E-3'!S35</f>
        <v>0</v>
      </c>
    </row>
    <row r="81" spans="1:16">
      <c r="A81" s="142" t="s">
        <v>32</v>
      </c>
      <c r="B81" s="116">
        <f>+'II-E-3'!E36</f>
        <v>856722.03</v>
      </c>
      <c r="C81" s="116">
        <f>+'II-E-3'!F36</f>
        <v>0</v>
      </c>
      <c r="D81" s="116">
        <f>+'II-E-3'!G36</f>
        <v>856722.03</v>
      </c>
      <c r="E81" s="116">
        <f>+'II-E-3'!H36</f>
        <v>-856722.03</v>
      </c>
      <c r="F81" s="116">
        <f>+'II-E-3'!I36</f>
        <v>0</v>
      </c>
      <c r="G81" s="116">
        <f>+'II-E-3'!N36</f>
        <v>0</v>
      </c>
      <c r="H81" s="116">
        <f>+'II-E-3'!O36</f>
        <v>0</v>
      </c>
      <c r="I81" s="116">
        <f>+'II-E-3'!P36</f>
        <v>0</v>
      </c>
      <c r="J81" s="116">
        <f>+'II-E-3'!Q36</f>
        <v>0</v>
      </c>
      <c r="K81" s="116">
        <f>+'II-E-3'!R36</f>
        <v>0</v>
      </c>
      <c r="L81" s="116">
        <f>+'II-E-3'!S36</f>
        <v>0</v>
      </c>
      <c r="M81" s="116">
        <f>+'II-E-3'!T36</f>
        <v>0</v>
      </c>
      <c r="N81" s="116">
        <f>+'II-E-3'!U36</f>
        <v>0</v>
      </c>
      <c r="O81" s="116">
        <f>+'II-E-3'!V36</f>
        <v>0</v>
      </c>
      <c r="P81" s="122">
        <f t="shared" si="9"/>
        <v>0</v>
      </c>
    </row>
    <row r="82" spans="1:16">
      <c r="A82" s="27"/>
      <c r="B82" s="116"/>
      <c r="C82" s="116"/>
      <c r="D82" s="116"/>
      <c r="E82" s="116"/>
      <c r="F82" s="116"/>
      <c r="G82" s="116"/>
      <c r="H82" s="116"/>
      <c r="I82" s="116"/>
      <c r="J82" s="116"/>
      <c r="K82" s="116"/>
      <c r="L82" s="116"/>
      <c r="M82" s="116"/>
      <c r="N82" s="116"/>
      <c r="O82" s="116"/>
      <c r="P82" s="122"/>
    </row>
    <row r="83" spans="1:16">
      <c r="A83" s="27"/>
      <c r="B83" s="116"/>
      <c r="C83" s="116"/>
      <c r="D83" s="116"/>
      <c r="E83" s="116"/>
      <c r="F83" s="116"/>
      <c r="G83" s="116"/>
      <c r="H83" s="116"/>
      <c r="I83" s="116"/>
      <c r="J83" s="116"/>
      <c r="K83" s="116"/>
      <c r="L83" s="116"/>
      <c r="M83" s="116"/>
      <c r="N83" s="116"/>
      <c r="O83" s="116"/>
      <c r="P83" s="122"/>
    </row>
    <row r="84" spans="1:16">
      <c r="A84" s="142" t="s">
        <v>504</v>
      </c>
      <c r="B84" s="385">
        <f>+'II-E-4.1'!E26</f>
        <v>-32624.000000000004</v>
      </c>
      <c r="C84" s="385">
        <f>+'II-E-4.1'!F26</f>
        <v>0</v>
      </c>
      <c r="D84" s="385">
        <f>+'II-E-4.1'!G26</f>
        <v>-32624.000000000004</v>
      </c>
      <c r="E84" s="385">
        <f>+'II-E-4.1'!H26</f>
        <v>0</v>
      </c>
      <c r="F84" s="385">
        <f>+'II-E-4.1'!I26</f>
        <v>-32624.000000000004</v>
      </c>
      <c r="G84" s="385">
        <f>+'II-E-4.1'!N26</f>
        <v>-32624.000000000004</v>
      </c>
      <c r="H84" s="385">
        <f>+'II-E-4.1'!O26</f>
        <v>0</v>
      </c>
      <c r="I84" s="385">
        <f>+'II-E-4.1'!P26</f>
        <v>0</v>
      </c>
      <c r="J84" s="385">
        <f>+'II-E-4.1'!Q26</f>
        <v>-32624.000000000004</v>
      </c>
      <c r="K84" s="385">
        <f>+'II-E-4.1'!R26</f>
        <v>0</v>
      </c>
      <c r="L84" s="385">
        <f>+'II-E-4.1'!S26</f>
        <v>0</v>
      </c>
      <c r="M84" s="385">
        <f>+'II-E-4.1'!T26</f>
        <v>0</v>
      </c>
      <c r="N84" s="385">
        <f>+'II-E-4.1'!U26</f>
        <v>0</v>
      </c>
      <c r="O84" s="385">
        <f>+'II-E-4.1'!V26</f>
        <v>0</v>
      </c>
      <c r="P84" s="502">
        <f t="shared" ref="P84" si="10">+J84+M84+N84+O84</f>
        <v>-32624.000000000004</v>
      </c>
    </row>
    <row r="85" spans="1:16">
      <c r="A85" s="27"/>
      <c r="B85" s="116"/>
      <c r="C85" s="116"/>
      <c r="D85" s="116"/>
      <c r="E85" s="116"/>
      <c r="F85" s="116"/>
      <c r="G85" s="116"/>
      <c r="H85" s="116"/>
      <c r="I85" s="116"/>
      <c r="J85" s="116"/>
      <c r="K85" s="116"/>
      <c r="L85" s="116"/>
      <c r="M85" s="116"/>
      <c r="N85" s="116"/>
      <c r="O85" s="116"/>
      <c r="P85" s="122"/>
    </row>
    <row r="86" spans="1:16">
      <c r="A86" s="54"/>
      <c r="B86" s="116"/>
      <c r="C86" s="116"/>
      <c r="D86" s="116"/>
      <c r="E86" s="116"/>
      <c r="F86" s="116"/>
      <c r="G86" s="116"/>
      <c r="H86" s="116"/>
      <c r="I86" s="116"/>
      <c r="J86" s="116"/>
      <c r="K86" s="116"/>
      <c r="L86" s="116"/>
      <c r="M86" s="116"/>
      <c r="N86" s="116"/>
      <c r="O86" s="116"/>
      <c r="P86" s="122"/>
    </row>
    <row r="87" spans="1:16">
      <c r="A87" s="54"/>
      <c r="B87" s="116"/>
      <c r="C87" s="116"/>
      <c r="D87" s="116"/>
      <c r="E87" s="116"/>
      <c r="F87" s="116"/>
      <c r="G87" s="116"/>
      <c r="H87" s="116"/>
      <c r="I87" s="116"/>
      <c r="J87" s="116"/>
      <c r="K87" s="116"/>
      <c r="L87" s="116"/>
      <c r="M87" s="116"/>
      <c r="N87" s="116"/>
      <c r="O87" s="116"/>
      <c r="P87" s="122"/>
    </row>
    <row r="88" spans="1:16">
      <c r="A88" s="139"/>
      <c r="B88" s="116"/>
      <c r="C88" s="116"/>
      <c r="D88" s="116"/>
      <c r="E88" s="116"/>
      <c r="F88" s="116"/>
      <c r="G88" s="116"/>
      <c r="H88" s="116"/>
      <c r="I88" s="116"/>
      <c r="J88" s="116"/>
      <c r="K88" s="116"/>
      <c r="L88" s="116"/>
      <c r="M88" s="116"/>
      <c r="N88" s="116"/>
      <c r="O88" s="116"/>
      <c r="P88" s="122"/>
    </row>
    <row r="91" spans="1:16">
      <c r="A91" s="27" t="s">
        <v>187</v>
      </c>
      <c r="B91" s="116">
        <f>+'II-E-4'!E18</f>
        <v>7817075</v>
      </c>
      <c r="C91" s="116">
        <f>+'II-E-4'!F18</f>
        <v>0</v>
      </c>
      <c r="D91" s="116">
        <f>+'II-E-4'!G18</f>
        <v>7817075</v>
      </c>
      <c r="E91" s="116">
        <f>+'II-E-4'!H18</f>
        <v>2078731</v>
      </c>
      <c r="F91" s="116">
        <f>+'II-E-4'!I18</f>
        <v>9895806</v>
      </c>
      <c r="G91" s="116">
        <f>+'II-E-4'!N18</f>
        <v>9888367</v>
      </c>
      <c r="H91" s="116">
        <f>+'II-E-4'!O18</f>
        <v>0</v>
      </c>
      <c r="I91" s="116">
        <f>+'II-E-4'!P18</f>
        <v>0</v>
      </c>
      <c r="J91" s="116">
        <f>+'II-E-4'!Q18</f>
        <v>9888367</v>
      </c>
      <c r="K91" s="116">
        <f>+'II-E-4'!R18</f>
        <v>7439</v>
      </c>
      <c r="L91" s="116">
        <f>+'II-E-4'!S18</f>
        <v>0</v>
      </c>
      <c r="M91" s="116">
        <f>+'II-E-4'!T18</f>
        <v>7439</v>
      </c>
      <c r="N91" s="116">
        <f>+'II-E-4'!U18</f>
        <v>0</v>
      </c>
      <c r="O91" s="116">
        <f>+'II-E-4'!V18</f>
        <v>0</v>
      </c>
      <c r="P91" s="122">
        <f t="shared" ref="P91:P92" si="11">+J91+M91+N91+O91</f>
        <v>9895806</v>
      </c>
    </row>
    <row r="92" spans="1:16">
      <c r="A92" s="27"/>
      <c r="B92" s="116"/>
      <c r="C92" s="116"/>
      <c r="D92" s="116"/>
      <c r="E92" s="116"/>
      <c r="F92" s="116"/>
      <c r="G92" s="116"/>
      <c r="H92" s="116"/>
      <c r="I92" s="116"/>
      <c r="J92" s="116"/>
      <c r="K92" s="116"/>
      <c r="L92" s="116"/>
      <c r="M92" s="116"/>
      <c r="N92" s="116"/>
      <c r="O92" s="116"/>
      <c r="P92" s="122">
        <f t="shared" si="11"/>
        <v>0</v>
      </c>
    </row>
    <row r="93" spans="1:16">
      <c r="K93" s="366"/>
      <c r="N93" s="366"/>
      <c r="O93" s="366"/>
    </row>
    <row r="94" spans="1:16">
      <c r="A94" s="346" t="s">
        <v>540</v>
      </c>
      <c r="B94" s="116">
        <f>+'II-E-5'!E17</f>
        <v>0</v>
      </c>
      <c r="C94" s="116">
        <f>+'II-E-5'!F17</f>
        <v>0</v>
      </c>
      <c r="D94" s="116">
        <f>+'II-E-5'!H17</f>
        <v>0</v>
      </c>
      <c r="E94" s="116">
        <f>+'II-E-5'!I17</f>
        <v>34378539</v>
      </c>
      <c r="F94" s="116">
        <f>+'II-E-5'!J17</f>
        <v>34378539</v>
      </c>
      <c r="G94" s="116">
        <f>+'II-E-5'!O17</f>
        <v>0</v>
      </c>
      <c r="H94" s="116">
        <f>+'II-E-5'!P17</f>
        <v>0</v>
      </c>
      <c r="I94" s="116">
        <f>+'II-E-5'!Q17</f>
        <v>0</v>
      </c>
      <c r="J94" s="116">
        <f>+'II-E-5'!R17</f>
        <v>0</v>
      </c>
      <c r="K94" s="116">
        <f>+'II-E-5'!S17</f>
        <v>34378539</v>
      </c>
      <c r="L94" s="116">
        <f>+'II-E-5'!T17</f>
        <v>0</v>
      </c>
      <c r="M94" s="116">
        <f>+'II-E-5'!U17</f>
        <v>34378539</v>
      </c>
      <c r="N94" s="116">
        <f>+'II-E-5'!V17</f>
        <v>0</v>
      </c>
      <c r="O94" s="116">
        <f>+'II-E-5'!W17</f>
        <v>0</v>
      </c>
      <c r="P94" s="122">
        <f>+G94+H94+I94+K94+L94+N94+O94</f>
        <v>34378539</v>
      </c>
    </row>
    <row r="95" spans="1:16">
      <c r="A95" s="27" t="s">
        <v>272</v>
      </c>
      <c r="B95" s="116">
        <f>+'II-E-5'!E18</f>
        <v>758930.8</v>
      </c>
      <c r="C95" s="116">
        <f>+'II-E-5'!F18</f>
        <v>0</v>
      </c>
      <c r="D95" s="116">
        <f>+'II-E-5'!H18</f>
        <v>758930.8</v>
      </c>
      <c r="E95" s="116">
        <f>+'II-E-5'!I18</f>
        <v>0</v>
      </c>
      <c r="F95" s="116">
        <f>+'II-E-5'!J18</f>
        <v>758930.8</v>
      </c>
      <c r="G95" s="116">
        <f>+'II-E-5'!O18</f>
        <v>0</v>
      </c>
      <c r="H95" s="116">
        <f>+'II-E-5'!P18</f>
        <v>0</v>
      </c>
      <c r="I95" s="116">
        <f>+'II-E-5'!Q18</f>
        <v>0</v>
      </c>
      <c r="J95" s="116">
        <f>+'II-E-5'!R18</f>
        <v>0</v>
      </c>
      <c r="K95" s="116">
        <f>+'II-E-5'!S18</f>
        <v>758930.8</v>
      </c>
      <c r="L95" s="116">
        <f>+'II-E-5'!T18</f>
        <v>0</v>
      </c>
      <c r="M95" s="116">
        <f>+'II-E-5'!U18</f>
        <v>758930.8</v>
      </c>
      <c r="N95" s="116">
        <f>+'II-E-5'!V18</f>
        <v>0</v>
      </c>
      <c r="O95" s="116">
        <f>+'II-E-5'!W18</f>
        <v>0</v>
      </c>
      <c r="P95" s="122">
        <f t="shared" ref="P95:P107" si="12">+G95+H95+I95+K95+L95+N95+O95</f>
        <v>758930.8</v>
      </c>
    </row>
    <row r="96" spans="1:16">
      <c r="A96" s="27" t="s">
        <v>1074</v>
      </c>
      <c r="B96" s="116">
        <f>+'II-E-5'!E19</f>
        <v>1220691.1200000001</v>
      </c>
      <c r="C96" s="116">
        <f>+'II-E-5'!F19</f>
        <v>0</v>
      </c>
      <c r="D96" s="116">
        <f>+'II-E-5'!H19</f>
        <v>1220691.1200000001</v>
      </c>
      <c r="E96" s="116">
        <f>+'II-E-5'!I19</f>
        <v>-1220691.1200000001</v>
      </c>
      <c r="F96" s="116">
        <f>+'II-E-5'!J19</f>
        <v>0</v>
      </c>
      <c r="G96" s="116">
        <f>+'II-E-5'!O19</f>
        <v>0</v>
      </c>
      <c r="H96" s="116">
        <f>+'II-E-5'!P19</f>
        <v>0</v>
      </c>
      <c r="I96" s="116">
        <f>+'II-E-5'!Q19</f>
        <v>0</v>
      </c>
      <c r="J96" s="116">
        <f>+'II-E-5'!R19</f>
        <v>0</v>
      </c>
      <c r="K96" s="116">
        <f>+'II-E-5'!S19</f>
        <v>0</v>
      </c>
      <c r="L96" s="116">
        <f>+'II-E-5'!T19</f>
        <v>0</v>
      </c>
      <c r="M96" s="116">
        <f>+'II-E-5'!U19</f>
        <v>0</v>
      </c>
      <c r="N96" s="116">
        <f>+'II-E-5'!V19</f>
        <v>0</v>
      </c>
      <c r="O96" s="116">
        <f>+'II-E-5'!W19</f>
        <v>0</v>
      </c>
      <c r="P96" s="122">
        <f t="shared" si="12"/>
        <v>0</v>
      </c>
    </row>
    <row r="97" spans="1:17">
      <c r="A97" s="27" t="s">
        <v>344</v>
      </c>
      <c r="B97" s="116">
        <f>+'II-E-5'!E20</f>
        <v>26594344.41</v>
      </c>
      <c r="C97" s="116">
        <f>+'II-E-5'!F20</f>
        <v>0</v>
      </c>
      <c r="D97" s="116">
        <f>+'II-E-5'!H20</f>
        <v>26594344.41</v>
      </c>
      <c r="E97" s="116">
        <f>+'II-E-5'!I20</f>
        <v>1213350.5899999999</v>
      </c>
      <c r="F97" s="116">
        <f>+'II-E-5'!J20</f>
        <v>27807695</v>
      </c>
      <c r="G97" s="116">
        <f>+'II-E-5'!O20</f>
        <v>0</v>
      </c>
      <c r="H97" s="116">
        <f>+'II-E-5'!P20</f>
        <v>0</v>
      </c>
      <c r="I97" s="116">
        <f>+'II-E-5'!Q20</f>
        <v>0</v>
      </c>
      <c r="J97" s="116">
        <f>+'II-E-5'!R20</f>
        <v>0</v>
      </c>
      <c r="K97" s="116">
        <f>+'II-E-5'!S20</f>
        <v>13606322</v>
      </c>
      <c r="L97" s="116">
        <f>+'II-E-5'!T20</f>
        <v>0</v>
      </c>
      <c r="M97" s="116">
        <f>+'II-E-5'!U20</f>
        <v>13606322</v>
      </c>
      <c r="N97" s="116">
        <f>+'II-E-5'!V20</f>
        <v>14115591</v>
      </c>
      <c r="O97" s="116">
        <f>+'II-E-5'!W20</f>
        <v>85782</v>
      </c>
      <c r="P97" s="122">
        <f t="shared" si="12"/>
        <v>27807695</v>
      </c>
    </row>
    <row r="98" spans="1:17">
      <c r="A98" s="27" t="s">
        <v>273</v>
      </c>
      <c r="B98" s="116">
        <f>+'II-E-5'!E21</f>
        <v>107361.28</v>
      </c>
      <c r="C98" s="116">
        <f>+'II-E-5'!F21</f>
        <v>0</v>
      </c>
      <c r="D98" s="116">
        <f>+'II-E-5'!H21</f>
        <v>107361.28</v>
      </c>
      <c r="E98" s="116">
        <f>+'II-E-5'!I21</f>
        <v>0</v>
      </c>
      <c r="F98" s="116">
        <f>+'II-E-5'!J21</f>
        <v>107361.28</v>
      </c>
      <c r="G98" s="116">
        <f>+'II-E-5'!O21</f>
        <v>0</v>
      </c>
      <c r="H98" s="116">
        <f>+'II-E-5'!P21</f>
        <v>0</v>
      </c>
      <c r="I98" s="116">
        <f>+'II-E-5'!Q21</f>
        <v>0</v>
      </c>
      <c r="J98" s="116">
        <f>+'II-E-5'!R21</f>
        <v>0</v>
      </c>
      <c r="K98" s="116">
        <f>+'II-E-5'!S21</f>
        <v>107361.28</v>
      </c>
      <c r="L98" s="116">
        <f>+'II-E-5'!T21</f>
        <v>0</v>
      </c>
      <c r="M98" s="116">
        <f>+'II-E-5'!U21</f>
        <v>107361.28</v>
      </c>
      <c r="N98" s="116">
        <f>+'II-E-5'!V21</f>
        <v>0</v>
      </c>
      <c r="O98" s="116">
        <f>+'II-E-5'!W21</f>
        <v>0</v>
      </c>
      <c r="P98" s="122">
        <f t="shared" si="12"/>
        <v>107361.28</v>
      </c>
    </row>
    <row r="99" spans="1:17">
      <c r="A99" s="27" t="s">
        <v>326</v>
      </c>
      <c r="B99" s="116">
        <f>+'II-E-5'!E23</f>
        <v>10615770.26</v>
      </c>
      <c r="C99" s="116">
        <f>+'II-E-5'!F23</f>
        <v>0</v>
      </c>
      <c r="D99" s="116">
        <f>+'II-E-5'!H23</f>
        <v>10615770.26</v>
      </c>
      <c r="E99" s="116">
        <f>+'II-E-5'!I23</f>
        <v>0</v>
      </c>
      <c r="F99" s="116">
        <f>+'II-E-5'!J23</f>
        <v>10615770.26</v>
      </c>
      <c r="G99" s="116">
        <f>+'II-E-5'!O23</f>
        <v>0</v>
      </c>
      <c r="H99" s="116">
        <f>+'II-E-5'!P23</f>
        <v>0</v>
      </c>
      <c r="I99" s="116">
        <f>+'II-E-5'!Q23</f>
        <v>0</v>
      </c>
      <c r="J99" s="116">
        <f>+'II-E-5'!R23</f>
        <v>0</v>
      </c>
      <c r="K99" s="116">
        <f>+'II-E-5'!S23</f>
        <v>10615770.26</v>
      </c>
      <c r="L99" s="116">
        <f>+'II-E-5'!T23</f>
        <v>0</v>
      </c>
      <c r="M99" s="116">
        <f>+'II-E-5'!U23</f>
        <v>10615770.26</v>
      </c>
      <c r="N99" s="116">
        <f>+'II-E-5'!V23</f>
        <v>0</v>
      </c>
      <c r="O99" s="116">
        <f>+'II-E-5'!W23</f>
        <v>0</v>
      </c>
      <c r="P99" s="122">
        <f t="shared" si="12"/>
        <v>10615770.26</v>
      </c>
    </row>
    <row r="100" spans="1:17">
      <c r="A100" s="27" t="s">
        <v>327</v>
      </c>
      <c r="B100" s="116">
        <f>+'II-E-5'!E24</f>
        <v>2244275.1799999997</v>
      </c>
      <c r="C100" s="116">
        <f>+'II-E-5'!F24</f>
        <v>0</v>
      </c>
      <c r="D100" s="116">
        <f>+'II-E-5'!H24</f>
        <v>2244275.1799999997</v>
      </c>
      <c r="E100" s="116">
        <f>+'II-E-5'!I24</f>
        <v>0</v>
      </c>
      <c r="F100" s="116">
        <f>+'II-E-5'!J24</f>
        <v>2244275.1799999997</v>
      </c>
      <c r="G100" s="116">
        <f>+'II-E-5'!O24</f>
        <v>961339</v>
      </c>
      <c r="H100" s="116">
        <f>+'II-E-5'!P24</f>
        <v>0</v>
      </c>
      <c r="I100" s="116">
        <f>+'II-E-5'!Q24</f>
        <v>0</v>
      </c>
      <c r="J100" s="116">
        <f>+'II-E-5'!R24</f>
        <v>961339</v>
      </c>
      <c r="K100" s="116">
        <f>+'II-E-5'!S24</f>
        <v>1282936.18</v>
      </c>
      <c r="L100" s="116">
        <f>+'II-E-5'!T24</f>
        <v>0</v>
      </c>
      <c r="M100" s="116">
        <f>+'II-E-5'!U24</f>
        <v>1282936.18</v>
      </c>
      <c r="N100" s="116">
        <f>+'II-E-5'!V24</f>
        <v>0</v>
      </c>
      <c r="O100" s="116">
        <f>+'II-E-5'!W24</f>
        <v>0</v>
      </c>
      <c r="P100" s="122">
        <f t="shared" si="12"/>
        <v>2244275.1799999997</v>
      </c>
    </row>
    <row r="101" spans="1:17">
      <c r="A101" s="27" t="s">
        <v>328</v>
      </c>
      <c r="B101" s="116">
        <f>+'II-E-5'!E25</f>
        <v>11507204.149999999</v>
      </c>
      <c r="C101" s="116">
        <f>+'II-E-5'!F25</f>
        <v>0</v>
      </c>
      <c r="D101" s="116">
        <f>+'II-E-5'!H25</f>
        <v>11507204.149999999</v>
      </c>
      <c r="E101" s="116">
        <f>+'II-E-5'!I25</f>
        <v>0</v>
      </c>
      <c r="F101" s="116">
        <f>+'II-E-5'!J25</f>
        <v>11507204.149999999</v>
      </c>
      <c r="G101" s="116">
        <f>+'II-E-5'!O25</f>
        <v>11507204.149999999</v>
      </c>
      <c r="H101" s="116">
        <f>+'II-E-5'!P25</f>
        <v>0</v>
      </c>
      <c r="I101" s="116">
        <f>+'II-E-5'!Q25</f>
        <v>0</v>
      </c>
      <c r="J101" s="116">
        <f>+'II-E-5'!R25</f>
        <v>11507204.149999999</v>
      </c>
      <c r="K101" s="116">
        <f>+'II-E-5'!S25</f>
        <v>0</v>
      </c>
      <c r="L101" s="116">
        <f>+'II-E-5'!T25</f>
        <v>0</v>
      </c>
      <c r="M101" s="116">
        <f>+'II-E-5'!U25</f>
        <v>0</v>
      </c>
      <c r="N101" s="116">
        <f>+'II-E-5'!V25</f>
        <v>0</v>
      </c>
      <c r="O101" s="116">
        <f>+'II-E-5'!W25</f>
        <v>0</v>
      </c>
      <c r="P101" s="122">
        <f t="shared" si="12"/>
        <v>11507204.149999999</v>
      </c>
    </row>
    <row r="102" spans="1:17" s="366" customFormat="1">
      <c r="A102" s="27" t="s">
        <v>1075</v>
      </c>
      <c r="B102" s="116">
        <f>+'II-E-5'!E26</f>
        <v>1219190.1000000001</v>
      </c>
      <c r="C102" s="116">
        <f>+'II-E-5'!F26</f>
        <v>0</v>
      </c>
      <c r="D102" s="116">
        <f>+'II-E-5'!H26</f>
        <v>1219190.1000000001</v>
      </c>
      <c r="E102" s="116">
        <f>+'II-E-5'!I26</f>
        <v>0</v>
      </c>
      <c r="F102" s="116">
        <f>+'II-E-5'!J26</f>
        <v>1219190.1000000001</v>
      </c>
      <c r="G102" s="116">
        <f>+'II-E-5'!O26</f>
        <v>1182437.47</v>
      </c>
      <c r="H102" s="116">
        <f>+'II-E-5'!P26</f>
        <v>0</v>
      </c>
      <c r="I102" s="116">
        <f>+'II-E-5'!Q26</f>
        <v>0</v>
      </c>
      <c r="J102" s="116">
        <f>+'II-E-5'!R26</f>
        <v>1182437.47</v>
      </c>
      <c r="K102" s="116">
        <f>+'II-E-5'!S26</f>
        <v>36752.630000000005</v>
      </c>
      <c r="L102" s="116">
        <f>+'II-E-5'!T26</f>
        <v>0</v>
      </c>
      <c r="M102" s="116">
        <f>+'II-E-5'!U26</f>
        <v>36752.630000000005</v>
      </c>
      <c r="N102" s="116">
        <f>+'II-E-5'!V26</f>
        <v>0</v>
      </c>
      <c r="O102" s="116">
        <f>+'II-E-5'!W26</f>
        <v>0</v>
      </c>
      <c r="P102" s="122">
        <f t="shared" si="12"/>
        <v>1219190.1000000001</v>
      </c>
    </row>
    <row r="103" spans="1:17" s="366" customFormat="1">
      <c r="A103" s="27" t="s">
        <v>1076</v>
      </c>
      <c r="B103" s="116">
        <f>+'II-E-5'!E27</f>
        <v>0</v>
      </c>
      <c r="C103" s="116">
        <f>+'II-E-5'!F27</f>
        <v>122416.24000000002</v>
      </c>
      <c r="D103" s="116">
        <f>+'II-E-5'!H27</f>
        <v>122416.24000000002</v>
      </c>
      <c r="E103" s="116">
        <f>+'II-E-5'!I27</f>
        <v>246892.34</v>
      </c>
      <c r="F103" s="116">
        <f>+'II-E-5'!J27</f>
        <v>369308.58</v>
      </c>
      <c r="G103" s="116">
        <f>+'II-E-5'!O27</f>
        <v>369308.58</v>
      </c>
      <c r="H103" s="116">
        <f>+'II-E-5'!P27</f>
        <v>0</v>
      </c>
      <c r="I103" s="116">
        <f>+'II-E-5'!Q27</f>
        <v>0</v>
      </c>
      <c r="J103" s="116">
        <f>+'II-E-5'!R27</f>
        <v>369308.58</v>
      </c>
      <c r="K103" s="116">
        <f>+'II-E-5'!S27</f>
        <v>0</v>
      </c>
      <c r="L103" s="116">
        <f>+'II-E-5'!T27</f>
        <v>0</v>
      </c>
      <c r="M103" s="116">
        <f>+'II-E-5'!U27</f>
        <v>0</v>
      </c>
      <c r="N103" s="116">
        <f>+'II-E-5'!V27</f>
        <v>0</v>
      </c>
      <c r="O103" s="116">
        <f>+'II-E-5'!W27</f>
        <v>0</v>
      </c>
      <c r="P103" s="122">
        <f t="shared" si="12"/>
        <v>369308.58</v>
      </c>
    </row>
    <row r="104" spans="1:17" s="366" customFormat="1">
      <c r="A104" s="27" t="s">
        <v>1077</v>
      </c>
      <c r="B104" s="116">
        <f>+'II-E-5'!E28</f>
        <v>260.98000000000013</v>
      </c>
      <c r="C104" s="116">
        <f>+'II-E-5'!F28</f>
        <v>0</v>
      </c>
      <c r="D104" s="116">
        <f>+'II-E-5'!H28</f>
        <v>260.98000000000013</v>
      </c>
      <c r="E104" s="116">
        <f>+'II-E-5'!I28</f>
        <v>0</v>
      </c>
      <c r="F104" s="116">
        <f>+'II-E-5'!J28</f>
        <v>260.98000000000013</v>
      </c>
      <c r="G104" s="116">
        <f>+'II-E-5'!O28</f>
        <v>260.98000000000013</v>
      </c>
      <c r="H104" s="116">
        <f>+'II-E-5'!P28</f>
        <v>0</v>
      </c>
      <c r="I104" s="116">
        <f>+'II-E-5'!Q28</f>
        <v>0</v>
      </c>
      <c r="J104" s="116">
        <f>+'II-E-5'!R28</f>
        <v>260.98000000000013</v>
      </c>
      <c r="K104" s="116">
        <f>+'II-E-5'!S28</f>
        <v>0</v>
      </c>
      <c r="L104" s="116">
        <f>+'II-E-5'!T28</f>
        <v>0</v>
      </c>
      <c r="M104" s="116">
        <f>+'II-E-5'!U28</f>
        <v>0</v>
      </c>
      <c r="N104" s="116">
        <f>+'II-E-5'!V28</f>
        <v>0</v>
      </c>
      <c r="O104" s="116">
        <f>+'II-E-5'!W28</f>
        <v>0</v>
      </c>
      <c r="P104" s="122">
        <f t="shared" si="12"/>
        <v>260.98000000000013</v>
      </c>
    </row>
    <row r="105" spans="1:17" s="366" customFormat="1">
      <c r="A105" s="27" t="s">
        <v>274</v>
      </c>
      <c r="B105" s="116">
        <f>+'II-E-5'!E29</f>
        <v>29730870.580000006</v>
      </c>
      <c r="C105" s="116">
        <f>+'II-E-5'!F29</f>
        <v>6707884.2400000002</v>
      </c>
      <c r="D105" s="116">
        <f>+'II-E-5'!H29</f>
        <v>36438754.820000008</v>
      </c>
      <c r="E105" s="116">
        <f>+'II-E-5'!I29</f>
        <v>-1655616.68</v>
      </c>
      <c r="F105" s="116">
        <f>+'II-E-5'!J29</f>
        <v>34783138.140000008</v>
      </c>
      <c r="G105" s="116">
        <f>+'II-E-5'!O29</f>
        <v>28756794.140000001</v>
      </c>
      <c r="H105" s="116">
        <f>+'II-E-5'!P29</f>
        <v>0</v>
      </c>
      <c r="I105" s="116">
        <f>+'II-E-5'!Q29</f>
        <v>0</v>
      </c>
      <c r="J105" s="116">
        <f>+'II-E-5'!R29</f>
        <v>28756794.140000001</v>
      </c>
      <c r="K105" s="116">
        <f>+'II-E-5'!S29</f>
        <v>6026344.0000000075</v>
      </c>
      <c r="L105" s="116">
        <f>+'II-E-5'!T29</f>
        <v>0</v>
      </c>
      <c r="M105" s="116">
        <f>+'II-E-5'!U29</f>
        <v>6026344.0000000075</v>
      </c>
      <c r="N105" s="116">
        <f>+'II-E-5'!V29</f>
        <v>0</v>
      </c>
      <c r="O105" s="116">
        <f>+'II-E-5'!W29</f>
        <v>0</v>
      </c>
      <c r="P105" s="122">
        <f t="shared" si="12"/>
        <v>34783138.140000008</v>
      </c>
    </row>
    <row r="106" spans="1:17">
      <c r="A106" s="27" t="s">
        <v>1078</v>
      </c>
      <c r="B106" s="116">
        <f>+'II-E-5'!E30</f>
        <v>1987707.08</v>
      </c>
      <c r="C106" s="116">
        <f>+'II-E-5'!F30</f>
        <v>0</v>
      </c>
      <c r="D106" s="116">
        <f>+'II-E-5'!H30</f>
        <v>1987707.08</v>
      </c>
      <c r="E106" s="116">
        <f>+'II-E-5'!I30</f>
        <v>0</v>
      </c>
      <c r="F106" s="116">
        <f>+'II-E-5'!J30</f>
        <v>1987707.08</v>
      </c>
      <c r="G106" s="116">
        <f>+'II-E-5'!O30</f>
        <v>0</v>
      </c>
      <c r="H106" s="116">
        <f>+'II-E-5'!P30</f>
        <v>232561.74</v>
      </c>
      <c r="I106" s="116">
        <f>+'II-E-5'!Q30</f>
        <v>1755145.34</v>
      </c>
      <c r="J106" s="116">
        <f>+'II-E-5'!R30</f>
        <v>1987707.08</v>
      </c>
      <c r="K106" s="116">
        <f>+'II-E-5'!S30</f>
        <v>0</v>
      </c>
      <c r="L106" s="116">
        <f>+'II-E-5'!T30</f>
        <v>0</v>
      </c>
      <c r="M106" s="116">
        <f>+'II-E-5'!U30</f>
        <v>0</v>
      </c>
      <c r="N106" s="116">
        <f>+'II-E-5'!V30</f>
        <v>0</v>
      </c>
      <c r="O106" s="116">
        <f>+'II-E-5'!W30</f>
        <v>0</v>
      </c>
      <c r="P106" s="122">
        <f t="shared" si="12"/>
        <v>1987707.08</v>
      </c>
    </row>
    <row r="107" spans="1:17">
      <c r="A107" t="s">
        <v>1079</v>
      </c>
      <c r="B107" s="116">
        <f>+'II-E-5'!E31</f>
        <v>1366665.33</v>
      </c>
      <c r="C107" s="116">
        <f>+'II-E-5'!F31</f>
        <v>0</v>
      </c>
      <c r="D107" s="116">
        <f>+'II-E-5'!H31</f>
        <v>1366665.33</v>
      </c>
      <c r="E107" s="116">
        <f>+'II-E-5'!I31</f>
        <v>0</v>
      </c>
      <c r="F107" s="116">
        <f>+'II-E-5'!J31</f>
        <v>1366665.33</v>
      </c>
      <c r="G107" s="116">
        <f>+'II-E-5'!O31</f>
        <v>1225898.8</v>
      </c>
      <c r="H107" s="116">
        <f>+'II-E-5'!P31</f>
        <v>140766.53</v>
      </c>
      <c r="I107" s="116">
        <f>+'II-E-5'!Q31</f>
        <v>0</v>
      </c>
      <c r="J107" s="116">
        <f>+'II-E-5'!R31</f>
        <v>1366665.33</v>
      </c>
      <c r="K107" s="116">
        <f>+'II-E-5'!S31</f>
        <v>0</v>
      </c>
      <c r="L107" s="116">
        <f>+'II-E-5'!T31</f>
        <v>0</v>
      </c>
      <c r="M107" s="116">
        <f>+'II-E-5'!U31</f>
        <v>0</v>
      </c>
      <c r="N107" s="116">
        <f>+'II-E-5'!V31</f>
        <v>0</v>
      </c>
      <c r="O107" s="116">
        <f>+'II-E-5'!W31</f>
        <v>0</v>
      </c>
      <c r="P107" s="122">
        <f t="shared" si="12"/>
        <v>1366665.33</v>
      </c>
    </row>
    <row r="108" spans="1:17" s="341" customFormat="1" ht="13.5" thickBot="1">
      <c r="B108" s="377">
        <f t="shared" ref="B108:G108" si="13">SUM(B94:B107)</f>
        <v>87353271.270000011</v>
      </c>
      <c r="C108" s="377">
        <f t="shared" si="13"/>
        <v>6830300.4800000004</v>
      </c>
      <c r="D108" s="377">
        <f t="shared" si="13"/>
        <v>94183571.75</v>
      </c>
      <c r="E108" s="377">
        <f t="shared" si="13"/>
        <v>32962474.130000003</v>
      </c>
      <c r="F108" s="377">
        <f t="shared" si="13"/>
        <v>127146045.88000003</v>
      </c>
      <c r="G108" s="377">
        <f t="shared" si="13"/>
        <v>44003243.119999997</v>
      </c>
      <c r="H108" s="377">
        <f t="shared" ref="H108:O108" si="14">SUM(H94:H107)</f>
        <v>373328.27</v>
      </c>
      <c r="I108" s="377">
        <f t="shared" si="14"/>
        <v>1755145.34</v>
      </c>
      <c r="J108" s="377">
        <f t="shared" si="14"/>
        <v>46131716.729999997</v>
      </c>
      <c r="K108" s="377">
        <f t="shared" si="14"/>
        <v>66812956.150000006</v>
      </c>
      <c r="L108" s="377">
        <f t="shared" si="14"/>
        <v>0</v>
      </c>
      <c r="M108" s="377">
        <f t="shared" si="14"/>
        <v>66812956.150000006</v>
      </c>
      <c r="N108" s="377">
        <f t="shared" si="14"/>
        <v>14115591</v>
      </c>
      <c r="O108" s="377">
        <f t="shared" si="14"/>
        <v>85782</v>
      </c>
      <c r="P108" s="377">
        <f t="shared" ref="P108" si="15">SUM(P94:P107)</f>
        <v>127146045.88000003</v>
      </c>
    </row>
    <row r="109" spans="1:17" ht="13.5" thickTop="1">
      <c r="K109" s="366"/>
      <c r="N109" s="366"/>
      <c r="O109" s="366"/>
    </row>
    <row r="110" spans="1:17">
      <c r="A110" s="111" t="s">
        <v>321</v>
      </c>
      <c r="B110" s="116">
        <f>+'II-E-4.1'!E26</f>
        <v>-32624.000000000004</v>
      </c>
      <c r="C110" s="116">
        <f>+'II-E-4.1'!F26</f>
        <v>0</v>
      </c>
      <c r="D110" s="116">
        <f>+'II-E-4.1'!G26</f>
        <v>-32624.000000000004</v>
      </c>
      <c r="E110" s="116">
        <f>+'II-E-4.1'!H26</f>
        <v>0</v>
      </c>
      <c r="F110" s="116">
        <f>+'II-E-4.1'!I26</f>
        <v>-32624.000000000004</v>
      </c>
      <c r="G110" s="116">
        <f>+'II-E-4.1'!N26</f>
        <v>-32624.000000000004</v>
      </c>
      <c r="H110" s="116">
        <f>+'II-E-4.1'!O26</f>
        <v>0</v>
      </c>
      <c r="I110" s="116">
        <f>+'II-E-4.1'!P26</f>
        <v>0</v>
      </c>
      <c r="J110" s="116">
        <f>+'II-E-4.1'!Q26</f>
        <v>-32624.000000000004</v>
      </c>
      <c r="K110" s="116">
        <f>+'II-E-4.1'!R26</f>
        <v>0</v>
      </c>
      <c r="L110" s="116">
        <f>+'II-E-4.1'!S26</f>
        <v>0</v>
      </c>
      <c r="M110" s="116">
        <f>+'II-E-4.1'!T26</f>
        <v>0</v>
      </c>
      <c r="N110" s="116">
        <f>+'II-E-4.1'!U26</f>
        <v>0</v>
      </c>
      <c r="O110" s="116">
        <f>+'II-E-4.1'!V26</f>
        <v>0</v>
      </c>
      <c r="P110" s="122">
        <f t="shared" ref="P110" si="16">+J110+M110+N110+O110</f>
        <v>-32624.000000000004</v>
      </c>
    </row>
    <row r="111" spans="1:17">
      <c r="K111" s="366"/>
      <c r="N111" s="366"/>
      <c r="O111" s="366"/>
    </row>
    <row r="112" spans="1:17" s="116" customFormat="1">
      <c r="A112" s="113" t="s">
        <v>215</v>
      </c>
      <c r="B112" s="116">
        <f>ROUND(+'II-E-3'!E54,2)</f>
        <v>176438072.97</v>
      </c>
      <c r="C112" s="116">
        <f>ROUND(+'II-E-3'!F54,2)</f>
        <v>0</v>
      </c>
      <c r="D112" s="116">
        <f>ROUND(+'II-E-3'!G54,2)</f>
        <v>176438072.97</v>
      </c>
      <c r="E112" s="116">
        <f>ROUND(+'II-E-3'!H54,2)</f>
        <v>97745867.890000001</v>
      </c>
      <c r="F112" s="116">
        <f>ROUND(+'II-E-3'!I54,2)</f>
        <v>274183940.86000001</v>
      </c>
      <c r="G112" s="116">
        <f>ROUND(+'II-E-3'!N54,2)</f>
        <v>119092626.45</v>
      </c>
      <c r="H112" s="116">
        <f>ROUND(+'II-E-3'!O54,2)</f>
        <v>9497732.6099999994</v>
      </c>
      <c r="I112" s="116">
        <f>ROUND(+'II-E-3'!P54,2)</f>
        <v>86769.75</v>
      </c>
      <c r="J112" s="116">
        <f>SUM(G112:I112)</f>
        <v>128677128.81</v>
      </c>
      <c r="K112" s="116">
        <f>ROUND(+'II-E-3'!R54,2)</f>
        <v>140081472.55000001</v>
      </c>
      <c r="L112" s="116">
        <f>ROUND(+'II-E-3'!S54,2)</f>
        <v>767794.43</v>
      </c>
      <c r="M112" s="116">
        <f>SUM(K112:L112)</f>
        <v>140849266.98000002</v>
      </c>
      <c r="N112" s="116">
        <f>ROUND(+'II-E-3'!U54,2)</f>
        <v>1780846.85</v>
      </c>
      <c r="O112" s="116">
        <f>ROUND(+'II-E-3'!V54,2)</f>
        <v>2876698.22</v>
      </c>
      <c r="P112" s="116">
        <f t="shared" ref="P112" si="17">+J112+M112+N112+O112</f>
        <v>274183940.86000007</v>
      </c>
      <c r="Q112" s="116" t="b">
        <f>+F112=+P112</f>
        <v>1</v>
      </c>
    </row>
    <row r="114" spans="2:16">
      <c r="B114" s="116"/>
      <c r="C114" s="116"/>
      <c r="D114" s="116"/>
      <c r="E114" s="116"/>
      <c r="F114" s="116"/>
      <c r="G114" s="116"/>
      <c r="H114" s="116"/>
      <c r="I114" s="116"/>
      <c r="J114" s="116"/>
      <c r="K114" s="116"/>
      <c r="L114" s="116"/>
      <c r="M114" s="116"/>
      <c r="N114" s="116"/>
      <c r="O114" s="116"/>
      <c r="P114" s="116"/>
    </row>
  </sheetData>
  <phoneticPr fontId="10" type="noConversion"/>
  <pageMargins left="0.75" right="0.75" top="1" bottom="1" header="0.5" footer="0.5"/>
  <pageSetup orientation="portrait"/>
  <headerFooter alignWithMargins="0">
    <oddHeader xml:space="preserve">&amp;C&amp;B
ADFIT
Discretionary Revenue
</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6"/>
  <dimension ref="A1:Y114"/>
  <sheetViews>
    <sheetView tabSelected="1" zoomScale="85" zoomScaleNormal="85" workbookViewId="0">
      <pane xSplit="4" ySplit="13" topLeftCell="E14" activePane="bottomRight" state="frozen"/>
      <selection activeCell="E14" sqref="E14"/>
      <selection pane="topRight" activeCell="E14" sqref="E14"/>
      <selection pane="bottomLeft" activeCell="E14" sqref="E14"/>
      <selection pane="bottomRight" activeCell="E14" sqref="E14"/>
    </sheetView>
  </sheetViews>
  <sheetFormatPr defaultColWidth="9.140625" defaultRowHeight="12.75" customHeight="1"/>
  <cols>
    <col min="1" max="1" width="11.28515625" style="55" customWidth="1"/>
    <col min="2" max="2" width="18.7109375" style="57" customWidth="1"/>
    <col min="3" max="3" width="36.85546875" style="57" bestFit="1" customWidth="1"/>
    <col min="4" max="4" width="10.7109375" style="57" bestFit="1" customWidth="1"/>
    <col min="5" max="5" width="15.28515625" style="57" bestFit="1" customWidth="1"/>
    <col min="6" max="6" width="17.28515625" style="57" bestFit="1" customWidth="1"/>
    <col min="7" max="7" width="15.28515625" style="57" bestFit="1" customWidth="1"/>
    <col min="8" max="8" width="14.42578125" style="57" bestFit="1" customWidth="1"/>
    <col min="9" max="9" width="15.28515625" style="57" bestFit="1" customWidth="1"/>
    <col min="10" max="10" width="10.28515625" style="57" bestFit="1" customWidth="1"/>
    <col min="11" max="11" width="15.28515625" style="62" bestFit="1" customWidth="1"/>
    <col min="12" max="12" width="4.42578125" style="57" customWidth="1"/>
    <col min="13" max="13" width="7.7109375" style="62" customWidth="1"/>
    <col min="14" max="14" width="13.7109375" style="57" bestFit="1" customWidth="1"/>
    <col min="15" max="22" width="13.7109375" style="57" customWidth="1"/>
    <col min="23" max="23" width="15.28515625" style="57" bestFit="1" customWidth="1"/>
    <col min="24" max="24" width="8.140625" style="57" bestFit="1" customWidth="1"/>
    <col min="25" max="25" width="18.140625" style="57" bestFit="1" customWidth="1"/>
    <col min="26" max="16384" width="9.140625" style="57"/>
  </cols>
  <sheetData>
    <row r="1" spans="1:23">
      <c r="A1" s="31" t="str">
        <f>+'[3]Input Data'!$A$9</f>
        <v>2025 RATE CASE</v>
      </c>
      <c r="B1" s="55"/>
      <c r="C1" s="55"/>
      <c r="D1" s="55"/>
      <c r="E1" s="55"/>
      <c r="F1" s="85"/>
      <c r="G1" s="55"/>
      <c r="H1" s="55"/>
      <c r="I1" s="55"/>
      <c r="J1" s="55"/>
      <c r="K1" s="56"/>
      <c r="L1" s="55"/>
      <c r="M1" s="56"/>
      <c r="N1" s="27"/>
      <c r="O1" s="27"/>
      <c r="P1" s="27"/>
      <c r="Q1" s="27"/>
      <c r="R1" s="55"/>
      <c r="S1" s="55"/>
      <c r="T1" s="55"/>
      <c r="U1" s="55"/>
      <c r="V1" s="55"/>
      <c r="W1" s="55"/>
    </row>
    <row r="2" spans="1:23">
      <c r="A2" s="31" t="str">
        <f>+'[3]Input Data'!$A$2</f>
        <v>ONCOR ELECTRIC DELIVERY COMPANY LLC</v>
      </c>
      <c r="B2" s="55"/>
      <c r="C2" s="55"/>
      <c r="D2" s="55"/>
      <c r="E2" s="55"/>
      <c r="F2" s="85"/>
      <c r="G2" s="55"/>
      <c r="H2" s="55"/>
      <c r="I2" s="55"/>
      <c r="J2" s="55"/>
      <c r="K2" s="56"/>
      <c r="L2" s="55"/>
      <c r="M2" s="56"/>
      <c r="N2" s="27"/>
      <c r="O2" s="27"/>
      <c r="P2" s="27"/>
      <c r="Q2" s="27"/>
      <c r="R2" s="55"/>
      <c r="S2" s="55"/>
      <c r="T2" s="55"/>
      <c r="U2" s="55"/>
      <c r="V2" s="55"/>
      <c r="W2" s="55"/>
    </row>
    <row r="3" spans="1:23">
      <c r="A3" s="30" t="str">
        <f>CONCATENATE('[3]Schedule Sponsors'!$A$82,'[3]Schedule Sponsors'!$B$82)</f>
        <v>II-E-1   DEPRECIATION EXPENSE</v>
      </c>
      <c r="B3" s="27"/>
      <c r="D3" s="55"/>
      <c r="E3" s="55"/>
      <c r="F3" s="58"/>
      <c r="G3" s="55"/>
      <c r="H3" s="55"/>
      <c r="I3" s="55"/>
      <c r="J3" s="55"/>
      <c r="K3" s="56"/>
      <c r="L3" s="55"/>
      <c r="M3" s="56"/>
      <c r="N3" s="51"/>
      <c r="O3" s="51"/>
      <c r="P3" s="51"/>
      <c r="Q3" s="51"/>
      <c r="R3" s="55"/>
      <c r="S3" s="55"/>
      <c r="T3" s="55"/>
      <c r="U3" s="55"/>
      <c r="V3" s="55"/>
      <c r="W3" s="55"/>
    </row>
    <row r="4" spans="1:23">
      <c r="A4" s="89" t="str">
        <f>+'[3]Input Data'!$A$4</f>
        <v>TEST YEAR ENDING DECEMBER 31, 2024</v>
      </c>
      <c r="B4" s="27"/>
      <c r="D4" s="55"/>
      <c r="E4" s="55"/>
      <c r="F4" s="58"/>
      <c r="G4" s="55"/>
      <c r="H4" s="55"/>
      <c r="I4" s="55"/>
      <c r="J4" s="55"/>
      <c r="K4" s="56"/>
      <c r="L4" s="55"/>
      <c r="M4" s="56"/>
      <c r="N4" s="51"/>
      <c r="O4" s="51"/>
      <c r="P4" s="51"/>
      <c r="Q4" s="51"/>
      <c r="R4" s="55"/>
      <c r="S4" s="55"/>
      <c r="T4" s="55"/>
      <c r="U4" s="55"/>
      <c r="V4" s="55"/>
      <c r="W4" s="55"/>
    </row>
    <row r="5" spans="1:23">
      <c r="A5" s="30" t="str">
        <f>CONCATENATE("SPONSOR: ",'[3]Schedule Sponsors'!$D$82)</f>
        <v>SPONSOR: R. PRACHYL &amp;&amp; D. WATSON</v>
      </c>
      <c r="B5" s="27"/>
      <c r="D5" s="55"/>
      <c r="E5" s="55"/>
      <c r="F5" s="55"/>
      <c r="G5" s="55"/>
      <c r="H5" s="55"/>
      <c r="I5" s="55"/>
      <c r="J5" s="55"/>
      <c r="K5" s="56"/>
      <c r="L5" s="55"/>
      <c r="M5" s="56"/>
      <c r="N5" s="55"/>
      <c r="O5" s="55"/>
      <c r="P5" s="55"/>
      <c r="Q5" s="55"/>
      <c r="R5" s="55"/>
      <c r="S5" s="55"/>
      <c r="T5" s="55"/>
      <c r="U5" s="55"/>
      <c r="V5" s="55"/>
      <c r="W5" s="55"/>
    </row>
    <row r="6" spans="1:23">
      <c r="B6" s="27"/>
      <c r="D6" s="55"/>
      <c r="E6" s="55"/>
      <c r="F6" s="55"/>
      <c r="G6" s="55"/>
      <c r="H6" s="55"/>
      <c r="I6" s="55"/>
      <c r="J6" s="55"/>
      <c r="K6" s="56"/>
      <c r="L6" s="55"/>
      <c r="M6" s="56"/>
      <c r="N6" s="55"/>
      <c r="O6" s="55"/>
      <c r="P6" s="55"/>
      <c r="Q6" s="55"/>
      <c r="R6" s="55"/>
      <c r="S6" s="55"/>
      <c r="T6" s="55"/>
      <c r="U6" s="55"/>
      <c r="V6" s="55"/>
      <c r="W6" s="55"/>
    </row>
    <row r="7" spans="1:23">
      <c r="B7" s="27"/>
      <c r="D7" s="55"/>
      <c r="E7" s="55"/>
      <c r="F7" s="55"/>
      <c r="G7" s="55"/>
      <c r="H7" s="55"/>
      <c r="I7" s="55"/>
      <c r="J7" s="55"/>
      <c r="K7" s="56"/>
      <c r="L7" s="55"/>
      <c r="M7" s="56"/>
      <c r="N7" s="55"/>
      <c r="O7" s="55"/>
      <c r="P7" s="55"/>
      <c r="Q7" s="55"/>
      <c r="R7" s="55"/>
      <c r="S7" s="55"/>
      <c r="T7" s="55"/>
      <c r="U7" s="55"/>
      <c r="V7" s="55"/>
      <c r="W7" s="55"/>
    </row>
    <row r="8" spans="1:23">
      <c r="B8" s="59"/>
      <c r="C8" s="55"/>
      <c r="D8" s="55"/>
      <c r="E8" s="55"/>
      <c r="F8" s="55"/>
      <c r="G8" s="55"/>
      <c r="H8" s="55"/>
      <c r="I8" s="55"/>
      <c r="J8" s="55"/>
      <c r="K8" s="56"/>
      <c r="L8" s="55"/>
      <c r="M8" s="56"/>
      <c r="N8" s="55"/>
      <c r="O8" s="55"/>
      <c r="P8" s="55"/>
      <c r="Q8" s="55"/>
      <c r="R8" s="55"/>
      <c r="S8" s="55"/>
      <c r="T8" s="55"/>
      <c r="U8" s="55"/>
      <c r="V8" s="55"/>
      <c r="W8" s="55"/>
    </row>
    <row r="9" spans="1:23" ht="13.5" thickBot="1">
      <c r="B9" s="55" t="s">
        <v>67</v>
      </c>
      <c r="C9" s="55"/>
      <c r="D9" s="55"/>
      <c r="E9" s="60"/>
      <c r="F9" s="60"/>
      <c r="G9" s="60"/>
      <c r="H9" s="60"/>
      <c r="I9" s="60"/>
      <c r="J9" s="60"/>
      <c r="K9" s="60"/>
      <c r="L9" s="60"/>
      <c r="M9" s="60"/>
      <c r="N9" s="60"/>
      <c r="O9" s="60"/>
      <c r="P9" s="60"/>
      <c r="Q9" s="60"/>
      <c r="R9" s="60"/>
      <c r="S9" s="60"/>
      <c r="T9" s="60"/>
      <c r="U9" s="60"/>
      <c r="V9" s="60"/>
      <c r="W9" s="60"/>
    </row>
    <row r="10" spans="1:23" s="59" customFormat="1">
      <c r="A10" s="32"/>
      <c r="B10" s="32"/>
      <c r="C10" s="32"/>
      <c r="D10" s="32"/>
      <c r="E10" s="32"/>
      <c r="F10" s="32"/>
      <c r="G10" s="33" t="s">
        <v>61</v>
      </c>
      <c r="H10" s="33" t="s">
        <v>379</v>
      </c>
      <c r="I10" s="33" t="s">
        <v>62</v>
      </c>
      <c r="J10" s="33" t="s">
        <v>79</v>
      </c>
      <c r="K10" s="33" t="s">
        <v>269</v>
      </c>
      <c r="L10" s="32"/>
      <c r="M10" s="33" t="s">
        <v>338</v>
      </c>
      <c r="N10" s="33"/>
      <c r="O10" s="33"/>
      <c r="P10" s="33"/>
      <c r="Q10" s="33"/>
      <c r="R10" s="33"/>
      <c r="S10" s="33"/>
      <c r="T10" s="33"/>
      <c r="U10" s="33"/>
      <c r="V10" s="33"/>
      <c r="W10" s="33"/>
    </row>
    <row r="11" spans="1:23" s="59" customFormat="1">
      <c r="A11" s="34" t="s">
        <v>241</v>
      </c>
      <c r="B11" s="34" t="s">
        <v>69</v>
      </c>
      <c r="C11" s="34"/>
      <c r="D11" s="34" t="s">
        <v>66</v>
      </c>
      <c r="E11" s="50" t="s">
        <v>71</v>
      </c>
      <c r="F11" s="34" t="s">
        <v>72</v>
      </c>
      <c r="G11" s="34" t="s">
        <v>63</v>
      </c>
      <c r="H11" s="34" t="s">
        <v>380</v>
      </c>
      <c r="I11" s="34" t="s">
        <v>61</v>
      </c>
      <c r="J11" s="34" t="s">
        <v>269</v>
      </c>
      <c r="K11" s="34" t="s">
        <v>43</v>
      </c>
      <c r="L11" s="34" t="s">
        <v>74</v>
      </c>
      <c r="M11" s="34" t="s">
        <v>75</v>
      </c>
      <c r="N11" s="34"/>
      <c r="O11" s="165" t="s">
        <v>571</v>
      </c>
      <c r="P11" s="165" t="s">
        <v>572</v>
      </c>
      <c r="Q11" s="165" t="s">
        <v>574</v>
      </c>
      <c r="R11" s="34"/>
      <c r="S11" s="165" t="s">
        <v>571</v>
      </c>
      <c r="T11" s="165" t="s">
        <v>574</v>
      </c>
      <c r="U11" s="34"/>
      <c r="V11" s="34"/>
      <c r="W11" s="34"/>
    </row>
    <row r="12" spans="1:23" s="59" customFormat="1">
      <c r="A12" s="34" t="s">
        <v>268</v>
      </c>
      <c r="B12" s="34" t="s">
        <v>203</v>
      </c>
      <c r="C12" s="34" t="s">
        <v>64</v>
      </c>
      <c r="D12" s="34" t="s">
        <v>68</v>
      </c>
      <c r="E12" s="50" t="s">
        <v>76</v>
      </c>
      <c r="F12" s="34" t="s">
        <v>77</v>
      </c>
      <c r="G12" s="34" t="s">
        <v>78</v>
      </c>
      <c r="H12" s="34" t="s">
        <v>381</v>
      </c>
      <c r="I12" s="34" t="s">
        <v>63</v>
      </c>
      <c r="J12" s="34" t="s">
        <v>75</v>
      </c>
      <c r="K12" s="34" t="s">
        <v>79</v>
      </c>
      <c r="L12" s="34" t="s">
        <v>80</v>
      </c>
      <c r="M12" s="34" t="s">
        <v>81</v>
      </c>
      <c r="N12" s="34" t="s">
        <v>198</v>
      </c>
      <c r="O12" s="165" t="s">
        <v>198</v>
      </c>
      <c r="P12" s="165" t="s">
        <v>573</v>
      </c>
      <c r="Q12" s="165" t="s">
        <v>198</v>
      </c>
      <c r="R12" s="34" t="s">
        <v>199</v>
      </c>
      <c r="S12" s="165" t="s">
        <v>199</v>
      </c>
      <c r="T12" s="165" t="s">
        <v>199</v>
      </c>
      <c r="U12" s="34" t="s">
        <v>194</v>
      </c>
      <c r="V12" s="34" t="s">
        <v>279</v>
      </c>
      <c r="W12" s="34" t="s">
        <v>73</v>
      </c>
    </row>
    <row r="13" spans="1:23" s="59" customFormat="1" ht="13.5" thickBot="1">
      <c r="A13" s="35"/>
      <c r="B13" s="53" t="s">
        <v>226</v>
      </c>
      <c r="C13" s="53" t="s">
        <v>227</v>
      </c>
      <c r="D13" s="53" t="s">
        <v>228</v>
      </c>
      <c r="E13" s="53" t="s">
        <v>229</v>
      </c>
      <c r="F13" s="53" t="s">
        <v>230</v>
      </c>
      <c r="G13" s="53" t="s">
        <v>231</v>
      </c>
      <c r="H13" s="53" t="s">
        <v>232</v>
      </c>
      <c r="I13" s="53" t="s">
        <v>233</v>
      </c>
      <c r="J13" s="53" t="s">
        <v>234</v>
      </c>
      <c r="K13" s="53" t="s">
        <v>235</v>
      </c>
      <c r="L13" s="53" t="s">
        <v>236</v>
      </c>
      <c r="M13" s="53" t="s">
        <v>237</v>
      </c>
      <c r="N13" s="53" t="s">
        <v>238</v>
      </c>
      <c r="O13" s="215" t="s">
        <v>239</v>
      </c>
      <c r="P13" s="215" t="s">
        <v>240</v>
      </c>
      <c r="Q13" s="215" t="s">
        <v>140</v>
      </c>
      <c r="R13" s="215" t="s">
        <v>270</v>
      </c>
      <c r="S13" s="215" t="s">
        <v>280</v>
      </c>
      <c r="T13" s="215" t="s">
        <v>281</v>
      </c>
      <c r="U13" s="215" t="s">
        <v>473</v>
      </c>
      <c r="V13" s="215" t="s">
        <v>474</v>
      </c>
      <c r="W13" s="215" t="s">
        <v>475</v>
      </c>
    </row>
    <row r="14" spans="1:23" s="55" customFormat="1" ht="12.75" customHeight="1">
      <c r="A14" s="63"/>
      <c r="B14" s="63"/>
      <c r="C14" s="63"/>
      <c r="D14" s="63"/>
      <c r="E14" s="63"/>
      <c r="F14" s="63"/>
      <c r="G14" s="63"/>
      <c r="H14" s="63"/>
      <c r="I14" s="63"/>
      <c r="J14" s="63"/>
      <c r="K14" s="64"/>
      <c r="L14" s="63"/>
      <c r="M14" s="64"/>
      <c r="N14" s="63"/>
      <c r="O14" s="63"/>
      <c r="P14" s="63"/>
      <c r="Q14" s="63"/>
      <c r="R14" s="63"/>
      <c r="S14" s="63"/>
      <c r="T14" s="63"/>
      <c r="U14" s="63"/>
      <c r="V14" s="63"/>
      <c r="W14" s="63"/>
    </row>
    <row r="15" spans="1:23" s="31" customFormat="1">
      <c r="A15" s="41">
        <v>1</v>
      </c>
      <c r="B15" s="40" t="s">
        <v>148</v>
      </c>
      <c r="D15" s="42" t="s">
        <v>220</v>
      </c>
      <c r="K15" s="42"/>
      <c r="M15" s="42"/>
    </row>
    <row r="16" spans="1:23" s="27" customFormat="1">
      <c r="A16" s="41">
        <v>2</v>
      </c>
      <c r="D16" s="41"/>
      <c r="K16" s="41"/>
      <c r="M16" s="41"/>
    </row>
    <row r="17" spans="1:25" s="31" customFormat="1">
      <c r="A17" s="41">
        <v>3</v>
      </c>
      <c r="B17" s="31" t="s">
        <v>195</v>
      </c>
      <c r="D17" s="42" t="s">
        <v>220</v>
      </c>
      <c r="K17" s="42"/>
      <c r="M17" s="42"/>
    </row>
    <row r="18" spans="1:25" s="27" customFormat="1">
      <c r="A18" s="41">
        <v>4</v>
      </c>
      <c r="B18" s="27" t="s">
        <v>82</v>
      </c>
      <c r="C18" s="27" t="s">
        <v>83</v>
      </c>
      <c r="D18" s="41"/>
      <c r="E18" s="369">
        <v>0</v>
      </c>
      <c r="F18" s="160">
        <v>0</v>
      </c>
      <c r="G18" s="160">
        <f>+E18+F18</f>
        <v>0</v>
      </c>
      <c r="H18" s="376">
        <v>0</v>
      </c>
      <c r="I18" s="160">
        <f>+G18+H18</f>
        <v>0</v>
      </c>
      <c r="J18" s="136">
        <v>1</v>
      </c>
      <c r="K18" s="160">
        <f>+I18*J18</f>
        <v>0</v>
      </c>
      <c r="L18" s="160"/>
      <c r="M18" s="160"/>
      <c r="N18" s="376">
        <v>0</v>
      </c>
      <c r="O18" s="376">
        <v>0</v>
      </c>
      <c r="P18" s="376">
        <v>0</v>
      </c>
      <c r="Q18" s="376">
        <f>SUM(N18:P18)</f>
        <v>0</v>
      </c>
      <c r="R18" s="376">
        <v>0</v>
      </c>
      <c r="S18" s="376">
        <v>0</v>
      </c>
      <c r="T18" s="376">
        <f>SUM(R18:S18)</f>
        <v>0</v>
      </c>
      <c r="U18" s="376">
        <v>0</v>
      </c>
      <c r="V18" s="376">
        <v>0</v>
      </c>
      <c r="W18" s="160">
        <f>+N18+O18+P18+R18+S18+U18+V18</f>
        <v>0</v>
      </c>
      <c r="X18" s="44" t="b">
        <f>+K18=W18</f>
        <v>1</v>
      </c>
      <c r="Y18" s="44">
        <f>+K18-W18</f>
        <v>0</v>
      </c>
    </row>
    <row r="19" spans="1:25" s="27" customFormat="1">
      <c r="A19" s="41">
        <v>5</v>
      </c>
      <c r="B19" s="27" t="s">
        <v>85</v>
      </c>
      <c r="C19" s="27" t="s">
        <v>196</v>
      </c>
      <c r="D19" s="41"/>
      <c r="E19" s="368">
        <v>0</v>
      </c>
      <c r="F19" s="37">
        <v>0</v>
      </c>
      <c r="G19" s="37">
        <f>+E19+F19</f>
        <v>0</v>
      </c>
      <c r="H19" s="375">
        <v>0</v>
      </c>
      <c r="I19" s="37">
        <f>+G19+H19</f>
        <v>0</v>
      </c>
      <c r="J19" s="136">
        <v>1</v>
      </c>
      <c r="K19" s="91">
        <f>+I19*J19</f>
        <v>0</v>
      </c>
      <c r="L19" s="37"/>
      <c r="M19" s="41"/>
      <c r="N19" s="375">
        <v>0</v>
      </c>
      <c r="O19" s="375">
        <v>0</v>
      </c>
      <c r="P19" s="375">
        <v>0</v>
      </c>
      <c r="Q19" s="375">
        <f t="shared" ref="Q19:Q20" si="0">SUM(N19:P19)</f>
        <v>0</v>
      </c>
      <c r="R19" s="375">
        <v>0</v>
      </c>
      <c r="S19" s="375">
        <v>0</v>
      </c>
      <c r="T19" s="375">
        <f t="shared" ref="T19:T20" si="1">SUM(R19:S19)</f>
        <v>0</v>
      </c>
      <c r="U19" s="375">
        <v>0</v>
      </c>
      <c r="V19" s="375">
        <v>0</v>
      </c>
      <c r="W19" s="37">
        <f t="shared" ref="W19:W20" si="2">+N19+O19+P19+R19+S19+U19+V19</f>
        <v>0</v>
      </c>
      <c r="X19" s="44" t="b">
        <f>+K19=W19</f>
        <v>1</v>
      </c>
      <c r="Y19" s="44">
        <f>+K19-W19</f>
        <v>0</v>
      </c>
    </row>
    <row r="20" spans="1:25" s="27" customFormat="1">
      <c r="A20" s="41">
        <v>6</v>
      </c>
      <c r="B20" s="27" t="s">
        <v>86</v>
      </c>
      <c r="C20" s="27" t="s">
        <v>87</v>
      </c>
      <c r="D20" s="41"/>
      <c r="E20" s="375">
        <v>107434101.61</v>
      </c>
      <c r="F20" s="37">
        <v>0</v>
      </c>
      <c r="G20" s="37">
        <f>+E20+F20</f>
        <v>107434101.61</v>
      </c>
      <c r="H20" s="375">
        <v>-106293017.45999999</v>
      </c>
      <c r="I20" s="37">
        <f>+G20+H20</f>
        <v>1141084.150000006</v>
      </c>
      <c r="J20" s="136">
        <v>1</v>
      </c>
      <c r="K20" s="91">
        <f>+I20*J20</f>
        <v>1141084.150000006</v>
      </c>
      <c r="L20" s="37"/>
      <c r="M20" s="41"/>
      <c r="N20" s="375">
        <v>486900.61</v>
      </c>
      <c r="O20" s="375">
        <v>0</v>
      </c>
      <c r="P20" s="375">
        <v>0</v>
      </c>
      <c r="Q20" s="375">
        <f t="shared" si="0"/>
        <v>486900.61</v>
      </c>
      <c r="R20" s="375">
        <v>620475.91</v>
      </c>
      <c r="S20" s="375">
        <v>0</v>
      </c>
      <c r="T20" s="375">
        <f t="shared" si="1"/>
        <v>620475.91</v>
      </c>
      <c r="U20" s="375">
        <v>23278.12</v>
      </c>
      <c r="V20" s="375">
        <f>+K20-N20-O20-P20-R20-S20-U20</f>
        <v>10429.510000005943</v>
      </c>
      <c r="W20" s="37">
        <f t="shared" si="2"/>
        <v>1141084.150000006</v>
      </c>
      <c r="X20" s="44" t="b">
        <f>+K20=W20</f>
        <v>1</v>
      </c>
      <c r="Y20" s="135">
        <f>+K20-W20</f>
        <v>0</v>
      </c>
    </row>
    <row r="21" spans="1:25" s="27" customFormat="1">
      <c r="A21" s="41">
        <v>7</v>
      </c>
      <c r="D21" s="41"/>
      <c r="E21" s="118"/>
      <c r="F21" s="118"/>
      <c r="G21" s="118"/>
      <c r="H21" s="118"/>
      <c r="I21" s="118"/>
      <c r="J21" s="136"/>
      <c r="K21" s="120"/>
      <c r="L21" s="37"/>
      <c r="M21" s="41"/>
      <c r="N21" s="118"/>
      <c r="O21" s="118"/>
      <c r="P21" s="118"/>
      <c r="Q21" s="118"/>
      <c r="R21" s="119"/>
      <c r="S21" s="119"/>
      <c r="T21" s="119"/>
      <c r="U21" s="119"/>
      <c r="V21" s="119"/>
      <c r="W21" s="119"/>
    </row>
    <row r="22" spans="1:25" s="43" customFormat="1">
      <c r="A22" s="41">
        <v>8</v>
      </c>
      <c r="C22" s="88" t="s">
        <v>84</v>
      </c>
      <c r="E22" s="161">
        <f>SUM(E18:E20)</f>
        <v>107434101.61</v>
      </c>
      <c r="F22" s="161">
        <f>SUM(F18:F20)</f>
        <v>0</v>
      </c>
      <c r="G22" s="161">
        <f t="shared" ref="G22:K22" si="3">SUM(G18:G20)</f>
        <v>107434101.61</v>
      </c>
      <c r="H22" s="161">
        <f>SUM(H18:H20)</f>
        <v>-106293017.45999999</v>
      </c>
      <c r="I22" s="161">
        <f t="shared" si="3"/>
        <v>1141084.150000006</v>
      </c>
      <c r="J22" s="138"/>
      <c r="K22" s="161">
        <f t="shared" si="3"/>
        <v>1141084.150000006</v>
      </c>
      <c r="L22" s="161"/>
      <c r="M22" s="161"/>
      <c r="N22" s="161">
        <f t="shared" ref="N22:P22" si="4">SUM(N18:N20)</f>
        <v>486900.61</v>
      </c>
      <c r="O22" s="161">
        <f t="shared" si="4"/>
        <v>0</v>
      </c>
      <c r="P22" s="161">
        <f t="shared" si="4"/>
        <v>0</v>
      </c>
      <c r="Q22" s="161">
        <f t="shared" ref="Q22:W22" si="5">SUM(Q18:Q20)</f>
        <v>486900.61</v>
      </c>
      <c r="R22" s="161">
        <f t="shared" si="5"/>
        <v>620475.91</v>
      </c>
      <c r="S22" s="161">
        <f t="shared" si="5"/>
        <v>0</v>
      </c>
      <c r="T22" s="161">
        <f t="shared" si="5"/>
        <v>620475.91</v>
      </c>
      <c r="U22" s="161">
        <f t="shared" si="5"/>
        <v>23278.12</v>
      </c>
      <c r="V22" s="161">
        <f t="shared" si="5"/>
        <v>10429.510000005943</v>
      </c>
      <c r="W22" s="161">
        <f t="shared" si="5"/>
        <v>1141084.150000006</v>
      </c>
      <c r="X22" s="44" t="b">
        <f>+K22=W22</f>
        <v>1</v>
      </c>
      <c r="Y22" s="135">
        <f>+K22-W22</f>
        <v>0</v>
      </c>
    </row>
    <row r="23" spans="1:25" s="27" customFormat="1">
      <c r="A23" s="41">
        <v>9</v>
      </c>
      <c r="D23" s="41"/>
      <c r="E23" s="37"/>
      <c r="F23" s="37"/>
      <c r="G23" s="37"/>
      <c r="H23" s="37"/>
      <c r="I23" s="37"/>
      <c r="J23" s="136"/>
      <c r="K23" s="41"/>
      <c r="L23" s="37"/>
      <c r="M23" s="41"/>
      <c r="N23" s="37"/>
      <c r="O23" s="37"/>
      <c r="P23" s="37"/>
      <c r="Q23" s="37"/>
      <c r="R23" s="37"/>
      <c r="S23" s="37"/>
      <c r="T23" s="37"/>
      <c r="U23" s="37"/>
      <c r="V23" s="37"/>
      <c r="W23" s="37"/>
    </row>
    <row r="24" spans="1:25" s="31" customFormat="1">
      <c r="A24" s="41">
        <v>10</v>
      </c>
      <c r="B24" s="31" t="s">
        <v>149</v>
      </c>
      <c r="D24" s="42" t="s">
        <v>220</v>
      </c>
      <c r="E24" s="43"/>
      <c r="F24" s="43"/>
      <c r="G24" s="43"/>
      <c r="H24" s="43"/>
      <c r="I24" s="43"/>
      <c r="J24" s="138"/>
      <c r="K24" s="42"/>
      <c r="L24" s="43"/>
      <c r="M24" s="42"/>
      <c r="N24" s="43"/>
      <c r="O24" s="43"/>
      <c r="P24" s="43"/>
      <c r="Q24" s="43"/>
      <c r="R24" s="43"/>
      <c r="S24" s="43"/>
      <c r="T24" s="43"/>
      <c r="U24" s="43"/>
      <c r="V24" s="43"/>
      <c r="W24" s="43"/>
    </row>
    <row r="25" spans="1:25" s="27" customFormat="1">
      <c r="A25" s="41">
        <v>11</v>
      </c>
      <c r="B25" s="27" t="s">
        <v>89</v>
      </c>
      <c r="C25" s="27" t="s">
        <v>90</v>
      </c>
      <c r="D25" s="41"/>
      <c r="E25" s="370">
        <v>6059977.29</v>
      </c>
      <c r="F25" s="160">
        <v>0</v>
      </c>
      <c r="G25" s="160">
        <f t="shared" ref="G25:G37" si="6">+E25+F25</f>
        <v>6059977.29</v>
      </c>
      <c r="H25" s="376">
        <v>381318.79</v>
      </c>
      <c r="I25" s="160">
        <f>+G25+H25</f>
        <v>6441296.0800000001</v>
      </c>
      <c r="J25" s="136">
        <v>1</v>
      </c>
      <c r="K25" s="160">
        <f t="shared" ref="K25:K37" si="7">+I25*J25</f>
        <v>6441296.0800000001</v>
      </c>
      <c r="L25" s="160"/>
      <c r="M25" s="160"/>
      <c r="N25" s="376">
        <v>5541481.3300000001</v>
      </c>
      <c r="O25" s="376">
        <v>899814.75</v>
      </c>
      <c r="P25" s="376">
        <v>0</v>
      </c>
      <c r="Q25" s="376">
        <f t="shared" ref="Q25:Q37" si="8">SUM(N25:P25)</f>
        <v>6441296.0800000001</v>
      </c>
      <c r="R25" s="376">
        <v>0</v>
      </c>
      <c r="S25" s="376">
        <v>0</v>
      </c>
      <c r="T25" s="376">
        <f t="shared" ref="T25:T37" si="9">SUM(R25:S25)</f>
        <v>0</v>
      </c>
      <c r="U25" s="376">
        <v>0</v>
      </c>
      <c r="V25" s="376">
        <v>0</v>
      </c>
      <c r="W25" s="160">
        <f t="shared" ref="W25:W37" si="10">+N25+O25+P25+R25+S25+U25+V25</f>
        <v>6441296.0800000001</v>
      </c>
      <c r="X25" s="44" t="b">
        <f t="shared" ref="X25:X37" si="11">+K25=W25</f>
        <v>1</v>
      </c>
      <c r="Y25" s="44">
        <f t="shared" ref="Y25:Y37" si="12">+K25-W25</f>
        <v>0</v>
      </c>
    </row>
    <row r="26" spans="1:25" s="27" customFormat="1">
      <c r="A26" s="41">
        <v>12</v>
      </c>
      <c r="B26" s="346" t="s">
        <v>1043</v>
      </c>
      <c r="C26" s="346" t="s">
        <v>1044</v>
      </c>
      <c r="D26" s="41"/>
      <c r="E26" s="375">
        <v>0</v>
      </c>
      <c r="F26" s="37">
        <v>0</v>
      </c>
      <c r="G26" s="37">
        <f t="shared" si="6"/>
        <v>0</v>
      </c>
      <c r="H26" s="375">
        <v>0</v>
      </c>
      <c r="I26" s="37">
        <f t="shared" ref="I26" si="13">+G26+H26</f>
        <v>0</v>
      </c>
      <c r="J26" s="136">
        <v>1</v>
      </c>
      <c r="K26" s="91">
        <f t="shared" ref="K26" si="14">+I26*J26</f>
        <v>0</v>
      </c>
      <c r="L26" s="160"/>
      <c r="M26" s="160"/>
      <c r="N26" s="375">
        <v>0</v>
      </c>
      <c r="O26" s="375">
        <v>0</v>
      </c>
      <c r="P26" s="375">
        <v>0</v>
      </c>
      <c r="Q26" s="375">
        <f t="shared" si="8"/>
        <v>0</v>
      </c>
      <c r="R26" s="375">
        <v>0</v>
      </c>
      <c r="S26" s="375">
        <v>0</v>
      </c>
      <c r="T26" s="375">
        <f t="shared" si="9"/>
        <v>0</v>
      </c>
      <c r="U26" s="375">
        <v>0</v>
      </c>
      <c r="V26" s="375">
        <v>0</v>
      </c>
      <c r="W26" s="37">
        <f t="shared" si="10"/>
        <v>0</v>
      </c>
      <c r="X26" s="44" t="b">
        <f t="shared" ref="X26" si="15">+K26=W26</f>
        <v>1</v>
      </c>
      <c r="Y26" s="135">
        <f t="shared" ref="Y26" si="16">+K26-W26</f>
        <v>0</v>
      </c>
    </row>
    <row r="27" spans="1:25" s="27" customFormat="1">
      <c r="A27" s="41">
        <v>13</v>
      </c>
      <c r="B27" s="346" t="s">
        <v>1045</v>
      </c>
      <c r="C27" s="346" t="s">
        <v>1046</v>
      </c>
      <c r="D27" s="41"/>
      <c r="E27" s="375">
        <v>0</v>
      </c>
      <c r="F27" s="37">
        <v>0</v>
      </c>
      <c r="G27" s="37">
        <f t="shared" ref="G27:G28" si="17">+E27+F27</f>
        <v>0</v>
      </c>
      <c r="H27" s="375">
        <v>12662464.560000001</v>
      </c>
      <c r="I27" s="37">
        <f t="shared" ref="I27:I28" si="18">+G27+H27</f>
        <v>12662464.560000001</v>
      </c>
      <c r="J27" s="136">
        <v>1</v>
      </c>
      <c r="K27" s="91">
        <f t="shared" ref="K27:K28" si="19">+I27*J27</f>
        <v>12662464.560000001</v>
      </c>
      <c r="L27" s="160"/>
      <c r="M27" s="160"/>
      <c r="N27" s="375">
        <v>12662464.560000001</v>
      </c>
      <c r="O27" s="375">
        <v>0</v>
      </c>
      <c r="P27" s="375">
        <v>0</v>
      </c>
      <c r="Q27" s="375">
        <f t="shared" si="8"/>
        <v>12662464.560000001</v>
      </c>
      <c r="R27" s="375">
        <v>0</v>
      </c>
      <c r="S27" s="375">
        <v>0</v>
      </c>
      <c r="T27" s="375">
        <f t="shared" si="9"/>
        <v>0</v>
      </c>
      <c r="U27" s="375">
        <v>0</v>
      </c>
      <c r="V27" s="375">
        <v>0</v>
      </c>
      <c r="W27" s="37">
        <f t="shared" si="10"/>
        <v>12662464.560000001</v>
      </c>
      <c r="X27" s="44" t="b">
        <f t="shared" ref="X27:X28" si="20">+K27=W27</f>
        <v>1</v>
      </c>
      <c r="Y27" s="135">
        <f t="shared" ref="Y27:Y28" si="21">+K27-W27</f>
        <v>0</v>
      </c>
    </row>
    <row r="28" spans="1:25" s="27" customFormat="1">
      <c r="A28" s="41">
        <v>14</v>
      </c>
      <c r="B28" s="346" t="s">
        <v>1047</v>
      </c>
      <c r="C28" s="346" t="s">
        <v>372</v>
      </c>
      <c r="D28" s="41"/>
      <c r="E28" s="375">
        <v>0</v>
      </c>
      <c r="F28" s="37">
        <v>0</v>
      </c>
      <c r="G28" s="37">
        <f t="shared" si="17"/>
        <v>0</v>
      </c>
      <c r="H28" s="375">
        <v>122277.99</v>
      </c>
      <c r="I28" s="37">
        <f t="shared" si="18"/>
        <v>122277.99</v>
      </c>
      <c r="J28" s="136">
        <v>1</v>
      </c>
      <c r="K28" s="91">
        <f t="shared" si="19"/>
        <v>122277.99</v>
      </c>
      <c r="L28" s="160"/>
      <c r="M28" s="160"/>
      <c r="N28" s="375">
        <v>122277.99</v>
      </c>
      <c r="O28" s="375">
        <v>0</v>
      </c>
      <c r="P28" s="375">
        <v>0</v>
      </c>
      <c r="Q28" s="375">
        <f t="shared" si="8"/>
        <v>122277.99</v>
      </c>
      <c r="R28" s="375">
        <v>0</v>
      </c>
      <c r="S28" s="375">
        <v>0</v>
      </c>
      <c r="T28" s="375">
        <f t="shared" si="9"/>
        <v>0</v>
      </c>
      <c r="U28" s="375">
        <v>0</v>
      </c>
      <c r="V28" s="375">
        <v>0</v>
      </c>
      <c r="W28" s="37">
        <f t="shared" si="10"/>
        <v>122277.99</v>
      </c>
      <c r="X28" s="44" t="b">
        <f t="shared" si="20"/>
        <v>1</v>
      </c>
      <c r="Y28" s="135">
        <f t="shared" si="21"/>
        <v>0</v>
      </c>
    </row>
    <row r="29" spans="1:25" s="27" customFormat="1">
      <c r="A29" s="41">
        <v>15</v>
      </c>
      <c r="B29" s="27" t="s">
        <v>91</v>
      </c>
      <c r="C29" s="27" t="s">
        <v>88</v>
      </c>
      <c r="D29" s="41"/>
      <c r="E29" s="375">
        <v>16511584.35</v>
      </c>
      <c r="F29" s="37">
        <v>0</v>
      </c>
      <c r="G29" s="37">
        <f t="shared" si="6"/>
        <v>16511584.35</v>
      </c>
      <c r="H29" s="375">
        <v>-924237.09</v>
      </c>
      <c r="I29" s="37">
        <f t="shared" ref="I29:I37" si="22">+G29+H29</f>
        <v>15587347.26</v>
      </c>
      <c r="J29" s="136">
        <v>1</v>
      </c>
      <c r="K29" s="91">
        <f t="shared" si="7"/>
        <v>15587347.26</v>
      </c>
      <c r="L29" s="37"/>
      <c r="M29" s="41"/>
      <c r="N29" s="375">
        <v>13179235.99</v>
      </c>
      <c r="O29" s="375">
        <v>2370870.4700000002</v>
      </c>
      <c r="P29" s="375">
        <v>37240.800000000003</v>
      </c>
      <c r="Q29" s="375">
        <f t="shared" si="8"/>
        <v>15587347.260000002</v>
      </c>
      <c r="R29" s="375">
        <v>0</v>
      </c>
      <c r="S29" s="375">
        <v>0</v>
      </c>
      <c r="T29" s="375">
        <f t="shared" si="9"/>
        <v>0</v>
      </c>
      <c r="U29" s="375">
        <v>0</v>
      </c>
      <c r="V29" s="375">
        <v>0</v>
      </c>
      <c r="W29" s="37">
        <f t="shared" si="10"/>
        <v>15587347.260000002</v>
      </c>
      <c r="X29" s="44" t="b">
        <f t="shared" si="11"/>
        <v>1</v>
      </c>
      <c r="Y29" s="135">
        <f t="shared" si="12"/>
        <v>0</v>
      </c>
    </row>
    <row r="30" spans="1:25" s="27" customFormat="1">
      <c r="A30" s="41">
        <v>16</v>
      </c>
      <c r="B30" s="27" t="s">
        <v>92</v>
      </c>
      <c r="C30" s="27" t="s">
        <v>93</v>
      </c>
      <c r="D30" s="41"/>
      <c r="E30" s="375">
        <v>105866388.55</v>
      </c>
      <c r="F30" s="37">
        <v>0</v>
      </c>
      <c r="G30" s="37">
        <f t="shared" si="6"/>
        <v>105866388.55</v>
      </c>
      <c r="H30" s="375">
        <v>11546819.630000001</v>
      </c>
      <c r="I30" s="37">
        <f t="shared" si="22"/>
        <v>117413208.17999999</v>
      </c>
      <c r="J30" s="136">
        <v>1</v>
      </c>
      <c r="K30" s="91">
        <f t="shared" si="7"/>
        <v>117413208.17999999</v>
      </c>
      <c r="L30" s="37"/>
      <c r="M30" s="41"/>
      <c r="N30" s="375">
        <v>96507114.760000005</v>
      </c>
      <c r="O30" s="375">
        <v>7658423.3300000001</v>
      </c>
      <c r="P30" s="375">
        <v>687106.39</v>
      </c>
      <c r="Q30" s="375">
        <f t="shared" si="8"/>
        <v>104852644.48</v>
      </c>
      <c r="R30" s="375">
        <v>11435177.9</v>
      </c>
      <c r="S30" s="375">
        <v>1125385.8</v>
      </c>
      <c r="T30" s="375">
        <f t="shared" si="9"/>
        <v>12560563.700000001</v>
      </c>
      <c r="U30" s="375">
        <v>0</v>
      </c>
      <c r="V30" s="375">
        <v>0</v>
      </c>
      <c r="W30" s="37">
        <f t="shared" si="10"/>
        <v>117413208.18000001</v>
      </c>
      <c r="X30" s="44" t="b">
        <f t="shared" si="11"/>
        <v>1</v>
      </c>
      <c r="Y30" s="135">
        <f t="shared" si="12"/>
        <v>0</v>
      </c>
    </row>
    <row r="31" spans="1:25" s="27" customFormat="1">
      <c r="A31" s="41">
        <v>17</v>
      </c>
      <c r="B31" s="27" t="s">
        <v>94</v>
      </c>
      <c r="C31" s="27" t="s">
        <v>95</v>
      </c>
      <c r="D31" s="41"/>
      <c r="E31" s="375">
        <v>38621975.509999998</v>
      </c>
      <c r="F31" s="37">
        <v>0</v>
      </c>
      <c r="G31" s="37">
        <f t="shared" si="6"/>
        <v>38621975.509999998</v>
      </c>
      <c r="H31" s="375">
        <v>2714681.84</v>
      </c>
      <c r="I31" s="37">
        <f t="shared" si="22"/>
        <v>41336657.349999994</v>
      </c>
      <c r="J31" s="136">
        <v>1</v>
      </c>
      <c r="K31" s="91">
        <f t="shared" si="7"/>
        <v>41336657.349999994</v>
      </c>
      <c r="L31" s="37"/>
      <c r="M31" s="41"/>
      <c r="N31" s="375">
        <v>31838793.829999998</v>
      </c>
      <c r="O31" s="375">
        <v>9497863.5199999996</v>
      </c>
      <c r="P31" s="375">
        <v>0</v>
      </c>
      <c r="Q31" s="375">
        <f t="shared" si="8"/>
        <v>41336657.349999994</v>
      </c>
      <c r="R31" s="375">
        <v>0</v>
      </c>
      <c r="S31" s="375">
        <v>0</v>
      </c>
      <c r="T31" s="375">
        <f t="shared" si="9"/>
        <v>0</v>
      </c>
      <c r="U31" s="375">
        <v>0</v>
      </c>
      <c r="V31" s="375">
        <v>0</v>
      </c>
      <c r="W31" s="37">
        <f t="shared" si="10"/>
        <v>41336657.349999994</v>
      </c>
      <c r="X31" s="44" t="b">
        <f t="shared" si="11"/>
        <v>1</v>
      </c>
      <c r="Y31" s="135">
        <f t="shared" si="12"/>
        <v>0</v>
      </c>
    </row>
    <row r="32" spans="1:25" s="27" customFormat="1">
      <c r="A32" s="41">
        <v>18</v>
      </c>
      <c r="B32" s="27" t="s">
        <v>96</v>
      </c>
      <c r="C32" s="27" t="s">
        <v>97</v>
      </c>
      <c r="D32" s="41"/>
      <c r="E32" s="375">
        <v>117316397.05</v>
      </c>
      <c r="F32" s="37">
        <v>0</v>
      </c>
      <c r="G32" s="37">
        <f t="shared" si="6"/>
        <v>117316397.05</v>
      </c>
      <c r="H32" s="375">
        <v>8343405.21</v>
      </c>
      <c r="I32" s="37">
        <f t="shared" si="22"/>
        <v>125659802.25999999</v>
      </c>
      <c r="J32" s="136">
        <v>1</v>
      </c>
      <c r="K32" s="91">
        <f t="shared" si="7"/>
        <v>125659802.25999999</v>
      </c>
      <c r="L32" s="37"/>
      <c r="M32" s="41"/>
      <c r="N32" s="375">
        <v>118716217.62</v>
      </c>
      <c r="O32" s="375">
        <v>6943584.6399999997</v>
      </c>
      <c r="P32" s="375">
        <v>0</v>
      </c>
      <c r="Q32" s="375">
        <f t="shared" si="8"/>
        <v>125659802.26000001</v>
      </c>
      <c r="R32" s="375">
        <v>0</v>
      </c>
      <c r="S32" s="375">
        <v>0</v>
      </c>
      <c r="T32" s="375">
        <f t="shared" si="9"/>
        <v>0</v>
      </c>
      <c r="U32" s="375">
        <v>0</v>
      </c>
      <c r="V32" s="375">
        <v>0</v>
      </c>
      <c r="W32" s="37">
        <f t="shared" si="10"/>
        <v>125659802.26000001</v>
      </c>
      <c r="X32" s="44" t="b">
        <f t="shared" si="11"/>
        <v>1</v>
      </c>
      <c r="Y32" s="135">
        <f t="shared" si="12"/>
        <v>0</v>
      </c>
    </row>
    <row r="33" spans="1:25" s="27" customFormat="1">
      <c r="A33" s="41">
        <v>19</v>
      </c>
      <c r="B33" s="27" t="s">
        <v>98</v>
      </c>
      <c r="C33" s="27" t="s">
        <v>99</v>
      </c>
      <c r="D33" s="41"/>
      <c r="E33" s="375">
        <v>77828285.170000002</v>
      </c>
      <c r="F33" s="37">
        <v>0</v>
      </c>
      <c r="G33" s="37">
        <f t="shared" si="6"/>
        <v>77828285.170000002</v>
      </c>
      <c r="H33" s="375">
        <v>9303574.2300000004</v>
      </c>
      <c r="I33" s="37">
        <f t="shared" si="22"/>
        <v>87131859.400000006</v>
      </c>
      <c r="J33" s="136">
        <v>1</v>
      </c>
      <c r="K33" s="91">
        <f t="shared" si="7"/>
        <v>87131859.400000006</v>
      </c>
      <c r="L33" s="37"/>
      <c r="M33" s="41"/>
      <c r="N33" s="375">
        <v>76870775.469999999</v>
      </c>
      <c r="O33" s="375">
        <v>10261083.93</v>
      </c>
      <c r="P33" s="375">
        <v>0</v>
      </c>
      <c r="Q33" s="375">
        <f t="shared" si="8"/>
        <v>87131859.400000006</v>
      </c>
      <c r="R33" s="375">
        <v>0</v>
      </c>
      <c r="S33" s="375">
        <v>0</v>
      </c>
      <c r="T33" s="375">
        <f t="shared" si="9"/>
        <v>0</v>
      </c>
      <c r="U33" s="375">
        <v>0</v>
      </c>
      <c r="V33" s="375">
        <v>0</v>
      </c>
      <c r="W33" s="37">
        <f t="shared" si="10"/>
        <v>87131859.400000006</v>
      </c>
      <c r="X33" s="44" t="b">
        <f t="shared" si="11"/>
        <v>1</v>
      </c>
      <c r="Y33" s="135">
        <f t="shared" si="12"/>
        <v>0</v>
      </c>
    </row>
    <row r="34" spans="1:25" s="27" customFormat="1">
      <c r="A34" s="41">
        <v>20</v>
      </c>
      <c r="B34" s="27" t="s">
        <v>100</v>
      </c>
      <c r="C34" s="27" t="s">
        <v>369</v>
      </c>
      <c r="D34" s="41"/>
      <c r="E34" s="375">
        <v>983025.55</v>
      </c>
      <c r="F34" s="37">
        <v>0</v>
      </c>
      <c r="G34" s="37">
        <f t="shared" si="6"/>
        <v>983025.55</v>
      </c>
      <c r="H34" s="375">
        <v>39562.300000000003</v>
      </c>
      <c r="I34" s="37">
        <f t="shared" si="22"/>
        <v>1022587.8500000001</v>
      </c>
      <c r="J34" s="136">
        <v>1</v>
      </c>
      <c r="K34" s="91">
        <f t="shared" si="7"/>
        <v>1022587.8500000001</v>
      </c>
      <c r="L34" s="37"/>
      <c r="M34" s="41"/>
      <c r="N34" s="375">
        <v>1022587.85</v>
      </c>
      <c r="O34" s="375">
        <v>0</v>
      </c>
      <c r="P34" s="375">
        <v>0</v>
      </c>
      <c r="Q34" s="375">
        <f t="shared" si="8"/>
        <v>1022587.85</v>
      </c>
      <c r="R34" s="375">
        <v>0</v>
      </c>
      <c r="S34" s="375">
        <v>0</v>
      </c>
      <c r="T34" s="375">
        <f t="shared" si="9"/>
        <v>0</v>
      </c>
      <c r="U34" s="375">
        <v>0</v>
      </c>
      <c r="V34" s="375">
        <v>0</v>
      </c>
      <c r="W34" s="37">
        <f t="shared" si="10"/>
        <v>1022587.85</v>
      </c>
      <c r="X34" s="44" t="b">
        <f t="shared" si="11"/>
        <v>1</v>
      </c>
      <c r="Y34" s="135">
        <f t="shared" si="12"/>
        <v>0</v>
      </c>
    </row>
    <row r="35" spans="1:25" s="27" customFormat="1">
      <c r="A35" s="41">
        <v>21</v>
      </c>
      <c r="B35" s="27" t="s">
        <v>102</v>
      </c>
      <c r="C35" s="46" t="s">
        <v>103</v>
      </c>
      <c r="D35" s="41"/>
      <c r="E35" s="375">
        <v>1985359.28</v>
      </c>
      <c r="F35" s="37">
        <v>0</v>
      </c>
      <c r="G35" s="37">
        <f t="shared" si="6"/>
        <v>1985359.28</v>
      </c>
      <c r="H35" s="375">
        <v>-201938.81</v>
      </c>
      <c r="I35" s="37">
        <f t="shared" si="22"/>
        <v>1783420.47</v>
      </c>
      <c r="J35" s="136">
        <v>1</v>
      </c>
      <c r="K35" s="91">
        <f t="shared" si="7"/>
        <v>1783420.47</v>
      </c>
      <c r="L35" s="37"/>
      <c r="M35" s="41"/>
      <c r="N35" s="375">
        <v>1783420.47</v>
      </c>
      <c r="O35" s="375">
        <v>0</v>
      </c>
      <c r="P35" s="375">
        <v>0</v>
      </c>
      <c r="Q35" s="375">
        <f t="shared" si="8"/>
        <v>1783420.47</v>
      </c>
      <c r="R35" s="375">
        <v>0</v>
      </c>
      <c r="S35" s="375">
        <v>0</v>
      </c>
      <c r="T35" s="375">
        <f t="shared" si="9"/>
        <v>0</v>
      </c>
      <c r="U35" s="375">
        <v>0</v>
      </c>
      <c r="V35" s="375">
        <v>0</v>
      </c>
      <c r="W35" s="37">
        <f t="shared" si="10"/>
        <v>1783420.47</v>
      </c>
      <c r="X35" s="44" t="b">
        <f t="shared" si="11"/>
        <v>1</v>
      </c>
      <c r="Y35" s="135">
        <f t="shared" si="12"/>
        <v>0</v>
      </c>
    </row>
    <row r="36" spans="1:25" s="27" customFormat="1">
      <c r="A36" s="41">
        <v>22</v>
      </c>
      <c r="B36" s="27" t="s">
        <v>104</v>
      </c>
      <c r="C36" s="27" t="s">
        <v>105</v>
      </c>
      <c r="D36" s="41"/>
      <c r="E36" s="375">
        <v>0</v>
      </c>
      <c r="F36" s="37">
        <v>0</v>
      </c>
      <c r="G36" s="37">
        <f t="shared" si="6"/>
        <v>0</v>
      </c>
      <c r="H36" s="375">
        <v>0</v>
      </c>
      <c r="I36" s="37">
        <f t="shared" si="22"/>
        <v>0</v>
      </c>
      <c r="J36" s="136">
        <v>1</v>
      </c>
      <c r="K36" s="91">
        <f t="shared" si="7"/>
        <v>0</v>
      </c>
      <c r="L36" s="37"/>
      <c r="M36" s="41"/>
      <c r="N36" s="375">
        <v>0</v>
      </c>
      <c r="O36" s="375">
        <v>0</v>
      </c>
      <c r="P36" s="375">
        <v>0</v>
      </c>
      <c r="Q36" s="375">
        <f t="shared" si="8"/>
        <v>0</v>
      </c>
      <c r="R36" s="375">
        <v>0</v>
      </c>
      <c r="S36" s="375">
        <v>0</v>
      </c>
      <c r="T36" s="375">
        <f t="shared" si="9"/>
        <v>0</v>
      </c>
      <c r="U36" s="375">
        <v>0</v>
      </c>
      <c r="V36" s="375">
        <v>0</v>
      </c>
      <c r="W36" s="37">
        <f t="shared" si="10"/>
        <v>0</v>
      </c>
      <c r="X36" s="44" t="b">
        <f t="shared" si="11"/>
        <v>1</v>
      </c>
      <c r="Y36" s="135">
        <f t="shared" si="12"/>
        <v>0</v>
      </c>
    </row>
    <row r="37" spans="1:25" s="27" customFormat="1">
      <c r="A37" s="41">
        <v>23</v>
      </c>
      <c r="C37" s="27" t="s">
        <v>138</v>
      </c>
      <c r="D37" s="41"/>
      <c r="E37" s="375">
        <v>0</v>
      </c>
      <c r="F37" s="37">
        <v>0</v>
      </c>
      <c r="G37" s="37">
        <f t="shared" si="6"/>
        <v>0</v>
      </c>
      <c r="H37" s="375">
        <v>0</v>
      </c>
      <c r="I37" s="37">
        <f t="shared" si="22"/>
        <v>0</v>
      </c>
      <c r="J37" s="136">
        <v>1</v>
      </c>
      <c r="K37" s="91">
        <f t="shared" si="7"/>
        <v>0</v>
      </c>
      <c r="L37" s="37"/>
      <c r="M37" s="41"/>
      <c r="N37" s="375">
        <v>0</v>
      </c>
      <c r="O37" s="375">
        <v>0</v>
      </c>
      <c r="P37" s="375">
        <v>0</v>
      </c>
      <c r="Q37" s="375">
        <f t="shared" si="8"/>
        <v>0</v>
      </c>
      <c r="R37" s="375">
        <v>0</v>
      </c>
      <c r="S37" s="375">
        <v>0</v>
      </c>
      <c r="T37" s="375">
        <f t="shared" si="9"/>
        <v>0</v>
      </c>
      <c r="U37" s="375">
        <v>0</v>
      </c>
      <c r="V37" s="375">
        <v>0</v>
      </c>
      <c r="W37" s="37">
        <f t="shared" si="10"/>
        <v>0</v>
      </c>
      <c r="X37" s="44" t="b">
        <f t="shared" si="11"/>
        <v>1</v>
      </c>
      <c r="Y37" s="135">
        <f t="shared" si="12"/>
        <v>0</v>
      </c>
    </row>
    <row r="38" spans="1:25" s="27" customFormat="1">
      <c r="A38" s="41">
        <v>24</v>
      </c>
      <c r="D38" s="41"/>
      <c r="E38" s="118"/>
      <c r="F38" s="118"/>
      <c r="G38" s="118"/>
      <c r="H38" s="118"/>
      <c r="I38" s="118"/>
      <c r="J38" s="136"/>
      <c r="K38" s="118"/>
      <c r="L38" s="37"/>
      <c r="M38" s="41"/>
      <c r="N38" s="118"/>
      <c r="O38" s="118"/>
      <c r="P38" s="118"/>
      <c r="Q38" s="118"/>
      <c r="R38" s="118"/>
      <c r="S38" s="118"/>
      <c r="T38" s="118"/>
      <c r="U38" s="118"/>
      <c r="V38" s="118"/>
      <c r="W38" s="118"/>
    </row>
    <row r="39" spans="1:25" s="43" customFormat="1">
      <c r="A39" s="41">
        <v>25</v>
      </c>
      <c r="C39" s="88" t="s">
        <v>84</v>
      </c>
      <c r="E39" s="161">
        <f>SUM(E25:E37)</f>
        <v>365172992.75</v>
      </c>
      <c r="F39" s="161">
        <f>SUM(F25:F37)</f>
        <v>0</v>
      </c>
      <c r="G39" s="161">
        <f>SUM(G25:G37)</f>
        <v>365172992.75</v>
      </c>
      <c r="H39" s="161">
        <f>SUM(H25:H37)</f>
        <v>43987928.649999991</v>
      </c>
      <c r="I39" s="161">
        <f>SUM(I25:I37)</f>
        <v>409160921.39999998</v>
      </c>
      <c r="J39" s="138"/>
      <c r="K39" s="161">
        <f>SUM(K25:K37)</f>
        <v>409160921.39999998</v>
      </c>
      <c r="L39" s="161"/>
      <c r="M39" s="161"/>
      <c r="N39" s="161">
        <f t="shared" ref="N39:W39" si="23">SUM(N25:N37)</f>
        <v>358244369.87</v>
      </c>
      <c r="O39" s="161">
        <f t="shared" si="23"/>
        <v>37631640.640000001</v>
      </c>
      <c r="P39" s="161">
        <f t="shared" si="23"/>
        <v>724347.19000000006</v>
      </c>
      <c r="Q39" s="161">
        <f t="shared" si="23"/>
        <v>396600357.70000005</v>
      </c>
      <c r="R39" s="161">
        <f t="shared" si="23"/>
        <v>11435177.9</v>
      </c>
      <c r="S39" s="161">
        <f t="shared" si="23"/>
        <v>1125385.8</v>
      </c>
      <c r="T39" s="161">
        <f t="shared" si="23"/>
        <v>12560563.700000001</v>
      </c>
      <c r="U39" s="161">
        <f t="shared" si="23"/>
        <v>0</v>
      </c>
      <c r="V39" s="161">
        <f t="shared" si="23"/>
        <v>0</v>
      </c>
      <c r="W39" s="161">
        <f t="shared" si="23"/>
        <v>409160921.4000001</v>
      </c>
      <c r="X39" s="44" t="b">
        <f>+K39=W39</f>
        <v>1</v>
      </c>
      <c r="Y39" s="135">
        <f>+K39-W39</f>
        <v>0</v>
      </c>
    </row>
    <row r="40" spans="1:25" s="27" customFormat="1">
      <c r="A40" s="41">
        <v>26</v>
      </c>
      <c r="D40" s="41"/>
      <c r="E40" s="37"/>
      <c r="F40" s="37"/>
      <c r="G40" s="37"/>
      <c r="H40" s="37"/>
      <c r="I40" s="37"/>
      <c r="J40" s="136"/>
      <c r="K40" s="41"/>
      <c r="L40" s="37"/>
      <c r="M40" s="41"/>
      <c r="N40" s="37"/>
      <c r="O40" s="37"/>
      <c r="P40" s="37"/>
      <c r="Q40" s="37"/>
      <c r="R40" s="37"/>
      <c r="S40" s="37"/>
      <c r="T40" s="37"/>
      <c r="U40" s="37"/>
      <c r="V40" s="37"/>
      <c r="W40" s="37"/>
    </row>
    <row r="41" spans="1:25" s="31" customFormat="1">
      <c r="A41" s="41">
        <v>27</v>
      </c>
      <c r="B41" s="31" t="s">
        <v>65</v>
      </c>
      <c r="D41" s="42" t="s">
        <v>220</v>
      </c>
      <c r="E41" s="43"/>
      <c r="F41" s="43"/>
      <c r="G41" s="43"/>
      <c r="H41" s="43"/>
      <c r="I41" s="43"/>
      <c r="J41" s="138"/>
      <c r="K41" s="42"/>
      <c r="L41" s="43"/>
      <c r="M41" s="42"/>
      <c r="N41" s="43"/>
      <c r="O41" s="43"/>
      <c r="P41" s="43"/>
      <c r="Q41" s="43"/>
      <c r="R41" s="43"/>
      <c r="S41" s="43"/>
      <c r="T41" s="43"/>
      <c r="U41" s="43"/>
      <c r="V41" s="43"/>
      <c r="W41" s="43"/>
    </row>
    <row r="42" spans="1:25" s="27" customFormat="1">
      <c r="A42" s="41">
        <v>28</v>
      </c>
      <c r="B42" s="27" t="s">
        <v>106</v>
      </c>
      <c r="C42" s="27" t="s">
        <v>90</v>
      </c>
      <c r="D42" s="41"/>
      <c r="E42" s="372">
        <v>348121.12</v>
      </c>
      <c r="F42" s="160">
        <v>0</v>
      </c>
      <c r="G42" s="160">
        <f t="shared" ref="G42:G57" si="24">+E42+F42</f>
        <v>348121.12</v>
      </c>
      <c r="H42" s="376">
        <v>48855.39</v>
      </c>
      <c r="I42" s="160">
        <f t="shared" ref="I42:I57" si="25">+G42+H42</f>
        <v>396976.51</v>
      </c>
      <c r="J42" s="136">
        <v>1</v>
      </c>
      <c r="K42" s="160">
        <f t="shared" ref="K42:K57" si="26">+I42*J42</f>
        <v>396976.51</v>
      </c>
      <c r="L42" s="160"/>
      <c r="M42" s="160"/>
      <c r="N42" s="376">
        <v>36178.58</v>
      </c>
      <c r="O42" s="376">
        <v>0</v>
      </c>
      <c r="P42" s="376">
        <v>0</v>
      </c>
      <c r="Q42" s="376">
        <f t="shared" ref="Q42:Q57" si="27">SUM(N42:P42)</f>
        <v>36178.58</v>
      </c>
      <c r="R42" s="376">
        <v>360797.93</v>
      </c>
      <c r="S42" s="376">
        <v>0</v>
      </c>
      <c r="T42" s="376">
        <f t="shared" ref="T42:T57" si="28">SUM(R42:S42)</f>
        <v>360797.93</v>
      </c>
      <c r="U42" s="376">
        <v>0</v>
      </c>
      <c r="V42" s="376">
        <v>0</v>
      </c>
      <c r="W42" s="160">
        <f t="shared" ref="W42:W57" si="29">+N42+O42+P42+R42+S42+U42+V42</f>
        <v>396976.51</v>
      </c>
      <c r="X42" s="44" t="b">
        <f t="shared" ref="X42:X57" si="30">+K42=W42</f>
        <v>1</v>
      </c>
      <c r="Y42" s="44">
        <f t="shared" ref="Y42:Y57" si="31">+K42-W42</f>
        <v>0</v>
      </c>
    </row>
    <row r="43" spans="1:25" s="27" customFormat="1">
      <c r="A43" s="41">
        <v>29</v>
      </c>
      <c r="B43" s="27" t="s">
        <v>107</v>
      </c>
      <c r="C43" s="46" t="s">
        <v>88</v>
      </c>
      <c r="D43" s="41"/>
      <c r="E43" s="371">
        <v>7840271.6299999999</v>
      </c>
      <c r="F43" s="37">
        <v>0</v>
      </c>
      <c r="G43" s="37">
        <f t="shared" si="24"/>
        <v>7840271.6299999999</v>
      </c>
      <c r="H43" s="375">
        <v>1126387.1499999999</v>
      </c>
      <c r="I43" s="37">
        <f t="shared" si="25"/>
        <v>8966658.7799999993</v>
      </c>
      <c r="J43" s="136">
        <v>1</v>
      </c>
      <c r="K43" s="91">
        <f t="shared" si="26"/>
        <v>8966658.7799999993</v>
      </c>
      <c r="L43" s="37"/>
      <c r="M43" s="41"/>
      <c r="N43" s="375">
        <v>2546969.31</v>
      </c>
      <c r="O43" s="375">
        <v>341106.59</v>
      </c>
      <c r="P43" s="375">
        <v>0</v>
      </c>
      <c r="Q43" s="375">
        <f t="shared" si="27"/>
        <v>2888075.9</v>
      </c>
      <c r="R43" s="375">
        <v>5614303.75</v>
      </c>
      <c r="S43" s="375">
        <v>464279.13</v>
      </c>
      <c r="T43" s="375">
        <f t="shared" si="28"/>
        <v>6078582.8799999999</v>
      </c>
      <c r="U43" s="375">
        <v>0</v>
      </c>
      <c r="V43" s="375">
        <v>0</v>
      </c>
      <c r="W43" s="37">
        <f t="shared" si="29"/>
        <v>8966658.7800000012</v>
      </c>
      <c r="X43" s="44" t="b">
        <f t="shared" si="30"/>
        <v>1</v>
      </c>
      <c r="Y43" s="135">
        <f t="shared" si="31"/>
        <v>0</v>
      </c>
    </row>
    <row r="44" spans="1:25" s="27" customFormat="1">
      <c r="A44" s="41">
        <v>30</v>
      </c>
      <c r="B44" s="27" t="s">
        <v>108</v>
      </c>
      <c r="C44" s="27" t="s">
        <v>93</v>
      </c>
      <c r="D44" s="41"/>
      <c r="E44" s="371">
        <v>64620424.520000003</v>
      </c>
      <c r="F44" s="37">
        <v>0</v>
      </c>
      <c r="G44" s="37">
        <f t="shared" si="24"/>
        <v>64620424.520000003</v>
      </c>
      <c r="H44" s="375">
        <v>16238360.210000001</v>
      </c>
      <c r="I44" s="37">
        <f t="shared" si="25"/>
        <v>80858784.730000004</v>
      </c>
      <c r="J44" s="136">
        <v>1</v>
      </c>
      <c r="K44" s="91">
        <f t="shared" si="26"/>
        <v>80858784.730000004</v>
      </c>
      <c r="L44" s="37"/>
      <c r="M44" s="41"/>
      <c r="N44" s="375">
        <v>20422605.559999999</v>
      </c>
      <c r="O44" s="375">
        <v>899421.54</v>
      </c>
      <c r="P44" s="375">
        <v>0</v>
      </c>
      <c r="Q44" s="375">
        <f t="shared" si="27"/>
        <v>21322027.099999998</v>
      </c>
      <c r="R44" s="375">
        <v>58018119.409999996</v>
      </c>
      <c r="S44" s="375">
        <v>1518638.22</v>
      </c>
      <c r="T44" s="375">
        <f t="shared" si="28"/>
        <v>59536757.629999995</v>
      </c>
      <c r="U44" s="375">
        <v>0</v>
      </c>
      <c r="V44" s="375">
        <v>0</v>
      </c>
      <c r="W44" s="37">
        <f t="shared" si="29"/>
        <v>80858784.729999989</v>
      </c>
      <c r="X44" s="44" t="b">
        <f t="shared" si="30"/>
        <v>1</v>
      </c>
      <c r="Y44" s="135">
        <f t="shared" si="31"/>
        <v>0</v>
      </c>
    </row>
    <row r="45" spans="1:25" s="27" customFormat="1">
      <c r="A45" s="41">
        <v>31</v>
      </c>
      <c r="B45" s="346" t="s">
        <v>1048</v>
      </c>
      <c r="C45" s="346" t="s">
        <v>1044</v>
      </c>
      <c r="D45" s="41"/>
      <c r="E45" s="371">
        <v>0</v>
      </c>
      <c r="F45" s="37">
        <v>0</v>
      </c>
      <c r="G45" s="37">
        <f t="shared" si="24"/>
        <v>0</v>
      </c>
      <c r="H45" s="375">
        <v>0</v>
      </c>
      <c r="I45" s="37">
        <f t="shared" si="25"/>
        <v>0</v>
      </c>
      <c r="J45" s="136">
        <v>1</v>
      </c>
      <c r="K45" s="91">
        <f t="shared" si="26"/>
        <v>0</v>
      </c>
      <c r="L45" s="37"/>
      <c r="M45" s="41"/>
      <c r="N45" s="375">
        <v>0</v>
      </c>
      <c r="O45" s="375">
        <v>0</v>
      </c>
      <c r="P45" s="375">
        <v>0</v>
      </c>
      <c r="Q45" s="375">
        <f t="shared" si="27"/>
        <v>0</v>
      </c>
      <c r="R45" s="375">
        <v>0</v>
      </c>
      <c r="S45" s="375">
        <v>0</v>
      </c>
      <c r="T45" s="375">
        <f t="shared" si="28"/>
        <v>0</v>
      </c>
      <c r="U45" s="375">
        <v>0</v>
      </c>
      <c r="V45" s="375">
        <v>0</v>
      </c>
      <c r="W45" s="37">
        <f t="shared" si="29"/>
        <v>0</v>
      </c>
      <c r="X45" s="44" t="b">
        <f t="shared" si="30"/>
        <v>1</v>
      </c>
      <c r="Y45" s="135">
        <f t="shared" si="31"/>
        <v>0</v>
      </c>
    </row>
    <row r="46" spans="1:25" s="27" customFormat="1">
      <c r="A46" s="41">
        <v>32</v>
      </c>
      <c r="B46" s="346" t="s">
        <v>1049</v>
      </c>
      <c r="C46" s="346" t="s">
        <v>1046</v>
      </c>
      <c r="D46" s="41"/>
      <c r="E46" s="375">
        <v>0</v>
      </c>
      <c r="F46" s="37">
        <v>0</v>
      </c>
      <c r="G46" s="37">
        <f t="shared" ref="G46:G47" si="32">+E46+F46</f>
        <v>0</v>
      </c>
      <c r="H46" s="375">
        <v>61123258.920000002</v>
      </c>
      <c r="I46" s="37">
        <f t="shared" ref="I46:I47" si="33">+G46+H46</f>
        <v>61123258.920000002</v>
      </c>
      <c r="J46" s="136">
        <v>1</v>
      </c>
      <c r="K46" s="91">
        <f t="shared" ref="K46:K47" si="34">+I46*J46</f>
        <v>61123258.920000002</v>
      </c>
      <c r="L46" s="37"/>
      <c r="M46" s="41"/>
      <c r="N46" s="375">
        <v>0</v>
      </c>
      <c r="O46" s="375">
        <v>0</v>
      </c>
      <c r="P46" s="375">
        <v>0</v>
      </c>
      <c r="Q46" s="375">
        <f t="shared" si="27"/>
        <v>0</v>
      </c>
      <c r="R46" s="375">
        <v>27237168.699999999</v>
      </c>
      <c r="S46" s="375">
        <v>0</v>
      </c>
      <c r="T46" s="375">
        <f t="shared" si="28"/>
        <v>27237168.699999999</v>
      </c>
      <c r="U46" s="375">
        <v>3385973.72</v>
      </c>
      <c r="V46" s="375">
        <v>30500116.5</v>
      </c>
      <c r="W46" s="37">
        <f t="shared" si="29"/>
        <v>61123258.920000002</v>
      </c>
      <c r="X46" s="44" t="b">
        <f t="shared" ref="X46:X47" si="35">+K46=W46</f>
        <v>1</v>
      </c>
      <c r="Y46" s="135">
        <f t="shared" ref="Y46:Y47" si="36">+K46-W46</f>
        <v>0</v>
      </c>
    </row>
    <row r="47" spans="1:25" s="27" customFormat="1">
      <c r="A47" s="41">
        <v>33</v>
      </c>
      <c r="B47" s="346" t="s">
        <v>1050</v>
      </c>
      <c r="C47" s="346" t="s">
        <v>372</v>
      </c>
      <c r="D47" s="41"/>
      <c r="E47" s="375">
        <v>0</v>
      </c>
      <c r="F47" s="37">
        <v>0</v>
      </c>
      <c r="G47" s="37">
        <f t="shared" si="32"/>
        <v>0</v>
      </c>
      <c r="H47" s="375">
        <v>0</v>
      </c>
      <c r="I47" s="37">
        <f t="shared" si="33"/>
        <v>0</v>
      </c>
      <c r="J47" s="136">
        <v>1</v>
      </c>
      <c r="K47" s="91">
        <f t="shared" si="34"/>
        <v>0</v>
      </c>
      <c r="L47" s="37"/>
      <c r="M47" s="41"/>
      <c r="N47" s="375">
        <v>0</v>
      </c>
      <c r="O47" s="375">
        <v>0</v>
      </c>
      <c r="P47" s="375">
        <v>0</v>
      </c>
      <c r="Q47" s="375">
        <f t="shared" si="27"/>
        <v>0</v>
      </c>
      <c r="R47" s="375">
        <v>0</v>
      </c>
      <c r="S47" s="375">
        <v>0</v>
      </c>
      <c r="T47" s="375">
        <f t="shared" si="28"/>
        <v>0</v>
      </c>
      <c r="U47" s="375">
        <v>0</v>
      </c>
      <c r="V47" s="375">
        <v>0</v>
      </c>
      <c r="W47" s="37">
        <f t="shared" si="29"/>
        <v>0</v>
      </c>
      <c r="X47" s="44" t="b">
        <f t="shared" si="35"/>
        <v>1</v>
      </c>
      <c r="Y47" s="135">
        <f t="shared" si="36"/>
        <v>0</v>
      </c>
    </row>
    <row r="48" spans="1:25" s="27" customFormat="1">
      <c r="A48" s="41">
        <v>34</v>
      </c>
      <c r="B48" s="27" t="s">
        <v>109</v>
      </c>
      <c r="C48" s="54" t="s">
        <v>371</v>
      </c>
      <c r="D48" s="41"/>
      <c r="E48" s="371">
        <v>119364492.42</v>
      </c>
      <c r="F48" s="37">
        <v>0</v>
      </c>
      <c r="G48" s="37">
        <f t="shared" si="24"/>
        <v>119364492.42</v>
      </c>
      <c r="H48" s="375">
        <v>13431992.73</v>
      </c>
      <c r="I48" s="37">
        <f t="shared" si="25"/>
        <v>132796485.15000001</v>
      </c>
      <c r="J48" s="136">
        <v>1</v>
      </c>
      <c r="K48" s="91">
        <f t="shared" si="26"/>
        <v>132796485.15000001</v>
      </c>
      <c r="L48" s="37"/>
      <c r="M48" s="41"/>
      <c r="N48" s="375">
        <v>0</v>
      </c>
      <c r="O48" s="375">
        <v>0</v>
      </c>
      <c r="P48" s="375">
        <v>0</v>
      </c>
      <c r="Q48" s="375">
        <f t="shared" si="27"/>
        <v>0</v>
      </c>
      <c r="R48" s="375">
        <v>132772031.77</v>
      </c>
      <c r="S48" s="375">
        <v>24453.38</v>
      </c>
      <c r="T48" s="375">
        <f t="shared" si="28"/>
        <v>132796485.14999999</v>
      </c>
      <c r="U48" s="375">
        <v>0</v>
      </c>
      <c r="V48" s="375">
        <v>0</v>
      </c>
      <c r="W48" s="37">
        <f t="shared" si="29"/>
        <v>132796485.14999999</v>
      </c>
      <c r="X48" s="44" t="b">
        <f t="shared" si="30"/>
        <v>1</v>
      </c>
      <c r="Y48" s="135">
        <f t="shared" si="31"/>
        <v>0</v>
      </c>
    </row>
    <row r="49" spans="1:25" s="27" customFormat="1">
      <c r="A49" s="41">
        <v>35</v>
      </c>
      <c r="B49" s="27" t="s">
        <v>111</v>
      </c>
      <c r="C49" s="27" t="s">
        <v>99</v>
      </c>
      <c r="D49" s="41"/>
      <c r="E49" s="371">
        <v>66363956.960000001</v>
      </c>
      <c r="F49" s="37">
        <v>0</v>
      </c>
      <c r="G49" s="37">
        <f t="shared" si="24"/>
        <v>66363956.960000001</v>
      </c>
      <c r="H49" s="375">
        <v>-4632960.62</v>
      </c>
      <c r="I49" s="37">
        <f t="shared" si="25"/>
        <v>61730996.340000004</v>
      </c>
      <c r="J49" s="136">
        <v>1</v>
      </c>
      <c r="K49" s="91">
        <f t="shared" si="26"/>
        <v>61730996.340000004</v>
      </c>
      <c r="L49" s="37"/>
      <c r="M49" s="41"/>
      <c r="N49" s="375">
        <v>0</v>
      </c>
      <c r="O49" s="375">
        <v>0</v>
      </c>
      <c r="P49" s="375">
        <v>0</v>
      </c>
      <c r="Q49" s="375">
        <f t="shared" si="27"/>
        <v>0</v>
      </c>
      <c r="R49" s="375">
        <v>61699776.700000003</v>
      </c>
      <c r="S49" s="375">
        <v>31219.64</v>
      </c>
      <c r="T49" s="375">
        <f t="shared" si="28"/>
        <v>61730996.340000004</v>
      </c>
      <c r="U49" s="375">
        <v>0</v>
      </c>
      <c r="V49" s="375">
        <v>0</v>
      </c>
      <c r="W49" s="37">
        <f t="shared" si="29"/>
        <v>61730996.340000004</v>
      </c>
      <c r="X49" s="44" t="b">
        <f t="shared" si="30"/>
        <v>1</v>
      </c>
      <c r="Y49" s="135">
        <f t="shared" si="31"/>
        <v>0</v>
      </c>
    </row>
    <row r="50" spans="1:25" s="27" customFormat="1">
      <c r="A50" s="41">
        <v>36</v>
      </c>
      <c r="B50" s="27" t="s">
        <v>112</v>
      </c>
      <c r="C50" s="27" t="s">
        <v>113</v>
      </c>
      <c r="D50" s="41"/>
      <c r="E50" s="371">
        <v>34057475.969999999</v>
      </c>
      <c r="F50" s="37">
        <v>0</v>
      </c>
      <c r="G50" s="37">
        <f t="shared" si="24"/>
        <v>34057475.969999999</v>
      </c>
      <c r="H50" s="375">
        <v>6099264.3300000001</v>
      </c>
      <c r="I50" s="37">
        <f t="shared" si="25"/>
        <v>40156740.299999997</v>
      </c>
      <c r="J50" s="136">
        <v>1</v>
      </c>
      <c r="K50" s="91">
        <f t="shared" si="26"/>
        <v>40156740.299999997</v>
      </c>
      <c r="L50" s="37"/>
      <c r="M50" s="41"/>
      <c r="N50" s="375">
        <v>0</v>
      </c>
      <c r="O50" s="375">
        <v>0</v>
      </c>
      <c r="P50" s="375">
        <v>0</v>
      </c>
      <c r="Q50" s="375">
        <f t="shared" si="27"/>
        <v>0</v>
      </c>
      <c r="R50" s="375">
        <v>40143407.219999999</v>
      </c>
      <c r="S50" s="375">
        <v>13333.08</v>
      </c>
      <c r="T50" s="375">
        <f t="shared" si="28"/>
        <v>40156740.299999997</v>
      </c>
      <c r="U50" s="375">
        <v>0</v>
      </c>
      <c r="V50" s="375">
        <v>0</v>
      </c>
      <c r="W50" s="37">
        <f t="shared" si="29"/>
        <v>40156740.299999997</v>
      </c>
      <c r="X50" s="44" t="b">
        <f t="shared" si="30"/>
        <v>1</v>
      </c>
      <c r="Y50" s="135">
        <f t="shared" si="31"/>
        <v>0</v>
      </c>
    </row>
    <row r="51" spans="1:25" s="27" customFormat="1">
      <c r="A51" s="41">
        <v>37</v>
      </c>
      <c r="B51" s="27" t="s">
        <v>114</v>
      </c>
      <c r="C51" s="46" t="s">
        <v>115</v>
      </c>
      <c r="D51" s="41"/>
      <c r="E51" s="371">
        <v>67389875.620000005</v>
      </c>
      <c r="F51" s="37">
        <v>0</v>
      </c>
      <c r="G51" s="37">
        <f t="shared" si="24"/>
        <v>67389875.620000005</v>
      </c>
      <c r="H51" s="375">
        <v>12540555.24</v>
      </c>
      <c r="I51" s="37">
        <f t="shared" si="25"/>
        <v>79930430.859999999</v>
      </c>
      <c r="J51" s="136">
        <v>1</v>
      </c>
      <c r="K51" s="91">
        <f t="shared" si="26"/>
        <v>79930430.859999999</v>
      </c>
      <c r="L51" s="37"/>
      <c r="M51" s="41"/>
      <c r="N51" s="375">
        <v>0</v>
      </c>
      <c r="O51" s="375">
        <v>0</v>
      </c>
      <c r="P51" s="375">
        <v>0</v>
      </c>
      <c r="Q51" s="375">
        <f t="shared" si="27"/>
        <v>0</v>
      </c>
      <c r="R51" s="375">
        <v>79884161.159999996</v>
      </c>
      <c r="S51" s="375">
        <v>46269.7</v>
      </c>
      <c r="T51" s="375">
        <f t="shared" si="28"/>
        <v>79930430.859999999</v>
      </c>
      <c r="U51" s="375">
        <v>0</v>
      </c>
      <c r="V51" s="375">
        <v>0</v>
      </c>
      <c r="W51" s="37">
        <f t="shared" si="29"/>
        <v>79930430.859999999</v>
      </c>
      <c r="X51" s="44" t="b">
        <f t="shared" si="30"/>
        <v>1</v>
      </c>
      <c r="Y51" s="135">
        <f t="shared" si="31"/>
        <v>0</v>
      </c>
    </row>
    <row r="52" spans="1:25" s="27" customFormat="1">
      <c r="A52" s="41">
        <v>38</v>
      </c>
      <c r="B52" s="27" t="s">
        <v>116</v>
      </c>
      <c r="C52" s="27" t="s">
        <v>117</v>
      </c>
      <c r="D52" s="41"/>
      <c r="E52" s="371">
        <v>68754514.599999994</v>
      </c>
      <c r="F52" s="37">
        <v>0</v>
      </c>
      <c r="G52" s="37">
        <f t="shared" si="24"/>
        <v>68754514.599999994</v>
      </c>
      <c r="H52" s="375">
        <v>5991526.1900000004</v>
      </c>
      <c r="I52" s="37">
        <f t="shared" si="25"/>
        <v>74746040.789999992</v>
      </c>
      <c r="J52" s="136">
        <v>1</v>
      </c>
      <c r="K52" s="91">
        <f t="shared" si="26"/>
        <v>74746040.789999992</v>
      </c>
      <c r="L52" s="37"/>
      <c r="M52" s="41"/>
      <c r="N52" s="375">
        <v>0</v>
      </c>
      <c r="O52" s="375">
        <v>0</v>
      </c>
      <c r="P52" s="375">
        <v>0</v>
      </c>
      <c r="Q52" s="375">
        <f t="shared" si="27"/>
        <v>0</v>
      </c>
      <c r="R52" s="375">
        <v>74745921.769999996</v>
      </c>
      <c r="S52" s="375">
        <v>119.02</v>
      </c>
      <c r="T52" s="375">
        <f t="shared" si="28"/>
        <v>74746040.789999992</v>
      </c>
      <c r="U52" s="375">
        <v>0</v>
      </c>
      <c r="V52" s="375">
        <v>0</v>
      </c>
      <c r="W52" s="37">
        <f t="shared" si="29"/>
        <v>74746040.789999992</v>
      </c>
      <c r="X52" s="44" t="b">
        <f t="shared" si="30"/>
        <v>1</v>
      </c>
      <c r="Y52" s="135">
        <f t="shared" si="31"/>
        <v>0</v>
      </c>
    </row>
    <row r="53" spans="1:25" s="27" customFormat="1">
      <c r="A53" s="41">
        <v>39</v>
      </c>
      <c r="B53" s="27" t="s">
        <v>118</v>
      </c>
      <c r="C53" s="46" t="s">
        <v>119</v>
      </c>
      <c r="D53" s="41"/>
      <c r="E53" s="371">
        <v>57182473.460000001</v>
      </c>
      <c r="F53" s="37">
        <v>0</v>
      </c>
      <c r="G53" s="37">
        <f t="shared" si="24"/>
        <v>57182473.460000001</v>
      </c>
      <c r="H53" s="375">
        <v>11845939.890000001</v>
      </c>
      <c r="I53" s="37">
        <f t="shared" si="25"/>
        <v>69028413.349999994</v>
      </c>
      <c r="J53" s="136">
        <v>1</v>
      </c>
      <c r="K53" s="91">
        <f t="shared" si="26"/>
        <v>69028413.349999994</v>
      </c>
      <c r="L53" s="37"/>
      <c r="M53" s="41"/>
      <c r="N53" s="375">
        <v>0</v>
      </c>
      <c r="O53" s="375">
        <v>0</v>
      </c>
      <c r="P53" s="375">
        <v>0</v>
      </c>
      <c r="Q53" s="375">
        <f t="shared" si="27"/>
        <v>0</v>
      </c>
      <c r="R53" s="375">
        <v>69028413.349999994</v>
      </c>
      <c r="S53" s="375">
        <v>0</v>
      </c>
      <c r="T53" s="375">
        <f t="shared" si="28"/>
        <v>69028413.349999994</v>
      </c>
      <c r="U53" s="375">
        <v>0</v>
      </c>
      <c r="V53" s="375">
        <v>0</v>
      </c>
      <c r="W53" s="37">
        <f t="shared" si="29"/>
        <v>69028413.349999994</v>
      </c>
      <c r="X53" s="44" t="b">
        <f t="shared" si="30"/>
        <v>1</v>
      </c>
      <c r="Y53" s="135">
        <f t="shared" si="31"/>
        <v>0</v>
      </c>
    </row>
    <row r="54" spans="1:25" s="27" customFormat="1">
      <c r="A54" s="41">
        <v>40</v>
      </c>
      <c r="B54" s="27" t="s">
        <v>120</v>
      </c>
      <c r="C54" s="27" t="s">
        <v>121</v>
      </c>
      <c r="D54" s="41"/>
      <c r="E54" s="371">
        <v>21720667.18</v>
      </c>
      <c r="F54" s="37">
        <v>0</v>
      </c>
      <c r="G54" s="37">
        <f t="shared" si="24"/>
        <v>21720667.18</v>
      </c>
      <c r="H54" s="375">
        <v>-1407657.23</v>
      </c>
      <c r="I54" s="37">
        <f t="shared" si="25"/>
        <v>20313009.949999999</v>
      </c>
      <c r="J54" s="136">
        <v>1</v>
      </c>
      <c r="K54" s="91">
        <f t="shared" si="26"/>
        <v>20313009.949999999</v>
      </c>
      <c r="L54" s="37"/>
      <c r="M54" s="41"/>
      <c r="N54" s="375">
        <v>0</v>
      </c>
      <c r="O54" s="375">
        <v>0</v>
      </c>
      <c r="P54" s="375">
        <v>0</v>
      </c>
      <c r="Q54" s="375">
        <f t="shared" si="27"/>
        <v>0</v>
      </c>
      <c r="R54" s="375">
        <v>0</v>
      </c>
      <c r="S54" s="375">
        <v>0</v>
      </c>
      <c r="T54" s="375">
        <f t="shared" si="28"/>
        <v>0</v>
      </c>
      <c r="U54" s="375">
        <v>20313009.949999999</v>
      </c>
      <c r="V54" s="375">
        <v>0</v>
      </c>
      <c r="W54" s="37">
        <f t="shared" si="29"/>
        <v>20313009.949999999</v>
      </c>
      <c r="X54" s="44" t="b">
        <f t="shared" si="30"/>
        <v>1</v>
      </c>
      <c r="Y54" s="135">
        <f t="shared" si="31"/>
        <v>0</v>
      </c>
    </row>
    <row r="55" spans="1:25" s="27" customFormat="1">
      <c r="A55" s="41">
        <v>41</v>
      </c>
      <c r="B55" s="27" t="s">
        <v>122</v>
      </c>
      <c r="C55" s="27" t="s">
        <v>123</v>
      </c>
      <c r="D55" s="41"/>
      <c r="E55" s="371">
        <v>2351974.7599999998</v>
      </c>
      <c r="F55" s="37">
        <v>0</v>
      </c>
      <c r="G55" s="37">
        <f>+E55+F55</f>
        <v>2351974.7599999998</v>
      </c>
      <c r="H55" s="375">
        <v>335973.2</v>
      </c>
      <c r="I55" s="37">
        <f>+G55+H55</f>
        <v>2687947.96</v>
      </c>
      <c r="J55" s="136">
        <v>1</v>
      </c>
      <c r="K55" s="91">
        <f>+I55*J55</f>
        <v>2687947.96</v>
      </c>
      <c r="L55" s="37"/>
      <c r="M55" s="41"/>
      <c r="N55" s="375">
        <v>0</v>
      </c>
      <c r="O55" s="375">
        <v>0</v>
      </c>
      <c r="P55" s="375">
        <v>0</v>
      </c>
      <c r="Q55" s="375">
        <f t="shared" si="27"/>
        <v>0</v>
      </c>
      <c r="R55" s="375">
        <v>2687947.96</v>
      </c>
      <c r="S55" s="375">
        <v>0</v>
      </c>
      <c r="T55" s="375">
        <f t="shared" si="28"/>
        <v>2687947.96</v>
      </c>
      <c r="U55" s="375">
        <v>0</v>
      </c>
      <c r="V55" s="375">
        <v>0</v>
      </c>
      <c r="W55" s="37">
        <f t="shared" si="29"/>
        <v>2687947.96</v>
      </c>
      <c r="X55" s="44" t="b">
        <f t="shared" si="30"/>
        <v>1</v>
      </c>
      <c r="Y55" s="135">
        <f t="shared" si="31"/>
        <v>0</v>
      </c>
    </row>
    <row r="56" spans="1:25" s="27" customFormat="1">
      <c r="A56" s="41">
        <v>42</v>
      </c>
      <c r="B56" s="27" t="s">
        <v>124</v>
      </c>
      <c r="C56" s="27" t="s">
        <v>125</v>
      </c>
      <c r="D56" s="41"/>
      <c r="E56" s="371">
        <v>0</v>
      </c>
      <c r="F56" s="37">
        <v>0</v>
      </c>
      <c r="G56" s="37">
        <f t="shared" si="24"/>
        <v>0</v>
      </c>
      <c r="H56" s="375">
        <v>0</v>
      </c>
      <c r="I56" s="37">
        <f t="shared" si="25"/>
        <v>0</v>
      </c>
      <c r="J56" s="136">
        <v>1</v>
      </c>
      <c r="K56" s="91">
        <f t="shared" si="26"/>
        <v>0</v>
      </c>
      <c r="L56" s="37"/>
      <c r="M56" s="41"/>
      <c r="N56" s="375">
        <v>0</v>
      </c>
      <c r="O56" s="375">
        <v>0</v>
      </c>
      <c r="P56" s="375">
        <v>0</v>
      </c>
      <c r="Q56" s="375">
        <f t="shared" si="27"/>
        <v>0</v>
      </c>
      <c r="R56" s="375">
        <v>0</v>
      </c>
      <c r="S56" s="375">
        <v>0</v>
      </c>
      <c r="T56" s="375">
        <f t="shared" si="28"/>
        <v>0</v>
      </c>
      <c r="U56" s="375">
        <v>0</v>
      </c>
      <c r="V56" s="375">
        <v>0</v>
      </c>
      <c r="W56" s="37">
        <f t="shared" si="29"/>
        <v>0</v>
      </c>
      <c r="X56" s="44" t="b">
        <f t="shared" si="30"/>
        <v>1</v>
      </c>
      <c r="Y56" s="135">
        <f t="shared" si="31"/>
        <v>0</v>
      </c>
    </row>
    <row r="57" spans="1:25" s="27" customFormat="1">
      <c r="A57" s="41">
        <v>43</v>
      </c>
      <c r="B57" s="27" t="s">
        <v>150</v>
      </c>
      <c r="C57" s="27" t="s">
        <v>126</v>
      </c>
      <c r="D57" s="41"/>
      <c r="E57" s="371">
        <v>24930169.34</v>
      </c>
      <c r="F57" s="37">
        <v>0</v>
      </c>
      <c r="G57" s="37">
        <f t="shared" si="24"/>
        <v>24930169.34</v>
      </c>
      <c r="H57" s="375">
        <v>976137.05</v>
      </c>
      <c r="I57" s="37">
        <f t="shared" si="25"/>
        <v>25906306.390000001</v>
      </c>
      <c r="J57" s="136">
        <v>1</v>
      </c>
      <c r="K57" s="91">
        <f t="shared" si="26"/>
        <v>25906306.390000001</v>
      </c>
      <c r="L57" s="37"/>
      <c r="M57" s="41"/>
      <c r="N57" s="375">
        <v>0</v>
      </c>
      <c r="O57" s="375">
        <v>0</v>
      </c>
      <c r="P57" s="375">
        <v>0</v>
      </c>
      <c r="Q57" s="375">
        <f t="shared" si="27"/>
        <v>0</v>
      </c>
      <c r="R57" s="375">
        <v>25905960.890000001</v>
      </c>
      <c r="S57" s="375">
        <v>345.5</v>
      </c>
      <c r="T57" s="375">
        <f t="shared" si="28"/>
        <v>25906306.390000001</v>
      </c>
      <c r="U57" s="375">
        <v>0</v>
      </c>
      <c r="V57" s="375">
        <v>0</v>
      </c>
      <c r="W57" s="37">
        <f t="shared" si="29"/>
        <v>25906306.390000001</v>
      </c>
      <c r="X57" s="44" t="b">
        <f t="shared" si="30"/>
        <v>1</v>
      </c>
      <c r="Y57" s="135">
        <f t="shared" si="31"/>
        <v>0</v>
      </c>
    </row>
    <row r="58" spans="1:25" s="27" customFormat="1">
      <c r="A58" s="41">
        <v>44</v>
      </c>
      <c r="D58" s="41"/>
      <c r="E58" s="118"/>
      <c r="F58" s="118"/>
      <c r="G58" s="118"/>
      <c r="H58" s="118"/>
      <c r="I58" s="118"/>
      <c r="J58" s="136"/>
      <c r="K58" s="118"/>
      <c r="L58" s="37"/>
      <c r="M58" s="41"/>
      <c r="N58" s="118"/>
      <c r="O58" s="118"/>
      <c r="P58" s="118"/>
      <c r="Q58" s="118"/>
      <c r="R58" s="118"/>
      <c r="S58" s="118"/>
      <c r="T58" s="118"/>
      <c r="U58" s="118"/>
      <c r="V58" s="118"/>
      <c r="W58" s="118"/>
    </row>
    <row r="59" spans="1:25" s="43" customFormat="1">
      <c r="A59" s="41">
        <v>45</v>
      </c>
      <c r="C59" s="88" t="s">
        <v>84</v>
      </c>
      <c r="E59" s="161">
        <f>SUM(E42:E57)</f>
        <v>534924417.57999998</v>
      </c>
      <c r="F59" s="161">
        <f>SUM(F42:F57)</f>
        <v>0</v>
      </c>
      <c r="G59" s="161">
        <f>SUM(G42:G57)</f>
        <v>534924417.57999998</v>
      </c>
      <c r="H59" s="161">
        <f>SUM(H42:H57)</f>
        <v>123717632.44999999</v>
      </c>
      <c r="I59" s="161">
        <f>SUM(I42:I57)</f>
        <v>658642050.03000021</v>
      </c>
      <c r="J59" s="138"/>
      <c r="K59" s="161">
        <f>SUM(K42:K57)</f>
        <v>658642050.03000021</v>
      </c>
      <c r="L59" s="161"/>
      <c r="M59" s="161"/>
      <c r="N59" s="161">
        <f t="shared" ref="N59:P59" si="37">SUM(N42:N57)</f>
        <v>23005753.449999999</v>
      </c>
      <c r="O59" s="161">
        <f t="shared" si="37"/>
        <v>1240528.1300000001</v>
      </c>
      <c r="P59" s="161">
        <f t="shared" si="37"/>
        <v>0</v>
      </c>
      <c r="Q59" s="161">
        <f t="shared" ref="Q59:W59" si="38">SUM(Q42:Q57)</f>
        <v>24246281.579999998</v>
      </c>
      <c r="R59" s="161">
        <f t="shared" si="38"/>
        <v>578098010.61000001</v>
      </c>
      <c r="S59" s="161">
        <f t="shared" si="38"/>
        <v>2098657.67</v>
      </c>
      <c r="T59" s="161">
        <f t="shared" si="38"/>
        <v>580196668.28000009</v>
      </c>
      <c r="U59" s="161">
        <f t="shared" si="38"/>
        <v>23698983.669999998</v>
      </c>
      <c r="V59" s="161">
        <f t="shared" si="38"/>
        <v>30500116.5</v>
      </c>
      <c r="W59" s="161">
        <f t="shared" si="38"/>
        <v>658642050.03000009</v>
      </c>
      <c r="X59" s="44" t="b">
        <f>+K59=W59</f>
        <v>1</v>
      </c>
      <c r="Y59" s="135">
        <f>+K59-W59</f>
        <v>0</v>
      </c>
    </row>
    <row r="60" spans="1:25" s="27" customFormat="1">
      <c r="A60" s="41">
        <v>46</v>
      </c>
      <c r="D60" s="41"/>
      <c r="E60" s="37"/>
      <c r="F60" s="37"/>
      <c r="G60" s="37"/>
      <c r="H60" s="37"/>
      <c r="I60" s="37"/>
      <c r="J60" s="136"/>
      <c r="K60" s="41"/>
      <c r="L60" s="37"/>
      <c r="M60" s="41"/>
      <c r="N60" s="37"/>
      <c r="O60" s="37"/>
      <c r="P60" s="37"/>
      <c r="Q60" s="37"/>
      <c r="R60" s="37"/>
      <c r="S60" s="37"/>
      <c r="T60" s="37"/>
      <c r="U60" s="37"/>
      <c r="V60" s="37"/>
      <c r="W60" s="37"/>
    </row>
    <row r="61" spans="1:25" s="31" customFormat="1">
      <c r="A61" s="41">
        <v>47</v>
      </c>
      <c r="B61" s="48" t="s">
        <v>151</v>
      </c>
      <c r="D61" s="42" t="s">
        <v>220</v>
      </c>
      <c r="E61" s="43"/>
      <c r="F61" s="43"/>
      <c r="G61" s="43"/>
      <c r="H61" s="43"/>
      <c r="I61" s="43"/>
      <c r="J61" s="138"/>
      <c r="K61" s="42"/>
      <c r="L61" s="43"/>
      <c r="M61" s="42"/>
      <c r="N61" s="43"/>
      <c r="O61" s="43"/>
      <c r="P61" s="43"/>
      <c r="Q61" s="43"/>
      <c r="R61" s="43"/>
      <c r="S61" s="43"/>
      <c r="T61" s="43"/>
      <c r="U61" s="43"/>
      <c r="V61" s="43"/>
      <c r="W61" s="43"/>
    </row>
    <row r="62" spans="1:25" s="27" customFormat="1">
      <c r="A62" s="41">
        <v>48</v>
      </c>
      <c r="D62" s="41"/>
      <c r="E62" s="37"/>
      <c r="F62" s="37"/>
      <c r="G62" s="37"/>
      <c r="H62" s="37"/>
      <c r="I62" s="37"/>
      <c r="J62" s="136"/>
      <c r="L62" s="37"/>
      <c r="M62" s="41"/>
      <c r="N62" s="37"/>
      <c r="O62" s="37"/>
      <c r="P62" s="37"/>
      <c r="Q62" s="37"/>
      <c r="R62" s="37"/>
      <c r="S62" s="37"/>
      <c r="T62" s="37"/>
      <c r="U62" s="37"/>
      <c r="V62" s="37"/>
      <c r="W62" s="37"/>
    </row>
    <row r="63" spans="1:25" s="27" customFormat="1">
      <c r="A63" s="41">
        <v>49</v>
      </c>
      <c r="B63" s="27" t="s">
        <v>204</v>
      </c>
      <c r="C63" s="27" t="s">
        <v>90</v>
      </c>
      <c r="D63" s="41"/>
      <c r="E63" s="374">
        <v>2761.04</v>
      </c>
      <c r="F63" s="160">
        <v>0</v>
      </c>
      <c r="G63" s="160">
        <f t="shared" ref="G63:G76" si="39">+E63+F63</f>
        <v>2761.04</v>
      </c>
      <c r="H63" s="376">
        <v>65.86</v>
      </c>
      <c r="I63" s="160">
        <f t="shared" ref="I63:I76" si="40">+G63+H63</f>
        <v>2826.9</v>
      </c>
      <c r="J63" s="136">
        <v>1</v>
      </c>
      <c r="K63" s="160">
        <f t="shared" ref="K63:K76" si="41">+I63*J63</f>
        <v>2826.9</v>
      </c>
      <c r="L63" s="160"/>
      <c r="M63" s="160"/>
      <c r="N63" s="376">
        <v>1197.03</v>
      </c>
      <c r="O63" s="376">
        <v>0</v>
      </c>
      <c r="P63" s="376">
        <v>0</v>
      </c>
      <c r="Q63" s="376">
        <f t="shared" ref="Q63:Q76" si="42">SUM(N63:P63)</f>
        <v>1197.03</v>
      </c>
      <c r="R63" s="376">
        <v>1539.35</v>
      </c>
      <c r="S63" s="376">
        <v>0</v>
      </c>
      <c r="T63" s="376">
        <f t="shared" ref="T63:T76" si="43">SUM(R63:S63)</f>
        <v>1539.35</v>
      </c>
      <c r="U63" s="376">
        <v>64.39</v>
      </c>
      <c r="V63" s="376">
        <v>26.13</v>
      </c>
      <c r="W63" s="160">
        <f t="shared" ref="W63:W76" si="44">+N63+O63+P63+R63+S63+U63+V63</f>
        <v>2826.9</v>
      </c>
      <c r="X63" s="44" t="b">
        <f t="shared" ref="X63:X76" si="45">+K63=W63</f>
        <v>1</v>
      </c>
      <c r="Y63" s="44">
        <f t="shared" ref="Y63:Y76" si="46">+K63-W63</f>
        <v>0</v>
      </c>
    </row>
    <row r="64" spans="1:25" s="27" customFormat="1">
      <c r="A64" s="41">
        <v>50</v>
      </c>
      <c r="B64" s="27" t="s">
        <v>127</v>
      </c>
      <c r="C64" s="27" t="s">
        <v>88</v>
      </c>
      <c r="D64" s="41"/>
      <c r="E64" s="373">
        <v>7443096.5999999996</v>
      </c>
      <c r="F64" s="37">
        <v>0</v>
      </c>
      <c r="G64" s="37">
        <f t="shared" si="39"/>
        <v>7443096.5999999996</v>
      </c>
      <c r="H64" s="375">
        <v>750689.99</v>
      </c>
      <c r="I64" s="37">
        <f t="shared" si="40"/>
        <v>8193786.5899999999</v>
      </c>
      <c r="J64" s="136">
        <v>1</v>
      </c>
      <c r="K64" s="91">
        <f t="shared" si="41"/>
        <v>8193786.5899999999</v>
      </c>
      <c r="L64" s="37"/>
      <c r="M64" s="41"/>
      <c r="N64" s="375">
        <v>2635235.08</v>
      </c>
      <c r="O64" s="375">
        <v>29688.41</v>
      </c>
      <c r="P64" s="375">
        <v>0</v>
      </c>
      <c r="Q64" s="375">
        <f t="shared" si="42"/>
        <v>2664923.4900000002</v>
      </c>
      <c r="R64" s="375">
        <v>4484234.24</v>
      </c>
      <c r="S64" s="375">
        <v>0</v>
      </c>
      <c r="T64" s="375">
        <f t="shared" si="43"/>
        <v>4484234.24</v>
      </c>
      <c r="U64" s="375">
        <v>666116.93999999994</v>
      </c>
      <c r="V64" s="375">
        <v>378511.92</v>
      </c>
      <c r="W64" s="37">
        <f t="shared" si="44"/>
        <v>8193786.5899999999</v>
      </c>
      <c r="X64" s="44" t="b">
        <f t="shared" si="45"/>
        <v>1</v>
      </c>
      <c r="Y64" s="135">
        <f t="shared" si="46"/>
        <v>0</v>
      </c>
    </row>
    <row r="65" spans="1:25" s="27" customFormat="1">
      <c r="A65" s="41">
        <v>51</v>
      </c>
      <c r="B65" s="27" t="s">
        <v>128</v>
      </c>
      <c r="C65" s="27" t="s">
        <v>0</v>
      </c>
      <c r="D65" s="41"/>
      <c r="E65" s="373">
        <v>31714261.27</v>
      </c>
      <c r="F65" s="37">
        <v>0</v>
      </c>
      <c r="G65" s="37">
        <f t="shared" si="39"/>
        <v>31714261.27</v>
      </c>
      <c r="H65" s="375">
        <v>-29841529.309999999</v>
      </c>
      <c r="I65" s="37">
        <f t="shared" si="40"/>
        <v>1872731.9600000009</v>
      </c>
      <c r="J65" s="136">
        <v>1</v>
      </c>
      <c r="K65" s="91">
        <f t="shared" si="41"/>
        <v>1872731.9600000009</v>
      </c>
      <c r="L65" s="37"/>
      <c r="M65" s="41"/>
      <c r="N65" s="375">
        <v>684218.69</v>
      </c>
      <c r="O65" s="375">
        <v>140978.07999999999</v>
      </c>
      <c r="P65" s="375">
        <v>0</v>
      </c>
      <c r="Q65" s="375">
        <f t="shared" si="42"/>
        <v>825196.7699999999</v>
      </c>
      <c r="R65" s="375">
        <v>872993.73</v>
      </c>
      <c r="S65" s="375">
        <v>0</v>
      </c>
      <c r="T65" s="375">
        <f t="shared" si="43"/>
        <v>872993.73</v>
      </c>
      <c r="U65" s="375">
        <v>103421.83</v>
      </c>
      <c r="V65" s="375">
        <v>71119.63</v>
      </c>
      <c r="W65" s="37">
        <f t="shared" si="44"/>
        <v>1872731.96</v>
      </c>
      <c r="X65" s="44" t="b">
        <f t="shared" si="45"/>
        <v>1</v>
      </c>
      <c r="Y65" s="135">
        <f t="shared" si="46"/>
        <v>0</v>
      </c>
    </row>
    <row r="66" spans="1:25" s="27" customFormat="1">
      <c r="A66" s="41">
        <v>52</v>
      </c>
      <c r="B66" s="27" t="s">
        <v>129</v>
      </c>
      <c r="C66" s="27" t="s">
        <v>211</v>
      </c>
      <c r="D66" s="41"/>
      <c r="E66" s="373">
        <v>1894795.83</v>
      </c>
      <c r="F66" s="37">
        <v>0</v>
      </c>
      <c r="G66" s="37">
        <f t="shared" si="39"/>
        <v>1894795.83</v>
      </c>
      <c r="H66" s="375">
        <v>108861.65</v>
      </c>
      <c r="I66" s="37">
        <f t="shared" si="40"/>
        <v>2003657.48</v>
      </c>
      <c r="J66" s="136">
        <v>1</v>
      </c>
      <c r="K66" s="91">
        <f t="shared" si="41"/>
        <v>2003657.48</v>
      </c>
      <c r="L66" s="37"/>
      <c r="M66" s="41"/>
      <c r="N66" s="375">
        <v>963840.19</v>
      </c>
      <c r="O66" s="375">
        <v>20261.73</v>
      </c>
      <c r="P66" s="375">
        <v>0</v>
      </c>
      <c r="Q66" s="375">
        <f t="shared" si="42"/>
        <v>984101.91999999993</v>
      </c>
      <c r="R66" s="375">
        <v>1019555.56</v>
      </c>
      <c r="S66" s="375">
        <v>0</v>
      </c>
      <c r="T66" s="375">
        <f t="shared" si="43"/>
        <v>1019555.56</v>
      </c>
      <c r="U66" s="375">
        <v>0</v>
      </c>
      <c r="V66" s="375">
        <v>0</v>
      </c>
      <c r="W66" s="37">
        <f t="shared" si="44"/>
        <v>2003657.48</v>
      </c>
      <c r="X66" s="44" t="b">
        <f t="shared" si="45"/>
        <v>1</v>
      </c>
      <c r="Y66" s="135">
        <f t="shared" si="46"/>
        <v>0</v>
      </c>
    </row>
    <row r="67" spans="1:25" s="27" customFormat="1">
      <c r="A67" s="41">
        <v>53</v>
      </c>
      <c r="B67" s="27" t="s">
        <v>130</v>
      </c>
      <c r="C67" s="27" t="s">
        <v>210</v>
      </c>
      <c r="D67" s="41"/>
      <c r="E67" s="373">
        <v>383122.8</v>
      </c>
      <c r="F67" s="37">
        <v>0</v>
      </c>
      <c r="G67" s="37">
        <f t="shared" si="39"/>
        <v>383122.8</v>
      </c>
      <c r="H67" s="375">
        <v>21823.29</v>
      </c>
      <c r="I67" s="37">
        <f t="shared" si="40"/>
        <v>404946.08999999997</v>
      </c>
      <c r="J67" s="136">
        <v>1</v>
      </c>
      <c r="K67" s="91">
        <f t="shared" si="41"/>
        <v>404946.08999999997</v>
      </c>
      <c r="L67" s="37"/>
      <c r="M67" s="41"/>
      <c r="N67" s="375">
        <v>144269.21</v>
      </c>
      <c r="O67" s="375">
        <v>0</v>
      </c>
      <c r="P67" s="375">
        <v>0</v>
      </c>
      <c r="Q67" s="375">
        <f t="shared" si="42"/>
        <v>144269.21</v>
      </c>
      <c r="R67" s="375">
        <v>241776.52</v>
      </c>
      <c r="S67" s="375">
        <v>0</v>
      </c>
      <c r="T67" s="375">
        <f t="shared" si="43"/>
        <v>241776.52</v>
      </c>
      <c r="U67" s="375">
        <v>18900.36</v>
      </c>
      <c r="V67" s="375">
        <v>0</v>
      </c>
      <c r="W67" s="37">
        <f t="shared" si="44"/>
        <v>404946.08999999997</v>
      </c>
      <c r="X67" s="44" t="b">
        <f t="shared" si="45"/>
        <v>1</v>
      </c>
      <c r="Y67" s="135">
        <f t="shared" si="46"/>
        <v>0</v>
      </c>
    </row>
    <row r="68" spans="1:25" s="27" customFormat="1">
      <c r="A68" s="41">
        <v>54</v>
      </c>
      <c r="B68" s="27" t="s">
        <v>131</v>
      </c>
      <c r="C68" s="27" t="s">
        <v>209</v>
      </c>
      <c r="D68" s="41"/>
      <c r="E68" s="373">
        <v>3061645.09</v>
      </c>
      <c r="F68" s="37">
        <v>0</v>
      </c>
      <c r="G68" s="37">
        <f t="shared" si="39"/>
        <v>3061645.09</v>
      </c>
      <c r="H68" s="375">
        <v>150941.60999999999</v>
      </c>
      <c r="I68" s="37">
        <f t="shared" si="40"/>
        <v>3212586.6999999997</v>
      </c>
      <c r="J68" s="136">
        <v>1</v>
      </c>
      <c r="K68" s="91">
        <f t="shared" si="41"/>
        <v>3212586.6999999997</v>
      </c>
      <c r="L68" s="37"/>
      <c r="M68" s="41"/>
      <c r="N68" s="375">
        <v>1197771.42</v>
      </c>
      <c r="O68" s="375">
        <v>3065.84</v>
      </c>
      <c r="P68" s="375">
        <v>0</v>
      </c>
      <c r="Q68" s="375">
        <f t="shared" si="42"/>
        <v>1200837.26</v>
      </c>
      <c r="R68" s="375">
        <v>1862721.24</v>
      </c>
      <c r="S68" s="375">
        <v>0</v>
      </c>
      <c r="T68" s="375">
        <f t="shared" si="43"/>
        <v>1862721.24</v>
      </c>
      <c r="U68" s="375">
        <v>149028.20000000001</v>
      </c>
      <c r="V68" s="375">
        <v>0</v>
      </c>
      <c r="W68" s="37">
        <f t="shared" si="44"/>
        <v>3212586.7</v>
      </c>
      <c r="X68" s="44" t="b">
        <f t="shared" si="45"/>
        <v>1</v>
      </c>
      <c r="Y68" s="135">
        <f t="shared" si="46"/>
        <v>0</v>
      </c>
    </row>
    <row r="69" spans="1:25" s="27" customFormat="1">
      <c r="A69" s="41">
        <v>55</v>
      </c>
      <c r="B69" s="27" t="s">
        <v>132</v>
      </c>
      <c r="C69" s="27" t="s">
        <v>208</v>
      </c>
      <c r="D69" s="41"/>
      <c r="E69" s="373">
        <v>3555144.55</v>
      </c>
      <c r="F69" s="37">
        <v>0</v>
      </c>
      <c r="G69" s="37">
        <f t="shared" si="39"/>
        <v>3555144.55</v>
      </c>
      <c r="H69" s="375">
        <v>80202.25</v>
      </c>
      <c r="I69" s="37">
        <f t="shared" si="40"/>
        <v>3635346.8</v>
      </c>
      <c r="J69" s="136">
        <v>1</v>
      </c>
      <c r="K69" s="91">
        <f t="shared" si="41"/>
        <v>3635346.8</v>
      </c>
      <c r="L69" s="37"/>
      <c r="M69" s="41"/>
      <c r="N69" s="375">
        <v>2109846.2400000002</v>
      </c>
      <c r="O69" s="375">
        <v>0</v>
      </c>
      <c r="P69" s="375">
        <v>0</v>
      </c>
      <c r="Q69" s="375">
        <f t="shared" si="42"/>
        <v>2109846.2400000002</v>
      </c>
      <c r="R69" s="375">
        <v>1349974.31</v>
      </c>
      <c r="S69" s="375">
        <v>0</v>
      </c>
      <c r="T69" s="375">
        <f t="shared" si="43"/>
        <v>1349974.31</v>
      </c>
      <c r="U69" s="375">
        <v>175526.25</v>
      </c>
      <c r="V69" s="375">
        <v>0</v>
      </c>
      <c r="W69" s="37">
        <f t="shared" si="44"/>
        <v>3635346.8000000003</v>
      </c>
      <c r="X69" s="44" t="b">
        <f t="shared" si="45"/>
        <v>1</v>
      </c>
      <c r="Y69" s="135">
        <f t="shared" si="46"/>
        <v>0</v>
      </c>
    </row>
    <row r="70" spans="1:25" s="27" customFormat="1">
      <c r="A70" s="41">
        <v>56</v>
      </c>
      <c r="B70" s="27" t="s">
        <v>133</v>
      </c>
      <c r="C70" s="27" t="s">
        <v>134</v>
      </c>
      <c r="D70" s="41"/>
      <c r="E70" s="373">
        <v>801773.1</v>
      </c>
      <c r="F70" s="37">
        <v>0</v>
      </c>
      <c r="G70" s="37">
        <f t="shared" si="39"/>
        <v>801773.1</v>
      </c>
      <c r="H70" s="375">
        <v>164737.45000000001</v>
      </c>
      <c r="I70" s="37">
        <f t="shared" si="40"/>
        <v>966510.55</v>
      </c>
      <c r="J70" s="136">
        <v>1</v>
      </c>
      <c r="K70" s="91">
        <f t="shared" si="41"/>
        <v>966510.55</v>
      </c>
      <c r="L70" s="37"/>
      <c r="M70" s="41"/>
      <c r="N70" s="375">
        <v>191221.62</v>
      </c>
      <c r="O70" s="375">
        <v>29474.82</v>
      </c>
      <c r="P70" s="375">
        <v>0</v>
      </c>
      <c r="Q70" s="375">
        <f t="shared" si="42"/>
        <v>220696.44</v>
      </c>
      <c r="R70" s="375">
        <v>670961.80000000005</v>
      </c>
      <c r="S70" s="375">
        <v>0</v>
      </c>
      <c r="T70" s="375">
        <f t="shared" si="43"/>
        <v>670961.80000000005</v>
      </c>
      <c r="U70" s="375">
        <v>74852.31</v>
      </c>
      <c r="V70" s="375">
        <v>0</v>
      </c>
      <c r="W70" s="37">
        <f t="shared" si="44"/>
        <v>966510.55</v>
      </c>
      <c r="X70" s="44" t="b">
        <f t="shared" si="45"/>
        <v>1</v>
      </c>
      <c r="Y70" s="135">
        <f t="shared" si="46"/>
        <v>0</v>
      </c>
    </row>
    <row r="71" spans="1:25" s="27" customFormat="1">
      <c r="A71" s="41">
        <v>57</v>
      </c>
      <c r="B71" s="346" t="s">
        <v>1051</v>
      </c>
      <c r="C71" s="346" t="s">
        <v>1044</v>
      </c>
      <c r="D71" s="41"/>
      <c r="E71" s="373">
        <v>0</v>
      </c>
      <c r="F71" s="37">
        <v>0</v>
      </c>
      <c r="G71" s="37">
        <f t="shared" si="39"/>
        <v>0</v>
      </c>
      <c r="H71" s="375">
        <v>33007312.989999998</v>
      </c>
      <c r="I71" s="37">
        <f t="shared" si="40"/>
        <v>33007312.989999998</v>
      </c>
      <c r="J71" s="136">
        <v>1</v>
      </c>
      <c r="K71" s="91">
        <f t="shared" si="41"/>
        <v>33007312.989999998</v>
      </c>
      <c r="L71" s="37"/>
      <c r="M71" s="41"/>
      <c r="N71" s="375">
        <v>8162694.2199999997</v>
      </c>
      <c r="O71" s="375">
        <v>0</v>
      </c>
      <c r="P71" s="375">
        <v>0</v>
      </c>
      <c r="Q71" s="375">
        <f t="shared" si="42"/>
        <v>8162694.2199999997</v>
      </c>
      <c r="R71" s="375">
        <v>13211162.220000001</v>
      </c>
      <c r="S71" s="375">
        <v>0</v>
      </c>
      <c r="T71" s="375">
        <f t="shared" si="43"/>
        <v>13211162.220000001</v>
      </c>
      <c r="U71" s="375">
        <v>3187582.92</v>
      </c>
      <c r="V71" s="375">
        <v>8445873.6300000008</v>
      </c>
      <c r="W71" s="37">
        <f t="shared" si="44"/>
        <v>33007312.990000002</v>
      </c>
      <c r="X71" s="44" t="b">
        <f t="shared" si="45"/>
        <v>1</v>
      </c>
      <c r="Y71" s="135">
        <f t="shared" si="46"/>
        <v>0</v>
      </c>
    </row>
    <row r="72" spans="1:25" s="27" customFormat="1">
      <c r="A72" s="41">
        <v>58</v>
      </c>
      <c r="B72" s="346" t="s">
        <v>1052</v>
      </c>
      <c r="C72" s="346" t="s">
        <v>1046</v>
      </c>
      <c r="D72" s="41"/>
      <c r="E72" s="375">
        <v>0</v>
      </c>
      <c r="F72" s="37">
        <v>0</v>
      </c>
      <c r="G72" s="37">
        <f t="shared" ref="G72:G73" si="47">+E72+F72</f>
        <v>0</v>
      </c>
      <c r="H72" s="375">
        <v>59789519.740000002</v>
      </c>
      <c r="I72" s="37">
        <f t="shared" ref="I72:I73" si="48">+G72+H72</f>
        <v>59789519.740000002</v>
      </c>
      <c r="J72" s="136">
        <v>1</v>
      </c>
      <c r="K72" s="91">
        <f t="shared" ref="K72:K73" si="49">+I72*J72</f>
        <v>59789519.740000002</v>
      </c>
      <c r="L72" s="37"/>
      <c r="M72" s="41"/>
      <c r="N72" s="375">
        <v>27598244.41</v>
      </c>
      <c r="O72" s="375">
        <v>0</v>
      </c>
      <c r="P72" s="375">
        <v>0</v>
      </c>
      <c r="Q72" s="375">
        <f t="shared" si="42"/>
        <v>27598244.41</v>
      </c>
      <c r="R72" s="375">
        <v>31269918.829999998</v>
      </c>
      <c r="S72" s="375">
        <v>0</v>
      </c>
      <c r="T72" s="375">
        <f t="shared" si="43"/>
        <v>31269918.829999998</v>
      </c>
      <c r="U72" s="375">
        <v>860969.08</v>
      </c>
      <c r="V72" s="375">
        <v>60387.42</v>
      </c>
      <c r="W72" s="37">
        <f t="shared" si="44"/>
        <v>59789519.739999995</v>
      </c>
      <c r="X72" s="44" t="b">
        <f t="shared" ref="X72:X73" si="50">+K72=W72</f>
        <v>1</v>
      </c>
      <c r="Y72" s="135">
        <f t="shared" ref="Y72:Y73" si="51">+K72-W72</f>
        <v>0</v>
      </c>
    </row>
    <row r="73" spans="1:25" s="27" customFormat="1">
      <c r="A73" s="41">
        <v>59</v>
      </c>
      <c r="B73" s="346" t="s">
        <v>1053</v>
      </c>
      <c r="C73" s="346" t="s">
        <v>372</v>
      </c>
      <c r="D73" s="41"/>
      <c r="E73" s="375">
        <v>7298048.0700000003</v>
      </c>
      <c r="F73" s="37">
        <v>0</v>
      </c>
      <c r="G73" s="37">
        <f t="shared" si="47"/>
        <v>7298048.0700000003</v>
      </c>
      <c r="H73" s="375">
        <v>4138652.5</v>
      </c>
      <c r="I73" s="37">
        <f t="shared" si="48"/>
        <v>11436700.57</v>
      </c>
      <c r="J73" s="136">
        <v>1</v>
      </c>
      <c r="K73" s="91">
        <f t="shared" si="49"/>
        <v>11436700.57</v>
      </c>
      <c r="L73" s="37"/>
      <c r="M73" s="41"/>
      <c r="N73" s="375">
        <v>4403742.8</v>
      </c>
      <c r="O73" s="375">
        <v>1179.3499999999999</v>
      </c>
      <c r="P73" s="375">
        <v>0</v>
      </c>
      <c r="Q73" s="375">
        <f t="shared" si="42"/>
        <v>4404922.1499999994</v>
      </c>
      <c r="R73" s="375">
        <v>5714691.2800000003</v>
      </c>
      <c r="S73" s="375">
        <v>0</v>
      </c>
      <c r="T73" s="375">
        <f t="shared" si="43"/>
        <v>5714691.2800000003</v>
      </c>
      <c r="U73" s="375">
        <v>789978.38</v>
      </c>
      <c r="V73" s="375">
        <v>527108.76</v>
      </c>
      <c r="W73" s="37">
        <f t="shared" si="44"/>
        <v>11436700.57</v>
      </c>
      <c r="X73" s="44" t="b">
        <f t="shared" si="50"/>
        <v>1</v>
      </c>
      <c r="Y73" s="135">
        <f t="shared" si="51"/>
        <v>0</v>
      </c>
    </row>
    <row r="74" spans="1:25" s="27" customFormat="1">
      <c r="A74" s="41">
        <v>60</v>
      </c>
      <c r="B74" s="27" t="s">
        <v>135</v>
      </c>
      <c r="C74" s="27" t="s">
        <v>207</v>
      </c>
      <c r="D74" s="41"/>
      <c r="E74" s="373">
        <v>943947.53</v>
      </c>
      <c r="F74" s="37">
        <v>0</v>
      </c>
      <c r="G74" s="37">
        <f t="shared" si="39"/>
        <v>943947.53</v>
      </c>
      <c r="H74" s="375">
        <v>89730.02</v>
      </c>
      <c r="I74" s="37">
        <f t="shared" si="40"/>
        <v>1033677.55</v>
      </c>
      <c r="J74" s="136">
        <v>1</v>
      </c>
      <c r="K74" s="91">
        <f t="shared" si="41"/>
        <v>1033677.55</v>
      </c>
      <c r="L74" s="37"/>
      <c r="M74" s="41"/>
      <c r="N74" s="375">
        <v>378991.01</v>
      </c>
      <c r="O74" s="375">
        <v>1834.87</v>
      </c>
      <c r="P74" s="375">
        <v>0</v>
      </c>
      <c r="Q74" s="375">
        <f t="shared" si="42"/>
        <v>380825.88</v>
      </c>
      <c r="R74" s="375">
        <v>563858.28</v>
      </c>
      <c r="S74" s="375">
        <v>0</v>
      </c>
      <c r="T74" s="375">
        <f t="shared" si="43"/>
        <v>563858.28</v>
      </c>
      <c r="U74" s="375">
        <v>88993.39</v>
      </c>
      <c r="V74" s="375">
        <v>0</v>
      </c>
      <c r="W74" s="37">
        <f t="shared" si="44"/>
        <v>1033677.55</v>
      </c>
      <c r="X74" s="44" t="b">
        <f t="shared" si="45"/>
        <v>1</v>
      </c>
      <c r="Y74" s="135">
        <f t="shared" si="46"/>
        <v>0</v>
      </c>
    </row>
    <row r="75" spans="1:25" s="27" customFormat="1">
      <c r="A75" s="41">
        <v>61</v>
      </c>
      <c r="B75" s="27" t="s">
        <v>136</v>
      </c>
      <c r="C75" s="27" t="s">
        <v>206</v>
      </c>
      <c r="D75" s="41"/>
      <c r="E75" s="373">
        <v>0</v>
      </c>
      <c r="F75" s="37">
        <v>0</v>
      </c>
      <c r="G75" s="37">
        <f t="shared" si="39"/>
        <v>0</v>
      </c>
      <c r="H75" s="375">
        <v>0</v>
      </c>
      <c r="I75" s="37">
        <f t="shared" si="40"/>
        <v>0</v>
      </c>
      <c r="J75" s="136">
        <v>1</v>
      </c>
      <c r="K75" s="91">
        <f t="shared" si="41"/>
        <v>0</v>
      </c>
      <c r="L75" s="37"/>
      <c r="M75" s="41"/>
      <c r="N75" s="375">
        <v>0</v>
      </c>
      <c r="O75" s="375">
        <v>0</v>
      </c>
      <c r="P75" s="375">
        <v>0</v>
      </c>
      <c r="Q75" s="375">
        <f t="shared" si="42"/>
        <v>0</v>
      </c>
      <c r="R75" s="375">
        <v>0</v>
      </c>
      <c r="S75" s="375">
        <v>0</v>
      </c>
      <c r="T75" s="375">
        <f t="shared" si="43"/>
        <v>0</v>
      </c>
      <c r="U75" s="375">
        <v>0</v>
      </c>
      <c r="V75" s="375">
        <v>0</v>
      </c>
      <c r="W75" s="37">
        <f t="shared" si="44"/>
        <v>0</v>
      </c>
      <c r="X75" s="44" t="b">
        <f t="shared" si="45"/>
        <v>1</v>
      </c>
      <c r="Y75" s="135">
        <f t="shared" si="46"/>
        <v>0</v>
      </c>
    </row>
    <row r="76" spans="1:25" s="27" customFormat="1">
      <c r="A76" s="41">
        <v>62</v>
      </c>
      <c r="B76" s="27" t="s">
        <v>136</v>
      </c>
      <c r="C76" s="27" t="s">
        <v>205</v>
      </c>
      <c r="D76" s="41"/>
      <c r="E76" s="373">
        <v>0</v>
      </c>
      <c r="F76" s="37">
        <v>0</v>
      </c>
      <c r="G76" s="37">
        <f t="shared" si="39"/>
        <v>0</v>
      </c>
      <c r="H76" s="375">
        <v>0</v>
      </c>
      <c r="I76" s="37">
        <f t="shared" si="40"/>
        <v>0</v>
      </c>
      <c r="J76" s="136">
        <v>1</v>
      </c>
      <c r="K76" s="91">
        <f t="shared" si="41"/>
        <v>0</v>
      </c>
      <c r="L76" s="37"/>
      <c r="M76" s="41"/>
      <c r="N76" s="375">
        <v>0</v>
      </c>
      <c r="O76" s="375">
        <v>0</v>
      </c>
      <c r="P76" s="375">
        <v>0</v>
      </c>
      <c r="Q76" s="375">
        <f t="shared" si="42"/>
        <v>0</v>
      </c>
      <c r="R76" s="375">
        <v>0</v>
      </c>
      <c r="S76" s="375">
        <v>0</v>
      </c>
      <c r="T76" s="375">
        <f t="shared" si="43"/>
        <v>0</v>
      </c>
      <c r="U76" s="375">
        <v>0</v>
      </c>
      <c r="V76" s="375">
        <v>0</v>
      </c>
      <c r="W76" s="37">
        <f t="shared" si="44"/>
        <v>0</v>
      </c>
      <c r="X76" s="44" t="b">
        <f t="shared" si="45"/>
        <v>1</v>
      </c>
      <c r="Y76" s="135">
        <f t="shared" si="46"/>
        <v>0</v>
      </c>
    </row>
    <row r="77" spans="1:25" s="27" customFormat="1">
      <c r="A77" s="41">
        <v>63</v>
      </c>
      <c r="D77" s="41"/>
      <c r="E77" s="118"/>
      <c r="F77" s="118"/>
      <c r="G77" s="118"/>
      <c r="H77" s="118"/>
      <c r="I77" s="118"/>
      <c r="J77" s="136"/>
      <c r="K77" s="118"/>
      <c r="L77" s="37"/>
      <c r="M77" s="41"/>
      <c r="N77" s="118"/>
      <c r="O77" s="118"/>
      <c r="P77" s="118"/>
      <c r="Q77" s="118"/>
      <c r="R77" s="118"/>
      <c r="S77" s="118"/>
      <c r="T77" s="118"/>
      <c r="U77" s="118"/>
      <c r="V77" s="118"/>
      <c r="W77" s="118"/>
    </row>
    <row r="78" spans="1:25" s="43" customFormat="1">
      <c r="A78" s="41">
        <v>64</v>
      </c>
      <c r="C78" s="88" t="s">
        <v>84</v>
      </c>
      <c r="E78" s="161">
        <f>SUM(E63:E76)</f>
        <v>57098595.879999995</v>
      </c>
      <c r="F78" s="161">
        <f>SUM(F63:F76)</f>
        <v>0</v>
      </c>
      <c r="G78" s="161">
        <f>SUM(G63:G76)</f>
        <v>57098595.879999995</v>
      </c>
      <c r="H78" s="161">
        <f>SUM(H63:H76)</f>
        <v>68461008.039999992</v>
      </c>
      <c r="I78" s="161">
        <f>SUM(I63:I76)</f>
        <v>125559603.92</v>
      </c>
      <c r="J78" s="161"/>
      <c r="K78" s="161">
        <f>SUM(K63:K76)</f>
        <v>125559603.92</v>
      </c>
      <c r="L78" s="161"/>
      <c r="M78" s="161"/>
      <c r="N78" s="161">
        <f t="shared" ref="N78" si="52">SUM(N63:N76)</f>
        <v>48471271.919999994</v>
      </c>
      <c r="O78" s="161">
        <f t="shared" ref="O78:W78" si="53">SUM(O63:O76)</f>
        <v>226483.1</v>
      </c>
      <c r="P78" s="161">
        <f t="shared" si="53"/>
        <v>0</v>
      </c>
      <c r="Q78" s="161">
        <f t="shared" si="53"/>
        <v>48697755.020000003</v>
      </c>
      <c r="R78" s="161">
        <f t="shared" si="53"/>
        <v>61263387.359999999</v>
      </c>
      <c r="S78" s="161">
        <f t="shared" si="53"/>
        <v>0</v>
      </c>
      <c r="T78" s="161">
        <f t="shared" si="53"/>
        <v>61263387.359999999</v>
      </c>
      <c r="U78" s="161">
        <f t="shared" si="53"/>
        <v>6115434.0499999998</v>
      </c>
      <c r="V78" s="161">
        <f t="shared" si="53"/>
        <v>9483027.4900000002</v>
      </c>
      <c r="W78" s="161">
        <f t="shared" si="53"/>
        <v>125559603.92</v>
      </c>
      <c r="X78" s="44" t="b">
        <f>+K78=W78</f>
        <v>1</v>
      </c>
      <c r="Y78" s="135"/>
    </row>
    <row r="79" spans="1:25" s="27" customFormat="1">
      <c r="A79" s="41">
        <v>65</v>
      </c>
      <c r="D79" s="41"/>
      <c r="E79" s="161"/>
      <c r="F79" s="161"/>
      <c r="G79" s="161"/>
      <c r="H79" s="161"/>
      <c r="I79" s="161"/>
      <c r="J79" s="161"/>
      <c r="K79" s="161"/>
      <c r="L79" s="161"/>
      <c r="M79" s="161"/>
      <c r="N79" s="161"/>
      <c r="O79" s="161"/>
      <c r="P79" s="161"/>
      <c r="Q79" s="161"/>
      <c r="R79" s="161"/>
      <c r="S79" s="161"/>
      <c r="T79" s="161"/>
      <c r="U79" s="161"/>
      <c r="V79" s="161"/>
      <c r="W79" s="161"/>
    </row>
    <row r="80" spans="1:25" s="31" customFormat="1">
      <c r="A80" s="41">
        <v>66</v>
      </c>
      <c r="B80" s="31" t="s">
        <v>329</v>
      </c>
      <c r="D80" s="49" t="s">
        <v>220</v>
      </c>
      <c r="E80" s="161">
        <f>+E78+E59+E39+E22</f>
        <v>1064630107.8200001</v>
      </c>
      <c r="F80" s="161">
        <f>+F78+F59+F39+F22</f>
        <v>0</v>
      </c>
      <c r="G80" s="161">
        <f>+G78+G59+G39+G22</f>
        <v>1064630107.8200001</v>
      </c>
      <c r="H80" s="161">
        <f>+H78+H59+H39+H22</f>
        <v>129873551.67999999</v>
      </c>
      <c r="I80" s="161">
        <f>+I78+I59+I39+I22</f>
        <v>1194503659.5000002</v>
      </c>
      <c r="J80" s="161"/>
      <c r="K80" s="161">
        <f>+K78+K59+K39+K22</f>
        <v>1194503659.5000002</v>
      </c>
      <c r="L80" s="161"/>
      <c r="M80" s="161"/>
      <c r="N80" s="161">
        <f t="shared" ref="N80:W80" si="54">+N78+N59+N39+N22</f>
        <v>430208295.85000002</v>
      </c>
      <c r="O80" s="161">
        <f t="shared" si="54"/>
        <v>39098651.869999997</v>
      </c>
      <c r="P80" s="161">
        <f t="shared" si="54"/>
        <v>724347.19000000006</v>
      </c>
      <c r="Q80" s="161">
        <f t="shared" si="54"/>
        <v>470031294.91000009</v>
      </c>
      <c r="R80" s="161">
        <f t="shared" si="54"/>
        <v>651417051.77999997</v>
      </c>
      <c r="S80" s="161">
        <f t="shared" si="54"/>
        <v>3224043.4699999997</v>
      </c>
      <c r="T80" s="161">
        <f t="shared" si="54"/>
        <v>654641095.25000012</v>
      </c>
      <c r="U80" s="161">
        <f t="shared" si="54"/>
        <v>29837695.84</v>
      </c>
      <c r="V80" s="161">
        <f t="shared" si="54"/>
        <v>39993573.500000007</v>
      </c>
      <c r="W80" s="161">
        <f t="shared" si="54"/>
        <v>1194503659.5000002</v>
      </c>
      <c r="X80" s="44" t="b">
        <f>+K80=W80</f>
        <v>1</v>
      </c>
      <c r="Y80" s="134">
        <f>+K80-W80</f>
        <v>0</v>
      </c>
    </row>
    <row r="81" spans="1:25" s="27" customFormat="1">
      <c r="A81" s="41">
        <v>67</v>
      </c>
      <c r="D81" s="41"/>
      <c r="E81" s="37"/>
      <c r="F81" s="37"/>
      <c r="G81" s="37"/>
      <c r="H81" s="37"/>
      <c r="I81" s="37"/>
      <c r="J81" s="136"/>
      <c r="K81" s="42"/>
      <c r="L81" s="37"/>
      <c r="M81" s="41"/>
      <c r="N81" s="37" t="s">
        <v>67</v>
      </c>
      <c r="O81" s="37"/>
      <c r="P81" s="37"/>
      <c r="Q81" s="37"/>
      <c r="R81" s="37"/>
      <c r="S81" s="37"/>
      <c r="T81" s="37"/>
      <c r="U81" s="37"/>
      <c r="V81" s="37"/>
      <c r="W81" s="37"/>
    </row>
    <row r="82" spans="1:25" s="27" customFormat="1">
      <c r="A82" s="41">
        <v>68</v>
      </c>
      <c r="B82" s="188" t="s">
        <v>1238</v>
      </c>
      <c r="D82" s="42" t="s">
        <v>222</v>
      </c>
      <c r="E82" s="160">
        <f>+'II-E-4'!E20</f>
        <v>7817075</v>
      </c>
      <c r="F82" s="160">
        <f>+'II-E-4'!F20</f>
        <v>0</v>
      </c>
      <c r="G82" s="160">
        <f>+E82+F82</f>
        <v>7817075</v>
      </c>
      <c r="H82" s="160">
        <f>+'II-E-4'!H20</f>
        <v>2078731</v>
      </c>
      <c r="I82" s="160">
        <f>ROUND(+G82+H82,2)</f>
        <v>9895806</v>
      </c>
      <c r="J82" s="136">
        <v>1</v>
      </c>
      <c r="K82" s="160">
        <f>+I82*J82</f>
        <v>9895806</v>
      </c>
      <c r="L82" s="160"/>
      <c r="M82" s="160"/>
      <c r="N82" s="160">
        <f>+'II-E-4'!N20</f>
        <v>9888367</v>
      </c>
      <c r="O82" s="160"/>
      <c r="P82" s="160"/>
      <c r="Q82" s="160">
        <f t="shared" ref="Q82:Q83" si="55">SUM(N82:P82)</f>
        <v>9888367</v>
      </c>
      <c r="R82" s="160">
        <f>+'II-E-4'!R20</f>
        <v>7439</v>
      </c>
      <c r="S82" s="160"/>
      <c r="T82" s="160">
        <f t="shared" ref="T82:T83" si="56">SUM(R82:S82)</f>
        <v>7439</v>
      </c>
      <c r="U82" s="160">
        <f>+'II-E-4'!U20</f>
        <v>0</v>
      </c>
      <c r="V82" s="160"/>
      <c r="W82" s="160">
        <f t="shared" ref="W82:W83" si="57">+Q82+T82+U82+V82</f>
        <v>9895806</v>
      </c>
      <c r="X82" s="44" t="b">
        <f>+K82=W82</f>
        <v>1</v>
      </c>
      <c r="Y82" s="135">
        <f>+K82-W82</f>
        <v>0</v>
      </c>
    </row>
    <row r="83" spans="1:25" s="55" customFormat="1" ht="12.75" customHeight="1">
      <c r="A83" s="41">
        <v>69</v>
      </c>
      <c r="B83" s="59" t="s">
        <v>330</v>
      </c>
      <c r="D83" s="68" t="s">
        <v>302</v>
      </c>
      <c r="E83" s="69">
        <f>+'II-E-4.1'!E84+'II-E-4.1'!E85</f>
        <v>34144777.809999995</v>
      </c>
      <c r="F83" s="69">
        <f>+'II-E-4.1'!F26</f>
        <v>0</v>
      </c>
      <c r="G83" s="37">
        <f>+E83+F83</f>
        <v>34144777.809999995</v>
      </c>
      <c r="H83" s="69">
        <f>+'II-E-4.1'!H84+'II-E-4.1'!H85</f>
        <v>7161432.1899999995</v>
      </c>
      <c r="I83" s="37">
        <f>+G83+H83</f>
        <v>41306209.999999993</v>
      </c>
      <c r="J83" s="136">
        <v>1</v>
      </c>
      <c r="K83" s="91">
        <f>+I83*J83</f>
        <v>41306209.999999993</v>
      </c>
      <c r="M83" s="56"/>
      <c r="N83" s="69">
        <f>+'II-E-4.1'!N84+'II-E-4.1'!N85</f>
        <v>425064.95999999996</v>
      </c>
      <c r="O83" s="69">
        <f>+'II-E-4.1'!O84+'II-E-4.1'!O85</f>
        <v>0</v>
      </c>
      <c r="P83" s="69">
        <f>+'II-E-4.1'!P84+'II-E-4.1'!P85</f>
        <v>0</v>
      </c>
      <c r="Q83" s="69">
        <f t="shared" si="55"/>
        <v>425064.95999999996</v>
      </c>
      <c r="R83" s="69">
        <f>+'II-E-4.1'!R84+'II-E-4.1'!R85</f>
        <v>15421186.759999998</v>
      </c>
      <c r="S83" s="69">
        <f>+'II-E-4.1'!S84+'II-E-4.1'!S85</f>
        <v>0</v>
      </c>
      <c r="T83" s="69">
        <f t="shared" si="56"/>
        <v>15421186.759999998</v>
      </c>
      <c r="U83" s="69">
        <f>+'II-E-4.1'!U84+'II-E-4.1'!U85</f>
        <v>25459958.280000001</v>
      </c>
      <c r="V83" s="69">
        <f>+'II-E-4.1'!V84+'II-E-4.1'!V85</f>
        <v>0</v>
      </c>
      <c r="W83" s="37">
        <f t="shared" si="57"/>
        <v>41306210</v>
      </c>
      <c r="X83" s="44" t="b">
        <f>+K83=W83</f>
        <v>1</v>
      </c>
      <c r="Y83" s="113">
        <f>+K83-W83</f>
        <v>0</v>
      </c>
    </row>
    <row r="84" spans="1:25" s="55" customFormat="1" ht="12.75" customHeight="1">
      <c r="A84" s="41">
        <v>70</v>
      </c>
      <c r="E84" s="69"/>
      <c r="K84" s="56"/>
      <c r="M84" s="56"/>
    </row>
    <row r="85" spans="1:25" s="55" customFormat="1" ht="12.75" customHeight="1">
      <c r="A85" s="41">
        <v>71</v>
      </c>
      <c r="B85" s="59" t="s">
        <v>331</v>
      </c>
      <c r="E85" s="161">
        <f>+E80+E82+E83</f>
        <v>1106591960.6300001</v>
      </c>
      <c r="F85" s="161">
        <f t="shared" ref="F85:K85" si="58">+F80+F82+F83</f>
        <v>0</v>
      </c>
      <c r="G85" s="161">
        <f t="shared" si="58"/>
        <v>1106591960.6300001</v>
      </c>
      <c r="H85" s="161">
        <f t="shared" si="58"/>
        <v>139113714.87</v>
      </c>
      <c r="I85" s="161">
        <f t="shared" si="58"/>
        <v>1245705675.5000002</v>
      </c>
      <c r="J85" s="161"/>
      <c r="K85" s="161">
        <f t="shared" si="58"/>
        <v>1245705675.5000002</v>
      </c>
      <c r="L85" s="161"/>
      <c r="M85" s="161"/>
      <c r="N85" s="161">
        <f t="shared" ref="N85:W85" si="59">+N80+N82+N83</f>
        <v>440521727.81</v>
      </c>
      <c r="O85" s="161">
        <f t="shared" si="59"/>
        <v>39098651.869999997</v>
      </c>
      <c r="P85" s="161">
        <f t="shared" si="59"/>
        <v>724347.19000000006</v>
      </c>
      <c r="Q85" s="161">
        <f t="shared" si="59"/>
        <v>480344726.87000006</v>
      </c>
      <c r="R85" s="161">
        <f t="shared" si="59"/>
        <v>666845677.53999996</v>
      </c>
      <c r="S85" s="161">
        <f t="shared" si="59"/>
        <v>3224043.4699999997</v>
      </c>
      <c r="T85" s="161">
        <f t="shared" si="59"/>
        <v>670069721.01000011</v>
      </c>
      <c r="U85" s="161">
        <f t="shared" si="59"/>
        <v>55297654.120000005</v>
      </c>
      <c r="V85" s="161">
        <f t="shared" si="59"/>
        <v>39993573.500000007</v>
      </c>
      <c r="W85" s="161">
        <f t="shared" si="59"/>
        <v>1245705675.5000002</v>
      </c>
      <c r="X85" s="44" t="b">
        <f>+K85=W85</f>
        <v>1</v>
      </c>
      <c r="Y85" s="113">
        <f>+K85-W85</f>
        <v>0</v>
      </c>
    </row>
    <row r="86" spans="1:25" s="55" customFormat="1" ht="12.75" customHeight="1">
      <c r="A86" s="41"/>
      <c r="E86" s="94"/>
      <c r="K86" s="56"/>
      <c r="M86" s="56"/>
    </row>
    <row r="87" spans="1:25" s="55" customFormat="1" ht="12.75" customHeight="1">
      <c r="A87" s="41"/>
      <c r="C87" s="95"/>
      <c r="E87" s="94"/>
      <c r="K87" s="56"/>
      <c r="M87" s="56"/>
    </row>
    <row r="88" spans="1:25" s="55" customFormat="1" ht="12.75" customHeight="1">
      <c r="K88" s="56"/>
      <c r="M88" s="56"/>
    </row>
    <row r="89" spans="1:25" s="55" customFormat="1" ht="12.75" customHeight="1">
      <c r="E89" s="132"/>
      <c r="K89" s="56"/>
      <c r="M89" s="56"/>
    </row>
    <row r="90" spans="1:25" s="55" customFormat="1" ht="12.75" customHeight="1">
      <c r="K90" s="56"/>
      <c r="M90" s="56"/>
    </row>
    <row r="91" spans="1:25" s="55" customFormat="1" ht="12.75" customHeight="1">
      <c r="K91" s="56"/>
      <c r="M91" s="56"/>
    </row>
    <row r="92" spans="1:25" s="55" customFormat="1" ht="12.75" customHeight="1">
      <c r="K92" s="56"/>
      <c r="M92" s="56"/>
    </row>
    <row r="93" spans="1:25" s="55" customFormat="1" ht="12.75" customHeight="1">
      <c r="K93" s="56"/>
      <c r="M93" s="56"/>
    </row>
    <row r="94" spans="1:25" s="55" customFormat="1" ht="12.75" customHeight="1">
      <c r="K94" s="56"/>
      <c r="M94" s="56"/>
    </row>
    <row r="95" spans="1:25" s="55" customFormat="1" ht="12.75" customHeight="1">
      <c r="K95" s="56"/>
      <c r="M95" s="56"/>
    </row>
    <row r="96" spans="1:25" s="55" customFormat="1" ht="12.75" customHeight="1">
      <c r="K96" s="56"/>
      <c r="M96" s="56"/>
    </row>
    <row r="97" spans="11:13" s="55" customFormat="1" ht="12.75" customHeight="1">
      <c r="K97" s="56"/>
      <c r="M97" s="56"/>
    </row>
    <row r="98" spans="11:13" s="55" customFormat="1" ht="12.75" customHeight="1">
      <c r="K98" s="56"/>
      <c r="M98" s="56"/>
    </row>
    <row r="99" spans="11:13" s="55" customFormat="1" ht="12.75" customHeight="1">
      <c r="K99" s="56"/>
      <c r="M99" s="56"/>
    </row>
    <row r="100" spans="11:13" s="55" customFormat="1" ht="12.75" customHeight="1">
      <c r="K100" s="56"/>
      <c r="M100" s="56"/>
    </row>
    <row r="101" spans="11:13" s="55" customFormat="1" ht="12.75" customHeight="1">
      <c r="K101" s="56"/>
      <c r="M101" s="56"/>
    </row>
    <row r="102" spans="11:13" s="55" customFormat="1" ht="12.75" customHeight="1">
      <c r="K102" s="56"/>
      <c r="M102" s="56"/>
    </row>
    <row r="103" spans="11:13" s="55" customFormat="1" ht="12.75" customHeight="1">
      <c r="K103" s="56"/>
      <c r="M103" s="56"/>
    </row>
    <row r="104" spans="11:13" s="55" customFormat="1" ht="12.75" customHeight="1">
      <c r="K104" s="56"/>
      <c r="M104" s="56"/>
    </row>
    <row r="105" spans="11:13" s="55" customFormat="1" ht="12.75" customHeight="1">
      <c r="K105" s="56"/>
      <c r="M105" s="56"/>
    </row>
    <row r="106" spans="11:13" s="55" customFormat="1" ht="12.75" customHeight="1">
      <c r="K106" s="56"/>
      <c r="M106" s="56"/>
    </row>
    <row r="107" spans="11:13" s="55" customFormat="1" ht="12.75" customHeight="1">
      <c r="K107" s="56"/>
      <c r="M107" s="56"/>
    </row>
    <row r="108" spans="11:13" s="55" customFormat="1" ht="12.75" customHeight="1">
      <c r="K108" s="56"/>
      <c r="M108" s="56"/>
    </row>
    <row r="109" spans="11:13" s="55" customFormat="1" ht="12.75" customHeight="1">
      <c r="K109" s="56"/>
      <c r="M109" s="56"/>
    </row>
    <row r="110" spans="11:13" s="55" customFormat="1" ht="12.75" customHeight="1">
      <c r="K110" s="56"/>
      <c r="M110" s="56"/>
    </row>
    <row r="111" spans="11:13" s="55" customFormat="1" ht="12.75" customHeight="1">
      <c r="K111" s="56"/>
      <c r="M111" s="56"/>
    </row>
    <row r="112" spans="11:13" s="55" customFormat="1" ht="12.75" customHeight="1">
      <c r="K112" s="56"/>
      <c r="M112" s="56"/>
    </row>
    <row r="113" spans="11:13" s="55" customFormat="1" ht="12.75" customHeight="1">
      <c r="K113" s="56"/>
      <c r="M113" s="56"/>
    </row>
    <row r="114" spans="11:13" s="55" customFormat="1" ht="12.75" customHeight="1">
      <c r="K114" s="56"/>
      <c r="M114" s="56"/>
    </row>
  </sheetData>
  <phoneticPr fontId="10" type="noConversion"/>
  <printOptions horizontalCentered="1"/>
  <pageMargins left="0.5" right="0.5" top="3" bottom="0.5" header="1.5" footer="0.5"/>
  <pageSetup scale="53" fitToWidth="2" fitToHeight="0" pageOrder="overThenDown" orientation="landscape"/>
  <headerFooter alignWithMargins="0">
    <oddHeader>&amp;R&amp;"Arial,Bold"Schedule II-E-1
Page &amp;P of &amp;N&amp;C&amp;B
2025 RATE CASE
ONCOR ELECTRIC DELIVERY COMPANY LLC
II-E-1   DEPRECIATION EXPENSE
TEST YEAR ENDING DECEMBER 31, 2024
SPONSOR: R. PRACHYL &amp;&amp; D. WATSON</oddHeader>
  </headerFooter>
  <rowBreaks count="1" manualBreakCount="1">
    <brk id="60" max="19" man="1"/>
  </rowBreaks>
  <colBreaks count="1" manualBreakCount="1">
    <brk id="10" min="9" max="77" man="1"/>
  </colBreak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Y142"/>
  <sheetViews>
    <sheetView zoomScale="80" zoomScaleNormal="80" workbookViewId="0">
      <pane xSplit="4" ySplit="13" topLeftCell="G14" activePane="bottomRight" state="frozen"/>
      <selection activeCell="C44" sqref="C44"/>
      <selection pane="topRight" activeCell="C44" sqref="C44"/>
      <selection pane="bottomLeft" activeCell="C44" sqref="C44"/>
      <selection pane="bottomRight" activeCell="C39" sqref="C39"/>
    </sheetView>
  </sheetViews>
  <sheetFormatPr defaultColWidth="9.140625" defaultRowHeight="12.75" customHeight="1"/>
  <cols>
    <col min="1" max="1" width="5.7109375" style="169" customWidth="1"/>
    <col min="2" max="2" width="8.7109375" style="200" customWidth="1"/>
    <col min="3" max="3" width="46.5703125" style="200" customWidth="1"/>
    <col min="4" max="4" width="11.7109375" style="200" customWidth="1"/>
    <col min="5" max="5" width="18.42578125" style="200" bestFit="1" customWidth="1"/>
    <col min="6" max="6" width="17.85546875" style="200" bestFit="1" customWidth="1"/>
    <col min="7" max="7" width="18.42578125" style="200" bestFit="1" customWidth="1"/>
    <col min="8" max="8" width="16.7109375" style="200" bestFit="1" customWidth="1"/>
    <col min="9" max="9" width="18.5703125" style="200" bestFit="1" customWidth="1"/>
    <col min="10" max="10" width="10.7109375" style="200" bestFit="1" customWidth="1"/>
    <col min="11" max="11" width="18.5703125" style="202" bestFit="1" customWidth="1"/>
    <col min="12" max="12" width="3.28515625" style="200" bestFit="1" customWidth="1"/>
    <col min="13" max="13" width="20.140625" style="202" bestFit="1" customWidth="1"/>
    <col min="14" max="14" width="16.5703125" style="200" bestFit="1" customWidth="1"/>
    <col min="15" max="15" width="16.42578125" style="200" bestFit="1" customWidth="1"/>
    <col min="16" max="16" width="12.5703125" style="200" bestFit="1" customWidth="1"/>
    <col min="17" max="17" width="17" style="200" bestFit="1" customWidth="1"/>
    <col min="18" max="18" width="17.7109375" style="200" bestFit="1" customWidth="1"/>
    <col min="19" max="19" width="14.5703125" style="200" bestFit="1" customWidth="1"/>
    <col min="20" max="20" width="16.7109375" style="200" customWidth="1"/>
    <col min="21" max="21" width="13.5703125" style="200" bestFit="1" customWidth="1"/>
    <col min="22" max="22" width="15.140625" style="200" customWidth="1"/>
    <col min="23" max="23" width="16.28515625" style="200" bestFit="1" customWidth="1"/>
    <col min="24" max="24" width="6.85546875" style="203" bestFit="1" customWidth="1"/>
    <col min="25" max="25" width="15.7109375" style="651" bestFit="1" customWidth="1"/>
    <col min="26" max="16384" width="9.140625" style="200"/>
  </cols>
  <sheetData>
    <row r="1" spans="1:25">
      <c r="A1" s="199" t="str">
        <f>+'[3]Input Data'!$A$9</f>
        <v>2025 RATE CASE</v>
      </c>
    </row>
    <row r="2" spans="1:25">
      <c r="A2" s="188" t="str">
        <f>+'[3]Input Data'!$A$2</f>
        <v>ONCOR ELECTRIC DELIVERY COMPANY LLC</v>
      </c>
      <c r="B2" s="169"/>
      <c r="C2" s="169"/>
      <c r="D2" s="169"/>
      <c r="E2" s="169"/>
      <c r="F2" s="205"/>
      <c r="G2" s="169"/>
      <c r="H2" s="169"/>
      <c r="I2" s="169"/>
      <c r="J2" s="169"/>
      <c r="K2" s="206"/>
      <c r="L2" s="169"/>
      <c r="M2" s="206"/>
      <c r="N2" s="142"/>
      <c r="O2" s="142"/>
      <c r="P2" s="142"/>
      <c r="Q2" s="142"/>
      <c r="R2" s="169"/>
      <c r="S2" s="169"/>
      <c r="T2" s="169"/>
      <c r="U2" s="169"/>
      <c r="V2" s="169"/>
      <c r="W2" s="169"/>
    </row>
    <row r="3" spans="1:25">
      <c r="A3" s="187" t="str">
        <f>CONCATENATE('[3]Schedule Sponsors'!$A$83,'[3]Schedule Sponsors'!$B$83)</f>
        <v>II-E-2   TAXES OTHER THAN FEDERAL INCOME TAXES</v>
      </c>
      <c r="B3" s="142"/>
      <c r="D3" s="169"/>
      <c r="E3" s="169"/>
      <c r="F3" s="208"/>
      <c r="G3" s="169"/>
      <c r="H3" s="169"/>
      <c r="I3" s="169"/>
      <c r="J3" s="169"/>
      <c r="K3" s="206"/>
      <c r="L3" s="169"/>
      <c r="M3" s="206"/>
      <c r="N3" s="143"/>
      <c r="O3" s="192"/>
      <c r="P3" s="192"/>
      <c r="Q3" s="192"/>
      <c r="R3" s="169"/>
      <c r="S3" s="169"/>
      <c r="T3" s="169"/>
      <c r="U3" s="169"/>
      <c r="V3" s="169"/>
      <c r="W3" s="169"/>
    </row>
    <row r="4" spans="1:25">
      <c r="A4" s="187" t="str">
        <f>+'[3]Input Data'!$A$4</f>
        <v>TEST YEAR ENDING DECEMBER 31, 2024</v>
      </c>
      <c r="B4" s="142"/>
      <c r="D4" s="169"/>
      <c r="E4" s="169"/>
      <c r="F4" s="208"/>
      <c r="G4" s="169"/>
      <c r="H4" s="169"/>
      <c r="I4" s="169"/>
      <c r="J4" s="169"/>
      <c r="K4" s="206"/>
      <c r="L4" s="169"/>
      <c r="M4" s="206"/>
      <c r="N4" s="143"/>
      <c r="O4" s="192"/>
      <c r="P4" s="192"/>
      <c r="Q4" s="192"/>
      <c r="R4" s="169"/>
      <c r="S4" s="169"/>
      <c r="T4" s="169"/>
      <c r="U4" s="169"/>
      <c r="V4" s="169"/>
      <c r="W4" s="169"/>
    </row>
    <row r="5" spans="1:25">
      <c r="A5" s="185" t="str">
        <f>CONCATENATE("SPONSOR: ",'[3]Schedule Sponsors'!$D$83)</f>
        <v>SPONSOR: B. L. CLUTTER</v>
      </c>
      <c r="B5" s="142"/>
      <c r="D5" s="169"/>
      <c r="E5" s="169"/>
      <c r="F5" s="169"/>
      <c r="G5" s="169"/>
      <c r="H5" s="169"/>
      <c r="I5" s="169"/>
      <c r="J5" s="169"/>
      <c r="K5" s="206"/>
      <c r="L5" s="169"/>
      <c r="M5" s="206"/>
      <c r="N5" s="169"/>
      <c r="O5" s="169"/>
      <c r="P5" s="169"/>
      <c r="Q5" s="169"/>
      <c r="R5" s="169"/>
      <c r="S5" s="169"/>
      <c r="T5" s="169"/>
      <c r="U5" s="169"/>
      <c r="V5" s="169"/>
      <c r="W5" s="169"/>
    </row>
    <row r="6" spans="1:25">
      <c r="B6" s="142"/>
      <c r="D6" s="169"/>
      <c r="E6" s="169"/>
      <c r="F6" s="169"/>
      <c r="G6" s="169"/>
      <c r="H6" s="169"/>
      <c r="I6" s="169"/>
      <c r="J6" s="169"/>
      <c r="K6" s="206"/>
      <c r="L6" s="169"/>
      <c r="M6" s="206"/>
      <c r="N6" s="169"/>
      <c r="O6" s="169"/>
      <c r="P6" s="169"/>
      <c r="Q6" s="169"/>
      <c r="R6" s="169"/>
      <c r="S6" s="169"/>
      <c r="T6" s="169"/>
      <c r="U6" s="169"/>
      <c r="V6" s="169"/>
      <c r="W6" s="169"/>
    </row>
    <row r="7" spans="1:25">
      <c r="B7" s="142"/>
      <c r="D7" s="169"/>
      <c r="E7" s="169"/>
      <c r="F7" s="169"/>
      <c r="G7" s="169"/>
      <c r="H7" s="169"/>
      <c r="I7" s="169"/>
      <c r="J7" s="169"/>
      <c r="K7" s="206"/>
      <c r="L7" s="169"/>
      <c r="M7" s="206"/>
      <c r="N7" s="169"/>
      <c r="O7" s="169"/>
      <c r="P7" s="169"/>
      <c r="Q7" s="169"/>
      <c r="R7" s="169"/>
      <c r="S7" s="169"/>
      <c r="T7" s="169"/>
      <c r="U7" s="169"/>
      <c r="V7" s="169"/>
      <c r="W7" s="169"/>
    </row>
    <row r="8" spans="1:25">
      <c r="B8" s="199"/>
      <c r="C8" s="169"/>
      <c r="D8" s="169"/>
      <c r="E8" s="169"/>
      <c r="F8" s="169"/>
      <c r="G8" s="169"/>
      <c r="H8" s="169"/>
      <c r="I8" s="169"/>
      <c r="J8" s="169"/>
      <c r="K8" s="206"/>
      <c r="L8" s="169"/>
      <c r="M8" s="206"/>
      <c r="N8" s="169"/>
      <c r="O8" s="169"/>
      <c r="P8" s="169"/>
      <c r="Q8" s="169"/>
      <c r="R8" s="169"/>
      <c r="S8" s="169"/>
      <c r="T8" s="169"/>
      <c r="U8" s="169"/>
      <c r="V8" s="169"/>
      <c r="W8" s="169"/>
    </row>
    <row r="9" spans="1:25" ht="13.5" thickBot="1">
      <c r="B9" s="169" t="s">
        <v>67</v>
      </c>
      <c r="C9" s="169"/>
      <c r="D9" s="169"/>
      <c r="E9" s="210"/>
      <c r="F9" s="210"/>
      <c r="G9" s="210"/>
      <c r="H9" s="210"/>
      <c r="I9" s="210"/>
      <c r="J9" s="210"/>
      <c r="K9" s="210"/>
      <c r="L9" s="210"/>
      <c r="M9" s="210"/>
      <c r="N9" s="210"/>
      <c r="O9" s="210"/>
      <c r="P9" s="210"/>
      <c r="Q9" s="210"/>
      <c r="R9" s="210"/>
      <c r="S9" s="210"/>
      <c r="T9" s="210"/>
      <c r="U9" s="210"/>
      <c r="V9" s="210"/>
      <c r="W9" s="210"/>
    </row>
    <row r="10" spans="1:25" s="199" customFormat="1">
      <c r="A10" s="211"/>
      <c r="B10" s="211"/>
      <c r="C10" s="211"/>
      <c r="D10" s="211"/>
      <c r="E10" s="211"/>
      <c r="F10" s="211"/>
      <c r="G10" s="212" t="s">
        <v>61</v>
      </c>
      <c r="H10" s="212" t="s">
        <v>379</v>
      </c>
      <c r="I10" s="212" t="s">
        <v>62</v>
      </c>
      <c r="J10" s="212" t="s">
        <v>79</v>
      </c>
      <c r="K10" s="212" t="s">
        <v>269</v>
      </c>
      <c r="L10" s="211"/>
      <c r="M10" s="212" t="s">
        <v>338</v>
      </c>
      <c r="N10" s="212"/>
      <c r="O10" s="212"/>
      <c r="P10" s="212"/>
      <c r="Q10" s="212"/>
      <c r="R10" s="212"/>
      <c r="S10" s="212"/>
      <c r="T10" s="212"/>
      <c r="U10" s="212"/>
      <c r="V10" s="212"/>
      <c r="W10" s="212"/>
      <c r="X10" s="95"/>
      <c r="Y10" s="652"/>
    </row>
    <row r="11" spans="1:25" s="199" customFormat="1">
      <c r="A11" s="165" t="s">
        <v>241</v>
      </c>
      <c r="B11" s="165" t="s">
        <v>69</v>
      </c>
      <c r="C11" s="165"/>
      <c r="D11" s="165" t="s">
        <v>66</v>
      </c>
      <c r="E11" s="213" t="s">
        <v>71</v>
      </c>
      <c r="F11" s="165" t="s">
        <v>72</v>
      </c>
      <c r="G11" s="165" t="s">
        <v>63</v>
      </c>
      <c r="H11" s="165" t="s">
        <v>380</v>
      </c>
      <c r="I11" s="165" t="s">
        <v>61</v>
      </c>
      <c r="J11" s="165" t="s">
        <v>269</v>
      </c>
      <c r="K11" s="165" t="s">
        <v>43</v>
      </c>
      <c r="L11" s="165" t="s">
        <v>74</v>
      </c>
      <c r="M11" s="165" t="s">
        <v>75</v>
      </c>
      <c r="N11" s="165"/>
      <c r="O11" s="165" t="s">
        <v>571</v>
      </c>
      <c r="P11" s="165" t="s">
        <v>572</v>
      </c>
      <c r="Q11" s="165" t="s">
        <v>574</v>
      </c>
      <c r="R11" s="165"/>
      <c r="S11" s="165" t="s">
        <v>571</v>
      </c>
      <c r="T11" s="165" t="s">
        <v>574</v>
      </c>
      <c r="U11" s="165"/>
      <c r="V11" s="165"/>
      <c r="W11" s="165"/>
      <c r="X11" s="95"/>
      <c r="Y11" s="652"/>
    </row>
    <row r="12" spans="1:25" s="199" customFormat="1">
      <c r="A12" s="165" t="s">
        <v>268</v>
      </c>
      <c r="B12" s="165" t="s">
        <v>203</v>
      </c>
      <c r="C12" s="165" t="s">
        <v>64</v>
      </c>
      <c r="D12" s="165" t="s">
        <v>68</v>
      </c>
      <c r="E12" s="213" t="s">
        <v>76</v>
      </c>
      <c r="F12" s="165" t="s">
        <v>77</v>
      </c>
      <c r="G12" s="165" t="s">
        <v>78</v>
      </c>
      <c r="H12" s="165" t="s">
        <v>381</v>
      </c>
      <c r="I12" s="165" t="s">
        <v>63</v>
      </c>
      <c r="J12" s="165" t="s">
        <v>75</v>
      </c>
      <c r="K12" s="165" t="s">
        <v>79</v>
      </c>
      <c r="L12" s="165" t="s">
        <v>80</v>
      </c>
      <c r="M12" s="165" t="s">
        <v>81</v>
      </c>
      <c r="N12" s="165" t="s">
        <v>198</v>
      </c>
      <c r="O12" s="165" t="s">
        <v>198</v>
      </c>
      <c r="P12" s="165" t="s">
        <v>575</v>
      </c>
      <c r="Q12" s="165" t="s">
        <v>198</v>
      </c>
      <c r="R12" s="165" t="s">
        <v>199</v>
      </c>
      <c r="S12" s="165" t="s">
        <v>199</v>
      </c>
      <c r="T12" s="165" t="s">
        <v>199</v>
      </c>
      <c r="U12" s="165" t="s">
        <v>194</v>
      </c>
      <c r="V12" s="165" t="s">
        <v>279</v>
      </c>
      <c r="W12" s="165" t="s">
        <v>73</v>
      </c>
      <c r="X12" s="95"/>
      <c r="Y12" s="652"/>
    </row>
    <row r="13" spans="1:25" s="169" customFormat="1" ht="13.5" thickBot="1">
      <c r="A13" s="215"/>
      <c r="B13" s="215" t="s">
        <v>226</v>
      </c>
      <c r="C13" s="215" t="s">
        <v>227</v>
      </c>
      <c r="D13" s="215" t="s">
        <v>228</v>
      </c>
      <c r="E13" s="215" t="s">
        <v>229</v>
      </c>
      <c r="F13" s="215" t="s">
        <v>230</v>
      </c>
      <c r="G13" s="215" t="s">
        <v>231</v>
      </c>
      <c r="H13" s="215" t="s">
        <v>232</v>
      </c>
      <c r="I13" s="215" t="s">
        <v>233</v>
      </c>
      <c r="J13" s="215" t="s">
        <v>234</v>
      </c>
      <c r="K13" s="215" t="s">
        <v>235</v>
      </c>
      <c r="L13" s="215" t="s">
        <v>236</v>
      </c>
      <c r="M13" s="215" t="s">
        <v>237</v>
      </c>
      <c r="N13" s="215" t="s">
        <v>238</v>
      </c>
      <c r="O13" s="215" t="s">
        <v>239</v>
      </c>
      <c r="P13" s="215" t="s">
        <v>240</v>
      </c>
      <c r="Q13" s="215" t="s">
        <v>140</v>
      </c>
      <c r="R13" s="215" t="s">
        <v>270</v>
      </c>
      <c r="S13" s="215" t="s">
        <v>280</v>
      </c>
      <c r="T13" s="215" t="s">
        <v>281</v>
      </c>
      <c r="U13" s="215" t="s">
        <v>473</v>
      </c>
      <c r="V13" s="215" t="s">
        <v>474</v>
      </c>
      <c r="W13" s="215" t="s">
        <v>475</v>
      </c>
      <c r="X13" s="219"/>
      <c r="Y13" s="653"/>
    </row>
    <row r="14" spans="1:25" s="169" customFormat="1" ht="12.75" customHeight="1">
      <c r="A14" s="216"/>
      <c r="B14" s="216"/>
      <c r="C14" s="216"/>
      <c r="D14" s="216"/>
      <c r="E14" s="216"/>
      <c r="F14" s="216"/>
      <c r="G14" s="216"/>
      <c r="H14" s="216"/>
      <c r="I14" s="216"/>
      <c r="J14" s="216"/>
      <c r="K14" s="218"/>
      <c r="L14" s="216"/>
      <c r="M14" s="218"/>
      <c r="N14" s="216"/>
      <c r="O14" s="216"/>
      <c r="P14" s="216"/>
      <c r="Q14" s="216"/>
      <c r="R14" s="216"/>
      <c r="S14" s="216"/>
      <c r="T14" s="216"/>
      <c r="U14" s="216"/>
      <c r="V14" s="216"/>
      <c r="W14" s="216"/>
      <c r="X14" s="219"/>
      <c r="Y14" s="653"/>
    </row>
    <row r="15" spans="1:25" s="188" customFormat="1">
      <c r="A15" s="221">
        <v>1</v>
      </c>
      <c r="B15" s="40" t="s">
        <v>152</v>
      </c>
      <c r="C15" s="40"/>
      <c r="D15" s="166"/>
      <c r="E15" s="195"/>
      <c r="F15" s="195"/>
      <c r="G15" s="195"/>
      <c r="H15" s="195"/>
      <c r="I15" s="195"/>
      <c r="J15" s="195"/>
      <c r="K15" s="229"/>
      <c r="L15" s="195"/>
      <c r="M15" s="15"/>
      <c r="N15" s="195"/>
      <c r="O15" s="195"/>
      <c r="P15" s="195"/>
      <c r="Q15" s="195"/>
      <c r="R15" s="195"/>
      <c r="S15" s="195"/>
      <c r="T15" s="195"/>
      <c r="U15" s="195"/>
      <c r="V15" s="195"/>
      <c r="W15" s="195"/>
      <c r="X15" s="222"/>
      <c r="Y15" s="654"/>
    </row>
    <row r="16" spans="1:25" s="142" customFormat="1">
      <c r="A16" s="221">
        <v>2</v>
      </c>
      <c r="D16" s="221"/>
      <c r="E16" s="140"/>
      <c r="F16" s="140"/>
      <c r="G16" s="140"/>
      <c r="H16" s="140"/>
      <c r="I16" s="140"/>
      <c r="J16" s="140"/>
      <c r="K16" s="221"/>
      <c r="L16" s="140"/>
      <c r="M16" s="221"/>
      <c r="N16" s="140"/>
      <c r="O16" s="375"/>
      <c r="P16" s="375"/>
      <c r="Q16" s="375"/>
      <c r="R16" s="140"/>
      <c r="S16" s="375"/>
      <c r="T16" s="375"/>
      <c r="U16" s="140"/>
      <c r="V16" s="375"/>
      <c r="W16" s="140"/>
      <c r="X16" s="224"/>
      <c r="Y16" s="655"/>
    </row>
    <row r="17" spans="1:25" s="188" customFormat="1">
      <c r="A17" s="221">
        <v>3</v>
      </c>
      <c r="B17" s="188" t="s">
        <v>153</v>
      </c>
      <c r="D17" s="166" t="s">
        <v>556</v>
      </c>
      <c r="E17" s="195"/>
      <c r="F17" s="195"/>
      <c r="G17" s="195"/>
      <c r="H17" s="195"/>
      <c r="I17" s="195"/>
      <c r="J17" s="195"/>
      <c r="K17" s="166"/>
      <c r="L17" s="195"/>
      <c r="M17" s="166"/>
      <c r="N17" s="195"/>
      <c r="O17" s="195"/>
      <c r="P17" s="195"/>
      <c r="Q17" s="195"/>
      <c r="R17" s="195"/>
      <c r="S17" s="195"/>
      <c r="T17" s="195"/>
      <c r="U17" s="195"/>
      <c r="V17" s="195"/>
      <c r="W17" s="195"/>
      <c r="X17" s="222"/>
      <c r="Y17" s="654"/>
    </row>
    <row r="18" spans="1:25" s="142" customFormat="1">
      <c r="A18" s="221">
        <v>4</v>
      </c>
      <c r="C18" s="142" t="s">
        <v>154</v>
      </c>
      <c r="D18" s="221"/>
      <c r="E18" s="447">
        <f>ROUND(+'[1]Payroll Rates (WP4)'!$C$19,2)</f>
        <v>20953312.190000001</v>
      </c>
      <c r="F18" s="447">
        <v>0</v>
      </c>
      <c r="G18" s="447">
        <f>+E18+F18</f>
        <v>20953312.190000001</v>
      </c>
      <c r="H18" s="410">
        <f>+I18-G18</f>
        <v>-585894.08999999985</v>
      </c>
      <c r="I18" s="447">
        <f>ROUND(+'[1]Payroll Rates (WP4)'!$K$19,2)</f>
        <v>20367418.100000001</v>
      </c>
      <c r="J18" s="227">
        <v>1</v>
      </c>
      <c r="K18" s="447">
        <f>ROUND(+I18*J18,2)</f>
        <v>20367418.100000001</v>
      </c>
      <c r="L18" s="140"/>
      <c r="M18" s="221" t="s">
        <v>13</v>
      </c>
      <c r="N18" s="447">
        <f>ROUND($K18*'[5]II-F Alloc_Factor'!E$17,2)</f>
        <v>4578987.92</v>
      </c>
      <c r="O18" s="447">
        <f>ROUND($K18*'[5]II-F Alloc_Factor'!F$17,2)</f>
        <v>0</v>
      </c>
      <c r="P18" s="447">
        <f>ROUND($K18*'[5]II-F Alloc_Factor'!G$17,2)</f>
        <v>0</v>
      </c>
      <c r="Q18" s="447">
        <f>SUM(N18:P18)</f>
        <v>4578987.92</v>
      </c>
      <c r="R18" s="447">
        <f>ROUND($K18*'[5]II-F Alloc_Factor'!I$17,2)</f>
        <v>12228771.32</v>
      </c>
      <c r="S18" s="447">
        <f>ROUND($K18*'[5]II-F Alloc_Factor'!J$17,2)</f>
        <v>0</v>
      </c>
      <c r="T18" s="447">
        <f>SUM(R18:S18)</f>
        <v>12228771.32</v>
      </c>
      <c r="U18" s="447">
        <f>ROUND($K18*'[5]II-F Alloc_Factor'!L$17,2)</f>
        <v>3419493.17</v>
      </c>
      <c r="V18" s="447">
        <f>+K18-Q18-T18-U18</f>
        <v>140165.69000000134</v>
      </c>
      <c r="W18" s="447">
        <f>+Q18+T18+U18+V18</f>
        <v>20367418.100000005</v>
      </c>
      <c r="X18" s="224" t="b">
        <f>+K18=W18</f>
        <v>1</v>
      </c>
      <c r="Y18" s="655">
        <f>+K18-W18</f>
        <v>0</v>
      </c>
    </row>
    <row r="19" spans="1:25" s="142" customFormat="1">
      <c r="A19" s="221">
        <v>5</v>
      </c>
      <c r="C19" s="142" t="s">
        <v>155</v>
      </c>
      <c r="D19" s="221"/>
      <c r="E19" s="410">
        <f>ROUND(+'[1]Payroll Rates (WP4)'!$C$20,2)</f>
        <v>416408.25</v>
      </c>
      <c r="F19" s="410">
        <v>0</v>
      </c>
      <c r="G19" s="410">
        <f>+E19+F19</f>
        <v>416408.25</v>
      </c>
      <c r="H19" s="410">
        <f>+I19-G19</f>
        <v>25716.219999999972</v>
      </c>
      <c r="I19" s="410">
        <f>ROUND(+'[1]Payroll Rates (WP4)'!$K$20,2)</f>
        <v>442124.47</v>
      </c>
      <c r="J19" s="227">
        <v>1</v>
      </c>
      <c r="K19" s="410">
        <f>ROUND(+I19*J19,2)</f>
        <v>442124.47</v>
      </c>
      <c r="L19" s="140"/>
      <c r="M19" s="221" t="s">
        <v>13</v>
      </c>
      <c r="N19" s="410">
        <f>ROUND($K19*'[5]II-F Alloc_Factor'!E$17,2)</f>
        <v>99398.1</v>
      </c>
      <c r="O19" s="410">
        <f>ROUND($K19*'[5]II-F Alloc_Factor'!F$17,2)</f>
        <v>0</v>
      </c>
      <c r="P19" s="410">
        <f>ROUND($K19*'[5]II-F Alloc_Factor'!G$17,2)</f>
        <v>0</v>
      </c>
      <c r="Q19" s="410">
        <f t="shared" ref="Q19:Q20" si="0">SUM(N19:P19)</f>
        <v>99398.1</v>
      </c>
      <c r="R19" s="410">
        <f>ROUND($K19*'[5]II-F Alloc_Factor'!I$17,2)</f>
        <v>265455.3</v>
      </c>
      <c r="S19" s="410">
        <f>ROUND($K19*'[5]II-F Alloc_Factor'!J$17,2)</f>
        <v>0</v>
      </c>
      <c r="T19" s="410">
        <f t="shared" ref="T19:T20" si="1">SUM(R19:S19)</f>
        <v>265455.3</v>
      </c>
      <c r="U19" s="410">
        <f>ROUND($K19*'[5]II-F Alloc_Factor'!L$17,2)</f>
        <v>74228.44</v>
      </c>
      <c r="V19" s="410">
        <f>+K19-Q19-T19-U19</f>
        <v>3042.6300000000047</v>
      </c>
      <c r="W19" s="410">
        <f t="shared" ref="W19:W20" si="2">+Q19+T19+U19+V19</f>
        <v>442124.47000000003</v>
      </c>
      <c r="X19" s="224" t="b">
        <f>+K19=W19</f>
        <v>1</v>
      </c>
      <c r="Y19" s="655">
        <f>+K19-W19</f>
        <v>0</v>
      </c>
    </row>
    <row r="20" spans="1:25" s="142" customFormat="1">
      <c r="A20" s="221">
        <v>6</v>
      </c>
      <c r="C20" s="142" t="s">
        <v>275</v>
      </c>
      <c r="D20" s="221"/>
      <c r="E20" s="410">
        <f>ROUND(+'[1]Payroll Rates (WP4)'!$C$21,2)</f>
        <v>473446.8</v>
      </c>
      <c r="F20" s="410">
        <v>0</v>
      </c>
      <c r="G20" s="410">
        <f>+E20+F20</f>
        <v>473446.8</v>
      </c>
      <c r="H20" s="410">
        <f>+I20-G20</f>
        <v>-53168.709999999963</v>
      </c>
      <c r="I20" s="410">
        <f>ROUND(+'[1]Payroll Rates (WP4)'!$K$21,2)</f>
        <v>420278.09</v>
      </c>
      <c r="J20" s="227">
        <v>1</v>
      </c>
      <c r="K20" s="410">
        <f>ROUND(+I20*J20,2)</f>
        <v>420278.09</v>
      </c>
      <c r="L20" s="140"/>
      <c r="M20" s="221" t="s">
        <v>13</v>
      </c>
      <c r="N20" s="410">
        <f>ROUND($K20*'[5]II-F Alloc_Factor'!E$17,2)</f>
        <v>94486.61</v>
      </c>
      <c r="O20" s="410">
        <f>ROUND($K20*'[5]II-F Alloc_Factor'!F$17,2)</f>
        <v>0</v>
      </c>
      <c r="P20" s="410">
        <f>ROUND($K20*'[5]II-F Alloc_Factor'!G$17,2)</f>
        <v>0</v>
      </c>
      <c r="Q20" s="410">
        <f t="shared" si="0"/>
        <v>94486.61</v>
      </c>
      <c r="R20" s="410">
        <f>ROUND($K20*'[5]II-F Alloc_Factor'!I$17,2)</f>
        <v>252338.55</v>
      </c>
      <c r="S20" s="410">
        <f>ROUND($K20*'[5]II-F Alloc_Factor'!J$17,2)</f>
        <v>0</v>
      </c>
      <c r="T20" s="410">
        <f t="shared" si="1"/>
        <v>252338.55</v>
      </c>
      <c r="U20" s="410">
        <f>ROUND($K20*'[5]II-F Alloc_Factor'!L$17,2)</f>
        <v>70560.639999999999</v>
      </c>
      <c r="V20" s="410">
        <f>+K20-Q20-T20-U20</f>
        <v>2892.2900000000518</v>
      </c>
      <c r="W20" s="410">
        <f t="shared" si="2"/>
        <v>420278.09</v>
      </c>
      <c r="X20" s="224" t="b">
        <f>+K20=W20</f>
        <v>1</v>
      </c>
      <c r="Y20" s="655">
        <f>+K20-W20</f>
        <v>0</v>
      </c>
    </row>
    <row r="21" spans="1:25" s="142" customFormat="1">
      <c r="A21" s="221">
        <v>7</v>
      </c>
      <c r="D21" s="221"/>
      <c r="E21" s="232"/>
      <c r="F21" s="232"/>
      <c r="G21" s="232"/>
      <c r="H21" s="232"/>
      <c r="I21" s="232"/>
      <c r="J21" s="227"/>
      <c r="K21" s="232"/>
      <c r="L21" s="140"/>
      <c r="M21" s="221"/>
      <c r="N21" s="411"/>
      <c r="O21" s="411"/>
      <c r="P21" s="411"/>
      <c r="Q21" s="411"/>
      <c r="R21" s="411"/>
      <c r="S21" s="411"/>
      <c r="T21" s="411"/>
      <c r="U21" s="411"/>
      <c r="V21" s="411"/>
      <c r="W21" s="411"/>
      <c r="X21" s="224"/>
      <c r="Y21" s="655"/>
    </row>
    <row r="22" spans="1:25" s="188" customFormat="1">
      <c r="A22" s="221">
        <v>8</v>
      </c>
      <c r="C22" s="233" t="s">
        <v>141</v>
      </c>
      <c r="D22" s="166"/>
      <c r="E22" s="448">
        <f>SUM(E18:E20)</f>
        <v>21843167.240000002</v>
      </c>
      <c r="F22" s="448">
        <f>SUM(F18:F20)</f>
        <v>0</v>
      </c>
      <c r="G22" s="448">
        <f>SUM(G18:G20)</f>
        <v>21843167.240000002</v>
      </c>
      <c r="H22" s="448">
        <f>SUM(H18:H20)</f>
        <v>-613346.57999999984</v>
      </c>
      <c r="I22" s="448">
        <f>SUM(I18:I20)</f>
        <v>21229820.66</v>
      </c>
      <c r="J22" s="234"/>
      <c r="K22" s="448">
        <f>SUM(K18:K20)</f>
        <v>21229820.66</v>
      </c>
      <c r="L22" s="195"/>
      <c r="M22" s="166"/>
      <c r="N22" s="448">
        <f>SUM(N18:N21)</f>
        <v>4772872.63</v>
      </c>
      <c r="O22" s="448">
        <f t="shared" ref="O22:W22" si="3">SUM(O18:O21)</f>
        <v>0</v>
      </c>
      <c r="P22" s="448">
        <f t="shared" si="3"/>
        <v>0</v>
      </c>
      <c r="Q22" s="448">
        <f t="shared" si="3"/>
        <v>4772872.63</v>
      </c>
      <c r="R22" s="448">
        <f t="shared" si="3"/>
        <v>12746565.170000002</v>
      </c>
      <c r="S22" s="448">
        <f t="shared" si="3"/>
        <v>0</v>
      </c>
      <c r="T22" s="448">
        <f t="shared" si="3"/>
        <v>12746565.170000002</v>
      </c>
      <c r="U22" s="448">
        <f t="shared" si="3"/>
        <v>3564282.25</v>
      </c>
      <c r="V22" s="448">
        <f t="shared" si="3"/>
        <v>146100.61000000138</v>
      </c>
      <c r="W22" s="448">
        <f t="shared" si="3"/>
        <v>21229820.660000004</v>
      </c>
      <c r="X22" s="224" t="b">
        <f>+K22=W22</f>
        <v>1</v>
      </c>
      <c r="Y22" s="655">
        <f>+K22-W22</f>
        <v>0</v>
      </c>
    </row>
    <row r="23" spans="1:25" s="142" customFormat="1">
      <c r="A23" s="221">
        <v>9</v>
      </c>
      <c r="D23" s="221"/>
      <c r="E23" s="140"/>
      <c r="F23" s="140"/>
      <c r="G23" s="140"/>
      <c r="H23" s="140"/>
      <c r="I23" s="140"/>
      <c r="J23" s="227"/>
      <c r="K23" s="140"/>
      <c r="L23" s="140"/>
      <c r="M23" s="221"/>
      <c r="N23" s="410"/>
      <c r="O23" s="410"/>
      <c r="P23" s="410"/>
      <c r="Q23" s="410"/>
      <c r="R23" s="410"/>
      <c r="S23" s="410"/>
      <c r="T23" s="410"/>
      <c r="U23" s="410"/>
      <c r="V23" s="410"/>
      <c r="W23" s="410"/>
      <c r="X23" s="224"/>
      <c r="Y23" s="655"/>
    </row>
    <row r="24" spans="1:25" s="188" customFormat="1">
      <c r="A24" s="221">
        <v>10</v>
      </c>
      <c r="B24" s="188" t="s">
        <v>156</v>
      </c>
      <c r="D24" s="166" t="s">
        <v>557</v>
      </c>
      <c r="E24" s="195"/>
      <c r="F24" s="195"/>
      <c r="G24" s="195"/>
      <c r="H24" s="195"/>
      <c r="I24" s="195"/>
      <c r="J24" s="234"/>
      <c r="K24" s="195"/>
      <c r="L24" s="195"/>
      <c r="M24" s="166"/>
      <c r="N24" s="412"/>
      <c r="O24" s="412"/>
      <c r="P24" s="412"/>
      <c r="Q24" s="412"/>
      <c r="R24" s="412"/>
      <c r="S24" s="412"/>
      <c r="T24" s="412"/>
      <c r="U24" s="412"/>
      <c r="V24" s="412"/>
      <c r="W24" s="412"/>
      <c r="X24" s="222"/>
      <c r="Y24" s="654"/>
    </row>
    <row r="25" spans="1:25" s="142" customFormat="1">
      <c r="A25" s="221">
        <v>11</v>
      </c>
      <c r="C25" s="142" t="s">
        <v>276</v>
      </c>
      <c r="D25" s="221"/>
      <c r="E25" s="447">
        <v>254333384.25</v>
      </c>
      <c r="F25" s="447">
        <v>0</v>
      </c>
      <c r="G25" s="447">
        <f>+E25+F25</f>
        <v>254333384.25</v>
      </c>
      <c r="H25" s="447">
        <f>+I25-G25</f>
        <v>29220352.689999998</v>
      </c>
      <c r="I25" s="447">
        <f>+'[1]Ad Valorem Taxes Summary (WP1)'!$F$23</f>
        <v>283553736.94</v>
      </c>
      <c r="J25" s="227">
        <v>1</v>
      </c>
      <c r="K25" s="447">
        <f>ROUND(+I25*J25,2)</f>
        <v>283553736.94</v>
      </c>
      <c r="L25" s="140"/>
      <c r="M25" s="176" t="s">
        <v>357</v>
      </c>
      <c r="N25" s="447">
        <f>ROUND(+$K25*'[5]II-F Alloc_Factor'!E$19,2)</f>
        <v>122493070.51000001</v>
      </c>
      <c r="O25" s="447">
        <f>ROUND(+$K25*'[5]II-F Alloc_Factor'!F$19,2)</f>
        <v>13048821.68</v>
      </c>
      <c r="P25" s="447">
        <f>ROUND(+$K25*'[5]II-F Alloc_Factor'!G$19,2)</f>
        <v>105236.94</v>
      </c>
      <c r="Q25" s="447">
        <f>SUM(N25:P25)</f>
        <v>135647129.13</v>
      </c>
      <c r="R25" s="447">
        <f>ROUND(+$K25*'[5]II-F Alloc_Factor'!I$19,2)</f>
        <v>139899372.06999999</v>
      </c>
      <c r="S25" s="447">
        <f>ROUND(+$K25*'[5]II-F Alloc_Factor'!J$19,2)</f>
        <v>1042263.83</v>
      </c>
      <c r="T25" s="447">
        <f>SUM(R25:S25)</f>
        <v>140941635.90000001</v>
      </c>
      <c r="U25" s="447">
        <f>ROUND(+$K25*'[5]II-F Alloc_Factor'!L$19,2)</f>
        <v>4193051.07</v>
      </c>
      <c r="V25" s="447">
        <f>+K25-Q25-T25-U25</f>
        <v>2771920.8399999966</v>
      </c>
      <c r="W25" s="447">
        <f>+Q25+T25+U25+V25</f>
        <v>283553736.93999994</v>
      </c>
      <c r="X25" s="224" t="b">
        <f>+K25=W25</f>
        <v>1</v>
      </c>
      <c r="Y25" s="655">
        <f>+K25-W25</f>
        <v>0</v>
      </c>
    </row>
    <row r="26" spans="1:25" s="142" customFormat="1">
      <c r="A26" s="221">
        <v>12</v>
      </c>
      <c r="C26" s="235"/>
      <c r="D26" s="221"/>
      <c r="E26" s="232"/>
      <c r="F26" s="232"/>
      <c r="G26" s="232"/>
      <c r="H26" s="232"/>
      <c r="I26" s="232"/>
      <c r="J26" s="227"/>
      <c r="K26" s="232"/>
      <c r="L26" s="140"/>
      <c r="M26" s="221"/>
      <c r="N26" s="411"/>
      <c r="O26" s="411"/>
      <c r="P26" s="411"/>
      <c r="Q26" s="411"/>
      <c r="R26" s="411"/>
      <c r="S26" s="411"/>
      <c r="T26" s="411"/>
      <c r="U26" s="411"/>
      <c r="V26" s="411"/>
      <c r="W26" s="411"/>
      <c r="X26" s="224"/>
      <c r="Y26" s="655"/>
    </row>
    <row r="27" spans="1:25" s="188" customFormat="1">
      <c r="A27" s="221">
        <v>13</v>
      </c>
      <c r="C27" s="233" t="s">
        <v>197</v>
      </c>
      <c r="D27" s="166"/>
      <c r="E27" s="448">
        <f>SUM(E25:E26)</f>
        <v>254333384.25</v>
      </c>
      <c r="F27" s="448">
        <f>SUM(F25:F26)</f>
        <v>0</v>
      </c>
      <c r="G27" s="448">
        <f>SUM(G25:G26)</f>
        <v>254333384.25</v>
      </c>
      <c r="H27" s="448">
        <f>SUM(H25:H26)</f>
        <v>29220352.689999998</v>
      </c>
      <c r="I27" s="448">
        <f>SUM(I25:I26)</f>
        <v>283553736.94</v>
      </c>
      <c r="J27" s="234"/>
      <c r="K27" s="448">
        <f>SUM(K25:K26)</f>
        <v>283553736.94</v>
      </c>
      <c r="L27" s="195"/>
      <c r="M27" s="166"/>
      <c r="N27" s="448">
        <f>SUM(N25)</f>
        <v>122493070.51000001</v>
      </c>
      <c r="O27" s="448">
        <f t="shared" ref="O27:W27" si="4">SUM(O25)</f>
        <v>13048821.68</v>
      </c>
      <c r="P27" s="448">
        <f t="shared" si="4"/>
        <v>105236.94</v>
      </c>
      <c r="Q27" s="448">
        <f t="shared" si="4"/>
        <v>135647129.13</v>
      </c>
      <c r="R27" s="448">
        <f t="shared" si="4"/>
        <v>139899372.06999999</v>
      </c>
      <c r="S27" s="448">
        <f t="shared" si="4"/>
        <v>1042263.83</v>
      </c>
      <c r="T27" s="448">
        <f t="shared" si="4"/>
        <v>140941635.90000001</v>
      </c>
      <c r="U27" s="448">
        <f t="shared" si="4"/>
        <v>4193051.07</v>
      </c>
      <c r="V27" s="448">
        <f t="shared" si="4"/>
        <v>2771920.8399999966</v>
      </c>
      <c r="W27" s="448">
        <f t="shared" si="4"/>
        <v>283553736.93999994</v>
      </c>
      <c r="X27" s="224" t="b">
        <f>+K27=W27</f>
        <v>1</v>
      </c>
      <c r="Y27" s="655">
        <f>+K27-W27</f>
        <v>0</v>
      </c>
    </row>
    <row r="28" spans="1:25" s="142" customFormat="1">
      <c r="A28" s="221">
        <v>14</v>
      </c>
      <c r="C28" s="236"/>
      <c r="D28" s="221"/>
      <c r="E28" s="140"/>
      <c r="F28" s="140"/>
      <c r="G28" s="140"/>
      <c r="H28" s="140"/>
      <c r="I28" s="140"/>
      <c r="J28" s="227"/>
      <c r="K28" s="140"/>
      <c r="L28" s="140"/>
      <c r="M28" s="221"/>
      <c r="N28" s="410"/>
      <c r="O28" s="410"/>
      <c r="P28" s="410"/>
      <c r="Q28" s="410"/>
      <c r="R28" s="410"/>
      <c r="S28" s="410"/>
      <c r="T28" s="410"/>
      <c r="U28" s="410"/>
      <c r="V28" s="410"/>
      <c r="W28" s="410"/>
      <c r="X28" s="224"/>
      <c r="Y28" s="655"/>
    </row>
    <row r="29" spans="1:25" s="142" customFormat="1">
      <c r="A29" s="221">
        <v>15</v>
      </c>
      <c r="B29" s="188" t="s">
        <v>392</v>
      </c>
      <c r="D29" s="221"/>
      <c r="E29" s="140"/>
      <c r="F29" s="140"/>
      <c r="G29" s="140"/>
      <c r="H29" s="140"/>
      <c r="I29" s="140"/>
      <c r="J29" s="227"/>
      <c r="K29" s="228"/>
      <c r="L29" s="140"/>
      <c r="M29" s="221"/>
      <c r="N29" s="410"/>
      <c r="O29" s="410"/>
      <c r="P29" s="410"/>
      <c r="Q29" s="410"/>
      <c r="R29" s="410"/>
      <c r="S29" s="410"/>
      <c r="T29" s="410"/>
      <c r="U29" s="410"/>
      <c r="V29" s="410"/>
      <c r="W29" s="410"/>
      <c r="X29" s="224"/>
      <c r="Y29" s="655"/>
    </row>
    <row r="30" spans="1:25" s="142" customFormat="1">
      <c r="A30" s="221">
        <v>16</v>
      </c>
      <c r="C30" s="235" t="s">
        <v>47</v>
      </c>
      <c r="D30" s="166" t="s">
        <v>558</v>
      </c>
      <c r="E30" s="447">
        <v>31866850.189999998</v>
      </c>
      <c r="F30" s="447">
        <v>0</v>
      </c>
      <c r="G30" s="447">
        <f>+E30+F30</f>
        <v>31866850.189999998</v>
      </c>
      <c r="H30" s="447">
        <f>+I30-G30</f>
        <v>6416796.8100000024</v>
      </c>
      <c r="I30" s="447">
        <f>+'[1]TGMT (WP3)'!$D$28</f>
        <v>38283647</v>
      </c>
      <c r="J30" s="227">
        <v>1</v>
      </c>
      <c r="K30" s="447">
        <f>ROUND(+I30*J30,2)</f>
        <v>38283647</v>
      </c>
      <c r="L30" s="228"/>
      <c r="M30" s="221" t="s">
        <v>387</v>
      </c>
      <c r="N30" s="447">
        <f>+'[1]TGMT (WP3)'!E$28</f>
        <v>6129510.8200000003</v>
      </c>
      <c r="O30" s="447">
        <f>+'[1]TGMT (WP3)'!F$28</f>
        <v>520027.59</v>
      </c>
      <c r="P30" s="447">
        <f>+'[1]TGMT (WP3)'!G$28</f>
        <v>10989.64</v>
      </c>
      <c r="Q30" s="447">
        <f>+'[1]TGMT (WP3)'!H$28</f>
        <v>6660528.0499999998</v>
      </c>
      <c r="R30" s="447">
        <f>+'[1]TGMT (WP3)'!I$28</f>
        <v>29832300.199999999</v>
      </c>
      <c r="S30" s="447">
        <f>+'[1]TGMT (WP3)'!J$28</f>
        <v>0</v>
      </c>
      <c r="T30" s="447">
        <f>+'[1]TGMT (WP3)'!K$28</f>
        <v>29832300.199999999</v>
      </c>
      <c r="U30" s="447">
        <f>+'[1]TGMT (WP3)'!L$28</f>
        <v>1151630.57</v>
      </c>
      <c r="V30" s="447">
        <f>+'[1]TGMT (WP3)'!M$28</f>
        <v>639188.18000000005</v>
      </c>
      <c r="W30" s="447">
        <f>+V30+U30+T30+Q30</f>
        <v>38283647</v>
      </c>
      <c r="X30" s="224" t="b">
        <f>+K30=W30</f>
        <v>1</v>
      </c>
      <c r="Y30" s="655">
        <f>+K30-W30</f>
        <v>0</v>
      </c>
    </row>
    <row r="31" spans="1:25" s="142" customFormat="1">
      <c r="A31" s="221">
        <v>17</v>
      </c>
      <c r="C31" s="235" t="s">
        <v>333</v>
      </c>
      <c r="D31" s="166" t="s">
        <v>559</v>
      </c>
      <c r="E31" s="410">
        <v>294946844.52999997</v>
      </c>
      <c r="F31" s="410">
        <v>0</v>
      </c>
      <c r="G31" s="410">
        <f>+E31+F31</f>
        <v>294946844.52999997</v>
      </c>
      <c r="H31" s="410">
        <f>+I31-G31</f>
        <v>5095040.4200000167</v>
      </c>
      <c r="I31" s="410">
        <f>+'[1]LGR - kWh (WP6)'!$D$44</f>
        <v>300041884.94999999</v>
      </c>
      <c r="J31" s="227">
        <v>1</v>
      </c>
      <c r="K31" s="228">
        <f>ROUND(+I31*J31,2)</f>
        <v>300041884.94999999</v>
      </c>
      <c r="L31" s="140"/>
      <c r="M31" s="221" t="s">
        <v>387</v>
      </c>
      <c r="N31" s="410">
        <v>0</v>
      </c>
      <c r="O31" s="410">
        <v>0</v>
      </c>
      <c r="P31" s="410">
        <v>0</v>
      </c>
      <c r="Q31" s="410">
        <f>SUM(N31:P31)</f>
        <v>0</v>
      </c>
      <c r="R31" s="410">
        <f>+K31</f>
        <v>300041884.94999999</v>
      </c>
      <c r="S31" s="410">
        <v>0</v>
      </c>
      <c r="T31" s="410">
        <f>SUM(R31:S31)</f>
        <v>300041884.94999999</v>
      </c>
      <c r="U31" s="410">
        <v>0</v>
      </c>
      <c r="V31" s="410">
        <v>0</v>
      </c>
      <c r="W31" s="410">
        <f t="shared" ref="W31:W32" si="5">+Q31+T31+U31+V31</f>
        <v>300041884.94999999</v>
      </c>
      <c r="X31" s="224" t="b">
        <f>+K31=W31</f>
        <v>1</v>
      </c>
      <c r="Y31" s="655">
        <f>+K31-W31</f>
        <v>0</v>
      </c>
    </row>
    <row r="32" spans="1:25" s="142" customFormat="1">
      <c r="A32" s="221">
        <v>18</v>
      </c>
      <c r="C32" s="235" t="s">
        <v>1265</v>
      </c>
      <c r="D32" s="166"/>
      <c r="E32" s="410">
        <v>300</v>
      </c>
      <c r="F32" s="410">
        <v>0</v>
      </c>
      <c r="G32" s="410">
        <f>+E32+F32</f>
        <v>300</v>
      </c>
      <c r="H32" s="410">
        <v>1500</v>
      </c>
      <c r="I32" s="410">
        <f>+G32+H32</f>
        <v>1800</v>
      </c>
      <c r="J32" s="227">
        <v>1</v>
      </c>
      <c r="K32" s="228">
        <f>ROUND(+I32*J32,2)</f>
        <v>1800</v>
      </c>
      <c r="L32" s="375"/>
      <c r="M32" s="221" t="s">
        <v>387</v>
      </c>
      <c r="N32" s="410">
        <f>ROUND(300*'[5]II-F Alloc_Factor'!E$38,2)</f>
        <v>136.37</v>
      </c>
      <c r="O32" s="410">
        <v>1200</v>
      </c>
      <c r="P32" s="410">
        <f>ROUND(300*'[5]II-F Alloc_Factor'!G$38,2)</f>
        <v>0.12</v>
      </c>
      <c r="Q32" s="410">
        <f>SUM(N32:P32)</f>
        <v>1336.4899999999998</v>
      </c>
      <c r="R32" s="410">
        <f>ROUND(300*'[5]II-F Alloc_Factor'!I$38,2)</f>
        <v>155.75</v>
      </c>
      <c r="S32" s="410">
        <f>ROUND(300*'[5]II-F Alloc_Factor'!J$38,2)</f>
        <v>0</v>
      </c>
      <c r="T32" s="410">
        <f>SUM(R32:S32)</f>
        <v>155.75</v>
      </c>
      <c r="U32" s="410">
        <f>ROUND(300*'[5]II-F Alloc_Factor'!L$38,2)</f>
        <v>4.67</v>
      </c>
      <c r="V32" s="410">
        <f>ROUND(300*'[5]II-F Alloc_Factor'!M$38,2)+300</f>
        <v>303.08999999999997</v>
      </c>
      <c r="W32" s="410">
        <f t="shared" si="5"/>
        <v>1799.9999999999998</v>
      </c>
      <c r="X32" s="224" t="b">
        <f>+K32=W32</f>
        <v>1</v>
      </c>
      <c r="Y32" s="655">
        <f>+K32-W32</f>
        <v>0</v>
      </c>
    </row>
    <row r="33" spans="1:25" s="142" customFormat="1">
      <c r="A33" s="221">
        <v>19</v>
      </c>
      <c r="C33" s="235"/>
      <c r="D33" s="221"/>
      <c r="E33" s="232"/>
      <c r="F33" s="232"/>
      <c r="G33" s="232"/>
      <c r="H33" s="232"/>
      <c r="I33" s="232"/>
      <c r="J33" s="227"/>
      <c r="K33" s="232"/>
      <c r="L33" s="140"/>
      <c r="M33" s="221"/>
      <c r="N33" s="411"/>
      <c r="O33" s="411"/>
      <c r="P33" s="411"/>
      <c r="Q33" s="411"/>
      <c r="R33" s="411"/>
      <c r="S33" s="411"/>
      <c r="T33" s="411"/>
      <c r="U33" s="411"/>
      <c r="V33" s="411"/>
      <c r="W33" s="411"/>
      <c r="X33" s="224"/>
      <c r="Y33" s="655"/>
    </row>
    <row r="34" spans="1:25" s="188" customFormat="1">
      <c r="A34" s="221">
        <v>20</v>
      </c>
      <c r="C34" s="233" t="s">
        <v>1339</v>
      </c>
      <c r="D34" s="166"/>
      <c r="E34" s="448">
        <f>SUM(E30:E32)</f>
        <v>326813994.71999997</v>
      </c>
      <c r="F34" s="448">
        <f>SUM(F30:F32)</f>
        <v>0</v>
      </c>
      <c r="G34" s="448">
        <f>SUM(G30:G32)</f>
        <v>326813994.71999997</v>
      </c>
      <c r="H34" s="448">
        <f>SUM(H30:H32)</f>
        <v>11513337.230000019</v>
      </c>
      <c r="I34" s="448">
        <f>SUM(I30:I32)</f>
        <v>338327331.94999999</v>
      </c>
      <c r="J34" s="234"/>
      <c r="K34" s="448">
        <f>SUM(K30:K32)</f>
        <v>338327331.94999999</v>
      </c>
      <c r="L34" s="195"/>
      <c r="M34" s="166"/>
      <c r="N34" s="448">
        <f t="shared" ref="N34:W34" si="6">SUM(N30:N32)</f>
        <v>6129647.1900000004</v>
      </c>
      <c r="O34" s="448">
        <f t="shared" si="6"/>
        <v>521227.59</v>
      </c>
      <c r="P34" s="448">
        <f t="shared" si="6"/>
        <v>10989.76</v>
      </c>
      <c r="Q34" s="448">
        <f t="shared" si="6"/>
        <v>6661864.54</v>
      </c>
      <c r="R34" s="448">
        <f t="shared" si="6"/>
        <v>329874340.89999998</v>
      </c>
      <c r="S34" s="448">
        <f t="shared" si="6"/>
        <v>0</v>
      </c>
      <c r="T34" s="448">
        <f t="shared" si="6"/>
        <v>329874340.89999998</v>
      </c>
      <c r="U34" s="448">
        <f t="shared" si="6"/>
        <v>1151635.24</v>
      </c>
      <c r="V34" s="448">
        <f t="shared" si="6"/>
        <v>639491.27</v>
      </c>
      <c r="W34" s="448">
        <f t="shared" si="6"/>
        <v>338327331.94999999</v>
      </c>
      <c r="X34" s="224" t="b">
        <f>+K34=W34</f>
        <v>1</v>
      </c>
      <c r="Y34" s="655">
        <f>+K34-W34</f>
        <v>0</v>
      </c>
    </row>
    <row r="35" spans="1:25" s="142" customFormat="1">
      <c r="A35" s="221">
        <v>21</v>
      </c>
      <c r="D35" s="221"/>
      <c r="E35" s="140"/>
      <c r="F35" s="140"/>
      <c r="G35" s="140"/>
      <c r="H35" s="140"/>
      <c r="I35" s="140"/>
      <c r="J35" s="227"/>
      <c r="K35" s="140"/>
      <c r="L35" s="140"/>
      <c r="M35" s="221"/>
      <c r="N35" s="448"/>
      <c r="O35" s="448"/>
      <c r="P35" s="448"/>
      <c r="Q35" s="448"/>
      <c r="R35" s="448"/>
      <c r="S35" s="448"/>
      <c r="T35" s="448"/>
      <c r="U35" s="448"/>
      <c r="V35" s="448"/>
      <c r="W35" s="448"/>
      <c r="X35" s="224"/>
      <c r="Y35" s="655"/>
    </row>
    <row r="36" spans="1:25" s="188" customFormat="1">
      <c r="A36" s="221">
        <v>22</v>
      </c>
      <c r="B36" s="188" t="s">
        <v>214</v>
      </c>
      <c r="D36" s="16"/>
      <c r="E36" s="448">
        <f>ROUND(+E22+E27+E34,2)</f>
        <v>602990546.21000004</v>
      </c>
      <c r="F36" s="448">
        <f>ROUND(+F22+F27+F34,2)</f>
        <v>0</v>
      </c>
      <c r="G36" s="448">
        <f>ROUND(+G22+G27+G34,2)</f>
        <v>602990546.21000004</v>
      </c>
      <c r="H36" s="448">
        <f>ROUND(+H22+H27+H34,2)</f>
        <v>40120343.340000004</v>
      </c>
      <c r="I36" s="448">
        <f>ROUND(+I22+I27+I34,2)</f>
        <v>643110889.54999995</v>
      </c>
      <c r="J36" s="234"/>
      <c r="K36" s="448">
        <f>ROUND(+K22+K27+K34,2)</f>
        <v>643110889.54999995</v>
      </c>
      <c r="L36" s="195"/>
      <c r="M36" s="195"/>
      <c r="N36" s="448">
        <f>ROUND(+N22+N27+N34,2)</f>
        <v>133395590.33</v>
      </c>
      <c r="O36" s="448">
        <f>ROUND(+O22+O27+O34,2)</f>
        <v>13570049.27</v>
      </c>
      <c r="P36" s="448">
        <f>ROUND(+P22+P27+P34,2)</f>
        <v>116226.7</v>
      </c>
      <c r="Q36" s="448">
        <f t="shared" ref="Q36:W36" si="7">ROUND(+Q22+Q27+Q34,2)</f>
        <v>147081866.30000001</v>
      </c>
      <c r="R36" s="448">
        <f t="shared" si="7"/>
        <v>482520278.13999999</v>
      </c>
      <c r="S36" s="448">
        <f t="shared" si="7"/>
        <v>1042263.83</v>
      </c>
      <c r="T36" s="448">
        <f t="shared" si="7"/>
        <v>483562541.97000003</v>
      </c>
      <c r="U36" s="448">
        <f t="shared" si="7"/>
        <v>8908968.5600000005</v>
      </c>
      <c r="V36" s="448">
        <f t="shared" si="7"/>
        <v>3557512.72</v>
      </c>
      <c r="W36" s="448">
        <f t="shared" si="7"/>
        <v>643110889.54999995</v>
      </c>
      <c r="X36" s="224" t="b">
        <f>+K36=W36</f>
        <v>1</v>
      </c>
      <c r="Y36" s="655">
        <f>+K36-W36</f>
        <v>0</v>
      </c>
    </row>
    <row r="37" spans="1:25" s="142" customFormat="1">
      <c r="A37" s="221"/>
      <c r="B37" s="188"/>
      <c r="D37" s="221"/>
      <c r="E37" s="140"/>
      <c r="F37" s="140"/>
      <c r="G37" s="140"/>
      <c r="H37" s="140"/>
      <c r="I37" s="140"/>
      <c r="J37" s="140"/>
      <c r="K37" s="221"/>
      <c r="L37" s="140"/>
      <c r="M37" s="221"/>
      <c r="N37" s="140"/>
      <c r="O37" s="375"/>
      <c r="P37" s="375"/>
      <c r="Q37" s="375"/>
      <c r="R37" s="140"/>
      <c r="S37" s="375"/>
      <c r="T37" s="375"/>
      <c r="U37" s="140"/>
      <c r="V37" s="375"/>
      <c r="W37" s="140"/>
      <c r="X37" s="224"/>
      <c r="Y37" s="655"/>
    </row>
    <row r="38" spans="1:25" s="199" customFormat="1" ht="12.75" customHeight="1">
      <c r="C38" s="17"/>
      <c r="D38" s="18"/>
      <c r="E38" s="18"/>
      <c r="F38" s="18"/>
      <c r="G38" s="18"/>
      <c r="H38" s="18"/>
      <c r="I38" s="18"/>
      <c r="J38" s="18"/>
      <c r="K38" s="19"/>
      <c r="L38" s="18"/>
      <c r="M38" s="19"/>
      <c r="N38" s="18"/>
      <c r="O38" s="18"/>
      <c r="P38" s="18"/>
      <c r="Q38" s="18"/>
      <c r="R38" s="18"/>
      <c r="S38" s="18"/>
      <c r="T38" s="18"/>
      <c r="U38" s="18"/>
      <c r="V38" s="18"/>
      <c r="W38" s="18"/>
      <c r="X38" s="95"/>
      <c r="Y38" s="652"/>
    </row>
    <row r="39" spans="1:25" s="169" customFormat="1" ht="12.75" customHeight="1">
      <c r="D39" s="243"/>
      <c r="E39" s="243"/>
      <c r="F39" s="243"/>
      <c r="G39" s="243"/>
      <c r="H39" s="243"/>
      <c r="I39" s="243"/>
      <c r="J39" s="243"/>
      <c r="K39" s="861"/>
      <c r="L39" s="243"/>
      <c r="M39" s="206"/>
      <c r="N39" s="243"/>
      <c r="O39" s="243"/>
      <c r="P39" s="243"/>
      <c r="Q39" s="243"/>
      <c r="R39" s="243"/>
      <c r="S39" s="243"/>
      <c r="T39" s="243"/>
      <c r="U39" s="243"/>
      <c r="V39" s="243"/>
      <c r="X39" s="219"/>
      <c r="Y39" s="653"/>
    </row>
    <row r="40" spans="1:25" s="199" customFormat="1" ht="12.75" customHeight="1">
      <c r="C40" s="76"/>
      <c r="D40" s="18"/>
      <c r="E40" s="18"/>
      <c r="F40" s="77"/>
      <c r="G40" s="18"/>
      <c r="H40" s="18"/>
      <c r="I40" s="18"/>
      <c r="J40" s="18"/>
      <c r="K40" s="627"/>
      <c r="L40" s="18"/>
      <c r="M40" s="78"/>
      <c r="N40" s="627"/>
      <c r="O40" s="627"/>
      <c r="P40" s="627"/>
      <c r="Q40" s="627"/>
      <c r="R40" s="627"/>
      <c r="S40" s="627"/>
      <c r="T40" s="627"/>
      <c r="U40" s="627"/>
      <c r="V40" s="627"/>
      <c r="W40" s="627"/>
      <c r="X40" s="95"/>
      <c r="Y40" s="652"/>
    </row>
    <row r="41" spans="1:25" s="169" customFormat="1" ht="12.75" customHeight="1">
      <c r="D41" s="79"/>
      <c r="E41" s="243"/>
      <c r="F41" s="243"/>
      <c r="G41" s="243"/>
      <c r="H41" s="243"/>
      <c r="I41" s="243"/>
      <c r="J41" s="243"/>
      <c r="K41" s="628"/>
      <c r="L41" s="243"/>
      <c r="M41" s="206"/>
      <c r="N41" s="628"/>
      <c r="O41" s="628"/>
      <c r="P41" s="628"/>
      <c r="Q41" s="628"/>
      <c r="R41" s="628"/>
      <c r="S41" s="628"/>
      <c r="T41" s="628"/>
      <c r="U41" s="628"/>
      <c r="V41" s="628"/>
      <c r="W41" s="628"/>
      <c r="X41" s="219"/>
      <c r="Y41" s="653"/>
    </row>
    <row r="42" spans="1:25" s="169" customFormat="1" ht="12.75" customHeight="1">
      <c r="D42" s="79"/>
      <c r="E42" s="243"/>
      <c r="F42" s="243"/>
      <c r="G42" s="243"/>
      <c r="H42" s="243"/>
      <c r="I42" s="243"/>
      <c r="J42" s="243"/>
      <c r="K42" s="628"/>
      <c r="L42" s="243"/>
      <c r="M42" s="206"/>
      <c r="N42" s="628"/>
      <c r="O42" s="628"/>
      <c r="P42" s="628"/>
      <c r="Q42" s="628"/>
      <c r="R42" s="628"/>
      <c r="S42" s="628"/>
      <c r="T42" s="628"/>
      <c r="U42" s="628"/>
      <c r="V42" s="628"/>
      <c r="W42" s="628"/>
      <c r="X42" s="219"/>
      <c r="Y42" s="653"/>
    </row>
    <row r="43" spans="1:25" s="169" customFormat="1" ht="12.75" customHeight="1">
      <c r="D43" s="79"/>
      <c r="E43" s="243"/>
      <c r="F43" s="243"/>
      <c r="G43" s="243"/>
      <c r="H43" s="243"/>
      <c r="I43" s="243"/>
      <c r="J43" s="243"/>
      <c r="K43" s="628"/>
      <c r="L43" s="243"/>
      <c r="M43" s="206"/>
      <c r="N43" s="628"/>
      <c r="O43" s="628"/>
      <c r="P43" s="628"/>
      <c r="Q43" s="628"/>
      <c r="R43" s="628"/>
      <c r="S43" s="628"/>
      <c r="T43" s="628"/>
      <c r="U43" s="628"/>
      <c r="V43" s="628"/>
      <c r="W43" s="628"/>
      <c r="X43" s="219"/>
      <c r="Y43" s="653"/>
    </row>
    <row r="44" spans="1:25" s="169" customFormat="1" ht="12.75" customHeight="1">
      <c r="D44" s="79"/>
      <c r="E44" s="243"/>
      <c r="F44" s="243"/>
      <c r="G44" s="243"/>
      <c r="H44" s="243"/>
      <c r="I44" s="243"/>
      <c r="J44" s="243"/>
      <c r="K44" s="628"/>
      <c r="L44" s="243"/>
      <c r="M44" s="206"/>
      <c r="N44" s="628"/>
      <c r="O44" s="628"/>
      <c r="P44" s="628"/>
      <c r="Q44" s="628"/>
      <c r="R44" s="628"/>
      <c r="S44" s="628"/>
      <c r="T44" s="628"/>
      <c r="U44" s="628"/>
      <c r="V44" s="628"/>
      <c r="W44" s="628"/>
      <c r="X44" s="219"/>
      <c r="Y44" s="653"/>
    </row>
    <row r="45" spans="1:25" s="169" customFormat="1" ht="12.75" customHeight="1">
      <c r="D45" s="79"/>
      <c r="E45" s="243"/>
      <c r="F45" s="243"/>
      <c r="G45" s="243"/>
      <c r="H45" s="243"/>
      <c r="I45" s="243"/>
      <c r="J45" s="243"/>
      <c r="K45" s="206"/>
      <c r="L45" s="243"/>
      <c r="M45" s="206"/>
      <c r="N45" s="243"/>
      <c r="O45" s="243"/>
      <c r="P45" s="243"/>
      <c r="Q45" s="243"/>
      <c r="R45" s="244"/>
      <c r="S45" s="244"/>
      <c r="T45" s="244"/>
      <c r="U45" s="244"/>
      <c r="V45" s="244"/>
      <c r="W45" s="244"/>
      <c r="X45" s="219"/>
      <c r="Y45" s="653"/>
    </row>
    <row r="46" spans="1:25" s="169" customFormat="1" ht="12.75" customHeight="1">
      <c r="D46" s="79"/>
      <c r="E46" s="243"/>
      <c r="F46" s="243"/>
      <c r="G46" s="243"/>
      <c r="H46" s="243"/>
      <c r="I46" s="243"/>
      <c r="J46" s="243"/>
      <c r="K46" s="206"/>
      <c r="L46" s="243"/>
      <c r="M46" s="206"/>
      <c r="N46" s="243"/>
      <c r="O46" s="243"/>
      <c r="P46" s="243"/>
      <c r="Q46" s="243"/>
      <c r="R46" s="244"/>
      <c r="S46" s="244"/>
      <c r="T46" s="244"/>
      <c r="U46" s="244"/>
      <c r="V46" s="244"/>
      <c r="W46" s="244"/>
      <c r="X46" s="219"/>
      <c r="Y46" s="653"/>
    </row>
    <row r="47" spans="1:25" s="169" customFormat="1" ht="12.75" customHeight="1">
      <c r="D47" s="79"/>
      <c r="E47" s="243"/>
      <c r="F47" s="243"/>
      <c r="G47" s="243"/>
      <c r="H47" s="243"/>
      <c r="I47" s="243"/>
      <c r="J47" s="243"/>
      <c r="K47" s="206"/>
      <c r="L47" s="243"/>
      <c r="M47" s="206"/>
      <c r="N47" s="243"/>
      <c r="O47" s="243"/>
      <c r="P47" s="243"/>
      <c r="Q47" s="243"/>
      <c r="R47" s="140"/>
      <c r="S47" s="375"/>
      <c r="T47" s="375"/>
      <c r="U47" s="140"/>
      <c r="V47" s="375"/>
      <c r="W47" s="140"/>
      <c r="X47" s="219"/>
      <c r="Y47" s="653"/>
    </row>
    <row r="48" spans="1:25" s="169" customFormat="1" ht="12.75" customHeight="1">
      <c r="D48" s="79"/>
      <c r="E48" s="243"/>
      <c r="F48" s="243"/>
      <c r="G48" s="243"/>
      <c r="H48" s="243"/>
      <c r="I48" s="243"/>
      <c r="J48" s="243"/>
      <c r="K48" s="206"/>
      <c r="L48" s="243"/>
      <c r="M48" s="206"/>
      <c r="N48" s="243"/>
      <c r="O48" s="243"/>
      <c r="P48" s="243"/>
      <c r="Q48" s="243"/>
      <c r="R48" s="244"/>
      <c r="S48" s="244"/>
      <c r="T48" s="244"/>
      <c r="U48" s="244"/>
      <c r="V48" s="244"/>
      <c r="W48" s="244"/>
      <c r="X48" s="219"/>
      <c r="Y48" s="653"/>
    </row>
    <row r="49" spans="2:25" s="169" customFormat="1" ht="12.75" customHeight="1">
      <c r="D49" s="79"/>
      <c r="E49" s="243"/>
      <c r="F49" s="243"/>
      <c r="G49" s="243"/>
      <c r="H49" s="243"/>
      <c r="I49" s="243"/>
      <c r="J49" s="243"/>
      <c r="K49" s="206"/>
      <c r="L49" s="243"/>
      <c r="M49" s="206"/>
      <c r="N49" s="243"/>
      <c r="O49" s="243"/>
      <c r="P49" s="243"/>
      <c r="Q49" s="243"/>
      <c r="R49" s="244"/>
      <c r="S49" s="244"/>
      <c r="T49" s="244"/>
      <c r="U49" s="244"/>
      <c r="V49" s="244"/>
      <c r="W49" s="244"/>
      <c r="X49" s="219"/>
      <c r="Y49" s="653"/>
    </row>
    <row r="50" spans="2:25" s="169" customFormat="1" ht="12.75" customHeight="1">
      <c r="D50" s="79"/>
      <c r="E50" s="243"/>
      <c r="F50" s="243"/>
      <c r="G50" s="243"/>
      <c r="H50" s="243"/>
      <c r="I50" s="243"/>
      <c r="J50" s="243"/>
      <c r="K50" s="206"/>
      <c r="L50" s="243"/>
      <c r="M50" s="206"/>
      <c r="N50" s="243"/>
      <c r="O50" s="243"/>
      <c r="P50" s="243"/>
      <c r="Q50" s="243"/>
      <c r="R50" s="244"/>
      <c r="S50" s="244"/>
      <c r="T50" s="244"/>
      <c r="U50" s="244"/>
      <c r="V50" s="244"/>
      <c r="W50" s="244"/>
      <c r="X50" s="219"/>
      <c r="Y50" s="653"/>
    </row>
    <row r="51" spans="2:25" s="199" customFormat="1" ht="12.75" customHeight="1">
      <c r="C51" s="17"/>
      <c r="D51" s="77"/>
      <c r="E51" s="18"/>
      <c r="F51" s="18"/>
      <c r="G51" s="18"/>
      <c r="H51" s="18"/>
      <c r="I51" s="18"/>
      <c r="J51" s="18"/>
      <c r="K51" s="78"/>
      <c r="L51" s="18"/>
      <c r="M51" s="19"/>
      <c r="N51" s="18"/>
      <c r="O51" s="18"/>
      <c r="P51" s="18"/>
      <c r="Q51" s="18"/>
      <c r="R51" s="18"/>
      <c r="S51" s="18"/>
      <c r="T51" s="18"/>
      <c r="U51" s="18"/>
      <c r="V51" s="18"/>
      <c r="W51" s="18"/>
      <c r="X51" s="219"/>
      <c r="Y51" s="652"/>
    </row>
    <row r="52" spans="2:25" s="169" customFormat="1" ht="12.75" customHeight="1">
      <c r="C52" s="20"/>
      <c r="D52" s="79"/>
      <c r="E52" s="243"/>
      <c r="F52" s="243"/>
      <c r="G52" s="243"/>
      <c r="H52" s="243"/>
      <c r="I52" s="243"/>
      <c r="J52" s="243"/>
      <c r="K52" s="80"/>
      <c r="L52" s="243"/>
      <c r="M52" s="206"/>
      <c r="N52" s="243"/>
      <c r="O52" s="243"/>
      <c r="P52" s="243"/>
      <c r="Q52" s="243"/>
      <c r="R52" s="243"/>
      <c r="S52" s="243"/>
      <c r="T52" s="243"/>
      <c r="U52" s="243"/>
      <c r="V52" s="243"/>
      <c r="X52" s="219"/>
      <c r="Y52" s="653"/>
    </row>
    <row r="53" spans="2:25" s="199" customFormat="1" ht="12.75" customHeight="1">
      <c r="B53" s="21"/>
      <c r="D53" s="77"/>
      <c r="E53" s="18"/>
      <c r="F53" s="18"/>
      <c r="G53" s="18"/>
      <c r="H53" s="18"/>
      <c r="I53" s="18"/>
      <c r="J53" s="18"/>
      <c r="K53" s="78"/>
      <c r="L53" s="18"/>
      <c r="M53" s="19"/>
      <c r="N53" s="18"/>
      <c r="O53" s="18"/>
      <c r="P53" s="18"/>
      <c r="Q53" s="18"/>
      <c r="R53" s="18"/>
      <c r="S53" s="18"/>
      <c r="T53" s="18"/>
      <c r="U53" s="18"/>
      <c r="V53" s="18"/>
      <c r="W53" s="18"/>
      <c r="X53" s="219"/>
      <c r="Y53" s="652"/>
    </row>
    <row r="54" spans="2:25" s="169" customFormat="1" ht="12.75" customHeight="1">
      <c r="C54" s="17"/>
      <c r="D54" s="79"/>
      <c r="E54" s="243"/>
      <c r="F54" s="243"/>
      <c r="G54" s="243"/>
      <c r="H54" s="243"/>
      <c r="I54" s="243"/>
      <c r="J54" s="243"/>
      <c r="K54" s="80"/>
      <c r="L54" s="243"/>
      <c r="M54" s="19"/>
      <c r="N54" s="243"/>
      <c r="O54" s="243"/>
      <c r="P54" s="243"/>
      <c r="Q54" s="243"/>
      <c r="R54" s="243"/>
      <c r="S54" s="243"/>
      <c r="T54" s="243"/>
      <c r="U54" s="243"/>
      <c r="V54" s="243"/>
      <c r="W54" s="243"/>
      <c r="X54" s="219"/>
      <c r="Y54" s="653"/>
    </row>
    <row r="55" spans="2:25" s="199" customFormat="1" ht="12.75" customHeight="1">
      <c r="C55" s="17"/>
      <c r="D55" s="18"/>
      <c r="E55" s="18"/>
      <c r="F55" s="18"/>
      <c r="G55" s="18"/>
      <c r="H55" s="18"/>
      <c r="I55" s="18"/>
      <c r="J55" s="18"/>
      <c r="K55" s="78"/>
      <c r="L55" s="18"/>
      <c r="M55" s="19"/>
      <c r="N55" s="18"/>
      <c r="O55" s="18"/>
      <c r="P55" s="18"/>
      <c r="Q55" s="18"/>
      <c r="R55" s="18"/>
      <c r="S55" s="18"/>
      <c r="T55" s="18"/>
      <c r="U55" s="18"/>
      <c r="V55" s="18"/>
      <c r="W55" s="18"/>
      <c r="X55" s="95"/>
      <c r="Y55" s="652"/>
    </row>
    <row r="56" spans="2:25" s="199" customFormat="1" ht="12.75" customHeight="1">
      <c r="C56" s="17"/>
      <c r="D56" s="77"/>
      <c r="E56" s="18"/>
      <c r="F56" s="18"/>
      <c r="G56" s="18"/>
      <c r="H56" s="18"/>
      <c r="I56" s="18"/>
      <c r="J56" s="18"/>
      <c r="K56" s="78"/>
      <c r="L56" s="18"/>
      <c r="M56" s="19"/>
      <c r="N56" s="18"/>
      <c r="O56" s="18"/>
      <c r="P56" s="18"/>
      <c r="Q56" s="18"/>
      <c r="R56" s="18"/>
      <c r="S56" s="18"/>
      <c r="T56" s="18"/>
      <c r="U56" s="18"/>
      <c r="V56" s="18"/>
      <c r="X56" s="95"/>
      <c r="Y56" s="652"/>
    </row>
    <row r="57" spans="2:25" s="199" customFormat="1" ht="12.75" customHeight="1">
      <c r="C57" s="17"/>
      <c r="D57" s="18"/>
      <c r="E57" s="18"/>
      <c r="F57" s="18"/>
      <c r="G57" s="18"/>
      <c r="H57" s="18"/>
      <c r="I57" s="18"/>
      <c r="J57" s="18"/>
      <c r="K57" s="78"/>
      <c r="L57" s="18"/>
      <c r="M57" s="19"/>
      <c r="N57" s="18"/>
      <c r="O57" s="18"/>
      <c r="P57" s="18"/>
      <c r="Q57" s="18"/>
      <c r="R57" s="22"/>
      <c r="S57" s="22"/>
      <c r="T57" s="22"/>
      <c r="U57" s="22"/>
      <c r="V57" s="22"/>
      <c r="W57" s="22"/>
      <c r="X57" s="95"/>
      <c r="Y57" s="652"/>
    </row>
    <row r="58" spans="2:25" s="199" customFormat="1" ht="12.75" customHeight="1">
      <c r="C58" s="17"/>
      <c r="D58" s="77"/>
      <c r="E58" s="18"/>
      <c r="F58" s="18"/>
      <c r="G58" s="18"/>
      <c r="H58" s="18"/>
      <c r="I58" s="18"/>
      <c r="J58" s="18"/>
      <c r="K58" s="78"/>
      <c r="L58" s="18"/>
      <c r="M58" s="19"/>
      <c r="N58" s="18"/>
      <c r="O58" s="18"/>
      <c r="P58" s="18"/>
      <c r="Q58" s="18"/>
      <c r="R58" s="18"/>
      <c r="S58" s="18"/>
      <c r="T58" s="18"/>
      <c r="U58" s="18"/>
      <c r="V58" s="18"/>
      <c r="X58" s="95"/>
      <c r="Y58" s="652"/>
    </row>
    <row r="59" spans="2:25" s="199" customFormat="1" ht="12.75" customHeight="1">
      <c r="B59" s="23"/>
      <c r="C59" s="17"/>
      <c r="D59" s="77"/>
      <c r="E59" s="18"/>
      <c r="F59" s="18"/>
      <c r="G59" s="18"/>
      <c r="H59" s="18"/>
      <c r="I59" s="18"/>
      <c r="J59" s="18"/>
      <c r="K59" s="78"/>
      <c r="L59" s="18"/>
      <c r="M59" s="19"/>
      <c r="N59" s="18"/>
      <c r="O59" s="18"/>
      <c r="P59" s="18"/>
      <c r="Q59" s="18"/>
      <c r="R59" s="18"/>
      <c r="S59" s="18"/>
      <c r="T59" s="18"/>
      <c r="U59" s="18"/>
      <c r="V59" s="18"/>
      <c r="W59" s="18"/>
      <c r="X59" s="95"/>
      <c r="Y59" s="652"/>
    </row>
    <row r="60" spans="2:25" s="169" customFormat="1" ht="12.75" customHeight="1">
      <c r="C60" s="17"/>
      <c r="D60" s="79"/>
      <c r="E60" s="243"/>
      <c r="F60" s="243"/>
      <c r="G60" s="243"/>
      <c r="H60" s="243"/>
      <c r="I60" s="243"/>
      <c r="J60" s="243"/>
      <c r="K60" s="80"/>
      <c r="L60" s="243"/>
      <c r="M60" s="19"/>
      <c r="N60" s="243"/>
      <c r="O60" s="243"/>
      <c r="P60" s="243"/>
      <c r="Q60" s="243"/>
      <c r="R60" s="243"/>
      <c r="S60" s="243"/>
      <c r="T60" s="243"/>
      <c r="U60" s="243"/>
      <c r="V60" s="243"/>
      <c r="X60" s="219"/>
      <c r="Y60" s="653"/>
    </row>
    <row r="61" spans="2:25" s="169" customFormat="1" ht="12.75" customHeight="1">
      <c r="C61" s="17"/>
      <c r="D61" s="79"/>
      <c r="E61" s="243"/>
      <c r="F61" s="243"/>
      <c r="G61" s="243"/>
      <c r="H61" s="243"/>
      <c r="I61" s="243"/>
      <c r="J61" s="243"/>
      <c r="K61" s="206"/>
      <c r="L61" s="243"/>
      <c r="M61" s="206"/>
      <c r="N61" s="243"/>
      <c r="O61" s="243"/>
      <c r="P61" s="243"/>
      <c r="Q61" s="243"/>
      <c r="R61" s="244"/>
      <c r="S61" s="244"/>
      <c r="T61" s="244"/>
      <c r="U61" s="244"/>
      <c r="V61" s="244"/>
      <c r="W61" s="244"/>
      <c r="X61" s="219"/>
      <c r="Y61" s="653"/>
    </row>
    <row r="62" spans="2:25" s="169" customFormat="1" ht="12.75" customHeight="1">
      <c r="C62" s="17"/>
      <c r="D62" s="79"/>
      <c r="E62" s="243"/>
      <c r="F62" s="243"/>
      <c r="G62" s="243"/>
      <c r="H62" s="243"/>
      <c r="I62" s="243"/>
      <c r="J62" s="243"/>
      <c r="K62" s="206"/>
      <c r="L62" s="243"/>
      <c r="M62" s="206"/>
      <c r="N62" s="243"/>
      <c r="O62" s="243"/>
      <c r="P62" s="243"/>
      <c r="Q62" s="243"/>
      <c r="R62" s="244"/>
      <c r="S62" s="244"/>
      <c r="T62" s="244"/>
      <c r="U62" s="244"/>
      <c r="V62" s="244"/>
      <c r="W62" s="244"/>
      <c r="X62" s="219"/>
      <c r="Y62" s="653"/>
    </row>
    <row r="63" spans="2:25" s="169" customFormat="1" ht="12.75" customHeight="1">
      <c r="C63" s="17"/>
      <c r="D63" s="79"/>
      <c r="E63" s="243"/>
      <c r="F63" s="243"/>
      <c r="G63" s="243"/>
      <c r="H63" s="243"/>
      <c r="I63" s="243"/>
      <c r="J63" s="243"/>
      <c r="K63" s="80"/>
      <c r="L63" s="243"/>
      <c r="M63" s="19"/>
      <c r="N63" s="243"/>
      <c r="O63" s="243"/>
      <c r="P63" s="243"/>
      <c r="Q63" s="243"/>
      <c r="R63" s="243"/>
      <c r="S63" s="243"/>
      <c r="T63" s="243"/>
      <c r="U63" s="243"/>
      <c r="V63" s="243"/>
      <c r="X63" s="219"/>
      <c r="Y63" s="653"/>
    </row>
    <row r="64" spans="2:25" s="169" customFormat="1" ht="12.75" customHeight="1">
      <c r="C64" s="83"/>
      <c r="D64" s="79"/>
      <c r="E64" s="243"/>
      <c r="F64" s="243"/>
      <c r="G64" s="243"/>
      <c r="H64" s="243"/>
      <c r="I64" s="243"/>
      <c r="J64" s="243"/>
      <c r="K64" s="206"/>
      <c r="L64" s="243"/>
      <c r="M64" s="206"/>
      <c r="N64" s="243"/>
      <c r="O64" s="243"/>
      <c r="P64" s="243"/>
      <c r="Q64" s="243"/>
      <c r="R64" s="244"/>
      <c r="S64" s="244"/>
      <c r="T64" s="244"/>
      <c r="U64" s="244"/>
      <c r="V64" s="244"/>
      <c r="W64" s="244"/>
      <c r="X64" s="219"/>
      <c r="Y64" s="653"/>
    </row>
    <row r="65" spans="3:25" s="169" customFormat="1" ht="12.75" customHeight="1">
      <c r="C65" s="242"/>
      <c r="D65" s="79"/>
      <c r="E65" s="243"/>
      <c r="F65" s="243"/>
      <c r="G65" s="243"/>
      <c r="H65" s="243"/>
      <c r="I65" s="243"/>
      <c r="J65" s="243"/>
      <c r="K65" s="206"/>
      <c r="L65" s="243"/>
      <c r="M65" s="206"/>
      <c r="N65" s="243"/>
      <c r="O65" s="243"/>
      <c r="P65" s="243"/>
      <c r="Q65" s="243"/>
      <c r="R65" s="244"/>
      <c r="S65" s="244"/>
      <c r="T65" s="244"/>
      <c r="U65" s="244"/>
      <c r="V65" s="244"/>
      <c r="W65" s="244"/>
      <c r="X65" s="219"/>
      <c r="Y65" s="653"/>
    </row>
    <row r="66" spans="3:25" s="169" customFormat="1" ht="12.75" customHeight="1">
      <c r="K66" s="206"/>
      <c r="M66" s="206"/>
      <c r="X66" s="219"/>
      <c r="Y66" s="653"/>
    </row>
    <row r="67" spans="3:25" s="169" customFormat="1" ht="12.75" customHeight="1">
      <c r="K67" s="206"/>
      <c r="M67" s="206"/>
      <c r="X67" s="219"/>
      <c r="Y67" s="653"/>
    </row>
    <row r="68" spans="3:25" s="169" customFormat="1" ht="12.75" customHeight="1">
      <c r="K68" s="206"/>
      <c r="M68" s="206"/>
      <c r="X68" s="219"/>
      <c r="Y68" s="653"/>
    </row>
    <row r="69" spans="3:25" s="169" customFormat="1" ht="12.75" customHeight="1">
      <c r="K69" s="206"/>
      <c r="M69" s="206"/>
      <c r="X69" s="219"/>
      <c r="Y69" s="653"/>
    </row>
    <row r="70" spans="3:25" s="169" customFormat="1" ht="12.75" customHeight="1">
      <c r="K70" s="206"/>
      <c r="M70" s="206"/>
      <c r="X70" s="219"/>
      <c r="Y70" s="653"/>
    </row>
    <row r="71" spans="3:25" s="169" customFormat="1" ht="12.75" customHeight="1">
      <c r="K71" s="206"/>
      <c r="M71" s="206"/>
      <c r="X71" s="219"/>
      <c r="Y71" s="653"/>
    </row>
    <row r="72" spans="3:25" s="169" customFormat="1" ht="12.75" customHeight="1">
      <c r="K72" s="206"/>
      <c r="M72" s="206"/>
      <c r="X72" s="219"/>
      <c r="Y72" s="653"/>
    </row>
    <row r="73" spans="3:25" s="169" customFormat="1" ht="12.75" customHeight="1">
      <c r="K73" s="206"/>
      <c r="M73" s="206"/>
      <c r="X73" s="219"/>
      <c r="Y73" s="653"/>
    </row>
    <row r="74" spans="3:25" s="169" customFormat="1" ht="12.75" customHeight="1">
      <c r="K74" s="206"/>
      <c r="M74" s="206"/>
      <c r="X74" s="219"/>
      <c r="Y74" s="653"/>
    </row>
    <row r="75" spans="3:25" s="169" customFormat="1" ht="12.75" customHeight="1">
      <c r="K75" s="206"/>
      <c r="M75" s="206"/>
      <c r="X75" s="219"/>
      <c r="Y75" s="653"/>
    </row>
    <row r="76" spans="3:25" s="169" customFormat="1" ht="12.75" customHeight="1">
      <c r="K76" s="206"/>
      <c r="M76" s="206"/>
      <c r="X76" s="219"/>
      <c r="Y76" s="653"/>
    </row>
    <row r="77" spans="3:25" s="169" customFormat="1" ht="12.75" customHeight="1">
      <c r="K77" s="206"/>
      <c r="M77" s="206"/>
      <c r="X77" s="219"/>
      <c r="Y77" s="653"/>
    </row>
    <row r="78" spans="3:25" s="169" customFormat="1" ht="12.75" customHeight="1">
      <c r="K78" s="206"/>
      <c r="M78" s="206"/>
      <c r="X78" s="219"/>
      <c r="Y78" s="653"/>
    </row>
    <row r="79" spans="3:25" s="169" customFormat="1" ht="12.75" customHeight="1">
      <c r="K79" s="206"/>
      <c r="M79" s="206"/>
      <c r="X79" s="219"/>
      <c r="Y79" s="653"/>
    </row>
    <row r="80" spans="3:25" s="169" customFormat="1" ht="12.75" customHeight="1">
      <c r="K80" s="206"/>
      <c r="M80" s="206"/>
      <c r="X80" s="219"/>
      <c r="Y80" s="653"/>
    </row>
    <row r="81" spans="11:25" s="169" customFormat="1" ht="12.75" customHeight="1">
      <c r="K81" s="206"/>
      <c r="M81" s="206"/>
      <c r="X81" s="219"/>
      <c r="Y81" s="653"/>
    </row>
    <row r="82" spans="11:25" s="169" customFormat="1" ht="12.75" customHeight="1">
      <c r="K82" s="206"/>
      <c r="M82" s="206"/>
      <c r="X82" s="219"/>
      <c r="Y82" s="653"/>
    </row>
    <row r="83" spans="11:25" s="169" customFormat="1" ht="12.75" customHeight="1">
      <c r="K83" s="206"/>
      <c r="M83" s="206"/>
      <c r="X83" s="219"/>
      <c r="Y83" s="653"/>
    </row>
    <row r="84" spans="11:25" s="169" customFormat="1" ht="12.75" customHeight="1">
      <c r="K84" s="206"/>
      <c r="M84" s="206"/>
      <c r="X84" s="219"/>
      <c r="Y84" s="653"/>
    </row>
    <row r="85" spans="11:25" s="169" customFormat="1" ht="12.75" customHeight="1">
      <c r="K85" s="206"/>
      <c r="M85" s="206"/>
      <c r="X85" s="219"/>
      <c r="Y85" s="653"/>
    </row>
    <row r="86" spans="11:25" s="169" customFormat="1" ht="12.75" customHeight="1">
      <c r="K86" s="206"/>
      <c r="M86" s="206"/>
      <c r="X86" s="219"/>
      <c r="Y86" s="653"/>
    </row>
    <row r="87" spans="11:25" s="169" customFormat="1" ht="12.75" customHeight="1">
      <c r="K87" s="206"/>
      <c r="M87" s="206"/>
      <c r="X87" s="219"/>
      <c r="Y87" s="653"/>
    </row>
    <row r="88" spans="11:25" s="169" customFormat="1" ht="12.75" customHeight="1">
      <c r="K88" s="206"/>
      <c r="M88" s="206"/>
      <c r="X88" s="219"/>
      <c r="Y88" s="653"/>
    </row>
    <row r="89" spans="11:25" s="169" customFormat="1" ht="12.75" customHeight="1">
      <c r="K89" s="206"/>
      <c r="M89" s="206"/>
      <c r="X89" s="219"/>
      <c r="Y89" s="653"/>
    </row>
    <row r="90" spans="11:25" s="169" customFormat="1" ht="12.75" customHeight="1">
      <c r="K90" s="206"/>
      <c r="M90" s="206"/>
      <c r="X90" s="219"/>
      <c r="Y90" s="653"/>
    </row>
    <row r="91" spans="11:25" s="169" customFormat="1" ht="12.75" customHeight="1">
      <c r="K91" s="206"/>
      <c r="M91" s="206"/>
      <c r="X91" s="219"/>
      <c r="Y91" s="653"/>
    </row>
    <row r="92" spans="11:25" s="169" customFormat="1" ht="12.75" customHeight="1">
      <c r="K92" s="206"/>
      <c r="M92" s="206"/>
      <c r="X92" s="219"/>
      <c r="Y92" s="653"/>
    </row>
    <row r="93" spans="11:25" s="169" customFormat="1" ht="12.75" customHeight="1">
      <c r="K93" s="206"/>
      <c r="M93" s="206"/>
      <c r="X93" s="219"/>
      <c r="Y93" s="653"/>
    </row>
    <row r="94" spans="11:25" s="169" customFormat="1" ht="12.75" customHeight="1">
      <c r="K94" s="206"/>
      <c r="M94" s="206"/>
      <c r="X94" s="219"/>
      <c r="Y94" s="653"/>
    </row>
    <row r="95" spans="11:25" s="169" customFormat="1" ht="12.75" customHeight="1">
      <c r="K95" s="206"/>
      <c r="M95" s="206"/>
      <c r="X95" s="219"/>
      <c r="Y95" s="653"/>
    </row>
    <row r="96" spans="11:25" s="169" customFormat="1" ht="12.75" customHeight="1">
      <c r="K96" s="206"/>
      <c r="M96" s="206"/>
      <c r="X96" s="219"/>
      <c r="Y96" s="653"/>
    </row>
    <row r="97" spans="11:25" s="169" customFormat="1" ht="12.75" customHeight="1">
      <c r="K97" s="206"/>
      <c r="M97" s="206"/>
      <c r="X97" s="219"/>
      <c r="Y97" s="653"/>
    </row>
    <row r="98" spans="11:25" s="169" customFormat="1" ht="12.75" customHeight="1">
      <c r="K98" s="206"/>
      <c r="M98" s="206"/>
      <c r="X98" s="219"/>
      <c r="Y98" s="653"/>
    </row>
    <row r="99" spans="11:25" s="169" customFormat="1" ht="12.75" customHeight="1">
      <c r="K99" s="206"/>
      <c r="M99" s="206"/>
      <c r="X99" s="219"/>
      <c r="Y99" s="653"/>
    </row>
    <row r="100" spans="11:25" s="169" customFormat="1" ht="12.75" customHeight="1">
      <c r="K100" s="206"/>
      <c r="M100" s="206"/>
      <c r="X100" s="219"/>
      <c r="Y100" s="653"/>
    </row>
    <row r="101" spans="11:25" s="169" customFormat="1" ht="12.75" customHeight="1">
      <c r="K101" s="206"/>
      <c r="M101" s="206"/>
      <c r="X101" s="219"/>
      <c r="Y101" s="653"/>
    </row>
    <row r="102" spans="11:25" s="169" customFormat="1" ht="12.75" customHeight="1">
      <c r="K102" s="206"/>
      <c r="M102" s="206"/>
      <c r="X102" s="219"/>
      <c r="Y102" s="653"/>
    </row>
    <row r="103" spans="11:25" s="169" customFormat="1" ht="12.75" customHeight="1">
      <c r="K103" s="206"/>
      <c r="M103" s="206"/>
      <c r="X103" s="219"/>
      <c r="Y103" s="653"/>
    </row>
    <row r="104" spans="11:25" s="169" customFormat="1" ht="12.75" customHeight="1">
      <c r="K104" s="206"/>
      <c r="M104" s="206"/>
      <c r="X104" s="219"/>
      <c r="Y104" s="653"/>
    </row>
    <row r="105" spans="11:25" s="169" customFormat="1" ht="12.75" customHeight="1">
      <c r="K105" s="206"/>
      <c r="M105" s="206"/>
      <c r="X105" s="219"/>
      <c r="Y105" s="653"/>
    </row>
    <row r="106" spans="11:25" s="169" customFormat="1" ht="12.75" customHeight="1">
      <c r="K106" s="206"/>
      <c r="M106" s="206"/>
      <c r="X106" s="219"/>
      <c r="Y106" s="653"/>
    </row>
    <row r="107" spans="11:25" s="169" customFormat="1" ht="12.75" customHeight="1">
      <c r="K107" s="206"/>
      <c r="M107" s="206"/>
      <c r="X107" s="219"/>
      <c r="Y107" s="653"/>
    </row>
    <row r="108" spans="11:25" s="169" customFormat="1" ht="12.75" customHeight="1">
      <c r="K108" s="206"/>
      <c r="M108" s="206"/>
      <c r="X108" s="219"/>
      <c r="Y108" s="653"/>
    </row>
    <row r="109" spans="11:25" s="169" customFormat="1" ht="12.75" customHeight="1">
      <c r="K109" s="206"/>
      <c r="M109" s="206"/>
      <c r="X109" s="219"/>
      <c r="Y109" s="653"/>
    </row>
    <row r="110" spans="11:25" s="169" customFormat="1" ht="12.75" customHeight="1">
      <c r="K110" s="206"/>
      <c r="M110" s="206"/>
      <c r="X110" s="219"/>
      <c r="Y110" s="653"/>
    </row>
    <row r="111" spans="11:25" s="169" customFormat="1" ht="12.75" customHeight="1">
      <c r="K111" s="206"/>
      <c r="M111" s="206"/>
      <c r="X111" s="219"/>
      <c r="Y111" s="653"/>
    </row>
    <row r="112" spans="11:25" s="169" customFormat="1" ht="12.75" customHeight="1">
      <c r="K112" s="206"/>
      <c r="M112" s="206"/>
      <c r="X112" s="219"/>
      <c r="Y112" s="653"/>
    </row>
    <row r="113" spans="11:25" s="169" customFormat="1" ht="12.75" customHeight="1">
      <c r="K113" s="206"/>
      <c r="M113" s="206"/>
      <c r="X113" s="219"/>
      <c r="Y113" s="653"/>
    </row>
    <row r="114" spans="11:25" s="169" customFormat="1" ht="12.75" customHeight="1">
      <c r="K114" s="206"/>
      <c r="M114" s="206"/>
      <c r="X114" s="219"/>
      <c r="Y114" s="653"/>
    </row>
    <row r="115" spans="11:25" s="169" customFormat="1" ht="12.75" customHeight="1">
      <c r="K115" s="206"/>
      <c r="M115" s="206"/>
      <c r="X115" s="219"/>
      <c r="Y115" s="653"/>
    </row>
    <row r="116" spans="11:25" s="169" customFormat="1" ht="12.75" customHeight="1">
      <c r="K116" s="206"/>
      <c r="M116" s="206"/>
      <c r="X116" s="219"/>
      <c r="Y116" s="653"/>
    </row>
    <row r="117" spans="11:25" s="169" customFormat="1" ht="12.75" customHeight="1">
      <c r="K117" s="206"/>
      <c r="M117" s="206"/>
      <c r="X117" s="219"/>
      <c r="Y117" s="653"/>
    </row>
    <row r="118" spans="11:25" s="169" customFormat="1" ht="12.75" customHeight="1">
      <c r="K118" s="206"/>
      <c r="M118" s="206"/>
      <c r="X118" s="219"/>
      <c r="Y118" s="653"/>
    </row>
    <row r="119" spans="11:25" s="169" customFormat="1" ht="12.75" customHeight="1">
      <c r="K119" s="206"/>
      <c r="M119" s="206"/>
      <c r="X119" s="219"/>
      <c r="Y119" s="653"/>
    </row>
    <row r="120" spans="11:25" s="169" customFormat="1" ht="12.75" customHeight="1">
      <c r="K120" s="206"/>
      <c r="M120" s="206"/>
      <c r="X120" s="219"/>
      <c r="Y120" s="653"/>
    </row>
    <row r="121" spans="11:25" s="169" customFormat="1" ht="12.75" customHeight="1">
      <c r="K121" s="206"/>
      <c r="M121" s="206"/>
      <c r="X121" s="219"/>
      <c r="Y121" s="653"/>
    </row>
    <row r="122" spans="11:25" s="169" customFormat="1" ht="12.75" customHeight="1">
      <c r="K122" s="206"/>
      <c r="M122" s="206"/>
      <c r="X122" s="219"/>
      <c r="Y122" s="653"/>
    </row>
    <row r="123" spans="11:25" s="169" customFormat="1" ht="12.75" customHeight="1">
      <c r="K123" s="206"/>
      <c r="M123" s="206"/>
      <c r="X123" s="219"/>
      <c r="Y123" s="653"/>
    </row>
    <row r="124" spans="11:25" s="169" customFormat="1" ht="12.75" customHeight="1">
      <c r="K124" s="206"/>
      <c r="M124" s="206"/>
      <c r="X124" s="219"/>
      <c r="Y124" s="653"/>
    </row>
    <row r="125" spans="11:25" s="169" customFormat="1" ht="12.75" customHeight="1">
      <c r="K125" s="206"/>
      <c r="M125" s="206"/>
      <c r="X125" s="219"/>
      <c r="Y125" s="653"/>
    </row>
    <row r="126" spans="11:25" s="169" customFormat="1" ht="12.75" customHeight="1">
      <c r="K126" s="206"/>
      <c r="M126" s="206"/>
      <c r="X126" s="219"/>
      <c r="Y126" s="653"/>
    </row>
    <row r="127" spans="11:25" s="169" customFormat="1" ht="12.75" customHeight="1">
      <c r="K127" s="206"/>
      <c r="M127" s="206"/>
      <c r="X127" s="219"/>
      <c r="Y127" s="653"/>
    </row>
    <row r="128" spans="11:25" s="169" customFormat="1" ht="12.75" customHeight="1">
      <c r="K128" s="206"/>
      <c r="M128" s="206"/>
      <c r="X128" s="219"/>
      <c r="Y128" s="653"/>
    </row>
    <row r="129" spans="11:25" s="169" customFormat="1" ht="12.75" customHeight="1">
      <c r="K129" s="206"/>
      <c r="M129" s="206"/>
      <c r="X129" s="219"/>
      <c r="Y129" s="653"/>
    </row>
    <row r="130" spans="11:25" s="169" customFormat="1" ht="12.75" customHeight="1">
      <c r="K130" s="206"/>
      <c r="M130" s="206"/>
      <c r="X130" s="219"/>
      <c r="Y130" s="653"/>
    </row>
    <row r="131" spans="11:25" s="169" customFormat="1" ht="12.75" customHeight="1">
      <c r="K131" s="206"/>
      <c r="M131" s="206"/>
      <c r="X131" s="219"/>
      <c r="Y131" s="653"/>
    </row>
    <row r="132" spans="11:25" s="169" customFormat="1" ht="12.75" customHeight="1">
      <c r="K132" s="206"/>
      <c r="M132" s="206"/>
      <c r="X132" s="219"/>
      <c r="Y132" s="653"/>
    </row>
    <row r="133" spans="11:25" s="169" customFormat="1" ht="12.75" customHeight="1">
      <c r="K133" s="206"/>
      <c r="M133" s="206"/>
      <c r="X133" s="219"/>
      <c r="Y133" s="653"/>
    </row>
    <row r="134" spans="11:25" s="169" customFormat="1" ht="12.75" customHeight="1">
      <c r="K134" s="206"/>
      <c r="M134" s="206"/>
      <c r="X134" s="219"/>
      <c r="Y134" s="653"/>
    </row>
    <row r="135" spans="11:25" s="169" customFormat="1" ht="12.75" customHeight="1">
      <c r="K135" s="206"/>
      <c r="M135" s="206"/>
      <c r="X135" s="219"/>
      <c r="Y135" s="653"/>
    </row>
    <row r="136" spans="11:25" s="169" customFormat="1" ht="12.75" customHeight="1">
      <c r="K136" s="206"/>
      <c r="M136" s="206"/>
      <c r="X136" s="219"/>
      <c r="Y136" s="653"/>
    </row>
    <row r="137" spans="11:25" s="169" customFormat="1" ht="12.75" customHeight="1">
      <c r="K137" s="206"/>
      <c r="M137" s="206"/>
      <c r="X137" s="219"/>
      <c r="Y137" s="653"/>
    </row>
    <row r="138" spans="11:25" s="169" customFormat="1" ht="12.75" customHeight="1">
      <c r="K138" s="206"/>
      <c r="M138" s="206"/>
      <c r="X138" s="219"/>
      <c r="Y138" s="653"/>
    </row>
    <row r="139" spans="11:25" s="169" customFormat="1" ht="12.75" customHeight="1">
      <c r="K139" s="206"/>
      <c r="M139" s="206"/>
      <c r="X139" s="219"/>
      <c r="Y139" s="653"/>
    </row>
    <row r="140" spans="11:25" s="169" customFormat="1" ht="12.75" customHeight="1">
      <c r="K140" s="206"/>
      <c r="M140" s="206"/>
      <c r="X140" s="219"/>
      <c r="Y140" s="653"/>
    </row>
    <row r="141" spans="11:25" s="169" customFormat="1" ht="12.75" customHeight="1">
      <c r="K141" s="206"/>
      <c r="M141" s="206"/>
      <c r="X141" s="219"/>
      <c r="Y141" s="653"/>
    </row>
    <row r="142" spans="11:25" s="169" customFormat="1" ht="12.75" customHeight="1">
      <c r="K142" s="206"/>
      <c r="M142" s="206"/>
      <c r="X142" s="219"/>
      <c r="Y142" s="653"/>
    </row>
  </sheetData>
  <phoneticPr fontId="10" type="noConversion"/>
  <printOptions horizontalCentered="1"/>
  <pageMargins left="0.5" right="0.5" top="3" bottom="0.5" header="1.5" footer="0.5"/>
  <pageSetup scale="48" fitToWidth="2" fitToHeight="0" pageOrder="overThenDown" orientation="landscape"/>
  <headerFooter alignWithMargins="0">
    <oddHeader>&amp;R&amp;"Arial,Bold"Schedule &amp;A
Page &amp;P of &amp;N&amp;C&amp;B
2025 RATE CASE
ONCOR ELECTRIC DELIVERY COMPANY LLC
II-E-2   TAXES OTHER THAN FEDERAL INCOME TAXES
TEST YEAR ENDING DECEMBER 31, 2024
SPONSOR: B. L. CLUTTER</oddHeader>
  </headerFooter>
  <colBreaks count="1" manualBreakCount="1">
    <brk id="10" min="9" max="34"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0">
    <pageSetUpPr fitToPage="1"/>
  </sheetPr>
  <dimension ref="A1:V42"/>
  <sheetViews>
    <sheetView zoomScale="80" zoomScaleNormal="80" workbookViewId="0">
      <selection activeCell="J11" sqref="J11"/>
    </sheetView>
  </sheetViews>
  <sheetFormatPr defaultColWidth="9.140625" defaultRowHeight="12.75"/>
  <cols>
    <col min="1" max="1" width="5.7109375" style="346" customWidth="1"/>
    <col min="2" max="2" width="9.42578125" style="346" customWidth="1"/>
    <col min="3" max="3" width="16.28515625" style="346" customWidth="1"/>
    <col min="4" max="4" width="18.7109375" style="346" customWidth="1"/>
    <col min="5" max="5" width="14.7109375" style="346" bestFit="1" customWidth="1"/>
    <col min="6" max="6" width="8.28515625" style="346" bestFit="1" customWidth="1"/>
    <col min="7" max="7" width="16.140625" style="346" bestFit="1" customWidth="1"/>
    <col min="8" max="8" width="15.140625" style="346" bestFit="1" customWidth="1"/>
    <col min="9" max="9" width="11.85546875" style="346" bestFit="1" customWidth="1"/>
    <col min="10" max="10" width="12.7109375" style="346" bestFit="1" customWidth="1"/>
    <col min="11" max="11" width="13.42578125" style="123" bestFit="1" customWidth="1"/>
    <col min="12" max="12" width="12.28515625" style="123" bestFit="1" customWidth="1"/>
    <col min="13" max="13" width="9.5703125" style="123" bestFit="1" customWidth="1"/>
    <col min="14" max="14" width="13.42578125" style="123" bestFit="1" customWidth="1"/>
    <col min="15" max="15" width="13.42578125" style="346" bestFit="1" customWidth="1"/>
    <col min="16" max="16" width="11.28515625" style="346" bestFit="1" customWidth="1"/>
    <col min="17" max="17" width="13.42578125" style="346" bestFit="1" customWidth="1"/>
    <col min="18" max="18" width="11.28515625" style="346" bestFit="1" customWidth="1"/>
    <col min="19" max="20" width="13.42578125" style="346" bestFit="1" customWidth="1"/>
    <col min="21" max="21" width="8.85546875" style="346" bestFit="1" customWidth="1"/>
    <col min="22" max="16384" width="9.140625" style="346"/>
  </cols>
  <sheetData>
    <row r="1" spans="1:22">
      <c r="A1" s="189" t="str">
        <f>+'[3]Input Data'!$A$9</f>
        <v>2025 RATE CASE</v>
      </c>
    </row>
    <row r="2" spans="1:22">
      <c r="A2" s="188" t="str">
        <f>+'[3]Input Data'!$A$2</f>
        <v>ONCOR ELECTRIC DELIVERY COMPANY LLC</v>
      </c>
    </row>
    <row r="3" spans="1:22">
      <c r="A3" s="187" t="str">
        <f>CONCATENATE('[3]Schedule Sponsors'!$A$84,'[3]Schedule Sponsors'!$B$84)</f>
        <v>II-E-2.1  AD VALOREM TAXES &amp;&amp; PLANT BALANCES</v>
      </c>
    </row>
    <row r="4" spans="1:22">
      <c r="A4" s="187" t="str">
        <f>+'[3]Input Data'!$A$4</f>
        <v>TEST YEAR ENDING DECEMBER 31, 2024</v>
      </c>
    </row>
    <row r="5" spans="1:22">
      <c r="A5" s="185" t="str">
        <f>CONCATENATE("SPONSOR: ",'[3]Schedule Sponsors'!$D$84)</f>
        <v>SPONSOR: B. L. CLUTTER</v>
      </c>
    </row>
    <row r="6" spans="1:22">
      <c r="E6" s="166"/>
      <c r="F6" s="166"/>
      <c r="G6" s="166"/>
      <c r="H6" s="166"/>
      <c r="I6" s="166"/>
      <c r="J6" s="294"/>
      <c r="K6" s="666"/>
      <c r="L6" s="666"/>
      <c r="M6" s="666"/>
      <c r="N6" s="666"/>
    </row>
    <row r="10" spans="1:22" s="186" customFormat="1" ht="51">
      <c r="A10" s="667" t="s">
        <v>459</v>
      </c>
      <c r="B10" s="337" t="s">
        <v>460</v>
      </c>
      <c r="C10" s="831" t="s">
        <v>1283</v>
      </c>
      <c r="D10" s="831" t="s">
        <v>1284</v>
      </c>
      <c r="E10" s="831" t="s">
        <v>1285</v>
      </c>
      <c r="F10" s="832" t="s">
        <v>69</v>
      </c>
      <c r="G10" s="831" t="s">
        <v>461</v>
      </c>
      <c r="H10" s="831" t="s">
        <v>1300</v>
      </c>
      <c r="I10" s="667" t="s">
        <v>66</v>
      </c>
      <c r="J10" s="337" t="s">
        <v>308</v>
      </c>
      <c r="K10" s="337" t="s">
        <v>198</v>
      </c>
      <c r="L10" s="667" t="s">
        <v>576</v>
      </c>
      <c r="M10" s="667" t="s">
        <v>577</v>
      </c>
      <c r="N10" s="667" t="s">
        <v>578</v>
      </c>
      <c r="O10" s="337" t="s">
        <v>199</v>
      </c>
      <c r="P10" s="667" t="s">
        <v>579</v>
      </c>
      <c r="Q10" s="667" t="s">
        <v>580</v>
      </c>
      <c r="R10" s="337" t="s">
        <v>194</v>
      </c>
      <c r="S10" s="337" t="s">
        <v>279</v>
      </c>
      <c r="T10" s="337" t="s">
        <v>73</v>
      </c>
      <c r="U10" s="668"/>
    </row>
    <row r="11" spans="1:22" s="190" customFormat="1">
      <c r="B11" s="190" t="s">
        <v>226</v>
      </c>
      <c r="C11" s="190" t="s">
        <v>227</v>
      </c>
      <c r="D11" s="190" t="s">
        <v>228</v>
      </c>
      <c r="E11" s="190" t="s">
        <v>229</v>
      </c>
      <c r="F11" s="190" t="s">
        <v>230</v>
      </c>
      <c r="G11" s="190" t="s">
        <v>231</v>
      </c>
      <c r="H11" s="190" t="s">
        <v>232</v>
      </c>
      <c r="I11" s="190" t="s">
        <v>233</v>
      </c>
      <c r="J11" s="190" t="s">
        <v>234</v>
      </c>
      <c r="K11" s="190" t="s">
        <v>235</v>
      </c>
      <c r="L11" s="190" t="s">
        <v>236</v>
      </c>
      <c r="M11" s="190" t="s">
        <v>237</v>
      </c>
      <c r="N11" s="190" t="s">
        <v>238</v>
      </c>
      <c r="O11" s="190" t="s">
        <v>239</v>
      </c>
      <c r="P11" s="190" t="s">
        <v>240</v>
      </c>
      <c r="Q11" s="190" t="s">
        <v>140</v>
      </c>
      <c r="R11" s="190" t="s">
        <v>270</v>
      </c>
      <c r="S11" s="190" t="s">
        <v>280</v>
      </c>
      <c r="T11" s="190" t="s">
        <v>281</v>
      </c>
    </row>
    <row r="12" spans="1:22">
      <c r="K12" s="346"/>
      <c r="L12" s="346"/>
      <c r="M12" s="346"/>
      <c r="N12" s="346"/>
      <c r="U12" s="123"/>
    </row>
    <row r="13" spans="1:22">
      <c r="A13" s="347">
        <v>1</v>
      </c>
      <c r="B13" s="347">
        <v>2024</v>
      </c>
      <c r="C13" s="110">
        <v>25155277398.140007</v>
      </c>
      <c r="D13" s="110">
        <v>13910668359.796209</v>
      </c>
      <c r="E13" s="110">
        <v>254166464.97999999</v>
      </c>
      <c r="F13" s="669" t="s">
        <v>618</v>
      </c>
      <c r="G13" s="110">
        <v>245287216.33999997</v>
      </c>
      <c r="H13" s="833">
        <f>+E13/C13</f>
        <v>1.01039022928363E-2</v>
      </c>
      <c r="I13" s="670" t="s">
        <v>619</v>
      </c>
      <c r="J13" s="190" t="s">
        <v>357</v>
      </c>
      <c r="K13" s="110">
        <f>ROUND(+$E13*'[5]II-F Alloc_Factor'!E$19,2)</f>
        <v>109797991.20999999</v>
      </c>
      <c r="L13" s="110">
        <f>ROUND(+$E13*'[5]II-F Alloc_Factor'!F$19,2)</f>
        <v>11696452.720000001</v>
      </c>
      <c r="M13" s="110">
        <f>ROUND(+$E13*'[5]II-F Alloc_Factor'!G$19,2)</f>
        <v>94330.27</v>
      </c>
      <c r="N13" s="110">
        <f>SUM(K13:M13)</f>
        <v>121588774.19999999</v>
      </c>
      <c r="O13" s="110">
        <f>ROUND(+$E13*'[5]II-F Alloc_Factor'!I$19,2)</f>
        <v>125400318.23999999</v>
      </c>
      <c r="P13" s="110">
        <f>ROUND(+$E13*'[5]II-F Alloc_Factor'!J$19,2)</f>
        <v>934244.48</v>
      </c>
      <c r="Q13" s="110">
        <f>SUM(O13:P13)</f>
        <v>126334562.72</v>
      </c>
      <c r="R13" s="110">
        <f>ROUND(+$E13*'[5]II-F Alloc_Factor'!L$19,2)</f>
        <v>3758486.77</v>
      </c>
      <c r="S13" s="110">
        <f>+E13-N13-Q13-R13</f>
        <v>2484641.2900000024</v>
      </c>
      <c r="T13" s="110">
        <f>+N13+Q13+R13+S13</f>
        <v>254166464.97999999</v>
      </c>
      <c r="U13" s="671">
        <f>+T13-E13</f>
        <v>0</v>
      </c>
      <c r="V13" s="596" t="b">
        <f>ROUND(+E13,2)=ROUND(T13,2)</f>
        <v>1</v>
      </c>
    </row>
    <row r="14" spans="1:22">
      <c r="A14" s="347">
        <f>1+A13</f>
        <v>2</v>
      </c>
      <c r="E14" s="255"/>
      <c r="H14" s="192"/>
      <c r="K14" s="346"/>
      <c r="L14" s="346"/>
      <c r="M14" s="346"/>
      <c r="N14" s="346"/>
      <c r="U14" s="671"/>
      <c r="V14" s="257"/>
    </row>
    <row r="15" spans="1:22">
      <c r="A15" s="347">
        <f t="shared" ref="A15:A19" si="0">1+A14</f>
        <v>3</v>
      </c>
      <c r="B15" s="342">
        <v>2023</v>
      </c>
      <c r="C15" s="110">
        <v>22742006524.789997</v>
      </c>
      <c r="D15" s="110">
        <v>13467983014.212858</v>
      </c>
      <c r="E15" s="110">
        <v>243991744.03</v>
      </c>
      <c r="F15" s="669" t="s">
        <v>618</v>
      </c>
      <c r="G15" s="110">
        <v>259588423.44999999</v>
      </c>
      <c r="H15" s="833">
        <f>+E15/C15</f>
        <v>1.0728681471621074E-2</v>
      </c>
      <c r="I15" s="670" t="s">
        <v>619</v>
      </c>
      <c r="J15" s="190" t="s">
        <v>357</v>
      </c>
      <c r="K15" s="110">
        <f>ROUND(+$E15*'[5]II-F Alloc_Factor'!E$19,2)</f>
        <v>105402588.68000001</v>
      </c>
      <c r="L15" s="110">
        <f>ROUND(+$E15*'[5]II-F Alloc_Factor'!F$19,2)</f>
        <v>11228223.59</v>
      </c>
      <c r="M15" s="110">
        <f>ROUND(+$E15*'[5]II-F Alloc_Factor'!G$19,2)</f>
        <v>90554.06</v>
      </c>
      <c r="N15" s="110">
        <f>SUM(K15:M15)</f>
        <v>116721366.33000001</v>
      </c>
      <c r="O15" s="110">
        <f>ROUND(+$E15*'[5]II-F Alloc_Factor'!I$19,2)</f>
        <v>120380327.72</v>
      </c>
      <c r="P15" s="110">
        <f>ROUND(+$E15*'[5]II-F Alloc_Factor'!J$19,2)</f>
        <v>896845.06</v>
      </c>
      <c r="Q15" s="110">
        <f>SUM(O15:P15)</f>
        <v>121277172.78</v>
      </c>
      <c r="R15" s="110">
        <f>ROUND(+$E15*'[5]II-F Alloc_Factor'!L$19,2)</f>
        <v>3608028.07</v>
      </c>
      <c r="S15" s="110">
        <f>+E15-N15-Q15-R15</f>
        <v>2385176.8499999871</v>
      </c>
      <c r="T15" s="110">
        <f>+N15+Q15+R15+S15</f>
        <v>243991744.03</v>
      </c>
      <c r="U15" s="671">
        <f>+T15-E15</f>
        <v>0</v>
      </c>
      <c r="V15" s="596" t="b">
        <f>ROUND(+E15,2)=ROUND(T15,2)</f>
        <v>1</v>
      </c>
    </row>
    <row r="16" spans="1:22">
      <c r="A16" s="347">
        <f t="shared" si="0"/>
        <v>4</v>
      </c>
      <c r="C16" s="110"/>
      <c r="D16" s="110"/>
      <c r="E16" s="110"/>
      <c r="F16" s="110"/>
      <c r="G16" s="110"/>
      <c r="H16" s="193"/>
      <c r="I16" s="110"/>
      <c r="J16" s="193"/>
      <c r="K16" s="110"/>
      <c r="L16" s="110"/>
      <c r="M16" s="110"/>
      <c r="N16" s="110"/>
      <c r="O16" s="110"/>
      <c r="P16" s="110"/>
      <c r="Q16" s="110"/>
      <c r="R16" s="110"/>
      <c r="S16" s="110"/>
      <c r="T16" s="110"/>
      <c r="U16" s="671"/>
      <c r="V16" s="257"/>
    </row>
    <row r="17" spans="1:22">
      <c r="A17" s="347">
        <f t="shared" si="0"/>
        <v>5</v>
      </c>
      <c r="B17" s="347">
        <v>2022</v>
      </c>
      <c r="C17" s="110">
        <v>20931302508.389992</v>
      </c>
      <c r="D17" s="110">
        <v>12635388723.703341</v>
      </c>
      <c r="E17" s="110">
        <v>257378477.47</v>
      </c>
      <c r="F17" s="669" t="s">
        <v>618</v>
      </c>
      <c r="G17" s="110">
        <v>259212536.79999998</v>
      </c>
      <c r="H17" s="833">
        <f>+E17/C17</f>
        <v>1.2296343114186696E-2</v>
      </c>
      <c r="I17" s="670" t="s">
        <v>619</v>
      </c>
      <c r="J17" s="190" t="s">
        <v>357</v>
      </c>
      <c r="K17" s="110">
        <f>ROUND(+$E17*'[5]II-F Alloc_Factor'!E$19,2)</f>
        <v>111185556.31999999</v>
      </c>
      <c r="L17" s="110">
        <f>ROUND(+$E17*'[5]II-F Alloc_Factor'!F$19,2)</f>
        <v>11844265.9</v>
      </c>
      <c r="M17" s="110">
        <f>ROUND(+$E17*'[5]II-F Alloc_Factor'!G$19,2)</f>
        <v>95522.36</v>
      </c>
      <c r="N17" s="110">
        <f>SUM(K17:M17)</f>
        <v>123125344.58</v>
      </c>
      <c r="O17" s="110">
        <f>ROUND(+$E17*'[5]II-F Alloc_Factor'!I$19,2)</f>
        <v>126985056.77</v>
      </c>
      <c r="P17" s="110">
        <f>ROUND(+$E17*'[5]II-F Alloc_Factor'!J$19,2)</f>
        <v>946050.93</v>
      </c>
      <c r="Q17" s="110">
        <f>SUM(O17:P17)</f>
        <v>127931107.7</v>
      </c>
      <c r="R17" s="110">
        <f>ROUND(+$E17*'[5]II-F Alloc_Factor'!L$19,2)</f>
        <v>3805984.4</v>
      </c>
      <c r="S17" s="110">
        <f>+E17-N17-Q17-R17</f>
        <v>2516040.7899999828</v>
      </c>
      <c r="T17" s="110">
        <f>+N17+Q17+R17+S17</f>
        <v>257378477.47</v>
      </c>
      <c r="U17" s="671">
        <f>+T17-E17</f>
        <v>0</v>
      </c>
      <c r="V17" s="596" t="b">
        <f>ROUND(+E17,2)=ROUND(T17,2)</f>
        <v>1</v>
      </c>
    </row>
    <row r="18" spans="1:22">
      <c r="A18" s="347">
        <f t="shared" si="0"/>
        <v>6</v>
      </c>
      <c r="B18" s="347"/>
      <c r="C18" s="110"/>
      <c r="D18" s="110"/>
      <c r="E18" s="110"/>
      <c r="F18" s="669"/>
      <c r="G18" s="110"/>
      <c r="H18" s="833"/>
      <c r="I18" s="670"/>
      <c r="J18" s="190"/>
      <c r="K18" s="110"/>
      <c r="L18" s="110"/>
      <c r="M18" s="110"/>
      <c r="N18" s="110"/>
      <c r="O18" s="110"/>
      <c r="P18" s="110"/>
      <c r="Q18" s="110"/>
      <c r="R18" s="110"/>
      <c r="S18" s="110"/>
      <c r="T18" s="110"/>
      <c r="U18" s="671"/>
      <c r="V18" s="596"/>
    </row>
    <row r="19" spans="1:22">
      <c r="A19" s="347">
        <f t="shared" si="0"/>
        <v>7</v>
      </c>
      <c r="B19" s="347">
        <v>2021</v>
      </c>
      <c r="C19" s="110">
        <v>19231983057.139999</v>
      </c>
      <c r="D19" s="110">
        <v>12065106181.89797</v>
      </c>
      <c r="E19" s="110">
        <v>261219333.50999999</v>
      </c>
      <c r="F19" s="669" t="s">
        <v>618</v>
      </c>
      <c r="G19" s="110">
        <v>244714599.89999998</v>
      </c>
      <c r="H19" s="833">
        <f>+E19/C19</f>
        <v>1.3582548026061235E-2</v>
      </c>
      <c r="I19" s="670" t="s">
        <v>619</v>
      </c>
      <c r="J19" s="190" t="s">
        <v>357</v>
      </c>
      <c r="K19" s="110">
        <f>ROUND(+$E19*'[5]II-F Alloc_Factor'!E$19,2)</f>
        <v>112844777.09</v>
      </c>
      <c r="L19" s="110">
        <f>ROUND(+$E19*'[5]II-F Alloc_Factor'!F$19,2)</f>
        <v>12021017.74</v>
      </c>
      <c r="M19" s="110">
        <f>ROUND(+$E19*'[5]II-F Alloc_Factor'!G$19,2)</f>
        <v>96947.839999999997</v>
      </c>
      <c r="N19" s="110">
        <f>SUM(K19:M19)</f>
        <v>124962742.67</v>
      </c>
      <c r="O19" s="110">
        <f>ROUND(+$E19*'[5]II-F Alloc_Factor'!I$19,2)+0.01</f>
        <v>128880053.31</v>
      </c>
      <c r="P19" s="110">
        <f>ROUND(+$E19*'[5]II-F Alloc_Factor'!J$19,2)</f>
        <v>960168.84</v>
      </c>
      <c r="Q19" s="110">
        <f>SUM(O19:P19)</f>
        <v>129840222.15000001</v>
      </c>
      <c r="R19" s="110">
        <f>ROUND(+$E19*'[5]II-F Alloc_Factor'!L$19,2)</f>
        <v>3862781.06</v>
      </c>
      <c r="S19" s="110">
        <f>ROUND(+$E19*'[5]II-F Alloc_Factor'!M$19,2)</f>
        <v>2553587.64</v>
      </c>
      <c r="T19" s="110">
        <f>+N19+Q19+R19+S19</f>
        <v>261219333.51999998</v>
      </c>
      <c r="U19" s="671">
        <f>+T19-E19</f>
        <v>9.9999904632568359E-3</v>
      </c>
      <c r="V19" s="596" t="b">
        <f>ROUND(+E19,2)=ROUND(T19,2)</f>
        <v>0</v>
      </c>
    </row>
    <row r="20" spans="1:22">
      <c r="A20" s="347"/>
      <c r="J20" s="110"/>
      <c r="K20" s="110"/>
      <c r="L20" s="110"/>
      <c r="M20" s="110"/>
      <c r="N20" s="110"/>
      <c r="O20" s="110"/>
      <c r="P20" s="110"/>
      <c r="Q20" s="110"/>
      <c r="R20" s="110"/>
      <c r="S20" s="110"/>
      <c r="T20" s="110"/>
      <c r="U20" s="123"/>
    </row>
    <row r="21" spans="1:22">
      <c r="K21" s="346"/>
      <c r="L21" s="346"/>
      <c r="M21" s="346"/>
      <c r="N21" s="346"/>
      <c r="U21" s="123"/>
    </row>
    <row r="22" spans="1:22">
      <c r="B22" s="192" t="s">
        <v>1286</v>
      </c>
      <c r="K22" s="346"/>
      <c r="L22" s="346"/>
      <c r="M22" s="346"/>
      <c r="N22" s="346"/>
      <c r="U22" s="123"/>
    </row>
    <row r="23" spans="1:22">
      <c r="B23" s="192" t="s">
        <v>1061</v>
      </c>
      <c r="K23" s="346"/>
      <c r="L23" s="346"/>
      <c r="M23" s="346"/>
      <c r="N23" s="346"/>
      <c r="R23" s="192"/>
      <c r="U23" s="123"/>
    </row>
    <row r="24" spans="1:22" s="830" customFormat="1">
      <c r="B24" s="192" t="s">
        <v>1287</v>
      </c>
      <c r="R24" s="192"/>
      <c r="U24" s="123"/>
    </row>
    <row r="25" spans="1:22">
      <c r="B25" s="189" t="s">
        <v>52</v>
      </c>
      <c r="K25" s="346"/>
      <c r="L25" s="346"/>
      <c r="M25" s="346"/>
      <c r="N25" s="346"/>
      <c r="U25" s="123"/>
    </row>
    <row r="26" spans="1:22">
      <c r="B26" s="346" t="s">
        <v>462</v>
      </c>
      <c r="K26" s="346"/>
      <c r="L26" s="346"/>
      <c r="M26" s="346"/>
      <c r="N26" s="346"/>
      <c r="U26" s="123"/>
    </row>
    <row r="27" spans="1:22">
      <c r="B27" s="346" t="s">
        <v>1269</v>
      </c>
      <c r="C27" s="257"/>
      <c r="D27" s="257"/>
      <c r="E27" s="257"/>
      <c r="F27" s="255"/>
      <c r="G27" s="315"/>
      <c r="H27" s="672"/>
      <c r="I27" s="399"/>
      <c r="K27" s="346"/>
      <c r="L27" s="346"/>
      <c r="M27" s="346"/>
      <c r="N27" s="346"/>
      <c r="U27" s="123"/>
    </row>
    <row r="28" spans="1:22">
      <c r="B28" s="346" t="s">
        <v>463</v>
      </c>
      <c r="F28" s="255"/>
      <c r="G28" s="315"/>
      <c r="H28" s="672"/>
      <c r="K28" s="346"/>
      <c r="L28" s="346"/>
      <c r="M28" s="346"/>
      <c r="N28" s="346"/>
      <c r="U28" s="123"/>
    </row>
    <row r="29" spans="1:22">
      <c r="B29" s="346" t="s">
        <v>1261</v>
      </c>
      <c r="F29" s="255"/>
      <c r="G29" s="315"/>
      <c r="H29" s="672"/>
      <c r="K29" s="346"/>
      <c r="L29" s="346"/>
      <c r="M29" s="346"/>
      <c r="N29" s="346"/>
      <c r="U29" s="123"/>
    </row>
    <row r="30" spans="1:22">
      <c r="F30" s="255"/>
      <c r="G30" s="315"/>
      <c r="H30" s="672"/>
      <c r="K30" s="346"/>
      <c r="L30" s="346"/>
      <c r="M30" s="346"/>
      <c r="N30" s="346"/>
      <c r="U30" s="123"/>
    </row>
    <row r="31" spans="1:22">
      <c r="K31" s="346"/>
      <c r="L31" s="346"/>
      <c r="M31" s="346"/>
      <c r="N31" s="346"/>
      <c r="U31" s="123"/>
    </row>
    <row r="32" spans="1:22">
      <c r="K32" s="346"/>
      <c r="L32" s="346"/>
      <c r="M32" s="346"/>
      <c r="N32" s="346"/>
      <c r="U32" s="123"/>
    </row>
    <row r="33" spans="11:21">
      <c r="K33" s="346"/>
      <c r="L33" s="346"/>
      <c r="M33" s="346"/>
      <c r="N33" s="346"/>
      <c r="U33" s="123"/>
    </row>
    <row r="34" spans="11:21">
      <c r="K34" s="346"/>
      <c r="L34" s="346"/>
      <c r="M34" s="346"/>
      <c r="N34" s="346"/>
      <c r="U34" s="123"/>
    </row>
    <row r="35" spans="11:21">
      <c r="K35" s="346"/>
      <c r="L35" s="346"/>
      <c r="M35" s="346"/>
      <c r="N35" s="346"/>
      <c r="U35" s="123"/>
    </row>
    <row r="36" spans="11:21">
      <c r="K36" s="346"/>
      <c r="L36" s="346"/>
      <c r="M36" s="346"/>
      <c r="N36" s="346"/>
      <c r="U36" s="123"/>
    </row>
    <row r="37" spans="11:21">
      <c r="K37" s="346"/>
      <c r="L37" s="346"/>
      <c r="M37" s="346"/>
      <c r="N37" s="346"/>
      <c r="U37" s="123"/>
    </row>
    <row r="38" spans="11:21">
      <c r="K38" s="346"/>
      <c r="L38" s="346"/>
      <c r="M38" s="346"/>
      <c r="N38" s="346"/>
      <c r="U38" s="123"/>
    </row>
    <row r="39" spans="11:21">
      <c r="K39" s="346"/>
      <c r="L39" s="346"/>
      <c r="M39" s="346"/>
      <c r="N39" s="346"/>
      <c r="U39" s="123"/>
    </row>
    <row r="40" spans="11:21">
      <c r="K40" s="346"/>
      <c r="L40" s="346"/>
      <c r="M40" s="346"/>
      <c r="N40" s="346"/>
      <c r="U40" s="123"/>
    </row>
    <row r="41" spans="11:21">
      <c r="K41" s="346"/>
      <c r="L41" s="346"/>
      <c r="M41" s="346"/>
      <c r="N41" s="346"/>
      <c r="U41" s="123"/>
    </row>
    <row r="42" spans="11:21">
      <c r="K42" s="346"/>
      <c r="L42" s="346"/>
      <c r="M42" s="346"/>
      <c r="N42" s="346"/>
      <c r="U42" s="123"/>
    </row>
  </sheetData>
  <phoneticPr fontId="10" type="noConversion"/>
  <printOptions horizontalCentered="1"/>
  <pageMargins left="0.5" right="0.5" top="3" bottom="0.5" header="1.5" footer="0.5"/>
  <pageSetup scale="51" pageOrder="overThenDown" orientation="landscape"/>
  <headerFooter alignWithMargins="0">
    <oddHeader>&amp;R&amp;"Arial,Bold"Schedule II-E-2.1
Page &amp;P of &amp;N&amp;C&amp;B
2025 RATE CASE
ONCOR ELECTRIC DELIVERY COMPANY LLC
II-E-2.1  AD VALOREM TAXES &amp;&amp; PLANT BALANCES
TEST YEAR ENDING DECEMBER 31, 2024
SPONSOR: B. L. CLUTTER</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0">
    <pageSetUpPr fitToPage="1"/>
  </sheetPr>
  <dimension ref="A1:E56"/>
  <sheetViews>
    <sheetView zoomScale="85" zoomScaleNormal="85" workbookViewId="0">
      <selection activeCell="H30" sqref="H30"/>
    </sheetView>
  </sheetViews>
  <sheetFormatPr defaultColWidth="9.140625" defaultRowHeight="12.75"/>
  <cols>
    <col min="1" max="1" width="5.28515625" style="111" customWidth="1"/>
    <col min="2" max="2" width="51.140625" style="111" customWidth="1"/>
    <col min="3" max="3" width="22.42578125" style="111" customWidth="1"/>
    <col min="4" max="4" width="20.85546875" style="111" customWidth="1"/>
    <col min="5" max="16384" width="9.140625" style="111"/>
  </cols>
  <sheetData>
    <row r="1" spans="1:4">
      <c r="A1" s="105" t="str">
        <f>+'[3]Input Data'!$A$9</f>
        <v>2025 RATE CASE</v>
      </c>
    </row>
    <row r="2" spans="1:4">
      <c r="A2" s="163" t="str">
        <f>+'[3]Input Data'!$A$2</f>
        <v>ONCOR ELECTRIC DELIVERY COMPANY LLC</v>
      </c>
      <c r="B2" s="248"/>
      <c r="D2" s="249"/>
    </row>
    <row r="3" spans="1:4">
      <c r="A3" s="164" t="str">
        <f>CONCATENATE('[3]Schedule Sponsors'!$A$85,'[3]Schedule Sponsors'!$B$85," - TAX METHOD 1")</f>
        <v>II-E-3   FEDERAL INCOME TAXES - TAX METHOD 1</v>
      </c>
      <c r="D3" s="249"/>
    </row>
    <row r="4" spans="1:4">
      <c r="A4" s="164" t="str">
        <f>+'[3]Input Data'!$A$4</f>
        <v>TEST YEAR ENDING DECEMBER 31, 2024</v>
      </c>
    </row>
    <row r="5" spans="1:4">
      <c r="A5" s="162" t="str">
        <f>CONCATENATE("SPONSOR: ",'[3]Schedule Sponsors'!$D$85)</f>
        <v>SPONSOR: B. L. CLUTTER</v>
      </c>
      <c r="D5" s="249"/>
    </row>
    <row r="6" spans="1:4">
      <c r="B6" s="250"/>
      <c r="C6" s="250"/>
      <c r="D6" s="250"/>
    </row>
    <row r="7" spans="1:4">
      <c r="B7" s="250"/>
      <c r="C7" s="250"/>
      <c r="D7" s="250"/>
    </row>
    <row r="8" spans="1:4">
      <c r="B8" s="250"/>
      <c r="C8" s="250"/>
      <c r="D8" s="250"/>
    </row>
    <row r="9" spans="1:4" ht="13.5" thickBot="1">
      <c r="B9" s="250"/>
      <c r="C9" s="250"/>
      <c r="D9" s="250"/>
    </row>
    <row r="10" spans="1:4" s="189" customFormat="1">
      <c r="A10" s="259" t="s">
        <v>241</v>
      </c>
      <c r="B10" s="251"/>
      <c r="C10" s="251"/>
      <c r="D10" s="251"/>
    </row>
    <row r="11" spans="1:4" s="252" customFormat="1">
      <c r="A11" s="260" t="s">
        <v>139</v>
      </c>
      <c r="B11" s="260" t="s">
        <v>64</v>
      </c>
      <c r="C11" s="260" t="s">
        <v>242</v>
      </c>
      <c r="D11" s="260" t="s">
        <v>243</v>
      </c>
    </row>
    <row r="12" spans="1:4" s="346" customFormat="1" ht="13.5" thickBot="1">
      <c r="A12" s="261"/>
      <c r="B12" s="261" t="s">
        <v>226</v>
      </c>
      <c r="C12" s="261" t="s">
        <v>227</v>
      </c>
      <c r="D12" s="261" t="s">
        <v>228</v>
      </c>
    </row>
    <row r="13" spans="1:4" s="346" customFormat="1">
      <c r="A13" s="253"/>
      <c r="B13" s="253"/>
      <c r="C13" s="253"/>
      <c r="D13" s="253"/>
    </row>
    <row r="14" spans="1:4" s="346" customFormat="1">
      <c r="A14" s="347">
        <v>1</v>
      </c>
      <c r="B14" s="346" t="s">
        <v>158</v>
      </c>
      <c r="C14" s="664">
        <f>+'II-E-3'!E17</f>
        <v>1555644227.1300001</v>
      </c>
      <c r="D14" s="664">
        <f>+'II-E-3'!I17</f>
        <v>1976714756.0800002</v>
      </c>
    </row>
    <row r="15" spans="1:4" s="346" customFormat="1">
      <c r="A15" s="347">
        <f>A14+1</f>
        <v>2</v>
      </c>
      <c r="C15" s="110"/>
      <c r="D15" s="110"/>
    </row>
    <row r="16" spans="1:4" s="346" customFormat="1">
      <c r="A16" s="347">
        <f t="shared" ref="A16:A52" si="0">A15+1</f>
        <v>3</v>
      </c>
      <c r="B16" s="346" t="s">
        <v>244</v>
      </c>
      <c r="C16" s="110"/>
      <c r="D16" s="110"/>
    </row>
    <row r="17" spans="1:4" s="346" customFormat="1">
      <c r="A17" s="347">
        <f t="shared" si="0"/>
        <v>4</v>
      </c>
      <c r="B17" s="346" t="s">
        <v>200</v>
      </c>
      <c r="C17" s="110">
        <f>+'II-E-3'!E20</f>
        <v>653540734.52999997</v>
      </c>
      <c r="D17" s="110">
        <f>+'II-E-3'!I20</f>
        <v>719767622.02999997</v>
      </c>
    </row>
    <row r="18" spans="1:4" s="346" customFormat="1">
      <c r="A18" s="347">
        <f t="shared" si="0"/>
        <v>5</v>
      </c>
      <c r="B18" s="142" t="s">
        <v>213</v>
      </c>
      <c r="C18" s="110">
        <f>+'II-E-3'!E21</f>
        <v>479524.92</v>
      </c>
      <c r="D18" s="110">
        <f>+'II-E-3'!I21</f>
        <v>485229.49</v>
      </c>
    </row>
    <row r="19" spans="1:4" s="346" customFormat="1">
      <c r="A19" s="347">
        <f t="shared" si="0"/>
        <v>6</v>
      </c>
      <c r="B19" s="142" t="s">
        <v>588</v>
      </c>
      <c r="C19" s="110">
        <f>+'II-E-3'!E22</f>
        <v>16233756.41</v>
      </c>
      <c r="D19" s="110">
        <f>+'II-E-3'!I22</f>
        <v>17271740.120000001</v>
      </c>
    </row>
    <row r="20" spans="1:4" s="346" customFormat="1">
      <c r="A20" s="347">
        <f t="shared" si="0"/>
        <v>7</v>
      </c>
      <c r="B20" s="142" t="s">
        <v>589</v>
      </c>
      <c r="C20" s="110">
        <f>+'II-E-3'!E23</f>
        <v>36089813.840000004</v>
      </c>
      <c r="D20" s="110">
        <f>+'II-E-3'!I23</f>
        <v>32588176.080000006</v>
      </c>
    </row>
    <row r="21" spans="1:4" s="346" customFormat="1">
      <c r="A21" s="347">
        <f t="shared" si="0"/>
        <v>8</v>
      </c>
      <c r="B21" s="142" t="s">
        <v>590</v>
      </c>
      <c r="C21" s="110">
        <f>+'II-E-3'!E24</f>
        <v>-1608928.6</v>
      </c>
      <c r="D21" s="110">
        <f>+'II-E-3'!I24</f>
        <v>-3947398.3800000004</v>
      </c>
    </row>
    <row r="22" spans="1:4" s="346" customFormat="1">
      <c r="A22" s="347">
        <f t="shared" si="0"/>
        <v>9</v>
      </c>
      <c r="B22" s="142" t="s">
        <v>1064</v>
      </c>
      <c r="C22" s="110">
        <f>+'II-E-3'!E25</f>
        <v>79367.460000000006</v>
      </c>
      <c r="D22" s="110">
        <f>+'II-E-3'!I25</f>
        <v>79367.460000000006</v>
      </c>
    </row>
    <row r="23" spans="1:4" s="346" customFormat="1">
      <c r="A23" s="347">
        <f t="shared" si="0"/>
        <v>10</v>
      </c>
      <c r="C23" s="352">
        <f>SUM(C17:C22)</f>
        <v>704814268.55999994</v>
      </c>
      <c r="D23" s="352">
        <f>SUM(D17:D22)</f>
        <v>766244736.80000007</v>
      </c>
    </row>
    <row r="24" spans="1:4" s="346" customFormat="1">
      <c r="A24" s="347">
        <f t="shared" si="0"/>
        <v>11</v>
      </c>
      <c r="C24" s="110"/>
      <c r="D24" s="110"/>
    </row>
    <row r="25" spans="1:4" s="346" customFormat="1">
      <c r="A25" s="347">
        <f t="shared" si="0"/>
        <v>12</v>
      </c>
      <c r="B25" s="346" t="s">
        <v>245</v>
      </c>
      <c r="C25" s="110"/>
      <c r="D25" s="110"/>
    </row>
    <row r="26" spans="1:4" s="346" customFormat="1">
      <c r="A26" s="347">
        <f t="shared" si="0"/>
        <v>13</v>
      </c>
      <c r="B26" s="346" t="s">
        <v>374</v>
      </c>
      <c r="C26" s="110">
        <f>+'II-E-3'!E30</f>
        <v>884662.91</v>
      </c>
      <c r="D26" s="110">
        <f>+'II-E-3'!I30</f>
        <v>884662.91</v>
      </c>
    </row>
    <row r="27" spans="1:4" s="346" customFormat="1">
      <c r="A27" s="347">
        <f t="shared" si="0"/>
        <v>14</v>
      </c>
      <c r="B27" s="346" t="s">
        <v>454</v>
      </c>
      <c r="C27" s="110">
        <f>+'II-E-3'!E31</f>
        <v>4310520.8099999996</v>
      </c>
      <c r="D27" s="110">
        <f>+'II-E-3'!I31</f>
        <v>4310520.8099999996</v>
      </c>
    </row>
    <row r="28" spans="1:4" s="346" customFormat="1">
      <c r="A28" s="347">
        <f t="shared" si="0"/>
        <v>15</v>
      </c>
      <c r="B28" s="346" t="s">
        <v>395</v>
      </c>
      <c r="C28" s="110">
        <f>+'II-E-3'!E32</f>
        <v>267483.76</v>
      </c>
      <c r="D28" s="110">
        <f>+'II-E-3'!I32</f>
        <v>0</v>
      </c>
    </row>
    <row r="29" spans="1:4" s="346" customFormat="1">
      <c r="A29" s="347">
        <f t="shared" si="0"/>
        <v>16</v>
      </c>
      <c r="B29" s="538" t="s">
        <v>587</v>
      </c>
      <c r="C29" s="110">
        <f>+'II-E-3'!E33</f>
        <v>1524901.52</v>
      </c>
      <c r="D29" s="110">
        <f>+'II-E-3'!I33</f>
        <v>1524901.52</v>
      </c>
    </row>
    <row r="30" spans="1:4" s="346" customFormat="1">
      <c r="A30" s="347">
        <f t="shared" si="0"/>
        <v>17</v>
      </c>
      <c r="B30" s="346" t="s">
        <v>55</v>
      </c>
      <c r="C30" s="110">
        <f>+'II-E-3'!E34</f>
        <v>-8505119.0000000019</v>
      </c>
      <c r="D30" s="110">
        <f>+'II-E-3'!I34</f>
        <v>-14221770.000000002</v>
      </c>
    </row>
    <row r="31" spans="1:4" s="346" customFormat="1">
      <c r="A31" s="347">
        <f t="shared" si="0"/>
        <v>18</v>
      </c>
      <c r="B31" s="235" t="s">
        <v>1060</v>
      </c>
      <c r="C31" s="110">
        <f>+'II-E-3'!E35</f>
        <v>-19042</v>
      </c>
      <c r="D31" s="110">
        <f>+'II-E-3'!I35</f>
        <v>0</v>
      </c>
    </row>
    <row r="32" spans="1:4" s="346" customFormat="1">
      <c r="A32" s="347">
        <f t="shared" si="0"/>
        <v>19</v>
      </c>
      <c r="B32" s="346" t="s">
        <v>32</v>
      </c>
      <c r="C32" s="110">
        <f>+'II-E-3'!E36</f>
        <v>856722.03</v>
      </c>
      <c r="D32" s="110">
        <f>+'II-E-3'!I36</f>
        <v>0</v>
      </c>
    </row>
    <row r="33" spans="1:5" s="346" customFormat="1">
      <c r="A33" s="347">
        <f t="shared" si="0"/>
        <v>20</v>
      </c>
      <c r="C33" s="352">
        <f>SUM(C26:C32)</f>
        <v>-679869.97000000183</v>
      </c>
      <c r="D33" s="352">
        <f>SUM(D26:D32)</f>
        <v>-7501684.7600000016</v>
      </c>
      <c r="E33" s="110"/>
    </row>
    <row r="34" spans="1:5" s="346" customFormat="1">
      <c r="A34" s="347">
        <f t="shared" si="0"/>
        <v>21</v>
      </c>
      <c r="C34" s="110"/>
      <c r="D34" s="110"/>
    </row>
    <row r="35" spans="1:5" s="346" customFormat="1">
      <c r="A35" s="347">
        <f t="shared" si="0"/>
        <v>22</v>
      </c>
      <c r="B35" s="346" t="s">
        <v>161</v>
      </c>
      <c r="C35" s="110">
        <f>+C14-C23+C33</f>
        <v>850150088.60000014</v>
      </c>
      <c r="D35" s="110">
        <f>+D14-D23+D33</f>
        <v>1202968334.5200002</v>
      </c>
    </row>
    <row r="36" spans="1:5" s="346" customFormat="1">
      <c r="A36" s="347">
        <f t="shared" si="0"/>
        <v>23</v>
      </c>
      <c r="B36" s="346" t="s">
        <v>162</v>
      </c>
      <c r="C36" s="254">
        <f>(1/0.79)*0.21</f>
        <v>0.26582278481012656</v>
      </c>
      <c r="D36" s="254">
        <f>(1/0.79)*0.21</f>
        <v>0.26582278481012656</v>
      </c>
    </row>
    <row r="37" spans="1:5" s="346" customFormat="1">
      <c r="A37" s="347">
        <f t="shared" si="0"/>
        <v>24</v>
      </c>
      <c r="C37" s="110"/>
      <c r="D37" s="110"/>
    </row>
    <row r="38" spans="1:5" s="346" customFormat="1">
      <c r="A38" s="347">
        <f t="shared" si="0"/>
        <v>25</v>
      </c>
      <c r="B38" s="346" t="s">
        <v>948</v>
      </c>
      <c r="C38" s="110">
        <f>ROUND(+C35*C36,2)</f>
        <v>225989264.06</v>
      </c>
      <c r="D38" s="110">
        <f>ROUND(+D35*D36,2)</f>
        <v>319776392.72000003</v>
      </c>
    </row>
    <row r="39" spans="1:5" s="346" customFormat="1">
      <c r="A39" s="347">
        <f t="shared" si="0"/>
        <v>26</v>
      </c>
      <c r="C39" s="110"/>
      <c r="D39" s="110"/>
    </row>
    <row r="40" spans="1:5" s="346" customFormat="1">
      <c r="A40" s="347">
        <f t="shared" si="0"/>
        <v>27</v>
      </c>
      <c r="B40" s="346" t="s">
        <v>1016</v>
      </c>
      <c r="C40" s="110"/>
      <c r="D40" s="110"/>
    </row>
    <row r="41" spans="1:5" s="346" customFormat="1">
      <c r="A41" s="347">
        <f t="shared" si="0"/>
        <v>28</v>
      </c>
      <c r="B41" s="142" t="s">
        <v>213</v>
      </c>
      <c r="C41" s="110">
        <f>+'II-E-3'!E44</f>
        <v>479524.92</v>
      </c>
      <c r="D41" s="110">
        <f>+'II-E-3'!I44</f>
        <v>485229.49</v>
      </c>
    </row>
    <row r="42" spans="1:5" s="346" customFormat="1">
      <c r="A42" s="347">
        <f t="shared" si="0"/>
        <v>29</v>
      </c>
      <c r="B42" s="142" t="s">
        <v>588</v>
      </c>
      <c r="C42" s="110">
        <f>+'II-E-3'!E45</f>
        <v>16233756.41</v>
      </c>
      <c r="D42" s="110">
        <f>+'II-E-3'!I45</f>
        <v>17271740.120000001</v>
      </c>
    </row>
    <row r="43" spans="1:5" s="346" customFormat="1">
      <c r="A43" s="347">
        <f t="shared" si="0"/>
        <v>30</v>
      </c>
      <c r="B43" s="142" t="s">
        <v>589</v>
      </c>
      <c r="C43" s="110">
        <f>+'II-E-3'!E46</f>
        <v>36089813.840000004</v>
      </c>
      <c r="D43" s="110">
        <f>+'II-E-3'!I46</f>
        <v>32588176.080000006</v>
      </c>
    </row>
    <row r="44" spans="1:5" s="346" customFormat="1">
      <c r="A44" s="347">
        <f t="shared" si="0"/>
        <v>31</v>
      </c>
      <c r="B44" s="142" t="s">
        <v>590</v>
      </c>
      <c r="C44" s="110">
        <f>+'II-E-3'!E47</f>
        <v>-1608928.6</v>
      </c>
      <c r="D44" s="110">
        <f>+'II-E-3'!I47</f>
        <v>-3947398.3800000004</v>
      </c>
    </row>
    <row r="45" spans="1:5" s="346" customFormat="1">
      <c r="A45" s="347">
        <f t="shared" si="0"/>
        <v>32</v>
      </c>
      <c r="B45" s="142" t="s">
        <v>1064</v>
      </c>
      <c r="C45" s="110">
        <f>+'II-E-3'!E48</f>
        <v>79367.460000000006</v>
      </c>
      <c r="D45" s="110">
        <f>+'II-E-3'!I48</f>
        <v>79367.460000000006</v>
      </c>
    </row>
    <row r="46" spans="1:5" s="346" customFormat="1">
      <c r="A46" s="347">
        <f t="shared" si="0"/>
        <v>33</v>
      </c>
      <c r="B46" s="142"/>
      <c r="C46" s="110"/>
      <c r="D46" s="110"/>
    </row>
    <row r="47" spans="1:5" s="346" customFormat="1">
      <c r="A47" s="347">
        <f t="shared" si="0"/>
        <v>34</v>
      </c>
      <c r="B47" s="346" t="s">
        <v>245</v>
      </c>
      <c r="C47" s="110"/>
      <c r="D47" s="110"/>
    </row>
    <row r="48" spans="1:5" s="346" customFormat="1">
      <c r="A48" s="347">
        <f t="shared" si="0"/>
        <v>35</v>
      </c>
      <c r="B48" s="346" t="s">
        <v>374</v>
      </c>
      <c r="C48" s="110">
        <f>+'II-E-3'!E51</f>
        <v>884662.91</v>
      </c>
      <c r="D48" s="110">
        <f>+'II-E-3'!I51</f>
        <v>884662.91</v>
      </c>
    </row>
    <row r="49" spans="1:5" s="346" customFormat="1">
      <c r="A49" s="347">
        <f t="shared" si="0"/>
        <v>36</v>
      </c>
      <c r="B49" s="235" t="s">
        <v>1060</v>
      </c>
      <c r="C49" s="110">
        <f>+'II-E-3'!E52</f>
        <v>-19042</v>
      </c>
      <c r="D49" s="110">
        <f>+'II-E-3'!I52</f>
        <v>0</v>
      </c>
    </row>
    <row r="50" spans="1:5" s="346" customFormat="1">
      <c r="A50" s="347">
        <f t="shared" si="0"/>
        <v>37</v>
      </c>
      <c r="B50" s="346" t="s">
        <v>32</v>
      </c>
      <c r="C50" s="110">
        <f>C32</f>
        <v>856722.03</v>
      </c>
      <c r="D50" s="110">
        <f>+'II-E-3'!I53</f>
        <v>0</v>
      </c>
    </row>
    <row r="51" spans="1:5" s="346" customFormat="1">
      <c r="A51" s="347">
        <f t="shared" si="0"/>
        <v>38</v>
      </c>
      <c r="C51" s="110"/>
      <c r="D51" s="110"/>
    </row>
    <row r="52" spans="1:5" s="346" customFormat="1" ht="13.5" thickBot="1">
      <c r="A52" s="347">
        <f t="shared" si="0"/>
        <v>39</v>
      </c>
      <c r="B52" s="346" t="s">
        <v>246</v>
      </c>
      <c r="C52" s="665">
        <f>C38-SUM(C41:C45)+SUM(C48:C50)</f>
        <v>176438072.97</v>
      </c>
      <c r="D52" s="665">
        <f>D38-SUM(D41:D45)+SUM(D48:D50)</f>
        <v>274183940.86000007</v>
      </c>
    </row>
    <row r="53" spans="1:5" s="346" customFormat="1" ht="13.5" thickTop="1"/>
    <row r="54" spans="1:5" s="346" customFormat="1">
      <c r="C54" s="256">
        <f>+'II-E-3'!E54</f>
        <v>176438072.97</v>
      </c>
      <c r="D54" s="256">
        <f>+'II-E-3'!I54</f>
        <v>274183940.86000007</v>
      </c>
      <c r="E54" s="257" t="s">
        <v>396</v>
      </c>
    </row>
    <row r="55" spans="1:5" s="346" customFormat="1">
      <c r="C55" s="258">
        <f>C54-C52</f>
        <v>0</v>
      </c>
      <c r="D55" s="258">
        <f>+D52-D54</f>
        <v>0</v>
      </c>
    </row>
    <row r="56" spans="1:5">
      <c r="C56" s="258"/>
      <c r="D56" s="258"/>
    </row>
  </sheetData>
  <phoneticPr fontId="10" type="noConversion"/>
  <pageMargins left="1.5" right="0.5" top="2.5" bottom="0.5" header="1" footer="0.5"/>
  <pageSetup scale="84" pageOrder="overThenDown" orientation="portrait"/>
  <headerFooter alignWithMargins="0">
    <oddHeader>&amp;R&amp;"Arial,Bold"Schedule &amp;A
Page &amp;P of &amp;N&amp;C&amp;B
2025 RATE CASE
ONCOR ELECTRIC DELIVERY COMPANY LLC
II-E-3   FEDERAL INCOME TAXES - TAX METHOD 1
TEST YEAR ENDING DECEMBER 31, 2024
SPONSOR: B. L. CLUTTER</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Y135"/>
  <sheetViews>
    <sheetView zoomScale="80" zoomScaleNormal="80" workbookViewId="0">
      <pane xSplit="3" ySplit="13" topLeftCell="H51" activePane="bottomRight" state="frozen"/>
      <selection activeCell="E19" sqref="E19"/>
      <selection pane="topRight" activeCell="E19" sqref="E19"/>
      <selection pane="bottomLeft" activeCell="E19" sqref="E19"/>
      <selection pane="bottomRight" activeCell="E17" sqref="E17:W54"/>
    </sheetView>
  </sheetViews>
  <sheetFormatPr defaultColWidth="9.140625" defaultRowHeight="12.75"/>
  <cols>
    <col min="1" max="1" width="5.7109375" style="169" customWidth="1"/>
    <col min="2" max="2" width="8.85546875" style="200" customWidth="1"/>
    <col min="3" max="3" width="44.42578125" style="200" customWidth="1"/>
    <col min="4" max="4" width="14.140625" style="201" customWidth="1"/>
    <col min="5" max="9" width="17.7109375" style="200" customWidth="1"/>
    <col min="10" max="10" width="13.7109375" style="200" customWidth="1"/>
    <col min="11" max="11" width="17.7109375" style="202" customWidth="1"/>
    <col min="12" max="12" width="5.7109375" style="200" customWidth="1"/>
    <col min="13" max="13" width="16.85546875" style="202" bestFit="1" customWidth="1"/>
    <col min="14" max="14" width="22.7109375" style="200" bestFit="1" customWidth="1"/>
    <col min="15" max="15" width="17.7109375" style="200" customWidth="1"/>
    <col min="16" max="16" width="13.85546875" style="200" bestFit="1" customWidth="1"/>
    <col min="17" max="23" width="17.7109375" style="200" customWidth="1"/>
    <col min="24" max="24" width="8.140625" style="203" bestFit="1" customWidth="1"/>
    <col min="25" max="25" width="15.85546875" style="204" bestFit="1" customWidth="1"/>
    <col min="26" max="16384" width="9.140625" style="200"/>
  </cols>
  <sheetData>
    <row r="1" spans="1:25">
      <c r="A1" s="199" t="str">
        <f>+'[3]Input Data'!$A$9</f>
        <v>2025 RATE CASE</v>
      </c>
    </row>
    <row r="2" spans="1:25">
      <c r="A2" s="163" t="str">
        <f>+'[3]Input Data'!$A$2</f>
        <v>ONCOR ELECTRIC DELIVERY COMPANY LLC</v>
      </c>
      <c r="B2" s="169"/>
      <c r="C2" s="169"/>
      <c r="D2" s="199"/>
      <c r="E2" s="169"/>
      <c r="F2" s="205"/>
      <c r="G2" s="169"/>
      <c r="H2" s="169"/>
      <c r="I2" s="169"/>
      <c r="J2" s="169"/>
      <c r="K2" s="206"/>
      <c r="L2" s="169"/>
      <c r="M2" s="206"/>
      <c r="N2" s="139"/>
      <c r="O2" s="142"/>
      <c r="P2" s="142"/>
      <c r="Q2" s="142"/>
      <c r="R2" s="169"/>
      <c r="S2" s="169"/>
      <c r="T2" s="169"/>
      <c r="U2" s="169"/>
      <c r="V2" s="169"/>
      <c r="W2" s="169"/>
    </row>
    <row r="3" spans="1:25">
      <c r="A3" s="164" t="str">
        <f>CONCATENATE('[3]Schedule Sponsors'!$A$85,'[3]Schedule Sponsors'!$B$85)</f>
        <v>II-E-3   FEDERAL INCOME TAXES</v>
      </c>
      <c r="B3" s="139"/>
      <c r="D3" s="199"/>
      <c r="E3" s="207"/>
      <c r="F3" s="208"/>
      <c r="G3" s="169"/>
      <c r="H3" s="169"/>
      <c r="I3" s="169"/>
      <c r="J3" s="169"/>
      <c r="K3" s="206"/>
      <c r="L3" s="169"/>
      <c r="M3" s="206"/>
      <c r="N3" s="192"/>
      <c r="O3" s="192"/>
      <c r="P3" s="192"/>
      <c r="Q3" s="192"/>
      <c r="R3" s="169"/>
      <c r="S3" s="169"/>
      <c r="T3" s="169"/>
      <c r="U3" s="169"/>
      <c r="V3" s="169"/>
      <c r="W3" s="169"/>
    </row>
    <row r="4" spans="1:25">
      <c r="A4" s="164" t="str">
        <f>+'[3]Input Data'!$A$4</f>
        <v>TEST YEAR ENDING DECEMBER 31, 2024</v>
      </c>
      <c r="B4" s="139"/>
      <c r="D4" s="199"/>
      <c r="E4" s="207"/>
      <c r="F4" s="208"/>
      <c r="G4" s="169"/>
      <c r="H4" s="633"/>
      <c r="I4" s="169"/>
      <c r="J4" s="169"/>
      <c r="K4" s="206"/>
      <c r="L4" s="169"/>
      <c r="M4" s="206"/>
      <c r="N4" s="209"/>
      <c r="O4" s="209"/>
      <c r="P4" s="209"/>
      <c r="Q4" s="209"/>
      <c r="R4" s="169"/>
      <c r="S4" s="169"/>
      <c r="T4" s="169"/>
      <c r="U4" s="169"/>
      <c r="V4" s="169"/>
      <c r="W4" s="169"/>
    </row>
    <row r="5" spans="1:25">
      <c r="A5" s="162" t="str">
        <f>CONCATENATE("SPONSOR: ",'[3]Schedule Sponsors'!$D$85)</f>
        <v>SPONSOR: B. L. CLUTTER</v>
      </c>
      <c r="B5" s="139"/>
      <c r="D5" s="199"/>
      <c r="E5" s="633"/>
      <c r="F5" s="169"/>
      <c r="G5" s="169"/>
      <c r="H5" s="169"/>
      <c r="I5" s="169"/>
      <c r="J5" s="169"/>
      <c r="K5" s="206"/>
      <c r="L5" s="169"/>
      <c r="M5" s="206"/>
      <c r="N5" s="169"/>
      <c r="O5" s="169"/>
      <c r="P5" s="169"/>
      <c r="Q5" s="169"/>
      <c r="R5" s="169"/>
      <c r="S5" s="169"/>
      <c r="T5" s="169"/>
      <c r="U5" s="169"/>
      <c r="V5" s="169"/>
      <c r="W5" s="169"/>
    </row>
    <row r="6" spans="1:25">
      <c r="B6" s="139"/>
      <c r="D6" s="199"/>
      <c r="E6" s="207"/>
      <c r="F6" s="169"/>
      <c r="G6" s="169"/>
      <c r="H6" s="633"/>
      <c r="I6" s="169"/>
      <c r="J6" s="169"/>
      <c r="K6" s="206"/>
      <c r="L6" s="169"/>
      <c r="M6" s="206"/>
      <c r="N6" s="169"/>
      <c r="O6" s="169"/>
      <c r="P6" s="169"/>
      <c r="Q6" s="169"/>
      <c r="R6" s="169"/>
      <c r="S6" s="169"/>
      <c r="T6" s="169"/>
      <c r="U6" s="169"/>
      <c r="V6" s="169"/>
      <c r="W6" s="169"/>
    </row>
    <row r="7" spans="1:25">
      <c r="B7" s="139"/>
      <c r="D7" s="199"/>
      <c r="E7" s="207"/>
      <c r="F7" s="207"/>
      <c r="G7" s="169"/>
      <c r="H7" s="633"/>
      <c r="I7" s="207"/>
      <c r="J7" s="169"/>
      <c r="K7" s="206"/>
      <c r="L7" s="169"/>
      <c r="M7" s="206"/>
      <c r="N7" s="169"/>
      <c r="O7" s="169"/>
      <c r="P7" s="169"/>
      <c r="Q7" s="169"/>
      <c r="R7" s="169"/>
      <c r="S7" s="169"/>
      <c r="T7" s="169"/>
      <c r="U7" s="169"/>
      <c r="V7" s="169"/>
      <c r="W7" s="169"/>
    </row>
    <row r="8" spans="1:25">
      <c r="B8" s="199"/>
      <c r="C8" s="169"/>
      <c r="D8" s="199"/>
      <c r="E8" s="169"/>
      <c r="F8" s="169"/>
      <c r="G8" s="169"/>
      <c r="H8" s="169"/>
      <c r="I8" s="169"/>
      <c r="J8" s="169"/>
      <c r="K8" s="206"/>
      <c r="L8" s="169"/>
      <c r="M8" s="206"/>
      <c r="N8" s="169"/>
      <c r="O8" s="169"/>
      <c r="P8" s="169"/>
      <c r="Q8" s="169"/>
      <c r="R8" s="169"/>
      <c r="S8" s="169"/>
      <c r="T8" s="169"/>
      <c r="U8" s="169"/>
      <c r="V8" s="169"/>
      <c r="W8" s="169"/>
    </row>
    <row r="9" spans="1:25" ht="13.5" thickBot="1">
      <c r="B9" s="169" t="s">
        <v>67</v>
      </c>
      <c r="C9" s="169"/>
      <c r="D9" s="199"/>
      <c r="E9" s="210"/>
      <c r="F9" s="210"/>
      <c r="G9" s="210"/>
      <c r="H9" s="210"/>
      <c r="I9" s="210"/>
      <c r="J9" s="210"/>
      <c r="K9" s="210"/>
      <c r="L9" s="210"/>
      <c r="M9" s="210"/>
      <c r="N9" s="210"/>
      <c r="O9" s="210"/>
      <c r="P9" s="210"/>
      <c r="Q9" s="210"/>
      <c r="R9" s="210"/>
      <c r="S9" s="210"/>
      <c r="T9" s="210"/>
      <c r="U9" s="210"/>
      <c r="V9" s="210"/>
      <c r="W9" s="210"/>
    </row>
    <row r="10" spans="1:25" s="199" customFormat="1">
      <c r="A10" s="211"/>
      <c r="B10" s="211"/>
      <c r="C10" s="211"/>
      <c r="D10" s="211"/>
      <c r="E10" s="211"/>
      <c r="F10" s="211"/>
      <c r="G10" s="212" t="s">
        <v>61</v>
      </c>
      <c r="H10" s="212" t="s">
        <v>379</v>
      </c>
      <c r="I10" s="212" t="s">
        <v>62</v>
      </c>
      <c r="J10" s="212" t="s">
        <v>79</v>
      </c>
      <c r="K10" s="212" t="s">
        <v>269</v>
      </c>
      <c r="L10" s="211"/>
      <c r="M10" s="212" t="s">
        <v>338</v>
      </c>
      <c r="N10" s="212"/>
      <c r="O10" s="212"/>
      <c r="P10" s="212"/>
      <c r="Q10" s="212"/>
      <c r="R10" s="212"/>
      <c r="S10" s="212"/>
      <c r="T10" s="212"/>
      <c r="U10" s="212"/>
      <c r="V10" s="212"/>
      <c r="W10" s="212"/>
      <c r="X10" s="95"/>
      <c r="Y10" s="503"/>
    </row>
    <row r="11" spans="1:25" s="199" customFormat="1">
      <c r="A11" s="165" t="s">
        <v>241</v>
      </c>
      <c r="B11" s="165" t="s">
        <v>69</v>
      </c>
      <c r="C11" s="165"/>
      <c r="D11" s="165" t="s">
        <v>66</v>
      </c>
      <c r="E11" s="213" t="s">
        <v>71</v>
      </c>
      <c r="F11" s="165" t="s">
        <v>72</v>
      </c>
      <c r="G11" s="165" t="s">
        <v>63</v>
      </c>
      <c r="H11" s="165" t="s">
        <v>380</v>
      </c>
      <c r="I11" s="165" t="s">
        <v>61</v>
      </c>
      <c r="J11" s="165" t="s">
        <v>269</v>
      </c>
      <c r="K11" s="165" t="s">
        <v>43</v>
      </c>
      <c r="L11" s="165" t="s">
        <v>74</v>
      </c>
      <c r="M11" s="165" t="s">
        <v>75</v>
      </c>
      <c r="N11" s="165"/>
      <c r="O11" s="165" t="s">
        <v>571</v>
      </c>
      <c r="P11" s="165" t="s">
        <v>572</v>
      </c>
      <c r="Q11" s="165" t="s">
        <v>574</v>
      </c>
      <c r="R11" s="165"/>
      <c r="S11" s="165" t="s">
        <v>571</v>
      </c>
      <c r="T11" s="165" t="s">
        <v>574</v>
      </c>
      <c r="U11" s="165"/>
      <c r="V11" s="165"/>
      <c r="W11" s="165"/>
      <c r="X11" s="95"/>
      <c r="Y11" s="503"/>
    </row>
    <row r="12" spans="1:25" s="199" customFormat="1">
      <c r="A12" s="165" t="s">
        <v>268</v>
      </c>
      <c r="B12" s="165" t="s">
        <v>203</v>
      </c>
      <c r="C12" s="165" t="s">
        <v>64</v>
      </c>
      <c r="D12" s="165" t="s">
        <v>68</v>
      </c>
      <c r="E12" s="213" t="s">
        <v>76</v>
      </c>
      <c r="F12" s="165" t="s">
        <v>77</v>
      </c>
      <c r="G12" s="165" t="s">
        <v>78</v>
      </c>
      <c r="H12" s="165" t="s">
        <v>381</v>
      </c>
      <c r="I12" s="165" t="s">
        <v>63</v>
      </c>
      <c r="J12" s="165" t="s">
        <v>75</v>
      </c>
      <c r="K12" s="165" t="s">
        <v>79</v>
      </c>
      <c r="L12" s="165" t="s">
        <v>80</v>
      </c>
      <c r="M12" s="165" t="s">
        <v>81</v>
      </c>
      <c r="N12" s="165" t="s">
        <v>198</v>
      </c>
      <c r="O12" s="165" t="s">
        <v>198</v>
      </c>
      <c r="P12" s="165" t="s">
        <v>575</v>
      </c>
      <c r="Q12" s="165" t="s">
        <v>198</v>
      </c>
      <c r="R12" s="165" t="s">
        <v>199</v>
      </c>
      <c r="S12" s="165" t="s">
        <v>199</v>
      </c>
      <c r="T12" s="165" t="s">
        <v>199</v>
      </c>
      <c r="U12" s="165" t="s">
        <v>194</v>
      </c>
      <c r="V12" s="165" t="s">
        <v>279</v>
      </c>
      <c r="W12" s="165" t="s">
        <v>73</v>
      </c>
      <c r="X12" s="95"/>
      <c r="Y12" s="503"/>
    </row>
    <row r="13" spans="1:25" s="199" customFormat="1" ht="13.5" thickBot="1">
      <c r="A13" s="214"/>
      <c r="B13" s="215" t="s">
        <v>226</v>
      </c>
      <c r="C13" s="215" t="s">
        <v>227</v>
      </c>
      <c r="D13" s="215" t="s">
        <v>228</v>
      </c>
      <c r="E13" s="215" t="s">
        <v>229</v>
      </c>
      <c r="F13" s="215" t="s">
        <v>230</v>
      </c>
      <c r="G13" s="215" t="s">
        <v>231</v>
      </c>
      <c r="H13" s="215" t="s">
        <v>232</v>
      </c>
      <c r="I13" s="215" t="s">
        <v>233</v>
      </c>
      <c r="J13" s="215" t="s">
        <v>234</v>
      </c>
      <c r="K13" s="215" t="s">
        <v>235</v>
      </c>
      <c r="L13" s="215" t="s">
        <v>236</v>
      </c>
      <c r="M13" s="215" t="s">
        <v>237</v>
      </c>
      <c r="N13" s="215" t="s">
        <v>238</v>
      </c>
      <c r="O13" s="215" t="s">
        <v>239</v>
      </c>
      <c r="P13" s="215" t="s">
        <v>240</v>
      </c>
      <c r="Q13" s="215" t="s">
        <v>140</v>
      </c>
      <c r="R13" s="215" t="s">
        <v>270</v>
      </c>
      <c r="S13" s="215" t="s">
        <v>280</v>
      </c>
      <c r="T13" s="215" t="s">
        <v>281</v>
      </c>
      <c r="U13" s="215" t="s">
        <v>473</v>
      </c>
      <c r="V13" s="215" t="s">
        <v>474</v>
      </c>
      <c r="W13" s="215" t="s">
        <v>475</v>
      </c>
      <c r="X13" s="95"/>
      <c r="Y13" s="503"/>
    </row>
    <row r="14" spans="1:25" s="169" customFormat="1" ht="12.75" customHeight="1">
      <c r="A14" s="216"/>
      <c r="B14" s="216"/>
      <c r="C14" s="216"/>
      <c r="D14" s="217"/>
      <c r="E14" s="216"/>
      <c r="F14" s="216"/>
      <c r="G14" s="216"/>
      <c r="H14" s="216"/>
      <c r="I14" s="216"/>
      <c r="J14" s="216"/>
      <c r="K14" s="218"/>
      <c r="L14" s="216"/>
      <c r="M14" s="218"/>
      <c r="N14" s="216"/>
      <c r="O14" s="216"/>
      <c r="P14" s="216"/>
      <c r="Q14" s="216"/>
      <c r="R14" s="216"/>
      <c r="S14" s="216"/>
      <c r="T14" s="216"/>
      <c r="U14" s="216"/>
      <c r="V14" s="216"/>
      <c r="W14" s="216"/>
      <c r="X14" s="219"/>
      <c r="Y14" s="220"/>
    </row>
    <row r="15" spans="1:25" s="188" customFormat="1">
      <c r="A15" s="221">
        <v>1</v>
      </c>
      <c r="B15" s="40" t="s">
        <v>157</v>
      </c>
      <c r="D15" s="166"/>
      <c r="E15" s="195"/>
      <c r="F15" s="195"/>
      <c r="G15" s="195"/>
      <c r="H15" s="195"/>
      <c r="I15" s="195"/>
      <c r="J15" s="195"/>
      <c r="L15" s="195"/>
      <c r="M15" s="166"/>
      <c r="N15" s="195"/>
      <c r="O15" s="195"/>
      <c r="P15" s="195"/>
      <c r="Q15" s="195"/>
      <c r="R15" s="195"/>
      <c r="S15" s="195"/>
      <c r="T15" s="195"/>
      <c r="U15" s="195"/>
      <c r="V15" s="195"/>
      <c r="W15" s="195"/>
      <c r="X15" s="222"/>
      <c r="Y15" s="223"/>
    </row>
    <row r="16" spans="1:25" s="142" customFormat="1">
      <c r="A16" s="221">
        <f>+A15+1</f>
        <v>2</v>
      </c>
      <c r="D16" s="166"/>
      <c r="E16" s="140"/>
      <c r="F16" s="140"/>
      <c r="G16" s="140"/>
      <c r="H16" s="140"/>
      <c r="I16" s="140"/>
      <c r="J16" s="140"/>
      <c r="K16" s="221"/>
      <c r="L16" s="140"/>
      <c r="M16" s="221"/>
      <c r="N16" s="140"/>
      <c r="O16" s="375"/>
      <c r="P16" s="375"/>
      <c r="Q16" s="375"/>
      <c r="R16" s="140"/>
      <c r="S16" s="375"/>
      <c r="T16" s="375"/>
      <c r="U16" s="140"/>
      <c r="V16" s="375"/>
      <c r="W16" s="140"/>
      <c r="X16" s="224"/>
      <c r="Y16" s="225"/>
    </row>
    <row r="17" spans="1:25" s="188" customFormat="1">
      <c r="A17" s="221">
        <f t="shared" ref="A17:A54" si="0">+A16+1</f>
        <v>3</v>
      </c>
      <c r="C17" s="226" t="s">
        <v>158</v>
      </c>
      <c r="D17" s="166" t="s">
        <v>373</v>
      </c>
      <c r="E17" s="447">
        <f>+'[2]Ret &amp; Int'!$D$23</f>
        <v>1555644227.1300001</v>
      </c>
      <c r="F17" s="447">
        <v>0</v>
      </c>
      <c r="G17" s="447">
        <f>SUM(E17:F17)</f>
        <v>1555644227.1300001</v>
      </c>
      <c r="H17" s="447">
        <f>+'[2]Ret &amp; Int'!$E$23</f>
        <v>421070528.94999999</v>
      </c>
      <c r="I17" s="447">
        <f>+G17+H17</f>
        <v>1976714756.0800002</v>
      </c>
      <c r="J17" s="227">
        <v>1</v>
      </c>
      <c r="K17" s="447">
        <f>+I17*J17</f>
        <v>1976714756.0800002</v>
      </c>
      <c r="L17" s="195"/>
      <c r="M17" s="327" t="s">
        <v>387</v>
      </c>
      <c r="N17" s="447">
        <f>+'[2]Ret &amp; Int'!G23</f>
        <v>827295386.49000001</v>
      </c>
      <c r="O17" s="447">
        <f>+'[2]Ret &amp; Int'!H23</f>
        <v>82898105.900000006</v>
      </c>
      <c r="P17" s="447">
        <f>+'[2]Ret &amp; Int'!I23</f>
        <v>690085.35</v>
      </c>
      <c r="Q17" s="447">
        <f>+'[2]Ret &amp; Int'!J23</f>
        <v>910883577.74000001</v>
      </c>
      <c r="R17" s="447">
        <f>+'[2]Ret &amp; Int'!K23</f>
        <v>1009018361.9299999</v>
      </c>
      <c r="S17" s="447">
        <f>+'[2]Ret &amp; Int'!L23</f>
        <v>6673855.4100000001</v>
      </c>
      <c r="T17" s="447">
        <f>+'[2]Ret &amp; Int'!M23</f>
        <v>1015692217.3399999</v>
      </c>
      <c r="U17" s="447">
        <f>+'[2]Ret &amp; Int'!N23</f>
        <v>32952955.559999999</v>
      </c>
      <c r="V17" s="447">
        <f>+'[2]Ret &amp; Int'!O23</f>
        <v>17186005.440000001</v>
      </c>
      <c r="W17" s="447">
        <f>+Q17+T17+U17+V17</f>
        <v>1976714756.0799999</v>
      </c>
      <c r="X17" s="230" t="b">
        <f>+K17=W17</f>
        <v>1</v>
      </c>
      <c r="Y17" s="225">
        <f>+K17-W17</f>
        <v>0</v>
      </c>
    </row>
    <row r="18" spans="1:25" s="142" customFormat="1">
      <c r="A18" s="221">
        <f t="shared" si="0"/>
        <v>4</v>
      </c>
      <c r="D18" s="166"/>
      <c r="E18" s="375"/>
      <c r="F18" s="375"/>
      <c r="G18" s="375"/>
      <c r="H18" s="375"/>
      <c r="I18" s="375"/>
      <c r="J18" s="227"/>
      <c r="K18" s="221"/>
      <c r="L18" s="375"/>
      <c r="M18" s="221"/>
      <c r="N18" s="375"/>
      <c r="O18" s="375"/>
      <c r="P18" s="375"/>
      <c r="Q18" s="375"/>
      <c r="R18" s="375"/>
      <c r="S18" s="375"/>
      <c r="T18" s="375"/>
      <c r="U18" s="375"/>
      <c r="V18" s="375"/>
      <c r="W18" s="375"/>
      <c r="X18" s="224"/>
      <c r="Y18" s="225"/>
    </row>
    <row r="19" spans="1:25" s="142" customFormat="1">
      <c r="A19" s="221">
        <f t="shared" si="0"/>
        <v>5</v>
      </c>
      <c r="C19" s="188" t="s">
        <v>159</v>
      </c>
      <c r="D19" s="166"/>
      <c r="E19" s="375"/>
      <c r="F19" s="375"/>
      <c r="G19" s="375"/>
      <c r="H19" s="375"/>
      <c r="I19" s="375"/>
      <c r="J19" s="227"/>
      <c r="K19" s="221"/>
      <c r="L19" s="375"/>
      <c r="M19" s="221"/>
      <c r="N19" s="375"/>
      <c r="O19" s="375"/>
      <c r="P19" s="375"/>
      <c r="Q19" s="375"/>
      <c r="R19" s="375"/>
      <c r="S19" s="375"/>
      <c r="T19" s="375"/>
      <c r="U19" s="375"/>
      <c r="V19" s="375"/>
      <c r="W19" s="375"/>
      <c r="X19" s="224"/>
      <c r="Y19" s="225"/>
    </row>
    <row r="20" spans="1:25" s="142" customFormat="1">
      <c r="A20" s="221">
        <f t="shared" si="0"/>
        <v>6</v>
      </c>
      <c r="C20" s="142" t="s">
        <v>200</v>
      </c>
      <c r="D20" s="186" t="s">
        <v>839</v>
      </c>
      <c r="E20" s="447">
        <f>ROUND(+'[2]Ret &amp; Int'!$D$26,2)</f>
        <v>653540734.52999997</v>
      </c>
      <c r="F20" s="447">
        <v>0</v>
      </c>
      <c r="G20" s="447">
        <f t="shared" ref="G20:G25" si="1">SUM(E20:F20)</f>
        <v>653540734.52999997</v>
      </c>
      <c r="H20" s="447">
        <f>ROUND(+'[2]Ret &amp; Int'!$E$26,2)</f>
        <v>66226887.5</v>
      </c>
      <c r="I20" s="447">
        <f t="shared" ref="I20:I25" si="2">+G20+H20</f>
        <v>719767622.02999997</v>
      </c>
      <c r="J20" s="227">
        <v>1</v>
      </c>
      <c r="K20" s="228">
        <f>ROUND(+I20*J20,2)</f>
        <v>719767622.02999997</v>
      </c>
      <c r="L20" s="375"/>
      <c r="M20" s="327" t="s">
        <v>387</v>
      </c>
      <c r="N20" s="650">
        <f>ROUND(+'[2]Ret &amp; Int'!G26,2)</f>
        <v>301237409.81</v>
      </c>
      <c r="O20" s="650">
        <f>ROUND(+'[2]Ret &amp; Int'!H26,2)</f>
        <v>30185120.219999999</v>
      </c>
      <c r="P20" s="650">
        <f>ROUND(+'[2]Ret &amp; Int'!I26,2)</f>
        <v>251276.06</v>
      </c>
      <c r="Q20" s="650">
        <f>SUM(N20:P20)</f>
        <v>331673806.08999997</v>
      </c>
      <c r="R20" s="650">
        <f>ROUND(+'[2]Ret &amp; Int'!K26,2)</f>
        <v>367406953.74000001</v>
      </c>
      <c r="S20" s="650">
        <f>ROUND(+'[2]Ret &amp; Int'!L26,2)</f>
        <v>2430105.3199999998</v>
      </c>
      <c r="T20" s="650">
        <f>SUM(R20:S20)</f>
        <v>369837059.06</v>
      </c>
      <c r="U20" s="650">
        <f>ROUND(+'[2]Ret &amp; Int'!N26,2)</f>
        <v>11998934.289999999</v>
      </c>
      <c r="V20" s="650">
        <f>ROUND(+'[2]Ret &amp; Int'!O26,2)</f>
        <v>6257822.5999999996</v>
      </c>
      <c r="W20" s="447">
        <f>+N20+O20+P20+R20+S20+U20+V20</f>
        <v>719767622.03999996</v>
      </c>
      <c r="X20" s="230" t="b">
        <f>+K20=W20</f>
        <v>0</v>
      </c>
      <c r="Y20" s="225">
        <f>+K20-W20</f>
        <v>-9.9999904632568359E-3</v>
      </c>
    </row>
    <row r="21" spans="1:25" s="142" customFormat="1">
      <c r="A21" s="221">
        <f t="shared" si="0"/>
        <v>7</v>
      </c>
      <c r="C21" s="142" t="s">
        <v>213</v>
      </c>
      <c r="D21" s="186" t="s">
        <v>1014</v>
      </c>
      <c r="E21" s="410">
        <f>-'[2]Op ETR'!$G$36</f>
        <v>479524.92</v>
      </c>
      <c r="F21" s="410">
        <v>0</v>
      </c>
      <c r="G21" s="410">
        <f t="shared" si="1"/>
        <v>479524.92</v>
      </c>
      <c r="H21" s="410">
        <f>+I21-G21</f>
        <v>5704.570000000007</v>
      </c>
      <c r="I21" s="410">
        <v>485229.49</v>
      </c>
      <c r="J21" s="227">
        <v>1</v>
      </c>
      <c r="K21" s="410">
        <f t="shared" ref="K21:K25" si="3">+I21*J21</f>
        <v>485229.49</v>
      </c>
      <c r="L21" s="375"/>
      <c r="M21" s="327" t="s">
        <v>387</v>
      </c>
      <c r="N21" s="515">
        <f>+K21</f>
        <v>485229.49</v>
      </c>
      <c r="O21" s="515">
        <v>0</v>
      </c>
      <c r="P21" s="515">
        <v>0</v>
      </c>
      <c r="Q21" s="515">
        <f>SUM(N21:P21)</f>
        <v>485229.49</v>
      </c>
      <c r="R21" s="515">
        <v>0</v>
      </c>
      <c r="S21" s="515">
        <v>0</v>
      </c>
      <c r="T21" s="515">
        <f>SUM(R21:S21)</f>
        <v>0</v>
      </c>
      <c r="U21" s="515">
        <v>0</v>
      </c>
      <c r="V21" s="515">
        <v>0</v>
      </c>
      <c r="W21" s="515">
        <f>+Q21+T21+U21+V21</f>
        <v>485229.49</v>
      </c>
      <c r="X21" s="230" t="b">
        <f>+K21=W21</f>
        <v>1</v>
      </c>
      <c r="Y21" s="225">
        <f>+K21-W21</f>
        <v>0</v>
      </c>
    </row>
    <row r="22" spans="1:25" s="142" customFormat="1">
      <c r="A22" s="221">
        <f t="shared" si="0"/>
        <v>8</v>
      </c>
      <c r="C22" s="142" t="s">
        <v>588</v>
      </c>
      <c r="D22" s="186" t="s">
        <v>1013</v>
      </c>
      <c r="E22" s="410">
        <f>-'[2]Op ETR'!$G$29</f>
        <v>16233756.41</v>
      </c>
      <c r="F22" s="410">
        <v>0</v>
      </c>
      <c r="G22" s="410">
        <f t="shared" si="1"/>
        <v>16233756.41</v>
      </c>
      <c r="H22" s="410">
        <f>ROUND(+'II-E-3.18'!F19,2)</f>
        <v>1037983.71</v>
      </c>
      <c r="I22" s="410">
        <f t="shared" si="2"/>
        <v>17271740.120000001</v>
      </c>
      <c r="J22" s="227">
        <v>1</v>
      </c>
      <c r="K22" s="410">
        <f t="shared" si="3"/>
        <v>17271740.120000001</v>
      </c>
      <c r="L22" s="375"/>
      <c r="M22" s="327" t="s">
        <v>387</v>
      </c>
      <c r="N22" s="410">
        <f>+'II-E-3.18'!M19</f>
        <v>6948808.5300000003</v>
      </c>
      <c r="O22" s="410">
        <f>+'II-E-3.18'!N19</f>
        <v>1838746.88</v>
      </c>
      <c r="P22" s="410">
        <f>+'II-E-3.18'!O19</f>
        <v>5969.9</v>
      </c>
      <c r="Q22" s="410">
        <f t="shared" ref="Q22:Q25" si="4">SUM(N22:P22)</f>
        <v>8793525.3100000005</v>
      </c>
      <c r="R22" s="410">
        <f>+'II-E-3.18'!Q19</f>
        <v>7936236.2800000003</v>
      </c>
      <c r="S22" s="410">
        <f>+'II-E-3.18'!R19</f>
        <v>146868.38</v>
      </c>
      <c r="T22" s="410">
        <f t="shared" ref="T22:T24" si="5">SUM(R22:S22)</f>
        <v>8083104.6600000001</v>
      </c>
      <c r="U22" s="410">
        <f>+'II-E-3.18'!T19</f>
        <v>237864.14</v>
      </c>
      <c r="V22" s="410">
        <f>+'II-E-3.18'!U19</f>
        <v>157246.0099999985</v>
      </c>
      <c r="W22" s="410">
        <f>+Q22+T22+U22+V22</f>
        <v>17271740.119999997</v>
      </c>
      <c r="X22" s="230" t="b">
        <f>+K22=W22</f>
        <v>1</v>
      </c>
      <c r="Y22" s="225">
        <f>+K22-W22</f>
        <v>0</v>
      </c>
    </row>
    <row r="23" spans="1:25" s="142" customFormat="1">
      <c r="A23" s="221">
        <f t="shared" si="0"/>
        <v>9</v>
      </c>
      <c r="C23" s="142" t="s">
        <v>589</v>
      </c>
      <c r="D23" s="186" t="s">
        <v>1013</v>
      </c>
      <c r="E23" s="410">
        <f>-'[2]Op ETR'!$G$30</f>
        <v>36089813.840000004</v>
      </c>
      <c r="F23" s="410">
        <v>0</v>
      </c>
      <c r="G23" s="410">
        <f t="shared" si="1"/>
        <v>36089813.840000004</v>
      </c>
      <c r="H23" s="410">
        <f>+'II-E-3.18'!F24+'II-E-3.18'!F30</f>
        <v>-3501637.7599999993</v>
      </c>
      <c r="I23" s="410">
        <f t="shared" si="2"/>
        <v>32588176.080000006</v>
      </c>
      <c r="J23" s="227">
        <v>1</v>
      </c>
      <c r="K23" s="410">
        <f t="shared" si="3"/>
        <v>32588176.080000006</v>
      </c>
      <c r="L23" s="375"/>
      <c r="M23" s="327" t="s">
        <v>387</v>
      </c>
      <c r="N23" s="410">
        <f>+'II-E-3.18'!M26+'II-E-3.18'!M27+'II-E-3.18'!M22</f>
        <v>11745181.179999998</v>
      </c>
      <c r="O23" s="410">
        <f>+'II-E-3.18'!N28+'II-E-3.18'!N29+'II-E-3.18'!N23</f>
        <v>-263925.28000000003</v>
      </c>
      <c r="P23" s="410">
        <f>+'II-E-3.18'!O26+'II-E-3.18'!O27+'II-E-3.18'!O22</f>
        <v>20328.059999999998</v>
      </c>
      <c r="Q23" s="410">
        <f t="shared" si="4"/>
        <v>11501583.959999999</v>
      </c>
      <c r="R23" s="410">
        <f>+'II-E-3.18'!Q26+'II-E-3.18'!Q27+'II-E-3.18'!Q22</f>
        <v>18862682.34</v>
      </c>
      <c r="S23" s="410">
        <f>+'II-E-3.18'!R28+'II-E-3.18'!R29+'II-E-3.18'!R23</f>
        <v>-21323.58</v>
      </c>
      <c r="T23" s="410">
        <f t="shared" si="5"/>
        <v>18841358.760000002</v>
      </c>
      <c r="U23" s="410">
        <f>+'II-E-3.18'!T26+'II-E-3.18'!T27+'II-E-3.18'!T22</f>
        <v>2497334.4699999997</v>
      </c>
      <c r="V23" s="410">
        <f>+'II-E-3.18'!U26+'II-E-3.18'!U27+'II-E-3.18'!U22</f>
        <v>-252101.1100000001</v>
      </c>
      <c r="W23" s="410">
        <f>+Q23+T23+U23+V23</f>
        <v>32588176.079999998</v>
      </c>
      <c r="X23" s="230" t="b">
        <f t="shared" ref="X23:X24" si="6">+K23=W23</f>
        <v>1</v>
      </c>
      <c r="Y23" s="225">
        <f t="shared" ref="Y23:Y25" si="7">+K23-W23</f>
        <v>0</v>
      </c>
    </row>
    <row r="24" spans="1:25" s="142" customFormat="1">
      <c r="A24" s="221">
        <f t="shared" si="0"/>
        <v>10</v>
      </c>
      <c r="C24" s="142" t="s">
        <v>590</v>
      </c>
      <c r="D24" s="186" t="s">
        <v>1013</v>
      </c>
      <c r="E24" s="410">
        <f>-'[2]Op ETR'!$G$31</f>
        <v>-1608928.6</v>
      </c>
      <c r="F24" s="410">
        <v>0</v>
      </c>
      <c r="G24" s="410">
        <f t="shared" si="1"/>
        <v>-1608928.6</v>
      </c>
      <c r="H24" s="410">
        <f>+'II-E-3.18'!F32+'II-E-3.18'!F33</f>
        <v>-2338469.7800000003</v>
      </c>
      <c r="I24" s="410">
        <f t="shared" si="2"/>
        <v>-3947398.3800000004</v>
      </c>
      <c r="J24" s="227">
        <v>1</v>
      </c>
      <c r="K24" s="410">
        <f t="shared" si="3"/>
        <v>-3947398.3800000004</v>
      </c>
      <c r="L24" s="375"/>
      <c r="M24" s="327" t="s">
        <v>387</v>
      </c>
      <c r="N24" s="410">
        <f>+'II-E-3.18'!M32</f>
        <v>-2772127.43</v>
      </c>
      <c r="O24" s="410">
        <f>+'II-E-3.18'!N33</f>
        <v>1991696.63</v>
      </c>
      <c r="P24" s="410">
        <f>+'II-E-3.18'!O32</f>
        <v>-2381.61</v>
      </c>
      <c r="Q24" s="410">
        <f t="shared" si="4"/>
        <v>-782812.41000000027</v>
      </c>
      <c r="R24" s="410">
        <f>+'II-E-3.18'!Q32</f>
        <v>-3166047.5599999996</v>
      </c>
      <c r="S24" s="410">
        <f>+'II-E-3.18'!R33</f>
        <v>159085.12</v>
      </c>
      <c r="T24" s="410">
        <f t="shared" si="5"/>
        <v>-3006962.4399999995</v>
      </c>
      <c r="U24" s="410">
        <f>+'II-E-3.18'!T32</f>
        <v>-94892.49</v>
      </c>
      <c r="V24" s="410">
        <f>+'II-E-3.18'!U32</f>
        <v>-62731.040000000001</v>
      </c>
      <c r="W24" s="410">
        <f t="shared" ref="W24" si="8">+Q24+T24+U24+V24</f>
        <v>-3947398.38</v>
      </c>
      <c r="X24" s="230" t="b">
        <f t="shared" si="6"/>
        <v>1</v>
      </c>
      <c r="Y24" s="225">
        <f t="shared" si="7"/>
        <v>0</v>
      </c>
    </row>
    <row r="25" spans="1:25" s="142" customFormat="1">
      <c r="A25" s="221">
        <f t="shared" si="0"/>
        <v>11</v>
      </c>
      <c r="C25" s="142" t="s">
        <v>1064</v>
      </c>
      <c r="D25" s="186" t="s">
        <v>382</v>
      </c>
      <c r="E25" s="410">
        <f>-'[2]Op ETR'!$G$37</f>
        <v>79367.460000000006</v>
      </c>
      <c r="F25" s="410">
        <v>0</v>
      </c>
      <c r="G25" s="410">
        <f t="shared" si="1"/>
        <v>79367.460000000006</v>
      </c>
      <c r="H25" s="410">
        <v>0</v>
      </c>
      <c r="I25" s="410">
        <f t="shared" si="2"/>
        <v>79367.460000000006</v>
      </c>
      <c r="J25" s="227">
        <v>1</v>
      </c>
      <c r="K25" s="410">
        <f t="shared" si="3"/>
        <v>79367.460000000006</v>
      </c>
      <c r="L25" s="375"/>
      <c r="M25" s="190" t="s">
        <v>684</v>
      </c>
      <c r="N25" s="515">
        <f>ROUND(+$K25*'[5]II-F Alloc_Factor'!E$38,2)</f>
        <v>36079.08</v>
      </c>
      <c r="O25" s="515">
        <f>ROUND(+$K25*'[5]II-F Alloc_Factor'!F$38,2)</f>
        <v>0</v>
      </c>
      <c r="P25" s="515">
        <f>ROUND(+$K25*'[5]II-F Alloc_Factor'!G$38,2)</f>
        <v>31</v>
      </c>
      <c r="Q25" s="410">
        <f t="shared" si="4"/>
        <v>36110.080000000002</v>
      </c>
      <c r="R25" s="515">
        <f>ROUND(+$K25*'[5]II-F Alloc_Factor'!I$38,2)</f>
        <v>41205.93</v>
      </c>
      <c r="S25" s="515">
        <f>ROUND(+$K25*'[5]II-F Alloc_Factor'!J$38,2)</f>
        <v>0</v>
      </c>
      <c r="T25" s="515">
        <f>ROUND(+$K25*'[5]II-F Alloc_Factor'!K$38,2)</f>
        <v>41205.93</v>
      </c>
      <c r="U25" s="515">
        <f>ROUND(+$K25*'[5]II-F Alloc_Factor'!L$38,2)</f>
        <v>1235.02</v>
      </c>
      <c r="V25" s="410">
        <f>+K25-N25-O25-P25-R25-S25-U25</f>
        <v>816.43000000000438</v>
      </c>
      <c r="W25" s="410">
        <f>+Q25+T25+U25+V25</f>
        <v>79367.460000000021</v>
      </c>
      <c r="X25" s="230" t="b">
        <f>+K25=W25</f>
        <v>1</v>
      </c>
      <c r="Y25" s="225">
        <f t="shared" si="7"/>
        <v>0</v>
      </c>
    </row>
    <row r="26" spans="1:25" s="142" customFormat="1">
      <c r="A26" s="221">
        <f t="shared" si="0"/>
        <v>12</v>
      </c>
      <c r="D26" s="166"/>
      <c r="E26" s="232"/>
      <c r="F26" s="232"/>
      <c r="G26" s="232"/>
      <c r="H26" s="232"/>
      <c r="I26" s="232"/>
      <c r="J26" s="227"/>
      <c r="K26" s="232"/>
      <c r="L26" s="375"/>
      <c r="M26" s="221"/>
      <c r="N26" s="232"/>
      <c r="O26" s="232"/>
      <c r="P26" s="232"/>
      <c r="Q26" s="232"/>
      <c r="R26" s="232"/>
      <c r="S26" s="232"/>
      <c r="T26" s="232"/>
      <c r="U26" s="232"/>
      <c r="V26" s="232"/>
      <c r="W26" s="232"/>
      <c r="X26" s="224"/>
      <c r="Y26" s="225"/>
    </row>
    <row r="27" spans="1:25" s="188" customFormat="1">
      <c r="A27" s="221">
        <f t="shared" si="0"/>
        <v>13</v>
      </c>
      <c r="C27" s="233" t="s">
        <v>84</v>
      </c>
      <c r="D27" s="166"/>
      <c r="E27" s="448">
        <f>SUM(E20:E25)</f>
        <v>704814268.55999994</v>
      </c>
      <c r="F27" s="448">
        <f>SUM(F20:F25)</f>
        <v>0</v>
      </c>
      <c r="G27" s="448">
        <f>SUM(G20:G25)</f>
        <v>704814268.55999994</v>
      </c>
      <c r="H27" s="448">
        <f>SUM(H20:H25)</f>
        <v>61430468.240000002</v>
      </c>
      <c r="I27" s="448">
        <f>SUM(I20:I25)</f>
        <v>766244736.80000007</v>
      </c>
      <c r="J27" s="234"/>
      <c r="K27" s="448">
        <f>SUM(K20:K25)</f>
        <v>766244736.80000007</v>
      </c>
      <c r="L27" s="195"/>
      <c r="M27" s="166"/>
      <c r="N27" s="448">
        <f t="shared" ref="N27:W27" si="9">SUM(N20:N25)</f>
        <v>317680580.65999997</v>
      </c>
      <c r="O27" s="448">
        <f t="shared" si="9"/>
        <v>33751638.449999996</v>
      </c>
      <c r="P27" s="448">
        <f t="shared" si="9"/>
        <v>275223.41000000003</v>
      </c>
      <c r="Q27" s="448">
        <f t="shared" si="9"/>
        <v>351707442.51999992</v>
      </c>
      <c r="R27" s="448">
        <f t="shared" si="9"/>
        <v>391081030.72999996</v>
      </c>
      <c r="S27" s="448">
        <f t="shared" si="9"/>
        <v>2714735.2399999998</v>
      </c>
      <c r="T27" s="448">
        <f t="shared" si="9"/>
        <v>393795765.97000003</v>
      </c>
      <c r="U27" s="448">
        <f t="shared" si="9"/>
        <v>14640475.429999998</v>
      </c>
      <c r="V27" s="448">
        <f t="shared" si="9"/>
        <v>6101052.8899999978</v>
      </c>
      <c r="W27" s="448">
        <f t="shared" si="9"/>
        <v>766244736.81000006</v>
      </c>
      <c r="X27" s="230" t="b">
        <f>+K27=W27</f>
        <v>0</v>
      </c>
      <c r="Y27" s="225">
        <f>+K27-W27</f>
        <v>-9.9999904632568359E-3</v>
      </c>
    </row>
    <row r="28" spans="1:25" s="142" customFormat="1">
      <c r="A28" s="221">
        <f t="shared" si="0"/>
        <v>14</v>
      </c>
      <c r="D28" s="166"/>
      <c r="E28" s="375"/>
      <c r="F28" s="375"/>
      <c r="G28" s="375"/>
      <c r="H28" s="375"/>
      <c r="I28" s="375"/>
      <c r="J28" s="227"/>
      <c r="K28" s="221"/>
      <c r="L28" s="375"/>
      <c r="M28" s="221"/>
      <c r="N28" s="375"/>
      <c r="O28" s="375"/>
      <c r="P28" s="375"/>
      <c r="Q28" s="375"/>
      <c r="R28" s="375"/>
      <c r="S28" s="375"/>
      <c r="T28" s="375"/>
      <c r="U28" s="375"/>
      <c r="V28" s="375"/>
      <c r="W28" s="375"/>
      <c r="X28" s="224"/>
      <c r="Y28" s="225"/>
    </row>
    <row r="29" spans="1:25" s="188" customFormat="1">
      <c r="A29" s="221">
        <f t="shared" si="0"/>
        <v>15</v>
      </c>
      <c r="C29" s="188" t="s">
        <v>160</v>
      </c>
      <c r="D29" s="166"/>
      <c r="E29" s="195"/>
      <c r="F29" s="195"/>
      <c r="G29" s="195"/>
      <c r="H29" s="195"/>
      <c r="I29" s="195"/>
      <c r="J29" s="234"/>
      <c r="K29" s="166"/>
      <c r="L29" s="195"/>
      <c r="M29" s="166"/>
      <c r="N29" s="195"/>
      <c r="O29" s="195"/>
      <c r="P29" s="195"/>
      <c r="Q29" s="195"/>
      <c r="R29" s="195"/>
      <c r="S29" s="195"/>
      <c r="T29" s="195"/>
      <c r="U29" s="195"/>
      <c r="V29" s="195"/>
      <c r="W29" s="195"/>
      <c r="X29" s="224"/>
      <c r="Y29" s="225"/>
    </row>
    <row r="30" spans="1:25" s="142" customFormat="1">
      <c r="A30" s="221">
        <f t="shared" si="0"/>
        <v>16</v>
      </c>
      <c r="C30" s="235" t="s">
        <v>374</v>
      </c>
      <c r="D30" s="173" t="s">
        <v>382</v>
      </c>
      <c r="E30" s="447">
        <f>+'[2]Op ETR'!$G$32</f>
        <v>884662.91</v>
      </c>
      <c r="F30" s="447">
        <v>0</v>
      </c>
      <c r="G30" s="447">
        <f>SUM(E30:F30)</f>
        <v>884662.91</v>
      </c>
      <c r="H30" s="447">
        <v>0</v>
      </c>
      <c r="I30" s="447">
        <f>+G30+H30</f>
        <v>884662.91</v>
      </c>
      <c r="J30" s="227">
        <v>1</v>
      </c>
      <c r="K30" s="447">
        <f>+I30*J30</f>
        <v>884662.91</v>
      </c>
      <c r="L30" s="140"/>
      <c r="M30" s="190" t="s">
        <v>684</v>
      </c>
      <c r="N30" s="519">
        <f>ROUND(+$K30*'[5]II-F Alloc_Factor'!E$38,2)</f>
        <v>402152.49</v>
      </c>
      <c r="O30" s="519">
        <f>ROUND(+$K30*'[5]II-F Alloc_Factor'!F$38,2)</f>
        <v>0</v>
      </c>
      <c r="P30" s="519">
        <f>ROUND(+$K30*'[5]II-F Alloc_Factor'!G$38,2)</f>
        <v>345.5</v>
      </c>
      <c r="Q30" s="519">
        <f>ROUND(+$K30*'[5]II-F Alloc_Factor'!H$38,2)</f>
        <v>402497.99</v>
      </c>
      <c r="R30" s="519">
        <f>ROUND(+$K30*'[5]II-F Alloc_Factor'!I$38,2)</f>
        <v>459298.48</v>
      </c>
      <c r="S30" s="519">
        <f>ROUND(+$K30*'[5]II-F Alloc_Factor'!J$38,2)</f>
        <v>0</v>
      </c>
      <c r="T30" s="519">
        <f>ROUND(+$K30*'[5]II-F Alloc_Factor'!K$38,2)</f>
        <v>459298.48</v>
      </c>
      <c r="U30" s="519">
        <f>ROUND(+$K30*'[5]II-F Alloc_Factor'!L$38,2)</f>
        <v>13766.05</v>
      </c>
      <c r="V30" s="519">
        <f>ROUND(+$K30*'[5]II-F Alloc_Factor'!M$38,2)</f>
        <v>9100.39</v>
      </c>
      <c r="W30" s="447">
        <f t="shared" ref="W30" si="10">+Q30+T30+U30+V30</f>
        <v>884662.91</v>
      </c>
      <c r="X30" s="230" t="b">
        <f>+K30=W30</f>
        <v>1</v>
      </c>
      <c r="Y30" s="225">
        <f>+K30-W30</f>
        <v>0</v>
      </c>
    </row>
    <row r="31" spans="1:25" s="142" customFormat="1">
      <c r="A31" s="221">
        <f t="shared" si="0"/>
        <v>17</v>
      </c>
      <c r="C31" s="142" t="s">
        <v>394</v>
      </c>
      <c r="D31" s="173" t="s">
        <v>382</v>
      </c>
      <c r="E31" s="410">
        <f>+'[2]Op ETR'!$F$15</f>
        <v>4310520.8099999996</v>
      </c>
      <c r="F31" s="410">
        <v>0</v>
      </c>
      <c r="G31" s="410">
        <f t="shared" ref="G31:G36" si="11">SUM(E31:F31)</f>
        <v>4310520.8099999996</v>
      </c>
      <c r="H31" s="410">
        <v>0</v>
      </c>
      <c r="I31" s="410">
        <f t="shared" ref="I31:I36" si="12">+G31+H31</f>
        <v>4310520.8099999996</v>
      </c>
      <c r="J31" s="227">
        <v>1</v>
      </c>
      <c r="K31" s="410">
        <f t="shared" ref="K31:K36" si="13">+I31*J31</f>
        <v>4310520.8099999996</v>
      </c>
      <c r="L31" s="140"/>
      <c r="M31" s="221" t="s">
        <v>13</v>
      </c>
      <c r="N31" s="410">
        <f>ROUND(+$K$31*'[5]II-F Alloc_Factor'!E17,2)</f>
        <v>969088.11</v>
      </c>
      <c r="O31" s="410">
        <f>ROUND(+$K$31*'[5]II-F Alloc_Factor'!F17,2)</f>
        <v>0</v>
      </c>
      <c r="P31" s="410">
        <f>ROUND(+$K$31*'[5]II-F Alloc_Factor'!G17,2)</f>
        <v>0</v>
      </c>
      <c r="Q31" s="410">
        <f t="shared" ref="Q31:Q36" si="14">SUM(N31:P31)</f>
        <v>969088.11</v>
      </c>
      <c r="R31" s="410">
        <f>ROUND(+$K$31*'[5]II-F Alloc_Factor'!I17,2)</f>
        <v>2588073.41</v>
      </c>
      <c r="S31" s="410">
        <f>ROUND(+$K$31*'[5]II-F Alloc_Factor'!J17,2)</f>
        <v>0</v>
      </c>
      <c r="T31" s="410">
        <f t="shared" ref="T31:T36" si="15">SUM(R31:S31)</f>
        <v>2588073.41</v>
      </c>
      <c r="U31" s="410">
        <f>ROUND(+$K$31*'[5]II-F Alloc_Factor'!L17,2)</f>
        <v>723694.89</v>
      </c>
      <c r="V31" s="410">
        <f>+K31-N31-O31-P31-R31-S31-U31</f>
        <v>29664.399999999558</v>
      </c>
      <c r="W31" s="410">
        <f t="shared" ref="W31:W36" si="16">+Q31+T31+U31+V31</f>
        <v>4310520.8099999996</v>
      </c>
      <c r="X31" s="230" t="b">
        <f>+K31=W31</f>
        <v>1</v>
      </c>
      <c r="Y31" s="225">
        <f>+K31-W31</f>
        <v>0</v>
      </c>
    </row>
    <row r="32" spans="1:25" s="142" customFormat="1" ht="12.6" customHeight="1">
      <c r="A32" s="221">
        <f t="shared" si="0"/>
        <v>18</v>
      </c>
      <c r="C32" s="142" t="s">
        <v>395</v>
      </c>
      <c r="D32" s="173" t="s">
        <v>382</v>
      </c>
      <c r="E32" s="410">
        <f>+'[2]Op ETR'!$F$18</f>
        <v>267483.76</v>
      </c>
      <c r="F32" s="410">
        <v>0</v>
      </c>
      <c r="G32" s="410">
        <f t="shared" si="11"/>
        <v>267483.76</v>
      </c>
      <c r="H32" s="410">
        <f>-G32</f>
        <v>-267483.76</v>
      </c>
      <c r="I32" s="410">
        <f t="shared" si="12"/>
        <v>0</v>
      </c>
      <c r="J32" s="227">
        <v>1</v>
      </c>
      <c r="K32" s="410">
        <f t="shared" si="13"/>
        <v>0</v>
      </c>
      <c r="L32" s="140"/>
      <c r="M32" s="221"/>
      <c r="N32" s="410">
        <v>0</v>
      </c>
      <c r="O32" s="410"/>
      <c r="P32" s="410"/>
      <c r="Q32" s="410">
        <f t="shared" si="14"/>
        <v>0</v>
      </c>
      <c r="R32" s="410">
        <v>0</v>
      </c>
      <c r="S32" s="410"/>
      <c r="T32" s="410">
        <f t="shared" si="15"/>
        <v>0</v>
      </c>
      <c r="U32" s="410">
        <v>0</v>
      </c>
      <c r="V32" s="410">
        <v>0</v>
      </c>
      <c r="W32" s="410">
        <f t="shared" si="16"/>
        <v>0</v>
      </c>
      <c r="X32" s="230" t="b">
        <f t="shared" ref="X32:X33" si="17">+K32=W32</f>
        <v>1</v>
      </c>
      <c r="Y32" s="225">
        <f t="shared" ref="Y32:Y34" si="18">+K32-W32</f>
        <v>0</v>
      </c>
    </row>
    <row r="33" spans="1:25" s="142" customFormat="1">
      <c r="A33" s="221">
        <f t="shared" si="0"/>
        <v>19</v>
      </c>
      <c r="C33" s="538" t="s">
        <v>587</v>
      </c>
      <c r="D33" s="173" t="s">
        <v>382</v>
      </c>
      <c r="E33" s="410">
        <f>+'[2]Op ETR'!$F$19</f>
        <v>1524901.52</v>
      </c>
      <c r="F33" s="410">
        <v>0</v>
      </c>
      <c r="G33" s="410">
        <f t="shared" si="11"/>
        <v>1524901.52</v>
      </c>
      <c r="H33" s="410">
        <v>0</v>
      </c>
      <c r="I33" s="410">
        <f t="shared" si="12"/>
        <v>1524901.52</v>
      </c>
      <c r="J33" s="227">
        <v>1</v>
      </c>
      <c r="K33" s="410">
        <f t="shared" si="13"/>
        <v>1524901.52</v>
      </c>
      <c r="L33" s="375"/>
      <c r="M33" s="221" t="s">
        <v>13</v>
      </c>
      <c r="N33" s="410">
        <f>ROUND(+$K$33*'[5]II-F Alloc_Factor'!E17,2)</f>
        <v>342827.24</v>
      </c>
      <c r="O33" s="410">
        <f>ROUND(+$K$33*'[5]II-F Alloc_Factor'!F17,2)</f>
        <v>0</v>
      </c>
      <c r="P33" s="410">
        <f>ROUND(+$K$33*'[5]II-F Alloc_Factor'!G17,2)</f>
        <v>0</v>
      </c>
      <c r="Q33" s="410">
        <f t="shared" si="14"/>
        <v>342827.24</v>
      </c>
      <c r="R33" s="410">
        <f>ROUND(+$K$33*'[5]II-F Alloc_Factor'!I17,2)</f>
        <v>915563.86</v>
      </c>
      <c r="S33" s="410">
        <f>ROUND(+$K$33*'[5]II-F Alloc_Factor'!J17,2)</f>
        <v>0</v>
      </c>
      <c r="T33" s="410">
        <f t="shared" si="15"/>
        <v>915563.86</v>
      </c>
      <c r="U33" s="410">
        <f>ROUND(+$K$33*'[5]II-F Alloc_Factor'!L17,2)</f>
        <v>256016.27</v>
      </c>
      <c r="V33" s="410">
        <f>+K33-N33-O33-P33-R33-S33-U33</f>
        <v>10494.150000000052</v>
      </c>
      <c r="W33" s="410">
        <f t="shared" ref="W33:W34" si="19">+Q33+T33+U33+V33</f>
        <v>1524901.5200000003</v>
      </c>
      <c r="X33" s="230" t="b">
        <f t="shared" si="17"/>
        <v>1</v>
      </c>
      <c r="Y33" s="225">
        <f t="shared" si="18"/>
        <v>0</v>
      </c>
    </row>
    <row r="34" spans="1:25" s="142" customFormat="1">
      <c r="A34" s="221">
        <f t="shared" si="0"/>
        <v>20</v>
      </c>
      <c r="C34" s="142" t="s">
        <v>55</v>
      </c>
      <c r="D34" s="173" t="s">
        <v>382</v>
      </c>
      <c r="E34" s="410">
        <f>+'[2]Op ETR'!$F$21+'[2]Op ETR'!$F$24</f>
        <v>-8505119.0000000019</v>
      </c>
      <c r="F34" s="410">
        <v>0</v>
      </c>
      <c r="G34" s="410">
        <f t="shared" si="11"/>
        <v>-8505119.0000000019</v>
      </c>
      <c r="H34" s="410">
        <f>-'[2]Op ETR'!$F$24</f>
        <v>-5716651</v>
      </c>
      <c r="I34" s="410">
        <f t="shared" si="12"/>
        <v>-14221770.000000002</v>
      </c>
      <c r="J34" s="227">
        <v>1</v>
      </c>
      <c r="K34" s="410">
        <f t="shared" si="13"/>
        <v>-14221770.000000002</v>
      </c>
      <c r="L34" s="140"/>
      <c r="M34" s="221" t="s">
        <v>386</v>
      </c>
      <c r="N34" s="410">
        <f>ROUND(+$K$34*'[5]II-F Alloc_Factor'!E27,2)</f>
        <v>-2968971.78</v>
      </c>
      <c r="O34" s="410">
        <f>ROUND(+$K$34*'[5]II-F Alloc_Factor'!F27,2)</f>
        <v>0</v>
      </c>
      <c r="P34" s="410">
        <f>ROUND(+$K$34*'[5]II-F Alloc_Factor'!G27,2)</f>
        <v>0</v>
      </c>
      <c r="Q34" s="410">
        <f t="shared" si="14"/>
        <v>-2968971.78</v>
      </c>
      <c r="R34" s="410">
        <f>ROUND(+$K$34*'[5]II-F Alloc_Factor'!I27,2)</f>
        <v>-7595322.4699999997</v>
      </c>
      <c r="S34" s="410">
        <f>ROUND(+$K$34*'[5]II-F Alloc_Factor'!J27,2)</f>
        <v>0</v>
      </c>
      <c r="T34" s="410">
        <f t="shared" si="15"/>
        <v>-7595322.4699999997</v>
      </c>
      <c r="U34" s="410">
        <f>ROUND(+$K$34*'[5]II-F Alloc_Factor'!L27,2)</f>
        <v>-2721141.47</v>
      </c>
      <c r="V34" s="410">
        <f>+K34-N34-O34-P34-R34-S34-U34</f>
        <v>-936334.28000000259</v>
      </c>
      <c r="W34" s="410">
        <f t="shared" si="19"/>
        <v>-14221770.000000004</v>
      </c>
      <c r="X34" s="230" t="b">
        <f>+K34=W34</f>
        <v>1</v>
      </c>
      <c r="Y34" s="225">
        <f t="shared" si="18"/>
        <v>0</v>
      </c>
    </row>
    <row r="35" spans="1:25" s="142" customFormat="1">
      <c r="A35" s="221">
        <f t="shared" si="0"/>
        <v>21</v>
      </c>
      <c r="C35" s="142" t="s">
        <v>1060</v>
      </c>
      <c r="D35" s="173" t="s">
        <v>382</v>
      </c>
      <c r="E35" s="410">
        <f>+'[2]Op ETR'!$G$38</f>
        <v>-19042</v>
      </c>
      <c r="F35" s="410">
        <v>0</v>
      </c>
      <c r="G35" s="410">
        <f t="shared" si="11"/>
        <v>-19042</v>
      </c>
      <c r="H35" s="410">
        <f>-G35</f>
        <v>19042</v>
      </c>
      <c r="I35" s="410">
        <f t="shared" si="12"/>
        <v>0</v>
      </c>
      <c r="J35" s="227">
        <v>1</v>
      </c>
      <c r="K35" s="410">
        <f t="shared" si="13"/>
        <v>0</v>
      </c>
      <c r="L35" s="375"/>
      <c r="M35" s="221"/>
      <c r="N35" s="410">
        <v>0</v>
      </c>
      <c r="O35" s="410">
        <v>0</v>
      </c>
      <c r="P35" s="410">
        <v>0</v>
      </c>
      <c r="Q35" s="410">
        <f t="shared" si="14"/>
        <v>0</v>
      </c>
      <c r="R35" s="410">
        <v>0</v>
      </c>
      <c r="S35" s="410">
        <v>0</v>
      </c>
      <c r="T35" s="410">
        <f t="shared" si="15"/>
        <v>0</v>
      </c>
      <c r="U35" s="410">
        <v>0</v>
      </c>
      <c r="V35" s="410">
        <v>0</v>
      </c>
      <c r="W35" s="410">
        <f t="shared" si="16"/>
        <v>0</v>
      </c>
      <c r="X35" s="230" t="b">
        <f>+K35=W35</f>
        <v>1</v>
      </c>
      <c r="Y35" s="225">
        <f t="shared" ref="Y35" si="20">+K35-W35</f>
        <v>0</v>
      </c>
    </row>
    <row r="36" spans="1:25" s="142" customFormat="1">
      <c r="A36" s="221">
        <f t="shared" si="0"/>
        <v>22</v>
      </c>
      <c r="C36" s="142" t="s">
        <v>32</v>
      </c>
      <c r="D36" s="173" t="s">
        <v>382</v>
      </c>
      <c r="E36" s="410">
        <f>+'[2]Op ETR'!$G$39</f>
        <v>856722.03</v>
      </c>
      <c r="F36" s="410">
        <v>0</v>
      </c>
      <c r="G36" s="410">
        <f t="shared" si="11"/>
        <v>856722.03</v>
      </c>
      <c r="H36" s="410">
        <f>-G36</f>
        <v>-856722.03</v>
      </c>
      <c r="I36" s="410">
        <f t="shared" si="12"/>
        <v>0</v>
      </c>
      <c r="J36" s="227">
        <v>1</v>
      </c>
      <c r="K36" s="410">
        <f t="shared" si="13"/>
        <v>0</v>
      </c>
      <c r="L36" s="140"/>
      <c r="M36" s="221"/>
      <c r="N36" s="410">
        <v>0</v>
      </c>
      <c r="O36" s="410"/>
      <c r="P36" s="410"/>
      <c r="Q36" s="410">
        <f t="shared" si="14"/>
        <v>0</v>
      </c>
      <c r="R36" s="410">
        <v>0</v>
      </c>
      <c r="S36" s="410"/>
      <c r="T36" s="410">
        <f t="shared" si="15"/>
        <v>0</v>
      </c>
      <c r="U36" s="410">
        <v>0</v>
      </c>
      <c r="V36" s="410">
        <v>0</v>
      </c>
      <c r="W36" s="410">
        <f t="shared" si="16"/>
        <v>0</v>
      </c>
      <c r="X36" s="230" t="b">
        <f>+K36=W36</f>
        <v>1</v>
      </c>
      <c r="Y36" s="225">
        <f>+K36-W36</f>
        <v>0</v>
      </c>
    </row>
    <row r="37" spans="1:25" s="142" customFormat="1">
      <c r="A37" s="221">
        <f t="shared" si="0"/>
        <v>23</v>
      </c>
      <c r="C37" s="236"/>
      <c r="D37" s="166"/>
      <c r="E37" s="237"/>
      <c r="F37" s="232"/>
      <c r="G37" s="232"/>
      <c r="H37" s="232"/>
      <c r="I37" s="232"/>
      <c r="J37" s="227"/>
      <c r="K37" s="232"/>
      <c r="L37" s="140"/>
      <c r="M37" s="221"/>
      <c r="N37" s="232"/>
      <c r="O37" s="232"/>
      <c r="P37" s="232"/>
      <c r="Q37" s="232"/>
      <c r="R37" s="232"/>
      <c r="S37" s="232"/>
      <c r="T37" s="232"/>
      <c r="U37" s="232"/>
      <c r="V37" s="232"/>
      <c r="W37" s="232"/>
      <c r="X37" s="224"/>
      <c r="Y37" s="225"/>
    </row>
    <row r="38" spans="1:25" s="188" customFormat="1">
      <c r="A38" s="221">
        <f t="shared" si="0"/>
        <v>24</v>
      </c>
      <c r="C38" s="188" t="s">
        <v>161</v>
      </c>
      <c r="D38" s="166"/>
      <c r="E38" s="448">
        <f>+E17-E27+SUM(E30:E36)</f>
        <v>850150088.60000014</v>
      </c>
      <c r="F38" s="448">
        <f>+F17-F27+SUM(F30:F36)</f>
        <v>0</v>
      </c>
      <c r="G38" s="448">
        <f>+G17-G27+SUM(G30:G36)</f>
        <v>850150088.60000014</v>
      </c>
      <c r="H38" s="448">
        <f>+H17-H27+SUM(H30:H36)</f>
        <v>352818245.91999996</v>
      </c>
      <c r="I38" s="448">
        <f>+I17-I27+SUM(I30:I36)</f>
        <v>1202968334.5200002</v>
      </c>
      <c r="J38" s="195"/>
      <c r="K38" s="448">
        <f>+K17-K27+SUM(K30:K36)</f>
        <v>1202968334.5200002</v>
      </c>
      <c r="L38" s="195"/>
      <c r="M38" s="221"/>
      <c r="N38" s="448">
        <f t="shared" ref="N38:W38" si="21">+N17-N27+SUM(N30:N36)</f>
        <v>508359901.89000005</v>
      </c>
      <c r="O38" s="448">
        <f t="shared" si="21"/>
        <v>49146467.45000001</v>
      </c>
      <c r="P38" s="448">
        <f t="shared" si="21"/>
        <v>415207.43999999994</v>
      </c>
      <c r="Q38" s="448">
        <f t="shared" si="21"/>
        <v>557921576.77999997</v>
      </c>
      <c r="R38" s="448">
        <f t="shared" si="21"/>
        <v>614304944.48000002</v>
      </c>
      <c r="S38" s="448">
        <f t="shared" si="21"/>
        <v>3959120.1700000004</v>
      </c>
      <c r="T38" s="448">
        <f t="shared" si="21"/>
        <v>618264064.64999986</v>
      </c>
      <c r="U38" s="448">
        <f t="shared" si="21"/>
        <v>16584815.870000003</v>
      </c>
      <c r="V38" s="448">
        <f t="shared" si="21"/>
        <v>10197877.210000001</v>
      </c>
      <c r="W38" s="448">
        <f t="shared" si="21"/>
        <v>1202968334.51</v>
      </c>
      <c r="X38" s="230" t="b">
        <f>ROUND(+K38,2)=ROUND(W38,2)</f>
        <v>0</v>
      </c>
      <c r="Y38" s="225">
        <f>+K38-W38</f>
        <v>1.0000228881835938E-2</v>
      </c>
    </row>
    <row r="39" spans="1:25" s="188" customFormat="1">
      <c r="A39" s="221">
        <f t="shared" si="0"/>
        <v>25</v>
      </c>
      <c r="C39" s="188" t="s">
        <v>162</v>
      </c>
      <c r="D39" s="166"/>
      <c r="E39" s="238">
        <f>(1/0.79)*0.21</f>
        <v>0.26582278481012656</v>
      </c>
      <c r="F39" s="238">
        <f t="shared" ref="F39:K39" si="22">(1/0.79)*0.21</f>
        <v>0.26582278481012656</v>
      </c>
      <c r="G39" s="238">
        <f t="shared" si="22"/>
        <v>0.26582278481012656</v>
      </c>
      <c r="H39" s="238">
        <f t="shared" si="22"/>
        <v>0.26582278481012656</v>
      </c>
      <c r="I39" s="238">
        <f t="shared" si="22"/>
        <v>0.26582278481012656</v>
      </c>
      <c r="J39" s="239"/>
      <c r="K39" s="238">
        <f t="shared" si="22"/>
        <v>0.26582278481012656</v>
      </c>
      <c r="L39" s="240"/>
      <c r="M39" s="221"/>
      <c r="N39" s="238">
        <f t="shared" ref="N39:W39" si="23">(1/0.79)*0.21</f>
        <v>0.26582278481012656</v>
      </c>
      <c r="O39" s="238">
        <f t="shared" si="23"/>
        <v>0.26582278481012656</v>
      </c>
      <c r="P39" s="238">
        <f t="shared" si="23"/>
        <v>0.26582278481012656</v>
      </c>
      <c r="Q39" s="238">
        <f t="shared" si="23"/>
        <v>0.26582278481012656</v>
      </c>
      <c r="R39" s="238">
        <f t="shared" si="23"/>
        <v>0.26582278481012656</v>
      </c>
      <c r="S39" s="238">
        <f t="shared" si="23"/>
        <v>0.26582278481012656</v>
      </c>
      <c r="T39" s="238">
        <f t="shared" si="23"/>
        <v>0.26582278481012656</v>
      </c>
      <c r="U39" s="238">
        <f t="shared" si="23"/>
        <v>0.26582278481012656</v>
      </c>
      <c r="V39" s="238">
        <f t="shared" si="23"/>
        <v>0.26582278481012656</v>
      </c>
      <c r="W39" s="238">
        <f t="shared" si="23"/>
        <v>0.26582278481012656</v>
      </c>
      <c r="X39" s="224"/>
      <c r="Y39" s="225"/>
    </row>
    <row r="40" spans="1:25" s="142" customFormat="1">
      <c r="A40" s="221">
        <f t="shared" si="0"/>
        <v>26</v>
      </c>
      <c r="D40" s="166"/>
      <c r="E40" s="241"/>
      <c r="F40" s="140"/>
      <c r="G40" s="140"/>
      <c r="H40" s="140"/>
      <c r="I40" s="140"/>
      <c r="J40" s="227"/>
      <c r="K40" s="221"/>
      <c r="L40" s="140"/>
      <c r="M40" s="221"/>
      <c r="N40" s="140"/>
      <c r="O40" s="375"/>
      <c r="P40" s="375"/>
      <c r="Q40" s="375"/>
      <c r="R40" s="375"/>
      <c r="S40" s="375"/>
      <c r="T40" s="375"/>
      <c r="U40" s="375"/>
      <c r="V40" s="375"/>
      <c r="W40" s="375"/>
      <c r="X40" s="224"/>
      <c r="Y40" s="225"/>
    </row>
    <row r="41" spans="1:25" s="188" customFormat="1">
      <c r="A41" s="221">
        <f t="shared" si="0"/>
        <v>27</v>
      </c>
      <c r="C41" s="188" t="s">
        <v>163</v>
      </c>
      <c r="D41" s="166"/>
      <c r="E41" s="448">
        <f>ROUND(E38*E39,2)</f>
        <v>225989264.06</v>
      </c>
      <c r="F41" s="448">
        <f t="shared" ref="F41:I41" si="24">ROUND(F38*F39,2)</f>
        <v>0</v>
      </c>
      <c r="G41" s="448">
        <f t="shared" si="24"/>
        <v>225989264.06</v>
      </c>
      <c r="H41" s="448">
        <f t="shared" si="24"/>
        <v>93787128.659999996</v>
      </c>
      <c r="I41" s="448">
        <f t="shared" si="24"/>
        <v>319776392.72000003</v>
      </c>
      <c r="J41" s="195"/>
      <c r="K41" s="448">
        <f t="shared" ref="K41" si="25">ROUND(K38*K39,2)</f>
        <v>319776392.72000003</v>
      </c>
      <c r="L41" s="195"/>
      <c r="M41" s="221"/>
      <c r="N41" s="448">
        <f>ROUND(N38*N39,2)</f>
        <v>135133644.81</v>
      </c>
      <c r="O41" s="448">
        <f t="shared" ref="O41:V41" si="26">ROUND(O38*O39,2)</f>
        <v>13064250.84</v>
      </c>
      <c r="P41" s="448">
        <f t="shared" si="26"/>
        <v>110371.6</v>
      </c>
      <c r="Q41" s="448">
        <f>SUM(N41:P41)</f>
        <v>148308267.25</v>
      </c>
      <c r="R41" s="448">
        <f t="shared" si="26"/>
        <v>163296251.06</v>
      </c>
      <c r="S41" s="448">
        <f t="shared" si="26"/>
        <v>1052424.3500000001</v>
      </c>
      <c r="T41" s="448">
        <f>SUM(R41:S41)</f>
        <v>164348675.41</v>
      </c>
      <c r="U41" s="448">
        <f t="shared" si="26"/>
        <v>4408621.9400000004</v>
      </c>
      <c r="V41" s="448">
        <f t="shared" si="26"/>
        <v>2710828.12</v>
      </c>
      <c r="W41" s="448">
        <f>Q41+T41+U41+V41</f>
        <v>319776392.71999997</v>
      </c>
      <c r="X41" s="230" t="b">
        <f>ROUND(+K41,0)=ROUND(W41,0)</f>
        <v>1</v>
      </c>
      <c r="Y41" s="225">
        <f>+K41-W41</f>
        <v>0</v>
      </c>
    </row>
    <row r="42" spans="1:25" s="142" customFormat="1">
      <c r="A42" s="221">
        <f t="shared" si="0"/>
        <v>28</v>
      </c>
      <c r="D42" s="166"/>
      <c r="E42" s="140"/>
      <c r="F42" s="140"/>
      <c r="G42" s="140"/>
      <c r="H42" s="140"/>
      <c r="I42" s="140"/>
      <c r="J42" s="227"/>
      <c r="K42" s="221"/>
      <c r="L42" s="140"/>
      <c r="M42" s="221"/>
      <c r="N42" s="140"/>
      <c r="O42" s="375"/>
      <c r="P42" s="375"/>
      <c r="Q42" s="375"/>
      <c r="R42" s="140"/>
      <c r="S42" s="375"/>
      <c r="T42" s="375"/>
      <c r="U42" s="140"/>
      <c r="V42" s="375"/>
      <c r="W42" s="140"/>
      <c r="X42" s="224"/>
      <c r="Y42" s="225"/>
    </row>
    <row r="43" spans="1:25" s="188" customFormat="1">
      <c r="A43" s="221">
        <f t="shared" si="0"/>
        <v>29</v>
      </c>
      <c r="C43" s="188" t="s">
        <v>201</v>
      </c>
      <c r="D43" s="166"/>
      <c r="E43" s="195"/>
      <c r="F43" s="195"/>
      <c r="G43" s="195"/>
      <c r="H43" s="195"/>
      <c r="I43" s="195"/>
      <c r="J43" s="234"/>
      <c r="K43" s="166"/>
      <c r="L43" s="195"/>
      <c r="M43" s="221"/>
      <c r="N43" s="195"/>
      <c r="O43" s="195"/>
      <c r="P43" s="195"/>
      <c r="Q43" s="195"/>
      <c r="R43" s="195"/>
      <c r="S43" s="195"/>
      <c r="T43" s="195"/>
      <c r="U43" s="195"/>
      <c r="V43" s="195"/>
      <c r="W43" s="195"/>
      <c r="X43" s="224"/>
      <c r="Y43" s="225"/>
    </row>
    <row r="44" spans="1:25" s="142" customFormat="1">
      <c r="A44" s="221">
        <f t="shared" si="0"/>
        <v>30</v>
      </c>
      <c r="C44" s="142" t="s">
        <v>213</v>
      </c>
      <c r="D44" s="173" t="str">
        <f t="shared" ref="D44:F45" si="27">+D21</f>
        <v>WP/II-E-3.9/1</v>
      </c>
      <c r="E44" s="447">
        <f t="shared" si="27"/>
        <v>479524.92</v>
      </c>
      <c r="F44" s="447">
        <f t="shared" si="27"/>
        <v>0</v>
      </c>
      <c r="G44" s="447">
        <f>+E44+F44</f>
        <v>479524.92</v>
      </c>
      <c r="H44" s="447">
        <f>+H21</f>
        <v>5704.570000000007</v>
      </c>
      <c r="I44" s="447">
        <f>+G44+H44</f>
        <v>485229.49</v>
      </c>
      <c r="J44" s="227">
        <v>1</v>
      </c>
      <c r="K44" s="447">
        <f>+I44*J44</f>
        <v>485229.49</v>
      </c>
      <c r="L44" s="140"/>
      <c r="M44" s="190" t="str">
        <f t="shared" ref="M44:P48" si="28">+M21</f>
        <v>Direct Assignment</v>
      </c>
      <c r="N44" s="447">
        <f t="shared" si="28"/>
        <v>485229.49</v>
      </c>
      <c r="O44" s="447">
        <f t="shared" si="28"/>
        <v>0</v>
      </c>
      <c r="P44" s="447">
        <f t="shared" si="28"/>
        <v>0</v>
      </c>
      <c r="Q44" s="447">
        <f t="shared" ref="Q44:Q48" si="29">SUM(N44:P44)</f>
        <v>485229.49</v>
      </c>
      <c r="R44" s="447">
        <f t="shared" ref="R44:S47" si="30">+R21</f>
        <v>0</v>
      </c>
      <c r="S44" s="447">
        <f t="shared" si="30"/>
        <v>0</v>
      </c>
      <c r="T44" s="447">
        <f t="shared" ref="T44:T48" si="31">SUM(R44:S44)</f>
        <v>0</v>
      </c>
      <c r="U44" s="447">
        <f t="shared" ref="U44:V47" si="32">+U21</f>
        <v>0</v>
      </c>
      <c r="V44" s="447">
        <f t="shared" si="32"/>
        <v>0</v>
      </c>
      <c r="W44" s="447">
        <f t="shared" ref="W44:W48" si="33">+Q44+T44+U44+V44</f>
        <v>485229.49</v>
      </c>
      <c r="X44" s="230" t="b">
        <f>+K44=W44</f>
        <v>1</v>
      </c>
      <c r="Y44" s="225">
        <f>+K44-W44</f>
        <v>0</v>
      </c>
    </row>
    <row r="45" spans="1:25" s="142" customFormat="1">
      <c r="A45" s="221">
        <f t="shared" si="0"/>
        <v>31</v>
      </c>
      <c r="C45" s="142" t="s">
        <v>588</v>
      </c>
      <c r="D45" s="173" t="str">
        <f t="shared" si="27"/>
        <v>WP/II-E-3.19/1</v>
      </c>
      <c r="E45" s="410">
        <f t="shared" si="27"/>
        <v>16233756.41</v>
      </c>
      <c r="F45" s="410">
        <f t="shared" si="27"/>
        <v>0</v>
      </c>
      <c r="G45" s="410">
        <f>+G22</f>
        <v>16233756.41</v>
      </c>
      <c r="H45" s="410">
        <f>+H22</f>
        <v>1037983.71</v>
      </c>
      <c r="I45" s="410">
        <f>+G45+H45</f>
        <v>17271740.120000001</v>
      </c>
      <c r="J45" s="227">
        <v>1</v>
      </c>
      <c r="K45" s="410">
        <f>+I45*J45</f>
        <v>17271740.120000001</v>
      </c>
      <c r="L45" s="140"/>
      <c r="M45" s="190" t="str">
        <f t="shared" si="28"/>
        <v>Direct Assignment</v>
      </c>
      <c r="N45" s="410">
        <f t="shared" si="28"/>
        <v>6948808.5300000003</v>
      </c>
      <c r="O45" s="410">
        <f t="shared" si="28"/>
        <v>1838746.88</v>
      </c>
      <c r="P45" s="410">
        <f t="shared" si="28"/>
        <v>5969.9</v>
      </c>
      <c r="Q45" s="410">
        <f t="shared" si="29"/>
        <v>8793525.3100000005</v>
      </c>
      <c r="R45" s="410">
        <f t="shared" si="30"/>
        <v>7936236.2800000003</v>
      </c>
      <c r="S45" s="410">
        <f t="shared" si="30"/>
        <v>146868.38</v>
      </c>
      <c r="T45" s="410">
        <f t="shared" si="31"/>
        <v>8083104.6600000001</v>
      </c>
      <c r="U45" s="410">
        <f t="shared" si="32"/>
        <v>237864.14</v>
      </c>
      <c r="V45" s="410">
        <f t="shared" si="32"/>
        <v>157246.0099999985</v>
      </c>
      <c r="W45" s="410">
        <f t="shared" si="33"/>
        <v>17271740.119999997</v>
      </c>
      <c r="X45" s="230" t="b">
        <f>+K45=W45</f>
        <v>1</v>
      </c>
      <c r="Y45" s="225">
        <f t="shared" ref="Y45:Y48" si="34">+K45-W45</f>
        <v>0</v>
      </c>
    </row>
    <row r="46" spans="1:25" s="142" customFormat="1">
      <c r="A46" s="221">
        <f t="shared" si="0"/>
        <v>32</v>
      </c>
      <c r="C46" s="142" t="s">
        <v>589</v>
      </c>
      <c r="D46" s="173" t="str">
        <f>+D23</f>
        <v>WP/II-E-3.19/1</v>
      </c>
      <c r="E46" s="410">
        <f>+E23</f>
        <v>36089813.840000004</v>
      </c>
      <c r="F46" s="410">
        <f t="shared" ref="F46" si="35">+F23</f>
        <v>0</v>
      </c>
      <c r="G46" s="410">
        <f>+G23</f>
        <v>36089813.840000004</v>
      </c>
      <c r="H46" s="410">
        <f>+H23</f>
        <v>-3501637.7599999993</v>
      </c>
      <c r="I46" s="410">
        <f t="shared" ref="I46:I47" si="36">+G46+H46</f>
        <v>32588176.080000006</v>
      </c>
      <c r="J46" s="227">
        <v>1</v>
      </c>
      <c r="K46" s="410">
        <f t="shared" ref="K46:K47" si="37">+I46*J46</f>
        <v>32588176.080000006</v>
      </c>
      <c r="L46" s="375"/>
      <c r="M46" s="190" t="str">
        <f t="shared" si="28"/>
        <v>Direct Assignment</v>
      </c>
      <c r="N46" s="410">
        <f t="shared" si="28"/>
        <v>11745181.179999998</v>
      </c>
      <c r="O46" s="410">
        <f t="shared" si="28"/>
        <v>-263925.28000000003</v>
      </c>
      <c r="P46" s="410">
        <f t="shared" si="28"/>
        <v>20328.059999999998</v>
      </c>
      <c r="Q46" s="410">
        <f t="shared" si="29"/>
        <v>11501583.959999999</v>
      </c>
      <c r="R46" s="410">
        <f t="shared" si="30"/>
        <v>18862682.34</v>
      </c>
      <c r="S46" s="410">
        <f t="shared" si="30"/>
        <v>-21323.58</v>
      </c>
      <c r="T46" s="410">
        <f t="shared" si="31"/>
        <v>18841358.760000002</v>
      </c>
      <c r="U46" s="410">
        <f t="shared" si="32"/>
        <v>2497334.4699999997</v>
      </c>
      <c r="V46" s="410">
        <f t="shared" si="32"/>
        <v>-252101.1100000001</v>
      </c>
      <c r="W46" s="410">
        <f t="shared" ref="W46:W47" si="38">+Q46+T46+U46+V46</f>
        <v>32588176.079999998</v>
      </c>
      <c r="X46" s="230" t="b">
        <f t="shared" ref="X46:X47" si="39">+K46=W46</f>
        <v>1</v>
      </c>
      <c r="Y46" s="225">
        <f t="shared" si="34"/>
        <v>0</v>
      </c>
    </row>
    <row r="47" spans="1:25" s="142" customFormat="1">
      <c r="A47" s="221">
        <f t="shared" si="0"/>
        <v>33</v>
      </c>
      <c r="C47" s="142" t="s">
        <v>590</v>
      </c>
      <c r="D47" s="173" t="str">
        <f>+D24</f>
        <v>WP/II-E-3.19/1</v>
      </c>
      <c r="E47" s="410">
        <f>+E24</f>
        <v>-1608928.6</v>
      </c>
      <c r="F47" s="410">
        <f t="shared" ref="F47" si="40">+F24</f>
        <v>0</v>
      </c>
      <c r="G47" s="410">
        <f>+G24</f>
        <v>-1608928.6</v>
      </c>
      <c r="H47" s="410">
        <f>+H24</f>
        <v>-2338469.7800000003</v>
      </c>
      <c r="I47" s="410">
        <f t="shared" si="36"/>
        <v>-3947398.3800000004</v>
      </c>
      <c r="J47" s="227">
        <v>1</v>
      </c>
      <c r="K47" s="410">
        <f t="shared" si="37"/>
        <v>-3947398.3800000004</v>
      </c>
      <c r="L47" s="375"/>
      <c r="M47" s="190" t="str">
        <f t="shared" si="28"/>
        <v>Direct Assignment</v>
      </c>
      <c r="N47" s="410">
        <f t="shared" si="28"/>
        <v>-2772127.43</v>
      </c>
      <c r="O47" s="410">
        <f t="shared" si="28"/>
        <v>1991696.63</v>
      </c>
      <c r="P47" s="410">
        <f t="shared" si="28"/>
        <v>-2381.61</v>
      </c>
      <c r="Q47" s="410">
        <f t="shared" si="29"/>
        <v>-782812.41000000027</v>
      </c>
      <c r="R47" s="410">
        <f t="shared" si="30"/>
        <v>-3166047.5599999996</v>
      </c>
      <c r="S47" s="410">
        <f t="shared" si="30"/>
        <v>159085.12</v>
      </c>
      <c r="T47" s="410">
        <f t="shared" si="31"/>
        <v>-3006962.4399999995</v>
      </c>
      <c r="U47" s="410">
        <f t="shared" si="32"/>
        <v>-94892.49</v>
      </c>
      <c r="V47" s="410">
        <f t="shared" si="32"/>
        <v>-62731.040000000001</v>
      </c>
      <c r="W47" s="410">
        <f t="shared" si="38"/>
        <v>-3947398.38</v>
      </c>
      <c r="X47" s="230" t="b">
        <f t="shared" si="39"/>
        <v>1</v>
      </c>
      <c r="Y47" s="225">
        <f t="shared" si="34"/>
        <v>0</v>
      </c>
    </row>
    <row r="48" spans="1:25" s="142" customFormat="1">
      <c r="A48" s="221">
        <f t="shared" si="0"/>
        <v>34</v>
      </c>
      <c r="C48" s="142" t="s">
        <v>1064</v>
      </c>
      <c r="D48" s="173" t="s">
        <v>382</v>
      </c>
      <c r="E48" s="410">
        <f>+E25</f>
        <v>79367.460000000006</v>
      </c>
      <c r="F48" s="410">
        <f t="shared" ref="F48" si="41">+F25</f>
        <v>0</v>
      </c>
      <c r="G48" s="410">
        <f>+E48+F48</f>
        <v>79367.460000000006</v>
      </c>
      <c r="H48" s="410">
        <f>+H25</f>
        <v>0</v>
      </c>
      <c r="I48" s="410">
        <f>+G48+H48</f>
        <v>79367.460000000006</v>
      </c>
      <c r="J48" s="227">
        <v>1</v>
      </c>
      <c r="K48" s="410">
        <f>+I48*J48</f>
        <v>79367.460000000006</v>
      </c>
      <c r="L48" s="140"/>
      <c r="M48" s="190" t="str">
        <f t="shared" si="28"/>
        <v>PLTSVC-ONC</v>
      </c>
      <c r="N48" s="827">
        <f>ROUND(+N25,2)</f>
        <v>36079.08</v>
      </c>
      <c r="O48" s="827">
        <f t="shared" ref="O48:P48" si="42">ROUND(+O25,2)</f>
        <v>0</v>
      </c>
      <c r="P48" s="827">
        <f t="shared" si="42"/>
        <v>31</v>
      </c>
      <c r="Q48" s="827">
        <f t="shared" si="29"/>
        <v>36110.080000000002</v>
      </c>
      <c r="R48" s="827">
        <f>ROUND(+R25,2)</f>
        <v>41205.93</v>
      </c>
      <c r="S48" s="827">
        <f>ROUND(+S25,2)</f>
        <v>0</v>
      </c>
      <c r="T48" s="827">
        <f t="shared" si="31"/>
        <v>41205.93</v>
      </c>
      <c r="U48" s="827">
        <f>ROUND(+U25,2)</f>
        <v>1235.02</v>
      </c>
      <c r="V48" s="827">
        <f>ROUND(+V25,2)</f>
        <v>816.43</v>
      </c>
      <c r="W48" s="827">
        <f t="shared" si="33"/>
        <v>79367.460000000006</v>
      </c>
      <c r="X48" s="230" t="b">
        <f>+K48=W48</f>
        <v>1</v>
      </c>
      <c r="Y48" s="225">
        <f t="shared" si="34"/>
        <v>0</v>
      </c>
    </row>
    <row r="49" spans="1:25" s="142" customFormat="1">
      <c r="A49" s="221">
        <f t="shared" si="0"/>
        <v>35</v>
      </c>
      <c r="D49" s="173"/>
      <c r="E49" s="140"/>
      <c r="F49" s="140"/>
      <c r="G49" s="140"/>
      <c r="H49" s="140"/>
      <c r="I49" s="140"/>
      <c r="J49" s="227"/>
      <c r="K49" s="228"/>
      <c r="L49" s="140"/>
      <c r="M49" s="347"/>
      <c r="N49" s="140"/>
      <c r="O49" s="375"/>
      <c r="P49" s="375"/>
      <c r="Q49" s="375"/>
      <c r="R49" s="375"/>
      <c r="S49" s="375"/>
      <c r="T49" s="375"/>
      <c r="U49" s="375"/>
      <c r="V49" s="375"/>
      <c r="W49" s="140"/>
      <c r="X49" s="230"/>
      <c r="Y49" s="225"/>
    </row>
    <row r="50" spans="1:25" s="188" customFormat="1">
      <c r="A50" s="221">
        <f t="shared" si="0"/>
        <v>36</v>
      </c>
      <c r="C50" s="188" t="s">
        <v>202</v>
      </c>
      <c r="D50" s="166"/>
      <c r="E50" s="195"/>
      <c r="F50" s="195"/>
      <c r="G50" s="195"/>
      <c r="H50" s="195"/>
      <c r="I50" s="195"/>
      <c r="J50" s="234"/>
      <c r="K50" s="166"/>
      <c r="L50" s="195"/>
      <c r="M50" s="221"/>
      <c r="N50" s="195"/>
      <c r="O50" s="195"/>
      <c r="P50" s="195"/>
      <c r="Q50" s="195"/>
      <c r="R50" s="195"/>
      <c r="S50" s="195"/>
      <c r="T50" s="195"/>
      <c r="U50" s="195"/>
      <c r="V50" s="195"/>
      <c r="W50" s="195"/>
      <c r="X50" s="224"/>
      <c r="Y50" s="225"/>
    </row>
    <row r="51" spans="1:25" s="142" customFormat="1">
      <c r="A51" s="221">
        <f t="shared" si="0"/>
        <v>37</v>
      </c>
      <c r="C51" s="235" t="s">
        <v>374</v>
      </c>
      <c r="D51" s="173" t="s">
        <v>382</v>
      </c>
      <c r="E51" s="447">
        <f>+E30</f>
        <v>884662.91</v>
      </c>
      <c r="F51" s="447">
        <f>+F30</f>
        <v>0</v>
      </c>
      <c r="G51" s="447">
        <f>E51+F51</f>
        <v>884662.91</v>
      </c>
      <c r="H51" s="447">
        <f>+H30</f>
        <v>0</v>
      </c>
      <c r="I51" s="447">
        <f>+G51+H51</f>
        <v>884662.91</v>
      </c>
      <c r="J51" s="227">
        <v>1</v>
      </c>
      <c r="K51" s="447">
        <f>+I51*J51</f>
        <v>884662.91</v>
      </c>
      <c r="L51" s="140"/>
      <c r="M51" s="347" t="str">
        <f>+M30</f>
        <v>PLTSVC-ONC</v>
      </c>
      <c r="N51" s="447">
        <f>+N30</f>
        <v>402152.49</v>
      </c>
      <c r="O51" s="447">
        <f t="shared" ref="O51:V51" si="43">+O30</f>
        <v>0</v>
      </c>
      <c r="P51" s="447">
        <f t="shared" si="43"/>
        <v>345.5</v>
      </c>
      <c r="Q51" s="447">
        <f t="shared" si="43"/>
        <v>402497.99</v>
      </c>
      <c r="R51" s="447">
        <f t="shared" si="43"/>
        <v>459298.48</v>
      </c>
      <c r="S51" s="447">
        <f t="shared" si="43"/>
        <v>0</v>
      </c>
      <c r="T51" s="447">
        <f t="shared" si="43"/>
        <v>459298.48</v>
      </c>
      <c r="U51" s="447">
        <f t="shared" si="43"/>
        <v>13766.05</v>
      </c>
      <c r="V51" s="447">
        <f t="shared" si="43"/>
        <v>9100.39</v>
      </c>
      <c r="W51" s="447">
        <f t="shared" ref="W51:W53" si="44">+Q51+T51+U51+V51</f>
        <v>884662.91</v>
      </c>
      <c r="X51" s="230" t="b">
        <f>+K51=W51</f>
        <v>1</v>
      </c>
      <c r="Y51" s="225">
        <f>+K51-W51</f>
        <v>0</v>
      </c>
    </row>
    <row r="52" spans="1:25" s="142" customFormat="1">
      <c r="A52" s="221">
        <f t="shared" si="0"/>
        <v>38</v>
      </c>
      <c r="C52" s="235" t="s">
        <v>1065</v>
      </c>
      <c r="D52" s="173" t="s">
        <v>382</v>
      </c>
      <c r="E52" s="410">
        <f>+E35</f>
        <v>-19042</v>
      </c>
      <c r="F52" s="447">
        <f>+F31</f>
        <v>0</v>
      </c>
      <c r="G52" s="410">
        <f>E52+F52</f>
        <v>-19042</v>
      </c>
      <c r="H52" s="410">
        <f>+H35</f>
        <v>19042</v>
      </c>
      <c r="I52" s="410">
        <f>+G52+H52</f>
        <v>0</v>
      </c>
      <c r="J52" s="227">
        <v>1</v>
      </c>
      <c r="K52" s="447">
        <f>+I52*J52</f>
        <v>0</v>
      </c>
      <c r="L52" s="375"/>
      <c r="M52" s="347"/>
      <c r="N52" s="410">
        <f>+N35</f>
        <v>0</v>
      </c>
      <c r="O52" s="410">
        <f t="shared" ref="O52:W52" si="45">+O35</f>
        <v>0</v>
      </c>
      <c r="P52" s="410">
        <f t="shared" si="45"/>
        <v>0</v>
      </c>
      <c r="Q52" s="410">
        <f t="shared" si="45"/>
        <v>0</v>
      </c>
      <c r="R52" s="410">
        <f t="shared" si="45"/>
        <v>0</v>
      </c>
      <c r="S52" s="410">
        <f t="shared" si="45"/>
        <v>0</v>
      </c>
      <c r="T52" s="410">
        <f t="shared" si="45"/>
        <v>0</v>
      </c>
      <c r="U52" s="410">
        <f t="shared" si="45"/>
        <v>0</v>
      </c>
      <c r="V52" s="410">
        <f t="shared" si="45"/>
        <v>0</v>
      </c>
      <c r="W52" s="410">
        <f t="shared" si="45"/>
        <v>0</v>
      </c>
      <c r="X52" s="230" t="b">
        <f>+K52=W52</f>
        <v>1</v>
      </c>
      <c r="Y52" s="225">
        <f>+K52-W52</f>
        <v>0</v>
      </c>
    </row>
    <row r="53" spans="1:25" s="142" customFormat="1">
      <c r="A53" s="221">
        <f t="shared" si="0"/>
        <v>39</v>
      </c>
      <c r="C53" s="142" t="s">
        <v>32</v>
      </c>
      <c r="D53" s="173" t="s">
        <v>382</v>
      </c>
      <c r="E53" s="410">
        <f>+E36</f>
        <v>856722.03</v>
      </c>
      <c r="F53" s="410">
        <f>+F36</f>
        <v>0</v>
      </c>
      <c r="G53" s="410">
        <f>E53+F53</f>
        <v>856722.03</v>
      </c>
      <c r="H53" s="410">
        <f>+H36</f>
        <v>-856722.03</v>
      </c>
      <c r="I53" s="410">
        <f>+G53+H53</f>
        <v>0</v>
      </c>
      <c r="J53" s="227">
        <v>1</v>
      </c>
      <c r="K53" s="410">
        <f>+I53*J53</f>
        <v>0</v>
      </c>
      <c r="L53" s="140"/>
      <c r="M53" s="221"/>
      <c r="N53" s="410">
        <v>0</v>
      </c>
      <c r="O53" s="410">
        <v>0</v>
      </c>
      <c r="P53" s="410">
        <v>0</v>
      </c>
      <c r="Q53" s="410">
        <f t="shared" ref="Q53" si="46">SUM(N53:P53)</f>
        <v>0</v>
      </c>
      <c r="R53" s="410">
        <v>0</v>
      </c>
      <c r="S53" s="410">
        <v>0</v>
      </c>
      <c r="T53" s="410">
        <f t="shared" ref="T53" si="47">SUM(R53:S53)</f>
        <v>0</v>
      </c>
      <c r="U53" s="410">
        <v>0</v>
      </c>
      <c r="V53" s="410">
        <v>0</v>
      </c>
      <c r="W53" s="410">
        <f t="shared" si="44"/>
        <v>0</v>
      </c>
      <c r="X53" s="230" t="b">
        <f>+K53=W53</f>
        <v>1</v>
      </c>
      <c r="Y53" s="225">
        <f>+K53-W53</f>
        <v>0</v>
      </c>
    </row>
    <row r="54" spans="1:25" s="188" customFormat="1">
      <c r="A54" s="221">
        <f t="shared" si="0"/>
        <v>40</v>
      </c>
      <c r="B54" s="188" t="s">
        <v>215</v>
      </c>
      <c r="D54" s="173" t="s">
        <v>382</v>
      </c>
      <c r="E54" s="448">
        <f>+E41-SUM(E44:E48)+SUM(E51:E53)</f>
        <v>176438072.97</v>
      </c>
      <c r="F54" s="448">
        <f>+F41-SUM(F44:F48)+SUM(F51:F53)</f>
        <v>0</v>
      </c>
      <c r="G54" s="448">
        <f>+G41-SUM(G44:G48)+SUM(G51:G53)</f>
        <v>176438072.97</v>
      </c>
      <c r="H54" s="448">
        <f>+H41-SUM(H44:H48)+SUM(H51:H53)</f>
        <v>97745867.890000001</v>
      </c>
      <c r="I54" s="448">
        <f>+I41-SUM(I44:I48)+SUM(I51:I53)</f>
        <v>274183940.86000007</v>
      </c>
      <c r="J54" s="195"/>
      <c r="K54" s="448">
        <f>+K41-SUM(K44:K48)+SUM(K51:K53)</f>
        <v>274183940.86000007</v>
      </c>
      <c r="L54" s="195"/>
      <c r="M54" s="221"/>
      <c r="N54" s="448">
        <f t="shared" ref="N54:W54" si="48">+N41-SUM(N44:N48)+SUM(N51:N53)</f>
        <v>119092626.45</v>
      </c>
      <c r="O54" s="448">
        <f t="shared" si="48"/>
        <v>9497732.6099999994</v>
      </c>
      <c r="P54" s="448">
        <f t="shared" si="48"/>
        <v>86769.75</v>
      </c>
      <c r="Q54" s="448">
        <f>+Q41-SUM(Q44:Q48)+SUM(Q51:Q53)</f>
        <v>128677128.81</v>
      </c>
      <c r="R54" s="448">
        <f t="shared" si="48"/>
        <v>140081472.54999998</v>
      </c>
      <c r="S54" s="448">
        <f t="shared" si="48"/>
        <v>767794.43000000017</v>
      </c>
      <c r="T54" s="448">
        <f t="shared" si="48"/>
        <v>140849266.97999999</v>
      </c>
      <c r="U54" s="448">
        <f t="shared" si="48"/>
        <v>1780846.8500000008</v>
      </c>
      <c r="V54" s="448">
        <f t="shared" si="48"/>
        <v>2876698.2200000021</v>
      </c>
      <c r="W54" s="448">
        <f t="shared" si="48"/>
        <v>274183940.86000001</v>
      </c>
      <c r="X54" s="230" t="b">
        <f>+K54=W54</f>
        <v>1</v>
      </c>
      <c r="Y54" s="225">
        <f>+K54-W54</f>
        <v>0</v>
      </c>
    </row>
    <row r="55" spans="1:25" s="169" customFormat="1" ht="12.75" customHeight="1">
      <c r="C55" s="242"/>
      <c r="D55" s="77"/>
      <c r="E55" s="243"/>
      <c r="F55" s="243"/>
      <c r="G55" s="243"/>
      <c r="H55" s="243"/>
      <c r="I55" s="243"/>
      <c r="J55" s="243"/>
      <c r="K55" s="206"/>
      <c r="L55" s="243"/>
      <c r="M55" s="206"/>
      <c r="N55" s="243"/>
      <c r="O55" s="243"/>
      <c r="P55" s="243"/>
      <c r="Q55" s="243"/>
      <c r="R55" s="244"/>
      <c r="S55" s="244"/>
      <c r="T55" s="244"/>
      <c r="U55" s="244"/>
      <c r="V55" s="244"/>
      <c r="W55" s="244"/>
      <c r="X55" s="219"/>
      <c r="Y55" s="220"/>
    </row>
    <row r="56" spans="1:25" s="169" customFormat="1" ht="12.75" customHeight="1">
      <c r="D56" s="199"/>
      <c r="K56" s="245"/>
      <c r="M56" s="206"/>
      <c r="N56" s="245"/>
      <c r="O56" s="245"/>
      <c r="P56" s="245"/>
      <c r="Q56" s="245"/>
      <c r="R56" s="245"/>
      <c r="S56" s="245"/>
      <c r="T56" s="245"/>
      <c r="U56" s="245"/>
      <c r="V56" s="245"/>
      <c r="W56" s="245"/>
      <c r="X56" s="219"/>
      <c r="Y56" s="220"/>
    </row>
    <row r="57" spans="1:25" s="169" customFormat="1" ht="12.75" customHeight="1">
      <c r="D57" s="584" t="s">
        <v>437</v>
      </c>
      <c r="E57" s="585">
        <f>+'[2]Op ETR'!$G$43</f>
        <v>176438072.97</v>
      </c>
      <c r="K57" s="430"/>
      <c r="M57" s="206"/>
      <c r="X57" s="219"/>
      <c r="Y57" s="220"/>
    </row>
    <row r="58" spans="1:25" s="169" customFormat="1" ht="12.75" customHeight="1">
      <c r="D58" s="584" t="s">
        <v>438</v>
      </c>
      <c r="E58" s="583">
        <f>E57-E54</f>
        <v>0</v>
      </c>
      <c r="K58" s="206"/>
      <c r="M58" s="206"/>
      <c r="N58" s="245"/>
      <c r="O58" s="245"/>
      <c r="P58" s="245"/>
      <c r="Q58" s="245"/>
      <c r="X58" s="219"/>
      <c r="Y58" s="220"/>
    </row>
    <row r="59" spans="1:25" s="169" customFormat="1">
      <c r="D59" s="199"/>
      <c r="E59" s="246"/>
      <c r="H59" s="586" t="s">
        <v>486</v>
      </c>
      <c r="I59" s="414">
        <f>+I17-I20+I54</f>
        <v>1531131074.9100003</v>
      </c>
      <c r="J59" s="587" t="s">
        <v>695</v>
      </c>
      <c r="K59" s="588">
        <f>+'II-E-3.2a'!E31</f>
        <v>274183940.85999995</v>
      </c>
      <c r="M59" s="206"/>
      <c r="X59" s="219"/>
      <c r="Y59" s="220"/>
    </row>
    <row r="60" spans="1:25" s="169" customFormat="1">
      <c r="D60" s="199"/>
      <c r="E60" s="243"/>
      <c r="F60" s="245"/>
      <c r="H60" s="586" t="s">
        <v>50</v>
      </c>
      <c r="I60" s="415">
        <f>+'II-E-3.15'!E25</f>
        <v>1531131074.9099998</v>
      </c>
      <c r="J60" s="587" t="s">
        <v>683</v>
      </c>
      <c r="K60" s="589">
        <f>+K59-K54</f>
        <v>0</v>
      </c>
      <c r="M60" s="206"/>
      <c r="X60" s="219"/>
      <c r="Y60" s="220"/>
    </row>
    <row r="61" spans="1:25" s="169" customFormat="1" ht="12.75" customHeight="1">
      <c r="D61" s="199"/>
      <c r="E61" s="247"/>
      <c r="G61" s="247"/>
      <c r="H61" s="416"/>
      <c r="I61" s="413">
        <f>+I59-I60</f>
        <v>0</v>
      </c>
      <c r="K61" s="206"/>
      <c r="M61" s="206"/>
      <c r="X61" s="219"/>
      <c r="Y61" s="220"/>
    </row>
    <row r="62" spans="1:25" s="169" customFormat="1" ht="12.75" customHeight="1">
      <c r="D62" s="199"/>
      <c r="E62" s="207"/>
      <c r="K62" s="206"/>
      <c r="M62" s="206"/>
      <c r="X62" s="219"/>
      <c r="Y62" s="220"/>
    </row>
    <row r="63" spans="1:25" s="169" customFormat="1" ht="12.75" customHeight="1">
      <c r="D63" s="199"/>
      <c r="E63" s="245"/>
      <c r="K63" s="206"/>
      <c r="M63" s="206"/>
      <c r="X63" s="219"/>
      <c r="Y63" s="220"/>
    </row>
    <row r="64" spans="1:25" s="169" customFormat="1" ht="12.75" customHeight="1">
      <c r="D64" s="199"/>
      <c r="K64" s="206"/>
      <c r="M64" s="206"/>
      <c r="X64" s="219"/>
      <c r="Y64" s="220"/>
    </row>
    <row r="65" spans="4:25" s="169" customFormat="1" ht="12.75" customHeight="1">
      <c r="D65" s="199"/>
      <c r="K65" s="206"/>
      <c r="M65" s="206"/>
      <c r="X65" s="219"/>
      <c r="Y65" s="220"/>
    </row>
    <row r="66" spans="4:25" s="169" customFormat="1" ht="12.75" customHeight="1">
      <c r="D66" s="199"/>
      <c r="F66" s="247"/>
      <c r="K66" s="206"/>
      <c r="M66" s="206"/>
      <c r="X66" s="219"/>
      <c r="Y66" s="220"/>
    </row>
    <row r="67" spans="4:25" s="169" customFormat="1" ht="12.75" customHeight="1">
      <c r="D67" s="199"/>
      <c r="F67" s="247"/>
      <c r="K67" s="206"/>
      <c r="M67" s="206"/>
      <c r="X67" s="219"/>
      <c r="Y67" s="220"/>
    </row>
    <row r="68" spans="4:25" s="169" customFormat="1" ht="12.75" customHeight="1">
      <c r="D68" s="199"/>
      <c r="F68" s="247"/>
      <c r="K68" s="206"/>
      <c r="M68" s="206"/>
      <c r="X68" s="219"/>
      <c r="Y68" s="220"/>
    </row>
    <row r="69" spans="4:25" s="169" customFormat="1" ht="12.75" customHeight="1">
      <c r="D69" s="199"/>
      <c r="F69" s="247"/>
      <c r="K69" s="206"/>
      <c r="M69" s="206"/>
      <c r="X69" s="219"/>
      <c r="Y69" s="220"/>
    </row>
    <row r="70" spans="4:25" s="169" customFormat="1" ht="12.75" customHeight="1">
      <c r="D70" s="199"/>
      <c r="F70" s="247"/>
      <c r="K70" s="206"/>
      <c r="M70" s="206"/>
      <c r="X70" s="219"/>
      <c r="Y70" s="220"/>
    </row>
    <row r="71" spans="4:25" s="169" customFormat="1" ht="12.75" customHeight="1">
      <c r="D71" s="199"/>
      <c r="K71" s="206"/>
      <c r="M71" s="206"/>
      <c r="X71" s="219"/>
      <c r="Y71" s="220"/>
    </row>
    <row r="72" spans="4:25" s="169" customFormat="1" ht="12.75" customHeight="1">
      <c r="D72" s="199"/>
      <c r="K72" s="206"/>
      <c r="M72" s="206"/>
      <c r="X72" s="219"/>
      <c r="Y72" s="220"/>
    </row>
    <row r="73" spans="4:25" s="169" customFormat="1" ht="12.75" customHeight="1">
      <c r="D73" s="199"/>
      <c r="K73" s="206"/>
      <c r="M73" s="206"/>
      <c r="X73" s="219"/>
      <c r="Y73" s="220"/>
    </row>
    <row r="74" spans="4:25" s="169" customFormat="1" ht="12.75" customHeight="1">
      <c r="D74" s="199"/>
      <c r="F74" s="247"/>
      <c r="K74" s="206"/>
      <c r="M74" s="206"/>
      <c r="X74" s="219"/>
      <c r="Y74" s="220"/>
    </row>
    <row r="75" spans="4:25" s="169" customFormat="1" ht="12.75" customHeight="1">
      <c r="D75" s="199"/>
      <c r="F75" s="247"/>
      <c r="K75" s="206"/>
      <c r="M75" s="206"/>
      <c r="X75" s="219"/>
      <c r="Y75" s="220"/>
    </row>
    <row r="76" spans="4:25" s="169" customFormat="1" ht="12.75" customHeight="1">
      <c r="D76" s="199"/>
      <c r="F76" s="247"/>
      <c r="K76" s="206"/>
      <c r="M76" s="206"/>
      <c r="X76" s="219"/>
      <c r="Y76" s="220"/>
    </row>
    <row r="77" spans="4:25" s="169" customFormat="1" ht="12.75" customHeight="1">
      <c r="D77" s="199"/>
      <c r="K77" s="206"/>
      <c r="M77" s="206"/>
      <c r="X77" s="219"/>
      <c r="Y77" s="220"/>
    </row>
    <row r="78" spans="4:25" s="169" customFormat="1" ht="12.75" customHeight="1">
      <c r="D78" s="199"/>
      <c r="K78" s="206"/>
      <c r="M78" s="206"/>
      <c r="X78" s="219"/>
      <c r="Y78" s="220"/>
    </row>
    <row r="79" spans="4:25" s="169" customFormat="1" ht="12.75" customHeight="1">
      <c r="D79" s="199"/>
      <c r="K79" s="206"/>
      <c r="M79" s="206"/>
      <c r="X79" s="219"/>
      <c r="Y79" s="220"/>
    </row>
    <row r="80" spans="4:25" s="169" customFormat="1" ht="12.75" customHeight="1">
      <c r="D80" s="199"/>
      <c r="K80" s="206"/>
      <c r="M80" s="206"/>
      <c r="X80" s="219"/>
      <c r="Y80" s="220"/>
    </row>
    <row r="81" spans="4:25" s="169" customFormat="1" ht="12.75" customHeight="1">
      <c r="D81" s="199"/>
      <c r="K81" s="206"/>
      <c r="M81" s="206"/>
      <c r="X81" s="219"/>
      <c r="Y81" s="220"/>
    </row>
    <row r="82" spans="4:25" s="169" customFormat="1" ht="12.75" customHeight="1">
      <c r="D82" s="199"/>
      <c r="K82" s="206"/>
      <c r="M82" s="206"/>
      <c r="X82" s="219"/>
      <c r="Y82" s="220"/>
    </row>
    <row r="83" spans="4:25" s="169" customFormat="1" ht="12.75" customHeight="1">
      <c r="D83" s="199"/>
      <c r="K83" s="206"/>
      <c r="M83" s="206"/>
      <c r="X83" s="219"/>
      <c r="Y83" s="220"/>
    </row>
    <row r="84" spans="4:25" s="169" customFormat="1" ht="12.75" customHeight="1">
      <c r="D84" s="199"/>
      <c r="K84" s="206"/>
      <c r="M84" s="206"/>
      <c r="X84" s="219"/>
      <c r="Y84" s="220"/>
    </row>
    <row r="85" spans="4:25" s="169" customFormat="1" ht="12.75" customHeight="1">
      <c r="D85" s="199"/>
      <c r="K85" s="206"/>
      <c r="M85" s="206"/>
      <c r="X85" s="219"/>
      <c r="Y85" s="220"/>
    </row>
    <row r="86" spans="4:25" s="169" customFormat="1" ht="12.75" customHeight="1">
      <c r="D86" s="199"/>
      <c r="K86" s="206"/>
      <c r="M86" s="206"/>
      <c r="X86" s="219"/>
      <c r="Y86" s="220"/>
    </row>
    <row r="87" spans="4:25" s="169" customFormat="1" ht="12.75" customHeight="1">
      <c r="D87" s="199"/>
      <c r="K87" s="206"/>
      <c r="M87" s="206"/>
      <c r="X87" s="219"/>
      <c r="Y87" s="220"/>
    </row>
    <row r="88" spans="4:25" s="169" customFormat="1" ht="12.75" customHeight="1">
      <c r="D88" s="199"/>
      <c r="K88" s="206"/>
      <c r="M88" s="206"/>
      <c r="X88" s="219"/>
      <c r="Y88" s="220"/>
    </row>
    <row r="89" spans="4:25" s="169" customFormat="1" ht="12.75" customHeight="1">
      <c r="D89" s="199"/>
      <c r="K89" s="206"/>
      <c r="M89" s="206"/>
      <c r="X89" s="219"/>
      <c r="Y89" s="220"/>
    </row>
    <row r="90" spans="4:25" s="169" customFormat="1" ht="12.75" customHeight="1">
      <c r="D90" s="199"/>
      <c r="K90" s="206"/>
      <c r="M90" s="206"/>
      <c r="X90" s="219"/>
      <c r="Y90" s="220"/>
    </row>
    <row r="91" spans="4:25" s="169" customFormat="1" ht="12.75" customHeight="1">
      <c r="D91" s="199"/>
      <c r="K91" s="206"/>
      <c r="M91" s="206"/>
      <c r="X91" s="219"/>
      <c r="Y91" s="220"/>
    </row>
    <row r="92" spans="4:25" s="169" customFormat="1" ht="12.75" customHeight="1">
      <c r="D92" s="199"/>
      <c r="K92" s="206"/>
      <c r="M92" s="206"/>
      <c r="X92" s="219"/>
      <c r="Y92" s="220"/>
    </row>
    <row r="93" spans="4:25" s="169" customFormat="1" ht="12.75" customHeight="1">
      <c r="D93" s="199"/>
      <c r="K93" s="206"/>
      <c r="M93" s="206"/>
      <c r="X93" s="219"/>
      <c r="Y93" s="220"/>
    </row>
    <row r="94" spans="4:25" s="169" customFormat="1" ht="12.75" customHeight="1">
      <c r="D94" s="199"/>
      <c r="K94" s="206"/>
      <c r="M94" s="206"/>
      <c r="X94" s="219"/>
      <c r="Y94" s="220"/>
    </row>
    <row r="95" spans="4:25" s="169" customFormat="1" ht="12.75" customHeight="1">
      <c r="D95" s="199"/>
      <c r="K95" s="206"/>
      <c r="M95" s="206"/>
      <c r="X95" s="219"/>
      <c r="Y95" s="220"/>
    </row>
    <row r="96" spans="4:25" s="169" customFormat="1" ht="12.75" customHeight="1">
      <c r="D96" s="199"/>
      <c r="K96" s="206"/>
      <c r="M96" s="206"/>
      <c r="X96" s="219"/>
      <c r="Y96" s="220"/>
    </row>
    <row r="97" spans="4:25" s="169" customFormat="1" ht="12.75" customHeight="1">
      <c r="D97" s="199"/>
      <c r="K97" s="206"/>
      <c r="M97" s="206"/>
      <c r="X97" s="219"/>
      <c r="Y97" s="220"/>
    </row>
    <row r="98" spans="4:25" s="169" customFormat="1" ht="12.75" customHeight="1">
      <c r="D98" s="199"/>
      <c r="K98" s="206"/>
      <c r="M98" s="206"/>
      <c r="X98" s="219"/>
      <c r="Y98" s="220"/>
    </row>
    <row r="99" spans="4:25" s="169" customFormat="1" ht="12.75" customHeight="1">
      <c r="D99" s="199"/>
      <c r="K99" s="206"/>
      <c r="M99" s="206"/>
      <c r="X99" s="219"/>
      <c r="Y99" s="220"/>
    </row>
    <row r="100" spans="4:25" s="169" customFormat="1" ht="12.75" customHeight="1">
      <c r="D100" s="199"/>
      <c r="K100" s="206"/>
      <c r="M100" s="206"/>
      <c r="X100" s="219"/>
      <c r="Y100" s="220"/>
    </row>
    <row r="101" spans="4:25" s="169" customFormat="1" ht="12.75" customHeight="1">
      <c r="D101" s="199"/>
      <c r="K101" s="206"/>
      <c r="M101" s="206"/>
      <c r="X101" s="219"/>
      <c r="Y101" s="220"/>
    </row>
    <row r="102" spans="4:25" s="169" customFormat="1" ht="12.75" customHeight="1">
      <c r="D102" s="199"/>
      <c r="K102" s="206"/>
      <c r="M102" s="206"/>
      <c r="X102" s="219"/>
      <c r="Y102" s="220"/>
    </row>
    <row r="103" spans="4:25" s="169" customFormat="1" ht="12.75" customHeight="1">
      <c r="D103" s="199"/>
      <c r="K103" s="206"/>
      <c r="M103" s="206"/>
      <c r="X103" s="219"/>
      <c r="Y103" s="220"/>
    </row>
    <row r="104" spans="4:25" s="169" customFormat="1" ht="12.75" customHeight="1">
      <c r="D104" s="199"/>
      <c r="K104" s="206"/>
      <c r="M104" s="206"/>
      <c r="X104" s="219"/>
      <c r="Y104" s="220"/>
    </row>
    <row r="105" spans="4:25" s="169" customFormat="1" ht="12.75" customHeight="1">
      <c r="D105" s="199"/>
      <c r="K105" s="206"/>
      <c r="M105" s="206"/>
      <c r="X105" s="219"/>
      <c r="Y105" s="220"/>
    </row>
    <row r="106" spans="4:25" s="169" customFormat="1" ht="12.75" customHeight="1">
      <c r="D106" s="199"/>
      <c r="K106" s="206"/>
      <c r="M106" s="206"/>
      <c r="X106" s="219"/>
      <c r="Y106" s="220"/>
    </row>
    <row r="107" spans="4:25" s="169" customFormat="1" ht="12.75" customHeight="1">
      <c r="D107" s="199"/>
      <c r="K107" s="206"/>
      <c r="M107" s="206"/>
      <c r="X107" s="219"/>
      <c r="Y107" s="220"/>
    </row>
    <row r="108" spans="4:25" s="169" customFormat="1" ht="12.75" customHeight="1">
      <c r="D108" s="199"/>
      <c r="K108" s="206"/>
      <c r="M108" s="206"/>
      <c r="X108" s="219"/>
      <c r="Y108" s="220"/>
    </row>
    <row r="109" spans="4:25" s="169" customFormat="1" ht="12.75" customHeight="1">
      <c r="D109" s="199"/>
      <c r="K109" s="206"/>
      <c r="M109" s="206"/>
      <c r="X109" s="219"/>
      <c r="Y109" s="220"/>
    </row>
    <row r="110" spans="4:25" s="169" customFormat="1" ht="12.75" customHeight="1">
      <c r="D110" s="199"/>
      <c r="K110" s="206"/>
      <c r="M110" s="206"/>
      <c r="X110" s="219"/>
      <c r="Y110" s="220"/>
    </row>
    <row r="111" spans="4:25" s="169" customFormat="1" ht="12.75" customHeight="1">
      <c r="D111" s="199"/>
      <c r="K111" s="206"/>
      <c r="M111" s="206"/>
      <c r="X111" s="219"/>
      <c r="Y111" s="220"/>
    </row>
    <row r="112" spans="4:25" s="169" customFormat="1" ht="12.75" customHeight="1">
      <c r="D112" s="199"/>
      <c r="K112" s="206"/>
      <c r="M112" s="206"/>
      <c r="X112" s="219"/>
      <c r="Y112" s="220"/>
    </row>
    <row r="113" spans="4:25" s="169" customFormat="1" ht="12.75" customHeight="1">
      <c r="D113" s="199"/>
      <c r="K113" s="206"/>
      <c r="M113" s="206"/>
      <c r="X113" s="219"/>
      <c r="Y113" s="220"/>
    </row>
    <row r="114" spans="4:25" s="169" customFormat="1" ht="12.75" customHeight="1">
      <c r="D114" s="199"/>
      <c r="K114" s="206"/>
      <c r="M114" s="206"/>
      <c r="X114" s="219"/>
      <c r="Y114" s="220"/>
    </row>
    <row r="115" spans="4:25" s="169" customFormat="1" ht="12.75" customHeight="1">
      <c r="D115" s="199"/>
      <c r="K115" s="206"/>
      <c r="M115" s="206"/>
      <c r="X115" s="219"/>
      <c r="Y115" s="220"/>
    </row>
    <row r="116" spans="4:25" s="169" customFormat="1" ht="12.75" customHeight="1">
      <c r="D116" s="199"/>
      <c r="K116" s="206"/>
      <c r="M116" s="206"/>
      <c r="X116" s="219"/>
      <c r="Y116" s="220"/>
    </row>
    <row r="117" spans="4:25" s="169" customFormat="1" ht="12.75" customHeight="1">
      <c r="D117" s="199"/>
      <c r="K117" s="206"/>
      <c r="M117" s="206"/>
      <c r="X117" s="219"/>
      <c r="Y117" s="220"/>
    </row>
    <row r="118" spans="4:25" s="169" customFormat="1" ht="12.75" customHeight="1">
      <c r="D118" s="199"/>
      <c r="K118" s="206"/>
      <c r="M118" s="206"/>
      <c r="X118" s="219"/>
      <c r="Y118" s="220"/>
    </row>
    <row r="119" spans="4:25" s="169" customFormat="1" ht="12.75" customHeight="1">
      <c r="D119" s="199"/>
      <c r="K119" s="206"/>
      <c r="M119" s="206"/>
      <c r="X119" s="219"/>
      <c r="Y119" s="220"/>
    </row>
    <row r="120" spans="4:25" s="169" customFormat="1" ht="12.75" customHeight="1">
      <c r="D120" s="199"/>
      <c r="K120" s="206"/>
      <c r="M120" s="206"/>
      <c r="X120" s="219"/>
      <c r="Y120" s="220"/>
    </row>
    <row r="121" spans="4:25" s="169" customFormat="1" ht="12.75" customHeight="1">
      <c r="D121" s="199"/>
      <c r="K121" s="206"/>
      <c r="M121" s="206"/>
      <c r="X121" s="219"/>
      <c r="Y121" s="220"/>
    </row>
    <row r="122" spans="4:25" s="169" customFormat="1" ht="12.75" customHeight="1">
      <c r="D122" s="199"/>
      <c r="K122" s="206"/>
      <c r="M122" s="206"/>
      <c r="X122" s="219"/>
      <c r="Y122" s="220"/>
    </row>
    <row r="123" spans="4:25" s="169" customFormat="1" ht="12.75" customHeight="1">
      <c r="D123" s="199"/>
      <c r="K123" s="206"/>
      <c r="M123" s="206"/>
      <c r="X123" s="219"/>
      <c r="Y123" s="220"/>
    </row>
    <row r="124" spans="4:25" s="169" customFormat="1" ht="12.75" customHeight="1">
      <c r="D124" s="199"/>
      <c r="K124" s="206"/>
      <c r="M124" s="206"/>
      <c r="X124" s="219"/>
      <c r="Y124" s="220"/>
    </row>
    <row r="125" spans="4:25" s="169" customFormat="1" ht="12.75" customHeight="1">
      <c r="D125" s="199"/>
      <c r="K125" s="206"/>
      <c r="M125" s="206"/>
      <c r="X125" s="219"/>
      <c r="Y125" s="220"/>
    </row>
    <row r="126" spans="4:25" s="169" customFormat="1" ht="12.75" customHeight="1">
      <c r="D126" s="199"/>
      <c r="K126" s="206"/>
      <c r="M126" s="206"/>
      <c r="X126" s="219"/>
      <c r="Y126" s="220"/>
    </row>
    <row r="127" spans="4:25" s="169" customFormat="1" ht="12.75" customHeight="1">
      <c r="D127" s="199"/>
      <c r="K127" s="206"/>
      <c r="M127" s="206"/>
      <c r="X127" s="219"/>
      <c r="Y127" s="220"/>
    </row>
    <row r="128" spans="4:25" s="169" customFormat="1" ht="12.75" customHeight="1">
      <c r="D128" s="199"/>
      <c r="K128" s="206"/>
      <c r="M128" s="206"/>
      <c r="X128" s="219"/>
      <c r="Y128" s="220"/>
    </row>
    <row r="129" spans="1:25" s="169" customFormat="1" ht="12.75" customHeight="1">
      <c r="D129" s="199"/>
      <c r="K129" s="206"/>
      <c r="M129" s="206"/>
      <c r="X129" s="219"/>
      <c r="Y129" s="220"/>
    </row>
    <row r="130" spans="1:25" s="169" customFormat="1" ht="12.75" customHeight="1">
      <c r="D130" s="199"/>
      <c r="K130" s="206"/>
      <c r="M130" s="206"/>
      <c r="X130" s="219"/>
      <c r="Y130" s="220"/>
    </row>
    <row r="131" spans="1:25" s="169" customFormat="1" ht="12.75" customHeight="1">
      <c r="D131" s="199"/>
      <c r="K131" s="206"/>
      <c r="M131" s="206"/>
      <c r="X131" s="219"/>
      <c r="Y131" s="220"/>
    </row>
    <row r="132" spans="1:25" s="169" customFormat="1" ht="12.75" customHeight="1">
      <c r="D132" s="199"/>
      <c r="K132" s="206"/>
      <c r="M132" s="206"/>
      <c r="X132" s="219"/>
      <c r="Y132" s="220"/>
    </row>
    <row r="133" spans="1:25">
      <c r="A133" s="200"/>
    </row>
    <row r="134" spans="1:25">
      <c r="A134" s="200"/>
    </row>
    <row r="135" spans="1:25">
      <c r="A135" s="200"/>
    </row>
  </sheetData>
  <phoneticPr fontId="10" type="noConversion"/>
  <printOptions horizontalCentered="1"/>
  <pageMargins left="0.5" right="0.5" top="3" bottom="0.5" header="1.5" footer="0.5"/>
  <pageSetup scale="46" fitToWidth="2" fitToHeight="0" pageOrder="overThenDown" orientation="landscape"/>
  <headerFooter alignWithMargins="0">
    <oddHeader>&amp;R&amp;"Arial,Bold"Schedule &amp;A
Page &amp;P of &amp;N&amp;C&amp;B
2025 RATE CASE
ONCOR ELECTRIC DELIVERY COMPANY LLC
II-E-3   FEDERAL INCOME TAXES
TEST YEAR ENDING DECEMBER 31, 2024
SPONSOR: B. L. CLUTTER</oddHeader>
  </headerFooter>
  <colBreaks count="1" manualBreakCount="1">
    <brk id="10" min="9" max="53" man="1"/>
  </col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pageSetUpPr fitToPage="1"/>
  </sheetPr>
  <dimension ref="A1:M181"/>
  <sheetViews>
    <sheetView zoomScale="80" zoomScaleNormal="80" workbookViewId="0">
      <pane xSplit="2" ySplit="13" topLeftCell="C70" activePane="bottomRight" state="frozen"/>
      <selection activeCell="E19" sqref="E19"/>
      <selection pane="topRight" activeCell="E19" sqref="E19"/>
      <selection pane="bottomLeft" activeCell="E19" sqref="E19"/>
      <selection pane="bottomRight" activeCell="B88" sqref="B88"/>
    </sheetView>
  </sheetViews>
  <sheetFormatPr defaultColWidth="9.140625" defaultRowHeight="12.75"/>
  <cols>
    <col min="1" max="1" width="6.5703125" style="111" customWidth="1"/>
    <col min="2" max="2" width="66.5703125" style="111" customWidth="1"/>
    <col min="3" max="3" width="1.7109375" style="111" customWidth="1"/>
    <col min="4" max="5" width="19.42578125" style="111" customWidth="1"/>
    <col min="6" max="6" width="18.85546875" style="111" bestFit="1" customWidth="1"/>
    <col min="7" max="7" width="15" style="111" bestFit="1" customWidth="1"/>
    <col min="8" max="8" width="27.140625" style="111" bestFit="1" customWidth="1"/>
    <col min="9" max="9" width="9" style="111" bestFit="1" customWidth="1"/>
    <col min="10" max="10" width="12.85546875" style="111" bestFit="1" customWidth="1"/>
    <col min="11" max="11" width="9" style="111" bestFit="1" customWidth="1"/>
    <col min="12" max="16384" width="9.140625" style="111"/>
  </cols>
  <sheetData>
    <row r="1" spans="1:10">
      <c r="A1" s="105" t="str">
        <f>+'[3]Input Data'!$A$9</f>
        <v>2025 RATE CASE</v>
      </c>
    </row>
    <row r="2" spans="1:10">
      <c r="A2" s="163" t="str">
        <f>+'[3]Input Data'!$A$2</f>
        <v>ONCOR ELECTRIC DELIVERY COMPANY LLC</v>
      </c>
    </row>
    <row r="3" spans="1:10">
      <c r="A3" s="164" t="str">
        <f>CONCATENATE('[3]Schedule Sponsors'!$A$86,'[3]Schedule Sponsors'!$B$86)</f>
        <v>II-E-3.1  RECONCILIATION OF TEST YEAR BOOK NET INCOME TO TAXABLE NET INCOME</v>
      </c>
    </row>
    <row r="4" spans="1:10">
      <c r="A4" s="164" t="str">
        <f>+'[3]Input Data'!$A$4</f>
        <v>TEST YEAR ENDING DECEMBER 31, 2024</v>
      </c>
    </row>
    <row r="5" spans="1:10">
      <c r="A5" s="164" t="str">
        <f>CONCATENATE("SPONSOR: ",'[3]Schedule Sponsors'!$D$86)</f>
        <v>SPONSOR: B. L. CLUTTER</v>
      </c>
    </row>
    <row r="6" spans="1:10">
      <c r="A6" s="162"/>
    </row>
    <row r="7" spans="1:10">
      <c r="B7" s="192"/>
    </row>
    <row r="9" spans="1:10" ht="13.5" thickBot="1"/>
    <row r="10" spans="1:10" s="173" customFormat="1">
      <c r="A10" s="265" t="s">
        <v>241</v>
      </c>
      <c r="B10" s="259"/>
      <c r="C10" s="266"/>
      <c r="D10" s="267"/>
      <c r="E10" s="440"/>
      <c r="J10" s="353"/>
    </row>
    <row r="11" spans="1:10" s="173" customFormat="1">
      <c r="A11" s="268" t="s">
        <v>139</v>
      </c>
      <c r="B11" s="260" t="s">
        <v>64</v>
      </c>
      <c r="C11" s="269"/>
      <c r="D11" s="270" t="s">
        <v>1083</v>
      </c>
      <c r="E11" s="441" t="s">
        <v>1084</v>
      </c>
      <c r="J11" s="353"/>
    </row>
    <row r="12" spans="1:10" s="346" customFormat="1" ht="13.5" thickBot="1">
      <c r="A12" s="271"/>
      <c r="B12" s="261" t="s">
        <v>226</v>
      </c>
      <c r="C12" s="272"/>
      <c r="D12" s="273" t="s">
        <v>227</v>
      </c>
      <c r="E12" s="312" t="s">
        <v>228</v>
      </c>
      <c r="J12" s="277"/>
    </row>
    <row r="13" spans="1:10" s="346" customFormat="1">
      <c r="D13" s="262"/>
      <c r="E13" s="262"/>
      <c r="J13" s="277"/>
    </row>
    <row r="14" spans="1:10" s="346" customFormat="1">
      <c r="A14" s="347">
        <v>1</v>
      </c>
      <c r="B14" s="346" t="s">
        <v>336</v>
      </c>
      <c r="D14" s="110"/>
      <c r="E14" s="110"/>
      <c r="J14" s="277"/>
    </row>
    <row r="15" spans="1:10" s="346" customFormat="1">
      <c r="A15" s="347">
        <f t="shared" ref="A15:A80" si="0">A14+1</f>
        <v>2</v>
      </c>
      <c r="B15" s="346" t="s">
        <v>337</v>
      </c>
      <c r="C15" s="274"/>
      <c r="D15" s="459">
        <f>+'[2]Op Income'!$E$21</f>
        <v>902103492.5999999</v>
      </c>
      <c r="E15" s="459">
        <v>839118319.37</v>
      </c>
      <c r="F15" s="275" t="s">
        <v>383</v>
      </c>
      <c r="H15" s="255"/>
      <c r="J15" s="277"/>
    </row>
    <row r="16" spans="1:10" s="346" customFormat="1">
      <c r="A16" s="347">
        <f t="shared" si="0"/>
        <v>3</v>
      </c>
      <c r="C16" s="276"/>
      <c r="D16" s="110"/>
      <c r="E16" s="110"/>
      <c r="J16" s="277"/>
    </row>
    <row r="17" spans="1:13" s="346" customFormat="1">
      <c r="A17" s="347">
        <f t="shared" si="0"/>
        <v>4</v>
      </c>
      <c r="B17" s="346" t="s">
        <v>147</v>
      </c>
      <c r="D17" s="13">
        <f>+'[2]Op Income'!$E$17</f>
        <v>31866850.189999998</v>
      </c>
      <c r="E17" s="13">
        <v>28111533.170000002</v>
      </c>
      <c r="F17" s="275" t="s">
        <v>383</v>
      </c>
      <c r="H17" s="110"/>
      <c r="J17" s="277"/>
    </row>
    <row r="18" spans="1:13" s="346" customFormat="1">
      <c r="A18" s="347">
        <f t="shared" si="0"/>
        <v>5</v>
      </c>
      <c r="D18" s="460"/>
      <c r="E18" s="460"/>
      <c r="J18" s="277"/>
    </row>
    <row r="19" spans="1:13" s="346" customFormat="1">
      <c r="A19" s="347">
        <f t="shared" si="0"/>
        <v>6</v>
      </c>
      <c r="B19" s="346" t="s">
        <v>157</v>
      </c>
      <c r="D19" s="13">
        <f>+'[2]Op Income'!$E$16+'[2]Op Income'!$E$18</f>
        <v>176438072.97000012</v>
      </c>
      <c r="E19" s="13">
        <v>156454403.93000001</v>
      </c>
      <c r="F19" s="275" t="s">
        <v>383</v>
      </c>
    </row>
    <row r="20" spans="1:13" s="346" customFormat="1">
      <c r="A20" s="347">
        <f t="shared" si="0"/>
        <v>7</v>
      </c>
      <c r="J20" s="277"/>
    </row>
    <row r="21" spans="1:13" s="346" customFormat="1">
      <c r="A21" s="347">
        <f t="shared" si="0"/>
        <v>8</v>
      </c>
      <c r="B21" s="189" t="s">
        <v>143</v>
      </c>
      <c r="H21" s="257" t="s">
        <v>440</v>
      </c>
      <c r="I21" s="541">
        <v>2024</v>
      </c>
      <c r="J21" s="277"/>
      <c r="K21" s="541">
        <v>2023</v>
      </c>
    </row>
    <row r="22" spans="1:13" s="346" customFormat="1">
      <c r="A22" s="347">
        <f t="shared" si="0"/>
        <v>9</v>
      </c>
      <c r="H22" s="257" t="s">
        <v>841</v>
      </c>
      <c r="I22" s="542">
        <v>-400438.3</v>
      </c>
      <c r="J22" s="277"/>
      <c r="K22" s="542">
        <v>-344942.66</v>
      </c>
    </row>
    <row r="23" spans="1:13" s="346" customFormat="1">
      <c r="A23" s="347">
        <f t="shared" si="0"/>
        <v>10</v>
      </c>
      <c r="B23" s="346" t="s">
        <v>394</v>
      </c>
      <c r="D23" s="459">
        <f>+'II-E-3'!E31</f>
        <v>4310520.8099999996</v>
      </c>
      <c r="E23" s="459">
        <v>4020482.58</v>
      </c>
      <c r="F23" s="257" t="s">
        <v>221</v>
      </c>
      <c r="H23" s="257" t="s">
        <v>842</v>
      </c>
      <c r="I23" s="542">
        <v>-127254.84</v>
      </c>
      <c r="J23" s="355"/>
      <c r="K23" s="542">
        <v>-124631.43</v>
      </c>
      <c r="L23" s="192"/>
      <c r="M23" s="192"/>
    </row>
    <row r="24" spans="1:13" s="192" customFormat="1">
      <c r="A24" s="347">
        <f t="shared" si="0"/>
        <v>11</v>
      </c>
      <c r="B24" s="142" t="s">
        <v>395</v>
      </c>
      <c r="C24" s="346"/>
      <c r="D24" s="13">
        <f>+'II-E-3'!E32</f>
        <v>267483.76</v>
      </c>
      <c r="E24" s="13">
        <v>252611.28</v>
      </c>
      <c r="F24" s="257" t="s">
        <v>221</v>
      </c>
      <c r="H24" s="257" t="s">
        <v>1117</v>
      </c>
      <c r="I24" s="704">
        <v>0</v>
      </c>
      <c r="J24" s="346"/>
      <c r="K24" s="542">
        <v>-1495977.53</v>
      </c>
    </row>
    <row r="25" spans="1:13" s="192" customFormat="1">
      <c r="A25" s="347">
        <f t="shared" si="0"/>
        <v>12</v>
      </c>
      <c r="B25" s="538" t="s">
        <v>587</v>
      </c>
      <c r="C25" s="346"/>
      <c r="D25" s="13">
        <f>+'II-E-3'!E33</f>
        <v>1524901.52</v>
      </c>
      <c r="E25" s="13">
        <v>1559968.55</v>
      </c>
      <c r="F25" s="257" t="s">
        <v>221</v>
      </c>
      <c r="H25" s="257" t="s">
        <v>1118</v>
      </c>
      <c r="I25" s="542">
        <v>-1200280.31</v>
      </c>
      <c r="J25" s="346"/>
      <c r="K25" s="704">
        <v>0</v>
      </c>
      <c r="L25" s="346"/>
      <c r="M25" s="346"/>
    </row>
    <row r="26" spans="1:13" s="346" customFormat="1">
      <c r="A26" s="347">
        <f t="shared" si="0"/>
        <v>13</v>
      </c>
      <c r="B26" s="142" t="s">
        <v>55</v>
      </c>
      <c r="D26" s="461">
        <f>+'II-E-3'!E34</f>
        <v>-8505119.0000000019</v>
      </c>
      <c r="E26" s="13">
        <v>-1098780.8600000003</v>
      </c>
      <c r="F26" s="257" t="s">
        <v>221</v>
      </c>
      <c r="H26" s="257" t="s">
        <v>843</v>
      </c>
      <c r="I26" s="543">
        <v>1978953</v>
      </c>
      <c r="K26" s="543">
        <v>1186420</v>
      </c>
    </row>
    <row r="27" spans="1:13" s="346" customFormat="1">
      <c r="A27" s="347">
        <f t="shared" si="0"/>
        <v>14</v>
      </c>
      <c r="B27" s="346" t="s">
        <v>366</v>
      </c>
      <c r="D27" s="13">
        <v>0</v>
      </c>
      <c r="E27" s="13">
        <v>-100305.36</v>
      </c>
      <c r="F27" s="257" t="s">
        <v>221</v>
      </c>
      <c r="H27" s="354">
        <f>+D17+D28</f>
        <v>250979.52999999747</v>
      </c>
      <c r="I27" s="543">
        <f>SUM(I22:I26)</f>
        <v>250979.54999999981</v>
      </c>
      <c r="J27" s="354">
        <f>+E17+E28</f>
        <v>-779131.6099999994</v>
      </c>
      <c r="K27" s="543">
        <f>SUM(K22:K26)</f>
        <v>-779131.62000000011</v>
      </c>
    </row>
    <row r="28" spans="1:13" s="346" customFormat="1">
      <c r="A28" s="347">
        <f t="shared" si="0"/>
        <v>15</v>
      </c>
      <c r="B28" s="346" t="s">
        <v>455</v>
      </c>
      <c r="D28" s="462">
        <v>-31615870.66</v>
      </c>
      <c r="E28" s="462">
        <v>-28890664.780000001</v>
      </c>
    </row>
    <row r="29" spans="1:13" s="346" customFormat="1">
      <c r="A29" s="347">
        <f t="shared" si="0"/>
        <v>16</v>
      </c>
      <c r="G29" s="255"/>
    </row>
    <row r="30" spans="1:13" s="346" customFormat="1">
      <c r="A30" s="347">
        <f t="shared" si="0"/>
        <v>17</v>
      </c>
      <c r="B30" s="346" t="s">
        <v>144</v>
      </c>
      <c r="D30" s="459">
        <f>SUM(D23:D28)</f>
        <v>-34018083.57</v>
      </c>
      <c r="E30" s="459">
        <f>SUM(E23:E28)</f>
        <v>-24256688.590000004</v>
      </c>
    </row>
    <row r="31" spans="1:13" s="346" customFormat="1">
      <c r="A31" s="347">
        <f t="shared" si="0"/>
        <v>18</v>
      </c>
    </row>
    <row r="32" spans="1:13" s="346" customFormat="1">
      <c r="A32" s="347">
        <f t="shared" si="0"/>
        <v>19</v>
      </c>
      <c r="B32" s="189" t="s">
        <v>145</v>
      </c>
      <c r="L32" s="192"/>
      <c r="M32" s="192"/>
    </row>
    <row r="33" spans="1:13" s="192" customFormat="1">
      <c r="A33" s="347">
        <f t="shared" si="0"/>
        <v>20</v>
      </c>
      <c r="B33" s="346"/>
      <c r="C33" s="346"/>
      <c r="D33" s="346"/>
      <c r="E33" s="346"/>
      <c r="L33" s="346"/>
      <c r="M33" s="346"/>
    </row>
    <row r="34" spans="1:13" s="346" customFormat="1">
      <c r="A34" s="347">
        <f t="shared" si="0"/>
        <v>21</v>
      </c>
      <c r="B34" s="192" t="s">
        <v>289</v>
      </c>
    </row>
    <row r="35" spans="1:13" s="346" customFormat="1">
      <c r="A35" s="347">
        <f t="shared" si="0"/>
        <v>22</v>
      </c>
      <c r="B35" s="192" t="s">
        <v>166</v>
      </c>
      <c r="D35" s="459">
        <v>-274354346.33000004</v>
      </c>
      <c r="E35" s="451">
        <v>-187710887.99000001</v>
      </c>
      <c r="F35" s="257"/>
      <c r="G35" s="257" t="s">
        <v>1126</v>
      </c>
    </row>
    <row r="36" spans="1:13" s="346" customFormat="1">
      <c r="A36" s="347">
        <f t="shared" si="0"/>
        <v>23</v>
      </c>
      <c r="B36" s="192" t="s">
        <v>343</v>
      </c>
      <c r="D36" s="13">
        <v>-85526273.170000002</v>
      </c>
      <c r="E36" s="451">
        <v>-48141435.719999999</v>
      </c>
      <c r="F36" s="257"/>
      <c r="G36" s="636"/>
    </row>
    <row r="37" spans="1:13" s="346" customFormat="1">
      <c r="A37" s="347">
        <f t="shared" si="0"/>
        <v>24</v>
      </c>
      <c r="B37" s="192" t="s">
        <v>397</v>
      </c>
      <c r="D37" s="13">
        <v>-208163489.91999999</v>
      </c>
      <c r="E37" s="451">
        <v>-208163490.91</v>
      </c>
      <c r="F37" s="257"/>
      <c r="G37" s="636"/>
    </row>
    <row r="38" spans="1:13" s="346" customFormat="1">
      <c r="A38" s="347">
        <f t="shared" si="0"/>
        <v>25</v>
      </c>
      <c r="B38" s="192" t="s">
        <v>322</v>
      </c>
      <c r="D38" s="13">
        <v>-203070217.87</v>
      </c>
      <c r="E38" s="451">
        <v>-158195019.12</v>
      </c>
      <c r="F38" s="257"/>
      <c r="G38" s="636"/>
      <c r="H38" s="192"/>
      <c r="I38" s="192"/>
    </row>
    <row r="39" spans="1:13" s="346" customFormat="1">
      <c r="A39" s="347">
        <f t="shared" si="0"/>
        <v>26</v>
      </c>
      <c r="B39" s="606" t="s">
        <v>414</v>
      </c>
      <c r="D39" s="13">
        <v>-41682730.590000004</v>
      </c>
      <c r="E39" s="451">
        <v>-48989125.210000001</v>
      </c>
      <c r="F39" s="257"/>
      <c r="G39" s="636"/>
      <c r="H39" s="192"/>
      <c r="I39" s="192"/>
    </row>
    <row r="40" spans="1:13" s="346" customFormat="1">
      <c r="A40" s="347">
        <f t="shared" si="0"/>
        <v>27</v>
      </c>
      <c r="B40" s="192" t="s">
        <v>954</v>
      </c>
      <c r="D40" s="13">
        <v>95801382.450000003</v>
      </c>
      <c r="E40" s="451">
        <v>82328999.900000006</v>
      </c>
      <c r="F40" s="257"/>
      <c r="G40" s="636"/>
      <c r="H40" s="192"/>
      <c r="I40" s="192"/>
    </row>
    <row r="41" spans="1:13" s="346" customFormat="1">
      <c r="A41" s="347">
        <f t="shared" si="0"/>
        <v>28</v>
      </c>
      <c r="B41" s="192" t="s">
        <v>342</v>
      </c>
      <c r="D41" s="13">
        <v>63297999.979999997</v>
      </c>
      <c r="E41" s="451">
        <v>36151000</v>
      </c>
      <c r="F41" s="257"/>
      <c r="G41" s="636"/>
      <c r="H41" s="192"/>
      <c r="I41" s="192"/>
    </row>
    <row r="42" spans="1:13" s="346" customFormat="1">
      <c r="A42" s="347">
        <f t="shared" si="0"/>
        <v>29</v>
      </c>
      <c r="B42" s="192" t="s">
        <v>27</v>
      </c>
      <c r="D42" s="13">
        <v>-43481933.219999999</v>
      </c>
      <c r="E42" s="451">
        <v>-28782941.920000002</v>
      </c>
      <c r="F42" s="257"/>
      <c r="G42" s="636"/>
      <c r="H42" s="192"/>
      <c r="I42" s="192"/>
    </row>
    <row r="43" spans="1:13" s="346" customFormat="1">
      <c r="A43" s="347">
        <f t="shared" si="0"/>
        <v>30</v>
      </c>
      <c r="B43" s="192" t="s">
        <v>26</v>
      </c>
      <c r="D43" s="13">
        <v>-33795801.82</v>
      </c>
      <c r="E43" s="451">
        <v>-9977336.1899999995</v>
      </c>
      <c r="F43" s="257"/>
      <c r="G43" s="636"/>
      <c r="H43" s="192"/>
      <c r="I43" s="192"/>
    </row>
    <row r="44" spans="1:13" s="346" customFormat="1">
      <c r="A44" s="347">
        <f t="shared" si="0"/>
        <v>31</v>
      </c>
      <c r="B44" s="192" t="s">
        <v>599</v>
      </c>
      <c r="C44" s="192"/>
      <c r="D44" s="13">
        <v>-8882197.4299999997</v>
      </c>
      <c r="E44" s="451">
        <v>20814517.489999998</v>
      </c>
      <c r="F44" s="257"/>
      <c r="G44" s="636"/>
      <c r="H44" s="192"/>
      <c r="I44" s="192"/>
    </row>
    <row r="45" spans="1:13" s="346" customFormat="1">
      <c r="A45" s="347">
        <f t="shared" si="0"/>
        <v>32</v>
      </c>
      <c r="B45" s="192" t="s">
        <v>341</v>
      </c>
      <c r="D45" s="13">
        <v>-4429804.04</v>
      </c>
      <c r="E45" s="451">
        <v>-2582077.89</v>
      </c>
      <c r="F45" s="257"/>
      <c r="G45" s="636"/>
      <c r="H45" s="192"/>
      <c r="I45" s="192"/>
    </row>
    <row r="46" spans="1:13" s="346" customFormat="1">
      <c r="A46" s="347">
        <f t="shared" si="0"/>
        <v>33</v>
      </c>
      <c r="B46" s="192" t="s">
        <v>398</v>
      </c>
      <c r="D46" s="13">
        <v>11062008.800000001</v>
      </c>
      <c r="E46" s="451">
        <v>5232272.12</v>
      </c>
      <c r="F46" s="257"/>
      <c r="G46" s="636"/>
      <c r="H46" s="192"/>
      <c r="I46" s="192"/>
    </row>
    <row r="47" spans="1:13" s="346" customFormat="1">
      <c r="A47" s="347">
        <f t="shared" si="0"/>
        <v>34</v>
      </c>
      <c r="B47" s="606" t="s">
        <v>424</v>
      </c>
      <c r="D47" s="13">
        <v>-3932131.53</v>
      </c>
      <c r="E47" s="451">
        <v>-28345400.109999999</v>
      </c>
      <c r="F47" s="257"/>
      <c r="G47" s="636"/>
      <c r="H47" s="192"/>
      <c r="I47" s="192"/>
    </row>
    <row r="48" spans="1:13" s="346" customFormat="1">
      <c r="A48" s="347">
        <f t="shared" si="0"/>
        <v>35</v>
      </c>
      <c r="B48" s="606" t="s">
        <v>425</v>
      </c>
      <c r="D48" s="13">
        <v>1227689.79</v>
      </c>
      <c r="E48" s="451">
        <v>-1910400.15</v>
      </c>
      <c r="F48" s="257"/>
      <c r="G48" s="636"/>
      <c r="H48" s="192"/>
      <c r="I48" s="192"/>
    </row>
    <row r="49" spans="1:13" s="346" customFormat="1">
      <c r="A49" s="347">
        <f t="shared" si="0"/>
        <v>36</v>
      </c>
      <c r="B49" s="192" t="s">
        <v>399</v>
      </c>
      <c r="D49" s="13">
        <v>14767459.27</v>
      </c>
      <c r="E49" s="451">
        <v>5144542.13</v>
      </c>
      <c r="F49" s="257"/>
      <c r="G49" s="636"/>
      <c r="H49" s="192"/>
      <c r="I49" s="192"/>
    </row>
    <row r="50" spans="1:13" s="346" customFormat="1">
      <c r="A50" s="347">
        <f t="shared" si="0"/>
        <v>37</v>
      </c>
      <c r="B50" s="192" t="s">
        <v>169</v>
      </c>
      <c r="D50" s="13">
        <v>-64617090</v>
      </c>
      <c r="E50" s="451">
        <v>-5321947</v>
      </c>
      <c r="F50" s="257"/>
      <c r="G50" s="636"/>
      <c r="H50" s="192"/>
      <c r="I50" s="192"/>
    </row>
    <row r="51" spans="1:13" s="346" customFormat="1">
      <c r="A51" s="347">
        <f t="shared" si="0"/>
        <v>38</v>
      </c>
      <c r="B51" s="192" t="s">
        <v>25</v>
      </c>
      <c r="D51" s="13">
        <v>2215571.2599999998</v>
      </c>
      <c r="E51" s="451">
        <v>1362406.92</v>
      </c>
      <c r="F51" s="257"/>
      <c r="G51" s="636"/>
      <c r="H51" s="192"/>
      <c r="I51" s="192"/>
      <c r="K51" s="192"/>
      <c r="L51" s="192"/>
      <c r="M51" s="192"/>
    </row>
    <row r="52" spans="1:13" s="192" customFormat="1">
      <c r="A52" s="347">
        <f t="shared" si="0"/>
        <v>39</v>
      </c>
      <c r="B52" s="192" t="s">
        <v>349</v>
      </c>
      <c r="C52" s="346"/>
      <c r="D52" s="13">
        <v>-18727783.43</v>
      </c>
      <c r="E52" s="451">
        <v>-1125143.45</v>
      </c>
      <c r="F52" s="257"/>
      <c r="G52" s="636"/>
    </row>
    <row r="53" spans="1:13" s="192" customFormat="1">
      <c r="A53" s="347">
        <f t="shared" si="0"/>
        <v>40</v>
      </c>
      <c r="B53" s="192" t="s">
        <v>180</v>
      </c>
      <c r="C53" s="346"/>
      <c r="D53" s="13">
        <v>1341570.8999999999</v>
      </c>
      <c r="E53" s="451">
        <v>3404613.86</v>
      </c>
      <c r="F53" s="257"/>
      <c r="G53" s="636"/>
    </row>
    <row r="54" spans="1:13" s="192" customFormat="1">
      <c r="A54" s="347">
        <f t="shared" si="0"/>
        <v>41</v>
      </c>
      <c r="B54" s="192" t="s">
        <v>167</v>
      </c>
      <c r="C54" s="346"/>
      <c r="D54" s="13">
        <v>7513080.6100000003</v>
      </c>
      <c r="E54" s="451">
        <v>11722548.82</v>
      </c>
      <c r="F54" s="257"/>
      <c r="G54" s="636"/>
    </row>
    <row r="55" spans="1:13" s="192" customFormat="1">
      <c r="A55" s="347">
        <f t="shared" si="0"/>
        <v>42</v>
      </c>
      <c r="B55" s="192" t="s">
        <v>345</v>
      </c>
      <c r="C55" s="346"/>
      <c r="D55" s="13">
        <v>-699253.09</v>
      </c>
      <c r="E55" s="451">
        <v>1639425.29</v>
      </c>
      <c r="F55" s="257"/>
      <c r="G55" s="636"/>
      <c r="K55" s="346"/>
      <c r="L55" s="346"/>
      <c r="M55" s="346"/>
    </row>
    <row r="56" spans="1:13" s="346" customFormat="1">
      <c r="A56" s="347">
        <f t="shared" si="0"/>
        <v>43</v>
      </c>
      <c r="B56" s="192" t="s">
        <v>607</v>
      </c>
      <c r="C56" s="192"/>
      <c r="D56" s="461">
        <v>1258539.76</v>
      </c>
      <c r="E56" s="451">
        <v>-2986573.7</v>
      </c>
      <c r="F56" s="257"/>
      <c r="G56" s="636"/>
      <c r="H56" s="192"/>
      <c r="I56" s="192"/>
    </row>
    <row r="57" spans="1:13" s="346" customFormat="1">
      <c r="A57" s="347">
        <f t="shared" si="0"/>
        <v>44</v>
      </c>
      <c r="B57" s="192" t="s">
        <v>608</v>
      </c>
      <c r="C57" s="192"/>
      <c r="D57" s="461">
        <v>16239</v>
      </c>
      <c r="E57" s="451">
        <v>10518.69</v>
      </c>
      <c r="F57" s="257"/>
      <c r="G57" s="636"/>
      <c r="H57" s="192"/>
      <c r="I57" s="192"/>
    </row>
    <row r="58" spans="1:13" s="346" customFormat="1">
      <c r="A58" s="347">
        <f t="shared" si="0"/>
        <v>45</v>
      </c>
      <c r="B58" s="192" t="s">
        <v>609</v>
      </c>
      <c r="C58" s="192"/>
      <c r="D58" s="461">
        <v>473661</v>
      </c>
      <c r="E58" s="451">
        <v>307298.78000000003</v>
      </c>
      <c r="F58" s="257"/>
      <c r="G58" s="636"/>
      <c r="H58" s="192"/>
      <c r="I58" s="192"/>
    </row>
    <row r="59" spans="1:13" s="346" customFormat="1">
      <c r="A59" s="347">
        <f t="shared" si="0"/>
        <v>46</v>
      </c>
      <c r="B59" s="192" t="s">
        <v>610</v>
      </c>
      <c r="C59" s="192"/>
      <c r="D59" s="461">
        <v>-501188.43</v>
      </c>
      <c r="E59" s="451">
        <v>-756350</v>
      </c>
      <c r="F59" s="257"/>
      <c r="G59" s="636"/>
      <c r="H59" s="192"/>
      <c r="I59" s="192"/>
    </row>
    <row r="60" spans="1:13" s="346" customFormat="1">
      <c r="A60" s="347">
        <f t="shared" si="0"/>
        <v>47</v>
      </c>
      <c r="B60" s="192" t="s">
        <v>1130</v>
      </c>
      <c r="C60" s="192"/>
      <c r="D60" s="461">
        <v>0</v>
      </c>
      <c r="E60" s="451">
        <v>0</v>
      </c>
      <c r="F60" s="257"/>
      <c r="G60" s="636"/>
      <c r="H60" s="192"/>
      <c r="I60" s="192"/>
    </row>
    <row r="61" spans="1:13" s="346" customFormat="1">
      <c r="A61" s="347">
        <f t="shared" si="0"/>
        <v>48</v>
      </c>
      <c r="B61" s="192" t="s">
        <v>1131</v>
      </c>
      <c r="C61" s="192"/>
      <c r="D61" s="461">
        <v>3252.08</v>
      </c>
      <c r="E61" s="451">
        <v>61112.3</v>
      </c>
      <c r="F61" s="257"/>
      <c r="G61" s="636"/>
      <c r="H61" s="192"/>
      <c r="I61" s="192"/>
    </row>
    <row r="62" spans="1:13" s="346" customFormat="1">
      <c r="A62" s="347">
        <f t="shared" si="0"/>
        <v>49</v>
      </c>
      <c r="B62" s="192" t="s">
        <v>611</v>
      </c>
      <c r="D62" s="13">
        <v>-7967.45</v>
      </c>
      <c r="E62" s="451">
        <v>-2424203.2200000002</v>
      </c>
      <c r="F62" s="257"/>
      <c r="G62" s="636"/>
      <c r="H62" s="192"/>
      <c r="I62" s="192"/>
    </row>
    <row r="63" spans="1:13" s="346" customFormat="1">
      <c r="A63" s="347">
        <f t="shared" si="0"/>
        <v>50</v>
      </c>
      <c r="B63" s="192" t="s">
        <v>844</v>
      </c>
      <c r="D63" s="13">
        <v>-3433183.55</v>
      </c>
      <c r="E63" s="13">
        <v>2264317.94</v>
      </c>
      <c r="F63" s="257"/>
      <c r="G63" s="636"/>
      <c r="H63" s="192"/>
      <c r="I63" s="192"/>
      <c r="K63" s="192"/>
      <c r="L63" s="192"/>
      <c r="M63" s="192"/>
    </row>
    <row r="64" spans="1:13" s="192" customFormat="1">
      <c r="A64" s="347">
        <f t="shared" si="0"/>
        <v>51</v>
      </c>
      <c r="B64" s="192" t="s">
        <v>845</v>
      </c>
      <c r="C64" s="346"/>
      <c r="D64" s="13">
        <v>-2707388.59</v>
      </c>
      <c r="E64" s="13">
        <v>-464760.04</v>
      </c>
      <c r="F64" s="257"/>
      <c r="G64" s="636"/>
      <c r="J64" s="346"/>
      <c r="K64" s="346"/>
      <c r="L64" s="346"/>
      <c r="M64" s="346"/>
    </row>
    <row r="65" spans="1:10" s="346" customFormat="1">
      <c r="A65" s="347">
        <f t="shared" si="0"/>
        <v>52</v>
      </c>
      <c r="B65" s="192" t="s">
        <v>401</v>
      </c>
      <c r="D65" s="13">
        <v>-209681446.09</v>
      </c>
      <c r="E65" s="110">
        <v>-139679075.12</v>
      </c>
      <c r="F65" s="257"/>
      <c r="G65" s="636"/>
      <c r="H65" s="192"/>
      <c r="I65" s="192"/>
      <c r="J65" s="451"/>
    </row>
    <row r="66" spans="1:10" s="346" customFormat="1">
      <c r="A66" s="347">
        <f t="shared" si="0"/>
        <v>53</v>
      </c>
      <c r="B66" s="192" t="s">
        <v>181</v>
      </c>
      <c r="D66" s="13">
        <v>-4351300</v>
      </c>
      <c r="E66" s="110">
        <v>613860</v>
      </c>
      <c r="F66" s="257"/>
      <c r="G66" s="636"/>
      <c r="H66" s="192"/>
      <c r="I66" s="192"/>
      <c r="J66" s="451"/>
    </row>
    <row r="67" spans="1:10" s="346" customFormat="1">
      <c r="A67" s="347">
        <f t="shared" si="0"/>
        <v>54</v>
      </c>
      <c r="B67" s="192" t="s">
        <v>601</v>
      </c>
      <c r="D67" s="13">
        <v>-13417577</v>
      </c>
      <c r="E67" s="110">
        <v>-2006598.79</v>
      </c>
      <c r="F67" s="257"/>
      <c r="G67" s="636"/>
      <c r="H67" s="192"/>
      <c r="I67" s="192"/>
      <c r="J67" s="451"/>
    </row>
    <row r="68" spans="1:10" s="346" customFormat="1">
      <c r="A68" s="347">
        <f t="shared" si="0"/>
        <v>55</v>
      </c>
      <c r="B68" s="192" t="s">
        <v>366</v>
      </c>
      <c r="D68" s="13">
        <v>0</v>
      </c>
      <c r="E68" s="110">
        <v>-24152.880000000001</v>
      </c>
      <c r="F68" s="257"/>
      <c r="G68" s="636"/>
      <c r="H68" s="192"/>
      <c r="I68" s="192"/>
      <c r="J68" s="451"/>
    </row>
    <row r="69" spans="1:10" s="346" customFormat="1">
      <c r="A69" s="347">
        <f t="shared" si="0"/>
        <v>56</v>
      </c>
      <c r="B69" s="192" t="s">
        <v>367</v>
      </c>
      <c r="D69" s="13">
        <v>25459957.489999998</v>
      </c>
      <c r="E69" s="110">
        <v>23739319.309999999</v>
      </c>
      <c r="F69" s="257"/>
      <c r="G69" s="636"/>
      <c r="H69" s="192"/>
      <c r="I69" s="192"/>
      <c r="J69" s="451"/>
    </row>
    <row r="70" spans="1:10" s="346" customFormat="1">
      <c r="A70" s="347">
        <f t="shared" si="0"/>
        <v>57</v>
      </c>
      <c r="B70" s="606" t="s">
        <v>955</v>
      </c>
      <c r="D70" s="13">
        <v>38067788.600000001</v>
      </c>
      <c r="E70" s="110">
        <v>63313036.630000003</v>
      </c>
      <c r="F70" s="257"/>
      <c r="G70" s="636"/>
      <c r="H70" s="192"/>
      <c r="I70" s="192"/>
      <c r="J70" s="451"/>
    </row>
    <row r="71" spans="1:10">
      <c r="A71" s="347">
        <f t="shared" si="0"/>
        <v>58</v>
      </c>
      <c r="B71" s="346" t="s">
        <v>1119</v>
      </c>
      <c r="D71" s="13">
        <v>-213899.61</v>
      </c>
      <c r="E71" s="111">
        <v>-146387.04999999999</v>
      </c>
      <c r="F71" s="257"/>
    </row>
    <row r="72" spans="1:10" s="346" customFormat="1">
      <c r="A72" s="347">
        <f t="shared" si="0"/>
        <v>59</v>
      </c>
      <c r="B72" s="192" t="s">
        <v>847</v>
      </c>
      <c r="D72" s="13">
        <v>3952910</v>
      </c>
      <c r="E72" s="110">
        <v>7484449</v>
      </c>
      <c r="F72" s="257"/>
      <c r="G72" s="636"/>
      <c r="H72" s="192"/>
      <c r="I72" s="192"/>
      <c r="J72" s="451"/>
    </row>
    <row r="73" spans="1:10" s="346" customFormat="1">
      <c r="A73" s="347">
        <f t="shared" si="0"/>
        <v>60</v>
      </c>
      <c r="B73" s="606" t="s">
        <v>956</v>
      </c>
      <c r="D73" s="13">
        <v>2430925.9900000002</v>
      </c>
      <c r="E73" s="110">
        <v>-2113249.64</v>
      </c>
      <c r="F73" s="257"/>
      <c r="G73" s="636"/>
    </row>
    <row r="74" spans="1:10" s="346" customFormat="1">
      <c r="A74" s="347">
        <f t="shared" si="0"/>
        <v>61</v>
      </c>
      <c r="B74" s="192" t="s">
        <v>168</v>
      </c>
      <c r="D74" s="13">
        <v>3295108.56</v>
      </c>
      <c r="E74" s="110">
        <v>3659598.68</v>
      </c>
      <c r="F74" s="257"/>
      <c r="G74" s="636"/>
      <c r="H74" s="192"/>
      <c r="I74" s="192"/>
      <c r="J74" s="451"/>
    </row>
    <row r="75" spans="1:10" s="346" customFormat="1">
      <c r="A75" s="347">
        <f t="shared" si="0"/>
        <v>62</v>
      </c>
      <c r="B75" s="192" t="s">
        <v>402</v>
      </c>
      <c r="D75" s="13">
        <v>873131.76</v>
      </c>
      <c r="E75" s="110">
        <v>873131.76</v>
      </c>
      <c r="F75" s="257"/>
      <c r="G75" s="636"/>
      <c r="H75" s="192"/>
      <c r="I75" s="192"/>
      <c r="J75" s="451"/>
    </row>
    <row r="76" spans="1:10" s="346" customFormat="1">
      <c r="A76" s="347">
        <f t="shared" si="0"/>
        <v>63</v>
      </c>
      <c r="B76" s="192" t="s">
        <v>612</v>
      </c>
      <c r="D76" s="13">
        <v>-767374.2</v>
      </c>
      <c r="E76" s="110">
        <v>-767374.2</v>
      </c>
      <c r="F76" s="257"/>
      <c r="G76" s="636"/>
      <c r="H76" s="192"/>
      <c r="I76" s="192"/>
      <c r="J76" s="451"/>
    </row>
    <row r="77" spans="1:10" s="346" customFormat="1">
      <c r="A77" s="347">
        <f t="shared" si="0"/>
        <v>64</v>
      </c>
      <c r="B77" s="192" t="s">
        <v>418</v>
      </c>
      <c r="D77" s="13">
        <v>-20975043.129999999</v>
      </c>
      <c r="E77" s="110">
        <v>-34209052.549999997</v>
      </c>
      <c r="F77" s="257"/>
      <c r="G77" s="636"/>
      <c r="H77" s="192"/>
      <c r="I77" s="192"/>
      <c r="J77" s="451"/>
    </row>
    <row r="78" spans="1:10" s="346" customFormat="1">
      <c r="A78" s="347">
        <f t="shared" si="0"/>
        <v>65</v>
      </c>
      <c r="B78" s="192" t="s">
        <v>614</v>
      </c>
      <c r="D78" s="13">
        <v>-4979529.8899999997</v>
      </c>
      <c r="E78" s="110">
        <v>2583688.64</v>
      </c>
      <c r="F78" s="257"/>
      <c r="G78" s="636"/>
      <c r="H78" s="192"/>
      <c r="I78" s="192"/>
      <c r="J78" s="451"/>
    </row>
    <row r="79" spans="1:10" s="346" customFormat="1">
      <c r="A79" s="347">
        <f t="shared" si="0"/>
        <v>66</v>
      </c>
      <c r="B79" s="192" t="s">
        <v>419</v>
      </c>
      <c r="D79" s="13">
        <v>-888545.03</v>
      </c>
      <c r="E79" s="110">
        <v>1187594.18</v>
      </c>
      <c r="F79" s="257"/>
      <c r="G79" s="636"/>
      <c r="H79" s="192"/>
      <c r="I79" s="192"/>
      <c r="J79" s="451"/>
    </row>
    <row r="80" spans="1:10" s="346" customFormat="1">
      <c r="A80" s="347">
        <f t="shared" si="0"/>
        <v>67</v>
      </c>
      <c r="B80" s="606" t="s">
        <v>957</v>
      </c>
      <c r="D80" s="13">
        <v>15053413.859999999</v>
      </c>
      <c r="E80" s="110">
        <v>3164511.64</v>
      </c>
      <c r="F80" s="257"/>
      <c r="G80" s="636"/>
      <c r="H80" s="192"/>
      <c r="I80" s="192"/>
      <c r="J80" s="451"/>
    </row>
    <row r="81" spans="1:13" s="346" customFormat="1">
      <c r="A81" s="347">
        <f t="shared" ref="A81:A95" si="1">A80+1</f>
        <v>68</v>
      </c>
      <c r="B81" s="366" t="s">
        <v>1120</v>
      </c>
      <c r="D81" s="13">
        <v>125472.6</v>
      </c>
      <c r="E81" s="110">
        <v>82157.37</v>
      </c>
      <c r="F81" s="257"/>
      <c r="G81" s="636"/>
      <c r="H81" s="192"/>
      <c r="I81" s="192"/>
      <c r="J81" s="451"/>
    </row>
    <row r="82" spans="1:13" s="346" customFormat="1">
      <c r="A82" s="347">
        <f t="shared" si="1"/>
        <v>69</v>
      </c>
      <c r="B82" s="366" t="s">
        <v>1121</v>
      </c>
      <c r="D82" s="13">
        <v>303779.52</v>
      </c>
      <c r="E82" s="110">
        <v>202519.67999999999</v>
      </c>
      <c r="F82" s="257"/>
      <c r="G82" s="636"/>
      <c r="H82" s="192"/>
      <c r="I82" s="192"/>
      <c r="J82" s="451"/>
    </row>
    <row r="83" spans="1:13" s="346" customFormat="1">
      <c r="A83" s="347">
        <f t="shared" si="1"/>
        <v>70</v>
      </c>
      <c r="B83" s="192" t="s">
        <v>613</v>
      </c>
      <c r="D83" s="13">
        <v>152971.07999999999</v>
      </c>
      <c r="E83" s="110">
        <v>35039.760000000002</v>
      </c>
      <c r="F83" s="257"/>
      <c r="G83" s="636"/>
      <c r="H83" s="192"/>
      <c r="I83" s="192"/>
      <c r="J83" s="451"/>
    </row>
    <row r="84" spans="1:13" s="346" customFormat="1">
      <c r="A84" s="347">
        <f t="shared" si="1"/>
        <v>71</v>
      </c>
      <c r="B84" s="192" t="s">
        <v>605</v>
      </c>
      <c r="D84" s="13">
        <v>1865804</v>
      </c>
      <c r="E84" s="110">
        <v>90624.45</v>
      </c>
      <c r="F84" s="257"/>
      <c r="G84" s="636"/>
      <c r="H84" s="192"/>
      <c r="I84" s="192"/>
      <c r="J84" s="451"/>
    </row>
    <row r="85" spans="1:13" s="346" customFormat="1">
      <c r="A85" s="347">
        <f t="shared" si="1"/>
        <v>72</v>
      </c>
      <c r="B85" s="192" t="s">
        <v>606</v>
      </c>
      <c r="D85" s="13">
        <v>6923725.3200000003</v>
      </c>
      <c r="E85" s="110">
        <v>4460363.59</v>
      </c>
      <c r="F85" s="257"/>
      <c r="G85" s="636"/>
      <c r="H85" s="192"/>
      <c r="I85" s="192"/>
      <c r="J85" s="451"/>
    </row>
    <row r="86" spans="1:13" s="346" customFormat="1">
      <c r="A86" s="347">
        <f t="shared" si="1"/>
        <v>73</v>
      </c>
      <c r="B86" s="192" t="s">
        <v>846</v>
      </c>
      <c r="D86" s="13">
        <v>1375540.85</v>
      </c>
      <c r="E86" s="110">
        <v>1394794.93</v>
      </c>
      <c r="F86" s="257"/>
      <c r="G86" s="636"/>
      <c r="H86" s="192"/>
      <c r="I86" s="192"/>
      <c r="J86" s="451"/>
      <c r="K86" s="294"/>
    </row>
    <row r="87" spans="1:13" s="346" customFormat="1">
      <c r="A87" s="347">
        <f t="shared" si="1"/>
        <v>74</v>
      </c>
      <c r="B87" s="366" t="s">
        <v>1122</v>
      </c>
      <c r="D87" s="13">
        <v>16223.26</v>
      </c>
      <c r="E87" s="110">
        <v>-16176.26</v>
      </c>
      <c r="F87" s="257"/>
      <c r="G87" s="636"/>
      <c r="H87" s="192"/>
      <c r="I87" s="192"/>
      <c r="J87" s="451"/>
      <c r="K87" s="294"/>
    </row>
    <row r="88" spans="1:13" s="346" customFormat="1">
      <c r="A88" s="347">
        <f t="shared" si="1"/>
        <v>75</v>
      </c>
      <c r="B88" s="366" t="s">
        <v>1123</v>
      </c>
      <c r="D88" s="13">
        <v>-4666334.92</v>
      </c>
      <c r="E88" s="110">
        <v>54659908.469999999</v>
      </c>
      <c r="F88" s="257"/>
      <c r="G88" s="636"/>
      <c r="H88" s="192"/>
      <c r="I88" s="192"/>
      <c r="J88" s="451"/>
      <c r="K88" s="294"/>
    </row>
    <row r="89" spans="1:13" s="346" customFormat="1">
      <c r="A89" s="347">
        <f t="shared" si="1"/>
        <v>76</v>
      </c>
      <c r="B89" s="192" t="s">
        <v>403</v>
      </c>
      <c r="D89" s="13">
        <v>0</v>
      </c>
      <c r="E89" s="110">
        <v>-95831.86</v>
      </c>
      <c r="F89" s="257"/>
      <c r="G89" s="636"/>
      <c r="H89" s="192"/>
      <c r="I89" s="192"/>
      <c r="J89" s="451"/>
      <c r="K89" s="294"/>
    </row>
    <row r="90" spans="1:13" s="346" customFormat="1">
      <c r="A90" s="347">
        <f t="shared" si="1"/>
        <v>77</v>
      </c>
      <c r="B90" s="366" t="s">
        <v>1124</v>
      </c>
      <c r="D90" s="13">
        <v>-493721</v>
      </c>
      <c r="E90" s="110">
        <v>0</v>
      </c>
      <c r="F90" s="257"/>
      <c r="G90" s="636"/>
      <c r="H90" s="192"/>
      <c r="I90" s="192"/>
      <c r="J90" s="451"/>
      <c r="K90" s="294"/>
    </row>
    <row r="91" spans="1:13" s="346" customFormat="1">
      <c r="A91" s="347">
        <f t="shared" si="1"/>
        <v>78</v>
      </c>
      <c r="B91" s="346" t="s">
        <v>1125</v>
      </c>
      <c r="D91" s="13">
        <v>-726970.12</v>
      </c>
      <c r="E91" s="110">
        <v>0</v>
      </c>
      <c r="F91" s="257"/>
      <c r="G91" s="636"/>
      <c r="H91" s="142"/>
      <c r="I91" s="142"/>
      <c r="J91" s="481"/>
      <c r="K91" s="294"/>
    </row>
    <row r="92" spans="1:13" s="346" customFormat="1">
      <c r="A92" s="347">
        <f t="shared" si="1"/>
        <v>79</v>
      </c>
      <c r="G92" s="257" t="s">
        <v>51</v>
      </c>
      <c r="K92" s="294"/>
    </row>
    <row r="93" spans="1:13" s="346" customFormat="1">
      <c r="A93" s="347">
        <f t="shared" si="1"/>
        <v>80</v>
      </c>
      <c r="B93" s="346" t="s">
        <v>404</v>
      </c>
      <c r="D93" s="459">
        <f>SUM(D34:D91)</f>
        <v>-960299313.65999997</v>
      </c>
      <c r="E93" s="459">
        <f>SUM(E34:E91)</f>
        <v>-576946818.64000022</v>
      </c>
      <c r="F93" s="275"/>
      <c r="G93" s="636">
        <f>+'II-E-3.16'!D72</f>
        <v>-960299313.65999997</v>
      </c>
      <c r="H93" s="142"/>
      <c r="I93" s="142"/>
      <c r="J93" s="481"/>
    </row>
    <row r="94" spans="1:13" s="346" customFormat="1">
      <c r="A94" s="347">
        <f t="shared" si="1"/>
        <v>81</v>
      </c>
      <c r="F94" s="275"/>
      <c r="G94" s="463"/>
      <c r="J94" s="277"/>
    </row>
    <row r="95" spans="1:13" s="346" customFormat="1">
      <c r="A95" s="347">
        <f t="shared" si="1"/>
        <v>82</v>
      </c>
      <c r="B95" s="346" t="s">
        <v>146</v>
      </c>
      <c r="D95" s="459">
        <f>D15+D17+D19+D30+D93</f>
        <v>116091018.53000009</v>
      </c>
      <c r="E95" s="459">
        <f>E15+E17+E19+E30+E93</f>
        <v>422480749.23999977</v>
      </c>
      <c r="F95" s="278"/>
      <c r="G95" s="278"/>
      <c r="J95" s="277"/>
    </row>
    <row r="96" spans="1:13" s="346" customFormat="1">
      <c r="A96" s="347"/>
      <c r="J96" s="277"/>
      <c r="K96" s="111"/>
      <c r="L96" s="111"/>
      <c r="M96" s="111"/>
    </row>
    <row r="97" spans="1:7">
      <c r="A97" s="347"/>
      <c r="B97" s="346"/>
      <c r="C97" s="346"/>
      <c r="D97" s="346"/>
      <c r="E97" s="346"/>
      <c r="F97" s="346"/>
      <c r="G97" s="346"/>
    </row>
    <row r="98" spans="1:7">
      <c r="A98" s="347"/>
      <c r="B98" s="263" t="s">
        <v>405</v>
      </c>
      <c r="C98" s="346"/>
      <c r="D98" s="578">
        <f>81930779.46-8882197.43+43042436.43</f>
        <v>116091018.46000001</v>
      </c>
      <c r="E98" s="578">
        <f>360894063.77+20814517.49+40772167.98</f>
        <v>422480749.24000001</v>
      </c>
      <c r="F98" s="257" t="s">
        <v>849</v>
      </c>
      <c r="G98" s="346"/>
    </row>
    <row r="99" spans="1:7">
      <c r="A99" s="347"/>
      <c r="B99" s="263" t="s">
        <v>406</v>
      </c>
      <c r="C99" s="346"/>
      <c r="D99" s="264">
        <f>+D98-D95</f>
        <v>-7.000008225440979E-2</v>
      </c>
      <c r="E99" s="264">
        <f>+E98-E95</f>
        <v>0</v>
      </c>
      <c r="F99" s="346"/>
      <c r="G99" s="346"/>
    </row>
    <row r="100" spans="1:7">
      <c r="A100" s="93"/>
    </row>
    <row r="101" spans="1:7">
      <c r="A101" s="93"/>
    </row>
    <row r="102" spans="1:7">
      <c r="A102" s="93"/>
    </row>
    <row r="103" spans="1:7">
      <c r="A103" s="93"/>
    </row>
    <row r="104" spans="1:7">
      <c r="A104" s="93"/>
    </row>
    <row r="105" spans="1:7">
      <c r="A105" s="93"/>
    </row>
    <row r="106" spans="1:7">
      <c r="A106" s="93"/>
    </row>
    <row r="107" spans="1:7">
      <c r="A107" s="93"/>
    </row>
    <row r="108" spans="1:7">
      <c r="A108" s="93"/>
    </row>
    <row r="109" spans="1:7">
      <c r="A109" s="93"/>
    </row>
    <row r="110" spans="1:7">
      <c r="A110" s="93"/>
      <c r="B110" s="192"/>
      <c r="C110" s="192"/>
      <c r="D110" s="193"/>
      <c r="E110" s="193"/>
    </row>
    <row r="111" spans="1:7">
      <c r="A111" s="93"/>
      <c r="B111" s="192"/>
      <c r="C111" s="192"/>
      <c r="D111" s="193"/>
      <c r="E111" s="193"/>
    </row>
    <row r="112" spans="1:7">
      <c r="B112" s="279"/>
      <c r="C112" s="274"/>
      <c r="D112" s="193"/>
      <c r="E112" s="193"/>
    </row>
    <row r="113" spans="2:5">
      <c r="B113" s="279"/>
      <c r="C113" s="274"/>
      <c r="D113" s="193"/>
      <c r="E113" s="193"/>
    </row>
    <row r="114" spans="2:5" ht="15">
      <c r="B114" s="280"/>
      <c r="C114" s="281"/>
      <c r="D114" s="193"/>
      <c r="E114" s="193"/>
    </row>
    <row r="115" spans="2:5" ht="15">
      <c r="B115" s="280"/>
      <c r="C115" s="281"/>
      <c r="D115" s="193"/>
      <c r="E115" s="193"/>
    </row>
    <row r="116" spans="2:5" ht="15">
      <c r="B116" s="280"/>
      <c r="C116" s="281"/>
      <c r="D116" s="193"/>
      <c r="E116" s="193"/>
    </row>
    <row r="117" spans="2:5" ht="15">
      <c r="B117" s="280"/>
      <c r="C117" s="281"/>
      <c r="D117" s="193"/>
      <c r="E117" s="193"/>
    </row>
    <row r="118" spans="2:5" ht="15">
      <c r="B118" s="280"/>
      <c r="C118" s="281"/>
      <c r="D118" s="193"/>
      <c r="E118" s="193"/>
    </row>
    <row r="119" spans="2:5" ht="15">
      <c r="B119" s="280"/>
      <c r="C119" s="281"/>
      <c r="D119" s="193"/>
      <c r="E119" s="193"/>
    </row>
    <row r="120" spans="2:5" ht="15">
      <c r="B120" s="280"/>
      <c r="C120" s="281"/>
      <c r="D120" s="193"/>
      <c r="E120" s="193"/>
    </row>
    <row r="121" spans="2:5" ht="15">
      <c r="B121" s="280"/>
      <c r="C121" s="281"/>
      <c r="D121" s="193"/>
      <c r="E121" s="193"/>
    </row>
    <row r="122" spans="2:5" ht="15">
      <c r="B122" s="280"/>
      <c r="C122" s="281"/>
      <c r="D122" s="193"/>
      <c r="E122" s="193"/>
    </row>
    <row r="123" spans="2:5" ht="15">
      <c r="B123" s="280"/>
      <c r="C123" s="281"/>
      <c r="D123" s="193"/>
      <c r="E123" s="193"/>
    </row>
    <row r="124" spans="2:5" ht="15">
      <c r="B124" s="280"/>
      <c r="C124" s="281"/>
      <c r="D124" s="193"/>
      <c r="E124" s="193"/>
    </row>
    <row r="125" spans="2:5" ht="15">
      <c r="B125" s="280"/>
      <c r="C125" s="192"/>
      <c r="D125" s="193"/>
      <c r="E125" s="193"/>
    </row>
    <row r="126" spans="2:5" ht="15">
      <c r="B126" s="280"/>
      <c r="C126" s="281"/>
      <c r="D126" s="193"/>
      <c r="E126" s="193"/>
    </row>
    <row r="127" spans="2:5" ht="15">
      <c r="B127" s="192"/>
      <c r="C127" s="281"/>
      <c r="D127" s="193"/>
      <c r="E127" s="193"/>
    </row>
    <row r="128" spans="2:5">
      <c r="B128" s="192"/>
      <c r="C128" s="192"/>
      <c r="D128" s="193"/>
      <c r="E128" s="193"/>
    </row>
    <row r="129" spans="2:5" ht="15">
      <c r="B129" s="192"/>
      <c r="C129" s="281"/>
      <c r="D129" s="193"/>
      <c r="E129" s="193"/>
    </row>
    <row r="130" spans="2:5">
      <c r="B130" s="192"/>
      <c r="C130" s="192"/>
      <c r="D130" s="193"/>
      <c r="E130" s="193"/>
    </row>
    <row r="131" spans="2:5">
      <c r="B131" s="192"/>
      <c r="C131" s="192"/>
      <c r="D131" s="193"/>
      <c r="E131" s="193"/>
    </row>
    <row r="132" spans="2:5">
      <c r="B132" s="192"/>
      <c r="C132" s="192"/>
      <c r="D132" s="193"/>
      <c r="E132" s="193"/>
    </row>
    <row r="133" spans="2:5">
      <c r="B133" s="192"/>
      <c r="C133" s="192"/>
      <c r="D133" s="193"/>
      <c r="E133" s="193"/>
    </row>
    <row r="134" spans="2:5">
      <c r="B134" s="192"/>
      <c r="C134" s="192"/>
      <c r="D134" s="193"/>
      <c r="E134" s="193"/>
    </row>
    <row r="135" spans="2:5">
      <c r="B135" s="192"/>
      <c r="C135" s="192"/>
      <c r="D135" s="193"/>
      <c r="E135" s="193"/>
    </row>
    <row r="136" spans="2:5">
      <c r="B136" s="192"/>
      <c r="C136" s="192"/>
      <c r="D136" s="193"/>
      <c r="E136" s="193"/>
    </row>
    <row r="137" spans="2:5">
      <c r="B137" s="192"/>
      <c r="C137" s="192"/>
      <c r="D137" s="193"/>
      <c r="E137" s="193"/>
    </row>
    <row r="138" spans="2:5">
      <c r="B138" s="192"/>
      <c r="C138" s="192"/>
      <c r="D138" s="193"/>
      <c r="E138" s="193"/>
    </row>
    <row r="139" spans="2:5">
      <c r="B139" s="192"/>
      <c r="C139" s="192"/>
      <c r="D139" s="193"/>
      <c r="E139" s="193"/>
    </row>
    <row r="140" spans="2:5">
      <c r="B140" s="192"/>
      <c r="C140" s="192"/>
      <c r="D140" s="193"/>
      <c r="E140" s="193"/>
    </row>
    <row r="141" spans="2:5">
      <c r="B141" s="192"/>
      <c r="C141" s="192"/>
      <c r="D141" s="193"/>
      <c r="E141" s="193"/>
    </row>
    <row r="142" spans="2:5">
      <c r="B142" s="192"/>
      <c r="C142" s="192"/>
      <c r="D142" s="193"/>
      <c r="E142" s="193"/>
    </row>
    <row r="143" spans="2:5">
      <c r="B143" s="192"/>
      <c r="C143" s="192"/>
      <c r="D143" s="193"/>
      <c r="E143" s="193"/>
    </row>
    <row r="144" spans="2:5">
      <c r="B144" s="192"/>
      <c r="C144" s="192"/>
      <c r="D144" s="193"/>
      <c r="E144" s="193"/>
    </row>
    <row r="145" spans="2:5">
      <c r="B145" s="192"/>
      <c r="C145" s="192"/>
      <c r="D145" s="193"/>
      <c r="E145" s="193"/>
    </row>
    <row r="146" spans="2:5">
      <c r="B146" s="192"/>
      <c r="C146" s="192"/>
      <c r="D146" s="193"/>
      <c r="E146" s="193"/>
    </row>
    <row r="147" spans="2:5">
      <c r="B147" s="192"/>
      <c r="C147" s="192"/>
      <c r="D147" s="193"/>
      <c r="E147" s="193"/>
    </row>
    <row r="148" spans="2:5">
      <c r="B148" s="192"/>
      <c r="C148" s="192"/>
      <c r="D148" s="193"/>
      <c r="E148" s="193"/>
    </row>
    <row r="149" spans="2:5">
      <c r="B149" s="192"/>
      <c r="C149" s="192"/>
      <c r="D149" s="193"/>
      <c r="E149" s="193"/>
    </row>
    <row r="150" spans="2:5">
      <c r="B150" s="192"/>
      <c r="C150" s="192"/>
      <c r="D150" s="193"/>
      <c r="E150" s="193"/>
    </row>
    <row r="151" spans="2:5">
      <c r="B151" s="192"/>
      <c r="C151" s="192"/>
      <c r="D151" s="193"/>
      <c r="E151" s="193"/>
    </row>
    <row r="152" spans="2:5">
      <c r="B152" s="192"/>
      <c r="C152" s="192"/>
      <c r="D152" s="193"/>
      <c r="E152" s="193"/>
    </row>
    <row r="153" spans="2:5">
      <c r="B153" s="192"/>
      <c r="C153" s="192"/>
      <c r="D153" s="193"/>
      <c r="E153" s="193"/>
    </row>
    <row r="154" spans="2:5">
      <c r="B154" s="192"/>
      <c r="C154" s="192"/>
      <c r="D154" s="193"/>
      <c r="E154" s="193"/>
    </row>
    <row r="155" spans="2:5">
      <c r="B155" s="192"/>
      <c r="C155" s="192"/>
      <c r="D155" s="193"/>
      <c r="E155" s="193"/>
    </row>
    <row r="156" spans="2:5">
      <c r="B156" s="192"/>
      <c r="C156" s="192"/>
      <c r="D156" s="193"/>
      <c r="E156" s="193"/>
    </row>
    <row r="157" spans="2:5">
      <c r="B157" s="192"/>
      <c r="C157" s="192"/>
      <c r="D157" s="193"/>
      <c r="E157" s="193"/>
    </row>
    <row r="158" spans="2:5">
      <c r="B158" s="192"/>
      <c r="C158" s="192"/>
      <c r="D158" s="193"/>
      <c r="E158" s="193"/>
    </row>
    <row r="159" spans="2:5">
      <c r="B159" s="192"/>
      <c r="C159" s="192"/>
      <c r="D159" s="193"/>
      <c r="E159" s="193"/>
    </row>
    <row r="160" spans="2:5">
      <c r="B160" s="192"/>
      <c r="C160" s="192"/>
      <c r="D160" s="193"/>
      <c r="E160" s="193"/>
    </row>
    <row r="161" spans="2:5">
      <c r="B161" s="192"/>
      <c r="C161" s="192"/>
      <c r="D161" s="193"/>
      <c r="E161" s="193"/>
    </row>
    <row r="162" spans="2:5">
      <c r="B162" s="192"/>
      <c r="C162" s="192"/>
      <c r="D162" s="193"/>
      <c r="E162" s="193"/>
    </row>
    <row r="163" spans="2:5">
      <c r="B163" s="192"/>
      <c r="C163" s="192"/>
      <c r="D163" s="193"/>
      <c r="E163" s="193"/>
    </row>
    <row r="164" spans="2:5">
      <c r="B164" s="192"/>
      <c r="C164" s="192"/>
      <c r="D164" s="193"/>
      <c r="E164" s="193"/>
    </row>
    <row r="165" spans="2:5">
      <c r="B165" s="192"/>
      <c r="C165" s="192"/>
      <c r="D165" s="193"/>
      <c r="E165" s="193"/>
    </row>
    <row r="166" spans="2:5">
      <c r="B166" s="192"/>
      <c r="C166" s="192"/>
      <c r="D166" s="193"/>
      <c r="E166" s="193"/>
    </row>
    <row r="167" spans="2:5">
      <c r="B167" s="192"/>
      <c r="C167" s="192"/>
      <c r="D167" s="193"/>
      <c r="E167" s="193"/>
    </row>
    <row r="168" spans="2:5">
      <c r="B168" s="192"/>
      <c r="C168" s="192"/>
      <c r="D168" s="193"/>
      <c r="E168" s="193"/>
    </row>
    <row r="169" spans="2:5">
      <c r="B169" s="192"/>
      <c r="C169" s="192"/>
      <c r="D169" s="193"/>
      <c r="E169" s="193"/>
    </row>
    <row r="170" spans="2:5">
      <c r="B170" s="192"/>
      <c r="C170" s="192"/>
      <c r="D170" s="193"/>
      <c r="E170" s="193"/>
    </row>
    <row r="171" spans="2:5">
      <c r="B171" s="192"/>
      <c r="C171" s="192"/>
      <c r="D171" s="193"/>
      <c r="E171" s="193"/>
    </row>
    <row r="172" spans="2:5">
      <c r="B172" s="192"/>
      <c r="C172" s="192"/>
      <c r="D172" s="193"/>
      <c r="E172" s="193"/>
    </row>
    <row r="173" spans="2:5">
      <c r="B173" s="192"/>
      <c r="C173" s="192"/>
      <c r="D173" s="193"/>
      <c r="E173" s="193"/>
    </row>
    <row r="174" spans="2:5">
      <c r="B174" s="192"/>
      <c r="C174" s="192"/>
      <c r="D174" s="193"/>
      <c r="E174" s="193"/>
    </row>
    <row r="175" spans="2:5">
      <c r="B175" s="192"/>
      <c r="C175" s="192"/>
      <c r="D175" s="193"/>
      <c r="E175" s="193"/>
    </row>
    <row r="176" spans="2:5">
      <c r="B176" s="192"/>
      <c r="C176" s="192"/>
      <c r="D176" s="193"/>
      <c r="E176" s="193"/>
    </row>
    <row r="177" spans="2:5">
      <c r="B177" s="192"/>
      <c r="C177" s="192"/>
      <c r="D177" s="193"/>
      <c r="E177" s="193"/>
    </row>
    <row r="178" spans="2:5">
      <c r="B178" s="192"/>
      <c r="C178" s="192"/>
      <c r="D178" s="193"/>
      <c r="E178" s="193"/>
    </row>
    <row r="179" spans="2:5">
      <c r="D179" s="110"/>
      <c r="E179" s="110"/>
    </row>
    <row r="180" spans="2:5">
      <c r="D180" s="110"/>
      <c r="E180" s="110"/>
    </row>
    <row r="181" spans="2:5">
      <c r="D181" s="110"/>
      <c r="E181" s="110"/>
    </row>
  </sheetData>
  <phoneticPr fontId="0" type="noConversion"/>
  <pageMargins left="1.5" right="0.5" top="2.5" bottom="0.5" header="1" footer="0.5"/>
  <pageSetup scale="53" pageOrder="overThenDown" orientation="portrait"/>
  <headerFooter alignWithMargins="0">
    <oddHeader>&amp;R&amp;"Arial,Bold"Schedule &amp;A
Page &amp;P of &amp;N&amp;C&amp;B
2025 RATE CASE
ONCOR ELECTRIC DELIVERY COMPANY LLC
II-E-3.1  RECONCILIATION OF TEST YEAR BOOK NET INCOME TO TAXABLE NET INCOME
TEST YEAR ENDING DECEMBER 31, 2024
SPONSOR: B. L. CLUTTER</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7">
    <pageSetUpPr fitToPage="1"/>
  </sheetPr>
  <dimension ref="A1:F36"/>
  <sheetViews>
    <sheetView zoomScale="80" zoomScaleNormal="80" zoomScaleSheetLayoutView="80" workbookViewId="0">
      <selection activeCell="D5" sqref="D5"/>
    </sheetView>
  </sheetViews>
  <sheetFormatPr defaultColWidth="9.140625" defaultRowHeight="12.75"/>
  <cols>
    <col min="1" max="1" width="6.85546875" style="346" customWidth="1"/>
    <col min="2" max="2" width="53.5703125" style="346" customWidth="1"/>
    <col min="3" max="5" width="16.7109375" style="346" customWidth="1"/>
    <col min="6" max="6" width="10.7109375" style="346" bestFit="1" customWidth="1"/>
    <col min="7" max="16384" width="9.140625" style="346"/>
  </cols>
  <sheetData>
    <row r="1" spans="1:6">
      <c r="A1" s="189" t="str">
        <f>+'[3]Input Data'!$A$9</f>
        <v>2025 RATE CASE</v>
      </c>
    </row>
    <row r="2" spans="1:6">
      <c r="A2" s="188" t="str">
        <f>+'[3]Input Data'!$A$2</f>
        <v>ONCOR ELECTRIC DELIVERY COMPANY LLC</v>
      </c>
    </row>
    <row r="3" spans="1:6">
      <c r="A3" s="187" t="str">
        <f>CONCATENATE('[3]Schedule Sponsors'!$A$87,'[3]Schedule Sponsors'!$B$87)</f>
        <v>II-E-3.2  RECONCILIATION OF TIMING DIFFERENCES</v>
      </c>
    </row>
    <row r="4" spans="1:6">
      <c r="A4" s="187" t="str">
        <f>+'[3]Input Data'!$A$4</f>
        <v>TEST YEAR ENDING DECEMBER 31, 2024</v>
      </c>
    </row>
    <row r="5" spans="1:6">
      <c r="A5" s="185" t="str">
        <f>CONCATENATE("SPONSOR: ",'[3]Schedule Sponsors'!$D$87)</f>
        <v>SPONSOR: B. L. CLUTTER</v>
      </c>
    </row>
    <row r="9" spans="1:6" ht="13.5" thickBot="1"/>
    <row r="10" spans="1:6">
      <c r="A10" s="306"/>
      <c r="B10" s="306"/>
      <c r="C10" s="306"/>
      <c r="D10" s="212" t="s">
        <v>379</v>
      </c>
      <c r="E10" s="259" t="s">
        <v>62</v>
      </c>
    </row>
    <row r="11" spans="1:6">
      <c r="A11" s="260" t="s">
        <v>241</v>
      </c>
      <c r="B11" s="260"/>
      <c r="C11" s="307" t="s">
        <v>73</v>
      </c>
      <c r="D11" s="165" t="s">
        <v>380</v>
      </c>
      <c r="E11" s="260" t="s">
        <v>61</v>
      </c>
    </row>
    <row r="12" spans="1:6">
      <c r="A12" s="260" t="s">
        <v>139</v>
      </c>
      <c r="B12" s="260" t="s">
        <v>64</v>
      </c>
      <c r="C12" s="307" t="s">
        <v>76</v>
      </c>
      <c r="D12" s="165" t="s">
        <v>381</v>
      </c>
      <c r="E12" s="260" t="s">
        <v>63</v>
      </c>
    </row>
    <row r="13" spans="1:6" ht="13.5" thickBot="1">
      <c r="A13" s="308"/>
      <c r="B13" s="261" t="s">
        <v>226</v>
      </c>
      <c r="C13" s="261" t="s">
        <v>227</v>
      </c>
      <c r="D13" s="309" t="s">
        <v>228</v>
      </c>
      <c r="E13" s="309" t="s">
        <v>229</v>
      </c>
    </row>
    <row r="14" spans="1:6">
      <c r="C14" s="110"/>
    </row>
    <row r="15" spans="1:6">
      <c r="A15" s="347">
        <v>1</v>
      </c>
      <c r="B15" s="346" t="s">
        <v>377</v>
      </c>
      <c r="C15" s="459">
        <f>+'II-E-3.2b'!C15</f>
        <v>1078541565.5699999</v>
      </c>
      <c r="D15" s="463">
        <f>+'II-E-3.2b'!D15</f>
        <v>452589509.34000039</v>
      </c>
      <c r="E15" s="463">
        <f>+'II-E-3'!I17-'II-E-3'!I20+'II-E-3'!I54</f>
        <v>1531131074.9100003</v>
      </c>
      <c r="F15" s="258">
        <f>SUM(C15:D15)-E15</f>
        <v>0</v>
      </c>
    </row>
    <row r="16" spans="1:6">
      <c r="A16" s="347">
        <f>A15+1</f>
        <v>2</v>
      </c>
      <c r="C16" s="110"/>
    </row>
    <row r="17" spans="1:6">
      <c r="A17" s="347">
        <f t="shared" ref="A17:A31" si="0">A16+1</f>
        <v>3</v>
      </c>
      <c r="B17" s="346" t="s">
        <v>359</v>
      </c>
      <c r="C17" s="13">
        <f>ROUND(C15*0.21,2)</f>
        <v>226493728.77000001</v>
      </c>
      <c r="D17" s="13">
        <f t="shared" ref="D17:E17" si="1">ROUND(D15*0.21,2)</f>
        <v>95043796.959999993</v>
      </c>
      <c r="E17" s="13">
        <f t="shared" si="1"/>
        <v>321537525.73000002</v>
      </c>
      <c r="F17" s="258">
        <f>SUM(C17:D17)-E17</f>
        <v>0</v>
      </c>
    </row>
    <row r="18" spans="1:6">
      <c r="A18" s="347">
        <f t="shared" si="0"/>
        <v>4</v>
      </c>
      <c r="C18" s="13"/>
      <c r="D18" s="460"/>
      <c r="E18" s="460"/>
    </row>
    <row r="19" spans="1:6">
      <c r="A19" s="347">
        <f t="shared" si="0"/>
        <v>5</v>
      </c>
      <c r="B19" s="346" t="s">
        <v>360</v>
      </c>
      <c r="C19" s="13"/>
      <c r="D19" s="460"/>
      <c r="E19" s="460"/>
    </row>
    <row r="20" spans="1:6">
      <c r="A20" s="347">
        <f t="shared" si="0"/>
        <v>6</v>
      </c>
      <c r="B20" s="346" t="s">
        <v>361</v>
      </c>
      <c r="C20" s="13">
        <f>'II-E-3.2b'!C37</f>
        <v>-50055655.800000004</v>
      </c>
      <c r="D20" s="13">
        <f>+'II-E-3.2b'!D37</f>
        <v>2702070.9299999997</v>
      </c>
      <c r="E20" s="460">
        <f>C20+D20</f>
        <v>-47353584.870000005</v>
      </c>
      <c r="F20" s="258">
        <f>SUM(C20:D20)-E20</f>
        <v>0</v>
      </c>
    </row>
    <row r="21" spans="1:6">
      <c r="A21" s="347">
        <f t="shared" si="0"/>
        <v>7</v>
      </c>
      <c r="C21" s="13"/>
      <c r="D21" s="460"/>
      <c r="E21" s="460"/>
    </row>
    <row r="22" spans="1:6">
      <c r="A22" s="347">
        <f t="shared" si="0"/>
        <v>8</v>
      </c>
      <c r="B22" s="346" t="s">
        <v>378</v>
      </c>
      <c r="C22" s="13">
        <f>C17+C20</f>
        <v>176438072.97</v>
      </c>
      <c r="D22" s="13">
        <f>D17+D20</f>
        <v>97745867.889999986</v>
      </c>
      <c r="E22" s="13">
        <f>E17+E20</f>
        <v>274183940.86000001</v>
      </c>
      <c r="F22" s="258">
        <f>SUM(C22:D22)-E22</f>
        <v>0</v>
      </c>
    </row>
    <row r="23" spans="1:6">
      <c r="A23" s="347">
        <f t="shared" si="0"/>
        <v>9</v>
      </c>
      <c r="C23" s="110"/>
    </row>
    <row r="24" spans="1:6">
      <c r="A24" s="347">
        <f t="shared" si="0"/>
        <v>10</v>
      </c>
      <c r="B24" s="346" t="s">
        <v>362</v>
      </c>
      <c r="C24" s="315">
        <f>IF(ISERROR(C22/C15),0,C22/C15)</f>
        <v>0.1635894977091161</v>
      </c>
      <c r="D24" s="310"/>
      <c r="E24" s="315">
        <f>IF(ISERROR(E22/E15),0,E22/E15)</f>
        <v>0.17907280790843888</v>
      </c>
    </row>
    <row r="25" spans="1:6">
      <c r="A25" s="347">
        <f t="shared" si="0"/>
        <v>11</v>
      </c>
      <c r="C25" s="110"/>
    </row>
    <row r="26" spans="1:6">
      <c r="A26" s="347">
        <f t="shared" si="0"/>
        <v>12</v>
      </c>
      <c r="B26" s="346" t="s">
        <v>697</v>
      </c>
    </row>
    <row r="27" spans="1:6">
      <c r="A27" s="347">
        <f t="shared" si="0"/>
        <v>13</v>
      </c>
    </row>
    <row r="28" spans="1:6">
      <c r="A28" s="347">
        <f t="shared" si="0"/>
        <v>14</v>
      </c>
      <c r="B28" s="346" t="s">
        <v>5</v>
      </c>
      <c r="C28" s="459">
        <f>'II-E-3.2b'!C45</f>
        <v>23858181.579999983</v>
      </c>
      <c r="D28" s="459"/>
      <c r="E28" s="486">
        <f>+'II-E-3.15'!E109</f>
        <v>116677180.81</v>
      </c>
      <c r="F28" s="365" t="s">
        <v>50</v>
      </c>
    </row>
    <row r="29" spans="1:6">
      <c r="A29" s="347">
        <f t="shared" si="0"/>
        <v>15</v>
      </c>
      <c r="B29" s="346" t="s">
        <v>7</v>
      </c>
      <c r="C29" s="13">
        <f>'II-E-3.2b'!C46</f>
        <v>153059416.30999997</v>
      </c>
      <c r="D29" s="13"/>
      <c r="E29" s="461">
        <f>+'II-E-3.15'!E121</f>
        <v>157991989.53999996</v>
      </c>
      <c r="F29" s="365" t="s">
        <v>50</v>
      </c>
    </row>
    <row r="30" spans="1:6">
      <c r="A30" s="347">
        <f t="shared" si="0"/>
        <v>16</v>
      </c>
      <c r="B30" s="346" t="s">
        <v>2</v>
      </c>
      <c r="C30" s="13">
        <f>'II-E-3.2b'!C47</f>
        <v>-479524.92</v>
      </c>
      <c r="D30" s="13"/>
      <c r="E30" s="461">
        <f>+'II-E-3.15'!E123</f>
        <v>-485229.49</v>
      </c>
      <c r="F30" s="365" t="s">
        <v>50</v>
      </c>
    </row>
    <row r="31" spans="1:6">
      <c r="A31" s="347">
        <f t="shared" si="0"/>
        <v>17</v>
      </c>
      <c r="B31" s="346" t="s">
        <v>6</v>
      </c>
      <c r="C31" s="464">
        <f>SUM(C28:C30)</f>
        <v>176438072.96999997</v>
      </c>
      <c r="D31" s="463"/>
      <c r="E31" s="464">
        <f>SUM(E28:E30)</f>
        <v>274183940.85999995</v>
      </c>
    </row>
    <row r="32" spans="1:6">
      <c r="C32" s="110"/>
    </row>
    <row r="33" spans="3:6">
      <c r="C33" s="255"/>
    </row>
    <row r="34" spans="3:6">
      <c r="C34" s="256">
        <f>+'II-E-3'!E57</f>
        <v>176438072.97</v>
      </c>
      <c r="E34" s="256">
        <f>+'II-E-3'!I54</f>
        <v>274183940.86000007</v>
      </c>
      <c r="F34" s="365" t="s">
        <v>396</v>
      </c>
    </row>
    <row r="35" spans="3:6">
      <c r="C35" s="256">
        <f>C22-C34</f>
        <v>0</v>
      </c>
      <c r="E35" s="256">
        <f>E34-E22</f>
        <v>0</v>
      </c>
    </row>
    <row r="36" spans="3:6">
      <c r="C36" s="753">
        <f>+C22-C31</f>
        <v>0</v>
      </c>
      <c r="E36" s="264">
        <f>+E22-E31</f>
        <v>0</v>
      </c>
    </row>
  </sheetData>
  <phoneticPr fontId="10" type="noConversion"/>
  <printOptions horizontalCentered="1"/>
  <pageMargins left="0.5" right="0.5" top="3" bottom="0.5" header="1.5" footer="0.5"/>
  <pageSetup pageOrder="overThenDown" orientation="landscape"/>
  <headerFooter alignWithMargins="0">
    <oddHeader>&amp;R&amp;"Arial,Bold"Schedule &amp;A
Page &amp;P of &amp;N&amp;C&amp;B
2025 RATE CASE
ONCOR ELECTRIC DELIVERY COMPANY LLC
II-E-3.2  RECONCILIATION OF TIMING DIFFERENCES
TEST YEAR ENDING DECEMBER 31, 2024
SPONSOR: B. L. CLUTTER</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pageSetUpPr fitToPage="1"/>
  </sheetPr>
  <dimension ref="A1:H52"/>
  <sheetViews>
    <sheetView zoomScale="80" zoomScaleNormal="80" workbookViewId="0">
      <pane ySplit="13" topLeftCell="A14" activePane="bottomLeft" state="frozen"/>
      <selection activeCell="E19" sqref="E19"/>
      <selection pane="bottomLeft" activeCell="E5" sqref="E5"/>
    </sheetView>
  </sheetViews>
  <sheetFormatPr defaultColWidth="9.140625" defaultRowHeight="12.75"/>
  <cols>
    <col min="1" max="1" width="5.7109375" style="111" customWidth="1"/>
    <col min="2" max="2" width="59.140625" style="111" customWidth="1"/>
    <col min="3" max="5" width="16.7109375" style="111" customWidth="1"/>
    <col min="6" max="6" width="4.42578125" style="111" bestFit="1" customWidth="1"/>
    <col min="7" max="7" width="14.5703125" style="111" bestFit="1" customWidth="1"/>
    <col min="8" max="8" width="13.42578125" style="111" bestFit="1" customWidth="1"/>
    <col min="9" max="16384" width="9.140625" style="111"/>
  </cols>
  <sheetData>
    <row r="1" spans="1:7">
      <c r="A1" s="105" t="str">
        <f>+'[3]Input Data'!$A$9</f>
        <v>2025 RATE CASE</v>
      </c>
    </row>
    <row r="2" spans="1:7">
      <c r="A2" s="163" t="str">
        <f>+'[3]Input Data'!$A$2</f>
        <v>ONCOR ELECTRIC DELIVERY COMPANY LLC</v>
      </c>
    </row>
    <row r="3" spans="1:7">
      <c r="A3" s="164" t="str">
        <f>CONCATENATE('[3]Schedule Sponsors'!$A$87,'[3]Schedule Sponsors'!$B$87)</f>
        <v>II-E-3.2  RECONCILIATION OF TIMING DIFFERENCES</v>
      </c>
    </row>
    <row r="4" spans="1:7">
      <c r="A4" s="164" t="str">
        <f>+'[3]Input Data'!$A$4</f>
        <v>TEST YEAR ENDING DECEMBER 31, 2024</v>
      </c>
    </row>
    <row r="5" spans="1:7">
      <c r="A5" s="162" t="str">
        <f>CONCATENATE("SPONSOR: ",'[3]Schedule Sponsors'!$D$87)</f>
        <v>SPONSOR: B. L. CLUTTER</v>
      </c>
    </row>
    <row r="6" spans="1:7">
      <c r="A6" s="162"/>
    </row>
    <row r="7" spans="1:7">
      <c r="A7" s="162"/>
    </row>
    <row r="9" spans="1:7" ht="13.5" thickBot="1"/>
    <row r="10" spans="1:7" s="346" customFormat="1">
      <c r="A10" s="306"/>
      <c r="B10" s="306"/>
      <c r="C10" s="306"/>
      <c r="D10" s="212" t="s">
        <v>379</v>
      </c>
      <c r="E10" s="259" t="s">
        <v>62</v>
      </c>
    </row>
    <row r="11" spans="1:7" s="173" customFormat="1">
      <c r="A11" s="260" t="s">
        <v>241</v>
      </c>
      <c r="B11" s="260"/>
      <c r="C11" s="307" t="s">
        <v>73</v>
      </c>
      <c r="D11" s="165" t="s">
        <v>380</v>
      </c>
      <c r="E11" s="260" t="s">
        <v>61</v>
      </c>
    </row>
    <row r="12" spans="1:7" s="173" customFormat="1">
      <c r="A12" s="260" t="s">
        <v>139</v>
      </c>
      <c r="B12" s="260" t="s">
        <v>64</v>
      </c>
      <c r="C12" s="307" t="s">
        <v>76</v>
      </c>
      <c r="D12" s="165" t="s">
        <v>381</v>
      </c>
      <c r="E12" s="260" t="s">
        <v>63</v>
      </c>
    </row>
    <row r="13" spans="1:7" s="173" customFormat="1" ht="13.5" thickBot="1">
      <c r="A13" s="311"/>
      <c r="B13" s="261" t="s">
        <v>226</v>
      </c>
      <c r="C13" s="312" t="s">
        <v>227</v>
      </c>
      <c r="D13" s="309" t="s">
        <v>228</v>
      </c>
      <c r="E13" s="309" t="s">
        <v>229</v>
      </c>
    </row>
    <row r="14" spans="1:7" s="173" customFormat="1">
      <c r="A14" s="269"/>
      <c r="B14" s="269"/>
      <c r="C14" s="313"/>
    </row>
    <row r="15" spans="1:7" s="346" customFormat="1">
      <c r="A15" s="347">
        <v>1</v>
      </c>
      <c r="B15" s="346" t="s">
        <v>377</v>
      </c>
      <c r="C15" s="459">
        <f>+'II-E-3.1'!D15+'II-E-3.1'!D19</f>
        <v>1078541565.5699999</v>
      </c>
      <c r="D15" s="463">
        <f>+E15-C15</f>
        <v>452589509.34000039</v>
      </c>
      <c r="E15" s="463">
        <f>+'II-E-3'!I17-'II-E-3'!I20+'II-E-3'!I54</f>
        <v>1531131074.9100003</v>
      </c>
      <c r="G15" s="257" t="s">
        <v>49</v>
      </c>
    </row>
    <row r="16" spans="1:7" s="346" customFormat="1">
      <c r="A16" s="347">
        <f>+A15+1</f>
        <v>2</v>
      </c>
      <c r="C16" s="110"/>
      <c r="G16" s="257"/>
    </row>
    <row r="17" spans="1:8" s="346" customFormat="1">
      <c r="A17" s="347">
        <f t="shared" ref="A17:A48" si="0">+A16+1</f>
        <v>3</v>
      </c>
      <c r="B17" s="346" t="s">
        <v>359</v>
      </c>
      <c r="C17" s="13">
        <f>ROUND(C15*0.21,2)</f>
        <v>226493728.77000001</v>
      </c>
      <c r="D17" s="460">
        <f>+E17-C17</f>
        <v>95043796.960000008</v>
      </c>
      <c r="E17" s="460">
        <f>ROUND(E15*0.21,2)</f>
        <v>321537525.73000002</v>
      </c>
      <c r="G17" s="264" t="s">
        <v>441</v>
      </c>
    </row>
    <row r="18" spans="1:8" s="346" customFormat="1">
      <c r="A18" s="347">
        <f t="shared" si="0"/>
        <v>4</v>
      </c>
      <c r="C18" s="110"/>
      <c r="D18" s="192"/>
      <c r="G18" s="257"/>
    </row>
    <row r="19" spans="1:8" s="346" customFormat="1">
      <c r="A19" s="347">
        <f t="shared" si="0"/>
        <v>5</v>
      </c>
      <c r="B19" s="346" t="s">
        <v>3</v>
      </c>
      <c r="C19" s="110"/>
      <c r="D19" s="192"/>
      <c r="G19" s="257"/>
    </row>
    <row r="20" spans="1:8" s="346" customFormat="1">
      <c r="A20" s="347">
        <f t="shared" si="0"/>
        <v>6</v>
      </c>
      <c r="B20" s="142" t="s">
        <v>591</v>
      </c>
      <c r="C20" s="193">
        <f>-'II-E-3'!E21</f>
        <v>-479524.92</v>
      </c>
      <c r="D20" s="110">
        <f>-'II-E-3'!H21</f>
        <v>-5704.570000000007</v>
      </c>
      <c r="E20" s="110">
        <f>C20+D20</f>
        <v>-485229.49</v>
      </c>
      <c r="G20" s="257" t="s">
        <v>221</v>
      </c>
      <c r="H20" s="463"/>
    </row>
    <row r="21" spans="1:8" s="346" customFormat="1">
      <c r="A21" s="347">
        <f t="shared" si="0"/>
        <v>7</v>
      </c>
      <c r="B21" s="142" t="s">
        <v>592</v>
      </c>
      <c r="C21" s="193">
        <f>-'II-E-3'!E22</f>
        <v>-16233756.41</v>
      </c>
      <c r="D21" s="110">
        <f>-'II-E-3'!H22</f>
        <v>-1037983.71</v>
      </c>
      <c r="E21" s="110">
        <f t="shared" ref="E21:E24" si="1">C21+D21</f>
        <v>-17271740.120000001</v>
      </c>
      <c r="G21" s="257" t="s">
        <v>221</v>
      </c>
      <c r="H21" s="463"/>
    </row>
    <row r="22" spans="1:8" s="346" customFormat="1">
      <c r="A22" s="347">
        <f t="shared" si="0"/>
        <v>8</v>
      </c>
      <c r="B22" s="142" t="s">
        <v>593</v>
      </c>
      <c r="C22" s="193">
        <f>-'II-E-3'!E23</f>
        <v>-36089813.840000004</v>
      </c>
      <c r="D22" s="110">
        <f>-'II-E-3'!H23</f>
        <v>3501637.7599999993</v>
      </c>
      <c r="E22" s="110">
        <f t="shared" si="1"/>
        <v>-32588176.080000006</v>
      </c>
      <c r="G22" s="257" t="s">
        <v>221</v>
      </c>
      <c r="H22" s="463"/>
    </row>
    <row r="23" spans="1:8" s="346" customFormat="1">
      <c r="A23" s="347">
        <f t="shared" si="0"/>
        <v>9</v>
      </c>
      <c r="B23" s="142" t="s">
        <v>594</v>
      </c>
      <c r="C23" s="193">
        <f>-'II-E-3'!E24</f>
        <v>1608928.6</v>
      </c>
      <c r="D23" s="110">
        <f>-'II-E-3'!H24</f>
        <v>2338469.7800000003</v>
      </c>
      <c r="E23" s="110">
        <f t="shared" si="1"/>
        <v>3947398.3800000004</v>
      </c>
      <c r="G23" s="257" t="s">
        <v>221</v>
      </c>
      <c r="H23" s="463"/>
    </row>
    <row r="24" spans="1:8" s="346" customFormat="1">
      <c r="A24" s="347">
        <f t="shared" si="0"/>
        <v>10</v>
      </c>
      <c r="B24" s="142" t="s">
        <v>1112</v>
      </c>
      <c r="C24" s="193">
        <f>-'II-E-3'!E25</f>
        <v>-79367.460000000006</v>
      </c>
      <c r="D24" s="110">
        <f>-'II-E-3'!H25</f>
        <v>0</v>
      </c>
      <c r="E24" s="110">
        <f t="shared" si="1"/>
        <v>-79367.460000000006</v>
      </c>
      <c r="G24" s="257" t="s">
        <v>221</v>
      </c>
      <c r="H24" s="463"/>
    </row>
    <row r="25" spans="1:8" s="346" customFormat="1">
      <c r="A25" s="347">
        <f t="shared" si="0"/>
        <v>11</v>
      </c>
      <c r="C25" s="193"/>
      <c r="D25" s="192"/>
      <c r="G25" s="257"/>
    </row>
    <row r="26" spans="1:8" s="346" customFormat="1">
      <c r="A26" s="347">
        <f t="shared" si="0"/>
        <v>12</v>
      </c>
      <c r="B26" s="346" t="s">
        <v>442</v>
      </c>
      <c r="C26" s="486"/>
      <c r="D26" s="459"/>
      <c r="E26" s="459"/>
      <c r="G26" s="257"/>
    </row>
    <row r="27" spans="1:8" s="192" customFormat="1">
      <c r="A27" s="347">
        <f t="shared" si="0"/>
        <v>13</v>
      </c>
      <c r="B27" s="192" t="s">
        <v>950</v>
      </c>
      <c r="C27" s="193">
        <f>+'II-E-3'!E30</f>
        <v>884662.91</v>
      </c>
      <c r="D27" s="110">
        <f>'II-E-3'!H30</f>
        <v>0</v>
      </c>
      <c r="E27" s="110">
        <f>C27+D27</f>
        <v>884662.91</v>
      </c>
      <c r="G27" s="257" t="s">
        <v>221</v>
      </c>
      <c r="H27" s="640"/>
    </row>
    <row r="28" spans="1:8" s="192" customFormat="1">
      <c r="A28" s="347">
        <f t="shared" si="0"/>
        <v>14</v>
      </c>
      <c r="B28" s="192" t="s">
        <v>949</v>
      </c>
      <c r="C28" s="193">
        <f>ROUND(+'II-E-3'!E31*0.21,2)</f>
        <v>905209.37</v>
      </c>
      <c r="D28" s="110">
        <f>'II-E-3'!H31</f>
        <v>0</v>
      </c>
      <c r="E28" s="110">
        <f t="shared" ref="E28:E31" si="2">C28+D28</f>
        <v>905209.37</v>
      </c>
      <c r="G28" s="257" t="s">
        <v>597</v>
      </c>
      <c r="H28" s="640"/>
    </row>
    <row r="29" spans="1:8" s="192" customFormat="1">
      <c r="A29" s="347">
        <f t="shared" si="0"/>
        <v>15</v>
      </c>
      <c r="B29" s="142" t="s">
        <v>595</v>
      </c>
      <c r="C29" s="193">
        <f>ROUND(+'II-E-3'!E32*0.21,2)</f>
        <v>56171.59</v>
      </c>
      <c r="D29" s="110">
        <f>ROUND('II-E-3'!H32*0.21,2)</f>
        <v>-56171.59</v>
      </c>
      <c r="E29" s="110">
        <f t="shared" si="2"/>
        <v>0</v>
      </c>
      <c r="G29" s="257" t="s">
        <v>597</v>
      </c>
      <c r="H29" s="640"/>
    </row>
    <row r="30" spans="1:8" s="192" customFormat="1">
      <c r="A30" s="347">
        <f t="shared" si="0"/>
        <v>16</v>
      </c>
      <c r="B30" s="538" t="s">
        <v>596</v>
      </c>
      <c r="C30" s="193">
        <f>ROUND(+'II-E-3'!E33*0.21,2)</f>
        <v>320229.32</v>
      </c>
      <c r="D30" s="110">
        <f>'II-E-3'!H33</f>
        <v>0</v>
      </c>
      <c r="E30" s="110">
        <f t="shared" si="2"/>
        <v>320229.32</v>
      </c>
      <c r="G30" s="257" t="s">
        <v>597</v>
      </c>
      <c r="H30" s="640"/>
    </row>
    <row r="31" spans="1:8" s="192" customFormat="1">
      <c r="A31" s="347">
        <f t="shared" si="0"/>
        <v>17</v>
      </c>
      <c r="B31" s="192" t="s">
        <v>951</v>
      </c>
      <c r="C31" s="193">
        <f>ROUND(+'II-E-3'!E34*0.21,2)</f>
        <v>-1786074.99</v>
      </c>
      <c r="D31" s="193">
        <f>ROUND(+'II-E-3'!H34*0.21,2)</f>
        <v>-1200496.71</v>
      </c>
      <c r="E31" s="110">
        <f t="shared" si="2"/>
        <v>-2986571.7</v>
      </c>
      <c r="G31" s="257" t="s">
        <v>597</v>
      </c>
      <c r="H31" s="640"/>
    </row>
    <row r="32" spans="1:8" s="192" customFormat="1">
      <c r="A32" s="347">
        <f t="shared" si="0"/>
        <v>18</v>
      </c>
      <c r="C32" s="193"/>
      <c r="D32" s="285"/>
      <c r="E32" s="285"/>
      <c r="G32" s="197"/>
    </row>
    <row r="33" spans="1:8" s="192" customFormat="1">
      <c r="A33" s="347">
        <f t="shared" si="0"/>
        <v>19</v>
      </c>
      <c r="B33" s="192" t="s">
        <v>381</v>
      </c>
      <c r="C33" s="193"/>
      <c r="D33" s="285"/>
      <c r="E33" s="285"/>
      <c r="G33" s="197"/>
    </row>
    <row r="34" spans="1:8" s="192" customFormat="1">
      <c r="A34" s="347">
        <f t="shared" si="0"/>
        <v>20</v>
      </c>
      <c r="B34" s="192" t="s">
        <v>1113</v>
      </c>
      <c r="C34" s="193">
        <f>+'II-E-3'!E35</f>
        <v>-19042</v>
      </c>
      <c r="D34" s="285">
        <f>+'II-E-3'!H52</f>
        <v>19042</v>
      </c>
      <c r="E34" s="193">
        <f>+C34+D34</f>
        <v>0</v>
      </c>
      <c r="G34" s="257" t="s">
        <v>221</v>
      </c>
    </row>
    <row r="35" spans="1:8" s="346" customFormat="1">
      <c r="A35" s="347">
        <f t="shared" si="0"/>
        <v>21</v>
      </c>
      <c r="B35" s="346" t="s">
        <v>324</v>
      </c>
      <c r="C35" s="461">
        <f>+'II-E-3'!E36</f>
        <v>856722.03</v>
      </c>
      <c r="D35" s="13">
        <f>+'II-E-3'!H53</f>
        <v>-856722.03</v>
      </c>
      <c r="E35" s="110">
        <f>C35+D35</f>
        <v>0</v>
      </c>
      <c r="G35" s="257" t="s">
        <v>221</v>
      </c>
    </row>
    <row r="36" spans="1:8" s="346" customFormat="1">
      <c r="A36" s="347">
        <f t="shared" si="0"/>
        <v>22</v>
      </c>
      <c r="C36" s="13"/>
      <c r="D36" s="13"/>
      <c r="E36" s="13"/>
      <c r="G36" s="257"/>
    </row>
    <row r="37" spans="1:8" s="346" customFormat="1">
      <c r="A37" s="347">
        <f t="shared" si="0"/>
        <v>23</v>
      </c>
      <c r="B37" s="346" t="s">
        <v>365</v>
      </c>
      <c r="C37" s="13">
        <f>SUM(C20:C35)</f>
        <v>-50055655.800000004</v>
      </c>
      <c r="D37" s="13">
        <f>SUM(D20:D36)</f>
        <v>2702070.9299999997</v>
      </c>
      <c r="E37" s="13">
        <f>SUM(E20:E35)</f>
        <v>-47353584.870000012</v>
      </c>
      <c r="F37" s="258"/>
      <c r="G37" s="264"/>
    </row>
    <row r="38" spans="1:8" s="346" customFormat="1">
      <c r="A38" s="347">
        <f t="shared" si="0"/>
        <v>24</v>
      </c>
      <c r="C38" s="13"/>
      <c r="D38" s="13"/>
      <c r="E38" s="13"/>
      <c r="G38" s="257"/>
    </row>
    <row r="39" spans="1:8" s="346" customFormat="1">
      <c r="A39" s="347">
        <f t="shared" si="0"/>
        <v>25</v>
      </c>
      <c r="B39" s="346" t="s">
        <v>378</v>
      </c>
      <c r="C39" s="13">
        <f>C17+C37</f>
        <v>176438072.97</v>
      </c>
      <c r="D39" s="13"/>
      <c r="E39" s="13">
        <f>E17+E37</f>
        <v>274183940.86000001</v>
      </c>
      <c r="G39" s="257"/>
      <c r="H39" s="463"/>
    </row>
    <row r="40" spans="1:8" s="346" customFormat="1">
      <c r="A40" s="347">
        <f t="shared" si="0"/>
        <v>26</v>
      </c>
      <c r="C40" s="193"/>
      <c r="G40" s="257"/>
    </row>
    <row r="41" spans="1:8" s="346" customFormat="1">
      <c r="A41" s="347">
        <f t="shared" si="0"/>
        <v>27</v>
      </c>
      <c r="B41" s="346" t="s">
        <v>362</v>
      </c>
      <c r="C41" s="315">
        <f>IF(ISERROR(C39/C15),0,C39/C15)</f>
        <v>0.1635894977091161</v>
      </c>
      <c r="E41" s="315">
        <f>IF(ISERROR(E39/E15),0,E39/E15)</f>
        <v>0.17907280790843888</v>
      </c>
      <c r="G41" s="257"/>
    </row>
    <row r="42" spans="1:8" s="346" customFormat="1">
      <c r="A42" s="347">
        <f t="shared" si="0"/>
        <v>28</v>
      </c>
      <c r="C42" s="110"/>
      <c r="G42" s="257"/>
    </row>
    <row r="43" spans="1:8" s="346" customFormat="1">
      <c r="A43" s="347">
        <f t="shared" si="0"/>
        <v>29</v>
      </c>
      <c r="B43" s="346" t="s">
        <v>4</v>
      </c>
      <c r="E43" s="110"/>
      <c r="G43" s="257"/>
    </row>
    <row r="44" spans="1:8" s="346" customFormat="1">
      <c r="A44" s="347">
        <f t="shared" si="0"/>
        <v>30</v>
      </c>
      <c r="C44" s="193"/>
      <c r="E44" s="110"/>
      <c r="G44" s="257"/>
    </row>
    <row r="45" spans="1:8" s="346" customFormat="1">
      <c r="A45" s="347">
        <f t="shared" si="0"/>
        <v>31</v>
      </c>
      <c r="B45" s="346" t="s">
        <v>456</v>
      </c>
      <c r="C45" s="459">
        <v>23858181.579999983</v>
      </c>
      <c r="D45" s="459"/>
      <c r="E45" s="486">
        <f>+'II-E-3.15'!E109</f>
        <v>116677180.81</v>
      </c>
      <c r="G45" s="257" t="s">
        <v>50</v>
      </c>
    </row>
    <row r="46" spans="1:8" s="346" customFormat="1">
      <c r="A46" s="347">
        <f t="shared" si="0"/>
        <v>32</v>
      </c>
      <c r="B46" s="346" t="s">
        <v>457</v>
      </c>
      <c r="C46" s="13">
        <f>152579891.39-C47</f>
        <v>153059416.30999997</v>
      </c>
      <c r="D46" s="13"/>
      <c r="E46" s="461">
        <f>+'II-E-3.15'!E121</f>
        <v>157991989.53999996</v>
      </c>
      <c r="G46" s="257" t="s">
        <v>50</v>
      </c>
    </row>
    <row r="47" spans="1:8" s="346" customFormat="1">
      <c r="A47" s="347">
        <f t="shared" si="0"/>
        <v>33</v>
      </c>
      <c r="B47" s="346" t="s">
        <v>458</v>
      </c>
      <c r="C47" s="13">
        <v>-479524.92</v>
      </c>
      <c r="D47" s="13"/>
      <c r="E47" s="461">
        <f>+'II-E-3.15'!E123</f>
        <v>-485229.49</v>
      </c>
      <c r="G47" s="257" t="s">
        <v>50</v>
      </c>
    </row>
    <row r="48" spans="1:8" s="123" customFormat="1" ht="13.5" thickBot="1">
      <c r="A48" s="347">
        <f t="shared" si="0"/>
        <v>34</v>
      </c>
      <c r="B48" s="346" t="s">
        <v>6</v>
      </c>
      <c r="C48" s="465">
        <f>SUM(C45:C47)</f>
        <v>176438072.96999997</v>
      </c>
      <c r="D48" s="466"/>
      <c r="E48" s="465">
        <f>SUM(E45:E47)</f>
        <v>274183940.85999995</v>
      </c>
      <c r="G48" s="257" t="s">
        <v>50</v>
      </c>
    </row>
    <row r="49" spans="3:7" s="346" customFormat="1" ht="13.5" thickTop="1">
      <c r="C49" s="258"/>
      <c r="E49" s="258"/>
      <c r="G49" s="257"/>
    </row>
    <row r="50" spans="3:7" s="346" customFormat="1">
      <c r="C50" s="544">
        <f>+'II-E-3'!E54</f>
        <v>176438072.97</v>
      </c>
      <c r="E50" s="544">
        <f>+'II-E-3'!I54</f>
        <v>274183940.86000007</v>
      </c>
      <c r="G50" s="257" t="s">
        <v>396</v>
      </c>
    </row>
    <row r="51" spans="3:7" s="346" customFormat="1">
      <c r="C51" s="544">
        <f>C39-C50</f>
        <v>0</v>
      </c>
      <c r="E51" s="544">
        <f>+E39-E50</f>
        <v>0</v>
      </c>
      <c r="G51" s="257"/>
    </row>
    <row r="52" spans="3:7" s="346" customFormat="1">
      <c r="C52" s="544">
        <f>+C48-C39</f>
        <v>0</v>
      </c>
      <c r="E52" s="544">
        <f>+E48-E39</f>
        <v>0</v>
      </c>
      <c r="G52" s="356"/>
    </row>
  </sheetData>
  <phoneticPr fontId="10" type="noConversion"/>
  <pageMargins left="1.5" right="0.5" top="2.5" bottom="0.5" header="1" footer="0.5"/>
  <pageSetup scale="73" pageOrder="overThenDown" orientation="portrait"/>
  <headerFooter alignWithMargins="0">
    <oddHeader>&amp;R&amp;"Arial,Bold"Schedule &amp;A
Page &amp;P of &amp;N&amp;C&amp;B
2025 RATE CASE
ONCOR ELECTRIC DELIVERY COMPANY LLC
II-E-3.2  RECONCILIATION OF TIMING DIFFERENCES
TEST YEAR ENDING DECEMBER 31, 2024
SPONSOR: B. L. CLUTTER</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1"/>
  <dimension ref="A1:Q248"/>
  <sheetViews>
    <sheetView zoomScale="80" zoomScaleNormal="80" workbookViewId="0">
      <pane xSplit="5" ySplit="10" topLeftCell="F11" activePane="bottomRight" state="frozen"/>
      <selection activeCell="E19" sqref="E19"/>
      <selection pane="topRight" activeCell="E19" sqref="E19"/>
      <selection pane="bottomLeft" activeCell="E19" sqref="E19"/>
      <selection pane="bottomRight" activeCell="C32" sqref="C32"/>
    </sheetView>
  </sheetViews>
  <sheetFormatPr defaultColWidth="9.140625" defaultRowHeight="12.75"/>
  <cols>
    <col min="1" max="1" width="7.7109375" style="179" customWidth="1"/>
    <col min="2" max="2" width="13.42578125" style="179" bestFit="1" customWidth="1"/>
    <col min="3" max="3" width="20.5703125" style="179" bestFit="1" customWidth="1"/>
    <col min="4" max="4" width="10.140625" style="179" bestFit="1" customWidth="1"/>
    <col min="5" max="5" width="12.28515625" style="180" bestFit="1" customWidth="1"/>
    <col min="6" max="6" width="14.5703125" style="180" customWidth="1"/>
    <col min="7" max="9" width="14.5703125" style="179" customWidth="1"/>
    <col min="10" max="13" width="18.5703125" style="179" customWidth="1"/>
    <col min="14" max="14" width="18.7109375" style="102" customWidth="1"/>
    <col min="15" max="15" width="18.7109375" style="179" customWidth="1"/>
    <col min="16" max="16" width="18.7109375" style="117" customWidth="1"/>
    <col min="17" max="17" width="11.42578125" style="179" customWidth="1"/>
    <col min="18" max="18" width="13" style="179" customWidth="1"/>
    <col min="19" max="16384" width="9.140625" style="179"/>
  </cols>
  <sheetData>
    <row r="1" spans="1:17" ht="15.75">
      <c r="A1" s="150" t="str">
        <f>+'[3]Input Data'!$A$9</f>
        <v>2025 RATE CASE</v>
      </c>
    </row>
    <row r="2" spans="1:17" ht="15.75">
      <c r="A2" s="152" t="str">
        <f>+'[3]Input Data'!$A$2</f>
        <v>ONCOR ELECTRIC DELIVERY COMPANY LLC</v>
      </c>
    </row>
    <row r="3" spans="1:17" ht="15.75">
      <c r="A3" s="154" t="str">
        <f>CONCATENATE('[3]Schedule Sponsors'!$A$88,'[3]Schedule Sponsors'!$B$88)</f>
        <v>II-E-3.3  PLANT ADJUSTMENTS</v>
      </c>
    </row>
    <row r="4" spans="1:17" ht="15.75">
      <c r="A4" s="154" t="str">
        <f>+'[3]Input Data'!$A$4</f>
        <v>TEST YEAR ENDING DECEMBER 31, 2024</v>
      </c>
      <c r="P4"/>
      <c r="Q4"/>
    </row>
    <row r="5" spans="1:17" ht="15.75">
      <c r="A5" s="153" t="str">
        <f>CONCATENATE("SPONSOR: ",'[3]Schedule Sponsors'!$D$88)</f>
        <v>SPONSOR: B. L. CLUTTER</v>
      </c>
      <c r="P5"/>
      <c r="Q5"/>
    </row>
    <row r="6" spans="1:17">
      <c r="A6" s="183"/>
    </row>
    <row r="7" spans="1:17">
      <c r="A7" s="183"/>
    </row>
    <row r="8" spans="1:17">
      <c r="A8" s="183"/>
    </row>
    <row r="9" spans="1:17" s="331" customFormat="1">
      <c r="D9" s="808"/>
      <c r="E9" s="186"/>
      <c r="F9" s="175"/>
      <c r="G9" s="175"/>
      <c r="H9" s="175"/>
    </row>
    <row r="10" spans="1:17" s="331" customFormat="1" ht="38.25">
      <c r="A10" s="691" t="s">
        <v>459</v>
      </c>
      <c r="B10" s="863" t="s">
        <v>183</v>
      </c>
      <c r="C10" s="863"/>
      <c r="D10" s="692" t="s">
        <v>184</v>
      </c>
      <c r="E10" s="692" t="s">
        <v>185</v>
      </c>
      <c r="F10" s="693" t="s">
        <v>1103</v>
      </c>
      <c r="G10" s="693" t="s">
        <v>1104</v>
      </c>
      <c r="H10" s="693" t="s">
        <v>1105</v>
      </c>
      <c r="I10" s="693" t="s">
        <v>370</v>
      </c>
      <c r="J10" s="693" t="s">
        <v>1107</v>
      </c>
      <c r="K10" s="693" t="s">
        <v>1106</v>
      </c>
      <c r="L10" s="693" t="s">
        <v>1108</v>
      </c>
      <c r="M10" s="693" t="s">
        <v>1109</v>
      </c>
    </row>
    <row r="11" spans="1:17" s="331" customFormat="1" ht="14.45" customHeight="1">
      <c r="B11" s="864" t="s">
        <v>226</v>
      </c>
      <c r="C11" s="864"/>
      <c r="D11" s="694" t="s">
        <v>227</v>
      </c>
      <c r="E11" s="694" t="s">
        <v>228</v>
      </c>
      <c r="F11" s="695" t="s">
        <v>229</v>
      </c>
      <c r="G11" s="695" t="s">
        <v>230</v>
      </c>
      <c r="H11" s="695" t="s">
        <v>231</v>
      </c>
      <c r="I11" s="695" t="s">
        <v>232</v>
      </c>
      <c r="J11" s="695" t="s">
        <v>233</v>
      </c>
      <c r="K11" s="695" t="s">
        <v>234</v>
      </c>
      <c r="L11" s="695" t="s">
        <v>235</v>
      </c>
      <c r="M11" s="695" t="s">
        <v>236</v>
      </c>
    </row>
    <row r="12" spans="1:17" s="331" customFormat="1">
      <c r="A12" s="409">
        <v>1</v>
      </c>
      <c r="B12" s="696" t="s">
        <v>335</v>
      </c>
      <c r="C12" s="697"/>
      <c r="D12" s="697"/>
      <c r="E12" s="697"/>
      <c r="F12" s="698"/>
      <c r="G12" s="698"/>
      <c r="H12" s="698"/>
      <c r="I12" s="698"/>
      <c r="J12" s="698"/>
      <c r="K12" s="698"/>
      <c r="L12" s="698"/>
      <c r="M12" s="698"/>
    </row>
    <row r="13" spans="1:17" s="331" customFormat="1">
      <c r="A13" s="409">
        <f>+A12+1</f>
        <v>2</v>
      </c>
      <c r="B13" s="643" t="s">
        <v>885</v>
      </c>
      <c r="C13" s="331" t="s">
        <v>886</v>
      </c>
      <c r="D13" s="409" t="s">
        <v>887</v>
      </c>
      <c r="E13" s="409" t="s">
        <v>888</v>
      </c>
      <c r="F13" s="635">
        <v>4692717.6399999997</v>
      </c>
      <c r="G13" s="635">
        <v>1238582.9099999999</v>
      </c>
      <c r="H13" s="635">
        <v>3989751.52</v>
      </c>
      <c r="I13" s="635">
        <v>9921052.0700000003</v>
      </c>
      <c r="J13" s="635">
        <v>1434597.93</v>
      </c>
      <c r="K13" s="635">
        <v>1893928.74</v>
      </c>
      <c r="L13" s="635">
        <v>1364613.08</v>
      </c>
    </row>
    <row r="14" spans="1:17" s="331" customFormat="1">
      <c r="A14" s="409">
        <f t="shared" ref="A14:A77" si="0">+A13+1</f>
        <v>3</v>
      </c>
      <c r="B14" s="643" t="s">
        <v>889</v>
      </c>
      <c r="C14" s="331" t="s">
        <v>890</v>
      </c>
      <c r="D14" s="409" t="s">
        <v>891</v>
      </c>
      <c r="E14" s="409" t="s">
        <v>888</v>
      </c>
      <c r="F14" s="635">
        <v>23674330.02</v>
      </c>
      <c r="G14" s="635">
        <v>12545497.51</v>
      </c>
      <c r="H14" s="635">
        <v>21554113.09</v>
      </c>
      <c r="I14" s="635">
        <v>57773940.620000005</v>
      </c>
      <c r="J14" s="635">
        <v>11358967.25</v>
      </c>
      <c r="K14" s="635">
        <v>13179844.43</v>
      </c>
      <c r="L14" s="635">
        <v>8681611.3300000001</v>
      </c>
    </row>
    <row r="15" spans="1:17" s="331" customFormat="1">
      <c r="A15" s="409">
        <f t="shared" si="0"/>
        <v>4</v>
      </c>
      <c r="B15" s="643" t="s">
        <v>1110</v>
      </c>
      <c r="C15" s="331" t="s">
        <v>1111</v>
      </c>
      <c r="D15" s="409" t="s">
        <v>891</v>
      </c>
      <c r="E15" s="409" t="s">
        <v>888</v>
      </c>
      <c r="F15" s="635">
        <v>0</v>
      </c>
      <c r="G15" s="635">
        <v>0</v>
      </c>
      <c r="H15" s="635">
        <v>6980.12</v>
      </c>
      <c r="I15" s="635">
        <v>6980.12</v>
      </c>
      <c r="J15" s="635">
        <v>2519.5300000000002</v>
      </c>
      <c r="K15" s="635">
        <v>1784.23</v>
      </c>
      <c r="L15" s="635">
        <v>1070.54</v>
      </c>
    </row>
    <row r="16" spans="1:17" s="331" customFormat="1">
      <c r="A16" s="409">
        <f t="shared" si="0"/>
        <v>5</v>
      </c>
      <c r="B16" s="643" t="s">
        <v>892</v>
      </c>
      <c r="C16" s="331" t="s">
        <v>893</v>
      </c>
      <c r="D16" s="409" t="s">
        <v>891</v>
      </c>
      <c r="E16" s="409" t="s">
        <v>888</v>
      </c>
      <c r="F16" s="635">
        <v>0</v>
      </c>
      <c r="G16" s="635">
        <v>0</v>
      </c>
      <c r="H16" s="635">
        <v>0</v>
      </c>
      <c r="I16" s="635">
        <v>0</v>
      </c>
      <c r="J16" s="635">
        <v>0</v>
      </c>
      <c r="K16" s="635">
        <v>0</v>
      </c>
      <c r="L16" s="635">
        <v>0</v>
      </c>
    </row>
    <row r="17" spans="1:12" s="331" customFormat="1">
      <c r="A17" s="409">
        <f t="shared" si="0"/>
        <v>6</v>
      </c>
      <c r="B17" s="643" t="s">
        <v>894</v>
      </c>
      <c r="C17" s="331" t="s">
        <v>895</v>
      </c>
      <c r="D17" s="409" t="s">
        <v>891</v>
      </c>
      <c r="E17" s="409" t="s">
        <v>888</v>
      </c>
      <c r="F17" s="635">
        <v>677282.05</v>
      </c>
      <c r="G17" s="635">
        <v>663246.96</v>
      </c>
      <c r="H17" s="635">
        <v>217945.44</v>
      </c>
      <c r="I17" s="635">
        <v>1558474.45</v>
      </c>
      <c r="J17" s="635">
        <v>378563.76</v>
      </c>
      <c r="K17" s="635">
        <v>297804.36</v>
      </c>
      <c r="L17" s="635">
        <v>199019.56</v>
      </c>
    </row>
    <row r="18" spans="1:12" s="331" customFormat="1">
      <c r="A18" s="409">
        <f t="shared" si="0"/>
        <v>7</v>
      </c>
      <c r="B18" s="643" t="s">
        <v>896</v>
      </c>
      <c r="C18" s="331" t="s">
        <v>897</v>
      </c>
      <c r="D18" s="409" t="s">
        <v>891</v>
      </c>
      <c r="E18" s="409" t="s">
        <v>888</v>
      </c>
      <c r="F18" s="635">
        <v>0</v>
      </c>
      <c r="G18" s="635">
        <v>0</v>
      </c>
      <c r="H18" s="635">
        <v>0</v>
      </c>
      <c r="I18" s="635">
        <v>0</v>
      </c>
      <c r="J18" s="635">
        <v>0</v>
      </c>
      <c r="K18" s="635">
        <v>0</v>
      </c>
      <c r="L18" s="635">
        <v>0</v>
      </c>
    </row>
    <row r="19" spans="1:12" s="331" customFormat="1">
      <c r="A19" s="409">
        <f t="shared" si="0"/>
        <v>8</v>
      </c>
      <c r="B19" s="643" t="s">
        <v>898</v>
      </c>
      <c r="C19" s="331" t="s">
        <v>899</v>
      </c>
      <c r="D19" s="409" t="s">
        <v>891</v>
      </c>
      <c r="E19" s="409" t="s">
        <v>888</v>
      </c>
      <c r="F19" s="635">
        <v>68342.2</v>
      </c>
      <c r="G19" s="635">
        <v>200634.54</v>
      </c>
      <c r="H19" s="635">
        <v>2630423.89</v>
      </c>
      <c r="I19" s="635">
        <v>2899400.63</v>
      </c>
      <c r="J19" s="635">
        <v>210639.38</v>
      </c>
      <c r="K19" s="635">
        <v>1046842.05</v>
      </c>
      <c r="L19" s="635">
        <v>630368.38</v>
      </c>
    </row>
    <row r="20" spans="1:12" s="331" customFormat="1">
      <c r="A20" s="409">
        <f t="shared" si="0"/>
        <v>9</v>
      </c>
      <c r="B20" s="643" t="s">
        <v>900</v>
      </c>
      <c r="C20" s="331" t="s">
        <v>901</v>
      </c>
      <c r="D20" s="409" t="s">
        <v>891</v>
      </c>
      <c r="E20" s="409" t="s">
        <v>888</v>
      </c>
      <c r="F20" s="635">
        <v>399386.19</v>
      </c>
      <c r="G20" s="635">
        <v>1055510.33</v>
      </c>
      <c r="H20" s="635">
        <v>573641.64</v>
      </c>
      <c r="I20" s="635">
        <v>2028538.1600000001</v>
      </c>
      <c r="J20" s="635">
        <v>469304.66</v>
      </c>
      <c r="K20" s="635">
        <v>462920.41</v>
      </c>
      <c r="L20" s="635">
        <v>291778.33</v>
      </c>
    </row>
    <row r="21" spans="1:12" s="331" customFormat="1">
      <c r="A21" s="409">
        <f t="shared" si="0"/>
        <v>10</v>
      </c>
      <c r="B21" s="643" t="s">
        <v>902</v>
      </c>
      <c r="C21" s="331" t="s">
        <v>903</v>
      </c>
      <c r="D21" s="409" t="s">
        <v>904</v>
      </c>
      <c r="E21" s="409" t="s">
        <v>888</v>
      </c>
      <c r="F21" s="635">
        <v>0</v>
      </c>
      <c r="G21" s="635">
        <v>0</v>
      </c>
      <c r="H21" s="635">
        <v>2118</v>
      </c>
      <c r="I21" s="635">
        <v>2118</v>
      </c>
      <c r="J21" s="635">
        <v>52.95</v>
      </c>
      <c r="K21" s="635">
        <v>413.01</v>
      </c>
      <c r="L21" s="635">
        <v>330.41</v>
      </c>
    </row>
    <row r="22" spans="1:12" s="331" customFormat="1">
      <c r="A22" s="409">
        <f t="shared" si="0"/>
        <v>11</v>
      </c>
      <c r="B22" s="643" t="s">
        <v>905</v>
      </c>
      <c r="C22" s="331" t="s">
        <v>906</v>
      </c>
      <c r="D22" s="409" t="s">
        <v>907</v>
      </c>
      <c r="E22" s="409" t="s">
        <v>888</v>
      </c>
      <c r="F22" s="635">
        <v>54961503.119999997</v>
      </c>
      <c r="G22" s="635">
        <v>89391025.650000006</v>
      </c>
      <c r="H22" s="635">
        <v>138854788.08000001</v>
      </c>
      <c r="I22" s="635">
        <v>283207316.85000002</v>
      </c>
      <c r="J22" s="635">
        <v>18206270.800000001</v>
      </c>
      <c r="K22" s="635">
        <v>25302446.129999999</v>
      </c>
      <c r="L22" s="635">
        <v>22816135.82</v>
      </c>
    </row>
    <row r="23" spans="1:12" s="331" customFormat="1">
      <c r="A23" s="409">
        <f t="shared" si="0"/>
        <v>12</v>
      </c>
      <c r="B23" s="643" t="s">
        <v>908</v>
      </c>
      <c r="C23" s="331" t="s">
        <v>909</v>
      </c>
      <c r="D23" s="409" t="s">
        <v>887</v>
      </c>
      <c r="E23" s="409" t="s">
        <v>888</v>
      </c>
      <c r="F23" s="635">
        <v>0</v>
      </c>
      <c r="G23" s="635">
        <v>0</v>
      </c>
      <c r="H23" s="635">
        <v>0</v>
      </c>
      <c r="I23" s="635">
        <v>0</v>
      </c>
      <c r="J23" s="635">
        <v>0</v>
      </c>
      <c r="K23" s="635">
        <v>0</v>
      </c>
      <c r="L23" s="635">
        <v>0</v>
      </c>
    </row>
    <row r="24" spans="1:12" s="331" customFormat="1">
      <c r="A24" s="409">
        <f t="shared" si="0"/>
        <v>13</v>
      </c>
      <c r="B24" s="644" t="s">
        <v>910</v>
      </c>
      <c r="C24" s="331" t="s">
        <v>911</v>
      </c>
      <c r="D24" s="409" t="s">
        <v>912</v>
      </c>
      <c r="E24" s="409" t="s">
        <v>888</v>
      </c>
      <c r="F24" s="635">
        <v>1027028187.03</v>
      </c>
      <c r="G24" s="635">
        <v>1376689301.0799999</v>
      </c>
      <c r="H24" s="635">
        <v>1682265426.5899999</v>
      </c>
      <c r="I24" s="635">
        <v>4085982914.6999998</v>
      </c>
      <c r="J24" s="635">
        <v>228323645.30000001</v>
      </c>
      <c r="K24" s="635">
        <v>276149658.79000002</v>
      </c>
      <c r="L24" s="635">
        <v>255438837.98999998</v>
      </c>
    </row>
    <row r="25" spans="1:12" s="331" customFormat="1">
      <c r="A25" s="409">
        <f t="shared" si="0"/>
        <v>14</v>
      </c>
      <c r="B25" s="331" t="s">
        <v>913</v>
      </c>
      <c r="C25" s="331" t="s">
        <v>914</v>
      </c>
      <c r="D25" s="409" t="s">
        <v>907</v>
      </c>
      <c r="E25" s="409" t="s">
        <v>888</v>
      </c>
      <c r="F25" s="635">
        <v>788971413.86000001</v>
      </c>
      <c r="G25" s="635">
        <v>1177343981.2</v>
      </c>
      <c r="H25" s="635">
        <v>1723941144.6800001</v>
      </c>
      <c r="I25" s="635">
        <v>3690256539.7399998</v>
      </c>
      <c r="J25" s="635">
        <v>244410433.72</v>
      </c>
      <c r="K25" s="635">
        <v>327586740.30000001</v>
      </c>
      <c r="L25" s="635">
        <v>295406203.75</v>
      </c>
    </row>
    <row r="26" spans="1:12" s="331" customFormat="1">
      <c r="A26" s="409">
        <f t="shared" si="0"/>
        <v>15</v>
      </c>
      <c r="B26" s="331" t="s">
        <v>915</v>
      </c>
      <c r="C26" s="331" t="s">
        <v>916</v>
      </c>
      <c r="D26" s="409" t="s">
        <v>912</v>
      </c>
      <c r="E26" s="409" t="s">
        <v>888</v>
      </c>
      <c r="F26" s="635">
        <v>13055046.84</v>
      </c>
      <c r="G26" s="635">
        <v>18037992.940000001</v>
      </c>
      <c r="H26" s="635">
        <v>22015473.670000002</v>
      </c>
      <c r="I26" s="635">
        <v>53108513.450000003</v>
      </c>
      <c r="J26" s="635">
        <v>3425632.78</v>
      </c>
      <c r="K26" s="635">
        <v>4006923.7</v>
      </c>
      <c r="L26" s="635">
        <v>3648846.69</v>
      </c>
    </row>
    <row r="27" spans="1:12" s="331" customFormat="1">
      <c r="A27" s="409">
        <f t="shared" si="0"/>
        <v>16</v>
      </c>
      <c r="B27" s="331" t="s">
        <v>917</v>
      </c>
      <c r="C27" s="331" t="s">
        <v>918</v>
      </c>
      <c r="D27" s="409" t="s">
        <v>904</v>
      </c>
      <c r="E27" s="409" t="s">
        <v>888</v>
      </c>
      <c r="F27" s="635">
        <v>80420656.439999998</v>
      </c>
      <c r="G27" s="635">
        <v>74399979.859999999</v>
      </c>
      <c r="H27" s="635">
        <v>77784675.230000004</v>
      </c>
      <c r="I27" s="635">
        <v>232605311.53000003</v>
      </c>
      <c r="J27" s="635">
        <v>29543749.219999999</v>
      </c>
      <c r="K27" s="635">
        <v>31582832.050000001</v>
      </c>
      <c r="L27" s="635">
        <v>25870154.850000001</v>
      </c>
    </row>
    <row r="28" spans="1:12" s="331" customFormat="1">
      <c r="A28" s="409">
        <f t="shared" si="0"/>
        <v>17</v>
      </c>
      <c r="B28" s="331" t="s">
        <v>919</v>
      </c>
      <c r="C28" s="331" t="s">
        <v>920</v>
      </c>
      <c r="D28" s="409" t="s">
        <v>887</v>
      </c>
      <c r="E28" s="409" t="s">
        <v>888</v>
      </c>
      <c r="F28" s="635">
        <v>32352405.260000002</v>
      </c>
      <c r="G28" s="635">
        <v>46437304.670000002</v>
      </c>
      <c r="H28" s="635">
        <v>51899078.43</v>
      </c>
      <c r="I28" s="635">
        <v>130688788.36000001</v>
      </c>
      <c r="J28" s="635">
        <v>20469701.100000001</v>
      </c>
      <c r="K28" s="635">
        <v>22786719.190000001</v>
      </c>
      <c r="L28" s="635">
        <v>16690623.210000001</v>
      </c>
    </row>
    <row r="29" spans="1:12" s="331" customFormat="1">
      <c r="A29" s="409">
        <f t="shared" si="0"/>
        <v>18</v>
      </c>
      <c r="B29" s="643" t="s">
        <v>921</v>
      </c>
      <c r="C29" s="331" t="s">
        <v>922</v>
      </c>
      <c r="D29" s="409" t="s">
        <v>891</v>
      </c>
      <c r="E29" s="409" t="s">
        <v>888</v>
      </c>
      <c r="F29" s="635">
        <v>8419832.5099999998</v>
      </c>
      <c r="G29" s="635">
        <v>6376577.71</v>
      </c>
      <c r="H29" s="635">
        <v>6671378.4500000002</v>
      </c>
      <c r="I29" s="635">
        <v>21467788.669999998</v>
      </c>
      <c r="J29" s="635">
        <v>4773515.83</v>
      </c>
      <c r="K29" s="635">
        <v>4572297.08</v>
      </c>
      <c r="L29" s="635">
        <v>3031405.43</v>
      </c>
    </row>
    <row r="30" spans="1:12" s="331" customFormat="1">
      <c r="A30" s="409">
        <f t="shared" si="0"/>
        <v>19</v>
      </c>
      <c r="B30" s="331" t="s">
        <v>923</v>
      </c>
      <c r="C30" s="331" t="s">
        <v>924</v>
      </c>
      <c r="D30" s="409" t="s">
        <v>925</v>
      </c>
      <c r="E30" s="409" t="s">
        <v>926</v>
      </c>
      <c r="F30" s="635">
        <v>0</v>
      </c>
      <c r="G30" s="635">
        <v>0</v>
      </c>
      <c r="H30" s="635">
        <v>0</v>
      </c>
      <c r="I30" s="635">
        <v>0</v>
      </c>
      <c r="J30" s="635">
        <v>0</v>
      </c>
      <c r="K30" s="635">
        <v>0</v>
      </c>
      <c r="L30" s="635">
        <v>0</v>
      </c>
    </row>
    <row r="31" spans="1:12" s="331" customFormat="1">
      <c r="A31" s="409">
        <f t="shared" si="0"/>
        <v>20</v>
      </c>
      <c r="B31" s="331" t="s">
        <v>927</v>
      </c>
      <c r="C31" s="331" t="s">
        <v>928</v>
      </c>
      <c r="D31" s="409" t="s">
        <v>929</v>
      </c>
      <c r="E31" s="409" t="s">
        <v>926</v>
      </c>
      <c r="F31" s="635">
        <v>627.85</v>
      </c>
      <c r="G31" s="635">
        <v>96757.1</v>
      </c>
      <c r="H31" s="635">
        <v>401497.08</v>
      </c>
      <c r="I31" s="635">
        <v>498882.03</v>
      </c>
      <c r="J31" s="635">
        <v>7214.54</v>
      </c>
      <c r="K31" s="635">
        <v>12791.34</v>
      </c>
      <c r="L31" s="635">
        <v>12792.31</v>
      </c>
    </row>
    <row r="32" spans="1:12" s="331" customFormat="1">
      <c r="A32" s="409">
        <f t="shared" si="0"/>
        <v>21</v>
      </c>
      <c r="B32" s="331" t="s">
        <v>930</v>
      </c>
      <c r="C32" s="331" t="s">
        <v>931</v>
      </c>
      <c r="D32" s="409" t="s">
        <v>932</v>
      </c>
      <c r="E32" s="409" t="s">
        <v>888</v>
      </c>
      <c r="F32" s="635">
        <v>23168636.739999998</v>
      </c>
      <c r="G32" s="635">
        <v>9385445.5800000001</v>
      </c>
      <c r="H32" s="635">
        <v>17796986.82</v>
      </c>
      <c r="I32" s="635">
        <v>50351069.140000001</v>
      </c>
      <c r="J32" s="635">
        <v>1072459.3600000001</v>
      </c>
      <c r="K32" s="635">
        <v>1112985.1100000001</v>
      </c>
      <c r="L32" s="635">
        <v>1110855.72</v>
      </c>
    </row>
    <row r="33" spans="1:13" s="331" customFormat="1">
      <c r="A33" s="409">
        <f t="shared" si="0"/>
        <v>22</v>
      </c>
      <c r="B33" s="331" t="s">
        <v>933</v>
      </c>
      <c r="C33" s="331" t="s">
        <v>934</v>
      </c>
      <c r="D33" s="409" t="s">
        <v>935</v>
      </c>
      <c r="E33" s="409" t="s">
        <v>888</v>
      </c>
      <c r="F33" s="635">
        <v>18459034.57</v>
      </c>
      <c r="G33" s="635">
        <v>12247564.35</v>
      </c>
      <c r="H33" s="635">
        <v>18938360.449999999</v>
      </c>
      <c r="I33" s="635">
        <v>49644959.370000005</v>
      </c>
      <c r="J33" s="635">
        <v>1798550.25</v>
      </c>
      <c r="K33" s="635">
        <v>1825924.38</v>
      </c>
      <c r="L33" s="635">
        <v>1680667.96</v>
      </c>
    </row>
    <row r="34" spans="1:13" s="331" customFormat="1">
      <c r="A34" s="409">
        <f t="shared" si="0"/>
        <v>23</v>
      </c>
      <c r="B34" s="331" t="s">
        <v>936</v>
      </c>
      <c r="C34" s="331" t="s">
        <v>937</v>
      </c>
      <c r="D34" s="409" t="s">
        <v>938</v>
      </c>
      <c r="E34" s="409"/>
      <c r="F34" s="635">
        <v>44385179.289999999</v>
      </c>
      <c r="G34" s="635">
        <v>42588161.659999996</v>
      </c>
      <c r="H34" s="635">
        <v>4497332</v>
      </c>
      <c r="I34" s="635">
        <v>91470672.949999988</v>
      </c>
      <c r="J34" s="635">
        <v>0</v>
      </c>
      <c r="K34" s="635">
        <v>0</v>
      </c>
      <c r="L34" s="635">
        <v>0</v>
      </c>
    </row>
    <row r="35" spans="1:13" s="331" customFormat="1">
      <c r="A35" s="409">
        <f t="shared" si="0"/>
        <v>24</v>
      </c>
      <c r="B35" s="331" t="s">
        <v>939</v>
      </c>
      <c r="C35" s="331" t="s">
        <v>940</v>
      </c>
      <c r="D35" s="409" t="s">
        <v>929</v>
      </c>
      <c r="E35" s="409" t="s">
        <v>926</v>
      </c>
      <c r="F35" s="635">
        <v>58940246.859999999</v>
      </c>
      <c r="G35" s="635">
        <v>79052210.469999999</v>
      </c>
      <c r="H35" s="635">
        <v>108701839.39</v>
      </c>
      <c r="I35" s="635">
        <v>246694296.71999997</v>
      </c>
      <c r="J35" s="635">
        <v>4200664.97</v>
      </c>
      <c r="K35" s="635">
        <v>6324891.71</v>
      </c>
      <c r="L35" s="635">
        <v>6324933.5</v>
      </c>
    </row>
    <row r="36" spans="1:13" s="331" customFormat="1">
      <c r="A36" s="409">
        <f t="shared" si="0"/>
        <v>25</v>
      </c>
      <c r="B36" s="645" t="s">
        <v>335</v>
      </c>
      <c r="D36" s="409"/>
      <c r="E36" s="409"/>
      <c r="F36" s="646">
        <f t="shared" ref="F36:L36" si="1">SUM(F13:F35)</f>
        <v>2179674828.4699998</v>
      </c>
      <c r="G36" s="646">
        <f t="shared" si="1"/>
        <v>2947749774.52</v>
      </c>
      <c r="H36" s="646">
        <f t="shared" ref="H36" si="2">SUM(H13:H35)</f>
        <v>3882742954.5699997</v>
      </c>
      <c r="I36" s="646">
        <f t="shared" si="1"/>
        <v>9010167557.5599995</v>
      </c>
      <c r="J36" s="646">
        <f t="shared" si="1"/>
        <v>570086483.33000004</v>
      </c>
      <c r="K36" s="646">
        <f t="shared" si="1"/>
        <v>718147747.01000023</v>
      </c>
      <c r="L36" s="646">
        <f t="shared" si="1"/>
        <v>643200248.86000013</v>
      </c>
      <c r="M36" s="646">
        <v>-18008263.9947</v>
      </c>
    </row>
    <row r="37" spans="1:13" s="331" customFormat="1">
      <c r="A37" s="409">
        <f t="shared" si="0"/>
        <v>26</v>
      </c>
      <c r="D37" s="409"/>
      <c r="E37" s="409"/>
      <c r="F37" s="647"/>
      <c r="G37" s="647"/>
      <c r="H37" s="647"/>
      <c r="I37" s="647"/>
      <c r="J37" s="635"/>
      <c r="K37" s="635"/>
      <c r="L37" s="635"/>
      <c r="M37" s="635"/>
    </row>
    <row r="38" spans="1:13" s="331" customFormat="1">
      <c r="A38" s="409">
        <f t="shared" si="0"/>
        <v>27</v>
      </c>
      <c r="B38" s="699" t="s">
        <v>198</v>
      </c>
      <c r="C38" s="697"/>
      <c r="D38" s="697"/>
      <c r="E38" s="809">
        <f>+'[5]II-F Alloc_Factor'!$E$38</f>
        <v>0.45458274033396245</v>
      </c>
      <c r="F38" s="698"/>
      <c r="G38" s="698"/>
      <c r="H38" s="698"/>
      <c r="I38" s="698"/>
      <c r="J38" s="698"/>
      <c r="K38" s="698"/>
      <c r="L38" s="698"/>
      <c r="M38" s="698"/>
    </row>
    <row r="39" spans="1:13" s="331" customFormat="1">
      <c r="A39" s="409">
        <f t="shared" si="0"/>
        <v>28</v>
      </c>
      <c r="B39" s="643" t="s">
        <v>885</v>
      </c>
      <c r="C39" s="331" t="s">
        <v>886</v>
      </c>
      <c r="D39" s="409" t="s">
        <v>887</v>
      </c>
      <c r="E39" s="409" t="s">
        <v>888</v>
      </c>
      <c r="F39" s="810">
        <v>2130182.2799999998</v>
      </c>
      <c r="G39" s="810">
        <v>562234.42000000004</v>
      </c>
      <c r="H39" s="810">
        <v>1811082.33</v>
      </c>
      <c r="I39" s="810">
        <v>4503499.0299999993</v>
      </c>
      <c r="J39" s="810">
        <v>651212.22</v>
      </c>
      <c r="K39" s="810">
        <v>859717.92</v>
      </c>
      <c r="L39" s="810">
        <v>619443.75</v>
      </c>
      <c r="M39" s="810"/>
    </row>
    <row r="40" spans="1:13" s="331" customFormat="1">
      <c r="A40" s="409">
        <f t="shared" si="0"/>
        <v>29</v>
      </c>
      <c r="B40" s="643" t="s">
        <v>889</v>
      </c>
      <c r="C40" s="331" t="s">
        <v>890</v>
      </c>
      <c r="D40" s="409" t="s">
        <v>891</v>
      </c>
      <c r="E40" s="409" t="s">
        <v>888</v>
      </c>
      <c r="F40" s="810">
        <v>10746574.18</v>
      </c>
      <c r="G40" s="810">
        <v>5694823.0199999996</v>
      </c>
      <c r="H40" s="810">
        <v>9784136.4499999993</v>
      </c>
      <c r="I40" s="810">
        <v>26225533.649999999</v>
      </c>
      <c r="J40" s="810">
        <v>5156217.05</v>
      </c>
      <c r="K40" s="810">
        <v>5982774.4100000001</v>
      </c>
      <c r="L40" s="810">
        <v>3940875.21</v>
      </c>
      <c r="M40" s="810"/>
    </row>
    <row r="41" spans="1:13" s="331" customFormat="1">
      <c r="A41" s="409">
        <f t="shared" si="0"/>
        <v>30</v>
      </c>
      <c r="B41" s="643" t="s">
        <v>1110</v>
      </c>
      <c r="C41" s="331" t="s">
        <v>1111</v>
      </c>
      <c r="D41" s="409" t="s">
        <v>891</v>
      </c>
      <c r="E41" s="409" t="s">
        <v>888</v>
      </c>
      <c r="F41" s="810">
        <v>0</v>
      </c>
      <c r="G41" s="810">
        <v>0</v>
      </c>
      <c r="H41" s="810">
        <v>3168.51</v>
      </c>
      <c r="I41" s="810">
        <v>3168.51</v>
      </c>
      <c r="J41" s="810">
        <v>1143.7</v>
      </c>
      <c r="K41" s="810">
        <v>809.92</v>
      </c>
      <c r="L41" s="810">
        <v>485.95</v>
      </c>
      <c r="M41" s="810"/>
    </row>
    <row r="42" spans="1:13" s="331" customFormat="1">
      <c r="A42" s="409">
        <f t="shared" si="0"/>
        <v>31</v>
      </c>
      <c r="B42" s="643" t="s">
        <v>892</v>
      </c>
      <c r="C42" s="331" t="s">
        <v>893</v>
      </c>
      <c r="D42" s="409" t="s">
        <v>891</v>
      </c>
      <c r="E42" s="409" t="s">
        <v>888</v>
      </c>
      <c r="F42" s="810">
        <v>0</v>
      </c>
      <c r="G42" s="810">
        <v>0</v>
      </c>
      <c r="H42" s="810">
        <v>0</v>
      </c>
      <c r="I42" s="810">
        <v>0</v>
      </c>
      <c r="J42" s="810">
        <v>0</v>
      </c>
      <c r="K42" s="810">
        <v>0</v>
      </c>
      <c r="L42" s="810">
        <v>0</v>
      </c>
      <c r="M42" s="810"/>
    </row>
    <row r="43" spans="1:13" s="331" customFormat="1">
      <c r="A43" s="409">
        <f t="shared" si="0"/>
        <v>32</v>
      </c>
      <c r="B43" s="643" t="s">
        <v>894</v>
      </c>
      <c r="C43" s="331" t="s">
        <v>895</v>
      </c>
      <c r="D43" s="409" t="s">
        <v>891</v>
      </c>
      <c r="E43" s="409" t="s">
        <v>888</v>
      </c>
      <c r="F43" s="810">
        <v>307441.09000000003</v>
      </c>
      <c r="G43" s="810">
        <v>301070.09000000003</v>
      </c>
      <c r="H43" s="810">
        <v>98932.76</v>
      </c>
      <c r="I43" s="810">
        <v>707443.94000000006</v>
      </c>
      <c r="J43" s="810">
        <v>171842.82</v>
      </c>
      <c r="K43" s="810">
        <v>135183.41</v>
      </c>
      <c r="L43" s="810">
        <v>90341.67</v>
      </c>
      <c r="M43" s="810"/>
    </row>
    <row r="44" spans="1:13" s="331" customFormat="1">
      <c r="A44" s="409">
        <f t="shared" si="0"/>
        <v>33</v>
      </c>
      <c r="B44" s="643" t="s">
        <v>896</v>
      </c>
      <c r="C44" s="331" t="s">
        <v>897</v>
      </c>
      <c r="D44" s="409" t="s">
        <v>891</v>
      </c>
      <c r="E44" s="409" t="s">
        <v>888</v>
      </c>
      <c r="F44" s="810">
        <v>0</v>
      </c>
      <c r="G44" s="810">
        <v>0</v>
      </c>
      <c r="H44" s="810">
        <v>0</v>
      </c>
      <c r="I44" s="810">
        <v>0</v>
      </c>
      <c r="J44" s="810">
        <v>0</v>
      </c>
      <c r="K44" s="810">
        <v>0</v>
      </c>
      <c r="L44" s="810">
        <v>0</v>
      </c>
      <c r="M44" s="810"/>
    </row>
    <row r="45" spans="1:13" s="331" customFormat="1">
      <c r="A45" s="409">
        <f t="shared" si="0"/>
        <v>34</v>
      </c>
      <c r="B45" s="643" t="s">
        <v>898</v>
      </c>
      <c r="C45" s="331" t="s">
        <v>899</v>
      </c>
      <c r="D45" s="409" t="s">
        <v>891</v>
      </c>
      <c r="E45" s="409" t="s">
        <v>888</v>
      </c>
      <c r="F45" s="810">
        <v>31022.82</v>
      </c>
      <c r="G45" s="810">
        <v>91074.76</v>
      </c>
      <c r="H45" s="810">
        <v>1194037.82</v>
      </c>
      <c r="I45" s="810">
        <v>1316135.4000000001</v>
      </c>
      <c r="J45" s="810">
        <v>95616.3</v>
      </c>
      <c r="K45" s="810">
        <v>475196.79</v>
      </c>
      <c r="L45" s="810">
        <v>286145.40000000002</v>
      </c>
      <c r="M45" s="810"/>
    </row>
    <row r="46" spans="1:13" s="331" customFormat="1">
      <c r="A46" s="409">
        <f t="shared" si="0"/>
        <v>35</v>
      </c>
      <c r="B46" s="643" t="s">
        <v>900</v>
      </c>
      <c r="C46" s="331" t="s">
        <v>901</v>
      </c>
      <c r="D46" s="409" t="s">
        <v>891</v>
      </c>
      <c r="E46" s="409" t="s">
        <v>888</v>
      </c>
      <c r="F46" s="810">
        <v>181294.82</v>
      </c>
      <c r="G46" s="810">
        <v>479131.62</v>
      </c>
      <c r="H46" s="810">
        <v>260395.22</v>
      </c>
      <c r="I46" s="810">
        <v>920821.65999999992</v>
      </c>
      <c r="J46" s="810">
        <v>213033.16</v>
      </c>
      <c r="K46" s="810">
        <v>210135.13</v>
      </c>
      <c r="L46" s="810">
        <v>132447.99</v>
      </c>
      <c r="M46" s="810"/>
    </row>
    <row r="47" spans="1:13" s="331" customFormat="1">
      <c r="A47" s="409">
        <f t="shared" si="0"/>
        <v>36</v>
      </c>
      <c r="B47" s="643" t="s">
        <v>902</v>
      </c>
      <c r="C47" s="331" t="s">
        <v>903</v>
      </c>
      <c r="D47" s="409" t="s">
        <v>904</v>
      </c>
      <c r="E47" s="409" t="s">
        <v>888</v>
      </c>
      <c r="F47" s="810">
        <v>0</v>
      </c>
      <c r="G47" s="810">
        <v>0</v>
      </c>
      <c r="H47" s="810">
        <v>961.43</v>
      </c>
      <c r="I47" s="810">
        <v>961.43</v>
      </c>
      <c r="J47" s="810">
        <v>24.04</v>
      </c>
      <c r="K47" s="810">
        <v>187.48</v>
      </c>
      <c r="L47" s="810">
        <v>149.97999999999999</v>
      </c>
      <c r="M47" s="810"/>
    </row>
    <row r="48" spans="1:13" s="331" customFormat="1">
      <c r="A48" s="409">
        <f t="shared" si="0"/>
        <v>37</v>
      </c>
      <c r="B48" s="643" t="s">
        <v>905</v>
      </c>
      <c r="C48" s="331" t="s">
        <v>906</v>
      </c>
      <c r="D48" s="409" t="s">
        <v>907</v>
      </c>
      <c r="E48" s="409" t="s">
        <v>888</v>
      </c>
      <c r="F48" s="810">
        <v>24948873.739999998</v>
      </c>
      <c r="G48" s="810">
        <v>40577591.329999998</v>
      </c>
      <c r="H48" s="810">
        <v>63030855.770000003</v>
      </c>
      <c r="I48" s="810">
        <v>128557320.84</v>
      </c>
      <c r="J48" s="810">
        <v>8264438.2999999998</v>
      </c>
      <c r="K48" s="810">
        <v>11485630.810000001</v>
      </c>
      <c r="L48" s="810">
        <v>10357010.99</v>
      </c>
      <c r="M48" s="810"/>
    </row>
    <row r="49" spans="1:13" s="331" customFormat="1">
      <c r="A49" s="409">
        <f t="shared" si="0"/>
        <v>38</v>
      </c>
      <c r="B49" s="643" t="s">
        <v>908</v>
      </c>
      <c r="C49" s="331" t="s">
        <v>909</v>
      </c>
      <c r="D49" s="409" t="s">
        <v>887</v>
      </c>
      <c r="E49" s="409" t="s">
        <v>888</v>
      </c>
      <c r="F49" s="810">
        <v>0</v>
      </c>
      <c r="G49" s="810">
        <v>0</v>
      </c>
      <c r="H49" s="810">
        <v>0</v>
      </c>
      <c r="I49" s="810">
        <v>0</v>
      </c>
      <c r="J49" s="810">
        <v>0</v>
      </c>
      <c r="K49" s="810">
        <v>0</v>
      </c>
      <c r="L49" s="810">
        <v>0</v>
      </c>
      <c r="M49" s="810"/>
    </row>
    <row r="50" spans="1:13" s="331" customFormat="1">
      <c r="A50" s="409">
        <f t="shared" si="0"/>
        <v>39</v>
      </c>
      <c r="B50" s="644" t="s">
        <v>910</v>
      </c>
      <c r="C50" s="331" t="s">
        <v>911</v>
      </c>
      <c r="D50" s="409" t="s">
        <v>912</v>
      </c>
      <c r="E50" s="409" t="s">
        <v>888</v>
      </c>
      <c r="F50" s="810">
        <v>466184677.80000001</v>
      </c>
      <c r="G50" s="810">
        <v>624923008.67999995</v>
      </c>
      <c r="H50" s="810">
        <v>763609424.33000004</v>
      </c>
      <c r="I50" s="810">
        <v>1854717110.8099999</v>
      </c>
      <c r="J50" s="810">
        <v>103641355.76000001</v>
      </c>
      <c r="K50" s="810">
        <v>125350093.91</v>
      </c>
      <c r="L50" s="810">
        <v>115949054.06999999</v>
      </c>
      <c r="M50" s="810"/>
    </row>
    <row r="51" spans="1:13" s="331" customFormat="1">
      <c r="A51" s="409">
        <f t="shared" si="0"/>
        <v>40</v>
      </c>
      <c r="B51" s="331" t="s">
        <v>913</v>
      </c>
      <c r="C51" s="331" t="s">
        <v>914</v>
      </c>
      <c r="D51" s="409" t="s">
        <v>907</v>
      </c>
      <c r="E51" s="409" t="s">
        <v>888</v>
      </c>
      <c r="F51" s="810">
        <v>357913050.69</v>
      </c>
      <c r="G51" s="810">
        <v>534123368.67000002</v>
      </c>
      <c r="H51" s="810">
        <v>782344160.39999998</v>
      </c>
      <c r="I51" s="810">
        <v>1674380579.76</v>
      </c>
      <c r="J51" s="810">
        <v>110892046.5</v>
      </c>
      <c r="K51" s="810">
        <v>148636843.28</v>
      </c>
      <c r="L51" s="810">
        <v>134035593.47</v>
      </c>
      <c r="M51" s="810"/>
    </row>
    <row r="52" spans="1:13" s="331" customFormat="1">
      <c r="A52" s="409">
        <f t="shared" si="0"/>
        <v>41</v>
      </c>
      <c r="B52" s="331" t="s">
        <v>915</v>
      </c>
      <c r="C52" s="331" t="s">
        <v>916</v>
      </c>
      <c r="D52" s="409" t="s">
        <v>912</v>
      </c>
      <c r="E52" s="409" t="s">
        <v>888</v>
      </c>
      <c r="F52" s="810">
        <v>5926124.5899999999</v>
      </c>
      <c r="G52" s="810">
        <v>8188051.3200000003</v>
      </c>
      <c r="H52" s="810">
        <v>9993563.5299999993</v>
      </c>
      <c r="I52" s="810">
        <v>24107739.439999998</v>
      </c>
      <c r="J52" s="810">
        <v>1555009.87</v>
      </c>
      <c r="K52" s="810">
        <v>1818877.36</v>
      </c>
      <c r="L52" s="810">
        <v>1656334.16</v>
      </c>
      <c r="M52" s="810"/>
    </row>
    <row r="53" spans="1:13" s="331" customFormat="1">
      <c r="A53" s="409">
        <f t="shared" si="0"/>
        <v>42</v>
      </c>
      <c r="B53" s="331" t="s">
        <v>917</v>
      </c>
      <c r="C53" s="331" t="s">
        <v>918</v>
      </c>
      <c r="D53" s="409" t="s">
        <v>904</v>
      </c>
      <c r="E53" s="409" t="s">
        <v>888</v>
      </c>
      <c r="F53" s="810">
        <v>36505639.210000001</v>
      </c>
      <c r="G53" s="810">
        <v>33772651.740000002</v>
      </c>
      <c r="H53" s="810">
        <v>35309078.740000002</v>
      </c>
      <c r="I53" s="810">
        <v>105587369.69</v>
      </c>
      <c r="J53" s="810">
        <v>13410900.85</v>
      </c>
      <c r="K53" s="810">
        <v>14336509.09</v>
      </c>
      <c r="L53" s="810">
        <v>11743332.880000001</v>
      </c>
      <c r="M53" s="810"/>
    </row>
    <row r="54" spans="1:13" s="331" customFormat="1">
      <c r="A54" s="409">
        <f t="shared" si="0"/>
        <v>43</v>
      </c>
      <c r="B54" s="331" t="s">
        <v>919</v>
      </c>
      <c r="C54" s="331" t="s">
        <v>920</v>
      </c>
      <c r="D54" s="409" t="s">
        <v>887</v>
      </c>
      <c r="E54" s="409" t="s">
        <v>888</v>
      </c>
      <c r="F54" s="810">
        <v>14685844.24</v>
      </c>
      <c r="G54" s="810">
        <v>21079453.530000001</v>
      </c>
      <c r="H54" s="810">
        <v>23558736.23</v>
      </c>
      <c r="I54" s="810">
        <v>59324034</v>
      </c>
      <c r="J54" s="810">
        <v>9291885.4000000004</v>
      </c>
      <c r="K54" s="810">
        <v>10343657.789999999</v>
      </c>
      <c r="L54" s="810">
        <v>7576434.9100000001</v>
      </c>
      <c r="M54" s="810"/>
    </row>
    <row r="55" spans="1:13" s="331" customFormat="1">
      <c r="A55" s="409">
        <f t="shared" si="0"/>
        <v>44</v>
      </c>
      <c r="B55" s="643" t="s">
        <v>921</v>
      </c>
      <c r="C55" s="331" t="s">
        <v>922</v>
      </c>
      <c r="D55" s="409" t="s">
        <v>891</v>
      </c>
      <c r="E55" s="409" t="s">
        <v>888</v>
      </c>
      <c r="F55" s="810">
        <v>3822045</v>
      </c>
      <c r="G55" s="810">
        <v>2894542.96</v>
      </c>
      <c r="H55" s="810">
        <v>3028362.93</v>
      </c>
      <c r="I55" s="810">
        <v>9744950.8900000006</v>
      </c>
      <c r="J55" s="810">
        <v>2166859.29</v>
      </c>
      <c r="K55" s="810">
        <v>2075519.34</v>
      </c>
      <c r="L55" s="810">
        <v>1376056.82</v>
      </c>
      <c r="M55" s="810"/>
    </row>
    <row r="56" spans="1:13" s="331" customFormat="1">
      <c r="A56" s="409">
        <f t="shared" si="0"/>
        <v>45</v>
      </c>
      <c r="B56" s="331" t="s">
        <v>923</v>
      </c>
      <c r="C56" s="331" t="s">
        <v>924</v>
      </c>
      <c r="D56" s="409" t="s">
        <v>925</v>
      </c>
      <c r="E56" s="409" t="s">
        <v>926</v>
      </c>
      <c r="F56" s="810">
        <v>0</v>
      </c>
      <c r="G56" s="810">
        <v>0</v>
      </c>
      <c r="H56" s="810">
        <v>0</v>
      </c>
      <c r="I56" s="810">
        <v>0</v>
      </c>
      <c r="J56" s="810">
        <v>0</v>
      </c>
      <c r="K56" s="810">
        <v>0</v>
      </c>
      <c r="L56" s="810">
        <v>0</v>
      </c>
      <c r="M56" s="810"/>
    </row>
    <row r="57" spans="1:13" s="331" customFormat="1">
      <c r="A57" s="409">
        <f t="shared" si="0"/>
        <v>46</v>
      </c>
      <c r="B57" s="331" t="s">
        <v>927</v>
      </c>
      <c r="C57" s="331" t="s">
        <v>928</v>
      </c>
      <c r="D57" s="409" t="s">
        <v>929</v>
      </c>
      <c r="E57" s="409" t="s">
        <v>926</v>
      </c>
      <c r="F57" s="810">
        <v>285</v>
      </c>
      <c r="G57" s="810">
        <v>43921.3</v>
      </c>
      <c r="H57" s="810">
        <v>182253.02</v>
      </c>
      <c r="I57" s="810">
        <v>226459.32</v>
      </c>
      <c r="J57" s="810">
        <v>3274.92</v>
      </c>
      <c r="K57" s="810">
        <v>5806.42</v>
      </c>
      <c r="L57" s="810">
        <v>5806.86</v>
      </c>
      <c r="M57" s="810"/>
    </row>
    <row r="58" spans="1:13" s="331" customFormat="1">
      <c r="A58" s="409">
        <f t="shared" si="0"/>
        <v>47</v>
      </c>
      <c r="B58" s="331" t="s">
        <v>930</v>
      </c>
      <c r="C58" s="331" t="s">
        <v>931</v>
      </c>
      <c r="D58" s="409" t="s">
        <v>932</v>
      </c>
      <c r="E58" s="409" t="s">
        <v>888</v>
      </c>
      <c r="F58" s="810">
        <v>10517023.01</v>
      </c>
      <c r="G58" s="810">
        <v>4260369.2300000004</v>
      </c>
      <c r="H58" s="810">
        <v>8078650.54</v>
      </c>
      <c r="I58" s="810">
        <v>22856042.780000001</v>
      </c>
      <c r="J58" s="810">
        <v>486825.35</v>
      </c>
      <c r="K58" s="810">
        <v>505221.35</v>
      </c>
      <c r="L58" s="810">
        <v>504254.75</v>
      </c>
      <c r="M58" s="810"/>
    </row>
    <row r="59" spans="1:13" s="331" customFormat="1">
      <c r="A59" s="409">
        <f t="shared" si="0"/>
        <v>48</v>
      </c>
      <c r="B59" s="331" t="s">
        <v>933</v>
      </c>
      <c r="C59" s="331" t="s">
        <v>934</v>
      </c>
      <c r="D59" s="409" t="s">
        <v>935</v>
      </c>
      <c r="E59" s="409" t="s">
        <v>888</v>
      </c>
      <c r="F59" s="810">
        <v>8379176.2699999996</v>
      </c>
      <c r="G59" s="810">
        <v>5559581.1500000004</v>
      </c>
      <c r="H59" s="810">
        <v>8596758.4000000004</v>
      </c>
      <c r="I59" s="810">
        <v>22535515.82</v>
      </c>
      <c r="J59" s="810">
        <v>816422.41</v>
      </c>
      <c r="K59" s="810">
        <v>828848.45</v>
      </c>
      <c r="L59" s="810">
        <v>762911.68</v>
      </c>
      <c r="M59" s="810"/>
    </row>
    <row r="60" spans="1:13" s="331" customFormat="1">
      <c r="A60" s="409">
        <f t="shared" si="0"/>
        <v>49</v>
      </c>
      <c r="B60" s="331" t="s">
        <v>936</v>
      </c>
      <c r="C60" s="331" t="s">
        <v>937</v>
      </c>
      <c r="D60" s="409" t="s">
        <v>938</v>
      </c>
      <c r="E60" s="409"/>
      <c r="F60" s="810">
        <v>20140045.640000001</v>
      </c>
      <c r="G60" s="810">
        <v>19328306.649999999</v>
      </c>
      <c r="H60" s="810">
        <v>2037487.55</v>
      </c>
      <c r="I60" s="810">
        <v>41505839.839999996</v>
      </c>
      <c r="J60" s="810">
        <v>0</v>
      </c>
      <c r="K60" s="810">
        <v>0</v>
      </c>
      <c r="L60" s="810">
        <v>0</v>
      </c>
      <c r="M60" s="810"/>
    </row>
    <row r="61" spans="1:13" s="331" customFormat="1">
      <c r="A61" s="409">
        <f t="shared" si="0"/>
        <v>50</v>
      </c>
      <c r="B61" s="331" t="s">
        <v>939</v>
      </c>
      <c r="C61" s="331" t="s">
        <v>940</v>
      </c>
      <c r="D61" s="409" t="s">
        <v>929</v>
      </c>
      <c r="E61" s="409" t="s">
        <v>926</v>
      </c>
      <c r="F61" s="810">
        <v>26701957.699999999</v>
      </c>
      <c r="G61" s="810">
        <v>35870737.130000003</v>
      </c>
      <c r="H61" s="810">
        <v>49287234.619999997</v>
      </c>
      <c r="I61" s="810">
        <v>111859929.44999999</v>
      </c>
      <c r="J61" s="810">
        <v>1904876.87</v>
      </c>
      <c r="K61" s="810">
        <v>2868016.21</v>
      </c>
      <c r="L61" s="810">
        <v>2868035.15</v>
      </c>
      <c r="M61" s="810"/>
    </row>
    <row r="62" spans="1:13" s="331" customFormat="1">
      <c r="A62" s="409">
        <f t="shared" si="0"/>
        <v>51</v>
      </c>
      <c r="B62" s="645" t="s">
        <v>941</v>
      </c>
      <c r="D62" s="409"/>
      <c r="E62" s="409"/>
      <c r="F62" s="811">
        <f t="shared" ref="F62:L62" si="3">SUM(F39:F61)</f>
        <v>989121258.08000016</v>
      </c>
      <c r="G62" s="811">
        <f t="shared" si="3"/>
        <v>1337749917.6000001</v>
      </c>
      <c r="H62" s="811">
        <f t="shared" ref="H62" si="4">SUM(H39:H61)</f>
        <v>1762209280.5799999</v>
      </c>
      <c r="I62" s="811">
        <f t="shared" si="3"/>
        <v>4089080456.2600002</v>
      </c>
      <c r="J62" s="811">
        <f t="shared" si="3"/>
        <v>258722984.81</v>
      </c>
      <c r="K62" s="811">
        <f t="shared" si="3"/>
        <v>325919029.06999999</v>
      </c>
      <c r="L62" s="811">
        <f t="shared" si="3"/>
        <v>291904715.69</v>
      </c>
      <c r="M62" s="811">
        <v>2722887.64</v>
      </c>
    </row>
    <row r="63" spans="1:13" s="331" customFormat="1">
      <c r="A63" s="409">
        <f t="shared" si="0"/>
        <v>52</v>
      </c>
      <c r="D63" s="409"/>
      <c r="E63" s="409"/>
    </row>
    <row r="64" spans="1:13" s="331" customFormat="1">
      <c r="A64" s="409">
        <f t="shared" si="0"/>
        <v>53</v>
      </c>
      <c r="B64" s="699" t="s">
        <v>582</v>
      </c>
      <c r="C64" s="697"/>
      <c r="D64" s="697"/>
      <c r="E64" s="809">
        <f>+'[5]II-F Alloc_Factor'!$F$39</f>
        <v>0.92603381578170541</v>
      </c>
      <c r="F64" s="698"/>
      <c r="G64" s="698"/>
      <c r="H64" s="698"/>
      <c r="I64" s="698"/>
      <c r="J64" s="698"/>
      <c r="K64" s="698"/>
      <c r="L64" s="698"/>
      <c r="M64" s="698"/>
    </row>
    <row r="65" spans="1:13" s="331" customFormat="1">
      <c r="A65" s="409">
        <f t="shared" si="0"/>
        <v>54</v>
      </c>
      <c r="B65" s="643" t="s">
        <v>885</v>
      </c>
      <c r="C65" s="331" t="s">
        <v>886</v>
      </c>
      <c r="D65" s="409" t="s">
        <v>887</v>
      </c>
      <c r="E65" s="409" t="s">
        <v>888</v>
      </c>
      <c r="F65" s="810">
        <v>0</v>
      </c>
      <c r="G65" s="810">
        <v>0</v>
      </c>
      <c r="H65" s="810">
        <v>0</v>
      </c>
      <c r="I65" s="810">
        <v>0</v>
      </c>
      <c r="J65" s="810">
        <v>0</v>
      </c>
      <c r="K65" s="810">
        <v>0</v>
      </c>
      <c r="L65" s="810">
        <v>0</v>
      </c>
      <c r="M65" s="810"/>
    </row>
    <row r="66" spans="1:13" s="331" customFormat="1">
      <c r="A66" s="409">
        <f t="shared" si="0"/>
        <v>55</v>
      </c>
      <c r="B66" s="643" t="s">
        <v>889</v>
      </c>
      <c r="C66" s="331" t="s">
        <v>890</v>
      </c>
      <c r="D66" s="409" t="s">
        <v>891</v>
      </c>
      <c r="E66" s="409" t="s">
        <v>888</v>
      </c>
      <c r="F66" s="810">
        <v>0</v>
      </c>
      <c r="G66" s="810">
        <v>0</v>
      </c>
      <c r="H66" s="810">
        <v>0</v>
      </c>
      <c r="I66" s="810">
        <v>0</v>
      </c>
      <c r="J66" s="810">
        <v>0</v>
      </c>
      <c r="K66" s="810">
        <v>0</v>
      </c>
      <c r="L66" s="810">
        <v>0</v>
      </c>
      <c r="M66" s="810"/>
    </row>
    <row r="67" spans="1:13" s="331" customFormat="1">
      <c r="A67" s="409">
        <f t="shared" si="0"/>
        <v>56</v>
      </c>
      <c r="B67" s="643" t="s">
        <v>1110</v>
      </c>
      <c r="C67" s="331" t="s">
        <v>1111</v>
      </c>
      <c r="D67" s="409" t="s">
        <v>891</v>
      </c>
      <c r="E67" s="409" t="s">
        <v>888</v>
      </c>
      <c r="F67" s="810">
        <v>0</v>
      </c>
      <c r="G67" s="810">
        <v>0</v>
      </c>
      <c r="H67" s="810">
        <v>0</v>
      </c>
      <c r="I67" s="810">
        <v>0</v>
      </c>
      <c r="J67" s="810">
        <v>0</v>
      </c>
      <c r="K67" s="810">
        <v>0</v>
      </c>
      <c r="L67" s="810">
        <v>0</v>
      </c>
      <c r="M67" s="810"/>
    </row>
    <row r="68" spans="1:13" s="331" customFormat="1">
      <c r="A68" s="409">
        <f t="shared" si="0"/>
        <v>57</v>
      </c>
      <c r="B68" s="643" t="s">
        <v>892</v>
      </c>
      <c r="C68" s="331" t="s">
        <v>893</v>
      </c>
      <c r="D68" s="409" t="s">
        <v>891</v>
      </c>
      <c r="E68" s="409" t="s">
        <v>888</v>
      </c>
      <c r="F68" s="810">
        <v>0</v>
      </c>
      <c r="G68" s="810">
        <v>0</v>
      </c>
      <c r="H68" s="810">
        <v>0</v>
      </c>
      <c r="I68" s="810">
        <v>0</v>
      </c>
      <c r="J68" s="810">
        <v>0</v>
      </c>
      <c r="K68" s="810">
        <v>0</v>
      </c>
      <c r="L68" s="810">
        <v>0</v>
      </c>
      <c r="M68" s="810"/>
    </row>
    <row r="69" spans="1:13" s="331" customFormat="1">
      <c r="A69" s="409">
        <f t="shared" si="0"/>
        <v>58</v>
      </c>
      <c r="B69" s="643" t="s">
        <v>894</v>
      </c>
      <c r="C69" s="331" t="s">
        <v>895</v>
      </c>
      <c r="D69" s="409" t="s">
        <v>891</v>
      </c>
      <c r="E69" s="409" t="s">
        <v>888</v>
      </c>
      <c r="F69" s="810">
        <v>0</v>
      </c>
      <c r="G69" s="810">
        <v>0</v>
      </c>
      <c r="H69" s="810">
        <v>0</v>
      </c>
      <c r="I69" s="810">
        <v>0</v>
      </c>
      <c r="J69" s="810">
        <v>0</v>
      </c>
      <c r="K69" s="810">
        <v>0</v>
      </c>
      <c r="L69" s="810">
        <v>0</v>
      </c>
      <c r="M69" s="810"/>
    </row>
    <row r="70" spans="1:13" s="331" customFormat="1">
      <c r="A70" s="409">
        <f t="shared" si="0"/>
        <v>59</v>
      </c>
      <c r="B70" s="643" t="s">
        <v>896</v>
      </c>
      <c r="C70" s="331" t="s">
        <v>897</v>
      </c>
      <c r="D70" s="409" t="s">
        <v>891</v>
      </c>
      <c r="E70" s="409" t="s">
        <v>888</v>
      </c>
      <c r="F70" s="810">
        <v>0</v>
      </c>
      <c r="G70" s="810">
        <v>0</v>
      </c>
      <c r="H70" s="810">
        <v>0</v>
      </c>
      <c r="I70" s="810">
        <v>0</v>
      </c>
      <c r="J70" s="810">
        <v>0</v>
      </c>
      <c r="K70" s="810">
        <v>0</v>
      </c>
      <c r="L70" s="810">
        <v>0</v>
      </c>
      <c r="M70" s="810"/>
    </row>
    <row r="71" spans="1:13" s="331" customFormat="1">
      <c r="A71" s="409">
        <f t="shared" si="0"/>
        <v>60</v>
      </c>
      <c r="B71" s="643" t="s">
        <v>898</v>
      </c>
      <c r="C71" s="331" t="s">
        <v>899</v>
      </c>
      <c r="D71" s="409" t="s">
        <v>891</v>
      </c>
      <c r="E71" s="409" t="s">
        <v>888</v>
      </c>
      <c r="F71" s="810">
        <v>0</v>
      </c>
      <c r="G71" s="810">
        <v>0</v>
      </c>
      <c r="H71" s="810">
        <v>0</v>
      </c>
      <c r="I71" s="810">
        <v>0</v>
      </c>
      <c r="J71" s="810">
        <v>0</v>
      </c>
      <c r="K71" s="810">
        <v>0</v>
      </c>
      <c r="L71" s="810">
        <v>0</v>
      </c>
      <c r="M71" s="810"/>
    </row>
    <row r="72" spans="1:13" s="331" customFormat="1">
      <c r="A72" s="409">
        <f t="shared" si="0"/>
        <v>61</v>
      </c>
      <c r="B72" s="643" t="s">
        <v>900</v>
      </c>
      <c r="C72" s="331" t="s">
        <v>901</v>
      </c>
      <c r="D72" s="409" t="s">
        <v>891</v>
      </c>
      <c r="E72" s="409" t="s">
        <v>888</v>
      </c>
      <c r="F72" s="810">
        <v>0</v>
      </c>
      <c r="G72" s="810">
        <v>0</v>
      </c>
      <c r="H72" s="810">
        <v>0</v>
      </c>
      <c r="I72" s="810">
        <v>0</v>
      </c>
      <c r="J72" s="810">
        <v>0</v>
      </c>
      <c r="K72" s="810">
        <v>0</v>
      </c>
      <c r="L72" s="810">
        <v>0</v>
      </c>
      <c r="M72" s="810"/>
    </row>
    <row r="73" spans="1:13" s="331" customFormat="1">
      <c r="A73" s="409">
        <f t="shared" si="0"/>
        <v>62</v>
      </c>
      <c r="B73" s="643" t="s">
        <v>902</v>
      </c>
      <c r="C73" s="331" t="s">
        <v>903</v>
      </c>
      <c r="D73" s="409" t="s">
        <v>904</v>
      </c>
      <c r="E73" s="409" t="s">
        <v>888</v>
      </c>
      <c r="F73" s="810">
        <v>0</v>
      </c>
      <c r="G73" s="810">
        <v>0</v>
      </c>
      <c r="H73" s="810">
        <v>0</v>
      </c>
      <c r="I73" s="810">
        <v>0</v>
      </c>
      <c r="J73" s="810">
        <v>0</v>
      </c>
      <c r="K73" s="810">
        <v>0</v>
      </c>
      <c r="L73" s="810">
        <v>0</v>
      </c>
      <c r="M73" s="810"/>
    </row>
    <row r="74" spans="1:13" s="331" customFormat="1">
      <c r="A74" s="409">
        <f t="shared" si="0"/>
        <v>63</v>
      </c>
      <c r="B74" s="643" t="s">
        <v>905</v>
      </c>
      <c r="C74" s="331" t="s">
        <v>906</v>
      </c>
      <c r="D74" s="409" t="s">
        <v>907</v>
      </c>
      <c r="E74" s="409" t="s">
        <v>888</v>
      </c>
      <c r="F74" s="810">
        <v>0</v>
      </c>
      <c r="G74" s="810">
        <v>0</v>
      </c>
      <c r="H74" s="810">
        <v>0</v>
      </c>
      <c r="I74" s="810">
        <v>0</v>
      </c>
      <c r="J74" s="810">
        <v>0</v>
      </c>
      <c r="K74" s="810">
        <v>0</v>
      </c>
      <c r="L74" s="810">
        <v>0</v>
      </c>
      <c r="M74" s="810"/>
    </row>
    <row r="75" spans="1:13" s="331" customFormat="1">
      <c r="A75" s="409">
        <f t="shared" si="0"/>
        <v>64</v>
      </c>
      <c r="B75" s="643" t="s">
        <v>908</v>
      </c>
      <c r="C75" s="331" t="s">
        <v>909</v>
      </c>
      <c r="D75" s="409" t="s">
        <v>887</v>
      </c>
      <c r="E75" s="409" t="s">
        <v>888</v>
      </c>
      <c r="F75" s="810">
        <v>0</v>
      </c>
      <c r="G75" s="810">
        <v>0</v>
      </c>
      <c r="H75" s="810">
        <v>0</v>
      </c>
      <c r="I75" s="810">
        <v>0</v>
      </c>
      <c r="J75" s="810">
        <v>0</v>
      </c>
      <c r="K75" s="810">
        <v>0</v>
      </c>
      <c r="L75" s="810">
        <v>0</v>
      </c>
      <c r="M75" s="810"/>
    </row>
    <row r="76" spans="1:13" s="331" customFormat="1">
      <c r="A76" s="409">
        <f t="shared" si="0"/>
        <v>65</v>
      </c>
      <c r="B76" s="644" t="s">
        <v>910</v>
      </c>
      <c r="C76" s="331" t="s">
        <v>911</v>
      </c>
      <c r="D76" s="409" t="s">
        <v>912</v>
      </c>
      <c r="E76" s="409" t="s">
        <v>888</v>
      </c>
      <c r="F76" s="810">
        <v>36595.440000000002</v>
      </c>
      <c r="G76" s="810">
        <v>5183.78</v>
      </c>
      <c r="H76" s="810">
        <v>55897.33</v>
      </c>
      <c r="I76" s="810">
        <v>97676.55</v>
      </c>
      <c r="J76" s="810">
        <v>4940.33</v>
      </c>
      <c r="K76" s="810">
        <v>7178.21</v>
      </c>
      <c r="L76" s="810">
        <v>6570.51</v>
      </c>
      <c r="M76" s="810"/>
    </row>
    <row r="77" spans="1:13" s="331" customFormat="1">
      <c r="A77" s="409">
        <f t="shared" si="0"/>
        <v>66</v>
      </c>
      <c r="B77" s="331" t="s">
        <v>913</v>
      </c>
      <c r="C77" s="331" t="s">
        <v>914</v>
      </c>
      <c r="D77" s="409" t="s">
        <v>907</v>
      </c>
      <c r="E77" s="409" t="s">
        <v>888</v>
      </c>
      <c r="F77" s="810">
        <v>464297.42</v>
      </c>
      <c r="G77" s="810">
        <v>637791.1</v>
      </c>
      <c r="H77" s="810">
        <v>429778.51</v>
      </c>
      <c r="I77" s="810">
        <v>1531867.03</v>
      </c>
      <c r="J77" s="810">
        <v>110293.63</v>
      </c>
      <c r="K77" s="810">
        <v>134212.17000000001</v>
      </c>
      <c r="L77" s="810">
        <v>120794.05</v>
      </c>
      <c r="M77" s="810"/>
    </row>
    <row r="78" spans="1:13" s="331" customFormat="1">
      <c r="A78" s="409">
        <f t="shared" ref="A78:A141" si="5">+A77+1</f>
        <v>67</v>
      </c>
      <c r="B78" s="331" t="s">
        <v>915</v>
      </c>
      <c r="C78" s="331" t="s">
        <v>916</v>
      </c>
      <c r="D78" s="409" t="s">
        <v>912</v>
      </c>
      <c r="E78" s="409" t="s">
        <v>888</v>
      </c>
      <c r="F78" s="810">
        <v>0</v>
      </c>
      <c r="G78" s="810">
        <v>0</v>
      </c>
      <c r="H78" s="810">
        <v>0</v>
      </c>
      <c r="I78" s="810">
        <v>0</v>
      </c>
      <c r="J78" s="810">
        <v>0</v>
      </c>
      <c r="K78" s="810">
        <v>0</v>
      </c>
      <c r="L78" s="810">
        <v>0</v>
      </c>
      <c r="M78" s="810"/>
    </row>
    <row r="79" spans="1:13" s="331" customFormat="1">
      <c r="A79" s="409">
        <f t="shared" si="5"/>
        <v>68</v>
      </c>
      <c r="B79" s="331" t="s">
        <v>917</v>
      </c>
      <c r="C79" s="331" t="s">
        <v>918</v>
      </c>
      <c r="D79" s="409" t="s">
        <v>904</v>
      </c>
      <c r="E79" s="409" t="s">
        <v>888</v>
      </c>
      <c r="F79" s="810">
        <v>0</v>
      </c>
      <c r="G79" s="810">
        <v>0</v>
      </c>
      <c r="H79" s="810">
        <v>0</v>
      </c>
      <c r="I79" s="810">
        <v>0</v>
      </c>
      <c r="J79" s="810">
        <v>0</v>
      </c>
      <c r="K79" s="810">
        <v>0</v>
      </c>
      <c r="L79" s="810">
        <v>0</v>
      </c>
      <c r="M79" s="810"/>
    </row>
    <row r="80" spans="1:13" s="331" customFormat="1">
      <c r="A80" s="409">
        <f t="shared" si="5"/>
        <v>69</v>
      </c>
      <c r="B80" s="331" t="s">
        <v>919</v>
      </c>
      <c r="C80" s="331" t="s">
        <v>920</v>
      </c>
      <c r="D80" s="409" t="s">
        <v>887</v>
      </c>
      <c r="E80" s="409" t="s">
        <v>888</v>
      </c>
      <c r="F80" s="810">
        <v>0</v>
      </c>
      <c r="G80" s="810">
        <v>0</v>
      </c>
      <c r="H80" s="810">
        <v>0</v>
      </c>
      <c r="I80" s="810">
        <v>0</v>
      </c>
      <c r="J80" s="810">
        <v>0</v>
      </c>
      <c r="K80" s="810">
        <v>0</v>
      </c>
      <c r="L80" s="810">
        <v>0</v>
      </c>
      <c r="M80" s="810"/>
    </row>
    <row r="81" spans="1:13" s="331" customFormat="1">
      <c r="A81" s="409">
        <f t="shared" si="5"/>
        <v>70</v>
      </c>
      <c r="B81" s="643" t="s">
        <v>921</v>
      </c>
      <c r="C81" s="331" t="s">
        <v>922</v>
      </c>
      <c r="D81" s="409" t="s">
        <v>891</v>
      </c>
      <c r="E81" s="409" t="s">
        <v>888</v>
      </c>
      <c r="F81" s="810">
        <v>0</v>
      </c>
      <c r="G81" s="810">
        <v>0</v>
      </c>
      <c r="H81" s="810">
        <v>0</v>
      </c>
      <c r="I81" s="810">
        <v>0</v>
      </c>
      <c r="J81" s="810">
        <v>0</v>
      </c>
      <c r="K81" s="810">
        <v>0</v>
      </c>
      <c r="L81" s="810">
        <v>0</v>
      </c>
      <c r="M81" s="810"/>
    </row>
    <row r="82" spans="1:13" s="331" customFormat="1">
      <c r="A82" s="409">
        <f t="shared" si="5"/>
        <v>71</v>
      </c>
      <c r="B82" s="331" t="s">
        <v>923</v>
      </c>
      <c r="C82" s="331" t="s">
        <v>924</v>
      </c>
      <c r="D82" s="409" t="s">
        <v>925</v>
      </c>
      <c r="E82" s="409" t="s">
        <v>926</v>
      </c>
      <c r="F82" s="810">
        <v>0</v>
      </c>
      <c r="G82" s="810">
        <v>0</v>
      </c>
      <c r="H82" s="810">
        <v>0</v>
      </c>
      <c r="I82" s="810">
        <v>0</v>
      </c>
      <c r="J82" s="810">
        <v>0</v>
      </c>
      <c r="K82" s="810">
        <v>0</v>
      </c>
      <c r="L82" s="810">
        <v>0</v>
      </c>
      <c r="M82" s="810"/>
    </row>
    <row r="83" spans="1:13" s="331" customFormat="1">
      <c r="A83" s="409">
        <f t="shared" si="5"/>
        <v>72</v>
      </c>
      <c r="B83" s="331" t="s">
        <v>927</v>
      </c>
      <c r="C83" s="331" t="s">
        <v>928</v>
      </c>
      <c r="D83" s="409" t="s">
        <v>929</v>
      </c>
      <c r="E83" s="409" t="s">
        <v>926</v>
      </c>
      <c r="F83" s="810">
        <v>0</v>
      </c>
      <c r="G83" s="810">
        <v>0</v>
      </c>
      <c r="H83" s="810">
        <v>0</v>
      </c>
      <c r="I83" s="810">
        <v>0</v>
      </c>
      <c r="J83" s="810">
        <v>0</v>
      </c>
      <c r="K83" s="810">
        <v>0</v>
      </c>
      <c r="L83" s="810">
        <v>0</v>
      </c>
      <c r="M83" s="810"/>
    </row>
    <row r="84" spans="1:13" s="331" customFormat="1">
      <c r="A84" s="409">
        <f t="shared" si="5"/>
        <v>73</v>
      </c>
      <c r="B84" s="331" t="s">
        <v>930</v>
      </c>
      <c r="C84" s="331" t="s">
        <v>931</v>
      </c>
      <c r="D84" s="409" t="s">
        <v>932</v>
      </c>
      <c r="E84" s="409" t="s">
        <v>888</v>
      </c>
      <c r="F84" s="810">
        <v>0</v>
      </c>
      <c r="G84" s="810">
        <v>0</v>
      </c>
      <c r="H84" s="810">
        <v>0</v>
      </c>
      <c r="I84" s="810">
        <v>0</v>
      </c>
      <c r="J84" s="810">
        <v>0</v>
      </c>
      <c r="K84" s="810">
        <v>0</v>
      </c>
      <c r="L84" s="810">
        <v>0</v>
      </c>
      <c r="M84" s="810"/>
    </row>
    <row r="85" spans="1:13" s="331" customFormat="1">
      <c r="A85" s="409">
        <f t="shared" si="5"/>
        <v>74</v>
      </c>
      <c r="B85" s="331" t="s">
        <v>933</v>
      </c>
      <c r="C85" s="331" t="s">
        <v>934</v>
      </c>
      <c r="D85" s="409" t="s">
        <v>935</v>
      </c>
      <c r="E85" s="409" t="s">
        <v>888</v>
      </c>
      <c r="F85" s="810">
        <v>0</v>
      </c>
      <c r="G85" s="810">
        <v>0</v>
      </c>
      <c r="H85" s="810">
        <v>0</v>
      </c>
      <c r="I85" s="810">
        <v>0</v>
      </c>
      <c r="J85" s="810">
        <v>0</v>
      </c>
      <c r="K85" s="810">
        <v>0</v>
      </c>
      <c r="L85" s="810">
        <v>0</v>
      </c>
      <c r="M85" s="810"/>
    </row>
    <row r="86" spans="1:13" s="331" customFormat="1">
      <c r="A86" s="409">
        <f t="shared" si="5"/>
        <v>75</v>
      </c>
      <c r="B86" s="331" t="s">
        <v>936</v>
      </c>
      <c r="C86" s="331" t="s">
        <v>937</v>
      </c>
      <c r="D86" s="409" t="s">
        <v>938</v>
      </c>
      <c r="E86" s="409"/>
      <c r="F86" s="810">
        <v>16073.72</v>
      </c>
      <c r="G86" s="810">
        <v>7938.7</v>
      </c>
      <c r="H86" s="810">
        <v>8165.42</v>
      </c>
      <c r="I86" s="810">
        <v>32177.839999999997</v>
      </c>
      <c r="J86" s="810">
        <v>0</v>
      </c>
      <c r="K86" s="810">
        <v>0</v>
      </c>
      <c r="L86" s="810">
        <v>0</v>
      </c>
      <c r="M86" s="810"/>
    </row>
    <row r="87" spans="1:13" s="331" customFormat="1">
      <c r="A87" s="409">
        <f t="shared" si="5"/>
        <v>76</v>
      </c>
      <c r="B87" s="331" t="s">
        <v>939</v>
      </c>
      <c r="C87" s="331" t="s">
        <v>940</v>
      </c>
      <c r="D87" s="409" t="s">
        <v>929</v>
      </c>
      <c r="E87" s="409" t="s">
        <v>926</v>
      </c>
      <c r="F87" s="810">
        <v>108124.26</v>
      </c>
      <c r="G87" s="810">
        <v>27985.95</v>
      </c>
      <c r="H87" s="810">
        <v>114616.87</v>
      </c>
      <c r="I87" s="810">
        <v>250727.08</v>
      </c>
      <c r="J87" s="810">
        <v>3970.21</v>
      </c>
      <c r="K87" s="810">
        <v>6252.15</v>
      </c>
      <c r="L87" s="810">
        <v>6252.2</v>
      </c>
      <c r="M87" s="810"/>
    </row>
    <row r="88" spans="1:13" s="331" customFormat="1">
      <c r="A88" s="409">
        <f t="shared" si="5"/>
        <v>77</v>
      </c>
      <c r="B88" s="645" t="s">
        <v>942</v>
      </c>
      <c r="D88" s="409"/>
      <c r="E88" s="409"/>
      <c r="F88" s="811">
        <v>625090.84</v>
      </c>
      <c r="G88" s="811">
        <v>678899.52999999991</v>
      </c>
      <c r="H88" s="811">
        <v>608458.13</v>
      </c>
      <c r="I88" s="811">
        <v>1912448.5000000002</v>
      </c>
      <c r="J88" s="811">
        <v>119204.17000000001</v>
      </c>
      <c r="K88" s="811">
        <v>147642.53</v>
      </c>
      <c r="L88" s="811">
        <v>133616.76</v>
      </c>
      <c r="M88" s="811">
        <v>-22231007.66</v>
      </c>
    </row>
    <row r="89" spans="1:13" s="331" customFormat="1">
      <c r="A89" s="409">
        <f t="shared" si="5"/>
        <v>78</v>
      </c>
      <c r="D89" s="409"/>
      <c r="E89" s="409"/>
    </row>
    <row r="90" spans="1:13" s="331" customFormat="1">
      <c r="A90" s="409">
        <f t="shared" si="5"/>
        <v>79</v>
      </c>
      <c r="B90" s="699" t="s">
        <v>688</v>
      </c>
      <c r="C90" s="697"/>
      <c r="D90" s="697"/>
      <c r="E90" s="809">
        <f>+'[5]II-F Alloc_Factor'!$G$38</f>
        <v>3.9054368052814981E-4</v>
      </c>
      <c r="F90" s="698"/>
      <c r="G90" s="698"/>
      <c r="H90" s="698"/>
      <c r="I90" s="698"/>
      <c r="J90" s="698"/>
      <c r="K90" s="698"/>
      <c r="L90" s="698"/>
      <c r="M90" s="698"/>
    </row>
    <row r="91" spans="1:13" s="331" customFormat="1">
      <c r="A91" s="409">
        <f t="shared" si="5"/>
        <v>80</v>
      </c>
      <c r="B91" s="643" t="s">
        <v>885</v>
      </c>
      <c r="C91" s="331" t="s">
        <v>886</v>
      </c>
      <c r="D91" s="409" t="s">
        <v>887</v>
      </c>
      <c r="E91" s="409" t="s">
        <v>888</v>
      </c>
      <c r="F91" s="810">
        <v>1370.22</v>
      </c>
      <c r="G91" s="810">
        <v>361.65</v>
      </c>
      <c r="H91" s="810">
        <v>1164.96</v>
      </c>
      <c r="I91" s="810">
        <v>2896.83</v>
      </c>
      <c r="J91" s="810">
        <v>418.89</v>
      </c>
      <c r="K91" s="810">
        <v>553.01</v>
      </c>
      <c r="L91" s="810">
        <v>398.45</v>
      </c>
      <c r="M91" s="810"/>
    </row>
    <row r="92" spans="1:13" s="331" customFormat="1">
      <c r="A92" s="409">
        <f t="shared" si="5"/>
        <v>81</v>
      </c>
      <c r="B92" s="643" t="s">
        <v>889</v>
      </c>
      <c r="C92" s="331" t="s">
        <v>890</v>
      </c>
      <c r="D92" s="409" t="s">
        <v>891</v>
      </c>
      <c r="E92" s="409" t="s">
        <v>888</v>
      </c>
      <c r="F92" s="810">
        <v>6912.64</v>
      </c>
      <c r="G92" s="810">
        <v>3663.15</v>
      </c>
      <c r="H92" s="810">
        <v>6293.56</v>
      </c>
      <c r="I92" s="810">
        <v>16869.350000000002</v>
      </c>
      <c r="J92" s="810">
        <v>3316.69</v>
      </c>
      <c r="K92" s="810">
        <v>3848.37</v>
      </c>
      <c r="L92" s="810">
        <v>2534.9299999999998</v>
      </c>
      <c r="M92" s="810"/>
    </row>
    <row r="93" spans="1:13" s="331" customFormat="1">
      <c r="A93" s="409">
        <f t="shared" si="5"/>
        <v>82</v>
      </c>
      <c r="B93" s="643" t="s">
        <v>1110</v>
      </c>
      <c r="C93" s="331" t="s">
        <v>1111</v>
      </c>
      <c r="D93" s="409" t="s">
        <v>891</v>
      </c>
      <c r="E93" s="409" t="s">
        <v>888</v>
      </c>
      <c r="F93" s="810">
        <v>0</v>
      </c>
      <c r="G93" s="810">
        <v>0</v>
      </c>
      <c r="H93" s="810">
        <v>2.04</v>
      </c>
      <c r="I93" s="810">
        <v>2.04</v>
      </c>
      <c r="J93" s="810">
        <v>0.74</v>
      </c>
      <c r="K93" s="810">
        <v>0.52</v>
      </c>
      <c r="L93" s="810">
        <v>0.31</v>
      </c>
      <c r="M93" s="810"/>
    </row>
    <row r="94" spans="1:13" s="331" customFormat="1">
      <c r="A94" s="409">
        <f t="shared" si="5"/>
        <v>83</v>
      </c>
      <c r="B94" s="643" t="s">
        <v>892</v>
      </c>
      <c r="C94" s="331" t="s">
        <v>893</v>
      </c>
      <c r="D94" s="409" t="s">
        <v>891</v>
      </c>
      <c r="E94" s="409" t="s">
        <v>888</v>
      </c>
      <c r="F94" s="810">
        <v>0</v>
      </c>
      <c r="G94" s="810">
        <v>0</v>
      </c>
      <c r="H94" s="810">
        <v>0</v>
      </c>
      <c r="I94" s="810">
        <v>0</v>
      </c>
      <c r="J94" s="810">
        <v>0</v>
      </c>
      <c r="K94" s="810">
        <v>0</v>
      </c>
      <c r="L94" s="810">
        <v>0</v>
      </c>
      <c r="M94" s="810"/>
    </row>
    <row r="95" spans="1:13" s="331" customFormat="1">
      <c r="A95" s="409">
        <f t="shared" si="5"/>
        <v>84</v>
      </c>
      <c r="B95" s="643" t="s">
        <v>894</v>
      </c>
      <c r="C95" s="331" t="s">
        <v>895</v>
      </c>
      <c r="D95" s="409" t="s">
        <v>891</v>
      </c>
      <c r="E95" s="409" t="s">
        <v>888</v>
      </c>
      <c r="F95" s="810">
        <v>197.76</v>
      </c>
      <c r="G95" s="810">
        <v>193.66</v>
      </c>
      <c r="H95" s="810">
        <v>63.64</v>
      </c>
      <c r="I95" s="810">
        <v>455.05999999999995</v>
      </c>
      <c r="J95" s="810">
        <v>110.54</v>
      </c>
      <c r="K95" s="810">
        <v>86.96</v>
      </c>
      <c r="L95" s="810">
        <v>58.11</v>
      </c>
      <c r="M95" s="810"/>
    </row>
    <row r="96" spans="1:13" s="331" customFormat="1">
      <c r="A96" s="409">
        <f t="shared" si="5"/>
        <v>85</v>
      </c>
      <c r="B96" s="643" t="s">
        <v>896</v>
      </c>
      <c r="C96" s="331" t="s">
        <v>897</v>
      </c>
      <c r="D96" s="409" t="s">
        <v>891</v>
      </c>
      <c r="E96" s="409" t="s">
        <v>888</v>
      </c>
      <c r="F96" s="810">
        <v>0</v>
      </c>
      <c r="G96" s="810">
        <v>0</v>
      </c>
      <c r="H96" s="810">
        <v>0</v>
      </c>
      <c r="I96" s="810">
        <v>0</v>
      </c>
      <c r="J96" s="810">
        <v>0</v>
      </c>
      <c r="K96" s="810">
        <v>0</v>
      </c>
      <c r="L96" s="810">
        <v>0</v>
      </c>
      <c r="M96" s="810"/>
    </row>
    <row r="97" spans="1:13" s="331" customFormat="1">
      <c r="A97" s="409">
        <f t="shared" si="5"/>
        <v>86</v>
      </c>
      <c r="B97" s="643" t="s">
        <v>898</v>
      </c>
      <c r="C97" s="331" t="s">
        <v>899</v>
      </c>
      <c r="D97" s="409" t="s">
        <v>891</v>
      </c>
      <c r="E97" s="409" t="s">
        <v>888</v>
      </c>
      <c r="F97" s="810">
        <v>19.96</v>
      </c>
      <c r="G97" s="810">
        <v>58.58</v>
      </c>
      <c r="H97" s="810">
        <v>768.05</v>
      </c>
      <c r="I97" s="810">
        <v>846.58999999999992</v>
      </c>
      <c r="J97" s="810">
        <v>61.5</v>
      </c>
      <c r="K97" s="810">
        <v>305.67</v>
      </c>
      <c r="L97" s="810">
        <v>184.06</v>
      </c>
      <c r="M97" s="810"/>
    </row>
    <row r="98" spans="1:13" s="331" customFormat="1">
      <c r="A98" s="409">
        <f t="shared" si="5"/>
        <v>87</v>
      </c>
      <c r="B98" s="643" t="s">
        <v>900</v>
      </c>
      <c r="C98" s="331" t="s">
        <v>901</v>
      </c>
      <c r="D98" s="409" t="s">
        <v>891</v>
      </c>
      <c r="E98" s="409" t="s">
        <v>888</v>
      </c>
      <c r="F98" s="810">
        <v>116.62</v>
      </c>
      <c r="G98" s="810">
        <v>308.2</v>
      </c>
      <c r="H98" s="810">
        <v>167.5</v>
      </c>
      <c r="I98" s="810">
        <v>592.31999999999994</v>
      </c>
      <c r="J98" s="810">
        <v>137.03</v>
      </c>
      <c r="K98" s="810">
        <v>135.16999999999999</v>
      </c>
      <c r="L98" s="810">
        <v>85.2</v>
      </c>
      <c r="M98" s="810"/>
    </row>
    <row r="99" spans="1:13" s="331" customFormat="1">
      <c r="A99" s="409">
        <f t="shared" si="5"/>
        <v>88</v>
      </c>
      <c r="B99" s="643" t="s">
        <v>902</v>
      </c>
      <c r="C99" s="331" t="s">
        <v>903</v>
      </c>
      <c r="D99" s="409" t="s">
        <v>904</v>
      </c>
      <c r="E99" s="409" t="s">
        <v>888</v>
      </c>
      <c r="F99" s="810">
        <v>0</v>
      </c>
      <c r="G99" s="810">
        <v>0</v>
      </c>
      <c r="H99" s="810">
        <v>0.62</v>
      </c>
      <c r="I99" s="810">
        <v>0.62</v>
      </c>
      <c r="J99" s="810">
        <v>0.02</v>
      </c>
      <c r="K99" s="810">
        <v>0.12</v>
      </c>
      <c r="L99" s="810">
        <v>0.1</v>
      </c>
      <c r="M99" s="810"/>
    </row>
    <row r="100" spans="1:13" s="331" customFormat="1">
      <c r="A100" s="409">
        <f t="shared" si="5"/>
        <v>89</v>
      </c>
      <c r="B100" s="643" t="s">
        <v>905</v>
      </c>
      <c r="C100" s="331" t="s">
        <v>906</v>
      </c>
      <c r="D100" s="409" t="s">
        <v>907</v>
      </c>
      <c r="E100" s="409" t="s">
        <v>888</v>
      </c>
      <c r="F100" s="810">
        <v>16048.15</v>
      </c>
      <c r="G100" s="810">
        <v>26101.19</v>
      </c>
      <c r="H100" s="810">
        <v>40544.06</v>
      </c>
      <c r="I100" s="810">
        <v>82693.399999999994</v>
      </c>
      <c r="J100" s="810">
        <v>5316.03</v>
      </c>
      <c r="K100" s="810">
        <v>7388.03</v>
      </c>
      <c r="L100" s="810">
        <v>6662.06</v>
      </c>
      <c r="M100" s="810"/>
    </row>
    <row r="101" spans="1:13" s="331" customFormat="1">
      <c r="A101" s="409">
        <f t="shared" si="5"/>
        <v>90</v>
      </c>
      <c r="B101" s="643" t="s">
        <v>908</v>
      </c>
      <c r="C101" s="331" t="s">
        <v>909</v>
      </c>
      <c r="D101" s="409" t="s">
        <v>887</v>
      </c>
      <c r="E101" s="409" t="s">
        <v>888</v>
      </c>
      <c r="F101" s="810">
        <v>0</v>
      </c>
      <c r="G101" s="810">
        <v>0</v>
      </c>
      <c r="H101" s="810">
        <v>0</v>
      </c>
      <c r="I101" s="810">
        <v>0</v>
      </c>
      <c r="J101" s="810">
        <v>0</v>
      </c>
      <c r="K101" s="810">
        <v>0</v>
      </c>
      <c r="L101" s="810">
        <v>0</v>
      </c>
      <c r="M101" s="810"/>
    </row>
    <row r="102" spans="1:13" s="331" customFormat="1">
      <c r="A102" s="409">
        <f t="shared" si="5"/>
        <v>91</v>
      </c>
      <c r="B102" s="644" t="s">
        <v>910</v>
      </c>
      <c r="C102" s="331" t="s">
        <v>911</v>
      </c>
      <c r="D102" s="409" t="s">
        <v>912</v>
      </c>
      <c r="E102" s="409" t="s">
        <v>888</v>
      </c>
      <c r="F102" s="810">
        <v>299869.32</v>
      </c>
      <c r="G102" s="810">
        <v>401976.4</v>
      </c>
      <c r="H102" s="810">
        <v>491185.25</v>
      </c>
      <c r="I102" s="810">
        <v>1193030.97</v>
      </c>
      <c r="J102" s="810">
        <v>66666.42</v>
      </c>
      <c r="K102" s="810">
        <v>80630.38</v>
      </c>
      <c r="L102" s="810">
        <v>74583.240000000005</v>
      </c>
      <c r="M102" s="810"/>
    </row>
    <row r="103" spans="1:13" s="331" customFormat="1">
      <c r="A103" s="409">
        <f t="shared" si="5"/>
        <v>92</v>
      </c>
      <c r="B103" s="331" t="s">
        <v>913</v>
      </c>
      <c r="C103" s="331" t="s">
        <v>914</v>
      </c>
      <c r="D103" s="409" t="s">
        <v>907</v>
      </c>
      <c r="E103" s="409" t="s">
        <v>888</v>
      </c>
      <c r="F103" s="810">
        <v>230224.52</v>
      </c>
      <c r="G103" s="810">
        <v>343570.3</v>
      </c>
      <c r="H103" s="810">
        <v>503236.21</v>
      </c>
      <c r="I103" s="810">
        <v>1077031.03</v>
      </c>
      <c r="J103" s="810">
        <v>71330.36</v>
      </c>
      <c r="K103" s="810">
        <v>95609.38</v>
      </c>
      <c r="L103" s="810">
        <v>86217.25</v>
      </c>
      <c r="M103" s="810"/>
    </row>
    <row r="104" spans="1:13" s="331" customFormat="1">
      <c r="A104" s="409">
        <f t="shared" si="5"/>
        <v>93</v>
      </c>
      <c r="B104" s="331" t="s">
        <v>915</v>
      </c>
      <c r="C104" s="331" t="s">
        <v>916</v>
      </c>
      <c r="D104" s="409" t="s">
        <v>912</v>
      </c>
      <c r="E104" s="409" t="s">
        <v>888</v>
      </c>
      <c r="F104" s="810">
        <v>3811.93</v>
      </c>
      <c r="G104" s="810">
        <v>5266.89</v>
      </c>
      <c r="H104" s="810">
        <v>6428.27</v>
      </c>
      <c r="I104" s="810">
        <v>15507.09</v>
      </c>
      <c r="J104" s="810">
        <v>1000.25</v>
      </c>
      <c r="K104" s="810">
        <v>1169.98</v>
      </c>
      <c r="L104" s="810">
        <v>1065.42</v>
      </c>
      <c r="M104" s="810"/>
    </row>
    <row r="105" spans="1:13" s="331" customFormat="1">
      <c r="A105" s="409">
        <f t="shared" si="5"/>
        <v>94</v>
      </c>
      <c r="B105" s="331" t="s">
        <v>917</v>
      </c>
      <c r="C105" s="331" t="s">
        <v>918</v>
      </c>
      <c r="D105" s="409" t="s">
        <v>904</v>
      </c>
      <c r="E105" s="409" t="s">
        <v>888</v>
      </c>
      <c r="F105" s="810">
        <v>23481.94</v>
      </c>
      <c r="G105" s="810">
        <v>21723.97</v>
      </c>
      <c r="H105" s="810">
        <v>22712.26</v>
      </c>
      <c r="I105" s="810">
        <v>67918.17</v>
      </c>
      <c r="J105" s="810">
        <v>8626.4500000000007</v>
      </c>
      <c r="K105" s="810">
        <v>9221.84</v>
      </c>
      <c r="L105" s="810">
        <v>7553.8</v>
      </c>
      <c r="M105" s="810"/>
    </row>
    <row r="106" spans="1:13" s="331" customFormat="1">
      <c r="A106" s="409">
        <f t="shared" si="5"/>
        <v>95</v>
      </c>
      <c r="B106" s="331" t="s">
        <v>919</v>
      </c>
      <c r="C106" s="331" t="s">
        <v>920</v>
      </c>
      <c r="D106" s="409" t="s">
        <v>887</v>
      </c>
      <c r="E106" s="409" t="s">
        <v>888</v>
      </c>
      <c r="F106" s="810">
        <v>9446.5400000000009</v>
      </c>
      <c r="G106" s="810">
        <v>13559.18</v>
      </c>
      <c r="H106" s="810">
        <v>15153.96</v>
      </c>
      <c r="I106" s="810">
        <v>38159.68</v>
      </c>
      <c r="J106" s="810">
        <v>5976.93</v>
      </c>
      <c r="K106" s="810">
        <v>6653.47</v>
      </c>
      <c r="L106" s="810">
        <v>4873.4799999999996</v>
      </c>
      <c r="M106" s="810"/>
    </row>
    <row r="107" spans="1:13" s="331" customFormat="1">
      <c r="A107" s="409">
        <f t="shared" si="5"/>
        <v>96</v>
      </c>
      <c r="B107" s="643" t="s">
        <v>921</v>
      </c>
      <c r="C107" s="331" t="s">
        <v>922</v>
      </c>
      <c r="D107" s="409" t="s">
        <v>891</v>
      </c>
      <c r="E107" s="409" t="s">
        <v>888</v>
      </c>
      <c r="F107" s="810">
        <v>2458.5</v>
      </c>
      <c r="G107" s="810">
        <v>1861.89</v>
      </c>
      <c r="H107" s="810">
        <v>1947.97</v>
      </c>
      <c r="I107" s="810">
        <v>6268.3600000000006</v>
      </c>
      <c r="J107" s="810">
        <v>1393.81</v>
      </c>
      <c r="K107" s="810">
        <v>1335.06</v>
      </c>
      <c r="L107" s="810">
        <v>885.14</v>
      </c>
      <c r="M107" s="810"/>
    </row>
    <row r="108" spans="1:13" s="331" customFormat="1">
      <c r="A108" s="409">
        <f t="shared" si="5"/>
        <v>97</v>
      </c>
      <c r="B108" s="331" t="s">
        <v>923</v>
      </c>
      <c r="C108" s="331" t="s">
        <v>924</v>
      </c>
      <c r="D108" s="409" t="s">
        <v>925</v>
      </c>
      <c r="E108" s="409" t="s">
        <v>926</v>
      </c>
      <c r="F108" s="810">
        <v>0</v>
      </c>
      <c r="G108" s="810">
        <v>0</v>
      </c>
      <c r="H108" s="810">
        <v>0</v>
      </c>
      <c r="I108" s="810">
        <v>0</v>
      </c>
      <c r="J108" s="810">
        <v>0</v>
      </c>
      <c r="K108" s="810">
        <v>0</v>
      </c>
      <c r="L108" s="810">
        <v>0</v>
      </c>
      <c r="M108" s="810"/>
    </row>
    <row r="109" spans="1:13" s="331" customFormat="1">
      <c r="A109" s="409">
        <f t="shared" si="5"/>
        <v>98</v>
      </c>
      <c r="B109" s="331" t="s">
        <v>927</v>
      </c>
      <c r="C109" s="331" t="s">
        <v>928</v>
      </c>
      <c r="D109" s="409" t="s">
        <v>929</v>
      </c>
      <c r="E109" s="409" t="s">
        <v>926</v>
      </c>
      <c r="F109" s="810">
        <v>0.18</v>
      </c>
      <c r="G109" s="810">
        <v>28.25</v>
      </c>
      <c r="H109" s="810">
        <v>117.23</v>
      </c>
      <c r="I109" s="810">
        <v>145.66</v>
      </c>
      <c r="J109" s="810">
        <v>2.11</v>
      </c>
      <c r="K109" s="810">
        <v>3.73</v>
      </c>
      <c r="L109" s="810">
        <v>3.74</v>
      </c>
      <c r="M109" s="810"/>
    </row>
    <row r="110" spans="1:13" s="331" customFormat="1">
      <c r="A110" s="409">
        <f t="shared" si="5"/>
        <v>99</v>
      </c>
      <c r="B110" s="331" t="s">
        <v>930</v>
      </c>
      <c r="C110" s="331" t="s">
        <v>931</v>
      </c>
      <c r="D110" s="409" t="s">
        <v>932</v>
      </c>
      <c r="E110" s="409" t="s">
        <v>888</v>
      </c>
      <c r="F110" s="810">
        <v>6764.99</v>
      </c>
      <c r="G110" s="810">
        <v>2740.45</v>
      </c>
      <c r="H110" s="810">
        <v>5196.5200000000004</v>
      </c>
      <c r="I110" s="810">
        <v>14701.96</v>
      </c>
      <c r="J110" s="810">
        <v>313.14999999999998</v>
      </c>
      <c r="K110" s="810">
        <v>324.98</v>
      </c>
      <c r="L110" s="810">
        <v>324.36</v>
      </c>
      <c r="M110" s="810"/>
    </row>
    <row r="111" spans="1:13" s="331" customFormat="1">
      <c r="A111" s="409">
        <f t="shared" si="5"/>
        <v>100</v>
      </c>
      <c r="B111" s="331" t="s">
        <v>933</v>
      </c>
      <c r="C111" s="331" t="s">
        <v>934</v>
      </c>
      <c r="D111" s="409" t="s">
        <v>935</v>
      </c>
      <c r="E111" s="409" t="s">
        <v>888</v>
      </c>
      <c r="F111" s="810">
        <v>5389.83</v>
      </c>
      <c r="G111" s="810">
        <v>3576.15</v>
      </c>
      <c r="H111" s="810">
        <v>5529.79</v>
      </c>
      <c r="I111" s="810">
        <v>14495.77</v>
      </c>
      <c r="J111" s="810">
        <v>525.16</v>
      </c>
      <c r="K111" s="810">
        <v>533.15</v>
      </c>
      <c r="L111" s="810">
        <v>490.74</v>
      </c>
      <c r="M111" s="810"/>
    </row>
    <row r="112" spans="1:13" s="331" customFormat="1">
      <c r="A112" s="409">
        <f t="shared" si="5"/>
        <v>101</v>
      </c>
      <c r="B112" s="331" t="s">
        <v>936</v>
      </c>
      <c r="C112" s="331" t="s">
        <v>937</v>
      </c>
      <c r="D112" s="409" t="s">
        <v>938</v>
      </c>
      <c r="E112" s="409"/>
      <c r="F112" s="810">
        <v>12954.91</v>
      </c>
      <c r="G112" s="810">
        <v>12432.77</v>
      </c>
      <c r="H112" s="810">
        <v>1310.5999999999999</v>
      </c>
      <c r="I112" s="810">
        <v>26698.28</v>
      </c>
      <c r="J112" s="810">
        <v>0</v>
      </c>
      <c r="K112" s="810">
        <v>0</v>
      </c>
      <c r="L112" s="810">
        <v>0</v>
      </c>
      <c r="M112" s="810"/>
    </row>
    <row r="113" spans="1:13" s="331" customFormat="1">
      <c r="A113" s="409">
        <f t="shared" si="5"/>
        <v>102</v>
      </c>
      <c r="B113" s="331" t="s">
        <v>939</v>
      </c>
      <c r="C113" s="331" t="s">
        <v>940</v>
      </c>
      <c r="D113" s="409" t="s">
        <v>929</v>
      </c>
      <c r="E113" s="409" t="s">
        <v>926</v>
      </c>
      <c r="F113" s="810">
        <v>17175.810000000001</v>
      </c>
      <c r="G113" s="810">
        <v>23073.55</v>
      </c>
      <c r="H113" s="810">
        <v>31703.59</v>
      </c>
      <c r="I113" s="810">
        <v>71952.95</v>
      </c>
      <c r="J113" s="810">
        <v>1225.3</v>
      </c>
      <c r="K113" s="810">
        <v>1844.83</v>
      </c>
      <c r="L113" s="810">
        <v>1844.84</v>
      </c>
      <c r="M113" s="810"/>
    </row>
    <row r="114" spans="1:13" s="331" customFormat="1">
      <c r="A114" s="409">
        <f t="shared" si="5"/>
        <v>103</v>
      </c>
      <c r="B114" s="645" t="s">
        <v>943</v>
      </c>
      <c r="D114" s="409"/>
      <c r="E114" s="409"/>
      <c r="F114" s="811">
        <v>636243.82000000007</v>
      </c>
      <c r="G114" s="811">
        <v>860496.2300000001</v>
      </c>
      <c r="H114" s="811">
        <v>1133526.0800000003</v>
      </c>
      <c r="I114" s="811">
        <v>2630266.13</v>
      </c>
      <c r="J114" s="811">
        <v>166421.37999999998</v>
      </c>
      <c r="K114" s="811">
        <v>209644.65000000002</v>
      </c>
      <c r="L114" s="811">
        <v>187765.23</v>
      </c>
      <c r="M114" s="811">
        <v>1751.47</v>
      </c>
    </row>
    <row r="115" spans="1:13" s="331" customFormat="1">
      <c r="A115" s="409">
        <f t="shared" si="5"/>
        <v>104</v>
      </c>
      <c r="D115" s="409"/>
      <c r="E115" s="409"/>
    </row>
    <row r="116" spans="1:13" s="331" customFormat="1">
      <c r="A116" s="409">
        <f t="shared" si="5"/>
        <v>105</v>
      </c>
      <c r="B116" s="699" t="s">
        <v>199</v>
      </c>
      <c r="C116" s="697"/>
      <c r="D116" s="697"/>
      <c r="E116" s="809">
        <f>+'[5]II-F Alloc_Factor'!$I$38</f>
        <v>0.51917908223557052</v>
      </c>
      <c r="F116" s="698"/>
      <c r="G116" s="698"/>
      <c r="H116" s="698"/>
      <c r="I116" s="698"/>
      <c r="J116" s="698"/>
      <c r="K116" s="698"/>
      <c r="L116" s="698"/>
      <c r="M116" s="698"/>
    </row>
    <row r="117" spans="1:13" s="331" customFormat="1">
      <c r="A117" s="409">
        <f t="shared" si="5"/>
        <v>106</v>
      </c>
      <c r="B117" s="643" t="s">
        <v>885</v>
      </c>
      <c r="C117" s="331" t="s">
        <v>886</v>
      </c>
      <c r="D117" s="409" t="s">
        <v>887</v>
      </c>
      <c r="E117" s="409" t="s">
        <v>888</v>
      </c>
      <c r="F117" s="810">
        <v>2438405.48</v>
      </c>
      <c r="G117" s="810">
        <v>643586</v>
      </c>
      <c r="H117" s="810">
        <v>2073133.89</v>
      </c>
      <c r="I117" s="810">
        <v>5155125.37</v>
      </c>
      <c r="J117" s="810">
        <v>745438.3</v>
      </c>
      <c r="K117" s="810">
        <v>984113.38</v>
      </c>
      <c r="L117" s="810">
        <v>709073.14</v>
      </c>
      <c r="M117" s="810"/>
    </row>
    <row r="118" spans="1:13" s="331" customFormat="1">
      <c r="A118" s="409">
        <f t="shared" si="5"/>
        <v>107</v>
      </c>
      <c r="B118" s="643" t="s">
        <v>889</v>
      </c>
      <c r="C118" s="331" t="s">
        <v>890</v>
      </c>
      <c r="D118" s="409" t="s">
        <v>891</v>
      </c>
      <c r="E118" s="409" t="s">
        <v>888</v>
      </c>
      <c r="F118" s="810">
        <v>12301531.960000001</v>
      </c>
      <c r="G118" s="810">
        <v>6518826.0199999996</v>
      </c>
      <c r="H118" s="810">
        <v>11199835.890000001</v>
      </c>
      <c r="I118" s="810">
        <v>30020193.870000001</v>
      </c>
      <c r="J118" s="810">
        <v>5902287.3499999996</v>
      </c>
      <c r="K118" s="810">
        <v>6848442.0599999996</v>
      </c>
      <c r="L118" s="810">
        <v>4511093.63</v>
      </c>
      <c r="M118" s="810"/>
    </row>
    <row r="119" spans="1:13" s="331" customFormat="1">
      <c r="A119" s="409">
        <f t="shared" si="5"/>
        <v>108</v>
      </c>
      <c r="B119" s="643" t="s">
        <v>1110</v>
      </c>
      <c r="C119" s="331" t="s">
        <v>1111</v>
      </c>
      <c r="D119" s="409" t="s">
        <v>891</v>
      </c>
      <c r="E119" s="409" t="s">
        <v>888</v>
      </c>
      <c r="F119" s="810">
        <v>0</v>
      </c>
      <c r="G119" s="810">
        <v>0</v>
      </c>
      <c r="H119" s="810">
        <v>3626.97</v>
      </c>
      <c r="I119" s="810">
        <v>3626.97</v>
      </c>
      <c r="J119" s="810">
        <v>1309.19</v>
      </c>
      <c r="K119" s="810">
        <v>927.11</v>
      </c>
      <c r="L119" s="810">
        <v>556.27</v>
      </c>
      <c r="M119" s="810"/>
    </row>
    <row r="120" spans="1:13" s="331" customFormat="1">
      <c r="A120" s="409">
        <f t="shared" si="5"/>
        <v>109</v>
      </c>
      <c r="B120" s="643" t="s">
        <v>892</v>
      </c>
      <c r="C120" s="331" t="s">
        <v>893</v>
      </c>
      <c r="D120" s="409" t="s">
        <v>891</v>
      </c>
      <c r="E120" s="409" t="s">
        <v>888</v>
      </c>
      <c r="F120" s="810">
        <v>0</v>
      </c>
      <c r="G120" s="810">
        <v>0</v>
      </c>
      <c r="H120" s="810">
        <v>0</v>
      </c>
      <c r="I120" s="810">
        <v>0</v>
      </c>
      <c r="J120" s="810">
        <v>0</v>
      </c>
      <c r="K120" s="810">
        <v>0</v>
      </c>
      <c r="L120" s="810">
        <v>0</v>
      </c>
      <c r="M120" s="810"/>
    </row>
    <row r="121" spans="1:13" s="331" customFormat="1">
      <c r="A121" s="409">
        <f t="shared" si="5"/>
        <v>110</v>
      </c>
      <c r="B121" s="643" t="s">
        <v>894</v>
      </c>
      <c r="C121" s="331" t="s">
        <v>895</v>
      </c>
      <c r="D121" s="409" t="s">
        <v>891</v>
      </c>
      <c r="E121" s="409" t="s">
        <v>888</v>
      </c>
      <c r="F121" s="810">
        <v>351925.77</v>
      </c>
      <c r="G121" s="810">
        <v>344632.93</v>
      </c>
      <c r="H121" s="810">
        <v>113247.67</v>
      </c>
      <c r="I121" s="810">
        <v>809806.37</v>
      </c>
      <c r="J121" s="810">
        <v>196707.33</v>
      </c>
      <c r="K121" s="810">
        <v>154743.54999999999</v>
      </c>
      <c r="L121" s="810">
        <v>103413.51</v>
      </c>
      <c r="M121" s="810"/>
    </row>
    <row r="122" spans="1:13" s="331" customFormat="1">
      <c r="A122" s="409">
        <f t="shared" si="5"/>
        <v>111</v>
      </c>
      <c r="B122" s="643" t="s">
        <v>896</v>
      </c>
      <c r="C122" s="331" t="s">
        <v>897</v>
      </c>
      <c r="D122" s="409" t="s">
        <v>891</v>
      </c>
      <c r="E122" s="409" t="s">
        <v>888</v>
      </c>
      <c r="F122" s="810">
        <v>0</v>
      </c>
      <c r="G122" s="810">
        <v>0</v>
      </c>
      <c r="H122" s="810">
        <v>0</v>
      </c>
      <c r="I122" s="810">
        <v>0</v>
      </c>
      <c r="J122" s="810">
        <v>0</v>
      </c>
      <c r="K122" s="810">
        <v>0</v>
      </c>
      <c r="L122" s="810">
        <v>0</v>
      </c>
      <c r="M122" s="810"/>
    </row>
    <row r="123" spans="1:13" s="331" customFormat="1">
      <c r="A123" s="409">
        <f t="shared" si="5"/>
        <v>112</v>
      </c>
      <c r="B123" s="643" t="s">
        <v>898</v>
      </c>
      <c r="C123" s="331" t="s">
        <v>899</v>
      </c>
      <c r="D123" s="409" t="s">
        <v>891</v>
      </c>
      <c r="E123" s="409" t="s">
        <v>888</v>
      </c>
      <c r="F123" s="810">
        <v>35511.620000000003</v>
      </c>
      <c r="G123" s="810">
        <v>104252.67</v>
      </c>
      <c r="H123" s="810">
        <v>1366807.15</v>
      </c>
      <c r="I123" s="810">
        <v>1506571.44</v>
      </c>
      <c r="J123" s="810">
        <v>109451.34</v>
      </c>
      <c r="K123" s="810">
        <v>543954.61</v>
      </c>
      <c r="L123" s="810">
        <v>327548.73</v>
      </c>
      <c r="M123" s="810"/>
    </row>
    <row r="124" spans="1:13" s="331" customFormat="1">
      <c r="A124" s="409">
        <f t="shared" si="5"/>
        <v>113</v>
      </c>
      <c r="B124" s="643" t="s">
        <v>900</v>
      </c>
      <c r="C124" s="331" t="s">
        <v>901</v>
      </c>
      <c r="D124" s="409" t="s">
        <v>891</v>
      </c>
      <c r="E124" s="409" t="s">
        <v>888</v>
      </c>
      <c r="F124" s="810">
        <v>207526.97</v>
      </c>
      <c r="G124" s="810">
        <v>548458.78</v>
      </c>
      <c r="H124" s="810">
        <v>298072.68</v>
      </c>
      <c r="I124" s="810">
        <v>1054058.43</v>
      </c>
      <c r="J124" s="810">
        <v>243857.64</v>
      </c>
      <c r="K124" s="810">
        <v>240540.29</v>
      </c>
      <c r="L124" s="810">
        <v>151612.32999999999</v>
      </c>
      <c r="M124" s="810"/>
    </row>
    <row r="125" spans="1:13" s="331" customFormat="1">
      <c r="A125" s="409">
        <f t="shared" si="5"/>
        <v>114</v>
      </c>
      <c r="B125" s="643" t="s">
        <v>902</v>
      </c>
      <c r="C125" s="331" t="s">
        <v>903</v>
      </c>
      <c r="D125" s="409" t="s">
        <v>904</v>
      </c>
      <c r="E125" s="409" t="s">
        <v>888</v>
      </c>
      <c r="F125" s="810">
        <v>0</v>
      </c>
      <c r="G125" s="810">
        <v>0</v>
      </c>
      <c r="H125" s="810">
        <v>1100.54</v>
      </c>
      <c r="I125" s="810">
        <v>1100.54</v>
      </c>
      <c r="J125" s="810">
        <v>27.51</v>
      </c>
      <c r="K125" s="810">
        <v>214.61</v>
      </c>
      <c r="L125" s="810">
        <v>171.69</v>
      </c>
      <c r="M125" s="810"/>
    </row>
    <row r="126" spans="1:13" s="331" customFormat="1">
      <c r="A126" s="409">
        <f t="shared" si="5"/>
        <v>115</v>
      </c>
      <c r="B126" s="643" t="s">
        <v>905</v>
      </c>
      <c r="C126" s="331" t="s">
        <v>906</v>
      </c>
      <c r="D126" s="409" t="s">
        <v>907</v>
      </c>
      <c r="E126" s="409" t="s">
        <v>888</v>
      </c>
      <c r="F126" s="810">
        <v>28558809.760000002</v>
      </c>
      <c r="G126" s="810">
        <v>46448898.789999999</v>
      </c>
      <c r="H126" s="810">
        <v>72151001.189999998</v>
      </c>
      <c r="I126" s="810">
        <v>147158709.74000001</v>
      </c>
      <c r="J126" s="810">
        <v>9460247.5299999993</v>
      </c>
      <c r="K126" s="810">
        <v>13147525.17</v>
      </c>
      <c r="L126" s="810">
        <v>11855601.560000001</v>
      </c>
      <c r="M126" s="810"/>
    </row>
    <row r="127" spans="1:13" s="331" customFormat="1">
      <c r="A127" s="409">
        <f t="shared" si="5"/>
        <v>116</v>
      </c>
      <c r="B127" s="643" t="s">
        <v>908</v>
      </c>
      <c r="C127" s="331" t="s">
        <v>909</v>
      </c>
      <c r="D127" s="409" t="s">
        <v>887</v>
      </c>
      <c r="E127" s="409" t="s">
        <v>888</v>
      </c>
      <c r="F127" s="810">
        <v>0</v>
      </c>
      <c r="G127" s="810">
        <v>0</v>
      </c>
      <c r="H127" s="810">
        <v>0</v>
      </c>
      <c r="I127" s="810">
        <v>0</v>
      </c>
      <c r="J127" s="810">
        <v>0</v>
      </c>
      <c r="K127" s="810">
        <v>0</v>
      </c>
      <c r="L127" s="810">
        <v>0</v>
      </c>
      <c r="M127" s="810"/>
    </row>
    <row r="128" spans="1:13" s="331" customFormat="1">
      <c r="A128" s="409">
        <f t="shared" si="5"/>
        <v>117</v>
      </c>
      <c r="B128" s="644" t="s">
        <v>910</v>
      </c>
      <c r="C128" s="331" t="s">
        <v>911</v>
      </c>
      <c r="D128" s="409" t="s">
        <v>912</v>
      </c>
      <c r="E128" s="409" t="s">
        <v>888</v>
      </c>
      <c r="F128" s="810">
        <v>533638498.68000001</v>
      </c>
      <c r="G128" s="810">
        <v>715345209.78999996</v>
      </c>
      <c r="H128" s="810">
        <v>874098626.97000003</v>
      </c>
      <c r="I128" s="810">
        <v>2123082335.4400001</v>
      </c>
      <c r="J128" s="810">
        <v>118637570.3</v>
      </c>
      <c r="K128" s="810">
        <v>143487418.41999999</v>
      </c>
      <c r="L128" s="810">
        <v>132726110.66</v>
      </c>
      <c r="M128" s="810"/>
    </row>
    <row r="129" spans="1:13" s="331" customFormat="1">
      <c r="A129" s="409">
        <f t="shared" si="5"/>
        <v>118</v>
      </c>
      <c r="B129" s="331" t="s">
        <v>913</v>
      </c>
      <c r="C129" s="331" t="s">
        <v>914</v>
      </c>
      <c r="D129" s="409" t="s">
        <v>907</v>
      </c>
      <c r="E129" s="409" t="s">
        <v>888</v>
      </c>
      <c r="F129" s="810">
        <v>409700687.56999999</v>
      </c>
      <c r="G129" s="810">
        <v>611407466.04999995</v>
      </c>
      <c r="H129" s="810">
        <v>895544154.69000006</v>
      </c>
      <c r="I129" s="810">
        <v>1916652308.3099999</v>
      </c>
      <c r="J129" s="810">
        <v>126937387.75</v>
      </c>
      <c r="K129" s="810">
        <v>170143605.47</v>
      </c>
      <c r="L129" s="810">
        <v>153429651.97999999</v>
      </c>
      <c r="M129" s="810"/>
    </row>
    <row r="130" spans="1:13" s="331" customFormat="1">
      <c r="A130" s="409">
        <f t="shared" si="5"/>
        <v>119</v>
      </c>
      <c r="B130" s="331" t="s">
        <v>915</v>
      </c>
      <c r="C130" s="331" t="s">
        <v>916</v>
      </c>
      <c r="D130" s="409" t="s">
        <v>912</v>
      </c>
      <c r="E130" s="409" t="s">
        <v>888</v>
      </c>
      <c r="F130" s="810">
        <v>6783595.3899999997</v>
      </c>
      <c r="G130" s="810">
        <v>9372807.8699999992</v>
      </c>
      <c r="H130" s="810">
        <v>11439565.67</v>
      </c>
      <c r="I130" s="810">
        <v>27595968.93</v>
      </c>
      <c r="J130" s="810">
        <v>1780009.45</v>
      </c>
      <c r="K130" s="810">
        <v>2082056.81</v>
      </c>
      <c r="L130" s="810">
        <v>1895994.7</v>
      </c>
      <c r="M130" s="810"/>
    </row>
    <row r="131" spans="1:13" s="331" customFormat="1">
      <c r="A131" s="409">
        <f t="shared" si="5"/>
        <v>120</v>
      </c>
      <c r="B131" s="331" t="s">
        <v>917</v>
      </c>
      <c r="C131" s="331" t="s">
        <v>918</v>
      </c>
      <c r="D131" s="409" t="s">
        <v>904</v>
      </c>
      <c r="E131" s="409" t="s">
        <v>888</v>
      </c>
      <c r="F131" s="810">
        <v>41787762.299999997</v>
      </c>
      <c r="G131" s="810">
        <v>38659329.719999999</v>
      </c>
      <c r="H131" s="810">
        <v>40418067.479999997</v>
      </c>
      <c r="I131" s="810">
        <v>120865159.5</v>
      </c>
      <c r="J131" s="810">
        <v>15351368.970000001</v>
      </c>
      <c r="K131" s="810">
        <v>16410906.560000001</v>
      </c>
      <c r="L131" s="810">
        <v>13442515.01</v>
      </c>
      <c r="M131" s="810"/>
    </row>
    <row r="132" spans="1:13" s="331" customFormat="1">
      <c r="A132" s="409">
        <f t="shared" si="5"/>
        <v>121</v>
      </c>
      <c r="B132" s="331" t="s">
        <v>919</v>
      </c>
      <c r="C132" s="331" t="s">
        <v>920</v>
      </c>
      <c r="D132" s="409" t="s">
        <v>887</v>
      </c>
      <c r="E132" s="409" t="s">
        <v>888</v>
      </c>
      <c r="F132" s="810">
        <v>16810788.18</v>
      </c>
      <c r="G132" s="810">
        <v>24129510.190000001</v>
      </c>
      <c r="H132" s="810">
        <v>26967528.609999999</v>
      </c>
      <c r="I132" s="810">
        <v>67907826.980000004</v>
      </c>
      <c r="J132" s="810">
        <v>10636359.390000001</v>
      </c>
      <c r="K132" s="810">
        <v>11840316.25</v>
      </c>
      <c r="L132" s="810">
        <v>8672694.6300000008</v>
      </c>
      <c r="M132" s="810"/>
    </row>
    <row r="133" spans="1:13" s="331" customFormat="1">
      <c r="A133" s="409">
        <f t="shared" si="5"/>
        <v>122</v>
      </c>
      <c r="B133" s="643" t="s">
        <v>921</v>
      </c>
      <c r="C133" s="331" t="s">
        <v>922</v>
      </c>
      <c r="D133" s="409" t="s">
        <v>891</v>
      </c>
      <c r="E133" s="409" t="s">
        <v>888</v>
      </c>
      <c r="F133" s="810">
        <v>4375069.4800000004</v>
      </c>
      <c r="G133" s="810">
        <v>3313364.07</v>
      </c>
      <c r="H133" s="810">
        <v>3466546.9</v>
      </c>
      <c r="I133" s="810">
        <v>11154980.450000001</v>
      </c>
      <c r="J133" s="810">
        <v>2480389.41</v>
      </c>
      <c r="K133" s="810">
        <v>2375833.1800000002</v>
      </c>
      <c r="L133" s="810">
        <v>1575163.09</v>
      </c>
      <c r="M133" s="810"/>
    </row>
    <row r="134" spans="1:13" s="331" customFormat="1">
      <c r="A134" s="409">
        <f t="shared" si="5"/>
        <v>123</v>
      </c>
      <c r="B134" s="331" t="s">
        <v>923</v>
      </c>
      <c r="C134" s="331" t="s">
        <v>924</v>
      </c>
      <c r="D134" s="409" t="s">
        <v>925</v>
      </c>
      <c r="E134" s="409" t="s">
        <v>926</v>
      </c>
      <c r="F134" s="810">
        <v>0</v>
      </c>
      <c r="G134" s="810">
        <v>0</v>
      </c>
      <c r="H134" s="810">
        <v>0</v>
      </c>
      <c r="I134" s="810">
        <v>0</v>
      </c>
      <c r="J134" s="810">
        <v>0</v>
      </c>
      <c r="K134" s="810">
        <v>0</v>
      </c>
      <c r="L134" s="810">
        <v>0</v>
      </c>
      <c r="M134" s="810"/>
    </row>
    <row r="135" spans="1:13" s="331" customFormat="1">
      <c r="A135" s="409">
        <f t="shared" si="5"/>
        <v>124</v>
      </c>
      <c r="B135" s="331" t="s">
        <v>927</v>
      </c>
      <c r="C135" s="331" t="s">
        <v>928</v>
      </c>
      <c r="D135" s="409" t="s">
        <v>929</v>
      </c>
      <c r="E135" s="409" t="s">
        <v>926</v>
      </c>
      <c r="F135" s="810">
        <v>326.24</v>
      </c>
      <c r="G135" s="810">
        <v>50276.42</v>
      </c>
      <c r="H135" s="810">
        <v>208623.82</v>
      </c>
      <c r="I135" s="810">
        <v>259226.48</v>
      </c>
      <c r="J135" s="810">
        <v>3748.78</v>
      </c>
      <c r="K135" s="810">
        <v>6646.57</v>
      </c>
      <c r="L135" s="810">
        <v>6647.07</v>
      </c>
      <c r="M135" s="810"/>
    </row>
    <row r="136" spans="1:13" s="331" customFormat="1">
      <c r="A136" s="409">
        <f t="shared" si="5"/>
        <v>125</v>
      </c>
      <c r="B136" s="331" t="s">
        <v>930</v>
      </c>
      <c r="C136" s="331" t="s">
        <v>931</v>
      </c>
      <c r="D136" s="409" t="s">
        <v>932</v>
      </c>
      <c r="E136" s="409" t="s">
        <v>888</v>
      </c>
      <c r="F136" s="810">
        <v>12038766.25</v>
      </c>
      <c r="G136" s="810">
        <v>4876816.3099999996</v>
      </c>
      <c r="H136" s="810">
        <v>9247577.5199999996</v>
      </c>
      <c r="I136" s="810">
        <v>26163160.079999998</v>
      </c>
      <c r="J136" s="810">
        <v>557265.74</v>
      </c>
      <c r="K136" s="810">
        <v>578323.52</v>
      </c>
      <c r="L136" s="810">
        <v>577217.06000000006</v>
      </c>
      <c r="M136" s="810"/>
    </row>
    <row r="137" spans="1:13" s="331" customFormat="1">
      <c r="A137" s="409">
        <f t="shared" si="5"/>
        <v>126</v>
      </c>
      <c r="B137" s="331" t="s">
        <v>933</v>
      </c>
      <c r="C137" s="331" t="s">
        <v>934</v>
      </c>
      <c r="D137" s="409" t="s">
        <v>935</v>
      </c>
      <c r="E137" s="409" t="s">
        <v>888</v>
      </c>
      <c r="F137" s="810">
        <v>9591587.3200000003</v>
      </c>
      <c r="G137" s="810">
        <v>6364015.5499999998</v>
      </c>
      <c r="H137" s="810">
        <v>9840652.1400000006</v>
      </c>
      <c r="I137" s="810">
        <v>25796255.010000002</v>
      </c>
      <c r="J137" s="810">
        <v>934553.31</v>
      </c>
      <c r="K137" s="810">
        <v>948777.31</v>
      </c>
      <c r="L137" s="810">
        <v>873299.92</v>
      </c>
      <c r="M137" s="810"/>
    </row>
    <row r="138" spans="1:13" s="331" customFormat="1">
      <c r="A138" s="409">
        <f t="shared" si="5"/>
        <v>127</v>
      </c>
      <c r="B138" s="331" t="s">
        <v>936</v>
      </c>
      <c r="C138" s="331" t="s">
        <v>937</v>
      </c>
      <c r="D138" s="409" t="s">
        <v>938</v>
      </c>
      <c r="E138" s="409"/>
      <c r="F138" s="810">
        <v>23054176.239999998</v>
      </c>
      <c r="G138" s="810">
        <v>22124984.010000002</v>
      </c>
      <c r="H138" s="810">
        <v>2332298.44</v>
      </c>
      <c r="I138" s="810">
        <v>47511458.689999998</v>
      </c>
      <c r="J138" s="810">
        <v>0</v>
      </c>
      <c r="K138" s="810">
        <v>0</v>
      </c>
      <c r="L138" s="810">
        <v>0</v>
      </c>
      <c r="M138" s="810"/>
    </row>
    <row r="139" spans="1:13" s="331" customFormat="1">
      <c r="A139" s="409">
        <f t="shared" si="5"/>
        <v>128</v>
      </c>
      <c r="B139" s="331" t="s">
        <v>939</v>
      </c>
      <c r="C139" s="331" t="s">
        <v>940</v>
      </c>
      <c r="D139" s="409" t="s">
        <v>929</v>
      </c>
      <c r="E139" s="409" t="s">
        <v>926</v>
      </c>
      <c r="F139" s="810">
        <v>30565553.309999999</v>
      </c>
      <c r="G139" s="810">
        <v>41060994.100000001</v>
      </c>
      <c r="H139" s="810">
        <v>56418769.509999998</v>
      </c>
      <c r="I139" s="810">
        <v>128045316.91999999</v>
      </c>
      <c r="J139" s="810">
        <v>2180499.88</v>
      </c>
      <c r="K139" s="810">
        <v>3282999.07</v>
      </c>
      <c r="L139" s="810">
        <v>3283020.75</v>
      </c>
      <c r="M139" s="810"/>
    </row>
    <row r="140" spans="1:13" s="331" customFormat="1">
      <c r="A140" s="409">
        <f t="shared" si="5"/>
        <v>129</v>
      </c>
      <c r="B140" s="645" t="s">
        <v>944</v>
      </c>
      <c r="D140" s="409"/>
      <c r="E140" s="409"/>
      <c r="F140" s="811">
        <v>1132240522.5199997</v>
      </c>
      <c r="G140" s="811">
        <v>1531313429.2699997</v>
      </c>
      <c r="H140" s="811">
        <v>2017189237.7300003</v>
      </c>
      <c r="I140" s="811">
        <v>4680743189.5199986</v>
      </c>
      <c r="J140" s="811">
        <v>296158479.17000002</v>
      </c>
      <c r="K140" s="811">
        <v>373077343.93999994</v>
      </c>
      <c r="L140" s="811">
        <v>334141385.72999996</v>
      </c>
      <c r="M140" s="811">
        <v>3116871.37</v>
      </c>
    </row>
    <row r="141" spans="1:13" s="331" customFormat="1">
      <c r="A141" s="409">
        <f t="shared" si="5"/>
        <v>130</v>
      </c>
      <c r="D141" s="409"/>
      <c r="E141" s="409"/>
    </row>
    <row r="142" spans="1:13" s="331" customFormat="1">
      <c r="A142" s="409">
        <f t="shared" ref="A142:A205" si="6">+A141+1</f>
        <v>131</v>
      </c>
      <c r="B142" s="699" t="s">
        <v>585</v>
      </c>
      <c r="C142" s="697"/>
      <c r="D142" s="697"/>
      <c r="E142" s="809">
        <f>+'[5]II-F Alloc_Factor'!$J$39</f>
        <v>7.3966184218294553E-2</v>
      </c>
      <c r="F142" s="698"/>
      <c r="G142" s="698"/>
      <c r="H142" s="698"/>
      <c r="I142" s="698"/>
      <c r="J142" s="698"/>
      <c r="K142" s="698"/>
      <c r="L142" s="698"/>
      <c r="M142" s="698"/>
    </row>
    <row r="143" spans="1:13" s="331" customFormat="1">
      <c r="A143" s="409">
        <f t="shared" si="6"/>
        <v>132</v>
      </c>
      <c r="B143" s="643" t="s">
        <v>885</v>
      </c>
      <c r="C143" s="331" t="s">
        <v>886</v>
      </c>
      <c r="D143" s="409" t="s">
        <v>887</v>
      </c>
      <c r="E143" s="409" t="s">
        <v>888</v>
      </c>
      <c r="F143" s="810">
        <v>0</v>
      </c>
      <c r="G143" s="810">
        <v>0</v>
      </c>
      <c r="H143" s="810">
        <v>0</v>
      </c>
      <c r="I143" s="810">
        <v>0</v>
      </c>
      <c r="J143" s="810">
        <v>0</v>
      </c>
      <c r="K143" s="810">
        <v>0</v>
      </c>
      <c r="L143" s="810">
        <v>0</v>
      </c>
      <c r="M143" s="810"/>
    </row>
    <row r="144" spans="1:13" s="331" customFormat="1">
      <c r="A144" s="409">
        <f t="shared" si="6"/>
        <v>133</v>
      </c>
      <c r="B144" s="643" t="s">
        <v>889</v>
      </c>
      <c r="C144" s="331" t="s">
        <v>890</v>
      </c>
      <c r="D144" s="409" t="s">
        <v>891</v>
      </c>
      <c r="E144" s="409" t="s">
        <v>888</v>
      </c>
      <c r="F144" s="810">
        <v>0</v>
      </c>
      <c r="G144" s="810">
        <v>0</v>
      </c>
      <c r="H144" s="810">
        <v>0</v>
      </c>
      <c r="I144" s="810">
        <v>0</v>
      </c>
      <c r="J144" s="810">
        <v>0</v>
      </c>
      <c r="K144" s="810">
        <v>0</v>
      </c>
      <c r="L144" s="810">
        <v>0</v>
      </c>
      <c r="M144" s="810"/>
    </row>
    <row r="145" spans="1:13" s="331" customFormat="1">
      <c r="A145" s="409">
        <f t="shared" si="6"/>
        <v>134</v>
      </c>
      <c r="B145" s="643" t="s">
        <v>1110</v>
      </c>
      <c r="C145" s="331" t="s">
        <v>1111</v>
      </c>
      <c r="D145" s="409" t="s">
        <v>891</v>
      </c>
      <c r="E145" s="409" t="s">
        <v>888</v>
      </c>
      <c r="F145" s="810">
        <v>0</v>
      </c>
      <c r="G145" s="810">
        <v>0</v>
      </c>
      <c r="H145" s="810">
        <v>0</v>
      </c>
      <c r="I145" s="810">
        <v>0</v>
      </c>
      <c r="J145" s="810">
        <v>0</v>
      </c>
      <c r="K145" s="810">
        <v>0</v>
      </c>
      <c r="L145" s="810">
        <v>0</v>
      </c>
      <c r="M145" s="810"/>
    </row>
    <row r="146" spans="1:13" s="331" customFormat="1">
      <c r="A146" s="409">
        <f t="shared" si="6"/>
        <v>135</v>
      </c>
      <c r="B146" s="643" t="s">
        <v>892</v>
      </c>
      <c r="C146" s="331" t="s">
        <v>893</v>
      </c>
      <c r="D146" s="409" t="s">
        <v>891</v>
      </c>
      <c r="E146" s="409" t="s">
        <v>888</v>
      </c>
      <c r="F146" s="810">
        <v>0</v>
      </c>
      <c r="G146" s="810">
        <v>0</v>
      </c>
      <c r="H146" s="810">
        <v>0</v>
      </c>
      <c r="I146" s="810">
        <v>0</v>
      </c>
      <c r="J146" s="810">
        <v>0</v>
      </c>
      <c r="K146" s="810">
        <v>0</v>
      </c>
      <c r="L146" s="810">
        <v>0</v>
      </c>
      <c r="M146" s="810"/>
    </row>
    <row r="147" spans="1:13" s="331" customFormat="1">
      <c r="A147" s="409">
        <f t="shared" si="6"/>
        <v>136</v>
      </c>
      <c r="B147" s="643" t="s">
        <v>894</v>
      </c>
      <c r="C147" s="331" t="s">
        <v>895</v>
      </c>
      <c r="D147" s="409" t="s">
        <v>891</v>
      </c>
      <c r="E147" s="409" t="s">
        <v>888</v>
      </c>
      <c r="F147" s="810">
        <v>0</v>
      </c>
      <c r="G147" s="810">
        <v>0</v>
      </c>
      <c r="H147" s="810">
        <v>0</v>
      </c>
      <c r="I147" s="810">
        <v>0</v>
      </c>
      <c r="J147" s="810">
        <v>0</v>
      </c>
      <c r="K147" s="810">
        <v>0</v>
      </c>
      <c r="L147" s="810">
        <v>0</v>
      </c>
      <c r="M147" s="810"/>
    </row>
    <row r="148" spans="1:13" s="331" customFormat="1">
      <c r="A148" s="409">
        <f t="shared" si="6"/>
        <v>137</v>
      </c>
      <c r="B148" s="643" t="s">
        <v>896</v>
      </c>
      <c r="C148" s="331" t="s">
        <v>897</v>
      </c>
      <c r="D148" s="409" t="s">
        <v>891</v>
      </c>
      <c r="E148" s="409" t="s">
        <v>888</v>
      </c>
      <c r="F148" s="810">
        <v>0</v>
      </c>
      <c r="G148" s="810">
        <v>0</v>
      </c>
      <c r="H148" s="810">
        <v>0</v>
      </c>
      <c r="I148" s="810">
        <v>0</v>
      </c>
      <c r="J148" s="810">
        <v>0</v>
      </c>
      <c r="K148" s="810">
        <v>0</v>
      </c>
      <c r="L148" s="810">
        <v>0</v>
      </c>
      <c r="M148" s="810"/>
    </row>
    <row r="149" spans="1:13" s="331" customFormat="1">
      <c r="A149" s="409">
        <f t="shared" si="6"/>
        <v>138</v>
      </c>
      <c r="B149" s="643" t="s">
        <v>898</v>
      </c>
      <c r="C149" s="331" t="s">
        <v>899</v>
      </c>
      <c r="D149" s="409" t="s">
        <v>891</v>
      </c>
      <c r="E149" s="409" t="s">
        <v>888</v>
      </c>
      <c r="F149" s="810">
        <v>0</v>
      </c>
      <c r="G149" s="810">
        <v>0</v>
      </c>
      <c r="H149" s="810">
        <v>0</v>
      </c>
      <c r="I149" s="810">
        <v>0</v>
      </c>
      <c r="J149" s="810">
        <v>0</v>
      </c>
      <c r="K149" s="810">
        <v>0</v>
      </c>
      <c r="L149" s="810">
        <v>0</v>
      </c>
      <c r="M149" s="810"/>
    </row>
    <row r="150" spans="1:13" s="331" customFormat="1">
      <c r="A150" s="409">
        <f t="shared" si="6"/>
        <v>139</v>
      </c>
      <c r="B150" s="643" t="s">
        <v>900</v>
      </c>
      <c r="C150" s="331" t="s">
        <v>901</v>
      </c>
      <c r="D150" s="409" t="s">
        <v>891</v>
      </c>
      <c r="E150" s="409" t="s">
        <v>888</v>
      </c>
      <c r="F150" s="810">
        <v>0</v>
      </c>
      <c r="G150" s="810">
        <v>0</v>
      </c>
      <c r="H150" s="810">
        <v>0</v>
      </c>
      <c r="I150" s="810">
        <v>0</v>
      </c>
      <c r="J150" s="810">
        <v>0</v>
      </c>
      <c r="K150" s="810">
        <v>0</v>
      </c>
      <c r="L150" s="810">
        <v>0</v>
      </c>
      <c r="M150" s="810"/>
    </row>
    <row r="151" spans="1:13" s="331" customFormat="1">
      <c r="A151" s="409">
        <f t="shared" si="6"/>
        <v>140</v>
      </c>
      <c r="B151" s="643" t="s">
        <v>902</v>
      </c>
      <c r="C151" s="331" t="s">
        <v>903</v>
      </c>
      <c r="D151" s="409" t="s">
        <v>904</v>
      </c>
      <c r="E151" s="409" t="s">
        <v>888</v>
      </c>
      <c r="F151" s="810">
        <v>0</v>
      </c>
      <c r="G151" s="810">
        <v>0</v>
      </c>
      <c r="H151" s="810">
        <v>0</v>
      </c>
      <c r="I151" s="810">
        <v>0</v>
      </c>
      <c r="J151" s="810">
        <v>0</v>
      </c>
      <c r="K151" s="810">
        <v>0</v>
      </c>
      <c r="L151" s="810">
        <v>0</v>
      </c>
      <c r="M151" s="810"/>
    </row>
    <row r="152" spans="1:13" s="331" customFormat="1">
      <c r="A152" s="409">
        <f t="shared" si="6"/>
        <v>141</v>
      </c>
      <c r="B152" s="643" t="s">
        <v>905</v>
      </c>
      <c r="C152" s="331" t="s">
        <v>906</v>
      </c>
      <c r="D152" s="409" t="s">
        <v>907</v>
      </c>
      <c r="E152" s="409" t="s">
        <v>888</v>
      </c>
      <c r="F152" s="810">
        <v>0</v>
      </c>
      <c r="G152" s="810">
        <v>0</v>
      </c>
      <c r="H152" s="810">
        <v>0</v>
      </c>
      <c r="I152" s="810">
        <v>0</v>
      </c>
      <c r="J152" s="810">
        <v>0</v>
      </c>
      <c r="K152" s="810">
        <v>0</v>
      </c>
      <c r="L152" s="810">
        <v>0</v>
      </c>
      <c r="M152" s="810"/>
    </row>
    <row r="153" spans="1:13" s="331" customFormat="1">
      <c r="A153" s="409">
        <f t="shared" si="6"/>
        <v>142</v>
      </c>
      <c r="B153" s="643" t="s">
        <v>908</v>
      </c>
      <c r="C153" s="331" t="s">
        <v>909</v>
      </c>
      <c r="D153" s="409" t="s">
        <v>887</v>
      </c>
      <c r="E153" s="409" t="s">
        <v>888</v>
      </c>
      <c r="F153" s="810">
        <v>0</v>
      </c>
      <c r="G153" s="810">
        <v>0</v>
      </c>
      <c r="H153" s="810">
        <v>0</v>
      </c>
      <c r="I153" s="810">
        <v>0</v>
      </c>
      <c r="J153" s="810">
        <v>0</v>
      </c>
      <c r="K153" s="810">
        <v>0</v>
      </c>
      <c r="L153" s="810">
        <v>0</v>
      </c>
      <c r="M153" s="810"/>
    </row>
    <row r="154" spans="1:13" s="331" customFormat="1">
      <c r="A154" s="409">
        <f t="shared" si="6"/>
        <v>143</v>
      </c>
      <c r="B154" s="644" t="s">
        <v>910</v>
      </c>
      <c r="C154" s="331" t="s">
        <v>911</v>
      </c>
      <c r="D154" s="409" t="s">
        <v>912</v>
      </c>
      <c r="E154" s="409" t="s">
        <v>888</v>
      </c>
      <c r="F154" s="810">
        <v>2923.03</v>
      </c>
      <c r="G154" s="810">
        <v>414.05</v>
      </c>
      <c r="H154" s="810">
        <v>4464.75</v>
      </c>
      <c r="I154" s="810">
        <v>7801.83</v>
      </c>
      <c r="J154" s="810">
        <v>394.6</v>
      </c>
      <c r="K154" s="810">
        <v>573.35</v>
      </c>
      <c r="L154" s="810">
        <v>524.80999999999995</v>
      </c>
      <c r="M154" s="810"/>
    </row>
    <row r="155" spans="1:13" s="331" customFormat="1">
      <c r="A155" s="409">
        <f t="shared" si="6"/>
        <v>144</v>
      </c>
      <c r="B155" s="331" t="s">
        <v>913</v>
      </c>
      <c r="C155" s="331" t="s">
        <v>914</v>
      </c>
      <c r="D155" s="409" t="s">
        <v>907</v>
      </c>
      <c r="E155" s="409" t="s">
        <v>888</v>
      </c>
      <c r="F155" s="810">
        <v>37085.370000000003</v>
      </c>
      <c r="G155" s="810">
        <v>50943.040000000001</v>
      </c>
      <c r="H155" s="810">
        <v>34328.199999999997</v>
      </c>
      <c r="I155" s="810">
        <v>122356.61</v>
      </c>
      <c r="J155" s="810">
        <v>8809.61</v>
      </c>
      <c r="K155" s="810">
        <v>10720.09</v>
      </c>
      <c r="L155" s="810">
        <v>9648.32</v>
      </c>
      <c r="M155" s="810"/>
    </row>
    <row r="156" spans="1:13" s="331" customFormat="1">
      <c r="A156" s="409">
        <f t="shared" si="6"/>
        <v>145</v>
      </c>
      <c r="B156" s="331" t="s">
        <v>915</v>
      </c>
      <c r="C156" s="331" t="s">
        <v>916</v>
      </c>
      <c r="D156" s="409" t="s">
        <v>912</v>
      </c>
      <c r="E156" s="409" t="s">
        <v>888</v>
      </c>
      <c r="F156" s="810">
        <v>0</v>
      </c>
      <c r="G156" s="810">
        <v>0</v>
      </c>
      <c r="H156" s="810">
        <v>0</v>
      </c>
      <c r="I156" s="810">
        <v>0</v>
      </c>
      <c r="J156" s="810">
        <v>0</v>
      </c>
      <c r="K156" s="810">
        <v>0</v>
      </c>
      <c r="L156" s="810">
        <v>0</v>
      </c>
      <c r="M156" s="810"/>
    </row>
    <row r="157" spans="1:13" s="331" customFormat="1">
      <c r="A157" s="409">
        <f t="shared" si="6"/>
        <v>146</v>
      </c>
      <c r="B157" s="331" t="s">
        <v>917</v>
      </c>
      <c r="C157" s="331" t="s">
        <v>918</v>
      </c>
      <c r="D157" s="409" t="s">
        <v>904</v>
      </c>
      <c r="E157" s="409" t="s">
        <v>888</v>
      </c>
      <c r="F157" s="810">
        <v>0</v>
      </c>
      <c r="G157" s="810">
        <v>0</v>
      </c>
      <c r="H157" s="810">
        <v>0</v>
      </c>
      <c r="I157" s="810">
        <v>0</v>
      </c>
      <c r="J157" s="810">
        <v>0</v>
      </c>
      <c r="K157" s="810">
        <v>0</v>
      </c>
      <c r="L157" s="810">
        <v>0</v>
      </c>
      <c r="M157" s="810"/>
    </row>
    <row r="158" spans="1:13" s="331" customFormat="1">
      <c r="A158" s="409">
        <f t="shared" si="6"/>
        <v>147</v>
      </c>
      <c r="B158" s="331" t="s">
        <v>919</v>
      </c>
      <c r="C158" s="331" t="s">
        <v>920</v>
      </c>
      <c r="D158" s="409" t="s">
        <v>887</v>
      </c>
      <c r="E158" s="409" t="s">
        <v>888</v>
      </c>
      <c r="F158" s="810">
        <v>0</v>
      </c>
      <c r="G158" s="810">
        <v>0</v>
      </c>
      <c r="H158" s="810">
        <v>0</v>
      </c>
      <c r="I158" s="810">
        <v>0</v>
      </c>
      <c r="J158" s="810">
        <v>0</v>
      </c>
      <c r="K158" s="810">
        <v>0</v>
      </c>
      <c r="L158" s="810">
        <v>0</v>
      </c>
      <c r="M158" s="810"/>
    </row>
    <row r="159" spans="1:13" s="331" customFormat="1">
      <c r="A159" s="409">
        <f t="shared" si="6"/>
        <v>148</v>
      </c>
      <c r="B159" s="643" t="s">
        <v>921</v>
      </c>
      <c r="C159" s="331" t="s">
        <v>922</v>
      </c>
      <c r="D159" s="409" t="s">
        <v>891</v>
      </c>
      <c r="E159" s="409" t="s">
        <v>888</v>
      </c>
      <c r="F159" s="810">
        <v>0</v>
      </c>
      <c r="G159" s="810">
        <v>0</v>
      </c>
      <c r="H159" s="810">
        <v>0</v>
      </c>
      <c r="I159" s="810">
        <v>0</v>
      </c>
      <c r="J159" s="810">
        <v>0</v>
      </c>
      <c r="K159" s="810">
        <v>0</v>
      </c>
      <c r="L159" s="810">
        <v>0</v>
      </c>
      <c r="M159" s="810"/>
    </row>
    <row r="160" spans="1:13" s="331" customFormat="1">
      <c r="A160" s="409">
        <f t="shared" si="6"/>
        <v>149</v>
      </c>
      <c r="B160" s="331" t="s">
        <v>923</v>
      </c>
      <c r="C160" s="331" t="s">
        <v>924</v>
      </c>
      <c r="D160" s="409" t="s">
        <v>925</v>
      </c>
      <c r="E160" s="409" t="s">
        <v>926</v>
      </c>
      <c r="F160" s="810">
        <v>0</v>
      </c>
      <c r="G160" s="810">
        <v>0</v>
      </c>
      <c r="H160" s="810">
        <v>0</v>
      </c>
      <c r="I160" s="810">
        <v>0</v>
      </c>
      <c r="J160" s="810">
        <v>0</v>
      </c>
      <c r="K160" s="810">
        <v>0</v>
      </c>
      <c r="L160" s="810">
        <v>0</v>
      </c>
      <c r="M160" s="810"/>
    </row>
    <row r="161" spans="1:13" s="331" customFormat="1">
      <c r="A161" s="409">
        <f t="shared" si="6"/>
        <v>150</v>
      </c>
      <c r="B161" s="331" t="s">
        <v>927</v>
      </c>
      <c r="C161" s="331" t="s">
        <v>928</v>
      </c>
      <c r="D161" s="409" t="s">
        <v>929</v>
      </c>
      <c r="E161" s="409" t="s">
        <v>926</v>
      </c>
      <c r="F161" s="810">
        <v>0</v>
      </c>
      <c r="G161" s="810">
        <v>0</v>
      </c>
      <c r="H161" s="810">
        <v>0</v>
      </c>
      <c r="I161" s="810">
        <v>0</v>
      </c>
      <c r="J161" s="810">
        <v>0</v>
      </c>
      <c r="K161" s="810">
        <v>0</v>
      </c>
      <c r="L161" s="810">
        <v>0</v>
      </c>
      <c r="M161" s="810"/>
    </row>
    <row r="162" spans="1:13" s="331" customFormat="1">
      <c r="A162" s="409">
        <f t="shared" si="6"/>
        <v>151</v>
      </c>
      <c r="B162" s="331" t="s">
        <v>930</v>
      </c>
      <c r="C162" s="331" t="s">
        <v>931</v>
      </c>
      <c r="D162" s="409" t="s">
        <v>932</v>
      </c>
      <c r="E162" s="409" t="s">
        <v>888</v>
      </c>
      <c r="F162" s="810">
        <v>0</v>
      </c>
      <c r="G162" s="810">
        <v>0</v>
      </c>
      <c r="H162" s="810">
        <v>0</v>
      </c>
      <c r="I162" s="810">
        <v>0</v>
      </c>
      <c r="J162" s="810">
        <v>0</v>
      </c>
      <c r="K162" s="810">
        <v>0</v>
      </c>
      <c r="L162" s="810">
        <v>0</v>
      </c>
      <c r="M162" s="810"/>
    </row>
    <row r="163" spans="1:13" s="331" customFormat="1">
      <c r="A163" s="409">
        <f t="shared" si="6"/>
        <v>152</v>
      </c>
      <c r="B163" s="331" t="s">
        <v>933</v>
      </c>
      <c r="C163" s="331" t="s">
        <v>934</v>
      </c>
      <c r="D163" s="409" t="s">
        <v>935</v>
      </c>
      <c r="E163" s="409" t="s">
        <v>888</v>
      </c>
      <c r="F163" s="810">
        <v>0</v>
      </c>
      <c r="G163" s="810">
        <v>0</v>
      </c>
      <c r="H163" s="810">
        <v>0</v>
      </c>
      <c r="I163" s="810">
        <v>0</v>
      </c>
      <c r="J163" s="810">
        <v>0</v>
      </c>
      <c r="K163" s="810">
        <v>0</v>
      </c>
      <c r="L163" s="810">
        <v>0</v>
      </c>
      <c r="M163" s="810"/>
    </row>
    <row r="164" spans="1:13" s="331" customFormat="1">
      <c r="A164" s="409">
        <f t="shared" si="6"/>
        <v>153</v>
      </c>
      <c r="B164" s="331" t="s">
        <v>936</v>
      </c>
      <c r="C164" s="331" t="s">
        <v>937</v>
      </c>
      <c r="D164" s="409" t="s">
        <v>938</v>
      </c>
      <c r="E164" s="409"/>
      <c r="F164" s="810">
        <v>1283.8800000000001</v>
      </c>
      <c r="G164" s="810">
        <v>634.1</v>
      </c>
      <c r="H164" s="810">
        <v>652.21</v>
      </c>
      <c r="I164" s="810">
        <v>2570.19</v>
      </c>
      <c r="J164" s="810">
        <v>0</v>
      </c>
      <c r="K164" s="810">
        <v>0</v>
      </c>
      <c r="L164" s="810">
        <v>0</v>
      </c>
      <c r="M164" s="810"/>
    </row>
    <row r="165" spans="1:13" s="331" customFormat="1">
      <c r="A165" s="409">
        <f t="shared" si="6"/>
        <v>154</v>
      </c>
      <c r="B165" s="331" t="s">
        <v>939</v>
      </c>
      <c r="C165" s="331" t="s">
        <v>940</v>
      </c>
      <c r="D165" s="409" t="s">
        <v>929</v>
      </c>
      <c r="E165" s="409" t="s">
        <v>926</v>
      </c>
      <c r="F165" s="810">
        <v>8636.34</v>
      </c>
      <c r="G165" s="810">
        <v>2235.35</v>
      </c>
      <c r="H165" s="810">
        <v>9154.93</v>
      </c>
      <c r="I165" s="810">
        <v>20026.620000000003</v>
      </c>
      <c r="J165" s="810">
        <v>317.12</v>
      </c>
      <c r="K165" s="810">
        <v>499.38</v>
      </c>
      <c r="L165" s="810">
        <v>499.39</v>
      </c>
      <c r="M165" s="810"/>
    </row>
    <row r="166" spans="1:13" s="331" customFormat="1">
      <c r="A166" s="409">
        <f t="shared" si="6"/>
        <v>155</v>
      </c>
      <c r="B166" s="645" t="s">
        <v>945</v>
      </c>
      <c r="D166" s="409"/>
      <c r="E166" s="409"/>
      <c r="F166" s="811">
        <v>49928.619999999995</v>
      </c>
      <c r="G166" s="811">
        <v>54226.54</v>
      </c>
      <c r="H166" s="811">
        <v>48600.09</v>
      </c>
      <c r="I166" s="811">
        <v>152755.25</v>
      </c>
      <c r="J166" s="811">
        <v>9521.3300000000017</v>
      </c>
      <c r="K166" s="811">
        <v>11792.82</v>
      </c>
      <c r="L166" s="811">
        <v>10672.519999999999</v>
      </c>
      <c r="M166" s="811">
        <v>-1775683.33</v>
      </c>
    </row>
    <row r="167" spans="1:13" s="331" customFormat="1">
      <c r="A167" s="409">
        <f t="shared" si="6"/>
        <v>156</v>
      </c>
      <c r="D167" s="409"/>
      <c r="E167" s="409"/>
    </row>
    <row r="168" spans="1:13" s="331" customFormat="1">
      <c r="A168" s="409">
        <f t="shared" si="6"/>
        <v>157</v>
      </c>
      <c r="B168" s="699" t="s">
        <v>194</v>
      </c>
      <c r="C168" s="697"/>
      <c r="D168" s="697"/>
      <c r="E168" s="809">
        <f>+'[5]II-F Alloc_Factor'!$L$38</f>
        <v>1.5560787538446273E-2</v>
      </c>
      <c r="F168" s="698"/>
      <c r="G168" s="698"/>
      <c r="H168" s="698"/>
      <c r="I168" s="698"/>
      <c r="J168" s="698"/>
      <c r="K168" s="698"/>
      <c r="L168" s="698"/>
      <c r="M168" s="698"/>
    </row>
    <row r="169" spans="1:13" s="331" customFormat="1">
      <c r="A169" s="409">
        <f t="shared" si="6"/>
        <v>158</v>
      </c>
      <c r="B169" s="643" t="s">
        <v>885</v>
      </c>
      <c r="C169" s="331" t="s">
        <v>886</v>
      </c>
      <c r="D169" s="409" t="s">
        <v>887</v>
      </c>
      <c r="E169" s="409" t="s">
        <v>888</v>
      </c>
      <c r="F169" s="810">
        <v>72923.78</v>
      </c>
      <c r="G169" s="810">
        <v>19247.3</v>
      </c>
      <c r="H169" s="810">
        <v>61999.839999999997</v>
      </c>
      <c r="I169" s="810">
        <v>154170.91999999998</v>
      </c>
      <c r="J169" s="810">
        <v>22293.33</v>
      </c>
      <c r="K169" s="810">
        <v>29431.23</v>
      </c>
      <c r="L169" s="810">
        <v>21205.78</v>
      </c>
      <c r="M169" s="810"/>
    </row>
    <row r="170" spans="1:13" s="331" customFormat="1">
      <c r="A170" s="409">
        <f t="shared" si="6"/>
        <v>159</v>
      </c>
      <c r="B170" s="643" t="s">
        <v>889</v>
      </c>
      <c r="C170" s="331" t="s">
        <v>890</v>
      </c>
      <c r="D170" s="409" t="s">
        <v>891</v>
      </c>
      <c r="E170" s="409" t="s">
        <v>888</v>
      </c>
      <c r="F170" s="810">
        <v>367893.78</v>
      </c>
      <c r="G170" s="810">
        <v>194954.22</v>
      </c>
      <c r="H170" s="810">
        <v>334946.08</v>
      </c>
      <c r="I170" s="810">
        <v>897794.08000000007</v>
      </c>
      <c r="J170" s="810">
        <v>176515.8</v>
      </c>
      <c r="K170" s="810">
        <v>204811.83</v>
      </c>
      <c r="L170" s="810">
        <v>134910.29</v>
      </c>
      <c r="M170" s="810"/>
    </row>
    <row r="171" spans="1:13" s="331" customFormat="1">
      <c r="A171" s="409">
        <f t="shared" si="6"/>
        <v>160</v>
      </c>
      <c r="B171" s="643" t="s">
        <v>1110</v>
      </c>
      <c r="C171" s="331" t="s">
        <v>1111</v>
      </c>
      <c r="D171" s="409" t="s">
        <v>891</v>
      </c>
      <c r="E171" s="409" t="s">
        <v>888</v>
      </c>
      <c r="F171" s="810">
        <v>0</v>
      </c>
      <c r="G171" s="810">
        <v>0</v>
      </c>
      <c r="H171" s="810">
        <v>108.47</v>
      </c>
      <c r="I171" s="810">
        <v>108.47</v>
      </c>
      <c r="J171" s="810">
        <v>39.15</v>
      </c>
      <c r="K171" s="810">
        <v>27.73</v>
      </c>
      <c r="L171" s="810">
        <v>16.64</v>
      </c>
      <c r="M171" s="810"/>
    </row>
    <row r="172" spans="1:13" s="331" customFormat="1">
      <c r="A172" s="409">
        <f t="shared" si="6"/>
        <v>161</v>
      </c>
      <c r="B172" s="643" t="s">
        <v>892</v>
      </c>
      <c r="C172" s="331" t="s">
        <v>893</v>
      </c>
      <c r="D172" s="409" t="s">
        <v>891</v>
      </c>
      <c r="E172" s="409" t="s">
        <v>888</v>
      </c>
      <c r="F172" s="810">
        <v>0</v>
      </c>
      <c r="G172" s="810">
        <v>0</v>
      </c>
      <c r="H172" s="810">
        <v>0</v>
      </c>
      <c r="I172" s="810">
        <v>0</v>
      </c>
      <c r="J172" s="810">
        <v>0</v>
      </c>
      <c r="K172" s="810">
        <v>0</v>
      </c>
      <c r="L172" s="810">
        <v>0</v>
      </c>
      <c r="M172" s="810"/>
    </row>
    <row r="173" spans="1:13" s="331" customFormat="1">
      <c r="A173" s="409">
        <f t="shared" si="6"/>
        <v>162</v>
      </c>
      <c r="B173" s="643" t="s">
        <v>894</v>
      </c>
      <c r="C173" s="331" t="s">
        <v>895</v>
      </c>
      <c r="D173" s="409" t="s">
        <v>891</v>
      </c>
      <c r="E173" s="409" t="s">
        <v>888</v>
      </c>
      <c r="F173" s="810">
        <v>10524.81</v>
      </c>
      <c r="G173" s="810">
        <v>10306.709999999999</v>
      </c>
      <c r="H173" s="810">
        <v>3386.82</v>
      </c>
      <c r="I173" s="810">
        <v>24218.339999999997</v>
      </c>
      <c r="J173" s="810">
        <v>5882.8</v>
      </c>
      <c r="K173" s="810">
        <v>4627.8100000000004</v>
      </c>
      <c r="L173" s="810">
        <v>3092.72</v>
      </c>
      <c r="M173" s="810"/>
    </row>
    <row r="174" spans="1:13" s="331" customFormat="1">
      <c r="A174" s="409">
        <f t="shared" si="6"/>
        <v>163</v>
      </c>
      <c r="B174" s="643" t="s">
        <v>896</v>
      </c>
      <c r="C174" s="331" t="s">
        <v>897</v>
      </c>
      <c r="D174" s="409" t="s">
        <v>891</v>
      </c>
      <c r="E174" s="409" t="s">
        <v>888</v>
      </c>
      <c r="F174" s="810">
        <v>0</v>
      </c>
      <c r="G174" s="810">
        <v>0</v>
      </c>
      <c r="H174" s="810">
        <v>0</v>
      </c>
      <c r="I174" s="810">
        <v>0</v>
      </c>
      <c r="J174" s="810">
        <v>0</v>
      </c>
      <c r="K174" s="810">
        <v>0</v>
      </c>
      <c r="L174" s="810">
        <v>0</v>
      </c>
      <c r="M174" s="810"/>
    </row>
    <row r="175" spans="1:13" s="331" customFormat="1">
      <c r="A175" s="409">
        <f t="shared" si="6"/>
        <v>164</v>
      </c>
      <c r="B175" s="643" t="s">
        <v>898</v>
      </c>
      <c r="C175" s="331" t="s">
        <v>899</v>
      </c>
      <c r="D175" s="409" t="s">
        <v>891</v>
      </c>
      <c r="E175" s="409" t="s">
        <v>888</v>
      </c>
      <c r="F175" s="810">
        <v>1062.02</v>
      </c>
      <c r="G175" s="810">
        <v>3117.82</v>
      </c>
      <c r="H175" s="810">
        <v>40876.199999999997</v>
      </c>
      <c r="I175" s="810">
        <v>45056.039999999994</v>
      </c>
      <c r="J175" s="810">
        <v>3273.29</v>
      </c>
      <c r="K175" s="810">
        <v>16267.69</v>
      </c>
      <c r="L175" s="810">
        <v>9795.7800000000007</v>
      </c>
      <c r="M175" s="810"/>
    </row>
    <row r="176" spans="1:13" s="331" customFormat="1">
      <c r="A176" s="409">
        <f t="shared" si="6"/>
        <v>165</v>
      </c>
      <c r="B176" s="643" t="s">
        <v>900</v>
      </c>
      <c r="C176" s="331" t="s">
        <v>901</v>
      </c>
      <c r="D176" s="409" t="s">
        <v>891</v>
      </c>
      <c r="E176" s="409" t="s">
        <v>888</v>
      </c>
      <c r="F176" s="810">
        <v>6206.37</v>
      </c>
      <c r="G176" s="810">
        <v>16402.39</v>
      </c>
      <c r="H176" s="810">
        <v>8914.26</v>
      </c>
      <c r="I176" s="810">
        <v>31523.019999999997</v>
      </c>
      <c r="J176" s="810">
        <v>7292.89</v>
      </c>
      <c r="K176" s="810">
        <v>7193.68</v>
      </c>
      <c r="L176" s="810">
        <v>4534.17</v>
      </c>
      <c r="M176" s="810"/>
    </row>
    <row r="177" spans="1:13" s="331" customFormat="1">
      <c r="A177" s="409">
        <f t="shared" si="6"/>
        <v>166</v>
      </c>
      <c r="B177" s="643" t="s">
        <v>902</v>
      </c>
      <c r="C177" s="331" t="s">
        <v>903</v>
      </c>
      <c r="D177" s="409" t="s">
        <v>904</v>
      </c>
      <c r="E177" s="409" t="s">
        <v>888</v>
      </c>
      <c r="F177" s="810">
        <v>0</v>
      </c>
      <c r="G177" s="810">
        <v>0</v>
      </c>
      <c r="H177" s="810">
        <v>32.909999999999997</v>
      </c>
      <c r="I177" s="810">
        <v>32.909999999999997</v>
      </c>
      <c r="J177" s="810">
        <v>0.82</v>
      </c>
      <c r="K177" s="810">
        <v>6.42</v>
      </c>
      <c r="L177" s="810">
        <v>5.13</v>
      </c>
      <c r="M177" s="810"/>
    </row>
    <row r="178" spans="1:13" s="331" customFormat="1">
      <c r="A178" s="409">
        <f t="shared" si="6"/>
        <v>167</v>
      </c>
      <c r="B178" s="643" t="s">
        <v>905</v>
      </c>
      <c r="C178" s="331" t="s">
        <v>906</v>
      </c>
      <c r="D178" s="409" t="s">
        <v>907</v>
      </c>
      <c r="E178" s="409" t="s">
        <v>888</v>
      </c>
      <c r="F178" s="810">
        <v>854089.43</v>
      </c>
      <c r="G178" s="810">
        <v>1389116.49</v>
      </c>
      <c r="H178" s="810">
        <v>2157772.2599999998</v>
      </c>
      <c r="I178" s="810">
        <v>4400978.18</v>
      </c>
      <c r="J178" s="810">
        <v>282921.36</v>
      </c>
      <c r="K178" s="810">
        <v>393194.34</v>
      </c>
      <c r="L178" s="810">
        <v>354557.63</v>
      </c>
      <c r="M178" s="810"/>
    </row>
    <row r="179" spans="1:13" s="331" customFormat="1">
      <c r="A179" s="409">
        <f t="shared" si="6"/>
        <v>168</v>
      </c>
      <c r="B179" s="643" t="s">
        <v>908</v>
      </c>
      <c r="C179" s="331" t="s">
        <v>909</v>
      </c>
      <c r="D179" s="409" t="s">
        <v>887</v>
      </c>
      <c r="E179" s="409" t="s">
        <v>888</v>
      </c>
      <c r="F179" s="810">
        <v>0</v>
      </c>
      <c r="G179" s="810">
        <v>0</v>
      </c>
      <c r="H179" s="810">
        <v>0</v>
      </c>
      <c r="I179" s="810">
        <v>0</v>
      </c>
      <c r="J179" s="810">
        <v>0</v>
      </c>
      <c r="K179" s="810">
        <v>0</v>
      </c>
      <c r="L179" s="810">
        <v>0</v>
      </c>
      <c r="M179" s="810"/>
    </row>
    <row r="180" spans="1:13" s="331" customFormat="1">
      <c r="A180" s="409">
        <f t="shared" si="6"/>
        <v>169</v>
      </c>
      <c r="B180" s="644" t="s">
        <v>910</v>
      </c>
      <c r="C180" s="331" t="s">
        <v>911</v>
      </c>
      <c r="D180" s="409" t="s">
        <v>912</v>
      </c>
      <c r="E180" s="409" t="s">
        <v>888</v>
      </c>
      <c r="F180" s="810">
        <v>15959173.529999999</v>
      </c>
      <c r="G180" s="810">
        <v>21393355.920000002</v>
      </c>
      <c r="H180" s="810">
        <v>26141089.34</v>
      </c>
      <c r="I180" s="810">
        <v>63493618.790000007</v>
      </c>
      <c r="J180" s="810">
        <v>3548015.33</v>
      </c>
      <c r="K180" s="810">
        <v>4291183.29</v>
      </c>
      <c r="L180" s="810">
        <v>3969351.98</v>
      </c>
      <c r="M180" s="810"/>
    </row>
    <row r="181" spans="1:13" s="331" customFormat="1">
      <c r="A181" s="409">
        <f t="shared" si="6"/>
        <v>170</v>
      </c>
      <c r="B181" s="331" t="s">
        <v>913</v>
      </c>
      <c r="C181" s="331" t="s">
        <v>914</v>
      </c>
      <c r="D181" s="409" t="s">
        <v>907</v>
      </c>
      <c r="E181" s="409" t="s">
        <v>888</v>
      </c>
      <c r="F181" s="810">
        <v>12252647.41</v>
      </c>
      <c r="G181" s="810">
        <v>18284958.59</v>
      </c>
      <c r="H181" s="810">
        <v>26782446.550000001</v>
      </c>
      <c r="I181" s="810">
        <v>57320052.549999997</v>
      </c>
      <c r="J181" s="810">
        <v>3796232.47</v>
      </c>
      <c r="K181" s="810">
        <v>5088372.24</v>
      </c>
      <c r="L181" s="810">
        <v>4588519.09</v>
      </c>
      <c r="M181" s="810"/>
    </row>
    <row r="182" spans="1:13" s="331" customFormat="1">
      <c r="A182" s="409">
        <f t="shared" si="6"/>
        <v>171</v>
      </c>
      <c r="B182" s="331" t="s">
        <v>915</v>
      </c>
      <c r="C182" s="331" t="s">
        <v>916</v>
      </c>
      <c r="D182" s="409" t="s">
        <v>912</v>
      </c>
      <c r="E182" s="409" t="s">
        <v>888</v>
      </c>
      <c r="F182" s="810">
        <v>202872.5</v>
      </c>
      <c r="G182" s="810">
        <v>280306.36</v>
      </c>
      <c r="H182" s="810">
        <v>342115.52</v>
      </c>
      <c r="I182" s="810">
        <v>825294.38</v>
      </c>
      <c r="J182" s="810">
        <v>53233.56</v>
      </c>
      <c r="K182" s="810">
        <v>62266.7</v>
      </c>
      <c r="L182" s="810">
        <v>56702.26</v>
      </c>
      <c r="M182" s="810"/>
    </row>
    <row r="183" spans="1:13" s="331" customFormat="1">
      <c r="A183" s="409">
        <f t="shared" si="6"/>
        <v>172</v>
      </c>
      <c r="B183" s="331" t="s">
        <v>917</v>
      </c>
      <c r="C183" s="331" t="s">
        <v>918</v>
      </c>
      <c r="D183" s="409" t="s">
        <v>904</v>
      </c>
      <c r="E183" s="409" t="s">
        <v>888</v>
      </c>
      <c r="F183" s="810">
        <v>1249718.96</v>
      </c>
      <c r="G183" s="810">
        <v>1156159</v>
      </c>
      <c r="H183" s="810">
        <v>1208756.3999999999</v>
      </c>
      <c r="I183" s="810">
        <v>3614634.36</v>
      </c>
      <c r="J183" s="810">
        <v>459103.24</v>
      </c>
      <c r="K183" s="810">
        <v>490790.13</v>
      </c>
      <c r="L183" s="810">
        <v>402016.4</v>
      </c>
      <c r="M183" s="810"/>
    </row>
    <row r="184" spans="1:13" s="331" customFormat="1">
      <c r="A184" s="409">
        <f t="shared" si="6"/>
        <v>173</v>
      </c>
      <c r="B184" s="331" t="s">
        <v>919</v>
      </c>
      <c r="C184" s="331" t="s">
        <v>920</v>
      </c>
      <c r="D184" s="409" t="s">
        <v>887</v>
      </c>
      <c r="E184" s="409" t="s">
        <v>888</v>
      </c>
      <c r="F184" s="810">
        <v>502749.12</v>
      </c>
      <c r="G184" s="810">
        <v>721625.3</v>
      </c>
      <c r="H184" s="810">
        <v>806500.04</v>
      </c>
      <c r="I184" s="810">
        <v>2030874.46</v>
      </c>
      <c r="J184" s="810">
        <v>318094.56</v>
      </c>
      <c r="K184" s="810">
        <v>354100.5</v>
      </c>
      <c r="L184" s="810">
        <v>259368.54</v>
      </c>
      <c r="M184" s="810"/>
    </row>
    <row r="185" spans="1:13" s="331" customFormat="1">
      <c r="A185" s="409">
        <f t="shared" si="6"/>
        <v>174</v>
      </c>
      <c r="B185" s="643" t="s">
        <v>921</v>
      </c>
      <c r="C185" s="331" t="s">
        <v>922</v>
      </c>
      <c r="D185" s="409" t="s">
        <v>891</v>
      </c>
      <c r="E185" s="409" t="s">
        <v>888</v>
      </c>
      <c r="F185" s="810">
        <v>130842.31</v>
      </c>
      <c r="G185" s="810">
        <v>99090.59</v>
      </c>
      <c r="H185" s="810">
        <v>103671.72</v>
      </c>
      <c r="I185" s="810">
        <v>333604.62</v>
      </c>
      <c r="J185" s="810">
        <v>74179.37</v>
      </c>
      <c r="K185" s="810">
        <v>71052.47</v>
      </c>
      <c r="L185" s="810">
        <v>47107.360000000001</v>
      </c>
      <c r="M185" s="810"/>
    </row>
    <row r="186" spans="1:13" s="331" customFormat="1">
      <c r="A186" s="409">
        <f t="shared" si="6"/>
        <v>175</v>
      </c>
      <c r="B186" s="331" t="s">
        <v>923</v>
      </c>
      <c r="C186" s="331" t="s">
        <v>924</v>
      </c>
      <c r="D186" s="409" t="s">
        <v>925</v>
      </c>
      <c r="E186" s="409" t="s">
        <v>926</v>
      </c>
      <c r="F186" s="810">
        <v>0</v>
      </c>
      <c r="G186" s="810">
        <v>0</v>
      </c>
      <c r="H186" s="810">
        <v>0</v>
      </c>
      <c r="I186" s="810">
        <v>0</v>
      </c>
      <c r="J186" s="810">
        <v>0</v>
      </c>
      <c r="K186" s="810">
        <v>0</v>
      </c>
      <c r="L186" s="810">
        <v>0</v>
      </c>
      <c r="M186" s="810"/>
    </row>
    <row r="187" spans="1:13" s="331" customFormat="1">
      <c r="A187" s="409">
        <f t="shared" si="6"/>
        <v>176</v>
      </c>
      <c r="B187" s="331" t="s">
        <v>927</v>
      </c>
      <c r="C187" s="331" t="s">
        <v>928</v>
      </c>
      <c r="D187" s="409" t="s">
        <v>929</v>
      </c>
      <c r="E187" s="409" t="s">
        <v>926</v>
      </c>
      <c r="F187" s="810">
        <v>9.76</v>
      </c>
      <c r="G187" s="810">
        <v>1503.58</v>
      </c>
      <c r="H187" s="810">
        <v>6239.17</v>
      </c>
      <c r="I187" s="810">
        <v>7752.51</v>
      </c>
      <c r="J187" s="810">
        <v>112.11</v>
      </c>
      <c r="K187" s="810">
        <v>198.77</v>
      </c>
      <c r="L187" s="810">
        <v>198.79</v>
      </c>
      <c r="M187" s="810"/>
    </row>
    <row r="188" spans="1:13" s="331" customFormat="1">
      <c r="A188" s="409">
        <f t="shared" si="6"/>
        <v>177</v>
      </c>
      <c r="B188" s="331" t="s">
        <v>930</v>
      </c>
      <c r="C188" s="331" t="s">
        <v>931</v>
      </c>
      <c r="D188" s="409" t="s">
        <v>932</v>
      </c>
      <c r="E188" s="409" t="s">
        <v>888</v>
      </c>
      <c r="F188" s="810">
        <v>360035.42</v>
      </c>
      <c r="G188" s="810">
        <v>145847.72</v>
      </c>
      <c r="H188" s="810">
        <v>276561.18</v>
      </c>
      <c r="I188" s="810">
        <v>782444.32000000007</v>
      </c>
      <c r="J188" s="810">
        <v>16665.78</v>
      </c>
      <c r="K188" s="810">
        <v>17295.54</v>
      </c>
      <c r="L188" s="810">
        <v>17262.45</v>
      </c>
      <c r="M188" s="810"/>
    </row>
    <row r="189" spans="1:13" s="331" customFormat="1">
      <c r="A189" s="409">
        <f t="shared" si="6"/>
        <v>178</v>
      </c>
      <c r="B189" s="331" t="s">
        <v>933</v>
      </c>
      <c r="C189" s="331" t="s">
        <v>934</v>
      </c>
      <c r="D189" s="409" t="s">
        <v>935</v>
      </c>
      <c r="E189" s="409" t="s">
        <v>888</v>
      </c>
      <c r="F189" s="810">
        <v>286849.26</v>
      </c>
      <c r="G189" s="810">
        <v>190324.4</v>
      </c>
      <c r="H189" s="810">
        <v>294297.87</v>
      </c>
      <c r="I189" s="810">
        <v>771471.53</v>
      </c>
      <c r="J189" s="810">
        <v>27949.07</v>
      </c>
      <c r="K189" s="810">
        <v>28374.46</v>
      </c>
      <c r="L189" s="810">
        <v>26117.200000000001</v>
      </c>
      <c r="M189" s="810"/>
    </row>
    <row r="190" spans="1:13" s="331" customFormat="1">
      <c r="A190" s="409">
        <f t="shared" si="6"/>
        <v>179</v>
      </c>
      <c r="B190" s="331" t="s">
        <v>936</v>
      </c>
      <c r="C190" s="331" t="s">
        <v>937</v>
      </c>
      <c r="D190" s="409" t="s">
        <v>938</v>
      </c>
      <c r="E190" s="409"/>
      <c r="F190" s="810">
        <v>689466</v>
      </c>
      <c r="G190" s="810">
        <v>661677.26</v>
      </c>
      <c r="H190" s="810">
        <v>69750.509999999995</v>
      </c>
      <c r="I190" s="810">
        <v>1420893.77</v>
      </c>
      <c r="J190" s="810">
        <v>0</v>
      </c>
      <c r="K190" s="810">
        <v>0</v>
      </c>
      <c r="L190" s="810">
        <v>0</v>
      </c>
      <c r="M190" s="810"/>
    </row>
    <row r="191" spans="1:13" s="331" customFormat="1">
      <c r="A191" s="409">
        <f t="shared" si="6"/>
        <v>180</v>
      </c>
      <c r="B191" s="331" t="s">
        <v>939</v>
      </c>
      <c r="C191" s="331" t="s">
        <v>940</v>
      </c>
      <c r="D191" s="409" t="s">
        <v>929</v>
      </c>
      <c r="E191" s="409" t="s">
        <v>926</v>
      </c>
      <c r="F191" s="810">
        <v>914103.78</v>
      </c>
      <c r="G191" s="810">
        <v>1227983.99</v>
      </c>
      <c r="H191" s="810">
        <v>1687278.81</v>
      </c>
      <c r="I191" s="810">
        <v>3829366.58</v>
      </c>
      <c r="J191" s="810">
        <v>65210.77</v>
      </c>
      <c r="K191" s="810">
        <v>98182.48</v>
      </c>
      <c r="L191" s="810">
        <v>98183.13</v>
      </c>
      <c r="M191" s="810"/>
    </row>
    <row r="192" spans="1:13" s="331" customFormat="1">
      <c r="A192" s="409">
        <f t="shared" si="6"/>
        <v>181</v>
      </c>
      <c r="B192" s="645" t="s">
        <v>946</v>
      </c>
      <c r="D192" s="409"/>
      <c r="E192" s="409"/>
      <c r="F192" s="811">
        <v>33861168.240000002</v>
      </c>
      <c r="G192" s="811">
        <v>45795977.639999993</v>
      </c>
      <c r="H192" s="811">
        <v>60326743.950000003</v>
      </c>
      <c r="I192" s="811">
        <v>139983889.83000001</v>
      </c>
      <c r="J192" s="811">
        <v>8857015.6999999974</v>
      </c>
      <c r="K192" s="811">
        <v>11157377.310000001</v>
      </c>
      <c r="L192" s="811">
        <v>9992945.339999998</v>
      </c>
      <c r="M192" s="811">
        <v>93214.21</v>
      </c>
    </row>
    <row r="193" spans="1:13" s="331" customFormat="1">
      <c r="A193" s="409">
        <f t="shared" si="6"/>
        <v>182</v>
      </c>
      <c r="D193" s="409"/>
      <c r="E193" s="409"/>
    </row>
    <row r="194" spans="1:13" s="331" customFormat="1">
      <c r="A194" s="409">
        <f t="shared" si="6"/>
        <v>183</v>
      </c>
      <c r="B194" s="699" t="s">
        <v>279</v>
      </c>
      <c r="C194" s="697"/>
      <c r="D194" s="697"/>
      <c r="E194" s="809">
        <f>+'[5]II-F Alloc_Factor'!$M$38</f>
        <v>1.0286846211492508E-2</v>
      </c>
      <c r="F194" s="698"/>
      <c r="G194" s="698"/>
      <c r="H194" s="698"/>
      <c r="I194" s="698"/>
      <c r="J194" s="698"/>
      <c r="K194" s="698"/>
      <c r="L194" s="698"/>
      <c r="M194" s="698"/>
    </row>
    <row r="195" spans="1:13" s="331" customFormat="1">
      <c r="A195" s="409">
        <f t="shared" si="6"/>
        <v>184</v>
      </c>
      <c r="B195" s="643" t="s">
        <v>885</v>
      </c>
      <c r="C195" s="331" t="s">
        <v>886</v>
      </c>
      <c r="D195" s="409" t="s">
        <v>887</v>
      </c>
      <c r="E195" s="409" t="s">
        <v>888</v>
      </c>
      <c r="F195" s="810">
        <v>49835.88</v>
      </c>
      <c r="G195" s="810">
        <v>13153.54</v>
      </c>
      <c r="H195" s="810">
        <v>42370.5</v>
      </c>
      <c r="I195" s="810">
        <v>105359.92</v>
      </c>
      <c r="J195" s="810">
        <v>15235.19</v>
      </c>
      <c r="K195" s="810">
        <v>20113.21</v>
      </c>
      <c r="L195" s="810">
        <v>14491.96</v>
      </c>
      <c r="M195" s="810"/>
    </row>
    <row r="196" spans="1:13" s="331" customFormat="1">
      <c r="A196" s="409">
        <f t="shared" si="6"/>
        <v>185</v>
      </c>
      <c r="B196" s="643" t="s">
        <v>889</v>
      </c>
      <c r="C196" s="331" t="s">
        <v>890</v>
      </c>
      <c r="D196" s="409" t="s">
        <v>891</v>
      </c>
      <c r="E196" s="409" t="s">
        <v>888</v>
      </c>
      <c r="F196" s="810">
        <v>251417.46</v>
      </c>
      <c r="G196" s="810">
        <v>133231.1</v>
      </c>
      <c r="H196" s="810">
        <v>228901.1</v>
      </c>
      <c r="I196" s="810">
        <v>613549.66</v>
      </c>
      <c r="J196" s="810">
        <v>120630.35</v>
      </c>
      <c r="K196" s="810">
        <v>139967.76</v>
      </c>
      <c r="L196" s="810">
        <v>92197.27</v>
      </c>
      <c r="M196" s="810"/>
    </row>
    <row r="197" spans="1:13" s="331" customFormat="1">
      <c r="A197" s="409">
        <f t="shared" si="6"/>
        <v>186</v>
      </c>
      <c r="B197" s="643" t="s">
        <v>1110</v>
      </c>
      <c r="C197" s="331" t="s">
        <v>1111</v>
      </c>
      <c r="D197" s="409" t="s">
        <v>891</v>
      </c>
      <c r="E197" s="409" t="s">
        <v>888</v>
      </c>
      <c r="F197" s="810">
        <v>0</v>
      </c>
      <c r="G197" s="810">
        <v>0</v>
      </c>
      <c r="H197" s="810">
        <v>74.13</v>
      </c>
      <c r="I197" s="810">
        <v>74.13</v>
      </c>
      <c r="J197" s="810">
        <v>26.76</v>
      </c>
      <c r="K197" s="810">
        <v>18.95</v>
      </c>
      <c r="L197" s="810">
        <v>11.37</v>
      </c>
      <c r="M197" s="810"/>
    </row>
    <row r="198" spans="1:13" s="331" customFormat="1">
      <c r="A198" s="409">
        <f t="shared" si="6"/>
        <v>187</v>
      </c>
      <c r="B198" s="643" t="s">
        <v>892</v>
      </c>
      <c r="C198" s="331" t="s">
        <v>893</v>
      </c>
      <c r="D198" s="409" t="s">
        <v>891</v>
      </c>
      <c r="E198" s="409" t="s">
        <v>888</v>
      </c>
      <c r="F198" s="810">
        <v>0</v>
      </c>
      <c r="G198" s="810">
        <v>0</v>
      </c>
      <c r="H198" s="810">
        <v>0</v>
      </c>
      <c r="I198" s="810">
        <v>0</v>
      </c>
      <c r="J198" s="810">
        <v>0</v>
      </c>
      <c r="K198" s="810">
        <v>0</v>
      </c>
      <c r="L198" s="810">
        <v>0</v>
      </c>
      <c r="M198" s="810"/>
    </row>
    <row r="199" spans="1:13" s="331" customFormat="1">
      <c r="A199" s="409">
        <f t="shared" si="6"/>
        <v>188</v>
      </c>
      <c r="B199" s="643" t="s">
        <v>894</v>
      </c>
      <c r="C199" s="331" t="s">
        <v>895</v>
      </c>
      <c r="D199" s="409" t="s">
        <v>891</v>
      </c>
      <c r="E199" s="409" t="s">
        <v>888</v>
      </c>
      <c r="F199" s="810">
        <v>7192.62</v>
      </c>
      <c r="G199" s="810">
        <v>7043.57</v>
      </c>
      <c r="H199" s="810">
        <v>2314.54</v>
      </c>
      <c r="I199" s="810">
        <v>16550.73</v>
      </c>
      <c r="J199" s="810">
        <v>4020.28</v>
      </c>
      <c r="K199" s="810">
        <v>3162.63</v>
      </c>
      <c r="L199" s="810">
        <v>2113.5500000000002</v>
      </c>
      <c r="M199" s="810"/>
    </row>
    <row r="200" spans="1:13" s="331" customFormat="1">
      <c r="A200" s="409">
        <f t="shared" si="6"/>
        <v>189</v>
      </c>
      <c r="B200" s="643" t="s">
        <v>896</v>
      </c>
      <c r="C200" s="331" t="s">
        <v>897</v>
      </c>
      <c r="D200" s="409" t="s">
        <v>891</v>
      </c>
      <c r="E200" s="409" t="s">
        <v>888</v>
      </c>
      <c r="F200" s="810">
        <v>0</v>
      </c>
      <c r="G200" s="810">
        <v>0</v>
      </c>
      <c r="H200" s="810">
        <v>0</v>
      </c>
      <c r="I200" s="810">
        <v>0</v>
      </c>
      <c r="J200" s="810">
        <v>0</v>
      </c>
      <c r="K200" s="810">
        <v>0</v>
      </c>
      <c r="L200" s="810">
        <v>0</v>
      </c>
      <c r="M200" s="810"/>
    </row>
    <row r="201" spans="1:13" s="331" customFormat="1">
      <c r="A201" s="409">
        <f t="shared" si="6"/>
        <v>190</v>
      </c>
      <c r="B201" s="643" t="s">
        <v>898</v>
      </c>
      <c r="C201" s="331" t="s">
        <v>899</v>
      </c>
      <c r="D201" s="409" t="s">
        <v>891</v>
      </c>
      <c r="E201" s="409" t="s">
        <v>888</v>
      </c>
      <c r="F201" s="810">
        <v>725.78</v>
      </c>
      <c r="G201" s="810">
        <v>2130.71</v>
      </c>
      <c r="H201" s="810">
        <v>27934.67</v>
      </c>
      <c r="I201" s="810">
        <v>30791.159999999996</v>
      </c>
      <c r="J201" s="810">
        <v>2236.96</v>
      </c>
      <c r="K201" s="810">
        <v>11117.29</v>
      </c>
      <c r="L201" s="810">
        <v>6694.41</v>
      </c>
      <c r="M201" s="810"/>
    </row>
    <row r="202" spans="1:13" s="331" customFormat="1">
      <c r="A202" s="409">
        <f t="shared" si="6"/>
        <v>191</v>
      </c>
      <c r="B202" s="643" t="s">
        <v>900</v>
      </c>
      <c r="C202" s="331" t="s">
        <v>901</v>
      </c>
      <c r="D202" s="409" t="s">
        <v>891</v>
      </c>
      <c r="E202" s="409" t="s">
        <v>888</v>
      </c>
      <c r="F202" s="810">
        <v>4241.42</v>
      </c>
      <c r="G202" s="810">
        <v>11209.34</v>
      </c>
      <c r="H202" s="810">
        <v>6091.98</v>
      </c>
      <c r="I202" s="810">
        <v>21542.739999999998</v>
      </c>
      <c r="J202" s="810">
        <v>4983.9399999999996</v>
      </c>
      <c r="K202" s="810">
        <v>4916.1400000000003</v>
      </c>
      <c r="L202" s="810">
        <v>3098.64</v>
      </c>
      <c r="M202" s="810"/>
    </row>
    <row r="203" spans="1:13" s="331" customFormat="1">
      <c r="A203" s="409">
        <f t="shared" si="6"/>
        <v>192</v>
      </c>
      <c r="B203" s="643" t="s">
        <v>902</v>
      </c>
      <c r="C203" s="331" t="s">
        <v>903</v>
      </c>
      <c r="D203" s="409" t="s">
        <v>904</v>
      </c>
      <c r="E203" s="409" t="s">
        <v>888</v>
      </c>
      <c r="F203" s="810">
        <v>0</v>
      </c>
      <c r="G203" s="810">
        <v>0</v>
      </c>
      <c r="H203" s="810">
        <v>22.49</v>
      </c>
      <c r="I203" s="810">
        <v>22.49</v>
      </c>
      <c r="J203" s="810">
        <v>0.56000000000000005</v>
      </c>
      <c r="K203" s="810">
        <v>4.3899999999999997</v>
      </c>
      <c r="L203" s="810">
        <v>3.51</v>
      </c>
      <c r="M203" s="810"/>
    </row>
    <row r="204" spans="1:13" s="331" customFormat="1">
      <c r="A204" s="409">
        <f t="shared" si="6"/>
        <v>193</v>
      </c>
      <c r="B204" s="643" t="s">
        <v>905</v>
      </c>
      <c r="C204" s="331" t="s">
        <v>906</v>
      </c>
      <c r="D204" s="409" t="s">
        <v>907</v>
      </c>
      <c r="E204" s="409" t="s">
        <v>888</v>
      </c>
      <c r="F204" s="810">
        <v>583682.04</v>
      </c>
      <c r="G204" s="810">
        <v>949317.86</v>
      </c>
      <c r="H204" s="810">
        <v>1474614.81</v>
      </c>
      <c r="I204" s="810">
        <v>3007614.71</v>
      </c>
      <c r="J204" s="810">
        <v>193347.57</v>
      </c>
      <c r="K204" s="810">
        <v>268707.78000000003</v>
      </c>
      <c r="L204" s="810">
        <v>242303.58</v>
      </c>
      <c r="M204" s="810"/>
    </row>
    <row r="205" spans="1:13" s="331" customFormat="1">
      <c r="A205" s="409">
        <f t="shared" si="6"/>
        <v>194</v>
      </c>
      <c r="B205" s="643" t="s">
        <v>908</v>
      </c>
      <c r="C205" s="331" t="s">
        <v>909</v>
      </c>
      <c r="D205" s="409" t="s">
        <v>887</v>
      </c>
      <c r="E205" s="409" t="s">
        <v>888</v>
      </c>
      <c r="F205" s="810">
        <v>0</v>
      </c>
      <c r="G205" s="810">
        <v>0</v>
      </c>
      <c r="H205" s="810">
        <v>0</v>
      </c>
      <c r="I205" s="810">
        <v>0</v>
      </c>
      <c r="J205" s="810">
        <v>0</v>
      </c>
      <c r="K205" s="810">
        <v>0</v>
      </c>
      <c r="L205" s="810">
        <v>0</v>
      </c>
      <c r="M205" s="810"/>
    </row>
    <row r="206" spans="1:13" s="331" customFormat="1">
      <c r="A206" s="409">
        <f t="shared" ref="A206:A218" si="7">+A205+1</f>
        <v>195</v>
      </c>
      <c r="B206" s="644" t="s">
        <v>910</v>
      </c>
      <c r="C206" s="331" t="s">
        <v>911</v>
      </c>
      <c r="D206" s="409" t="s">
        <v>912</v>
      </c>
      <c r="E206" s="409" t="s">
        <v>888</v>
      </c>
      <c r="F206" s="810">
        <v>10906449.220000001</v>
      </c>
      <c r="G206" s="810">
        <v>14620152.460000001</v>
      </c>
      <c r="H206" s="810">
        <v>17864738.609999999</v>
      </c>
      <c r="I206" s="810">
        <v>43391340.289999999</v>
      </c>
      <c r="J206" s="810">
        <v>2424702.56</v>
      </c>
      <c r="K206" s="810">
        <v>2932581.23</v>
      </c>
      <c r="L206" s="810">
        <v>2712642.72</v>
      </c>
      <c r="M206" s="810"/>
    </row>
    <row r="207" spans="1:13" s="331" customFormat="1">
      <c r="A207" s="409">
        <f t="shared" si="7"/>
        <v>196</v>
      </c>
      <c r="B207" s="331" t="s">
        <v>913</v>
      </c>
      <c r="C207" s="331" t="s">
        <v>914</v>
      </c>
      <c r="D207" s="409" t="s">
        <v>907</v>
      </c>
      <c r="E207" s="409" t="s">
        <v>888</v>
      </c>
      <c r="F207" s="810">
        <v>8373420.8799999999</v>
      </c>
      <c r="G207" s="810">
        <v>12495883.449999999</v>
      </c>
      <c r="H207" s="810">
        <v>18303040.120000001</v>
      </c>
      <c r="I207" s="810">
        <v>39172344.450000003</v>
      </c>
      <c r="J207" s="810">
        <v>2594333.39</v>
      </c>
      <c r="K207" s="810">
        <v>3477377.66</v>
      </c>
      <c r="L207" s="810">
        <v>3135779.58</v>
      </c>
      <c r="M207" s="810"/>
    </row>
    <row r="208" spans="1:13" s="331" customFormat="1">
      <c r="A208" s="409">
        <f t="shared" si="7"/>
        <v>197</v>
      </c>
      <c r="B208" s="331" t="s">
        <v>915</v>
      </c>
      <c r="C208" s="331" t="s">
        <v>916</v>
      </c>
      <c r="D208" s="409" t="s">
        <v>912</v>
      </c>
      <c r="E208" s="409" t="s">
        <v>888</v>
      </c>
      <c r="F208" s="810">
        <v>138642.43</v>
      </c>
      <c r="G208" s="810">
        <v>191560.49</v>
      </c>
      <c r="H208" s="810">
        <v>233800.68</v>
      </c>
      <c r="I208" s="810">
        <v>564003.6</v>
      </c>
      <c r="J208" s="810">
        <v>36379.65</v>
      </c>
      <c r="K208" s="810">
        <v>42552.86</v>
      </c>
      <c r="L208" s="810">
        <v>38750.15</v>
      </c>
      <c r="M208" s="810"/>
    </row>
    <row r="209" spans="1:13" s="331" customFormat="1">
      <c r="A209" s="409">
        <f t="shared" si="7"/>
        <v>198</v>
      </c>
      <c r="B209" s="331" t="s">
        <v>917</v>
      </c>
      <c r="C209" s="331" t="s">
        <v>918</v>
      </c>
      <c r="D209" s="409" t="s">
        <v>904</v>
      </c>
      <c r="E209" s="409" t="s">
        <v>888</v>
      </c>
      <c r="F209" s="810">
        <v>854054.02</v>
      </c>
      <c r="G209" s="810">
        <v>790115.44</v>
      </c>
      <c r="H209" s="810">
        <v>826060.34</v>
      </c>
      <c r="I209" s="810">
        <v>2470229.7999999998</v>
      </c>
      <c r="J209" s="810">
        <v>313749.71000000002</v>
      </c>
      <c r="K209" s="810">
        <v>335404.43</v>
      </c>
      <c r="L209" s="810">
        <v>274736.75</v>
      </c>
      <c r="M209" s="810"/>
    </row>
    <row r="210" spans="1:13" s="331" customFormat="1">
      <c r="A210" s="409">
        <f t="shared" si="7"/>
        <v>199</v>
      </c>
      <c r="B210" s="331" t="s">
        <v>919</v>
      </c>
      <c r="C210" s="331" t="s">
        <v>920</v>
      </c>
      <c r="D210" s="409" t="s">
        <v>887</v>
      </c>
      <c r="E210" s="409" t="s">
        <v>888</v>
      </c>
      <c r="F210" s="810">
        <v>343577.17</v>
      </c>
      <c r="G210" s="810">
        <v>493156.47</v>
      </c>
      <c r="H210" s="810">
        <v>551159.6</v>
      </c>
      <c r="I210" s="810">
        <v>1387893.2399999998</v>
      </c>
      <c r="J210" s="810">
        <v>217384.83</v>
      </c>
      <c r="K210" s="810">
        <v>241991.18</v>
      </c>
      <c r="L210" s="810">
        <v>177251.65</v>
      </c>
      <c r="M210" s="810"/>
    </row>
    <row r="211" spans="1:13" s="331" customFormat="1">
      <c r="A211" s="409">
        <f t="shared" si="7"/>
        <v>200</v>
      </c>
      <c r="B211" s="643" t="s">
        <v>921</v>
      </c>
      <c r="C211" s="331" t="s">
        <v>922</v>
      </c>
      <c r="D211" s="409" t="s">
        <v>891</v>
      </c>
      <c r="E211" s="409" t="s">
        <v>888</v>
      </c>
      <c r="F211" s="810">
        <v>89417.22</v>
      </c>
      <c r="G211" s="810">
        <v>67718.2</v>
      </c>
      <c r="H211" s="810">
        <v>70848.929999999993</v>
      </c>
      <c r="I211" s="810">
        <v>227984.34999999998</v>
      </c>
      <c r="J211" s="810">
        <v>50693.95</v>
      </c>
      <c r="K211" s="810">
        <v>48557.04</v>
      </c>
      <c r="L211" s="810">
        <v>32193.02</v>
      </c>
      <c r="M211" s="810"/>
    </row>
    <row r="212" spans="1:13" s="331" customFormat="1">
      <c r="A212" s="409">
        <f t="shared" si="7"/>
        <v>201</v>
      </c>
      <c r="B212" s="331" t="s">
        <v>923</v>
      </c>
      <c r="C212" s="331" t="s">
        <v>924</v>
      </c>
      <c r="D212" s="409" t="s">
        <v>925</v>
      </c>
      <c r="E212" s="409" t="s">
        <v>926</v>
      </c>
      <c r="F212" s="810">
        <v>0</v>
      </c>
      <c r="G212" s="810">
        <v>0</v>
      </c>
      <c r="H212" s="810">
        <v>0</v>
      </c>
      <c r="I212" s="810">
        <v>0</v>
      </c>
      <c r="J212" s="810">
        <v>0</v>
      </c>
      <c r="K212" s="810">
        <v>0</v>
      </c>
      <c r="L212" s="810">
        <v>0</v>
      </c>
      <c r="M212" s="810"/>
    </row>
    <row r="213" spans="1:13" s="331" customFormat="1">
      <c r="A213" s="409">
        <f t="shared" si="7"/>
        <v>202</v>
      </c>
      <c r="B213" s="331" t="s">
        <v>927</v>
      </c>
      <c r="C213" s="331" t="s">
        <v>928</v>
      </c>
      <c r="D213" s="409" t="s">
        <v>929</v>
      </c>
      <c r="E213" s="409" t="s">
        <v>926</v>
      </c>
      <c r="F213" s="810">
        <v>6.67</v>
      </c>
      <c r="G213" s="810">
        <v>1027.54</v>
      </c>
      <c r="H213" s="810">
        <v>4263.83</v>
      </c>
      <c r="I213" s="810">
        <v>5298.04</v>
      </c>
      <c r="J213" s="810">
        <v>76.62</v>
      </c>
      <c r="K213" s="810">
        <v>135.84</v>
      </c>
      <c r="L213" s="810">
        <v>135.85</v>
      </c>
      <c r="M213" s="810"/>
    </row>
    <row r="214" spans="1:13" s="331" customFormat="1">
      <c r="A214" s="409">
        <f t="shared" si="7"/>
        <v>203</v>
      </c>
      <c r="B214" s="331" t="s">
        <v>930</v>
      </c>
      <c r="C214" s="331" t="s">
        <v>931</v>
      </c>
      <c r="D214" s="409" t="s">
        <v>932</v>
      </c>
      <c r="E214" s="409" t="s">
        <v>888</v>
      </c>
      <c r="F214" s="810">
        <v>246047.08</v>
      </c>
      <c r="G214" s="810">
        <v>99671.87</v>
      </c>
      <c r="H214" s="810">
        <v>189001.05</v>
      </c>
      <c r="I214" s="810">
        <v>534720</v>
      </c>
      <c r="J214" s="810">
        <v>11389.34</v>
      </c>
      <c r="K214" s="810">
        <v>11819.72</v>
      </c>
      <c r="L214" s="810">
        <v>11797.1</v>
      </c>
      <c r="M214" s="810"/>
    </row>
    <row r="215" spans="1:13" s="331" customFormat="1">
      <c r="A215" s="409">
        <f t="shared" si="7"/>
        <v>204</v>
      </c>
      <c r="B215" s="331" t="s">
        <v>933</v>
      </c>
      <c r="C215" s="331" t="s">
        <v>934</v>
      </c>
      <c r="D215" s="409" t="s">
        <v>935</v>
      </c>
      <c r="E215" s="409" t="s">
        <v>888</v>
      </c>
      <c r="F215" s="810">
        <v>196031.88</v>
      </c>
      <c r="G215" s="810">
        <v>130067.1</v>
      </c>
      <c r="H215" s="810">
        <v>201122.24</v>
      </c>
      <c r="I215" s="810">
        <v>527221.22</v>
      </c>
      <c r="J215" s="810">
        <v>19100.310000000001</v>
      </c>
      <c r="K215" s="810">
        <v>19391.009999999998</v>
      </c>
      <c r="L215" s="810">
        <v>17848.41</v>
      </c>
      <c r="M215" s="810"/>
    </row>
    <row r="216" spans="1:13" s="331" customFormat="1">
      <c r="A216" s="409">
        <f t="shared" si="7"/>
        <v>205</v>
      </c>
      <c r="B216" s="331" t="s">
        <v>936</v>
      </c>
      <c r="C216" s="331" t="s">
        <v>937</v>
      </c>
      <c r="D216" s="409" t="s">
        <v>938</v>
      </c>
      <c r="E216" s="409"/>
      <c r="F216" s="810">
        <v>471178.9</v>
      </c>
      <c r="G216" s="810">
        <v>452188.17</v>
      </c>
      <c r="H216" s="810">
        <v>47667.28</v>
      </c>
      <c r="I216" s="810">
        <v>971034.35000000009</v>
      </c>
      <c r="J216" s="810">
        <v>0</v>
      </c>
      <c r="K216" s="810">
        <v>0</v>
      </c>
      <c r="L216" s="810">
        <v>0</v>
      </c>
      <c r="M216" s="810"/>
    </row>
    <row r="217" spans="1:13" s="331" customFormat="1">
      <c r="A217" s="409">
        <f t="shared" si="7"/>
        <v>206</v>
      </c>
      <c r="B217" s="331" t="s">
        <v>939</v>
      </c>
      <c r="C217" s="331" t="s">
        <v>940</v>
      </c>
      <c r="D217" s="409" t="s">
        <v>929</v>
      </c>
      <c r="E217" s="409" t="s">
        <v>926</v>
      </c>
      <c r="F217" s="810">
        <v>624695.66</v>
      </c>
      <c r="G217" s="810">
        <v>839200.41</v>
      </c>
      <c r="H217" s="810">
        <v>1153081.06</v>
      </c>
      <c r="I217" s="810">
        <v>2616977.13</v>
      </c>
      <c r="J217" s="810">
        <v>44564.83</v>
      </c>
      <c r="K217" s="810">
        <v>67097.600000000006</v>
      </c>
      <c r="L217" s="810">
        <v>67098.039999999994</v>
      </c>
      <c r="M217" s="810"/>
    </row>
    <row r="218" spans="1:13" s="331" customFormat="1">
      <c r="A218" s="409">
        <f t="shared" si="7"/>
        <v>207</v>
      </c>
      <c r="B218" s="645" t="s">
        <v>947</v>
      </c>
      <c r="D218" s="409"/>
      <c r="E218" s="409"/>
      <c r="F218" s="811">
        <v>23140616.329999998</v>
      </c>
      <c r="G218" s="811">
        <v>31296827.720000003</v>
      </c>
      <c r="H218" s="811">
        <v>41227107.960000008</v>
      </c>
      <c r="I218" s="811">
        <v>95664552.009999976</v>
      </c>
      <c r="J218" s="811">
        <v>6052856.8000000007</v>
      </c>
      <c r="K218" s="811">
        <v>7624916.7199999988</v>
      </c>
      <c r="L218" s="811">
        <v>6829147.5599999996</v>
      </c>
      <c r="M218" s="811">
        <v>63702.3</v>
      </c>
    </row>
    <row r="219" spans="1:13">
      <c r="B219" s="181"/>
      <c r="C219" s="181"/>
      <c r="D219" s="181"/>
      <c r="E219" s="632"/>
      <c r="F219" s="632"/>
      <c r="G219" s="181"/>
      <c r="H219" s="181"/>
      <c r="I219" s="181"/>
      <c r="J219" s="181"/>
      <c r="K219" s="181"/>
      <c r="L219" s="181"/>
      <c r="M219" s="181"/>
    </row>
    <row r="220" spans="1:13">
      <c r="B220" s="181"/>
      <c r="C220" s="181"/>
      <c r="D220" s="181"/>
      <c r="E220" s="632"/>
      <c r="F220" s="632"/>
      <c r="G220" s="181"/>
      <c r="H220" s="181"/>
      <c r="I220" s="181"/>
      <c r="J220" s="181"/>
      <c r="K220" s="181"/>
      <c r="L220" s="181"/>
      <c r="M220" s="181"/>
    </row>
    <row r="221" spans="1:13">
      <c r="B221" s="181"/>
      <c r="C221" s="181"/>
      <c r="D221" s="181"/>
      <c r="E221" s="632"/>
      <c r="F221" s="632"/>
      <c r="G221" s="181"/>
      <c r="H221" s="181"/>
      <c r="I221" s="181"/>
      <c r="J221" s="181"/>
      <c r="K221" s="181"/>
      <c r="L221" s="181"/>
      <c r="M221" s="181"/>
    </row>
    <row r="222" spans="1:13">
      <c r="B222" s="181"/>
      <c r="C222" s="181"/>
      <c r="D222" s="181"/>
      <c r="E222" s="632"/>
      <c r="F222" s="632"/>
      <c r="G222" s="181"/>
      <c r="H222" s="181"/>
      <c r="I222" s="181"/>
      <c r="J222" s="181"/>
      <c r="K222" s="181"/>
      <c r="L222" s="181"/>
      <c r="M222" s="181"/>
    </row>
    <row r="223" spans="1:13">
      <c r="B223" s="181"/>
      <c r="C223" s="181"/>
      <c r="D223" s="181"/>
      <c r="E223" s="632"/>
      <c r="F223" s="632"/>
      <c r="G223" s="181"/>
      <c r="H223" s="181"/>
      <c r="I223" s="181"/>
      <c r="J223" s="181"/>
      <c r="K223" s="181"/>
      <c r="L223" s="181"/>
      <c r="M223" s="181"/>
    </row>
    <row r="224" spans="1:13">
      <c r="B224" s="181"/>
      <c r="C224" s="181"/>
      <c r="D224" s="181"/>
      <c r="E224" s="632"/>
      <c r="F224" s="632"/>
      <c r="G224" s="181"/>
      <c r="H224" s="181"/>
      <c r="I224" s="181"/>
      <c r="J224" s="181"/>
      <c r="K224" s="181"/>
      <c r="L224" s="181"/>
      <c r="M224" s="181"/>
    </row>
    <row r="225" spans="2:13">
      <c r="B225" s="181"/>
      <c r="C225" s="181"/>
      <c r="D225" s="181"/>
      <c r="E225" s="632"/>
      <c r="F225" s="632"/>
      <c r="G225" s="181"/>
      <c r="H225" s="181"/>
      <c r="I225" s="181"/>
      <c r="J225" s="181"/>
      <c r="K225" s="181"/>
      <c r="L225" s="181"/>
      <c r="M225" s="181"/>
    </row>
    <row r="226" spans="2:13">
      <c r="B226" s="181"/>
      <c r="C226" s="181"/>
      <c r="D226" s="181"/>
      <c r="E226" s="632"/>
      <c r="F226" s="632"/>
      <c r="G226" s="181"/>
      <c r="H226" s="181"/>
      <c r="I226" s="181"/>
      <c r="J226" s="181"/>
      <c r="K226" s="181"/>
      <c r="L226" s="181"/>
      <c r="M226" s="181"/>
    </row>
    <row r="227" spans="2:13">
      <c r="B227" s="181"/>
      <c r="C227" s="181"/>
      <c r="D227" s="181"/>
      <c r="E227" s="632"/>
      <c r="F227" s="632"/>
      <c r="G227" s="181"/>
      <c r="H227" s="181"/>
      <c r="I227" s="181"/>
      <c r="J227" s="181"/>
      <c r="K227" s="181"/>
      <c r="L227" s="181"/>
      <c r="M227" s="181"/>
    </row>
    <row r="228" spans="2:13">
      <c r="B228" s="181"/>
      <c r="C228" s="181"/>
      <c r="D228" s="181"/>
      <c r="E228" s="632"/>
      <c r="F228" s="632"/>
      <c r="G228" s="181"/>
      <c r="H228" s="181"/>
      <c r="I228" s="181"/>
      <c r="J228" s="181"/>
      <c r="K228" s="181"/>
      <c r="L228" s="181"/>
      <c r="M228" s="181"/>
    </row>
    <row r="229" spans="2:13">
      <c r="B229" s="181"/>
      <c r="C229" s="181"/>
      <c r="D229" s="181"/>
      <c r="E229" s="632"/>
      <c r="F229" s="632"/>
      <c r="G229" s="181"/>
      <c r="H229" s="181"/>
      <c r="I229" s="181"/>
      <c r="J229" s="181"/>
      <c r="K229" s="181"/>
      <c r="L229" s="181"/>
      <c r="M229" s="181"/>
    </row>
    <row r="230" spans="2:13">
      <c r="B230" s="181"/>
      <c r="C230" s="181"/>
      <c r="D230" s="181"/>
      <c r="E230" s="632"/>
      <c r="F230" s="632"/>
      <c r="G230" s="181"/>
      <c r="H230" s="181"/>
      <c r="I230" s="181"/>
      <c r="J230" s="181"/>
      <c r="K230" s="181"/>
      <c r="L230" s="181"/>
      <c r="M230" s="181"/>
    </row>
    <row r="231" spans="2:13">
      <c r="B231" s="181"/>
      <c r="C231" s="181"/>
      <c r="D231" s="181"/>
      <c r="E231" s="632"/>
      <c r="F231" s="632"/>
      <c r="G231" s="181"/>
      <c r="H231" s="181"/>
      <c r="I231" s="181"/>
      <c r="J231" s="181"/>
      <c r="K231" s="181"/>
      <c r="L231" s="181"/>
      <c r="M231" s="181"/>
    </row>
    <row r="232" spans="2:13">
      <c r="B232" s="181"/>
      <c r="C232" s="181"/>
      <c r="D232" s="181"/>
      <c r="E232" s="632"/>
      <c r="F232" s="632"/>
      <c r="G232" s="181"/>
      <c r="H232" s="181"/>
      <c r="I232" s="181"/>
      <c r="J232" s="181"/>
      <c r="K232" s="181"/>
      <c r="L232" s="181"/>
      <c r="M232" s="181"/>
    </row>
    <row r="233" spans="2:13">
      <c r="B233" s="181"/>
      <c r="C233" s="181"/>
      <c r="D233" s="181"/>
      <c r="E233" s="632"/>
      <c r="F233" s="632"/>
      <c r="G233" s="181"/>
      <c r="H233" s="181"/>
      <c r="I233" s="181"/>
      <c r="J233" s="181"/>
      <c r="K233" s="181"/>
      <c r="L233" s="181"/>
      <c r="M233" s="181"/>
    </row>
    <row r="234" spans="2:13">
      <c r="B234" s="181"/>
      <c r="C234" s="181"/>
      <c r="D234" s="181"/>
      <c r="E234" s="632"/>
      <c r="F234" s="632"/>
      <c r="G234" s="181"/>
      <c r="H234" s="181"/>
      <c r="I234" s="181"/>
      <c r="J234" s="181"/>
      <c r="K234" s="181"/>
      <c r="L234" s="181"/>
      <c r="M234" s="181"/>
    </row>
    <row r="235" spans="2:13">
      <c r="B235" s="181"/>
      <c r="C235" s="181"/>
      <c r="D235" s="181"/>
      <c r="E235" s="632"/>
      <c r="F235" s="632"/>
      <c r="G235" s="181"/>
      <c r="H235" s="181"/>
      <c r="I235" s="181"/>
      <c r="J235" s="181"/>
      <c r="K235" s="181"/>
      <c r="L235" s="181"/>
      <c r="M235" s="181"/>
    </row>
    <row r="236" spans="2:13">
      <c r="B236" s="181"/>
      <c r="C236" s="181"/>
      <c r="D236" s="181"/>
      <c r="E236" s="632"/>
      <c r="F236" s="632"/>
      <c r="G236" s="181"/>
      <c r="H236" s="181"/>
      <c r="I236" s="181"/>
      <c r="J236" s="181"/>
      <c r="K236" s="181"/>
      <c r="L236" s="181"/>
      <c r="M236" s="181"/>
    </row>
    <row r="237" spans="2:13">
      <c r="B237" s="181"/>
      <c r="C237" s="181"/>
      <c r="D237" s="181"/>
      <c r="E237" s="632"/>
      <c r="F237" s="632"/>
      <c r="G237" s="181"/>
      <c r="H237" s="181"/>
      <c r="I237" s="181"/>
      <c r="J237" s="181"/>
      <c r="K237" s="181"/>
      <c r="L237" s="181"/>
      <c r="M237" s="181"/>
    </row>
    <row r="238" spans="2:13">
      <c r="B238" s="181"/>
      <c r="C238" s="181"/>
      <c r="D238" s="181"/>
      <c r="E238" s="632"/>
      <c r="F238" s="632"/>
      <c r="G238" s="181"/>
      <c r="H238" s="181"/>
      <c r="I238" s="181"/>
      <c r="J238" s="181"/>
      <c r="K238" s="181"/>
      <c r="L238" s="181"/>
      <c r="M238" s="181"/>
    </row>
    <row r="239" spans="2:13">
      <c r="B239" s="181"/>
      <c r="C239" s="181"/>
      <c r="D239" s="181"/>
      <c r="E239" s="632"/>
      <c r="F239" s="632"/>
      <c r="G239" s="181"/>
      <c r="H239" s="181"/>
      <c r="I239" s="181"/>
      <c r="J239" s="181"/>
      <c r="K239" s="181"/>
      <c r="L239" s="181"/>
      <c r="M239" s="181"/>
    </row>
    <row r="240" spans="2:13">
      <c r="B240" s="181"/>
      <c r="C240" s="181"/>
      <c r="D240" s="181"/>
      <c r="E240" s="632"/>
      <c r="F240" s="632"/>
      <c r="G240" s="181"/>
      <c r="H240" s="181"/>
      <c r="I240" s="181"/>
      <c r="J240" s="181"/>
      <c r="K240" s="181"/>
      <c r="L240" s="181"/>
      <c r="M240" s="181"/>
    </row>
    <row r="241" spans="2:13">
      <c r="B241" s="181"/>
      <c r="C241" s="181"/>
      <c r="D241" s="181"/>
      <c r="E241" s="632"/>
      <c r="F241" s="632"/>
      <c r="G241" s="181"/>
      <c r="H241" s="181"/>
      <c r="I241" s="181"/>
      <c r="J241" s="181"/>
      <c r="K241" s="181"/>
      <c r="L241" s="181"/>
      <c r="M241" s="181"/>
    </row>
    <row r="242" spans="2:13">
      <c r="B242" s="181"/>
      <c r="C242" s="181"/>
      <c r="D242" s="181"/>
      <c r="E242" s="632"/>
      <c r="F242" s="632"/>
      <c r="G242" s="181"/>
      <c r="H242" s="181"/>
      <c r="I242" s="181"/>
      <c r="J242" s="181"/>
      <c r="K242" s="181"/>
      <c r="L242" s="181"/>
      <c r="M242" s="181"/>
    </row>
    <row r="243" spans="2:13">
      <c r="B243" s="181"/>
      <c r="C243" s="181"/>
      <c r="D243" s="181"/>
      <c r="E243" s="632"/>
      <c r="F243" s="632"/>
      <c r="G243" s="181"/>
      <c r="H243" s="181"/>
      <c r="I243" s="181"/>
      <c r="J243" s="181"/>
      <c r="K243" s="181"/>
      <c r="L243" s="181"/>
      <c r="M243" s="181"/>
    </row>
    <row r="244" spans="2:13">
      <c r="B244" s="181"/>
      <c r="C244" s="181"/>
      <c r="D244" s="181"/>
      <c r="E244" s="632"/>
      <c r="F244" s="632"/>
      <c r="G244" s="181"/>
      <c r="H244" s="181"/>
      <c r="I244" s="181"/>
      <c r="J244" s="181"/>
      <c r="K244" s="181"/>
      <c r="L244" s="181"/>
      <c r="M244" s="181"/>
    </row>
    <row r="245" spans="2:13">
      <c r="B245" s="181"/>
      <c r="C245" s="181"/>
      <c r="D245" s="181"/>
      <c r="E245" s="632"/>
      <c r="F245" s="632"/>
      <c r="G245" s="181"/>
      <c r="H245" s="181"/>
      <c r="I245" s="181"/>
      <c r="J245" s="181"/>
      <c r="K245" s="181"/>
      <c r="L245" s="181"/>
      <c r="M245" s="181"/>
    </row>
    <row r="246" spans="2:13">
      <c r="B246" s="181"/>
      <c r="C246" s="181"/>
      <c r="D246" s="181"/>
      <c r="E246" s="632"/>
      <c r="F246" s="632"/>
      <c r="G246" s="181"/>
      <c r="H246" s="181"/>
      <c r="I246" s="181"/>
      <c r="J246" s="181"/>
      <c r="K246" s="181"/>
      <c r="L246" s="181"/>
      <c r="M246" s="181"/>
    </row>
    <row r="247" spans="2:13">
      <c r="B247" s="181"/>
      <c r="C247" s="181"/>
      <c r="D247" s="181"/>
      <c r="E247" s="632"/>
      <c r="F247" s="632"/>
      <c r="G247" s="181"/>
      <c r="H247" s="181"/>
      <c r="I247" s="181"/>
      <c r="J247" s="181"/>
      <c r="K247" s="181"/>
      <c r="L247" s="181"/>
      <c r="M247" s="181"/>
    </row>
    <row r="248" spans="2:13">
      <c r="B248" s="181"/>
      <c r="C248" s="181"/>
      <c r="D248" s="181"/>
      <c r="E248" s="632"/>
      <c r="F248" s="632"/>
      <c r="G248" s="181"/>
      <c r="H248" s="181"/>
      <c r="I248" s="181"/>
      <c r="J248" s="181"/>
      <c r="K248" s="181"/>
      <c r="L248" s="181"/>
      <c r="M248" s="181"/>
    </row>
  </sheetData>
  <mergeCells count="2">
    <mergeCell ref="B10:C10"/>
    <mergeCell ref="B11:C11"/>
  </mergeCells>
  <phoneticPr fontId="0" type="noConversion"/>
  <printOptions horizontalCentered="1"/>
  <pageMargins left="0.5" right="0.5" top="3" bottom="0.5" header="1.5" footer="0.5"/>
  <pageSetup scale="55" fitToHeight="8" pageOrder="overThenDown" orientation="landscape"/>
  <headerFooter alignWithMargins="0">
    <oddHeader>&amp;R&amp;"Arial,Bold"Schedule &amp;A
Page &amp;P of &amp;N&amp;C&amp;B
2025 RATE CASE
ONCOR ELECTRIC DELIVERY COMPANY LLC
II-E-3.3  PLANT ADJUSTMENTS
TEST YEAR ENDING DECEMBER 31, 2024
SPONSOR: B. L. CLUTTER</oddHeader>
  </headerFooter>
  <rowBreaks count="7" manualBreakCount="7">
    <brk id="37" max="12" man="1"/>
    <brk id="63" max="12" man="1"/>
    <brk id="89" max="12" man="1"/>
    <brk id="115" max="12" man="1"/>
    <brk id="141" max="12" man="1"/>
    <brk id="167" max="12" man="1"/>
    <brk id="193" max="12"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4">
    <pageSetUpPr fitToPage="1"/>
  </sheetPr>
  <dimension ref="A1:I11"/>
  <sheetViews>
    <sheetView zoomScaleNormal="100" workbookViewId="0">
      <selection activeCell="H2" sqref="H2"/>
    </sheetView>
  </sheetViews>
  <sheetFormatPr defaultColWidth="9.140625" defaultRowHeight="12.75"/>
  <cols>
    <col min="1" max="1" width="7.85546875" style="111" customWidth="1"/>
    <col min="2" max="16384" width="9.140625" style="111"/>
  </cols>
  <sheetData>
    <row r="1" spans="1:9">
      <c r="A1" s="105" t="str">
        <f>+'[3]Input Data'!$A$9</f>
        <v>2025 RATE CASE</v>
      </c>
    </row>
    <row r="2" spans="1:9">
      <c r="A2" s="163" t="str">
        <f>+'[3]Input Data'!$A$2</f>
        <v>ONCOR ELECTRIC DELIVERY COMPANY LLC</v>
      </c>
    </row>
    <row r="3" spans="1:9">
      <c r="A3" s="164" t="str">
        <f>CONCATENATE('[3]Schedule Sponsors'!$A$89,'[3]Schedule Sponsors'!$B$89)</f>
        <v>II-E-3.4  CONSOLIDATION/INTER-CORPORATE TAX ALLOCATION</v>
      </c>
    </row>
    <row r="4" spans="1:9">
      <c r="A4" s="164" t="str">
        <f>+'[3]Input Data'!$A$4</f>
        <v>TEST YEAR ENDING DECEMBER 31, 2024</v>
      </c>
    </row>
    <row r="5" spans="1:9">
      <c r="A5" s="162" t="str">
        <f>CONCATENATE("SPONSOR: ",'[3]Schedule Sponsors'!$D$89)</f>
        <v>SPONSOR: B. L. CLUTTER</v>
      </c>
    </row>
    <row r="8" spans="1:9">
      <c r="A8" s="337" t="s">
        <v>46</v>
      </c>
    </row>
    <row r="9" spans="1:9">
      <c r="A9" s="93">
        <v>1</v>
      </c>
      <c r="B9" s="865" t="s">
        <v>20</v>
      </c>
      <c r="C9" s="865"/>
      <c r="D9" s="865"/>
      <c r="E9" s="865"/>
      <c r="F9" s="865"/>
      <c r="G9" s="865"/>
      <c r="H9" s="865"/>
      <c r="I9" s="865"/>
    </row>
    <row r="10" spans="1:9">
      <c r="A10" s="93">
        <f>1+A9</f>
        <v>2</v>
      </c>
      <c r="B10" s="111" t="s">
        <v>21</v>
      </c>
    </row>
    <row r="11" spans="1:9">
      <c r="A11" s="93">
        <f>1+A10</f>
        <v>3</v>
      </c>
      <c r="B11" s="111" t="s">
        <v>598</v>
      </c>
    </row>
  </sheetData>
  <mergeCells count="1">
    <mergeCell ref="B9:I9"/>
  </mergeCells>
  <phoneticPr fontId="10" type="noConversion"/>
  <printOptions horizontalCentered="1"/>
  <pageMargins left="0.5" right="0.5" top="3" bottom="0.5" header="1.5" footer="0.5"/>
  <pageSetup pageOrder="overThenDown" orientation="landscape"/>
  <headerFooter alignWithMargins="0">
    <oddHeader>&amp;R&amp;"Arial,Bold"Schedule &amp;A
Page &amp;P of &amp;N&amp;C&amp;B
2025 RATE CASE
ONCOR ELECTRIC DELIVERY COMPANY LLC
II-E-3.4  CONSOLIDATION/INTER-CORPORATE TAX ALLOCATION
TEST YEAR ENDING DECEMBER 31, 2024
SPONSOR: B. L. CLUTTER</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I130"/>
  <sheetViews>
    <sheetView zoomScale="80" zoomScaleNormal="80" workbookViewId="0">
      <pane xSplit="3" ySplit="13" topLeftCell="J70" activePane="bottomRight" state="frozen"/>
      <selection activeCell="E19" sqref="E19"/>
      <selection pane="topRight" activeCell="E19" sqref="E19"/>
      <selection pane="bottomLeft" activeCell="E19" sqref="E19"/>
      <selection pane="bottomRight" activeCell="W93" sqref="W93"/>
    </sheetView>
  </sheetViews>
  <sheetFormatPr defaultColWidth="9.140625" defaultRowHeight="12.75"/>
  <cols>
    <col min="1" max="1" width="8.7109375" style="190" customWidth="1"/>
    <col min="2" max="2" width="11.7109375" style="192" customWidth="1"/>
    <col min="3" max="3" width="53.140625" style="192" customWidth="1"/>
    <col min="4" max="4" width="11.42578125" style="190" bestFit="1" customWidth="1"/>
    <col min="5" max="5" width="17.7109375" style="316" customWidth="1"/>
    <col min="6" max="6" width="18.42578125" style="316" bestFit="1" customWidth="1"/>
    <col min="7" max="7" width="17.7109375" style="316" customWidth="1"/>
    <col min="8" max="8" width="15.28515625" style="316" customWidth="1"/>
    <col min="9" max="9" width="17.85546875" style="316" bestFit="1" customWidth="1"/>
    <col min="10" max="10" width="10.85546875" style="317" bestFit="1" customWidth="1"/>
    <col min="11" max="11" width="16.28515625" style="192" bestFit="1" customWidth="1"/>
    <col min="12" max="12" width="4.85546875" style="192" hidden="1" customWidth="1"/>
    <col min="13" max="13" width="4.85546875" style="192" customWidth="1"/>
    <col min="14" max="14" width="17.140625" style="192" bestFit="1" customWidth="1"/>
    <col min="15" max="15" width="16.28515625" style="192" bestFit="1" customWidth="1"/>
    <col min="16" max="18" width="16.28515625" style="192" customWidth="1"/>
    <col min="19" max="19" width="16.28515625" style="192" bestFit="1" customWidth="1"/>
    <col min="20" max="20" width="15.7109375" style="192" bestFit="1" customWidth="1"/>
    <col min="21" max="21" width="16.28515625" style="192" customWidth="1"/>
    <col min="22" max="22" width="14.5703125" style="192" bestFit="1" customWidth="1"/>
    <col min="23" max="23" width="15.140625" style="192" bestFit="1" customWidth="1"/>
    <col min="24" max="24" width="19.140625" style="192" bestFit="1" customWidth="1"/>
    <col min="25" max="25" width="7.140625" style="197" bestFit="1" customWidth="1"/>
    <col min="26" max="26" width="11.42578125" style="197" bestFit="1" customWidth="1"/>
    <col min="27" max="27" width="20.28515625" style="316" bestFit="1" customWidth="1"/>
    <col min="28" max="28" width="14.5703125" style="192" bestFit="1" customWidth="1"/>
    <col min="29" max="29" width="7" style="192" bestFit="1" customWidth="1"/>
    <col min="30" max="30" width="11.28515625" style="192" bestFit="1" customWidth="1"/>
    <col min="31" max="16384" width="9.140625" style="192"/>
  </cols>
  <sheetData>
    <row r="1" spans="1:29">
      <c r="A1" s="196" t="str">
        <f>+'[3]Input Data'!$A$9</f>
        <v>2025 RATE CASE</v>
      </c>
      <c r="W1" s="852"/>
    </row>
    <row r="2" spans="1:29">
      <c r="A2" s="188" t="str">
        <f>+'[3]Input Data'!$A$2</f>
        <v>ONCOR ELECTRIC DELIVERY COMPANY LLC</v>
      </c>
      <c r="W2" s="852"/>
    </row>
    <row r="3" spans="1:29">
      <c r="A3" s="187" t="str">
        <f>CONCATENATE('[3]Schedule Sponsors'!$A$90,'[3]Schedule Sponsors'!$B$90)</f>
        <v>II-E-3.5  ADFIT</v>
      </c>
    </row>
    <row r="4" spans="1:29">
      <c r="A4" s="187" t="str">
        <f>+'[3]Input Data'!$A$4</f>
        <v>TEST YEAR ENDING DECEMBER 31, 2024</v>
      </c>
    </row>
    <row r="5" spans="1:29">
      <c r="A5" s="185" t="str">
        <f>CONCATENATE("SPONSOR: ",'[3]Schedule Sponsors'!$D$92)</f>
        <v>SPONSOR: B. L. CLUTTER</v>
      </c>
      <c r="D5" s="192"/>
    </row>
    <row r="6" spans="1:29">
      <c r="A6" s="283"/>
      <c r="B6" s="283"/>
      <c r="C6" s="283"/>
      <c r="E6" s="318"/>
      <c r="F6" s="283"/>
      <c r="G6" s="283"/>
      <c r="H6" s="283"/>
      <c r="I6" s="283"/>
      <c r="J6" s="283"/>
      <c r="K6" s="283"/>
      <c r="AA6" s="283"/>
    </row>
    <row r="7" spans="1:29">
      <c r="A7" s="283"/>
      <c r="B7" s="283"/>
      <c r="C7" s="169"/>
      <c r="E7" s="318"/>
      <c r="F7" s="283"/>
      <c r="G7" s="283"/>
      <c r="H7" s="283"/>
      <c r="I7" s="283"/>
      <c r="J7" s="283"/>
      <c r="K7" s="783"/>
      <c r="L7" s="783"/>
      <c r="M7" s="783"/>
      <c r="N7" s="783"/>
      <c r="O7" s="783"/>
      <c r="P7" s="783"/>
      <c r="Q7" s="783"/>
      <c r="R7" s="783"/>
      <c r="S7" s="783"/>
      <c r="T7" s="783"/>
      <c r="U7" s="783"/>
      <c r="V7" s="783"/>
      <c r="W7" s="783"/>
      <c r="X7" s="783"/>
      <c r="AA7" s="283"/>
    </row>
    <row r="8" spans="1:29">
      <c r="A8" s="283"/>
      <c r="B8" s="283"/>
      <c r="C8" s="283"/>
      <c r="E8" s="318"/>
      <c r="F8" s="283"/>
      <c r="G8" s="283"/>
      <c r="H8" s="283"/>
      <c r="I8" s="843"/>
      <c r="J8" s="283"/>
      <c r="K8" s="283"/>
      <c r="AA8" s="283"/>
    </row>
    <row r="9" spans="1:29" ht="13.5" thickBot="1">
      <c r="A9" s="283"/>
      <c r="B9" s="283"/>
      <c r="C9" s="283"/>
      <c r="E9" s="318"/>
      <c r="F9" s="283"/>
      <c r="G9" s="283"/>
      <c r="H9" s="283"/>
      <c r="I9" s="283"/>
      <c r="J9" s="283"/>
      <c r="K9" s="283"/>
      <c r="AA9" s="283"/>
    </row>
    <row r="10" spans="1:29" s="199" customFormat="1">
      <c r="A10" s="211"/>
      <c r="B10" s="211"/>
      <c r="C10" s="211"/>
      <c r="D10" s="212"/>
      <c r="E10" s="319"/>
      <c r="F10" s="211"/>
      <c r="G10" s="212" t="s">
        <v>61</v>
      </c>
      <c r="H10" s="212" t="s">
        <v>379</v>
      </c>
      <c r="I10" s="212" t="s">
        <v>62</v>
      </c>
      <c r="J10" s="212" t="s">
        <v>79</v>
      </c>
      <c r="K10" s="212" t="s">
        <v>269</v>
      </c>
      <c r="L10" s="212"/>
      <c r="M10" s="211"/>
      <c r="N10" s="212" t="s">
        <v>338</v>
      </c>
      <c r="O10" s="212"/>
      <c r="P10" s="212"/>
      <c r="Q10" s="212"/>
      <c r="R10" s="212"/>
      <c r="S10" s="212"/>
      <c r="T10" s="212"/>
      <c r="U10" s="212"/>
      <c r="V10" s="212"/>
      <c r="W10" s="212"/>
      <c r="X10" s="212"/>
      <c r="Y10" s="595"/>
      <c r="Z10" s="197"/>
    </row>
    <row r="11" spans="1:29" s="199" customFormat="1">
      <c r="A11" s="165" t="s">
        <v>241</v>
      </c>
      <c r="B11" s="165" t="s">
        <v>69</v>
      </c>
      <c r="C11" s="165"/>
      <c r="D11" s="165" t="s">
        <v>66</v>
      </c>
      <c r="E11" s="320" t="s">
        <v>71</v>
      </c>
      <c r="F11" s="165" t="s">
        <v>72</v>
      </c>
      <c r="G11" s="165" t="s">
        <v>63</v>
      </c>
      <c r="H11" s="165" t="s">
        <v>380</v>
      </c>
      <c r="I11" s="165" t="s">
        <v>61</v>
      </c>
      <c r="J11" s="165" t="s">
        <v>269</v>
      </c>
      <c r="K11" s="165" t="s">
        <v>43</v>
      </c>
      <c r="L11" s="165"/>
      <c r="M11" s="165" t="s">
        <v>74</v>
      </c>
      <c r="N11" s="165" t="s">
        <v>75</v>
      </c>
      <c r="O11" s="165"/>
      <c r="P11" s="165" t="s">
        <v>571</v>
      </c>
      <c r="Q11" s="165" t="s">
        <v>572</v>
      </c>
      <c r="R11" s="165" t="s">
        <v>574</v>
      </c>
      <c r="S11" s="165"/>
      <c r="T11" s="165" t="s">
        <v>571</v>
      </c>
      <c r="U11" s="165" t="s">
        <v>574</v>
      </c>
      <c r="V11" s="165"/>
      <c r="W11" s="165"/>
      <c r="X11" s="165"/>
      <c r="Y11" s="595"/>
      <c r="Z11" s="197"/>
    </row>
    <row r="12" spans="1:29" s="199" customFormat="1">
      <c r="A12" s="165" t="s">
        <v>268</v>
      </c>
      <c r="B12" s="165" t="s">
        <v>203</v>
      </c>
      <c r="C12" s="165" t="s">
        <v>64</v>
      </c>
      <c r="D12" s="165" t="s">
        <v>68</v>
      </c>
      <c r="E12" s="320" t="s">
        <v>76</v>
      </c>
      <c r="F12" s="165" t="s">
        <v>77</v>
      </c>
      <c r="G12" s="165" t="s">
        <v>78</v>
      </c>
      <c r="H12" s="165" t="s">
        <v>381</v>
      </c>
      <c r="I12" s="165" t="s">
        <v>63</v>
      </c>
      <c r="J12" s="165" t="s">
        <v>75</v>
      </c>
      <c r="K12" s="165" t="s">
        <v>79</v>
      </c>
      <c r="L12" s="165"/>
      <c r="M12" s="165" t="s">
        <v>80</v>
      </c>
      <c r="N12" s="165" t="s">
        <v>81</v>
      </c>
      <c r="O12" s="165" t="s">
        <v>198</v>
      </c>
      <c r="P12" s="165" t="s">
        <v>198</v>
      </c>
      <c r="Q12" s="165" t="s">
        <v>575</v>
      </c>
      <c r="R12" s="165" t="s">
        <v>198</v>
      </c>
      <c r="S12" s="165" t="s">
        <v>199</v>
      </c>
      <c r="T12" s="165" t="s">
        <v>199</v>
      </c>
      <c r="U12" s="165" t="s">
        <v>199</v>
      </c>
      <c r="V12" s="165" t="s">
        <v>194</v>
      </c>
      <c r="W12" s="165" t="s">
        <v>279</v>
      </c>
      <c r="X12" s="165" t="s">
        <v>73</v>
      </c>
      <c r="Y12" s="595"/>
      <c r="Z12" s="197"/>
    </row>
    <row r="13" spans="1:29" s="199" customFormat="1" ht="13.5" thickBot="1">
      <c r="A13" s="214"/>
      <c r="B13" s="215" t="s">
        <v>226</v>
      </c>
      <c r="C13" s="215" t="s">
        <v>227</v>
      </c>
      <c r="D13" s="215" t="s">
        <v>228</v>
      </c>
      <c r="E13" s="321" t="s">
        <v>229</v>
      </c>
      <c r="F13" s="215" t="s">
        <v>230</v>
      </c>
      <c r="G13" s="215" t="s">
        <v>231</v>
      </c>
      <c r="H13" s="215" t="s">
        <v>232</v>
      </c>
      <c r="I13" s="215" t="s">
        <v>233</v>
      </c>
      <c r="J13" s="215" t="s">
        <v>234</v>
      </c>
      <c r="K13" s="215" t="s">
        <v>235</v>
      </c>
      <c r="L13" s="215"/>
      <c r="M13" s="215" t="s">
        <v>236</v>
      </c>
      <c r="N13" s="215" t="s">
        <v>237</v>
      </c>
      <c r="O13" s="215" t="s">
        <v>238</v>
      </c>
      <c r="P13" s="215" t="s">
        <v>239</v>
      </c>
      <c r="Q13" s="215" t="s">
        <v>240</v>
      </c>
      <c r="R13" s="215" t="s">
        <v>140</v>
      </c>
      <c r="S13" s="215" t="s">
        <v>270</v>
      </c>
      <c r="T13" s="215" t="s">
        <v>280</v>
      </c>
      <c r="U13" s="215" t="s">
        <v>281</v>
      </c>
      <c r="V13" s="215" t="s">
        <v>473</v>
      </c>
      <c r="W13" s="215" t="s">
        <v>474</v>
      </c>
      <c r="X13" s="215" t="s">
        <v>475</v>
      </c>
      <c r="Y13" s="595"/>
      <c r="Z13" s="197"/>
    </row>
    <row r="14" spans="1:29">
      <c r="A14" s="192"/>
      <c r="F14" s="192"/>
      <c r="G14" s="192"/>
      <c r="H14" s="192"/>
      <c r="I14" s="192"/>
      <c r="J14" s="192"/>
      <c r="AA14" s="192"/>
    </row>
    <row r="15" spans="1:29">
      <c r="A15" s="190">
        <v>1</v>
      </c>
      <c r="C15" s="194" t="s">
        <v>997</v>
      </c>
      <c r="F15" s="192"/>
      <c r="G15" s="192"/>
      <c r="H15" s="192"/>
      <c r="I15" s="192"/>
      <c r="J15" s="192"/>
      <c r="AA15" s="192"/>
    </row>
    <row r="16" spans="1:29">
      <c r="A16" s="190">
        <f>+A15+1</f>
        <v>2</v>
      </c>
      <c r="F16" s="192"/>
      <c r="G16" s="192"/>
      <c r="H16" s="192"/>
      <c r="I16" s="285"/>
      <c r="J16" s="192"/>
      <c r="AA16" s="192"/>
      <c r="AC16" s="322"/>
    </row>
    <row r="17" spans="1:35">
      <c r="A17" s="190">
        <f t="shared" ref="A17:A22" si="0">+A16+1</f>
        <v>3</v>
      </c>
      <c r="B17" s="323" t="s">
        <v>283</v>
      </c>
      <c r="C17" s="194" t="s">
        <v>993</v>
      </c>
      <c r="D17" s="221"/>
      <c r="E17" s="324"/>
      <c r="F17" s="235"/>
      <c r="G17" s="235"/>
      <c r="H17" s="235"/>
      <c r="I17" s="325"/>
      <c r="J17" s="142"/>
      <c r="K17" s="142"/>
      <c r="L17" s="142"/>
      <c r="M17" s="142"/>
      <c r="N17" s="142"/>
      <c r="O17" s="191"/>
      <c r="P17" s="191"/>
      <c r="Q17" s="191"/>
      <c r="R17" s="191"/>
      <c r="S17" s="191"/>
      <c r="T17" s="191"/>
      <c r="U17" s="191"/>
      <c r="V17" s="191"/>
      <c r="W17" s="191"/>
      <c r="X17" s="191"/>
      <c r="Y17" s="596"/>
      <c r="AA17" s="326"/>
      <c r="AB17" s="326"/>
      <c r="AC17" s="322"/>
      <c r="AD17" s="142"/>
      <c r="AE17" s="142"/>
      <c r="AF17" s="142"/>
      <c r="AG17" s="142"/>
      <c r="AH17" s="142"/>
      <c r="AI17" s="142"/>
    </row>
    <row r="18" spans="1:35">
      <c r="A18" s="190">
        <f t="shared" si="0"/>
        <v>4</v>
      </c>
      <c r="B18" s="327"/>
      <c r="C18" s="678" t="s">
        <v>958</v>
      </c>
      <c r="E18" s="449">
        <v>44229087.270000003</v>
      </c>
      <c r="F18" s="449">
        <v>0</v>
      </c>
      <c r="G18" s="449">
        <f t="shared" ref="G18" si="1">+E18+F18</f>
        <v>44229087.270000003</v>
      </c>
      <c r="H18" s="449">
        <f>-G18</f>
        <v>-44229087.270000003</v>
      </c>
      <c r="I18" s="449">
        <f t="shared" ref="I18" si="2">+G18+H18</f>
        <v>0</v>
      </c>
      <c r="J18" s="227">
        <v>1</v>
      </c>
      <c r="K18" s="449">
        <f t="shared" ref="K18" si="3">+I18*J18</f>
        <v>0</v>
      </c>
      <c r="L18" s="285"/>
      <c r="N18" s="328"/>
      <c r="O18" s="449">
        <v>0</v>
      </c>
      <c r="P18" s="449">
        <v>0</v>
      </c>
      <c r="Q18" s="449">
        <v>0</v>
      </c>
      <c r="R18" s="449">
        <f t="shared" ref="R18" si="4">SUM(O18:Q18)</f>
        <v>0</v>
      </c>
      <c r="S18" s="449">
        <v>0</v>
      </c>
      <c r="T18" s="449">
        <v>0</v>
      </c>
      <c r="U18" s="449">
        <f t="shared" ref="U18:U36" si="5">SUM(S18:T18)</f>
        <v>0</v>
      </c>
      <c r="V18" s="449">
        <f>ROUND(+$K18*'[5]II-F Alloc_Factor'!L$35,0)</f>
        <v>0</v>
      </c>
      <c r="W18" s="449">
        <f>+K18-O18-P18-Q18-S18-T18-V18</f>
        <v>0</v>
      </c>
      <c r="X18" s="449">
        <f>+O18+P18+Q18+S18+T18+V18+W18</f>
        <v>0</v>
      </c>
      <c r="Y18" s="197" t="b">
        <f t="shared" ref="Y18" si="6">+K18=X18</f>
        <v>1</v>
      </c>
      <c r="Z18" s="597">
        <f t="shared" ref="Z18" si="7">+K18-X18</f>
        <v>0</v>
      </c>
      <c r="AA18" s="449"/>
      <c r="AC18" s="322"/>
    </row>
    <row r="19" spans="1:35">
      <c r="A19" s="190">
        <f t="shared" si="0"/>
        <v>5</v>
      </c>
      <c r="B19" s="327"/>
      <c r="C19" s="678" t="s">
        <v>952</v>
      </c>
      <c r="E19" s="450">
        <v>43566659.75</v>
      </c>
      <c r="F19" s="450">
        <v>0</v>
      </c>
      <c r="G19" s="450">
        <f t="shared" ref="G19:G39" si="8">SUM(E19:F19)</f>
        <v>43566659.75</v>
      </c>
      <c r="H19" s="450">
        <f>-G19</f>
        <v>-43566659.75</v>
      </c>
      <c r="I19" s="450">
        <f t="shared" ref="I19:I39" si="9">+G19+H19</f>
        <v>0</v>
      </c>
      <c r="J19" s="227">
        <v>1</v>
      </c>
      <c r="K19" s="451">
        <f t="shared" ref="K19:K36" si="10">+I19*J19</f>
        <v>0</v>
      </c>
      <c r="L19" s="285"/>
      <c r="N19" s="328"/>
      <c r="O19" s="451">
        <v>0</v>
      </c>
      <c r="P19" s="451">
        <v>0</v>
      </c>
      <c r="Q19" s="451">
        <v>0</v>
      </c>
      <c r="R19" s="451">
        <f>SUM(O19:Q19)</f>
        <v>0</v>
      </c>
      <c r="S19" s="451">
        <v>0</v>
      </c>
      <c r="T19" s="451">
        <v>0</v>
      </c>
      <c r="U19" s="451">
        <f t="shared" si="5"/>
        <v>0</v>
      </c>
      <c r="V19" s="451">
        <v>0</v>
      </c>
      <c r="W19" s="451">
        <v>0</v>
      </c>
      <c r="X19" s="452">
        <f t="shared" ref="X19:X36" si="11">+O19+P19+Q19+S19+T19+V19+W19</f>
        <v>0</v>
      </c>
      <c r="Y19" s="197" t="b">
        <f t="shared" ref="Y19" si="12">+K19=X19</f>
        <v>1</v>
      </c>
      <c r="Z19" s="597">
        <f>+K19-X19</f>
        <v>0</v>
      </c>
      <c r="AA19" s="450"/>
      <c r="AC19" s="322"/>
    </row>
    <row r="20" spans="1:35">
      <c r="A20" s="190">
        <f t="shared" si="0"/>
        <v>6</v>
      </c>
      <c r="B20" s="327"/>
      <c r="C20" s="678" t="s">
        <v>953</v>
      </c>
      <c r="E20" s="450">
        <v>8476771.2699999996</v>
      </c>
      <c r="F20" s="450">
        <v>0</v>
      </c>
      <c r="G20" s="450">
        <f t="shared" si="8"/>
        <v>8476771.2699999996</v>
      </c>
      <c r="H20" s="450">
        <f>-G20</f>
        <v>-8476771.2699999996</v>
      </c>
      <c r="I20" s="450">
        <f>+G20+H20</f>
        <v>0</v>
      </c>
      <c r="J20" s="227">
        <v>1</v>
      </c>
      <c r="K20" s="451">
        <f t="shared" si="10"/>
        <v>0</v>
      </c>
      <c r="L20" s="285"/>
      <c r="N20" s="328"/>
      <c r="O20" s="451">
        <v>0</v>
      </c>
      <c r="P20" s="451">
        <v>0</v>
      </c>
      <c r="Q20" s="451">
        <v>0</v>
      </c>
      <c r="R20" s="451">
        <f t="shared" ref="R20:R60" si="13">SUM(O20:Q20)</f>
        <v>0</v>
      </c>
      <c r="S20" s="451">
        <v>0</v>
      </c>
      <c r="T20" s="451">
        <v>0</v>
      </c>
      <c r="U20" s="451">
        <f t="shared" si="5"/>
        <v>0</v>
      </c>
      <c r="V20" s="451">
        <v>0</v>
      </c>
      <c r="W20" s="451">
        <v>0</v>
      </c>
      <c r="X20" s="452">
        <f t="shared" si="11"/>
        <v>0</v>
      </c>
      <c r="Y20" s="197" t="b">
        <f t="shared" ref="Y20:Y61" si="14">+K20=X20</f>
        <v>1</v>
      </c>
      <c r="Z20" s="597">
        <f t="shared" ref="Z20:Z61" si="15">+K20-X20</f>
        <v>0</v>
      </c>
      <c r="AA20" s="450"/>
      <c r="AC20" s="322"/>
    </row>
    <row r="21" spans="1:35">
      <c r="A21" s="190">
        <f t="shared" si="0"/>
        <v>7</v>
      </c>
      <c r="B21" s="327"/>
      <c r="C21" s="678" t="s">
        <v>874</v>
      </c>
      <c r="E21" s="450">
        <v>43932164.649999999</v>
      </c>
      <c r="F21" s="450">
        <v>0</v>
      </c>
      <c r="G21" s="450">
        <f t="shared" si="8"/>
        <v>43932164.649999999</v>
      </c>
      <c r="H21" s="450">
        <v>0</v>
      </c>
      <c r="I21" s="450">
        <f t="shared" ref="I21:I36" si="16">+G21+H21</f>
        <v>43932164.649999999</v>
      </c>
      <c r="J21" s="227">
        <v>1</v>
      </c>
      <c r="K21" s="451">
        <f t="shared" si="10"/>
        <v>43932164.649999999</v>
      </c>
      <c r="L21" s="285"/>
      <c r="N21" s="190" t="s">
        <v>684</v>
      </c>
      <c r="O21" s="410">
        <f>ROUND($K21*'[5]II-F Alloc_Factor'!E$38,2)</f>
        <v>19970803.800000001</v>
      </c>
      <c r="P21" s="410">
        <f>ROUND($K21*'[5]II-F Alloc_Factor'!F$38,2)</f>
        <v>0</v>
      </c>
      <c r="Q21" s="410">
        <f>ROUND($K21*'[5]II-F Alloc_Factor'!G$38,2)</f>
        <v>17157.43</v>
      </c>
      <c r="R21" s="410">
        <f>ROUND($K21*'[5]II-F Alloc_Factor'!H$38,2)</f>
        <v>19987961.219999999</v>
      </c>
      <c r="S21" s="410">
        <f>+K21-O21-P21-Q21-T21-V21-W21</f>
        <v>22808660.919999998</v>
      </c>
      <c r="T21" s="410">
        <f>ROUND($K21*'[5]II-F Alloc_Factor'!J$38,2)</f>
        <v>0</v>
      </c>
      <c r="U21" s="410">
        <f t="shared" si="5"/>
        <v>22808660.919999998</v>
      </c>
      <c r="V21" s="410">
        <f>ROUND($K21*'[5]II-F Alloc_Factor'!L$38,2)</f>
        <v>683619.08</v>
      </c>
      <c r="W21" s="410">
        <f>ROUND($K21*'[5]II-F Alloc_Factor'!M$38,2)</f>
        <v>451923.42</v>
      </c>
      <c r="X21" s="452">
        <f t="shared" si="11"/>
        <v>43932164.649999999</v>
      </c>
      <c r="Y21" s="197" t="b">
        <f t="shared" si="14"/>
        <v>1</v>
      </c>
      <c r="Z21" s="597">
        <f t="shared" si="15"/>
        <v>0</v>
      </c>
      <c r="AA21" s="450"/>
      <c r="AC21" s="322"/>
    </row>
    <row r="22" spans="1:35">
      <c r="A22" s="190">
        <f t="shared" si="0"/>
        <v>8</v>
      </c>
      <c r="B22" s="327"/>
      <c r="C22" s="678" t="s">
        <v>568</v>
      </c>
      <c r="E22" s="450">
        <v>2670081.87</v>
      </c>
      <c r="F22" s="450">
        <v>0</v>
      </c>
      <c r="G22" s="450">
        <f t="shared" si="8"/>
        <v>2670081.87</v>
      </c>
      <c r="H22" s="450">
        <v>0</v>
      </c>
      <c r="I22" s="450">
        <f t="shared" si="16"/>
        <v>2670081.87</v>
      </c>
      <c r="J22" s="227">
        <v>1</v>
      </c>
      <c r="K22" s="451">
        <f t="shared" si="10"/>
        <v>2670081.87</v>
      </c>
      <c r="L22" s="285"/>
      <c r="N22" s="190" t="s">
        <v>684</v>
      </c>
      <c r="O22" s="410">
        <f>ROUND($K22*'[5]II-F Alloc_Factor'!E$38,2)</f>
        <v>1213773.1299999999</v>
      </c>
      <c r="P22" s="410">
        <f>ROUND($K22*'[5]II-F Alloc_Factor'!F$38,2)</f>
        <v>0</v>
      </c>
      <c r="Q22" s="410">
        <f>ROUND($K22*'[5]II-F Alloc_Factor'!G$38,2)</f>
        <v>1042.78</v>
      </c>
      <c r="R22" s="410">
        <f>ROUND($K22*'[5]II-F Alloc_Factor'!H$38,2)</f>
        <v>1214815.92</v>
      </c>
      <c r="S22" s="410">
        <f>+K22-O22-P22-Q22-T22-V22-W22</f>
        <v>1386250.6600000001</v>
      </c>
      <c r="T22" s="410">
        <f>ROUND($K22*'[5]II-F Alloc_Factor'!J$38,2)</f>
        <v>0</v>
      </c>
      <c r="U22" s="410">
        <f t="shared" si="5"/>
        <v>1386250.6600000001</v>
      </c>
      <c r="V22" s="410">
        <f>ROUND($K22*'[5]II-F Alloc_Factor'!L$38,2)</f>
        <v>41548.58</v>
      </c>
      <c r="W22" s="410">
        <f>ROUND($K22*'[5]II-F Alloc_Factor'!M$38,2)</f>
        <v>27466.720000000001</v>
      </c>
      <c r="X22" s="452">
        <f t="shared" si="11"/>
        <v>2670081.8700000006</v>
      </c>
      <c r="Y22" s="197" t="b">
        <f t="shared" si="14"/>
        <v>1</v>
      </c>
      <c r="Z22" s="597">
        <f t="shared" si="15"/>
        <v>0</v>
      </c>
      <c r="AA22" s="450"/>
      <c r="AC22" s="322"/>
    </row>
    <row r="23" spans="1:35">
      <c r="A23" s="190">
        <f t="shared" ref="A23:A88" si="17">+A22+1</f>
        <v>9</v>
      </c>
      <c r="B23" s="327"/>
      <c r="C23" s="678" t="s">
        <v>599</v>
      </c>
      <c r="E23" s="450">
        <v>24541558.140000001</v>
      </c>
      <c r="F23" s="450">
        <f>-F27</f>
        <v>2588446.77</v>
      </c>
      <c r="G23" s="450">
        <f t="shared" si="8"/>
        <v>27130004.91</v>
      </c>
      <c r="H23" s="450">
        <v>0</v>
      </c>
      <c r="I23" s="450">
        <f t="shared" si="16"/>
        <v>27130004.91</v>
      </c>
      <c r="J23" s="227">
        <v>1</v>
      </c>
      <c r="K23" s="451">
        <f t="shared" si="10"/>
        <v>27130004.91</v>
      </c>
      <c r="L23" s="285"/>
      <c r="N23" s="190" t="s">
        <v>684</v>
      </c>
      <c r="O23" s="410">
        <f>ROUND($K23*'[5]II-F Alloc_Factor'!E$38,2)</f>
        <v>12332831.98</v>
      </c>
      <c r="P23" s="410">
        <f>ROUND($K23*'[5]II-F Alloc_Factor'!F$38,2)</f>
        <v>0</v>
      </c>
      <c r="Q23" s="410">
        <f>ROUND($K23*'[5]II-F Alloc_Factor'!G$38,2)</f>
        <v>10595.45</v>
      </c>
      <c r="R23" s="410">
        <f>ROUND($K23*'[5]II-F Alloc_Factor'!H$38,2)</f>
        <v>12343427.43</v>
      </c>
      <c r="S23" s="410">
        <f>+K23-O23-P23-Q23-T23-V23-W23</f>
        <v>14085331.050000001</v>
      </c>
      <c r="T23" s="410">
        <f>ROUND($K23*'[5]II-F Alloc_Factor'!J$38,2)</f>
        <v>0</v>
      </c>
      <c r="U23" s="410">
        <f t="shared" si="5"/>
        <v>14085331.050000001</v>
      </c>
      <c r="V23" s="410">
        <f>ROUND($K23*'[5]II-F Alloc_Factor'!L$38,2)</f>
        <v>422164.24</v>
      </c>
      <c r="W23" s="410">
        <f>ROUND($K23*'[5]II-F Alloc_Factor'!M$38,2)</f>
        <v>279082.19</v>
      </c>
      <c r="X23" s="452">
        <f t="shared" si="11"/>
        <v>27130004.91</v>
      </c>
      <c r="Y23" s="197" t="b">
        <f t="shared" si="14"/>
        <v>1</v>
      </c>
      <c r="Z23" s="597">
        <f t="shared" si="15"/>
        <v>0</v>
      </c>
      <c r="AA23" s="450"/>
      <c r="AC23" s="322"/>
    </row>
    <row r="24" spans="1:35">
      <c r="A24" s="190">
        <f t="shared" si="17"/>
        <v>10</v>
      </c>
      <c r="B24" s="327"/>
      <c r="C24" s="678" t="s">
        <v>698</v>
      </c>
      <c r="E24" s="450">
        <v>165059421.63000005</v>
      </c>
      <c r="F24" s="450">
        <v>0</v>
      </c>
      <c r="G24" s="450">
        <f t="shared" si="8"/>
        <v>165059421.63000005</v>
      </c>
      <c r="H24" s="450">
        <v>-1291037.33</v>
      </c>
      <c r="I24" s="450">
        <f t="shared" si="16"/>
        <v>163768384.30000004</v>
      </c>
      <c r="J24" s="227">
        <v>1</v>
      </c>
      <c r="K24" s="451">
        <f t="shared" ref="K24" si="18">+I24*J24</f>
        <v>163768384.30000004</v>
      </c>
      <c r="L24" s="285"/>
      <c r="N24" s="227" t="s">
        <v>685</v>
      </c>
      <c r="O24" s="410">
        <f>ROUND($K24*'[5]II-F Alloc_Factor'!E$39,2)</f>
        <v>0</v>
      </c>
      <c r="P24" s="410">
        <f>ROUND($K24*'[5]II-F Alloc_Factor'!F$39,2)</f>
        <v>151655061.81999999</v>
      </c>
      <c r="Q24" s="410">
        <f>ROUND($K24*'[5]II-F Alloc_Factor'!G$39,2)</f>
        <v>0</v>
      </c>
      <c r="R24" s="410">
        <f>ROUND($K24*'[5]II-F Alloc_Factor'!H$39,2)</f>
        <v>151655061.81999999</v>
      </c>
      <c r="S24" s="410">
        <f>ROUND($K24*'[5]II-F Alloc_Factor'!I$39,2)</f>
        <v>0</v>
      </c>
      <c r="T24" s="410">
        <f>ROUND($K24*'[5]II-F Alloc_Factor'!J$39,2)</f>
        <v>12113322.48</v>
      </c>
      <c r="U24" s="410">
        <f t="shared" si="5"/>
        <v>12113322.48</v>
      </c>
      <c r="V24" s="410">
        <f>ROUND($K24*'[5]II-F Alloc_Factor'!L$39,2)</f>
        <v>0</v>
      </c>
      <c r="W24" s="410">
        <f>ROUND($K24*'[5]II-F Alloc_Factor'!M$39,2)</f>
        <v>0</v>
      </c>
      <c r="X24" s="452">
        <f t="shared" si="11"/>
        <v>163768384.29999998</v>
      </c>
      <c r="Y24" s="197" t="b">
        <f t="shared" ref="Y24" si="19">+K24=X24</f>
        <v>1</v>
      </c>
      <c r="Z24" s="597">
        <f t="shared" ref="Z24" si="20">+K24-X24</f>
        <v>0</v>
      </c>
      <c r="AA24" s="450"/>
      <c r="AC24" s="322"/>
    </row>
    <row r="25" spans="1:35">
      <c r="A25" s="190">
        <f t="shared" si="17"/>
        <v>11</v>
      </c>
      <c r="B25" s="327"/>
      <c r="C25" s="678" t="s">
        <v>343</v>
      </c>
      <c r="E25" s="450">
        <v>262006056.59999999</v>
      </c>
      <c r="F25" s="450">
        <v>0</v>
      </c>
      <c r="G25" s="450">
        <f t="shared" si="8"/>
        <v>262006056.59999999</v>
      </c>
      <c r="H25" s="450">
        <v>0</v>
      </c>
      <c r="I25" s="450">
        <f t="shared" si="16"/>
        <v>262006056.59999999</v>
      </c>
      <c r="J25" s="227">
        <v>1</v>
      </c>
      <c r="K25" s="451">
        <f t="shared" si="10"/>
        <v>262006056.59999999</v>
      </c>
      <c r="L25" s="285"/>
      <c r="N25" s="786" t="s">
        <v>1260</v>
      </c>
      <c r="O25" s="410">
        <f>ROUND($K25*'[5]II-F Alloc_Factor'!E$41,2)</f>
        <v>66311928.850000001</v>
      </c>
      <c r="P25" s="410">
        <f>ROUND($K25*'[5]II-F Alloc_Factor'!F$41,2)</f>
        <v>0</v>
      </c>
      <c r="Q25" s="410">
        <f>ROUND($K25*'[5]II-F Alloc_Factor'!G$41,2)</f>
        <v>0</v>
      </c>
      <c r="R25" s="410">
        <f>ROUND($K25*'[5]II-F Alloc_Factor'!H$41,2)</f>
        <v>66311928.850000001</v>
      </c>
      <c r="S25" s="410">
        <f>+K25-O25-P25-Q25-T25-V25-W25</f>
        <v>115114184.08000001</v>
      </c>
      <c r="T25" s="410">
        <f>ROUND($K25*'[5]II-F Alloc_Factor'!J$41,2)</f>
        <v>0</v>
      </c>
      <c r="U25" s="410">
        <f>ROUND($K25*'[5]II-F Alloc_Factor'!K$41,2)</f>
        <v>115114184.06999999</v>
      </c>
      <c r="V25" s="410">
        <f>ROUND($K25*'[5]II-F Alloc_Factor'!L$41,2)</f>
        <v>10877741.82</v>
      </c>
      <c r="W25" s="410">
        <f>ROUND($K25*'[5]II-F Alloc_Factor'!M$41,2)</f>
        <v>69702201.849999994</v>
      </c>
      <c r="X25" s="452">
        <f t="shared" si="11"/>
        <v>262006056.59999999</v>
      </c>
      <c r="Y25" s="197" t="b">
        <f t="shared" si="14"/>
        <v>1</v>
      </c>
      <c r="Z25" s="597">
        <f t="shared" si="15"/>
        <v>0</v>
      </c>
      <c r="AA25" s="450"/>
      <c r="AC25" s="322"/>
    </row>
    <row r="26" spans="1:35">
      <c r="A26" s="190">
        <f t="shared" si="17"/>
        <v>12</v>
      </c>
      <c r="B26" s="327"/>
      <c r="C26" s="678" t="s">
        <v>413</v>
      </c>
      <c r="E26" s="450">
        <v>-108219421.27</v>
      </c>
      <c r="F26" s="450">
        <v>0</v>
      </c>
      <c r="G26" s="450">
        <f t="shared" si="8"/>
        <v>-108219421.27</v>
      </c>
      <c r="H26" s="450">
        <v>0</v>
      </c>
      <c r="I26" s="450">
        <f t="shared" si="16"/>
        <v>-108219421.27</v>
      </c>
      <c r="J26" s="227">
        <v>1</v>
      </c>
      <c r="K26" s="451">
        <f t="shared" si="10"/>
        <v>-108219421.27</v>
      </c>
      <c r="L26" s="285"/>
      <c r="N26" s="786" t="s">
        <v>1260</v>
      </c>
      <c r="O26" s="410">
        <f>ROUND($K26*'[5]II-F Alloc_Factor'!E$41,2)</f>
        <v>-27389590.370000001</v>
      </c>
      <c r="P26" s="410">
        <f>ROUND($K26*'[5]II-F Alloc_Factor'!F$41,2)</f>
        <v>0</v>
      </c>
      <c r="Q26" s="410">
        <f>ROUND($K26*'[5]II-F Alloc_Factor'!G$41,2)</f>
        <v>0</v>
      </c>
      <c r="R26" s="410">
        <f>ROUND($K26*'[5]II-F Alloc_Factor'!H$41,2)</f>
        <v>-27389590.370000001</v>
      </c>
      <c r="S26" s="410">
        <f>ROUND($K26*'[5]II-F Alloc_Factor'!I$41,2)</f>
        <v>-47546955.75</v>
      </c>
      <c r="T26" s="410">
        <f>ROUND($K26*'[5]II-F Alloc_Factor'!J$41,2)</f>
        <v>0</v>
      </c>
      <c r="U26" s="410">
        <f>ROUND($K26*'[5]II-F Alloc_Factor'!K$41,2)</f>
        <v>-47546955.75</v>
      </c>
      <c r="V26" s="410">
        <f>ROUND($K26*'[5]II-F Alloc_Factor'!L$41,2)</f>
        <v>-4492960.7300000004</v>
      </c>
      <c r="W26" s="410">
        <f>ROUND($K26*'[5]II-F Alloc_Factor'!M$41,2)</f>
        <v>-28789914.420000002</v>
      </c>
      <c r="X26" s="452">
        <f t="shared" si="11"/>
        <v>-108219421.27000001</v>
      </c>
      <c r="Y26" s="197" t="b">
        <f t="shared" si="14"/>
        <v>1</v>
      </c>
      <c r="Z26" s="597">
        <f t="shared" si="15"/>
        <v>0</v>
      </c>
      <c r="AA26" s="450"/>
      <c r="AC26" s="322"/>
    </row>
    <row r="27" spans="1:35">
      <c r="A27" s="190">
        <f t="shared" si="17"/>
        <v>13</v>
      </c>
      <c r="B27" s="327"/>
      <c r="C27" s="678" t="s">
        <v>339</v>
      </c>
      <c r="E27" s="450">
        <v>-1231191865.79</v>
      </c>
      <c r="F27" s="450">
        <v>-2588446.77</v>
      </c>
      <c r="G27" s="450">
        <f t="shared" si="8"/>
        <v>-1233780312.5599999</v>
      </c>
      <c r="H27" s="450">
        <v>0</v>
      </c>
      <c r="I27" s="450">
        <f t="shared" si="16"/>
        <v>-1233780312.5599999</v>
      </c>
      <c r="J27" s="227">
        <v>1</v>
      </c>
      <c r="K27" s="451">
        <f t="shared" si="10"/>
        <v>-1233780312.5599999</v>
      </c>
      <c r="L27" s="285"/>
      <c r="N27" s="190" t="s">
        <v>684</v>
      </c>
      <c r="O27" s="410">
        <f>ROUND($K27*'[5]II-F Alloc_Factor'!E$38,2)</f>
        <v>-560855235.45000005</v>
      </c>
      <c r="P27" s="410">
        <f>ROUND($K27*'[5]II-F Alloc_Factor'!F$38,2)</f>
        <v>0</v>
      </c>
      <c r="Q27" s="410">
        <f>ROUND($K27*'[5]II-F Alloc_Factor'!G$38,2)</f>
        <v>-481845.1</v>
      </c>
      <c r="R27" s="410">
        <f>ROUND($K27*'[5]II-F Alloc_Factor'!H$38,2)</f>
        <v>-561337080.55999994</v>
      </c>
      <c r="S27" s="410">
        <f t="shared" ref="S27:S36" si="21">+K27-O27-P27-Q27-T27-V27-W27</f>
        <v>-640552930.36999989</v>
      </c>
      <c r="T27" s="410">
        <f>ROUND($K27*'[5]II-F Alloc_Factor'!J$38,2)</f>
        <v>0</v>
      </c>
      <c r="U27" s="410">
        <f t="shared" si="5"/>
        <v>-640552930.36999989</v>
      </c>
      <c r="V27" s="410">
        <f>ROUND($K27*'[5]II-F Alloc_Factor'!L$38,2)</f>
        <v>-19198593.309999999</v>
      </c>
      <c r="W27" s="410">
        <f>ROUND($K27*'[5]II-F Alloc_Factor'!M$38,2)</f>
        <v>-12691708.33</v>
      </c>
      <c r="X27" s="452">
        <f t="shared" si="11"/>
        <v>-1233780312.5599999</v>
      </c>
      <c r="Y27" s="197" t="b">
        <f t="shared" si="14"/>
        <v>1</v>
      </c>
      <c r="Z27" s="597">
        <f t="shared" si="15"/>
        <v>0</v>
      </c>
      <c r="AA27" s="450"/>
      <c r="AC27" s="322"/>
    </row>
    <row r="28" spans="1:35">
      <c r="A28" s="190">
        <f t="shared" si="17"/>
        <v>14</v>
      </c>
      <c r="B28" s="330"/>
      <c r="C28" s="678" t="s">
        <v>600</v>
      </c>
      <c r="E28" s="450">
        <v>3178056736.25</v>
      </c>
      <c r="F28" s="450">
        <v>0</v>
      </c>
      <c r="G28" s="450">
        <f t="shared" si="8"/>
        <v>3178056736.25</v>
      </c>
      <c r="H28" s="450">
        <v>-290966.40000000002</v>
      </c>
      <c r="I28" s="450">
        <f t="shared" si="16"/>
        <v>3177765769.8499999</v>
      </c>
      <c r="J28" s="227">
        <v>1</v>
      </c>
      <c r="K28" s="451">
        <f t="shared" si="10"/>
        <v>3177765769.8499999</v>
      </c>
      <c r="L28" s="285"/>
      <c r="N28" s="190" t="s">
        <v>684</v>
      </c>
      <c r="O28" s="410">
        <f>ROUND($K28*'[5]II-F Alloc_Factor'!E$38,2)</f>
        <v>1444557471.8</v>
      </c>
      <c r="P28" s="410">
        <f>ROUND($K28*'[5]II-F Alloc_Factor'!F$38,2)</f>
        <v>0</v>
      </c>
      <c r="Q28" s="410">
        <f>ROUND($K28*'[5]II-F Alloc_Factor'!G$38,2)</f>
        <v>1241056.3400000001</v>
      </c>
      <c r="R28" s="410">
        <f>ROUND($K28*'[5]II-F Alloc_Factor'!H$38,2)</f>
        <v>1445798528.1400001</v>
      </c>
      <c r="S28" s="410">
        <f t="shared" si="21"/>
        <v>1649829515.95</v>
      </c>
      <c r="T28" s="410">
        <f>ROUND($K28*'[5]II-F Alloc_Factor'!J$38,2)</f>
        <v>0</v>
      </c>
      <c r="U28" s="410">
        <f t="shared" si="5"/>
        <v>1649829515.95</v>
      </c>
      <c r="V28" s="410">
        <f>ROUND($K28*'[5]II-F Alloc_Factor'!L$38,2)</f>
        <v>49448537.990000002</v>
      </c>
      <c r="W28" s="410">
        <f>ROUND($K28*'[5]II-F Alloc_Factor'!M$38,2)</f>
        <v>32689187.77</v>
      </c>
      <c r="X28" s="452">
        <f t="shared" si="11"/>
        <v>3177765769.8499999</v>
      </c>
      <c r="Y28" s="197" t="b">
        <f t="shared" si="14"/>
        <v>1</v>
      </c>
      <c r="Z28" s="597">
        <f t="shared" si="15"/>
        <v>0</v>
      </c>
      <c r="AA28" s="450"/>
      <c r="AC28" s="322"/>
    </row>
    <row r="29" spans="1:35">
      <c r="A29" s="190">
        <f t="shared" si="17"/>
        <v>15</v>
      </c>
      <c r="B29" s="323"/>
      <c r="C29" s="678" t="s">
        <v>350</v>
      </c>
      <c r="E29" s="450">
        <v>5190674.8600000003</v>
      </c>
      <c r="F29" s="450">
        <v>0</v>
      </c>
      <c r="G29" s="450">
        <f t="shared" si="8"/>
        <v>5190674.8600000003</v>
      </c>
      <c r="H29" s="450">
        <v>0</v>
      </c>
      <c r="I29" s="450">
        <f t="shared" si="16"/>
        <v>5190674.8600000003</v>
      </c>
      <c r="J29" s="227">
        <v>1</v>
      </c>
      <c r="K29" s="451">
        <f t="shared" si="10"/>
        <v>5190674.8600000003</v>
      </c>
      <c r="L29" s="285"/>
      <c r="N29" s="190" t="s">
        <v>684</v>
      </c>
      <c r="O29" s="410">
        <f>ROUND($K29*'[5]II-F Alloc_Factor'!E$38,2)</f>
        <v>2359591.2000000002</v>
      </c>
      <c r="P29" s="410">
        <f>ROUND($K29*'[5]II-F Alloc_Factor'!F$38,2)</f>
        <v>0</v>
      </c>
      <c r="Q29" s="410">
        <f>ROUND($K29*'[5]II-F Alloc_Factor'!G$38,2)</f>
        <v>2027.19</v>
      </c>
      <c r="R29" s="410">
        <f>ROUND($K29*'[5]II-F Alloc_Factor'!H$38,2)</f>
        <v>2361618.39</v>
      </c>
      <c r="S29" s="410">
        <f t="shared" si="21"/>
        <v>2694889.81</v>
      </c>
      <c r="T29" s="410">
        <f>ROUND($K29*'[5]II-F Alloc_Factor'!J$38,2)</f>
        <v>0</v>
      </c>
      <c r="U29" s="410">
        <f t="shared" si="5"/>
        <v>2694889.81</v>
      </c>
      <c r="V29" s="410">
        <f>ROUND($K29*'[5]II-F Alloc_Factor'!L$38,2)</f>
        <v>80770.990000000005</v>
      </c>
      <c r="W29" s="410">
        <f>ROUND($K29*'[5]II-F Alloc_Factor'!M$38,2)</f>
        <v>53395.67</v>
      </c>
      <c r="X29" s="452">
        <f t="shared" si="11"/>
        <v>5190674.8600000003</v>
      </c>
      <c r="Y29" s="197" t="b">
        <f t="shared" si="14"/>
        <v>1</v>
      </c>
      <c r="Z29" s="597">
        <f t="shared" si="15"/>
        <v>0</v>
      </c>
      <c r="AA29" s="450"/>
      <c r="AC29" s="322"/>
    </row>
    <row r="30" spans="1:35">
      <c r="A30" s="190">
        <f t="shared" si="17"/>
        <v>16</v>
      </c>
      <c r="B30" s="323"/>
      <c r="C30" s="678" t="s">
        <v>397</v>
      </c>
      <c r="E30" s="450">
        <v>304062282.94999999</v>
      </c>
      <c r="F30" s="450">
        <v>0</v>
      </c>
      <c r="G30" s="450">
        <f t="shared" si="8"/>
        <v>304062282.94999999</v>
      </c>
      <c r="H30" s="450">
        <v>0</v>
      </c>
      <c r="I30" s="450">
        <f t="shared" si="16"/>
        <v>304062282.94999999</v>
      </c>
      <c r="J30" s="227">
        <v>1</v>
      </c>
      <c r="K30" s="451">
        <f t="shared" si="10"/>
        <v>304062282.94999999</v>
      </c>
      <c r="L30" s="285"/>
      <c r="N30" s="190" t="s">
        <v>684</v>
      </c>
      <c r="O30" s="410">
        <f>ROUND($K30*'[5]II-F Alloc_Factor'!E$38,2)</f>
        <v>138221465.81999999</v>
      </c>
      <c r="P30" s="410">
        <f>ROUND($K30*'[5]II-F Alloc_Factor'!F$38,2)</f>
        <v>0</v>
      </c>
      <c r="Q30" s="410">
        <f>ROUND($K30*'[5]II-F Alloc_Factor'!G$38,2)</f>
        <v>118749.6</v>
      </c>
      <c r="R30" s="410">
        <f>ROUND($K30*'[5]II-F Alloc_Factor'!H$38,2)</f>
        <v>138340215.41999999</v>
      </c>
      <c r="S30" s="410">
        <f t="shared" si="21"/>
        <v>157862777.00999999</v>
      </c>
      <c r="T30" s="410">
        <f>ROUND($K30*'[5]II-F Alloc_Factor'!J$38,2)</f>
        <v>0</v>
      </c>
      <c r="U30" s="410">
        <f t="shared" si="5"/>
        <v>157862777.00999999</v>
      </c>
      <c r="V30" s="410">
        <f>ROUND($K30*'[5]II-F Alloc_Factor'!L$38,2)</f>
        <v>4731448.58</v>
      </c>
      <c r="W30" s="410">
        <f>ROUND($K30*'[5]II-F Alloc_Factor'!M$38,2)</f>
        <v>3127841.94</v>
      </c>
      <c r="X30" s="452">
        <f t="shared" si="11"/>
        <v>304062282.94999993</v>
      </c>
      <c r="Y30" s="197" t="b">
        <f t="shared" si="14"/>
        <v>1</v>
      </c>
      <c r="Z30" s="597">
        <f t="shared" si="15"/>
        <v>0</v>
      </c>
      <c r="AA30" s="450"/>
      <c r="AC30" s="322"/>
    </row>
    <row r="31" spans="1:35">
      <c r="A31" s="190">
        <f t="shared" si="17"/>
        <v>17</v>
      </c>
      <c r="B31" s="330"/>
      <c r="C31" s="678" t="s">
        <v>322</v>
      </c>
      <c r="E31" s="450">
        <v>176279121.04999998</v>
      </c>
      <c r="F31" s="450">
        <v>0</v>
      </c>
      <c r="G31" s="450">
        <f t="shared" si="8"/>
        <v>176279121.04999998</v>
      </c>
      <c r="H31" s="450">
        <v>0</v>
      </c>
      <c r="I31" s="450">
        <f t="shared" si="16"/>
        <v>176279121.04999998</v>
      </c>
      <c r="J31" s="227">
        <v>1</v>
      </c>
      <c r="K31" s="451">
        <f t="shared" si="10"/>
        <v>176279121.04999998</v>
      </c>
      <c r="L31" s="285"/>
      <c r="N31" s="190" t="s">
        <v>684</v>
      </c>
      <c r="O31" s="410">
        <f>ROUND($K31*'[5]II-F Alloc_Factor'!E$38,2)</f>
        <v>80133445.909999996</v>
      </c>
      <c r="P31" s="410">
        <f>ROUND($K31*'[5]II-F Alloc_Factor'!F$38,2)</f>
        <v>0</v>
      </c>
      <c r="Q31" s="410">
        <f>ROUND($K31*'[5]II-F Alloc_Factor'!G$38,2)</f>
        <v>68844.7</v>
      </c>
      <c r="R31" s="410">
        <f>ROUND($K31*'[5]II-F Alloc_Factor'!H$38,2)</f>
        <v>80202290.609999999</v>
      </c>
      <c r="S31" s="410">
        <f t="shared" si="21"/>
        <v>91520432.279999986</v>
      </c>
      <c r="T31" s="410">
        <f>ROUND($K31*'[5]II-F Alloc_Factor'!J$38,2)</f>
        <v>0</v>
      </c>
      <c r="U31" s="410">
        <f t="shared" si="5"/>
        <v>91520432.279999986</v>
      </c>
      <c r="V31" s="410">
        <f>ROUND($K31*'[5]II-F Alloc_Factor'!L$38,2)</f>
        <v>2743041.95</v>
      </c>
      <c r="W31" s="410">
        <f>ROUND($K31*'[5]II-F Alloc_Factor'!M$38,2)</f>
        <v>1813356.21</v>
      </c>
      <c r="X31" s="452">
        <f t="shared" si="11"/>
        <v>176279121.04999998</v>
      </c>
      <c r="Y31" s="197" t="b">
        <f t="shared" si="14"/>
        <v>1</v>
      </c>
      <c r="Z31" s="597">
        <f t="shared" si="15"/>
        <v>0</v>
      </c>
      <c r="AA31" s="450"/>
      <c r="AC31" s="322"/>
    </row>
    <row r="32" spans="1:35">
      <c r="A32" s="190">
        <f t="shared" si="17"/>
        <v>18</v>
      </c>
      <c r="B32" s="330"/>
      <c r="C32" s="678" t="s">
        <v>414</v>
      </c>
      <c r="E32" s="450">
        <v>60922506.009999998</v>
      </c>
      <c r="F32" s="450">
        <v>0</v>
      </c>
      <c r="G32" s="450">
        <f t="shared" si="8"/>
        <v>60922506.009999998</v>
      </c>
      <c r="H32" s="450">
        <v>0</v>
      </c>
      <c r="I32" s="450">
        <f t="shared" si="16"/>
        <v>60922506.009999998</v>
      </c>
      <c r="J32" s="227">
        <v>1</v>
      </c>
      <c r="K32" s="451">
        <f t="shared" si="10"/>
        <v>60922506.009999998</v>
      </c>
      <c r="L32" s="285"/>
      <c r="N32" s="190" t="s">
        <v>684</v>
      </c>
      <c r="O32" s="410">
        <f>ROUND($K32*'[5]II-F Alloc_Factor'!E$38,2)</f>
        <v>27694319.73</v>
      </c>
      <c r="P32" s="410">
        <f>ROUND($K32*'[5]II-F Alloc_Factor'!F$38,2)</f>
        <v>0</v>
      </c>
      <c r="Q32" s="410">
        <f>ROUND($K32*'[5]II-F Alloc_Factor'!G$38,2)</f>
        <v>23792.9</v>
      </c>
      <c r="R32" s="410">
        <f>ROUND($K32*'[5]II-F Alloc_Factor'!H$38,2)</f>
        <v>27718112.629999999</v>
      </c>
      <c r="S32" s="410">
        <f t="shared" si="21"/>
        <v>31629690.759999998</v>
      </c>
      <c r="T32" s="410">
        <f>ROUND($K32*'[5]II-F Alloc_Factor'!J$38,2)</f>
        <v>0</v>
      </c>
      <c r="U32" s="410">
        <f t="shared" si="5"/>
        <v>31629690.759999998</v>
      </c>
      <c r="V32" s="410">
        <f>ROUND($K32*'[5]II-F Alloc_Factor'!L$38,2)</f>
        <v>948002.17</v>
      </c>
      <c r="W32" s="410">
        <f>ROUND($K32*'[5]II-F Alloc_Factor'!M$38,2)</f>
        <v>626700.44999999995</v>
      </c>
      <c r="X32" s="452">
        <f t="shared" si="11"/>
        <v>60922506.010000005</v>
      </c>
      <c r="Y32" s="197" t="b">
        <f t="shared" si="14"/>
        <v>1</v>
      </c>
      <c r="Z32" s="597">
        <f t="shared" si="15"/>
        <v>0</v>
      </c>
      <c r="AA32" s="450"/>
      <c r="AC32" s="322"/>
    </row>
    <row r="33" spans="1:29">
      <c r="A33" s="190">
        <f t="shared" si="17"/>
        <v>19</v>
      </c>
      <c r="B33" s="330"/>
      <c r="C33" s="678" t="s">
        <v>954</v>
      </c>
      <c r="E33" s="450">
        <v>-119092715.2</v>
      </c>
      <c r="F33" s="450">
        <v>0</v>
      </c>
      <c r="G33" s="450">
        <f t="shared" si="8"/>
        <v>-119092715.2</v>
      </c>
      <c r="H33" s="450">
        <v>0</v>
      </c>
      <c r="I33" s="450">
        <f t="shared" si="16"/>
        <v>-119092715.2</v>
      </c>
      <c r="J33" s="227">
        <v>1</v>
      </c>
      <c r="K33" s="451">
        <f t="shared" si="10"/>
        <v>-119092715.2</v>
      </c>
      <c r="L33" s="285"/>
      <c r="N33" s="190" t="s">
        <v>684</v>
      </c>
      <c r="O33" s="410">
        <f>ROUND($K33*'[5]II-F Alloc_Factor'!E$38,2)</f>
        <v>-54137492.829999998</v>
      </c>
      <c r="P33" s="410">
        <f>ROUND($K33*'[5]II-F Alloc_Factor'!F$38,2)</f>
        <v>0</v>
      </c>
      <c r="Q33" s="410">
        <f>ROUND($K33*'[5]II-F Alloc_Factor'!G$38,2)</f>
        <v>-46510.91</v>
      </c>
      <c r="R33" s="410">
        <f>ROUND($K33*'[5]II-F Alloc_Factor'!H$38,2)</f>
        <v>-54184003.740000002</v>
      </c>
      <c r="S33" s="410">
        <f t="shared" si="21"/>
        <v>-61830446.570000008</v>
      </c>
      <c r="T33" s="410">
        <f>ROUND($K33*'[5]II-F Alloc_Factor'!J$38,2)</f>
        <v>0</v>
      </c>
      <c r="U33" s="410">
        <f t="shared" si="5"/>
        <v>-61830446.570000008</v>
      </c>
      <c r="V33" s="410">
        <f>ROUND($K33*'[5]II-F Alloc_Factor'!L$38,2)</f>
        <v>-1853176.44</v>
      </c>
      <c r="W33" s="410">
        <f>ROUND($K33*'[5]II-F Alloc_Factor'!M$38,2)</f>
        <v>-1225088.45</v>
      </c>
      <c r="X33" s="452">
        <f t="shared" si="11"/>
        <v>-119092715.2</v>
      </c>
      <c r="Y33" s="197" t="b">
        <f t="shared" si="14"/>
        <v>1</v>
      </c>
      <c r="Z33" s="597">
        <f t="shared" si="15"/>
        <v>0</v>
      </c>
      <c r="AA33" s="450"/>
      <c r="AC33" s="322"/>
    </row>
    <row r="34" spans="1:29">
      <c r="A34" s="190">
        <f t="shared" si="17"/>
        <v>20</v>
      </c>
      <c r="B34" s="330"/>
      <c r="C34" s="678" t="s">
        <v>669</v>
      </c>
      <c r="E34" s="450">
        <v>-46986410.310000002</v>
      </c>
      <c r="F34" s="450">
        <v>0</v>
      </c>
      <c r="G34" s="450">
        <f t="shared" si="8"/>
        <v>-46986410.310000002</v>
      </c>
      <c r="H34" s="450">
        <v>0</v>
      </c>
      <c r="I34" s="450">
        <f t="shared" si="16"/>
        <v>-46986410.310000002</v>
      </c>
      <c r="J34" s="227">
        <v>1</v>
      </c>
      <c r="K34" s="451">
        <f t="shared" si="10"/>
        <v>-46986410.310000002</v>
      </c>
      <c r="L34" s="285"/>
      <c r="N34" s="190" t="s">
        <v>684</v>
      </c>
      <c r="O34" s="410">
        <f>ROUND($K34*'[5]II-F Alloc_Factor'!E$38,2)</f>
        <v>-21359211.16</v>
      </c>
      <c r="P34" s="410">
        <f>ROUND($K34*'[5]II-F Alloc_Factor'!F$38,2)</f>
        <v>0</v>
      </c>
      <c r="Q34" s="410">
        <f>ROUND($K34*'[5]II-F Alloc_Factor'!G$38,2)</f>
        <v>-18350.25</v>
      </c>
      <c r="R34" s="410">
        <f>ROUND($K34*'[5]II-F Alloc_Factor'!H$38,2)</f>
        <v>-21377561.399999999</v>
      </c>
      <c r="S34" s="410">
        <f t="shared" si="21"/>
        <v>-24394361.370000001</v>
      </c>
      <c r="T34" s="410">
        <f>ROUND($K34*'[5]II-F Alloc_Factor'!J$38,2)</f>
        <v>0</v>
      </c>
      <c r="U34" s="410">
        <f t="shared" si="5"/>
        <v>-24394361.370000001</v>
      </c>
      <c r="V34" s="410">
        <f>ROUND($K34*'[5]II-F Alloc_Factor'!L$38,2)</f>
        <v>-731145.55</v>
      </c>
      <c r="W34" s="410">
        <f>ROUND($K34*'[5]II-F Alloc_Factor'!M$38,2)</f>
        <v>-483341.98</v>
      </c>
      <c r="X34" s="452">
        <f t="shared" si="11"/>
        <v>-46986410.309999995</v>
      </c>
      <c r="Y34" s="197" t="b">
        <f t="shared" si="14"/>
        <v>1</v>
      </c>
      <c r="Z34" s="597">
        <f t="shared" si="15"/>
        <v>0</v>
      </c>
      <c r="AA34" s="450"/>
      <c r="AC34" s="322"/>
    </row>
    <row r="35" spans="1:29">
      <c r="A35" s="190">
        <f t="shared" si="17"/>
        <v>21</v>
      </c>
      <c r="B35" s="330"/>
      <c r="C35" s="678" t="s">
        <v>27</v>
      </c>
      <c r="E35" s="450">
        <v>34846959.049999997</v>
      </c>
      <c r="F35" s="450">
        <v>0</v>
      </c>
      <c r="G35" s="450">
        <f t="shared" si="8"/>
        <v>34846959.049999997</v>
      </c>
      <c r="H35" s="450">
        <v>0</v>
      </c>
      <c r="I35" s="450">
        <f t="shared" si="16"/>
        <v>34846959.049999997</v>
      </c>
      <c r="J35" s="227">
        <v>1</v>
      </c>
      <c r="K35" s="451">
        <f t="shared" si="10"/>
        <v>34846959.049999997</v>
      </c>
      <c r="L35" s="285"/>
      <c r="N35" s="190" t="s">
        <v>684</v>
      </c>
      <c r="O35" s="410">
        <f>ROUND($K35*'[5]II-F Alloc_Factor'!E$38,2)</f>
        <v>15840826.140000001</v>
      </c>
      <c r="P35" s="410">
        <f>ROUND($K35*'[5]II-F Alloc_Factor'!F$38,2)</f>
        <v>0</v>
      </c>
      <c r="Q35" s="410">
        <f>ROUND($K35*'[5]II-F Alloc_Factor'!G$38,2)</f>
        <v>13609.26</v>
      </c>
      <c r="R35" s="410">
        <f>ROUND($K35*'[5]II-F Alloc_Factor'!H$38,2)</f>
        <v>15854435.4</v>
      </c>
      <c r="S35" s="410">
        <f t="shared" si="21"/>
        <v>18091812.209999997</v>
      </c>
      <c r="T35" s="410">
        <f>ROUND($K35*'[5]II-F Alloc_Factor'!J$38,2)</f>
        <v>0</v>
      </c>
      <c r="U35" s="410">
        <f t="shared" si="5"/>
        <v>18091812.209999997</v>
      </c>
      <c r="V35" s="410">
        <f>ROUND($K35*'[5]II-F Alloc_Factor'!L$38,2)</f>
        <v>542246.13</v>
      </c>
      <c r="W35" s="410">
        <f>ROUND($K35*'[5]II-F Alloc_Factor'!M$38,2)</f>
        <v>358465.31</v>
      </c>
      <c r="X35" s="452">
        <f t="shared" si="11"/>
        <v>34846959.050000004</v>
      </c>
      <c r="Y35" s="197" t="b">
        <f t="shared" si="14"/>
        <v>1</v>
      </c>
      <c r="Z35" s="597">
        <f t="shared" si="15"/>
        <v>0</v>
      </c>
      <c r="AA35" s="450"/>
      <c r="AC35" s="322"/>
    </row>
    <row r="36" spans="1:29">
      <c r="A36" s="190">
        <f t="shared" si="17"/>
        <v>22</v>
      </c>
      <c r="B36" s="330"/>
      <c r="C36" s="678" t="s">
        <v>26</v>
      </c>
      <c r="E36" s="450">
        <v>57642673.660000004</v>
      </c>
      <c r="F36" s="450">
        <v>0</v>
      </c>
      <c r="G36" s="450">
        <f t="shared" si="8"/>
        <v>57642673.660000004</v>
      </c>
      <c r="H36" s="450">
        <v>0</v>
      </c>
      <c r="I36" s="450">
        <f t="shared" si="16"/>
        <v>57642673.660000004</v>
      </c>
      <c r="J36" s="227">
        <v>1</v>
      </c>
      <c r="K36" s="451">
        <f t="shared" si="10"/>
        <v>57642673.660000004</v>
      </c>
      <c r="L36" s="285"/>
      <c r="N36" s="190" t="s">
        <v>684</v>
      </c>
      <c r="O36" s="410">
        <f>ROUND($K36*'[5]II-F Alloc_Factor'!E$38,2)</f>
        <v>26203364.550000001</v>
      </c>
      <c r="P36" s="410">
        <f>ROUND($K36*'[5]II-F Alloc_Factor'!F$38,2)</f>
        <v>0</v>
      </c>
      <c r="Q36" s="410">
        <f>ROUND($K36*'[5]II-F Alloc_Factor'!G$38,2)</f>
        <v>22511.98</v>
      </c>
      <c r="R36" s="410">
        <f>ROUND($K36*'[5]II-F Alloc_Factor'!H$38,2)</f>
        <v>26225876.530000001</v>
      </c>
      <c r="S36" s="410">
        <f t="shared" si="21"/>
        <v>29926870.410000004</v>
      </c>
      <c r="T36" s="410">
        <f>ROUND($K36*'[5]II-F Alloc_Factor'!J$38,2)</f>
        <v>0</v>
      </c>
      <c r="U36" s="410">
        <f t="shared" si="5"/>
        <v>29926870.410000004</v>
      </c>
      <c r="V36" s="410">
        <f>ROUND($K36*'[5]II-F Alloc_Factor'!L$38,2)</f>
        <v>896965.4</v>
      </c>
      <c r="W36" s="410">
        <f>ROUND($K36*'[5]II-F Alloc_Factor'!M$38,2)</f>
        <v>592961.31999999995</v>
      </c>
      <c r="X36" s="452">
        <f t="shared" si="11"/>
        <v>57642673.660000004</v>
      </c>
      <c r="Y36" s="197" t="b">
        <f t="shared" si="14"/>
        <v>1</v>
      </c>
      <c r="Z36" s="597">
        <f t="shared" si="15"/>
        <v>0</v>
      </c>
      <c r="AA36" s="450"/>
      <c r="AC36" s="322"/>
    </row>
    <row r="37" spans="1:29">
      <c r="A37" s="190">
        <f t="shared" si="17"/>
        <v>23</v>
      </c>
      <c r="B37" s="330"/>
      <c r="C37" s="332"/>
      <c r="E37" s="322"/>
      <c r="F37" s="322"/>
      <c r="G37" s="322"/>
      <c r="H37" s="322"/>
      <c r="I37" s="322"/>
      <c r="J37" s="221"/>
      <c r="K37" s="451"/>
      <c r="L37" s="285"/>
      <c r="N37" s="328"/>
      <c r="O37" s="285"/>
      <c r="P37" s="285"/>
      <c r="Q37" s="285"/>
      <c r="R37" s="451"/>
      <c r="S37" s="285"/>
      <c r="T37" s="285"/>
      <c r="U37" s="451"/>
      <c r="V37" s="285"/>
      <c r="W37" s="285"/>
      <c r="X37" s="452"/>
      <c r="Z37" s="597"/>
      <c r="AA37" s="192"/>
      <c r="AC37" s="322"/>
    </row>
    <row r="38" spans="1:29">
      <c r="A38" s="190">
        <f t="shared" si="17"/>
        <v>24</v>
      </c>
      <c r="B38" s="323" t="s">
        <v>284</v>
      </c>
      <c r="C38" s="194" t="s">
        <v>994</v>
      </c>
      <c r="E38" s="322"/>
      <c r="F38" s="322"/>
      <c r="G38" s="322"/>
      <c r="H38" s="322"/>
      <c r="I38" s="322"/>
      <c r="J38" s="221"/>
      <c r="K38" s="285"/>
      <c r="L38" s="285"/>
      <c r="N38" s="328"/>
      <c r="O38" s="285"/>
      <c r="P38" s="285"/>
      <c r="Q38" s="285"/>
      <c r="R38" s="451"/>
      <c r="S38" s="285"/>
      <c r="T38" s="285"/>
      <c r="U38" s="451"/>
      <c r="V38" s="285"/>
      <c r="W38" s="285"/>
      <c r="X38" s="452"/>
      <c r="Z38" s="597"/>
      <c r="AA38" s="192"/>
      <c r="AC38" s="322"/>
    </row>
    <row r="39" spans="1:29">
      <c r="A39" s="190">
        <f t="shared" si="17"/>
        <v>25</v>
      </c>
      <c r="B39" s="330"/>
      <c r="C39" s="678" t="s">
        <v>349</v>
      </c>
      <c r="E39" s="449">
        <v>5742869.5300000003</v>
      </c>
      <c r="F39" s="449">
        <v>0</v>
      </c>
      <c r="G39" s="449">
        <f t="shared" si="8"/>
        <v>5742869.5300000003</v>
      </c>
      <c r="H39" s="449">
        <v>0</v>
      </c>
      <c r="I39" s="449">
        <f t="shared" si="9"/>
        <v>5742869.5300000003</v>
      </c>
      <c r="J39" s="227">
        <v>1</v>
      </c>
      <c r="K39" s="449">
        <f t="shared" ref="K39:K61" si="22">+I39*J39</f>
        <v>5742869.5300000003</v>
      </c>
      <c r="L39" s="285"/>
      <c r="N39" s="327" t="s">
        <v>385</v>
      </c>
      <c r="O39" s="376">
        <f>ROUND($K39*'[5]II-F Alloc_Factor'!E$32,2)</f>
        <v>682610.79</v>
      </c>
      <c r="P39" s="376">
        <f>ROUND($K39*'[5]II-F Alloc_Factor'!F$32,2)</f>
        <v>0</v>
      </c>
      <c r="Q39" s="376">
        <f>ROUND($K39*'[5]II-F Alloc_Factor'!G$32,2)</f>
        <v>0</v>
      </c>
      <c r="R39" s="376">
        <f>SUM(O39:Q39)</f>
        <v>682610.79</v>
      </c>
      <c r="S39" s="376">
        <f t="shared" ref="S39:S42" si="23">+K39-O39-P39-Q39-T39-V39-W39</f>
        <v>5016494.41</v>
      </c>
      <c r="T39" s="376">
        <f>ROUND($K39*'[5]II-F Alloc_Factor'!J$32,2)</f>
        <v>0</v>
      </c>
      <c r="U39" s="376">
        <f t="shared" ref="U39:U61" si="24">SUM(S39:T39)</f>
        <v>5016494.41</v>
      </c>
      <c r="V39" s="376">
        <f>ROUND($K39*'[5]II-F Alloc_Factor'!L$32,2)</f>
        <v>22970.7</v>
      </c>
      <c r="W39" s="376">
        <f>ROUND($K39*'[5]II-F Alloc_Factor'!M$32,2)</f>
        <v>20793.63</v>
      </c>
      <c r="X39" s="746">
        <f t="shared" ref="X39:X61" si="25">+O39+P39+Q39+S39+T39+V39+W39</f>
        <v>5742869.5300000003</v>
      </c>
      <c r="Y39" s="197" t="b">
        <f t="shared" si="14"/>
        <v>1</v>
      </c>
      <c r="Z39" s="597">
        <f t="shared" si="15"/>
        <v>0</v>
      </c>
      <c r="AA39" s="192"/>
      <c r="AC39" s="322"/>
    </row>
    <row r="40" spans="1:29">
      <c r="A40" s="190">
        <f t="shared" si="17"/>
        <v>26</v>
      </c>
      <c r="B40" s="323"/>
      <c r="C40" s="678" t="s">
        <v>422</v>
      </c>
      <c r="E40" s="450">
        <v>2192604.39</v>
      </c>
      <c r="F40" s="450">
        <v>0</v>
      </c>
      <c r="G40" s="450">
        <f>+E40+F40</f>
        <v>2192604.39</v>
      </c>
      <c r="H40" s="450">
        <f>ROUND(('[6]II-B-12'!$H$51+'[6]II-B-12'!$H$53)*0.21,2)</f>
        <v>5565.71</v>
      </c>
      <c r="I40" s="450">
        <f>+G40+H40</f>
        <v>2198170.1</v>
      </c>
      <c r="J40" s="227">
        <v>1</v>
      </c>
      <c r="K40" s="451">
        <f t="shared" si="22"/>
        <v>2198170.1</v>
      </c>
      <c r="L40" s="285"/>
      <c r="N40" s="327" t="s">
        <v>387</v>
      </c>
      <c r="O40" s="410">
        <v>0</v>
      </c>
      <c r="P40" s="410">
        <v>0</v>
      </c>
      <c r="Q40" s="410">
        <v>0</v>
      </c>
      <c r="R40" s="410">
        <f t="shared" ref="R40:R41" si="26">SUM(O40:Q40)</f>
        <v>0</v>
      </c>
      <c r="S40" s="410">
        <f t="shared" si="23"/>
        <v>2198170.1</v>
      </c>
      <c r="T40" s="410">
        <v>0</v>
      </c>
      <c r="U40" s="410">
        <f t="shared" si="24"/>
        <v>2198170.1</v>
      </c>
      <c r="V40" s="410">
        <v>0</v>
      </c>
      <c r="W40" s="410">
        <v>0</v>
      </c>
      <c r="X40" s="452">
        <f t="shared" si="25"/>
        <v>2198170.1</v>
      </c>
      <c r="Y40" s="197" t="b">
        <f t="shared" si="14"/>
        <v>1</v>
      </c>
      <c r="Z40" s="597">
        <f t="shared" si="15"/>
        <v>0</v>
      </c>
      <c r="AA40" s="192"/>
      <c r="AC40" s="322"/>
    </row>
    <row r="41" spans="1:29">
      <c r="A41" s="190">
        <f t="shared" si="17"/>
        <v>27</v>
      </c>
      <c r="B41" s="323"/>
      <c r="C41" s="678" t="s">
        <v>401</v>
      </c>
      <c r="E41" s="450">
        <v>229506772.41</v>
      </c>
      <c r="F41" s="450">
        <v>0</v>
      </c>
      <c r="G41" s="450">
        <f t="shared" ref="G41:G61" si="27">+E41+F41</f>
        <v>229506772.41</v>
      </c>
      <c r="H41" s="450">
        <v>275850.44</v>
      </c>
      <c r="I41" s="450">
        <f t="shared" ref="I41:I61" si="28">+G41+H41</f>
        <v>229782622.84999999</v>
      </c>
      <c r="J41" s="227">
        <v>1</v>
      </c>
      <c r="K41" s="784">
        <f t="shared" si="22"/>
        <v>229782622.84999999</v>
      </c>
      <c r="L41" s="285"/>
      <c r="N41" s="327" t="s">
        <v>387</v>
      </c>
      <c r="O41" s="451">
        <f>ROUND(+('[6]II-B-12'!N42+'[6]II-B-12'!N43)*0.21,2)</f>
        <v>9888291.9199999999</v>
      </c>
      <c r="P41" s="451">
        <f>ROUND(+('[6]II-B-12'!O42+'[6]II-B-12'!O43)*0.21,2)</f>
        <v>312773.07</v>
      </c>
      <c r="Q41" s="451">
        <f>ROUND(+('[6]II-B-12'!P42+'[6]II-B-12'!P43)*0.21,2)</f>
        <v>0</v>
      </c>
      <c r="R41" s="410">
        <f t="shared" si="26"/>
        <v>10201064.99</v>
      </c>
      <c r="S41" s="410">
        <f t="shared" si="23"/>
        <v>219581557.86000001</v>
      </c>
      <c r="T41" s="451">
        <f>ROUND(+('[6]II-B-12'!S42+'[6]II-B-12'!S43)*0.21,2)</f>
        <v>0</v>
      </c>
      <c r="U41" s="410">
        <f t="shared" si="24"/>
        <v>219581557.86000001</v>
      </c>
      <c r="V41" s="451">
        <f>ROUND(+('[6]II-B-12'!U42+'[6]II-B-12'!U43)*0.21,2)</f>
        <v>0</v>
      </c>
      <c r="W41" s="451">
        <f>ROUND(+('[6]II-B-12'!V42+'[6]II-B-12'!V43)*0.21,2)</f>
        <v>0</v>
      </c>
      <c r="X41" s="785">
        <f t="shared" si="25"/>
        <v>229782622.85000002</v>
      </c>
      <c r="Y41" s="197" t="b">
        <f t="shared" si="14"/>
        <v>1</v>
      </c>
      <c r="Z41" s="597">
        <f t="shared" si="15"/>
        <v>0</v>
      </c>
      <c r="AA41" s="192"/>
      <c r="AC41" s="322"/>
    </row>
    <row r="42" spans="1:29">
      <c r="A42" s="190">
        <f t="shared" si="17"/>
        <v>28</v>
      </c>
      <c r="B42" s="330"/>
      <c r="C42" s="678" t="s">
        <v>601</v>
      </c>
      <c r="E42" s="450">
        <v>8419997.6500000004</v>
      </c>
      <c r="F42" s="450">
        <v>0</v>
      </c>
      <c r="G42" s="450">
        <f t="shared" si="27"/>
        <v>8419997.6500000004</v>
      </c>
      <c r="H42" s="450">
        <v>0</v>
      </c>
      <c r="I42" s="450">
        <f t="shared" si="28"/>
        <v>8419997.6500000004</v>
      </c>
      <c r="J42" s="227">
        <v>1</v>
      </c>
      <c r="K42" s="451">
        <f t="shared" si="22"/>
        <v>8419997.6500000004</v>
      </c>
      <c r="L42" s="285"/>
      <c r="N42" s="327" t="s">
        <v>663</v>
      </c>
      <c r="O42" s="410">
        <f>ROUND($K42*'[5]II-F Alloc_Factor'!E$34,2)</f>
        <v>3726501.52</v>
      </c>
      <c r="P42" s="410">
        <f>ROUND($K42*'[5]II-F Alloc_Factor'!F$34,2)</f>
        <v>0</v>
      </c>
      <c r="Q42" s="410">
        <f>ROUND($K42*'[5]II-F Alloc_Factor'!G$34,2)</f>
        <v>0</v>
      </c>
      <c r="R42" s="410">
        <f>ROUND($K42*'[5]II-F Alloc_Factor'!H$34,2)</f>
        <v>3726501.52</v>
      </c>
      <c r="S42" s="410">
        <f t="shared" si="23"/>
        <v>4545061.5600000005</v>
      </c>
      <c r="T42" s="410">
        <f>ROUND($K42*'[5]II-F Alloc_Factor'!J$34,2)</f>
        <v>0</v>
      </c>
      <c r="U42" s="410">
        <f t="shared" si="24"/>
        <v>4545061.5600000005</v>
      </c>
      <c r="V42" s="410">
        <f>ROUND($K42*'[5]II-F Alloc_Factor'!L$34,2)</f>
        <v>148434.57</v>
      </c>
      <c r="W42" s="410">
        <f>ROUND($K42*'[5]II-F Alloc_Factor'!M$34,2)</f>
        <v>0</v>
      </c>
      <c r="X42" s="452">
        <f t="shared" si="25"/>
        <v>8419997.6500000004</v>
      </c>
      <c r="Y42" s="197" t="b">
        <f t="shared" si="14"/>
        <v>1</v>
      </c>
      <c r="Z42" s="597">
        <f t="shared" si="15"/>
        <v>0</v>
      </c>
      <c r="AA42" s="192"/>
      <c r="AC42" s="322"/>
    </row>
    <row r="43" spans="1:29">
      <c r="A43" s="190">
        <f t="shared" si="17"/>
        <v>29</v>
      </c>
      <c r="B43" s="323"/>
      <c r="C43" s="678" t="s">
        <v>367</v>
      </c>
      <c r="E43" s="450">
        <v>12101208.07</v>
      </c>
      <c r="F43" s="450">
        <v>0</v>
      </c>
      <c r="G43" s="450">
        <f t="shared" si="27"/>
        <v>12101208.07</v>
      </c>
      <c r="H43" s="450">
        <v>0</v>
      </c>
      <c r="I43" s="450">
        <f t="shared" si="28"/>
        <v>12101208.07</v>
      </c>
      <c r="J43" s="227">
        <v>1</v>
      </c>
      <c r="K43" s="451">
        <f t="shared" si="22"/>
        <v>12101208.07</v>
      </c>
      <c r="L43" s="285"/>
      <c r="N43" s="327" t="s">
        <v>387</v>
      </c>
      <c r="O43" s="451">
        <v>0</v>
      </c>
      <c r="P43" s="451">
        <v>0</v>
      </c>
      <c r="Q43" s="451">
        <v>0</v>
      </c>
      <c r="R43" s="451">
        <f t="shared" si="13"/>
        <v>0</v>
      </c>
      <c r="S43" s="451">
        <v>0</v>
      </c>
      <c r="T43" s="451">
        <v>0</v>
      </c>
      <c r="U43" s="451">
        <f t="shared" si="24"/>
        <v>0</v>
      </c>
      <c r="V43" s="451">
        <f>+K43</f>
        <v>12101208.07</v>
      </c>
      <c r="W43" s="410">
        <v>0</v>
      </c>
      <c r="X43" s="452">
        <f t="shared" si="25"/>
        <v>12101208.07</v>
      </c>
      <c r="Y43" s="197" t="b">
        <f t="shared" si="14"/>
        <v>1</v>
      </c>
      <c r="Z43" s="597">
        <f t="shared" si="15"/>
        <v>0</v>
      </c>
      <c r="AA43" s="192"/>
      <c r="AC43" s="322"/>
    </row>
    <row r="44" spans="1:29">
      <c r="A44" s="190">
        <f t="shared" si="17"/>
        <v>30</v>
      </c>
      <c r="B44" s="330"/>
      <c r="C44" s="678" t="s">
        <v>955</v>
      </c>
      <c r="E44" s="450">
        <v>3736948.01</v>
      </c>
      <c r="F44" s="450">
        <v>0</v>
      </c>
      <c r="G44" s="450">
        <f t="shared" si="27"/>
        <v>3736948.01</v>
      </c>
      <c r="H44" s="450">
        <v>0</v>
      </c>
      <c r="I44" s="450">
        <f t="shared" si="28"/>
        <v>3736948.01</v>
      </c>
      <c r="J44" s="227">
        <v>1</v>
      </c>
      <c r="K44" s="451">
        <f t="shared" si="22"/>
        <v>3736948.01</v>
      </c>
      <c r="L44" s="285"/>
      <c r="N44" s="327" t="s">
        <v>386</v>
      </c>
      <c r="O44" s="410">
        <f>ROUND($K44*'[5]II-F Alloc_Factor'!E$27,2)</f>
        <v>780134.48</v>
      </c>
      <c r="P44" s="410">
        <f>ROUND($K44*'[5]II-F Alloc_Factor'!F$27,2)</f>
        <v>0</v>
      </c>
      <c r="Q44" s="410">
        <f>ROUND($K44*'[5]II-F Alloc_Factor'!G$27,2)</f>
        <v>0</v>
      </c>
      <c r="R44" s="410">
        <f>ROUND($K44*'[5]II-F Alloc_Factor'!H$27,2)</f>
        <v>780134.48</v>
      </c>
      <c r="S44" s="410">
        <f>+K44-O44-P44-Q44-T44-V44-W44</f>
        <v>1995766.0099999995</v>
      </c>
      <c r="T44" s="410">
        <f>ROUND($K44*'[5]II-F Alloc_Factor'!J$27,2)</f>
        <v>0</v>
      </c>
      <c r="U44" s="410">
        <f t="shared" si="24"/>
        <v>1995766.0099999995</v>
      </c>
      <c r="V44" s="410">
        <f>ROUND($K44*'[5]II-F Alloc_Factor'!L$27,2)</f>
        <v>715013.97</v>
      </c>
      <c r="W44" s="410">
        <f>ROUND($K44*'[5]II-F Alloc_Factor'!M$27,2)</f>
        <v>246033.55</v>
      </c>
      <c r="X44" s="452">
        <f t="shared" si="25"/>
        <v>3736948.0099999988</v>
      </c>
      <c r="Y44" s="197" t="b">
        <f t="shared" si="14"/>
        <v>1</v>
      </c>
      <c r="Z44" s="597">
        <f t="shared" si="15"/>
        <v>0</v>
      </c>
      <c r="AA44" s="192"/>
      <c r="AC44" s="322"/>
    </row>
    <row r="45" spans="1:29">
      <c r="A45" s="190">
        <f t="shared" si="17"/>
        <v>31</v>
      </c>
      <c r="B45" s="330"/>
      <c r="C45" s="678" t="s">
        <v>1054</v>
      </c>
      <c r="E45" s="450">
        <v>75660.2</v>
      </c>
      <c r="F45" s="450">
        <v>0</v>
      </c>
      <c r="G45" s="450">
        <f t="shared" si="27"/>
        <v>75660.2</v>
      </c>
      <c r="H45" s="450">
        <v>70821.100000000006</v>
      </c>
      <c r="I45" s="450">
        <f t="shared" ref="I45" si="29">+G45+H45</f>
        <v>146481.29999999999</v>
      </c>
      <c r="J45" s="227">
        <v>1</v>
      </c>
      <c r="K45" s="451">
        <f t="shared" ref="K45" si="30">+I45*J45</f>
        <v>146481.29999999999</v>
      </c>
      <c r="L45" s="285"/>
      <c r="N45" s="327" t="s">
        <v>387</v>
      </c>
      <c r="O45" s="450">
        <f>+$K$45*('[6]II-B-12'!N24/'[6]II-B-12'!$K$24)</f>
        <v>101697.37071592822</v>
      </c>
      <c r="P45" s="450">
        <f>+$K$45*('[6]II-B-12'!O24/'[6]II-B-12'!$K$24)</f>
        <v>0</v>
      </c>
      <c r="Q45" s="450">
        <f>+$K$45*('[6]II-B-12'!P24/'[6]II-B-12'!$K$24)</f>
        <v>0</v>
      </c>
      <c r="R45" s="451">
        <f>SUM(O45:Q45)</f>
        <v>101697.37071592822</v>
      </c>
      <c r="S45" s="450">
        <f>+K45-O45-P45-Q45-T45-V45-W45</f>
        <v>44783.929284071768</v>
      </c>
      <c r="T45" s="450">
        <f>+$K$45*('[6]II-B-12'!S24/'[6]II-B-12'!$K$24)</f>
        <v>0</v>
      </c>
      <c r="U45" s="451">
        <f t="shared" si="24"/>
        <v>44783.929284071768</v>
      </c>
      <c r="V45" s="450">
        <f>+$K$45*('[6]II-B-12'!U24/'[6]II-B-12'!$K$24)</f>
        <v>0</v>
      </c>
      <c r="W45" s="450">
        <f>+$K$45*('[6]II-B-12'!V24/'[6]II-B-12'!$K$24)</f>
        <v>0</v>
      </c>
      <c r="X45" s="452">
        <f t="shared" si="25"/>
        <v>146481.29999999999</v>
      </c>
      <c r="Y45" s="197" t="b">
        <f t="shared" ref="Y45" si="31">+K45=X45</f>
        <v>1</v>
      </c>
      <c r="Z45" s="597">
        <f t="shared" ref="Z45" si="32">+K45-X45</f>
        <v>0</v>
      </c>
      <c r="AA45" s="192"/>
      <c r="AC45" s="322"/>
    </row>
    <row r="46" spans="1:29">
      <c r="A46" s="190">
        <f t="shared" si="17"/>
        <v>32</v>
      </c>
      <c r="B46" s="330"/>
      <c r="C46" s="678" t="s">
        <v>637</v>
      </c>
      <c r="E46" s="450">
        <v>3484398.54</v>
      </c>
      <c r="F46" s="450">
        <v>0</v>
      </c>
      <c r="G46" s="450">
        <f t="shared" si="27"/>
        <v>3484398.54</v>
      </c>
      <c r="H46" s="451">
        <f>-G46</f>
        <v>-3484398.54</v>
      </c>
      <c r="I46" s="450">
        <f t="shared" si="28"/>
        <v>0</v>
      </c>
      <c r="J46" s="227">
        <v>1</v>
      </c>
      <c r="K46" s="451">
        <f t="shared" si="22"/>
        <v>0</v>
      </c>
      <c r="L46" s="285"/>
      <c r="N46" s="327" t="s">
        <v>387</v>
      </c>
      <c r="O46" s="451">
        <v>0</v>
      </c>
      <c r="P46" s="451">
        <v>0</v>
      </c>
      <c r="Q46" s="451">
        <v>0</v>
      </c>
      <c r="R46" s="451">
        <f t="shared" si="13"/>
        <v>0</v>
      </c>
      <c r="S46" s="451">
        <f>+K46-O46-P46-Q46-T46-V46-W46</f>
        <v>0</v>
      </c>
      <c r="T46" s="451">
        <v>0</v>
      </c>
      <c r="U46" s="451">
        <f t="shared" si="24"/>
        <v>0</v>
      </c>
      <c r="V46" s="451">
        <f>+$K$46*'[5]II-F Alloc_Factor'!L35</f>
        <v>0</v>
      </c>
      <c r="W46" s="410">
        <v>0</v>
      </c>
      <c r="X46" s="452">
        <f t="shared" si="25"/>
        <v>0</v>
      </c>
      <c r="Y46" s="197" t="b">
        <f t="shared" si="14"/>
        <v>1</v>
      </c>
      <c r="Z46" s="597">
        <f t="shared" si="15"/>
        <v>0</v>
      </c>
      <c r="AA46" s="192"/>
      <c r="AC46" s="322"/>
    </row>
    <row r="47" spans="1:29">
      <c r="A47" s="190">
        <f t="shared" si="17"/>
        <v>33</v>
      </c>
      <c r="B47" s="330"/>
      <c r="C47" s="678" t="s">
        <v>956</v>
      </c>
      <c r="E47" s="450">
        <v>341366</v>
      </c>
      <c r="F47" s="450">
        <v>0</v>
      </c>
      <c r="G47" s="450">
        <f t="shared" si="27"/>
        <v>341366</v>
      </c>
      <c r="H47" s="451">
        <f>-G47</f>
        <v>-341366</v>
      </c>
      <c r="I47" s="450">
        <f t="shared" si="28"/>
        <v>0</v>
      </c>
      <c r="J47" s="227">
        <v>1</v>
      </c>
      <c r="K47" s="451">
        <f t="shared" ref="K47" si="33">+I47*J47</f>
        <v>0</v>
      </c>
      <c r="L47" s="285"/>
      <c r="N47" s="327"/>
      <c r="O47" s="451">
        <v>0</v>
      </c>
      <c r="P47" s="451">
        <v>0</v>
      </c>
      <c r="Q47" s="451">
        <v>0</v>
      </c>
      <c r="R47" s="451">
        <f t="shared" si="13"/>
        <v>0</v>
      </c>
      <c r="S47" s="451">
        <v>0</v>
      </c>
      <c r="T47" s="451">
        <v>0</v>
      </c>
      <c r="U47" s="451">
        <f t="shared" si="24"/>
        <v>0</v>
      </c>
      <c r="V47" s="451">
        <v>0</v>
      </c>
      <c r="W47" s="410">
        <v>0</v>
      </c>
      <c r="X47" s="452">
        <f t="shared" si="25"/>
        <v>0</v>
      </c>
      <c r="Y47" s="197" t="b">
        <f t="shared" ref="Y47" si="34">+K47=X47</f>
        <v>1</v>
      </c>
      <c r="Z47" s="597">
        <f t="shared" ref="Z47" si="35">+K47-X47</f>
        <v>0</v>
      </c>
      <c r="AA47" s="192"/>
      <c r="AC47" s="322"/>
    </row>
    <row r="48" spans="1:29">
      <c r="A48" s="190">
        <f t="shared" si="17"/>
        <v>34</v>
      </c>
      <c r="B48" s="330"/>
      <c r="C48" s="678" t="s">
        <v>168</v>
      </c>
      <c r="E48" s="450">
        <v>-3696162.19</v>
      </c>
      <c r="F48" s="450">
        <v>0</v>
      </c>
      <c r="G48" s="450">
        <f t="shared" si="27"/>
        <v>-3696162.19</v>
      </c>
      <c r="H48" s="450">
        <v>0</v>
      </c>
      <c r="I48" s="450">
        <f t="shared" si="28"/>
        <v>-3696162.19</v>
      </c>
      <c r="J48" s="227">
        <v>1</v>
      </c>
      <c r="K48" s="451">
        <f t="shared" si="22"/>
        <v>-3696162.19</v>
      </c>
      <c r="L48" s="285"/>
      <c r="N48" s="327" t="s">
        <v>663</v>
      </c>
      <c r="O48" s="410">
        <f>ROUND($K48*'[5]II-F Alloc_Factor'!E$34,2)</f>
        <v>-1635838.23</v>
      </c>
      <c r="P48" s="410">
        <f>ROUND($K48*'[5]II-F Alloc_Factor'!F$34,2)</f>
        <v>0</v>
      </c>
      <c r="Q48" s="410">
        <f>ROUND($K48*'[5]II-F Alloc_Factor'!G$34,2)</f>
        <v>0</v>
      </c>
      <c r="R48" s="410">
        <f>ROUND($K48*'[5]II-F Alloc_Factor'!H$34,2)</f>
        <v>-1635838.23</v>
      </c>
      <c r="S48" s="410">
        <f>+K48-O48-P48-Q48-T48-V48-W48</f>
        <v>-1995165</v>
      </c>
      <c r="T48" s="410">
        <f>ROUND($K48*'[5]II-F Alloc_Factor'!J$34,2)</f>
        <v>0</v>
      </c>
      <c r="U48" s="410">
        <f t="shared" si="24"/>
        <v>-1995165</v>
      </c>
      <c r="V48" s="410">
        <f>ROUND($K48*'[5]II-F Alloc_Factor'!L$34,2)</f>
        <v>-65158.96</v>
      </c>
      <c r="W48" s="410">
        <f>ROUND($K48*'[5]II-F Alloc_Factor'!M$34,2)</f>
        <v>0</v>
      </c>
      <c r="X48" s="452">
        <f t="shared" si="25"/>
        <v>-3696162.19</v>
      </c>
      <c r="Y48" s="197" t="b">
        <f t="shared" si="14"/>
        <v>1</v>
      </c>
      <c r="Z48" s="597">
        <f t="shared" si="15"/>
        <v>0</v>
      </c>
      <c r="AA48" s="192"/>
      <c r="AC48" s="322"/>
    </row>
    <row r="49" spans="1:29">
      <c r="A49" s="190">
        <f t="shared" si="17"/>
        <v>35</v>
      </c>
      <c r="B49" s="330"/>
      <c r="C49" s="678" t="s">
        <v>519</v>
      </c>
      <c r="E49" s="450">
        <v>5088175.54</v>
      </c>
      <c r="F49" s="450">
        <v>0</v>
      </c>
      <c r="G49" s="450">
        <f t="shared" si="27"/>
        <v>5088175.54</v>
      </c>
      <c r="H49" s="450">
        <v>0</v>
      </c>
      <c r="I49" s="450">
        <f t="shared" si="28"/>
        <v>5088175.54</v>
      </c>
      <c r="J49" s="227">
        <v>1</v>
      </c>
      <c r="K49" s="451">
        <f t="shared" si="22"/>
        <v>5088175.54</v>
      </c>
      <c r="L49" s="285"/>
      <c r="N49" s="327" t="s">
        <v>663</v>
      </c>
      <c r="O49" s="410">
        <f>ROUND($K49*'[5]II-F Alloc_Factor'!E$34,2)</f>
        <v>2251912.0099999998</v>
      </c>
      <c r="P49" s="410">
        <f>ROUND($K49*'[5]II-F Alloc_Factor'!F$34,2)</f>
        <v>0</v>
      </c>
      <c r="Q49" s="410">
        <f>ROUND($K49*'[5]II-F Alloc_Factor'!G$34,2)</f>
        <v>0</v>
      </c>
      <c r="R49" s="410">
        <f>ROUND($K49*'[5]II-F Alloc_Factor'!H$34,2)</f>
        <v>2251912.0099999998</v>
      </c>
      <c r="S49" s="410">
        <f>+K49-O49-P49-Q49-T49-V49-W49</f>
        <v>2746565.0300000003</v>
      </c>
      <c r="T49" s="410">
        <f>ROUND($K49*'[5]II-F Alloc_Factor'!J$34,2)</f>
        <v>0</v>
      </c>
      <c r="U49" s="410">
        <f t="shared" si="24"/>
        <v>2746565.0300000003</v>
      </c>
      <c r="V49" s="410">
        <f>ROUND($K49*'[5]II-F Alloc_Factor'!L$34,2)</f>
        <v>89698.5</v>
      </c>
      <c r="W49" s="410">
        <f>ROUND($K49*'[5]II-F Alloc_Factor'!M$34,2)</f>
        <v>0</v>
      </c>
      <c r="X49" s="452">
        <f t="shared" si="25"/>
        <v>5088175.54</v>
      </c>
      <c r="Y49" s="197" t="b">
        <f t="shared" si="14"/>
        <v>1</v>
      </c>
      <c r="Z49" s="597">
        <f t="shared" si="15"/>
        <v>0</v>
      </c>
      <c r="AA49" s="192"/>
      <c r="AC49" s="322"/>
    </row>
    <row r="50" spans="1:29">
      <c r="A50" s="190">
        <f t="shared" si="17"/>
        <v>36</v>
      </c>
      <c r="B50" s="330"/>
      <c r="C50" s="678" t="s">
        <v>418</v>
      </c>
      <c r="E50" s="450">
        <v>9908668.6600000001</v>
      </c>
      <c r="F50" s="450">
        <v>0</v>
      </c>
      <c r="G50" s="450">
        <f t="shared" si="27"/>
        <v>9908668.6600000001</v>
      </c>
      <c r="H50" s="450">
        <v>0</v>
      </c>
      <c r="I50" s="450">
        <f t="shared" si="28"/>
        <v>9908668.6600000001</v>
      </c>
      <c r="J50" s="227">
        <v>1</v>
      </c>
      <c r="K50" s="451">
        <f t="shared" si="22"/>
        <v>9908668.6600000001</v>
      </c>
      <c r="L50" s="285"/>
      <c r="N50" s="327" t="s">
        <v>387</v>
      </c>
      <c r="O50" s="451">
        <v>0</v>
      </c>
      <c r="P50" s="451">
        <v>0</v>
      </c>
      <c r="Q50" s="451">
        <v>0</v>
      </c>
      <c r="R50" s="451">
        <f t="shared" si="13"/>
        <v>0</v>
      </c>
      <c r="S50" s="451">
        <f>+K50-O50-P50-Q50-T50-V50-W50</f>
        <v>9908668.6600000001</v>
      </c>
      <c r="T50" s="451">
        <v>0</v>
      </c>
      <c r="U50" s="451">
        <f t="shared" si="24"/>
        <v>9908668.6600000001</v>
      </c>
      <c r="V50" s="451">
        <v>0</v>
      </c>
      <c r="W50" s="410">
        <v>0</v>
      </c>
      <c r="X50" s="452">
        <f t="shared" si="25"/>
        <v>9908668.6600000001</v>
      </c>
      <c r="Y50" s="197" t="b">
        <f t="shared" si="14"/>
        <v>1</v>
      </c>
      <c r="Z50" s="597">
        <f t="shared" si="15"/>
        <v>0</v>
      </c>
      <c r="AA50" s="192"/>
      <c r="AC50" s="322"/>
    </row>
    <row r="51" spans="1:29">
      <c r="A51" s="190">
        <f t="shared" si="17"/>
        <v>37</v>
      </c>
      <c r="B51" s="330"/>
      <c r="C51" s="678" t="s">
        <v>419</v>
      </c>
      <c r="E51" s="450">
        <v>1636485.86</v>
      </c>
      <c r="F51" s="450">
        <v>0</v>
      </c>
      <c r="G51" s="450">
        <f t="shared" si="27"/>
        <v>1636485.86</v>
      </c>
      <c r="H51" s="450">
        <v>21107.37</v>
      </c>
      <c r="I51" s="450">
        <f t="shared" si="28"/>
        <v>1657593.2300000002</v>
      </c>
      <c r="J51" s="227">
        <v>1</v>
      </c>
      <c r="K51" s="451">
        <f t="shared" si="22"/>
        <v>1657593.2300000002</v>
      </c>
      <c r="L51" s="285"/>
      <c r="N51" s="190" t="s">
        <v>387</v>
      </c>
      <c r="O51" s="451">
        <v>0</v>
      </c>
      <c r="P51" s="451">
        <v>0</v>
      </c>
      <c r="Q51" s="451">
        <v>0</v>
      </c>
      <c r="R51" s="451">
        <f t="shared" si="13"/>
        <v>0</v>
      </c>
      <c r="S51" s="451">
        <v>0</v>
      </c>
      <c r="T51" s="451">
        <v>0</v>
      </c>
      <c r="U51" s="451">
        <f t="shared" si="24"/>
        <v>0</v>
      </c>
      <c r="V51" s="451">
        <v>0</v>
      </c>
      <c r="W51" s="410">
        <f>+K51</f>
        <v>1657593.2300000002</v>
      </c>
      <c r="X51" s="452">
        <f t="shared" si="25"/>
        <v>1657593.2300000002</v>
      </c>
      <c r="Y51" s="197" t="b">
        <f t="shared" si="14"/>
        <v>1</v>
      </c>
      <c r="Z51" s="597">
        <f t="shared" si="15"/>
        <v>0</v>
      </c>
      <c r="AA51" s="192"/>
      <c r="AC51" s="322"/>
    </row>
    <row r="52" spans="1:29">
      <c r="A52" s="190">
        <f t="shared" si="17"/>
        <v>38</v>
      </c>
      <c r="B52" s="330"/>
      <c r="C52" s="678" t="s">
        <v>957</v>
      </c>
      <c r="E52" s="450">
        <v>16442506.41</v>
      </c>
      <c r="F52" s="450">
        <v>0</v>
      </c>
      <c r="G52" s="450">
        <f t="shared" si="27"/>
        <v>16442506.41</v>
      </c>
      <c r="H52" s="450">
        <v>0</v>
      </c>
      <c r="I52" s="450">
        <f t="shared" si="28"/>
        <v>16442506.41</v>
      </c>
      <c r="J52" s="227">
        <v>1</v>
      </c>
      <c r="K52" s="451">
        <f t="shared" si="22"/>
        <v>16442506.41</v>
      </c>
      <c r="L52" s="285"/>
      <c r="N52" s="327" t="s">
        <v>387</v>
      </c>
      <c r="O52" s="451">
        <v>0</v>
      </c>
      <c r="P52" s="451">
        <v>0</v>
      </c>
      <c r="Q52" s="451">
        <v>0</v>
      </c>
      <c r="R52" s="451">
        <f t="shared" si="13"/>
        <v>0</v>
      </c>
      <c r="S52" s="451">
        <f>+K52-O52-P52-Q52-T52-V52-W52</f>
        <v>16442506.41</v>
      </c>
      <c r="T52" s="451">
        <v>0</v>
      </c>
      <c r="U52" s="451">
        <f t="shared" si="24"/>
        <v>16442506.41</v>
      </c>
      <c r="V52" s="451">
        <v>0</v>
      </c>
      <c r="W52" s="410">
        <v>0</v>
      </c>
      <c r="X52" s="452">
        <f t="shared" si="25"/>
        <v>16442506.41</v>
      </c>
      <c r="Y52" s="197" t="b">
        <f t="shared" si="14"/>
        <v>1</v>
      </c>
      <c r="Z52" s="597">
        <f t="shared" si="15"/>
        <v>0</v>
      </c>
      <c r="AA52" s="192"/>
      <c r="AC52" s="322"/>
    </row>
    <row r="53" spans="1:29">
      <c r="A53" s="190">
        <f t="shared" si="17"/>
        <v>39</v>
      </c>
      <c r="B53" s="330"/>
      <c r="C53" s="678" t="s">
        <v>603</v>
      </c>
      <c r="E53" s="450">
        <v>88143.93</v>
      </c>
      <c r="F53" s="450">
        <v>0</v>
      </c>
      <c r="G53" s="450">
        <f t="shared" si="27"/>
        <v>88143.93</v>
      </c>
      <c r="H53" s="451">
        <v>0</v>
      </c>
      <c r="I53" s="450">
        <f t="shared" si="28"/>
        <v>88143.93</v>
      </c>
      <c r="J53" s="227">
        <v>1</v>
      </c>
      <c r="K53" s="451">
        <f t="shared" si="22"/>
        <v>88143.93</v>
      </c>
      <c r="L53" s="285"/>
      <c r="N53" s="327" t="s">
        <v>387</v>
      </c>
      <c r="O53" s="451">
        <v>0</v>
      </c>
      <c r="P53" s="451">
        <v>0</v>
      </c>
      <c r="Q53" s="451">
        <v>0</v>
      </c>
      <c r="R53" s="451">
        <f t="shared" si="13"/>
        <v>0</v>
      </c>
      <c r="S53" s="451">
        <f>+K53-O53-P53-Q53-T53-V53-W53</f>
        <v>88143.93</v>
      </c>
      <c r="T53" s="451">
        <v>0</v>
      </c>
      <c r="U53" s="451">
        <f t="shared" si="24"/>
        <v>88143.93</v>
      </c>
      <c r="V53" s="451">
        <v>0</v>
      </c>
      <c r="W53" s="410">
        <v>0</v>
      </c>
      <c r="X53" s="452">
        <f t="shared" si="25"/>
        <v>88143.93</v>
      </c>
      <c r="Y53" s="197" t="b">
        <f t="shared" si="14"/>
        <v>1</v>
      </c>
      <c r="Z53" s="597">
        <f t="shared" si="15"/>
        <v>0</v>
      </c>
      <c r="AA53" s="192"/>
      <c r="AC53" s="322"/>
    </row>
    <row r="54" spans="1:29">
      <c r="A54" s="190">
        <f t="shared" si="17"/>
        <v>40</v>
      </c>
      <c r="B54" s="330"/>
      <c r="C54" s="678" t="s">
        <v>604</v>
      </c>
      <c r="E54" s="450">
        <v>212645.69</v>
      </c>
      <c r="F54" s="450">
        <v>0</v>
      </c>
      <c r="G54" s="450">
        <f t="shared" si="27"/>
        <v>212645.69</v>
      </c>
      <c r="H54" s="450">
        <v>0</v>
      </c>
      <c r="I54" s="450">
        <f t="shared" si="28"/>
        <v>212645.69</v>
      </c>
      <c r="J54" s="227">
        <v>1</v>
      </c>
      <c r="K54" s="451">
        <f t="shared" si="22"/>
        <v>212645.69</v>
      </c>
      <c r="L54" s="285"/>
      <c r="N54" s="327" t="s">
        <v>387</v>
      </c>
      <c r="O54" s="451">
        <f>+K54</f>
        <v>212645.69</v>
      </c>
      <c r="P54" s="451">
        <v>0</v>
      </c>
      <c r="Q54" s="451">
        <v>0</v>
      </c>
      <c r="R54" s="451">
        <f t="shared" si="13"/>
        <v>212645.69</v>
      </c>
      <c r="S54" s="451">
        <v>0</v>
      </c>
      <c r="T54" s="451">
        <v>0</v>
      </c>
      <c r="U54" s="451">
        <f t="shared" si="24"/>
        <v>0</v>
      </c>
      <c r="V54" s="451">
        <v>0</v>
      </c>
      <c r="W54" s="410">
        <v>0</v>
      </c>
      <c r="X54" s="452">
        <f t="shared" si="25"/>
        <v>212645.69</v>
      </c>
      <c r="Y54" s="197" t="b">
        <f t="shared" si="14"/>
        <v>1</v>
      </c>
      <c r="Z54" s="597">
        <f t="shared" si="15"/>
        <v>0</v>
      </c>
      <c r="AA54" s="192"/>
      <c r="AC54" s="322"/>
    </row>
    <row r="55" spans="1:29">
      <c r="A55" s="190">
        <f t="shared" si="17"/>
        <v>41</v>
      </c>
      <c r="B55" s="330"/>
      <c r="C55" s="678" t="s">
        <v>605</v>
      </c>
      <c r="E55" s="450">
        <v>1780397.99</v>
      </c>
      <c r="F55" s="450">
        <v>0</v>
      </c>
      <c r="G55" s="450">
        <f t="shared" si="27"/>
        <v>1780397.99</v>
      </c>
      <c r="H55" s="450">
        <f>ROUND(+'[6]II-B-12'!$H$41*0.21,2)</f>
        <v>0</v>
      </c>
      <c r="I55" s="450">
        <f t="shared" si="28"/>
        <v>1780397.99</v>
      </c>
      <c r="J55" s="227">
        <v>1</v>
      </c>
      <c r="K55" s="451">
        <f t="shared" si="22"/>
        <v>1780397.99</v>
      </c>
      <c r="L55" s="285"/>
      <c r="N55" s="327" t="s">
        <v>387</v>
      </c>
      <c r="O55" s="451">
        <f>+($K$55*('[6]II-B-12'!N40+'[6]II-B-12'!N41)/('[6]II-B-12'!$K$40+'[6]II-B-12'!$K$41))</f>
        <v>1598392.8905715588</v>
      </c>
      <c r="P55" s="451">
        <f>+($K$55*('[6]II-B-12'!O40+'[6]II-B-12'!O41)/('[6]II-B-12'!$K$40+'[6]II-B-12'!$K$41))</f>
        <v>88939.760665031499</v>
      </c>
      <c r="Q55" s="451">
        <v>0</v>
      </c>
      <c r="R55" s="451">
        <f t="shared" si="13"/>
        <v>1687332.6512365905</v>
      </c>
      <c r="S55" s="451">
        <f>+K55-O55-P55-Q55-T55-V55-W55</f>
        <v>93065.338763409643</v>
      </c>
      <c r="T55" s="451">
        <v>0</v>
      </c>
      <c r="U55" s="451">
        <f t="shared" si="24"/>
        <v>93065.338763409643</v>
      </c>
      <c r="V55" s="451">
        <f>ROUND(+'[6]II-B-12'!U41*0.21,2)</f>
        <v>0</v>
      </c>
      <c r="W55" s="410">
        <v>0</v>
      </c>
      <c r="X55" s="452">
        <f t="shared" si="25"/>
        <v>1780397.9900000002</v>
      </c>
      <c r="Y55" s="197" t="b">
        <f t="shared" si="14"/>
        <v>1</v>
      </c>
      <c r="Z55" s="597">
        <f t="shared" si="15"/>
        <v>0</v>
      </c>
      <c r="AA55" s="192"/>
      <c r="AC55" s="322"/>
    </row>
    <row r="56" spans="1:29">
      <c r="A56" s="190">
        <f t="shared" si="17"/>
        <v>42</v>
      </c>
      <c r="B56" s="330"/>
      <c r="C56" s="678" t="s">
        <v>606</v>
      </c>
      <c r="E56" s="450">
        <v>5366893.7699999996</v>
      </c>
      <c r="F56" s="450">
        <v>0</v>
      </c>
      <c r="G56" s="450">
        <f t="shared" si="27"/>
        <v>5366893.7699999996</v>
      </c>
      <c r="H56" s="461">
        <f>ROUND(+'[6]II-B-12'!$H$22*0.21,2)</f>
        <v>0</v>
      </c>
      <c r="I56" s="450">
        <f t="shared" si="28"/>
        <v>5366893.7699999996</v>
      </c>
      <c r="J56" s="227">
        <v>1</v>
      </c>
      <c r="K56" s="451">
        <f t="shared" si="22"/>
        <v>5366893.7699999996</v>
      </c>
      <c r="L56" s="285"/>
      <c r="N56" s="327" t="s">
        <v>387</v>
      </c>
      <c r="O56" s="451">
        <f>+$K$56*('[6]II-B-12'!N28+'[6]II-B-12'!N29)/('[6]II-B-12'!$I$28+'[6]II-B-12'!$I$29)</f>
        <v>458021.78099999996</v>
      </c>
      <c r="P56" s="451">
        <f>+$K$56*('[6]II-B-12'!O28+'[6]II-B-12'!O29)/('[6]II-B-12'!$I$28+'[6]II-B-12'!$I$29)</f>
        <v>0</v>
      </c>
      <c r="Q56" s="451">
        <f>+$K$56*('[6]II-B-12'!P28+'[6]II-B-12'!P29)/('[6]II-B-12'!$I$28+'[6]II-B-12'!$I$29)</f>
        <v>0</v>
      </c>
      <c r="R56" s="451">
        <f t="shared" si="13"/>
        <v>458021.78099999996</v>
      </c>
      <c r="S56" s="451">
        <f>+K56-O56-P56-Q56-T56-V56-W56</f>
        <v>4470238.0632000007</v>
      </c>
      <c r="T56" s="451">
        <f>+$K$56*('[6]II-B-12'!S28+'[6]II-B-12'!S29)/('[6]II-B-12'!$I$28+'[6]II-B-12'!$I$29)</f>
        <v>0</v>
      </c>
      <c r="U56" s="451">
        <f t="shared" si="24"/>
        <v>4470238.0632000007</v>
      </c>
      <c r="V56" s="451">
        <f>+$K$56*('[6]II-B-12'!U28+'[6]II-B-12'!U29)/('[6]II-B-12'!$I$28+'[6]II-B-12'!$I$29)</f>
        <v>240476.6826</v>
      </c>
      <c r="W56" s="451">
        <f>+$K$56*('[6]II-B-12'!V28+'[6]II-B-12'!V29)/('[6]II-B-12'!$I$28+'[6]II-B-12'!$I$29)</f>
        <v>198157.24319999991</v>
      </c>
      <c r="X56" s="452">
        <f t="shared" si="25"/>
        <v>5366893.7699999996</v>
      </c>
      <c r="Y56" s="197" t="b">
        <f t="shared" si="14"/>
        <v>1</v>
      </c>
      <c r="Z56" s="597">
        <f t="shared" si="15"/>
        <v>0</v>
      </c>
      <c r="AA56" s="192"/>
      <c r="AC56" s="322"/>
    </row>
    <row r="57" spans="1:29">
      <c r="A57" s="190">
        <f t="shared" si="17"/>
        <v>43</v>
      </c>
      <c r="B57" s="330"/>
      <c r="C57" s="678" t="s">
        <v>1055</v>
      </c>
      <c r="E57" s="450">
        <v>103681.41</v>
      </c>
      <c r="F57" s="450">
        <v>0</v>
      </c>
      <c r="G57" s="450">
        <f t="shared" si="27"/>
        <v>103681.41</v>
      </c>
      <c r="H57" s="461"/>
      <c r="I57" s="450">
        <f t="shared" si="28"/>
        <v>103681.41</v>
      </c>
      <c r="J57" s="227">
        <v>1</v>
      </c>
      <c r="K57" s="451">
        <f t="shared" si="22"/>
        <v>103681.41</v>
      </c>
      <c r="L57" s="285"/>
      <c r="N57" s="327" t="s">
        <v>387</v>
      </c>
      <c r="O57" s="451">
        <v>0</v>
      </c>
      <c r="P57" s="451">
        <v>0</v>
      </c>
      <c r="Q57" s="451">
        <v>0</v>
      </c>
      <c r="R57" s="451">
        <f t="shared" ref="R57:R58" si="36">SUM(O57:Q57)</f>
        <v>0</v>
      </c>
      <c r="S57" s="451">
        <f>+K57-O57-P57-Q57-T57-V57-W57</f>
        <v>103681.41</v>
      </c>
      <c r="T57" s="451">
        <v>0</v>
      </c>
      <c r="U57" s="451">
        <f t="shared" si="24"/>
        <v>103681.41</v>
      </c>
      <c r="V57" s="451">
        <f>ROUND(+'[6]II-B-12'!U23*0.21,2)</f>
        <v>0</v>
      </c>
      <c r="W57" s="410">
        <v>0</v>
      </c>
      <c r="X57" s="452">
        <f t="shared" si="25"/>
        <v>103681.41</v>
      </c>
      <c r="Y57" s="197" t="b">
        <f t="shared" ref="Y57:Y59" si="37">+K57=X57</f>
        <v>1</v>
      </c>
      <c r="Z57" s="597">
        <f t="shared" ref="Z57:Z59" si="38">+K57-X57</f>
        <v>0</v>
      </c>
      <c r="AA57" s="192"/>
      <c r="AC57" s="322"/>
    </row>
    <row r="58" spans="1:29">
      <c r="A58" s="190">
        <f t="shared" si="17"/>
        <v>44</v>
      </c>
      <c r="B58" s="330"/>
      <c r="C58" s="678" t="s">
        <v>1056</v>
      </c>
      <c r="E58" s="450">
        <v>152663.72</v>
      </c>
      <c r="F58" s="450">
        <v>0</v>
      </c>
      <c r="G58" s="450">
        <f t="shared" si="27"/>
        <v>152663.72</v>
      </c>
      <c r="H58" s="461">
        <v>52.37</v>
      </c>
      <c r="I58" s="450">
        <f t="shared" si="28"/>
        <v>152716.09</v>
      </c>
      <c r="J58" s="227">
        <v>1</v>
      </c>
      <c r="K58" s="451">
        <f t="shared" si="22"/>
        <v>152716.09</v>
      </c>
      <c r="L58" s="285"/>
      <c r="N58" s="327" t="s">
        <v>387</v>
      </c>
      <c r="O58" s="451">
        <v>0</v>
      </c>
      <c r="P58" s="451">
        <v>0</v>
      </c>
      <c r="Q58" s="451">
        <v>0</v>
      </c>
      <c r="R58" s="451">
        <f t="shared" si="36"/>
        <v>0</v>
      </c>
      <c r="S58" s="451">
        <f>+K58-O58-P58-Q58-T58-V58-W58</f>
        <v>152716.09</v>
      </c>
      <c r="T58" s="451">
        <v>0</v>
      </c>
      <c r="U58" s="451">
        <f t="shared" si="24"/>
        <v>152716.09</v>
      </c>
      <c r="V58" s="451">
        <v>0</v>
      </c>
      <c r="W58" s="410">
        <v>0</v>
      </c>
      <c r="X58" s="452">
        <f t="shared" si="25"/>
        <v>152716.09</v>
      </c>
      <c r="Y58" s="197" t="b">
        <f t="shared" si="37"/>
        <v>1</v>
      </c>
      <c r="Z58" s="597">
        <f t="shared" si="38"/>
        <v>0</v>
      </c>
      <c r="AA58" s="192"/>
      <c r="AC58" s="322"/>
    </row>
    <row r="59" spans="1:29">
      <c r="A59" s="190">
        <f t="shared" si="17"/>
        <v>45</v>
      </c>
      <c r="B59" s="330"/>
      <c r="C59" s="678" t="s">
        <v>875</v>
      </c>
      <c r="E59" s="450">
        <v>1766887.01</v>
      </c>
      <c r="F59" s="450">
        <v>0</v>
      </c>
      <c r="G59" s="450">
        <f t="shared" si="27"/>
        <v>1766887.01</v>
      </c>
      <c r="H59" s="461">
        <f>-G59</f>
        <v>-1766887.01</v>
      </c>
      <c r="I59" s="450">
        <f t="shared" si="28"/>
        <v>0</v>
      </c>
      <c r="J59" s="227">
        <v>1</v>
      </c>
      <c r="K59" s="451">
        <f t="shared" si="22"/>
        <v>0</v>
      </c>
      <c r="L59" s="285"/>
      <c r="N59" s="327"/>
      <c r="O59" s="450">
        <v>0</v>
      </c>
      <c r="P59" s="450">
        <v>0</v>
      </c>
      <c r="Q59" s="450">
        <v>0</v>
      </c>
      <c r="R59" s="451"/>
      <c r="S59" s="450">
        <v>0</v>
      </c>
      <c r="T59" s="450">
        <v>0</v>
      </c>
      <c r="U59" s="451">
        <f t="shared" si="24"/>
        <v>0</v>
      </c>
      <c r="V59" s="450"/>
      <c r="W59" s="410">
        <v>0</v>
      </c>
      <c r="X59" s="452">
        <f t="shared" si="25"/>
        <v>0</v>
      </c>
      <c r="Y59" s="197" t="b">
        <f t="shared" si="37"/>
        <v>1</v>
      </c>
      <c r="Z59" s="597">
        <f t="shared" si="38"/>
        <v>0</v>
      </c>
      <c r="AA59" s="192"/>
      <c r="AC59" s="322"/>
    </row>
    <row r="60" spans="1:29">
      <c r="A60" s="190">
        <f t="shared" si="17"/>
        <v>46</v>
      </c>
      <c r="B60" s="330"/>
      <c r="C60" s="678" t="s">
        <v>566</v>
      </c>
      <c r="E60" s="450">
        <v>13532890.859999999</v>
      </c>
      <c r="F60" s="450">
        <v>0</v>
      </c>
      <c r="G60" s="450">
        <f t="shared" si="27"/>
        <v>13532890.859999999</v>
      </c>
      <c r="H60" s="451">
        <f>-G60</f>
        <v>-13532890.859999999</v>
      </c>
      <c r="I60" s="450">
        <f t="shared" si="28"/>
        <v>0</v>
      </c>
      <c r="J60" s="227">
        <v>1</v>
      </c>
      <c r="K60" s="451">
        <f t="shared" si="22"/>
        <v>0</v>
      </c>
      <c r="L60" s="285"/>
      <c r="N60" s="328"/>
      <c r="O60" s="451">
        <v>0</v>
      </c>
      <c r="P60" s="451">
        <v>0</v>
      </c>
      <c r="Q60" s="451">
        <v>0</v>
      </c>
      <c r="R60" s="451">
        <f t="shared" si="13"/>
        <v>0</v>
      </c>
      <c r="S60" s="451">
        <v>0</v>
      </c>
      <c r="T60" s="451">
        <v>0</v>
      </c>
      <c r="U60" s="451">
        <f t="shared" si="24"/>
        <v>0</v>
      </c>
      <c r="V60" s="451">
        <v>0</v>
      </c>
      <c r="W60" s="410">
        <v>0</v>
      </c>
      <c r="X60" s="452">
        <f t="shared" si="25"/>
        <v>0</v>
      </c>
      <c r="Y60" s="197" t="b">
        <f t="shared" si="14"/>
        <v>1</v>
      </c>
      <c r="Z60" s="597">
        <f t="shared" si="15"/>
        <v>0</v>
      </c>
      <c r="AA60" s="192"/>
      <c r="AC60" s="322"/>
    </row>
    <row r="61" spans="1:29">
      <c r="A61" s="190">
        <f t="shared" si="17"/>
        <v>47</v>
      </c>
      <c r="B61" s="330"/>
      <c r="C61" s="192" t="s">
        <v>976</v>
      </c>
      <c r="E61" s="450">
        <v>-10877031.609999999</v>
      </c>
      <c r="F61" s="450">
        <v>0</v>
      </c>
      <c r="G61" s="450">
        <f t="shared" si="27"/>
        <v>-10877031.609999999</v>
      </c>
      <c r="H61" s="451">
        <v>0</v>
      </c>
      <c r="I61" s="450">
        <f t="shared" si="28"/>
        <v>-10877031.609999999</v>
      </c>
      <c r="J61" s="227">
        <v>1</v>
      </c>
      <c r="K61" s="451">
        <f t="shared" si="22"/>
        <v>-10877031.609999999</v>
      </c>
      <c r="L61" s="285"/>
      <c r="N61" s="327" t="s">
        <v>663</v>
      </c>
      <c r="O61" s="410">
        <f>ROUND($K61*'[5]II-F Alloc_Factor'!E$34,2)</f>
        <v>-4813929.47</v>
      </c>
      <c r="P61" s="410">
        <f>ROUND($K61*'[5]II-F Alloc_Factor'!F$34,2)</f>
        <v>0</v>
      </c>
      <c r="Q61" s="410">
        <f>ROUND($K61*'[5]II-F Alloc_Factor'!G$34,2)</f>
        <v>0</v>
      </c>
      <c r="R61" s="410">
        <f>ROUND($K61*'[5]II-F Alloc_Factor'!H$34,2)</f>
        <v>-4813929.47</v>
      </c>
      <c r="S61" s="410">
        <f>+K61-O61-P61-Q61-T61-V61-W61</f>
        <v>-5871352.9699999997</v>
      </c>
      <c r="T61" s="410">
        <f>ROUND($K61*'[5]II-F Alloc_Factor'!J$34,2)</f>
        <v>0</v>
      </c>
      <c r="U61" s="410">
        <f t="shared" si="24"/>
        <v>-5871352.9699999997</v>
      </c>
      <c r="V61" s="410">
        <f>ROUND($K61*'[5]II-F Alloc_Factor'!L$34,2)</f>
        <v>-191749.17</v>
      </c>
      <c r="W61" s="410">
        <f>ROUND($K61*'[5]II-F Alloc_Factor'!M$34,2)</f>
        <v>0</v>
      </c>
      <c r="X61" s="452">
        <f t="shared" si="25"/>
        <v>-10877031.609999999</v>
      </c>
      <c r="Y61" s="197" t="b">
        <f t="shared" si="14"/>
        <v>1</v>
      </c>
      <c r="Z61" s="597">
        <f t="shared" si="15"/>
        <v>0</v>
      </c>
      <c r="AA61" s="192"/>
      <c r="AC61" s="322"/>
    </row>
    <row r="62" spans="1:29">
      <c r="A62" s="190">
        <f t="shared" si="17"/>
        <v>48</v>
      </c>
      <c r="B62" s="190"/>
      <c r="C62" s="194" t="s">
        <v>998</v>
      </c>
      <c r="E62" s="453">
        <f>SUM(E18:E61)</f>
        <v>3213101014.29</v>
      </c>
      <c r="F62" s="453">
        <f>SUM(F18:F61)</f>
        <v>0</v>
      </c>
      <c r="G62" s="453">
        <f>SUM(G18:G61)</f>
        <v>3213101014.29</v>
      </c>
      <c r="H62" s="453">
        <f>SUM(H18:H61)</f>
        <v>-116606667.44000003</v>
      </c>
      <c r="I62" s="453">
        <f>SUM(I18:I61)</f>
        <v>3096494346.8500004</v>
      </c>
      <c r="J62" s="453"/>
      <c r="K62" s="453">
        <f>SUM(K18:K61)</f>
        <v>3096494346.8500004</v>
      </c>
      <c r="L62" s="333"/>
      <c r="M62" s="333"/>
      <c r="N62" s="453"/>
      <c r="O62" s="453">
        <f t="shared" ref="O62:X62" si="39">SUM(O18:O61)</f>
        <v>1184348733.8522875</v>
      </c>
      <c r="P62" s="453">
        <f t="shared" si="39"/>
        <v>152056774.65066501</v>
      </c>
      <c r="Q62" s="453">
        <f t="shared" si="39"/>
        <v>972681.37</v>
      </c>
      <c r="R62" s="453">
        <f t="shared" si="39"/>
        <v>1337378189.8729527</v>
      </c>
      <c r="S62" s="453">
        <f t="shared" si="39"/>
        <v>1620146621.911248</v>
      </c>
      <c r="T62" s="453">
        <f t="shared" si="39"/>
        <v>12113322.48</v>
      </c>
      <c r="U62" s="453">
        <f t="shared" si="39"/>
        <v>1632259944.3812482</v>
      </c>
      <c r="V62" s="453">
        <f t="shared" si="39"/>
        <v>58201105.262600012</v>
      </c>
      <c r="W62" s="453">
        <f t="shared" si="39"/>
        <v>68655107.323199987</v>
      </c>
      <c r="X62" s="453">
        <f t="shared" si="39"/>
        <v>3096494346.8500004</v>
      </c>
      <c r="Y62" s="197" t="b">
        <f t="shared" ref="Y62" si="40">+K62=X62</f>
        <v>1</v>
      </c>
      <c r="Z62" s="597">
        <f t="shared" ref="Z62" si="41">+K62-X62</f>
        <v>0</v>
      </c>
      <c r="AA62" s="192"/>
    </row>
    <row r="63" spans="1:29">
      <c r="A63" s="190">
        <f t="shared" si="17"/>
        <v>49</v>
      </c>
      <c r="B63" s="190"/>
      <c r="E63" s="322"/>
      <c r="F63" s="322"/>
      <c r="G63" s="322"/>
      <c r="H63" s="322"/>
      <c r="I63" s="322"/>
      <c r="J63" s="221"/>
      <c r="K63" s="285"/>
      <c r="L63" s="285"/>
      <c r="N63" s="328"/>
      <c r="O63" s="285"/>
      <c r="P63" s="285"/>
      <c r="Q63" s="285"/>
      <c r="R63" s="285"/>
      <c r="S63" s="285"/>
      <c r="T63" s="285"/>
      <c r="U63" s="285"/>
      <c r="V63" s="285"/>
      <c r="W63" s="285"/>
      <c r="X63" s="285"/>
      <c r="AA63" s="192"/>
    </row>
    <row r="64" spans="1:29">
      <c r="A64" s="190">
        <f t="shared" si="17"/>
        <v>50</v>
      </c>
      <c r="B64" s="327">
        <v>190</v>
      </c>
      <c r="C64" s="194" t="s">
        <v>995</v>
      </c>
      <c r="E64" s="449"/>
      <c r="F64" s="449"/>
      <c r="G64" s="449"/>
      <c r="H64" s="449"/>
      <c r="I64" s="449"/>
      <c r="J64" s="227"/>
      <c r="K64" s="449"/>
      <c r="L64" s="285"/>
      <c r="N64" s="328"/>
      <c r="O64" s="449"/>
      <c r="P64" s="449"/>
      <c r="Q64" s="449"/>
      <c r="R64" s="449"/>
      <c r="S64" s="449"/>
      <c r="T64" s="449"/>
      <c r="U64" s="449"/>
      <c r="V64" s="449"/>
      <c r="W64" s="449"/>
      <c r="X64" s="449"/>
      <c r="Z64" s="597"/>
      <c r="AA64" s="449"/>
      <c r="AC64" s="322"/>
    </row>
    <row r="65" spans="1:27" ht="15">
      <c r="A65" s="190">
        <f t="shared" si="17"/>
        <v>51</v>
      </c>
      <c r="B65" s="327"/>
      <c r="C65" s="678" t="s">
        <v>958</v>
      </c>
      <c r="E65" s="853">
        <v>44229087.270000003</v>
      </c>
      <c r="F65" s="449">
        <v>0</v>
      </c>
      <c r="G65" s="449">
        <f t="shared" ref="G65:G95" si="42">SUM(E65:F65)</f>
        <v>44229087.270000003</v>
      </c>
      <c r="H65" s="449">
        <f>-G65</f>
        <v>-44229087.270000003</v>
      </c>
      <c r="I65" s="449">
        <f t="shared" ref="I65:I95" si="43">+G65+H65</f>
        <v>0</v>
      </c>
      <c r="J65" s="227">
        <v>1</v>
      </c>
      <c r="K65" s="449">
        <f t="shared" ref="K65:K95" si="44">+I65*J65</f>
        <v>0</v>
      </c>
      <c r="L65" s="285"/>
      <c r="N65" s="328"/>
      <c r="O65" s="449">
        <v>0</v>
      </c>
      <c r="P65" s="449">
        <v>0</v>
      </c>
      <c r="Q65" s="449">
        <v>0</v>
      </c>
      <c r="R65" s="449">
        <f t="shared" ref="R65" si="45">SUM(O65:Q65)</f>
        <v>0</v>
      </c>
      <c r="S65" s="449">
        <v>0</v>
      </c>
      <c r="T65" s="449">
        <v>0</v>
      </c>
      <c r="U65" s="449">
        <f t="shared" ref="U65:U95" si="46">SUM(S65:T65)</f>
        <v>0</v>
      </c>
      <c r="V65" s="449">
        <v>0</v>
      </c>
      <c r="W65" s="449">
        <v>0</v>
      </c>
      <c r="X65" s="453">
        <f t="shared" ref="X65:X95" si="47">+O65+P65+Q65+S65+T65+V65+W65</f>
        <v>0</v>
      </c>
      <c r="Y65" s="197" t="b">
        <f t="shared" ref="Y65:Y95" si="48">+K65=X65</f>
        <v>1</v>
      </c>
      <c r="Z65" s="597">
        <f t="shared" ref="Z65:Z96" si="49">+K65-X65</f>
        <v>0</v>
      </c>
      <c r="AA65" s="192"/>
    </row>
    <row r="66" spans="1:27">
      <c r="A66" s="190">
        <f t="shared" si="17"/>
        <v>52</v>
      </c>
      <c r="B66" s="327"/>
      <c r="C66" s="678" t="s">
        <v>878</v>
      </c>
      <c r="E66" s="450">
        <v>43932164.649999999</v>
      </c>
      <c r="F66" s="450">
        <v>0</v>
      </c>
      <c r="G66" s="450">
        <f t="shared" si="42"/>
        <v>43932164.649999999</v>
      </c>
      <c r="H66" s="450"/>
      <c r="I66" s="450">
        <f t="shared" si="43"/>
        <v>43932164.649999999</v>
      </c>
      <c r="J66" s="227">
        <v>1</v>
      </c>
      <c r="K66" s="451">
        <f t="shared" si="44"/>
        <v>43932164.649999999</v>
      </c>
      <c r="L66" s="285"/>
      <c r="N66" s="190" t="s">
        <v>684</v>
      </c>
      <c r="O66" s="410">
        <f>ROUND($K66*'[5]II-F Alloc_Factor'!E$38,2)</f>
        <v>19970803.800000001</v>
      </c>
      <c r="P66" s="410">
        <f>ROUND($K66*'[5]II-F Alloc_Factor'!F$38,2)</f>
        <v>0</v>
      </c>
      <c r="Q66" s="410">
        <f>ROUND($K66*'[5]II-F Alloc_Factor'!G$38,2)</f>
        <v>17157.43</v>
      </c>
      <c r="R66" s="410">
        <f>ROUND($K66*'[5]II-F Alloc_Factor'!H$38,2)</f>
        <v>19987961.219999999</v>
      </c>
      <c r="S66" s="451">
        <f>+K66-O66-P66-Q66-T66-V66-W66</f>
        <v>22808660.919999998</v>
      </c>
      <c r="T66" s="410">
        <f>ROUND($K66*'[5]II-F Alloc_Factor'!J$38,2)</f>
        <v>0</v>
      </c>
      <c r="U66" s="410">
        <f t="shared" si="46"/>
        <v>22808660.919999998</v>
      </c>
      <c r="V66" s="410">
        <f>ROUND($K66*'[5]II-F Alloc_Factor'!L$38,2)</f>
        <v>683619.08</v>
      </c>
      <c r="W66" s="410">
        <f>ROUND($K66*'[5]II-F Alloc_Factor'!M$38,2)</f>
        <v>451923.42</v>
      </c>
      <c r="X66" s="452">
        <f t="shared" si="47"/>
        <v>43932164.649999999</v>
      </c>
      <c r="Y66" s="197" t="b">
        <f t="shared" si="48"/>
        <v>1</v>
      </c>
      <c r="Z66" s="597">
        <f t="shared" si="49"/>
        <v>0</v>
      </c>
      <c r="AA66" s="192"/>
    </row>
    <row r="67" spans="1:27">
      <c r="A67" s="190">
        <f t="shared" si="17"/>
        <v>53</v>
      </c>
      <c r="B67" s="323"/>
      <c r="C67" s="678" t="s">
        <v>25</v>
      </c>
      <c r="E67" s="450">
        <v>3458686.58</v>
      </c>
      <c r="F67" s="450">
        <v>0</v>
      </c>
      <c r="G67" s="450">
        <f t="shared" si="42"/>
        <v>3458686.58</v>
      </c>
      <c r="H67" s="451">
        <v>0</v>
      </c>
      <c r="I67" s="450">
        <f t="shared" si="43"/>
        <v>3458686.58</v>
      </c>
      <c r="J67" s="227">
        <v>1</v>
      </c>
      <c r="K67" s="451">
        <f t="shared" si="44"/>
        <v>3458686.58</v>
      </c>
      <c r="L67" s="285"/>
      <c r="N67" s="327" t="s">
        <v>387</v>
      </c>
      <c r="O67" s="451">
        <v>59137.38</v>
      </c>
      <c r="P67" s="558">
        <v>0</v>
      </c>
      <c r="Q67" s="451">
        <v>0</v>
      </c>
      <c r="R67" s="451">
        <f t="shared" ref="R67:R95" si="50">SUM(O67:Q67)</f>
        <v>59137.38</v>
      </c>
      <c r="S67" s="451">
        <f>+K67-O67-P67-Q67-T67-V67-W67</f>
        <v>3399549.2</v>
      </c>
      <c r="T67" s="451">
        <v>0</v>
      </c>
      <c r="U67" s="451">
        <f t="shared" si="46"/>
        <v>3399549.2</v>
      </c>
      <c r="V67" s="451">
        <v>0</v>
      </c>
      <c r="W67" s="410">
        <v>0</v>
      </c>
      <c r="X67" s="452">
        <f t="shared" si="47"/>
        <v>3458686.58</v>
      </c>
      <c r="Y67" s="197" t="b">
        <f t="shared" si="48"/>
        <v>1</v>
      </c>
      <c r="Z67" s="597">
        <f t="shared" si="49"/>
        <v>0</v>
      </c>
      <c r="AA67" s="192"/>
    </row>
    <row r="68" spans="1:27">
      <c r="A68" s="190">
        <f t="shared" si="17"/>
        <v>54</v>
      </c>
      <c r="B68" s="330"/>
      <c r="C68" s="678" t="s">
        <v>565</v>
      </c>
      <c r="E68" s="450">
        <v>63531.34</v>
      </c>
      <c r="F68" s="450">
        <v>0</v>
      </c>
      <c r="G68" s="450">
        <f t="shared" si="42"/>
        <v>63531.34</v>
      </c>
      <c r="H68" s="451">
        <v>0</v>
      </c>
      <c r="I68" s="450">
        <f t="shared" si="43"/>
        <v>63531.34</v>
      </c>
      <c r="J68" s="227">
        <v>1</v>
      </c>
      <c r="K68" s="451">
        <f t="shared" si="44"/>
        <v>63531.34</v>
      </c>
      <c r="L68" s="285"/>
      <c r="N68" s="327" t="s">
        <v>387</v>
      </c>
      <c r="O68" s="451">
        <v>0</v>
      </c>
      <c r="P68" s="451">
        <v>0</v>
      </c>
      <c r="Q68" s="451">
        <v>0</v>
      </c>
      <c r="R68" s="451">
        <f t="shared" si="50"/>
        <v>0</v>
      </c>
      <c r="S68" s="451">
        <v>0</v>
      </c>
      <c r="T68" s="451">
        <v>0</v>
      </c>
      <c r="U68" s="451">
        <f t="shared" si="46"/>
        <v>0</v>
      </c>
      <c r="V68" s="451">
        <f>+K68</f>
        <v>63531.34</v>
      </c>
      <c r="W68" s="410">
        <v>0</v>
      </c>
      <c r="X68" s="452">
        <f t="shared" si="47"/>
        <v>63531.34</v>
      </c>
      <c r="Y68" s="197" t="b">
        <f t="shared" si="48"/>
        <v>1</v>
      </c>
      <c r="Z68" s="597">
        <f t="shared" si="49"/>
        <v>0</v>
      </c>
      <c r="AA68" s="192"/>
    </row>
    <row r="69" spans="1:27">
      <c r="A69" s="190">
        <f t="shared" si="17"/>
        <v>55</v>
      </c>
      <c r="B69" s="330"/>
      <c r="C69" s="678" t="s">
        <v>1057</v>
      </c>
      <c r="E69" s="450">
        <v>544.33000000000004</v>
      </c>
      <c r="F69" s="450">
        <v>0</v>
      </c>
      <c r="G69" s="450">
        <f t="shared" ref="G69:G70" si="51">SUM(E69:F69)</f>
        <v>544.33000000000004</v>
      </c>
      <c r="H69" s="451">
        <v>0</v>
      </c>
      <c r="I69" s="450">
        <f t="shared" ref="I69:I70" si="52">+G69+H69</f>
        <v>544.33000000000004</v>
      </c>
      <c r="J69" s="227">
        <v>1</v>
      </c>
      <c r="K69" s="451">
        <f t="shared" ref="K69:K70" si="53">+I69*J69</f>
        <v>544.33000000000004</v>
      </c>
      <c r="L69" s="285"/>
      <c r="N69" s="327" t="s">
        <v>387</v>
      </c>
      <c r="O69" s="451">
        <v>0</v>
      </c>
      <c r="P69" s="451">
        <v>0</v>
      </c>
      <c r="Q69" s="451">
        <v>0</v>
      </c>
      <c r="R69" s="451">
        <v>0</v>
      </c>
      <c r="S69" s="451">
        <f t="shared" ref="S69:S80" si="54">+K69-O69-P69-Q69-T69-V69-W69</f>
        <v>544.33000000000004</v>
      </c>
      <c r="T69" s="451">
        <v>0</v>
      </c>
      <c r="U69" s="451">
        <f t="shared" si="46"/>
        <v>544.33000000000004</v>
      </c>
      <c r="V69" s="451">
        <v>0</v>
      </c>
      <c r="W69" s="410">
        <v>0</v>
      </c>
      <c r="X69" s="452">
        <f t="shared" si="47"/>
        <v>544.33000000000004</v>
      </c>
      <c r="Y69" s="197" t="b">
        <f t="shared" ref="Y69:Y70" si="55">+K69=X69</f>
        <v>1</v>
      </c>
      <c r="Z69" s="597">
        <f t="shared" ref="Z69:Z70" si="56">+K69-X69</f>
        <v>0</v>
      </c>
      <c r="AA69" s="192"/>
    </row>
    <row r="70" spans="1:27">
      <c r="A70" s="190">
        <f t="shared" si="17"/>
        <v>56</v>
      </c>
      <c r="B70" s="330"/>
      <c r="C70" s="678" t="s">
        <v>1058</v>
      </c>
      <c r="E70" s="450">
        <v>801.76</v>
      </c>
      <c r="F70" s="450">
        <v>0</v>
      </c>
      <c r="G70" s="450">
        <f t="shared" si="51"/>
        <v>801.76</v>
      </c>
      <c r="H70" s="451">
        <v>0</v>
      </c>
      <c r="I70" s="450">
        <f t="shared" si="52"/>
        <v>801.76</v>
      </c>
      <c r="J70" s="227">
        <v>1</v>
      </c>
      <c r="K70" s="451">
        <f t="shared" si="53"/>
        <v>801.76</v>
      </c>
      <c r="L70" s="285"/>
      <c r="N70" s="327" t="s">
        <v>387</v>
      </c>
      <c r="O70" s="451">
        <v>0</v>
      </c>
      <c r="P70" s="451">
        <v>0</v>
      </c>
      <c r="Q70" s="451">
        <v>0</v>
      </c>
      <c r="R70" s="451">
        <v>0</v>
      </c>
      <c r="S70" s="451">
        <f t="shared" si="54"/>
        <v>801.76</v>
      </c>
      <c r="T70" s="451">
        <v>0</v>
      </c>
      <c r="U70" s="451">
        <f t="shared" si="46"/>
        <v>801.76</v>
      </c>
      <c r="V70" s="451">
        <v>0</v>
      </c>
      <c r="W70" s="410">
        <v>0</v>
      </c>
      <c r="X70" s="452">
        <f t="shared" si="47"/>
        <v>801.76</v>
      </c>
      <c r="Y70" s="197" t="b">
        <f t="shared" si="55"/>
        <v>1</v>
      </c>
      <c r="Z70" s="597">
        <f t="shared" si="56"/>
        <v>0</v>
      </c>
      <c r="AA70" s="192"/>
    </row>
    <row r="71" spans="1:27">
      <c r="A71" s="190">
        <f t="shared" si="17"/>
        <v>57</v>
      </c>
      <c r="B71" s="330"/>
      <c r="C71" s="678" t="s">
        <v>180</v>
      </c>
      <c r="E71" s="450">
        <v>1771595.27</v>
      </c>
      <c r="F71" s="450">
        <v>0</v>
      </c>
      <c r="G71" s="450">
        <f t="shared" si="42"/>
        <v>1771595.27</v>
      </c>
      <c r="H71" s="451">
        <v>0</v>
      </c>
      <c r="I71" s="450">
        <f t="shared" si="43"/>
        <v>1771595.27</v>
      </c>
      <c r="J71" s="227">
        <v>1</v>
      </c>
      <c r="K71" s="451">
        <f t="shared" si="44"/>
        <v>1771595.27</v>
      </c>
      <c r="L71" s="285"/>
      <c r="N71" s="327" t="s">
        <v>13</v>
      </c>
      <c r="O71" s="410">
        <f>ROUND(+$K71*'[5]II-F Alloc_Factor'!E$17,2)</f>
        <v>398288.74</v>
      </c>
      <c r="P71" s="410">
        <f>ROUND(+$K71*'[5]II-F Alloc_Factor'!F$17,2)</f>
        <v>0</v>
      </c>
      <c r="Q71" s="410">
        <f>ROUND(+$K71*'[5]II-F Alloc_Factor'!G$17,2)</f>
        <v>0</v>
      </c>
      <c r="R71" s="410">
        <f>ROUND($K71*'[5]II-F Alloc_Factor'!H$17,2)</f>
        <v>398288.74</v>
      </c>
      <c r="S71" s="451">
        <f t="shared" si="54"/>
        <v>1063680.8899999999</v>
      </c>
      <c r="T71" s="410">
        <f>ROUND(+$K71*'[5]II-F Alloc_Factor'!J$17,2)</f>
        <v>0</v>
      </c>
      <c r="U71" s="410">
        <f t="shared" si="46"/>
        <v>1063680.8899999999</v>
      </c>
      <c r="V71" s="410">
        <f>ROUND(+$K71*'[5]II-F Alloc_Factor'!L$17,2)</f>
        <v>297433.77</v>
      </c>
      <c r="W71" s="410">
        <f>ROUND(+$K71*'[5]II-F Alloc_Factor'!M$17,2)</f>
        <v>12191.87</v>
      </c>
      <c r="X71" s="452">
        <f t="shared" si="47"/>
        <v>1771595.27</v>
      </c>
      <c r="Y71" s="197" t="b">
        <f t="shared" si="48"/>
        <v>1</v>
      </c>
      <c r="Z71" s="597">
        <f t="shared" si="49"/>
        <v>0</v>
      </c>
      <c r="AA71" s="192"/>
    </row>
    <row r="72" spans="1:27">
      <c r="A72" s="190">
        <f t="shared" si="17"/>
        <v>58</v>
      </c>
      <c r="B72" s="327"/>
      <c r="C72" s="678" t="s">
        <v>421</v>
      </c>
      <c r="E72" s="450">
        <v>16957840.43</v>
      </c>
      <c r="F72" s="450">
        <v>0</v>
      </c>
      <c r="G72" s="450">
        <f t="shared" si="42"/>
        <v>16957840.43</v>
      </c>
      <c r="H72" s="451">
        <v>-561254.63100000005</v>
      </c>
      <c r="I72" s="450">
        <f t="shared" si="43"/>
        <v>16396585.798999999</v>
      </c>
      <c r="J72" s="227">
        <v>1</v>
      </c>
      <c r="K72" s="451">
        <f t="shared" si="44"/>
        <v>16396585.798999999</v>
      </c>
      <c r="L72" s="285"/>
      <c r="N72" s="327" t="s">
        <v>13</v>
      </c>
      <c r="O72" s="410">
        <f>ROUND(+$K72*'[5]II-F Alloc_Factor'!E$17,2)</f>
        <v>3686268.33</v>
      </c>
      <c r="P72" s="410">
        <f>ROUND(+$K72*'[5]II-F Alloc_Factor'!F$17,2)</f>
        <v>0</v>
      </c>
      <c r="Q72" s="410">
        <f>ROUND(+$K72*'[5]II-F Alloc_Factor'!G$17,2)</f>
        <v>0</v>
      </c>
      <c r="R72" s="410">
        <f>ROUND($K72*'[5]II-F Alloc_Factor'!H$17,2)</f>
        <v>3686268.33</v>
      </c>
      <c r="S72" s="451">
        <f t="shared" si="54"/>
        <v>9844649.7889999971</v>
      </c>
      <c r="T72" s="410">
        <f>ROUND(+$K72*'[5]II-F Alloc_Factor'!J$17,2)</f>
        <v>0</v>
      </c>
      <c r="U72" s="410">
        <f t="shared" si="46"/>
        <v>9844649.7889999971</v>
      </c>
      <c r="V72" s="410">
        <f>ROUND(+$K72*'[5]II-F Alloc_Factor'!L$17,2)</f>
        <v>2752828.7</v>
      </c>
      <c r="W72" s="410">
        <f>ROUND(+$K72*'[5]II-F Alloc_Factor'!M$17,2)</f>
        <v>112838.98</v>
      </c>
      <c r="X72" s="452">
        <f t="shared" si="47"/>
        <v>16396585.798999999</v>
      </c>
      <c r="Y72" s="197" t="b">
        <f t="shared" si="48"/>
        <v>1</v>
      </c>
      <c r="Z72" s="597">
        <f t="shared" si="49"/>
        <v>0</v>
      </c>
      <c r="AA72" s="192"/>
    </row>
    <row r="73" spans="1:27" ht="15">
      <c r="A73" s="190">
        <f t="shared" si="17"/>
        <v>59</v>
      </c>
      <c r="B73" s="330"/>
      <c r="C73" s="678" t="s">
        <v>607</v>
      </c>
      <c r="E73" s="854">
        <v>19336684.629999999</v>
      </c>
      <c r="F73" s="450">
        <v>0</v>
      </c>
      <c r="G73" s="450">
        <f t="shared" si="42"/>
        <v>19336684.629999999</v>
      </c>
      <c r="H73" s="451">
        <v>-107344.9</v>
      </c>
      <c r="I73" s="450">
        <f t="shared" si="43"/>
        <v>19229339.73</v>
      </c>
      <c r="J73" s="227">
        <v>1</v>
      </c>
      <c r="K73" s="451">
        <f t="shared" si="44"/>
        <v>19229339.73</v>
      </c>
      <c r="L73" s="285"/>
      <c r="N73" s="327" t="s">
        <v>387</v>
      </c>
      <c r="O73" s="451">
        <v>0</v>
      </c>
      <c r="P73" s="451">
        <v>0</v>
      </c>
      <c r="Q73" s="451">
        <v>0</v>
      </c>
      <c r="R73" s="451">
        <f t="shared" si="50"/>
        <v>0</v>
      </c>
      <c r="S73" s="451">
        <f t="shared" si="54"/>
        <v>19229339.73</v>
      </c>
      <c r="T73" s="451">
        <v>0</v>
      </c>
      <c r="U73" s="451">
        <f t="shared" si="46"/>
        <v>19229339.73</v>
      </c>
      <c r="V73" s="451">
        <v>0</v>
      </c>
      <c r="W73" s="410">
        <v>0</v>
      </c>
      <c r="X73" s="452">
        <f t="shared" si="47"/>
        <v>19229339.73</v>
      </c>
      <c r="Y73" s="197" t="b">
        <f t="shared" si="48"/>
        <v>1</v>
      </c>
      <c r="Z73" s="597">
        <f t="shared" si="49"/>
        <v>0</v>
      </c>
      <c r="AA73" s="192"/>
    </row>
    <row r="74" spans="1:27" ht="15">
      <c r="A74" s="190">
        <f t="shared" si="17"/>
        <v>60</v>
      </c>
      <c r="B74" s="330"/>
      <c r="C74" s="678" t="s">
        <v>608</v>
      </c>
      <c r="E74" s="854">
        <v>-11459.67</v>
      </c>
      <c r="F74" s="450">
        <v>0</v>
      </c>
      <c r="G74" s="450">
        <f t="shared" si="42"/>
        <v>-11459.67</v>
      </c>
      <c r="H74" s="451">
        <v>0</v>
      </c>
      <c r="I74" s="450">
        <f t="shared" si="43"/>
        <v>-11459.67</v>
      </c>
      <c r="J74" s="227">
        <v>1</v>
      </c>
      <c r="K74" s="451">
        <f t="shared" si="44"/>
        <v>-11459.67</v>
      </c>
      <c r="L74" s="285"/>
      <c r="N74" s="327" t="s">
        <v>387</v>
      </c>
      <c r="O74" s="451">
        <v>0</v>
      </c>
      <c r="P74" s="451">
        <v>0</v>
      </c>
      <c r="Q74" s="451">
        <v>0</v>
      </c>
      <c r="R74" s="451">
        <f t="shared" si="50"/>
        <v>0</v>
      </c>
      <c r="S74" s="451">
        <f t="shared" si="54"/>
        <v>-11459.67</v>
      </c>
      <c r="T74" s="451">
        <v>0</v>
      </c>
      <c r="U74" s="451">
        <f t="shared" si="46"/>
        <v>-11459.67</v>
      </c>
      <c r="V74" s="451">
        <v>0</v>
      </c>
      <c r="W74" s="410">
        <v>0</v>
      </c>
      <c r="X74" s="452">
        <f t="shared" si="47"/>
        <v>-11459.67</v>
      </c>
      <c r="Y74" s="197" t="b">
        <f t="shared" si="48"/>
        <v>1</v>
      </c>
      <c r="Z74" s="597">
        <f t="shared" si="49"/>
        <v>0</v>
      </c>
      <c r="AA74" s="192"/>
    </row>
    <row r="75" spans="1:27" ht="15">
      <c r="A75" s="190">
        <f t="shared" si="17"/>
        <v>61</v>
      </c>
      <c r="B75" s="330"/>
      <c r="C75" s="678" t="s">
        <v>609</v>
      </c>
      <c r="E75" s="854">
        <v>-332588.53000000003</v>
      </c>
      <c r="F75" s="450">
        <v>0</v>
      </c>
      <c r="G75" s="450">
        <f t="shared" si="42"/>
        <v>-332588.53000000003</v>
      </c>
      <c r="H75" s="451">
        <v>0</v>
      </c>
      <c r="I75" s="450">
        <f t="shared" si="43"/>
        <v>-332588.53000000003</v>
      </c>
      <c r="J75" s="227">
        <v>1</v>
      </c>
      <c r="K75" s="451">
        <f t="shared" si="44"/>
        <v>-332588.53000000003</v>
      </c>
      <c r="L75" s="285"/>
      <c r="N75" s="327" t="s">
        <v>387</v>
      </c>
      <c r="O75" s="451">
        <v>0</v>
      </c>
      <c r="P75" s="451">
        <v>0</v>
      </c>
      <c r="Q75" s="451">
        <v>0</v>
      </c>
      <c r="R75" s="451">
        <f t="shared" si="50"/>
        <v>0</v>
      </c>
      <c r="S75" s="451">
        <f t="shared" si="54"/>
        <v>-332588.53000000003</v>
      </c>
      <c r="T75" s="451">
        <v>0</v>
      </c>
      <c r="U75" s="451">
        <f t="shared" si="46"/>
        <v>-332588.53000000003</v>
      </c>
      <c r="V75" s="451">
        <v>0</v>
      </c>
      <c r="W75" s="410">
        <v>0</v>
      </c>
      <c r="X75" s="452">
        <f t="shared" si="47"/>
        <v>-332588.53000000003</v>
      </c>
      <c r="Y75" s="197" t="b">
        <f t="shared" si="48"/>
        <v>1</v>
      </c>
      <c r="Z75" s="597">
        <f t="shared" si="49"/>
        <v>0</v>
      </c>
      <c r="AA75" s="192"/>
    </row>
    <row r="76" spans="1:27" ht="15">
      <c r="A76" s="190">
        <f t="shared" si="17"/>
        <v>62</v>
      </c>
      <c r="B76" s="327"/>
      <c r="C76" s="678" t="s">
        <v>610</v>
      </c>
      <c r="E76" s="854">
        <v>804443.96</v>
      </c>
      <c r="F76" s="450">
        <v>0</v>
      </c>
      <c r="G76" s="450">
        <f t="shared" si="42"/>
        <v>804443.96</v>
      </c>
      <c r="H76" s="451">
        <v>0</v>
      </c>
      <c r="I76" s="450">
        <f t="shared" si="43"/>
        <v>804443.96</v>
      </c>
      <c r="J76" s="227">
        <v>1</v>
      </c>
      <c r="K76" s="451">
        <f t="shared" si="44"/>
        <v>804443.96</v>
      </c>
      <c r="L76" s="285"/>
      <c r="N76" s="327" t="s">
        <v>387</v>
      </c>
      <c r="O76" s="451">
        <v>0</v>
      </c>
      <c r="P76" s="451">
        <v>0</v>
      </c>
      <c r="Q76" s="451">
        <v>0</v>
      </c>
      <c r="R76" s="451">
        <f t="shared" si="50"/>
        <v>0</v>
      </c>
      <c r="S76" s="451">
        <f t="shared" si="54"/>
        <v>804443.96</v>
      </c>
      <c r="T76" s="451">
        <v>0</v>
      </c>
      <c r="U76" s="451">
        <f t="shared" si="46"/>
        <v>804443.96</v>
      </c>
      <c r="V76" s="451">
        <v>0</v>
      </c>
      <c r="W76" s="410">
        <v>0</v>
      </c>
      <c r="X76" s="452">
        <f t="shared" si="47"/>
        <v>804443.96</v>
      </c>
      <c r="Y76" s="197" t="b">
        <f t="shared" si="48"/>
        <v>1</v>
      </c>
      <c r="Z76" s="597">
        <f t="shared" si="49"/>
        <v>0</v>
      </c>
      <c r="AA76" s="192"/>
    </row>
    <row r="77" spans="1:27" ht="15">
      <c r="A77" s="190">
        <f t="shared" si="17"/>
        <v>63</v>
      </c>
      <c r="B77" s="327"/>
      <c r="C77" s="179" t="s">
        <v>1130</v>
      </c>
      <c r="E77" s="854">
        <v>259112.49</v>
      </c>
      <c r="F77" s="450">
        <v>0</v>
      </c>
      <c r="G77" s="450">
        <f t="shared" ref="G77:G79" si="57">SUM(E77:F77)</f>
        <v>259112.49</v>
      </c>
      <c r="H77" s="451">
        <v>0</v>
      </c>
      <c r="I77" s="450">
        <f t="shared" ref="I77:I79" si="58">+G77+H77</f>
        <v>259112.49</v>
      </c>
      <c r="J77" s="227">
        <v>1</v>
      </c>
      <c r="K77" s="451">
        <f t="shared" ref="K77:K79" si="59">+I77*J77</f>
        <v>259112.49</v>
      </c>
      <c r="L77" s="285"/>
      <c r="N77" s="327" t="s">
        <v>387</v>
      </c>
      <c r="O77" s="451">
        <v>0</v>
      </c>
      <c r="P77" s="451">
        <v>0</v>
      </c>
      <c r="Q77" s="451">
        <v>0</v>
      </c>
      <c r="R77" s="451">
        <f t="shared" ref="R77:R78" si="60">SUM(O77:Q77)</f>
        <v>0</v>
      </c>
      <c r="S77" s="451">
        <v>0</v>
      </c>
      <c r="T77" s="451">
        <v>0</v>
      </c>
      <c r="U77" s="451">
        <f t="shared" si="46"/>
        <v>0</v>
      </c>
      <c r="V77" s="451">
        <f>+K77</f>
        <v>259112.49</v>
      </c>
      <c r="W77" s="410">
        <v>0</v>
      </c>
      <c r="X77" s="452">
        <f t="shared" si="47"/>
        <v>259112.49</v>
      </c>
      <c r="Y77" s="197" t="b">
        <f t="shared" ref="Y77:Y78" si="61">+K77=X77</f>
        <v>1</v>
      </c>
      <c r="Z77" s="597">
        <f t="shared" ref="Z77:Z78" si="62">+K77-X77</f>
        <v>0</v>
      </c>
      <c r="AA77" s="192"/>
    </row>
    <row r="78" spans="1:27" ht="15">
      <c r="A78" s="190">
        <f t="shared" si="17"/>
        <v>64</v>
      </c>
      <c r="B78" s="327"/>
      <c r="C78" s="179" t="s">
        <v>1131</v>
      </c>
      <c r="E78" s="854">
        <v>66893.95</v>
      </c>
      <c r="F78" s="450">
        <v>0</v>
      </c>
      <c r="G78" s="450">
        <f t="shared" si="57"/>
        <v>66893.95</v>
      </c>
      <c r="H78" s="451">
        <v>0</v>
      </c>
      <c r="I78" s="450">
        <f t="shared" si="58"/>
        <v>66893.95</v>
      </c>
      <c r="J78" s="227">
        <v>1</v>
      </c>
      <c r="K78" s="451">
        <f t="shared" si="59"/>
        <v>66893.95</v>
      </c>
      <c r="L78" s="285"/>
      <c r="N78" s="327" t="s">
        <v>387</v>
      </c>
      <c r="O78" s="451">
        <v>0</v>
      </c>
      <c r="P78" s="451">
        <v>0</v>
      </c>
      <c r="Q78" s="451">
        <v>0</v>
      </c>
      <c r="R78" s="451">
        <f t="shared" si="60"/>
        <v>0</v>
      </c>
      <c r="S78" s="451">
        <f t="shared" si="54"/>
        <v>66893.95</v>
      </c>
      <c r="T78" s="451">
        <v>0</v>
      </c>
      <c r="U78" s="451">
        <f t="shared" si="46"/>
        <v>66893.95</v>
      </c>
      <c r="V78" s="451">
        <v>0</v>
      </c>
      <c r="W78" s="410">
        <v>0</v>
      </c>
      <c r="X78" s="452">
        <f t="shared" si="47"/>
        <v>66893.95</v>
      </c>
      <c r="Y78" s="197" t="b">
        <f t="shared" si="61"/>
        <v>1</v>
      </c>
      <c r="Z78" s="597">
        <f t="shared" si="62"/>
        <v>0</v>
      </c>
      <c r="AA78" s="192"/>
    </row>
    <row r="79" spans="1:27" ht="15">
      <c r="A79" s="190">
        <f>+A76+1</f>
        <v>63</v>
      </c>
      <c r="B79" s="327"/>
      <c r="C79" s="678" t="s">
        <v>611</v>
      </c>
      <c r="E79" s="854">
        <v>5430.44</v>
      </c>
      <c r="F79" s="450">
        <v>0</v>
      </c>
      <c r="G79" s="450">
        <f t="shared" si="57"/>
        <v>5430.44</v>
      </c>
      <c r="H79" s="451">
        <v>0</v>
      </c>
      <c r="I79" s="450">
        <f t="shared" si="58"/>
        <v>5430.44</v>
      </c>
      <c r="J79" s="227">
        <v>1</v>
      </c>
      <c r="K79" s="451">
        <f t="shared" si="59"/>
        <v>5430.44</v>
      </c>
      <c r="L79" s="285"/>
      <c r="N79" s="327" t="s">
        <v>387</v>
      </c>
      <c r="O79" s="451">
        <v>0</v>
      </c>
      <c r="P79" s="451">
        <v>0</v>
      </c>
      <c r="Q79" s="451">
        <v>0</v>
      </c>
      <c r="R79" s="451">
        <f t="shared" si="50"/>
        <v>0</v>
      </c>
      <c r="S79" s="451">
        <f t="shared" si="54"/>
        <v>5430.44</v>
      </c>
      <c r="T79" s="451">
        <v>0</v>
      </c>
      <c r="U79" s="451">
        <f t="shared" si="46"/>
        <v>5430.44</v>
      </c>
      <c r="V79" s="451">
        <v>0</v>
      </c>
      <c r="W79" s="410">
        <v>0</v>
      </c>
      <c r="X79" s="452">
        <f t="shared" si="47"/>
        <v>5430.44</v>
      </c>
      <c r="Y79" s="197" t="b">
        <f t="shared" si="48"/>
        <v>1</v>
      </c>
      <c r="Z79" s="597">
        <f t="shared" si="49"/>
        <v>0</v>
      </c>
      <c r="AA79" s="192"/>
    </row>
    <row r="80" spans="1:27" ht="15">
      <c r="A80" s="190">
        <f t="shared" si="17"/>
        <v>64</v>
      </c>
      <c r="B80" s="327"/>
      <c r="C80" s="678" t="s">
        <v>844</v>
      </c>
      <c r="E80" s="854">
        <v>12436032.99</v>
      </c>
      <c r="F80" s="450">
        <v>0</v>
      </c>
      <c r="G80" s="450">
        <f t="shared" si="42"/>
        <v>12436032.99</v>
      </c>
      <c r="H80" s="451">
        <v>0</v>
      </c>
      <c r="I80" s="450">
        <f t="shared" si="43"/>
        <v>12436032.99</v>
      </c>
      <c r="J80" s="227">
        <v>1</v>
      </c>
      <c r="K80" s="451">
        <f t="shared" si="44"/>
        <v>12436032.99</v>
      </c>
      <c r="L80" s="285"/>
      <c r="N80" s="327" t="s">
        <v>386</v>
      </c>
      <c r="O80" s="410">
        <f>ROUND($K80*'[5]II-F Alloc_Factor'!E$27,2)</f>
        <v>2596176.92</v>
      </c>
      <c r="P80" s="410">
        <f>ROUND($K80*'[5]II-F Alloc_Factor'!F$27,2)</f>
        <v>0</v>
      </c>
      <c r="Q80" s="410">
        <f>ROUND($K80*'[5]II-F Alloc_Factor'!G$27,2)</f>
        <v>0</v>
      </c>
      <c r="R80" s="410">
        <f>ROUND($K80*'[5]II-F Alloc_Factor'!H$27,2)</f>
        <v>2596176.92</v>
      </c>
      <c r="S80" s="451">
        <f t="shared" si="54"/>
        <v>6641626.2300000004</v>
      </c>
      <c r="T80" s="410">
        <f>ROUND($K80*'[5]II-F Alloc_Factor'!J$27,2)</f>
        <v>0</v>
      </c>
      <c r="U80" s="410">
        <f t="shared" si="46"/>
        <v>6641626.2300000004</v>
      </c>
      <c r="V80" s="410">
        <f>ROUND($K80*'[5]II-F Alloc_Factor'!L$27,2)</f>
        <v>2379465.08</v>
      </c>
      <c r="W80" s="410">
        <f>ROUND($K80*'[5]II-F Alloc_Factor'!M$27,2)</f>
        <v>818764.76</v>
      </c>
      <c r="X80" s="452">
        <f t="shared" si="47"/>
        <v>12436032.99</v>
      </c>
      <c r="Y80" s="197" t="b">
        <f t="shared" ref="Y80:Y81" si="63">+K80=X80</f>
        <v>1</v>
      </c>
      <c r="Z80" s="597">
        <f t="shared" ref="Z80:Z81" si="64">+K80-X80</f>
        <v>0</v>
      </c>
      <c r="AA80" s="192"/>
    </row>
    <row r="81" spans="1:27" ht="15">
      <c r="A81" s="190">
        <f t="shared" si="17"/>
        <v>65</v>
      </c>
      <c r="B81" s="327"/>
      <c r="C81" s="678" t="s">
        <v>845</v>
      </c>
      <c r="E81" s="854">
        <v>2960353.2</v>
      </c>
      <c r="F81" s="450">
        <v>0</v>
      </c>
      <c r="G81" s="450">
        <f t="shared" si="42"/>
        <v>2960353.2</v>
      </c>
      <c r="H81" s="451">
        <v>0</v>
      </c>
      <c r="I81" s="450">
        <f t="shared" si="43"/>
        <v>2960353.2</v>
      </c>
      <c r="J81" s="227">
        <v>1</v>
      </c>
      <c r="K81" s="451">
        <f t="shared" si="44"/>
        <v>2960353.2</v>
      </c>
      <c r="L81" s="285"/>
      <c r="N81" s="327" t="s">
        <v>387</v>
      </c>
      <c r="O81" s="451">
        <v>33870.019999999997</v>
      </c>
      <c r="P81" s="451">
        <v>0</v>
      </c>
      <c r="Q81" s="451">
        <v>0</v>
      </c>
      <c r="R81" s="451">
        <f t="shared" ref="R81:R91" si="65">SUM(O81:Q81)</f>
        <v>33870.019999999997</v>
      </c>
      <c r="S81" s="451">
        <v>2926483.18</v>
      </c>
      <c r="T81" s="451">
        <v>0</v>
      </c>
      <c r="U81" s="451">
        <f t="shared" si="46"/>
        <v>2926483.18</v>
      </c>
      <c r="V81" s="451">
        <v>0</v>
      </c>
      <c r="W81" s="410">
        <v>0</v>
      </c>
      <c r="X81" s="452">
        <f t="shared" si="47"/>
        <v>2960353.2</v>
      </c>
      <c r="Y81" s="197" t="b">
        <f t="shared" si="63"/>
        <v>1</v>
      </c>
      <c r="Z81" s="597">
        <f t="shared" si="64"/>
        <v>0</v>
      </c>
      <c r="AA81" s="192"/>
    </row>
    <row r="82" spans="1:27" ht="15">
      <c r="A82" s="190">
        <f t="shared" si="17"/>
        <v>66</v>
      </c>
      <c r="B82" s="327"/>
      <c r="C82" s="678" t="s">
        <v>423</v>
      </c>
      <c r="E82" s="854">
        <v>2118060</v>
      </c>
      <c r="F82" s="450">
        <v>0</v>
      </c>
      <c r="G82" s="450">
        <f t="shared" si="42"/>
        <v>2118060</v>
      </c>
      <c r="H82" s="451">
        <v>0</v>
      </c>
      <c r="I82" s="450">
        <f t="shared" si="43"/>
        <v>2118060</v>
      </c>
      <c r="J82" s="227">
        <v>1</v>
      </c>
      <c r="K82" s="451">
        <f t="shared" si="44"/>
        <v>2118060</v>
      </c>
      <c r="L82" s="285"/>
      <c r="N82" s="327" t="s">
        <v>443</v>
      </c>
      <c r="O82" s="450">
        <f>ROUND(+$K82*'[5]II-F Alloc_Factor'!E$26,2)</f>
        <v>712464.16</v>
      </c>
      <c r="P82" s="450">
        <f>ROUND(+$K82*'[5]II-F Alloc_Factor'!F$26,2)</f>
        <v>0</v>
      </c>
      <c r="Q82" s="450">
        <f>ROUND(+$K82*'[5]II-F Alloc_Factor'!G$26,2)</f>
        <v>0</v>
      </c>
      <c r="R82" s="451">
        <f t="shared" si="65"/>
        <v>712464.16</v>
      </c>
      <c r="S82" s="450">
        <f>ROUND(+$K82*'[5]II-F Alloc_Factor'!I$26,2)</f>
        <v>1405595.84</v>
      </c>
      <c r="T82" s="450">
        <f>ROUND(+$K82*'[5]II-F Alloc_Factor'!J$26,2)</f>
        <v>0</v>
      </c>
      <c r="U82" s="451">
        <f t="shared" si="46"/>
        <v>1405595.84</v>
      </c>
      <c r="V82" s="450">
        <f>ROUND(+$K82*'[5]II-F Alloc_Factor'!L$26,2)</f>
        <v>0</v>
      </c>
      <c r="W82" s="450">
        <f>ROUND(+$K82*'[5]II-F Alloc_Factor'!M$26,2)</f>
        <v>0</v>
      </c>
      <c r="X82" s="452">
        <f t="shared" si="47"/>
        <v>2118060</v>
      </c>
      <c r="Y82" s="197" t="b">
        <f t="shared" si="48"/>
        <v>1</v>
      </c>
      <c r="Z82" s="597">
        <f t="shared" si="49"/>
        <v>0</v>
      </c>
      <c r="AA82" s="192"/>
    </row>
    <row r="83" spans="1:27" ht="15">
      <c r="A83" s="190">
        <f t="shared" si="17"/>
        <v>67</v>
      </c>
      <c r="B83" s="327"/>
      <c r="C83" s="678" t="s">
        <v>341</v>
      </c>
      <c r="E83" s="854">
        <v>9038370.5500000007</v>
      </c>
      <c r="F83" s="450">
        <v>0</v>
      </c>
      <c r="G83" s="450">
        <f t="shared" si="42"/>
        <v>9038370.5500000007</v>
      </c>
      <c r="H83" s="451">
        <f>-G83</f>
        <v>-9038370.5500000007</v>
      </c>
      <c r="I83" s="450">
        <f t="shared" si="43"/>
        <v>0</v>
      </c>
      <c r="J83" s="227">
        <v>1</v>
      </c>
      <c r="K83" s="451">
        <f t="shared" si="44"/>
        <v>0</v>
      </c>
      <c r="L83" s="285"/>
      <c r="N83" s="327"/>
      <c r="O83" s="450">
        <v>0</v>
      </c>
      <c r="P83" s="450">
        <v>0</v>
      </c>
      <c r="Q83" s="450">
        <v>0</v>
      </c>
      <c r="R83" s="451">
        <f t="shared" si="65"/>
        <v>0</v>
      </c>
      <c r="S83" s="451">
        <v>0</v>
      </c>
      <c r="T83" s="451">
        <v>0</v>
      </c>
      <c r="U83" s="451">
        <f t="shared" si="46"/>
        <v>0</v>
      </c>
      <c r="V83" s="451">
        <v>0</v>
      </c>
      <c r="W83" s="410">
        <v>0</v>
      </c>
      <c r="X83" s="452">
        <f t="shared" si="47"/>
        <v>0</v>
      </c>
      <c r="Y83" s="197" t="b">
        <f t="shared" si="48"/>
        <v>1</v>
      </c>
      <c r="Z83" s="597">
        <f t="shared" si="49"/>
        <v>0</v>
      </c>
      <c r="AA83" s="192"/>
    </row>
    <row r="84" spans="1:27" ht="15">
      <c r="A84" s="190">
        <f t="shared" si="17"/>
        <v>68</v>
      </c>
      <c r="B84" s="330"/>
      <c r="C84" s="678" t="s">
        <v>398</v>
      </c>
      <c r="E84" s="854">
        <v>12874222.91</v>
      </c>
      <c r="F84" s="450">
        <v>0</v>
      </c>
      <c r="G84" s="450">
        <f t="shared" si="42"/>
        <v>12874222.91</v>
      </c>
      <c r="H84" s="451">
        <v>-1350855.37</v>
      </c>
      <c r="I84" s="450">
        <f t="shared" si="43"/>
        <v>11523367.539999999</v>
      </c>
      <c r="J84" s="227">
        <v>1</v>
      </c>
      <c r="K84" s="451">
        <f t="shared" si="44"/>
        <v>11523367.539999999</v>
      </c>
      <c r="L84" s="285"/>
      <c r="N84" s="327" t="s">
        <v>386</v>
      </c>
      <c r="O84" s="410">
        <f>ROUND($K84*'[5]II-F Alloc_Factor'!E$27,2)</f>
        <v>2405646.63</v>
      </c>
      <c r="P84" s="410">
        <f>ROUND($K84*'[5]II-F Alloc_Factor'!F$27,2)</f>
        <v>0</v>
      </c>
      <c r="Q84" s="410">
        <f>ROUND($K84*'[5]II-F Alloc_Factor'!G$27,2)</f>
        <v>0</v>
      </c>
      <c r="R84" s="410">
        <f>ROUND($K84*'[5]II-F Alloc_Factor'!H$27,2)</f>
        <v>2405646.63</v>
      </c>
      <c r="S84" s="410">
        <f>ROUND($K84*'[5]II-F Alloc_Factor'!I$27,2)</f>
        <v>6154205.2999999998</v>
      </c>
      <c r="T84" s="410">
        <f>ROUND($K84*'[5]II-F Alloc_Factor'!J$27,2)</f>
        <v>0</v>
      </c>
      <c r="U84" s="410">
        <f t="shared" si="46"/>
        <v>6154205.2999999998</v>
      </c>
      <c r="V84" s="410">
        <f>ROUND($K84*'[5]II-F Alloc_Factor'!L$27,2)</f>
        <v>2204839.0099999998</v>
      </c>
      <c r="W84" s="410">
        <f>ROUND($K84*'[5]II-F Alloc_Factor'!M$27,2)</f>
        <v>758676.6</v>
      </c>
      <c r="X84" s="452">
        <f t="shared" si="47"/>
        <v>11523367.539999999</v>
      </c>
      <c r="Y84" s="197" t="b">
        <f t="shared" si="48"/>
        <v>1</v>
      </c>
      <c r="Z84" s="597">
        <f t="shared" si="49"/>
        <v>0</v>
      </c>
      <c r="AA84" s="192"/>
    </row>
    <row r="85" spans="1:27" ht="15">
      <c r="A85" s="190">
        <f t="shared" si="17"/>
        <v>69</v>
      </c>
      <c r="B85" s="327"/>
      <c r="C85" s="678" t="s">
        <v>424</v>
      </c>
      <c r="E85" s="854">
        <v>143609775.58000001</v>
      </c>
      <c r="F85" s="450">
        <v>0</v>
      </c>
      <c r="G85" s="450">
        <f t="shared" si="42"/>
        <v>143609775.58000001</v>
      </c>
      <c r="H85" s="451">
        <v>0</v>
      </c>
      <c r="I85" s="450">
        <f t="shared" si="43"/>
        <v>143609775.58000001</v>
      </c>
      <c r="J85" s="227">
        <v>1</v>
      </c>
      <c r="K85" s="451">
        <f t="shared" si="44"/>
        <v>143609775.58000001</v>
      </c>
      <c r="L85" s="285"/>
      <c r="N85" s="327" t="s">
        <v>386</v>
      </c>
      <c r="O85" s="410">
        <f>ROUND($K85*'[5]II-F Alloc_Factor'!E$27,2)</f>
        <v>29980330.960000001</v>
      </c>
      <c r="P85" s="410">
        <f>ROUND($K85*'[5]II-F Alloc_Factor'!F$27,2)</f>
        <v>0</v>
      </c>
      <c r="Q85" s="410">
        <f>ROUND($K85*'[5]II-F Alloc_Factor'!G$27,2)</f>
        <v>0</v>
      </c>
      <c r="R85" s="410">
        <f>ROUND($K85*'[5]II-F Alloc_Factor'!H$27,2)</f>
        <v>29980330.960000001</v>
      </c>
      <c r="S85" s="410">
        <f>ROUND($K85*'[5]II-F Alloc_Factor'!I$27,2)</f>
        <v>76696680.840000004</v>
      </c>
      <c r="T85" s="410">
        <f>ROUND($K85*'[5]II-F Alloc_Factor'!J$27,2)</f>
        <v>0</v>
      </c>
      <c r="U85" s="410">
        <f t="shared" si="46"/>
        <v>76696680.840000004</v>
      </c>
      <c r="V85" s="410">
        <f>ROUND($K85*'[5]II-F Alloc_Factor'!L$27,2)</f>
        <v>27477769.32</v>
      </c>
      <c r="W85" s="410">
        <f>ROUND($K85*'[5]II-F Alloc_Factor'!M$27,2)</f>
        <v>9454994.4600000009</v>
      </c>
      <c r="X85" s="452">
        <f t="shared" si="47"/>
        <v>143609775.58000001</v>
      </c>
      <c r="Y85" s="197" t="b">
        <f t="shared" si="48"/>
        <v>1</v>
      </c>
      <c r="Z85" s="597">
        <f t="shared" si="49"/>
        <v>0</v>
      </c>
      <c r="AA85" s="192"/>
    </row>
    <row r="86" spans="1:27" ht="15">
      <c r="A86" s="190">
        <f t="shared" si="17"/>
        <v>70</v>
      </c>
      <c r="B86" s="327"/>
      <c r="C86" s="678" t="s">
        <v>425</v>
      </c>
      <c r="E86" s="854">
        <v>4772027.28</v>
      </c>
      <c r="F86" s="450">
        <v>0</v>
      </c>
      <c r="G86" s="450">
        <f t="shared" si="42"/>
        <v>4772027.28</v>
      </c>
      <c r="H86" s="461">
        <f>+H59</f>
        <v>-1766887.01</v>
      </c>
      <c r="I86" s="450">
        <f t="shared" si="43"/>
        <v>3005140.2700000005</v>
      </c>
      <c r="J86" s="227">
        <v>1</v>
      </c>
      <c r="K86" s="451">
        <f t="shared" si="44"/>
        <v>3005140.2700000005</v>
      </c>
      <c r="L86" s="285"/>
      <c r="N86" s="327" t="s">
        <v>386</v>
      </c>
      <c r="O86" s="410">
        <f>ROUND($K86*'[5]II-F Alloc_Factor'!E$27,2)</f>
        <v>627360.49</v>
      </c>
      <c r="P86" s="410">
        <f>ROUND($K86*'[5]II-F Alloc_Factor'!F$27,2)</f>
        <v>0</v>
      </c>
      <c r="Q86" s="410">
        <f>ROUND($K86*'[5]II-F Alloc_Factor'!G$27,2)</f>
        <v>0</v>
      </c>
      <c r="R86" s="410">
        <f>ROUND($K86*'[5]II-F Alloc_Factor'!H$27,2)</f>
        <v>627360.49</v>
      </c>
      <c r="S86" s="410">
        <f>ROUND($K86*'[5]II-F Alloc_Factor'!I$27,2)</f>
        <v>1604934.51</v>
      </c>
      <c r="T86" s="410">
        <f>ROUND($K86*'[5]II-F Alloc_Factor'!J$27,2)</f>
        <v>0</v>
      </c>
      <c r="U86" s="410">
        <f t="shared" si="46"/>
        <v>1604934.51</v>
      </c>
      <c r="V86" s="410">
        <f>ROUND($K86*'[5]II-F Alloc_Factor'!L$27,2)</f>
        <v>574992.55000000005</v>
      </c>
      <c r="W86" s="410">
        <f>ROUND($K86*'[5]II-F Alloc_Factor'!M$27,2)</f>
        <v>197852.72</v>
      </c>
      <c r="X86" s="452">
        <f t="shared" si="47"/>
        <v>3005140.27</v>
      </c>
      <c r="Y86" s="197" t="b">
        <f t="shared" si="48"/>
        <v>1</v>
      </c>
      <c r="Z86" s="597">
        <f t="shared" si="49"/>
        <v>0</v>
      </c>
      <c r="AA86" s="192"/>
    </row>
    <row r="87" spans="1:27" ht="15">
      <c r="A87" s="190">
        <f t="shared" si="17"/>
        <v>71</v>
      </c>
      <c r="B87" s="327"/>
      <c r="C87" s="678" t="s">
        <v>399</v>
      </c>
      <c r="E87" s="854">
        <v>13465264.48</v>
      </c>
      <c r="F87" s="450">
        <v>0</v>
      </c>
      <c r="G87" s="450">
        <f t="shared" si="42"/>
        <v>13465264.48</v>
      </c>
      <c r="H87" s="451">
        <v>0</v>
      </c>
      <c r="I87" s="450">
        <f t="shared" si="43"/>
        <v>13465264.48</v>
      </c>
      <c r="J87" s="227">
        <v>1</v>
      </c>
      <c r="K87" s="451">
        <f t="shared" si="44"/>
        <v>13465264.48</v>
      </c>
      <c r="L87" s="285"/>
      <c r="N87" s="327" t="s">
        <v>439</v>
      </c>
      <c r="O87" s="410">
        <f>ROUND($K87*'[5]II-F Alloc_Factor'!E$30,2)</f>
        <v>2835484.63</v>
      </c>
      <c r="P87" s="410">
        <f>ROUND($K87*'[5]II-F Alloc_Factor'!F$30,2)</f>
        <v>0</v>
      </c>
      <c r="Q87" s="410">
        <f>ROUND($K87*'[5]II-F Alloc_Factor'!G$30,2)</f>
        <v>0</v>
      </c>
      <c r="R87" s="410">
        <f>ROUND($K87*'[5]II-F Alloc_Factor'!H$30,2)</f>
        <v>2835484.63</v>
      </c>
      <c r="S87" s="410">
        <f>ROUND($K87*'[5]II-F Alloc_Factor'!I$30,2)</f>
        <v>6671737.1399999997</v>
      </c>
      <c r="T87" s="410">
        <f>ROUND($K87*'[5]II-F Alloc_Factor'!J$30,2)</f>
        <v>0</v>
      </c>
      <c r="U87" s="410">
        <f t="shared" si="46"/>
        <v>6671737.1399999997</v>
      </c>
      <c r="V87" s="410">
        <f>ROUND($K87*'[5]II-F Alloc_Factor'!L$30,2)</f>
        <v>1855317.68</v>
      </c>
      <c r="W87" s="410">
        <f>ROUND($K87*'[5]II-F Alloc_Factor'!M$30,2)</f>
        <v>2102725.0299999998</v>
      </c>
      <c r="X87" s="452">
        <f t="shared" si="47"/>
        <v>13465264.479999999</v>
      </c>
      <c r="Y87" s="197" t="b">
        <f t="shared" si="48"/>
        <v>1</v>
      </c>
      <c r="Z87" s="597">
        <f t="shared" si="49"/>
        <v>0</v>
      </c>
      <c r="AA87" s="192"/>
    </row>
    <row r="88" spans="1:27" ht="15">
      <c r="A88" s="190">
        <f t="shared" si="17"/>
        <v>72</v>
      </c>
      <c r="B88" s="327"/>
      <c r="C88" s="678" t="s">
        <v>959</v>
      </c>
      <c r="E88" s="854">
        <v>38969428.449999988</v>
      </c>
      <c r="F88" s="450">
        <v>0</v>
      </c>
      <c r="G88" s="450">
        <f t="shared" si="42"/>
        <v>38969428.449999988</v>
      </c>
      <c r="H88" s="451">
        <v>0</v>
      </c>
      <c r="I88" s="450">
        <f t="shared" si="43"/>
        <v>38969428.449999988</v>
      </c>
      <c r="J88" s="227">
        <v>1</v>
      </c>
      <c r="K88" s="451">
        <f t="shared" si="44"/>
        <v>38969428.449999988</v>
      </c>
      <c r="L88" s="285"/>
      <c r="N88" s="327" t="s">
        <v>386</v>
      </c>
      <c r="O88" s="410">
        <f>ROUND($K88*'[5]II-F Alloc_Factor'!E$27,2)</f>
        <v>8135354</v>
      </c>
      <c r="P88" s="410">
        <f>ROUND($K88*'[5]II-F Alloc_Factor'!F$27,2)</f>
        <v>0</v>
      </c>
      <c r="Q88" s="410">
        <f>ROUND($K88*'[5]II-F Alloc_Factor'!G$27,2)</f>
        <v>0</v>
      </c>
      <c r="R88" s="410">
        <f>ROUND($K88*'[5]II-F Alloc_Factor'!H$27,2)</f>
        <v>8135354</v>
      </c>
      <c r="S88" s="410">
        <f>ROUND($K88*'[5]II-F Alloc_Factor'!I$27,2)</f>
        <v>20812133.469999999</v>
      </c>
      <c r="T88" s="410">
        <f>ROUND($K88*'[5]II-F Alloc_Factor'!J$27,2)</f>
        <v>0</v>
      </c>
      <c r="U88" s="410">
        <f t="shared" si="46"/>
        <v>20812133.469999999</v>
      </c>
      <c r="V88" s="410">
        <f>ROUND($K88*'[5]II-F Alloc_Factor'!L$27,2)</f>
        <v>7456267.9400000004</v>
      </c>
      <c r="W88" s="410">
        <f>ROUND($K88*'[5]II-F Alloc_Factor'!M$27,2)</f>
        <v>2565673.04</v>
      </c>
      <c r="X88" s="452">
        <f t="shared" si="47"/>
        <v>38969428.449999996</v>
      </c>
      <c r="Y88" s="197" t="b">
        <f t="shared" si="48"/>
        <v>1</v>
      </c>
      <c r="Z88" s="597">
        <f t="shared" si="49"/>
        <v>0</v>
      </c>
      <c r="AA88" s="192"/>
    </row>
    <row r="89" spans="1:27" s="194" customFormat="1" ht="15">
      <c r="A89" s="190">
        <f t="shared" ref="A89:A91" si="66">+A88+1</f>
        <v>73</v>
      </c>
      <c r="B89" s="327"/>
      <c r="C89" s="678" t="s">
        <v>612</v>
      </c>
      <c r="D89" s="186"/>
      <c r="E89" s="854">
        <v>1277621.29</v>
      </c>
      <c r="F89" s="450">
        <v>0</v>
      </c>
      <c r="G89" s="450">
        <f t="shared" si="42"/>
        <v>1277621.29</v>
      </c>
      <c r="H89" s="451">
        <f>-G89</f>
        <v>-1277621.29</v>
      </c>
      <c r="I89" s="450">
        <f t="shared" si="43"/>
        <v>0</v>
      </c>
      <c r="J89" s="227">
        <v>1</v>
      </c>
      <c r="K89" s="451">
        <f t="shared" si="44"/>
        <v>0</v>
      </c>
      <c r="L89" s="285"/>
      <c r="N89" s="327"/>
      <c r="O89" s="451">
        <v>0</v>
      </c>
      <c r="P89" s="451">
        <v>0</v>
      </c>
      <c r="Q89" s="451">
        <v>0</v>
      </c>
      <c r="R89" s="451">
        <f t="shared" si="65"/>
        <v>0</v>
      </c>
      <c r="S89" s="451">
        <v>0</v>
      </c>
      <c r="T89" s="451">
        <v>0</v>
      </c>
      <c r="U89" s="451">
        <f t="shared" si="46"/>
        <v>0</v>
      </c>
      <c r="V89" s="451">
        <v>0</v>
      </c>
      <c r="W89" s="410">
        <v>0</v>
      </c>
      <c r="X89" s="452">
        <f t="shared" si="47"/>
        <v>0</v>
      </c>
      <c r="Y89" s="197" t="b">
        <f t="shared" si="48"/>
        <v>1</v>
      </c>
      <c r="Z89" s="597">
        <f t="shared" si="49"/>
        <v>0</v>
      </c>
    </row>
    <row r="90" spans="1:27" ht="15">
      <c r="A90" s="190">
        <f t="shared" si="66"/>
        <v>74</v>
      </c>
      <c r="B90" s="327"/>
      <c r="C90" s="678" t="s">
        <v>426</v>
      </c>
      <c r="E90" s="854">
        <v>-1451649.21</v>
      </c>
      <c r="F90" s="450">
        <v>0</v>
      </c>
      <c r="G90" s="450">
        <f t="shared" si="42"/>
        <v>-1451649.21</v>
      </c>
      <c r="H90" s="451">
        <v>0</v>
      </c>
      <c r="I90" s="450">
        <f t="shared" si="43"/>
        <v>-1451649.21</v>
      </c>
      <c r="J90" s="227">
        <v>1</v>
      </c>
      <c r="K90" s="451">
        <f t="shared" si="44"/>
        <v>-1451649.21</v>
      </c>
      <c r="L90" s="285"/>
      <c r="N90" s="327" t="s">
        <v>387</v>
      </c>
      <c r="O90" s="451">
        <v>0</v>
      </c>
      <c r="P90" s="451">
        <v>0</v>
      </c>
      <c r="Q90" s="451">
        <v>0</v>
      </c>
      <c r="R90" s="451">
        <f t="shared" si="65"/>
        <v>0</v>
      </c>
      <c r="S90" s="451">
        <f>+K90</f>
        <v>-1451649.21</v>
      </c>
      <c r="T90" s="451">
        <v>0</v>
      </c>
      <c r="U90" s="451">
        <f t="shared" si="46"/>
        <v>-1451649.21</v>
      </c>
      <c r="V90" s="451">
        <v>0</v>
      </c>
      <c r="W90" s="410">
        <v>0</v>
      </c>
      <c r="X90" s="452">
        <f t="shared" si="47"/>
        <v>-1451649.21</v>
      </c>
      <c r="Y90" s="197" t="b">
        <f t="shared" si="48"/>
        <v>1</v>
      </c>
      <c r="Z90" s="597">
        <f t="shared" si="49"/>
        <v>0</v>
      </c>
      <c r="AA90" s="192"/>
    </row>
    <row r="91" spans="1:27" ht="15">
      <c r="A91" s="190">
        <f t="shared" si="66"/>
        <v>75</v>
      </c>
      <c r="B91" s="330"/>
      <c r="C91" s="678" t="s">
        <v>613</v>
      </c>
      <c r="E91" s="854">
        <v>406007.75</v>
      </c>
      <c r="F91" s="450">
        <v>0</v>
      </c>
      <c r="G91" s="450">
        <f t="shared" si="42"/>
        <v>406007.75</v>
      </c>
      <c r="H91" s="451">
        <v>0</v>
      </c>
      <c r="I91" s="450">
        <f t="shared" si="43"/>
        <v>406007.75</v>
      </c>
      <c r="J91" s="227">
        <v>1</v>
      </c>
      <c r="K91" s="451">
        <f t="shared" si="44"/>
        <v>406007.75</v>
      </c>
      <c r="L91" s="285"/>
      <c r="N91" s="327" t="s">
        <v>387</v>
      </c>
      <c r="O91" s="451">
        <v>0</v>
      </c>
      <c r="P91" s="451">
        <f>+K91</f>
        <v>406007.75</v>
      </c>
      <c r="Q91" s="451">
        <v>0</v>
      </c>
      <c r="R91" s="451">
        <f t="shared" si="65"/>
        <v>406007.75</v>
      </c>
      <c r="S91" s="451">
        <v>0</v>
      </c>
      <c r="T91" s="451">
        <v>0</v>
      </c>
      <c r="U91" s="451">
        <f t="shared" si="46"/>
        <v>0</v>
      </c>
      <c r="V91" s="451">
        <v>0</v>
      </c>
      <c r="W91" s="410">
        <v>0</v>
      </c>
      <c r="X91" s="452">
        <f t="shared" si="47"/>
        <v>406007.75</v>
      </c>
      <c r="Y91" s="197" t="b">
        <f t="shared" si="48"/>
        <v>1</v>
      </c>
      <c r="Z91" s="597">
        <f t="shared" si="49"/>
        <v>0</v>
      </c>
      <c r="AA91" s="192"/>
    </row>
    <row r="92" spans="1:27" ht="15">
      <c r="A92" s="190">
        <f t="shared" ref="A92:A95" si="67">+A91+1</f>
        <v>76</v>
      </c>
      <c r="B92" s="330"/>
      <c r="C92" s="678" t="s">
        <v>846</v>
      </c>
      <c r="E92" s="854">
        <v>1438581.45</v>
      </c>
      <c r="F92" s="450">
        <v>0</v>
      </c>
      <c r="G92" s="450">
        <f t="shared" si="42"/>
        <v>1438581.45</v>
      </c>
      <c r="H92" s="451">
        <v>0</v>
      </c>
      <c r="I92" s="450">
        <f t="shared" si="43"/>
        <v>1438581.45</v>
      </c>
      <c r="J92" s="227">
        <v>1</v>
      </c>
      <c r="K92" s="451">
        <f t="shared" si="44"/>
        <v>1438581.45</v>
      </c>
      <c r="L92" s="285"/>
      <c r="N92" s="190" t="s">
        <v>684</v>
      </c>
      <c r="O92" s="410">
        <f>ROUND($K92*'[5]II-F Alloc_Factor'!E$38,2)</f>
        <v>653954.30000000005</v>
      </c>
      <c r="P92" s="410">
        <f>ROUND($K92*'[5]II-F Alloc_Factor'!F$38,2)</f>
        <v>0</v>
      </c>
      <c r="Q92" s="410">
        <f>ROUND($K92*'[5]II-F Alloc_Factor'!G$38,2)</f>
        <v>561.83000000000004</v>
      </c>
      <c r="R92" s="410">
        <f>ROUND($K92*'[5]II-F Alloc_Factor'!H$38,2)</f>
        <v>654516.13</v>
      </c>
      <c r="S92" s="410">
        <f>ROUND($K92*'[5]II-F Alloc_Factor'!I$38,2)</f>
        <v>746881.4</v>
      </c>
      <c r="T92" s="410">
        <f>ROUND($K92*'[5]II-F Alloc_Factor'!J$38,2)</f>
        <v>0</v>
      </c>
      <c r="U92" s="410">
        <f t="shared" si="46"/>
        <v>746881.4</v>
      </c>
      <c r="V92" s="410">
        <f>ROUND($K92*'[5]II-F Alloc_Factor'!L$38,2)</f>
        <v>22385.46</v>
      </c>
      <c r="W92" s="410">
        <f>+K92-O92-P92-Q92-S92-T92-V92</f>
        <v>14798.459999999926</v>
      </c>
      <c r="X92" s="452">
        <f t="shared" si="47"/>
        <v>1438581.45</v>
      </c>
      <c r="Y92" s="197" t="b">
        <f t="shared" ref="Y92" si="68">+K92=X92</f>
        <v>1</v>
      </c>
      <c r="Z92" s="597">
        <f t="shared" ref="Z92" si="69">+K92-X92</f>
        <v>0</v>
      </c>
      <c r="AA92" s="192"/>
    </row>
    <row r="93" spans="1:27" ht="15">
      <c r="A93" s="190">
        <f t="shared" si="67"/>
        <v>77</v>
      </c>
      <c r="B93" s="330"/>
      <c r="C93" s="192" t="s">
        <v>1059</v>
      </c>
      <c r="E93" s="854">
        <v>12974580.84</v>
      </c>
      <c r="F93" s="450">
        <v>0</v>
      </c>
      <c r="G93" s="450">
        <f t="shared" si="42"/>
        <v>12974580.84</v>
      </c>
      <c r="H93" s="451">
        <v>0</v>
      </c>
      <c r="I93" s="450">
        <f t="shared" si="43"/>
        <v>12974580.84</v>
      </c>
      <c r="J93" s="227">
        <v>1</v>
      </c>
      <c r="K93" s="451">
        <f t="shared" si="44"/>
        <v>12974580.84</v>
      </c>
      <c r="L93" s="285"/>
      <c r="N93" s="190" t="s">
        <v>684</v>
      </c>
      <c r="O93" s="410">
        <f>ROUND($K93*'[5]II-F Alloc_Factor'!E$38,2)</f>
        <v>5898020.5099999998</v>
      </c>
      <c r="P93" s="410">
        <f>ROUND($K93*'[5]II-F Alloc_Factor'!F$38,2)</f>
        <v>0</v>
      </c>
      <c r="Q93" s="410">
        <f>ROUND($K93*'[5]II-F Alloc_Factor'!G$38,2)</f>
        <v>5067.1400000000003</v>
      </c>
      <c r="R93" s="410">
        <f>ROUND($K93*'[5]II-F Alloc_Factor'!H$38,2)</f>
        <v>5903087.6500000004</v>
      </c>
      <c r="S93" s="410">
        <f>ROUND($K93*'[5]II-F Alloc_Factor'!I$38,2)</f>
        <v>6736130.9699999997</v>
      </c>
      <c r="T93" s="410">
        <f>ROUND($K93*'[5]II-F Alloc_Factor'!J$38,2)</f>
        <v>0</v>
      </c>
      <c r="U93" s="410">
        <f t="shared" si="46"/>
        <v>6736130.9699999997</v>
      </c>
      <c r="V93" s="410">
        <f>ROUND($K93*'[5]II-F Alloc_Factor'!L$38,2)</f>
        <v>201894.7</v>
      </c>
      <c r="W93" s="410">
        <f>+K93-O93-P93-Q93-S93-T93-V93</f>
        <v>133467.52000000066</v>
      </c>
      <c r="X93" s="452">
        <f t="shared" si="47"/>
        <v>12974580.84</v>
      </c>
      <c r="Y93" s="197" t="b">
        <f t="shared" ref="Y93" si="70">+K93=X93</f>
        <v>1</v>
      </c>
      <c r="Z93" s="597">
        <f t="shared" ref="Z93" si="71">+K93-X93</f>
        <v>0</v>
      </c>
      <c r="AA93" s="192"/>
    </row>
    <row r="94" spans="1:27" ht="15">
      <c r="A94" s="190">
        <f t="shared" si="67"/>
        <v>78</v>
      </c>
      <c r="B94" s="327"/>
      <c r="C94" s="678" t="s">
        <v>566</v>
      </c>
      <c r="E94" s="854">
        <v>275246531.94</v>
      </c>
      <c r="F94" s="450">
        <v>0</v>
      </c>
      <c r="G94" s="450">
        <f t="shared" si="42"/>
        <v>275246531.94</v>
      </c>
      <c r="H94" s="451">
        <f>-G94</f>
        <v>-275246531.94</v>
      </c>
      <c r="I94" s="450">
        <f t="shared" si="43"/>
        <v>0</v>
      </c>
      <c r="J94" s="227">
        <v>1</v>
      </c>
      <c r="K94" s="451">
        <f t="shared" si="44"/>
        <v>0</v>
      </c>
      <c r="L94" s="285"/>
      <c r="N94" s="327"/>
      <c r="O94" s="451">
        <v>0</v>
      </c>
      <c r="P94" s="451">
        <v>0</v>
      </c>
      <c r="Q94" s="451">
        <v>0</v>
      </c>
      <c r="R94" s="451">
        <f t="shared" si="50"/>
        <v>0</v>
      </c>
      <c r="S94" s="451">
        <v>0</v>
      </c>
      <c r="T94" s="451">
        <v>0</v>
      </c>
      <c r="U94" s="451">
        <f t="shared" si="46"/>
        <v>0</v>
      </c>
      <c r="V94" s="451">
        <v>0</v>
      </c>
      <c r="W94" s="410">
        <v>0</v>
      </c>
      <c r="X94" s="452">
        <f t="shared" si="47"/>
        <v>0</v>
      </c>
      <c r="Y94" s="197" t="b">
        <f t="shared" si="48"/>
        <v>1</v>
      </c>
      <c r="Z94" s="597">
        <f t="shared" si="49"/>
        <v>0</v>
      </c>
      <c r="AA94" s="192"/>
    </row>
    <row r="95" spans="1:27" ht="15">
      <c r="A95" s="190">
        <f t="shared" si="67"/>
        <v>79</v>
      </c>
      <c r="B95" s="327"/>
      <c r="C95" s="678" t="s">
        <v>567</v>
      </c>
      <c r="E95" s="854">
        <v>542395.86</v>
      </c>
      <c r="F95" s="450">
        <v>0</v>
      </c>
      <c r="G95" s="450">
        <f t="shared" si="42"/>
        <v>542395.86</v>
      </c>
      <c r="H95" s="451">
        <f>-G95</f>
        <v>-542395.86</v>
      </c>
      <c r="I95" s="450">
        <f t="shared" si="43"/>
        <v>0</v>
      </c>
      <c r="J95" s="227">
        <v>1</v>
      </c>
      <c r="K95" s="451">
        <f t="shared" si="44"/>
        <v>0</v>
      </c>
      <c r="L95" s="285"/>
      <c r="N95" s="328"/>
      <c r="O95" s="451">
        <v>0</v>
      </c>
      <c r="P95" s="451">
        <v>0</v>
      </c>
      <c r="Q95" s="451">
        <v>0</v>
      </c>
      <c r="R95" s="451">
        <f t="shared" si="50"/>
        <v>0</v>
      </c>
      <c r="S95" s="451">
        <v>0</v>
      </c>
      <c r="T95" s="451">
        <v>0</v>
      </c>
      <c r="U95" s="451">
        <f t="shared" si="46"/>
        <v>0</v>
      </c>
      <c r="V95" s="451">
        <v>0</v>
      </c>
      <c r="W95" s="410">
        <v>0</v>
      </c>
      <c r="X95" s="452">
        <f t="shared" si="47"/>
        <v>0</v>
      </c>
      <c r="Y95" s="197" t="b">
        <f t="shared" si="48"/>
        <v>1</v>
      </c>
      <c r="Z95" s="597">
        <f t="shared" si="49"/>
        <v>0</v>
      </c>
      <c r="AA95" s="192"/>
    </row>
    <row r="96" spans="1:27">
      <c r="A96" s="190">
        <f t="shared" ref="A96:A98" si="72">+A95+1</f>
        <v>80</v>
      </c>
      <c r="B96" s="186"/>
      <c r="C96" s="194" t="s">
        <v>999</v>
      </c>
      <c r="E96" s="453">
        <f>SUM(E65:E95)</f>
        <v>661220374.25999999</v>
      </c>
      <c r="F96" s="453">
        <f>SUM(F65:F95)</f>
        <v>0</v>
      </c>
      <c r="G96" s="453">
        <f>SUM(G65:G95)</f>
        <v>661220374.25999999</v>
      </c>
      <c r="H96" s="453">
        <f>SUM(H65:H95)</f>
        <v>-334120348.82099998</v>
      </c>
      <c r="I96" s="453">
        <f>SUM(I65:I95)</f>
        <v>327100025.43900001</v>
      </c>
      <c r="J96" s="334"/>
      <c r="K96" s="453">
        <f>SUM(K65:K95)</f>
        <v>327100025.43900001</v>
      </c>
      <c r="L96" s="329"/>
      <c r="N96" s="328"/>
      <c r="O96" s="453">
        <f t="shared" ref="O96:X96" si="73">SUM(O65:O95)</f>
        <v>77993160.870000005</v>
      </c>
      <c r="P96" s="453">
        <f t="shared" si="73"/>
        <v>406007.75</v>
      </c>
      <c r="Q96" s="453">
        <f t="shared" si="73"/>
        <v>22786.400000000001</v>
      </c>
      <c r="R96" s="453">
        <f t="shared" si="73"/>
        <v>78421955.010000005</v>
      </c>
      <c r="S96" s="453">
        <f t="shared" si="73"/>
        <v>185824706.43899995</v>
      </c>
      <c r="T96" s="453">
        <f t="shared" si="73"/>
        <v>0</v>
      </c>
      <c r="U96" s="453">
        <f t="shared" si="73"/>
        <v>185824706.43899995</v>
      </c>
      <c r="V96" s="453">
        <f t="shared" si="73"/>
        <v>46229457.119999997</v>
      </c>
      <c r="W96" s="453">
        <f t="shared" si="73"/>
        <v>16623906.859999999</v>
      </c>
      <c r="X96" s="453">
        <f t="shared" si="73"/>
        <v>327100025.43900001</v>
      </c>
      <c r="Y96" s="197" t="b">
        <f t="shared" ref="Y96" si="74">+K96=X96</f>
        <v>1</v>
      </c>
      <c r="Z96" s="597">
        <f t="shared" si="49"/>
        <v>0</v>
      </c>
      <c r="AA96" s="192"/>
    </row>
    <row r="97" spans="1:27">
      <c r="A97" s="190">
        <f t="shared" si="72"/>
        <v>81</v>
      </c>
      <c r="F97" s="285"/>
      <c r="H97" s="285"/>
      <c r="N97" s="328"/>
      <c r="AA97" s="192"/>
    </row>
    <row r="98" spans="1:27">
      <c r="A98" s="190">
        <f t="shared" si="72"/>
        <v>82</v>
      </c>
      <c r="B98" s="186"/>
      <c r="C98" s="194" t="s">
        <v>996</v>
      </c>
      <c r="E98" s="453">
        <f>ROUND(-E96+E62,2)</f>
        <v>2551880640.0300002</v>
      </c>
      <c r="F98" s="453">
        <f>ROUND(-F96+F62,2)</f>
        <v>0</v>
      </c>
      <c r="G98" s="453">
        <f>ROUND(-G96+G62,2)</f>
        <v>2551880640.0300002</v>
      </c>
      <c r="H98" s="453">
        <f>ROUND(-H96+H62,2)</f>
        <v>217513681.38</v>
      </c>
      <c r="I98" s="453">
        <f>ROUND(-I96+I62,2)</f>
        <v>2769394321.4099998</v>
      </c>
      <c r="J98" s="334"/>
      <c r="K98" s="453">
        <f>ROUND(-K96+K62,2)</f>
        <v>2769394321.4099998</v>
      </c>
      <c r="L98" s="329"/>
      <c r="O98" s="453">
        <f t="shared" ref="O98:X98" si="75">ROUND(-O96+O62,2)</f>
        <v>1106355572.98</v>
      </c>
      <c r="P98" s="453">
        <f t="shared" si="75"/>
        <v>151650766.90000001</v>
      </c>
      <c r="Q98" s="453">
        <f t="shared" si="75"/>
        <v>949894.97</v>
      </c>
      <c r="R98" s="453">
        <f t="shared" si="75"/>
        <v>1258956234.8599999</v>
      </c>
      <c r="S98" s="453">
        <f t="shared" si="75"/>
        <v>1434321915.47</v>
      </c>
      <c r="T98" s="453">
        <f t="shared" si="75"/>
        <v>12113322.48</v>
      </c>
      <c r="U98" s="453">
        <f t="shared" si="75"/>
        <v>1446435237.9400001</v>
      </c>
      <c r="V98" s="453">
        <f t="shared" si="75"/>
        <v>11971648.140000001</v>
      </c>
      <c r="W98" s="453">
        <f t="shared" si="75"/>
        <v>52031200.460000001</v>
      </c>
      <c r="X98" s="748">
        <f t="shared" si="75"/>
        <v>2769394321.4099998</v>
      </c>
      <c r="Y98" s="197" t="b">
        <f t="shared" ref="Y98" si="76">+K98=X98</f>
        <v>1</v>
      </c>
      <c r="Z98" s="597">
        <f t="shared" ref="Z98" si="77">+K98-X98</f>
        <v>0</v>
      </c>
      <c r="AA98" s="192"/>
    </row>
    <row r="99" spans="1:27">
      <c r="F99" s="285"/>
      <c r="AA99" s="192"/>
    </row>
    <row r="100" spans="1:27" s="317" customFormat="1">
      <c r="C100" s="317" t="s">
        <v>405</v>
      </c>
      <c r="E100" s="359">
        <f>-2551880640.03+E98</f>
        <v>0</v>
      </c>
      <c r="F100" s="359"/>
      <c r="G100" s="359"/>
      <c r="H100" s="359"/>
      <c r="I100" s="359"/>
      <c r="Y100" s="357"/>
      <c r="Z100" s="357"/>
    </row>
    <row r="101" spans="1:27" s="317" customFormat="1">
      <c r="Y101" s="357"/>
      <c r="Z101" s="357"/>
    </row>
    <row r="102" spans="1:27" s="317" customFormat="1">
      <c r="Y102" s="357"/>
      <c r="Z102" s="357"/>
    </row>
    <row r="103" spans="1:27" s="317" customFormat="1">
      <c r="C103" s="357" t="s">
        <v>444</v>
      </c>
      <c r="D103" s="357"/>
      <c r="E103" s="358"/>
      <c r="F103" s="358"/>
      <c r="G103" s="357"/>
      <c r="H103" s="359">
        <f>H18+H19+H20+H60-(+H65+H94+H95)</f>
        <v>210212605.91999999</v>
      </c>
      <c r="I103" s="359"/>
      <c r="J103" s="357"/>
      <c r="K103" s="335"/>
      <c r="Y103" s="357"/>
      <c r="Z103" s="357"/>
    </row>
    <row r="104" spans="1:27" s="317" customFormat="1">
      <c r="C104" s="357"/>
      <c r="D104" s="357"/>
      <c r="E104" s="358"/>
      <c r="F104" s="547"/>
      <c r="G104" s="358"/>
      <c r="H104" s="198"/>
      <c r="I104" s="359"/>
      <c r="J104" s="357"/>
      <c r="K104" s="336"/>
      <c r="Y104" s="357"/>
      <c r="Z104" s="357"/>
    </row>
    <row r="105" spans="1:27" s="317" customFormat="1">
      <c r="C105" s="357">
        <v>1823001</v>
      </c>
      <c r="D105" s="357"/>
      <c r="E105" s="357"/>
      <c r="F105" s="548"/>
      <c r="G105" s="358"/>
      <c r="H105" s="358">
        <f>+'[6]II-B-12'!H81</f>
        <v>-43566659.75</v>
      </c>
      <c r="I105" s="358"/>
      <c r="J105" s="367"/>
      <c r="Y105" s="357"/>
      <c r="Z105" s="357"/>
    </row>
    <row r="106" spans="1:27" s="317" customFormat="1">
      <c r="C106" s="357">
        <v>1823002</v>
      </c>
      <c r="D106" s="357"/>
      <c r="E106" s="357"/>
      <c r="F106" s="357"/>
      <c r="G106" s="358"/>
      <c r="H106" s="358">
        <f>+'[6]II-B-12'!H82</f>
        <v>-8476771.2699999996</v>
      </c>
      <c r="I106" s="367"/>
      <c r="J106" s="367"/>
      <c r="Y106" s="357"/>
      <c r="Z106" s="357"/>
    </row>
    <row r="107" spans="1:27" s="317" customFormat="1">
      <c r="C107" s="357">
        <v>1823006</v>
      </c>
      <c r="H107" s="358">
        <f>+'[6]II-B-12'!$H$84</f>
        <v>-13532890.859999999</v>
      </c>
      <c r="I107" s="388"/>
      <c r="J107" s="357"/>
      <c r="Y107" s="357"/>
      <c r="Z107" s="357"/>
    </row>
    <row r="108" spans="1:27" s="317" customFormat="1">
      <c r="C108" s="357">
        <v>2540001</v>
      </c>
      <c r="D108" s="357"/>
      <c r="E108" s="357"/>
      <c r="F108" s="357"/>
      <c r="G108" s="358"/>
      <c r="H108" s="358">
        <f>+'[6]II-B-12'!$H$88</f>
        <v>542395.86</v>
      </c>
      <c r="I108" s="360"/>
      <c r="J108" s="357"/>
      <c r="Y108" s="357"/>
      <c r="Z108" s="357"/>
    </row>
    <row r="109" spans="1:27" s="317" customFormat="1">
      <c r="C109" s="357">
        <v>2540004</v>
      </c>
      <c r="H109" s="358">
        <f>+'[6]II-B-12'!$H$90</f>
        <v>13219690.810000001</v>
      </c>
      <c r="I109" s="357"/>
      <c r="J109" s="357"/>
      <c r="Y109" s="357"/>
      <c r="Z109" s="357"/>
    </row>
    <row r="110" spans="1:27" s="317" customFormat="1">
      <c r="C110" s="357">
        <v>2541002</v>
      </c>
      <c r="D110" s="357"/>
      <c r="E110" s="358"/>
      <c r="F110" s="357"/>
      <c r="G110" s="358"/>
      <c r="H110" s="358">
        <f>+'[6]II-B-12'!$H$92</f>
        <v>266566197.09999999</v>
      </c>
      <c r="Y110" s="357"/>
      <c r="Z110" s="357"/>
    </row>
    <row r="111" spans="1:27" s="317" customFormat="1">
      <c r="C111" s="357">
        <v>2541006</v>
      </c>
      <c r="H111" s="358">
        <f>+'[6]II-B-12'!$H$95</f>
        <v>-4539355.9800000004</v>
      </c>
      <c r="Y111" s="357"/>
      <c r="Z111" s="357"/>
      <c r="AA111" s="316"/>
    </row>
    <row r="112" spans="1:27" s="317" customFormat="1">
      <c r="C112" s="357"/>
      <c r="D112" s="357"/>
      <c r="E112" s="358"/>
      <c r="F112" s="357"/>
      <c r="G112" s="358"/>
      <c r="H112" s="361">
        <f>SUM(H105:H111)</f>
        <v>210212605.91</v>
      </c>
      <c r="Y112" s="357"/>
      <c r="Z112" s="357"/>
      <c r="AA112" s="316"/>
    </row>
    <row r="113" spans="1:27" s="317" customFormat="1">
      <c r="E113" s="316"/>
      <c r="F113" s="316"/>
      <c r="G113" s="316"/>
      <c r="H113" s="193"/>
      <c r="Y113" s="357"/>
      <c r="Z113" s="357"/>
      <c r="AA113" s="316"/>
    </row>
    <row r="114" spans="1:27" s="317" customFormat="1">
      <c r="E114" s="316"/>
      <c r="F114" s="316"/>
      <c r="G114" s="316"/>
      <c r="H114" s="193"/>
      <c r="Y114" s="357"/>
      <c r="Z114" s="357"/>
      <c r="AA114" s="192"/>
    </row>
    <row r="115" spans="1:27">
      <c r="A115" s="192"/>
      <c r="D115" s="192"/>
      <c r="F115" s="192"/>
      <c r="G115" s="192" t="s">
        <v>876</v>
      </c>
      <c r="H115" s="193">
        <f>+H98-H112</f>
        <v>7301075.4699999988</v>
      </c>
      <c r="I115" s="285"/>
      <c r="J115" s="192"/>
      <c r="AA115" s="192"/>
    </row>
    <row r="116" spans="1:27">
      <c r="A116" s="192"/>
      <c r="D116" s="192"/>
      <c r="E116" s="193"/>
      <c r="F116" s="192"/>
      <c r="G116" s="192"/>
      <c r="H116" s="193"/>
      <c r="I116" s="285"/>
      <c r="J116" s="192"/>
      <c r="AA116" s="192"/>
    </row>
    <row r="117" spans="1:27">
      <c r="A117" s="192"/>
      <c r="D117" s="192"/>
      <c r="E117" s="285"/>
      <c r="F117" s="192"/>
      <c r="G117" s="192"/>
      <c r="H117" s="285"/>
      <c r="I117" s="285"/>
      <c r="J117" s="192"/>
      <c r="AA117" s="192"/>
    </row>
    <row r="118" spans="1:27">
      <c r="A118" s="192"/>
      <c r="D118" s="192"/>
      <c r="E118" s="192"/>
      <c r="F118" s="192"/>
      <c r="G118" s="192"/>
      <c r="H118" s="193"/>
      <c r="I118" s="192"/>
      <c r="J118" s="192"/>
      <c r="AA118" s="192"/>
    </row>
    <row r="119" spans="1:27">
      <c r="A119" s="192"/>
      <c r="D119" s="192"/>
      <c r="E119" s="192"/>
      <c r="F119" s="192"/>
      <c r="G119" s="192"/>
      <c r="H119" s="193"/>
      <c r="I119" s="192"/>
      <c r="J119" s="192"/>
      <c r="AA119" s="192"/>
    </row>
    <row r="120" spans="1:27">
      <c r="A120" s="192"/>
      <c r="D120" s="192"/>
      <c r="E120" s="192"/>
      <c r="F120" s="192"/>
      <c r="G120" s="192"/>
      <c r="H120" s="193"/>
      <c r="I120" s="192"/>
      <c r="J120" s="192"/>
      <c r="AA120" s="192"/>
    </row>
    <row r="121" spans="1:27">
      <c r="A121" s="192"/>
      <c r="D121" s="192"/>
      <c r="E121" s="192"/>
      <c r="F121" s="192"/>
      <c r="G121" s="192"/>
      <c r="H121" s="193"/>
      <c r="I121" s="192"/>
      <c r="J121" s="192"/>
      <c r="AA121" s="192"/>
    </row>
    <row r="122" spans="1:27">
      <c r="A122" s="192"/>
      <c r="D122" s="192"/>
      <c r="E122" s="192"/>
      <c r="F122" s="192"/>
      <c r="G122" s="192"/>
      <c r="H122" s="193"/>
      <c r="I122" s="192"/>
      <c r="J122" s="192"/>
      <c r="AA122" s="192"/>
    </row>
    <row r="123" spans="1:27">
      <c r="A123" s="192"/>
      <c r="D123" s="192"/>
      <c r="E123" s="192"/>
      <c r="F123" s="192"/>
      <c r="G123" s="192"/>
      <c r="H123" s="193"/>
      <c r="I123" s="192"/>
      <c r="J123" s="192"/>
      <c r="AA123" s="192"/>
    </row>
    <row r="124" spans="1:27">
      <c r="A124" s="192"/>
      <c r="D124" s="192"/>
      <c r="E124" s="192"/>
      <c r="F124" s="192"/>
      <c r="G124" s="192"/>
      <c r="H124" s="193"/>
      <c r="I124" s="192"/>
      <c r="J124" s="192"/>
      <c r="AA124" s="192"/>
    </row>
    <row r="125" spans="1:27">
      <c r="A125" s="192"/>
      <c r="D125" s="192"/>
      <c r="E125" s="192"/>
      <c r="F125" s="192"/>
      <c r="G125" s="192"/>
      <c r="H125" s="193"/>
      <c r="I125" s="192"/>
      <c r="J125" s="192"/>
      <c r="AA125" s="192"/>
    </row>
    <row r="126" spans="1:27">
      <c r="A126" s="192"/>
      <c r="D126" s="192"/>
      <c r="E126" s="192"/>
      <c r="F126" s="192"/>
      <c r="G126" s="192"/>
      <c r="H126" s="193"/>
      <c r="I126" s="192"/>
      <c r="J126" s="192"/>
      <c r="AA126" s="192"/>
    </row>
    <row r="127" spans="1:27">
      <c r="A127" s="192"/>
      <c r="D127" s="192"/>
      <c r="E127" s="192"/>
      <c r="F127" s="192"/>
      <c r="G127" s="192"/>
      <c r="H127" s="193"/>
      <c r="I127" s="192"/>
      <c r="J127" s="192"/>
      <c r="AA127" s="192"/>
    </row>
    <row r="128" spans="1:27">
      <c r="A128" s="192"/>
      <c r="D128" s="192"/>
      <c r="E128" s="192"/>
      <c r="F128" s="192"/>
      <c r="G128" s="192"/>
      <c r="H128" s="193"/>
      <c r="I128" s="192"/>
      <c r="J128" s="192"/>
      <c r="AA128" s="192"/>
    </row>
    <row r="129" spans="8:26" s="192" customFormat="1">
      <c r="H129" s="451"/>
      <c r="Y129" s="197"/>
      <c r="Z129" s="197"/>
    </row>
    <row r="130" spans="8:26" s="192" customFormat="1">
      <c r="H130" s="451"/>
      <c r="Y130" s="197"/>
      <c r="Z130" s="197"/>
    </row>
  </sheetData>
  <phoneticPr fontId="0" type="noConversion"/>
  <printOptions horizontalCentered="1"/>
  <pageMargins left="0.5" right="0.5" top="3" bottom="0.5" header="1.5" footer="0.5"/>
  <pageSetup scale="45" fitToWidth="2" fitToHeight="0" pageOrder="overThenDown" orientation="landscape"/>
  <headerFooter alignWithMargins="0">
    <oddHeader>&amp;R&amp;"Arial,Bold"Schedule &amp;A
Page &amp;P of &amp;N&amp;C&amp;B
2025 RATE CASE
ONCOR ELECTRIC DELIVERY COMPANY LLC
II-E-3.5  ADFIT
TEST YEAR ENDING DECEMBER 31, 2024
SPONSOR: B. L. CLUTTER</oddHeader>
  </headerFooter>
  <rowBreaks count="2" manualBreakCount="2">
    <brk id="36" max="16383" man="1"/>
    <brk id="63" max="23" man="1"/>
  </rowBreaks>
  <colBreaks count="1" manualBreakCount="1">
    <brk id="10" min="9" max="94" man="1"/>
  </colBreak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EH91"/>
  <sheetViews>
    <sheetView zoomScale="70" zoomScaleNormal="70" workbookViewId="0">
      <pane xSplit="3" ySplit="12" topLeftCell="DT13" activePane="bottomRight" state="frozen"/>
      <selection activeCell="E19" sqref="E19"/>
      <selection pane="topRight" activeCell="E19" sqref="E19"/>
      <selection pane="bottomLeft" activeCell="E19" sqref="E19"/>
      <selection pane="bottomRight" activeCell="C35" sqref="C35"/>
    </sheetView>
  </sheetViews>
  <sheetFormatPr defaultRowHeight="12.75"/>
  <cols>
    <col min="1" max="1" width="7.85546875" customWidth="1"/>
    <col min="2" max="2" width="44.7109375" bestFit="1" customWidth="1"/>
    <col min="3" max="3" width="21.28515625" style="179" bestFit="1" customWidth="1"/>
    <col min="4" max="5" width="17" style="179" bestFit="1" customWidth="1"/>
    <col min="6" max="6" width="15.28515625" style="179" bestFit="1" customWidth="1"/>
    <col min="7" max="7" width="13" style="179" bestFit="1" customWidth="1"/>
    <col min="8" max="9" width="17" style="179" bestFit="1" customWidth="1"/>
    <col min="10" max="10" width="13.5703125" style="179" bestFit="1" customWidth="1"/>
    <col min="11" max="11" width="17" style="179" bestFit="1" customWidth="1"/>
    <col min="12" max="13" width="14.28515625" style="179" bestFit="1" customWidth="1"/>
    <col min="14" max="14" width="1.5703125" style="181" customWidth="1"/>
    <col min="15" max="16" width="17" style="179" bestFit="1" customWidth="1"/>
    <col min="17" max="17" width="15.28515625" style="179" bestFit="1" customWidth="1"/>
    <col min="18" max="18" width="13" style="179" bestFit="1" customWidth="1"/>
    <col min="19" max="20" width="17" style="179" bestFit="1" customWidth="1"/>
    <col min="21" max="21" width="14.28515625" style="179" bestFit="1" customWidth="1"/>
    <col min="22" max="22" width="17" style="179" bestFit="1" customWidth="1"/>
    <col min="23" max="24" width="14.28515625" style="179" bestFit="1" customWidth="1"/>
    <col min="25" max="25" width="1.5703125" style="179" customWidth="1"/>
    <col min="26" max="26" width="17" style="179" bestFit="1" customWidth="1"/>
    <col min="27" max="27" width="15.85546875" style="179" bestFit="1" customWidth="1"/>
    <col min="28" max="28" width="15.28515625" style="179" bestFit="1" customWidth="1"/>
    <col min="29" max="29" width="13" style="179" bestFit="1" customWidth="1"/>
    <col min="30" max="31" width="17" style="179" bestFit="1" customWidth="1"/>
    <col min="32" max="32" width="14.28515625" style="179" bestFit="1" customWidth="1"/>
    <col min="33" max="33" width="17" style="179" bestFit="1" customWidth="1"/>
    <col min="34" max="35" width="14.28515625" style="179" bestFit="1" customWidth="1"/>
    <col min="36" max="36" width="1.5703125" style="179" customWidth="1"/>
    <col min="37" max="37" width="17" style="179" bestFit="1" customWidth="1"/>
    <col min="38" max="38" width="15.85546875" style="179" bestFit="1" customWidth="1"/>
    <col min="39" max="39" width="15.28515625" style="179" bestFit="1" customWidth="1"/>
    <col min="40" max="40" width="13" style="179" bestFit="1" customWidth="1"/>
    <col min="41" max="42" width="17" style="179" bestFit="1" customWidth="1"/>
    <col min="43" max="43" width="14.28515625" style="179" bestFit="1" customWidth="1"/>
    <col min="44" max="44" width="17" style="179" bestFit="1" customWidth="1"/>
    <col min="45" max="46" width="14.28515625" style="179" bestFit="1" customWidth="1"/>
    <col min="47" max="47" width="1.5703125" style="179" customWidth="1"/>
    <col min="48" max="48" width="17" style="179" bestFit="1" customWidth="1"/>
    <col min="49" max="49" width="15.85546875" style="179" bestFit="1" customWidth="1"/>
    <col min="50" max="50" width="15.28515625" style="179" bestFit="1" customWidth="1"/>
    <col min="51" max="51" width="13" style="179" bestFit="1" customWidth="1"/>
    <col min="52" max="53" width="17" style="179" bestFit="1" customWidth="1"/>
    <col min="54" max="54" width="14.28515625" style="179" bestFit="1" customWidth="1"/>
    <col min="55" max="55" width="17" style="179" bestFit="1" customWidth="1"/>
    <col min="56" max="57" width="14.28515625" style="179" bestFit="1" customWidth="1"/>
    <col min="58" max="58" width="1.5703125" style="179" customWidth="1"/>
    <col min="59" max="60" width="17" style="179" bestFit="1" customWidth="1"/>
    <col min="61" max="61" width="15.28515625" style="179" bestFit="1" customWidth="1"/>
    <col min="62" max="62" width="13" style="179" bestFit="1" customWidth="1"/>
    <col min="63" max="64" width="17" style="179" bestFit="1" customWidth="1"/>
    <col min="65" max="65" width="14.28515625" style="179" bestFit="1" customWidth="1"/>
    <col min="66" max="66" width="17" style="179" bestFit="1" customWidth="1"/>
    <col min="67" max="68" width="14.28515625" style="179" bestFit="1" customWidth="1"/>
    <col min="69" max="69" width="1.5703125" style="179" customWidth="1"/>
    <col min="70" max="71" width="17" style="179" bestFit="1" customWidth="1"/>
    <col min="72" max="72" width="15.28515625" style="179" bestFit="1" customWidth="1"/>
    <col min="73" max="73" width="13" style="179" bestFit="1" customWidth="1"/>
    <col min="74" max="75" width="17" style="179" bestFit="1" customWidth="1"/>
    <col min="76" max="76" width="14.28515625" style="179" bestFit="1" customWidth="1"/>
    <col min="77" max="77" width="17" style="179" bestFit="1" customWidth="1"/>
    <col min="78" max="79" width="14.28515625" style="179" bestFit="1" customWidth="1"/>
    <col min="80" max="80" width="1.5703125" style="179" customWidth="1"/>
    <col min="81" max="82" width="17" style="179" bestFit="1" customWidth="1"/>
    <col min="83" max="83" width="15.28515625" style="179" bestFit="1" customWidth="1"/>
    <col min="84" max="84" width="13" style="179" bestFit="1" customWidth="1"/>
    <col min="85" max="86" width="17" style="179" bestFit="1" customWidth="1"/>
    <col min="87" max="87" width="14.28515625" style="179" bestFit="1" customWidth="1"/>
    <col min="88" max="88" width="17" style="179" bestFit="1" customWidth="1"/>
    <col min="89" max="90" width="14.28515625" style="179" bestFit="1" customWidth="1"/>
    <col min="91" max="91" width="1.5703125" style="179" customWidth="1"/>
    <col min="92" max="93" width="17" style="179" bestFit="1" customWidth="1"/>
    <col min="94" max="94" width="15.28515625" style="179" bestFit="1" customWidth="1"/>
    <col min="95" max="95" width="13" style="179" bestFit="1" customWidth="1"/>
    <col min="96" max="97" width="17" style="179" bestFit="1" customWidth="1"/>
    <col min="98" max="98" width="14.28515625" style="179" bestFit="1" customWidth="1"/>
    <col min="99" max="99" width="17" style="179" bestFit="1" customWidth="1"/>
    <col min="100" max="101" width="14.28515625" style="179" bestFit="1" customWidth="1"/>
    <col min="102" max="102" width="1.5703125" style="179" customWidth="1"/>
    <col min="103" max="104" width="17" style="179" bestFit="1" customWidth="1"/>
    <col min="105" max="105" width="15.28515625" style="179" bestFit="1" customWidth="1"/>
    <col min="106" max="106" width="13" style="179" bestFit="1" customWidth="1"/>
    <col min="107" max="108" width="17" style="179" bestFit="1" customWidth="1"/>
    <col min="109" max="109" width="14.28515625" style="179" bestFit="1" customWidth="1"/>
    <col min="110" max="110" width="17" style="179" bestFit="1" customWidth="1"/>
    <col min="111" max="112" width="14.28515625" style="179" bestFit="1" customWidth="1"/>
    <col min="113" max="113" width="1.5703125" style="179" customWidth="1"/>
    <col min="114" max="115" width="17" style="179" bestFit="1" customWidth="1"/>
    <col min="116" max="116" width="15.28515625" style="179" bestFit="1" customWidth="1"/>
    <col min="117" max="117" width="13" style="179" bestFit="1" customWidth="1"/>
    <col min="118" max="119" width="17" style="179" bestFit="1" customWidth="1"/>
    <col min="120" max="120" width="14.28515625" style="179" bestFit="1" customWidth="1"/>
    <col min="121" max="121" width="17" style="179" bestFit="1" customWidth="1"/>
    <col min="122" max="123" width="14.28515625" style="179" bestFit="1" customWidth="1"/>
    <col min="124" max="124" width="1.5703125" style="179" customWidth="1"/>
    <col min="125" max="126" width="17" style="179" bestFit="1" customWidth="1"/>
    <col min="127" max="127" width="15.28515625" style="179" bestFit="1" customWidth="1"/>
    <col min="128" max="128" width="13" style="179" bestFit="1" customWidth="1"/>
    <col min="129" max="130" width="17" style="179" bestFit="1" customWidth="1"/>
    <col min="131" max="131" width="14.28515625" style="179" bestFit="1" customWidth="1"/>
    <col min="132" max="132" width="17" style="179" bestFit="1" customWidth="1"/>
    <col min="133" max="134" width="14.28515625" style="179" bestFit="1" customWidth="1"/>
    <col min="135" max="136" width="9.28515625" bestFit="1" customWidth="1"/>
    <col min="138" max="138" width="16.42578125" style="366" bestFit="1" customWidth="1"/>
  </cols>
  <sheetData>
    <row r="1" spans="1:136" s="192" customFormat="1">
      <c r="A1" s="196" t="str">
        <f>+'[3]Input Data'!$A$9</f>
        <v>2025 RATE CASE</v>
      </c>
      <c r="D1" s="190"/>
      <c r="E1" s="316"/>
      <c r="F1" s="316"/>
      <c r="G1" s="316"/>
      <c r="H1" s="316"/>
      <c r="I1" s="316"/>
      <c r="J1" s="316"/>
      <c r="K1" s="316"/>
      <c r="L1" s="316"/>
      <c r="M1" s="316"/>
      <c r="N1" s="607"/>
      <c r="O1" s="190"/>
      <c r="P1" s="316"/>
      <c r="Q1" s="316"/>
      <c r="R1" s="316"/>
      <c r="S1" s="316"/>
      <c r="T1" s="316"/>
      <c r="U1" s="316"/>
      <c r="V1" s="316"/>
      <c r="W1" s="316"/>
      <c r="X1" s="316"/>
      <c r="Z1" s="190"/>
      <c r="AA1" s="316"/>
      <c r="AB1" s="316"/>
      <c r="AC1" s="316"/>
      <c r="AD1" s="316"/>
      <c r="AE1" s="316"/>
      <c r="AF1" s="316"/>
      <c r="AG1" s="316"/>
      <c r="AH1" s="316"/>
      <c r="AI1" s="316"/>
      <c r="AK1" s="190"/>
      <c r="AL1" s="316"/>
      <c r="AM1" s="316"/>
      <c r="AN1" s="316"/>
      <c r="AO1" s="316"/>
      <c r="AP1" s="316"/>
      <c r="AQ1" s="316"/>
      <c r="AR1" s="316"/>
      <c r="AS1" s="316"/>
      <c r="AT1" s="316"/>
      <c r="AV1" s="190"/>
      <c r="AW1" s="316"/>
      <c r="AX1" s="316"/>
      <c r="AY1" s="316"/>
      <c r="AZ1" s="316"/>
      <c r="BA1" s="316"/>
      <c r="BB1" s="316"/>
      <c r="BC1" s="316"/>
      <c r="BD1" s="316"/>
      <c r="BE1" s="316"/>
      <c r="BG1" s="190"/>
      <c r="BH1" s="316"/>
      <c r="BI1" s="316"/>
      <c r="BJ1" s="316"/>
      <c r="BK1" s="316"/>
      <c r="BL1" s="316"/>
      <c r="BM1" s="316"/>
      <c r="BN1" s="316"/>
      <c r="BO1" s="316"/>
      <c r="BP1" s="316"/>
      <c r="BR1" s="190"/>
      <c r="BS1" s="316"/>
      <c r="BT1" s="316"/>
      <c r="BU1" s="316"/>
      <c r="BV1" s="316"/>
      <c r="BW1" s="316"/>
      <c r="BX1" s="316"/>
      <c r="BY1" s="316"/>
      <c r="BZ1" s="316"/>
      <c r="CA1" s="316"/>
      <c r="CC1" s="190"/>
      <c r="CD1" s="316"/>
      <c r="CE1" s="316"/>
      <c r="CF1" s="316"/>
      <c r="CG1" s="316"/>
      <c r="CH1" s="316"/>
      <c r="CI1" s="316"/>
      <c r="CJ1" s="316"/>
      <c r="CK1" s="316"/>
      <c r="CL1" s="316"/>
      <c r="CN1" s="190"/>
      <c r="CO1" s="316"/>
      <c r="CP1" s="316"/>
      <c r="CQ1" s="316"/>
      <c r="CR1" s="316"/>
      <c r="CS1" s="316"/>
      <c r="CT1" s="316"/>
      <c r="CU1" s="316"/>
      <c r="CV1" s="316"/>
      <c r="CW1" s="316"/>
      <c r="CY1" s="190"/>
      <c r="CZ1" s="316"/>
      <c r="DA1" s="316"/>
      <c r="DB1" s="316"/>
      <c r="DC1" s="316"/>
      <c r="DD1" s="316"/>
      <c r="DE1" s="316"/>
      <c r="DF1" s="316"/>
      <c r="DG1" s="316"/>
      <c r="DH1" s="316"/>
      <c r="DJ1" s="190"/>
      <c r="DK1" s="316"/>
      <c r="DL1" s="316"/>
      <c r="DM1" s="316"/>
      <c r="DN1" s="316"/>
      <c r="DO1" s="316"/>
      <c r="DP1" s="316"/>
      <c r="DQ1" s="316"/>
      <c r="DR1" s="316"/>
      <c r="DS1" s="316"/>
      <c r="DU1" s="190"/>
      <c r="DV1" s="316"/>
      <c r="DW1" s="316"/>
      <c r="DX1" s="316"/>
      <c r="DY1" s="316"/>
      <c r="DZ1" s="316"/>
      <c r="EA1" s="316"/>
      <c r="EB1" s="316"/>
      <c r="EC1" s="316"/>
      <c r="ED1" s="316"/>
    </row>
    <row r="2" spans="1:136" s="192" customFormat="1">
      <c r="A2" s="188" t="str">
        <f>+'[3]Input Data'!$A$2</f>
        <v>ONCOR ELECTRIC DELIVERY COMPANY LLC</v>
      </c>
      <c r="D2" s="190"/>
      <c r="E2" s="316"/>
      <c r="F2" s="316"/>
      <c r="G2" s="316"/>
      <c r="H2" s="316"/>
      <c r="I2" s="316"/>
      <c r="J2" s="316"/>
      <c r="K2" s="316"/>
      <c r="L2" s="316"/>
      <c r="M2" s="316"/>
      <c r="N2" s="607"/>
      <c r="O2" s="190"/>
      <c r="P2" s="316"/>
      <c r="Q2" s="316"/>
      <c r="R2" s="316"/>
      <c r="S2" s="316"/>
      <c r="T2" s="316"/>
      <c r="U2" s="316"/>
      <c r="V2" s="316"/>
      <c r="W2" s="316"/>
      <c r="X2" s="316"/>
      <c r="Z2" s="190"/>
      <c r="AA2" s="316"/>
      <c r="AB2" s="316"/>
      <c r="AC2" s="316"/>
      <c r="AD2" s="316"/>
      <c r="AE2" s="316"/>
      <c r="AF2" s="316"/>
      <c r="AG2" s="316"/>
      <c r="AH2" s="316"/>
      <c r="AI2" s="316"/>
      <c r="AK2" s="190"/>
      <c r="AL2" s="316"/>
      <c r="AM2" s="316"/>
      <c r="AN2" s="316"/>
      <c r="AO2" s="316"/>
      <c r="AP2" s="316"/>
      <c r="AQ2" s="316"/>
      <c r="AR2" s="316"/>
      <c r="AS2" s="316"/>
      <c r="AT2" s="316"/>
      <c r="AV2" s="190"/>
      <c r="AW2" s="316"/>
      <c r="AX2" s="316"/>
      <c r="AY2" s="316"/>
      <c r="AZ2" s="316"/>
      <c r="BA2" s="316"/>
      <c r="BB2" s="316"/>
      <c r="BC2" s="316"/>
      <c r="BD2" s="316"/>
      <c r="BE2" s="316"/>
      <c r="BG2" s="190"/>
      <c r="BH2" s="316"/>
      <c r="BI2" s="316"/>
      <c r="BJ2" s="316"/>
      <c r="BK2" s="316"/>
      <c r="BL2" s="316"/>
      <c r="BM2" s="316"/>
      <c r="BN2" s="316"/>
      <c r="BO2" s="316"/>
      <c r="BP2" s="316"/>
      <c r="BR2" s="190"/>
      <c r="BS2" s="316"/>
      <c r="BT2" s="316"/>
      <c r="BU2" s="316"/>
      <c r="BV2" s="316"/>
      <c r="BW2" s="316"/>
      <c r="BX2" s="316"/>
      <c r="BY2" s="316"/>
      <c r="BZ2" s="316"/>
      <c r="CA2" s="316"/>
      <c r="CC2" s="190"/>
      <c r="CD2" s="316"/>
      <c r="CE2" s="316"/>
      <c r="CF2" s="316"/>
      <c r="CG2" s="316"/>
      <c r="CH2" s="316"/>
      <c r="CI2" s="316"/>
      <c r="CJ2" s="316"/>
      <c r="CK2" s="316"/>
      <c r="CL2" s="316"/>
      <c r="CN2" s="190"/>
      <c r="CO2" s="316"/>
      <c r="CP2" s="316"/>
      <c r="CQ2" s="316"/>
      <c r="CR2" s="316"/>
      <c r="CS2" s="316"/>
      <c r="CT2" s="316"/>
      <c r="CU2" s="316"/>
      <c r="CV2" s="316"/>
      <c r="CW2" s="316"/>
      <c r="CY2" s="190"/>
      <c r="CZ2" s="316"/>
      <c r="DA2" s="316"/>
      <c r="DB2" s="316"/>
      <c r="DC2" s="316"/>
      <c r="DD2" s="316"/>
      <c r="DE2" s="316"/>
      <c r="DF2" s="316"/>
      <c r="DG2" s="316"/>
      <c r="DH2" s="316"/>
      <c r="DJ2" s="190"/>
      <c r="DK2" s="316"/>
      <c r="DL2" s="316"/>
      <c r="DM2" s="316"/>
      <c r="DN2" s="316"/>
      <c r="DO2" s="316"/>
      <c r="DP2" s="316"/>
      <c r="DQ2" s="316"/>
      <c r="DR2" s="316"/>
      <c r="DS2" s="316"/>
      <c r="DU2" s="190"/>
      <c r="DV2" s="316"/>
      <c r="DW2" s="316"/>
      <c r="DX2" s="316"/>
      <c r="DY2" s="316"/>
      <c r="DZ2" s="316"/>
      <c r="EA2" s="316"/>
      <c r="EB2" s="316"/>
      <c r="EC2" s="316"/>
      <c r="ED2" s="316"/>
    </row>
    <row r="3" spans="1:136" s="192" customFormat="1">
      <c r="A3" s="187" t="str">
        <f>CONCATENATE('[3]Schedule Sponsors'!$A$90,'[3]Schedule Sponsors'!$B$90," - MONTHLY")</f>
        <v>II-E-3.5  ADFIT - MONTHLY</v>
      </c>
      <c r="D3" s="190"/>
      <c r="E3" s="316"/>
      <c r="F3" s="316"/>
      <c r="G3" s="316"/>
      <c r="H3" s="316"/>
      <c r="I3" s="316"/>
      <c r="J3" s="316"/>
      <c r="K3" s="316"/>
      <c r="L3" s="316"/>
      <c r="M3" s="316"/>
      <c r="N3" s="607"/>
      <c r="O3" s="190"/>
      <c r="P3" s="316"/>
      <c r="Q3" s="316"/>
      <c r="R3" s="316"/>
      <c r="S3" s="316"/>
      <c r="T3" s="316"/>
      <c r="U3" s="316"/>
      <c r="V3" s="316"/>
      <c r="W3" s="316"/>
      <c r="X3" s="316"/>
      <c r="Z3" s="190"/>
      <c r="AA3" s="316"/>
      <c r="AB3" s="316"/>
      <c r="AC3" s="316"/>
      <c r="AD3" s="316"/>
      <c r="AE3" s="316"/>
      <c r="AF3" s="316"/>
      <c r="AG3" s="316"/>
      <c r="AH3" s="316"/>
      <c r="AI3" s="316"/>
      <c r="AK3" s="190"/>
      <c r="AL3" s="316"/>
      <c r="AM3" s="316"/>
      <c r="AN3" s="316"/>
      <c r="AO3" s="316"/>
      <c r="AP3" s="316"/>
      <c r="AQ3" s="316"/>
      <c r="AR3" s="316"/>
      <c r="AS3" s="316"/>
      <c r="AT3" s="316"/>
      <c r="AV3" s="190"/>
      <c r="AW3" s="316"/>
      <c r="AX3" s="316"/>
      <c r="AY3" s="316"/>
      <c r="AZ3" s="316"/>
      <c r="BA3" s="316"/>
      <c r="BB3" s="316"/>
      <c r="BC3" s="316"/>
      <c r="BD3" s="316"/>
      <c r="BE3" s="316"/>
      <c r="BG3" s="190"/>
      <c r="BH3" s="316"/>
      <c r="BI3" s="316"/>
      <c r="BJ3" s="316"/>
      <c r="BK3" s="316"/>
      <c r="BL3" s="316"/>
      <c r="BM3" s="316"/>
      <c r="BN3" s="316"/>
      <c r="BO3" s="316"/>
      <c r="BP3" s="316"/>
      <c r="BR3" s="190"/>
      <c r="BS3" s="316"/>
      <c r="BT3" s="316"/>
      <c r="BU3" s="316"/>
      <c r="BV3" s="316"/>
      <c r="BW3" s="316"/>
      <c r="BX3" s="316"/>
      <c r="BY3" s="316"/>
      <c r="BZ3" s="316"/>
      <c r="CA3" s="316"/>
      <c r="CC3" s="190"/>
      <c r="CD3" s="316"/>
      <c r="CE3" s="316"/>
      <c r="CF3" s="316"/>
      <c r="CG3" s="316"/>
      <c r="CH3" s="316"/>
      <c r="CI3" s="316"/>
      <c r="CJ3" s="316"/>
      <c r="CK3" s="316"/>
      <c r="CL3" s="316"/>
      <c r="CN3" s="190"/>
      <c r="CO3" s="316"/>
      <c r="CP3" s="316"/>
      <c r="CQ3" s="316"/>
      <c r="CR3" s="316"/>
      <c r="CS3" s="316"/>
      <c r="CT3" s="316"/>
      <c r="CU3" s="316"/>
      <c r="CV3" s="316"/>
      <c r="CW3" s="316"/>
      <c r="CY3" s="190"/>
      <c r="CZ3" s="316"/>
      <c r="DA3" s="316"/>
      <c r="DB3" s="316"/>
      <c r="DC3" s="316"/>
      <c r="DD3" s="316"/>
      <c r="DE3" s="316"/>
      <c r="DF3" s="316"/>
      <c r="DG3" s="316"/>
      <c r="DH3" s="316"/>
      <c r="DJ3" s="190"/>
      <c r="DK3" s="316"/>
      <c r="DL3" s="316"/>
      <c r="DM3" s="316"/>
      <c r="DN3" s="316"/>
      <c r="DO3" s="316"/>
      <c r="DP3" s="316"/>
      <c r="DQ3" s="316"/>
      <c r="DR3" s="316"/>
      <c r="DS3" s="316"/>
      <c r="DU3" s="190"/>
      <c r="DV3" s="316"/>
      <c r="DW3" s="316"/>
      <c r="DX3" s="316"/>
      <c r="DY3" s="316"/>
      <c r="DZ3" s="316"/>
      <c r="EA3" s="316"/>
      <c r="EB3" s="316"/>
      <c r="EC3" s="316"/>
      <c r="ED3" s="316"/>
    </row>
    <row r="4" spans="1:136" s="192" customFormat="1">
      <c r="A4" s="187" t="str">
        <f>+'[3]Input Data'!$A$4</f>
        <v>TEST YEAR ENDING DECEMBER 31, 2024</v>
      </c>
      <c r="D4" s="190"/>
      <c r="E4" s="500"/>
      <c r="F4" s="316"/>
      <c r="G4" s="316"/>
      <c r="H4" s="316"/>
      <c r="I4" s="316"/>
      <c r="J4" s="316"/>
      <c r="K4" s="316"/>
      <c r="L4" s="316"/>
      <c r="M4" s="316"/>
      <c r="N4" s="607"/>
      <c r="O4" s="190"/>
      <c r="P4" s="500"/>
      <c r="Q4" s="316"/>
      <c r="R4" s="316"/>
      <c r="S4" s="316"/>
      <c r="T4" s="316"/>
      <c r="U4" s="316"/>
      <c r="V4" s="316"/>
      <c r="W4" s="316"/>
      <c r="X4" s="316"/>
      <c r="Z4" s="190"/>
      <c r="AA4" s="500"/>
      <c r="AB4" s="316"/>
      <c r="AC4" s="316"/>
      <c r="AD4" s="316"/>
      <c r="AE4" s="316"/>
      <c r="AF4" s="316"/>
      <c r="AG4" s="316"/>
      <c r="AH4" s="316"/>
      <c r="AI4" s="316"/>
      <c r="AK4" s="190"/>
      <c r="AL4" s="500"/>
      <c r="AM4" s="316"/>
      <c r="AN4" s="316"/>
      <c r="AO4" s="316"/>
      <c r="AP4" s="316"/>
      <c r="AQ4" s="316"/>
      <c r="AR4" s="316"/>
      <c r="AS4" s="316"/>
      <c r="AT4" s="316"/>
      <c r="AV4" s="190"/>
      <c r="AW4" s="500"/>
      <c r="AX4" s="316"/>
      <c r="AY4" s="316"/>
      <c r="AZ4" s="316"/>
      <c r="BA4" s="316"/>
      <c r="BB4" s="316"/>
      <c r="BC4" s="316"/>
      <c r="BD4" s="316"/>
      <c r="BE4" s="316"/>
      <c r="BG4" s="190"/>
      <c r="BH4" s="500"/>
      <c r="BI4" s="316"/>
      <c r="BJ4" s="316"/>
      <c r="BK4" s="316"/>
      <c r="BL4" s="316"/>
      <c r="BM4" s="316"/>
      <c r="BN4" s="316"/>
      <c r="BO4" s="316"/>
      <c r="BP4" s="316"/>
      <c r="BR4" s="190"/>
      <c r="BS4" s="500"/>
      <c r="BT4" s="316"/>
      <c r="BU4" s="316"/>
      <c r="BV4" s="316"/>
      <c r="BW4" s="316"/>
      <c r="BX4" s="316"/>
      <c r="BY4" s="316"/>
      <c r="BZ4" s="316"/>
      <c r="CA4" s="316"/>
      <c r="CC4" s="190"/>
      <c r="CD4" s="500"/>
      <c r="CE4" s="316"/>
      <c r="CF4" s="316"/>
      <c r="CG4" s="316"/>
      <c r="CH4" s="316"/>
      <c r="CI4" s="316"/>
      <c r="CJ4" s="316"/>
      <c r="CK4" s="316"/>
      <c r="CL4" s="316"/>
      <c r="CN4" s="190"/>
      <c r="CO4" s="500"/>
      <c r="CP4" s="316"/>
      <c r="CQ4" s="316"/>
      <c r="CR4" s="316"/>
      <c r="CS4" s="316"/>
      <c r="CT4" s="316"/>
      <c r="CU4" s="316"/>
      <c r="CV4" s="316"/>
      <c r="CW4" s="316"/>
      <c r="CY4" s="190"/>
      <c r="CZ4" s="500"/>
      <c r="DA4" s="316"/>
      <c r="DB4" s="316"/>
      <c r="DC4" s="316"/>
      <c r="DD4" s="316"/>
      <c r="DE4" s="316"/>
      <c r="DF4" s="316"/>
      <c r="DG4" s="316"/>
      <c r="DH4" s="316"/>
      <c r="DJ4" s="190"/>
      <c r="DK4" s="500"/>
      <c r="DL4" s="316"/>
      <c r="DM4" s="316"/>
      <c r="DN4" s="316"/>
      <c r="DO4" s="316"/>
      <c r="DP4" s="316"/>
      <c r="DQ4" s="316"/>
      <c r="DR4" s="316"/>
      <c r="DS4" s="316"/>
      <c r="DU4" s="190"/>
      <c r="DV4" s="500"/>
      <c r="DW4" s="316"/>
      <c r="DX4" s="316"/>
      <c r="DY4" s="316"/>
      <c r="DZ4" s="316"/>
      <c r="EA4" s="316"/>
      <c r="EB4" s="316"/>
      <c r="EC4" s="316"/>
      <c r="ED4" s="316"/>
    </row>
    <row r="5" spans="1:136" s="192" customFormat="1">
      <c r="A5" s="185" t="str">
        <f>CONCATENATE("SPONSOR: ",'[3]Schedule Sponsors'!$D$92)</f>
        <v>SPONSOR: B. L. CLUTTER</v>
      </c>
      <c r="E5" s="316"/>
      <c r="F5" s="316"/>
      <c r="G5" s="316"/>
      <c r="H5" s="316"/>
      <c r="I5" s="316"/>
      <c r="J5" s="316"/>
      <c r="K5" s="316"/>
      <c r="L5" s="316"/>
      <c r="M5" s="316"/>
      <c r="N5" s="607"/>
      <c r="P5" s="316"/>
      <c r="Q5" s="316"/>
      <c r="R5" s="316"/>
      <c r="S5" s="316"/>
      <c r="T5" s="316"/>
      <c r="U5" s="316"/>
      <c r="V5" s="316"/>
      <c r="W5" s="316"/>
      <c r="X5" s="316"/>
      <c r="AA5" s="316"/>
      <c r="AB5" s="316"/>
      <c r="AC5" s="316"/>
      <c r="AD5" s="316"/>
      <c r="AE5" s="316"/>
      <c r="AF5" s="316"/>
      <c r="AG5" s="316"/>
      <c r="AH5" s="316"/>
      <c r="AI5" s="316"/>
      <c r="AL5" s="316"/>
      <c r="AM5" s="316"/>
      <c r="AN5" s="316"/>
      <c r="AO5" s="316"/>
      <c r="AP5" s="316"/>
      <c r="AQ5" s="316"/>
      <c r="AR5" s="316"/>
      <c r="AS5" s="316"/>
      <c r="AT5" s="316"/>
      <c r="AW5" s="316"/>
      <c r="AX5" s="316"/>
      <c r="AY5" s="316"/>
      <c r="AZ5" s="316"/>
      <c r="BA5" s="316"/>
      <c r="BB5" s="316"/>
      <c r="BC5" s="316"/>
      <c r="BD5" s="316"/>
      <c r="BE5" s="316"/>
      <c r="BH5" s="316"/>
      <c r="BI5" s="316"/>
      <c r="BJ5" s="316"/>
      <c r="BK5" s="316"/>
      <c r="BL5" s="316"/>
      <c r="BM5" s="316"/>
      <c r="BN5" s="316"/>
      <c r="BO5" s="316"/>
      <c r="BP5" s="316"/>
      <c r="BS5" s="316"/>
      <c r="BT5" s="316"/>
      <c r="BU5" s="316"/>
      <c r="BV5" s="316"/>
      <c r="BW5" s="316"/>
      <c r="BX5" s="316"/>
      <c r="BY5" s="316"/>
      <c r="BZ5" s="316"/>
      <c r="CA5" s="316"/>
      <c r="CD5" s="316"/>
      <c r="CE5" s="316"/>
      <c r="CF5" s="316"/>
      <c r="CG5" s="316"/>
      <c r="CH5" s="316"/>
      <c r="CI5" s="316"/>
      <c r="CJ5" s="316"/>
      <c r="CK5" s="316"/>
      <c r="CL5" s="316"/>
      <c r="CO5" s="316"/>
      <c r="CP5" s="316"/>
      <c r="CQ5" s="316"/>
      <c r="CR5" s="316"/>
      <c r="CS5" s="316"/>
      <c r="CT5" s="316"/>
      <c r="CU5" s="316"/>
      <c r="CV5" s="316"/>
      <c r="CW5" s="316"/>
      <c r="CZ5" s="316"/>
      <c r="DA5" s="316"/>
      <c r="DB5" s="316"/>
      <c r="DC5" s="316"/>
      <c r="DD5" s="316"/>
      <c r="DE5" s="316"/>
      <c r="DF5" s="316"/>
      <c r="DG5" s="316"/>
      <c r="DH5" s="316"/>
      <c r="DK5" s="316"/>
      <c r="DL5" s="316"/>
      <c r="DM5" s="316"/>
      <c r="DN5" s="316"/>
      <c r="DO5" s="316"/>
      <c r="DP5" s="316"/>
      <c r="DQ5" s="316"/>
      <c r="DR5" s="316"/>
      <c r="DS5" s="316"/>
      <c r="DV5" s="316"/>
      <c r="DW5" s="316"/>
      <c r="DX5" s="316"/>
      <c r="DY5" s="316"/>
      <c r="DZ5" s="316"/>
      <c r="EA5" s="316"/>
      <c r="EB5" s="316"/>
      <c r="EC5" s="316"/>
      <c r="ED5" s="316"/>
    </row>
    <row r="10" spans="1:136" s="366" customFormat="1" ht="15">
      <c r="A10" s="755"/>
      <c r="B10" s="756"/>
      <c r="C10" s="757" t="s">
        <v>70</v>
      </c>
      <c r="D10" s="405" t="s">
        <v>472</v>
      </c>
      <c r="E10" s="405"/>
      <c r="F10" s="405" t="s">
        <v>571</v>
      </c>
      <c r="G10" s="405" t="s">
        <v>572</v>
      </c>
      <c r="H10" s="405" t="s">
        <v>574</v>
      </c>
      <c r="I10" s="405"/>
      <c r="J10" s="405" t="s">
        <v>571</v>
      </c>
      <c r="K10" s="405" t="s">
        <v>574</v>
      </c>
      <c r="L10" s="405"/>
      <c r="M10" s="405"/>
      <c r="N10" s="608"/>
      <c r="O10" s="405" t="s">
        <v>472</v>
      </c>
      <c r="P10" s="405"/>
      <c r="Q10" s="405" t="s">
        <v>571</v>
      </c>
      <c r="R10" s="405" t="s">
        <v>572</v>
      </c>
      <c r="S10" s="405" t="s">
        <v>574</v>
      </c>
      <c r="T10" s="405"/>
      <c r="U10" s="405" t="s">
        <v>571</v>
      </c>
      <c r="V10" s="405" t="s">
        <v>574</v>
      </c>
      <c r="W10" s="405"/>
      <c r="X10" s="405"/>
      <c r="Z10" s="405" t="s">
        <v>472</v>
      </c>
      <c r="AA10" s="405"/>
      <c r="AB10" s="405" t="s">
        <v>571</v>
      </c>
      <c r="AC10" s="405" t="s">
        <v>572</v>
      </c>
      <c r="AD10" s="405" t="s">
        <v>574</v>
      </c>
      <c r="AE10" s="405"/>
      <c r="AF10" s="405" t="s">
        <v>571</v>
      </c>
      <c r="AG10" s="405" t="s">
        <v>574</v>
      </c>
      <c r="AH10" s="405"/>
      <c r="AI10" s="405"/>
      <c r="AK10" s="405" t="s">
        <v>472</v>
      </c>
      <c r="AL10" s="405"/>
      <c r="AM10" s="405" t="s">
        <v>571</v>
      </c>
      <c r="AN10" s="405" t="s">
        <v>572</v>
      </c>
      <c r="AO10" s="405" t="s">
        <v>574</v>
      </c>
      <c r="AP10" s="405"/>
      <c r="AQ10" s="405" t="s">
        <v>571</v>
      </c>
      <c r="AR10" s="405" t="s">
        <v>574</v>
      </c>
      <c r="AS10" s="405"/>
      <c r="AT10" s="405"/>
      <c r="AV10" s="405" t="s">
        <v>472</v>
      </c>
      <c r="AW10" s="405"/>
      <c r="AX10" s="405" t="s">
        <v>571</v>
      </c>
      <c r="AY10" s="405" t="s">
        <v>572</v>
      </c>
      <c r="AZ10" s="405" t="s">
        <v>574</v>
      </c>
      <c r="BA10" s="405"/>
      <c r="BB10" s="405" t="s">
        <v>571</v>
      </c>
      <c r="BC10" s="405" t="s">
        <v>574</v>
      </c>
      <c r="BD10" s="405"/>
      <c r="BE10" s="405"/>
      <c r="BG10" s="405" t="s">
        <v>472</v>
      </c>
      <c r="BH10" s="405"/>
      <c r="BI10" s="405" t="s">
        <v>571</v>
      </c>
      <c r="BJ10" s="405" t="s">
        <v>572</v>
      </c>
      <c r="BK10" s="405" t="s">
        <v>574</v>
      </c>
      <c r="BL10" s="405"/>
      <c r="BM10" s="405" t="s">
        <v>571</v>
      </c>
      <c r="BN10" s="405" t="s">
        <v>574</v>
      </c>
      <c r="BO10" s="405"/>
      <c r="BP10" s="405"/>
      <c r="BR10" s="405" t="s">
        <v>472</v>
      </c>
      <c r="BS10" s="405"/>
      <c r="BT10" s="405" t="s">
        <v>571</v>
      </c>
      <c r="BU10" s="405" t="s">
        <v>572</v>
      </c>
      <c r="BV10" s="405" t="s">
        <v>574</v>
      </c>
      <c r="BW10" s="405"/>
      <c r="BX10" s="405" t="s">
        <v>571</v>
      </c>
      <c r="BY10" s="405" t="s">
        <v>574</v>
      </c>
      <c r="BZ10" s="405"/>
      <c r="CA10" s="405"/>
      <c r="CC10" s="405" t="s">
        <v>472</v>
      </c>
      <c r="CD10" s="405"/>
      <c r="CE10" s="405" t="s">
        <v>571</v>
      </c>
      <c r="CF10" s="405" t="s">
        <v>572</v>
      </c>
      <c r="CG10" s="405" t="s">
        <v>574</v>
      </c>
      <c r="CH10" s="405"/>
      <c r="CI10" s="405" t="s">
        <v>571</v>
      </c>
      <c r="CJ10" s="405" t="s">
        <v>574</v>
      </c>
      <c r="CK10" s="405"/>
      <c r="CL10" s="405"/>
      <c r="CN10" s="405" t="s">
        <v>472</v>
      </c>
      <c r="CO10" s="405"/>
      <c r="CP10" s="405" t="s">
        <v>571</v>
      </c>
      <c r="CQ10" s="405" t="s">
        <v>572</v>
      </c>
      <c r="CR10" s="405" t="s">
        <v>574</v>
      </c>
      <c r="CS10" s="405"/>
      <c r="CT10" s="405" t="s">
        <v>571</v>
      </c>
      <c r="CU10" s="405" t="s">
        <v>574</v>
      </c>
      <c r="CV10" s="405"/>
      <c r="CW10" s="405"/>
      <c r="CY10" s="405" t="s">
        <v>472</v>
      </c>
      <c r="CZ10" s="405"/>
      <c r="DA10" s="405" t="s">
        <v>571</v>
      </c>
      <c r="DB10" s="405" t="s">
        <v>572</v>
      </c>
      <c r="DC10" s="405" t="s">
        <v>574</v>
      </c>
      <c r="DD10" s="405"/>
      <c r="DE10" s="405" t="s">
        <v>571</v>
      </c>
      <c r="DF10" s="405" t="s">
        <v>574</v>
      </c>
      <c r="DG10" s="405"/>
      <c r="DH10" s="405"/>
      <c r="DJ10" s="405" t="s">
        <v>472</v>
      </c>
      <c r="DK10" s="405"/>
      <c r="DL10" s="405" t="s">
        <v>571</v>
      </c>
      <c r="DM10" s="405" t="s">
        <v>572</v>
      </c>
      <c r="DN10" s="405" t="s">
        <v>574</v>
      </c>
      <c r="DO10" s="405"/>
      <c r="DP10" s="405" t="s">
        <v>571</v>
      </c>
      <c r="DQ10" s="405" t="s">
        <v>574</v>
      </c>
      <c r="DR10" s="405"/>
      <c r="DS10" s="405"/>
      <c r="DU10" s="405" t="s">
        <v>472</v>
      </c>
      <c r="DV10" s="405"/>
      <c r="DW10" s="405" t="s">
        <v>571</v>
      </c>
      <c r="DX10" s="405" t="s">
        <v>572</v>
      </c>
      <c r="DY10" s="405" t="s">
        <v>574</v>
      </c>
      <c r="DZ10" s="405"/>
      <c r="EA10" s="405" t="s">
        <v>571</v>
      </c>
      <c r="EB10" s="405" t="s">
        <v>574</v>
      </c>
      <c r="EC10" s="405"/>
      <c r="ED10" s="405"/>
    </row>
    <row r="11" spans="1:136" s="366" customFormat="1">
      <c r="A11" s="758" t="s">
        <v>46</v>
      </c>
      <c r="B11" s="759" t="s">
        <v>64</v>
      </c>
      <c r="C11" s="759" t="s">
        <v>75</v>
      </c>
      <c r="D11" s="760">
        <v>45322</v>
      </c>
      <c r="E11" s="759" t="s">
        <v>198</v>
      </c>
      <c r="F11" s="759" t="s">
        <v>198</v>
      </c>
      <c r="G11" s="759" t="s">
        <v>575</v>
      </c>
      <c r="H11" s="759" t="s">
        <v>198</v>
      </c>
      <c r="I11" s="759" t="s">
        <v>199</v>
      </c>
      <c r="J11" s="759" t="s">
        <v>199</v>
      </c>
      <c r="K11" s="759" t="s">
        <v>199</v>
      </c>
      <c r="L11" s="759" t="s">
        <v>194</v>
      </c>
      <c r="M11" s="759" t="s">
        <v>279</v>
      </c>
      <c r="N11" s="761"/>
      <c r="O11" s="760">
        <v>45350</v>
      </c>
      <c r="P11" s="759" t="s">
        <v>198</v>
      </c>
      <c r="Q11" s="759" t="s">
        <v>198</v>
      </c>
      <c r="R11" s="759" t="s">
        <v>575</v>
      </c>
      <c r="S11" s="759" t="s">
        <v>198</v>
      </c>
      <c r="T11" s="759" t="s">
        <v>199</v>
      </c>
      <c r="U11" s="759" t="s">
        <v>199</v>
      </c>
      <c r="V11" s="759" t="s">
        <v>199</v>
      </c>
      <c r="W11" s="759" t="s">
        <v>194</v>
      </c>
      <c r="X11" s="759" t="s">
        <v>279</v>
      </c>
      <c r="Z11" s="762">
        <v>45382</v>
      </c>
      <c r="AA11" s="759" t="s">
        <v>198</v>
      </c>
      <c r="AB11" s="759" t="s">
        <v>198</v>
      </c>
      <c r="AC11" s="759" t="s">
        <v>575</v>
      </c>
      <c r="AD11" s="759" t="s">
        <v>198</v>
      </c>
      <c r="AE11" s="759" t="s">
        <v>199</v>
      </c>
      <c r="AF11" s="759" t="s">
        <v>199</v>
      </c>
      <c r="AG11" s="759" t="s">
        <v>199</v>
      </c>
      <c r="AH11" s="759" t="s">
        <v>194</v>
      </c>
      <c r="AI11" s="759" t="s">
        <v>279</v>
      </c>
      <c r="AK11" s="762">
        <v>45412</v>
      </c>
      <c r="AL11" s="759" t="s">
        <v>198</v>
      </c>
      <c r="AM11" s="759" t="s">
        <v>198</v>
      </c>
      <c r="AN11" s="759" t="s">
        <v>575</v>
      </c>
      <c r="AO11" s="759" t="s">
        <v>198</v>
      </c>
      <c r="AP11" s="759" t="s">
        <v>199</v>
      </c>
      <c r="AQ11" s="759" t="s">
        <v>199</v>
      </c>
      <c r="AR11" s="759" t="s">
        <v>199</v>
      </c>
      <c r="AS11" s="759" t="s">
        <v>194</v>
      </c>
      <c r="AT11" s="759" t="s">
        <v>279</v>
      </c>
      <c r="AV11" s="762">
        <v>45443</v>
      </c>
      <c r="AW11" s="759" t="s">
        <v>198</v>
      </c>
      <c r="AX11" s="759" t="s">
        <v>198</v>
      </c>
      <c r="AY11" s="759" t="s">
        <v>575</v>
      </c>
      <c r="AZ11" s="759" t="s">
        <v>198</v>
      </c>
      <c r="BA11" s="759" t="s">
        <v>199</v>
      </c>
      <c r="BB11" s="759" t="s">
        <v>199</v>
      </c>
      <c r="BC11" s="759" t="s">
        <v>199</v>
      </c>
      <c r="BD11" s="759" t="s">
        <v>194</v>
      </c>
      <c r="BE11" s="759" t="s">
        <v>279</v>
      </c>
      <c r="BG11" s="762">
        <v>45473</v>
      </c>
      <c r="BH11" s="759" t="s">
        <v>198</v>
      </c>
      <c r="BI11" s="759" t="s">
        <v>198</v>
      </c>
      <c r="BJ11" s="759" t="s">
        <v>575</v>
      </c>
      <c r="BK11" s="759" t="s">
        <v>198</v>
      </c>
      <c r="BL11" s="759" t="s">
        <v>199</v>
      </c>
      <c r="BM11" s="759" t="s">
        <v>199</v>
      </c>
      <c r="BN11" s="759" t="s">
        <v>199</v>
      </c>
      <c r="BO11" s="759" t="s">
        <v>194</v>
      </c>
      <c r="BP11" s="759" t="s">
        <v>279</v>
      </c>
      <c r="BR11" s="762">
        <v>45504</v>
      </c>
      <c r="BS11" s="759" t="s">
        <v>198</v>
      </c>
      <c r="BT11" s="759" t="s">
        <v>198</v>
      </c>
      <c r="BU11" s="759" t="s">
        <v>575</v>
      </c>
      <c r="BV11" s="759" t="s">
        <v>198</v>
      </c>
      <c r="BW11" s="759" t="s">
        <v>199</v>
      </c>
      <c r="BX11" s="759" t="s">
        <v>199</v>
      </c>
      <c r="BY11" s="759" t="s">
        <v>199</v>
      </c>
      <c r="BZ11" s="759" t="s">
        <v>194</v>
      </c>
      <c r="CA11" s="759" t="s">
        <v>279</v>
      </c>
      <c r="CC11" s="762">
        <v>45535</v>
      </c>
      <c r="CD11" s="759" t="s">
        <v>198</v>
      </c>
      <c r="CE11" s="759" t="s">
        <v>198</v>
      </c>
      <c r="CF11" s="759" t="s">
        <v>575</v>
      </c>
      <c r="CG11" s="759" t="s">
        <v>198</v>
      </c>
      <c r="CH11" s="759" t="s">
        <v>199</v>
      </c>
      <c r="CI11" s="759" t="s">
        <v>199</v>
      </c>
      <c r="CJ11" s="759" t="s">
        <v>199</v>
      </c>
      <c r="CK11" s="759" t="s">
        <v>194</v>
      </c>
      <c r="CL11" s="759" t="s">
        <v>279</v>
      </c>
      <c r="CN11" s="762">
        <v>45565</v>
      </c>
      <c r="CO11" s="759" t="s">
        <v>198</v>
      </c>
      <c r="CP11" s="759" t="s">
        <v>198</v>
      </c>
      <c r="CQ11" s="759" t="s">
        <v>575</v>
      </c>
      <c r="CR11" s="759" t="s">
        <v>198</v>
      </c>
      <c r="CS11" s="759" t="s">
        <v>199</v>
      </c>
      <c r="CT11" s="759" t="s">
        <v>199</v>
      </c>
      <c r="CU11" s="759" t="s">
        <v>199</v>
      </c>
      <c r="CV11" s="759" t="s">
        <v>194</v>
      </c>
      <c r="CW11" s="759" t="s">
        <v>279</v>
      </c>
      <c r="CY11" s="762">
        <v>45596</v>
      </c>
      <c r="CZ11" s="759" t="s">
        <v>198</v>
      </c>
      <c r="DA11" s="759" t="s">
        <v>198</v>
      </c>
      <c r="DB11" s="759" t="s">
        <v>575</v>
      </c>
      <c r="DC11" s="759" t="s">
        <v>198</v>
      </c>
      <c r="DD11" s="759" t="s">
        <v>199</v>
      </c>
      <c r="DE11" s="759" t="s">
        <v>199</v>
      </c>
      <c r="DF11" s="759" t="s">
        <v>199</v>
      </c>
      <c r="DG11" s="759" t="s">
        <v>194</v>
      </c>
      <c r="DH11" s="759" t="s">
        <v>279</v>
      </c>
      <c r="DJ11" s="762">
        <v>45626</v>
      </c>
      <c r="DK11" s="759" t="s">
        <v>198</v>
      </c>
      <c r="DL11" s="759" t="s">
        <v>198</v>
      </c>
      <c r="DM11" s="759" t="s">
        <v>575</v>
      </c>
      <c r="DN11" s="759" t="s">
        <v>198</v>
      </c>
      <c r="DO11" s="759" t="s">
        <v>199</v>
      </c>
      <c r="DP11" s="759" t="s">
        <v>199</v>
      </c>
      <c r="DQ11" s="759" t="s">
        <v>199</v>
      </c>
      <c r="DR11" s="759" t="s">
        <v>194</v>
      </c>
      <c r="DS11" s="759" t="s">
        <v>279</v>
      </c>
      <c r="DU11" s="762">
        <v>45657</v>
      </c>
      <c r="DV11" s="759" t="s">
        <v>198</v>
      </c>
      <c r="DW11" s="759" t="s">
        <v>198</v>
      </c>
      <c r="DX11" s="759" t="s">
        <v>575</v>
      </c>
      <c r="DY11" s="759" t="s">
        <v>198</v>
      </c>
      <c r="DZ11" s="759" t="s">
        <v>199</v>
      </c>
      <c r="EA11" s="759" t="s">
        <v>199</v>
      </c>
      <c r="EB11" s="759" t="s">
        <v>199</v>
      </c>
      <c r="EC11" s="759" t="s">
        <v>194</v>
      </c>
      <c r="ED11" s="759" t="s">
        <v>279</v>
      </c>
    </row>
    <row r="12" spans="1:136" s="366" customFormat="1">
      <c r="A12" s="763"/>
      <c r="B12" s="615" t="s">
        <v>226</v>
      </c>
      <c r="C12" s="615" t="s">
        <v>227</v>
      </c>
      <c r="D12" s="764" t="s">
        <v>228</v>
      </c>
      <c r="E12" s="615" t="s">
        <v>229</v>
      </c>
      <c r="F12" s="615" t="s">
        <v>230</v>
      </c>
      <c r="G12" s="615" t="s">
        <v>231</v>
      </c>
      <c r="H12" s="615" t="s">
        <v>232</v>
      </c>
      <c r="I12" s="615" t="s">
        <v>233</v>
      </c>
      <c r="J12" s="615" t="s">
        <v>234</v>
      </c>
      <c r="K12" s="615" t="s">
        <v>235</v>
      </c>
      <c r="L12" s="615" t="s">
        <v>236</v>
      </c>
      <c r="M12" s="615" t="s">
        <v>237</v>
      </c>
      <c r="N12" s="615"/>
      <c r="O12" s="613" t="s">
        <v>238</v>
      </c>
      <c r="P12" s="613" t="s">
        <v>239</v>
      </c>
      <c r="Q12" s="614" t="s">
        <v>240</v>
      </c>
      <c r="R12" s="614" t="s">
        <v>140</v>
      </c>
      <c r="S12" s="614" t="s">
        <v>270</v>
      </c>
      <c r="T12" s="614" t="s">
        <v>280</v>
      </c>
      <c r="U12" s="614" t="s">
        <v>281</v>
      </c>
      <c r="V12" s="614" t="s">
        <v>473</v>
      </c>
      <c r="W12" s="613" t="s">
        <v>474</v>
      </c>
      <c r="X12" s="613" t="s">
        <v>475</v>
      </c>
      <c r="Y12" s="613"/>
      <c r="Z12" s="613" t="s">
        <v>476</v>
      </c>
      <c r="AA12" s="613" t="s">
        <v>714</v>
      </c>
      <c r="AB12" s="613" t="s">
        <v>715</v>
      </c>
      <c r="AC12" s="613" t="s">
        <v>716</v>
      </c>
      <c r="AD12" s="615" t="s">
        <v>717</v>
      </c>
      <c r="AE12" s="615" t="s">
        <v>718</v>
      </c>
      <c r="AF12" s="764" t="s">
        <v>719</v>
      </c>
      <c r="AG12" s="615" t="s">
        <v>720</v>
      </c>
      <c r="AH12" s="615" t="s">
        <v>721</v>
      </c>
      <c r="AI12" s="615" t="s">
        <v>722</v>
      </c>
      <c r="AJ12" s="616"/>
      <c r="AK12" s="615" t="s">
        <v>723</v>
      </c>
      <c r="AL12" s="615" t="s">
        <v>724</v>
      </c>
      <c r="AM12" s="613" t="s">
        <v>725</v>
      </c>
      <c r="AN12" s="613" t="s">
        <v>726</v>
      </c>
      <c r="AO12" s="613" t="s">
        <v>727</v>
      </c>
      <c r="AP12" s="613" t="s">
        <v>728</v>
      </c>
      <c r="AQ12" s="613" t="s">
        <v>729</v>
      </c>
      <c r="AR12" s="613" t="s">
        <v>730</v>
      </c>
      <c r="AS12" s="614" t="s">
        <v>731</v>
      </c>
      <c r="AT12" s="614" t="s">
        <v>732</v>
      </c>
      <c r="AU12" s="614"/>
      <c r="AV12" s="614" t="s">
        <v>733</v>
      </c>
      <c r="AW12" s="616" t="s">
        <v>734</v>
      </c>
      <c r="AX12" s="614" t="s">
        <v>735</v>
      </c>
      <c r="AY12" s="614" t="s">
        <v>736</v>
      </c>
      <c r="AZ12" s="613" t="s">
        <v>737</v>
      </c>
      <c r="BA12" s="613" t="s">
        <v>738</v>
      </c>
      <c r="BB12" s="613" t="s">
        <v>739</v>
      </c>
      <c r="BC12" s="613" t="s">
        <v>740</v>
      </c>
      <c r="BD12" s="613" t="s">
        <v>741</v>
      </c>
      <c r="BE12" s="614" t="s">
        <v>742</v>
      </c>
      <c r="BF12" s="614"/>
      <c r="BG12" s="614" t="s">
        <v>743</v>
      </c>
      <c r="BH12" s="614" t="s">
        <v>744</v>
      </c>
      <c r="BI12" s="614" t="s">
        <v>745</v>
      </c>
      <c r="BJ12" s="614" t="s">
        <v>746</v>
      </c>
      <c r="BK12" s="613" t="s">
        <v>747</v>
      </c>
      <c r="BL12" s="613" t="s">
        <v>748</v>
      </c>
      <c r="BM12" s="613" t="s">
        <v>749</v>
      </c>
      <c r="BN12" s="613" t="s">
        <v>750</v>
      </c>
      <c r="BO12" s="613" t="s">
        <v>751</v>
      </c>
      <c r="BP12" s="613" t="s">
        <v>752</v>
      </c>
      <c r="BQ12" s="613"/>
      <c r="BR12" s="613" t="s">
        <v>753</v>
      </c>
      <c r="BS12" s="613" t="s">
        <v>754</v>
      </c>
      <c r="BT12" s="613" t="s">
        <v>755</v>
      </c>
      <c r="BU12" s="613" t="s">
        <v>756</v>
      </c>
      <c r="BV12" s="613" t="s">
        <v>757</v>
      </c>
      <c r="BW12" s="613" t="s">
        <v>758</v>
      </c>
      <c r="BX12" s="614" t="s">
        <v>759</v>
      </c>
      <c r="BY12" s="613" t="s">
        <v>760</v>
      </c>
      <c r="BZ12" s="613" t="s">
        <v>761</v>
      </c>
      <c r="CA12" s="613" t="s">
        <v>762</v>
      </c>
      <c r="CB12" s="613"/>
      <c r="CC12" s="613" t="s">
        <v>763</v>
      </c>
      <c r="CD12" s="613" t="s">
        <v>764</v>
      </c>
      <c r="CE12" s="615" t="s">
        <v>765</v>
      </c>
      <c r="CF12" s="615" t="s">
        <v>766</v>
      </c>
      <c r="CG12" s="615" t="s">
        <v>767</v>
      </c>
      <c r="CH12" s="615" t="s">
        <v>768</v>
      </c>
      <c r="CI12" s="616" t="s">
        <v>769</v>
      </c>
      <c r="CJ12" s="764" t="s">
        <v>770</v>
      </c>
      <c r="CK12" s="615" t="s">
        <v>771</v>
      </c>
      <c r="CL12" s="615" t="s">
        <v>772</v>
      </c>
      <c r="CM12" s="615"/>
      <c r="CN12" s="615" t="s">
        <v>773</v>
      </c>
      <c r="CO12" s="615" t="s">
        <v>774</v>
      </c>
      <c r="CP12" s="615" t="s">
        <v>775</v>
      </c>
      <c r="CQ12" s="615" t="s">
        <v>776</v>
      </c>
      <c r="CR12" s="615" t="s">
        <v>777</v>
      </c>
      <c r="CS12" s="615" t="s">
        <v>778</v>
      </c>
      <c r="CT12" s="616" t="s">
        <v>779</v>
      </c>
      <c r="CU12" s="764" t="s">
        <v>780</v>
      </c>
      <c r="CV12" s="615" t="s">
        <v>781</v>
      </c>
      <c r="CW12" s="615" t="s">
        <v>782</v>
      </c>
      <c r="CX12" s="615"/>
      <c r="CY12" s="615" t="s">
        <v>783</v>
      </c>
      <c r="CZ12" s="615" t="s">
        <v>784</v>
      </c>
      <c r="DA12" s="615" t="s">
        <v>785</v>
      </c>
      <c r="DB12" s="615" t="s">
        <v>786</v>
      </c>
      <c r="DC12" s="615" t="s">
        <v>787</v>
      </c>
      <c r="DD12" s="615" t="s">
        <v>788</v>
      </c>
      <c r="DE12" s="616" t="s">
        <v>789</v>
      </c>
      <c r="DF12" s="764" t="s">
        <v>790</v>
      </c>
      <c r="DG12" s="615" t="s">
        <v>791</v>
      </c>
      <c r="DH12" s="615" t="s">
        <v>792</v>
      </c>
      <c r="DI12" s="615"/>
      <c r="DJ12" s="615" t="s">
        <v>793</v>
      </c>
      <c r="DK12" s="615" t="s">
        <v>794</v>
      </c>
      <c r="DL12" s="615" t="s">
        <v>795</v>
      </c>
      <c r="DM12" s="615" t="s">
        <v>796</v>
      </c>
      <c r="DN12" s="615" t="s">
        <v>797</v>
      </c>
      <c r="DO12" s="615" t="s">
        <v>798</v>
      </c>
      <c r="DP12" s="616" t="s">
        <v>799</v>
      </c>
      <c r="DQ12" s="764" t="s">
        <v>800</v>
      </c>
      <c r="DR12" s="615" t="s">
        <v>801</v>
      </c>
      <c r="DS12" s="615" t="s">
        <v>802</v>
      </c>
      <c r="DT12" s="615"/>
      <c r="DU12" s="615" t="s">
        <v>803</v>
      </c>
      <c r="DV12" s="615" t="s">
        <v>804</v>
      </c>
      <c r="DW12" s="615" t="s">
        <v>805</v>
      </c>
      <c r="DX12" s="615" t="s">
        <v>806</v>
      </c>
      <c r="DY12" s="615" t="s">
        <v>807</v>
      </c>
      <c r="DZ12" s="615" t="s">
        <v>808</v>
      </c>
      <c r="EA12" s="616" t="s">
        <v>809</v>
      </c>
      <c r="EB12" s="616" t="s">
        <v>810</v>
      </c>
      <c r="EC12" s="616" t="s">
        <v>811</v>
      </c>
      <c r="ED12" s="616" t="s">
        <v>812</v>
      </c>
    </row>
    <row r="13" spans="1:136" s="406" customFormat="1">
      <c r="A13" s="409">
        <v>1</v>
      </c>
      <c r="B13" s="765" t="s">
        <v>412</v>
      </c>
      <c r="C13" s="766"/>
      <c r="D13" s="767"/>
      <c r="E13" s="767"/>
      <c r="F13" s="767"/>
      <c r="G13" s="767"/>
      <c r="H13" s="767"/>
      <c r="I13" s="767"/>
      <c r="J13" s="767"/>
      <c r="K13" s="767"/>
      <c r="L13" s="767"/>
      <c r="M13" s="767"/>
      <c r="N13" s="768"/>
      <c r="O13" s="767"/>
      <c r="P13" s="767"/>
      <c r="Q13" s="767"/>
      <c r="R13" s="767"/>
      <c r="S13" s="767"/>
      <c r="T13" s="767"/>
      <c r="U13" s="767"/>
      <c r="V13" s="767"/>
      <c r="W13" s="767"/>
      <c r="X13" s="767"/>
      <c r="Z13" s="767"/>
      <c r="AA13" s="767"/>
      <c r="AB13" s="767"/>
      <c r="AC13" s="767"/>
      <c r="AD13" s="767"/>
      <c r="AE13" s="767"/>
      <c r="AF13" s="767"/>
      <c r="AG13" s="767"/>
      <c r="AH13" s="767"/>
      <c r="AI13" s="767"/>
      <c r="AK13" s="767"/>
      <c r="AL13" s="767"/>
      <c r="AM13" s="767"/>
      <c r="AN13" s="767"/>
      <c r="AO13" s="767"/>
      <c r="AP13" s="767"/>
      <c r="AQ13" s="767"/>
      <c r="AR13" s="767"/>
      <c r="AS13" s="767"/>
      <c r="AT13" s="767"/>
      <c r="AV13" s="767"/>
      <c r="AW13" s="767"/>
      <c r="AX13" s="767"/>
      <c r="AY13" s="767"/>
      <c r="AZ13" s="767"/>
      <c r="BA13" s="767"/>
      <c r="BB13" s="767"/>
      <c r="BC13" s="767"/>
      <c r="BD13" s="767"/>
      <c r="BE13" s="767"/>
      <c r="BG13" s="767"/>
      <c r="BH13" s="767"/>
      <c r="BI13" s="767"/>
      <c r="BJ13" s="767"/>
      <c r="BK13" s="767"/>
      <c r="BL13" s="767"/>
      <c r="BM13" s="767"/>
      <c r="BN13" s="767"/>
      <c r="BO13" s="767"/>
      <c r="BP13" s="767"/>
      <c r="BR13" s="767"/>
      <c r="BS13" s="767"/>
      <c r="BT13" s="767"/>
      <c r="BU13" s="767"/>
      <c r="BV13" s="767"/>
      <c r="BW13" s="767"/>
      <c r="BX13" s="767"/>
      <c r="BY13" s="767"/>
      <c r="BZ13" s="767"/>
      <c r="CA13" s="767"/>
      <c r="CC13" s="767"/>
      <c r="CD13" s="767"/>
      <c r="CE13" s="767"/>
      <c r="CF13" s="767"/>
      <c r="CG13" s="767"/>
      <c r="CH13" s="767"/>
      <c r="CI13" s="767"/>
      <c r="CJ13" s="767"/>
      <c r="CK13" s="767"/>
      <c r="CL13" s="767"/>
      <c r="CN13" s="767"/>
      <c r="CO13" s="767"/>
      <c r="CP13" s="767"/>
      <c r="CQ13" s="767"/>
      <c r="CR13" s="767"/>
      <c r="CS13" s="767"/>
      <c r="CT13" s="767"/>
      <c r="CU13" s="767"/>
      <c r="CV13" s="767"/>
      <c r="CW13" s="767"/>
      <c r="CY13" s="767"/>
      <c r="CZ13" s="767"/>
      <c r="DA13" s="767"/>
      <c r="DB13" s="767"/>
      <c r="DC13" s="767"/>
      <c r="DD13" s="767"/>
      <c r="DE13" s="767"/>
      <c r="DF13" s="767"/>
      <c r="DG13" s="767"/>
      <c r="DH13" s="767"/>
      <c r="DJ13" s="767"/>
      <c r="DK13" s="767"/>
      <c r="DL13" s="767"/>
      <c r="DM13" s="767"/>
      <c r="DN13" s="767"/>
      <c r="DO13" s="767"/>
      <c r="DP13" s="767"/>
      <c r="DQ13" s="767"/>
      <c r="DR13" s="767"/>
      <c r="DS13" s="767"/>
      <c r="DU13" s="767"/>
      <c r="DV13" s="767"/>
      <c r="DW13" s="767"/>
      <c r="DX13" s="767"/>
      <c r="DY13" s="767"/>
      <c r="DZ13" s="767"/>
      <c r="EA13" s="767"/>
      <c r="EB13" s="767"/>
      <c r="EC13" s="767"/>
      <c r="ED13" s="767"/>
    </row>
    <row r="14" spans="1:136" s="406" customFormat="1">
      <c r="A14" s="409">
        <f>1+A13</f>
        <v>2</v>
      </c>
      <c r="B14" s="331" t="s">
        <v>874</v>
      </c>
      <c r="C14" s="769" t="s">
        <v>684</v>
      </c>
      <c r="D14" s="770">
        <v>2038509.6199999973</v>
      </c>
      <c r="E14" s="770">
        <f>ROUND(+$D14*'[5]II-F Alloc_Factor'!E$38,2)</f>
        <v>926671.29</v>
      </c>
      <c r="F14" s="770">
        <f>ROUND(+$D14*'[5]II-F Alloc_Factor'!F$38,2)</f>
        <v>0</v>
      </c>
      <c r="G14" s="770">
        <f>ROUND(+$D14*'[5]II-F Alloc_Factor'!G$38,2)</f>
        <v>796.13</v>
      </c>
      <c r="H14" s="770">
        <f>SUM(E14:G14)</f>
        <v>927467.42</v>
      </c>
      <c r="I14" s="770">
        <f>ROUND(+$D14*'[5]II-F Alloc_Factor'!I$38,2)</f>
        <v>1058351.55</v>
      </c>
      <c r="J14" s="770">
        <f>ROUND(+$D14*'[5]II-F Alloc_Factor'!J$38,2)</f>
        <v>0</v>
      </c>
      <c r="K14" s="770">
        <f>SUM(I14:J14)</f>
        <v>1058351.55</v>
      </c>
      <c r="L14" s="770">
        <f>ROUND(+$D14*'[5]II-F Alloc_Factor'!L$38,2)</f>
        <v>31720.82</v>
      </c>
      <c r="M14" s="770">
        <f>ROUND(+$D14*'[5]II-F Alloc_Factor'!M$38,2)</f>
        <v>20969.830000000002</v>
      </c>
      <c r="N14" s="771"/>
      <c r="O14" s="102">
        <v>-25755673.140000004</v>
      </c>
      <c r="P14" s="770">
        <f>ROUND(+$O14*'[5]II-F Alloc_Factor'!E$38,2)</f>
        <v>-11708084.48</v>
      </c>
      <c r="Q14" s="770">
        <f>ROUND(+$O14*'[5]II-F Alloc_Factor'!F$38,2)</f>
        <v>0</v>
      </c>
      <c r="R14" s="770">
        <f>ROUND(+$O14*'[5]II-F Alloc_Factor'!G$38,2)</f>
        <v>-10058.719999999999</v>
      </c>
      <c r="S14" s="770">
        <f>SUM(P14:R14)</f>
        <v>-11718143.200000001</v>
      </c>
      <c r="T14" s="770">
        <f>ROUND(+$O14*'[5]II-F Alloc_Factor'!I$38,2)</f>
        <v>-13371806.74</v>
      </c>
      <c r="U14" s="770">
        <f>ROUND(+$O14*'[5]II-F Alloc_Factor'!J$38,2)</f>
        <v>0</v>
      </c>
      <c r="V14" s="770">
        <f>SUM(T14:U14)</f>
        <v>-13371806.74</v>
      </c>
      <c r="W14" s="770">
        <f>ROUND(+$O14*'[5]II-F Alloc_Factor'!L$38,2)</f>
        <v>-400778.56</v>
      </c>
      <c r="X14" s="770">
        <f>ROUND(+$O14*'[5]II-F Alloc_Factor'!M$38,2)</f>
        <v>-264944.65000000002</v>
      </c>
      <c r="Z14" s="770">
        <v>-25532714.450000003</v>
      </c>
      <c r="AA14" s="770">
        <f>ROUND(+$Z14*'[5]II-F Alloc_Factor'!E$38,2)</f>
        <v>-11606731.300000001</v>
      </c>
      <c r="AB14" s="770">
        <f>ROUND(+$Z14*'[5]II-F Alloc_Factor'!F$38,2)</f>
        <v>0</v>
      </c>
      <c r="AC14" s="770">
        <f>ROUND(+$Z14*'[5]II-F Alloc_Factor'!G$38,2)</f>
        <v>-9971.64</v>
      </c>
      <c r="AD14" s="770">
        <f>SUM(AA14:AC14)</f>
        <v>-11616702.940000001</v>
      </c>
      <c r="AE14" s="770">
        <f>ROUND(+$Z14*'[5]II-F Alloc_Factor'!I$38,2)</f>
        <v>-13256051.26</v>
      </c>
      <c r="AF14" s="770">
        <f>ROUND(+$Z14*'[5]II-F Alloc_Factor'!J$38,2)</f>
        <v>0</v>
      </c>
      <c r="AG14" s="770">
        <f>SUM(AE14:AF14)</f>
        <v>-13256051.26</v>
      </c>
      <c r="AH14" s="770">
        <f>ROUND(+$Z14*'[5]II-F Alloc_Factor'!L$38,2)</f>
        <v>-397309.14</v>
      </c>
      <c r="AI14" s="770">
        <f>ROUND(+$Z14*'[5]II-F Alloc_Factor'!M$38,2)</f>
        <v>-262651.11</v>
      </c>
      <c r="AK14" s="770">
        <v>-25528944.000000004</v>
      </c>
      <c r="AL14" s="770">
        <f>ROUND(+$AK14*'[5]II-F Alloc_Factor'!E$38,2)</f>
        <v>-11605017.32</v>
      </c>
      <c r="AM14" s="770">
        <f>ROUND(+$AK14*'[5]II-F Alloc_Factor'!F$38,2)</f>
        <v>0</v>
      </c>
      <c r="AN14" s="770">
        <f>ROUND(+$AK14*'[5]II-F Alloc_Factor'!G$38,2)</f>
        <v>-9970.17</v>
      </c>
      <c r="AO14" s="770">
        <f>SUM(AL14:AN14)</f>
        <v>-11614987.49</v>
      </c>
      <c r="AP14" s="770">
        <f>ROUND(+$AK14*'[5]II-F Alloc_Factor'!I$38,2)</f>
        <v>-13254093.720000001</v>
      </c>
      <c r="AQ14" s="770">
        <f>ROUND(+$AK14*'[5]II-F Alloc_Factor'!J$38,2)</f>
        <v>0</v>
      </c>
      <c r="AR14" s="770">
        <f>SUM(AP14:AQ14)</f>
        <v>-13254093.720000001</v>
      </c>
      <c r="AS14" s="770">
        <f>ROUND(+$AK14*'[5]II-F Alloc_Factor'!L$38,2)</f>
        <v>-397250.47</v>
      </c>
      <c r="AT14" s="770">
        <f>ROUND(+$AK14*'[5]II-F Alloc_Factor'!M$38,2)</f>
        <v>-262612.32</v>
      </c>
      <c r="AV14" s="770">
        <v>-25690752.180000003</v>
      </c>
      <c r="AW14" s="770">
        <f>ROUND(+$AV14*'[5]II-F Alloc_Factor'!E$38,2)</f>
        <v>-11678572.529999999</v>
      </c>
      <c r="AX14" s="770">
        <f>ROUND(+$AV14*'[5]II-F Alloc_Factor'!F$38,2)</f>
        <v>0</v>
      </c>
      <c r="AY14" s="770">
        <f>ROUND(+$AV14*'[5]II-F Alloc_Factor'!G$38,2)</f>
        <v>-10033.36</v>
      </c>
      <c r="AZ14" s="770">
        <f>SUM(AW14:AY14)</f>
        <v>-11688605.889999999</v>
      </c>
      <c r="BA14" s="770">
        <f>ROUND(+$AV14*'[5]II-F Alloc_Factor'!I$38,2)</f>
        <v>-13338101.140000001</v>
      </c>
      <c r="BB14" s="770">
        <f>ROUND(+$AV14*'[5]II-F Alloc_Factor'!J$38,2)</f>
        <v>0</v>
      </c>
      <c r="BC14" s="770">
        <f>SUM(BA14:BB14)</f>
        <v>-13338101.140000001</v>
      </c>
      <c r="BD14" s="770">
        <f>ROUND(+$AV14*'[5]II-F Alloc_Factor'!L$38,2)</f>
        <v>-399768.34</v>
      </c>
      <c r="BE14" s="770">
        <f>ROUND(+$AV14*'[5]II-F Alloc_Factor'!M$38,2)</f>
        <v>-264276.82</v>
      </c>
      <c r="BG14" s="770">
        <v>-26777342.880000003</v>
      </c>
      <c r="BH14" s="770">
        <f>ROUND(+$BG14*'[5]II-F Alloc_Factor'!E$38,2)</f>
        <v>-12172517.91</v>
      </c>
      <c r="BI14" s="770">
        <f>ROUND(+$BG14*'[5]II-F Alloc_Factor'!F$38,2)</f>
        <v>0</v>
      </c>
      <c r="BJ14" s="770">
        <f>ROUND(+$BG14*'[5]II-F Alloc_Factor'!G$38,2)</f>
        <v>-10457.719999999999</v>
      </c>
      <c r="BK14" s="770">
        <f>SUM(BH14:BJ14)</f>
        <v>-12182975.630000001</v>
      </c>
      <c r="BL14" s="770">
        <f>ROUND(+$BG14*'[5]II-F Alloc_Factor'!I$38,2)</f>
        <v>-13902236.300000001</v>
      </c>
      <c r="BM14" s="770">
        <f>ROUND(+$BG14*'[5]II-F Alloc_Factor'!J$38,2)</f>
        <v>0</v>
      </c>
      <c r="BN14" s="770">
        <f>SUM(BL14:BM14)</f>
        <v>-13902236.300000001</v>
      </c>
      <c r="BO14" s="770">
        <f>ROUND(+$BG14*'[5]II-F Alloc_Factor'!L$38,2)</f>
        <v>-416676.54</v>
      </c>
      <c r="BP14" s="770">
        <f>ROUND(+$BG14*'[5]II-F Alloc_Factor'!M$38,2)</f>
        <v>-275454.40999999997</v>
      </c>
      <c r="BR14" s="770">
        <v>-27320179.340000004</v>
      </c>
      <c r="BS14" s="770">
        <f>ROUND(+$BR14*'[5]II-F Alloc_Factor'!E$38,2)</f>
        <v>-12419281.99</v>
      </c>
      <c r="BT14" s="770">
        <f>ROUND(+$BR14*'[5]II-F Alloc_Factor'!F$38,2)</f>
        <v>0</v>
      </c>
      <c r="BU14" s="770">
        <f>ROUND(+$BR14*'[5]II-F Alloc_Factor'!G$38,2)</f>
        <v>-10669.72</v>
      </c>
      <c r="BV14" s="770">
        <f>SUM(BS14:BU14)</f>
        <v>-12429951.710000001</v>
      </c>
      <c r="BW14" s="770">
        <f>ROUND(+$BR14*'[5]II-F Alloc_Factor'!I$38,2)</f>
        <v>-14184065.640000001</v>
      </c>
      <c r="BX14" s="770">
        <f>ROUND(+$BR14*'[5]II-F Alloc_Factor'!J$38,2)</f>
        <v>0</v>
      </c>
      <c r="BY14" s="770">
        <f>SUM(BW14:BX14)</f>
        <v>-14184065.640000001</v>
      </c>
      <c r="BZ14" s="770">
        <f>ROUND(+$BR14*'[5]II-F Alloc_Factor'!L$38,2)</f>
        <v>-425123.51</v>
      </c>
      <c r="CA14" s="770">
        <f>ROUND(+$BR14*'[5]II-F Alloc_Factor'!M$38,2)</f>
        <v>-281038.48</v>
      </c>
      <c r="CC14" s="770">
        <v>-27545259.850000005</v>
      </c>
      <c r="CD14" s="770">
        <f>ROUND(+$CC14*'[5]II-F Alloc_Factor'!E$38,2)</f>
        <v>-12521599.710000001</v>
      </c>
      <c r="CE14" s="770">
        <f>ROUND(+$CC14*'[5]II-F Alloc_Factor'!F$38,2)</f>
        <v>0</v>
      </c>
      <c r="CF14" s="770">
        <f>ROUND(+$CC14*'[5]II-F Alloc_Factor'!G$38,2)</f>
        <v>-10757.63</v>
      </c>
      <c r="CG14" s="770">
        <f>SUM(CD14:CF14)</f>
        <v>-12532357.340000002</v>
      </c>
      <c r="CH14" s="770">
        <f>ROUND(+$CC14*'[5]II-F Alloc_Factor'!I$38,2)</f>
        <v>-14300922.73</v>
      </c>
      <c r="CI14" s="770">
        <f>ROUND(+$CC14*'[5]II-F Alloc_Factor'!J$38,2)</f>
        <v>0</v>
      </c>
      <c r="CJ14" s="770">
        <f>SUM(CH14:CI14)</f>
        <v>-14300922.73</v>
      </c>
      <c r="CK14" s="770">
        <f>ROUND(+$CC14*'[5]II-F Alloc_Factor'!L$38,2)</f>
        <v>-428625.94</v>
      </c>
      <c r="CL14" s="770">
        <f>ROUND(+$CC14*'[5]II-F Alloc_Factor'!M$38,2)</f>
        <v>-283353.84999999998</v>
      </c>
      <c r="CN14" s="770">
        <v>-28810089.090000004</v>
      </c>
      <c r="CO14" s="770">
        <f>ROUND(+$CN14*'[5]II-F Alloc_Factor'!E$38,2)</f>
        <v>-13096569.25</v>
      </c>
      <c r="CP14" s="770">
        <f>ROUND(+$CN14*'[5]II-F Alloc_Factor'!F$38,2)</f>
        <v>0</v>
      </c>
      <c r="CQ14" s="770">
        <f>ROUND(+$CN14*'[5]II-F Alloc_Factor'!G$38,2)</f>
        <v>-11251.6</v>
      </c>
      <c r="CR14" s="770">
        <f>SUM(CO14:CQ14)</f>
        <v>-13107820.85</v>
      </c>
      <c r="CS14" s="770">
        <f>ROUND(+$CN14*'[5]II-F Alloc_Factor'!I$38,2)</f>
        <v>-14957595.609999999</v>
      </c>
      <c r="CT14" s="770">
        <f>ROUND(+$CN14*'[5]II-F Alloc_Factor'!J$38,2)</f>
        <v>0</v>
      </c>
      <c r="CU14" s="770">
        <f>SUM(CS14:CT14)</f>
        <v>-14957595.609999999</v>
      </c>
      <c r="CV14" s="770">
        <f>ROUND(+$CN14*'[5]II-F Alloc_Factor'!L$38,2)</f>
        <v>-448307.68</v>
      </c>
      <c r="CW14" s="770">
        <f>ROUND(+$CN14*'[5]II-F Alloc_Factor'!M$38,2)</f>
        <v>-296364.96000000002</v>
      </c>
      <c r="CY14" s="770">
        <v>-41777761.590000004</v>
      </c>
      <c r="CZ14" s="770">
        <f>ROUND(+$CY14*'[5]II-F Alloc_Factor'!E$38,2)</f>
        <v>-18991449.350000001</v>
      </c>
      <c r="DA14" s="770">
        <f>ROUND(+$CY14*'[5]II-F Alloc_Factor'!F$38,2)</f>
        <v>0</v>
      </c>
      <c r="DB14" s="770">
        <f>ROUND(+$CY14*'[5]II-F Alloc_Factor'!G$38,2)</f>
        <v>-16316.04</v>
      </c>
      <c r="DC14" s="770">
        <f>SUM(CZ14:DB14)</f>
        <v>-19007765.390000001</v>
      </c>
      <c r="DD14" s="770">
        <f>ROUND(+$CY14*'[5]II-F Alloc_Factor'!I$38,2)</f>
        <v>-21690139.920000002</v>
      </c>
      <c r="DE14" s="770">
        <f>ROUND(+$CY14*'[5]II-F Alloc_Factor'!J$38,2)</f>
        <v>0</v>
      </c>
      <c r="DF14" s="770">
        <f>SUM(DD14:DE14)</f>
        <v>-21690139.920000002</v>
      </c>
      <c r="DG14" s="770">
        <f>ROUND(+$CY14*'[5]II-F Alloc_Factor'!L$38,2)</f>
        <v>-650094.87</v>
      </c>
      <c r="DH14" s="770">
        <f>ROUND(+$CY14*'[5]II-F Alloc_Factor'!M$38,2)</f>
        <v>-429761.41</v>
      </c>
      <c r="DJ14" s="770">
        <v>-43918797.75</v>
      </c>
      <c r="DK14" s="770">
        <f>ROUND(+$DJ14*'[5]II-F Alloc_Factor'!E$38,2)</f>
        <v>-19964727.43</v>
      </c>
      <c r="DL14" s="770">
        <f>ROUND(+$DJ14*'[5]II-F Alloc_Factor'!F$38,2)</f>
        <v>0</v>
      </c>
      <c r="DM14" s="770">
        <f>ROUND(+$DJ14*'[5]II-F Alloc_Factor'!G$38,2)</f>
        <v>-17152.21</v>
      </c>
      <c r="DN14" s="770">
        <f>SUM(DK14:DM14)</f>
        <v>-19981879.640000001</v>
      </c>
      <c r="DO14" s="770">
        <f>ROUND(+$DJ14*'[5]II-F Alloc_Factor'!I$38,2)</f>
        <v>-22801721.109999999</v>
      </c>
      <c r="DP14" s="770">
        <f>ROUND(+$DJ14*'[5]II-F Alloc_Factor'!J$38,2)</f>
        <v>0</v>
      </c>
      <c r="DQ14" s="770">
        <f>SUM(DO14:DP14)</f>
        <v>-22801721.109999999</v>
      </c>
      <c r="DR14" s="770">
        <f>ROUND(+$DJ14*'[5]II-F Alloc_Factor'!L$38,2)</f>
        <v>-683411.08</v>
      </c>
      <c r="DS14" s="770">
        <f>ROUND(+$DJ14*'[5]II-F Alloc_Factor'!M$38,2)</f>
        <v>-451785.92</v>
      </c>
      <c r="DU14" s="770">
        <v>-43932164.649999999</v>
      </c>
      <c r="DV14" s="770">
        <f>ROUND(+$DU14*'[5]II-F Alloc_Factor'!E$38,2)</f>
        <v>-19970803.800000001</v>
      </c>
      <c r="DW14" s="770">
        <f>ROUND(+$DU14*'[5]II-F Alloc_Factor'!F$38,2)</f>
        <v>0</v>
      </c>
      <c r="DX14" s="770">
        <f>ROUND(+$DU14*'[5]II-F Alloc_Factor'!G$38,2)</f>
        <v>-17157.43</v>
      </c>
      <c r="DY14" s="770">
        <f>SUM(DV14:DX14)</f>
        <v>-19987961.23</v>
      </c>
      <c r="DZ14" s="770">
        <f>ROUND(+$DU14*'[5]II-F Alloc_Factor'!I$38,2)</f>
        <v>-22808660.920000002</v>
      </c>
      <c r="EA14" s="770">
        <f>ROUND(+$DU14*'[5]II-F Alloc_Factor'!J$38,2)</f>
        <v>0</v>
      </c>
      <c r="EB14" s="770">
        <f>SUM(DZ14:EA14)</f>
        <v>-22808660.920000002</v>
      </c>
      <c r="EC14" s="770">
        <f>ROUND(+$DU14*'[5]II-F Alloc_Factor'!L$38,2)</f>
        <v>-683619.08</v>
      </c>
      <c r="ED14" s="770">
        <f>ROUND(+$DU14*'[5]II-F Alloc_Factor'!M$38,2)</f>
        <v>-451923.42</v>
      </c>
      <c r="EE14" s="772">
        <f>+DU14+'II-E-3.5'!K21</f>
        <v>0</v>
      </c>
      <c r="EF14" s="772">
        <f>+DY14+EB14+EC14+ED14-DU14</f>
        <v>0</v>
      </c>
    </row>
    <row r="15" spans="1:136" s="406" customFormat="1">
      <c r="A15" s="409">
        <f t="shared" ref="A15:A78" si="0">1+A14</f>
        <v>3</v>
      </c>
      <c r="B15" s="366" t="s">
        <v>568</v>
      </c>
      <c r="C15" s="769" t="s">
        <v>684</v>
      </c>
      <c r="D15" s="773">
        <v>-1282331.44</v>
      </c>
      <c r="E15" s="773">
        <f>ROUND(+$D15*'[5]II-F Alloc_Factor'!E$38,2)</f>
        <v>-582925.74</v>
      </c>
      <c r="F15" s="773">
        <f>ROUND(+$D15*'[5]II-F Alloc_Factor'!F$38,2)</f>
        <v>0</v>
      </c>
      <c r="G15" s="773">
        <f>ROUND(+$D15*'[5]II-F Alloc_Factor'!G$38,2)</f>
        <v>-500.81</v>
      </c>
      <c r="H15" s="773">
        <f t="shared" ref="H15:H29" si="1">SUM(E15:G15)</f>
        <v>-583426.55000000005</v>
      </c>
      <c r="I15" s="773">
        <f>ROUND(+$D15*'[5]II-F Alloc_Factor'!I$38,2)</f>
        <v>-665759.66</v>
      </c>
      <c r="J15" s="773">
        <f>ROUND(+$D15*'[5]II-F Alloc_Factor'!J$38,2)</f>
        <v>0</v>
      </c>
      <c r="K15" s="773">
        <f t="shared" ref="K15:K29" si="2">SUM(I15:J15)</f>
        <v>-665759.66</v>
      </c>
      <c r="L15" s="773">
        <f>ROUND(+$D15*'[5]II-F Alloc_Factor'!L$38,2)</f>
        <v>-19954.09</v>
      </c>
      <c r="M15" s="773">
        <f>ROUND(+$D15*'[5]II-F Alloc_Factor'!M$38,2)</f>
        <v>-13191.15</v>
      </c>
      <c r="N15" s="774"/>
      <c r="O15" s="99">
        <v>-1302895.8899999999</v>
      </c>
      <c r="P15" s="773">
        <f>ROUND(+$O15*'[5]II-F Alloc_Factor'!E$38,2)</f>
        <v>-592273.98</v>
      </c>
      <c r="Q15" s="773">
        <f>ROUND(+$O15*'[5]II-F Alloc_Factor'!F$38,2)</f>
        <v>0</v>
      </c>
      <c r="R15" s="773">
        <f>ROUND(+$O15*'[5]II-F Alloc_Factor'!G$38,2)</f>
        <v>-508.84</v>
      </c>
      <c r="S15" s="773">
        <f t="shared" ref="S15:S29" si="3">SUM(P15:R15)</f>
        <v>-592782.81999999995</v>
      </c>
      <c r="T15" s="773">
        <f>ROUND(+$O15*'[5]II-F Alloc_Factor'!I$38,2)</f>
        <v>-676436.29</v>
      </c>
      <c r="U15" s="773">
        <f>ROUND(+$O15*'[5]II-F Alloc_Factor'!J$38,2)</f>
        <v>0</v>
      </c>
      <c r="V15" s="773">
        <f t="shared" ref="V15:V29" si="4">SUM(T15:U15)</f>
        <v>-676436.29</v>
      </c>
      <c r="W15" s="773">
        <f>ROUND(+$O15*'[5]II-F Alloc_Factor'!L$38,2)</f>
        <v>-20274.09</v>
      </c>
      <c r="X15" s="773">
        <f>ROUND(+$O15*'[5]II-F Alloc_Factor'!M$38,2)</f>
        <v>-13402.69</v>
      </c>
      <c r="Z15" s="102">
        <v>-1323460.3499999999</v>
      </c>
      <c r="AA15" s="773">
        <f>ROUND(+$Z15*'[5]II-F Alloc_Factor'!E$38,2)</f>
        <v>-601622.23</v>
      </c>
      <c r="AB15" s="773">
        <f>ROUND(+$Z15*'[5]II-F Alloc_Factor'!F$38,2)</f>
        <v>0</v>
      </c>
      <c r="AC15" s="773">
        <f>ROUND(+$Z15*'[5]II-F Alloc_Factor'!G$38,2)</f>
        <v>-516.87</v>
      </c>
      <c r="AD15" s="773">
        <f t="shared" ref="AD15:AD29" si="5">SUM(AA15:AC15)</f>
        <v>-602139.1</v>
      </c>
      <c r="AE15" s="773">
        <f>ROUND(+$Z15*'[5]II-F Alloc_Factor'!I$38,2)</f>
        <v>-687112.93</v>
      </c>
      <c r="AF15" s="773">
        <f>ROUND(+$Z15*'[5]II-F Alloc_Factor'!J$38,2)</f>
        <v>0</v>
      </c>
      <c r="AG15" s="773">
        <f t="shared" ref="AG15:AG29" si="6">SUM(AE15:AF15)</f>
        <v>-687112.93</v>
      </c>
      <c r="AH15" s="773">
        <f>ROUND(+$Z15*'[5]II-F Alloc_Factor'!L$38,2)</f>
        <v>-20594.09</v>
      </c>
      <c r="AI15" s="773">
        <f>ROUND(+$Z15*'[5]II-F Alloc_Factor'!M$38,2)</f>
        <v>-13614.23</v>
      </c>
      <c r="AK15" s="773">
        <v>-1344024.7999999998</v>
      </c>
      <c r="AL15" s="773">
        <f>ROUND(+$AK15*'[5]II-F Alloc_Factor'!E$38,2)</f>
        <v>-610970.48</v>
      </c>
      <c r="AM15" s="773">
        <f>ROUND(+$AK15*'[5]II-F Alloc_Factor'!F$38,2)</f>
        <v>0</v>
      </c>
      <c r="AN15" s="773">
        <f>ROUND(+$AK15*'[5]II-F Alloc_Factor'!G$38,2)</f>
        <v>-524.9</v>
      </c>
      <c r="AO15" s="773">
        <f t="shared" ref="AO15:AO29" si="7">SUM(AL15:AN15)</f>
        <v>-611495.38</v>
      </c>
      <c r="AP15" s="773">
        <f>ROUND(+$AK15*'[5]II-F Alloc_Factor'!I$38,2)</f>
        <v>-697789.56</v>
      </c>
      <c r="AQ15" s="773">
        <f>ROUND(+$AK15*'[5]II-F Alloc_Factor'!J$38,2)</f>
        <v>0</v>
      </c>
      <c r="AR15" s="773">
        <f t="shared" ref="AR15:AR29" si="8">SUM(AP15:AQ15)</f>
        <v>-697789.56</v>
      </c>
      <c r="AS15" s="773">
        <f>ROUND(+$AK15*'[5]II-F Alloc_Factor'!L$38,2)</f>
        <v>-20914.080000000002</v>
      </c>
      <c r="AT15" s="773">
        <f>ROUND(+$AK15*'[5]II-F Alloc_Factor'!M$38,2)</f>
        <v>-13825.78</v>
      </c>
      <c r="AV15" s="773">
        <v>-1364589.2499999998</v>
      </c>
      <c r="AW15" s="773">
        <f>ROUND(+$AV15*'[5]II-F Alloc_Factor'!E$38,2)</f>
        <v>-620318.71999999997</v>
      </c>
      <c r="AX15" s="773">
        <f>ROUND(+$AV15*'[5]II-F Alloc_Factor'!F$38,2)</f>
        <v>0</v>
      </c>
      <c r="AY15" s="773">
        <f>ROUND(+$AV15*'[5]II-F Alloc_Factor'!G$38,2)</f>
        <v>-532.92999999999995</v>
      </c>
      <c r="AZ15" s="773">
        <f t="shared" ref="AZ15:AZ29" si="9">SUM(AW15:AY15)</f>
        <v>-620851.65</v>
      </c>
      <c r="BA15" s="773">
        <f>ROUND(+$AV15*'[5]II-F Alloc_Factor'!I$38,2)</f>
        <v>-708466.19</v>
      </c>
      <c r="BB15" s="773">
        <f>ROUND(+$AV15*'[5]II-F Alloc_Factor'!J$38,2)</f>
        <v>0</v>
      </c>
      <c r="BC15" s="773">
        <f t="shared" ref="BC15:BC29" si="10">SUM(BA15:BB15)</f>
        <v>-708466.19</v>
      </c>
      <c r="BD15" s="773">
        <f>ROUND(+$AV15*'[5]II-F Alloc_Factor'!L$38,2)</f>
        <v>-21234.080000000002</v>
      </c>
      <c r="BE15" s="773">
        <f>ROUND(+$AV15*'[5]II-F Alloc_Factor'!M$38,2)</f>
        <v>-14037.32</v>
      </c>
      <c r="BG15" s="773">
        <v>-1385153.7099999997</v>
      </c>
      <c r="BH15" s="773">
        <f>ROUND(+$BG15*'[5]II-F Alloc_Factor'!E$38,2)</f>
        <v>-629666.97</v>
      </c>
      <c r="BI15" s="773">
        <f>ROUND(+$BG15*'[5]II-F Alloc_Factor'!F$38,2)</f>
        <v>0</v>
      </c>
      <c r="BJ15" s="773">
        <f>ROUND(+$BG15*'[5]II-F Alloc_Factor'!G$38,2)</f>
        <v>-540.96</v>
      </c>
      <c r="BK15" s="773">
        <f t="shared" ref="BK15:BK29" si="11">SUM(BH15:BJ15)</f>
        <v>-630207.92999999993</v>
      </c>
      <c r="BL15" s="773">
        <f>ROUND(+$BG15*'[5]II-F Alloc_Factor'!I$38,2)</f>
        <v>-719142.83</v>
      </c>
      <c r="BM15" s="773">
        <f>ROUND(+$BG15*'[5]II-F Alloc_Factor'!J$38,2)</f>
        <v>0</v>
      </c>
      <c r="BN15" s="773">
        <f t="shared" ref="BN15:BN29" si="12">SUM(BL15:BM15)</f>
        <v>-719142.83</v>
      </c>
      <c r="BO15" s="773">
        <f>ROUND(+$BG15*'[5]II-F Alloc_Factor'!L$38,2)</f>
        <v>-21554.080000000002</v>
      </c>
      <c r="BP15" s="773">
        <f>ROUND(+$BG15*'[5]II-F Alloc_Factor'!M$38,2)</f>
        <v>-14248.86</v>
      </c>
      <c r="BR15" s="773">
        <v>-1405718.1599999997</v>
      </c>
      <c r="BS15" s="773">
        <f>ROUND(+$BR15*'[5]II-F Alloc_Factor'!E$38,2)</f>
        <v>-639015.21</v>
      </c>
      <c r="BT15" s="773">
        <f>ROUND(+$BR15*'[5]II-F Alloc_Factor'!F$38,2)</f>
        <v>0</v>
      </c>
      <c r="BU15" s="773">
        <f>ROUND(+$BR15*'[5]II-F Alloc_Factor'!G$38,2)</f>
        <v>-548.99</v>
      </c>
      <c r="BV15" s="773">
        <f t="shared" ref="BV15:BV29" si="13">SUM(BS15:BU15)</f>
        <v>-639564.19999999995</v>
      </c>
      <c r="BW15" s="773">
        <f>ROUND(+$BR15*'[5]II-F Alloc_Factor'!I$38,2)</f>
        <v>-729819.46</v>
      </c>
      <c r="BX15" s="773">
        <f>ROUND(+$BR15*'[5]II-F Alloc_Factor'!J$38,2)</f>
        <v>0</v>
      </c>
      <c r="BY15" s="773">
        <f t="shared" ref="BY15:BY29" si="14">SUM(BW15:BX15)</f>
        <v>-729819.46</v>
      </c>
      <c r="BZ15" s="773">
        <f>ROUND(+$BR15*'[5]II-F Alloc_Factor'!L$38,2)</f>
        <v>-21874.080000000002</v>
      </c>
      <c r="CA15" s="773">
        <f>ROUND(+$BR15*'[5]II-F Alloc_Factor'!M$38,2)</f>
        <v>-14460.41</v>
      </c>
      <c r="CC15" s="773">
        <v>-1426282.6099999996</v>
      </c>
      <c r="CD15" s="773">
        <f>ROUND(+$CC15*'[5]II-F Alloc_Factor'!E$38,2)</f>
        <v>-648363.46</v>
      </c>
      <c r="CE15" s="773">
        <f>ROUND(+$CC15*'[5]II-F Alloc_Factor'!F$38,2)</f>
        <v>0</v>
      </c>
      <c r="CF15" s="773">
        <f>ROUND(+$CC15*'[5]II-F Alloc_Factor'!G$38,2)</f>
        <v>-557.03</v>
      </c>
      <c r="CG15" s="773">
        <f t="shared" ref="CG15:CG29" si="15">SUM(CD15:CF15)</f>
        <v>-648920.49</v>
      </c>
      <c r="CH15" s="773">
        <f>ROUND(+$CC15*'[5]II-F Alloc_Factor'!I$38,2)</f>
        <v>-740496.1</v>
      </c>
      <c r="CI15" s="773">
        <f>ROUND(+$CC15*'[5]II-F Alloc_Factor'!J$38,2)</f>
        <v>0</v>
      </c>
      <c r="CJ15" s="773">
        <f t="shared" ref="CJ15:CJ29" si="16">SUM(CH15:CI15)</f>
        <v>-740496.1</v>
      </c>
      <c r="CK15" s="773">
        <f>ROUND(+$CC15*'[5]II-F Alloc_Factor'!L$38,2)</f>
        <v>-22194.080000000002</v>
      </c>
      <c r="CL15" s="773">
        <f>ROUND(+$CC15*'[5]II-F Alloc_Factor'!M$38,2)</f>
        <v>-14671.95</v>
      </c>
      <c r="CN15" s="773">
        <v>-2394523.0999999996</v>
      </c>
      <c r="CO15" s="773">
        <f>ROUND(+$CN15*'[5]II-F Alloc_Factor'!E$38,2)</f>
        <v>-1088508.8700000001</v>
      </c>
      <c r="CP15" s="773">
        <f>ROUND(+$CN15*'[5]II-F Alloc_Factor'!F$38,2)</f>
        <v>0</v>
      </c>
      <c r="CQ15" s="773">
        <f>ROUND(+$CN15*'[5]II-F Alloc_Factor'!G$38,2)</f>
        <v>-935.17</v>
      </c>
      <c r="CR15" s="773">
        <f t="shared" ref="CR15:CR29" si="17">SUM(CO15:CQ15)</f>
        <v>-1089444.04</v>
      </c>
      <c r="CS15" s="773">
        <f>ROUND(+$CN15*'[5]II-F Alloc_Factor'!I$38,2)</f>
        <v>-1243186.31</v>
      </c>
      <c r="CT15" s="773">
        <f>ROUND(+$CN15*'[5]II-F Alloc_Factor'!J$38,2)</f>
        <v>0</v>
      </c>
      <c r="CU15" s="773">
        <f t="shared" ref="CU15:CU29" si="18">SUM(CS15:CT15)</f>
        <v>-1243186.31</v>
      </c>
      <c r="CV15" s="773">
        <f>ROUND(+$CN15*'[5]II-F Alloc_Factor'!L$38,2)</f>
        <v>-37260.67</v>
      </c>
      <c r="CW15" s="773">
        <f>ROUND(+$CN15*'[5]II-F Alloc_Factor'!M$38,2)</f>
        <v>-24632.09</v>
      </c>
      <c r="CY15" s="773">
        <v>-2462201.34</v>
      </c>
      <c r="CZ15" s="773">
        <f>ROUND(+$CY15*'[5]II-F Alloc_Factor'!E$38,2)</f>
        <v>-1119274.23</v>
      </c>
      <c r="DA15" s="773">
        <f>ROUND(+$CY15*'[5]II-F Alloc_Factor'!F$38,2)</f>
        <v>0</v>
      </c>
      <c r="DB15" s="773">
        <f>ROUND(+$CY15*'[5]II-F Alloc_Factor'!G$38,2)</f>
        <v>-961.6</v>
      </c>
      <c r="DC15" s="773">
        <f t="shared" ref="DC15:DC29" si="19">SUM(CZ15:DB15)</f>
        <v>-1120235.83</v>
      </c>
      <c r="DD15" s="773">
        <f>ROUND(+$CY15*'[5]II-F Alloc_Factor'!I$38,2)</f>
        <v>-1278323.43</v>
      </c>
      <c r="DE15" s="773">
        <f>ROUND(+$CY15*'[5]II-F Alloc_Factor'!J$38,2)</f>
        <v>0</v>
      </c>
      <c r="DF15" s="773">
        <f t="shared" ref="DF15:DF29" si="20">SUM(DD15:DE15)</f>
        <v>-1278323.43</v>
      </c>
      <c r="DG15" s="773">
        <f>ROUND(+$CY15*'[5]II-F Alloc_Factor'!L$38,2)</f>
        <v>-38313.79</v>
      </c>
      <c r="DH15" s="773">
        <f>ROUND(+$CY15*'[5]II-F Alloc_Factor'!M$38,2)</f>
        <v>-25328.29</v>
      </c>
      <c r="DJ15" s="773">
        <v>-2529879.58</v>
      </c>
      <c r="DK15" s="773">
        <f>ROUND(+$DJ15*'[5]II-F Alloc_Factor'!E$38,2)</f>
        <v>-1150039.5900000001</v>
      </c>
      <c r="DL15" s="773">
        <f>ROUND(+$DJ15*'[5]II-F Alloc_Factor'!F$38,2)</f>
        <v>0</v>
      </c>
      <c r="DM15" s="773">
        <f>ROUND(+$DJ15*'[5]II-F Alloc_Factor'!G$38,2)</f>
        <v>-988.03</v>
      </c>
      <c r="DN15" s="773">
        <f t="shared" ref="DN15:DN29" si="21">SUM(DK15:DM15)</f>
        <v>-1151027.6200000001</v>
      </c>
      <c r="DO15" s="773">
        <f>ROUND(+$DJ15*'[5]II-F Alloc_Factor'!I$38,2)</f>
        <v>-1313460.56</v>
      </c>
      <c r="DP15" s="773">
        <f>ROUND(+$DJ15*'[5]II-F Alloc_Factor'!J$38,2)</f>
        <v>0</v>
      </c>
      <c r="DQ15" s="773">
        <f t="shared" ref="DQ15:DQ29" si="22">SUM(DO15:DP15)</f>
        <v>-1313460.56</v>
      </c>
      <c r="DR15" s="773">
        <f>ROUND(+$DJ15*'[5]II-F Alloc_Factor'!L$38,2)</f>
        <v>-39366.92</v>
      </c>
      <c r="DS15" s="773">
        <f>ROUND(+$DJ15*'[5]II-F Alloc_Factor'!M$38,2)</f>
        <v>-26024.48</v>
      </c>
      <c r="DU15" s="773">
        <v>-2670081.87</v>
      </c>
      <c r="DV15" s="773">
        <f>ROUND(+$DU15*'[5]II-F Alloc_Factor'!E$38,2)</f>
        <v>-1213773.1299999999</v>
      </c>
      <c r="DW15" s="773">
        <f>ROUND(+$DU15*'[5]II-F Alloc_Factor'!F$38,2)</f>
        <v>0</v>
      </c>
      <c r="DX15" s="773">
        <f>ROUND(+$DU15*'[5]II-F Alloc_Factor'!G$38,2)</f>
        <v>-1042.78</v>
      </c>
      <c r="DY15" s="773">
        <f t="shared" ref="DY15:DY29" si="23">SUM(DV15:DX15)</f>
        <v>-1214815.9099999999</v>
      </c>
      <c r="DZ15" s="773">
        <f>ROUND(+$DU15*'[5]II-F Alloc_Factor'!I$38,2)</f>
        <v>-1386250.65</v>
      </c>
      <c r="EA15" s="773">
        <f>ROUND(+$DU15*'[5]II-F Alloc_Factor'!J$38,2)</f>
        <v>0</v>
      </c>
      <c r="EB15" s="773">
        <f t="shared" ref="EB15:EB29" si="24">SUM(DZ15:EA15)</f>
        <v>-1386250.65</v>
      </c>
      <c r="EC15" s="773">
        <f>ROUND(+$DU15*'[5]II-F Alloc_Factor'!L$38,2)</f>
        <v>-41548.58</v>
      </c>
      <c r="ED15" s="773">
        <f>ROUND(+$DU15*'[5]II-F Alloc_Factor'!M$38,2)</f>
        <v>-27466.720000000001</v>
      </c>
      <c r="EE15" s="772">
        <f>+DU15+'II-E-3.5'!K22</f>
        <v>0</v>
      </c>
      <c r="EF15" s="772">
        <f t="shared" ref="EF15:EF29" si="25">+DY15+EB15+EC15+ED15-DU15</f>
        <v>1.0000000242143869E-2</v>
      </c>
    </row>
    <row r="16" spans="1:136" s="406" customFormat="1">
      <c r="A16" s="409">
        <f t="shared" si="0"/>
        <v>4</v>
      </c>
      <c r="B16" s="366" t="s">
        <v>599</v>
      </c>
      <c r="C16" s="769" t="s">
        <v>684</v>
      </c>
      <c r="D16" s="773">
        <v>-24981573.18</v>
      </c>
      <c r="E16" s="773">
        <f>ROUND(+$D16*'[5]II-F Alloc_Factor'!E$38,2)</f>
        <v>-11356191.99</v>
      </c>
      <c r="F16" s="773">
        <f>ROUND(+$D16*'[5]II-F Alloc_Factor'!F$38,2)</f>
        <v>0</v>
      </c>
      <c r="G16" s="773">
        <f>ROUND(+$D16*'[5]II-F Alloc_Factor'!G$38,2)</f>
        <v>-9756.4</v>
      </c>
      <c r="H16" s="773">
        <f t="shared" si="1"/>
        <v>-11365948.390000001</v>
      </c>
      <c r="I16" s="773">
        <f>ROUND(+$D16*'[5]II-F Alloc_Factor'!I$38,2)</f>
        <v>-12969910.24</v>
      </c>
      <c r="J16" s="773">
        <f>ROUND(+$D16*'[5]II-F Alloc_Factor'!J$38,2)</f>
        <v>0</v>
      </c>
      <c r="K16" s="773">
        <f t="shared" si="2"/>
        <v>-12969910.24</v>
      </c>
      <c r="L16" s="773">
        <f>ROUND(+$D16*'[5]II-F Alloc_Factor'!L$38,2)</f>
        <v>-388732.95</v>
      </c>
      <c r="M16" s="773">
        <f>ROUND(+$D16*'[5]II-F Alloc_Factor'!M$38,2)</f>
        <v>-256981.6</v>
      </c>
      <c r="N16" s="774"/>
      <c r="O16" s="102">
        <v>-25180935.560000002</v>
      </c>
      <c r="P16" s="773">
        <f>ROUND(+$O16*'[5]II-F Alloc_Factor'!E$38,2)</f>
        <v>-11446818.689999999</v>
      </c>
      <c r="Q16" s="773">
        <f>ROUND(+$O16*'[5]II-F Alloc_Factor'!F$38,2)</f>
        <v>0</v>
      </c>
      <c r="R16" s="773">
        <f>ROUND(+$O16*'[5]II-F Alloc_Factor'!G$38,2)</f>
        <v>-9834.26</v>
      </c>
      <c r="S16" s="773">
        <f t="shared" si="3"/>
        <v>-11456652.949999999</v>
      </c>
      <c r="T16" s="773">
        <f>ROUND(+$O16*'[5]II-F Alloc_Factor'!I$38,2)</f>
        <v>-13073415.01</v>
      </c>
      <c r="U16" s="773">
        <f>ROUND(+$O16*'[5]II-F Alloc_Factor'!J$38,2)</f>
        <v>0</v>
      </c>
      <c r="V16" s="773">
        <f t="shared" si="4"/>
        <v>-13073415.01</v>
      </c>
      <c r="W16" s="773">
        <f>ROUND(+$O16*'[5]II-F Alloc_Factor'!L$38,2)</f>
        <v>-391835.19</v>
      </c>
      <c r="X16" s="773">
        <f>ROUND(+$O16*'[5]II-F Alloc_Factor'!M$38,2)</f>
        <v>-259032.41</v>
      </c>
      <c r="Z16" s="102">
        <v>-25263668.75</v>
      </c>
      <c r="AA16" s="773">
        <f>ROUND(+$Z16*'[5]II-F Alloc_Factor'!E$38,2)</f>
        <v>-11484427.77</v>
      </c>
      <c r="AB16" s="773">
        <f>ROUND(+$Z16*'[5]II-F Alloc_Factor'!F$38,2)</f>
        <v>0</v>
      </c>
      <c r="AC16" s="773">
        <f>ROUND(+$Z16*'[5]II-F Alloc_Factor'!G$38,2)</f>
        <v>-9866.57</v>
      </c>
      <c r="AD16" s="773">
        <f t="shared" si="5"/>
        <v>-11494294.34</v>
      </c>
      <c r="AE16" s="773">
        <f>ROUND(+$Z16*'[5]II-F Alloc_Factor'!I$38,2)</f>
        <v>-13116368.359999999</v>
      </c>
      <c r="AF16" s="773">
        <f>ROUND(+$Z16*'[5]II-F Alloc_Factor'!J$38,2)</f>
        <v>0</v>
      </c>
      <c r="AG16" s="773">
        <f t="shared" si="6"/>
        <v>-13116368.359999999</v>
      </c>
      <c r="AH16" s="773">
        <f>ROUND(+$Z16*'[5]II-F Alloc_Factor'!L$38,2)</f>
        <v>-393122.58</v>
      </c>
      <c r="AI16" s="773">
        <f>ROUND(+$Z16*'[5]II-F Alloc_Factor'!M$38,2)</f>
        <v>-259883.48</v>
      </c>
      <c r="AK16" s="773">
        <v>-25422233.850000001</v>
      </c>
      <c r="AL16" s="773">
        <f>ROUND(+$AK16*'[5]II-F Alloc_Factor'!E$38,2)</f>
        <v>-11556508.73</v>
      </c>
      <c r="AM16" s="773">
        <f>ROUND(+$AK16*'[5]II-F Alloc_Factor'!F$38,2)</f>
        <v>0</v>
      </c>
      <c r="AN16" s="773">
        <f>ROUND(+$AK16*'[5]II-F Alloc_Factor'!G$38,2)</f>
        <v>-9928.49</v>
      </c>
      <c r="AO16" s="773">
        <f t="shared" si="7"/>
        <v>-11566437.220000001</v>
      </c>
      <c r="AP16" s="773">
        <f>ROUND(+$AK16*'[5]II-F Alloc_Factor'!I$38,2)</f>
        <v>-13198692.039999999</v>
      </c>
      <c r="AQ16" s="773">
        <f>ROUND(+$AK16*'[5]II-F Alloc_Factor'!J$38,2)</f>
        <v>0</v>
      </c>
      <c r="AR16" s="773">
        <f t="shared" si="8"/>
        <v>-13198692.039999999</v>
      </c>
      <c r="AS16" s="773">
        <f>ROUND(+$AK16*'[5]II-F Alloc_Factor'!L$38,2)</f>
        <v>-395589.98</v>
      </c>
      <c r="AT16" s="773">
        <f>ROUND(+$AK16*'[5]II-F Alloc_Factor'!M$38,2)</f>
        <v>-261514.61</v>
      </c>
      <c r="AV16" s="773">
        <v>-25581470.73</v>
      </c>
      <c r="AW16" s="773">
        <f>ROUND(+$AV16*'[5]II-F Alloc_Factor'!E$38,2)</f>
        <v>-11628895.07</v>
      </c>
      <c r="AX16" s="773">
        <f>ROUND(+$AV16*'[5]II-F Alloc_Factor'!F$38,2)</f>
        <v>0</v>
      </c>
      <c r="AY16" s="773">
        <f>ROUND(+$AV16*'[5]II-F Alloc_Factor'!G$38,2)</f>
        <v>-9990.68</v>
      </c>
      <c r="AZ16" s="773">
        <f t="shared" si="9"/>
        <v>-11638885.75</v>
      </c>
      <c r="BA16" s="773">
        <f>ROUND(+$AV16*'[5]II-F Alloc_Factor'!I$38,2)</f>
        <v>-13281364.5</v>
      </c>
      <c r="BB16" s="773">
        <f>ROUND(+$AV16*'[5]II-F Alloc_Factor'!J$38,2)</f>
        <v>0</v>
      </c>
      <c r="BC16" s="773">
        <f t="shared" si="10"/>
        <v>-13281364.5</v>
      </c>
      <c r="BD16" s="773">
        <f>ROUND(+$AV16*'[5]II-F Alloc_Factor'!L$38,2)</f>
        <v>-398067.83</v>
      </c>
      <c r="BE16" s="773">
        <f>ROUND(+$AV16*'[5]II-F Alloc_Factor'!M$38,2)</f>
        <v>-263152.65999999997</v>
      </c>
      <c r="BG16" s="773">
        <v>-25727507.43</v>
      </c>
      <c r="BH16" s="773">
        <f>ROUND(+$BG16*'[5]II-F Alloc_Factor'!E$38,2)</f>
        <v>-11695280.83</v>
      </c>
      <c r="BI16" s="773">
        <f>ROUND(+$BG16*'[5]II-F Alloc_Factor'!F$38,2)</f>
        <v>0</v>
      </c>
      <c r="BJ16" s="773">
        <f>ROUND(+$BG16*'[5]II-F Alloc_Factor'!G$38,2)</f>
        <v>-10047.719999999999</v>
      </c>
      <c r="BK16" s="773">
        <f t="shared" si="11"/>
        <v>-11705328.550000001</v>
      </c>
      <c r="BL16" s="773">
        <f>ROUND(+$BG16*'[5]II-F Alloc_Factor'!I$38,2)</f>
        <v>-13357183.699999999</v>
      </c>
      <c r="BM16" s="773">
        <f>ROUND(+$BG16*'[5]II-F Alloc_Factor'!J$38,2)</f>
        <v>0</v>
      </c>
      <c r="BN16" s="773">
        <f t="shared" si="12"/>
        <v>-13357183.699999999</v>
      </c>
      <c r="BO16" s="773">
        <f>ROUND(+$BG16*'[5]II-F Alloc_Factor'!L$38,2)</f>
        <v>-400340.28</v>
      </c>
      <c r="BP16" s="773">
        <f>ROUND(+$BG16*'[5]II-F Alloc_Factor'!M$38,2)</f>
        <v>-264654.90999999997</v>
      </c>
      <c r="BR16" s="773">
        <v>-25876809.41</v>
      </c>
      <c r="BS16" s="773">
        <f>ROUND(+$BR16*'[5]II-F Alloc_Factor'!E$38,2)</f>
        <v>-11763150.93</v>
      </c>
      <c r="BT16" s="773">
        <f>ROUND(+$BR16*'[5]II-F Alloc_Factor'!F$38,2)</f>
        <v>0</v>
      </c>
      <c r="BU16" s="773">
        <f>ROUND(+$BR16*'[5]II-F Alloc_Factor'!G$38,2)</f>
        <v>-10106.02</v>
      </c>
      <c r="BV16" s="773">
        <f t="shared" si="13"/>
        <v>-11773256.949999999</v>
      </c>
      <c r="BW16" s="773">
        <f>ROUND(+$BR16*'[5]II-F Alloc_Factor'!I$38,2)</f>
        <v>-13434698.16</v>
      </c>
      <c r="BX16" s="773">
        <f>ROUND(+$BR16*'[5]II-F Alloc_Factor'!J$38,2)</f>
        <v>0</v>
      </c>
      <c r="BY16" s="773">
        <f t="shared" si="14"/>
        <v>-13434698.16</v>
      </c>
      <c r="BZ16" s="773">
        <f>ROUND(+$BR16*'[5]II-F Alloc_Factor'!L$38,2)</f>
        <v>-402663.53</v>
      </c>
      <c r="CA16" s="773">
        <f>ROUND(+$BR16*'[5]II-F Alloc_Factor'!M$38,2)</f>
        <v>-266190.76</v>
      </c>
      <c r="CC16" s="773">
        <v>-26034096.84</v>
      </c>
      <c r="CD16" s="773">
        <f>ROUND(+$CC16*'[5]II-F Alloc_Factor'!E$38,2)</f>
        <v>-11834651.08</v>
      </c>
      <c r="CE16" s="773">
        <f>ROUND(+$CC16*'[5]II-F Alloc_Factor'!F$38,2)</f>
        <v>0</v>
      </c>
      <c r="CF16" s="773">
        <f>ROUND(+$CC16*'[5]II-F Alloc_Factor'!G$38,2)</f>
        <v>-10167.450000000001</v>
      </c>
      <c r="CG16" s="773">
        <f t="shared" si="15"/>
        <v>-11844818.529999999</v>
      </c>
      <c r="CH16" s="773">
        <f>ROUND(+$CC16*'[5]II-F Alloc_Factor'!I$38,2)</f>
        <v>-13516358.5</v>
      </c>
      <c r="CI16" s="773">
        <f>ROUND(+$CC16*'[5]II-F Alloc_Factor'!J$38,2)</f>
        <v>0</v>
      </c>
      <c r="CJ16" s="773">
        <f t="shared" si="16"/>
        <v>-13516358.5</v>
      </c>
      <c r="CK16" s="773">
        <f>ROUND(+$CC16*'[5]II-F Alloc_Factor'!L$38,2)</f>
        <v>-405111.05</v>
      </c>
      <c r="CL16" s="773">
        <f>ROUND(+$CC16*'[5]II-F Alloc_Factor'!M$38,2)</f>
        <v>-267808.75</v>
      </c>
      <c r="CN16" s="773">
        <v>-26191116.039999999</v>
      </c>
      <c r="CO16" s="773">
        <f>ROUND(+$CN16*'[5]II-F Alloc_Factor'!E$38,2)</f>
        <v>-11906029.300000001</v>
      </c>
      <c r="CP16" s="773">
        <f>ROUND(+$CN16*'[5]II-F Alloc_Factor'!F$38,2)</f>
        <v>0</v>
      </c>
      <c r="CQ16" s="773">
        <f>ROUND(+$CN16*'[5]II-F Alloc_Factor'!G$38,2)</f>
        <v>-10228.77</v>
      </c>
      <c r="CR16" s="773">
        <f t="shared" si="17"/>
        <v>-11916258.07</v>
      </c>
      <c r="CS16" s="773">
        <f>ROUND(+$CN16*'[5]II-F Alloc_Factor'!I$38,2)</f>
        <v>-13597879.59</v>
      </c>
      <c r="CT16" s="773">
        <f>ROUND(+$CN16*'[5]II-F Alloc_Factor'!J$38,2)</f>
        <v>0</v>
      </c>
      <c r="CU16" s="773">
        <f t="shared" si="18"/>
        <v>-13597879.59</v>
      </c>
      <c r="CV16" s="773">
        <f>ROUND(+$CN16*'[5]II-F Alloc_Factor'!L$38,2)</f>
        <v>-407554.39</v>
      </c>
      <c r="CW16" s="773">
        <f>ROUND(+$CN16*'[5]II-F Alloc_Factor'!M$38,2)</f>
        <v>-269423.98</v>
      </c>
      <c r="CY16" s="773">
        <v>-26344806.75</v>
      </c>
      <c r="CZ16" s="773">
        <f>ROUND(+$CY16*'[5]II-F Alloc_Factor'!E$38,2)</f>
        <v>-11975894.449999999</v>
      </c>
      <c r="DA16" s="773">
        <f>ROUND(+$CY16*'[5]II-F Alloc_Factor'!F$38,2)</f>
        <v>0</v>
      </c>
      <c r="DB16" s="773">
        <f>ROUND(+$CY16*'[5]II-F Alloc_Factor'!G$38,2)</f>
        <v>-10288.799999999999</v>
      </c>
      <c r="DC16" s="773">
        <f t="shared" si="19"/>
        <v>-11986183.25</v>
      </c>
      <c r="DD16" s="773">
        <f>ROUND(+$CY16*'[5]II-F Alloc_Factor'!I$38,2)</f>
        <v>-13677672.59</v>
      </c>
      <c r="DE16" s="773">
        <f>ROUND(+$CY16*'[5]II-F Alloc_Factor'!J$38,2)</f>
        <v>0</v>
      </c>
      <c r="DF16" s="773">
        <f t="shared" si="20"/>
        <v>-13677672.59</v>
      </c>
      <c r="DG16" s="773">
        <f>ROUND(+$CY16*'[5]II-F Alloc_Factor'!L$38,2)</f>
        <v>-409945.94</v>
      </c>
      <c r="DH16" s="773">
        <f>ROUND(+$CY16*'[5]II-F Alloc_Factor'!M$38,2)</f>
        <v>-271004.98</v>
      </c>
      <c r="DJ16" s="773">
        <v>-26503148.870000001</v>
      </c>
      <c r="DK16" s="773">
        <f>ROUND(+$DJ16*'[5]II-F Alloc_Factor'!E$38,2)</f>
        <v>-12047874.039999999</v>
      </c>
      <c r="DL16" s="773">
        <f>ROUND(+$DJ16*'[5]II-F Alloc_Factor'!F$38,2)</f>
        <v>0</v>
      </c>
      <c r="DM16" s="773">
        <f>ROUND(+$DJ16*'[5]II-F Alloc_Factor'!G$38,2)</f>
        <v>-10350.64</v>
      </c>
      <c r="DN16" s="773">
        <f t="shared" si="21"/>
        <v>-12058224.68</v>
      </c>
      <c r="DO16" s="773">
        <f>ROUND(+$DJ16*'[5]II-F Alloc_Factor'!I$38,2)</f>
        <v>-13759880.51</v>
      </c>
      <c r="DP16" s="773">
        <f>ROUND(+$DJ16*'[5]II-F Alloc_Factor'!J$38,2)</f>
        <v>0</v>
      </c>
      <c r="DQ16" s="773">
        <f t="shared" si="22"/>
        <v>-13759880.51</v>
      </c>
      <c r="DR16" s="773">
        <f>ROUND(+$DJ16*'[5]II-F Alloc_Factor'!L$38,2)</f>
        <v>-412409.87</v>
      </c>
      <c r="DS16" s="773">
        <f>ROUND(+$DJ16*'[5]II-F Alloc_Factor'!M$38,2)</f>
        <v>-272633.82</v>
      </c>
      <c r="DU16" s="773">
        <v>-27130004.91</v>
      </c>
      <c r="DV16" s="773">
        <f>ROUND(+$DU16*'[5]II-F Alloc_Factor'!E$38,2)</f>
        <v>-12332831.98</v>
      </c>
      <c r="DW16" s="773">
        <f>ROUND(+$DU16*'[5]II-F Alloc_Factor'!F$38,2)</f>
        <v>0</v>
      </c>
      <c r="DX16" s="773">
        <f>ROUND(+$DU16*'[5]II-F Alloc_Factor'!G$38,2)</f>
        <v>-10595.45</v>
      </c>
      <c r="DY16" s="773">
        <f t="shared" si="23"/>
        <v>-12343427.43</v>
      </c>
      <c r="DZ16" s="773">
        <f>ROUND(+$DU16*'[5]II-F Alloc_Factor'!I$38,2)</f>
        <v>-14085331.050000001</v>
      </c>
      <c r="EA16" s="773">
        <f>ROUND(+$DU16*'[5]II-F Alloc_Factor'!J$38,2)</f>
        <v>0</v>
      </c>
      <c r="EB16" s="773">
        <f t="shared" si="24"/>
        <v>-14085331.050000001</v>
      </c>
      <c r="EC16" s="773">
        <f>ROUND(+$DU16*'[5]II-F Alloc_Factor'!L$38,2)</f>
        <v>-422164.24</v>
      </c>
      <c r="ED16" s="773">
        <f>ROUND(+$DU16*'[5]II-F Alloc_Factor'!M$38,2)</f>
        <v>-279082.19</v>
      </c>
      <c r="EE16" s="772">
        <f>+DU16+'II-E-3.5'!K23</f>
        <v>0</v>
      </c>
      <c r="EF16" s="772">
        <f t="shared" si="25"/>
        <v>0</v>
      </c>
    </row>
    <row r="17" spans="1:136" s="406" customFormat="1">
      <c r="A17" s="409">
        <f t="shared" si="0"/>
        <v>5</v>
      </c>
      <c r="B17" s="366" t="s">
        <v>698</v>
      </c>
      <c r="C17" s="769" t="s">
        <v>685</v>
      </c>
      <c r="D17" s="773">
        <v>-155733903.69999999</v>
      </c>
      <c r="E17" s="773">
        <f>ROUND(+$D17*'[5]II-F Alloc_Factor'!E$39,2)</f>
        <v>0</v>
      </c>
      <c r="F17" s="773">
        <f>ROUND(+$D17*'[5]II-F Alloc_Factor'!F$39,2)</f>
        <v>-144214861.09</v>
      </c>
      <c r="G17" s="773">
        <f>ROUND(+$D17*'[5]II-F Alloc_Factor'!G$39,2)</f>
        <v>0</v>
      </c>
      <c r="H17" s="773">
        <f t="shared" si="1"/>
        <v>-144214861.09</v>
      </c>
      <c r="I17" s="773">
        <f>ROUND(+$D17*'[5]II-F Alloc_Factor'!I$39,2)</f>
        <v>0</v>
      </c>
      <c r="J17" s="773">
        <f>ROUND(+$D17*'[5]II-F Alloc_Factor'!J$39,2)</f>
        <v>-11519042.609999999</v>
      </c>
      <c r="K17" s="773">
        <f t="shared" si="2"/>
        <v>-11519042.609999999</v>
      </c>
      <c r="L17" s="773">
        <f>ROUND(+$D17*'[5]II-F Alloc_Factor'!L$39,2)</f>
        <v>0</v>
      </c>
      <c r="M17" s="773">
        <f>ROUND(+$D17*'[5]II-F Alloc_Factor'!M$39,2)</f>
        <v>0</v>
      </c>
      <c r="N17" s="774"/>
      <c r="O17" s="99">
        <v>-156356559.69999999</v>
      </c>
      <c r="P17" s="773">
        <f>ROUND(+$O17*'[5]II-F Alloc_Factor'!E$39,2)</f>
        <v>0</v>
      </c>
      <c r="Q17" s="773">
        <f>ROUND(+$O17*'[5]II-F Alloc_Factor'!F$39,2)</f>
        <v>-144791461.59999999</v>
      </c>
      <c r="R17" s="773">
        <f>ROUND(+$O17*'[5]II-F Alloc_Factor'!G$39,2)</f>
        <v>0</v>
      </c>
      <c r="S17" s="773">
        <f t="shared" si="3"/>
        <v>-144791461.59999999</v>
      </c>
      <c r="T17" s="773">
        <f>ROUND(+$O17*'[5]II-F Alloc_Factor'!I$39,2)</f>
        <v>0</v>
      </c>
      <c r="U17" s="773">
        <f>ROUND(+$O17*'[5]II-F Alloc_Factor'!J$39,2)</f>
        <v>-11565098.1</v>
      </c>
      <c r="V17" s="773">
        <f t="shared" si="4"/>
        <v>-11565098.1</v>
      </c>
      <c r="W17" s="773">
        <f>ROUND(+$O17*'[5]II-F Alloc_Factor'!L$39,2)</f>
        <v>0</v>
      </c>
      <c r="X17" s="773">
        <f>ROUND(+$O17*'[5]II-F Alloc_Factor'!M$39,2)</f>
        <v>0</v>
      </c>
      <c r="Z17" s="99">
        <v>-157169180.41999999</v>
      </c>
      <c r="AA17" s="773">
        <f>ROUND(+$Z17*'[5]II-F Alloc_Factor'!E$39,2)</f>
        <v>0</v>
      </c>
      <c r="AB17" s="773">
        <f>ROUND(+$Z17*'[5]II-F Alloc_Factor'!F$39,2)</f>
        <v>-145543975.87</v>
      </c>
      <c r="AC17" s="773">
        <f>ROUND(+$Z17*'[5]II-F Alloc_Factor'!G$39,2)</f>
        <v>0</v>
      </c>
      <c r="AD17" s="773">
        <f t="shared" si="5"/>
        <v>-145543975.87</v>
      </c>
      <c r="AE17" s="773">
        <f>ROUND(+$Z17*'[5]II-F Alloc_Factor'!I$39,2)</f>
        <v>0</v>
      </c>
      <c r="AF17" s="773">
        <f>ROUND(+$Z17*'[5]II-F Alloc_Factor'!J$39,2)</f>
        <v>-11625204.550000001</v>
      </c>
      <c r="AG17" s="773">
        <f t="shared" si="6"/>
        <v>-11625204.550000001</v>
      </c>
      <c r="AH17" s="773">
        <f>ROUND(+$Z17*'[5]II-F Alloc_Factor'!L$39,2)</f>
        <v>0</v>
      </c>
      <c r="AI17" s="773">
        <f>ROUND(+$Z17*'[5]II-F Alloc_Factor'!M$39,2)</f>
        <v>0</v>
      </c>
      <c r="AK17" s="773">
        <v>-157855045.30999997</v>
      </c>
      <c r="AL17" s="773">
        <f>ROUND(+$AK17*'[5]II-F Alloc_Factor'!E$39,2)</f>
        <v>0</v>
      </c>
      <c r="AM17" s="773">
        <f>ROUND(+$AK17*'[5]II-F Alloc_Factor'!F$39,2)</f>
        <v>-146179109.94999999</v>
      </c>
      <c r="AN17" s="773">
        <f>ROUND(+$AK17*'[5]II-F Alloc_Factor'!G$39,2)</f>
        <v>0</v>
      </c>
      <c r="AO17" s="773">
        <f t="shared" si="7"/>
        <v>-146179109.94999999</v>
      </c>
      <c r="AP17" s="773">
        <f>ROUND(+$AK17*'[5]II-F Alloc_Factor'!I$39,2)</f>
        <v>0</v>
      </c>
      <c r="AQ17" s="773">
        <f>ROUND(+$AK17*'[5]II-F Alloc_Factor'!J$39,2)</f>
        <v>-11675935.359999999</v>
      </c>
      <c r="AR17" s="773">
        <f t="shared" si="8"/>
        <v>-11675935.359999999</v>
      </c>
      <c r="AS17" s="773">
        <f>ROUND(+$AK17*'[5]II-F Alloc_Factor'!L$39,2)</f>
        <v>0</v>
      </c>
      <c r="AT17" s="773">
        <f>ROUND(+$AK17*'[5]II-F Alloc_Factor'!M$39,2)</f>
        <v>0</v>
      </c>
      <c r="AV17" s="773">
        <v>-158540910.52999997</v>
      </c>
      <c r="AW17" s="773">
        <f>ROUND(+$AV17*'[5]II-F Alloc_Factor'!E$39,2)</f>
        <v>0</v>
      </c>
      <c r="AX17" s="773">
        <f>ROUND(+$AV17*'[5]II-F Alloc_Factor'!F$39,2)</f>
        <v>-146814244.34</v>
      </c>
      <c r="AY17" s="773">
        <f>ROUND(+$AV17*'[5]II-F Alloc_Factor'!G$39,2)</f>
        <v>0</v>
      </c>
      <c r="AZ17" s="773">
        <f t="shared" si="9"/>
        <v>-146814244.34</v>
      </c>
      <c r="BA17" s="773">
        <f>ROUND(+$AV17*'[5]II-F Alloc_Factor'!I$39,2)</f>
        <v>0</v>
      </c>
      <c r="BB17" s="773">
        <f>ROUND(+$AV17*'[5]II-F Alloc_Factor'!J$39,2)</f>
        <v>-11726666.189999999</v>
      </c>
      <c r="BC17" s="773">
        <f t="shared" si="10"/>
        <v>-11726666.189999999</v>
      </c>
      <c r="BD17" s="773">
        <f>ROUND(+$AV17*'[5]II-F Alloc_Factor'!L$39,2)</f>
        <v>0</v>
      </c>
      <c r="BE17" s="773">
        <f>ROUND(+$AV17*'[5]II-F Alloc_Factor'!M$39,2)</f>
        <v>0</v>
      </c>
      <c r="BG17" s="773">
        <v>-159237902.95999998</v>
      </c>
      <c r="BH17" s="773">
        <f>ROUND(+$BG17*'[5]II-F Alloc_Factor'!E$39,2)</f>
        <v>0</v>
      </c>
      <c r="BI17" s="773">
        <f>ROUND(+$BG17*'[5]II-F Alloc_Factor'!F$39,2)</f>
        <v>-147459682.90000001</v>
      </c>
      <c r="BJ17" s="773">
        <f>ROUND(+$BG17*'[5]II-F Alloc_Factor'!G$39,2)</f>
        <v>0</v>
      </c>
      <c r="BK17" s="773">
        <f t="shared" si="11"/>
        <v>-147459682.90000001</v>
      </c>
      <c r="BL17" s="773">
        <f>ROUND(+$BG17*'[5]II-F Alloc_Factor'!I$39,2)</f>
        <v>0</v>
      </c>
      <c r="BM17" s="773">
        <f>ROUND(+$BG17*'[5]II-F Alloc_Factor'!J$39,2)</f>
        <v>-11778220.060000001</v>
      </c>
      <c r="BN17" s="773">
        <f t="shared" si="12"/>
        <v>-11778220.060000001</v>
      </c>
      <c r="BO17" s="773">
        <f>ROUND(+$BG17*'[5]II-F Alloc_Factor'!L$39,2)</f>
        <v>0</v>
      </c>
      <c r="BP17" s="773">
        <f>ROUND(+$BG17*'[5]II-F Alloc_Factor'!M$39,2)</f>
        <v>0</v>
      </c>
      <c r="BR17" s="773">
        <v>-159925621.72999999</v>
      </c>
      <c r="BS17" s="773">
        <f>ROUND(+$BR17*'[5]II-F Alloc_Factor'!E$39,2)</f>
        <v>0</v>
      </c>
      <c r="BT17" s="773">
        <f>ROUND(+$BR17*'[5]II-F Alloc_Factor'!F$39,2)</f>
        <v>-148096533.72999999</v>
      </c>
      <c r="BU17" s="773">
        <f>ROUND(+$BR17*'[5]II-F Alloc_Factor'!G$39,2)</f>
        <v>0</v>
      </c>
      <c r="BV17" s="773">
        <f t="shared" si="13"/>
        <v>-148096533.72999999</v>
      </c>
      <c r="BW17" s="773">
        <f>ROUND(+$BR17*'[5]II-F Alloc_Factor'!I$39,2)</f>
        <v>0</v>
      </c>
      <c r="BX17" s="773">
        <f>ROUND(+$BR17*'[5]II-F Alloc_Factor'!J$39,2)</f>
        <v>-11829088</v>
      </c>
      <c r="BY17" s="773">
        <f t="shared" si="14"/>
        <v>-11829088</v>
      </c>
      <c r="BZ17" s="773">
        <f>ROUND(+$BR17*'[5]II-F Alloc_Factor'!L$39,2)</f>
        <v>0</v>
      </c>
      <c r="CA17" s="773">
        <f>ROUND(+$BR17*'[5]II-F Alloc_Factor'!M$39,2)</f>
        <v>0</v>
      </c>
      <c r="CC17" s="773">
        <v>-160613341.16999999</v>
      </c>
      <c r="CD17" s="773">
        <f>ROUND(+$CC17*'[5]II-F Alloc_Factor'!E$39,2)</f>
        <v>0</v>
      </c>
      <c r="CE17" s="773">
        <f>ROUND(+$CC17*'[5]II-F Alloc_Factor'!F$39,2)</f>
        <v>-148733385.19</v>
      </c>
      <c r="CF17" s="773">
        <f>ROUND(+$CC17*'[5]II-F Alloc_Factor'!G$39,2)</f>
        <v>0</v>
      </c>
      <c r="CG17" s="773">
        <f t="shared" si="15"/>
        <v>-148733385.19</v>
      </c>
      <c r="CH17" s="773">
        <f>ROUND(+$CC17*'[5]II-F Alloc_Factor'!I$39,2)</f>
        <v>0</v>
      </c>
      <c r="CI17" s="773">
        <f>ROUND(+$CC17*'[5]II-F Alloc_Factor'!J$39,2)</f>
        <v>-11879955.98</v>
      </c>
      <c r="CJ17" s="773">
        <f t="shared" si="16"/>
        <v>-11879955.98</v>
      </c>
      <c r="CK17" s="773">
        <f>ROUND(+$CC17*'[5]II-F Alloc_Factor'!L$39,2)</f>
        <v>0</v>
      </c>
      <c r="CL17" s="773">
        <f>ROUND(+$CC17*'[5]II-F Alloc_Factor'!M$39,2)</f>
        <v>0</v>
      </c>
      <c r="CN17" s="773">
        <v>-162985652.14999998</v>
      </c>
      <c r="CO17" s="773">
        <f>ROUND(+$CN17*'[5]II-F Alloc_Factor'!E$39,2)</f>
        <v>0</v>
      </c>
      <c r="CP17" s="773">
        <f>ROUND(+$CN17*'[5]II-F Alloc_Factor'!F$39,2)</f>
        <v>-150930225.38</v>
      </c>
      <c r="CQ17" s="773">
        <f>ROUND(+$CN17*'[5]II-F Alloc_Factor'!G$39,2)</f>
        <v>0</v>
      </c>
      <c r="CR17" s="773">
        <f t="shared" si="17"/>
        <v>-150930225.38</v>
      </c>
      <c r="CS17" s="773">
        <f>ROUND(+$CN17*'[5]II-F Alloc_Factor'!I$39,2)</f>
        <v>0</v>
      </c>
      <c r="CT17" s="773">
        <f>ROUND(+$CN17*'[5]II-F Alloc_Factor'!J$39,2)</f>
        <v>-12055426.77</v>
      </c>
      <c r="CU17" s="773">
        <f t="shared" si="18"/>
        <v>-12055426.77</v>
      </c>
      <c r="CV17" s="773">
        <f>ROUND(+$CN17*'[5]II-F Alloc_Factor'!L$39,2)</f>
        <v>0</v>
      </c>
      <c r="CW17" s="773">
        <f>ROUND(+$CN17*'[5]II-F Alloc_Factor'!M$39,2)</f>
        <v>0</v>
      </c>
      <c r="CY17" s="773">
        <v>-163816136.46999997</v>
      </c>
      <c r="CZ17" s="773">
        <f>ROUND(+$CY17*'[5]II-F Alloc_Factor'!E$39,2)</f>
        <v>0</v>
      </c>
      <c r="DA17" s="773">
        <f>ROUND(+$CY17*'[5]II-F Alloc_Factor'!F$39,2)</f>
        <v>-151699281.94</v>
      </c>
      <c r="DB17" s="773">
        <f>ROUND(+$CY17*'[5]II-F Alloc_Factor'!G$39,2)</f>
        <v>0</v>
      </c>
      <c r="DC17" s="773">
        <f t="shared" si="19"/>
        <v>-151699281.94</v>
      </c>
      <c r="DD17" s="773">
        <f>ROUND(+$CY17*'[5]II-F Alloc_Factor'!I$39,2)</f>
        <v>0</v>
      </c>
      <c r="DE17" s="773">
        <f>ROUND(+$CY17*'[5]II-F Alloc_Factor'!J$39,2)</f>
        <v>-12116854.529999999</v>
      </c>
      <c r="DF17" s="773">
        <f t="shared" si="20"/>
        <v>-12116854.529999999</v>
      </c>
      <c r="DG17" s="773">
        <f>ROUND(+$CY17*'[5]II-F Alloc_Factor'!L$39,2)</f>
        <v>0</v>
      </c>
      <c r="DH17" s="773">
        <f>ROUND(+$CY17*'[5]II-F Alloc_Factor'!M$39,2)</f>
        <v>0</v>
      </c>
      <c r="DJ17" s="773">
        <v>-164646620.77999997</v>
      </c>
      <c r="DK17" s="773">
        <f>ROUND(+$DJ17*'[5]II-F Alloc_Factor'!E$39,2)</f>
        <v>0</v>
      </c>
      <c r="DL17" s="773">
        <f>ROUND(+$DJ17*'[5]II-F Alloc_Factor'!F$39,2)</f>
        <v>-152468338.5</v>
      </c>
      <c r="DM17" s="773">
        <f>ROUND(+$DJ17*'[5]II-F Alloc_Factor'!G$39,2)</f>
        <v>0</v>
      </c>
      <c r="DN17" s="773">
        <f t="shared" si="21"/>
        <v>-152468338.5</v>
      </c>
      <c r="DO17" s="773">
        <f>ROUND(+$DJ17*'[5]II-F Alloc_Factor'!I$39,2)</f>
        <v>0</v>
      </c>
      <c r="DP17" s="773">
        <f>ROUND(+$DJ17*'[5]II-F Alloc_Factor'!J$39,2)</f>
        <v>-12178282.279999999</v>
      </c>
      <c r="DQ17" s="773">
        <f t="shared" si="22"/>
        <v>-12178282.279999999</v>
      </c>
      <c r="DR17" s="773">
        <f>ROUND(+$DJ17*'[5]II-F Alloc_Factor'!L$39,2)</f>
        <v>0</v>
      </c>
      <c r="DS17" s="773">
        <f>ROUND(+$DJ17*'[5]II-F Alloc_Factor'!M$39,2)</f>
        <v>0</v>
      </c>
      <c r="DU17" s="773">
        <v>-163768384.29999995</v>
      </c>
      <c r="DV17" s="773">
        <f>ROUND(+$DU17*'[5]II-F Alloc_Factor'!E$39,2)</f>
        <v>0</v>
      </c>
      <c r="DW17" s="773">
        <f>ROUND(+$DU17*'[5]II-F Alloc_Factor'!F$39,2)</f>
        <v>-151655061.81999999</v>
      </c>
      <c r="DX17" s="773">
        <f>ROUND(+$DU17*'[5]II-F Alloc_Factor'!G$39,2)</f>
        <v>0</v>
      </c>
      <c r="DY17" s="773">
        <f t="shared" si="23"/>
        <v>-151655061.81999999</v>
      </c>
      <c r="DZ17" s="773">
        <f>ROUND(+$DU17*'[5]II-F Alloc_Factor'!I$39,2)</f>
        <v>0</v>
      </c>
      <c r="EA17" s="773">
        <f>ROUND(+$DU17*'[5]II-F Alloc_Factor'!J$39,2)</f>
        <v>-12113322.48</v>
      </c>
      <c r="EB17" s="773">
        <f t="shared" si="24"/>
        <v>-12113322.48</v>
      </c>
      <c r="EC17" s="773">
        <f>ROUND(+$DU17*'[5]II-F Alloc_Factor'!L$39,2)</f>
        <v>0</v>
      </c>
      <c r="ED17" s="773">
        <f>ROUND(+$DU17*'[5]II-F Alloc_Factor'!M$39,2)</f>
        <v>0</v>
      </c>
      <c r="EE17" s="772">
        <f>+DU17+'II-E-3.5'!K24</f>
        <v>0</v>
      </c>
      <c r="EF17" s="772">
        <f t="shared" si="25"/>
        <v>0</v>
      </c>
    </row>
    <row r="18" spans="1:136" s="807" customFormat="1">
      <c r="A18" s="523">
        <f t="shared" si="0"/>
        <v>6</v>
      </c>
      <c r="B18" s="179" t="s">
        <v>343</v>
      </c>
      <c r="C18" s="786" t="s">
        <v>1260</v>
      </c>
      <c r="D18" s="773">
        <v>-245579847.30000001</v>
      </c>
      <c r="E18" s="773">
        <f>ROUND(+D18*'[5]II-F Alloc_Factor'!$E$41,2)</f>
        <v>-62154568.390000001</v>
      </c>
      <c r="F18" s="773">
        <f>ROUND(+D18*'[5]II-F Alloc_Factor'!$F$41,2)</f>
        <v>0</v>
      </c>
      <c r="G18" s="773">
        <f>ROUND(+D18*'[5]II-F Alloc_Factor'!$G$41,2)</f>
        <v>0</v>
      </c>
      <c r="H18" s="773">
        <f t="shared" si="1"/>
        <v>-62154568.390000001</v>
      </c>
      <c r="I18" s="773">
        <f>ROUND(+D18*'[5]II-F Alloc_Factor'!$I$41,2)</f>
        <v>-107897214.72</v>
      </c>
      <c r="J18" s="773">
        <f>ROUND(+$D18*'[5]II-F Alloc_Factor'!J$41,2)</f>
        <v>0</v>
      </c>
      <c r="K18" s="773">
        <f t="shared" si="2"/>
        <v>-107897214.72</v>
      </c>
      <c r="L18" s="773">
        <f>ROUND(+D18*'[5]II-F Alloc_Factor'!$L$41,2)</f>
        <v>-10195772.609999999</v>
      </c>
      <c r="M18" s="773">
        <f>ROUND(+D18*'[5]II-F Alloc_Factor'!$M$41,2)</f>
        <v>-65332291.590000004</v>
      </c>
      <c r="N18" s="774"/>
      <c r="O18" s="102">
        <v>-247073166.92000002</v>
      </c>
      <c r="P18" s="773">
        <f>ROUND(+O18*'[5]II-F Alloc_Factor'!$E$41,2)</f>
        <v>-62532517.299999997</v>
      </c>
      <c r="Q18" s="773">
        <f>ROUND(+O18*'[5]II-F Alloc_Factor'!$F$41,2)</f>
        <v>0</v>
      </c>
      <c r="R18" s="773">
        <f>ROUND(+O18*'[5]II-F Alloc_Factor'!$G$41,2)</f>
        <v>0</v>
      </c>
      <c r="S18" s="773">
        <f t="shared" si="3"/>
        <v>-62532517.299999997</v>
      </c>
      <c r="T18" s="773">
        <f>ROUND(+O18*'[5]II-F Alloc_Factor'!$I$41,2)</f>
        <v>-108553315.09</v>
      </c>
      <c r="U18" s="773">
        <f>ROUND(+$D18*'[5]II-F Alloc_Factor'!U$41,2)</f>
        <v>0</v>
      </c>
      <c r="V18" s="773">
        <f t="shared" si="4"/>
        <v>-108553315.09</v>
      </c>
      <c r="W18" s="773">
        <f>ROUND(+O18*'[5]II-F Alloc_Factor'!$L$41,2)</f>
        <v>-10257770.960000001</v>
      </c>
      <c r="X18" s="773">
        <f>ROUND(+O18*'[5]II-F Alloc_Factor'!$M$41,2)</f>
        <v>-65729563.57</v>
      </c>
      <c r="Z18" s="102">
        <v>-248480740.79000002</v>
      </c>
      <c r="AA18" s="773">
        <f>ROUND(+Z18*'[5]II-F Alloc_Factor'!$E$41,2)</f>
        <v>-62888764.549999997</v>
      </c>
      <c r="AB18" s="773">
        <f>ROUND(+Z18*'[5]II-F Alloc_Factor'!$F$41,2)</f>
        <v>0</v>
      </c>
      <c r="AC18" s="773">
        <f>ROUND(+Z18*'[5]II-F Alloc_Factor'!$G$41,2)</f>
        <v>0</v>
      </c>
      <c r="AD18" s="773">
        <f t="shared" si="5"/>
        <v>-62888764.549999997</v>
      </c>
      <c r="AE18" s="773">
        <f>ROUND(+Z18*'[5]II-F Alloc_Factor'!$I$41,2)</f>
        <v>-109171742.45999999</v>
      </c>
      <c r="AF18" s="773">
        <f>ROUND(+$D18*'[5]II-F Alloc_Factor'!AF$41,2)</f>
        <v>0</v>
      </c>
      <c r="AG18" s="773">
        <f t="shared" si="6"/>
        <v>-109171742.45999999</v>
      </c>
      <c r="AH18" s="773">
        <f>ROUND(+Z18*'[5]II-F Alloc_Factor'!$L$41,2)</f>
        <v>-10316209.4</v>
      </c>
      <c r="AI18" s="773">
        <f>ROUND(+Z18*'[5]II-F Alloc_Factor'!$M$41,2)</f>
        <v>-66104024.369999997</v>
      </c>
      <c r="AK18" s="773">
        <v>-249945478.49000001</v>
      </c>
      <c r="AL18" s="773">
        <f>ROUND(+AK18*'[5]II-F Alloc_Factor'!$E$41,2)</f>
        <v>-63259479.579999998</v>
      </c>
      <c r="AM18" s="773">
        <f>ROUND(+AK18*'[5]II-F Alloc_Factor'!$F$41,2)</f>
        <v>0</v>
      </c>
      <c r="AN18" s="773">
        <f>ROUND(+AK18*'[5]II-F Alloc_Factor'!$G$41,2)</f>
        <v>0</v>
      </c>
      <c r="AO18" s="773">
        <f t="shared" si="7"/>
        <v>-63259479.579999998</v>
      </c>
      <c r="AP18" s="773">
        <f>ROUND(+AK18*'[5]II-F Alloc_Factor'!$I$41,2)</f>
        <v>-109815285.16</v>
      </c>
      <c r="AQ18" s="773">
        <f>ROUND(+$D18*'[5]II-F Alloc_Factor'!AQ$41,2)</f>
        <v>0</v>
      </c>
      <c r="AR18" s="773">
        <f t="shared" si="8"/>
        <v>-109815285.16</v>
      </c>
      <c r="AS18" s="773">
        <f>ROUND(+AK18*'[5]II-F Alloc_Factor'!$L$41,2)</f>
        <v>-10377021.119999999</v>
      </c>
      <c r="AT18" s="773">
        <f>ROUND(+AK18*'[5]II-F Alloc_Factor'!$M$41,2)</f>
        <v>-66493692.630000003</v>
      </c>
      <c r="AV18" s="773">
        <v>-251410216.20000002</v>
      </c>
      <c r="AW18" s="773">
        <f>ROUND(+AV18*'[5]II-F Alloc_Factor'!$E$41,2)</f>
        <v>-63630194.609999999</v>
      </c>
      <c r="AX18" s="773">
        <f>ROUND(+AV18*'[5]II-F Alloc_Factor'!$F$41,2)</f>
        <v>0</v>
      </c>
      <c r="AY18" s="773">
        <f>ROUND(+AV18*'[5]II-F Alloc_Factor'!$G$41,2)</f>
        <v>0</v>
      </c>
      <c r="AZ18" s="773">
        <f t="shared" si="9"/>
        <v>-63630194.609999999</v>
      </c>
      <c r="BA18" s="773">
        <f>ROUND(+AV18*'[5]II-F Alloc_Factor'!$I$41,2)</f>
        <v>-110458827.87</v>
      </c>
      <c r="BB18" s="773">
        <f>ROUND(+$D18*'[5]II-F Alloc_Factor'!BB$41,2)</f>
        <v>0</v>
      </c>
      <c r="BC18" s="773">
        <f t="shared" si="10"/>
        <v>-110458827.87</v>
      </c>
      <c r="BD18" s="773">
        <f>ROUND(+AV18*'[5]II-F Alloc_Factor'!$L$41,2)</f>
        <v>-10437832.84</v>
      </c>
      <c r="BE18" s="773">
        <f>ROUND(+AV18*'[5]II-F Alloc_Factor'!$M$41,2)</f>
        <v>-66883360.880000003</v>
      </c>
      <c r="BG18" s="773">
        <v>-252807479.32000002</v>
      </c>
      <c r="BH18" s="773">
        <f>ROUND(+BG18*'[5]II-F Alloc_Factor'!$E$41,2)</f>
        <v>-63983832.280000001</v>
      </c>
      <c r="BI18" s="773">
        <f>ROUND(+BG18*'[5]II-F Alloc_Factor'!$F$41,2)</f>
        <v>0</v>
      </c>
      <c r="BJ18" s="773">
        <f>ROUND(+BG18*'[5]II-F Alloc_Factor'!$G$41,2)</f>
        <v>0</v>
      </c>
      <c r="BK18" s="773">
        <f t="shared" si="11"/>
        <v>-63983832.280000001</v>
      </c>
      <c r="BL18" s="773">
        <f>ROUND(+BG18*'[5]II-F Alloc_Factor'!$I$41,2)</f>
        <v>-111072725.14</v>
      </c>
      <c r="BM18" s="773">
        <f>ROUND(+$D18*'[5]II-F Alloc_Factor'!BM$41,2)</f>
        <v>0</v>
      </c>
      <c r="BN18" s="773">
        <f t="shared" si="12"/>
        <v>-111072725.14</v>
      </c>
      <c r="BO18" s="773">
        <f>ROUND(+BG18*'[5]II-F Alloc_Factor'!$L$41,2)</f>
        <v>-10495843.210000001</v>
      </c>
      <c r="BP18" s="773">
        <f>ROUND(+BG18*'[5]II-F Alloc_Factor'!$M$41,2)</f>
        <v>-67255078.689999998</v>
      </c>
      <c r="BR18" s="773">
        <v>-254260971.26000002</v>
      </c>
      <c r="BS18" s="773">
        <f>ROUND(+BR18*'[5]II-F Alloc_Factor'!$E$41,2)</f>
        <v>-64351701.079999998</v>
      </c>
      <c r="BT18" s="773">
        <f>ROUND(+BR18*'[5]II-F Alloc_Factor'!$F$41,2)</f>
        <v>0</v>
      </c>
      <c r="BU18" s="773">
        <f>ROUND(+BR18*'[5]II-F Alloc_Factor'!$G$41,2)</f>
        <v>0</v>
      </c>
      <c r="BV18" s="773">
        <f t="shared" si="13"/>
        <v>-64351701.079999998</v>
      </c>
      <c r="BW18" s="773">
        <f>ROUND(+BR18*'[5]II-F Alloc_Factor'!$I$41,2)</f>
        <v>-111711326.94</v>
      </c>
      <c r="BX18" s="773">
        <f>ROUND(+$D18*'[5]II-F Alloc_Factor'!BX$41,2)</f>
        <v>0</v>
      </c>
      <c r="BY18" s="773">
        <f t="shared" si="14"/>
        <v>-111711326.94</v>
      </c>
      <c r="BZ18" s="773">
        <f>ROUND(+BR18*'[5]II-F Alloc_Factor'!$L$41,2)</f>
        <v>-10556188.039999999</v>
      </c>
      <c r="CA18" s="773">
        <f>ROUND(+BR18*'[5]II-F Alloc_Factor'!$M$41,2)</f>
        <v>-67641755.200000003</v>
      </c>
      <c r="CC18" s="773">
        <v>-255714463.21000001</v>
      </c>
      <c r="CD18" s="773">
        <f>ROUND(+CC18*'[5]II-F Alloc_Factor'!$E$41,2)</f>
        <v>-64719569.890000001</v>
      </c>
      <c r="CE18" s="773">
        <f>ROUND(+CC18*'[5]II-F Alloc_Factor'!$F$41,2)</f>
        <v>0</v>
      </c>
      <c r="CF18" s="773">
        <f>ROUND(+CC18*'[5]II-F Alloc_Factor'!$G$41,2)</f>
        <v>0</v>
      </c>
      <c r="CG18" s="773">
        <f t="shared" si="15"/>
        <v>-64719569.890000001</v>
      </c>
      <c r="CH18" s="773">
        <f>ROUND(+CC18*'[5]II-F Alloc_Factor'!$I$41,2)</f>
        <v>-112349928.73999999</v>
      </c>
      <c r="CI18" s="773">
        <f>ROUND(+$D18*'[5]II-F Alloc_Factor'!CI$41,2)</f>
        <v>0</v>
      </c>
      <c r="CJ18" s="773">
        <f t="shared" si="16"/>
        <v>-112349928.73999999</v>
      </c>
      <c r="CK18" s="773">
        <f>ROUND(+CC18*'[5]II-F Alloc_Factor'!$L$41,2)</f>
        <v>-10616532.859999999</v>
      </c>
      <c r="CL18" s="773">
        <f>ROUND(+CC18*'[5]II-F Alloc_Factor'!$M$41,2)</f>
        <v>-68028431.719999999</v>
      </c>
      <c r="CN18" s="773">
        <v>-257293220.57000002</v>
      </c>
      <c r="CO18" s="773">
        <f>ROUND(+CN18*'[5]II-F Alloc_Factor'!$E$41,2)</f>
        <v>-65119142.509999998</v>
      </c>
      <c r="CP18" s="773">
        <f>ROUND(+CN18*'[5]II-F Alloc_Factor'!$F$41,2)</f>
        <v>0</v>
      </c>
      <c r="CQ18" s="773">
        <f>ROUND(+CN18*'[5]II-F Alloc_Factor'!$G$41,2)</f>
        <v>0</v>
      </c>
      <c r="CR18" s="773">
        <f t="shared" si="17"/>
        <v>-65119142.509999998</v>
      </c>
      <c r="CS18" s="773">
        <f>ROUND(+CN18*'[5]II-F Alloc_Factor'!$I$41,2)</f>
        <v>-113043566.77</v>
      </c>
      <c r="CT18" s="773">
        <f>ROUND(+$D18*'[5]II-F Alloc_Factor'!CT$41,2)</f>
        <v>0</v>
      </c>
      <c r="CU18" s="773">
        <f t="shared" si="18"/>
        <v>-113043566.77</v>
      </c>
      <c r="CV18" s="773">
        <f>ROUND(+CN18*'[5]II-F Alloc_Factor'!$L$41,2)</f>
        <v>-10682078.35</v>
      </c>
      <c r="CW18" s="773">
        <f>ROUND(+CN18*'[5]II-F Alloc_Factor'!$M$41,2)</f>
        <v>-68448432.939999998</v>
      </c>
      <c r="CY18" s="773">
        <v>-258765185.16000003</v>
      </c>
      <c r="CZ18" s="773">
        <f>ROUND(+CY18*'[5]II-F Alloc_Factor'!$E$41,2)</f>
        <v>-65491686.609999999</v>
      </c>
      <c r="DA18" s="773">
        <f>ROUND(+CY18*'[5]II-F Alloc_Factor'!$F$41,2)</f>
        <v>0</v>
      </c>
      <c r="DB18" s="773">
        <f>ROUND(+CY18*'[5]II-F Alloc_Factor'!$G$41,2)</f>
        <v>0</v>
      </c>
      <c r="DC18" s="773">
        <f t="shared" si="19"/>
        <v>-65491686.609999999</v>
      </c>
      <c r="DD18" s="773">
        <f>ROUND(+CY18*'[5]II-F Alloc_Factor'!$I$41,2)</f>
        <v>-113690284.66</v>
      </c>
      <c r="DE18" s="773">
        <f>ROUND(+$D18*'[5]II-F Alloc_Factor'!DE$41,2)</f>
        <v>0</v>
      </c>
      <c r="DF18" s="773">
        <f t="shared" si="20"/>
        <v>-113690284.66</v>
      </c>
      <c r="DG18" s="773">
        <f>ROUND(+CY18*'[5]II-F Alloc_Factor'!$L$41,2)</f>
        <v>-10743190.109999999</v>
      </c>
      <c r="DH18" s="773">
        <f>ROUND(+CY18*'[5]II-F Alloc_Factor'!$M$41,2)</f>
        <v>-68840023.790000007</v>
      </c>
      <c r="DJ18" s="773">
        <v>-260237149.76000002</v>
      </c>
      <c r="DK18" s="773">
        <f>ROUND(+DJ18*'[5]II-F Alloc_Factor'!$E$41,2)</f>
        <v>-65864230.710000001</v>
      </c>
      <c r="DL18" s="773">
        <f>ROUND(+DJ18*'[5]II-F Alloc_Factor'!$F$41,2)</f>
        <v>0</v>
      </c>
      <c r="DM18" s="773">
        <f>ROUND(+DJ18*'[5]II-F Alloc_Factor'!$G$41,2)</f>
        <v>0</v>
      </c>
      <c r="DN18" s="773">
        <f t="shared" si="21"/>
        <v>-65864230.710000001</v>
      </c>
      <c r="DO18" s="773">
        <f>ROUND(+DJ18*'[5]II-F Alloc_Factor'!$I$41,2)</f>
        <v>-114337002.55</v>
      </c>
      <c r="DP18" s="773">
        <f>ROUND(+$D18*'[5]II-F Alloc_Factor'!DP$41,2)</f>
        <v>0</v>
      </c>
      <c r="DQ18" s="773">
        <f t="shared" si="22"/>
        <v>-114337002.55</v>
      </c>
      <c r="DR18" s="773">
        <f>ROUND(+DJ18*'[5]II-F Alloc_Factor'!$L$41,2)</f>
        <v>-10804301.869999999</v>
      </c>
      <c r="DS18" s="773">
        <f>ROUND(+DJ18*'[5]II-F Alloc_Factor'!$M$41,2)</f>
        <v>-69231614.629999995</v>
      </c>
      <c r="DU18" s="773">
        <v>-262006056.60000002</v>
      </c>
      <c r="DV18" s="773">
        <f>ROUND(+DU18*'[5]II-F Alloc_Factor'!$E$41,2)</f>
        <v>-66311928.850000001</v>
      </c>
      <c r="DW18" s="773">
        <f>ROUND(+DU18*'[5]II-F Alloc_Factor'!$F$41,2)</f>
        <v>0</v>
      </c>
      <c r="DX18" s="773">
        <f>ROUND(+DU18*'[5]II-F Alloc_Factor'!$G$41,2)</f>
        <v>0</v>
      </c>
      <c r="DY18" s="773">
        <f t="shared" si="23"/>
        <v>-66311928.850000001</v>
      </c>
      <c r="DZ18" s="773">
        <f>ROUND(+DU18*'[5]II-F Alloc_Factor'!$I$41,2)</f>
        <v>-115114184.06999999</v>
      </c>
      <c r="EA18" s="773">
        <f>ROUND(+$D18*'[5]II-F Alloc_Factor'!EA$41,2)</f>
        <v>0</v>
      </c>
      <c r="EB18" s="773">
        <f t="shared" si="24"/>
        <v>-115114184.06999999</v>
      </c>
      <c r="EC18" s="773">
        <f>ROUND(+DU18*'[5]II-F Alloc_Factor'!$L$41,2)</f>
        <v>-10877741.82</v>
      </c>
      <c r="ED18" s="773">
        <f>ROUND(+DU18*'[5]II-F Alloc_Factor'!$M$41,2)</f>
        <v>-69702201.849999994</v>
      </c>
      <c r="EE18" s="642">
        <f>+DU18+'II-E-3.5'!K25</f>
        <v>0</v>
      </c>
      <c r="EF18" s="642">
        <f t="shared" si="25"/>
        <v>1.0000050067901611E-2</v>
      </c>
    </row>
    <row r="19" spans="1:136" s="807" customFormat="1">
      <c r="A19" s="523">
        <f t="shared" si="0"/>
        <v>7</v>
      </c>
      <c r="B19" s="179" t="s">
        <v>413</v>
      </c>
      <c r="C19" s="786" t="s">
        <v>1260</v>
      </c>
      <c r="D19" s="773">
        <v>87502185.730000004</v>
      </c>
      <c r="E19" s="773">
        <f>ROUND(+D19*'[5]II-F Alloc_Factor'!$E$41,2)</f>
        <v>22146200.699999999</v>
      </c>
      <c r="F19" s="773">
        <f>ROUND(+D19*'[5]II-F Alloc_Factor'!$F$41,2)</f>
        <v>0</v>
      </c>
      <c r="G19" s="773">
        <f>ROUND(+D19*'[5]II-F Alloc_Factor'!$G$41,2)</f>
        <v>0</v>
      </c>
      <c r="H19" s="773">
        <f t="shared" si="1"/>
        <v>22146200.699999999</v>
      </c>
      <c r="I19" s="773">
        <f>ROUND(+D19*'[5]II-F Alloc_Factor'!$I$41,2)</f>
        <v>38444694.159999996</v>
      </c>
      <c r="J19" s="773">
        <f>ROUND(+$D19*'[5]II-F Alloc_Factor'!J$41,2)</f>
        <v>0</v>
      </c>
      <c r="K19" s="773">
        <f t="shared" si="2"/>
        <v>38444694.159999996</v>
      </c>
      <c r="L19" s="773">
        <f>ROUND(+D19*'[5]II-F Alloc_Factor'!$L$41,2)</f>
        <v>3632840.39</v>
      </c>
      <c r="M19" s="773">
        <f>ROUND(+D19*'[5]II-F Alloc_Factor'!$M$41,2)</f>
        <v>23278450.469999999</v>
      </c>
      <c r="N19" s="774"/>
      <c r="O19" s="102">
        <v>89352382.070000008</v>
      </c>
      <c r="P19" s="773">
        <f>ROUND(+O19*'[5]II-F Alloc_Factor'!$E$41,2)</f>
        <v>22614472.66</v>
      </c>
      <c r="Q19" s="773">
        <f>ROUND(+O19*'[5]II-F Alloc_Factor'!$F$41,2)</f>
        <v>0</v>
      </c>
      <c r="R19" s="773">
        <f>ROUND(+O19*'[5]II-F Alloc_Factor'!$G$41,2)</f>
        <v>0</v>
      </c>
      <c r="S19" s="773">
        <f t="shared" si="3"/>
        <v>22614472.66</v>
      </c>
      <c r="T19" s="773">
        <f>ROUND(+O19*'[5]II-F Alloc_Factor'!$I$41,2)</f>
        <v>39257590.799999997</v>
      </c>
      <c r="U19" s="773">
        <f>ROUND(+$D19*'[5]II-F Alloc_Factor'!U$41,2)</f>
        <v>0</v>
      </c>
      <c r="V19" s="773">
        <f t="shared" si="4"/>
        <v>39257590.799999997</v>
      </c>
      <c r="W19" s="773">
        <f>ROUND(+O19*'[5]II-F Alloc_Factor'!$L$41,2)</f>
        <v>3709655.25</v>
      </c>
      <c r="X19" s="773">
        <f>ROUND(+O19*'[5]II-F Alloc_Factor'!$M$41,2)</f>
        <v>23770663.370000001</v>
      </c>
      <c r="Z19" s="102">
        <v>91211801.750000015</v>
      </c>
      <c r="AA19" s="773">
        <f>ROUND(+Z19*'[5]II-F Alloc_Factor'!$E$41,2)</f>
        <v>23085078.969999999</v>
      </c>
      <c r="AB19" s="773">
        <f>ROUND(+Z19*'[5]II-F Alloc_Factor'!$F$41,2)</f>
        <v>0</v>
      </c>
      <c r="AC19" s="773">
        <f>ROUND(+Z19*'[5]II-F Alloc_Factor'!$G$41,2)</f>
        <v>0</v>
      </c>
      <c r="AD19" s="773">
        <f t="shared" si="5"/>
        <v>23085078.969999999</v>
      </c>
      <c r="AE19" s="773">
        <f>ROUND(+Z19*'[5]II-F Alloc_Factor'!$I$41,2)</f>
        <v>40074539.770000003</v>
      </c>
      <c r="AF19" s="773">
        <f>ROUND(+$D19*'[5]II-F Alloc_Factor'!AF$41,2)</f>
        <v>0</v>
      </c>
      <c r="AG19" s="773">
        <f t="shared" si="6"/>
        <v>40074539.770000003</v>
      </c>
      <c r="AH19" s="773">
        <f>ROUND(+Z19*'[5]II-F Alloc_Factor'!$L$41,2)</f>
        <v>3786853.03</v>
      </c>
      <c r="AI19" s="773">
        <f>ROUND(+Z19*'[5]II-F Alloc_Factor'!$M$41,2)</f>
        <v>24265329.969999999</v>
      </c>
      <c r="AK19" s="773">
        <v>93079737.24000001</v>
      </c>
      <c r="AL19" s="773">
        <f>ROUND(+AK19*'[5]II-F Alloc_Factor'!$E$41,2)</f>
        <v>23557840.579999998</v>
      </c>
      <c r="AM19" s="773">
        <f>ROUND(+AK19*'[5]II-F Alloc_Factor'!$F$41,2)</f>
        <v>0</v>
      </c>
      <c r="AN19" s="773">
        <f>ROUND(+AK19*'[5]II-F Alloc_Factor'!$G$41,2)</f>
        <v>0</v>
      </c>
      <c r="AO19" s="773">
        <f t="shared" si="7"/>
        <v>23557840.579999998</v>
      </c>
      <c r="AP19" s="773">
        <f>ROUND(+AK19*'[5]II-F Alloc_Factor'!$I$41,2)</f>
        <v>40895230.229999997</v>
      </c>
      <c r="AQ19" s="773">
        <f>ROUND(+$D19*'[5]II-F Alloc_Factor'!AQ$41,2)</f>
        <v>0</v>
      </c>
      <c r="AR19" s="773">
        <f t="shared" si="8"/>
        <v>40895230.229999997</v>
      </c>
      <c r="AS19" s="773">
        <f>ROUND(+AK19*'[5]II-F Alloc_Factor'!$L$41,2)</f>
        <v>3864404.37</v>
      </c>
      <c r="AT19" s="773">
        <f>ROUND(+AK19*'[5]II-F Alloc_Factor'!$M$41,2)</f>
        <v>24762262.059999999</v>
      </c>
      <c r="AV19" s="773">
        <v>94958399.160000011</v>
      </c>
      <c r="AW19" s="773">
        <f>ROUND(+AV19*'[5]II-F Alloc_Factor'!$E$41,2)</f>
        <v>24033316.98</v>
      </c>
      <c r="AX19" s="773">
        <f>ROUND(+AV19*'[5]II-F Alloc_Factor'!$F$41,2)</f>
        <v>0</v>
      </c>
      <c r="AY19" s="773">
        <f>ROUND(+AV19*'[5]II-F Alloc_Factor'!$G$41,2)</f>
        <v>0</v>
      </c>
      <c r="AZ19" s="773">
        <f t="shared" si="9"/>
        <v>24033316.98</v>
      </c>
      <c r="BA19" s="773">
        <f>ROUND(+AV19*'[5]II-F Alloc_Factor'!$I$41,2)</f>
        <v>41720633.420000002</v>
      </c>
      <c r="BB19" s="773">
        <f>ROUND(+$D19*'[5]II-F Alloc_Factor'!BB$41,2)</f>
        <v>0</v>
      </c>
      <c r="BC19" s="773">
        <f t="shared" si="10"/>
        <v>41720633.420000002</v>
      </c>
      <c r="BD19" s="773">
        <f>ROUND(+AV19*'[5]II-F Alloc_Factor'!$L$41,2)</f>
        <v>3942401.04</v>
      </c>
      <c r="BE19" s="773">
        <f>ROUND(+AV19*'[5]II-F Alloc_Factor'!$M$41,2)</f>
        <v>25262047.719999999</v>
      </c>
      <c r="BG19" s="773">
        <v>96838355.930000007</v>
      </c>
      <c r="BH19" s="773">
        <f>ROUND(+BG19*'[5]II-F Alloc_Factor'!$E$41,2)</f>
        <v>24509121.100000001</v>
      </c>
      <c r="BI19" s="773">
        <f>ROUND(+BG19*'[5]II-F Alloc_Factor'!$F$41,2)</f>
        <v>0</v>
      </c>
      <c r="BJ19" s="773">
        <f>ROUND(+BG19*'[5]II-F Alloc_Factor'!$G$41,2)</f>
        <v>0</v>
      </c>
      <c r="BK19" s="773">
        <f t="shared" si="11"/>
        <v>24509121.100000001</v>
      </c>
      <c r="BL19" s="773">
        <f>ROUND(+BG19*'[5]II-F Alloc_Factor'!$I$41,2)</f>
        <v>42546605.5</v>
      </c>
      <c r="BM19" s="773">
        <f>ROUND(+$D19*'[5]II-F Alloc_Factor'!BM$41,2)</f>
        <v>0</v>
      </c>
      <c r="BN19" s="773">
        <f t="shared" si="12"/>
        <v>42546605.5</v>
      </c>
      <c r="BO19" s="773">
        <f>ROUND(+BG19*'[5]II-F Alloc_Factor'!$L$41,2)</f>
        <v>4020451.46</v>
      </c>
      <c r="BP19" s="773">
        <f>ROUND(+BG19*'[5]II-F Alloc_Factor'!$M$41,2)</f>
        <v>25762177.870000001</v>
      </c>
      <c r="BR19" s="773">
        <v>98703319.700000003</v>
      </c>
      <c r="BS19" s="773">
        <f>ROUND(+BR19*'[5]II-F Alloc_Factor'!$E$41,2)</f>
        <v>24981130.579999998</v>
      </c>
      <c r="BT19" s="773">
        <f>ROUND(+BR19*'[5]II-F Alloc_Factor'!$F$41,2)</f>
        <v>0</v>
      </c>
      <c r="BU19" s="773">
        <f>ROUND(+BR19*'[5]II-F Alloc_Factor'!$G$41,2)</f>
        <v>0</v>
      </c>
      <c r="BV19" s="773">
        <f t="shared" si="13"/>
        <v>24981130.579999998</v>
      </c>
      <c r="BW19" s="773">
        <f>ROUND(+BR19*'[5]II-F Alloc_Factor'!$I$41,2)</f>
        <v>43365990.310000002</v>
      </c>
      <c r="BX19" s="773">
        <f>ROUND(+$D19*'[5]II-F Alloc_Factor'!BX$41,2)</f>
        <v>0</v>
      </c>
      <c r="BY19" s="773">
        <f t="shared" si="14"/>
        <v>43365990.310000002</v>
      </c>
      <c r="BZ19" s="773">
        <f>ROUND(+BR19*'[5]II-F Alloc_Factor'!$L$41,2)</f>
        <v>4097879.42</v>
      </c>
      <c r="CA19" s="773">
        <f>ROUND(+BR19*'[5]II-F Alloc_Factor'!$M$41,2)</f>
        <v>26258319.379999999</v>
      </c>
      <c r="CC19" s="773">
        <v>100573759.77</v>
      </c>
      <c r="CD19" s="773">
        <f>ROUND(+CC19*'[5]II-F Alloc_Factor'!$E$41,2)</f>
        <v>25454526.09</v>
      </c>
      <c r="CE19" s="773">
        <f>ROUND(+CC19*'[5]II-F Alloc_Factor'!$F$41,2)</f>
        <v>0</v>
      </c>
      <c r="CF19" s="773">
        <f>ROUND(+CC19*'[5]II-F Alloc_Factor'!$G$41,2)</f>
        <v>0</v>
      </c>
      <c r="CG19" s="773">
        <f t="shared" si="15"/>
        <v>25454526.09</v>
      </c>
      <c r="CH19" s="773">
        <f>ROUND(+CC19*'[5]II-F Alloc_Factor'!$I$41,2)</f>
        <v>44187781.170000002</v>
      </c>
      <c r="CI19" s="773">
        <f>ROUND(+$D19*'[5]II-F Alloc_Factor'!CI$41,2)</f>
        <v>0</v>
      </c>
      <c r="CJ19" s="773">
        <f t="shared" si="16"/>
        <v>44187781.170000002</v>
      </c>
      <c r="CK19" s="773">
        <f>ROUND(+CC19*'[5]II-F Alloc_Factor'!$L$41,2)</f>
        <v>4175534.74</v>
      </c>
      <c r="CL19" s="773">
        <f>ROUND(+CC19*'[5]II-F Alloc_Factor'!$M$41,2)</f>
        <v>26755917.77</v>
      </c>
      <c r="CN19" s="773">
        <v>102466421.17</v>
      </c>
      <c r="CO19" s="773">
        <f>ROUND(+CN19*'[5]II-F Alloc_Factor'!$E$41,2)</f>
        <v>25933545.649999999</v>
      </c>
      <c r="CP19" s="773">
        <f>ROUND(+CN19*'[5]II-F Alloc_Factor'!$F$41,2)</f>
        <v>0</v>
      </c>
      <c r="CQ19" s="773">
        <f>ROUND(+CN19*'[5]II-F Alloc_Factor'!$G$41,2)</f>
        <v>0</v>
      </c>
      <c r="CR19" s="773">
        <f t="shared" si="17"/>
        <v>25933545.649999999</v>
      </c>
      <c r="CS19" s="773">
        <f>ROUND(+CN19*'[5]II-F Alloc_Factor'!$I$41,2)</f>
        <v>45019335.130000003</v>
      </c>
      <c r="CT19" s="773">
        <f>ROUND(+$D19*'[5]II-F Alloc_Factor'!CT$41,2)</f>
        <v>0</v>
      </c>
      <c r="CU19" s="773">
        <f t="shared" si="18"/>
        <v>45019335.130000003</v>
      </c>
      <c r="CV19" s="773">
        <f>ROUND(+CN19*'[5]II-F Alloc_Factor'!$L$41,2)</f>
        <v>4254112.63</v>
      </c>
      <c r="CW19" s="773">
        <f>ROUND(+CN19*'[5]II-F Alloc_Factor'!$M$41,2)</f>
        <v>27259427.760000002</v>
      </c>
      <c r="CY19" s="773">
        <v>104380062.57000001</v>
      </c>
      <c r="CZ19" s="773">
        <f>ROUND(+CY19*'[5]II-F Alloc_Factor'!$E$41,2)</f>
        <v>26417875.120000001</v>
      </c>
      <c r="DA19" s="773">
        <f>ROUND(+CY19*'[5]II-F Alloc_Factor'!$F$41,2)</f>
        <v>0</v>
      </c>
      <c r="DB19" s="773">
        <f>ROUND(+CY19*'[5]II-F Alloc_Factor'!$G$41,2)</f>
        <v>0</v>
      </c>
      <c r="DC19" s="773">
        <f t="shared" si="19"/>
        <v>26417875.120000001</v>
      </c>
      <c r="DD19" s="773">
        <f>ROUND(+CY19*'[5]II-F Alloc_Factor'!$I$41,2)</f>
        <v>45860106.789999999</v>
      </c>
      <c r="DE19" s="773">
        <f>ROUND(+$D19*'[5]II-F Alloc_Factor'!DE$41,2)</f>
        <v>0</v>
      </c>
      <c r="DF19" s="773">
        <f t="shared" si="20"/>
        <v>45860106.789999999</v>
      </c>
      <c r="DG19" s="773">
        <f>ROUND(+CY19*'[5]II-F Alloc_Factor'!$L$41,2)</f>
        <v>4333561.55</v>
      </c>
      <c r="DH19" s="773">
        <f>ROUND(+CY19*'[5]II-F Alloc_Factor'!$M$41,2)</f>
        <v>27768519.109999999</v>
      </c>
      <c r="DJ19" s="773">
        <v>106298880.36000001</v>
      </c>
      <c r="DK19" s="773">
        <f>ROUND(+DJ19*'[5]II-F Alloc_Factor'!$E$41,2)</f>
        <v>26903514.690000001</v>
      </c>
      <c r="DL19" s="773">
        <f>ROUND(+DJ19*'[5]II-F Alloc_Factor'!$F$41,2)</f>
        <v>0</v>
      </c>
      <c r="DM19" s="773">
        <f>ROUND(+DJ19*'[5]II-F Alloc_Factor'!$G$41,2)</f>
        <v>0</v>
      </c>
      <c r="DN19" s="773">
        <f t="shared" si="21"/>
        <v>26903514.690000001</v>
      </c>
      <c r="DO19" s="773">
        <f>ROUND(+DJ19*'[5]II-F Alloc_Factor'!$I$41,2)</f>
        <v>46703152.740000002</v>
      </c>
      <c r="DP19" s="773">
        <f>ROUND(+$D19*'[5]II-F Alloc_Factor'!DP$41,2)</f>
        <v>0</v>
      </c>
      <c r="DQ19" s="773">
        <f t="shared" si="22"/>
        <v>46703152.740000002</v>
      </c>
      <c r="DR19" s="773">
        <f>ROUND(+DJ19*'[5]II-F Alloc_Factor'!$L$41,2)</f>
        <v>4413225.37</v>
      </c>
      <c r="DS19" s="773">
        <f>ROUND(+DJ19*'[5]II-F Alloc_Factor'!$M$41,2)</f>
        <v>28278987.559999999</v>
      </c>
      <c r="DU19" s="773">
        <v>108219421.27000001</v>
      </c>
      <c r="DV19" s="773">
        <f>ROUND(+DU19*'[5]II-F Alloc_Factor'!$E$41,2)</f>
        <v>27389590.370000001</v>
      </c>
      <c r="DW19" s="773">
        <f>ROUND(+DU19*'[5]II-F Alloc_Factor'!$F$41,2)</f>
        <v>0</v>
      </c>
      <c r="DX19" s="773">
        <f>ROUND(+DU19*'[5]II-F Alloc_Factor'!$G$41,2)</f>
        <v>0</v>
      </c>
      <c r="DY19" s="773">
        <f t="shared" si="23"/>
        <v>27389590.370000001</v>
      </c>
      <c r="DZ19" s="773">
        <f>ROUND(+DU19*'[5]II-F Alloc_Factor'!$I$41,2)</f>
        <v>47546955.75</v>
      </c>
      <c r="EA19" s="773">
        <f>ROUND(+$D19*'[5]II-F Alloc_Factor'!EA$41,2)</f>
        <v>0</v>
      </c>
      <c r="EB19" s="773">
        <f t="shared" si="24"/>
        <v>47546955.75</v>
      </c>
      <c r="EC19" s="773">
        <f>ROUND(+DU19*'[5]II-F Alloc_Factor'!$L$41,2)</f>
        <v>4492960.7300000004</v>
      </c>
      <c r="ED19" s="773">
        <f>ROUND(+DU19*'[5]II-F Alloc_Factor'!$M$41,2)</f>
        <v>28789914.420000002</v>
      </c>
      <c r="EE19" s="642">
        <f>+DU19+'II-E-3.5'!K26</f>
        <v>0</v>
      </c>
      <c r="EF19" s="642">
        <f t="shared" si="25"/>
        <v>0</v>
      </c>
    </row>
    <row r="20" spans="1:136" s="406" customFormat="1">
      <c r="A20" s="409">
        <f t="shared" si="0"/>
        <v>8</v>
      </c>
      <c r="B20" s="366" t="s">
        <v>339</v>
      </c>
      <c r="C20" s="769" t="s">
        <v>684</v>
      </c>
      <c r="D20" s="773">
        <v>1056053717.72</v>
      </c>
      <c r="E20" s="773">
        <f>ROUND(+$D20*'[5]II-F Alloc_Factor'!E$38,2)</f>
        <v>480063792.94</v>
      </c>
      <c r="F20" s="773">
        <f>ROUND(+$D20*'[5]II-F Alloc_Factor'!F$38,2)</f>
        <v>0</v>
      </c>
      <c r="G20" s="773">
        <f>ROUND(+$D20*'[5]II-F Alloc_Factor'!G$38,2)</f>
        <v>412435.11</v>
      </c>
      <c r="H20" s="773">
        <f t="shared" si="1"/>
        <v>480476228.05000001</v>
      </c>
      <c r="I20" s="773">
        <f>ROUND(+$D20*'[5]II-F Alloc_Factor'!I$38,2)</f>
        <v>548280999.96000004</v>
      </c>
      <c r="J20" s="773">
        <f>ROUND(+$D20*'[5]II-F Alloc_Factor'!J$38,2)</f>
        <v>0</v>
      </c>
      <c r="K20" s="773">
        <f t="shared" si="2"/>
        <v>548280999.96000004</v>
      </c>
      <c r="L20" s="773">
        <f>ROUND(+$D20*'[5]II-F Alloc_Factor'!L$38,2)</f>
        <v>16433027.529999999</v>
      </c>
      <c r="M20" s="773">
        <f>ROUND(+$D20*'[5]II-F Alloc_Factor'!M$38,2)</f>
        <v>10863462.189999999</v>
      </c>
      <c r="N20" s="774"/>
      <c r="O20" s="102">
        <v>1071663746.3</v>
      </c>
      <c r="P20" s="773">
        <f>ROUND(+$O20*'[5]II-F Alloc_Factor'!E$38,2)</f>
        <v>487159842.50999999</v>
      </c>
      <c r="Q20" s="773">
        <f>ROUND(+$O20*'[5]II-F Alloc_Factor'!F$38,2)</f>
        <v>0</v>
      </c>
      <c r="R20" s="773">
        <f>ROUND(+$O20*'[5]II-F Alloc_Factor'!G$38,2)</f>
        <v>418531.5</v>
      </c>
      <c r="S20" s="773">
        <f t="shared" si="3"/>
        <v>487578374.00999999</v>
      </c>
      <c r="T20" s="773">
        <f>ROUND(+$O20*'[5]II-F Alloc_Factor'!I$38,2)</f>
        <v>556385400.26999998</v>
      </c>
      <c r="U20" s="773">
        <f>ROUND(+$O20*'[5]II-F Alloc_Factor'!J$38,2)</f>
        <v>0</v>
      </c>
      <c r="V20" s="773">
        <f t="shared" si="4"/>
        <v>556385400.26999998</v>
      </c>
      <c r="W20" s="773">
        <f>ROUND(+$O20*'[5]II-F Alloc_Factor'!L$38,2)</f>
        <v>16675931.869999999</v>
      </c>
      <c r="X20" s="773">
        <f>ROUND(+$O20*'[5]II-F Alloc_Factor'!M$38,2)</f>
        <v>11024040.15</v>
      </c>
      <c r="Z20" s="102">
        <v>1089075202.0699999</v>
      </c>
      <c r="AA20" s="773">
        <f>ROUND(+$Z20*'[5]II-F Alloc_Factor'!E$38,2)</f>
        <v>495074789.79000002</v>
      </c>
      <c r="AB20" s="773">
        <f>ROUND(+$Z20*'[5]II-F Alloc_Factor'!F$38,2)</f>
        <v>0</v>
      </c>
      <c r="AC20" s="773">
        <f>ROUND(+$Z20*'[5]II-F Alloc_Factor'!G$38,2)</f>
        <v>425331.44</v>
      </c>
      <c r="AD20" s="773">
        <f t="shared" si="5"/>
        <v>495500121.23000002</v>
      </c>
      <c r="AE20" s="773">
        <f>ROUND(+$Z20*'[5]II-F Alloc_Factor'!I$38,2)</f>
        <v>565425063.89999998</v>
      </c>
      <c r="AF20" s="773">
        <f>ROUND(+$Z20*'[5]II-F Alloc_Factor'!J$38,2)</f>
        <v>0</v>
      </c>
      <c r="AG20" s="773">
        <f t="shared" si="6"/>
        <v>565425063.89999998</v>
      </c>
      <c r="AH20" s="773">
        <f>ROUND(+$Z20*'[5]II-F Alloc_Factor'!L$38,2)</f>
        <v>16946867.829999998</v>
      </c>
      <c r="AI20" s="773">
        <f>ROUND(+$Z20*'[5]II-F Alloc_Factor'!M$38,2)</f>
        <v>11203149.119999999</v>
      </c>
      <c r="AK20" s="773">
        <v>1105239481.3499999</v>
      </c>
      <c r="AL20" s="773">
        <f>ROUND(+$AK20*'[5]II-F Alloc_Factor'!E$38,2)</f>
        <v>502422792.16000003</v>
      </c>
      <c r="AM20" s="773">
        <f>ROUND(+$AK20*'[5]II-F Alloc_Factor'!F$38,2)</f>
        <v>0</v>
      </c>
      <c r="AN20" s="773">
        <f>ROUND(+$AK20*'[5]II-F Alloc_Factor'!G$38,2)</f>
        <v>431644.29</v>
      </c>
      <c r="AO20" s="773">
        <f t="shared" si="7"/>
        <v>502854436.45000005</v>
      </c>
      <c r="AP20" s="773">
        <f>ROUND(+$AK20*'[5]II-F Alloc_Factor'!I$38,2)</f>
        <v>573817219.58000004</v>
      </c>
      <c r="AQ20" s="773">
        <f>ROUND(+$AK20*'[5]II-F Alloc_Factor'!J$38,2)</f>
        <v>0</v>
      </c>
      <c r="AR20" s="773">
        <f t="shared" si="8"/>
        <v>573817219.58000004</v>
      </c>
      <c r="AS20" s="773">
        <f>ROUND(+$AK20*'[5]II-F Alloc_Factor'!L$38,2)</f>
        <v>17198396.75</v>
      </c>
      <c r="AT20" s="773">
        <f>ROUND(+$AK20*'[5]II-F Alloc_Factor'!M$38,2)</f>
        <v>11369428.57</v>
      </c>
      <c r="AV20" s="773">
        <v>1121403760.6199999</v>
      </c>
      <c r="AW20" s="773">
        <f>ROUND(+$AV20*'[5]II-F Alloc_Factor'!E$38,2)</f>
        <v>509770794.51999998</v>
      </c>
      <c r="AX20" s="773">
        <f>ROUND(+$AV20*'[5]II-F Alloc_Factor'!F$38,2)</f>
        <v>0</v>
      </c>
      <c r="AY20" s="773">
        <f>ROUND(+$AV20*'[5]II-F Alloc_Factor'!G$38,2)</f>
        <v>437957.15</v>
      </c>
      <c r="AZ20" s="773">
        <f t="shared" si="9"/>
        <v>510208751.66999996</v>
      </c>
      <c r="BA20" s="773">
        <f>ROUND(+$AV20*'[5]II-F Alloc_Factor'!I$38,2)</f>
        <v>582209375.25</v>
      </c>
      <c r="BB20" s="773">
        <f>ROUND(+$AV20*'[5]II-F Alloc_Factor'!J$38,2)</f>
        <v>0</v>
      </c>
      <c r="BC20" s="773">
        <f t="shared" si="10"/>
        <v>582209375.25</v>
      </c>
      <c r="BD20" s="773">
        <f>ROUND(+$AV20*'[5]II-F Alloc_Factor'!L$38,2)</f>
        <v>17449925.66</v>
      </c>
      <c r="BE20" s="773">
        <f>ROUND(+$AV20*'[5]II-F Alloc_Factor'!M$38,2)</f>
        <v>11535708.029999999</v>
      </c>
      <c r="BG20" s="773">
        <v>1136697487.4299998</v>
      </c>
      <c r="BH20" s="773">
        <f>ROUND(+$BG20*'[5]II-F Alloc_Factor'!E$38,2)</f>
        <v>516723058.76999998</v>
      </c>
      <c r="BI20" s="773">
        <f>ROUND(+$BG20*'[5]II-F Alloc_Factor'!F$38,2)</f>
        <v>0</v>
      </c>
      <c r="BJ20" s="773">
        <f>ROUND(+$BG20*'[5]II-F Alloc_Factor'!G$38,2)</f>
        <v>443930.02</v>
      </c>
      <c r="BK20" s="773">
        <f t="shared" si="11"/>
        <v>517166988.78999996</v>
      </c>
      <c r="BL20" s="773">
        <f>ROUND(+$BG20*'[5]II-F Alloc_Factor'!I$38,2)</f>
        <v>590149558.29999995</v>
      </c>
      <c r="BM20" s="773">
        <f>ROUND(+$BG20*'[5]II-F Alloc_Factor'!J$38,2)</f>
        <v>0</v>
      </c>
      <c r="BN20" s="773">
        <f t="shared" si="12"/>
        <v>590149558.29999995</v>
      </c>
      <c r="BO20" s="773">
        <f>ROUND(+$BG20*'[5]II-F Alloc_Factor'!L$38,2)</f>
        <v>17687908.100000001</v>
      </c>
      <c r="BP20" s="773">
        <f>ROUND(+$BG20*'[5]II-F Alloc_Factor'!M$38,2)</f>
        <v>11693032.24</v>
      </c>
      <c r="BR20" s="773">
        <v>1152716674.6199999</v>
      </c>
      <c r="BS20" s="773">
        <f>ROUND(+$BR20*'[5]II-F Alloc_Factor'!E$38,2)</f>
        <v>524005104.77999997</v>
      </c>
      <c r="BT20" s="773">
        <f>ROUND(+$BR20*'[5]II-F Alloc_Factor'!F$38,2)</f>
        <v>0</v>
      </c>
      <c r="BU20" s="773">
        <f>ROUND(+$BR20*'[5]II-F Alloc_Factor'!G$38,2)</f>
        <v>450186.21</v>
      </c>
      <c r="BV20" s="773">
        <f t="shared" si="13"/>
        <v>524455290.98999995</v>
      </c>
      <c r="BW20" s="773">
        <f>ROUND(+$BR20*'[5]II-F Alloc_Factor'!I$38,2)</f>
        <v>598466385.21000004</v>
      </c>
      <c r="BX20" s="773">
        <f>ROUND(+$BR20*'[5]II-F Alloc_Factor'!J$38,2)</f>
        <v>0</v>
      </c>
      <c r="BY20" s="773">
        <f t="shared" si="14"/>
        <v>598466385.21000004</v>
      </c>
      <c r="BZ20" s="773">
        <f>ROUND(+$BR20*'[5]II-F Alloc_Factor'!L$38,2)</f>
        <v>17937179.27</v>
      </c>
      <c r="CA20" s="773">
        <f>ROUND(+$BR20*'[5]II-F Alloc_Factor'!M$38,2)</f>
        <v>11857819.16</v>
      </c>
      <c r="CC20" s="773">
        <v>1168735861.8099999</v>
      </c>
      <c r="CD20" s="773">
        <f>ROUND(+$CC20*'[5]II-F Alloc_Factor'!E$38,2)</f>
        <v>531287150.79000002</v>
      </c>
      <c r="CE20" s="773">
        <f>ROUND(+$CC20*'[5]II-F Alloc_Factor'!F$38,2)</f>
        <v>0</v>
      </c>
      <c r="CF20" s="773">
        <f>ROUND(+$CC20*'[5]II-F Alloc_Factor'!G$38,2)</f>
        <v>456442.41</v>
      </c>
      <c r="CG20" s="773">
        <f t="shared" si="15"/>
        <v>531743593.20000005</v>
      </c>
      <c r="CH20" s="773">
        <f>ROUND(+$CC20*'[5]II-F Alloc_Factor'!I$38,2)</f>
        <v>606783212.11000001</v>
      </c>
      <c r="CI20" s="773">
        <f>ROUND(+$CC20*'[5]II-F Alloc_Factor'!J$38,2)</f>
        <v>0</v>
      </c>
      <c r="CJ20" s="773">
        <f t="shared" si="16"/>
        <v>606783212.11000001</v>
      </c>
      <c r="CK20" s="773">
        <f>ROUND(+$CC20*'[5]II-F Alloc_Factor'!L$38,2)</f>
        <v>18186450.43</v>
      </c>
      <c r="CL20" s="773">
        <f>ROUND(+$CC20*'[5]II-F Alloc_Factor'!M$38,2)</f>
        <v>12022606.07</v>
      </c>
      <c r="CN20" s="773">
        <v>1184905644.45</v>
      </c>
      <c r="CO20" s="773">
        <f>ROUND(+$CN20*'[5]II-F Alloc_Factor'!E$38,2)</f>
        <v>538637654.88999999</v>
      </c>
      <c r="CP20" s="773">
        <f>ROUND(+$CN20*'[5]II-F Alloc_Factor'!F$38,2)</f>
        <v>0</v>
      </c>
      <c r="CQ20" s="773">
        <f>ROUND(+$CN20*'[5]II-F Alloc_Factor'!G$38,2)</f>
        <v>462757.41</v>
      </c>
      <c r="CR20" s="773">
        <f t="shared" si="17"/>
        <v>539100412.29999995</v>
      </c>
      <c r="CS20" s="773">
        <f>ROUND(+$CN20*'[5]II-F Alloc_Factor'!I$38,2)</f>
        <v>615178225.01999998</v>
      </c>
      <c r="CT20" s="773">
        <f>ROUND(+$CN20*'[5]II-F Alloc_Factor'!J$38,2)</f>
        <v>0</v>
      </c>
      <c r="CU20" s="773">
        <f t="shared" si="18"/>
        <v>615178225.01999998</v>
      </c>
      <c r="CV20" s="773">
        <f>ROUND(+$CN20*'[5]II-F Alloc_Factor'!L$38,2)</f>
        <v>18438064.989999998</v>
      </c>
      <c r="CW20" s="773">
        <f>ROUND(+$CN20*'[5]II-F Alloc_Factor'!M$38,2)</f>
        <v>12188942.140000001</v>
      </c>
      <c r="CY20" s="773">
        <v>1201012090.3600001</v>
      </c>
      <c r="CZ20" s="773">
        <f>ROUND(+$CY20*'[5]II-F Alloc_Factor'!E$38,2)</f>
        <v>545959367.21000004</v>
      </c>
      <c r="DA20" s="773">
        <f>ROUND(+$CY20*'[5]II-F Alloc_Factor'!F$38,2)</f>
        <v>0</v>
      </c>
      <c r="DB20" s="773">
        <f>ROUND(+$CY20*'[5]II-F Alloc_Factor'!G$38,2)</f>
        <v>469047.68</v>
      </c>
      <c r="DC20" s="773">
        <f t="shared" si="19"/>
        <v>546428414.88999999</v>
      </c>
      <c r="DD20" s="773">
        <f>ROUND(+$CY20*'[5]II-F Alloc_Factor'!I$38,2)</f>
        <v>623540354.83000004</v>
      </c>
      <c r="DE20" s="773">
        <f>ROUND(+$CY20*'[5]II-F Alloc_Factor'!J$38,2)</f>
        <v>0</v>
      </c>
      <c r="DF20" s="773">
        <f t="shared" si="20"/>
        <v>623540354.83000004</v>
      </c>
      <c r="DG20" s="773">
        <f>ROUND(+$CY20*'[5]II-F Alloc_Factor'!L$38,2)</f>
        <v>18688693.969999999</v>
      </c>
      <c r="DH20" s="773">
        <f>ROUND(+$CY20*'[5]II-F Alloc_Factor'!M$38,2)</f>
        <v>12354626.67</v>
      </c>
      <c r="DJ20" s="773">
        <v>1217118536.26</v>
      </c>
      <c r="DK20" s="773">
        <f>ROUND(+$DJ20*'[5]II-F Alloc_Factor'!E$38,2)</f>
        <v>553281079.51999998</v>
      </c>
      <c r="DL20" s="773">
        <f>ROUND(+$DJ20*'[5]II-F Alloc_Factor'!F$38,2)</f>
        <v>0</v>
      </c>
      <c r="DM20" s="773">
        <f>ROUND(+$DJ20*'[5]II-F Alloc_Factor'!G$38,2)</f>
        <v>475337.95</v>
      </c>
      <c r="DN20" s="773">
        <f t="shared" si="21"/>
        <v>553756417.47000003</v>
      </c>
      <c r="DO20" s="773">
        <f>ROUND(+$DJ20*'[5]II-F Alloc_Factor'!I$38,2)</f>
        <v>631902484.63</v>
      </c>
      <c r="DP20" s="773">
        <f>ROUND(+$DJ20*'[5]II-F Alloc_Factor'!J$38,2)</f>
        <v>0</v>
      </c>
      <c r="DQ20" s="773">
        <f t="shared" si="22"/>
        <v>631902484.63</v>
      </c>
      <c r="DR20" s="773">
        <f>ROUND(+$DJ20*'[5]II-F Alloc_Factor'!L$38,2)</f>
        <v>18939322.949999999</v>
      </c>
      <c r="DS20" s="773">
        <f>ROUND(+$DJ20*'[5]II-F Alloc_Factor'!M$38,2)</f>
        <v>12520311.199999999</v>
      </c>
      <c r="DU20" s="773">
        <v>1233780312.5599999</v>
      </c>
      <c r="DV20" s="773">
        <f>ROUND(+$DU20*'[5]II-F Alloc_Factor'!E$38,2)</f>
        <v>560855235.45000005</v>
      </c>
      <c r="DW20" s="773">
        <f>ROUND(+$DU20*'[5]II-F Alloc_Factor'!F$38,2)</f>
        <v>0</v>
      </c>
      <c r="DX20" s="773">
        <f>ROUND(+$DU20*'[5]II-F Alloc_Factor'!G$38,2)</f>
        <v>481845.1</v>
      </c>
      <c r="DY20" s="773">
        <f t="shared" si="23"/>
        <v>561337080.55000007</v>
      </c>
      <c r="DZ20" s="773">
        <f>ROUND(+$DU20*'[5]II-F Alloc_Factor'!I$38,2)</f>
        <v>640552930.36000001</v>
      </c>
      <c r="EA20" s="773">
        <f>ROUND(+$DU20*'[5]II-F Alloc_Factor'!J$38,2)</f>
        <v>0</v>
      </c>
      <c r="EB20" s="773">
        <f t="shared" si="24"/>
        <v>640552930.36000001</v>
      </c>
      <c r="EC20" s="773">
        <f>ROUND(+$DU20*'[5]II-F Alloc_Factor'!L$38,2)</f>
        <v>19198593.309999999</v>
      </c>
      <c r="ED20" s="773">
        <f>ROUND(+$DU20*'[5]II-F Alloc_Factor'!M$38,2)</f>
        <v>12691708.33</v>
      </c>
      <c r="EE20" s="772">
        <f>+DU20+'II-E-3.5'!K27</f>
        <v>0</v>
      </c>
      <c r="EF20" s="772">
        <f t="shared" si="25"/>
        <v>-9.9999904632568359E-3</v>
      </c>
    </row>
    <row r="21" spans="1:136" s="406" customFormat="1">
      <c r="A21" s="409">
        <f t="shared" si="0"/>
        <v>9</v>
      </c>
      <c r="B21" s="366" t="s">
        <v>600</v>
      </c>
      <c r="C21" s="769" t="s">
        <v>684</v>
      </c>
      <c r="D21" s="773">
        <v>-2934821978.9700003</v>
      </c>
      <c r="E21" s="773">
        <f>ROUND(+$D21*'[5]II-F Alloc_Factor'!E$38,2)</f>
        <v>-1334119417.5899999</v>
      </c>
      <c r="F21" s="773">
        <f>ROUND(+$D21*'[5]II-F Alloc_Factor'!F$38,2)</f>
        <v>0</v>
      </c>
      <c r="G21" s="773">
        <f>ROUND(+$D21*'[5]II-F Alloc_Factor'!G$38,2)</f>
        <v>-1146176.18</v>
      </c>
      <c r="H21" s="773">
        <f t="shared" si="1"/>
        <v>-1335265593.77</v>
      </c>
      <c r="I21" s="773">
        <f>ROUND(+$D21*'[5]II-F Alloc_Factor'!I$38,2)</f>
        <v>-1523698181.5699999</v>
      </c>
      <c r="J21" s="773">
        <f>ROUND(+$D21*'[5]II-F Alloc_Factor'!J$38,2)</f>
        <v>0</v>
      </c>
      <c r="K21" s="773">
        <f t="shared" si="2"/>
        <v>-1523698181.5699999</v>
      </c>
      <c r="L21" s="773">
        <f>ROUND(+$D21*'[5]II-F Alloc_Factor'!L$38,2)</f>
        <v>-45668141.280000001</v>
      </c>
      <c r="M21" s="773">
        <f>ROUND(+$D21*'[5]II-F Alloc_Factor'!M$38,2)</f>
        <v>-30190062.359999999</v>
      </c>
      <c r="N21" s="774"/>
      <c r="O21" s="102">
        <v>-2957434110.8400002</v>
      </c>
      <c r="P21" s="773">
        <f>ROUND(+$O21*'[5]II-F Alloc_Factor'!E$38,2)</f>
        <v>-1344398502.46</v>
      </c>
      <c r="Q21" s="773">
        <f>ROUND(+$O21*'[5]II-F Alloc_Factor'!F$38,2)</f>
        <v>0</v>
      </c>
      <c r="R21" s="773">
        <f>ROUND(+$O21*'[5]II-F Alloc_Factor'!G$38,2)</f>
        <v>-1155007.2</v>
      </c>
      <c r="S21" s="773">
        <f t="shared" si="3"/>
        <v>-1345553509.6600001</v>
      </c>
      <c r="T21" s="773">
        <f>ROUND(+$O21*'[5]II-F Alloc_Factor'!I$38,2)</f>
        <v>-1535437927.4400001</v>
      </c>
      <c r="U21" s="773">
        <f>ROUND(+$O21*'[5]II-F Alloc_Factor'!J$38,2)</f>
        <v>0</v>
      </c>
      <c r="V21" s="773">
        <f t="shared" si="4"/>
        <v>-1535437927.4400001</v>
      </c>
      <c r="W21" s="773">
        <f>ROUND(+$O21*'[5]II-F Alloc_Factor'!L$38,2)</f>
        <v>-46020003.859999999</v>
      </c>
      <c r="X21" s="773">
        <f>ROUND(+$O21*'[5]II-F Alloc_Factor'!M$38,2)</f>
        <v>-30422669.879999999</v>
      </c>
      <c r="Z21" s="102">
        <v>-2979737588.5400004</v>
      </c>
      <c r="AA21" s="773">
        <f>ROUND(+$Z21*'[5]II-F Alloc_Factor'!E$38,2)</f>
        <v>-1354537278.47</v>
      </c>
      <c r="AB21" s="773">
        <f>ROUND(+$Z21*'[5]II-F Alloc_Factor'!F$38,2)</f>
        <v>0</v>
      </c>
      <c r="AC21" s="773">
        <f>ROUND(+$Z21*'[5]II-F Alloc_Factor'!G$38,2)</f>
        <v>-1163717.68</v>
      </c>
      <c r="AD21" s="773">
        <f t="shared" si="5"/>
        <v>-1355700996.1500001</v>
      </c>
      <c r="AE21" s="773">
        <f>ROUND(+$Z21*'[5]II-F Alloc_Factor'!I$38,2)</f>
        <v>-1547017426.52</v>
      </c>
      <c r="AF21" s="773">
        <f>ROUND(+$Z21*'[5]II-F Alloc_Factor'!J$38,2)</f>
        <v>0</v>
      </c>
      <c r="AG21" s="773">
        <f t="shared" si="6"/>
        <v>-1547017426.52</v>
      </c>
      <c r="AH21" s="773">
        <f>ROUND(+$Z21*'[5]II-F Alloc_Factor'!L$38,2)</f>
        <v>-46367063.539999999</v>
      </c>
      <c r="AI21" s="773">
        <f>ROUND(+$Z21*'[5]II-F Alloc_Factor'!M$38,2)</f>
        <v>-30652102.32</v>
      </c>
      <c r="AK21" s="773">
        <v>-3002246835.6700006</v>
      </c>
      <c r="AL21" s="773">
        <f>ROUND(+$AK21*'[5]II-F Alloc_Factor'!E$38,2)</f>
        <v>-1364769593.72</v>
      </c>
      <c r="AM21" s="773">
        <f>ROUND(+$AK21*'[5]II-F Alloc_Factor'!F$38,2)</f>
        <v>0</v>
      </c>
      <c r="AN21" s="773">
        <f>ROUND(+$AK21*'[5]II-F Alloc_Factor'!G$38,2)</f>
        <v>-1172508.53</v>
      </c>
      <c r="AO21" s="773">
        <f t="shared" si="7"/>
        <v>-1365942102.25</v>
      </c>
      <c r="AP21" s="773">
        <f>ROUND(+$AK21*'[5]II-F Alloc_Factor'!I$38,2)</f>
        <v>-1558703756.79</v>
      </c>
      <c r="AQ21" s="773">
        <f>ROUND(+$AK21*'[5]II-F Alloc_Factor'!J$38,2)</f>
        <v>0</v>
      </c>
      <c r="AR21" s="773">
        <f t="shared" si="8"/>
        <v>-1558703756.79</v>
      </c>
      <c r="AS21" s="773">
        <f>ROUND(+$AK21*'[5]II-F Alloc_Factor'!L$38,2)</f>
        <v>-46717325.149999999</v>
      </c>
      <c r="AT21" s="773">
        <f>ROUND(+$AK21*'[5]II-F Alloc_Factor'!M$38,2)</f>
        <v>-30883651.489999998</v>
      </c>
      <c r="AV21" s="773">
        <v>-3024756082.8000002</v>
      </c>
      <c r="AW21" s="773">
        <f>ROUND(+$AV21*'[5]II-F Alloc_Factor'!E$38,2)</f>
        <v>-1375001908.96</v>
      </c>
      <c r="AX21" s="773">
        <f>ROUND(+$AV21*'[5]II-F Alloc_Factor'!F$38,2)</f>
        <v>0</v>
      </c>
      <c r="AY21" s="773">
        <f>ROUND(+$AV21*'[5]II-F Alloc_Factor'!G$38,2)</f>
        <v>-1181299.3700000001</v>
      </c>
      <c r="AZ21" s="773">
        <f t="shared" si="9"/>
        <v>-1376183208.3299999</v>
      </c>
      <c r="BA21" s="773">
        <f>ROUND(+$AV21*'[5]II-F Alloc_Factor'!I$38,2)</f>
        <v>-1570390087.05</v>
      </c>
      <c r="BB21" s="773">
        <f>ROUND(+$AV21*'[5]II-F Alloc_Factor'!J$38,2)</f>
        <v>0</v>
      </c>
      <c r="BC21" s="773">
        <f t="shared" si="10"/>
        <v>-1570390087.05</v>
      </c>
      <c r="BD21" s="773">
        <f>ROUND(+$AV21*'[5]II-F Alloc_Factor'!L$38,2)</f>
        <v>-47067586.759999998</v>
      </c>
      <c r="BE21" s="773">
        <f>ROUND(+$AV21*'[5]II-F Alloc_Factor'!M$38,2)</f>
        <v>-31115200.649999999</v>
      </c>
      <c r="BG21" s="773">
        <v>-3047224885.8399997</v>
      </c>
      <c r="BH21" s="773">
        <f>ROUND(+$BG21*'[5]II-F Alloc_Factor'!E$38,2)</f>
        <v>-1385215839.02</v>
      </c>
      <c r="BI21" s="773">
        <f>ROUND(+$BG21*'[5]II-F Alloc_Factor'!F$38,2)</f>
        <v>0</v>
      </c>
      <c r="BJ21" s="773">
        <f>ROUND(+$BG21*'[5]II-F Alloc_Factor'!G$38,2)</f>
        <v>-1190074.42</v>
      </c>
      <c r="BK21" s="773">
        <f t="shared" si="11"/>
        <v>-1386405913.4400001</v>
      </c>
      <c r="BL21" s="773">
        <f>ROUND(+$BG21*'[5]II-F Alloc_Factor'!I$38,2)</f>
        <v>-1582055419.5999999</v>
      </c>
      <c r="BM21" s="773">
        <f>ROUND(+$BG21*'[5]II-F Alloc_Factor'!J$38,2)</f>
        <v>0</v>
      </c>
      <c r="BN21" s="773">
        <f t="shared" si="12"/>
        <v>-1582055419.5999999</v>
      </c>
      <c r="BO21" s="773">
        <f>ROUND(+$BG21*'[5]II-F Alloc_Factor'!L$38,2)</f>
        <v>-47417219.030000001</v>
      </c>
      <c r="BP21" s="773">
        <f>ROUND(+$BG21*'[5]II-F Alloc_Factor'!M$38,2)</f>
        <v>-31346333.77</v>
      </c>
      <c r="BR21" s="773">
        <v>-3069727392.2999997</v>
      </c>
      <c r="BS21" s="773">
        <f>ROUND(+$BR21*'[5]II-F Alloc_Factor'!E$38,2)</f>
        <v>-1395445090.0699999</v>
      </c>
      <c r="BT21" s="773">
        <f>ROUND(+$BR21*'[5]II-F Alloc_Factor'!F$38,2)</f>
        <v>0</v>
      </c>
      <c r="BU21" s="773">
        <f>ROUND(+$BR21*'[5]II-F Alloc_Factor'!G$38,2)</f>
        <v>-1198862.6299999999</v>
      </c>
      <c r="BV21" s="773">
        <f t="shared" si="13"/>
        <v>-1396643952.7</v>
      </c>
      <c r="BW21" s="773">
        <f>ROUND(+$BR21*'[5]II-F Alloc_Factor'!I$38,2)</f>
        <v>-1593738250.25</v>
      </c>
      <c r="BX21" s="773">
        <f>ROUND(+$BR21*'[5]II-F Alloc_Factor'!J$38,2)</f>
        <v>0</v>
      </c>
      <c r="BY21" s="773">
        <f t="shared" si="14"/>
        <v>-1593738250.25</v>
      </c>
      <c r="BZ21" s="773">
        <f>ROUND(+$BR21*'[5]II-F Alloc_Factor'!L$38,2)</f>
        <v>-47767375.75</v>
      </c>
      <c r="CA21" s="773">
        <f>ROUND(+$BR21*'[5]II-F Alloc_Factor'!M$38,2)</f>
        <v>-31577813.600000001</v>
      </c>
      <c r="CC21" s="773">
        <v>-3092229898.7399993</v>
      </c>
      <c r="CD21" s="773">
        <f>ROUND(+$CC21*'[5]II-F Alloc_Factor'!E$38,2)</f>
        <v>-1405674341.1099999</v>
      </c>
      <c r="CE21" s="773">
        <f>ROUND(+$CC21*'[5]II-F Alloc_Factor'!F$38,2)</f>
        <v>0</v>
      </c>
      <c r="CF21" s="773">
        <f>ROUND(+$CC21*'[5]II-F Alloc_Factor'!G$38,2)</f>
        <v>-1207650.8500000001</v>
      </c>
      <c r="CG21" s="773">
        <f t="shared" si="15"/>
        <v>-1406881991.9599998</v>
      </c>
      <c r="CH21" s="773">
        <f>ROUND(+$CC21*'[5]II-F Alloc_Factor'!I$38,2)</f>
        <v>-1605421080.8900001</v>
      </c>
      <c r="CI21" s="773">
        <f>ROUND(+$CC21*'[5]II-F Alloc_Factor'!J$38,2)</f>
        <v>0</v>
      </c>
      <c r="CJ21" s="773">
        <f t="shared" si="16"/>
        <v>-1605421080.8900001</v>
      </c>
      <c r="CK21" s="773">
        <f>ROUND(+$CC21*'[5]II-F Alloc_Factor'!L$38,2)</f>
        <v>-48117532.469999999</v>
      </c>
      <c r="CL21" s="773">
        <f>ROUND(+$CC21*'[5]II-F Alloc_Factor'!M$38,2)</f>
        <v>-31809293.420000002</v>
      </c>
      <c r="CN21" s="773">
        <v>-3116161561.0099993</v>
      </c>
      <c r="CO21" s="773">
        <f>ROUND(+$CN21*'[5]II-F Alloc_Factor'!E$38,2)</f>
        <v>-1416553261.73</v>
      </c>
      <c r="CP21" s="773">
        <f>ROUND(+$CN21*'[5]II-F Alloc_Factor'!F$38,2)</f>
        <v>0</v>
      </c>
      <c r="CQ21" s="773">
        <f>ROUND(+$CN21*'[5]II-F Alloc_Factor'!G$38,2)</f>
        <v>-1216997.21</v>
      </c>
      <c r="CR21" s="773">
        <f t="shared" si="17"/>
        <v>-1417770258.9400001</v>
      </c>
      <c r="CS21" s="773">
        <f>ROUND(+$CN21*'[5]II-F Alloc_Factor'!I$38,2)</f>
        <v>-1617845899.3399999</v>
      </c>
      <c r="CT21" s="773">
        <f>ROUND(+$CN21*'[5]II-F Alloc_Factor'!J$38,2)</f>
        <v>0</v>
      </c>
      <c r="CU21" s="773">
        <f t="shared" si="18"/>
        <v>-1617845899.3399999</v>
      </c>
      <c r="CV21" s="773">
        <f>ROUND(+$CN21*'[5]II-F Alloc_Factor'!L$38,2)</f>
        <v>-48489927.990000002</v>
      </c>
      <c r="CW21" s="773">
        <f>ROUND(+$CN21*'[5]II-F Alloc_Factor'!M$38,2)</f>
        <v>-32055474.75</v>
      </c>
      <c r="CY21" s="773">
        <v>-3138815713.1899991</v>
      </c>
      <c r="CZ21" s="773">
        <f>ROUND(+$CY21*'[5]II-F Alloc_Factor'!E$38,2)</f>
        <v>-1426851448.3099999</v>
      </c>
      <c r="DA21" s="773">
        <f>ROUND(+$CY21*'[5]II-F Alloc_Factor'!F$38,2)</f>
        <v>0</v>
      </c>
      <c r="DB21" s="773">
        <f>ROUND(+$CY21*'[5]II-F Alloc_Factor'!G$38,2)</f>
        <v>-1225844.6399999999</v>
      </c>
      <c r="DC21" s="773">
        <f t="shared" si="19"/>
        <v>-1428077292.95</v>
      </c>
      <c r="DD21" s="773">
        <f>ROUND(+$CY21*'[5]II-F Alloc_Factor'!I$38,2)</f>
        <v>-1629607461.28</v>
      </c>
      <c r="DE21" s="773">
        <f>ROUND(+$CY21*'[5]II-F Alloc_Factor'!J$38,2)</f>
        <v>0</v>
      </c>
      <c r="DF21" s="773">
        <f t="shared" si="20"/>
        <v>-1629607461.28</v>
      </c>
      <c r="DG21" s="773">
        <f>ROUND(+$CY21*'[5]II-F Alloc_Factor'!L$38,2)</f>
        <v>-48842444.439999998</v>
      </c>
      <c r="DH21" s="773">
        <f>ROUND(+$CY21*'[5]II-F Alloc_Factor'!M$38,2)</f>
        <v>-32288514.530000001</v>
      </c>
      <c r="DJ21" s="773">
        <v>-3161469865.349999</v>
      </c>
      <c r="DK21" s="773">
        <f>ROUND(+$DJ21*'[5]II-F Alloc_Factor'!E$38,2)</f>
        <v>-1437149634.8699999</v>
      </c>
      <c r="DL21" s="773">
        <f>ROUND(+$DJ21*'[5]II-F Alloc_Factor'!F$38,2)</f>
        <v>0</v>
      </c>
      <c r="DM21" s="773">
        <f>ROUND(+$DJ21*'[5]II-F Alloc_Factor'!G$38,2)</f>
        <v>-1234692.08</v>
      </c>
      <c r="DN21" s="773">
        <f t="shared" si="21"/>
        <v>-1438384326.9499998</v>
      </c>
      <c r="DO21" s="773">
        <f>ROUND(+$DJ21*'[5]II-F Alloc_Factor'!I$38,2)</f>
        <v>-1641369023.21</v>
      </c>
      <c r="DP21" s="773">
        <f>ROUND(+$DJ21*'[5]II-F Alloc_Factor'!J$38,2)</f>
        <v>0</v>
      </c>
      <c r="DQ21" s="773">
        <f t="shared" si="22"/>
        <v>-1641369023.21</v>
      </c>
      <c r="DR21" s="773">
        <f>ROUND(+$DJ21*'[5]II-F Alloc_Factor'!L$38,2)</f>
        <v>-49194960.880000003</v>
      </c>
      <c r="DS21" s="773">
        <f>ROUND(+$DJ21*'[5]II-F Alloc_Factor'!M$38,2)</f>
        <v>-32521554.309999999</v>
      </c>
      <c r="DU21" s="773">
        <v>-3177765769.8499999</v>
      </c>
      <c r="DV21" s="773">
        <f>ROUND(+$DU21*'[5]II-F Alloc_Factor'!E$38,2)</f>
        <v>-1444557471.8</v>
      </c>
      <c r="DW21" s="773">
        <f>ROUND(+$DU21*'[5]II-F Alloc_Factor'!F$38,2)</f>
        <v>0</v>
      </c>
      <c r="DX21" s="773">
        <f>ROUND(+$DU21*'[5]II-F Alloc_Factor'!G$38,2)</f>
        <v>-1241056.3400000001</v>
      </c>
      <c r="DY21" s="773">
        <f t="shared" si="23"/>
        <v>-1445798528.1399999</v>
      </c>
      <c r="DZ21" s="773">
        <f>ROUND(+$DU21*'[5]II-F Alloc_Factor'!I$38,2)</f>
        <v>-1649829515.95</v>
      </c>
      <c r="EA21" s="773">
        <f>ROUND(+$DU21*'[5]II-F Alloc_Factor'!J$38,2)</f>
        <v>0</v>
      </c>
      <c r="EB21" s="773">
        <f t="shared" si="24"/>
        <v>-1649829515.95</v>
      </c>
      <c r="EC21" s="773">
        <f>ROUND(+$DU21*'[5]II-F Alloc_Factor'!L$38,2)</f>
        <v>-49448537.990000002</v>
      </c>
      <c r="ED21" s="773">
        <f>ROUND(+$DU21*'[5]II-F Alloc_Factor'!M$38,2)</f>
        <v>-32689187.77</v>
      </c>
      <c r="EE21" s="772">
        <f>+DU21+'II-E-3.5'!K28</f>
        <v>0</v>
      </c>
      <c r="EF21" s="772">
        <f t="shared" si="25"/>
        <v>0</v>
      </c>
    </row>
    <row r="22" spans="1:136" s="406" customFormat="1">
      <c r="A22" s="409">
        <f t="shared" si="0"/>
        <v>10</v>
      </c>
      <c r="B22" s="366" t="s">
        <v>350</v>
      </c>
      <c r="C22" s="769" t="s">
        <v>684</v>
      </c>
      <c r="D22" s="773">
        <v>-5190674.8600000003</v>
      </c>
      <c r="E22" s="773">
        <f>ROUND(+$D22*'[5]II-F Alloc_Factor'!E$38,2)</f>
        <v>-2359591.2000000002</v>
      </c>
      <c r="F22" s="773">
        <f>ROUND(+$D22*'[5]II-F Alloc_Factor'!F$38,2)</f>
        <v>0</v>
      </c>
      <c r="G22" s="773">
        <f>ROUND(+$D22*'[5]II-F Alloc_Factor'!G$38,2)</f>
        <v>-2027.19</v>
      </c>
      <c r="H22" s="773">
        <f t="shared" si="1"/>
        <v>-2361618.39</v>
      </c>
      <c r="I22" s="773">
        <f>ROUND(+$D22*'[5]II-F Alloc_Factor'!I$38,2)</f>
        <v>-2694889.81</v>
      </c>
      <c r="J22" s="773">
        <f>ROUND(+$D22*'[5]II-F Alloc_Factor'!J$38,2)</f>
        <v>0</v>
      </c>
      <c r="K22" s="773">
        <f t="shared" si="2"/>
        <v>-2694889.81</v>
      </c>
      <c r="L22" s="773">
        <f>ROUND(+$D22*'[5]II-F Alloc_Factor'!L$38,2)</f>
        <v>-80770.990000000005</v>
      </c>
      <c r="M22" s="773">
        <f>ROUND(+$D22*'[5]II-F Alloc_Factor'!M$38,2)</f>
        <v>-53395.67</v>
      </c>
      <c r="N22" s="774"/>
      <c r="O22" s="99">
        <v>-5190674.8600000003</v>
      </c>
      <c r="P22" s="773">
        <f>ROUND(+$O22*'[5]II-F Alloc_Factor'!E$38,2)</f>
        <v>-2359591.2000000002</v>
      </c>
      <c r="Q22" s="773">
        <f>ROUND(+$O22*'[5]II-F Alloc_Factor'!F$38,2)</f>
        <v>0</v>
      </c>
      <c r="R22" s="773">
        <f>ROUND(+$O22*'[5]II-F Alloc_Factor'!G$38,2)</f>
        <v>-2027.19</v>
      </c>
      <c r="S22" s="773">
        <f t="shared" si="3"/>
        <v>-2361618.39</v>
      </c>
      <c r="T22" s="773">
        <f>ROUND(+$O22*'[5]II-F Alloc_Factor'!I$38,2)</f>
        <v>-2694889.81</v>
      </c>
      <c r="U22" s="773">
        <f>ROUND(+$O22*'[5]II-F Alloc_Factor'!J$38,2)</f>
        <v>0</v>
      </c>
      <c r="V22" s="773">
        <f t="shared" si="4"/>
        <v>-2694889.81</v>
      </c>
      <c r="W22" s="773">
        <f>ROUND(+$O22*'[5]II-F Alloc_Factor'!L$38,2)</f>
        <v>-80770.990000000005</v>
      </c>
      <c r="X22" s="773">
        <f>ROUND(+$O22*'[5]II-F Alloc_Factor'!M$38,2)</f>
        <v>-53395.67</v>
      </c>
      <c r="Z22" s="99">
        <v>-5190674.8600000003</v>
      </c>
      <c r="AA22" s="773">
        <f>ROUND(+$Z22*'[5]II-F Alloc_Factor'!E$38,2)</f>
        <v>-2359591.2000000002</v>
      </c>
      <c r="AB22" s="773">
        <f>ROUND(+$Z22*'[5]II-F Alloc_Factor'!F$38,2)</f>
        <v>0</v>
      </c>
      <c r="AC22" s="773">
        <f>ROUND(+$Z22*'[5]II-F Alloc_Factor'!G$38,2)</f>
        <v>-2027.19</v>
      </c>
      <c r="AD22" s="773">
        <f t="shared" si="5"/>
        <v>-2361618.39</v>
      </c>
      <c r="AE22" s="773">
        <f>ROUND(+$Z22*'[5]II-F Alloc_Factor'!I$38,2)</f>
        <v>-2694889.81</v>
      </c>
      <c r="AF22" s="773">
        <f>ROUND(+$Z22*'[5]II-F Alloc_Factor'!J$38,2)</f>
        <v>0</v>
      </c>
      <c r="AG22" s="773">
        <f t="shared" si="6"/>
        <v>-2694889.81</v>
      </c>
      <c r="AH22" s="773">
        <f>ROUND(+$Z22*'[5]II-F Alloc_Factor'!L$38,2)</f>
        <v>-80770.990000000005</v>
      </c>
      <c r="AI22" s="773">
        <f>ROUND(+$Z22*'[5]II-F Alloc_Factor'!M$38,2)</f>
        <v>-53395.67</v>
      </c>
      <c r="AK22" s="773">
        <v>-5190674.8600000003</v>
      </c>
      <c r="AL22" s="773">
        <f>ROUND(+$AK22*'[5]II-F Alloc_Factor'!E$38,2)</f>
        <v>-2359591.2000000002</v>
      </c>
      <c r="AM22" s="773">
        <f>ROUND(+$AK22*'[5]II-F Alloc_Factor'!F$38,2)</f>
        <v>0</v>
      </c>
      <c r="AN22" s="773">
        <f>ROUND(+$AK22*'[5]II-F Alloc_Factor'!G$38,2)</f>
        <v>-2027.19</v>
      </c>
      <c r="AO22" s="773">
        <f t="shared" si="7"/>
        <v>-2361618.39</v>
      </c>
      <c r="AP22" s="773">
        <f>ROUND(+$AK22*'[5]II-F Alloc_Factor'!I$38,2)</f>
        <v>-2694889.81</v>
      </c>
      <c r="AQ22" s="773">
        <f>ROUND(+$AK22*'[5]II-F Alloc_Factor'!J$38,2)</f>
        <v>0</v>
      </c>
      <c r="AR22" s="773">
        <f t="shared" si="8"/>
        <v>-2694889.81</v>
      </c>
      <c r="AS22" s="773">
        <f>ROUND(+$AK22*'[5]II-F Alloc_Factor'!L$38,2)</f>
        <v>-80770.990000000005</v>
      </c>
      <c r="AT22" s="773">
        <f>ROUND(+$AK22*'[5]II-F Alloc_Factor'!M$38,2)</f>
        <v>-53395.67</v>
      </c>
      <c r="AV22" s="773">
        <v>-5190674.8600000003</v>
      </c>
      <c r="AW22" s="773">
        <f>ROUND(+$AV22*'[5]II-F Alloc_Factor'!E$38,2)</f>
        <v>-2359591.2000000002</v>
      </c>
      <c r="AX22" s="773">
        <f>ROUND(+$AV22*'[5]II-F Alloc_Factor'!F$38,2)</f>
        <v>0</v>
      </c>
      <c r="AY22" s="773">
        <f>ROUND(+$AV22*'[5]II-F Alloc_Factor'!G$38,2)</f>
        <v>-2027.19</v>
      </c>
      <c r="AZ22" s="773">
        <f t="shared" si="9"/>
        <v>-2361618.39</v>
      </c>
      <c r="BA22" s="773">
        <f>ROUND(+$AV22*'[5]II-F Alloc_Factor'!I$38,2)</f>
        <v>-2694889.81</v>
      </c>
      <c r="BB22" s="773">
        <f>ROUND(+$AV22*'[5]II-F Alloc_Factor'!J$38,2)</f>
        <v>0</v>
      </c>
      <c r="BC22" s="773">
        <f t="shared" si="10"/>
        <v>-2694889.81</v>
      </c>
      <c r="BD22" s="773">
        <f>ROUND(+$AV22*'[5]II-F Alloc_Factor'!L$38,2)</f>
        <v>-80770.990000000005</v>
      </c>
      <c r="BE22" s="773">
        <f>ROUND(+$AV22*'[5]II-F Alloc_Factor'!M$38,2)</f>
        <v>-53395.67</v>
      </c>
      <c r="BG22" s="773">
        <v>-5190674.8600000003</v>
      </c>
      <c r="BH22" s="773">
        <f>ROUND(+$BG22*'[5]II-F Alloc_Factor'!E$38,2)</f>
        <v>-2359591.2000000002</v>
      </c>
      <c r="BI22" s="773">
        <f>ROUND(+$BG22*'[5]II-F Alloc_Factor'!F$38,2)</f>
        <v>0</v>
      </c>
      <c r="BJ22" s="773">
        <f>ROUND(+$BG22*'[5]II-F Alloc_Factor'!G$38,2)</f>
        <v>-2027.19</v>
      </c>
      <c r="BK22" s="773">
        <f t="shared" si="11"/>
        <v>-2361618.39</v>
      </c>
      <c r="BL22" s="773">
        <f>ROUND(+$BG22*'[5]II-F Alloc_Factor'!I$38,2)</f>
        <v>-2694889.81</v>
      </c>
      <c r="BM22" s="773">
        <f>ROUND(+$BG22*'[5]II-F Alloc_Factor'!J$38,2)</f>
        <v>0</v>
      </c>
      <c r="BN22" s="773">
        <f t="shared" si="12"/>
        <v>-2694889.81</v>
      </c>
      <c r="BO22" s="773">
        <f>ROUND(+$BG22*'[5]II-F Alloc_Factor'!L$38,2)</f>
        <v>-80770.990000000005</v>
      </c>
      <c r="BP22" s="773">
        <f>ROUND(+$BG22*'[5]II-F Alloc_Factor'!M$38,2)</f>
        <v>-53395.67</v>
      </c>
      <c r="BR22" s="773">
        <v>-5190674.8600000003</v>
      </c>
      <c r="BS22" s="773">
        <f>ROUND(+$BR22*'[5]II-F Alloc_Factor'!E$38,2)</f>
        <v>-2359591.2000000002</v>
      </c>
      <c r="BT22" s="773">
        <f>ROUND(+$BR22*'[5]II-F Alloc_Factor'!F$38,2)</f>
        <v>0</v>
      </c>
      <c r="BU22" s="773">
        <f>ROUND(+$BR22*'[5]II-F Alloc_Factor'!G$38,2)</f>
        <v>-2027.19</v>
      </c>
      <c r="BV22" s="773">
        <f t="shared" si="13"/>
        <v>-2361618.39</v>
      </c>
      <c r="BW22" s="773">
        <f>ROUND(+$BR22*'[5]II-F Alloc_Factor'!I$38,2)</f>
        <v>-2694889.81</v>
      </c>
      <c r="BX22" s="773">
        <f>ROUND(+$BR22*'[5]II-F Alloc_Factor'!J$38,2)</f>
        <v>0</v>
      </c>
      <c r="BY22" s="773">
        <f t="shared" si="14"/>
        <v>-2694889.81</v>
      </c>
      <c r="BZ22" s="773">
        <f>ROUND(+$BR22*'[5]II-F Alloc_Factor'!L$38,2)</f>
        <v>-80770.990000000005</v>
      </c>
      <c r="CA22" s="773">
        <f>ROUND(+$BR22*'[5]II-F Alloc_Factor'!M$38,2)</f>
        <v>-53395.67</v>
      </c>
      <c r="CC22" s="773">
        <v>-5190674.8600000003</v>
      </c>
      <c r="CD22" s="773">
        <f>ROUND(+$CC22*'[5]II-F Alloc_Factor'!E$38,2)</f>
        <v>-2359591.2000000002</v>
      </c>
      <c r="CE22" s="773">
        <f>ROUND(+$CC22*'[5]II-F Alloc_Factor'!F$38,2)</f>
        <v>0</v>
      </c>
      <c r="CF22" s="773">
        <f>ROUND(+$CC22*'[5]II-F Alloc_Factor'!G$38,2)</f>
        <v>-2027.19</v>
      </c>
      <c r="CG22" s="773">
        <f t="shared" si="15"/>
        <v>-2361618.39</v>
      </c>
      <c r="CH22" s="773">
        <f>ROUND(+$CC22*'[5]II-F Alloc_Factor'!I$38,2)</f>
        <v>-2694889.81</v>
      </c>
      <c r="CI22" s="773">
        <f>ROUND(+$CC22*'[5]II-F Alloc_Factor'!J$38,2)</f>
        <v>0</v>
      </c>
      <c r="CJ22" s="773">
        <f t="shared" si="16"/>
        <v>-2694889.81</v>
      </c>
      <c r="CK22" s="773">
        <f>ROUND(+$CC22*'[5]II-F Alloc_Factor'!L$38,2)</f>
        <v>-80770.990000000005</v>
      </c>
      <c r="CL22" s="773">
        <f>ROUND(+$CC22*'[5]II-F Alloc_Factor'!M$38,2)</f>
        <v>-53395.67</v>
      </c>
      <c r="CN22" s="773">
        <v>-5190674.8600000003</v>
      </c>
      <c r="CO22" s="773">
        <f>ROUND(+$CN22*'[5]II-F Alloc_Factor'!E$38,2)</f>
        <v>-2359591.2000000002</v>
      </c>
      <c r="CP22" s="773">
        <f>ROUND(+$CN22*'[5]II-F Alloc_Factor'!F$38,2)</f>
        <v>0</v>
      </c>
      <c r="CQ22" s="773">
        <f>ROUND(+$CN22*'[5]II-F Alloc_Factor'!G$38,2)</f>
        <v>-2027.19</v>
      </c>
      <c r="CR22" s="773">
        <f t="shared" si="17"/>
        <v>-2361618.39</v>
      </c>
      <c r="CS22" s="773">
        <f>ROUND(+$CN22*'[5]II-F Alloc_Factor'!I$38,2)</f>
        <v>-2694889.81</v>
      </c>
      <c r="CT22" s="773">
        <f>ROUND(+$CN22*'[5]II-F Alloc_Factor'!J$38,2)</f>
        <v>0</v>
      </c>
      <c r="CU22" s="773">
        <f t="shared" si="18"/>
        <v>-2694889.81</v>
      </c>
      <c r="CV22" s="773">
        <f>ROUND(+$CN22*'[5]II-F Alloc_Factor'!L$38,2)</f>
        <v>-80770.990000000005</v>
      </c>
      <c r="CW22" s="773">
        <f>ROUND(+$CN22*'[5]II-F Alloc_Factor'!M$38,2)</f>
        <v>-53395.67</v>
      </c>
      <c r="CY22" s="773">
        <v>-5190674.8600000003</v>
      </c>
      <c r="CZ22" s="773">
        <f>ROUND(+$CY22*'[5]II-F Alloc_Factor'!E$38,2)</f>
        <v>-2359591.2000000002</v>
      </c>
      <c r="DA22" s="773">
        <f>ROUND(+$CY22*'[5]II-F Alloc_Factor'!F$38,2)</f>
        <v>0</v>
      </c>
      <c r="DB22" s="773">
        <f>ROUND(+$CY22*'[5]II-F Alloc_Factor'!G$38,2)</f>
        <v>-2027.19</v>
      </c>
      <c r="DC22" s="773">
        <f t="shared" si="19"/>
        <v>-2361618.39</v>
      </c>
      <c r="DD22" s="773">
        <f>ROUND(+$CY22*'[5]II-F Alloc_Factor'!I$38,2)</f>
        <v>-2694889.81</v>
      </c>
      <c r="DE22" s="773">
        <f>ROUND(+$CY22*'[5]II-F Alloc_Factor'!J$38,2)</f>
        <v>0</v>
      </c>
      <c r="DF22" s="773">
        <f t="shared" si="20"/>
        <v>-2694889.81</v>
      </c>
      <c r="DG22" s="773">
        <f>ROUND(+$CY22*'[5]II-F Alloc_Factor'!L$38,2)</f>
        <v>-80770.990000000005</v>
      </c>
      <c r="DH22" s="773">
        <f>ROUND(+$CY22*'[5]II-F Alloc_Factor'!M$38,2)</f>
        <v>-53395.67</v>
      </c>
      <c r="DJ22" s="773">
        <v>-5190674.8600000003</v>
      </c>
      <c r="DK22" s="773">
        <f>ROUND(+$DJ22*'[5]II-F Alloc_Factor'!E$38,2)</f>
        <v>-2359591.2000000002</v>
      </c>
      <c r="DL22" s="773">
        <f>ROUND(+$DJ22*'[5]II-F Alloc_Factor'!F$38,2)</f>
        <v>0</v>
      </c>
      <c r="DM22" s="773">
        <f>ROUND(+$DJ22*'[5]II-F Alloc_Factor'!G$38,2)</f>
        <v>-2027.19</v>
      </c>
      <c r="DN22" s="773">
        <f t="shared" si="21"/>
        <v>-2361618.39</v>
      </c>
      <c r="DO22" s="773">
        <f>ROUND(+$DJ22*'[5]II-F Alloc_Factor'!I$38,2)</f>
        <v>-2694889.81</v>
      </c>
      <c r="DP22" s="773">
        <f>ROUND(+$DJ22*'[5]II-F Alloc_Factor'!J$38,2)</f>
        <v>0</v>
      </c>
      <c r="DQ22" s="773">
        <f t="shared" si="22"/>
        <v>-2694889.81</v>
      </c>
      <c r="DR22" s="773">
        <f>ROUND(+$DJ22*'[5]II-F Alloc_Factor'!L$38,2)</f>
        <v>-80770.990000000005</v>
      </c>
      <c r="DS22" s="773">
        <f>ROUND(+$DJ22*'[5]II-F Alloc_Factor'!M$38,2)</f>
        <v>-53395.67</v>
      </c>
      <c r="DU22" s="773">
        <v>-5190674.8600000003</v>
      </c>
      <c r="DV22" s="773">
        <f>ROUND(+$DU22*'[5]II-F Alloc_Factor'!E$38,2)</f>
        <v>-2359591.2000000002</v>
      </c>
      <c r="DW22" s="773">
        <f>ROUND(+$DU22*'[5]II-F Alloc_Factor'!F$38,2)</f>
        <v>0</v>
      </c>
      <c r="DX22" s="773">
        <f>ROUND(+$DU22*'[5]II-F Alloc_Factor'!G$38,2)</f>
        <v>-2027.19</v>
      </c>
      <c r="DY22" s="773">
        <f t="shared" si="23"/>
        <v>-2361618.39</v>
      </c>
      <c r="DZ22" s="773">
        <f>ROUND(+$DU22*'[5]II-F Alloc_Factor'!I$38,2)</f>
        <v>-2694889.81</v>
      </c>
      <c r="EA22" s="773">
        <f>ROUND(+$DU22*'[5]II-F Alloc_Factor'!J$38,2)</f>
        <v>0</v>
      </c>
      <c r="EB22" s="773">
        <f t="shared" si="24"/>
        <v>-2694889.81</v>
      </c>
      <c r="EC22" s="773">
        <f>ROUND(+$DU22*'[5]II-F Alloc_Factor'!L$38,2)</f>
        <v>-80770.990000000005</v>
      </c>
      <c r="ED22" s="773">
        <f>ROUND(+$DU22*'[5]II-F Alloc_Factor'!M$38,2)</f>
        <v>-53395.67</v>
      </c>
      <c r="EE22" s="772">
        <f>+DU22+'II-E-3.5'!K29</f>
        <v>0</v>
      </c>
      <c r="EF22" s="772">
        <f t="shared" si="25"/>
        <v>0</v>
      </c>
    </row>
    <row r="23" spans="1:136" s="406" customFormat="1">
      <c r="A23" s="409">
        <f t="shared" si="0"/>
        <v>11</v>
      </c>
      <c r="B23" s="366" t="s">
        <v>397</v>
      </c>
      <c r="C23" s="769" t="s">
        <v>684</v>
      </c>
      <c r="D23" s="773">
        <v>-262542071.25</v>
      </c>
      <c r="E23" s="773">
        <f>ROUND(+$D23*'[5]II-F Alloc_Factor'!E$38,2)</f>
        <v>-119347094.2</v>
      </c>
      <c r="F23" s="773">
        <f>ROUND(+$D23*'[5]II-F Alloc_Factor'!F$38,2)</f>
        <v>0</v>
      </c>
      <c r="G23" s="773">
        <f>ROUND(+$D23*'[5]II-F Alloc_Factor'!G$38,2)</f>
        <v>-102534.15</v>
      </c>
      <c r="H23" s="773">
        <f t="shared" si="1"/>
        <v>-119449628.35000001</v>
      </c>
      <c r="I23" s="773">
        <f>ROUND(+$D23*'[5]II-F Alloc_Factor'!I$38,2)</f>
        <v>-136306351.59999999</v>
      </c>
      <c r="J23" s="773">
        <f>ROUND(+$D23*'[5]II-F Alloc_Factor'!J$38,2)</f>
        <v>0</v>
      </c>
      <c r="K23" s="773">
        <f t="shared" si="2"/>
        <v>-136306351.59999999</v>
      </c>
      <c r="L23" s="773">
        <f>ROUND(+$D23*'[5]II-F Alloc_Factor'!L$38,2)</f>
        <v>-4085361.39</v>
      </c>
      <c r="M23" s="773">
        <f>ROUND(+$D23*'[5]II-F Alloc_Factor'!M$38,2)</f>
        <v>-2700729.91</v>
      </c>
      <c r="N23" s="774"/>
      <c r="O23" s="99">
        <v>-266019037.55000001</v>
      </c>
      <c r="P23" s="773">
        <f>ROUND(+$O23*'[5]II-F Alloc_Factor'!E$38,2)</f>
        <v>-120927663.06999999</v>
      </c>
      <c r="Q23" s="773">
        <f>ROUND(+$O23*'[5]II-F Alloc_Factor'!F$38,2)</f>
        <v>0</v>
      </c>
      <c r="R23" s="773">
        <f>ROUND(+$O23*'[5]II-F Alloc_Factor'!G$38,2)</f>
        <v>-103892.05</v>
      </c>
      <c r="S23" s="773">
        <f t="shared" si="3"/>
        <v>-121031555.11999999</v>
      </c>
      <c r="T23" s="773">
        <f>ROUND(+$O23*'[5]II-F Alloc_Factor'!I$38,2)</f>
        <v>-138111519.77000001</v>
      </c>
      <c r="U23" s="773">
        <f>ROUND(+$O23*'[5]II-F Alloc_Factor'!J$38,2)</f>
        <v>0</v>
      </c>
      <c r="V23" s="773">
        <f t="shared" si="4"/>
        <v>-138111519.77000001</v>
      </c>
      <c r="W23" s="773">
        <f>ROUND(+$O23*'[5]II-F Alloc_Factor'!L$38,2)</f>
        <v>-4139465.72</v>
      </c>
      <c r="X23" s="773">
        <f>ROUND(+$O23*'[5]II-F Alloc_Factor'!M$38,2)</f>
        <v>-2736496.93</v>
      </c>
      <c r="Z23" s="99">
        <v>-270748281.67000002</v>
      </c>
      <c r="AA23" s="773">
        <f>ROUND(+$Z23*'[5]II-F Alloc_Factor'!E$38,2)</f>
        <v>-123077495.81999999</v>
      </c>
      <c r="AB23" s="773">
        <f>ROUND(+$Z23*'[5]II-F Alloc_Factor'!F$38,2)</f>
        <v>0</v>
      </c>
      <c r="AC23" s="773">
        <f>ROUND(+$Z23*'[5]II-F Alloc_Factor'!G$38,2)</f>
        <v>-105739.03</v>
      </c>
      <c r="AD23" s="773">
        <f t="shared" si="5"/>
        <v>-123183234.84999999</v>
      </c>
      <c r="AE23" s="773">
        <f>ROUND(+$Z23*'[5]II-F Alloc_Factor'!I$38,2)</f>
        <v>-140566844.38999999</v>
      </c>
      <c r="AF23" s="773">
        <f>ROUND(+$Z23*'[5]II-F Alloc_Factor'!J$38,2)</f>
        <v>0</v>
      </c>
      <c r="AG23" s="773">
        <f t="shared" si="6"/>
        <v>-140566844.38999999</v>
      </c>
      <c r="AH23" s="773">
        <f>ROUND(+$Z23*'[5]II-F Alloc_Factor'!L$38,2)</f>
        <v>-4213056.49</v>
      </c>
      <c r="AI23" s="773">
        <f>ROUND(+$Z23*'[5]II-F Alloc_Factor'!M$38,2)</f>
        <v>-2785145.94</v>
      </c>
      <c r="AK23" s="773">
        <v>-274642673.91000003</v>
      </c>
      <c r="AL23" s="773">
        <f>ROUND(+$AK23*'[5]II-F Alloc_Factor'!E$38,2)</f>
        <v>-124847819.31999999</v>
      </c>
      <c r="AM23" s="773">
        <f>ROUND(+$AK23*'[5]II-F Alloc_Factor'!F$38,2)</f>
        <v>0</v>
      </c>
      <c r="AN23" s="773">
        <f>ROUND(+$AK23*'[5]II-F Alloc_Factor'!G$38,2)</f>
        <v>-107259.96</v>
      </c>
      <c r="AO23" s="773">
        <f t="shared" si="7"/>
        <v>-124955079.27999999</v>
      </c>
      <c r="AP23" s="773">
        <f>ROUND(+$AK23*'[5]II-F Alloc_Factor'!I$38,2)</f>
        <v>-142588731.38</v>
      </c>
      <c r="AQ23" s="773">
        <f>ROUND(+$AK23*'[5]II-F Alloc_Factor'!J$38,2)</f>
        <v>0</v>
      </c>
      <c r="AR23" s="773">
        <f t="shared" si="8"/>
        <v>-142588731.38</v>
      </c>
      <c r="AS23" s="773">
        <f>ROUND(+$AK23*'[5]II-F Alloc_Factor'!L$38,2)</f>
        <v>-4273656.3</v>
      </c>
      <c r="AT23" s="773">
        <f>ROUND(+$AK23*'[5]II-F Alloc_Factor'!M$38,2)</f>
        <v>-2825206.95</v>
      </c>
      <c r="AV23" s="773">
        <v>-278537066.16000003</v>
      </c>
      <c r="AW23" s="773">
        <f>ROUND(+$AV23*'[5]II-F Alloc_Factor'!E$38,2)</f>
        <v>-126618142.81999999</v>
      </c>
      <c r="AX23" s="773">
        <f>ROUND(+$AV23*'[5]II-F Alloc_Factor'!F$38,2)</f>
        <v>0</v>
      </c>
      <c r="AY23" s="773">
        <f>ROUND(+$AV23*'[5]II-F Alloc_Factor'!G$38,2)</f>
        <v>-108780.89</v>
      </c>
      <c r="AZ23" s="773">
        <f t="shared" si="9"/>
        <v>-126726923.70999999</v>
      </c>
      <c r="BA23" s="773">
        <f>ROUND(+$AV23*'[5]II-F Alloc_Factor'!I$38,2)</f>
        <v>-144610618.38</v>
      </c>
      <c r="BB23" s="773">
        <f>ROUND(+$AV23*'[5]II-F Alloc_Factor'!J$38,2)</f>
        <v>0</v>
      </c>
      <c r="BC23" s="773">
        <f t="shared" si="10"/>
        <v>-144610618.38</v>
      </c>
      <c r="BD23" s="773">
        <f>ROUND(+$AV23*'[5]II-F Alloc_Factor'!L$38,2)</f>
        <v>-4334256.1100000003</v>
      </c>
      <c r="BE23" s="773">
        <f>ROUND(+$AV23*'[5]II-F Alloc_Factor'!M$38,2)</f>
        <v>-2865267.96</v>
      </c>
      <c r="BG23" s="773">
        <v>-286288984.53000003</v>
      </c>
      <c r="BH23" s="773">
        <f>ROUND(+$BG23*'[5]II-F Alloc_Factor'!E$38,2)</f>
        <v>-130142031.12</v>
      </c>
      <c r="BI23" s="773">
        <f>ROUND(+$BG23*'[5]II-F Alloc_Factor'!F$38,2)</f>
        <v>0</v>
      </c>
      <c r="BJ23" s="773">
        <f>ROUND(+$BG23*'[5]II-F Alloc_Factor'!G$38,2)</f>
        <v>-111808.35</v>
      </c>
      <c r="BK23" s="773">
        <f t="shared" si="11"/>
        <v>-130253839.47</v>
      </c>
      <c r="BL23" s="773">
        <f>ROUND(+$BG23*'[5]II-F Alloc_Factor'!I$38,2)</f>
        <v>-148635252.24000001</v>
      </c>
      <c r="BM23" s="773">
        <f>ROUND(+$BG23*'[5]II-F Alloc_Factor'!J$38,2)</f>
        <v>0</v>
      </c>
      <c r="BN23" s="773">
        <f t="shared" si="12"/>
        <v>-148635252.24000001</v>
      </c>
      <c r="BO23" s="773">
        <f>ROUND(+$BG23*'[5]II-F Alloc_Factor'!L$38,2)</f>
        <v>-4454882.0599999996</v>
      </c>
      <c r="BP23" s="773">
        <f>ROUND(+$BG23*'[5]II-F Alloc_Factor'!M$38,2)</f>
        <v>-2945010.76</v>
      </c>
      <c r="BR23" s="773">
        <v>-290826297.79000002</v>
      </c>
      <c r="BS23" s="773">
        <f>ROUND(+$BR23*'[5]II-F Alloc_Factor'!E$38,2)</f>
        <v>-132204615.41</v>
      </c>
      <c r="BT23" s="773">
        <f>ROUND(+$BR23*'[5]II-F Alloc_Factor'!F$38,2)</f>
        <v>0</v>
      </c>
      <c r="BU23" s="773">
        <f>ROUND(+$BR23*'[5]II-F Alloc_Factor'!G$38,2)</f>
        <v>-113580.37</v>
      </c>
      <c r="BV23" s="773">
        <f t="shared" si="13"/>
        <v>-132318195.78</v>
      </c>
      <c r="BW23" s="773">
        <f>ROUND(+$BR23*'[5]II-F Alloc_Factor'!I$38,2)</f>
        <v>-150990930.38</v>
      </c>
      <c r="BX23" s="773">
        <f>ROUND(+$BR23*'[5]II-F Alloc_Factor'!J$38,2)</f>
        <v>0</v>
      </c>
      <c r="BY23" s="773">
        <f t="shared" si="14"/>
        <v>-150990930.38</v>
      </c>
      <c r="BZ23" s="773">
        <f>ROUND(+$BR23*'[5]II-F Alloc_Factor'!L$38,2)</f>
        <v>-4525486.2300000004</v>
      </c>
      <c r="CA23" s="773">
        <f>ROUND(+$BR23*'[5]II-F Alloc_Factor'!M$38,2)</f>
        <v>-2991685.4</v>
      </c>
      <c r="CC23" s="773">
        <v>-295363611.06</v>
      </c>
      <c r="CD23" s="773">
        <f>ROUND(+$CC23*'[5]II-F Alloc_Factor'!E$38,2)</f>
        <v>-134267199.71000001</v>
      </c>
      <c r="CE23" s="773">
        <f>ROUND(+$CC23*'[5]II-F Alloc_Factor'!F$38,2)</f>
        <v>0</v>
      </c>
      <c r="CF23" s="773">
        <f>ROUND(+$CC23*'[5]II-F Alloc_Factor'!G$38,2)</f>
        <v>-115352.39</v>
      </c>
      <c r="CG23" s="773">
        <f t="shared" si="15"/>
        <v>-134382552.09999999</v>
      </c>
      <c r="CH23" s="773">
        <f>ROUND(+$CC23*'[5]II-F Alloc_Factor'!I$38,2)</f>
        <v>-153346608.52000001</v>
      </c>
      <c r="CI23" s="773">
        <f>ROUND(+$CC23*'[5]II-F Alloc_Factor'!J$38,2)</f>
        <v>0</v>
      </c>
      <c r="CJ23" s="773">
        <f t="shared" si="16"/>
        <v>-153346608.52000001</v>
      </c>
      <c r="CK23" s="773">
        <f>ROUND(+$CC23*'[5]II-F Alloc_Factor'!L$38,2)</f>
        <v>-4596090.4000000004</v>
      </c>
      <c r="CL23" s="773">
        <f>ROUND(+$CC23*'[5]II-F Alloc_Factor'!M$38,2)</f>
        <v>-3038360.04</v>
      </c>
      <c r="CN23" s="773">
        <v>-295019456.84000003</v>
      </c>
      <c r="CO23" s="773">
        <f>ROUND(+$CN23*'[5]II-F Alloc_Factor'!E$38,2)</f>
        <v>-134110753.14</v>
      </c>
      <c r="CP23" s="773">
        <f>ROUND(+$CN23*'[5]II-F Alloc_Factor'!F$38,2)</f>
        <v>0</v>
      </c>
      <c r="CQ23" s="773">
        <f>ROUND(+$CN23*'[5]II-F Alloc_Factor'!G$38,2)</f>
        <v>-115217.98</v>
      </c>
      <c r="CR23" s="773">
        <f t="shared" si="17"/>
        <v>-134225971.12</v>
      </c>
      <c r="CS23" s="773">
        <f>ROUND(+$CN23*'[5]II-F Alloc_Factor'!I$38,2)</f>
        <v>-153167930.84</v>
      </c>
      <c r="CT23" s="773">
        <f>ROUND(+$CN23*'[5]II-F Alloc_Factor'!J$38,2)</f>
        <v>0</v>
      </c>
      <c r="CU23" s="773">
        <f t="shared" si="18"/>
        <v>-153167930.84</v>
      </c>
      <c r="CV23" s="773">
        <f>ROUND(+$CN23*'[5]II-F Alloc_Factor'!L$38,2)</f>
        <v>-4590735.09</v>
      </c>
      <c r="CW23" s="773">
        <f>ROUND(+$CN23*'[5]II-F Alloc_Factor'!M$38,2)</f>
        <v>-3034819.78</v>
      </c>
      <c r="CY23" s="773">
        <v>-298871846.49000001</v>
      </c>
      <c r="CZ23" s="773">
        <f>ROUND(+$CY23*'[5]II-F Alloc_Factor'!E$38,2)</f>
        <v>-135861982.99000001</v>
      </c>
      <c r="DA23" s="773">
        <f>ROUND(+$CY23*'[5]II-F Alloc_Factor'!F$38,2)</f>
        <v>0</v>
      </c>
      <c r="DB23" s="773">
        <f>ROUND(+$CY23*'[5]II-F Alloc_Factor'!G$38,2)</f>
        <v>-116722.51</v>
      </c>
      <c r="DC23" s="773">
        <f t="shared" si="19"/>
        <v>-135978705.5</v>
      </c>
      <c r="DD23" s="773">
        <f>ROUND(+$CY23*'[5]II-F Alloc_Factor'!I$38,2)</f>
        <v>-155168010.97</v>
      </c>
      <c r="DE23" s="773">
        <f>ROUND(+$CY23*'[5]II-F Alloc_Factor'!J$38,2)</f>
        <v>0</v>
      </c>
      <c r="DF23" s="773">
        <f t="shared" si="20"/>
        <v>-155168010.97</v>
      </c>
      <c r="DG23" s="773">
        <f>ROUND(+$CY23*'[5]II-F Alloc_Factor'!L$38,2)</f>
        <v>-4650681.3</v>
      </c>
      <c r="DH23" s="773">
        <f>ROUND(+$CY23*'[5]II-F Alloc_Factor'!M$38,2)</f>
        <v>-3074448.72</v>
      </c>
      <c r="DJ23" s="773">
        <v>-302724236.13</v>
      </c>
      <c r="DK23" s="773">
        <f>ROUND(+$DJ23*'[5]II-F Alloc_Factor'!E$38,2)</f>
        <v>-137613212.83000001</v>
      </c>
      <c r="DL23" s="773">
        <f>ROUND(+$DJ23*'[5]II-F Alloc_Factor'!F$38,2)</f>
        <v>0</v>
      </c>
      <c r="DM23" s="773">
        <f>ROUND(+$DJ23*'[5]II-F Alloc_Factor'!G$38,2)</f>
        <v>-118227.04</v>
      </c>
      <c r="DN23" s="773">
        <f t="shared" si="21"/>
        <v>-137731439.87</v>
      </c>
      <c r="DO23" s="773">
        <f>ROUND(+$DJ23*'[5]II-F Alloc_Factor'!I$38,2)</f>
        <v>-157168091.08000001</v>
      </c>
      <c r="DP23" s="773">
        <f>ROUND(+$DJ23*'[5]II-F Alloc_Factor'!J$38,2)</f>
        <v>0</v>
      </c>
      <c r="DQ23" s="773">
        <f t="shared" si="22"/>
        <v>-157168091.08000001</v>
      </c>
      <c r="DR23" s="773">
        <f>ROUND(+$DJ23*'[5]II-F Alloc_Factor'!L$38,2)</f>
        <v>-4710627.5199999996</v>
      </c>
      <c r="DS23" s="773">
        <f>ROUND(+$DJ23*'[5]II-F Alloc_Factor'!M$38,2)</f>
        <v>-3114077.66</v>
      </c>
      <c r="DU23" s="773">
        <v>-304062282.94999999</v>
      </c>
      <c r="DV23" s="773">
        <f>ROUND(+$DU23*'[5]II-F Alloc_Factor'!E$38,2)</f>
        <v>-138221465.81999999</v>
      </c>
      <c r="DW23" s="773">
        <f>ROUND(+$DU23*'[5]II-F Alloc_Factor'!F$38,2)</f>
        <v>0</v>
      </c>
      <c r="DX23" s="773">
        <f>ROUND(+$DU23*'[5]II-F Alloc_Factor'!G$38,2)</f>
        <v>-118749.6</v>
      </c>
      <c r="DY23" s="773">
        <f t="shared" si="23"/>
        <v>-138340215.41999999</v>
      </c>
      <c r="DZ23" s="773">
        <f>ROUND(+$DU23*'[5]II-F Alloc_Factor'!I$38,2)</f>
        <v>-157862777</v>
      </c>
      <c r="EA23" s="773">
        <f>ROUND(+$DU23*'[5]II-F Alloc_Factor'!J$38,2)</f>
        <v>0</v>
      </c>
      <c r="EB23" s="773">
        <f t="shared" si="24"/>
        <v>-157862777</v>
      </c>
      <c r="EC23" s="773">
        <f>ROUND(+$DU23*'[5]II-F Alloc_Factor'!L$38,2)</f>
        <v>-4731448.58</v>
      </c>
      <c r="ED23" s="773">
        <f>ROUND(+$DU23*'[5]II-F Alloc_Factor'!M$38,2)</f>
        <v>-3127841.94</v>
      </c>
      <c r="EE23" s="772">
        <f>+DU23+'II-E-3.5'!K30</f>
        <v>0</v>
      </c>
      <c r="EF23" s="772">
        <f t="shared" si="25"/>
        <v>1.0000050067901611E-2</v>
      </c>
    </row>
    <row r="24" spans="1:136" s="406" customFormat="1">
      <c r="A24" s="409">
        <f t="shared" si="0"/>
        <v>12</v>
      </c>
      <c r="B24" s="366" t="s">
        <v>322</v>
      </c>
      <c r="C24" s="769" t="s">
        <v>684</v>
      </c>
      <c r="D24" s="773">
        <v>-138544809.28</v>
      </c>
      <c r="E24" s="773">
        <f>ROUND(+$D24*'[5]II-F Alloc_Factor'!E$38,2)</f>
        <v>-62980079.060000002</v>
      </c>
      <c r="F24" s="773">
        <f>ROUND(+$D24*'[5]II-F Alloc_Factor'!F$38,2)</f>
        <v>0</v>
      </c>
      <c r="G24" s="773">
        <f>ROUND(+$D24*'[5]II-F Alloc_Factor'!G$38,2)</f>
        <v>-54107.8</v>
      </c>
      <c r="H24" s="773">
        <f t="shared" si="1"/>
        <v>-63034186.859999999</v>
      </c>
      <c r="I24" s="773">
        <f>ROUND(+$D24*'[5]II-F Alloc_Factor'!I$38,2)</f>
        <v>-71929566.930000007</v>
      </c>
      <c r="J24" s="773">
        <f>ROUND(+$D24*'[5]II-F Alloc_Factor'!J$38,2)</f>
        <v>0</v>
      </c>
      <c r="K24" s="773">
        <f t="shared" si="2"/>
        <v>-71929566.930000007</v>
      </c>
      <c r="L24" s="773">
        <f>ROUND(+$D24*'[5]II-F Alloc_Factor'!L$38,2)</f>
        <v>-2155866.34</v>
      </c>
      <c r="M24" s="773">
        <f>ROUND(+$D24*'[5]II-F Alloc_Factor'!M$38,2)</f>
        <v>-1425189.15</v>
      </c>
      <c r="N24" s="774"/>
      <c r="O24" s="102">
        <v>-141501740.22999999</v>
      </c>
      <c r="P24" s="773">
        <f>ROUND(+$O24*'[5]II-F Alloc_Factor'!E$38,2)</f>
        <v>-64324248.840000004</v>
      </c>
      <c r="Q24" s="773">
        <f>ROUND(+$O24*'[5]II-F Alloc_Factor'!F$38,2)</f>
        <v>0</v>
      </c>
      <c r="R24" s="773">
        <f>ROUND(+$O24*'[5]II-F Alloc_Factor'!G$38,2)</f>
        <v>-55262.61</v>
      </c>
      <c r="S24" s="773">
        <f t="shared" si="3"/>
        <v>-64379511.450000003</v>
      </c>
      <c r="T24" s="773">
        <f>ROUND(+$O24*'[5]II-F Alloc_Factor'!I$38,2)</f>
        <v>-73464743.629999995</v>
      </c>
      <c r="U24" s="773">
        <f>ROUND(+$O24*'[5]II-F Alloc_Factor'!J$38,2)</f>
        <v>0</v>
      </c>
      <c r="V24" s="773">
        <f t="shared" si="4"/>
        <v>-73464743.629999995</v>
      </c>
      <c r="W24" s="773">
        <f>ROUND(+$O24*'[5]II-F Alloc_Factor'!L$38,2)</f>
        <v>-2201878.52</v>
      </c>
      <c r="X24" s="773">
        <f>ROUND(+$O24*'[5]II-F Alloc_Factor'!M$38,2)</f>
        <v>-1455606.64</v>
      </c>
      <c r="Z24" s="102">
        <v>-142603868.36999997</v>
      </c>
      <c r="AA24" s="773">
        <f>ROUND(+$Z24*'[5]II-F Alloc_Factor'!E$38,2)</f>
        <v>-64825257.270000003</v>
      </c>
      <c r="AB24" s="773">
        <f>ROUND(+$Z24*'[5]II-F Alloc_Factor'!F$38,2)</f>
        <v>0</v>
      </c>
      <c r="AC24" s="773">
        <f>ROUND(+$Z24*'[5]II-F Alloc_Factor'!G$38,2)</f>
        <v>-55693.04</v>
      </c>
      <c r="AD24" s="773">
        <f t="shared" si="5"/>
        <v>-64880950.310000002</v>
      </c>
      <c r="AE24" s="773">
        <f>ROUND(+$Z24*'[5]II-F Alloc_Factor'!I$38,2)</f>
        <v>-74036945.5</v>
      </c>
      <c r="AF24" s="773">
        <f>ROUND(+$Z24*'[5]II-F Alloc_Factor'!J$38,2)</f>
        <v>0</v>
      </c>
      <c r="AG24" s="773">
        <f t="shared" si="6"/>
        <v>-74036945.5</v>
      </c>
      <c r="AH24" s="773">
        <f>ROUND(+$Z24*'[5]II-F Alloc_Factor'!L$38,2)</f>
        <v>-2219028.5</v>
      </c>
      <c r="AI24" s="773">
        <f>ROUND(+$Z24*'[5]II-F Alloc_Factor'!M$38,2)</f>
        <v>-1466944.06</v>
      </c>
      <c r="AK24" s="773">
        <v>-144960199.31999999</v>
      </c>
      <c r="AL24" s="773">
        <f>ROUND(+$AK24*'[5]II-F Alloc_Factor'!E$38,2)</f>
        <v>-65896404.649999999</v>
      </c>
      <c r="AM24" s="773">
        <f>ROUND(+$AK24*'[5]II-F Alloc_Factor'!F$38,2)</f>
        <v>0</v>
      </c>
      <c r="AN24" s="773">
        <f>ROUND(+$AK24*'[5]II-F Alloc_Factor'!G$38,2)</f>
        <v>-56613.29</v>
      </c>
      <c r="AO24" s="773">
        <f t="shared" si="7"/>
        <v>-65953017.939999998</v>
      </c>
      <c r="AP24" s="773">
        <f>ROUND(+$AK24*'[5]II-F Alloc_Factor'!I$38,2)</f>
        <v>-75260303.239999995</v>
      </c>
      <c r="AQ24" s="773">
        <f>ROUND(+$AK24*'[5]II-F Alloc_Factor'!J$38,2)</f>
        <v>0</v>
      </c>
      <c r="AR24" s="773">
        <f t="shared" si="8"/>
        <v>-75260303.239999995</v>
      </c>
      <c r="AS24" s="773">
        <f>ROUND(+$AK24*'[5]II-F Alloc_Factor'!L$38,2)</f>
        <v>-2255694.86</v>
      </c>
      <c r="AT24" s="773">
        <f>ROUND(+$AK24*'[5]II-F Alloc_Factor'!M$38,2)</f>
        <v>-1491183.28</v>
      </c>
      <c r="AV24" s="773">
        <v>-147316530.28</v>
      </c>
      <c r="AW24" s="773">
        <f>ROUND(+$AV24*'[5]II-F Alloc_Factor'!E$38,2)</f>
        <v>-66967552.030000001</v>
      </c>
      <c r="AX24" s="773">
        <f>ROUND(+$AV24*'[5]II-F Alloc_Factor'!F$38,2)</f>
        <v>0</v>
      </c>
      <c r="AY24" s="773">
        <f>ROUND(+$AV24*'[5]II-F Alloc_Factor'!G$38,2)</f>
        <v>-57533.54</v>
      </c>
      <c r="AZ24" s="773">
        <f t="shared" si="9"/>
        <v>-67025085.57</v>
      </c>
      <c r="BA24" s="773">
        <f>ROUND(+$AV24*'[5]II-F Alloc_Factor'!I$38,2)</f>
        <v>-76483660.989999995</v>
      </c>
      <c r="BB24" s="773">
        <f>ROUND(+$AV24*'[5]II-F Alloc_Factor'!J$38,2)</f>
        <v>0</v>
      </c>
      <c r="BC24" s="773">
        <f t="shared" si="10"/>
        <v>-76483660.989999995</v>
      </c>
      <c r="BD24" s="773">
        <f>ROUND(+$AV24*'[5]II-F Alloc_Factor'!L$38,2)</f>
        <v>-2292361.23</v>
      </c>
      <c r="BE24" s="773">
        <f>ROUND(+$AV24*'[5]II-F Alloc_Factor'!M$38,2)</f>
        <v>-1515422.49</v>
      </c>
      <c r="BG24" s="773">
        <v>-154126260.62</v>
      </c>
      <c r="BH24" s="773">
        <f>ROUND(+$BG24*'[5]II-F Alloc_Factor'!E$38,2)</f>
        <v>-70063137.909999996</v>
      </c>
      <c r="BI24" s="773">
        <f>ROUND(+$BG24*'[5]II-F Alloc_Factor'!F$38,2)</f>
        <v>0</v>
      </c>
      <c r="BJ24" s="773">
        <f>ROUND(+$BG24*'[5]II-F Alloc_Factor'!G$38,2)</f>
        <v>-60193.04</v>
      </c>
      <c r="BK24" s="773">
        <f t="shared" si="11"/>
        <v>-70123330.950000003</v>
      </c>
      <c r="BL24" s="773">
        <f>ROUND(+$BG24*'[5]II-F Alloc_Factor'!I$38,2)</f>
        <v>-80019130.540000007</v>
      </c>
      <c r="BM24" s="773">
        <f>ROUND(+$BG24*'[5]II-F Alloc_Factor'!J$38,2)</f>
        <v>0</v>
      </c>
      <c r="BN24" s="773">
        <f t="shared" si="12"/>
        <v>-80019130.540000007</v>
      </c>
      <c r="BO24" s="773">
        <f>ROUND(+$BG24*'[5]II-F Alloc_Factor'!L$38,2)</f>
        <v>-2398326</v>
      </c>
      <c r="BP24" s="773">
        <f>ROUND(+$BG24*'[5]II-F Alloc_Factor'!M$38,2)</f>
        <v>-1585473.14</v>
      </c>
      <c r="BR24" s="773">
        <v>-157224824.82000002</v>
      </c>
      <c r="BS24" s="773">
        <f>ROUND(+$BR24*'[5]II-F Alloc_Factor'!E$38,2)</f>
        <v>-71471691.719999999</v>
      </c>
      <c r="BT24" s="773">
        <f>ROUND(+$BR24*'[5]II-F Alloc_Factor'!F$38,2)</f>
        <v>0</v>
      </c>
      <c r="BU24" s="773">
        <f>ROUND(+$BR24*'[5]II-F Alloc_Factor'!G$38,2)</f>
        <v>-61403.16</v>
      </c>
      <c r="BV24" s="773">
        <f t="shared" si="13"/>
        <v>-71533094.879999995</v>
      </c>
      <c r="BW24" s="773">
        <f>ROUND(+$BR24*'[5]II-F Alloc_Factor'!I$38,2)</f>
        <v>-81627840.25</v>
      </c>
      <c r="BX24" s="773">
        <f>ROUND(+$BR24*'[5]II-F Alloc_Factor'!J$38,2)</f>
        <v>0</v>
      </c>
      <c r="BY24" s="773">
        <f t="shared" si="14"/>
        <v>-81627840.25</v>
      </c>
      <c r="BZ24" s="773">
        <f>ROUND(+$BR24*'[5]II-F Alloc_Factor'!L$38,2)</f>
        <v>-2446542.09</v>
      </c>
      <c r="CA24" s="773">
        <f>ROUND(+$BR24*'[5]II-F Alloc_Factor'!M$38,2)</f>
        <v>-1617347.59</v>
      </c>
      <c r="CC24" s="773">
        <v>-160323389.01000002</v>
      </c>
      <c r="CD24" s="773">
        <f>ROUND(+$CC24*'[5]II-F Alloc_Factor'!E$38,2)</f>
        <v>-72880245.519999996</v>
      </c>
      <c r="CE24" s="773">
        <f>ROUND(+$CC24*'[5]II-F Alloc_Factor'!F$38,2)</f>
        <v>0</v>
      </c>
      <c r="CF24" s="773">
        <f>ROUND(+$CC24*'[5]II-F Alloc_Factor'!G$38,2)</f>
        <v>-62613.29</v>
      </c>
      <c r="CG24" s="773">
        <f t="shared" si="15"/>
        <v>-72942858.810000002</v>
      </c>
      <c r="CH24" s="773">
        <f>ROUND(+$CC24*'[5]II-F Alloc_Factor'!I$38,2)</f>
        <v>-83236549.969999999</v>
      </c>
      <c r="CI24" s="773">
        <f>ROUND(+$CC24*'[5]II-F Alloc_Factor'!J$38,2)</f>
        <v>0</v>
      </c>
      <c r="CJ24" s="773">
        <f t="shared" si="16"/>
        <v>-83236549.969999999</v>
      </c>
      <c r="CK24" s="773">
        <f>ROUND(+$CC24*'[5]II-F Alloc_Factor'!L$38,2)</f>
        <v>-2494758.19</v>
      </c>
      <c r="CL24" s="773">
        <f>ROUND(+$CC24*'[5]II-F Alloc_Factor'!M$38,2)</f>
        <v>-1649222.05</v>
      </c>
      <c r="CN24" s="773">
        <v>-163907313.51000002</v>
      </c>
      <c r="CO24" s="773">
        <f>ROUND(+$CN24*'[5]II-F Alloc_Factor'!E$38,2)</f>
        <v>-74509435.739999995</v>
      </c>
      <c r="CP24" s="773">
        <f>ROUND(+$CN24*'[5]II-F Alloc_Factor'!F$38,2)</f>
        <v>0</v>
      </c>
      <c r="CQ24" s="773">
        <f>ROUND(+$CN24*'[5]II-F Alloc_Factor'!G$38,2)</f>
        <v>-64012.97</v>
      </c>
      <c r="CR24" s="773">
        <f t="shared" si="17"/>
        <v>-74573448.709999993</v>
      </c>
      <c r="CS24" s="773">
        <f>ROUND(+$CN24*'[5]II-F Alloc_Factor'!I$38,2)</f>
        <v>-85097248.599999994</v>
      </c>
      <c r="CT24" s="773">
        <f>ROUND(+$CN24*'[5]II-F Alloc_Factor'!J$38,2)</f>
        <v>0</v>
      </c>
      <c r="CU24" s="773">
        <f t="shared" si="18"/>
        <v>-85097248.599999994</v>
      </c>
      <c r="CV24" s="773">
        <f>ROUND(+$CN24*'[5]II-F Alloc_Factor'!L$38,2)</f>
        <v>-2550526.88</v>
      </c>
      <c r="CW24" s="773">
        <f>ROUND(+$CN24*'[5]II-F Alloc_Factor'!M$38,2)</f>
        <v>-1686089.33</v>
      </c>
      <c r="CY24" s="773">
        <v>-167059806.63</v>
      </c>
      <c r="CZ24" s="773">
        <f>ROUND(+$CY24*'[5]II-F Alloc_Factor'!E$38,2)</f>
        <v>-75942504.700000003</v>
      </c>
      <c r="DA24" s="773">
        <f>ROUND(+$CY24*'[5]II-F Alloc_Factor'!F$38,2)</f>
        <v>0</v>
      </c>
      <c r="DB24" s="773">
        <f>ROUND(+$CY24*'[5]II-F Alloc_Factor'!G$38,2)</f>
        <v>-65244.15</v>
      </c>
      <c r="DC24" s="773">
        <f t="shared" si="19"/>
        <v>-76007748.850000009</v>
      </c>
      <c r="DD24" s="773">
        <f>ROUND(+$CY24*'[5]II-F Alloc_Factor'!I$38,2)</f>
        <v>-86733957.079999998</v>
      </c>
      <c r="DE24" s="773">
        <f>ROUND(+$CY24*'[5]II-F Alloc_Factor'!J$38,2)</f>
        <v>0</v>
      </c>
      <c r="DF24" s="773">
        <f t="shared" si="20"/>
        <v>-86733957.079999998</v>
      </c>
      <c r="DG24" s="773">
        <f>ROUND(+$CY24*'[5]II-F Alloc_Factor'!L$38,2)</f>
        <v>-2599582.16</v>
      </c>
      <c r="DH24" s="773">
        <f>ROUND(+$CY24*'[5]II-F Alloc_Factor'!M$38,2)</f>
        <v>-1718518.54</v>
      </c>
      <c r="DJ24" s="773">
        <v>-170212299.74000001</v>
      </c>
      <c r="DK24" s="773">
        <f>ROUND(+$DJ24*'[5]II-F Alloc_Factor'!E$38,2)</f>
        <v>-77375573.650000006</v>
      </c>
      <c r="DL24" s="773">
        <f>ROUND(+$DJ24*'[5]II-F Alloc_Factor'!F$38,2)</f>
        <v>0</v>
      </c>
      <c r="DM24" s="773">
        <f>ROUND(+$DJ24*'[5]II-F Alloc_Factor'!G$38,2)</f>
        <v>-66475.34</v>
      </c>
      <c r="DN24" s="773">
        <f t="shared" si="21"/>
        <v>-77442048.99000001</v>
      </c>
      <c r="DO24" s="773">
        <f>ROUND(+$DJ24*'[5]II-F Alloc_Factor'!I$38,2)</f>
        <v>-88370665.560000002</v>
      </c>
      <c r="DP24" s="773">
        <f>ROUND(+$DJ24*'[5]II-F Alloc_Factor'!J$38,2)</f>
        <v>0</v>
      </c>
      <c r="DQ24" s="773">
        <f t="shared" si="22"/>
        <v>-88370665.560000002</v>
      </c>
      <c r="DR24" s="773">
        <f>ROUND(+$DJ24*'[5]II-F Alloc_Factor'!L$38,2)</f>
        <v>-2648637.4300000002</v>
      </c>
      <c r="DS24" s="773">
        <f>ROUND(+$DJ24*'[5]II-F Alloc_Factor'!M$38,2)</f>
        <v>-1750947.75</v>
      </c>
      <c r="DU24" s="773">
        <v>-176279121.04999998</v>
      </c>
      <c r="DV24" s="773">
        <f>ROUND(+$DU24*'[5]II-F Alloc_Factor'!E$38,2)</f>
        <v>-80133445.909999996</v>
      </c>
      <c r="DW24" s="773">
        <f>ROUND(+$DU24*'[5]II-F Alloc_Factor'!F$38,2)</f>
        <v>0</v>
      </c>
      <c r="DX24" s="773">
        <f>ROUND(+$DU24*'[5]II-F Alloc_Factor'!G$38,2)</f>
        <v>-68844.7</v>
      </c>
      <c r="DY24" s="773">
        <f t="shared" si="23"/>
        <v>-80202290.609999999</v>
      </c>
      <c r="DZ24" s="773">
        <f>ROUND(+$DU24*'[5]II-F Alloc_Factor'!I$38,2)</f>
        <v>-91520432.280000001</v>
      </c>
      <c r="EA24" s="773">
        <f>ROUND(+$DU24*'[5]II-F Alloc_Factor'!J$38,2)</f>
        <v>0</v>
      </c>
      <c r="EB24" s="773">
        <f t="shared" si="24"/>
        <v>-91520432.280000001</v>
      </c>
      <c r="EC24" s="773">
        <f>ROUND(+$DU24*'[5]II-F Alloc_Factor'!L$38,2)</f>
        <v>-2743041.95</v>
      </c>
      <c r="ED24" s="773">
        <f>ROUND(+$DU24*'[5]II-F Alloc_Factor'!M$38,2)</f>
        <v>-1813356.21</v>
      </c>
      <c r="EE24" s="772">
        <f>+DU24+'II-E-3.5'!K31</f>
        <v>0</v>
      </c>
      <c r="EF24" s="772">
        <f t="shared" si="25"/>
        <v>0</v>
      </c>
    </row>
    <row r="25" spans="1:136" s="406" customFormat="1">
      <c r="A25" s="409">
        <f t="shared" si="0"/>
        <v>13</v>
      </c>
      <c r="B25" s="366" t="s">
        <v>414</v>
      </c>
      <c r="C25" s="769" t="s">
        <v>684</v>
      </c>
      <c r="D25" s="773">
        <v>-52009786.109999999</v>
      </c>
      <c r="E25" s="773">
        <f>ROUND(+$D25*'[5]II-F Alloc_Factor'!E$38,2)</f>
        <v>-23642751.09</v>
      </c>
      <c r="F25" s="773">
        <f>ROUND(+$D25*'[5]II-F Alloc_Factor'!F$38,2)</f>
        <v>0</v>
      </c>
      <c r="G25" s="773">
        <f>ROUND(+$D25*'[5]II-F Alloc_Factor'!G$38,2)</f>
        <v>-20312.09</v>
      </c>
      <c r="H25" s="773">
        <f t="shared" si="1"/>
        <v>-23663063.18</v>
      </c>
      <c r="I25" s="773">
        <f>ROUND(+$D25*'[5]II-F Alloc_Factor'!I$38,2)</f>
        <v>-27002393.02</v>
      </c>
      <c r="J25" s="773">
        <f>ROUND(+$D25*'[5]II-F Alloc_Factor'!J$38,2)</f>
        <v>0</v>
      </c>
      <c r="K25" s="773">
        <f t="shared" si="2"/>
        <v>-27002393.02</v>
      </c>
      <c r="L25" s="773">
        <f>ROUND(+$D25*'[5]II-F Alloc_Factor'!L$38,2)</f>
        <v>-809313.23</v>
      </c>
      <c r="M25" s="773">
        <f>ROUND(+$D25*'[5]II-F Alloc_Factor'!M$38,2)</f>
        <v>-535016.67000000004</v>
      </c>
      <c r="N25" s="774"/>
      <c r="O25" s="99">
        <v>-52469676.18</v>
      </c>
      <c r="P25" s="773">
        <f>ROUND(+$O25*'[5]II-F Alloc_Factor'!E$38,2)</f>
        <v>-23851809.18</v>
      </c>
      <c r="Q25" s="773">
        <f>ROUND(+$O25*'[5]II-F Alloc_Factor'!F$38,2)</f>
        <v>0</v>
      </c>
      <c r="R25" s="773">
        <f>ROUND(+$O25*'[5]II-F Alloc_Factor'!G$38,2)</f>
        <v>-20491.7</v>
      </c>
      <c r="S25" s="773">
        <f t="shared" si="3"/>
        <v>-23872300.879999999</v>
      </c>
      <c r="T25" s="773">
        <f>ROUND(+$O25*'[5]II-F Alloc_Factor'!I$38,2)</f>
        <v>-27241158.32</v>
      </c>
      <c r="U25" s="773">
        <f>ROUND(+$O25*'[5]II-F Alloc_Factor'!J$38,2)</f>
        <v>0</v>
      </c>
      <c r="V25" s="773">
        <f t="shared" si="4"/>
        <v>-27241158.32</v>
      </c>
      <c r="W25" s="773">
        <f>ROUND(+$O25*'[5]II-F Alloc_Factor'!L$38,2)</f>
        <v>-816469.48</v>
      </c>
      <c r="X25" s="773">
        <f>ROUND(+$O25*'[5]II-F Alloc_Factor'!M$38,2)</f>
        <v>-539747.49</v>
      </c>
      <c r="Z25" s="99">
        <v>-52936427.149999999</v>
      </c>
      <c r="AA25" s="773">
        <f>ROUND(+$Z25*'[5]II-F Alloc_Factor'!E$38,2)</f>
        <v>-24063986.120000001</v>
      </c>
      <c r="AB25" s="773">
        <f>ROUND(+$Z25*'[5]II-F Alloc_Factor'!F$38,2)</f>
        <v>0</v>
      </c>
      <c r="AC25" s="773">
        <f>ROUND(+$Z25*'[5]II-F Alloc_Factor'!G$38,2)</f>
        <v>-20673.990000000002</v>
      </c>
      <c r="AD25" s="773">
        <f t="shared" si="5"/>
        <v>-24084660.109999999</v>
      </c>
      <c r="AE25" s="773">
        <f>ROUND(+$Z25*'[5]II-F Alloc_Factor'!I$38,2)</f>
        <v>-27483485.66</v>
      </c>
      <c r="AF25" s="773">
        <f>ROUND(+$Z25*'[5]II-F Alloc_Factor'!J$38,2)</f>
        <v>0</v>
      </c>
      <c r="AG25" s="773">
        <f t="shared" si="6"/>
        <v>-27483485.66</v>
      </c>
      <c r="AH25" s="773">
        <f>ROUND(+$Z25*'[5]II-F Alloc_Factor'!L$38,2)</f>
        <v>-823732.5</v>
      </c>
      <c r="AI25" s="773">
        <f>ROUND(+$Z25*'[5]II-F Alloc_Factor'!M$38,2)</f>
        <v>-544548.89</v>
      </c>
      <c r="AK25" s="773">
        <v>-53398604.18</v>
      </c>
      <c r="AL25" s="773">
        <f>ROUND(+$AK25*'[5]II-F Alloc_Factor'!E$38,2)</f>
        <v>-24274083.82</v>
      </c>
      <c r="AM25" s="773">
        <f>ROUND(+$AK25*'[5]II-F Alloc_Factor'!F$38,2)</f>
        <v>0</v>
      </c>
      <c r="AN25" s="773">
        <f>ROUND(+$AK25*'[5]II-F Alloc_Factor'!G$38,2)</f>
        <v>-20854.490000000002</v>
      </c>
      <c r="AO25" s="773">
        <f t="shared" si="7"/>
        <v>-24294938.309999999</v>
      </c>
      <c r="AP25" s="773">
        <f>ROUND(+$AK25*'[5]II-F Alloc_Factor'!I$38,2)</f>
        <v>-27723438.309999999</v>
      </c>
      <c r="AQ25" s="773">
        <f>ROUND(+$AK25*'[5]II-F Alloc_Factor'!J$38,2)</f>
        <v>0</v>
      </c>
      <c r="AR25" s="773">
        <f t="shared" si="8"/>
        <v>-27723438.309999999</v>
      </c>
      <c r="AS25" s="773">
        <f>ROUND(+$AK25*'[5]II-F Alloc_Factor'!L$38,2)</f>
        <v>-830924.33</v>
      </c>
      <c r="AT25" s="773">
        <f>ROUND(+$AK25*'[5]II-F Alloc_Factor'!M$38,2)</f>
        <v>-549303.23</v>
      </c>
      <c r="AV25" s="773">
        <v>-53860781.210000001</v>
      </c>
      <c r="AW25" s="773">
        <f>ROUND(+$AV25*'[5]II-F Alloc_Factor'!E$38,2)</f>
        <v>-24484181.52</v>
      </c>
      <c r="AX25" s="773">
        <f>ROUND(+$AV25*'[5]II-F Alloc_Factor'!F$38,2)</f>
        <v>0</v>
      </c>
      <c r="AY25" s="773">
        <f>ROUND(+$AV25*'[5]II-F Alloc_Factor'!G$38,2)</f>
        <v>-21034.99</v>
      </c>
      <c r="AZ25" s="773">
        <f t="shared" si="9"/>
        <v>-24505216.509999998</v>
      </c>
      <c r="BA25" s="773">
        <f>ROUND(+$AV25*'[5]II-F Alloc_Factor'!I$38,2)</f>
        <v>-27963390.960000001</v>
      </c>
      <c r="BB25" s="773">
        <f>ROUND(+$AV25*'[5]II-F Alloc_Factor'!J$38,2)</f>
        <v>0</v>
      </c>
      <c r="BC25" s="773">
        <f t="shared" si="10"/>
        <v>-27963390.960000001</v>
      </c>
      <c r="BD25" s="773">
        <f>ROUND(+$AV25*'[5]II-F Alloc_Factor'!L$38,2)</f>
        <v>-838116.17</v>
      </c>
      <c r="BE25" s="773">
        <f>ROUND(+$AV25*'[5]II-F Alloc_Factor'!M$38,2)</f>
        <v>-554057.56999999995</v>
      </c>
      <c r="BG25" s="773">
        <v>-54331886.840000004</v>
      </c>
      <c r="BH25" s="773">
        <f>ROUND(+$BG25*'[5]II-F Alloc_Factor'!E$38,2)</f>
        <v>-24698338.010000002</v>
      </c>
      <c r="BI25" s="773">
        <f>ROUND(+$BG25*'[5]II-F Alloc_Factor'!F$38,2)</f>
        <v>0</v>
      </c>
      <c r="BJ25" s="773">
        <f>ROUND(+$BG25*'[5]II-F Alloc_Factor'!G$38,2)</f>
        <v>-21218.98</v>
      </c>
      <c r="BK25" s="773">
        <f t="shared" si="11"/>
        <v>-24719556.990000002</v>
      </c>
      <c r="BL25" s="773">
        <f>ROUND(+$BG25*'[5]II-F Alloc_Factor'!I$38,2)</f>
        <v>-28207979.149999999</v>
      </c>
      <c r="BM25" s="773">
        <f>ROUND(+$BG25*'[5]II-F Alloc_Factor'!J$38,2)</f>
        <v>0</v>
      </c>
      <c r="BN25" s="773">
        <f t="shared" si="12"/>
        <v>-28207979.149999999</v>
      </c>
      <c r="BO25" s="773">
        <f>ROUND(+$BG25*'[5]II-F Alloc_Factor'!L$38,2)</f>
        <v>-845446.95</v>
      </c>
      <c r="BP25" s="773">
        <f>ROUND(+$BG25*'[5]II-F Alloc_Factor'!M$38,2)</f>
        <v>-558903.76</v>
      </c>
      <c r="BR25" s="773">
        <v>-54795551.970000006</v>
      </c>
      <c r="BS25" s="773">
        <f>ROUND(+$BR25*'[5]II-F Alloc_Factor'!E$38,2)</f>
        <v>-24909112.170000002</v>
      </c>
      <c r="BT25" s="773">
        <f>ROUND(+$BR25*'[5]II-F Alloc_Factor'!F$38,2)</f>
        <v>0</v>
      </c>
      <c r="BU25" s="773">
        <f>ROUND(+$BR25*'[5]II-F Alloc_Factor'!G$38,2)</f>
        <v>-21400.06</v>
      </c>
      <c r="BV25" s="773">
        <f t="shared" si="13"/>
        <v>-24930512.23</v>
      </c>
      <c r="BW25" s="773">
        <f>ROUND(+$BR25*'[5]II-F Alloc_Factor'!I$38,2)</f>
        <v>-28448704.379999999</v>
      </c>
      <c r="BX25" s="773">
        <f>ROUND(+$BR25*'[5]II-F Alloc_Factor'!J$38,2)</f>
        <v>0</v>
      </c>
      <c r="BY25" s="773">
        <f t="shared" si="14"/>
        <v>-28448704.379999999</v>
      </c>
      <c r="BZ25" s="773">
        <f>ROUND(+$BR25*'[5]II-F Alloc_Factor'!L$38,2)</f>
        <v>-852661.94</v>
      </c>
      <c r="CA25" s="773">
        <f>ROUND(+$BR25*'[5]II-F Alloc_Factor'!M$38,2)</f>
        <v>-563673.42000000004</v>
      </c>
      <c r="CC25" s="773">
        <v>-55259217.100000009</v>
      </c>
      <c r="CD25" s="773">
        <f>ROUND(+$CC25*'[5]II-F Alloc_Factor'!E$38,2)</f>
        <v>-25119886.34</v>
      </c>
      <c r="CE25" s="773">
        <f>ROUND(+$CC25*'[5]II-F Alloc_Factor'!F$38,2)</f>
        <v>0</v>
      </c>
      <c r="CF25" s="773">
        <f>ROUND(+$CC25*'[5]II-F Alloc_Factor'!G$38,2)</f>
        <v>-21581.14</v>
      </c>
      <c r="CG25" s="773">
        <f t="shared" si="15"/>
        <v>-25141467.48</v>
      </c>
      <c r="CH25" s="773">
        <f>ROUND(+$CC25*'[5]II-F Alloc_Factor'!I$38,2)</f>
        <v>-28689429.620000001</v>
      </c>
      <c r="CI25" s="773">
        <f>ROUND(+$CC25*'[5]II-F Alloc_Factor'!J$38,2)</f>
        <v>0</v>
      </c>
      <c r="CJ25" s="773">
        <f t="shared" si="16"/>
        <v>-28689429.620000001</v>
      </c>
      <c r="CK25" s="773">
        <f>ROUND(+$CC25*'[5]II-F Alloc_Factor'!L$38,2)</f>
        <v>-859876.94</v>
      </c>
      <c r="CL25" s="773">
        <f>ROUND(+$CC25*'[5]II-F Alloc_Factor'!M$38,2)</f>
        <v>-568443.06999999995</v>
      </c>
      <c r="CN25" s="773">
        <v>-56361619.070000015</v>
      </c>
      <c r="CO25" s="773">
        <f>ROUND(+$CN25*'[5]II-F Alloc_Factor'!E$38,2)</f>
        <v>-25621019.25</v>
      </c>
      <c r="CP25" s="773">
        <f>ROUND(+$CN25*'[5]II-F Alloc_Factor'!F$38,2)</f>
        <v>0</v>
      </c>
      <c r="CQ25" s="773">
        <f>ROUND(+$CN25*'[5]II-F Alloc_Factor'!G$38,2)</f>
        <v>-22011.67</v>
      </c>
      <c r="CR25" s="773">
        <f t="shared" si="17"/>
        <v>-25643030.920000002</v>
      </c>
      <c r="CS25" s="773">
        <f>ROUND(+$CN25*'[5]II-F Alloc_Factor'!I$38,2)</f>
        <v>-29261773.66</v>
      </c>
      <c r="CT25" s="773">
        <f>ROUND(+$CN25*'[5]II-F Alloc_Factor'!J$38,2)</f>
        <v>0</v>
      </c>
      <c r="CU25" s="773">
        <f t="shared" si="18"/>
        <v>-29261773.66</v>
      </c>
      <c r="CV25" s="773">
        <f>ROUND(+$CN25*'[5]II-F Alloc_Factor'!L$38,2)</f>
        <v>-877031.18</v>
      </c>
      <c r="CW25" s="773">
        <f>ROUND(+$CN25*'[5]II-F Alloc_Factor'!M$38,2)</f>
        <v>-579783.31000000006</v>
      </c>
      <c r="CY25" s="773">
        <v>-56827450.900000013</v>
      </c>
      <c r="CZ25" s="773">
        <f>ROUND(+$CY25*'[5]II-F Alloc_Factor'!E$38,2)</f>
        <v>-25832778.359999999</v>
      </c>
      <c r="DA25" s="773">
        <f>ROUND(+$CY25*'[5]II-F Alloc_Factor'!F$38,2)</f>
        <v>0</v>
      </c>
      <c r="DB25" s="773">
        <f>ROUND(+$CY25*'[5]II-F Alloc_Factor'!G$38,2)</f>
        <v>-22193.599999999999</v>
      </c>
      <c r="DC25" s="773">
        <f t="shared" si="19"/>
        <v>-25854971.960000001</v>
      </c>
      <c r="DD25" s="773">
        <f>ROUND(+$CY25*'[5]II-F Alloc_Factor'!I$38,2)</f>
        <v>-29503623.800000001</v>
      </c>
      <c r="DE25" s="773">
        <f>ROUND(+$CY25*'[5]II-F Alloc_Factor'!J$38,2)</f>
        <v>0</v>
      </c>
      <c r="DF25" s="773">
        <f t="shared" si="20"/>
        <v>-29503623.800000001</v>
      </c>
      <c r="DG25" s="773">
        <f>ROUND(+$CY25*'[5]II-F Alloc_Factor'!L$38,2)</f>
        <v>-884279.89</v>
      </c>
      <c r="DH25" s="773">
        <f>ROUND(+$CY25*'[5]II-F Alloc_Factor'!M$38,2)</f>
        <v>-584575.25</v>
      </c>
      <c r="DJ25" s="773">
        <v>-57293282.730000012</v>
      </c>
      <c r="DK25" s="773">
        <f>ROUND(+$DJ25*'[5]II-F Alloc_Factor'!E$38,2)</f>
        <v>-26044537.469999999</v>
      </c>
      <c r="DL25" s="773">
        <f>ROUND(+$DJ25*'[5]II-F Alloc_Factor'!F$38,2)</f>
        <v>0</v>
      </c>
      <c r="DM25" s="773">
        <f>ROUND(+$DJ25*'[5]II-F Alloc_Factor'!G$38,2)</f>
        <v>-22375.53</v>
      </c>
      <c r="DN25" s="773">
        <f t="shared" si="21"/>
        <v>-26066913</v>
      </c>
      <c r="DO25" s="773">
        <f>ROUND(+$DJ25*'[5]II-F Alloc_Factor'!I$38,2)</f>
        <v>-29745473.949999999</v>
      </c>
      <c r="DP25" s="773">
        <f>ROUND(+$DJ25*'[5]II-F Alloc_Factor'!J$38,2)</f>
        <v>0</v>
      </c>
      <c r="DQ25" s="773">
        <f t="shared" si="22"/>
        <v>-29745473.949999999</v>
      </c>
      <c r="DR25" s="773">
        <f>ROUND(+$DJ25*'[5]II-F Alloc_Factor'!L$38,2)</f>
        <v>-891528.6</v>
      </c>
      <c r="DS25" s="773">
        <f>ROUND(+$DJ25*'[5]II-F Alloc_Factor'!M$38,2)</f>
        <v>-589367.18999999994</v>
      </c>
      <c r="DU25" s="773">
        <v>-60922506.010000013</v>
      </c>
      <c r="DV25" s="773">
        <f>ROUND(+$DU25*'[5]II-F Alloc_Factor'!E$38,2)</f>
        <v>-27694319.73</v>
      </c>
      <c r="DW25" s="773">
        <f>ROUND(+$DU25*'[5]II-F Alloc_Factor'!F$38,2)</f>
        <v>0</v>
      </c>
      <c r="DX25" s="773">
        <f>ROUND(+$DU25*'[5]II-F Alloc_Factor'!G$38,2)</f>
        <v>-23792.9</v>
      </c>
      <c r="DY25" s="773">
        <f t="shared" si="23"/>
        <v>-27718112.629999999</v>
      </c>
      <c r="DZ25" s="773">
        <f>ROUND(+$DU25*'[5]II-F Alloc_Factor'!I$38,2)</f>
        <v>-31629690.760000002</v>
      </c>
      <c r="EA25" s="773">
        <f>ROUND(+$DU25*'[5]II-F Alloc_Factor'!J$38,2)</f>
        <v>0</v>
      </c>
      <c r="EB25" s="773">
        <f t="shared" si="24"/>
        <v>-31629690.760000002</v>
      </c>
      <c r="EC25" s="773">
        <f>ROUND(+$DU25*'[5]II-F Alloc_Factor'!L$38,2)</f>
        <v>-948002.17</v>
      </c>
      <c r="ED25" s="773">
        <f>ROUND(+$DU25*'[5]II-F Alloc_Factor'!M$38,2)</f>
        <v>-626700.44999999995</v>
      </c>
      <c r="EE25" s="772">
        <f>+DU25+'II-E-3.5'!K32</f>
        <v>0</v>
      </c>
      <c r="EF25" s="772">
        <f t="shared" si="25"/>
        <v>0</v>
      </c>
    </row>
    <row r="26" spans="1:136" s="406" customFormat="1">
      <c r="A26" s="409">
        <f t="shared" si="0"/>
        <v>14</v>
      </c>
      <c r="B26" s="366" t="s">
        <v>954</v>
      </c>
      <c r="C26" s="769" t="s">
        <v>684</v>
      </c>
      <c r="D26" s="773">
        <v>100161868.28</v>
      </c>
      <c r="E26" s="773">
        <f>ROUND(+$D26*'[5]II-F Alloc_Factor'!E$38,2)</f>
        <v>45531856.560000002</v>
      </c>
      <c r="F26" s="773">
        <f>ROUND(+$D26*'[5]II-F Alloc_Factor'!F$38,2)</f>
        <v>0</v>
      </c>
      <c r="G26" s="773">
        <f>ROUND(+$D26*'[5]II-F Alloc_Factor'!G$38,2)</f>
        <v>39117.58</v>
      </c>
      <c r="H26" s="773">
        <f t="shared" si="1"/>
        <v>45570974.140000001</v>
      </c>
      <c r="I26" s="773">
        <f>ROUND(+$D26*'[5]II-F Alloc_Factor'!I$38,2)</f>
        <v>52001946.850000001</v>
      </c>
      <c r="J26" s="773">
        <f>ROUND(+$D26*'[5]II-F Alloc_Factor'!J$38,2)</f>
        <v>0</v>
      </c>
      <c r="K26" s="773">
        <f t="shared" si="2"/>
        <v>52001946.850000001</v>
      </c>
      <c r="L26" s="773">
        <f>ROUND(+$D26*'[5]II-F Alloc_Factor'!L$38,2)</f>
        <v>1558597.55</v>
      </c>
      <c r="M26" s="773">
        <f>ROUND(+$D26*'[5]II-F Alloc_Factor'!M$38,2)</f>
        <v>1030349.74</v>
      </c>
      <c r="N26" s="774"/>
      <c r="O26" s="99">
        <v>101349311.68000001</v>
      </c>
      <c r="P26" s="773">
        <f>ROUND(+$O26*'[5]II-F Alloc_Factor'!E$38,2)</f>
        <v>46071647.829999998</v>
      </c>
      <c r="Q26" s="773">
        <f>ROUND(+$O26*'[5]II-F Alloc_Factor'!F$38,2)</f>
        <v>0</v>
      </c>
      <c r="R26" s="773">
        <f>ROUND(+$O26*'[5]II-F Alloc_Factor'!G$38,2)</f>
        <v>39581.33</v>
      </c>
      <c r="S26" s="773">
        <f t="shared" si="3"/>
        <v>46111229.159999996</v>
      </c>
      <c r="T26" s="773">
        <f>ROUND(+$O26*'[5]II-F Alloc_Factor'!I$38,2)</f>
        <v>52618442.619999997</v>
      </c>
      <c r="U26" s="773">
        <f>ROUND(+$O26*'[5]II-F Alloc_Factor'!J$38,2)</f>
        <v>0</v>
      </c>
      <c r="V26" s="773">
        <f t="shared" si="4"/>
        <v>52618442.619999997</v>
      </c>
      <c r="W26" s="773">
        <f>ROUND(+$O26*'[5]II-F Alloc_Factor'!L$38,2)</f>
        <v>1577075.11</v>
      </c>
      <c r="X26" s="773">
        <f>ROUND(+$O26*'[5]II-F Alloc_Factor'!M$38,2)</f>
        <v>1042564.78</v>
      </c>
      <c r="Z26" s="99">
        <v>102840931.56</v>
      </c>
      <c r="AA26" s="773">
        <f>ROUND(+$Z26*'[5]II-F Alloc_Factor'!E$38,2)</f>
        <v>46749712.490000002</v>
      </c>
      <c r="AB26" s="773">
        <f>ROUND(+$Z26*'[5]II-F Alloc_Factor'!F$38,2)</f>
        <v>0</v>
      </c>
      <c r="AC26" s="773">
        <f>ROUND(+$Z26*'[5]II-F Alloc_Factor'!G$38,2)</f>
        <v>40163.879999999997</v>
      </c>
      <c r="AD26" s="773">
        <f t="shared" si="5"/>
        <v>46789876.370000005</v>
      </c>
      <c r="AE26" s="773">
        <f>ROUND(+$Z26*'[5]II-F Alloc_Factor'!I$38,2)</f>
        <v>53392860.460000001</v>
      </c>
      <c r="AF26" s="773">
        <f>ROUND(+$Z26*'[5]II-F Alloc_Factor'!J$38,2)</f>
        <v>0</v>
      </c>
      <c r="AG26" s="773">
        <f t="shared" si="6"/>
        <v>53392860.460000001</v>
      </c>
      <c r="AH26" s="773">
        <f>ROUND(+$Z26*'[5]II-F Alloc_Factor'!L$38,2)</f>
        <v>1600285.89</v>
      </c>
      <c r="AI26" s="773">
        <f>ROUND(+$Z26*'[5]II-F Alloc_Factor'!M$38,2)</f>
        <v>1057908.8500000001</v>
      </c>
      <c r="AK26" s="773">
        <v>104129767.12</v>
      </c>
      <c r="AL26" s="773">
        <f>ROUND(+$AK26*'[5]II-F Alloc_Factor'!E$38,2)</f>
        <v>47335594.890000001</v>
      </c>
      <c r="AM26" s="773">
        <f>ROUND(+$AK26*'[5]II-F Alloc_Factor'!F$38,2)</f>
        <v>0</v>
      </c>
      <c r="AN26" s="773">
        <f>ROUND(+$AK26*'[5]II-F Alloc_Factor'!G$38,2)</f>
        <v>40667.22</v>
      </c>
      <c r="AO26" s="773">
        <f t="shared" si="7"/>
        <v>47376262.109999999</v>
      </c>
      <c r="AP26" s="773">
        <f>ROUND(+$AK26*'[5]II-F Alloc_Factor'!I$38,2)</f>
        <v>54061996.93</v>
      </c>
      <c r="AQ26" s="773">
        <f>ROUND(+$AK26*'[5]II-F Alloc_Factor'!J$38,2)</f>
        <v>0</v>
      </c>
      <c r="AR26" s="773">
        <f t="shared" si="8"/>
        <v>54061996.93</v>
      </c>
      <c r="AS26" s="773">
        <f>ROUND(+$AK26*'[5]II-F Alloc_Factor'!L$38,2)</f>
        <v>1620341.18</v>
      </c>
      <c r="AT26" s="773">
        <f>ROUND(+$AK26*'[5]II-F Alloc_Factor'!M$38,2)</f>
        <v>1071166.8999999999</v>
      </c>
      <c r="AV26" s="773">
        <v>105418602.68000001</v>
      </c>
      <c r="AW26" s="773">
        <f>ROUND(+$AV26*'[5]II-F Alloc_Factor'!E$38,2)</f>
        <v>47921477.289999999</v>
      </c>
      <c r="AX26" s="773">
        <f>ROUND(+$AV26*'[5]II-F Alloc_Factor'!F$38,2)</f>
        <v>0</v>
      </c>
      <c r="AY26" s="773">
        <f>ROUND(+$AV26*'[5]II-F Alloc_Factor'!G$38,2)</f>
        <v>41170.57</v>
      </c>
      <c r="AZ26" s="773">
        <f t="shared" si="9"/>
        <v>47962647.859999999</v>
      </c>
      <c r="BA26" s="773">
        <f>ROUND(+$AV26*'[5]II-F Alloc_Factor'!I$38,2)</f>
        <v>54731133.390000001</v>
      </c>
      <c r="BB26" s="773">
        <f>ROUND(+$AV26*'[5]II-F Alloc_Factor'!J$38,2)</f>
        <v>0</v>
      </c>
      <c r="BC26" s="773">
        <f t="shared" si="10"/>
        <v>54731133.390000001</v>
      </c>
      <c r="BD26" s="773">
        <f>ROUND(+$AV26*'[5]II-F Alloc_Factor'!L$38,2)</f>
        <v>1640396.48</v>
      </c>
      <c r="BE26" s="773">
        <f>ROUND(+$AV26*'[5]II-F Alloc_Factor'!M$38,2)</f>
        <v>1084424.95</v>
      </c>
      <c r="BG26" s="773">
        <v>106799695.90000001</v>
      </c>
      <c r="BH26" s="773">
        <f>ROUND(+$BG26*'[5]II-F Alloc_Factor'!E$38,2)</f>
        <v>48549298.43</v>
      </c>
      <c r="BI26" s="773">
        <f>ROUND(+$BG26*'[5]II-F Alloc_Factor'!F$38,2)</f>
        <v>0</v>
      </c>
      <c r="BJ26" s="773">
        <f>ROUND(+$BG26*'[5]II-F Alloc_Factor'!G$38,2)</f>
        <v>41709.949999999997</v>
      </c>
      <c r="BK26" s="773">
        <f t="shared" si="11"/>
        <v>48591008.380000003</v>
      </c>
      <c r="BL26" s="773">
        <f>ROUND(+$BG26*'[5]II-F Alloc_Factor'!I$38,2)</f>
        <v>55448168.100000001</v>
      </c>
      <c r="BM26" s="773">
        <f>ROUND(+$BG26*'[5]II-F Alloc_Factor'!J$38,2)</f>
        <v>0</v>
      </c>
      <c r="BN26" s="773">
        <f t="shared" si="12"/>
        <v>55448168.100000001</v>
      </c>
      <c r="BO26" s="773">
        <f>ROUND(+$BG26*'[5]II-F Alloc_Factor'!L$38,2)</f>
        <v>1661887.38</v>
      </c>
      <c r="BP26" s="773">
        <f>ROUND(+$BG26*'[5]II-F Alloc_Factor'!M$38,2)</f>
        <v>1098632.05</v>
      </c>
      <c r="BR26" s="773">
        <v>108103907.73</v>
      </c>
      <c r="BS26" s="773">
        <f>ROUND(+$BR26*'[5]II-F Alloc_Factor'!E$38,2)</f>
        <v>49142170.619999997</v>
      </c>
      <c r="BT26" s="773">
        <f>ROUND(+$BR26*'[5]II-F Alloc_Factor'!F$38,2)</f>
        <v>0</v>
      </c>
      <c r="BU26" s="773">
        <f>ROUND(+$BR26*'[5]II-F Alloc_Factor'!G$38,2)</f>
        <v>42219.3</v>
      </c>
      <c r="BV26" s="773">
        <f t="shared" si="13"/>
        <v>49184389.919999994</v>
      </c>
      <c r="BW26" s="773">
        <f>ROUND(+$BR26*'[5]II-F Alloc_Factor'!I$38,2)</f>
        <v>56125287.600000001</v>
      </c>
      <c r="BX26" s="773">
        <f>ROUND(+$BR26*'[5]II-F Alloc_Factor'!J$38,2)</f>
        <v>0</v>
      </c>
      <c r="BY26" s="773">
        <f t="shared" si="14"/>
        <v>56125287.600000001</v>
      </c>
      <c r="BZ26" s="773">
        <f>ROUND(+$BR26*'[5]II-F Alloc_Factor'!L$38,2)</f>
        <v>1682181.94</v>
      </c>
      <c r="CA26" s="773">
        <f>ROUND(+$BR26*'[5]II-F Alloc_Factor'!M$38,2)</f>
        <v>1112048.27</v>
      </c>
      <c r="CC26" s="773">
        <v>109408119.57000001</v>
      </c>
      <c r="CD26" s="773">
        <f>ROUND(+$CC26*'[5]II-F Alloc_Factor'!E$38,2)</f>
        <v>49735042.810000002</v>
      </c>
      <c r="CE26" s="773">
        <f>ROUND(+$CC26*'[5]II-F Alloc_Factor'!F$38,2)</f>
        <v>0</v>
      </c>
      <c r="CF26" s="773">
        <f>ROUND(+$CC26*'[5]II-F Alloc_Factor'!G$38,2)</f>
        <v>42728.65</v>
      </c>
      <c r="CG26" s="773">
        <f t="shared" si="15"/>
        <v>49777771.460000001</v>
      </c>
      <c r="CH26" s="773">
        <f>ROUND(+$CC26*'[5]II-F Alloc_Factor'!I$38,2)</f>
        <v>56802407.109999999</v>
      </c>
      <c r="CI26" s="773">
        <f>ROUND(+$CC26*'[5]II-F Alloc_Factor'!J$38,2)</f>
        <v>0</v>
      </c>
      <c r="CJ26" s="773">
        <f t="shared" si="16"/>
        <v>56802407.109999999</v>
      </c>
      <c r="CK26" s="773">
        <f>ROUND(+$CC26*'[5]II-F Alloc_Factor'!L$38,2)</f>
        <v>1702476.5</v>
      </c>
      <c r="CL26" s="773">
        <f>ROUND(+$CC26*'[5]II-F Alloc_Factor'!M$38,2)</f>
        <v>1125464.5</v>
      </c>
      <c r="CN26" s="773">
        <v>112670276.24000001</v>
      </c>
      <c r="CO26" s="773">
        <f>ROUND(+$CN26*'[5]II-F Alloc_Factor'!E$38,2)</f>
        <v>51217962.93</v>
      </c>
      <c r="CP26" s="773">
        <f>ROUND(+$CN26*'[5]II-F Alloc_Factor'!F$38,2)</f>
        <v>0</v>
      </c>
      <c r="CQ26" s="773">
        <f>ROUND(+$CN26*'[5]II-F Alloc_Factor'!G$38,2)</f>
        <v>44002.66</v>
      </c>
      <c r="CR26" s="773">
        <f t="shared" si="17"/>
        <v>51261965.589999996</v>
      </c>
      <c r="CS26" s="773">
        <f>ROUND(+$CN26*'[5]II-F Alloc_Factor'!I$38,2)</f>
        <v>58496050.609999999</v>
      </c>
      <c r="CT26" s="773">
        <f>ROUND(+$CN26*'[5]II-F Alloc_Factor'!J$38,2)</f>
        <v>0</v>
      </c>
      <c r="CU26" s="773">
        <f t="shared" si="18"/>
        <v>58496050.609999999</v>
      </c>
      <c r="CV26" s="773">
        <f>ROUND(+$CN26*'[5]II-F Alloc_Factor'!L$38,2)</f>
        <v>1753238.23</v>
      </c>
      <c r="CW26" s="773">
        <f>ROUND(+$CN26*'[5]II-F Alloc_Factor'!M$38,2)</f>
        <v>1159021.8</v>
      </c>
      <c r="CY26" s="773">
        <v>114192037.49000001</v>
      </c>
      <c r="CZ26" s="773">
        <f>ROUND(+$CY26*'[5]II-F Alloc_Factor'!E$38,2)</f>
        <v>51909729.329999998</v>
      </c>
      <c r="DA26" s="773">
        <f>ROUND(+$CY26*'[5]II-F Alloc_Factor'!F$38,2)</f>
        <v>0</v>
      </c>
      <c r="DB26" s="773">
        <f>ROUND(+$CY26*'[5]II-F Alloc_Factor'!G$38,2)</f>
        <v>44596.98</v>
      </c>
      <c r="DC26" s="773">
        <f t="shared" si="19"/>
        <v>51954326.309999995</v>
      </c>
      <c r="DD26" s="773">
        <f>ROUND(+$CY26*'[5]II-F Alloc_Factor'!I$38,2)</f>
        <v>59286117.219999999</v>
      </c>
      <c r="DE26" s="773">
        <f>ROUND(+$CY26*'[5]II-F Alloc_Factor'!J$38,2)</f>
        <v>0</v>
      </c>
      <c r="DF26" s="773">
        <f t="shared" si="20"/>
        <v>59286117.219999999</v>
      </c>
      <c r="DG26" s="773">
        <f>ROUND(+$CY26*'[5]II-F Alloc_Factor'!L$38,2)</f>
        <v>1776918.03</v>
      </c>
      <c r="DH26" s="773">
        <f>ROUND(+$CY26*'[5]II-F Alloc_Factor'!M$38,2)</f>
        <v>1174675.93</v>
      </c>
      <c r="DJ26" s="773">
        <v>115713798.76000001</v>
      </c>
      <c r="DK26" s="773">
        <f>ROUND(+$DJ26*'[5]II-F Alloc_Factor'!E$38,2)</f>
        <v>52601495.729999997</v>
      </c>
      <c r="DL26" s="773">
        <f>ROUND(+$DJ26*'[5]II-F Alloc_Factor'!F$38,2)</f>
        <v>0</v>
      </c>
      <c r="DM26" s="773">
        <f>ROUND(+$DJ26*'[5]II-F Alloc_Factor'!G$38,2)</f>
        <v>45191.29</v>
      </c>
      <c r="DN26" s="773">
        <f t="shared" si="21"/>
        <v>52646687.019999996</v>
      </c>
      <c r="DO26" s="773">
        <f>ROUND(+$DJ26*'[5]II-F Alloc_Factor'!I$38,2)</f>
        <v>60076183.840000004</v>
      </c>
      <c r="DP26" s="773">
        <f>ROUND(+$DJ26*'[5]II-F Alloc_Factor'!J$38,2)</f>
        <v>0</v>
      </c>
      <c r="DQ26" s="773">
        <f t="shared" si="22"/>
        <v>60076183.840000004</v>
      </c>
      <c r="DR26" s="773">
        <f>ROUND(+$DJ26*'[5]II-F Alloc_Factor'!L$38,2)</f>
        <v>1800597.84</v>
      </c>
      <c r="DS26" s="773">
        <f>ROUND(+$DJ26*'[5]II-F Alloc_Factor'!M$38,2)</f>
        <v>1190330.05</v>
      </c>
      <c r="DU26" s="773">
        <v>119092715.2</v>
      </c>
      <c r="DV26" s="773">
        <f>ROUND(+$DU26*'[5]II-F Alloc_Factor'!E$38,2)</f>
        <v>54137492.829999998</v>
      </c>
      <c r="DW26" s="773">
        <f>ROUND(+$DU26*'[5]II-F Alloc_Factor'!F$38,2)</f>
        <v>0</v>
      </c>
      <c r="DX26" s="773">
        <f>ROUND(+$DU26*'[5]II-F Alloc_Factor'!G$38,2)</f>
        <v>46510.91</v>
      </c>
      <c r="DY26" s="773">
        <f t="shared" si="23"/>
        <v>54184003.739999995</v>
      </c>
      <c r="DZ26" s="773">
        <f>ROUND(+$DU26*'[5]II-F Alloc_Factor'!I$38,2)</f>
        <v>61830446.579999998</v>
      </c>
      <c r="EA26" s="773">
        <f>ROUND(+$DU26*'[5]II-F Alloc_Factor'!J$38,2)</f>
        <v>0</v>
      </c>
      <c r="EB26" s="773">
        <f t="shared" si="24"/>
        <v>61830446.579999998</v>
      </c>
      <c r="EC26" s="773">
        <f>ROUND(+$DU26*'[5]II-F Alloc_Factor'!L$38,2)</f>
        <v>1853176.44</v>
      </c>
      <c r="ED26" s="773">
        <f>ROUND(+$DU26*'[5]II-F Alloc_Factor'!M$38,2)</f>
        <v>1225088.45</v>
      </c>
      <c r="EE26" s="772">
        <f>+DU26+'II-E-3.5'!K33</f>
        <v>0</v>
      </c>
      <c r="EF26" s="772">
        <f t="shared" si="25"/>
        <v>9.9999904632568359E-3</v>
      </c>
    </row>
    <row r="27" spans="1:136" s="406" customFormat="1">
      <c r="A27" s="409">
        <f t="shared" si="0"/>
        <v>15</v>
      </c>
      <c r="B27" s="366" t="s">
        <v>669</v>
      </c>
      <c r="C27" s="769" t="s">
        <v>684</v>
      </c>
      <c r="D27" s="773">
        <v>35245870.310000002</v>
      </c>
      <c r="E27" s="773">
        <f>ROUND(+$D27*'[5]II-F Alloc_Factor'!E$38,2)</f>
        <v>16022164.310000001</v>
      </c>
      <c r="F27" s="773">
        <f>ROUND(+$D27*'[5]II-F Alloc_Factor'!F$38,2)</f>
        <v>0</v>
      </c>
      <c r="G27" s="773">
        <f>ROUND(+$D27*'[5]II-F Alloc_Factor'!G$38,2)</f>
        <v>13765.05</v>
      </c>
      <c r="H27" s="773">
        <f t="shared" si="1"/>
        <v>16035929.360000001</v>
      </c>
      <c r="I27" s="773">
        <f>ROUND(+$D27*'[5]II-F Alloc_Factor'!I$38,2)</f>
        <v>18298918.600000001</v>
      </c>
      <c r="J27" s="773">
        <f>ROUND(+$D27*'[5]II-F Alloc_Factor'!J$38,2)</f>
        <v>0</v>
      </c>
      <c r="K27" s="773">
        <f t="shared" si="2"/>
        <v>18298918.600000001</v>
      </c>
      <c r="L27" s="773">
        <f>ROUND(+$D27*'[5]II-F Alloc_Factor'!L$38,2)</f>
        <v>548453.5</v>
      </c>
      <c r="M27" s="773">
        <f>ROUND(+$D27*'[5]II-F Alloc_Factor'!M$38,2)</f>
        <v>362568.85</v>
      </c>
      <c r="N27" s="774"/>
      <c r="O27" s="102">
        <v>36372450.32</v>
      </c>
      <c r="P27" s="773">
        <f>ROUND(+$O27*'[5]II-F Alloc_Factor'!E$38,2)</f>
        <v>16534288.140000001</v>
      </c>
      <c r="Q27" s="773">
        <f>ROUND(+$O27*'[5]II-F Alloc_Factor'!F$38,2)</f>
        <v>0</v>
      </c>
      <c r="R27" s="773">
        <f>ROUND(+$O27*'[5]II-F Alloc_Factor'!G$38,2)</f>
        <v>14205.03</v>
      </c>
      <c r="S27" s="773">
        <f t="shared" si="3"/>
        <v>16548493.17</v>
      </c>
      <c r="T27" s="773">
        <f>ROUND(+$O27*'[5]II-F Alloc_Factor'!I$38,2)</f>
        <v>18883815.379999999</v>
      </c>
      <c r="U27" s="773">
        <f>ROUND(+$O27*'[5]II-F Alloc_Factor'!J$38,2)</f>
        <v>0</v>
      </c>
      <c r="V27" s="773">
        <f t="shared" si="4"/>
        <v>18883815.379999999</v>
      </c>
      <c r="W27" s="773">
        <f>ROUND(+$O27*'[5]II-F Alloc_Factor'!L$38,2)</f>
        <v>565983.97</v>
      </c>
      <c r="X27" s="773">
        <f>ROUND(+$O27*'[5]II-F Alloc_Factor'!M$38,2)</f>
        <v>374157.8</v>
      </c>
      <c r="Z27" s="102">
        <v>37251387.810000002</v>
      </c>
      <c r="AA27" s="773">
        <f>ROUND(+$Z27*'[5]II-F Alloc_Factor'!E$38,2)</f>
        <v>16933837.949999999</v>
      </c>
      <c r="AB27" s="773">
        <f>ROUND(+$Z27*'[5]II-F Alloc_Factor'!F$38,2)</f>
        <v>0</v>
      </c>
      <c r="AC27" s="773">
        <f>ROUND(+$Z27*'[5]II-F Alloc_Factor'!G$38,2)</f>
        <v>14548.29</v>
      </c>
      <c r="AD27" s="773">
        <f t="shared" si="5"/>
        <v>16948386.239999998</v>
      </c>
      <c r="AE27" s="773">
        <f>ROUND(+$Z27*'[5]II-F Alloc_Factor'!I$38,2)</f>
        <v>19340141.34</v>
      </c>
      <c r="AF27" s="773">
        <f>ROUND(+$Z27*'[5]II-F Alloc_Factor'!J$38,2)</f>
        <v>0</v>
      </c>
      <c r="AG27" s="773">
        <f t="shared" si="6"/>
        <v>19340141.34</v>
      </c>
      <c r="AH27" s="773">
        <f>ROUND(+$Z27*'[5]II-F Alloc_Factor'!L$38,2)</f>
        <v>579660.93000000005</v>
      </c>
      <c r="AI27" s="773">
        <f>ROUND(+$Z27*'[5]II-F Alloc_Factor'!M$38,2)</f>
        <v>383199.3</v>
      </c>
      <c r="AK27" s="773">
        <v>38295420.32</v>
      </c>
      <c r="AL27" s="773">
        <f>ROUND(+$AK27*'[5]II-F Alloc_Factor'!E$38,2)</f>
        <v>17408437.109999999</v>
      </c>
      <c r="AM27" s="773">
        <f>ROUND(+$AK27*'[5]II-F Alloc_Factor'!F$38,2)</f>
        <v>0</v>
      </c>
      <c r="AN27" s="773">
        <f>ROUND(+$AK27*'[5]II-F Alloc_Factor'!G$38,2)</f>
        <v>14956.03</v>
      </c>
      <c r="AO27" s="773">
        <f t="shared" si="7"/>
        <v>17423393.140000001</v>
      </c>
      <c r="AP27" s="773">
        <f>ROUND(+$AK27*'[5]II-F Alloc_Factor'!I$38,2)</f>
        <v>19882181.18</v>
      </c>
      <c r="AQ27" s="773">
        <f>ROUND(+$AK27*'[5]II-F Alloc_Factor'!J$38,2)</f>
        <v>0</v>
      </c>
      <c r="AR27" s="773">
        <f t="shared" si="8"/>
        <v>19882181.18</v>
      </c>
      <c r="AS27" s="773">
        <f>ROUND(+$AK27*'[5]II-F Alloc_Factor'!L$38,2)</f>
        <v>595906.9</v>
      </c>
      <c r="AT27" s="773">
        <f>ROUND(+$AK27*'[5]II-F Alloc_Factor'!M$38,2)</f>
        <v>393939.1</v>
      </c>
      <c r="AV27" s="773">
        <v>39339452.810000002</v>
      </c>
      <c r="AW27" s="773">
        <f>ROUND(+$AV27*'[5]II-F Alloc_Factor'!E$38,2)</f>
        <v>17883036.260000002</v>
      </c>
      <c r="AX27" s="773">
        <f>ROUND(+$AV27*'[5]II-F Alloc_Factor'!F$38,2)</f>
        <v>0</v>
      </c>
      <c r="AY27" s="773">
        <f>ROUND(+$AV27*'[5]II-F Alloc_Factor'!G$38,2)</f>
        <v>15363.77</v>
      </c>
      <c r="AZ27" s="773">
        <f t="shared" si="9"/>
        <v>17898400.030000001</v>
      </c>
      <c r="BA27" s="773">
        <f>ROUND(+$AV27*'[5]II-F Alloc_Factor'!I$38,2)</f>
        <v>20424221.010000002</v>
      </c>
      <c r="BB27" s="773">
        <f>ROUND(+$AV27*'[5]II-F Alloc_Factor'!J$38,2)</f>
        <v>0</v>
      </c>
      <c r="BC27" s="773">
        <f t="shared" si="10"/>
        <v>20424221.010000002</v>
      </c>
      <c r="BD27" s="773">
        <f>ROUND(+$AV27*'[5]II-F Alloc_Factor'!L$38,2)</f>
        <v>612152.87</v>
      </c>
      <c r="BE27" s="773">
        <f>ROUND(+$AV27*'[5]II-F Alloc_Factor'!M$38,2)</f>
        <v>404678.9</v>
      </c>
      <c r="BG27" s="773">
        <v>40395455.310000002</v>
      </c>
      <c r="BH27" s="773">
        <f>ROUND(+$BG27*'[5]II-F Alloc_Factor'!E$38,2)</f>
        <v>18363076.77</v>
      </c>
      <c r="BI27" s="773">
        <f>ROUND(+$BG27*'[5]II-F Alloc_Factor'!F$38,2)</f>
        <v>0</v>
      </c>
      <c r="BJ27" s="773">
        <f>ROUND(+$BG27*'[5]II-F Alloc_Factor'!G$38,2)</f>
        <v>15776.19</v>
      </c>
      <c r="BK27" s="773">
        <f t="shared" si="11"/>
        <v>18378852.960000001</v>
      </c>
      <c r="BL27" s="773">
        <f>ROUND(+$BG27*'[5]II-F Alloc_Factor'!I$38,2)</f>
        <v>20972475.41</v>
      </c>
      <c r="BM27" s="773">
        <f>ROUND(+$BG27*'[5]II-F Alloc_Factor'!J$38,2)</f>
        <v>0</v>
      </c>
      <c r="BN27" s="773">
        <f t="shared" si="12"/>
        <v>20972475.41</v>
      </c>
      <c r="BO27" s="773">
        <f>ROUND(+$BG27*'[5]II-F Alloc_Factor'!L$38,2)</f>
        <v>628585.1</v>
      </c>
      <c r="BP27" s="773">
        <f>ROUND(+$BG27*'[5]II-F Alloc_Factor'!M$38,2)</f>
        <v>415541.84</v>
      </c>
      <c r="BR27" s="773">
        <v>41441482.810000002</v>
      </c>
      <c r="BS27" s="773">
        <f>ROUND(+$BR27*'[5]II-F Alloc_Factor'!E$38,2)</f>
        <v>18838582.82</v>
      </c>
      <c r="BT27" s="773">
        <f>ROUND(+$BR27*'[5]II-F Alloc_Factor'!F$38,2)</f>
        <v>0</v>
      </c>
      <c r="BU27" s="773">
        <f>ROUND(+$BR27*'[5]II-F Alloc_Factor'!G$38,2)</f>
        <v>16184.71</v>
      </c>
      <c r="BV27" s="773">
        <f t="shared" si="13"/>
        <v>18854767.530000001</v>
      </c>
      <c r="BW27" s="773">
        <f>ROUND(+$BR27*'[5]II-F Alloc_Factor'!I$38,2)</f>
        <v>21515551.010000002</v>
      </c>
      <c r="BX27" s="773">
        <f>ROUND(+$BR27*'[5]II-F Alloc_Factor'!J$38,2)</f>
        <v>0</v>
      </c>
      <c r="BY27" s="773">
        <f t="shared" si="14"/>
        <v>21515551.010000002</v>
      </c>
      <c r="BZ27" s="773">
        <f>ROUND(+$BR27*'[5]II-F Alloc_Factor'!L$38,2)</f>
        <v>644862.11</v>
      </c>
      <c r="CA27" s="773">
        <f>ROUND(+$BR27*'[5]II-F Alloc_Factor'!M$38,2)</f>
        <v>426302.16</v>
      </c>
      <c r="CC27" s="773">
        <v>42487510.310000002</v>
      </c>
      <c r="CD27" s="773">
        <f>ROUND(+$CC27*'[5]II-F Alloc_Factor'!E$38,2)</f>
        <v>19314088.870000001</v>
      </c>
      <c r="CE27" s="773">
        <f>ROUND(+$CC27*'[5]II-F Alloc_Factor'!F$38,2)</f>
        <v>0</v>
      </c>
      <c r="CF27" s="773">
        <f>ROUND(+$CC27*'[5]II-F Alloc_Factor'!G$38,2)</f>
        <v>16593.23</v>
      </c>
      <c r="CG27" s="773">
        <f t="shared" si="15"/>
        <v>19330682.100000001</v>
      </c>
      <c r="CH27" s="773">
        <f>ROUND(+$CC27*'[5]II-F Alloc_Factor'!I$38,2)</f>
        <v>22058626.609999999</v>
      </c>
      <c r="CI27" s="773">
        <f>ROUND(+$CC27*'[5]II-F Alloc_Factor'!J$38,2)</f>
        <v>0</v>
      </c>
      <c r="CJ27" s="773">
        <f t="shared" si="16"/>
        <v>22058626.609999999</v>
      </c>
      <c r="CK27" s="773">
        <f>ROUND(+$CC27*'[5]II-F Alloc_Factor'!L$38,2)</f>
        <v>661139.12</v>
      </c>
      <c r="CL27" s="773">
        <f>ROUND(+$CC27*'[5]II-F Alloc_Factor'!M$38,2)</f>
        <v>437062.48</v>
      </c>
      <c r="CN27" s="773">
        <v>42088107.810000002</v>
      </c>
      <c r="CO27" s="773">
        <f>ROUND(+$CN27*'[5]II-F Alloc_Factor'!E$38,2)</f>
        <v>19132527.379999999</v>
      </c>
      <c r="CP27" s="773">
        <f>ROUND(+$CN27*'[5]II-F Alloc_Factor'!F$38,2)</f>
        <v>0</v>
      </c>
      <c r="CQ27" s="773">
        <f>ROUND(+$CN27*'[5]II-F Alloc_Factor'!G$38,2)</f>
        <v>16437.240000000002</v>
      </c>
      <c r="CR27" s="773">
        <f t="shared" si="17"/>
        <v>19148964.619999997</v>
      </c>
      <c r="CS27" s="773">
        <f>ROUND(+$CN27*'[5]II-F Alloc_Factor'!I$38,2)</f>
        <v>21851265.190000001</v>
      </c>
      <c r="CT27" s="773">
        <f>ROUND(+$CN27*'[5]II-F Alloc_Factor'!J$38,2)</f>
        <v>0</v>
      </c>
      <c r="CU27" s="773">
        <f t="shared" si="18"/>
        <v>21851265.190000001</v>
      </c>
      <c r="CV27" s="773">
        <f>ROUND(+$CN27*'[5]II-F Alloc_Factor'!L$38,2)</f>
        <v>654924.1</v>
      </c>
      <c r="CW27" s="773">
        <f>ROUND(+$CN27*'[5]II-F Alloc_Factor'!M$38,2)</f>
        <v>432953.89</v>
      </c>
      <c r="CY27" s="773">
        <v>43020805.300000004</v>
      </c>
      <c r="CZ27" s="773">
        <f>ROUND(+$CY27*'[5]II-F Alloc_Factor'!E$38,2)</f>
        <v>19556515.559999999</v>
      </c>
      <c r="DA27" s="773">
        <f>ROUND(+$CY27*'[5]II-F Alloc_Factor'!F$38,2)</f>
        <v>0</v>
      </c>
      <c r="DB27" s="773">
        <f>ROUND(+$CY27*'[5]II-F Alloc_Factor'!G$38,2)</f>
        <v>16801.5</v>
      </c>
      <c r="DC27" s="773">
        <f t="shared" si="19"/>
        <v>19573317.059999999</v>
      </c>
      <c r="DD27" s="773">
        <f>ROUND(+$CY27*'[5]II-F Alloc_Factor'!I$38,2)</f>
        <v>22335502.210000001</v>
      </c>
      <c r="DE27" s="773">
        <f>ROUND(+$CY27*'[5]II-F Alloc_Factor'!J$38,2)</f>
        <v>0</v>
      </c>
      <c r="DF27" s="773">
        <f t="shared" si="20"/>
        <v>22335502.210000001</v>
      </c>
      <c r="DG27" s="773">
        <f>ROUND(+$CY27*'[5]II-F Alloc_Factor'!L$38,2)</f>
        <v>669437.61</v>
      </c>
      <c r="DH27" s="773">
        <f>ROUND(+$CY27*'[5]II-F Alloc_Factor'!M$38,2)</f>
        <v>442548.41</v>
      </c>
      <c r="DJ27" s="773">
        <v>43953502.800000004</v>
      </c>
      <c r="DK27" s="773">
        <f>ROUND(+$DJ27*'[5]II-F Alloc_Factor'!E$38,2)</f>
        <v>19980503.75</v>
      </c>
      <c r="DL27" s="773">
        <f>ROUND(+$DJ27*'[5]II-F Alloc_Factor'!F$38,2)</f>
        <v>0</v>
      </c>
      <c r="DM27" s="773">
        <f>ROUND(+$DJ27*'[5]II-F Alloc_Factor'!G$38,2)</f>
        <v>17165.759999999998</v>
      </c>
      <c r="DN27" s="773">
        <f t="shared" si="21"/>
        <v>19997669.510000002</v>
      </c>
      <c r="DO27" s="773">
        <f>ROUND(+$DJ27*'[5]II-F Alloc_Factor'!I$38,2)</f>
        <v>22819739.239999998</v>
      </c>
      <c r="DP27" s="773">
        <f>ROUND(+$DJ27*'[5]II-F Alloc_Factor'!J$38,2)</f>
        <v>0</v>
      </c>
      <c r="DQ27" s="773">
        <f t="shared" si="22"/>
        <v>22819739.239999998</v>
      </c>
      <c r="DR27" s="773">
        <f>ROUND(+$DJ27*'[5]II-F Alloc_Factor'!L$38,2)</f>
        <v>683951.12</v>
      </c>
      <c r="DS27" s="773">
        <f>ROUND(+$DJ27*'[5]II-F Alloc_Factor'!M$38,2)</f>
        <v>452142.92</v>
      </c>
      <c r="DU27" s="773">
        <v>46986410.310000002</v>
      </c>
      <c r="DV27" s="773">
        <f>ROUND(+$DU27*'[5]II-F Alloc_Factor'!E$38,2)</f>
        <v>21359211.16</v>
      </c>
      <c r="DW27" s="773">
        <f>ROUND(+$DU27*'[5]II-F Alloc_Factor'!F$38,2)</f>
        <v>0</v>
      </c>
      <c r="DX27" s="773">
        <f>ROUND(+$DU27*'[5]II-F Alloc_Factor'!G$38,2)</f>
        <v>18350.25</v>
      </c>
      <c r="DY27" s="773">
        <f t="shared" si="23"/>
        <v>21377561.41</v>
      </c>
      <c r="DZ27" s="773">
        <f>ROUND(+$DU27*'[5]II-F Alloc_Factor'!I$38,2)</f>
        <v>24394361.379999999</v>
      </c>
      <c r="EA27" s="773">
        <f>ROUND(+$DU27*'[5]II-F Alloc_Factor'!J$38,2)</f>
        <v>0</v>
      </c>
      <c r="EB27" s="773">
        <f t="shared" si="24"/>
        <v>24394361.379999999</v>
      </c>
      <c r="EC27" s="773">
        <f>ROUND(+$DU27*'[5]II-F Alloc_Factor'!L$38,2)</f>
        <v>731145.55</v>
      </c>
      <c r="ED27" s="773">
        <f>ROUND(+$DU27*'[5]II-F Alloc_Factor'!M$38,2)</f>
        <v>483341.98</v>
      </c>
      <c r="EE27" s="772">
        <f>+DU27+'II-E-3.5'!K34</f>
        <v>0</v>
      </c>
      <c r="EF27" s="772">
        <f t="shared" si="25"/>
        <v>9.9999904632568359E-3</v>
      </c>
    </row>
    <row r="28" spans="1:136" s="406" customFormat="1">
      <c r="A28" s="409">
        <f t="shared" si="0"/>
        <v>16</v>
      </c>
      <c r="B28" s="366" t="s">
        <v>27</v>
      </c>
      <c r="C28" s="769" t="s">
        <v>684</v>
      </c>
      <c r="D28" s="773">
        <v>-26253989.59</v>
      </c>
      <c r="E28" s="773">
        <f>ROUND(+$D28*'[5]II-F Alloc_Factor'!E$38,2)</f>
        <v>-11934610.529999999</v>
      </c>
      <c r="F28" s="773">
        <f>ROUND(+$D28*'[5]II-F Alloc_Factor'!F$38,2)</f>
        <v>0</v>
      </c>
      <c r="G28" s="773">
        <f>ROUND(+$D28*'[5]II-F Alloc_Factor'!G$38,2)</f>
        <v>-10253.33</v>
      </c>
      <c r="H28" s="773">
        <f t="shared" si="1"/>
        <v>-11944863.859999999</v>
      </c>
      <c r="I28" s="773">
        <f>ROUND(+$D28*'[5]II-F Alloc_Factor'!I$38,2)</f>
        <v>-13630522.220000001</v>
      </c>
      <c r="J28" s="773">
        <f>ROUND(+$D28*'[5]II-F Alloc_Factor'!J$38,2)</f>
        <v>0</v>
      </c>
      <c r="K28" s="773">
        <f t="shared" si="2"/>
        <v>-13630522.220000001</v>
      </c>
      <c r="L28" s="773">
        <f>ROUND(+$D28*'[5]II-F Alloc_Factor'!L$38,2)</f>
        <v>-408532.75</v>
      </c>
      <c r="M28" s="773">
        <f>ROUND(+$D28*'[5]II-F Alloc_Factor'!M$38,2)</f>
        <v>-270070.75</v>
      </c>
      <c r="N28" s="774"/>
      <c r="O28" s="102">
        <v>-26847066.390000001</v>
      </c>
      <c r="P28" s="773">
        <f>ROUND(+$O28*'[5]II-F Alloc_Factor'!E$38,2)</f>
        <v>-12204213.01</v>
      </c>
      <c r="Q28" s="773">
        <f>ROUND(+$O28*'[5]II-F Alloc_Factor'!F$38,2)</f>
        <v>0</v>
      </c>
      <c r="R28" s="773">
        <f>ROUND(+$O28*'[5]II-F Alloc_Factor'!G$38,2)</f>
        <v>-10484.950000000001</v>
      </c>
      <c r="S28" s="773">
        <f t="shared" si="3"/>
        <v>-12214697.959999999</v>
      </c>
      <c r="T28" s="773">
        <f>ROUND(+$O28*'[5]II-F Alloc_Factor'!I$38,2)</f>
        <v>-13938435.289999999</v>
      </c>
      <c r="U28" s="773">
        <f>ROUND(+$O28*'[5]II-F Alloc_Factor'!J$38,2)</f>
        <v>0</v>
      </c>
      <c r="V28" s="773">
        <f t="shared" si="4"/>
        <v>-13938435.289999999</v>
      </c>
      <c r="W28" s="773">
        <f>ROUND(+$O28*'[5]II-F Alloc_Factor'!L$38,2)</f>
        <v>-417761.5</v>
      </c>
      <c r="X28" s="773">
        <f>ROUND(+$O28*'[5]II-F Alloc_Factor'!M$38,2)</f>
        <v>-276171.64</v>
      </c>
      <c r="Z28" s="102">
        <v>-27516880.68</v>
      </c>
      <c r="AA28" s="773">
        <f>ROUND(+$Z28*'[5]II-F Alloc_Factor'!E$38,2)</f>
        <v>-12508699.02</v>
      </c>
      <c r="AB28" s="773">
        <f>ROUND(+$Z28*'[5]II-F Alloc_Factor'!F$38,2)</f>
        <v>0</v>
      </c>
      <c r="AC28" s="773">
        <f>ROUND(+$Z28*'[5]II-F Alloc_Factor'!G$38,2)</f>
        <v>-10746.54</v>
      </c>
      <c r="AD28" s="773">
        <f t="shared" si="5"/>
        <v>-12519445.559999999</v>
      </c>
      <c r="AE28" s="773">
        <f>ROUND(+$Z28*'[5]II-F Alloc_Factor'!I$38,2)</f>
        <v>-14286188.859999999</v>
      </c>
      <c r="AF28" s="773">
        <f>ROUND(+$Z28*'[5]II-F Alloc_Factor'!J$38,2)</f>
        <v>0</v>
      </c>
      <c r="AG28" s="773">
        <f t="shared" si="6"/>
        <v>-14286188.859999999</v>
      </c>
      <c r="AH28" s="773">
        <f>ROUND(+$Z28*'[5]II-F Alloc_Factor'!L$38,2)</f>
        <v>-428184.33</v>
      </c>
      <c r="AI28" s="773">
        <f>ROUND(+$Z28*'[5]II-F Alloc_Factor'!M$38,2)</f>
        <v>-283061.92</v>
      </c>
      <c r="AK28" s="773">
        <v>-28229907.84</v>
      </c>
      <c r="AL28" s="773">
        <f>ROUND(+$AK28*'[5]II-F Alloc_Factor'!E$38,2)</f>
        <v>-12832828.869999999</v>
      </c>
      <c r="AM28" s="773">
        <f>ROUND(+$AK28*'[5]II-F Alloc_Factor'!F$38,2)</f>
        <v>0</v>
      </c>
      <c r="AN28" s="773">
        <f>ROUND(+$AK28*'[5]II-F Alloc_Factor'!G$38,2)</f>
        <v>-11025.01</v>
      </c>
      <c r="AO28" s="773">
        <f t="shared" si="7"/>
        <v>-12843853.879999999</v>
      </c>
      <c r="AP28" s="773">
        <f>ROUND(+$AK28*'[5]II-F Alloc_Factor'!I$38,2)</f>
        <v>-14656377.640000001</v>
      </c>
      <c r="AQ28" s="773">
        <f>ROUND(+$AK28*'[5]II-F Alloc_Factor'!J$38,2)</f>
        <v>0</v>
      </c>
      <c r="AR28" s="773">
        <f t="shared" si="8"/>
        <v>-14656377.640000001</v>
      </c>
      <c r="AS28" s="773">
        <f>ROUND(+$AK28*'[5]II-F Alloc_Factor'!L$38,2)</f>
        <v>-439279.6</v>
      </c>
      <c r="AT28" s="773">
        <f>ROUND(+$AK28*'[5]II-F Alloc_Factor'!M$38,2)</f>
        <v>-290396.71999999997</v>
      </c>
      <c r="AV28" s="773">
        <v>-29082533.460000001</v>
      </c>
      <c r="AW28" s="773">
        <f>ROUND(+$AV28*'[5]II-F Alloc_Factor'!E$38,2)</f>
        <v>-13220417.76</v>
      </c>
      <c r="AX28" s="773">
        <f>ROUND(+$AV28*'[5]II-F Alloc_Factor'!F$38,2)</f>
        <v>0</v>
      </c>
      <c r="AY28" s="773">
        <f>ROUND(+$AV28*'[5]II-F Alloc_Factor'!G$38,2)</f>
        <v>-11358</v>
      </c>
      <c r="AZ28" s="773">
        <f t="shared" si="9"/>
        <v>-13231775.76</v>
      </c>
      <c r="BA28" s="773">
        <f>ROUND(+$AV28*'[5]II-F Alloc_Factor'!I$38,2)</f>
        <v>-15099043.029999999</v>
      </c>
      <c r="BB28" s="773">
        <f>ROUND(+$AV28*'[5]II-F Alloc_Factor'!J$38,2)</f>
        <v>0</v>
      </c>
      <c r="BC28" s="773">
        <f t="shared" si="10"/>
        <v>-15099043.029999999</v>
      </c>
      <c r="BD28" s="773">
        <f>ROUND(+$AV28*'[5]II-F Alloc_Factor'!L$38,2)</f>
        <v>-452547.12</v>
      </c>
      <c r="BE28" s="773">
        <f>ROUND(+$AV28*'[5]II-F Alloc_Factor'!M$38,2)</f>
        <v>-299167.55</v>
      </c>
      <c r="BG28" s="773">
        <v>-29759492.320000004</v>
      </c>
      <c r="BH28" s="773">
        <f>ROUND(+$BG28*'[5]II-F Alloc_Factor'!E$38,2)</f>
        <v>-13528151.57</v>
      </c>
      <c r="BI28" s="773">
        <f>ROUND(+$BG28*'[5]II-F Alloc_Factor'!F$38,2)</f>
        <v>0</v>
      </c>
      <c r="BJ28" s="773">
        <f>ROUND(+$BG28*'[5]II-F Alloc_Factor'!G$38,2)</f>
        <v>-11622.38</v>
      </c>
      <c r="BK28" s="773">
        <f t="shared" si="11"/>
        <v>-13539773.950000001</v>
      </c>
      <c r="BL28" s="773">
        <f>ROUND(+$BG28*'[5]II-F Alloc_Factor'!I$38,2)</f>
        <v>-15450505.91</v>
      </c>
      <c r="BM28" s="773">
        <f>ROUND(+$BG28*'[5]II-F Alloc_Factor'!J$38,2)</f>
        <v>0</v>
      </c>
      <c r="BN28" s="773">
        <f t="shared" si="12"/>
        <v>-15450505.91</v>
      </c>
      <c r="BO28" s="773">
        <f>ROUND(+$BG28*'[5]II-F Alloc_Factor'!L$38,2)</f>
        <v>-463081.14</v>
      </c>
      <c r="BP28" s="773">
        <f>ROUND(+$BG28*'[5]II-F Alloc_Factor'!M$38,2)</f>
        <v>-306131.32</v>
      </c>
      <c r="BR28" s="773">
        <v>-30427565.010000002</v>
      </c>
      <c r="BS28" s="773">
        <f>ROUND(+$BR28*'[5]II-F Alloc_Factor'!E$38,2)</f>
        <v>-13831845.880000001</v>
      </c>
      <c r="BT28" s="773">
        <f>ROUND(+$BR28*'[5]II-F Alloc_Factor'!F$38,2)</f>
        <v>0</v>
      </c>
      <c r="BU28" s="773">
        <f>ROUND(+$BR28*'[5]II-F Alloc_Factor'!G$38,2)</f>
        <v>-11883.29</v>
      </c>
      <c r="BV28" s="773">
        <f t="shared" si="13"/>
        <v>-13843729.17</v>
      </c>
      <c r="BW28" s="773">
        <f>ROUND(+$BR28*'[5]II-F Alloc_Factor'!I$38,2)</f>
        <v>-15797355.279999999</v>
      </c>
      <c r="BX28" s="773">
        <f>ROUND(+$BR28*'[5]II-F Alloc_Factor'!J$38,2)</f>
        <v>0</v>
      </c>
      <c r="BY28" s="773">
        <f t="shared" si="14"/>
        <v>-15797355.279999999</v>
      </c>
      <c r="BZ28" s="773">
        <f>ROUND(+$BR28*'[5]II-F Alloc_Factor'!L$38,2)</f>
        <v>-473476.87</v>
      </c>
      <c r="CA28" s="773">
        <f>ROUND(+$BR28*'[5]II-F Alloc_Factor'!M$38,2)</f>
        <v>-313003.68</v>
      </c>
      <c r="CC28" s="773">
        <v>-31137335.25</v>
      </c>
      <c r="CD28" s="773">
        <f>ROUND(+$CC28*'[5]II-F Alloc_Factor'!E$38,2)</f>
        <v>-14154495.18</v>
      </c>
      <c r="CE28" s="773">
        <f>ROUND(+$CC28*'[5]II-F Alloc_Factor'!F$38,2)</f>
        <v>0</v>
      </c>
      <c r="CF28" s="773">
        <f>ROUND(+$CC28*'[5]II-F Alloc_Factor'!G$38,2)</f>
        <v>-12160.49</v>
      </c>
      <c r="CG28" s="773">
        <f t="shared" si="15"/>
        <v>-14166655.67</v>
      </c>
      <c r="CH28" s="773">
        <f>ROUND(+$CC28*'[5]II-F Alloc_Factor'!I$38,2)</f>
        <v>-16165853.140000001</v>
      </c>
      <c r="CI28" s="773">
        <f>ROUND(+$CC28*'[5]II-F Alloc_Factor'!J$38,2)</f>
        <v>0</v>
      </c>
      <c r="CJ28" s="773">
        <f t="shared" si="16"/>
        <v>-16165853.140000001</v>
      </c>
      <c r="CK28" s="773">
        <f>ROUND(+$CC28*'[5]II-F Alloc_Factor'!L$38,2)</f>
        <v>-484521.46</v>
      </c>
      <c r="CL28" s="773">
        <f>ROUND(+$CC28*'[5]II-F Alloc_Factor'!M$38,2)</f>
        <v>-320304.98</v>
      </c>
      <c r="CN28" s="773">
        <v>-31952633.170000002</v>
      </c>
      <c r="CO28" s="773">
        <f>ROUND(+$CN28*'[5]II-F Alloc_Factor'!E$38,2)</f>
        <v>-14525115.550000001</v>
      </c>
      <c r="CP28" s="773">
        <f>ROUND(+$CN28*'[5]II-F Alloc_Factor'!F$38,2)</f>
        <v>0</v>
      </c>
      <c r="CQ28" s="773">
        <f>ROUND(+$CN28*'[5]II-F Alloc_Factor'!G$38,2)</f>
        <v>-12478.9</v>
      </c>
      <c r="CR28" s="773">
        <f t="shared" si="17"/>
        <v>-14537594.450000001</v>
      </c>
      <c r="CS28" s="773">
        <f>ROUND(+$CN28*'[5]II-F Alloc_Factor'!I$38,2)</f>
        <v>-16589138.76</v>
      </c>
      <c r="CT28" s="773">
        <f>ROUND(+$CN28*'[5]II-F Alloc_Factor'!J$38,2)</f>
        <v>0</v>
      </c>
      <c r="CU28" s="773">
        <f t="shared" si="18"/>
        <v>-16589138.76</v>
      </c>
      <c r="CV28" s="773">
        <f>ROUND(+$CN28*'[5]II-F Alloc_Factor'!L$38,2)</f>
        <v>-497208.14</v>
      </c>
      <c r="CW28" s="773">
        <f>ROUND(+$CN28*'[5]II-F Alloc_Factor'!M$38,2)</f>
        <v>-328691.82</v>
      </c>
      <c r="CY28" s="773">
        <v>-32870004.200000003</v>
      </c>
      <c r="CZ28" s="773">
        <f>ROUND(+$CY28*'[5]II-F Alloc_Factor'!E$38,2)</f>
        <v>-14942136.58</v>
      </c>
      <c r="DA28" s="773">
        <f>ROUND(+$CY28*'[5]II-F Alloc_Factor'!F$38,2)</f>
        <v>0</v>
      </c>
      <c r="DB28" s="773">
        <f>ROUND(+$CY28*'[5]II-F Alloc_Factor'!G$38,2)</f>
        <v>-12837.17</v>
      </c>
      <c r="DC28" s="773">
        <f t="shared" si="19"/>
        <v>-14954973.75</v>
      </c>
      <c r="DD28" s="773">
        <f>ROUND(+$CY28*'[5]II-F Alloc_Factor'!I$38,2)</f>
        <v>-17065418.609999999</v>
      </c>
      <c r="DE28" s="773">
        <f>ROUND(+$CY28*'[5]II-F Alloc_Factor'!J$38,2)</f>
        <v>0</v>
      </c>
      <c r="DF28" s="773">
        <f t="shared" si="20"/>
        <v>-17065418.609999999</v>
      </c>
      <c r="DG28" s="773">
        <f>ROUND(+$CY28*'[5]II-F Alloc_Factor'!L$38,2)</f>
        <v>-511483.15</v>
      </c>
      <c r="DH28" s="773">
        <f>ROUND(+$CY28*'[5]II-F Alloc_Factor'!M$38,2)</f>
        <v>-338128.68</v>
      </c>
      <c r="DJ28" s="773">
        <v>-33871284.170000002</v>
      </c>
      <c r="DK28" s="773">
        <f>ROUND(+$DJ28*'[5]II-F Alloc_Factor'!E$38,2)</f>
        <v>-15397301.18</v>
      </c>
      <c r="DL28" s="773">
        <f>ROUND(+$DJ28*'[5]II-F Alloc_Factor'!F$38,2)</f>
        <v>0</v>
      </c>
      <c r="DM28" s="773">
        <f>ROUND(+$DJ28*'[5]II-F Alloc_Factor'!G$38,2)</f>
        <v>-13228.22</v>
      </c>
      <c r="DN28" s="773">
        <f t="shared" si="21"/>
        <v>-15410529.4</v>
      </c>
      <c r="DO28" s="773">
        <f>ROUND(+$DJ28*'[5]II-F Alloc_Factor'!I$38,2)</f>
        <v>-17585262.23</v>
      </c>
      <c r="DP28" s="773">
        <f>ROUND(+$DJ28*'[5]II-F Alloc_Factor'!J$38,2)</f>
        <v>0</v>
      </c>
      <c r="DQ28" s="773">
        <f t="shared" si="22"/>
        <v>-17585262.23</v>
      </c>
      <c r="DR28" s="773">
        <f>ROUND(+$DJ28*'[5]II-F Alloc_Factor'!L$38,2)</f>
        <v>-527063.86</v>
      </c>
      <c r="DS28" s="773">
        <f>ROUND(+$DJ28*'[5]II-F Alloc_Factor'!M$38,2)</f>
        <v>-348428.69</v>
      </c>
      <c r="DU28" s="773">
        <v>-34846959.050000004</v>
      </c>
      <c r="DV28" s="773">
        <f>ROUND(+$DU28*'[5]II-F Alloc_Factor'!E$38,2)</f>
        <v>-15840826.140000001</v>
      </c>
      <c r="DW28" s="773">
        <f>ROUND(+$DU28*'[5]II-F Alloc_Factor'!F$38,2)</f>
        <v>0</v>
      </c>
      <c r="DX28" s="773">
        <f>ROUND(+$DU28*'[5]II-F Alloc_Factor'!G$38,2)</f>
        <v>-13609.26</v>
      </c>
      <c r="DY28" s="773">
        <f t="shared" si="23"/>
        <v>-15854435.4</v>
      </c>
      <c r="DZ28" s="773">
        <f>ROUND(+$DU28*'[5]II-F Alloc_Factor'!I$38,2)</f>
        <v>-18091812.219999999</v>
      </c>
      <c r="EA28" s="773">
        <f>ROUND(+$DU28*'[5]II-F Alloc_Factor'!J$38,2)</f>
        <v>0</v>
      </c>
      <c r="EB28" s="773">
        <f t="shared" si="24"/>
        <v>-18091812.219999999</v>
      </c>
      <c r="EC28" s="773">
        <f>ROUND(+$DU28*'[5]II-F Alloc_Factor'!L$38,2)</f>
        <v>-542246.13</v>
      </c>
      <c r="ED28" s="773">
        <f>ROUND(+$DU28*'[5]II-F Alloc_Factor'!M$38,2)</f>
        <v>-358465.31</v>
      </c>
      <c r="EE28" s="772">
        <f>+DU28+'II-E-3.5'!K35</f>
        <v>0</v>
      </c>
      <c r="EF28" s="772">
        <f t="shared" si="25"/>
        <v>-9.9999979138374329E-3</v>
      </c>
    </row>
    <row r="29" spans="1:136" s="406" customFormat="1">
      <c r="A29" s="409">
        <f t="shared" si="0"/>
        <v>17</v>
      </c>
      <c r="B29" s="366" t="s">
        <v>26</v>
      </c>
      <c r="C29" s="769" t="s">
        <v>684</v>
      </c>
      <c r="D29" s="773">
        <v>-50773211.380000003</v>
      </c>
      <c r="E29" s="773">
        <f>ROUND(+$D29*'[5]II-F Alloc_Factor'!E$38,2)</f>
        <v>-23080625.559999999</v>
      </c>
      <c r="F29" s="773">
        <f>ROUND(+$D29*'[5]II-F Alloc_Factor'!F$38,2)</f>
        <v>0</v>
      </c>
      <c r="G29" s="773">
        <f>ROUND(+$D29*'[5]II-F Alloc_Factor'!G$38,2)</f>
        <v>-19829.16</v>
      </c>
      <c r="H29" s="773">
        <f t="shared" si="1"/>
        <v>-23100454.719999999</v>
      </c>
      <c r="I29" s="773">
        <f>ROUND(+$D29*'[5]II-F Alloc_Factor'!I$38,2)</f>
        <v>-26360389.289999999</v>
      </c>
      <c r="J29" s="773">
        <f>ROUND(+$D29*'[5]II-F Alloc_Factor'!J$38,2)</f>
        <v>0</v>
      </c>
      <c r="K29" s="773">
        <f t="shared" si="2"/>
        <v>-26360389.289999999</v>
      </c>
      <c r="L29" s="773">
        <f>ROUND(+$D29*'[5]II-F Alloc_Factor'!L$38,2)</f>
        <v>-790071.15</v>
      </c>
      <c r="M29" s="773">
        <f>ROUND(+$D29*'[5]II-F Alloc_Factor'!M$38,2)</f>
        <v>-522296.22</v>
      </c>
      <c r="N29" s="774"/>
      <c r="O29" s="102">
        <v>-50948211.380000003</v>
      </c>
      <c r="P29" s="773">
        <f>ROUND(+$O29*'[5]II-F Alloc_Factor'!E$38,2)</f>
        <v>-23160177.539999999</v>
      </c>
      <c r="Q29" s="773">
        <f>ROUND(+$O29*'[5]II-F Alloc_Factor'!F$38,2)</f>
        <v>0</v>
      </c>
      <c r="R29" s="773">
        <f>ROUND(+$O29*'[5]II-F Alloc_Factor'!G$38,2)</f>
        <v>-19897.5</v>
      </c>
      <c r="S29" s="773">
        <f t="shared" si="3"/>
        <v>-23180075.039999999</v>
      </c>
      <c r="T29" s="773">
        <f>ROUND(+$O29*'[5]II-F Alloc_Factor'!I$38,2)</f>
        <v>-26451245.629999999</v>
      </c>
      <c r="U29" s="773">
        <f>ROUND(+$O29*'[5]II-F Alloc_Factor'!J$38,2)</f>
        <v>0</v>
      </c>
      <c r="V29" s="773">
        <f t="shared" si="4"/>
        <v>-26451245.629999999</v>
      </c>
      <c r="W29" s="773">
        <f>ROUND(+$O29*'[5]II-F Alloc_Factor'!L$38,2)</f>
        <v>-792794.29</v>
      </c>
      <c r="X29" s="773">
        <f>ROUND(+$O29*'[5]II-F Alloc_Factor'!M$38,2)</f>
        <v>-524096.42</v>
      </c>
      <c r="Z29" s="102">
        <v>-51123211.380000003</v>
      </c>
      <c r="AA29" s="773">
        <f>ROUND(+$Z29*'[5]II-F Alloc_Factor'!E$38,2)</f>
        <v>-23239729.52</v>
      </c>
      <c r="AB29" s="773">
        <f>ROUND(+$Z29*'[5]II-F Alloc_Factor'!F$38,2)</f>
        <v>0</v>
      </c>
      <c r="AC29" s="773">
        <f>ROUND(+$Z29*'[5]II-F Alloc_Factor'!G$38,2)</f>
        <v>-19965.849999999999</v>
      </c>
      <c r="AD29" s="773">
        <f t="shared" si="5"/>
        <v>-23259695.370000001</v>
      </c>
      <c r="AE29" s="773">
        <f>ROUND(+$Z29*'[5]II-F Alloc_Factor'!I$38,2)</f>
        <v>-26542101.969999999</v>
      </c>
      <c r="AF29" s="773">
        <f>ROUND(+$Z29*'[5]II-F Alloc_Factor'!J$38,2)</f>
        <v>0</v>
      </c>
      <c r="AG29" s="773">
        <f t="shared" si="6"/>
        <v>-26542101.969999999</v>
      </c>
      <c r="AH29" s="773">
        <f>ROUND(+$Z29*'[5]II-F Alloc_Factor'!L$38,2)</f>
        <v>-795517.43</v>
      </c>
      <c r="AI29" s="773">
        <f>ROUND(+$Z29*'[5]II-F Alloc_Factor'!M$38,2)</f>
        <v>-525896.61</v>
      </c>
      <c r="AK29" s="773">
        <v>-51298211.390000001</v>
      </c>
      <c r="AL29" s="773">
        <f>ROUND(+$AK29*'[5]II-F Alloc_Factor'!E$38,2)</f>
        <v>-23319281.510000002</v>
      </c>
      <c r="AM29" s="773">
        <f>ROUND(+$AK29*'[5]II-F Alloc_Factor'!F$38,2)</f>
        <v>0</v>
      </c>
      <c r="AN29" s="773">
        <f>ROUND(+$AK29*'[5]II-F Alloc_Factor'!G$38,2)</f>
        <v>-20034.189999999999</v>
      </c>
      <c r="AO29" s="773">
        <f t="shared" si="7"/>
        <v>-23339315.700000003</v>
      </c>
      <c r="AP29" s="773">
        <f>ROUND(+$AK29*'[5]II-F Alloc_Factor'!I$38,2)</f>
        <v>-26632958.309999999</v>
      </c>
      <c r="AQ29" s="773">
        <f>ROUND(+$AK29*'[5]II-F Alloc_Factor'!J$38,2)</f>
        <v>0</v>
      </c>
      <c r="AR29" s="773">
        <f t="shared" si="8"/>
        <v>-26632958.309999999</v>
      </c>
      <c r="AS29" s="773">
        <f>ROUND(+$AK29*'[5]II-F Alloc_Factor'!L$38,2)</f>
        <v>-798240.57</v>
      </c>
      <c r="AT29" s="773">
        <f>ROUND(+$AK29*'[5]II-F Alloc_Factor'!M$38,2)</f>
        <v>-527696.81000000006</v>
      </c>
      <c r="AV29" s="773">
        <v>-51473211.390000001</v>
      </c>
      <c r="AW29" s="773">
        <f>ROUND(+$AV29*'[5]II-F Alloc_Factor'!E$38,2)</f>
        <v>-23398833.489999998</v>
      </c>
      <c r="AX29" s="773">
        <f>ROUND(+$AV29*'[5]II-F Alloc_Factor'!F$38,2)</f>
        <v>0</v>
      </c>
      <c r="AY29" s="773">
        <f>ROUND(+$AV29*'[5]II-F Alloc_Factor'!G$38,2)</f>
        <v>-20102.54</v>
      </c>
      <c r="AZ29" s="773">
        <f t="shared" si="9"/>
        <v>-23418936.029999997</v>
      </c>
      <c r="BA29" s="773">
        <f>ROUND(+$AV29*'[5]II-F Alloc_Factor'!I$38,2)</f>
        <v>-26723814.649999999</v>
      </c>
      <c r="BB29" s="773">
        <f>ROUND(+$AV29*'[5]II-F Alloc_Factor'!J$38,2)</f>
        <v>0</v>
      </c>
      <c r="BC29" s="773">
        <f t="shared" si="10"/>
        <v>-26723814.649999999</v>
      </c>
      <c r="BD29" s="773">
        <f>ROUND(+$AV29*'[5]II-F Alloc_Factor'!L$38,2)</f>
        <v>-800963.71</v>
      </c>
      <c r="BE29" s="773">
        <f>ROUND(+$AV29*'[5]II-F Alloc_Factor'!M$38,2)</f>
        <v>-529497.01</v>
      </c>
      <c r="BG29" s="773">
        <v>-51648211.390000001</v>
      </c>
      <c r="BH29" s="773">
        <f>ROUND(+$BG29*'[5]II-F Alloc_Factor'!E$38,2)</f>
        <v>-23478385.469999999</v>
      </c>
      <c r="BI29" s="773">
        <f>ROUND(+$BG29*'[5]II-F Alloc_Factor'!F$38,2)</f>
        <v>0</v>
      </c>
      <c r="BJ29" s="773">
        <f>ROUND(+$BG29*'[5]II-F Alloc_Factor'!G$38,2)</f>
        <v>-20170.88</v>
      </c>
      <c r="BK29" s="773">
        <f t="shared" si="11"/>
        <v>-23498556.349999998</v>
      </c>
      <c r="BL29" s="773">
        <f>ROUND(+$BG29*'[5]II-F Alloc_Factor'!I$38,2)</f>
        <v>-26814670.989999998</v>
      </c>
      <c r="BM29" s="773">
        <f>ROUND(+$BG29*'[5]II-F Alloc_Factor'!J$38,2)</f>
        <v>0</v>
      </c>
      <c r="BN29" s="773">
        <f t="shared" si="12"/>
        <v>-26814670.989999998</v>
      </c>
      <c r="BO29" s="773">
        <f>ROUND(+$BG29*'[5]II-F Alloc_Factor'!L$38,2)</f>
        <v>-803686.84</v>
      </c>
      <c r="BP29" s="773">
        <f>ROUND(+$BG29*'[5]II-F Alloc_Factor'!M$38,2)</f>
        <v>-531297.21</v>
      </c>
      <c r="BR29" s="773">
        <v>-51823211.390000001</v>
      </c>
      <c r="BS29" s="773">
        <f>ROUND(+$BR29*'[5]II-F Alloc_Factor'!E$38,2)</f>
        <v>-23557937.449999999</v>
      </c>
      <c r="BT29" s="773">
        <f>ROUND(+$BR29*'[5]II-F Alloc_Factor'!F$38,2)</f>
        <v>0</v>
      </c>
      <c r="BU29" s="773">
        <f>ROUND(+$BR29*'[5]II-F Alloc_Factor'!G$38,2)</f>
        <v>-20239.23</v>
      </c>
      <c r="BV29" s="773">
        <f t="shared" si="13"/>
        <v>-23578176.68</v>
      </c>
      <c r="BW29" s="773">
        <f>ROUND(+$BR29*'[5]II-F Alloc_Factor'!I$38,2)</f>
        <v>-26905527.329999998</v>
      </c>
      <c r="BX29" s="773">
        <f>ROUND(+$BR29*'[5]II-F Alloc_Factor'!J$38,2)</f>
        <v>0</v>
      </c>
      <c r="BY29" s="773">
        <f t="shared" si="14"/>
        <v>-26905527.329999998</v>
      </c>
      <c r="BZ29" s="773">
        <f>ROUND(+$BR29*'[5]II-F Alloc_Factor'!L$38,2)</f>
        <v>-806409.98</v>
      </c>
      <c r="CA29" s="773">
        <f>ROUND(+$BR29*'[5]II-F Alloc_Factor'!M$38,2)</f>
        <v>-533097.41</v>
      </c>
      <c r="CC29" s="773">
        <v>-51998211.390000001</v>
      </c>
      <c r="CD29" s="773">
        <f>ROUND(+$CC29*'[5]II-F Alloc_Factor'!E$38,2)</f>
        <v>-23637489.43</v>
      </c>
      <c r="CE29" s="773">
        <f>ROUND(+$CC29*'[5]II-F Alloc_Factor'!F$38,2)</f>
        <v>0</v>
      </c>
      <c r="CF29" s="773">
        <f>ROUND(+$CC29*'[5]II-F Alloc_Factor'!G$38,2)</f>
        <v>-20307.57</v>
      </c>
      <c r="CG29" s="773">
        <f t="shared" si="15"/>
        <v>-23657797</v>
      </c>
      <c r="CH29" s="773">
        <f>ROUND(+$CC29*'[5]II-F Alloc_Factor'!I$38,2)</f>
        <v>-26996383.670000002</v>
      </c>
      <c r="CI29" s="773">
        <f>ROUND(+$CC29*'[5]II-F Alloc_Factor'!J$38,2)</f>
        <v>0</v>
      </c>
      <c r="CJ29" s="773">
        <f t="shared" si="16"/>
        <v>-26996383.670000002</v>
      </c>
      <c r="CK29" s="773">
        <f>ROUND(+$CC29*'[5]II-F Alloc_Factor'!L$38,2)</f>
        <v>-809133.12</v>
      </c>
      <c r="CL29" s="773">
        <f>ROUND(+$CC29*'[5]II-F Alloc_Factor'!M$38,2)</f>
        <v>-534897.6</v>
      </c>
      <c r="CN29" s="773">
        <v>-54335300.670000002</v>
      </c>
      <c r="CO29" s="773">
        <f>ROUND(+$CN29*'[5]II-F Alloc_Factor'!E$38,2)</f>
        <v>-24699889.879999999</v>
      </c>
      <c r="CP29" s="773">
        <f>ROUND(+$CN29*'[5]II-F Alloc_Factor'!F$38,2)</f>
        <v>0</v>
      </c>
      <c r="CQ29" s="773">
        <f>ROUND(+$CN29*'[5]II-F Alloc_Factor'!G$38,2)</f>
        <v>-21220.31</v>
      </c>
      <c r="CR29" s="773">
        <f t="shared" si="17"/>
        <v>-24721110.189999998</v>
      </c>
      <c r="CS29" s="773">
        <f>ROUND(+$CN29*'[5]II-F Alloc_Factor'!I$38,2)</f>
        <v>-28209751.530000001</v>
      </c>
      <c r="CT29" s="773">
        <f>ROUND(+$CN29*'[5]II-F Alloc_Factor'!J$38,2)</f>
        <v>0</v>
      </c>
      <c r="CU29" s="773">
        <f t="shared" si="18"/>
        <v>-28209751.530000001</v>
      </c>
      <c r="CV29" s="773">
        <f>ROUND(+$CN29*'[5]II-F Alloc_Factor'!L$38,2)</f>
        <v>-845500.07</v>
      </c>
      <c r="CW29" s="773">
        <f>ROUND(+$CN29*'[5]II-F Alloc_Factor'!M$38,2)</f>
        <v>-558938.88</v>
      </c>
      <c r="CY29" s="773">
        <v>-54696984.210000008</v>
      </c>
      <c r="CZ29" s="773">
        <f>ROUND(+$CY29*'[5]II-F Alloc_Factor'!E$38,2)</f>
        <v>-24864304.969999999</v>
      </c>
      <c r="DA29" s="773">
        <f>ROUND(+$CY29*'[5]II-F Alloc_Factor'!F$38,2)</f>
        <v>0</v>
      </c>
      <c r="DB29" s="773">
        <f>ROUND(+$CY29*'[5]II-F Alloc_Factor'!G$38,2)</f>
        <v>-21361.56</v>
      </c>
      <c r="DC29" s="773">
        <f t="shared" si="19"/>
        <v>-24885666.529999997</v>
      </c>
      <c r="DD29" s="773">
        <f>ROUND(+$CY29*'[5]II-F Alloc_Factor'!I$38,2)</f>
        <v>-28397530.059999999</v>
      </c>
      <c r="DE29" s="773">
        <f>ROUND(+$CY29*'[5]II-F Alloc_Factor'!J$38,2)</f>
        <v>0</v>
      </c>
      <c r="DF29" s="773">
        <f t="shared" si="20"/>
        <v>-28397530.059999999</v>
      </c>
      <c r="DG29" s="773">
        <f>ROUND(+$CY29*'[5]II-F Alloc_Factor'!L$38,2)</f>
        <v>-851128.15</v>
      </c>
      <c r="DH29" s="773">
        <f>ROUND(+$CY29*'[5]II-F Alloc_Factor'!M$38,2)</f>
        <v>-562659.46</v>
      </c>
      <c r="DJ29" s="773">
        <v>-55058667.750000007</v>
      </c>
      <c r="DK29" s="773">
        <f>ROUND(+$DJ29*'[5]II-F Alloc_Factor'!E$38,2)</f>
        <v>-25028720.059999999</v>
      </c>
      <c r="DL29" s="773">
        <f>ROUND(+$DJ29*'[5]II-F Alloc_Factor'!F$38,2)</f>
        <v>0</v>
      </c>
      <c r="DM29" s="773">
        <f>ROUND(+$DJ29*'[5]II-F Alloc_Factor'!G$38,2)</f>
        <v>-21502.81</v>
      </c>
      <c r="DN29" s="773">
        <f t="shared" si="21"/>
        <v>-25050222.869999997</v>
      </c>
      <c r="DO29" s="773">
        <f>ROUND(+$DJ29*'[5]II-F Alloc_Factor'!I$38,2)</f>
        <v>-28585308.59</v>
      </c>
      <c r="DP29" s="773">
        <f>ROUND(+$DJ29*'[5]II-F Alloc_Factor'!J$38,2)</f>
        <v>0</v>
      </c>
      <c r="DQ29" s="773">
        <f t="shared" si="22"/>
        <v>-28585308.59</v>
      </c>
      <c r="DR29" s="773">
        <f>ROUND(+$DJ29*'[5]II-F Alloc_Factor'!L$38,2)</f>
        <v>-856756.23</v>
      </c>
      <c r="DS29" s="773">
        <f>ROUND(+$DJ29*'[5]II-F Alloc_Factor'!M$38,2)</f>
        <v>-566380.05000000005</v>
      </c>
      <c r="DU29" s="773">
        <v>-57642673.660000011</v>
      </c>
      <c r="DV29" s="773">
        <f>ROUND(+$DU29*'[5]II-F Alloc_Factor'!E$38,2)</f>
        <v>-26203364.550000001</v>
      </c>
      <c r="DW29" s="773">
        <f>ROUND(+$DU29*'[5]II-F Alloc_Factor'!F$38,2)</f>
        <v>0</v>
      </c>
      <c r="DX29" s="773">
        <f>ROUND(+$DU29*'[5]II-F Alloc_Factor'!G$38,2)</f>
        <v>-22511.98</v>
      </c>
      <c r="DY29" s="773">
        <f t="shared" si="23"/>
        <v>-26225876.530000001</v>
      </c>
      <c r="DZ29" s="773">
        <f>ROUND(+$DU29*'[5]II-F Alloc_Factor'!I$38,2)</f>
        <v>-29926870.41</v>
      </c>
      <c r="EA29" s="773">
        <f>ROUND(+$DU29*'[5]II-F Alloc_Factor'!J$38,2)</f>
        <v>0</v>
      </c>
      <c r="EB29" s="773">
        <f t="shared" si="24"/>
        <v>-29926870.41</v>
      </c>
      <c r="EC29" s="773">
        <f>ROUND(+$DU29*'[5]II-F Alloc_Factor'!L$38,2)</f>
        <v>-896965.4</v>
      </c>
      <c r="ED29" s="773">
        <f>ROUND(+$DU29*'[5]II-F Alloc_Factor'!M$38,2)</f>
        <v>-592961.31999999995</v>
      </c>
      <c r="EE29" s="772">
        <f>+DU29+'II-E-3.5'!K36</f>
        <v>0</v>
      </c>
      <c r="EF29" s="772">
        <f t="shared" si="25"/>
        <v>0</v>
      </c>
    </row>
    <row r="30" spans="1:136" s="406" customFormat="1">
      <c r="A30" s="409">
        <f t="shared" si="0"/>
        <v>18</v>
      </c>
      <c r="C30" s="775"/>
      <c r="D30" s="776">
        <f t="shared" ref="D30:M30" si="26">SUM(D14:D29)</f>
        <v>-2616712025.400001</v>
      </c>
      <c r="E30" s="776">
        <f t="shared" si="26"/>
        <v>-1086867169.55</v>
      </c>
      <c r="F30" s="776">
        <f t="shared" si="26"/>
        <v>-144214861.09</v>
      </c>
      <c r="G30" s="776">
        <f t="shared" si="26"/>
        <v>-899383.23999999987</v>
      </c>
      <c r="H30" s="776">
        <f t="shared" si="26"/>
        <v>-1231981413.8799999</v>
      </c>
      <c r="I30" s="776">
        <f t="shared" si="26"/>
        <v>-1265070267.9400001</v>
      </c>
      <c r="J30" s="776">
        <f t="shared" si="26"/>
        <v>-11519042.609999999</v>
      </c>
      <c r="K30" s="776">
        <f t="shared" si="26"/>
        <v>-1276589310.55</v>
      </c>
      <c r="L30" s="776">
        <f t="shared" si="26"/>
        <v>-42397876.989999995</v>
      </c>
      <c r="M30" s="776">
        <f t="shared" si="26"/>
        <v>-65743423.990000002</v>
      </c>
      <c r="N30" s="771"/>
      <c r="O30" s="776">
        <f t="shared" ref="O30:X30" si="27">SUM(O14:O29)</f>
        <v>-2657341858.2700005</v>
      </c>
      <c r="P30" s="776">
        <f t="shared" si="27"/>
        <v>-1105125648.6100001</v>
      </c>
      <c r="Q30" s="776">
        <f t="shared" si="27"/>
        <v>-144791461.59999999</v>
      </c>
      <c r="R30" s="776">
        <f t="shared" si="27"/>
        <v>-915147.15999999992</v>
      </c>
      <c r="S30" s="776">
        <f t="shared" si="27"/>
        <v>-1250832257.3700001</v>
      </c>
      <c r="T30" s="776">
        <f t="shared" si="27"/>
        <v>-1285869643.95</v>
      </c>
      <c r="U30" s="776">
        <f t="shared" si="27"/>
        <v>-11565098.1</v>
      </c>
      <c r="V30" s="776">
        <f t="shared" si="27"/>
        <v>-1297434742.05</v>
      </c>
      <c r="W30" s="776">
        <f t="shared" si="27"/>
        <v>-43011156.960000001</v>
      </c>
      <c r="X30" s="776">
        <f t="shared" si="27"/>
        <v>-66063701.890000015</v>
      </c>
      <c r="Z30" s="776">
        <f t="shared" ref="Z30:AI30" si="28">SUM(Z14:Z29)</f>
        <v>-2667247374.2200007</v>
      </c>
      <c r="AA30" s="776">
        <f t="shared" si="28"/>
        <v>-1109350164.0699997</v>
      </c>
      <c r="AB30" s="776">
        <f t="shared" si="28"/>
        <v>-145543975.87</v>
      </c>
      <c r="AC30" s="776">
        <f t="shared" si="28"/>
        <v>-918874.78999999992</v>
      </c>
      <c r="AD30" s="776">
        <f t="shared" si="28"/>
        <v>-1255813014.7299998</v>
      </c>
      <c r="AE30" s="776">
        <f t="shared" si="28"/>
        <v>-1290626552.25</v>
      </c>
      <c r="AF30" s="776">
        <f t="shared" si="28"/>
        <v>-11625204.550000001</v>
      </c>
      <c r="AG30" s="776">
        <f t="shared" si="28"/>
        <v>-1302251756.7999997</v>
      </c>
      <c r="AH30" s="776">
        <f t="shared" si="28"/>
        <v>-43140921.310000002</v>
      </c>
      <c r="AI30" s="776">
        <f t="shared" si="28"/>
        <v>-66041681.360000007</v>
      </c>
      <c r="AK30" s="776">
        <f t="shared" ref="AK30:AT30" si="29">SUM(AK14:AK29)</f>
        <v>-2679318427.5900006</v>
      </c>
      <c r="AL30" s="776">
        <f t="shared" si="29"/>
        <v>-1114606914.46</v>
      </c>
      <c r="AM30" s="776">
        <f t="shared" si="29"/>
        <v>-146179109.94999999</v>
      </c>
      <c r="AN30" s="776">
        <f t="shared" si="29"/>
        <v>-923478.67999999993</v>
      </c>
      <c r="AO30" s="776">
        <f t="shared" si="29"/>
        <v>-1261709503.0900002</v>
      </c>
      <c r="AP30" s="776">
        <f t="shared" si="29"/>
        <v>-1296569688.04</v>
      </c>
      <c r="AQ30" s="776">
        <f t="shared" si="29"/>
        <v>-11675935.359999999</v>
      </c>
      <c r="AR30" s="776">
        <f t="shared" si="29"/>
        <v>-1308245623.3999996</v>
      </c>
      <c r="AS30" s="776">
        <f t="shared" si="29"/>
        <v>-43307618.249999993</v>
      </c>
      <c r="AT30" s="776">
        <f t="shared" si="29"/>
        <v>-66055682.860000007</v>
      </c>
      <c r="AV30" s="776">
        <f t="shared" ref="AV30:BE30" si="30">SUM(AV14:AV29)</f>
        <v>-2691684603.7800007</v>
      </c>
      <c r="AW30" s="776">
        <f t="shared" si="30"/>
        <v>-1119999983.6600001</v>
      </c>
      <c r="AX30" s="776">
        <f t="shared" si="30"/>
        <v>-146814244.34</v>
      </c>
      <c r="AY30" s="776">
        <f t="shared" si="30"/>
        <v>-928202.00000000012</v>
      </c>
      <c r="AZ30" s="776">
        <f t="shared" si="30"/>
        <v>-1267742430.0000002</v>
      </c>
      <c r="BA30" s="776">
        <f t="shared" si="30"/>
        <v>-1302666901.5</v>
      </c>
      <c r="BB30" s="776">
        <f t="shared" si="30"/>
        <v>-11726666.189999999</v>
      </c>
      <c r="BC30" s="776">
        <f t="shared" si="30"/>
        <v>-1314393567.6900001</v>
      </c>
      <c r="BD30" s="776">
        <f t="shared" si="30"/>
        <v>-43478629.130000003</v>
      </c>
      <c r="BE30" s="776">
        <f t="shared" si="30"/>
        <v>-66069976.980000004</v>
      </c>
      <c r="BG30" s="776">
        <f t="shared" ref="BG30:BP30" si="31">SUM(BG14:BG29)</f>
        <v>-2713774788.1300001</v>
      </c>
      <c r="BH30" s="776">
        <f t="shared" si="31"/>
        <v>-1129822217.22</v>
      </c>
      <c r="BI30" s="776">
        <f t="shared" si="31"/>
        <v>-147459682.90000001</v>
      </c>
      <c r="BJ30" s="776">
        <f t="shared" si="31"/>
        <v>-936745.48</v>
      </c>
      <c r="BK30" s="776">
        <f t="shared" si="31"/>
        <v>-1278218645.6000001</v>
      </c>
      <c r="BL30" s="776">
        <f t="shared" si="31"/>
        <v>-1313812328.9000001</v>
      </c>
      <c r="BM30" s="776">
        <f t="shared" si="31"/>
        <v>-11778220.060000001</v>
      </c>
      <c r="BN30" s="776">
        <f t="shared" si="31"/>
        <v>-1325590548.96</v>
      </c>
      <c r="BO30" s="776">
        <f t="shared" si="31"/>
        <v>-43798995.080000006</v>
      </c>
      <c r="BP30" s="776">
        <f t="shared" si="31"/>
        <v>-66166598.5</v>
      </c>
      <c r="BR30" s="776">
        <f t="shared" ref="BR30:CA30" si="32">SUM(BR14:BR29)</f>
        <v>-2727839433.1800003</v>
      </c>
      <c r="BS30" s="776">
        <f t="shared" si="32"/>
        <v>-1135986044.3100004</v>
      </c>
      <c r="BT30" s="776">
        <f t="shared" si="32"/>
        <v>-148096533.72999999</v>
      </c>
      <c r="BU30" s="776">
        <f t="shared" si="32"/>
        <v>-942130.44</v>
      </c>
      <c r="BV30" s="776">
        <f t="shared" si="32"/>
        <v>-1285024708.4800005</v>
      </c>
      <c r="BW30" s="776">
        <f t="shared" si="32"/>
        <v>-1320790193.75</v>
      </c>
      <c r="BX30" s="776">
        <f t="shared" si="32"/>
        <v>-11829088</v>
      </c>
      <c r="BY30" s="776">
        <f t="shared" si="32"/>
        <v>-1332619281.75</v>
      </c>
      <c r="BZ30" s="776">
        <f t="shared" si="32"/>
        <v>-43996470.269999996</v>
      </c>
      <c r="CA30" s="776">
        <f t="shared" si="32"/>
        <v>-66198972.650000013</v>
      </c>
      <c r="CC30" s="776">
        <f t="shared" ref="CC30:CL30" si="33">SUM(CC14:CC29)</f>
        <v>-2741630529.6299992</v>
      </c>
      <c r="CD30" s="776">
        <f t="shared" si="33"/>
        <v>-1142026624.0700002</v>
      </c>
      <c r="CE30" s="776">
        <f t="shared" si="33"/>
        <v>-148733385.19</v>
      </c>
      <c r="CF30" s="776">
        <f t="shared" si="33"/>
        <v>-947410.74</v>
      </c>
      <c r="CG30" s="776">
        <f t="shared" si="33"/>
        <v>-1291707419.9999998</v>
      </c>
      <c r="CH30" s="776">
        <f t="shared" si="33"/>
        <v>-1327626474.6900003</v>
      </c>
      <c r="CI30" s="776">
        <f t="shared" si="33"/>
        <v>-11879955.98</v>
      </c>
      <c r="CJ30" s="776">
        <f t="shared" si="33"/>
        <v>-1339506430.6700003</v>
      </c>
      <c r="CK30" s="776">
        <f t="shared" si="33"/>
        <v>-44189546.709999993</v>
      </c>
      <c r="CL30" s="776">
        <f t="shared" si="33"/>
        <v>-66227132.280000001</v>
      </c>
      <c r="CN30" s="776">
        <f t="shared" ref="CN30:CW30" si="34">SUM(CN14:CN29)</f>
        <v>-2758472710.4100003</v>
      </c>
      <c r="CO30" s="776">
        <f t="shared" si="34"/>
        <v>-1148667625.5700002</v>
      </c>
      <c r="CP30" s="776">
        <f t="shared" si="34"/>
        <v>-150930225.38</v>
      </c>
      <c r="CQ30" s="776">
        <f t="shared" si="34"/>
        <v>-953184.46</v>
      </c>
      <c r="CR30" s="776">
        <f t="shared" si="34"/>
        <v>-1300551035.4100008</v>
      </c>
      <c r="CS30" s="776">
        <f t="shared" si="34"/>
        <v>-1335163984.8699996</v>
      </c>
      <c r="CT30" s="776">
        <f t="shared" si="34"/>
        <v>-12055426.77</v>
      </c>
      <c r="CU30" s="776">
        <f t="shared" si="34"/>
        <v>-1347219411.6399999</v>
      </c>
      <c r="CV30" s="776">
        <f t="shared" si="34"/>
        <v>-44406561.480000012</v>
      </c>
      <c r="CW30" s="776">
        <f t="shared" si="34"/>
        <v>-66295701.920000002</v>
      </c>
      <c r="CY30" s="776">
        <f t="shared" ref="CY30:DH30" si="35">SUM(CY14:CY29)</f>
        <v>-2784893576.0699987</v>
      </c>
      <c r="CZ30" s="776">
        <f t="shared" si="35"/>
        <v>-1160389564.53</v>
      </c>
      <c r="DA30" s="776">
        <f t="shared" si="35"/>
        <v>-151699281.94</v>
      </c>
      <c r="DB30" s="776">
        <f t="shared" si="35"/>
        <v>-963351.1</v>
      </c>
      <c r="DC30" s="776">
        <f t="shared" si="35"/>
        <v>-1313052197.5700002</v>
      </c>
      <c r="DD30" s="776">
        <f t="shared" si="35"/>
        <v>-1348485231.1599996</v>
      </c>
      <c r="DE30" s="776">
        <f t="shared" si="35"/>
        <v>-12116854.529999999</v>
      </c>
      <c r="DF30" s="776">
        <f t="shared" si="35"/>
        <v>-1360602085.6899996</v>
      </c>
      <c r="DG30" s="776">
        <f t="shared" si="35"/>
        <v>-44793303.629999995</v>
      </c>
      <c r="DH30" s="776">
        <f t="shared" si="35"/>
        <v>-66445989.20000001</v>
      </c>
      <c r="DJ30" s="776">
        <f t="shared" ref="DJ30:DS30" si="36">SUM(DJ14:DJ29)</f>
        <v>-2800571189.2899985</v>
      </c>
      <c r="DK30" s="776">
        <f t="shared" si="36"/>
        <v>-1167228849.3399999</v>
      </c>
      <c r="DL30" s="776">
        <f t="shared" si="36"/>
        <v>-152468338.5</v>
      </c>
      <c r="DM30" s="776">
        <f t="shared" si="36"/>
        <v>-969324.09</v>
      </c>
      <c r="DN30" s="776">
        <f t="shared" si="36"/>
        <v>-1320666511.9299998</v>
      </c>
      <c r="DO30" s="776">
        <f t="shared" si="36"/>
        <v>-1356229218.71</v>
      </c>
      <c r="DP30" s="776">
        <f t="shared" si="36"/>
        <v>-12178282.279999999</v>
      </c>
      <c r="DQ30" s="776">
        <f t="shared" si="36"/>
        <v>-1368407500.9899998</v>
      </c>
      <c r="DR30" s="776">
        <f t="shared" si="36"/>
        <v>-45012737.969999999</v>
      </c>
      <c r="DS30" s="776">
        <f t="shared" si="36"/>
        <v>-66484438.439999983</v>
      </c>
      <c r="DU30" s="776">
        <f t="shared" ref="DU30:ED30" si="37">SUM(DU14:DU29)</f>
        <v>-2808137820.4200006</v>
      </c>
      <c r="DV30" s="776">
        <f t="shared" si="37"/>
        <v>-1171098293.1000001</v>
      </c>
      <c r="DW30" s="776">
        <f t="shared" si="37"/>
        <v>-151655061.81999999</v>
      </c>
      <c r="DX30" s="776">
        <f t="shared" si="37"/>
        <v>-972681.37</v>
      </c>
      <c r="DY30" s="776">
        <f t="shared" si="37"/>
        <v>-1323726036.29</v>
      </c>
      <c r="DZ30" s="776">
        <f t="shared" si="37"/>
        <v>-1360625721.05</v>
      </c>
      <c r="EA30" s="776">
        <f t="shared" si="37"/>
        <v>-12113322.48</v>
      </c>
      <c r="EB30" s="776">
        <f t="shared" si="37"/>
        <v>-1372739043.53</v>
      </c>
      <c r="EC30" s="776">
        <f t="shared" si="37"/>
        <v>-45140210.900000013</v>
      </c>
      <c r="ED30" s="776">
        <f t="shared" si="37"/>
        <v>-66532529.669999987</v>
      </c>
    </row>
    <row r="31" spans="1:136" s="406" customFormat="1">
      <c r="A31" s="409">
        <f t="shared" si="0"/>
        <v>19</v>
      </c>
      <c r="B31" s="407" t="s">
        <v>477</v>
      </c>
      <c r="C31" s="777"/>
      <c r="D31" s="773"/>
      <c r="E31" s="773"/>
      <c r="F31" s="773"/>
      <c r="G31" s="773"/>
      <c r="H31" s="773"/>
      <c r="I31" s="773"/>
      <c r="J31" s="773"/>
      <c r="K31" s="773"/>
      <c r="L31" s="773"/>
      <c r="M31" s="773"/>
      <c r="N31" s="774"/>
      <c r="O31" s="773"/>
      <c r="P31" s="773"/>
      <c r="Q31" s="773"/>
      <c r="R31" s="773"/>
      <c r="S31" s="773"/>
      <c r="T31" s="773"/>
      <c r="U31" s="773"/>
      <c r="V31" s="773"/>
      <c r="W31" s="773"/>
      <c r="X31" s="773"/>
      <c r="Z31" s="773"/>
      <c r="AA31" s="773"/>
      <c r="AB31" s="773"/>
      <c r="AC31" s="773"/>
      <c r="AD31" s="773"/>
      <c r="AE31" s="773"/>
      <c r="AF31" s="773"/>
      <c r="AG31" s="773"/>
      <c r="AH31" s="773"/>
      <c r="AI31" s="773"/>
      <c r="AK31" s="773"/>
      <c r="AL31" s="773"/>
      <c r="AM31" s="773"/>
      <c r="AN31" s="773"/>
      <c r="AO31" s="773"/>
      <c r="AP31" s="773"/>
      <c r="AQ31" s="773"/>
      <c r="AR31" s="773"/>
      <c r="AS31" s="773"/>
      <c r="AT31" s="773"/>
      <c r="AV31" s="773"/>
      <c r="AW31" s="773"/>
      <c r="AX31" s="773"/>
      <c r="AY31" s="773"/>
      <c r="AZ31" s="773"/>
      <c r="BA31" s="773"/>
      <c r="BB31" s="773"/>
      <c r="BC31" s="773"/>
      <c r="BD31" s="773"/>
      <c r="BE31" s="773"/>
      <c r="BG31" s="773"/>
      <c r="BH31" s="773"/>
      <c r="BI31" s="773"/>
      <c r="BJ31" s="773"/>
      <c r="BK31" s="773"/>
      <c r="BL31" s="773"/>
      <c r="BM31" s="773"/>
      <c r="BN31" s="773"/>
      <c r="BO31" s="773"/>
      <c r="BP31" s="773"/>
      <c r="BR31" s="773"/>
      <c r="BS31" s="773"/>
      <c r="BT31" s="773"/>
      <c r="BU31" s="773"/>
      <c r="BV31" s="773"/>
      <c r="BW31" s="773"/>
      <c r="BX31" s="773"/>
      <c r="BY31" s="773"/>
      <c r="BZ31" s="773"/>
      <c r="CA31" s="773"/>
      <c r="CC31" s="773"/>
      <c r="CD31" s="773"/>
      <c r="CE31" s="773"/>
      <c r="CF31" s="773"/>
      <c r="CG31" s="773"/>
      <c r="CH31" s="773"/>
      <c r="CI31" s="773"/>
      <c r="CJ31" s="773"/>
      <c r="CK31" s="773"/>
      <c r="CL31" s="773"/>
      <c r="CN31" s="773"/>
      <c r="CO31" s="773"/>
      <c r="CP31" s="773"/>
      <c r="CQ31" s="773"/>
      <c r="CR31" s="773"/>
      <c r="CS31" s="773"/>
      <c r="CT31" s="773"/>
      <c r="CU31" s="773"/>
      <c r="CV31" s="773"/>
      <c r="CW31" s="773"/>
      <c r="CY31" s="773"/>
      <c r="CZ31" s="773"/>
      <c r="DA31" s="773"/>
      <c r="DB31" s="773"/>
      <c r="DC31" s="773"/>
      <c r="DD31" s="773"/>
      <c r="DE31" s="773"/>
      <c r="DF31" s="773"/>
      <c r="DG31" s="773"/>
      <c r="DH31" s="773"/>
      <c r="DJ31" s="773"/>
      <c r="DK31" s="773"/>
      <c r="DL31" s="773"/>
      <c r="DM31" s="773"/>
      <c r="DN31" s="773"/>
      <c r="DO31" s="773"/>
      <c r="DP31" s="773"/>
      <c r="DQ31" s="773"/>
      <c r="DR31" s="773"/>
      <c r="DS31" s="773"/>
      <c r="DU31" s="773"/>
      <c r="DV31" s="773"/>
      <c r="DW31" s="773"/>
      <c r="DX31" s="773"/>
      <c r="DY31" s="773"/>
      <c r="DZ31" s="773"/>
      <c r="EA31" s="773"/>
      <c r="EB31" s="773"/>
      <c r="EC31" s="773"/>
      <c r="ED31" s="773"/>
    </row>
    <row r="32" spans="1:136" s="406" customFormat="1">
      <c r="A32" s="409">
        <f t="shared" si="0"/>
        <v>20</v>
      </c>
      <c r="B32" s="179" t="s">
        <v>349</v>
      </c>
      <c r="C32" s="408" t="s">
        <v>385</v>
      </c>
      <c r="D32" s="770">
        <v>-1552443.1</v>
      </c>
      <c r="E32" s="770">
        <f>ROUND(+D32*'[5]II-F Alloc_Factor'!$E$32,2)</f>
        <v>-184526.99</v>
      </c>
      <c r="F32" s="770">
        <f>ROUND(+D32*'[5]II-F Alloc_Factor'!$F$32,2)</f>
        <v>0</v>
      </c>
      <c r="G32" s="770">
        <f>ROUND(+D32*'[5]II-F Alloc_Factor'!$G$32,2)</f>
        <v>0</v>
      </c>
      <c r="H32" s="778">
        <f>SUM(E32:G32)</f>
        <v>-184526.99</v>
      </c>
      <c r="I32" s="770">
        <f>ROUND(+D32*'[5]II-F Alloc_Factor'!$I$32,2)</f>
        <v>-1356085.51</v>
      </c>
      <c r="J32" s="770">
        <f>ROUND(+D32*'[5]II-F Alloc_Factor'!$J$32,2)</f>
        <v>0</v>
      </c>
      <c r="K32" s="770">
        <f>SUM(I32:J32)</f>
        <v>-1356085.51</v>
      </c>
      <c r="L32" s="770">
        <f>ROUND(+D32*'[5]II-F Alloc_Factor'!$L$32,2)</f>
        <v>-6209.56</v>
      </c>
      <c r="M32" s="770">
        <f>ROUND(+D32*'[5]II-F Alloc_Factor'!$M$32,2)</f>
        <v>-5621.04</v>
      </c>
      <c r="N32" s="773"/>
      <c r="O32" s="770">
        <v>-1188237.6800000002</v>
      </c>
      <c r="P32" s="770">
        <f>ROUND(+O32*'[5]II-F Alloc_Factor'!$E$32,2)</f>
        <v>-141236.69</v>
      </c>
      <c r="Q32" s="770">
        <f>ROUND(+O32*'[5]II-F Alloc_Factor'!$F$32,2)</f>
        <v>0</v>
      </c>
      <c r="R32" s="770">
        <f>ROUND(+O32*'[5]II-F Alloc_Factor'!$G$32,2)</f>
        <v>0</v>
      </c>
      <c r="S32" s="778">
        <f>SUM(P32:R32)</f>
        <v>-141236.69</v>
      </c>
      <c r="T32" s="770">
        <f>ROUND(+O32*'[5]II-F Alloc_Factor'!$I$32,2)</f>
        <v>-1037945.87</v>
      </c>
      <c r="U32" s="770">
        <f>ROUND(+O32*'[5]II-F Alloc_Factor'!$J$32,2)</f>
        <v>0</v>
      </c>
      <c r="V32" s="770">
        <f>SUM(T32:U32)</f>
        <v>-1037945.87</v>
      </c>
      <c r="W32" s="770">
        <f>ROUND(+O32*'[5]II-F Alloc_Factor'!$L$32,2)</f>
        <v>-4752.79</v>
      </c>
      <c r="X32" s="770">
        <f>ROUND(+O32*'[5]II-F Alloc_Factor'!$M$32,2)</f>
        <v>-4302.34</v>
      </c>
      <c r="Y32" s="609"/>
      <c r="Z32" s="770">
        <v>-826050.58000000019</v>
      </c>
      <c r="AA32" s="770">
        <f>ROUND(+Z32*'[5]II-F Alloc_Factor'!$E$32,2)</f>
        <v>-98186.29</v>
      </c>
      <c r="AB32" s="770">
        <f>ROUND(+Z32*'[5]II-F Alloc_Factor'!$F$32,2)</f>
        <v>0</v>
      </c>
      <c r="AC32" s="770">
        <f>ROUND(+Z32*'[5]II-F Alloc_Factor'!$G$32,2)</f>
        <v>0</v>
      </c>
      <c r="AD32" s="778">
        <f>SUM(AA32:AC32)</f>
        <v>-98186.29</v>
      </c>
      <c r="AE32" s="770">
        <f>ROUND(+Z32*'[5]II-F Alloc_Factor'!$I$32,2)</f>
        <v>-721569.26</v>
      </c>
      <c r="AF32" s="770">
        <f>ROUND(+Z32*'[5]II-F Alloc_Factor'!$J$32,2)</f>
        <v>0</v>
      </c>
      <c r="AG32" s="770">
        <f>SUM(AE32:AF32)</f>
        <v>-721569.26</v>
      </c>
      <c r="AH32" s="770">
        <f>ROUND(+Z32*'[5]II-F Alloc_Factor'!$L$32,2)</f>
        <v>-3304.09</v>
      </c>
      <c r="AI32" s="770">
        <f>ROUND(+Z32*'[5]II-F Alloc_Factor'!$M$32,2)</f>
        <v>-2990.94</v>
      </c>
      <c r="AK32" s="770">
        <v>-463863.54000000021</v>
      </c>
      <c r="AL32" s="770">
        <f>ROUND(+AK32*'[5]II-F Alloc_Factor'!$E$32,2)</f>
        <v>-55135.9</v>
      </c>
      <c r="AM32" s="770">
        <f>ROUND(+AK32*'[5]II-F Alloc_Factor'!$F$32,2)</f>
        <v>0</v>
      </c>
      <c r="AN32" s="770">
        <f>ROUND(+AK32*'[5]II-F Alloc_Factor'!$G$32,2)</f>
        <v>0</v>
      </c>
      <c r="AO32" s="778">
        <f>SUM(AL32:AN32)</f>
        <v>-55135.9</v>
      </c>
      <c r="AP32" s="770">
        <f>ROUND(+AK32*'[5]II-F Alloc_Factor'!$I$32,2)</f>
        <v>-405192.71</v>
      </c>
      <c r="AQ32" s="770">
        <f>ROUND(+AK32*'[5]II-F Alloc_Factor'!$J$32,2)</f>
        <v>0</v>
      </c>
      <c r="AR32" s="770">
        <f>SUM(AP32:AQ32)</f>
        <v>-405192.71</v>
      </c>
      <c r="AS32" s="770">
        <f>ROUND(+AK32*'[5]II-F Alloc_Factor'!$L$32,2)</f>
        <v>-1855.39</v>
      </c>
      <c r="AT32" s="770">
        <f>ROUND(+AK32*'[5]II-F Alloc_Factor'!$M$32,2)</f>
        <v>-1679.54</v>
      </c>
      <c r="AU32" s="779"/>
      <c r="AV32" s="770">
        <v>-11839820.590000002</v>
      </c>
      <c r="AW32" s="770">
        <f>ROUND(+AV32*'[5]II-F Alloc_Factor'!$E$32,2)</f>
        <v>-1407308.53</v>
      </c>
      <c r="AX32" s="770">
        <f>ROUND(+AV32*'[5]II-F Alloc_Factor'!$F$32,2)</f>
        <v>0</v>
      </c>
      <c r="AY32" s="770">
        <f>ROUND(+AV32*'[5]II-F Alloc_Factor'!$G$32,2)</f>
        <v>0</v>
      </c>
      <c r="AZ32" s="778">
        <f>SUM(AW32:AY32)</f>
        <v>-1407308.53</v>
      </c>
      <c r="BA32" s="770">
        <f>ROUND(+AV32*'[5]II-F Alloc_Factor'!$I$32,2)</f>
        <v>-10342285.08</v>
      </c>
      <c r="BB32" s="770">
        <f>ROUND(+AV32*'[5]II-F Alloc_Factor'!$J$32,2)</f>
        <v>0</v>
      </c>
      <c r="BC32" s="770">
        <f>SUM(BA32:BB32)</f>
        <v>-10342285.08</v>
      </c>
      <c r="BD32" s="770">
        <f>ROUND(+AV32*'[5]II-F Alloc_Factor'!$L$32,2)</f>
        <v>-47357.68</v>
      </c>
      <c r="BE32" s="770">
        <f>ROUND(+AV32*'[5]II-F Alloc_Factor'!$M$32,2)</f>
        <v>-42869.31</v>
      </c>
      <c r="BF32" s="779"/>
      <c r="BG32" s="770">
        <v>-11895997.710000001</v>
      </c>
      <c r="BH32" s="770">
        <f>ROUND(+BG32*'[5]II-F Alloc_Factor'!$E$32,2)</f>
        <v>-1413985.87</v>
      </c>
      <c r="BI32" s="770">
        <f>ROUND(+BG32*'[5]II-F Alloc_Factor'!$F$32,2)</f>
        <v>0</v>
      </c>
      <c r="BJ32" s="770">
        <f>ROUND(+BG32*'[5]II-F Alloc_Factor'!$G$32,2)</f>
        <v>0</v>
      </c>
      <c r="BK32" s="778">
        <f>SUM(BH32:BJ32)</f>
        <v>-1413985.87</v>
      </c>
      <c r="BL32" s="770">
        <f>ROUND(+BG32*'[5]II-F Alloc_Factor'!$I$32,2)</f>
        <v>-10391356.75</v>
      </c>
      <c r="BM32" s="770">
        <f>ROUND(+BG32*'[5]II-F Alloc_Factor'!$J$32,2)</f>
        <v>0</v>
      </c>
      <c r="BN32" s="770">
        <f>SUM(BL32:BM32)</f>
        <v>-10391356.75</v>
      </c>
      <c r="BO32" s="770">
        <f>ROUND(+BG32*'[5]II-F Alloc_Factor'!$L$32,2)</f>
        <v>-47582.38</v>
      </c>
      <c r="BP32" s="770">
        <f>ROUND(+BG32*'[5]II-F Alloc_Factor'!$M$32,2)</f>
        <v>-43072.71</v>
      </c>
      <c r="BQ32" s="779"/>
      <c r="BR32" s="770">
        <v>-10671628.080000002</v>
      </c>
      <c r="BS32" s="770">
        <f>ROUND(+BR32*'[5]II-F Alloc_Factor'!$E$32,2)</f>
        <v>-1268454.46</v>
      </c>
      <c r="BT32" s="770">
        <f>ROUND(+BR32*'[5]II-F Alloc_Factor'!$F$32,2)</f>
        <v>0</v>
      </c>
      <c r="BU32" s="770">
        <f>ROUND(+BR32*'[5]II-F Alloc_Factor'!$G$32,2)</f>
        <v>0</v>
      </c>
      <c r="BV32" s="778">
        <f>SUM(BS32:BU32)</f>
        <v>-1268454.46</v>
      </c>
      <c r="BW32" s="770">
        <f>ROUND(+BR32*'[5]II-F Alloc_Factor'!$I$32,2)</f>
        <v>-9321849.0099999998</v>
      </c>
      <c r="BX32" s="770">
        <f>ROUND(+BR32*'[5]II-F Alloc_Factor'!$J$32,2)</f>
        <v>0</v>
      </c>
      <c r="BY32" s="770">
        <f>SUM(BW32:BX32)</f>
        <v>-9321849.0099999998</v>
      </c>
      <c r="BZ32" s="770">
        <f>ROUND(+BR32*'[5]II-F Alloc_Factor'!$L$32,2)</f>
        <v>-42685.07</v>
      </c>
      <c r="CA32" s="770">
        <f>ROUND(+BR32*'[5]II-F Alloc_Factor'!$M$32,2)</f>
        <v>-38639.550000000003</v>
      </c>
      <c r="CC32" s="770">
        <v>-9486428.0000000019</v>
      </c>
      <c r="CD32" s="770">
        <f>ROUND(+CC32*'[5]II-F Alloc_Factor'!$E$32,2)</f>
        <v>-1127578.83</v>
      </c>
      <c r="CE32" s="770">
        <f>ROUND(+CC32*'[5]II-F Alloc_Factor'!$F$32,2)</f>
        <v>0</v>
      </c>
      <c r="CF32" s="770">
        <f>ROUND(+CC32*'[5]II-F Alloc_Factor'!$G$32,2)</f>
        <v>0</v>
      </c>
      <c r="CG32" s="778">
        <f>SUM(CD32:CF32)</f>
        <v>-1127578.83</v>
      </c>
      <c r="CH32" s="770">
        <f>ROUND(+CC32*'[5]II-F Alloc_Factor'!$I$32,2)</f>
        <v>-8286556.54</v>
      </c>
      <c r="CI32" s="770">
        <f>ROUND(+CC32*'[5]II-F Alloc_Factor'!$J$32,2)</f>
        <v>0</v>
      </c>
      <c r="CJ32" s="770">
        <f>SUM(CH32:CI32)</f>
        <v>-8286556.54</v>
      </c>
      <c r="CK32" s="770">
        <f>ROUND(+CC32*'[5]II-F Alloc_Factor'!$L$32,2)</f>
        <v>-37944.43</v>
      </c>
      <c r="CL32" s="770">
        <f>ROUND(+CC32*'[5]II-F Alloc_Factor'!$M$32,2)</f>
        <v>-34348.21</v>
      </c>
      <c r="CM32" s="779"/>
      <c r="CN32" s="770">
        <v>-8268013.0900000017</v>
      </c>
      <c r="CO32" s="770">
        <f>ROUND(+CN32*'[5]II-F Alloc_Factor'!$E$32,2)</f>
        <v>-982755.21</v>
      </c>
      <c r="CP32" s="770">
        <f>ROUND(+CN32*'[5]II-F Alloc_Factor'!$F$32,2)</f>
        <v>0</v>
      </c>
      <c r="CQ32" s="770">
        <f>ROUND(+CN32*'[5]II-F Alloc_Factor'!$G$32,2)</f>
        <v>0</v>
      </c>
      <c r="CR32" s="778">
        <f>SUM(CO32:CQ32)</f>
        <v>-982755.21</v>
      </c>
      <c r="CS32" s="770">
        <f>ROUND(+CN32*'[5]II-F Alloc_Factor'!$I$32,2)</f>
        <v>-7222250.3499999996</v>
      </c>
      <c r="CT32" s="770">
        <f>ROUND(+CN32*'[5]II-F Alloc_Factor'!$J$32,2)</f>
        <v>0</v>
      </c>
      <c r="CU32" s="770">
        <f>SUM(CS32:CT32)</f>
        <v>-7222250.3499999996</v>
      </c>
      <c r="CV32" s="770">
        <f>ROUND(+CN32*'[5]II-F Alloc_Factor'!$L$32,2)</f>
        <v>-33070.93</v>
      </c>
      <c r="CW32" s="770">
        <f>ROUND(+CN32*'[5]II-F Alloc_Factor'!$M$32,2)</f>
        <v>-29936.6</v>
      </c>
      <c r="CY32" s="770">
        <v>-7077050.4700000016</v>
      </c>
      <c r="CZ32" s="770">
        <f>ROUND(+CY32*'[5]II-F Alloc_Factor'!$E$32,2)</f>
        <v>-841194.63</v>
      </c>
      <c r="DA32" s="770">
        <f>ROUND(+CY32*'[5]II-F Alloc_Factor'!$F$32,2)</f>
        <v>0</v>
      </c>
      <c r="DB32" s="770">
        <f>ROUND(+CY32*'[5]II-F Alloc_Factor'!$G$32,2)</f>
        <v>0</v>
      </c>
      <c r="DC32" s="778">
        <f>SUM(CZ32:DB32)</f>
        <v>-841194.63</v>
      </c>
      <c r="DD32" s="770">
        <f>ROUND(+CY32*'[5]II-F Alloc_Factor'!$I$32,2)</f>
        <v>-6181924.2000000002</v>
      </c>
      <c r="DE32" s="770">
        <f>ROUND(+CY32*'[5]II-F Alloc_Factor'!$J$32,2)</f>
        <v>0</v>
      </c>
      <c r="DF32" s="770">
        <f>SUM(DD32:DE32)</f>
        <v>-6181924.2000000002</v>
      </c>
      <c r="DG32" s="770">
        <f>ROUND(+CY32*'[5]II-F Alloc_Factor'!$L$32,2)</f>
        <v>-28307.24</v>
      </c>
      <c r="DH32" s="770">
        <f>ROUND(+CY32*'[5]II-F Alloc_Factor'!$M$32,2)</f>
        <v>-25624.400000000001</v>
      </c>
      <c r="DJ32" s="770">
        <v>-6124704.0000000019</v>
      </c>
      <c r="DK32" s="770">
        <f>ROUND(+DJ32*'[5]II-F Alloc_Factor'!$E$32,2)</f>
        <v>-727996.52</v>
      </c>
      <c r="DL32" s="770">
        <f>ROUND(+DJ32*'[5]II-F Alloc_Factor'!$F$32,2)</f>
        <v>0</v>
      </c>
      <c r="DM32" s="770">
        <f>ROUND(+DJ32*'[5]II-F Alloc_Factor'!$G$32,2)</f>
        <v>0</v>
      </c>
      <c r="DN32" s="778">
        <f>SUM(DK32:DM32)</f>
        <v>-727996.52</v>
      </c>
      <c r="DO32" s="770">
        <f>ROUND(+DJ32*'[5]II-F Alloc_Factor'!$I$32,2)</f>
        <v>-5350033.33</v>
      </c>
      <c r="DP32" s="770">
        <f>ROUND(+DJ32*'[5]II-F Alloc_Factor'!$J$32,2)</f>
        <v>0</v>
      </c>
      <c r="DQ32" s="770">
        <f>SUM(DO32:DP32)</f>
        <v>-5350033.33</v>
      </c>
      <c r="DR32" s="770">
        <f>ROUND(+DJ32*'[5]II-F Alloc_Factor'!$L$32,2)</f>
        <v>-24497.99</v>
      </c>
      <c r="DS32" s="770">
        <f>ROUND(+DJ32*'[5]II-F Alloc_Factor'!$M$32,2)</f>
        <v>-22176.17</v>
      </c>
      <c r="DU32" s="770">
        <v>-5742869.5300000021</v>
      </c>
      <c r="DV32" s="770">
        <f>ROUND(+DU32*'[5]II-F Alloc_Factor'!$E$32,2)</f>
        <v>-682610.79</v>
      </c>
      <c r="DW32" s="770">
        <f>ROUND(+DU32*'[5]II-F Alloc_Factor'!$F$32,2)</f>
        <v>0</v>
      </c>
      <c r="DX32" s="770">
        <f>ROUND(+DU32*'[5]II-F Alloc_Factor'!$G$32,2)</f>
        <v>0</v>
      </c>
      <c r="DY32" s="778">
        <f>SUM(DV32:DX32)</f>
        <v>-682610.79</v>
      </c>
      <c r="DZ32" s="770">
        <f>ROUND(+DU32*'[5]II-F Alloc_Factor'!$I$32,2)</f>
        <v>-5016494.41</v>
      </c>
      <c r="EA32" s="770">
        <f>ROUND(+DU32*'[5]II-F Alloc_Factor'!$J$32,2)</f>
        <v>0</v>
      </c>
      <c r="EB32" s="770">
        <f>SUM(DZ32:EA32)</f>
        <v>-5016494.41</v>
      </c>
      <c r="EC32" s="770">
        <f>ROUND(+DU32*'[5]II-F Alloc_Factor'!$L$32,2)</f>
        <v>-22970.7</v>
      </c>
      <c r="ED32" s="770">
        <f>ROUND(+DU32*'[5]II-F Alloc_Factor'!$M$32,2)</f>
        <v>-20793.63</v>
      </c>
      <c r="EE32" s="772">
        <f>+'II-E-3.5'!I39+DU32</f>
        <v>0</v>
      </c>
      <c r="EF32" s="772">
        <f t="shared" ref="EF32:EF79" si="38">+DY32+EB32+EC32+ED32-DU32</f>
        <v>0</v>
      </c>
    </row>
    <row r="33" spans="1:136" s="406" customFormat="1">
      <c r="A33" s="409">
        <f t="shared" si="0"/>
        <v>21</v>
      </c>
      <c r="B33" s="179" t="s">
        <v>422</v>
      </c>
      <c r="C33" s="408" t="s">
        <v>711</v>
      </c>
      <c r="D33" s="773">
        <v>-1978406.55</v>
      </c>
      <c r="E33" s="773">
        <v>0</v>
      </c>
      <c r="F33" s="773">
        <v>0</v>
      </c>
      <c r="G33" s="773">
        <v>0</v>
      </c>
      <c r="H33" s="773">
        <f t="shared" ref="H33:H76" si="39">SUM(E33:G33)</f>
        <v>0</v>
      </c>
      <c r="I33" s="773">
        <f>+D33</f>
        <v>-1978406.55</v>
      </c>
      <c r="J33" s="773">
        <v>0</v>
      </c>
      <c r="K33" s="773">
        <f>SUM(I33:J33)</f>
        <v>-1978406.55</v>
      </c>
      <c r="L33" s="773">
        <v>0</v>
      </c>
      <c r="M33" s="773">
        <v>0</v>
      </c>
      <c r="N33" s="774"/>
      <c r="O33" s="773">
        <v>-1938844.9200000002</v>
      </c>
      <c r="P33" s="773">
        <v>0</v>
      </c>
      <c r="Q33" s="773">
        <v>0</v>
      </c>
      <c r="R33" s="773">
        <v>0</v>
      </c>
      <c r="S33" s="773">
        <f t="shared" ref="S33:S76" si="40">SUM(P33:R33)</f>
        <v>0</v>
      </c>
      <c r="T33" s="773">
        <f>+O33</f>
        <v>-1938844.9200000002</v>
      </c>
      <c r="U33" s="773">
        <v>0</v>
      </c>
      <c r="V33" s="773">
        <f>SUM(T33:U33)</f>
        <v>-1938844.9200000002</v>
      </c>
      <c r="W33" s="773">
        <v>0</v>
      </c>
      <c r="X33" s="773">
        <v>0</v>
      </c>
      <c r="Y33" s="609"/>
      <c r="Z33" s="773">
        <v>-2000731.9100000001</v>
      </c>
      <c r="AA33" s="773">
        <v>0</v>
      </c>
      <c r="AB33" s="773">
        <v>0</v>
      </c>
      <c r="AC33" s="773">
        <v>0</v>
      </c>
      <c r="AD33" s="773">
        <f t="shared" ref="AD33:AD76" si="41">SUM(AA33:AC33)</f>
        <v>0</v>
      </c>
      <c r="AE33" s="773">
        <f>+Z33</f>
        <v>-2000731.9100000001</v>
      </c>
      <c r="AF33" s="773">
        <v>0</v>
      </c>
      <c r="AG33" s="773">
        <f>SUM(AE33:AF33)</f>
        <v>-2000731.9100000001</v>
      </c>
      <c r="AH33" s="773">
        <v>0</v>
      </c>
      <c r="AI33" s="773">
        <v>0</v>
      </c>
      <c r="AK33" s="773">
        <v>-2326763.16</v>
      </c>
      <c r="AL33" s="773">
        <v>0</v>
      </c>
      <c r="AM33" s="773">
        <v>0</v>
      </c>
      <c r="AN33" s="773">
        <v>0</v>
      </c>
      <c r="AO33" s="773">
        <f t="shared" ref="AO33:AO76" si="42">SUM(AL33:AN33)</f>
        <v>0</v>
      </c>
      <c r="AP33" s="773">
        <f>+AK33</f>
        <v>-2326763.16</v>
      </c>
      <c r="AQ33" s="773">
        <v>0</v>
      </c>
      <c r="AR33" s="773">
        <f>SUM(AP33:AQ33)</f>
        <v>-2326763.16</v>
      </c>
      <c r="AS33" s="773">
        <v>0</v>
      </c>
      <c r="AT33" s="773">
        <v>0</v>
      </c>
      <c r="AU33" s="779"/>
      <c r="AV33" s="773">
        <v>-2421685.42</v>
      </c>
      <c r="AW33" s="773">
        <v>0</v>
      </c>
      <c r="AX33" s="773">
        <v>0</v>
      </c>
      <c r="AY33" s="773">
        <v>0</v>
      </c>
      <c r="AZ33" s="773">
        <f t="shared" ref="AZ33:AZ76" si="43">SUM(AW33:AY33)</f>
        <v>0</v>
      </c>
      <c r="BA33" s="773">
        <f>+AV33</f>
        <v>-2421685.42</v>
      </c>
      <c r="BB33" s="773">
        <v>0</v>
      </c>
      <c r="BC33" s="773">
        <f>SUM(BA33:BB33)</f>
        <v>-2421685.42</v>
      </c>
      <c r="BD33" s="773">
        <v>0</v>
      </c>
      <c r="BE33" s="773">
        <v>0</v>
      </c>
      <c r="BF33" s="779"/>
      <c r="BG33" s="773">
        <v>-2410099.2399999998</v>
      </c>
      <c r="BH33" s="773">
        <v>0</v>
      </c>
      <c r="BI33" s="773">
        <v>0</v>
      </c>
      <c r="BJ33" s="773">
        <v>0</v>
      </c>
      <c r="BK33" s="773">
        <f t="shared" ref="BK33:BK76" si="44">SUM(BH33:BJ33)</f>
        <v>0</v>
      </c>
      <c r="BL33" s="773">
        <f>+BG33</f>
        <v>-2410099.2399999998</v>
      </c>
      <c r="BM33" s="773">
        <v>0</v>
      </c>
      <c r="BN33" s="773">
        <f>SUM(BL33:BM33)</f>
        <v>-2410099.2399999998</v>
      </c>
      <c r="BO33" s="773">
        <v>0</v>
      </c>
      <c r="BP33" s="773">
        <v>0</v>
      </c>
      <c r="BQ33" s="779"/>
      <c r="BR33" s="773">
        <v>-2435830.1399999997</v>
      </c>
      <c r="BS33" s="773">
        <v>0</v>
      </c>
      <c r="BT33" s="773">
        <v>0</v>
      </c>
      <c r="BU33" s="773">
        <v>0</v>
      </c>
      <c r="BV33" s="773">
        <f t="shared" ref="BV33:BV76" si="45">SUM(BS33:BU33)</f>
        <v>0</v>
      </c>
      <c r="BW33" s="773">
        <f>+BR33</f>
        <v>-2435830.1399999997</v>
      </c>
      <c r="BX33" s="773">
        <v>0</v>
      </c>
      <c r="BY33" s="773">
        <f>SUM(BW33:BX33)</f>
        <v>-2435830.1399999997</v>
      </c>
      <c r="BZ33" s="773">
        <v>0</v>
      </c>
      <c r="CA33" s="773">
        <v>0</v>
      </c>
      <c r="CC33" s="773">
        <v>-2448275.6199999996</v>
      </c>
      <c r="CD33" s="773">
        <v>0</v>
      </c>
      <c r="CE33" s="773">
        <v>0</v>
      </c>
      <c r="CF33" s="773">
        <v>0</v>
      </c>
      <c r="CG33" s="773">
        <f t="shared" ref="CG33:CG76" si="46">SUM(CD33:CF33)</f>
        <v>0</v>
      </c>
      <c r="CH33" s="773">
        <f>+CC33</f>
        <v>-2448275.6199999996</v>
      </c>
      <c r="CI33" s="773">
        <v>0</v>
      </c>
      <c r="CJ33" s="773">
        <f>SUM(CH33:CI33)</f>
        <v>-2448275.6199999996</v>
      </c>
      <c r="CK33" s="773">
        <v>0</v>
      </c>
      <c r="CL33" s="773">
        <v>0</v>
      </c>
      <c r="CN33" s="773">
        <v>-2381426.3299999996</v>
      </c>
      <c r="CO33" s="773">
        <v>0</v>
      </c>
      <c r="CP33" s="773">
        <v>0</v>
      </c>
      <c r="CQ33" s="773">
        <v>0</v>
      </c>
      <c r="CR33" s="773">
        <f t="shared" ref="CR33:CR76" si="47">SUM(CO33:CQ33)</f>
        <v>0</v>
      </c>
      <c r="CS33" s="773">
        <f>+CN33</f>
        <v>-2381426.3299999996</v>
      </c>
      <c r="CT33" s="773">
        <v>0</v>
      </c>
      <c r="CU33" s="773">
        <f>SUM(CS33:CT33)</f>
        <v>-2381426.3299999996</v>
      </c>
      <c r="CV33" s="773">
        <v>0</v>
      </c>
      <c r="CW33" s="773">
        <v>0</v>
      </c>
      <c r="CY33" s="99">
        <v>-2333548.5799999996</v>
      </c>
      <c r="CZ33" s="773">
        <v>0</v>
      </c>
      <c r="DA33" s="773">
        <v>0</v>
      </c>
      <c r="DB33" s="773">
        <v>0</v>
      </c>
      <c r="DC33" s="773">
        <f t="shared" ref="DC33:DC76" si="48">SUM(CZ33:DB33)</f>
        <v>0</v>
      </c>
      <c r="DD33" s="773">
        <f>+CY33</f>
        <v>-2333548.5799999996</v>
      </c>
      <c r="DE33" s="773">
        <v>0</v>
      </c>
      <c r="DF33" s="773">
        <f>SUM(DD33:DE33)</f>
        <v>-2333548.5799999996</v>
      </c>
      <c r="DG33" s="773">
        <v>0</v>
      </c>
      <c r="DH33" s="773">
        <v>0</v>
      </c>
      <c r="DJ33" s="773">
        <v>-2260400.3199999998</v>
      </c>
      <c r="DK33" s="773">
        <v>0</v>
      </c>
      <c r="DL33" s="773">
        <v>0</v>
      </c>
      <c r="DM33" s="773">
        <v>0</v>
      </c>
      <c r="DN33" s="773">
        <f t="shared" ref="DN33:DN76" si="49">SUM(DK33:DM33)</f>
        <v>0</v>
      </c>
      <c r="DO33" s="773">
        <f>+DJ33</f>
        <v>-2260400.3199999998</v>
      </c>
      <c r="DP33" s="773">
        <v>0</v>
      </c>
      <c r="DQ33" s="773">
        <f>SUM(DO33:DP33)</f>
        <v>-2260400.3199999998</v>
      </c>
      <c r="DR33" s="773">
        <v>0</v>
      </c>
      <c r="DS33" s="773">
        <v>0</v>
      </c>
      <c r="DU33" s="773">
        <v>-2198170.1</v>
      </c>
      <c r="DV33" s="773">
        <v>0</v>
      </c>
      <c r="DW33" s="773">
        <v>0</v>
      </c>
      <c r="DX33" s="773">
        <v>0</v>
      </c>
      <c r="DY33" s="773">
        <f t="shared" ref="DY33:DY76" si="50">SUM(DV33:DX33)</f>
        <v>0</v>
      </c>
      <c r="DZ33" s="773">
        <f>+DU33</f>
        <v>-2198170.1</v>
      </c>
      <c r="EA33" s="773">
        <v>0</v>
      </c>
      <c r="EB33" s="773">
        <f>SUM(DZ33:EA33)</f>
        <v>-2198170.1</v>
      </c>
      <c r="EC33" s="773">
        <v>0</v>
      </c>
      <c r="ED33" s="773">
        <v>0</v>
      </c>
      <c r="EE33" s="772">
        <f>+'II-E-3.5'!I40+DU33</f>
        <v>0</v>
      </c>
      <c r="EF33" s="772">
        <f t="shared" si="38"/>
        <v>0</v>
      </c>
    </row>
    <row r="34" spans="1:136" s="406" customFormat="1">
      <c r="A34" s="409">
        <f t="shared" si="0"/>
        <v>22</v>
      </c>
      <c r="B34" s="179" t="s">
        <v>401</v>
      </c>
      <c r="C34" s="408" t="s">
        <v>387</v>
      </c>
      <c r="D34" s="773">
        <v>-177103484.76999998</v>
      </c>
      <c r="E34" s="773">
        <v>-7621337.6600000001</v>
      </c>
      <c r="F34" s="773">
        <v>-241067.84</v>
      </c>
      <c r="G34" s="773">
        <v>0</v>
      </c>
      <c r="H34" s="773">
        <f t="shared" si="39"/>
        <v>-7862405.5</v>
      </c>
      <c r="I34" s="773">
        <v>-169241079.27000001</v>
      </c>
      <c r="J34" s="773">
        <v>0</v>
      </c>
      <c r="K34" s="773">
        <f t="shared" ref="K34:K76" si="51">SUM(I34:J34)</f>
        <v>-169241079.27000001</v>
      </c>
      <c r="L34" s="773">
        <v>0</v>
      </c>
      <c r="M34" s="773">
        <v>0</v>
      </c>
      <c r="N34" s="774"/>
      <c r="O34" s="773">
        <v>-174619884.84999999</v>
      </c>
      <c r="P34" s="773">
        <v>-7514460.2999999998</v>
      </c>
      <c r="Q34" s="773">
        <v>-237687.24</v>
      </c>
      <c r="R34" s="773">
        <v>0</v>
      </c>
      <c r="S34" s="773">
        <f t="shared" si="40"/>
        <v>-7752147.54</v>
      </c>
      <c r="T34" s="773">
        <v>-166867737.31</v>
      </c>
      <c r="U34" s="773">
        <v>0</v>
      </c>
      <c r="V34" s="773">
        <f t="shared" ref="V34:V76" si="52">SUM(T34:U34)</f>
        <v>-166867737.31</v>
      </c>
      <c r="W34" s="773">
        <v>0</v>
      </c>
      <c r="X34" s="773">
        <v>0</v>
      </c>
      <c r="Y34" s="609"/>
      <c r="Z34" s="773">
        <v>-184828077.04999998</v>
      </c>
      <c r="AA34" s="773">
        <v>-7953751.9299999997</v>
      </c>
      <c r="AB34" s="773">
        <v>-251582.32</v>
      </c>
      <c r="AC34" s="773">
        <v>0</v>
      </c>
      <c r="AD34" s="773">
        <f t="shared" si="41"/>
        <v>-8205334.25</v>
      </c>
      <c r="AE34" s="773">
        <v>-176622742.80000001</v>
      </c>
      <c r="AF34" s="773">
        <v>0</v>
      </c>
      <c r="AG34" s="773">
        <f t="shared" ref="AG34:AG76" si="53">SUM(AE34:AF34)</f>
        <v>-176622742.80000001</v>
      </c>
      <c r="AH34" s="773">
        <v>0</v>
      </c>
      <c r="AI34" s="773">
        <v>0</v>
      </c>
      <c r="AK34" s="773">
        <v>-184612879.81999999</v>
      </c>
      <c r="AL34" s="773">
        <v>-7944491.2999999998</v>
      </c>
      <c r="AM34" s="773">
        <v>-251289.4</v>
      </c>
      <c r="AN34" s="773">
        <v>0</v>
      </c>
      <c r="AO34" s="773">
        <f t="shared" si="42"/>
        <v>-8195780.7000000002</v>
      </c>
      <c r="AP34" s="773">
        <v>-176417099.12</v>
      </c>
      <c r="AQ34" s="773">
        <v>0</v>
      </c>
      <c r="AR34" s="773">
        <f t="shared" ref="AR34:AR76" si="54">SUM(AP34:AQ34)</f>
        <v>-176417099.12</v>
      </c>
      <c r="AS34" s="773">
        <v>0</v>
      </c>
      <c r="AT34" s="773">
        <v>0</v>
      </c>
      <c r="AU34" s="779"/>
      <c r="AV34" s="773">
        <v>-184397682.59</v>
      </c>
      <c r="AW34" s="773">
        <v>-7935230.6600000001</v>
      </c>
      <c r="AX34" s="773">
        <v>-250996.48000000001</v>
      </c>
      <c r="AY34" s="773">
        <v>0</v>
      </c>
      <c r="AZ34" s="773">
        <f t="shared" si="43"/>
        <v>-8186227.1400000006</v>
      </c>
      <c r="BA34" s="773">
        <v>-176211455.44999999</v>
      </c>
      <c r="BB34" s="773">
        <v>0</v>
      </c>
      <c r="BC34" s="773">
        <f t="shared" ref="BC34:BC76" si="55">SUM(BA34:BB34)</f>
        <v>-176211455.44999999</v>
      </c>
      <c r="BD34" s="773">
        <v>0</v>
      </c>
      <c r="BE34" s="773">
        <v>0</v>
      </c>
      <c r="BF34" s="779"/>
      <c r="BG34" s="773">
        <v>-184185829.92000002</v>
      </c>
      <c r="BH34" s="773">
        <v>-7926113.9500000002</v>
      </c>
      <c r="BI34" s="773">
        <v>-250708.11</v>
      </c>
      <c r="BJ34" s="773">
        <v>0</v>
      </c>
      <c r="BK34" s="773">
        <f t="shared" si="44"/>
        <v>-8176822.0600000005</v>
      </c>
      <c r="BL34" s="773">
        <v>-176009007.84999999</v>
      </c>
      <c r="BM34" s="773">
        <v>0</v>
      </c>
      <c r="BN34" s="773">
        <f t="shared" ref="BN34:BN76" si="56">SUM(BL34:BM34)</f>
        <v>-176009007.84999999</v>
      </c>
      <c r="BO34" s="773">
        <v>0</v>
      </c>
      <c r="BP34" s="773">
        <v>0</v>
      </c>
      <c r="BQ34" s="779"/>
      <c r="BR34" s="773">
        <v>-183971190.12</v>
      </c>
      <c r="BS34" s="773">
        <v>-7916877.3099999996</v>
      </c>
      <c r="BT34" s="773">
        <v>-250415.95</v>
      </c>
      <c r="BU34" s="773">
        <v>0</v>
      </c>
      <c r="BV34" s="773">
        <f t="shared" si="45"/>
        <v>-8167293.2599999998</v>
      </c>
      <c r="BW34" s="773">
        <v>-175803896.86000001</v>
      </c>
      <c r="BX34" s="773">
        <v>0</v>
      </c>
      <c r="BY34" s="773">
        <f t="shared" ref="BY34:BY76" si="57">SUM(BW34:BX34)</f>
        <v>-175803896.86000001</v>
      </c>
      <c r="BZ34" s="773">
        <v>0</v>
      </c>
      <c r="CA34" s="773">
        <v>0</v>
      </c>
      <c r="CC34" s="773">
        <v>-183756550.31</v>
      </c>
      <c r="CD34" s="773">
        <v>-7907640.6600000001</v>
      </c>
      <c r="CE34" s="773">
        <v>-250123.79</v>
      </c>
      <c r="CF34" s="773">
        <v>0</v>
      </c>
      <c r="CG34" s="773">
        <f t="shared" si="46"/>
        <v>-8157764.4500000002</v>
      </c>
      <c r="CH34" s="773">
        <v>-175598785.86000001</v>
      </c>
      <c r="CI34" s="773">
        <v>0</v>
      </c>
      <c r="CJ34" s="773">
        <f t="shared" ref="CJ34:CJ76" si="58">SUM(CH34:CI34)</f>
        <v>-175598785.86000001</v>
      </c>
      <c r="CK34" s="773">
        <v>0</v>
      </c>
      <c r="CL34" s="773">
        <v>0</v>
      </c>
      <c r="CN34" s="773">
        <v>-219770467.37</v>
      </c>
      <c r="CO34" s="773">
        <v>-9457436.3800000008</v>
      </c>
      <c r="CP34" s="773">
        <v>-299144.83</v>
      </c>
      <c r="CQ34" s="773">
        <v>0</v>
      </c>
      <c r="CR34" s="773">
        <f t="shared" si="47"/>
        <v>-9756581.2100000009</v>
      </c>
      <c r="CS34" s="773">
        <v>-210013886.16</v>
      </c>
      <c r="CT34" s="773">
        <v>0</v>
      </c>
      <c r="CU34" s="773">
        <f t="shared" ref="CU34:CU76" si="59">SUM(CS34:CT34)</f>
        <v>-210013886.16</v>
      </c>
      <c r="CV34" s="773">
        <v>0</v>
      </c>
      <c r="CW34" s="773">
        <v>0</v>
      </c>
      <c r="CY34" s="102">
        <v>-223581222.78</v>
      </c>
      <c r="CZ34" s="773">
        <v>-9621425.5500000007</v>
      </c>
      <c r="DA34" s="773">
        <v>-304331.90999999997</v>
      </c>
      <c r="DB34" s="773">
        <v>0</v>
      </c>
      <c r="DC34" s="773">
        <f t="shared" si="48"/>
        <v>-9925757.4600000009</v>
      </c>
      <c r="DD34" s="773">
        <v>-213655465.31999999</v>
      </c>
      <c r="DE34" s="773">
        <v>0</v>
      </c>
      <c r="DF34" s="773">
        <f t="shared" ref="DF34:DF76" si="60">SUM(DD34:DE34)</f>
        <v>-213655465.31999999</v>
      </c>
      <c r="DG34" s="773">
        <v>0</v>
      </c>
      <c r="DH34" s="773">
        <v>0</v>
      </c>
      <c r="DJ34" s="773">
        <v>-227391978.18000001</v>
      </c>
      <c r="DK34" s="773">
        <v>-9785414.7200000007</v>
      </c>
      <c r="DL34" s="773">
        <v>-309519</v>
      </c>
      <c r="DM34" s="773">
        <v>0</v>
      </c>
      <c r="DN34" s="773">
        <f t="shared" si="49"/>
        <v>-10094933.720000001</v>
      </c>
      <c r="DO34" s="773">
        <v>-217297044.46000001</v>
      </c>
      <c r="DP34" s="773">
        <v>0</v>
      </c>
      <c r="DQ34" s="773">
        <f t="shared" ref="DQ34:DQ76" si="61">SUM(DO34:DP34)</f>
        <v>-217297044.46000001</v>
      </c>
      <c r="DR34" s="773">
        <v>0</v>
      </c>
      <c r="DS34" s="773">
        <v>0</v>
      </c>
      <c r="DU34" s="773">
        <v>-229782622.84999999</v>
      </c>
      <c r="DV34" s="773">
        <v>-9888291.9199999999</v>
      </c>
      <c r="DW34" s="773">
        <v>-312773.07</v>
      </c>
      <c r="DX34" s="773">
        <v>0</v>
      </c>
      <c r="DY34" s="773">
        <f t="shared" si="50"/>
        <v>-10201064.99</v>
      </c>
      <c r="DZ34" s="773">
        <v>-219581557.86000001</v>
      </c>
      <c r="EA34" s="773">
        <v>0</v>
      </c>
      <c r="EB34" s="773">
        <f t="shared" ref="EB34:EB76" si="62">SUM(DZ34:EA34)</f>
        <v>-219581557.86000001</v>
      </c>
      <c r="EC34" s="773">
        <v>0</v>
      </c>
      <c r="ED34" s="773">
        <v>0</v>
      </c>
      <c r="EE34" s="772">
        <f>+'II-E-3.5'!I41+DU34</f>
        <v>0</v>
      </c>
      <c r="EF34" s="772">
        <f t="shared" si="38"/>
        <v>0</v>
      </c>
    </row>
    <row r="35" spans="1:136" s="406" customFormat="1">
      <c r="A35" s="409">
        <f t="shared" si="0"/>
        <v>23</v>
      </c>
      <c r="B35" s="179" t="s">
        <v>601</v>
      </c>
      <c r="C35" s="786" t="s">
        <v>663</v>
      </c>
      <c r="D35" s="773">
        <v>-5567776.1200000001</v>
      </c>
      <c r="E35" s="773">
        <f>ROUND(+D35*'[5]II-F Alloc_Factor'!$E$34,2)</f>
        <v>-2464172.44</v>
      </c>
      <c r="F35" s="773">
        <f>ROUND(+D35*'[5]II-F Alloc_Factor'!$F$34,2)</f>
        <v>0</v>
      </c>
      <c r="G35" s="773">
        <f>ROUND(+D35*'[5]II-F Alloc_Factor'!$G$34,2)</f>
        <v>0</v>
      </c>
      <c r="H35" s="773">
        <f t="shared" si="39"/>
        <v>-2464172.44</v>
      </c>
      <c r="I35" s="773">
        <f>ROUND(+D35*'[5]II-F Alloc_Factor'!$I$34,2)</f>
        <v>-3005450.39</v>
      </c>
      <c r="J35" s="773">
        <f>ROUND(+D35*'[5]II-F Alloc_Factor'!$J$34,2)</f>
        <v>0</v>
      </c>
      <c r="K35" s="773">
        <f t="shared" si="51"/>
        <v>-3005450.39</v>
      </c>
      <c r="L35" s="773">
        <f>ROUND(+D35*'[5]II-F Alloc_Factor'!$L$34,2)</f>
        <v>-98153.29</v>
      </c>
      <c r="M35" s="773">
        <f>ROUND(+D35*'[5]II-F Alloc_Factor'!$M$34,2)</f>
        <v>0</v>
      </c>
      <c r="N35" s="774"/>
      <c r="O35" s="773">
        <v>-5533245.75</v>
      </c>
      <c r="P35" s="773">
        <f>ROUND(+O35*'[5]II-F Alloc_Factor'!$E$34,2)</f>
        <v>-2448890.08</v>
      </c>
      <c r="Q35" s="773">
        <f>ROUND(+O35*'[5]II-F Alloc_Factor'!$F$34,2)</f>
        <v>0</v>
      </c>
      <c r="R35" s="773">
        <f>ROUND(+O35*'[5]II-F Alloc_Factor'!$G$34,2)</f>
        <v>0</v>
      </c>
      <c r="S35" s="773">
        <f t="shared" si="40"/>
        <v>-2448890.08</v>
      </c>
      <c r="T35" s="773">
        <f>ROUND(+O35*'[5]II-F Alloc_Factor'!$I$34,2)</f>
        <v>-2986811.11</v>
      </c>
      <c r="U35" s="773">
        <f>ROUND(+O35*'[5]II-F Alloc_Factor'!$J$34,2)</f>
        <v>0</v>
      </c>
      <c r="V35" s="773">
        <f t="shared" si="52"/>
        <v>-2986811.11</v>
      </c>
      <c r="W35" s="773">
        <f>ROUND(+O35*'[5]II-F Alloc_Factor'!$L$34,2)</f>
        <v>-97544.56</v>
      </c>
      <c r="X35" s="773">
        <f>ROUND(+O35*'[5]II-F Alloc_Factor'!$M$34,2)</f>
        <v>0</v>
      </c>
      <c r="Y35" s="609"/>
      <c r="Z35" s="773">
        <v>-5498715.3899999997</v>
      </c>
      <c r="AA35" s="773">
        <f>ROUND(+Z35*'[5]II-F Alloc_Factor'!$E$34,2)</f>
        <v>-2433607.7200000002</v>
      </c>
      <c r="AB35" s="773">
        <f>ROUND(+Z35*'[5]II-F Alloc_Factor'!$F$34,2)</f>
        <v>0</v>
      </c>
      <c r="AC35" s="773">
        <f>ROUND(+Z35*'[5]II-F Alloc_Factor'!$G$34,2)</f>
        <v>0</v>
      </c>
      <c r="AD35" s="773">
        <f t="shared" si="41"/>
        <v>-2433607.7200000002</v>
      </c>
      <c r="AE35" s="773">
        <f>ROUND(+Z35*'[5]II-F Alloc_Factor'!$I$34,2)</f>
        <v>-2968171.84</v>
      </c>
      <c r="AF35" s="773">
        <f>ROUND(+Z35*'[5]II-F Alloc_Factor'!$J$34,2)</f>
        <v>0</v>
      </c>
      <c r="AG35" s="773">
        <f t="shared" si="53"/>
        <v>-2968171.84</v>
      </c>
      <c r="AH35" s="773">
        <f>ROUND(+Z35*'[5]II-F Alloc_Factor'!$L$34,2)</f>
        <v>-96935.83</v>
      </c>
      <c r="AI35" s="773">
        <f>ROUND(+Z35*'[5]II-F Alloc_Factor'!$M$34,2)</f>
        <v>0</v>
      </c>
      <c r="AK35" s="773">
        <v>-5464185.0199999996</v>
      </c>
      <c r="AL35" s="773">
        <f>ROUND(+AK35*'[5]II-F Alloc_Factor'!$E$34,2)</f>
        <v>-2418325.35</v>
      </c>
      <c r="AM35" s="773">
        <f>ROUND(+AK35*'[5]II-F Alloc_Factor'!$F$34,2)</f>
        <v>0</v>
      </c>
      <c r="AN35" s="773">
        <f>ROUND(+AK35*'[5]II-F Alloc_Factor'!$G$34,2)</f>
        <v>0</v>
      </c>
      <c r="AO35" s="773">
        <f t="shared" si="42"/>
        <v>-2418325.35</v>
      </c>
      <c r="AP35" s="773">
        <f>ROUND(+AK35*'[5]II-F Alloc_Factor'!$I$34,2)</f>
        <v>-2949532.57</v>
      </c>
      <c r="AQ35" s="773">
        <f>ROUND(+AK35*'[5]II-F Alloc_Factor'!$J$34,2)</f>
        <v>0</v>
      </c>
      <c r="AR35" s="773">
        <f t="shared" si="54"/>
        <v>-2949532.57</v>
      </c>
      <c r="AS35" s="773">
        <f>ROUND(+AK35*'[5]II-F Alloc_Factor'!$L$34,2)</f>
        <v>-96327.1</v>
      </c>
      <c r="AT35" s="773">
        <f>ROUND(+AK35*'[5]II-F Alloc_Factor'!$M$34,2)</f>
        <v>0</v>
      </c>
      <c r="AU35" s="779"/>
      <c r="AV35" s="773">
        <v>-5429654.6599999992</v>
      </c>
      <c r="AW35" s="773">
        <f>ROUND(+AV35*'[5]II-F Alloc_Factor'!$E$34,2)</f>
        <v>-2403042.9900000002</v>
      </c>
      <c r="AX35" s="773">
        <f>ROUND(+AV35*'[5]II-F Alloc_Factor'!$F$34,2)</f>
        <v>0</v>
      </c>
      <c r="AY35" s="773">
        <f>ROUND(+AV35*'[5]II-F Alloc_Factor'!$G$34,2)</f>
        <v>0</v>
      </c>
      <c r="AZ35" s="773">
        <f t="shared" si="43"/>
        <v>-2403042.9900000002</v>
      </c>
      <c r="BA35" s="773">
        <f>ROUND(+AV35*'[5]II-F Alloc_Factor'!$I$34,2)</f>
        <v>-2930893.3</v>
      </c>
      <c r="BB35" s="773">
        <f>ROUND(+AV35*'[5]II-F Alloc_Factor'!$J$34,2)</f>
        <v>0</v>
      </c>
      <c r="BC35" s="773">
        <f t="shared" si="55"/>
        <v>-2930893.3</v>
      </c>
      <c r="BD35" s="773">
        <f>ROUND(+AV35*'[5]II-F Alloc_Factor'!$L$34,2)</f>
        <v>-95718.37</v>
      </c>
      <c r="BE35" s="773">
        <f>ROUND(+AV35*'[5]II-F Alloc_Factor'!$M$34,2)</f>
        <v>0</v>
      </c>
      <c r="BF35" s="779"/>
      <c r="BG35" s="773">
        <v>-5395124.2899999991</v>
      </c>
      <c r="BH35" s="773">
        <f>ROUND(+BG35*'[5]II-F Alloc_Factor'!$E$34,2)</f>
        <v>-2387760.63</v>
      </c>
      <c r="BI35" s="773">
        <f>ROUND(+BG35*'[5]II-F Alloc_Factor'!$F$34,2)</f>
        <v>0</v>
      </c>
      <c r="BJ35" s="773">
        <f>ROUND(+BG35*'[5]II-F Alloc_Factor'!$G$34,2)</f>
        <v>0</v>
      </c>
      <c r="BK35" s="773">
        <f t="shared" si="44"/>
        <v>-2387760.63</v>
      </c>
      <c r="BL35" s="773">
        <f>ROUND(+BG35*'[5]II-F Alloc_Factor'!$I$34,2)</f>
        <v>-2912254.02</v>
      </c>
      <c r="BM35" s="773">
        <f>ROUND(+BG35*'[5]II-F Alloc_Factor'!$J$34,2)</f>
        <v>0</v>
      </c>
      <c r="BN35" s="773">
        <f t="shared" si="56"/>
        <v>-2912254.02</v>
      </c>
      <c r="BO35" s="773">
        <f>ROUND(+BG35*'[5]II-F Alloc_Factor'!$L$34,2)</f>
        <v>-95109.64</v>
      </c>
      <c r="BP35" s="773">
        <f>ROUND(+BG35*'[5]II-F Alloc_Factor'!$M$34,2)</f>
        <v>0</v>
      </c>
      <c r="BQ35" s="779"/>
      <c r="BR35" s="773">
        <v>-8898795.1799999997</v>
      </c>
      <c r="BS35" s="773">
        <f>ROUND(+BR35*'[5]II-F Alloc_Factor'!$E$34,2)</f>
        <v>-3938406.53</v>
      </c>
      <c r="BT35" s="773">
        <f>ROUND(+BR35*'[5]II-F Alloc_Factor'!$F$34,2)</f>
        <v>0</v>
      </c>
      <c r="BU35" s="773">
        <f>ROUND(+BR35*'[5]II-F Alloc_Factor'!$G$34,2)</f>
        <v>0</v>
      </c>
      <c r="BV35" s="773">
        <f t="shared" si="45"/>
        <v>-3938406.53</v>
      </c>
      <c r="BW35" s="773">
        <f>ROUND(+BR35*'[5]II-F Alloc_Factor'!$I$34,2)</f>
        <v>-4803513.4400000004</v>
      </c>
      <c r="BX35" s="773">
        <f>ROUND(+BR35*'[5]II-F Alloc_Factor'!$J$34,2)</f>
        <v>0</v>
      </c>
      <c r="BY35" s="773">
        <f t="shared" si="57"/>
        <v>-4803513.4400000004</v>
      </c>
      <c r="BZ35" s="773">
        <f>ROUND(+BR35*'[5]II-F Alloc_Factor'!$L$34,2)</f>
        <v>-156875.21</v>
      </c>
      <c r="CA35" s="773">
        <f>ROUND(+BR35*'[5]II-F Alloc_Factor'!$M$34,2)</f>
        <v>0</v>
      </c>
      <c r="CC35" s="773">
        <v>-8845090.459999999</v>
      </c>
      <c r="CD35" s="773">
        <f>ROUND(+CC35*'[5]II-F Alloc_Factor'!$E$34,2)</f>
        <v>-3914638.03</v>
      </c>
      <c r="CE35" s="773">
        <f>ROUND(+CC35*'[5]II-F Alloc_Factor'!$F$34,2)</f>
        <v>0</v>
      </c>
      <c r="CF35" s="773">
        <f>ROUND(+CC35*'[5]II-F Alloc_Factor'!$G$34,2)</f>
        <v>0</v>
      </c>
      <c r="CG35" s="773">
        <f t="shared" si="46"/>
        <v>-3914638.03</v>
      </c>
      <c r="CH35" s="773">
        <f>ROUND(+CC35*'[5]II-F Alloc_Factor'!$I$34,2)</f>
        <v>-4774523.97</v>
      </c>
      <c r="CI35" s="773">
        <f>ROUND(+CC35*'[5]II-F Alloc_Factor'!$J$34,2)</f>
        <v>0</v>
      </c>
      <c r="CJ35" s="773">
        <f t="shared" si="58"/>
        <v>-4774523.97</v>
      </c>
      <c r="CK35" s="773">
        <f>ROUND(+CC35*'[5]II-F Alloc_Factor'!$L$34,2)</f>
        <v>-155928.46</v>
      </c>
      <c r="CL35" s="773">
        <f>ROUND(+CC35*'[5]II-F Alloc_Factor'!$M$34,2)</f>
        <v>0</v>
      </c>
      <c r="CN35" s="773">
        <v>-8791385.7499999981</v>
      </c>
      <c r="CO35" s="773">
        <f>ROUND(+CN35*'[5]II-F Alloc_Factor'!$E$34,2)</f>
        <v>-3890869.54</v>
      </c>
      <c r="CP35" s="773">
        <f>ROUND(+CN35*'[5]II-F Alloc_Factor'!$F$34,2)</f>
        <v>0</v>
      </c>
      <c r="CQ35" s="773">
        <f>ROUND(+CN35*'[5]II-F Alloc_Factor'!$G$34,2)</f>
        <v>0</v>
      </c>
      <c r="CR35" s="773">
        <f t="shared" si="47"/>
        <v>-3890869.54</v>
      </c>
      <c r="CS35" s="773">
        <f>ROUND(+CN35*'[5]II-F Alloc_Factor'!$I$34,2)</f>
        <v>-4745534.51</v>
      </c>
      <c r="CT35" s="773">
        <f>ROUND(+CN35*'[5]II-F Alloc_Factor'!$J$34,2)</f>
        <v>0</v>
      </c>
      <c r="CU35" s="773">
        <f t="shared" si="59"/>
        <v>-4745534.51</v>
      </c>
      <c r="CV35" s="773">
        <f>ROUND(+CN35*'[5]II-F Alloc_Factor'!$L$34,2)</f>
        <v>-154981.71</v>
      </c>
      <c r="CW35" s="773">
        <f>ROUND(+CN35*'[5]II-F Alloc_Factor'!$M$34,2)</f>
        <v>0</v>
      </c>
      <c r="CY35" s="102">
        <v>-8737681.0399999972</v>
      </c>
      <c r="CZ35" s="773">
        <f>ROUND(+CY35*'[5]II-F Alloc_Factor'!$E$34,2)</f>
        <v>-3867101.04</v>
      </c>
      <c r="DA35" s="773">
        <f>ROUND(+CY35*'[5]II-F Alloc_Factor'!$F$34,2)</f>
        <v>0</v>
      </c>
      <c r="DB35" s="773">
        <f>ROUND(+CY35*'[5]II-F Alloc_Factor'!$G$34,2)</f>
        <v>0</v>
      </c>
      <c r="DC35" s="773">
        <f t="shared" si="48"/>
        <v>-3867101.04</v>
      </c>
      <c r="DD35" s="773">
        <f>ROUND(+CY35*'[5]II-F Alloc_Factor'!$I$34,2)</f>
        <v>-4716545.04</v>
      </c>
      <c r="DE35" s="773">
        <f>ROUND(+CY35*'[5]II-F Alloc_Factor'!$J$34,2)</f>
        <v>0</v>
      </c>
      <c r="DF35" s="773">
        <f t="shared" si="60"/>
        <v>-4716545.04</v>
      </c>
      <c r="DG35" s="773">
        <f>ROUND(+CY35*'[5]II-F Alloc_Factor'!$L$34,2)</f>
        <v>-154034.96</v>
      </c>
      <c r="DH35" s="773">
        <f>ROUND(+CY35*'[5]II-F Alloc_Factor'!$M$34,2)</f>
        <v>0</v>
      </c>
      <c r="DJ35" s="773">
        <v>-8470629.6999999974</v>
      </c>
      <c r="DK35" s="773">
        <f>ROUND(+DJ35*'[5]II-F Alloc_Factor'!$E$34,2)</f>
        <v>-3748910.12</v>
      </c>
      <c r="DL35" s="773">
        <f>ROUND(+DJ35*'[5]II-F Alloc_Factor'!$F$34,2)</f>
        <v>0</v>
      </c>
      <c r="DM35" s="773">
        <f>ROUND(+DJ35*'[5]II-F Alloc_Factor'!$G$34,2)</f>
        <v>0</v>
      </c>
      <c r="DN35" s="773">
        <f t="shared" si="49"/>
        <v>-3748910.12</v>
      </c>
      <c r="DO35" s="773">
        <f>ROUND(+DJ35*'[5]II-F Alloc_Factor'!$I$34,2)</f>
        <v>-4572392.42</v>
      </c>
      <c r="DP35" s="773">
        <f>ROUND(+DJ35*'[5]II-F Alloc_Factor'!$J$34,2)</f>
        <v>0</v>
      </c>
      <c r="DQ35" s="773">
        <f t="shared" si="61"/>
        <v>-4572392.42</v>
      </c>
      <c r="DR35" s="773">
        <f>ROUND(+DJ35*'[5]II-F Alloc_Factor'!$L$34,2)</f>
        <v>-149327.16</v>
      </c>
      <c r="DS35" s="773">
        <f>ROUND(+DJ35*'[5]II-F Alloc_Factor'!$M$34,2)</f>
        <v>0</v>
      </c>
      <c r="DU35" s="773">
        <v>-8419997.6499999966</v>
      </c>
      <c r="DV35" s="773">
        <f>ROUND(+DU35*'[5]II-F Alloc_Factor'!$E$34,2)</f>
        <v>-3726501.52</v>
      </c>
      <c r="DW35" s="773">
        <f>ROUND(+DU35*'[5]II-F Alloc_Factor'!$F$34,2)</f>
        <v>0</v>
      </c>
      <c r="DX35" s="773">
        <f>ROUND(+DU35*'[5]II-F Alloc_Factor'!$G$34,2)</f>
        <v>0</v>
      </c>
      <c r="DY35" s="773">
        <f t="shared" si="50"/>
        <v>-3726501.52</v>
      </c>
      <c r="DZ35" s="773">
        <f>ROUND(+DU35*'[5]II-F Alloc_Factor'!$I$34,2)</f>
        <v>-4545061.5599999996</v>
      </c>
      <c r="EA35" s="773">
        <f>ROUND(+DU35*'[5]II-F Alloc_Factor'!$J$34,2)</f>
        <v>0</v>
      </c>
      <c r="EB35" s="773">
        <f t="shared" si="62"/>
        <v>-4545061.5599999996</v>
      </c>
      <c r="EC35" s="773">
        <f>ROUND(+DU35*'[5]II-F Alloc_Factor'!$L$34,2)</f>
        <v>-148434.57</v>
      </c>
      <c r="ED35" s="773">
        <f>ROUND(+DU35*'[5]II-F Alloc_Factor'!$M$34,2)</f>
        <v>0</v>
      </c>
      <c r="EE35" s="772">
        <f>+'II-E-3.5'!I42+DU35</f>
        <v>0</v>
      </c>
      <c r="EF35" s="772">
        <f t="shared" si="38"/>
        <v>0</v>
      </c>
    </row>
    <row r="36" spans="1:136" s="406" customFormat="1">
      <c r="A36" s="409">
        <f t="shared" si="0"/>
        <v>24</v>
      </c>
      <c r="B36" s="179" t="s">
        <v>367</v>
      </c>
      <c r="C36" s="408" t="s">
        <v>879</v>
      </c>
      <c r="D36" s="773">
        <v>-17002249.870000001</v>
      </c>
      <c r="E36" s="773">
        <v>0</v>
      </c>
      <c r="F36" s="773">
        <v>0</v>
      </c>
      <c r="G36" s="773">
        <v>0</v>
      </c>
      <c r="H36" s="773">
        <f t="shared" si="39"/>
        <v>0</v>
      </c>
      <c r="I36" s="773">
        <v>0</v>
      </c>
      <c r="J36" s="773">
        <v>0</v>
      </c>
      <c r="K36" s="773">
        <f t="shared" si="51"/>
        <v>0</v>
      </c>
      <c r="L36" s="773">
        <f>+D36</f>
        <v>-17002249.870000001</v>
      </c>
      <c r="M36" s="773">
        <v>0</v>
      </c>
      <c r="N36" s="774"/>
      <c r="O36" s="773">
        <v>-16556700.600000001</v>
      </c>
      <c r="P36" s="773">
        <v>0</v>
      </c>
      <c r="Q36" s="773">
        <v>0</v>
      </c>
      <c r="R36" s="773">
        <v>0</v>
      </c>
      <c r="S36" s="773">
        <f t="shared" si="40"/>
        <v>0</v>
      </c>
      <c r="T36" s="773">
        <v>0</v>
      </c>
      <c r="U36" s="773">
        <v>0</v>
      </c>
      <c r="V36" s="773">
        <f t="shared" si="52"/>
        <v>0</v>
      </c>
      <c r="W36" s="773">
        <f>+O36</f>
        <v>-16556700.600000001</v>
      </c>
      <c r="X36" s="773">
        <v>0</v>
      </c>
      <c r="Y36" s="609"/>
      <c r="Z36" s="773">
        <v>-16112265.200000001</v>
      </c>
      <c r="AA36" s="773">
        <v>0</v>
      </c>
      <c r="AB36" s="773">
        <v>0</v>
      </c>
      <c r="AC36" s="773">
        <v>0</v>
      </c>
      <c r="AD36" s="773">
        <f t="shared" si="41"/>
        <v>0</v>
      </c>
      <c r="AE36" s="773">
        <v>0</v>
      </c>
      <c r="AF36" s="773">
        <v>0</v>
      </c>
      <c r="AG36" s="773">
        <f t="shared" si="53"/>
        <v>0</v>
      </c>
      <c r="AH36" s="773">
        <f>+Z36</f>
        <v>-16112265.200000001</v>
      </c>
      <c r="AI36" s="773">
        <v>0</v>
      </c>
      <c r="AK36" s="773">
        <v>-15667087.220000001</v>
      </c>
      <c r="AL36" s="773">
        <v>0</v>
      </c>
      <c r="AM36" s="773">
        <v>0</v>
      </c>
      <c r="AN36" s="773">
        <v>0</v>
      </c>
      <c r="AO36" s="773">
        <f t="shared" si="42"/>
        <v>0</v>
      </c>
      <c r="AP36" s="773">
        <v>0</v>
      </c>
      <c r="AQ36" s="773">
        <v>0</v>
      </c>
      <c r="AR36" s="773">
        <f t="shared" si="54"/>
        <v>0</v>
      </c>
      <c r="AS36" s="773">
        <f>+AK36</f>
        <v>-15667087.220000001</v>
      </c>
      <c r="AT36" s="773">
        <v>0</v>
      </c>
      <c r="AU36" s="779"/>
      <c r="AV36" s="773">
        <v>-15221909.24</v>
      </c>
      <c r="AW36" s="773">
        <v>0</v>
      </c>
      <c r="AX36" s="773">
        <v>0</v>
      </c>
      <c r="AY36" s="773">
        <v>0</v>
      </c>
      <c r="AZ36" s="773">
        <f t="shared" si="43"/>
        <v>0</v>
      </c>
      <c r="BA36" s="773">
        <v>0</v>
      </c>
      <c r="BB36" s="773">
        <v>0</v>
      </c>
      <c r="BC36" s="773">
        <f t="shared" si="55"/>
        <v>0</v>
      </c>
      <c r="BD36" s="773">
        <f>+AV36</f>
        <v>-15221909.24</v>
      </c>
      <c r="BE36" s="773">
        <v>0</v>
      </c>
      <c r="BF36" s="779"/>
      <c r="BG36" s="773">
        <v>-14775431.75</v>
      </c>
      <c r="BH36" s="773">
        <v>0</v>
      </c>
      <c r="BI36" s="773">
        <v>0</v>
      </c>
      <c r="BJ36" s="773">
        <v>0</v>
      </c>
      <c r="BK36" s="773">
        <f t="shared" si="44"/>
        <v>0</v>
      </c>
      <c r="BL36" s="773">
        <v>0</v>
      </c>
      <c r="BM36" s="773">
        <v>0</v>
      </c>
      <c r="BN36" s="773">
        <f t="shared" si="56"/>
        <v>0</v>
      </c>
      <c r="BO36" s="773">
        <f>+BG36</f>
        <v>-14775431.75</v>
      </c>
      <c r="BP36" s="773">
        <v>0</v>
      </c>
      <c r="BQ36" s="779"/>
      <c r="BR36" s="773">
        <v>-14330037.189999999</v>
      </c>
      <c r="BS36" s="773">
        <v>0</v>
      </c>
      <c r="BT36" s="773">
        <v>0</v>
      </c>
      <c r="BU36" s="773">
        <v>0</v>
      </c>
      <c r="BV36" s="773">
        <f t="shared" si="45"/>
        <v>0</v>
      </c>
      <c r="BW36" s="773">
        <v>0</v>
      </c>
      <c r="BX36" s="773">
        <v>0</v>
      </c>
      <c r="BY36" s="773">
        <f t="shared" si="57"/>
        <v>0</v>
      </c>
      <c r="BZ36" s="773">
        <f>+BR36</f>
        <v>-14330037.189999999</v>
      </c>
      <c r="CA36" s="773">
        <v>0</v>
      </c>
      <c r="CC36" s="773">
        <v>-13884642.619999999</v>
      </c>
      <c r="CD36" s="773">
        <v>0</v>
      </c>
      <c r="CE36" s="773">
        <v>0</v>
      </c>
      <c r="CF36" s="773">
        <v>0</v>
      </c>
      <c r="CG36" s="773">
        <f t="shared" si="46"/>
        <v>0</v>
      </c>
      <c r="CH36" s="773">
        <v>0</v>
      </c>
      <c r="CI36" s="773">
        <v>0</v>
      </c>
      <c r="CJ36" s="773">
        <f t="shared" si="58"/>
        <v>0</v>
      </c>
      <c r="CK36" s="773">
        <f>+CC36</f>
        <v>-13884642.619999999</v>
      </c>
      <c r="CL36" s="773">
        <v>0</v>
      </c>
      <c r="CN36" s="773">
        <v>-13438783.949999999</v>
      </c>
      <c r="CO36" s="773">
        <v>0</v>
      </c>
      <c r="CP36" s="773">
        <v>0</v>
      </c>
      <c r="CQ36" s="773">
        <v>0</v>
      </c>
      <c r="CR36" s="773">
        <f t="shared" si="47"/>
        <v>0</v>
      </c>
      <c r="CS36" s="773">
        <v>0</v>
      </c>
      <c r="CT36" s="773">
        <v>0</v>
      </c>
      <c r="CU36" s="773">
        <f t="shared" si="59"/>
        <v>0</v>
      </c>
      <c r="CV36" s="773">
        <f>+CN36</f>
        <v>-13438783.949999999</v>
      </c>
      <c r="CW36" s="773">
        <v>0</v>
      </c>
      <c r="CY36" s="102">
        <v>-12993337.809999999</v>
      </c>
      <c r="CZ36" s="773">
        <v>0</v>
      </c>
      <c r="DA36" s="773">
        <v>0</v>
      </c>
      <c r="DB36" s="773">
        <v>0</v>
      </c>
      <c r="DC36" s="773">
        <f t="shared" si="48"/>
        <v>0</v>
      </c>
      <c r="DD36" s="773">
        <v>0</v>
      </c>
      <c r="DE36" s="773">
        <v>0</v>
      </c>
      <c r="DF36" s="773">
        <f t="shared" si="60"/>
        <v>0</v>
      </c>
      <c r="DG36" s="773">
        <f>+CY36</f>
        <v>-12993337.809999999</v>
      </c>
      <c r="DH36" s="773">
        <v>0</v>
      </c>
      <c r="DJ36" s="773">
        <v>-12547891.679999998</v>
      </c>
      <c r="DK36" s="773">
        <v>0</v>
      </c>
      <c r="DL36" s="773">
        <v>0</v>
      </c>
      <c r="DM36" s="773">
        <v>0</v>
      </c>
      <c r="DN36" s="773">
        <f t="shared" si="49"/>
        <v>0</v>
      </c>
      <c r="DO36" s="773">
        <v>0</v>
      </c>
      <c r="DP36" s="773">
        <v>0</v>
      </c>
      <c r="DQ36" s="773">
        <f t="shared" si="61"/>
        <v>0</v>
      </c>
      <c r="DR36" s="773">
        <f>+DJ36</f>
        <v>-12547891.679999998</v>
      </c>
      <c r="DS36" s="773">
        <v>0</v>
      </c>
      <c r="DU36" s="773">
        <v>-12101208.069999998</v>
      </c>
      <c r="DV36" s="773">
        <v>0</v>
      </c>
      <c r="DW36" s="773">
        <v>0</v>
      </c>
      <c r="DX36" s="773">
        <v>0</v>
      </c>
      <c r="DY36" s="773">
        <f t="shared" si="50"/>
        <v>0</v>
      </c>
      <c r="DZ36" s="773">
        <v>0</v>
      </c>
      <c r="EA36" s="773">
        <v>0</v>
      </c>
      <c r="EB36" s="773">
        <f t="shared" si="62"/>
        <v>0</v>
      </c>
      <c r="EC36" s="773">
        <f>+DU36</f>
        <v>-12101208.069999998</v>
      </c>
      <c r="ED36" s="773">
        <v>0</v>
      </c>
      <c r="EE36" s="772">
        <f>+'II-E-3.5'!I43+DU36</f>
        <v>0</v>
      </c>
      <c r="EF36" s="772">
        <f t="shared" si="38"/>
        <v>0</v>
      </c>
    </row>
    <row r="37" spans="1:136" s="406" customFormat="1">
      <c r="A37" s="409">
        <f t="shared" si="0"/>
        <v>25</v>
      </c>
      <c r="B37" s="179" t="s">
        <v>955</v>
      </c>
      <c r="C37" s="786" t="s">
        <v>386</v>
      </c>
      <c r="D37" s="773">
        <v>-11058894.389999999</v>
      </c>
      <c r="E37" s="773">
        <f>ROUND(+D37*'[5]II-F Alloc_Factor'!$E$27,2)</f>
        <v>-2308682.0699999998</v>
      </c>
      <c r="F37" s="773">
        <f>ROUND(+D37*'[5]II-F Alloc_Factor'!$F$27,2)</f>
        <v>0</v>
      </c>
      <c r="G37" s="773">
        <f>ROUND(+D37*'[5]II-F Alloc_Factor'!$G$27,2)</f>
        <v>0</v>
      </c>
      <c r="H37" s="773">
        <f t="shared" si="39"/>
        <v>-2308682.0699999998</v>
      </c>
      <c r="I37" s="773">
        <f>ROUND(+D37*'[5]II-F Alloc_Factor'!$I$27,2)</f>
        <v>-5906147.3399999999</v>
      </c>
      <c r="J37" s="773">
        <f>ROUND(+D37*'[5]II-F Alloc_Factor'!$J$27,2)</f>
        <v>0</v>
      </c>
      <c r="K37" s="773">
        <f t="shared" si="51"/>
        <v>-5906147.3399999999</v>
      </c>
      <c r="L37" s="773">
        <f>ROUND(+D37*'[5]II-F Alloc_Factor'!$L$27,2)</f>
        <v>-2115968.41</v>
      </c>
      <c r="M37" s="773">
        <f>ROUND(+D37*'[5]II-F Alloc_Factor'!$M$27,2)</f>
        <v>-728096.57</v>
      </c>
      <c r="N37" s="774"/>
      <c r="O37" s="773">
        <v>-10393360.049999999</v>
      </c>
      <c r="P37" s="773">
        <f>ROUND(+O37*'[5]II-F Alloc_Factor'!$E$27,2)</f>
        <v>-2169743.48</v>
      </c>
      <c r="Q37" s="773">
        <f>ROUND(+O37*'[5]II-F Alloc_Factor'!$F$27,2)</f>
        <v>0</v>
      </c>
      <c r="R37" s="773">
        <f>ROUND(+O37*'[5]II-F Alloc_Factor'!$G$27,2)</f>
        <v>0</v>
      </c>
      <c r="S37" s="773">
        <f t="shared" si="40"/>
        <v>-2169743.48</v>
      </c>
      <c r="T37" s="773">
        <f>ROUND(+O37*'[5]II-F Alloc_Factor'!$I$27,2)</f>
        <v>-5550710.0099999998</v>
      </c>
      <c r="U37" s="773">
        <f>ROUND(+O37*'[5]II-F Alloc_Factor'!$J$27,2)</f>
        <v>0</v>
      </c>
      <c r="V37" s="773">
        <f t="shared" si="52"/>
        <v>-5550710.0099999998</v>
      </c>
      <c r="W37" s="773">
        <f>ROUND(+O37*'[5]II-F Alloc_Factor'!$L$27,2)</f>
        <v>-1988627.51</v>
      </c>
      <c r="X37" s="773">
        <f>ROUND(+O37*'[5]II-F Alloc_Factor'!$M$27,2)</f>
        <v>-684279.06</v>
      </c>
      <c r="Y37" s="609"/>
      <c r="Z37" s="773">
        <v>-9726949.2599999979</v>
      </c>
      <c r="AA37" s="773">
        <f>ROUND(+Z37*'[5]II-F Alloc_Factor'!$E$27,2)</f>
        <v>-2030621.92</v>
      </c>
      <c r="AB37" s="773">
        <f>ROUND(+Z37*'[5]II-F Alloc_Factor'!$F$27,2)</f>
        <v>0</v>
      </c>
      <c r="AC37" s="773">
        <f>ROUND(+Z37*'[5]II-F Alloc_Factor'!$G$27,2)</f>
        <v>0</v>
      </c>
      <c r="AD37" s="773">
        <f t="shared" si="41"/>
        <v>-2030621.92</v>
      </c>
      <c r="AE37" s="773">
        <f>ROUND(+Z37*'[5]II-F Alloc_Factor'!$I$27,2)</f>
        <v>-5194804.5999999996</v>
      </c>
      <c r="AF37" s="773">
        <f>ROUND(+Z37*'[5]II-F Alloc_Factor'!$J$27,2)</f>
        <v>0</v>
      </c>
      <c r="AG37" s="773">
        <f t="shared" si="53"/>
        <v>-5194804.5999999996</v>
      </c>
      <c r="AH37" s="773">
        <f>ROUND(+Z37*'[5]II-F Alloc_Factor'!$L$27,2)</f>
        <v>-1861118.9</v>
      </c>
      <c r="AI37" s="773">
        <f>ROUND(+Z37*'[5]II-F Alloc_Factor'!$M$27,2)</f>
        <v>-640403.84</v>
      </c>
      <c r="AK37" s="773">
        <v>-9056266.9299999978</v>
      </c>
      <c r="AL37" s="773">
        <f>ROUND(+AK37*'[5]II-F Alloc_Factor'!$E$27,2)</f>
        <v>-1890608.62</v>
      </c>
      <c r="AM37" s="773">
        <f>ROUND(+AK37*'[5]II-F Alloc_Factor'!$F$27,2)</f>
        <v>0</v>
      </c>
      <c r="AN37" s="773">
        <f>ROUND(+AK37*'[5]II-F Alloc_Factor'!$G$27,2)</f>
        <v>0</v>
      </c>
      <c r="AO37" s="773">
        <f t="shared" si="42"/>
        <v>-1890608.62</v>
      </c>
      <c r="AP37" s="773">
        <f>ROUND(+AK37*'[5]II-F Alloc_Factor'!$I$27,2)</f>
        <v>-4836617.92</v>
      </c>
      <c r="AQ37" s="773">
        <f>ROUND(+AK37*'[5]II-F Alloc_Factor'!$J$27,2)</f>
        <v>0</v>
      </c>
      <c r="AR37" s="773">
        <f t="shared" si="54"/>
        <v>-4836617.92</v>
      </c>
      <c r="AS37" s="773">
        <f>ROUND(+AK37*'[5]II-F Alloc_Factor'!$L$27,2)</f>
        <v>-1732793</v>
      </c>
      <c r="AT37" s="773">
        <f>ROUND(+AK37*'[5]II-F Alloc_Factor'!$M$27,2)</f>
        <v>-596247.39</v>
      </c>
      <c r="AU37" s="779"/>
      <c r="AV37" s="773">
        <v>-8375232.5999999978</v>
      </c>
      <c r="AW37" s="773">
        <f>ROUND(+AV37*'[5]II-F Alloc_Factor'!$E$27,2)</f>
        <v>-1748434.22</v>
      </c>
      <c r="AX37" s="773">
        <f>ROUND(+AV37*'[5]II-F Alloc_Factor'!$F$27,2)</f>
        <v>0</v>
      </c>
      <c r="AY37" s="773">
        <f>ROUND(+AV37*'[5]II-F Alloc_Factor'!$G$27,2)</f>
        <v>0</v>
      </c>
      <c r="AZ37" s="773">
        <f t="shared" si="43"/>
        <v>-1748434.22</v>
      </c>
      <c r="BA37" s="773">
        <f>ROUND(+AV37*'[5]II-F Alloc_Factor'!$I$27,2)</f>
        <v>-4472902.62</v>
      </c>
      <c r="BB37" s="773">
        <f>ROUND(+AV37*'[5]II-F Alloc_Factor'!$J$27,2)</f>
        <v>0</v>
      </c>
      <c r="BC37" s="773">
        <f t="shared" si="55"/>
        <v>-4472902.62</v>
      </c>
      <c r="BD37" s="773">
        <f>ROUND(+AV37*'[5]II-F Alloc_Factor'!$L$27,2)</f>
        <v>-1602486.38</v>
      </c>
      <c r="BE37" s="773">
        <f>ROUND(+AV37*'[5]II-F Alloc_Factor'!$M$27,2)</f>
        <v>-551409.38</v>
      </c>
      <c r="BF37" s="779"/>
      <c r="BG37" s="773">
        <v>-7689953.4999999981</v>
      </c>
      <c r="BH37" s="773">
        <f>ROUND(+BG37*'[5]II-F Alloc_Factor'!$E$27,2)</f>
        <v>-1605373.66</v>
      </c>
      <c r="BI37" s="773">
        <f>ROUND(+BG37*'[5]II-F Alloc_Factor'!$F$27,2)</f>
        <v>0</v>
      </c>
      <c r="BJ37" s="773">
        <f>ROUND(+BG37*'[5]II-F Alloc_Factor'!$G$27,2)</f>
        <v>0</v>
      </c>
      <c r="BK37" s="773">
        <f t="shared" si="44"/>
        <v>-1605373.66</v>
      </c>
      <c r="BL37" s="773">
        <f>ROUND(+BG37*'[5]II-F Alloc_Factor'!$I$27,2)</f>
        <v>-4106920.35</v>
      </c>
      <c r="BM37" s="773">
        <f>ROUND(+BG37*'[5]II-F Alloc_Factor'!$J$27,2)</f>
        <v>0</v>
      </c>
      <c r="BN37" s="773">
        <f t="shared" si="56"/>
        <v>-4106920.35</v>
      </c>
      <c r="BO37" s="773">
        <f>ROUND(+BG37*'[5]II-F Alloc_Factor'!$L$27,2)</f>
        <v>-1471367.58</v>
      </c>
      <c r="BP37" s="773">
        <f>ROUND(+BG37*'[5]II-F Alloc_Factor'!$M$27,2)</f>
        <v>-506291.91</v>
      </c>
      <c r="BQ37" s="779"/>
      <c r="BR37" s="773">
        <v>-7046298.3599999985</v>
      </c>
      <c r="BS37" s="773">
        <f>ROUND(+BR37*'[5]II-F Alloc_Factor'!$E$27,2)</f>
        <v>-1471002.63</v>
      </c>
      <c r="BT37" s="773">
        <f>ROUND(+BR37*'[5]II-F Alloc_Factor'!$F$27,2)</f>
        <v>0</v>
      </c>
      <c r="BU37" s="773">
        <f>ROUND(+BR37*'[5]II-F Alloc_Factor'!$G$27,2)</f>
        <v>0</v>
      </c>
      <c r="BV37" s="773">
        <f t="shared" si="45"/>
        <v>-1471002.63</v>
      </c>
      <c r="BW37" s="773">
        <f>ROUND(+BR37*'[5]II-F Alloc_Factor'!$I$27,2)</f>
        <v>-3763167.89</v>
      </c>
      <c r="BX37" s="773">
        <f>ROUND(+BR37*'[5]II-F Alloc_Factor'!$J$27,2)</f>
        <v>0</v>
      </c>
      <c r="BY37" s="773">
        <f t="shared" si="57"/>
        <v>-3763167.89</v>
      </c>
      <c r="BZ37" s="773">
        <f>ROUND(+BR37*'[5]II-F Alloc_Factor'!$L$27,2)</f>
        <v>-1348212.96</v>
      </c>
      <c r="CA37" s="773">
        <f>ROUND(+BR37*'[5]II-F Alloc_Factor'!$M$27,2)</f>
        <v>-463914.88</v>
      </c>
      <c r="CC37" s="773">
        <v>-6384799.7299999986</v>
      </c>
      <c r="CD37" s="773">
        <f>ROUND(+CC37*'[5]II-F Alloc_Factor'!$E$27,2)</f>
        <v>-1332906.54</v>
      </c>
      <c r="CE37" s="773">
        <f>ROUND(+CC37*'[5]II-F Alloc_Factor'!$F$27,2)</f>
        <v>0</v>
      </c>
      <c r="CF37" s="773">
        <f>ROUND(+CC37*'[5]II-F Alloc_Factor'!$G$27,2)</f>
        <v>0</v>
      </c>
      <c r="CG37" s="773">
        <f t="shared" si="46"/>
        <v>-1332906.54</v>
      </c>
      <c r="CH37" s="773">
        <f>ROUND(+CC37*'[5]II-F Alloc_Factor'!$I$27,2)</f>
        <v>-3409885.89</v>
      </c>
      <c r="CI37" s="773">
        <f>ROUND(+CC37*'[5]II-F Alloc_Factor'!$J$27,2)</f>
        <v>0</v>
      </c>
      <c r="CJ37" s="773">
        <f t="shared" si="58"/>
        <v>-3409885.89</v>
      </c>
      <c r="CK37" s="773">
        <f>ROUND(+CC37*'[5]II-F Alloc_Factor'!$L$27,2)</f>
        <v>-1221644.23</v>
      </c>
      <c r="CL37" s="773">
        <f>ROUND(+CC37*'[5]II-F Alloc_Factor'!$M$27,2)</f>
        <v>-420363.07</v>
      </c>
      <c r="CN37" s="773">
        <v>-5721757.7199999988</v>
      </c>
      <c r="CO37" s="773">
        <f>ROUND(+CN37*'[5]II-F Alloc_Factor'!$E$27,2)</f>
        <v>-1194488.25</v>
      </c>
      <c r="CP37" s="773">
        <f>ROUND(+CN37*'[5]II-F Alloc_Factor'!$F$27,2)</f>
        <v>0</v>
      </c>
      <c r="CQ37" s="773">
        <f>ROUND(+CN37*'[5]II-F Alloc_Factor'!$G$27,2)</f>
        <v>0</v>
      </c>
      <c r="CR37" s="773">
        <f t="shared" si="47"/>
        <v>-1194488.25</v>
      </c>
      <c r="CS37" s="773">
        <f>ROUND(+CN37*'[5]II-F Alloc_Factor'!$I$27,2)</f>
        <v>-3055779.62</v>
      </c>
      <c r="CT37" s="773">
        <f>ROUND(+CN37*'[5]II-F Alloc_Factor'!$J$27,2)</f>
        <v>0</v>
      </c>
      <c r="CU37" s="773">
        <f t="shared" si="59"/>
        <v>-3055779.62</v>
      </c>
      <c r="CV37" s="773">
        <f>ROUND(+CN37*'[5]II-F Alloc_Factor'!$L$27,2)</f>
        <v>-1094780.2</v>
      </c>
      <c r="CW37" s="773">
        <f>ROUND(+CN37*'[5]II-F Alloc_Factor'!$M$27,2)</f>
        <v>-376709.64</v>
      </c>
      <c r="CY37" s="102">
        <v>-5054619.1599999983</v>
      </c>
      <c r="CZ37" s="773">
        <f>ROUND(+CY37*'[5]II-F Alloc_Factor'!$E$27,2)</f>
        <v>-1055214.76</v>
      </c>
      <c r="DA37" s="773">
        <f>ROUND(+CY37*'[5]II-F Alloc_Factor'!$F$27,2)</f>
        <v>0</v>
      </c>
      <c r="DB37" s="773">
        <f>ROUND(+CY37*'[5]II-F Alloc_Factor'!$G$27,2)</f>
        <v>0</v>
      </c>
      <c r="DC37" s="773">
        <f t="shared" si="48"/>
        <v>-1055214.76</v>
      </c>
      <c r="DD37" s="773">
        <f>ROUND(+CY37*'[5]II-F Alloc_Factor'!$I$27,2)</f>
        <v>-2699485.54</v>
      </c>
      <c r="DE37" s="773">
        <f>ROUND(+CY37*'[5]II-F Alloc_Factor'!$J$27,2)</f>
        <v>0</v>
      </c>
      <c r="DF37" s="773">
        <f t="shared" si="60"/>
        <v>-2699485.54</v>
      </c>
      <c r="DG37" s="773">
        <f>ROUND(+CY37*'[5]II-F Alloc_Factor'!$L$27,2)</f>
        <v>-967132.35</v>
      </c>
      <c r="DH37" s="773">
        <f>ROUND(+CY37*'[5]II-F Alloc_Factor'!$M$27,2)</f>
        <v>-332786.51</v>
      </c>
      <c r="DJ37" s="773">
        <v>-4383629.9899999984</v>
      </c>
      <c r="DK37" s="773">
        <f>ROUND(+DJ37*'[5]II-F Alloc_Factor'!$E$27,2)</f>
        <v>-915137.41</v>
      </c>
      <c r="DL37" s="773">
        <f>ROUND(+DJ37*'[5]II-F Alloc_Factor'!$F$27,2)</f>
        <v>0</v>
      </c>
      <c r="DM37" s="773">
        <f>ROUND(+DJ37*'[5]II-F Alloc_Factor'!$G$27,2)</f>
        <v>0</v>
      </c>
      <c r="DN37" s="773">
        <f t="shared" si="49"/>
        <v>-915137.41</v>
      </c>
      <c r="DO37" s="773">
        <f>ROUND(+DJ37*'[5]II-F Alloc_Factor'!$I$27,2)</f>
        <v>-2341134.9900000002</v>
      </c>
      <c r="DP37" s="773">
        <f>ROUND(+DJ37*'[5]II-F Alloc_Factor'!$J$27,2)</f>
        <v>0</v>
      </c>
      <c r="DQ37" s="773">
        <f t="shared" si="61"/>
        <v>-2341134.9900000002</v>
      </c>
      <c r="DR37" s="773">
        <f>ROUND(+DJ37*'[5]II-F Alloc_Factor'!$L$27,2)</f>
        <v>-838747.73</v>
      </c>
      <c r="DS37" s="773">
        <f>ROUND(+DJ37*'[5]II-F Alloc_Factor'!$M$27,2)</f>
        <v>-288609.86</v>
      </c>
      <c r="DU37" s="773">
        <v>-3736948.0099999984</v>
      </c>
      <c r="DV37" s="773">
        <f>ROUND(+DU37*'[5]II-F Alloc_Factor'!$E$27,2)</f>
        <v>-780134.48</v>
      </c>
      <c r="DW37" s="773">
        <f>ROUND(+DU37*'[5]II-F Alloc_Factor'!$F$27,2)</f>
        <v>0</v>
      </c>
      <c r="DX37" s="773">
        <f>ROUND(+DU37*'[5]II-F Alloc_Factor'!$G$27,2)</f>
        <v>0</v>
      </c>
      <c r="DY37" s="773">
        <f t="shared" si="50"/>
        <v>-780134.48</v>
      </c>
      <c r="DZ37" s="773">
        <f>ROUND(+DU37*'[5]II-F Alloc_Factor'!$I$27,2)</f>
        <v>-1995766.01</v>
      </c>
      <c r="EA37" s="773">
        <f>ROUND(+DU37*'[5]II-F Alloc_Factor'!$J$27,2)</f>
        <v>0</v>
      </c>
      <c r="EB37" s="773">
        <f t="shared" si="62"/>
        <v>-1995766.01</v>
      </c>
      <c r="EC37" s="773">
        <f>ROUND(+DU37*'[5]II-F Alloc_Factor'!$L$27,2)</f>
        <v>-715013.97</v>
      </c>
      <c r="ED37" s="773">
        <f>ROUND(+DU37*'[5]II-F Alloc_Factor'!$M$27,2)</f>
        <v>-246033.55</v>
      </c>
      <c r="EE37" s="772">
        <f>+'II-E-3.5'!I44+DU37</f>
        <v>0</v>
      </c>
      <c r="EF37" s="772">
        <f t="shared" si="38"/>
        <v>0</v>
      </c>
    </row>
    <row r="38" spans="1:136" s="406" customFormat="1">
      <c r="A38" s="409">
        <f t="shared" si="0"/>
        <v>26</v>
      </c>
      <c r="B38" s="179" t="s">
        <v>1054</v>
      </c>
      <c r="C38" s="190" t="s">
        <v>387</v>
      </c>
      <c r="D38" s="773">
        <v>-92583.26</v>
      </c>
      <c r="E38" s="773">
        <v>-64277.65</v>
      </c>
      <c r="F38" s="773">
        <v>0</v>
      </c>
      <c r="G38" s="773">
        <v>0</v>
      </c>
      <c r="H38" s="773">
        <f t="shared" si="39"/>
        <v>-64277.65</v>
      </c>
      <c r="I38" s="773">
        <v>-28305.61</v>
      </c>
      <c r="J38" s="773">
        <v>0</v>
      </c>
      <c r="K38" s="773">
        <f t="shared" si="51"/>
        <v>-28305.61</v>
      </c>
      <c r="L38" s="773">
        <v>0</v>
      </c>
      <c r="M38" s="773">
        <v>0</v>
      </c>
      <c r="N38" s="774"/>
      <c r="O38" s="773">
        <v>-100201.47</v>
      </c>
      <c r="P38" s="773">
        <v>-69566.740000000005</v>
      </c>
      <c r="Q38" s="773">
        <v>0</v>
      </c>
      <c r="R38" s="773">
        <v>0</v>
      </c>
      <c r="S38" s="773">
        <f t="shared" si="40"/>
        <v>-69566.740000000005</v>
      </c>
      <c r="T38" s="773">
        <v>-30634.73</v>
      </c>
      <c r="U38" s="773">
        <v>0</v>
      </c>
      <c r="V38" s="773">
        <f t="shared" si="52"/>
        <v>-30634.73</v>
      </c>
      <c r="W38" s="773">
        <v>0</v>
      </c>
      <c r="X38" s="773">
        <v>0</v>
      </c>
      <c r="Y38" s="609"/>
      <c r="Z38" s="773">
        <v>-107831.73</v>
      </c>
      <c r="AA38" s="773">
        <v>-74864.19</v>
      </c>
      <c r="AB38" s="773">
        <v>0</v>
      </c>
      <c r="AC38" s="773">
        <v>0</v>
      </c>
      <c r="AD38" s="773">
        <f t="shared" si="41"/>
        <v>-74864.19</v>
      </c>
      <c r="AE38" s="773">
        <v>-32967.54</v>
      </c>
      <c r="AF38" s="773">
        <v>0</v>
      </c>
      <c r="AG38" s="773">
        <f t="shared" si="53"/>
        <v>-32967.54</v>
      </c>
      <c r="AH38" s="773">
        <v>0</v>
      </c>
      <c r="AI38" s="773">
        <v>0</v>
      </c>
      <c r="AK38" s="773">
        <v>-115485.04</v>
      </c>
      <c r="AL38" s="773">
        <v>-80177.64</v>
      </c>
      <c r="AM38" s="773">
        <v>0</v>
      </c>
      <c r="AN38" s="773">
        <v>0</v>
      </c>
      <c r="AO38" s="773">
        <f t="shared" si="42"/>
        <v>-80177.64</v>
      </c>
      <c r="AP38" s="773">
        <v>-35307.4</v>
      </c>
      <c r="AQ38" s="773">
        <v>0</v>
      </c>
      <c r="AR38" s="773">
        <f t="shared" si="54"/>
        <v>-35307.4</v>
      </c>
      <c r="AS38" s="773">
        <v>0</v>
      </c>
      <c r="AT38" s="773">
        <v>0</v>
      </c>
      <c r="AU38" s="779"/>
      <c r="AV38" s="773">
        <v>-114307.44</v>
      </c>
      <c r="AW38" s="773">
        <v>-79360.070000000007</v>
      </c>
      <c r="AX38" s="773">
        <v>0</v>
      </c>
      <c r="AY38" s="773">
        <v>0</v>
      </c>
      <c r="AZ38" s="773">
        <f t="shared" si="43"/>
        <v>-79360.070000000007</v>
      </c>
      <c r="BA38" s="773">
        <v>-34947.370000000003</v>
      </c>
      <c r="BB38" s="773">
        <v>0</v>
      </c>
      <c r="BC38" s="773">
        <f t="shared" si="55"/>
        <v>-34947.370000000003</v>
      </c>
      <c r="BD38" s="773">
        <v>0</v>
      </c>
      <c r="BE38" s="773">
        <v>0</v>
      </c>
      <c r="BF38" s="779"/>
      <c r="BG38" s="773">
        <v>-122611.98999999999</v>
      </c>
      <c r="BH38" s="773">
        <v>-85125.66</v>
      </c>
      <c r="BI38" s="773">
        <v>0</v>
      </c>
      <c r="BJ38" s="773">
        <v>0</v>
      </c>
      <c r="BK38" s="773">
        <f t="shared" si="44"/>
        <v>-85125.66</v>
      </c>
      <c r="BL38" s="773">
        <v>-37486.33</v>
      </c>
      <c r="BM38" s="773">
        <v>0</v>
      </c>
      <c r="BN38" s="773">
        <f t="shared" si="56"/>
        <v>-37486.33</v>
      </c>
      <c r="BO38" s="773">
        <v>0</v>
      </c>
      <c r="BP38" s="773">
        <v>0</v>
      </c>
      <c r="BQ38" s="779"/>
      <c r="BR38" s="773">
        <v>-128107.87</v>
      </c>
      <c r="BS38" s="773">
        <v>-88941.27</v>
      </c>
      <c r="BT38" s="773">
        <v>0</v>
      </c>
      <c r="BU38" s="773">
        <v>0</v>
      </c>
      <c r="BV38" s="773">
        <f t="shared" si="45"/>
        <v>-88941.27</v>
      </c>
      <c r="BW38" s="773">
        <v>-39166.6</v>
      </c>
      <c r="BX38" s="773">
        <v>0</v>
      </c>
      <c r="BY38" s="773">
        <f t="shared" si="57"/>
        <v>-39166.6</v>
      </c>
      <c r="BZ38" s="773">
        <v>0</v>
      </c>
      <c r="CA38" s="773">
        <v>0</v>
      </c>
      <c r="CC38" s="773">
        <v>-133761.46000000002</v>
      </c>
      <c r="CD38" s="773">
        <v>-92866.38</v>
      </c>
      <c r="CE38" s="773">
        <v>0</v>
      </c>
      <c r="CF38" s="773">
        <v>0</v>
      </c>
      <c r="CG38" s="773">
        <f t="shared" si="46"/>
        <v>-92866.38</v>
      </c>
      <c r="CH38" s="773">
        <v>-40895.08</v>
      </c>
      <c r="CI38" s="773">
        <v>0</v>
      </c>
      <c r="CJ38" s="773">
        <f t="shared" si="58"/>
        <v>-40895.08</v>
      </c>
      <c r="CK38" s="773">
        <v>0</v>
      </c>
      <c r="CL38" s="773">
        <v>0</v>
      </c>
      <c r="CN38" s="773">
        <v>-139043.03999999998</v>
      </c>
      <c r="CO38" s="773">
        <v>-96533.22</v>
      </c>
      <c r="CP38" s="773">
        <v>0</v>
      </c>
      <c r="CQ38" s="773">
        <v>0</v>
      </c>
      <c r="CR38" s="773">
        <f t="shared" si="47"/>
        <v>-96533.22</v>
      </c>
      <c r="CS38" s="773">
        <v>-42509.82</v>
      </c>
      <c r="CT38" s="773">
        <v>0</v>
      </c>
      <c r="CU38" s="773">
        <f t="shared" si="59"/>
        <v>-42509.82</v>
      </c>
      <c r="CV38" s="773">
        <v>0</v>
      </c>
      <c r="CW38" s="773">
        <v>0</v>
      </c>
      <c r="CY38" s="102">
        <v>-143947.18</v>
      </c>
      <c r="CZ38" s="773">
        <v>-99938.01</v>
      </c>
      <c r="DA38" s="773">
        <v>0</v>
      </c>
      <c r="DB38" s="773">
        <v>0</v>
      </c>
      <c r="DC38" s="773">
        <f t="shared" si="48"/>
        <v>-99938.01</v>
      </c>
      <c r="DD38" s="773">
        <v>-44009.17</v>
      </c>
      <c r="DE38" s="773">
        <v>0</v>
      </c>
      <c r="DF38" s="773">
        <f t="shared" si="60"/>
        <v>-44009.17</v>
      </c>
      <c r="DG38" s="773">
        <v>0</v>
      </c>
      <c r="DH38" s="773">
        <v>0</v>
      </c>
      <c r="DJ38" s="773">
        <v>-149251.16</v>
      </c>
      <c r="DK38" s="773">
        <v>-103620.4</v>
      </c>
      <c r="DL38" s="773">
        <v>0</v>
      </c>
      <c r="DM38" s="773">
        <v>0</v>
      </c>
      <c r="DN38" s="773">
        <f t="shared" si="49"/>
        <v>-103620.4</v>
      </c>
      <c r="DO38" s="773">
        <v>-45630.76</v>
      </c>
      <c r="DP38" s="773">
        <v>0</v>
      </c>
      <c r="DQ38" s="773">
        <f t="shared" si="61"/>
        <v>-45630.76</v>
      </c>
      <c r="DR38" s="773">
        <v>0</v>
      </c>
      <c r="DS38" s="773">
        <v>0</v>
      </c>
      <c r="DU38" s="773">
        <v>-146481.29999999999</v>
      </c>
      <c r="DV38" s="773">
        <v>-101697.37</v>
      </c>
      <c r="DW38" s="773">
        <v>0</v>
      </c>
      <c r="DX38" s="773">
        <v>0</v>
      </c>
      <c r="DY38" s="773">
        <f t="shared" si="50"/>
        <v>-101697.37</v>
      </c>
      <c r="DZ38" s="773">
        <v>-44783.93</v>
      </c>
      <c r="EA38" s="773">
        <v>0</v>
      </c>
      <c r="EB38" s="773">
        <f t="shared" si="62"/>
        <v>-44783.93</v>
      </c>
      <c r="EC38" s="773">
        <v>0</v>
      </c>
      <c r="ED38" s="773">
        <v>0</v>
      </c>
      <c r="EE38" s="772">
        <f>+'II-E-3.5'!I45+DU38</f>
        <v>0</v>
      </c>
      <c r="EF38" s="772">
        <f t="shared" si="38"/>
        <v>0</v>
      </c>
    </row>
    <row r="39" spans="1:136" s="406" customFormat="1">
      <c r="A39" s="409">
        <f t="shared" si="0"/>
        <v>27</v>
      </c>
      <c r="B39" s="179" t="s">
        <v>168</v>
      </c>
      <c r="C39" s="786" t="s">
        <v>663</v>
      </c>
      <c r="D39" s="773">
        <v>3064328.08</v>
      </c>
      <c r="E39" s="773">
        <f>ROUND(+D39*'[5]II-F Alloc_Factor'!$E$34,2)</f>
        <v>1356202.66</v>
      </c>
      <c r="F39" s="773">
        <f>ROUND(+D39*'[5]II-F Alloc_Factor'!$F$34,2)</f>
        <v>0</v>
      </c>
      <c r="G39" s="773">
        <f>ROUND(+D39*'[5]II-F Alloc_Factor'!$G$34,2)</f>
        <v>0</v>
      </c>
      <c r="H39" s="773">
        <f t="shared" si="39"/>
        <v>1356202.66</v>
      </c>
      <c r="I39" s="773">
        <f>ROUND(+D39*'[5]II-F Alloc_Factor'!$I$34,2)</f>
        <v>1654104.95</v>
      </c>
      <c r="J39" s="773">
        <f>ROUND(+D39*'[5]II-F Alloc_Factor'!$J$34,2)</f>
        <v>0</v>
      </c>
      <c r="K39" s="773">
        <f t="shared" si="51"/>
        <v>1654104.95</v>
      </c>
      <c r="L39" s="773">
        <f>ROUND(+D39*'[5]II-F Alloc_Factor'!$L$34,2)</f>
        <v>54020.47</v>
      </c>
      <c r="M39" s="773">
        <f>ROUND(+D39*'[5]II-F Alloc_Factor'!$M$34,2)</f>
        <v>0</v>
      </c>
      <c r="N39" s="774"/>
      <c r="O39" s="773">
        <v>3124466.7800000003</v>
      </c>
      <c r="P39" s="773">
        <f>ROUND(+O39*'[5]II-F Alloc_Factor'!$E$34,2)</f>
        <v>1382818.7</v>
      </c>
      <c r="Q39" s="773">
        <f>ROUND(+O39*'[5]II-F Alloc_Factor'!$F$34,2)</f>
        <v>0</v>
      </c>
      <c r="R39" s="773">
        <f>ROUND(+O39*'[5]II-F Alloc_Factor'!$G$34,2)</f>
        <v>0</v>
      </c>
      <c r="S39" s="773">
        <f t="shared" si="40"/>
        <v>1382818.7</v>
      </c>
      <c r="T39" s="773">
        <f>ROUND(+O39*'[5]II-F Alloc_Factor'!$I$34,2)</f>
        <v>1686567.44</v>
      </c>
      <c r="U39" s="773">
        <f>ROUND(+O39*'[5]II-F Alloc_Factor'!$J$34,2)</f>
        <v>0</v>
      </c>
      <c r="V39" s="773">
        <f t="shared" si="52"/>
        <v>1686567.44</v>
      </c>
      <c r="W39" s="773">
        <f>ROUND(+O39*'[5]II-F Alloc_Factor'!$L$34,2)</f>
        <v>55080.639999999999</v>
      </c>
      <c r="X39" s="773">
        <f>ROUND(+O39*'[5]II-F Alloc_Factor'!$M$34,2)</f>
        <v>0</v>
      </c>
      <c r="Y39" s="609"/>
      <c r="Z39" s="773">
        <v>3184605.4600000004</v>
      </c>
      <c r="AA39" s="773">
        <f>ROUND(+Z39*'[5]II-F Alloc_Factor'!$E$34,2)</f>
        <v>1409434.73</v>
      </c>
      <c r="AB39" s="773">
        <f>ROUND(+Z39*'[5]II-F Alloc_Factor'!$F$34,2)</f>
        <v>0</v>
      </c>
      <c r="AC39" s="773">
        <f>ROUND(+Z39*'[5]II-F Alloc_Factor'!$G$34,2)</f>
        <v>0</v>
      </c>
      <c r="AD39" s="773">
        <f t="shared" si="41"/>
        <v>1409434.73</v>
      </c>
      <c r="AE39" s="773">
        <f>ROUND(+Z39*'[5]II-F Alloc_Factor'!$I$34,2)</f>
        <v>1719029.92</v>
      </c>
      <c r="AF39" s="773">
        <f>ROUND(+Z39*'[5]II-F Alloc_Factor'!$J$34,2)</f>
        <v>0</v>
      </c>
      <c r="AG39" s="773">
        <f t="shared" si="53"/>
        <v>1719029.92</v>
      </c>
      <c r="AH39" s="773">
        <f>ROUND(+Z39*'[5]II-F Alloc_Factor'!$L$34,2)</f>
        <v>56140.82</v>
      </c>
      <c r="AI39" s="773">
        <f>ROUND(+Z39*'[5]II-F Alloc_Factor'!$M$34,2)</f>
        <v>0</v>
      </c>
      <c r="AK39" s="773">
        <v>3243955.3600000003</v>
      </c>
      <c r="AL39" s="773">
        <f>ROUND(+AK39*'[5]II-F Alloc_Factor'!$E$34,2)</f>
        <v>1435701.66</v>
      </c>
      <c r="AM39" s="773">
        <f>ROUND(+AK39*'[5]II-F Alloc_Factor'!$F$34,2)</f>
        <v>0</v>
      </c>
      <c r="AN39" s="773">
        <f>ROUND(+AK39*'[5]II-F Alloc_Factor'!$G$34,2)</f>
        <v>0</v>
      </c>
      <c r="AO39" s="773">
        <f t="shared" si="42"/>
        <v>1435701.66</v>
      </c>
      <c r="AP39" s="773">
        <f>ROUND(+AK39*'[5]II-F Alloc_Factor'!$I$34,2)</f>
        <v>1751066.62</v>
      </c>
      <c r="AQ39" s="773">
        <f>ROUND(+AK39*'[5]II-F Alloc_Factor'!$J$34,2)</f>
        <v>0</v>
      </c>
      <c r="AR39" s="773">
        <f t="shared" si="54"/>
        <v>1751066.62</v>
      </c>
      <c r="AS39" s="773">
        <f>ROUND(+AK39*'[5]II-F Alloc_Factor'!$L$34,2)</f>
        <v>57187.09</v>
      </c>
      <c r="AT39" s="773">
        <f>ROUND(+AK39*'[5]II-F Alloc_Factor'!$M$34,2)</f>
        <v>0</v>
      </c>
      <c r="AU39" s="779"/>
      <c r="AV39" s="773">
        <v>3303305.24</v>
      </c>
      <c r="AW39" s="773">
        <f>ROUND(+AV39*'[5]II-F Alloc_Factor'!$E$34,2)</f>
        <v>1461968.58</v>
      </c>
      <c r="AX39" s="773">
        <f>ROUND(+AV39*'[5]II-F Alloc_Factor'!$F$34,2)</f>
        <v>0</v>
      </c>
      <c r="AY39" s="773">
        <f>ROUND(+AV39*'[5]II-F Alloc_Factor'!$G$34,2)</f>
        <v>0</v>
      </c>
      <c r="AZ39" s="773">
        <f t="shared" si="43"/>
        <v>1461968.58</v>
      </c>
      <c r="BA39" s="773">
        <f>ROUND(+AV39*'[5]II-F Alloc_Factor'!$I$34,2)</f>
        <v>1783103.31</v>
      </c>
      <c r="BB39" s="773">
        <f>ROUND(+AV39*'[5]II-F Alloc_Factor'!$J$34,2)</f>
        <v>0</v>
      </c>
      <c r="BC39" s="773">
        <f t="shared" si="55"/>
        <v>1783103.31</v>
      </c>
      <c r="BD39" s="773">
        <f>ROUND(+AV39*'[5]II-F Alloc_Factor'!$L$34,2)</f>
        <v>58233.35</v>
      </c>
      <c r="BE39" s="773">
        <f>ROUND(+AV39*'[5]II-F Alloc_Factor'!$M$34,2)</f>
        <v>0</v>
      </c>
      <c r="BF39" s="779"/>
      <c r="BG39" s="773">
        <v>3362655.14</v>
      </c>
      <c r="BH39" s="773">
        <f>ROUND(+BG39*'[5]II-F Alloc_Factor'!$E$34,2)</f>
        <v>1488235.51</v>
      </c>
      <c r="BI39" s="773">
        <f>ROUND(+BG39*'[5]II-F Alloc_Factor'!$F$34,2)</f>
        <v>0</v>
      </c>
      <c r="BJ39" s="773">
        <f>ROUND(+BG39*'[5]II-F Alloc_Factor'!$G$34,2)</f>
        <v>0</v>
      </c>
      <c r="BK39" s="773">
        <f t="shared" si="44"/>
        <v>1488235.51</v>
      </c>
      <c r="BL39" s="773">
        <f>ROUND(+BG39*'[5]II-F Alloc_Factor'!$I$34,2)</f>
        <v>1815140.01</v>
      </c>
      <c r="BM39" s="773">
        <f>ROUND(+BG39*'[5]II-F Alloc_Factor'!$J$34,2)</f>
        <v>0</v>
      </c>
      <c r="BN39" s="773">
        <f t="shared" si="56"/>
        <v>1815140.01</v>
      </c>
      <c r="BO39" s="773">
        <f>ROUND(+BG39*'[5]II-F Alloc_Factor'!$L$34,2)</f>
        <v>59279.62</v>
      </c>
      <c r="BP39" s="773">
        <f>ROUND(+BG39*'[5]II-F Alloc_Factor'!$M$34,2)</f>
        <v>0</v>
      </c>
      <c r="BQ39" s="779"/>
      <c r="BR39" s="773">
        <v>3422005.0300000003</v>
      </c>
      <c r="BS39" s="773">
        <f>ROUND(+BR39*'[5]II-F Alloc_Factor'!$E$34,2)</f>
        <v>1514502.43</v>
      </c>
      <c r="BT39" s="773">
        <f>ROUND(+BR39*'[5]II-F Alloc_Factor'!$F$34,2)</f>
        <v>0</v>
      </c>
      <c r="BU39" s="773">
        <f>ROUND(+BR39*'[5]II-F Alloc_Factor'!$G$34,2)</f>
        <v>0</v>
      </c>
      <c r="BV39" s="773">
        <f t="shared" si="45"/>
        <v>1514502.43</v>
      </c>
      <c r="BW39" s="773">
        <f>ROUND(+BR39*'[5]II-F Alloc_Factor'!$I$34,2)</f>
        <v>1847176.7</v>
      </c>
      <c r="BX39" s="773">
        <f>ROUND(+BR39*'[5]II-F Alloc_Factor'!$J$34,2)</f>
        <v>0</v>
      </c>
      <c r="BY39" s="773">
        <f t="shared" si="57"/>
        <v>1847176.7</v>
      </c>
      <c r="BZ39" s="773">
        <f>ROUND(+BR39*'[5]II-F Alloc_Factor'!$L$34,2)</f>
        <v>60325.89</v>
      </c>
      <c r="CA39" s="773">
        <f>ROUND(+BR39*'[5]II-F Alloc_Factor'!$M$34,2)</f>
        <v>0</v>
      </c>
      <c r="CC39" s="773">
        <v>3476836.4600000004</v>
      </c>
      <c r="CD39" s="773">
        <f>ROUND(+CC39*'[5]II-F Alloc_Factor'!$E$34,2)</f>
        <v>1538769.59</v>
      </c>
      <c r="CE39" s="773">
        <f>ROUND(+CC39*'[5]II-F Alloc_Factor'!$F$34,2)</f>
        <v>0</v>
      </c>
      <c r="CF39" s="773">
        <f>ROUND(+CC39*'[5]II-F Alloc_Factor'!$G$34,2)</f>
        <v>0</v>
      </c>
      <c r="CG39" s="773">
        <f t="shared" si="46"/>
        <v>1538769.59</v>
      </c>
      <c r="CH39" s="773">
        <f>ROUND(+CC39*'[5]II-F Alloc_Factor'!$I$34,2)</f>
        <v>1876774.36</v>
      </c>
      <c r="CI39" s="773">
        <f>ROUND(+CC39*'[5]II-F Alloc_Factor'!$J$34,2)</f>
        <v>0</v>
      </c>
      <c r="CJ39" s="773">
        <f t="shared" si="58"/>
        <v>1876774.36</v>
      </c>
      <c r="CK39" s="773">
        <f>ROUND(+CC39*'[5]II-F Alloc_Factor'!$L$34,2)</f>
        <v>61292.5</v>
      </c>
      <c r="CL39" s="773">
        <f>ROUND(+CC39*'[5]II-F Alloc_Factor'!$M$34,2)</f>
        <v>0</v>
      </c>
      <c r="CN39" s="773">
        <v>3531667.8900000006</v>
      </c>
      <c r="CO39" s="773">
        <f>ROUND(+CN39*'[5]II-F Alloc_Factor'!$E$34,2)</f>
        <v>1563036.75</v>
      </c>
      <c r="CP39" s="773">
        <f>ROUND(+CN39*'[5]II-F Alloc_Factor'!$F$34,2)</f>
        <v>0</v>
      </c>
      <c r="CQ39" s="773">
        <f>ROUND(+CN39*'[5]II-F Alloc_Factor'!$G$34,2)</f>
        <v>0</v>
      </c>
      <c r="CR39" s="773">
        <f t="shared" si="47"/>
        <v>1563036.75</v>
      </c>
      <c r="CS39" s="773">
        <f>ROUND(+CN39*'[5]II-F Alloc_Factor'!$I$34,2)</f>
        <v>1906372.02</v>
      </c>
      <c r="CT39" s="773">
        <f>ROUND(+CN39*'[5]II-F Alloc_Factor'!$J$34,2)</f>
        <v>0</v>
      </c>
      <c r="CU39" s="773">
        <f t="shared" si="59"/>
        <v>1906372.02</v>
      </c>
      <c r="CV39" s="773">
        <f>ROUND(+CN39*'[5]II-F Alloc_Factor'!$L$34,2)</f>
        <v>62259.12</v>
      </c>
      <c r="CW39" s="773">
        <f>ROUND(+CN39*'[5]II-F Alloc_Factor'!$M$34,2)</f>
        <v>0</v>
      </c>
      <c r="CY39" s="102">
        <v>3586499.3300000005</v>
      </c>
      <c r="CZ39" s="773">
        <f>ROUND(+CY39*'[5]II-F Alloc_Factor'!$E$34,2)</f>
        <v>1587303.91</v>
      </c>
      <c r="DA39" s="773">
        <f>ROUND(+CY39*'[5]II-F Alloc_Factor'!$F$34,2)</f>
        <v>0</v>
      </c>
      <c r="DB39" s="773">
        <f>ROUND(+CY39*'[5]II-F Alloc_Factor'!$G$34,2)</f>
        <v>0</v>
      </c>
      <c r="DC39" s="773">
        <f t="shared" si="48"/>
        <v>1587303.91</v>
      </c>
      <c r="DD39" s="773">
        <f>ROUND(+CY39*'[5]II-F Alloc_Factor'!$I$34,2)</f>
        <v>1935969.69</v>
      </c>
      <c r="DE39" s="773">
        <f>ROUND(+CY39*'[5]II-F Alloc_Factor'!$J$34,2)</f>
        <v>0</v>
      </c>
      <c r="DF39" s="773">
        <f t="shared" si="60"/>
        <v>1935969.69</v>
      </c>
      <c r="DG39" s="773">
        <f>ROUND(+CY39*'[5]II-F Alloc_Factor'!$L$34,2)</f>
        <v>63225.73</v>
      </c>
      <c r="DH39" s="773">
        <f>ROUND(+CY39*'[5]II-F Alloc_Factor'!$M$34,2)</f>
        <v>0</v>
      </c>
      <c r="DJ39" s="773">
        <v>3641330.7600000007</v>
      </c>
      <c r="DK39" s="773">
        <f>ROUND(+DJ39*'[5]II-F Alloc_Factor'!$E$34,2)</f>
        <v>1611571.07</v>
      </c>
      <c r="DL39" s="773">
        <f>ROUND(+DJ39*'[5]II-F Alloc_Factor'!$F$34,2)</f>
        <v>0</v>
      </c>
      <c r="DM39" s="773">
        <f>ROUND(+DJ39*'[5]II-F Alloc_Factor'!$G$34,2)</f>
        <v>0</v>
      </c>
      <c r="DN39" s="773">
        <f t="shared" si="49"/>
        <v>1611571.07</v>
      </c>
      <c r="DO39" s="773">
        <f>ROUND(+DJ39*'[5]II-F Alloc_Factor'!$I$34,2)</f>
        <v>1965567.35</v>
      </c>
      <c r="DP39" s="773">
        <f>ROUND(+DJ39*'[5]II-F Alloc_Factor'!$J$34,2)</f>
        <v>0</v>
      </c>
      <c r="DQ39" s="773">
        <f t="shared" si="61"/>
        <v>1965567.35</v>
      </c>
      <c r="DR39" s="773">
        <f>ROUND(+DJ39*'[5]II-F Alloc_Factor'!$L$34,2)</f>
        <v>64192.34</v>
      </c>
      <c r="DS39" s="773">
        <f>ROUND(+DJ39*'[5]II-F Alloc_Factor'!$M$34,2)</f>
        <v>0</v>
      </c>
      <c r="DU39" s="773">
        <v>3696162.1900000009</v>
      </c>
      <c r="DV39" s="773">
        <f>ROUND(+DU39*'[5]II-F Alloc_Factor'!$E$34,2)</f>
        <v>1635838.23</v>
      </c>
      <c r="DW39" s="773">
        <f>ROUND(+DU39*'[5]II-F Alloc_Factor'!$F$34,2)</f>
        <v>0</v>
      </c>
      <c r="DX39" s="773">
        <f>ROUND(+DU39*'[5]II-F Alloc_Factor'!$G$34,2)</f>
        <v>0</v>
      </c>
      <c r="DY39" s="773">
        <f t="shared" si="50"/>
        <v>1635838.23</v>
      </c>
      <c r="DZ39" s="773">
        <f>ROUND(+DU39*'[5]II-F Alloc_Factor'!$I$34,2)</f>
        <v>1995165.01</v>
      </c>
      <c r="EA39" s="773">
        <f>ROUND(+DU39*'[5]II-F Alloc_Factor'!$J$34,2)</f>
        <v>0</v>
      </c>
      <c r="EB39" s="773">
        <f t="shared" si="62"/>
        <v>1995165.01</v>
      </c>
      <c r="EC39" s="773">
        <f>ROUND(+DU39*'[5]II-F Alloc_Factor'!$L$34,2)</f>
        <v>65158.96</v>
      </c>
      <c r="ED39" s="773">
        <f>ROUND(+DU39*'[5]II-F Alloc_Factor'!$M$34,2)</f>
        <v>0</v>
      </c>
      <c r="EE39" s="642">
        <f>+'II-E-3.5'!I48+DU39</f>
        <v>0</v>
      </c>
      <c r="EF39" s="772">
        <f t="shared" si="38"/>
        <v>9.9999993108212948E-3</v>
      </c>
    </row>
    <row r="40" spans="1:136" s="406" customFormat="1">
      <c r="A40" s="409">
        <f t="shared" si="0"/>
        <v>28</v>
      </c>
      <c r="B40" s="179" t="s">
        <v>519</v>
      </c>
      <c r="C40" s="408" t="s">
        <v>663</v>
      </c>
      <c r="D40" s="773">
        <v>-5256253.41</v>
      </c>
      <c r="E40" s="773">
        <f>ROUND(+D40*'[5]II-F Alloc_Factor'!$E$34,2)</f>
        <v>-2326299.5</v>
      </c>
      <c r="F40" s="773">
        <f>ROUND(+D40*'[5]II-F Alloc_Factor'!$F$34,2)</f>
        <v>0</v>
      </c>
      <c r="G40" s="773">
        <f>ROUND(+D40*'[5]II-F Alloc_Factor'!$G$34,2)</f>
        <v>0</v>
      </c>
      <c r="H40" s="773">
        <f t="shared" si="39"/>
        <v>-2326299.5</v>
      </c>
      <c r="I40" s="773">
        <f>ROUND(+D40*'[5]II-F Alloc_Factor'!$I$34,2)</f>
        <v>-2837292.4</v>
      </c>
      <c r="J40" s="773">
        <f>ROUND(+D40*'[5]II-F Alloc_Factor'!$J$34,2)</f>
        <v>0</v>
      </c>
      <c r="K40" s="773">
        <f t="shared" si="51"/>
        <v>-2837292.4</v>
      </c>
      <c r="L40" s="773">
        <f>ROUND(+D40*'[5]II-F Alloc_Factor'!$L$34,2)</f>
        <v>-92661.52</v>
      </c>
      <c r="M40" s="773">
        <f>ROUND(+D40*'[5]II-F Alloc_Factor'!$M$34,2)</f>
        <v>0</v>
      </c>
      <c r="N40" s="774"/>
      <c r="O40" s="773">
        <v>-5240973.6000000006</v>
      </c>
      <c r="P40" s="773">
        <f>ROUND(+O40*'[5]II-F Alloc_Factor'!$E$34,2)</f>
        <v>-2319537</v>
      </c>
      <c r="Q40" s="773">
        <f>ROUND(+O40*'[5]II-F Alloc_Factor'!$F$34,2)</f>
        <v>0</v>
      </c>
      <c r="R40" s="773">
        <f>ROUND(+O40*'[5]II-F Alloc_Factor'!$G$34,2)</f>
        <v>0</v>
      </c>
      <c r="S40" s="773">
        <f t="shared" si="40"/>
        <v>-2319537</v>
      </c>
      <c r="T40" s="773">
        <f>ROUND(+O40*'[5]II-F Alloc_Factor'!$I$34,2)</f>
        <v>-2829044.45</v>
      </c>
      <c r="U40" s="773">
        <f>ROUND(+O40*'[5]II-F Alloc_Factor'!$J$34,2)</f>
        <v>0</v>
      </c>
      <c r="V40" s="773">
        <f t="shared" si="52"/>
        <v>-2829044.45</v>
      </c>
      <c r="W40" s="773">
        <f>ROUND(+O40*'[5]II-F Alloc_Factor'!$L$34,2)</f>
        <v>-92392.15</v>
      </c>
      <c r="X40" s="773">
        <f>ROUND(+O40*'[5]II-F Alloc_Factor'!$M$34,2)</f>
        <v>0</v>
      </c>
      <c r="Y40" s="609"/>
      <c r="Z40" s="773">
        <v>-5225693.8000000007</v>
      </c>
      <c r="AA40" s="773">
        <f>ROUND(+Z40*'[5]II-F Alloc_Factor'!$E$34,2)</f>
        <v>-2312774.5</v>
      </c>
      <c r="AB40" s="773">
        <f>ROUND(+Z40*'[5]II-F Alloc_Factor'!$F$34,2)</f>
        <v>0</v>
      </c>
      <c r="AC40" s="773">
        <f>ROUND(+Z40*'[5]II-F Alloc_Factor'!$G$34,2)</f>
        <v>0</v>
      </c>
      <c r="AD40" s="773">
        <f t="shared" si="41"/>
        <v>-2312774.5</v>
      </c>
      <c r="AE40" s="773">
        <f>ROUND(+Z40*'[5]II-F Alloc_Factor'!$I$34,2)</f>
        <v>-2820796.51</v>
      </c>
      <c r="AF40" s="773">
        <f>ROUND(+Z40*'[5]II-F Alloc_Factor'!$J$34,2)</f>
        <v>0</v>
      </c>
      <c r="AG40" s="773">
        <f t="shared" si="53"/>
        <v>-2820796.51</v>
      </c>
      <c r="AH40" s="773">
        <f>ROUND(+Z40*'[5]II-F Alloc_Factor'!$L$34,2)</f>
        <v>-92122.79</v>
      </c>
      <c r="AI40" s="773">
        <f>ROUND(+Z40*'[5]II-F Alloc_Factor'!$M$34,2)</f>
        <v>0</v>
      </c>
      <c r="AK40" s="773">
        <v>-5210413.9900000012</v>
      </c>
      <c r="AL40" s="773">
        <f>ROUND(+AK40*'[5]II-F Alloc_Factor'!$E$34,2)</f>
        <v>-2306012</v>
      </c>
      <c r="AM40" s="773">
        <f>ROUND(+AK40*'[5]II-F Alloc_Factor'!$F$34,2)</f>
        <v>0</v>
      </c>
      <c r="AN40" s="773">
        <f>ROUND(+AK40*'[5]II-F Alloc_Factor'!$G$34,2)</f>
        <v>0</v>
      </c>
      <c r="AO40" s="773">
        <f t="shared" si="42"/>
        <v>-2306012</v>
      </c>
      <c r="AP40" s="773">
        <f>ROUND(+AK40*'[5]II-F Alloc_Factor'!$I$34,2)</f>
        <v>-2812548.57</v>
      </c>
      <c r="AQ40" s="773">
        <f>ROUND(+AK40*'[5]II-F Alloc_Factor'!$J$34,2)</f>
        <v>0</v>
      </c>
      <c r="AR40" s="773">
        <f t="shared" si="54"/>
        <v>-2812548.57</v>
      </c>
      <c r="AS40" s="773">
        <f>ROUND(+AK40*'[5]II-F Alloc_Factor'!$L$34,2)</f>
        <v>-91853.42</v>
      </c>
      <c r="AT40" s="773">
        <f>ROUND(+AK40*'[5]II-F Alloc_Factor'!$M$34,2)</f>
        <v>0</v>
      </c>
      <c r="AU40" s="779"/>
      <c r="AV40" s="773">
        <v>-5195134.1800000016</v>
      </c>
      <c r="AW40" s="773">
        <f>ROUND(+AV40*'[5]II-F Alloc_Factor'!$E$34,2)</f>
        <v>-2299249.5</v>
      </c>
      <c r="AX40" s="773">
        <f>ROUND(+AV40*'[5]II-F Alloc_Factor'!$F$34,2)</f>
        <v>0</v>
      </c>
      <c r="AY40" s="773">
        <f>ROUND(+AV40*'[5]II-F Alloc_Factor'!$G$34,2)</f>
        <v>0</v>
      </c>
      <c r="AZ40" s="773">
        <f t="shared" si="43"/>
        <v>-2299249.5</v>
      </c>
      <c r="BA40" s="773">
        <f>ROUND(+AV40*'[5]II-F Alloc_Factor'!$I$34,2)</f>
        <v>-2804300.62</v>
      </c>
      <c r="BB40" s="773">
        <f>ROUND(+AV40*'[5]II-F Alloc_Factor'!$J$34,2)</f>
        <v>0</v>
      </c>
      <c r="BC40" s="773">
        <f t="shared" si="55"/>
        <v>-2804300.62</v>
      </c>
      <c r="BD40" s="773">
        <f>ROUND(+AV40*'[5]II-F Alloc_Factor'!$L$34,2)</f>
        <v>-91584.06</v>
      </c>
      <c r="BE40" s="773">
        <f>ROUND(+AV40*'[5]II-F Alloc_Factor'!$M$34,2)</f>
        <v>0</v>
      </c>
      <c r="BF40" s="779"/>
      <c r="BG40" s="773">
        <v>-5179854.3800000018</v>
      </c>
      <c r="BH40" s="773">
        <f>ROUND(+BG40*'[5]II-F Alloc_Factor'!$E$34,2)</f>
        <v>-2292487.0099999998</v>
      </c>
      <c r="BI40" s="773">
        <f>ROUND(+BG40*'[5]II-F Alloc_Factor'!$F$34,2)</f>
        <v>0</v>
      </c>
      <c r="BJ40" s="773">
        <f>ROUND(+BG40*'[5]II-F Alloc_Factor'!$G$34,2)</f>
        <v>0</v>
      </c>
      <c r="BK40" s="773">
        <f t="shared" si="44"/>
        <v>-2292487.0099999998</v>
      </c>
      <c r="BL40" s="773">
        <f>ROUND(+BG40*'[5]II-F Alloc_Factor'!$I$34,2)</f>
        <v>-2796052.68</v>
      </c>
      <c r="BM40" s="773">
        <f>ROUND(+BG40*'[5]II-F Alloc_Factor'!$J$34,2)</f>
        <v>0</v>
      </c>
      <c r="BN40" s="773">
        <f t="shared" si="56"/>
        <v>-2796052.68</v>
      </c>
      <c r="BO40" s="773">
        <f>ROUND(+BG40*'[5]II-F Alloc_Factor'!$L$34,2)</f>
        <v>-91314.69</v>
      </c>
      <c r="BP40" s="773">
        <f>ROUND(+BG40*'[5]II-F Alloc_Factor'!$M$34,2)</f>
        <v>0</v>
      </c>
      <c r="BQ40" s="779"/>
      <c r="BR40" s="773">
        <v>-5164574.5700000022</v>
      </c>
      <c r="BS40" s="773">
        <f>ROUND(+BR40*'[5]II-F Alloc_Factor'!$E$34,2)</f>
        <v>-2285724.5099999998</v>
      </c>
      <c r="BT40" s="773">
        <f>ROUND(+BR40*'[5]II-F Alloc_Factor'!$F$34,2)</f>
        <v>0</v>
      </c>
      <c r="BU40" s="773">
        <f>ROUND(+BR40*'[5]II-F Alloc_Factor'!$G$34,2)</f>
        <v>0</v>
      </c>
      <c r="BV40" s="773">
        <f t="shared" si="45"/>
        <v>-2285724.5099999998</v>
      </c>
      <c r="BW40" s="773">
        <f>ROUND(+BR40*'[5]II-F Alloc_Factor'!$I$34,2)</f>
        <v>-2787804.74</v>
      </c>
      <c r="BX40" s="773">
        <f>ROUND(+BR40*'[5]II-F Alloc_Factor'!$J$34,2)</f>
        <v>0</v>
      </c>
      <c r="BY40" s="773">
        <f t="shared" si="57"/>
        <v>-2787804.74</v>
      </c>
      <c r="BZ40" s="773">
        <f>ROUND(+BR40*'[5]II-F Alloc_Factor'!$L$34,2)</f>
        <v>-91045.33</v>
      </c>
      <c r="CA40" s="773">
        <f>ROUND(+BR40*'[5]II-F Alloc_Factor'!$M$34,2)</f>
        <v>0</v>
      </c>
      <c r="CC40" s="773">
        <v>-5149294.7700000023</v>
      </c>
      <c r="CD40" s="773">
        <f>ROUND(+CC40*'[5]II-F Alloc_Factor'!$E$34,2)</f>
        <v>-2278962.0099999998</v>
      </c>
      <c r="CE40" s="773">
        <f>ROUND(+CC40*'[5]II-F Alloc_Factor'!$F$34,2)</f>
        <v>0</v>
      </c>
      <c r="CF40" s="773">
        <f>ROUND(+CC40*'[5]II-F Alloc_Factor'!$G$34,2)</f>
        <v>0</v>
      </c>
      <c r="CG40" s="773">
        <f t="shared" si="46"/>
        <v>-2278962.0099999998</v>
      </c>
      <c r="CH40" s="773">
        <f>ROUND(+CC40*'[5]II-F Alloc_Factor'!$I$34,2)</f>
        <v>-2779556.8</v>
      </c>
      <c r="CI40" s="773">
        <f>ROUND(+CC40*'[5]II-F Alloc_Factor'!$J$34,2)</f>
        <v>0</v>
      </c>
      <c r="CJ40" s="773">
        <f t="shared" si="58"/>
        <v>-2779556.8</v>
      </c>
      <c r="CK40" s="773">
        <f>ROUND(+CC40*'[5]II-F Alloc_Factor'!$L$34,2)</f>
        <v>-90775.96</v>
      </c>
      <c r="CL40" s="773">
        <f>ROUND(+CC40*'[5]II-F Alloc_Factor'!$M$34,2)</f>
        <v>0</v>
      </c>
      <c r="CN40" s="773">
        <v>-5134014.9600000028</v>
      </c>
      <c r="CO40" s="773">
        <f>ROUND(+CN40*'[5]II-F Alloc_Factor'!$E$34,2)</f>
        <v>-2272199.5099999998</v>
      </c>
      <c r="CP40" s="773">
        <f>ROUND(+CN40*'[5]II-F Alloc_Factor'!$F$34,2)</f>
        <v>0</v>
      </c>
      <c r="CQ40" s="773">
        <f>ROUND(+CN40*'[5]II-F Alloc_Factor'!$G$34,2)</f>
        <v>0</v>
      </c>
      <c r="CR40" s="773">
        <f t="shared" si="47"/>
        <v>-2272199.5099999998</v>
      </c>
      <c r="CS40" s="773">
        <f>ROUND(+CN40*'[5]II-F Alloc_Factor'!$I$34,2)</f>
        <v>-2771308.85</v>
      </c>
      <c r="CT40" s="773">
        <f>ROUND(+CN40*'[5]II-F Alloc_Factor'!$J$34,2)</f>
        <v>0</v>
      </c>
      <c r="CU40" s="773">
        <f t="shared" si="59"/>
        <v>-2771308.85</v>
      </c>
      <c r="CV40" s="773">
        <f>ROUND(+CN40*'[5]II-F Alloc_Factor'!$L$34,2)</f>
        <v>-90506.6</v>
      </c>
      <c r="CW40" s="773">
        <f>ROUND(+CN40*'[5]II-F Alloc_Factor'!$M$34,2)</f>
        <v>0</v>
      </c>
      <c r="CY40" s="102">
        <v>-5118735.1600000029</v>
      </c>
      <c r="CZ40" s="773">
        <f>ROUND(+CY40*'[5]II-F Alloc_Factor'!$E$34,2)</f>
        <v>-2265437.02</v>
      </c>
      <c r="DA40" s="773">
        <f>ROUND(+CY40*'[5]II-F Alloc_Factor'!$F$34,2)</f>
        <v>0</v>
      </c>
      <c r="DB40" s="773">
        <f>ROUND(+CY40*'[5]II-F Alloc_Factor'!$G$34,2)</f>
        <v>0</v>
      </c>
      <c r="DC40" s="773">
        <f t="shared" si="48"/>
        <v>-2265437.02</v>
      </c>
      <c r="DD40" s="773">
        <f>ROUND(+CY40*'[5]II-F Alloc_Factor'!$I$34,2)</f>
        <v>-2763060.91</v>
      </c>
      <c r="DE40" s="773">
        <f>ROUND(+CY40*'[5]II-F Alloc_Factor'!$J$34,2)</f>
        <v>0</v>
      </c>
      <c r="DF40" s="773">
        <f t="shared" si="60"/>
        <v>-2763060.91</v>
      </c>
      <c r="DG40" s="773">
        <f>ROUND(+CY40*'[5]II-F Alloc_Factor'!$L$34,2)</f>
        <v>-90237.23</v>
      </c>
      <c r="DH40" s="773">
        <f>ROUND(+CY40*'[5]II-F Alloc_Factor'!$M$34,2)</f>
        <v>0</v>
      </c>
      <c r="DJ40" s="773">
        <v>-5103455.3500000034</v>
      </c>
      <c r="DK40" s="773">
        <f>ROUND(+DJ40*'[5]II-F Alloc_Factor'!$E$34,2)</f>
        <v>-2258674.52</v>
      </c>
      <c r="DL40" s="773">
        <f>ROUND(+DJ40*'[5]II-F Alloc_Factor'!$F$34,2)</f>
        <v>0</v>
      </c>
      <c r="DM40" s="773">
        <f>ROUND(+DJ40*'[5]II-F Alloc_Factor'!$G$34,2)</f>
        <v>0</v>
      </c>
      <c r="DN40" s="773">
        <f t="shared" si="49"/>
        <v>-2258674.52</v>
      </c>
      <c r="DO40" s="773">
        <f>ROUND(+DJ40*'[5]II-F Alloc_Factor'!$I$34,2)</f>
        <v>-2754812.97</v>
      </c>
      <c r="DP40" s="773">
        <f>ROUND(+DJ40*'[5]II-F Alloc_Factor'!$J$34,2)</f>
        <v>0</v>
      </c>
      <c r="DQ40" s="773">
        <f t="shared" si="61"/>
        <v>-2754812.97</v>
      </c>
      <c r="DR40" s="773">
        <f>ROUND(+DJ40*'[5]II-F Alloc_Factor'!$L$34,2)</f>
        <v>-89967.87</v>
      </c>
      <c r="DS40" s="773">
        <f>ROUND(+DJ40*'[5]II-F Alloc_Factor'!$M$34,2)</f>
        <v>0</v>
      </c>
      <c r="DU40" s="773">
        <v>-5088175.5400000038</v>
      </c>
      <c r="DV40" s="773">
        <f>ROUND(+DU40*'[5]II-F Alloc_Factor'!$E$34,2)</f>
        <v>-2251912.0099999998</v>
      </c>
      <c r="DW40" s="773">
        <f>ROUND(+DU40*'[5]II-F Alloc_Factor'!$F$34,2)</f>
        <v>0</v>
      </c>
      <c r="DX40" s="773">
        <f>ROUND(+DU40*'[5]II-F Alloc_Factor'!$G$34,2)</f>
        <v>0</v>
      </c>
      <c r="DY40" s="773">
        <f t="shared" si="50"/>
        <v>-2251912.0099999998</v>
      </c>
      <c r="DZ40" s="773">
        <f>ROUND(+DU40*'[5]II-F Alloc_Factor'!$I$34,2)</f>
        <v>-2746565.02</v>
      </c>
      <c r="EA40" s="773">
        <f>ROUND(+DU40*'[5]II-F Alloc_Factor'!$J$34,2)</f>
        <v>0</v>
      </c>
      <c r="EB40" s="773">
        <f t="shared" si="62"/>
        <v>-2746565.02</v>
      </c>
      <c r="EC40" s="773">
        <f>ROUND(+DU40*'[5]II-F Alloc_Factor'!$L$34,2)</f>
        <v>-89698.5</v>
      </c>
      <c r="ED40" s="773">
        <f>ROUND(+DU40*'[5]II-F Alloc_Factor'!$M$34,2)</f>
        <v>0</v>
      </c>
      <c r="EE40" s="642">
        <f>+'II-E-3.5'!I49+DU40</f>
        <v>0</v>
      </c>
      <c r="EF40" s="772">
        <f t="shared" si="38"/>
        <v>1.0000004433095455E-2</v>
      </c>
    </row>
    <row r="41" spans="1:136" s="406" customFormat="1">
      <c r="A41" s="409">
        <f t="shared" si="0"/>
        <v>29</v>
      </c>
      <c r="B41" s="179" t="s">
        <v>418</v>
      </c>
      <c r="C41" s="408" t="s">
        <v>711</v>
      </c>
      <c r="D41" s="773">
        <v>-3684095.2899999996</v>
      </c>
      <c r="E41" s="773">
        <v>0</v>
      </c>
      <c r="F41" s="773">
        <v>0</v>
      </c>
      <c r="G41" s="773">
        <v>0</v>
      </c>
      <c r="H41" s="773">
        <f t="shared" si="39"/>
        <v>0</v>
      </c>
      <c r="I41" s="773">
        <f>+D41</f>
        <v>-3684095.2899999996</v>
      </c>
      <c r="J41" s="773">
        <v>0</v>
      </c>
      <c r="K41" s="773">
        <f t="shared" si="51"/>
        <v>-3684095.2899999996</v>
      </c>
      <c r="L41" s="773">
        <v>0</v>
      </c>
      <c r="M41" s="773">
        <v>0</v>
      </c>
      <c r="N41" s="774"/>
      <c r="O41" s="773">
        <v>878497.55000000028</v>
      </c>
      <c r="P41" s="773">
        <v>0</v>
      </c>
      <c r="Q41" s="773">
        <v>0</v>
      </c>
      <c r="R41" s="773">
        <v>0</v>
      </c>
      <c r="S41" s="773">
        <f t="shared" si="40"/>
        <v>0</v>
      </c>
      <c r="T41" s="773">
        <f>+O41</f>
        <v>878497.55000000028</v>
      </c>
      <c r="U41" s="773">
        <v>0</v>
      </c>
      <c r="V41" s="773">
        <f t="shared" si="52"/>
        <v>878497.55000000028</v>
      </c>
      <c r="W41" s="773">
        <v>0</v>
      </c>
      <c r="X41" s="773">
        <v>0</v>
      </c>
      <c r="Y41" s="609"/>
      <c r="Z41" s="773">
        <v>-9104763.6999999993</v>
      </c>
      <c r="AA41" s="773">
        <v>0</v>
      </c>
      <c r="AB41" s="773">
        <v>0</v>
      </c>
      <c r="AC41" s="773">
        <v>0</v>
      </c>
      <c r="AD41" s="773">
        <f t="shared" si="41"/>
        <v>0</v>
      </c>
      <c r="AE41" s="773">
        <f>+Z41</f>
        <v>-9104763.6999999993</v>
      </c>
      <c r="AF41" s="773">
        <v>0</v>
      </c>
      <c r="AG41" s="773">
        <f t="shared" si="53"/>
        <v>-9104763.6999999993</v>
      </c>
      <c r="AH41" s="773">
        <v>0</v>
      </c>
      <c r="AI41" s="773">
        <v>0</v>
      </c>
      <c r="AK41" s="773">
        <v>-10305048.399999999</v>
      </c>
      <c r="AL41" s="773">
        <v>0</v>
      </c>
      <c r="AM41" s="773">
        <v>0</v>
      </c>
      <c r="AN41" s="773">
        <v>0</v>
      </c>
      <c r="AO41" s="773">
        <f t="shared" si="42"/>
        <v>0</v>
      </c>
      <c r="AP41" s="773">
        <f>+AK41</f>
        <v>-10305048.399999999</v>
      </c>
      <c r="AQ41" s="773">
        <v>0</v>
      </c>
      <c r="AR41" s="773">
        <f t="shared" si="54"/>
        <v>-10305048.399999999</v>
      </c>
      <c r="AS41" s="773">
        <v>0</v>
      </c>
      <c r="AT41" s="773">
        <v>0</v>
      </c>
      <c r="AU41" s="779"/>
      <c r="AV41" s="773">
        <v>-11505333.099999998</v>
      </c>
      <c r="AW41" s="773">
        <v>0</v>
      </c>
      <c r="AX41" s="773">
        <v>0</v>
      </c>
      <c r="AY41" s="773">
        <v>0</v>
      </c>
      <c r="AZ41" s="773">
        <f t="shared" si="43"/>
        <v>0</v>
      </c>
      <c r="BA41" s="773">
        <f>+AV41</f>
        <v>-11505333.099999998</v>
      </c>
      <c r="BB41" s="773">
        <v>0</v>
      </c>
      <c r="BC41" s="773">
        <f t="shared" si="55"/>
        <v>-11505333.099999998</v>
      </c>
      <c r="BD41" s="773">
        <v>0</v>
      </c>
      <c r="BE41" s="773">
        <v>0</v>
      </c>
      <c r="BF41" s="779"/>
      <c r="BG41" s="773">
        <v>-12522193.869999997</v>
      </c>
      <c r="BH41" s="773">
        <v>0</v>
      </c>
      <c r="BI41" s="773">
        <v>0</v>
      </c>
      <c r="BJ41" s="773">
        <v>0</v>
      </c>
      <c r="BK41" s="773">
        <f t="shared" si="44"/>
        <v>0</v>
      </c>
      <c r="BL41" s="773">
        <f>+BG41</f>
        <v>-12522193.869999997</v>
      </c>
      <c r="BM41" s="773">
        <v>0</v>
      </c>
      <c r="BN41" s="773">
        <f t="shared" si="56"/>
        <v>-12522193.869999997</v>
      </c>
      <c r="BO41" s="773">
        <v>0</v>
      </c>
      <c r="BP41" s="773">
        <v>0</v>
      </c>
      <c r="BQ41" s="779"/>
      <c r="BR41" s="773">
        <v>-13691907.919999998</v>
      </c>
      <c r="BS41" s="773">
        <v>0</v>
      </c>
      <c r="BT41" s="773">
        <v>0</v>
      </c>
      <c r="BU41" s="773">
        <v>0</v>
      </c>
      <c r="BV41" s="773">
        <f t="shared" si="45"/>
        <v>0</v>
      </c>
      <c r="BW41" s="773">
        <f>+BR41</f>
        <v>-13691907.919999998</v>
      </c>
      <c r="BX41" s="773">
        <v>0</v>
      </c>
      <c r="BY41" s="773">
        <f t="shared" si="57"/>
        <v>-13691907.919999998</v>
      </c>
      <c r="BZ41" s="773">
        <v>0</v>
      </c>
      <c r="CA41" s="773">
        <v>0</v>
      </c>
      <c r="CC41" s="773">
        <v>-14861621.959999997</v>
      </c>
      <c r="CD41" s="773">
        <v>0</v>
      </c>
      <c r="CE41" s="773">
        <v>0</v>
      </c>
      <c r="CF41" s="773">
        <v>0</v>
      </c>
      <c r="CG41" s="773">
        <f t="shared" si="46"/>
        <v>0</v>
      </c>
      <c r="CH41" s="773">
        <f>+CC41</f>
        <v>-14861621.959999997</v>
      </c>
      <c r="CI41" s="773">
        <v>0</v>
      </c>
      <c r="CJ41" s="773">
        <f t="shared" si="58"/>
        <v>-14861621.959999997</v>
      </c>
      <c r="CK41" s="773">
        <v>0</v>
      </c>
      <c r="CL41" s="773">
        <v>0</v>
      </c>
      <c r="CN41" s="773">
        <v>-10598020.819999997</v>
      </c>
      <c r="CO41" s="773">
        <v>0</v>
      </c>
      <c r="CP41" s="773">
        <v>0</v>
      </c>
      <c r="CQ41" s="773">
        <v>0</v>
      </c>
      <c r="CR41" s="773">
        <f t="shared" si="47"/>
        <v>0</v>
      </c>
      <c r="CS41" s="773">
        <f>+CN41</f>
        <v>-10598020.819999997</v>
      </c>
      <c r="CT41" s="773">
        <v>0</v>
      </c>
      <c r="CU41" s="773">
        <f t="shared" si="59"/>
        <v>-10598020.819999997</v>
      </c>
      <c r="CV41" s="773">
        <v>0</v>
      </c>
      <c r="CW41" s="773">
        <v>0</v>
      </c>
      <c r="CY41" s="102">
        <v>-11164033.179999996</v>
      </c>
      <c r="CZ41" s="773">
        <v>0</v>
      </c>
      <c r="DA41" s="773">
        <v>0</v>
      </c>
      <c r="DB41" s="773">
        <v>0</v>
      </c>
      <c r="DC41" s="773">
        <f t="shared" si="48"/>
        <v>0</v>
      </c>
      <c r="DD41" s="773">
        <f>+CY41</f>
        <v>-11164033.179999996</v>
      </c>
      <c r="DE41" s="773">
        <v>0</v>
      </c>
      <c r="DF41" s="773">
        <f t="shared" si="60"/>
        <v>-11164033.179999996</v>
      </c>
      <c r="DG41" s="773">
        <v>0</v>
      </c>
      <c r="DH41" s="773">
        <v>0</v>
      </c>
      <c r="DJ41" s="773">
        <v>-11730045.529999996</v>
      </c>
      <c r="DK41" s="773">
        <v>0</v>
      </c>
      <c r="DL41" s="773">
        <v>0</v>
      </c>
      <c r="DM41" s="773">
        <v>0</v>
      </c>
      <c r="DN41" s="773">
        <f t="shared" si="49"/>
        <v>0</v>
      </c>
      <c r="DO41" s="773">
        <f>+DJ41</f>
        <v>-11730045.529999996</v>
      </c>
      <c r="DP41" s="773">
        <v>0</v>
      </c>
      <c r="DQ41" s="773">
        <f t="shared" si="61"/>
        <v>-11730045.529999996</v>
      </c>
      <c r="DR41" s="773">
        <v>0</v>
      </c>
      <c r="DS41" s="773">
        <v>0</v>
      </c>
      <c r="DU41" s="773">
        <v>-9908668.6599999964</v>
      </c>
      <c r="DV41" s="773">
        <v>0</v>
      </c>
      <c r="DW41" s="773">
        <v>0</v>
      </c>
      <c r="DX41" s="773">
        <v>0</v>
      </c>
      <c r="DY41" s="773">
        <f t="shared" si="50"/>
        <v>0</v>
      </c>
      <c r="DZ41" s="773">
        <f>+DU41</f>
        <v>-9908668.6599999964</v>
      </c>
      <c r="EA41" s="773">
        <v>0</v>
      </c>
      <c r="EB41" s="773">
        <f t="shared" si="62"/>
        <v>-9908668.6599999964</v>
      </c>
      <c r="EC41" s="773">
        <v>0</v>
      </c>
      <c r="ED41" s="773">
        <v>0</v>
      </c>
      <c r="EE41" s="642">
        <f>+'II-E-3.5'!I50+DU41</f>
        <v>0</v>
      </c>
      <c r="EF41" s="772">
        <f t="shared" si="38"/>
        <v>0</v>
      </c>
    </row>
    <row r="42" spans="1:136" s="406" customFormat="1">
      <c r="A42" s="409">
        <f t="shared" si="0"/>
        <v>30</v>
      </c>
      <c r="B42" s="179" t="s">
        <v>419</v>
      </c>
      <c r="C42" s="408" t="s">
        <v>712</v>
      </c>
      <c r="D42" s="773">
        <v>-1420635.76</v>
      </c>
      <c r="E42" s="773">
        <v>0</v>
      </c>
      <c r="F42" s="773">
        <v>0</v>
      </c>
      <c r="G42" s="773">
        <v>0</v>
      </c>
      <c r="H42" s="773">
        <f t="shared" si="39"/>
        <v>0</v>
      </c>
      <c r="I42" s="773">
        <v>0</v>
      </c>
      <c r="J42" s="773">
        <v>0</v>
      </c>
      <c r="K42" s="773">
        <f t="shared" si="51"/>
        <v>0</v>
      </c>
      <c r="L42" s="773">
        <v>0</v>
      </c>
      <c r="M42" s="773">
        <f>+D42</f>
        <v>-1420635.76</v>
      </c>
      <c r="N42" s="774"/>
      <c r="O42" s="773">
        <v>-1391380.12</v>
      </c>
      <c r="P42" s="773">
        <v>0</v>
      </c>
      <c r="Q42" s="773">
        <v>0</v>
      </c>
      <c r="R42" s="773">
        <v>0</v>
      </c>
      <c r="S42" s="773">
        <f t="shared" si="40"/>
        <v>0</v>
      </c>
      <c r="T42" s="773">
        <v>0</v>
      </c>
      <c r="U42" s="773">
        <v>0</v>
      </c>
      <c r="V42" s="773">
        <f t="shared" si="52"/>
        <v>0</v>
      </c>
      <c r="W42" s="773">
        <v>0</v>
      </c>
      <c r="X42" s="773">
        <f>+O42</f>
        <v>-1391380.12</v>
      </c>
      <c r="Y42" s="609"/>
      <c r="Z42" s="773">
        <v>-1362124.4800000002</v>
      </c>
      <c r="AA42" s="773">
        <v>0</v>
      </c>
      <c r="AB42" s="773">
        <v>0</v>
      </c>
      <c r="AC42" s="773">
        <v>0</v>
      </c>
      <c r="AD42" s="773">
        <f t="shared" si="41"/>
        <v>0</v>
      </c>
      <c r="AE42" s="773">
        <v>0</v>
      </c>
      <c r="AF42" s="773">
        <v>0</v>
      </c>
      <c r="AG42" s="773">
        <f t="shared" si="53"/>
        <v>0</v>
      </c>
      <c r="AH42" s="773">
        <v>0</v>
      </c>
      <c r="AI42" s="773">
        <f>+Z42</f>
        <v>-1362124.4800000002</v>
      </c>
      <c r="AK42" s="773">
        <v>-1497878.7100000002</v>
      </c>
      <c r="AL42" s="773">
        <v>0</v>
      </c>
      <c r="AM42" s="773">
        <v>0</v>
      </c>
      <c r="AN42" s="773">
        <v>0</v>
      </c>
      <c r="AO42" s="773">
        <f t="shared" si="42"/>
        <v>0</v>
      </c>
      <c r="AP42" s="773">
        <v>0</v>
      </c>
      <c r="AQ42" s="773">
        <v>0</v>
      </c>
      <c r="AR42" s="773">
        <f t="shared" si="54"/>
        <v>0</v>
      </c>
      <c r="AS42" s="773">
        <v>0</v>
      </c>
      <c r="AT42" s="773">
        <f>+AK42</f>
        <v>-1497878.7100000002</v>
      </c>
      <c r="AU42" s="779"/>
      <c r="AV42" s="773">
        <v>-1687487.6</v>
      </c>
      <c r="AW42" s="773">
        <v>0</v>
      </c>
      <c r="AX42" s="773">
        <v>0</v>
      </c>
      <c r="AY42" s="773">
        <v>0</v>
      </c>
      <c r="AZ42" s="773">
        <f t="shared" si="43"/>
        <v>0</v>
      </c>
      <c r="BA42" s="773">
        <v>0</v>
      </c>
      <c r="BB42" s="773">
        <v>0</v>
      </c>
      <c r="BC42" s="773">
        <f t="shared" si="55"/>
        <v>0</v>
      </c>
      <c r="BD42" s="773">
        <v>0</v>
      </c>
      <c r="BE42" s="773">
        <f>+AV42</f>
        <v>-1687487.6</v>
      </c>
      <c r="BF42" s="779"/>
      <c r="BG42" s="773">
        <v>-1817366.25</v>
      </c>
      <c r="BH42" s="773">
        <v>0</v>
      </c>
      <c r="BI42" s="773">
        <v>0</v>
      </c>
      <c r="BJ42" s="773">
        <v>0</v>
      </c>
      <c r="BK42" s="773">
        <f t="shared" si="44"/>
        <v>0</v>
      </c>
      <c r="BL42" s="773">
        <v>0</v>
      </c>
      <c r="BM42" s="773">
        <v>0</v>
      </c>
      <c r="BN42" s="773">
        <f t="shared" si="56"/>
        <v>0</v>
      </c>
      <c r="BO42" s="773">
        <v>0</v>
      </c>
      <c r="BP42" s="773">
        <f>+BG42</f>
        <v>-1817366.25</v>
      </c>
      <c r="BQ42" s="779"/>
      <c r="BR42" s="773">
        <v>-1788110.61</v>
      </c>
      <c r="BS42" s="773">
        <v>0</v>
      </c>
      <c r="BT42" s="773">
        <v>0</v>
      </c>
      <c r="BU42" s="773">
        <v>0</v>
      </c>
      <c r="BV42" s="773">
        <f t="shared" si="45"/>
        <v>0</v>
      </c>
      <c r="BW42" s="773">
        <v>0</v>
      </c>
      <c r="BX42" s="773">
        <v>0</v>
      </c>
      <c r="BY42" s="773">
        <f t="shared" si="57"/>
        <v>0</v>
      </c>
      <c r="BZ42" s="773">
        <v>0</v>
      </c>
      <c r="CA42" s="773">
        <f>+BR42</f>
        <v>-1788110.61</v>
      </c>
      <c r="CC42" s="773">
        <v>-1215846.29</v>
      </c>
      <c r="CD42" s="773">
        <v>0</v>
      </c>
      <c r="CE42" s="773">
        <v>0</v>
      </c>
      <c r="CF42" s="773">
        <v>0</v>
      </c>
      <c r="CG42" s="773">
        <f t="shared" si="46"/>
        <v>0</v>
      </c>
      <c r="CH42" s="773">
        <v>0</v>
      </c>
      <c r="CI42" s="773">
        <v>0</v>
      </c>
      <c r="CJ42" s="773">
        <f t="shared" si="58"/>
        <v>0</v>
      </c>
      <c r="CK42" s="773">
        <v>0</v>
      </c>
      <c r="CL42" s="773">
        <f>+CC42</f>
        <v>-1215846.29</v>
      </c>
      <c r="CN42" s="773">
        <v>-1186590.6500000001</v>
      </c>
      <c r="CO42" s="773">
        <v>0</v>
      </c>
      <c r="CP42" s="773">
        <v>0</v>
      </c>
      <c r="CQ42" s="773">
        <v>0</v>
      </c>
      <c r="CR42" s="773">
        <f t="shared" si="47"/>
        <v>0</v>
      </c>
      <c r="CS42" s="773">
        <v>0</v>
      </c>
      <c r="CT42" s="773">
        <v>0</v>
      </c>
      <c r="CU42" s="773">
        <f t="shared" si="59"/>
        <v>0</v>
      </c>
      <c r="CV42" s="773">
        <v>0</v>
      </c>
      <c r="CW42" s="773">
        <f>+CN42</f>
        <v>-1186590.6500000001</v>
      </c>
      <c r="CY42" s="102">
        <v>-1699351.0300000003</v>
      </c>
      <c r="CZ42" s="773">
        <v>0</v>
      </c>
      <c r="DA42" s="773">
        <v>0</v>
      </c>
      <c r="DB42" s="773">
        <v>0</v>
      </c>
      <c r="DC42" s="773">
        <f t="shared" si="48"/>
        <v>0</v>
      </c>
      <c r="DD42" s="773">
        <v>0</v>
      </c>
      <c r="DE42" s="773">
        <v>0</v>
      </c>
      <c r="DF42" s="773">
        <f t="shared" si="60"/>
        <v>0</v>
      </c>
      <c r="DG42" s="773">
        <v>0</v>
      </c>
      <c r="DH42" s="773">
        <f>+CY42</f>
        <v>-1699351.0300000003</v>
      </c>
      <c r="DJ42" s="773">
        <v>-1670095.3900000004</v>
      </c>
      <c r="DK42" s="773">
        <v>0</v>
      </c>
      <c r="DL42" s="773">
        <v>0</v>
      </c>
      <c r="DM42" s="773">
        <v>0</v>
      </c>
      <c r="DN42" s="773">
        <f t="shared" si="49"/>
        <v>0</v>
      </c>
      <c r="DO42" s="773">
        <v>0</v>
      </c>
      <c r="DP42" s="773">
        <v>0</v>
      </c>
      <c r="DQ42" s="773">
        <f t="shared" si="61"/>
        <v>0</v>
      </c>
      <c r="DR42" s="773">
        <v>0</v>
      </c>
      <c r="DS42" s="773">
        <f>+DJ42</f>
        <v>-1670095.3900000004</v>
      </c>
      <c r="DU42" s="773">
        <v>-1657593.2300000004</v>
      </c>
      <c r="DV42" s="773">
        <v>0</v>
      </c>
      <c r="DW42" s="773">
        <v>0</v>
      </c>
      <c r="DX42" s="773">
        <v>0</v>
      </c>
      <c r="DY42" s="773">
        <f t="shared" si="50"/>
        <v>0</v>
      </c>
      <c r="DZ42" s="773">
        <v>0</v>
      </c>
      <c r="EA42" s="773">
        <v>0</v>
      </c>
      <c r="EB42" s="773">
        <f t="shared" si="62"/>
        <v>0</v>
      </c>
      <c r="EC42" s="773">
        <v>0</v>
      </c>
      <c r="ED42" s="773">
        <f>+DU42</f>
        <v>-1657593.2300000004</v>
      </c>
      <c r="EE42" s="642">
        <f>+'II-E-3.5'!I51+DU42</f>
        <v>0</v>
      </c>
      <c r="EF42" s="772">
        <f t="shared" si="38"/>
        <v>0</v>
      </c>
    </row>
    <row r="43" spans="1:136" s="406" customFormat="1">
      <c r="A43" s="409">
        <f t="shared" si="0"/>
        <v>31</v>
      </c>
      <c r="B43" s="179" t="s">
        <v>957</v>
      </c>
      <c r="C43" s="408" t="s">
        <v>711</v>
      </c>
      <c r="D43" s="773">
        <v>-19340288.57</v>
      </c>
      <c r="E43" s="773">
        <v>0</v>
      </c>
      <c r="F43" s="773">
        <v>0</v>
      </c>
      <c r="G43" s="773">
        <v>0</v>
      </c>
      <c r="H43" s="773">
        <f t="shared" si="39"/>
        <v>0</v>
      </c>
      <c r="I43" s="773">
        <f>+D43</f>
        <v>-19340288.57</v>
      </c>
      <c r="J43" s="773">
        <v>0</v>
      </c>
      <c r="K43" s="773">
        <f t="shared" si="51"/>
        <v>-19340288.57</v>
      </c>
      <c r="L43" s="773">
        <v>0</v>
      </c>
      <c r="M43" s="773">
        <v>0</v>
      </c>
      <c r="N43" s="774"/>
      <c r="O43" s="773">
        <v>-19076853.82</v>
      </c>
      <c r="P43" s="773">
        <v>0</v>
      </c>
      <c r="Q43" s="773">
        <v>0</v>
      </c>
      <c r="R43" s="773">
        <v>0</v>
      </c>
      <c r="S43" s="773">
        <f t="shared" si="40"/>
        <v>0</v>
      </c>
      <c r="T43" s="773">
        <f>+O43</f>
        <v>-19076853.82</v>
      </c>
      <c r="U43" s="773">
        <v>0</v>
      </c>
      <c r="V43" s="773">
        <f t="shared" si="52"/>
        <v>-19076853.82</v>
      </c>
      <c r="W43" s="773">
        <v>0</v>
      </c>
      <c r="X43" s="773">
        <v>0</v>
      </c>
      <c r="Y43" s="609"/>
      <c r="Z43" s="773">
        <v>-18813419.080000002</v>
      </c>
      <c r="AA43" s="773">
        <v>0</v>
      </c>
      <c r="AB43" s="773">
        <v>0</v>
      </c>
      <c r="AC43" s="773">
        <v>0</v>
      </c>
      <c r="AD43" s="773">
        <f t="shared" si="41"/>
        <v>0</v>
      </c>
      <c r="AE43" s="773">
        <f>+Z43</f>
        <v>-18813419.080000002</v>
      </c>
      <c r="AF43" s="773">
        <v>0</v>
      </c>
      <c r="AG43" s="773">
        <f t="shared" si="53"/>
        <v>-18813419.080000002</v>
      </c>
      <c r="AH43" s="773">
        <v>0</v>
      </c>
      <c r="AI43" s="773">
        <v>0</v>
      </c>
      <c r="AK43" s="773">
        <v>-18549984.360000003</v>
      </c>
      <c r="AL43" s="773">
        <v>0</v>
      </c>
      <c r="AM43" s="773">
        <v>0</v>
      </c>
      <c r="AN43" s="773">
        <v>0</v>
      </c>
      <c r="AO43" s="773">
        <f t="shared" si="42"/>
        <v>0</v>
      </c>
      <c r="AP43" s="773">
        <f>+AK43</f>
        <v>-18549984.360000003</v>
      </c>
      <c r="AQ43" s="773">
        <v>0</v>
      </c>
      <c r="AR43" s="773">
        <f t="shared" si="54"/>
        <v>-18549984.360000003</v>
      </c>
      <c r="AS43" s="773">
        <v>0</v>
      </c>
      <c r="AT43" s="773">
        <v>0</v>
      </c>
      <c r="AU43" s="779"/>
      <c r="AV43" s="773">
        <v>-18286549.620000005</v>
      </c>
      <c r="AW43" s="773">
        <v>0</v>
      </c>
      <c r="AX43" s="773">
        <v>0</v>
      </c>
      <c r="AY43" s="773">
        <v>0</v>
      </c>
      <c r="AZ43" s="773">
        <f t="shared" si="43"/>
        <v>0</v>
      </c>
      <c r="BA43" s="773">
        <f>+AV43</f>
        <v>-18286549.620000005</v>
      </c>
      <c r="BB43" s="773">
        <v>0</v>
      </c>
      <c r="BC43" s="773">
        <f t="shared" si="55"/>
        <v>-18286549.620000005</v>
      </c>
      <c r="BD43" s="773">
        <v>0</v>
      </c>
      <c r="BE43" s="773">
        <v>0</v>
      </c>
      <c r="BF43" s="779"/>
      <c r="BG43" s="773">
        <v>-18023114.870000005</v>
      </c>
      <c r="BH43" s="773">
        <v>0</v>
      </c>
      <c r="BI43" s="773">
        <v>0</v>
      </c>
      <c r="BJ43" s="773">
        <v>0</v>
      </c>
      <c r="BK43" s="773">
        <f t="shared" si="44"/>
        <v>0</v>
      </c>
      <c r="BL43" s="773">
        <f>+BG43</f>
        <v>-18023114.870000005</v>
      </c>
      <c r="BM43" s="773">
        <v>0</v>
      </c>
      <c r="BN43" s="773">
        <f t="shared" si="56"/>
        <v>-18023114.870000005</v>
      </c>
      <c r="BO43" s="773">
        <v>0</v>
      </c>
      <c r="BP43" s="773">
        <v>0</v>
      </c>
      <c r="BQ43" s="779"/>
      <c r="BR43" s="773">
        <v>-17759680.130000006</v>
      </c>
      <c r="BS43" s="773">
        <v>0</v>
      </c>
      <c r="BT43" s="773">
        <v>0</v>
      </c>
      <c r="BU43" s="773">
        <v>0</v>
      </c>
      <c r="BV43" s="773">
        <f t="shared" si="45"/>
        <v>0</v>
      </c>
      <c r="BW43" s="773">
        <f>+BR43</f>
        <v>-17759680.130000006</v>
      </c>
      <c r="BX43" s="773">
        <v>0</v>
      </c>
      <c r="BY43" s="773">
        <f t="shared" si="57"/>
        <v>-17759680.130000006</v>
      </c>
      <c r="BZ43" s="773">
        <v>0</v>
      </c>
      <c r="CA43" s="773">
        <v>0</v>
      </c>
      <c r="CC43" s="773">
        <v>-17496245.380000006</v>
      </c>
      <c r="CD43" s="773">
        <v>0</v>
      </c>
      <c r="CE43" s="773">
        <v>0</v>
      </c>
      <c r="CF43" s="773">
        <v>0</v>
      </c>
      <c r="CG43" s="773">
        <f t="shared" si="46"/>
        <v>0</v>
      </c>
      <c r="CH43" s="773">
        <f>+CC43</f>
        <v>-17496245.380000006</v>
      </c>
      <c r="CI43" s="773">
        <v>0</v>
      </c>
      <c r="CJ43" s="773">
        <f t="shared" si="58"/>
        <v>-17496245.380000006</v>
      </c>
      <c r="CK43" s="773">
        <v>0</v>
      </c>
      <c r="CL43" s="773">
        <v>0</v>
      </c>
      <c r="CN43" s="773">
        <v>-17232810.640000008</v>
      </c>
      <c r="CO43" s="773">
        <v>0</v>
      </c>
      <c r="CP43" s="773">
        <v>0</v>
      </c>
      <c r="CQ43" s="773">
        <v>0</v>
      </c>
      <c r="CR43" s="773">
        <f t="shared" si="47"/>
        <v>0</v>
      </c>
      <c r="CS43" s="773">
        <f>+CN43</f>
        <v>-17232810.640000008</v>
      </c>
      <c r="CT43" s="773">
        <v>0</v>
      </c>
      <c r="CU43" s="773">
        <f t="shared" si="59"/>
        <v>-17232810.640000008</v>
      </c>
      <c r="CV43" s="773">
        <v>0</v>
      </c>
      <c r="CW43" s="773">
        <v>0</v>
      </c>
      <c r="CY43" s="102">
        <v>-16969375.890000008</v>
      </c>
      <c r="CZ43" s="773">
        <v>0</v>
      </c>
      <c r="DA43" s="773">
        <v>0</v>
      </c>
      <c r="DB43" s="773">
        <v>0</v>
      </c>
      <c r="DC43" s="773">
        <f t="shared" si="48"/>
        <v>0</v>
      </c>
      <c r="DD43" s="773">
        <f>+CY43</f>
        <v>-16969375.890000008</v>
      </c>
      <c r="DE43" s="773">
        <v>0</v>
      </c>
      <c r="DF43" s="773">
        <f t="shared" si="60"/>
        <v>-16969375.890000008</v>
      </c>
      <c r="DG43" s="773">
        <v>0</v>
      </c>
      <c r="DH43" s="773">
        <v>0</v>
      </c>
      <c r="DJ43" s="773">
        <v>-16705941.150000008</v>
      </c>
      <c r="DK43" s="773">
        <v>0</v>
      </c>
      <c r="DL43" s="773">
        <v>0</v>
      </c>
      <c r="DM43" s="773">
        <v>0</v>
      </c>
      <c r="DN43" s="773">
        <f t="shared" si="49"/>
        <v>0</v>
      </c>
      <c r="DO43" s="773">
        <f>+DJ43</f>
        <v>-16705941.150000008</v>
      </c>
      <c r="DP43" s="773">
        <v>0</v>
      </c>
      <c r="DQ43" s="773">
        <f t="shared" si="61"/>
        <v>-16705941.150000008</v>
      </c>
      <c r="DR43" s="773">
        <v>0</v>
      </c>
      <c r="DS43" s="773">
        <v>0</v>
      </c>
      <c r="DU43" s="773">
        <v>-16442506.410000008</v>
      </c>
      <c r="DV43" s="773">
        <v>0</v>
      </c>
      <c r="DW43" s="773">
        <v>0</v>
      </c>
      <c r="DX43" s="773">
        <v>0</v>
      </c>
      <c r="DY43" s="773">
        <f t="shared" si="50"/>
        <v>0</v>
      </c>
      <c r="DZ43" s="773">
        <f>+DU43</f>
        <v>-16442506.410000008</v>
      </c>
      <c r="EA43" s="773">
        <v>0</v>
      </c>
      <c r="EB43" s="773">
        <f t="shared" si="62"/>
        <v>-16442506.410000008</v>
      </c>
      <c r="EC43" s="773">
        <v>0</v>
      </c>
      <c r="ED43" s="773">
        <v>0</v>
      </c>
      <c r="EE43" s="642">
        <f>+'II-E-3.5'!I52+DU43</f>
        <v>0</v>
      </c>
      <c r="EF43" s="772">
        <f t="shared" si="38"/>
        <v>0</v>
      </c>
    </row>
    <row r="44" spans="1:136" s="406" customFormat="1">
      <c r="A44" s="409">
        <f t="shared" si="0"/>
        <v>32</v>
      </c>
      <c r="B44" s="179" t="s">
        <v>603</v>
      </c>
      <c r="C44" s="408" t="s">
        <v>711</v>
      </c>
      <c r="D44" s="773">
        <v>-112297.40999999999</v>
      </c>
      <c r="E44" s="773">
        <v>0</v>
      </c>
      <c r="F44" s="773">
        <v>0</v>
      </c>
      <c r="G44" s="773">
        <v>0</v>
      </c>
      <c r="H44" s="773">
        <f t="shared" si="39"/>
        <v>0</v>
      </c>
      <c r="I44" s="773">
        <f>+D44</f>
        <v>-112297.40999999999</v>
      </c>
      <c r="J44" s="773">
        <v>0</v>
      </c>
      <c r="K44" s="773">
        <f t="shared" si="51"/>
        <v>-112297.40999999999</v>
      </c>
      <c r="L44" s="773">
        <v>0</v>
      </c>
      <c r="M44" s="773">
        <v>0</v>
      </c>
      <c r="N44" s="774"/>
      <c r="O44" s="773">
        <v>-110101.63999999998</v>
      </c>
      <c r="P44" s="773">
        <v>0</v>
      </c>
      <c r="Q44" s="773">
        <v>0</v>
      </c>
      <c r="R44" s="773">
        <v>0</v>
      </c>
      <c r="S44" s="773">
        <f t="shared" si="40"/>
        <v>0</v>
      </c>
      <c r="T44" s="773">
        <f>+O44</f>
        <v>-110101.63999999998</v>
      </c>
      <c r="U44" s="773">
        <v>0</v>
      </c>
      <c r="V44" s="773">
        <f t="shared" si="52"/>
        <v>-110101.63999999998</v>
      </c>
      <c r="W44" s="773">
        <v>0</v>
      </c>
      <c r="X44" s="773">
        <v>0</v>
      </c>
      <c r="Y44" s="609"/>
      <c r="Z44" s="773">
        <v>-107905.86999999998</v>
      </c>
      <c r="AA44" s="773">
        <v>0</v>
      </c>
      <c r="AB44" s="773">
        <v>0</v>
      </c>
      <c r="AC44" s="773">
        <v>0</v>
      </c>
      <c r="AD44" s="773">
        <f t="shared" si="41"/>
        <v>0</v>
      </c>
      <c r="AE44" s="773">
        <f>+Z44</f>
        <v>-107905.86999999998</v>
      </c>
      <c r="AF44" s="773">
        <v>0</v>
      </c>
      <c r="AG44" s="773">
        <f t="shared" si="53"/>
        <v>-107905.86999999998</v>
      </c>
      <c r="AH44" s="773">
        <v>0</v>
      </c>
      <c r="AI44" s="773">
        <v>0</v>
      </c>
      <c r="AK44" s="773">
        <v>-105710.09999999998</v>
      </c>
      <c r="AL44" s="773">
        <v>0</v>
      </c>
      <c r="AM44" s="773">
        <v>0</v>
      </c>
      <c r="AN44" s="773">
        <v>0</v>
      </c>
      <c r="AO44" s="773">
        <f t="shared" si="42"/>
        <v>0</v>
      </c>
      <c r="AP44" s="773">
        <f>+AK44</f>
        <v>-105710.09999999998</v>
      </c>
      <c r="AQ44" s="773">
        <v>0</v>
      </c>
      <c r="AR44" s="773">
        <f t="shared" si="54"/>
        <v>-105710.09999999998</v>
      </c>
      <c r="AS44" s="773">
        <v>0</v>
      </c>
      <c r="AT44" s="773">
        <v>0</v>
      </c>
      <c r="AU44" s="779"/>
      <c r="AV44" s="773">
        <v>-103514.32999999997</v>
      </c>
      <c r="AW44" s="773">
        <v>0</v>
      </c>
      <c r="AX44" s="773">
        <v>0</v>
      </c>
      <c r="AY44" s="773">
        <v>0</v>
      </c>
      <c r="AZ44" s="773">
        <f t="shared" si="43"/>
        <v>0</v>
      </c>
      <c r="BA44" s="773">
        <f>+AV44</f>
        <v>-103514.32999999997</v>
      </c>
      <c r="BB44" s="773">
        <v>0</v>
      </c>
      <c r="BC44" s="773">
        <f t="shared" si="55"/>
        <v>-103514.32999999997</v>
      </c>
      <c r="BD44" s="773">
        <v>0</v>
      </c>
      <c r="BE44" s="773">
        <v>0</v>
      </c>
      <c r="BF44" s="779"/>
      <c r="BG44" s="773">
        <v>-101318.55999999997</v>
      </c>
      <c r="BH44" s="773">
        <v>0</v>
      </c>
      <c r="BI44" s="773">
        <v>0</v>
      </c>
      <c r="BJ44" s="773">
        <v>0</v>
      </c>
      <c r="BK44" s="773">
        <f t="shared" si="44"/>
        <v>0</v>
      </c>
      <c r="BL44" s="773">
        <f>+BG44</f>
        <v>-101318.55999999997</v>
      </c>
      <c r="BM44" s="773">
        <v>0</v>
      </c>
      <c r="BN44" s="773">
        <f t="shared" si="56"/>
        <v>-101318.55999999997</v>
      </c>
      <c r="BO44" s="773">
        <v>0</v>
      </c>
      <c r="BP44" s="773">
        <v>0</v>
      </c>
      <c r="BQ44" s="779"/>
      <c r="BR44" s="773">
        <v>-99122.789999999964</v>
      </c>
      <c r="BS44" s="773">
        <v>0</v>
      </c>
      <c r="BT44" s="773">
        <v>0</v>
      </c>
      <c r="BU44" s="773">
        <v>0</v>
      </c>
      <c r="BV44" s="773">
        <f t="shared" si="45"/>
        <v>0</v>
      </c>
      <c r="BW44" s="773">
        <f>+BR44</f>
        <v>-99122.789999999964</v>
      </c>
      <c r="BX44" s="773">
        <v>0</v>
      </c>
      <c r="BY44" s="773">
        <f t="shared" si="57"/>
        <v>-99122.789999999964</v>
      </c>
      <c r="BZ44" s="773">
        <v>0</v>
      </c>
      <c r="CA44" s="773">
        <v>0</v>
      </c>
      <c r="CC44" s="773">
        <v>-96927.01999999996</v>
      </c>
      <c r="CD44" s="773">
        <v>0</v>
      </c>
      <c r="CE44" s="773">
        <v>0</v>
      </c>
      <c r="CF44" s="773">
        <v>0</v>
      </c>
      <c r="CG44" s="773">
        <f t="shared" si="46"/>
        <v>0</v>
      </c>
      <c r="CH44" s="773">
        <f>+CC44</f>
        <v>-96927.01999999996</v>
      </c>
      <c r="CI44" s="773">
        <v>0</v>
      </c>
      <c r="CJ44" s="773">
        <f t="shared" si="58"/>
        <v>-96927.01999999996</v>
      </c>
      <c r="CK44" s="773">
        <v>0</v>
      </c>
      <c r="CL44" s="773">
        <v>0</v>
      </c>
      <c r="CN44" s="773">
        <v>-94731.249999999956</v>
      </c>
      <c r="CO44" s="773">
        <v>0</v>
      </c>
      <c r="CP44" s="773">
        <v>0</v>
      </c>
      <c r="CQ44" s="773">
        <v>0</v>
      </c>
      <c r="CR44" s="773">
        <f t="shared" si="47"/>
        <v>0</v>
      </c>
      <c r="CS44" s="773">
        <f>+CN44</f>
        <v>-94731.249999999956</v>
      </c>
      <c r="CT44" s="773">
        <v>0</v>
      </c>
      <c r="CU44" s="773">
        <f t="shared" si="59"/>
        <v>-94731.249999999956</v>
      </c>
      <c r="CV44" s="773">
        <v>0</v>
      </c>
      <c r="CW44" s="773">
        <v>0</v>
      </c>
      <c r="CY44" s="102">
        <v>-92535.479999999952</v>
      </c>
      <c r="CZ44" s="773">
        <v>0</v>
      </c>
      <c r="DA44" s="773">
        <v>0</v>
      </c>
      <c r="DB44" s="773">
        <v>0</v>
      </c>
      <c r="DC44" s="773">
        <f t="shared" si="48"/>
        <v>0</v>
      </c>
      <c r="DD44" s="773">
        <f>+CY44</f>
        <v>-92535.479999999952</v>
      </c>
      <c r="DE44" s="773">
        <v>0</v>
      </c>
      <c r="DF44" s="773">
        <f t="shared" si="60"/>
        <v>-92535.479999999952</v>
      </c>
      <c r="DG44" s="773">
        <v>0</v>
      </c>
      <c r="DH44" s="773">
        <v>0</v>
      </c>
      <c r="DJ44" s="773">
        <v>-90339.699999999953</v>
      </c>
      <c r="DK44" s="773">
        <v>0</v>
      </c>
      <c r="DL44" s="773">
        <v>0</v>
      </c>
      <c r="DM44" s="773">
        <v>0</v>
      </c>
      <c r="DN44" s="773">
        <f t="shared" si="49"/>
        <v>0</v>
      </c>
      <c r="DO44" s="773">
        <f>+DJ44</f>
        <v>-90339.699999999953</v>
      </c>
      <c r="DP44" s="773">
        <v>0</v>
      </c>
      <c r="DQ44" s="773">
        <f t="shared" si="61"/>
        <v>-90339.699999999953</v>
      </c>
      <c r="DR44" s="773">
        <v>0</v>
      </c>
      <c r="DS44" s="773">
        <v>0</v>
      </c>
      <c r="DU44" s="773">
        <v>-88143.929999999949</v>
      </c>
      <c r="DV44" s="773">
        <v>0</v>
      </c>
      <c r="DW44" s="773">
        <v>0</v>
      </c>
      <c r="DX44" s="773">
        <v>0</v>
      </c>
      <c r="DY44" s="773">
        <f t="shared" si="50"/>
        <v>0</v>
      </c>
      <c r="DZ44" s="773">
        <f>+DU44</f>
        <v>-88143.929999999949</v>
      </c>
      <c r="EA44" s="773">
        <v>0</v>
      </c>
      <c r="EB44" s="773">
        <f t="shared" si="62"/>
        <v>-88143.929999999949</v>
      </c>
      <c r="EC44" s="773">
        <v>0</v>
      </c>
      <c r="ED44" s="773">
        <v>0</v>
      </c>
      <c r="EE44" s="642">
        <f>+'II-E-3.5'!I53+DU44</f>
        <v>0</v>
      </c>
      <c r="EF44" s="772">
        <f t="shared" si="38"/>
        <v>0</v>
      </c>
    </row>
    <row r="45" spans="1:136" s="406" customFormat="1">
      <c r="A45" s="409">
        <f t="shared" si="0"/>
        <v>33</v>
      </c>
      <c r="B45" s="179" t="s">
        <v>604</v>
      </c>
      <c r="C45" s="408" t="s">
        <v>713</v>
      </c>
      <c r="D45" s="773">
        <v>-271123.25</v>
      </c>
      <c r="E45" s="773">
        <f>+D45</f>
        <v>-271123.25</v>
      </c>
      <c r="F45" s="773">
        <v>0</v>
      </c>
      <c r="G45" s="773">
        <v>0</v>
      </c>
      <c r="H45" s="773">
        <f t="shared" si="39"/>
        <v>-271123.25</v>
      </c>
      <c r="I45" s="773">
        <v>0</v>
      </c>
      <c r="J45" s="773">
        <v>0</v>
      </c>
      <c r="K45" s="773">
        <f t="shared" si="51"/>
        <v>0</v>
      </c>
      <c r="L45" s="773">
        <v>0</v>
      </c>
      <c r="M45" s="773">
        <v>0</v>
      </c>
      <c r="N45" s="774"/>
      <c r="O45" s="773">
        <v>-265807.11</v>
      </c>
      <c r="P45" s="773">
        <f>+O45</f>
        <v>-265807.11</v>
      </c>
      <c r="Q45" s="773">
        <v>0</v>
      </c>
      <c r="R45" s="773">
        <v>0</v>
      </c>
      <c r="S45" s="773">
        <f t="shared" si="40"/>
        <v>-265807.11</v>
      </c>
      <c r="T45" s="773">
        <v>0</v>
      </c>
      <c r="U45" s="773">
        <v>0</v>
      </c>
      <c r="V45" s="773">
        <f t="shared" si="52"/>
        <v>0</v>
      </c>
      <c r="W45" s="773">
        <v>0</v>
      </c>
      <c r="X45" s="773">
        <v>0</v>
      </c>
      <c r="Y45" s="609"/>
      <c r="Z45" s="773">
        <v>-260490.96</v>
      </c>
      <c r="AA45" s="773">
        <f>+Z45</f>
        <v>-260490.96</v>
      </c>
      <c r="AB45" s="773">
        <v>0</v>
      </c>
      <c r="AC45" s="773">
        <v>0</v>
      </c>
      <c r="AD45" s="773">
        <f t="shared" si="41"/>
        <v>-260490.96</v>
      </c>
      <c r="AE45" s="773">
        <v>0</v>
      </c>
      <c r="AF45" s="773">
        <v>0</v>
      </c>
      <c r="AG45" s="773">
        <f t="shared" si="53"/>
        <v>0</v>
      </c>
      <c r="AH45" s="773">
        <v>0</v>
      </c>
      <c r="AI45" s="773">
        <v>0</v>
      </c>
      <c r="AK45" s="773">
        <v>-255174.81999999998</v>
      </c>
      <c r="AL45" s="773">
        <f>+AK45</f>
        <v>-255174.81999999998</v>
      </c>
      <c r="AM45" s="773">
        <v>0</v>
      </c>
      <c r="AN45" s="773">
        <v>0</v>
      </c>
      <c r="AO45" s="773">
        <f t="shared" si="42"/>
        <v>-255174.81999999998</v>
      </c>
      <c r="AP45" s="773">
        <v>0</v>
      </c>
      <c r="AQ45" s="773">
        <v>0</v>
      </c>
      <c r="AR45" s="773">
        <f t="shared" si="54"/>
        <v>0</v>
      </c>
      <c r="AS45" s="773">
        <v>0</v>
      </c>
      <c r="AT45" s="773">
        <v>0</v>
      </c>
      <c r="AU45" s="779"/>
      <c r="AV45" s="773">
        <v>-249858.67999999996</v>
      </c>
      <c r="AW45" s="773">
        <f>+AV45</f>
        <v>-249858.67999999996</v>
      </c>
      <c r="AX45" s="773">
        <v>0</v>
      </c>
      <c r="AY45" s="773">
        <v>0</v>
      </c>
      <c r="AZ45" s="773">
        <f t="shared" si="43"/>
        <v>-249858.67999999996</v>
      </c>
      <c r="BA45" s="773">
        <v>0</v>
      </c>
      <c r="BB45" s="773">
        <v>0</v>
      </c>
      <c r="BC45" s="773">
        <f t="shared" si="55"/>
        <v>0</v>
      </c>
      <c r="BD45" s="773">
        <v>0</v>
      </c>
      <c r="BE45" s="773">
        <v>0</v>
      </c>
      <c r="BF45" s="779"/>
      <c r="BG45" s="773">
        <v>-244542.53999999995</v>
      </c>
      <c r="BH45" s="773">
        <f>+BG45</f>
        <v>-244542.53999999995</v>
      </c>
      <c r="BI45" s="773">
        <v>0</v>
      </c>
      <c r="BJ45" s="773">
        <v>0</v>
      </c>
      <c r="BK45" s="773">
        <f t="shared" si="44"/>
        <v>-244542.53999999995</v>
      </c>
      <c r="BL45" s="773">
        <v>0</v>
      </c>
      <c r="BM45" s="773">
        <v>0</v>
      </c>
      <c r="BN45" s="773">
        <f t="shared" si="56"/>
        <v>0</v>
      </c>
      <c r="BO45" s="773">
        <v>0</v>
      </c>
      <c r="BP45" s="773">
        <v>0</v>
      </c>
      <c r="BQ45" s="779"/>
      <c r="BR45" s="773">
        <v>-239226.39999999994</v>
      </c>
      <c r="BS45" s="773">
        <f>+BR45</f>
        <v>-239226.39999999994</v>
      </c>
      <c r="BT45" s="773">
        <v>0</v>
      </c>
      <c r="BU45" s="773">
        <v>0</v>
      </c>
      <c r="BV45" s="773">
        <f t="shared" si="45"/>
        <v>-239226.39999999994</v>
      </c>
      <c r="BW45" s="773">
        <v>0</v>
      </c>
      <c r="BX45" s="773">
        <v>0</v>
      </c>
      <c r="BY45" s="773">
        <f t="shared" si="57"/>
        <v>0</v>
      </c>
      <c r="BZ45" s="773">
        <v>0</v>
      </c>
      <c r="CA45" s="773">
        <v>0</v>
      </c>
      <c r="CC45" s="773">
        <v>-233910.25999999992</v>
      </c>
      <c r="CD45" s="773">
        <f>+CC45</f>
        <v>-233910.25999999992</v>
      </c>
      <c r="CE45" s="773">
        <v>0</v>
      </c>
      <c r="CF45" s="773">
        <v>0</v>
      </c>
      <c r="CG45" s="773">
        <f t="shared" si="46"/>
        <v>-233910.25999999992</v>
      </c>
      <c r="CH45" s="773">
        <v>0</v>
      </c>
      <c r="CI45" s="773">
        <v>0</v>
      </c>
      <c r="CJ45" s="773">
        <f t="shared" si="58"/>
        <v>0</v>
      </c>
      <c r="CK45" s="773">
        <v>0</v>
      </c>
      <c r="CL45" s="773">
        <v>0</v>
      </c>
      <c r="CN45" s="773">
        <v>-228594.10999999993</v>
      </c>
      <c r="CO45" s="773">
        <f>+CN45</f>
        <v>-228594.10999999993</v>
      </c>
      <c r="CP45" s="773">
        <v>0</v>
      </c>
      <c r="CQ45" s="773">
        <v>0</v>
      </c>
      <c r="CR45" s="773">
        <f t="shared" si="47"/>
        <v>-228594.10999999993</v>
      </c>
      <c r="CS45" s="773">
        <v>0</v>
      </c>
      <c r="CT45" s="773">
        <v>0</v>
      </c>
      <c r="CU45" s="773">
        <f t="shared" si="59"/>
        <v>0</v>
      </c>
      <c r="CV45" s="773">
        <v>0</v>
      </c>
      <c r="CW45" s="773">
        <v>0</v>
      </c>
      <c r="CY45" s="102">
        <v>-223277.96999999991</v>
      </c>
      <c r="CZ45" s="773">
        <f>+CY45</f>
        <v>-223277.96999999991</v>
      </c>
      <c r="DA45" s="773">
        <v>0</v>
      </c>
      <c r="DB45" s="773">
        <v>0</v>
      </c>
      <c r="DC45" s="773">
        <f t="shared" si="48"/>
        <v>-223277.96999999991</v>
      </c>
      <c r="DD45" s="773">
        <v>0</v>
      </c>
      <c r="DE45" s="773">
        <v>0</v>
      </c>
      <c r="DF45" s="773">
        <f t="shared" si="60"/>
        <v>0</v>
      </c>
      <c r="DG45" s="773">
        <v>0</v>
      </c>
      <c r="DH45" s="773">
        <v>0</v>
      </c>
      <c r="DJ45" s="773">
        <v>-217961.8299999999</v>
      </c>
      <c r="DK45" s="773">
        <f>+DJ45</f>
        <v>-217961.8299999999</v>
      </c>
      <c r="DL45" s="773">
        <v>0</v>
      </c>
      <c r="DM45" s="773">
        <v>0</v>
      </c>
      <c r="DN45" s="773">
        <f t="shared" si="49"/>
        <v>-217961.8299999999</v>
      </c>
      <c r="DO45" s="773">
        <v>0</v>
      </c>
      <c r="DP45" s="773">
        <v>0</v>
      </c>
      <c r="DQ45" s="773">
        <f t="shared" si="61"/>
        <v>0</v>
      </c>
      <c r="DR45" s="773">
        <v>0</v>
      </c>
      <c r="DS45" s="773">
        <v>0</v>
      </c>
      <c r="DU45" s="773">
        <v>-212645.68999999989</v>
      </c>
      <c r="DV45" s="773">
        <f>+DU45</f>
        <v>-212645.68999999989</v>
      </c>
      <c r="DW45" s="773">
        <v>0</v>
      </c>
      <c r="DX45" s="773">
        <v>0</v>
      </c>
      <c r="DY45" s="773">
        <f t="shared" si="50"/>
        <v>-212645.68999999989</v>
      </c>
      <c r="DZ45" s="773">
        <v>0</v>
      </c>
      <c r="EA45" s="773">
        <v>0</v>
      </c>
      <c r="EB45" s="773">
        <f t="shared" si="62"/>
        <v>0</v>
      </c>
      <c r="EC45" s="773">
        <v>0</v>
      </c>
      <c r="ED45" s="773">
        <v>0</v>
      </c>
      <c r="EE45" s="642">
        <f>+'II-E-3.5'!I54+DU45</f>
        <v>0</v>
      </c>
      <c r="EF45" s="772">
        <f t="shared" si="38"/>
        <v>0</v>
      </c>
    </row>
    <row r="46" spans="1:136" s="406" customFormat="1">
      <c r="A46" s="409">
        <f t="shared" si="0"/>
        <v>34</v>
      </c>
      <c r="B46" s="179" t="s">
        <v>605</v>
      </c>
      <c r="C46" s="408" t="s">
        <v>387</v>
      </c>
      <c r="D46" s="773">
        <v>-2192085.9699999997</v>
      </c>
      <c r="E46" s="773">
        <v>-1967995.16</v>
      </c>
      <c r="F46" s="773">
        <v>-109505.63</v>
      </c>
      <c r="G46" s="773">
        <v>0</v>
      </c>
      <c r="H46" s="773">
        <f t="shared" si="39"/>
        <v>-2077500.79</v>
      </c>
      <c r="I46" s="773">
        <v>-114585.18</v>
      </c>
      <c r="J46" s="773">
        <v>0</v>
      </c>
      <c r="K46" s="773">
        <f t="shared" si="51"/>
        <v>-114585.18</v>
      </c>
      <c r="L46" s="773">
        <v>0</v>
      </c>
      <c r="M46" s="773">
        <v>0</v>
      </c>
      <c r="N46" s="774"/>
      <c r="O46" s="773">
        <v>-2151697.6599999997</v>
      </c>
      <c r="P46" s="773">
        <v>-1931735.64</v>
      </c>
      <c r="Q46" s="773">
        <v>-107488.03</v>
      </c>
      <c r="R46" s="773">
        <v>0</v>
      </c>
      <c r="S46" s="773">
        <f t="shared" si="40"/>
        <v>-2039223.67</v>
      </c>
      <c r="T46" s="773">
        <v>-112473.99</v>
      </c>
      <c r="U46" s="773">
        <v>0</v>
      </c>
      <c r="V46" s="773">
        <f t="shared" si="52"/>
        <v>-112473.99</v>
      </c>
      <c r="W46" s="773">
        <v>0</v>
      </c>
      <c r="X46" s="773">
        <v>0</v>
      </c>
      <c r="Y46" s="609"/>
      <c r="Z46" s="773">
        <v>-2104499.5099999998</v>
      </c>
      <c r="AA46" s="773">
        <v>-1889362.42</v>
      </c>
      <c r="AB46" s="773">
        <v>-105130.25</v>
      </c>
      <c r="AC46" s="773">
        <v>0</v>
      </c>
      <c r="AD46" s="773">
        <f t="shared" si="41"/>
        <v>-1994492.67</v>
      </c>
      <c r="AE46" s="773">
        <v>-110006.84</v>
      </c>
      <c r="AF46" s="773">
        <v>0</v>
      </c>
      <c r="AG46" s="773">
        <f t="shared" si="53"/>
        <v>-110006.84</v>
      </c>
      <c r="AH46" s="773">
        <v>0</v>
      </c>
      <c r="AI46" s="773">
        <v>0</v>
      </c>
      <c r="AK46" s="773">
        <v>-2078202.5999999999</v>
      </c>
      <c r="AL46" s="773">
        <v>-1865753.77</v>
      </c>
      <c r="AM46" s="773">
        <v>-103816.59</v>
      </c>
      <c r="AN46" s="773">
        <v>0</v>
      </c>
      <c r="AO46" s="773">
        <f t="shared" si="42"/>
        <v>-1969570.36</v>
      </c>
      <c r="AP46" s="773">
        <v>-108632.24</v>
      </c>
      <c r="AQ46" s="773">
        <v>0</v>
      </c>
      <c r="AR46" s="773">
        <f t="shared" si="54"/>
        <v>-108632.24</v>
      </c>
      <c r="AS46" s="773">
        <v>0</v>
      </c>
      <c r="AT46" s="773">
        <v>0</v>
      </c>
      <c r="AU46" s="779"/>
      <c r="AV46" s="773">
        <v>-1953046.64</v>
      </c>
      <c r="AW46" s="773">
        <v>-1753392.15</v>
      </c>
      <c r="AX46" s="773">
        <v>-97564.42</v>
      </c>
      <c r="AY46" s="773">
        <v>0</v>
      </c>
      <c r="AZ46" s="773">
        <f t="shared" si="43"/>
        <v>-1850956.5699999998</v>
      </c>
      <c r="BA46" s="773">
        <v>-102090.07</v>
      </c>
      <c r="BB46" s="773">
        <v>0</v>
      </c>
      <c r="BC46" s="773">
        <f t="shared" si="55"/>
        <v>-102090.07</v>
      </c>
      <c r="BD46" s="773">
        <v>0</v>
      </c>
      <c r="BE46" s="773">
        <v>0</v>
      </c>
      <c r="BF46" s="779"/>
      <c r="BG46" s="773">
        <v>-1876622.17</v>
      </c>
      <c r="BH46" s="773">
        <v>-1684780.34</v>
      </c>
      <c r="BI46" s="773">
        <v>-93746.64</v>
      </c>
      <c r="BJ46" s="773">
        <v>0</v>
      </c>
      <c r="BK46" s="773">
        <f t="shared" si="44"/>
        <v>-1778526.98</v>
      </c>
      <c r="BL46" s="773">
        <v>-98095.19</v>
      </c>
      <c r="BM46" s="773">
        <v>0</v>
      </c>
      <c r="BN46" s="773">
        <f t="shared" si="56"/>
        <v>-98095.19</v>
      </c>
      <c r="BO46" s="773">
        <v>0</v>
      </c>
      <c r="BP46" s="773">
        <v>0</v>
      </c>
      <c r="BQ46" s="779"/>
      <c r="BR46" s="773">
        <v>-1796075.27</v>
      </c>
      <c r="BS46" s="773">
        <v>-1612467.53</v>
      </c>
      <c r="BT46" s="773">
        <v>-89722.92</v>
      </c>
      <c r="BU46" s="773">
        <v>0</v>
      </c>
      <c r="BV46" s="773">
        <f t="shared" si="45"/>
        <v>-1702190.45</v>
      </c>
      <c r="BW46" s="773">
        <v>-93884.82</v>
      </c>
      <c r="BX46" s="773">
        <v>0</v>
      </c>
      <c r="BY46" s="773">
        <f t="shared" si="57"/>
        <v>-93884.82</v>
      </c>
      <c r="BZ46" s="773">
        <v>0</v>
      </c>
      <c r="CA46" s="773">
        <v>0</v>
      </c>
      <c r="CC46" s="773">
        <v>-1839882.37</v>
      </c>
      <c r="CD46" s="773">
        <v>-1651796.35</v>
      </c>
      <c r="CE46" s="773">
        <v>-91911.3</v>
      </c>
      <c r="CF46" s="773">
        <v>0</v>
      </c>
      <c r="CG46" s="773">
        <f t="shared" si="46"/>
        <v>-1743707.6500000001</v>
      </c>
      <c r="CH46" s="773">
        <v>-96174.720000000001</v>
      </c>
      <c r="CI46" s="773">
        <v>0</v>
      </c>
      <c r="CJ46" s="773">
        <f t="shared" si="58"/>
        <v>-96174.720000000001</v>
      </c>
      <c r="CK46" s="773">
        <v>0</v>
      </c>
      <c r="CL46" s="773">
        <v>0</v>
      </c>
      <c r="CN46" s="773">
        <v>-1859118.32</v>
      </c>
      <c r="CO46" s="773">
        <v>-1669065.86</v>
      </c>
      <c r="CP46" s="773">
        <v>-92872.23</v>
      </c>
      <c r="CQ46" s="773">
        <v>0</v>
      </c>
      <c r="CR46" s="773">
        <f t="shared" si="47"/>
        <v>-1761938.09</v>
      </c>
      <c r="CS46" s="773">
        <v>-97180.22</v>
      </c>
      <c r="CT46" s="773">
        <v>0</v>
      </c>
      <c r="CU46" s="773">
        <f t="shared" si="59"/>
        <v>-97180.22</v>
      </c>
      <c r="CV46" s="773">
        <v>0</v>
      </c>
      <c r="CW46" s="773">
        <v>0</v>
      </c>
      <c r="CY46" s="102">
        <v>-1848393.1300000001</v>
      </c>
      <c r="CZ46" s="773">
        <v>-1659437.08</v>
      </c>
      <c r="DA46" s="773">
        <v>-92336.46</v>
      </c>
      <c r="DB46" s="773">
        <v>0</v>
      </c>
      <c r="DC46" s="773">
        <f t="shared" si="48"/>
        <v>-1751773.54</v>
      </c>
      <c r="DD46" s="773">
        <v>-96619.6</v>
      </c>
      <c r="DE46" s="773">
        <v>0</v>
      </c>
      <c r="DF46" s="773">
        <f t="shared" si="60"/>
        <v>-96619.6</v>
      </c>
      <c r="DG46" s="773">
        <v>0</v>
      </c>
      <c r="DH46" s="773">
        <v>0</v>
      </c>
      <c r="DJ46" s="773">
        <v>-1805732.53</v>
      </c>
      <c r="DK46" s="773">
        <v>-1621137.55</v>
      </c>
      <c r="DL46" s="773">
        <v>-90205.35</v>
      </c>
      <c r="DM46" s="773">
        <v>0</v>
      </c>
      <c r="DN46" s="773">
        <f t="shared" si="49"/>
        <v>-1711342.9000000001</v>
      </c>
      <c r="DO46" s="773">
        <v>-94389.63</v>
      </c>
      <c r="DP46" s="773">
        <v>0</v>
      </c>
      <c r="DQ46" s="773">
        <f t="shared" si="61"/>
        <v>-94389.63</v>
      </c>
      <c r="DR46" s="773">
        <v>0</v>
      </c>
      <c r="DS46" s="773">
        <v>0</v>
      </c>
      <c r="DU46" s="773">
        <v>-1780397.99</v>
      </c>
      <c r="DV46" s="773">
        <v>-1598392.89</v>
      </c>
      <c r="DW46" s="773">
        <v>-88939.76</v>
      </c>
      <c r="DX46" s="773">
        <v>0</v>
      </c>
      <c r="DY46" s="773">
        <f t="shared" si="50"/>
        <v>-1687332.65</v>
      </c>
      <c r="DZ46" s="773">
        <v>-93065.34</v>
      </c>
      <c r="EA46" s="773">
        <v>0</v>
      </c>
      <c r="EB46" s="773">
        <f t="shared" si="62"/>
        <v>-93065.34</v>
      </c>
      <c r="EC46" s="773">
        <v>0</v>
      </c>
      <c r="ED46" s="773">
        <v>0</v>
      </c>
      <c r="EE46" s="642">
        <f>+'II-E-3.5'!I55+DU46</f>
        <v>0</v>
      </c>
      <c r="EF46" s="772">
        <f t="shared" si="38"/>
        <v>0</v>
      </c>
    </row>
    <row r="47" spans="1:136" s="406" customFormat="1">
      <c r="A47" s="409">
        <f t="shared" si="0"/>
        <v>35</v>
      </c>
      <c r="B47" s="179" t="s">
        <v>606</v>
      </c>
      <c r="C47" s="408" t="s">
        <v>387</v>
      </c>
      <c r="D47" s="773">
        <v>-6699710.8899999997</v>
      </c>
      <c r="E47" s="773">
        <v>-571767.14</v>
      </c>
      <c r="F47" s="773">
        <v>0</v>
      </c>
      <c r="G47" s="773">
        <v>0</v>
      </c>
      <c r="H47" s="773">
        <f t="shared" si="39"/>
        <v>-571767.14</v>
      </c>
      <c r="I47" s="773">
        <v>-5580379.25</v>
      </c>
      <c r="J47" s="773">
        <v>0</v>
      </c>
      <c r="K47" s="773">
        <f t="shared" si="51"/>
        <v>-5580379.25</v>
      </c>
      <c r="L47" s="773">
        <v>-300196.78000000003</v>
      </c>
      <c r="M47" s="773">
        <v>-247367.71</v>
      </c>
      <c r="N47" s="774"/>
      <c r="O47" s="773">
        <v>-6578545.6999999993</v>
      </c>
      <c r="P47" s="773">
        <v>-561426.66</v>
      </c>
      <c r="Q47" s="773">
        <v>0</v>
      </c>
      <c r="R47" s="773">
        <v>0</v>
      </c>
      <c r="S47" s="773">
        <f t="shared" si="40"/>
        <v>-561426.66</v>
      </c>
      <c r="T47" s="773">
        <v>-5479457.3300000001</v>
      </c>
      <c r="U47" s="773">
        <v>0</v>
      </c>
      <c r="V47" s="773">
        <f t="shared" si="52"/>
        <v>-5479457.3300000001</v>
      </c>
      <c r="W47" s="773">
        <v>-294767.68</v>
      </c>
      <c r="X47" s="773">
        <v>-242894.03</v>
      </c>
      <c r="Y47" s="609"/>
      <c r="Z47" s="773">
        <v>-6457380.5099999988</v>
      </c>
      <c r="AA47" s="773">
        <v>-551086.17000000004</v>
      </c>
      <c r="AB47" s="773">
        <v>0</v>
      </c>
      <c r="AC47" s="773">
        <v>0</v>
      </c>
      <c r="AD47" s="773">
        <f t="shared" si="41"/>
        <v>-551086.17000000004</v>
      </c>
      <c r="AE47" s="773">
        <v>-5378535.4000000004</v>
      </c>
      <c r="AF47" s="773">
        <v>0</v>
      </c>
      <c r="AG47" s="773">
        <f t="shared" si="53"/>
        <v>-5378535.4000000004</v>
      </c>
      <c r="AH47" s="773">
        <v>-289338.58</v>
      </c>
      <c r="AI47" s="773">
        <v>-238420.36</v>
      </c>
      <c r="AK47" s="773">
        <v>-6336215.3199999984</v>
      </c>
      <c r="AL47" s="773">
        <v>-540745.68000000005</v>
      </c>
      <c r="AM47" s="773">
        <v>0</v>
      </c>
      <c r="AN47" s="773">
        <v>0</v>
      </c>
      <c r="AO47" s="773">
        <f t="shared" si="42"/>
        <v>-540745.68000000005</v>
      </c>
      <c r="AP47" s="773">
        <v>-5277613.4800000004</v>
      </c>
      <c r="AQ47" s="773">
        <v>0</v>
      </c>
      <c r="AR47" s="773">
        <f t="shared" si="54"/>
        <v>-5277613.4800000004</v>
      </c>
      <c r="AS47" s="773">
        <v>-283909.48</v>
      </c>
      <c r="AT47" s="773">
        <v>-233946.68</v>
      </c>
      <c r="AU47" s="779"/>
      <c r="AV47" s="773">
        <v>-6215050.1199999982</v>
      </c>
      <c r="AW47" s="773">
        <v>-530405.18999999994</v>
      </c>
      <c r="AX47" s="773">
        <v>0</v>
      </c>
      <c r="AY47" s="773">
        <v>0</v>
      </c>
      <c r="AZ47" s="773">
        <f t="shared" si="43"/>
        <v>-530405.18999999994</v>
      </c>
      <c r="BA47" s="773">
        <v>-5176691.55</v>
      </c>
      <c r="BB47" s="773">
        <v>0</v>
      </c>
      <c r="BC47" s="773">
        <f t="shared" si="55"/>
        <v>-5176691.55</v>
      </c>
      <c r="BD47" s="773">
        <v>-278480.38</v>
      </c>
      <c r="BE47" s="773">
        <v>-229473</v>
      </c>
      <c r="BF47" s="779"/>
      <c r="BG47" s="773">
        <v>-6093884.9299999978</v>
      </c>
      <c r="BH47" s="773">
        <v>-520064.71</v>
      </c>
      <c r="BI47" s="773">
        <v>0</v>
      </c>
      <c r="BJ47" s="773">
        <v>0</v>
      </c>
      <c r="BK47" s="773">
        <f t="shared" si="44"/>
        <v>-520064.71</v>
      </c>
      <c r="BL47" s="773">
        <v>-5075769.62</v>
      </c>
      <c r="BM47" s="773">
        <v>0</v>
      </c>
      <c r="BN47" s="773">
        <f t="shared" si="56"/>
        <v>-5075769.62</v>
      </c>
      <c r="BO47" s="773">
        <v>-273051.28000000003</v>
      </c>
      <c r="BP47" s="773">
        <v>-224999.32</v>
      </c>
      <c r="BQ47" s="779"/>
      <c r="BR47" s="773">
        <v>-5972719.7399999974</v>
      </c>
      <c r="BS47" s="773">
        <v>-509724.22</v>
      </c>
      <c r="BT47" s="773">
        <v>0</v>
      </c>
      <c r="BU47" s="773">
        <v>0</v>
      </c>
      <c r="BV47" s="773">
        <f t="shared" si="45"/>
        <v>-509724.22</v>
      </c>
      <c r="BW47" s="773">
        <v>-4974847.7</v>
      </c>
      <c r="BX47" s="773">
        <v>0</v>
      </c>
      <c r="BY47" s="773">
        <f t="shared" si="57"/>
        <v>-4974847.7</v>
      </c>
      <c r="BZ47" s="773">
        <v>-267622.18</v>
      </c>
      <c r="CA47" s="773">
        <v>-220525.64</v>
      </c>
      <c r="CC47" s="773">
        <v>-5851554.549999997</v>
      </c>
      <c r="CD47" s="773">
        <v>-499383.73</v>
      </c>
      <c r="CE47" s="773">
        <v>0</v>
      </c>
      <c r="CF47" s="773">
        <v>0</v>
      </c>
      <c r="CG47" s="773">
        <f t="shared" si="46"/>
        <v>-499383.73</v>
      </c>
      <c r="CH47" s="773">
        <v>-4873925.78</v>
      </c>
      <c r="CI47" s="773">
        <v>0</v>
      </c>
      <c r="CJ47" s="773">
        <f t="shared" si="58"/>
        <v>-4873925.78</v>
      </c>
      <c r="CK47" s="773">
        <v>-262193.08</v>
      </c>
      <c r="CL47" s="773">
        <v>-216051.96</v>
      </c>
      <c r="CN47" s="773">
        <v>-5730389.3499999968</v>
      </c>
      <c r="CO47" s="773">
        <v>-489043.24</v>
      </c>
      <c r="CP47" s="773">
        <v>0</v>
      </c>
      <c r="CQ47" s="773">
        <v>0</v>
      </c>
      <c r="CR47" s="773">
        <f t="shared" si="47"/>
        <v>-489043.24</v>
      </c>
      <c r="CS47" s="773">
        <v>-4773003.84</v>
      </c>
      <c r="CT47" s="773">
        <v>0</v>
      </c>
      <c r="CU47" s="773">
        <f t="shared" si="59"/>
        <v>-4773003.84</v>
      </c>
      <c r="CV47" s="773">
        <v>-256763.98</v>
      </c>
      <c r="CW47" s="773">
        <v>-211578.28</v>
      </c>
      <c r="CY47" s="102">
        <v>-5609224.1599999964</v>
      </c>
      <c r="CZ47" s="773">
        <v>-478702.76</v>
      </c>
      <c r="DA47" s="773">
        <v>0</v>
      </c>
      <c r="DB47" s="773">
        <v>0</v>
      </c>
      <c r="DC47" s="773">
        <f t="shared" si="48"/>
        <v>-478702.76</v>
      </c>
      <c r="DD47" s="773">
        <v>-4672081.9199999999</v>
      </c>
      <c r="DE47" s="773">
        <v>0</v>
      </c>
      <c r="DF47" s="773">
        <f t="shared" si="60"/>
        <v>-4672081.9199999999</v>
      </c>
      <c r="DG47" s="773">
        <v>-251334.88</v>
      </c>
      <c r="DH47" s="773">
        <v>-207104.6</v>
      </c>
      <c r="DJ47" s="773">
        <v>-5488058.969999996</v>
      </c>
      <c r="DK47" s="773">
        <v>-468362.27</v>
      </c>
      <c r="DL47" s="773">
        <v>0</v>
      </c>
      <c r="DM47" s="773">
        <v>0</v>
      </c>
      <c r="DN47" s="773">
        <f t="shared" si="49"/>
        <v>-468362.27</v>
      </c>
      <c r="DO47" s="773">
        <v>-4571160</v>
      </c>
      <c r="DP47" s="773">
        <v>0</v>
      </c>
      <c r="DQ47" s="773">
        <f t="shared" si="61"/>
        <v>-4571160</v>
      </c>
      <c r="DR47" s="773">
        <v>-245905.78</v>
      </c>
      <c r="DS47" s="773">
        <v>-202630.92</v>
      </c>
      <c r="DU47" s="773">
        <v>-5366893.7699999958</v>
      </c>
      <c r="DV47" s="773">
        <v>-458021.78</v>
      </c>
      <c r="DW47" s="773">
        <v>0</v>
      </c>
      <c r="DX47" s="773">
        <v>0</v>
      </c>
      <c r="DY47" s="773">
        <f t="shared" si="50"/>
        <v>-458021.78</v>
      </c>
      <c r="DZ47" s="773">
        <v>-4470238.0599999996</v>
      </c>
      <c r="EA47" s="773">
        <v>0</v>
      </c>
      <c r="EB47" s="773">
        <f t="shared" si="62"/>
        <v>-4470238.0599999996</v>
      </c>
      <c r="EC47" s="773">
        <v>-240476.68</v>
      </c>
      <c r="ED47" s="773">
        <v>-198157.24</v>
      </c>
      <c r="EE47" s="642">
        <f>+'II-E-3.5'!I56+DU47</f>
        <v>0</v>
      </c>
      <c r="EF47" s="772">
        <f t="shared" si="38"/>
        <v>9.9999960511922836E-3</v>
      </c>
    </row>
    <row r="48" spans="1:136" s="406" customFormat="1">
      <c r="A48" s="409">
        <f t="shared" si="0"/>
        <v>36</v>
      </c>
      <c r="B48" s="179" t="s">
        <v>1055</v>
      </c>
      <c r="C48" s="408" t="s">
        <v>711</v>
      </c>
      <c r="D48" s="773">
        <v>0</v>
      </c>
      <c r="E48" s="773">
        <v>0</v>
      </c>
      <c r="F48" s="773">
        <v>0</v>
      </c>
      <c r="G48" s="773">
        <v>0</v>
      </c>
      <c r="H48" s="773">
        <f t="shared" si="39"/>
        <v>0</v>
      </c>
      <c r="I48" s="773">
        <f>+D48</f>
        <v>0</v>
      </c>
      <c r="J48" s="773">
        <v>0</v>
      </c>
      <c r="K48" s="773">
        <f t="shared" si="51"/>
        <v>0</v>
      </c>
      <c r="L48" s="773">
        <v>0</v>
      </c>
      <c r="M48" s="773">
        <v>0</v>
      </c>
      <c r="N48" s="774"/>
      <c r="O48" s="773">
        <v>0</v>
      </c>
      <c r="P48" s="773">
        <v>0</v>
      </c>
      <c r="Q48" s="773">
        <v>0</v>
      </c>
      <c r="R48" s="773">
        <v>0</v>
      </c>
      <c r="S48" s="773">
        <f t="shared" si="40"/>
        <v>0</v>
      </c>
      <c r="T48" s="773">
        <f>+O48</f>
        <v>0</v>
      </c>
      <c r="U48" s="773">
        <v>0</v>
      </c>
      <c r="V48" s="773">
        <f t="shared" si="52"/>
        <v>0</v>
      </c>
      <c r="W48" s="773">
        <v>0</v>
      </c>
      <c r="X48" s="773">
        <v>0</v>
      </c>
      <c r="Y48" s="609"/>
      <c r="Z48" s="773">
        <v>0</v>
      </c>
      <c r="AA48" s="773">
        <v>0</v>
      </c>
      <c r="AB48" s="773">
        <v>0</v>
      </c>
      <c r="AC48" s="773">
        <v>0</v>
      </c>
      <c r="AD48" s="773">
        <f t="shared" si="41"/>
        <v>0</v>
      </c>
      <c r="AE48" s="773">
        <f>+Z48</f>
        <v>0</v>
      </c>
      <c r="AF48" s="773">
        <v>0</v>
      </c>
      <c r="AG48" s="773">
        <f t="shared" si="53"/>
        <v>0</v>
      </c>
      <c r="AH48" s="773">
        <v>0</v>
      </c>
      <c r="AI48" s="773">
        <v>0</v>
      </c>
      <c r="AK48" s="773">
        <v>0</v>
      </c>
      <c r="AL48" s="773">
        <v>0</v>
      </c>
      <c r="AM48" s="773">
        <v>0</v>
      </c>
      <c r="AN48" s="773">
        <v>0</v>
      </c>
      <c r="AO48" s="773">
        <f t="shared" si="42"/>
        <v>0</v>
      </c>
      <c r="AP48" s="773">
        <f>+AK48</f>
        <v>0</v>
      </c>
      <c r="AQ48" s="773">
        <v>0</v>
      </c>
      <c r="AR48" s="773">
        <f t="shared" si="54"/>
        <v>0</v>
      </c>
      <c r="AS48" s="773">
        <v>0</v>
      </c>
      <c r="AT48" s="773">
        <v>0</v>
      </c>
      <c r="AU48" s="779"/>
      <c r="AV48" s="773">
        <v>0</v>
      </c>
      <c r="AW48" s="773">
        <v>0</v>
      </c>
      <c r="AX48" s="773">
        <v>0</v>
      </c>
      <c r="AY48" s="773">
        <v>0</v>
      </c>
      <c r="AZ48" s="773">
        <f t="shared" si="43"/>
        <v>0</v>
      </c>
      <c r="BA48" s="773">
        <f>+AV48</f>
        <v>0</v>
      </c>
      <c r="BB48" s="773">
        <v>0</v>
      </c>
      <c r="BC48" s="773">
        <f t="shared" si="55"/>
        <v>0</v>
      </c>
      <c r="BD48" s="773">
        <v>0</v>
      </c>
      <c r="BE48" s="773">
        <v>0</v>
      </c>
      <c r="BF48" s="779"/>
      <c r="BG48" s="773">
        <v>0</v>
      </c>
      <c r="BH48" s="773">
        <v>0</v>
      </c>
      <c r="BI48" s="773">
        <v>0</v>
      </c>
      <c r="BJ48" s="773">
        <v>0</v>
      </c>
      <c r="BK48" s="773">
        <f t="shared" si="44"/>
        <v>0</v>
      </c>
      <c r="BL48" s="773">
        <f>+BG48</f>
        <v>0</v>
      </c>
      <c r="BM48" s="773">
        <v>0</v>
      </c>
      <c r="BN48" s="773">
        <f t="shared" si="56"/>
        <v>0</v>
      </c>
      <c r="BO48" s="773">
        <v>0</v>
      </c>
      <c r="BP48" s="773">
        <v>0</v>
      </c>
      <c r="BQ48" s="779"/>
      <c r="BR48" s="773">
        <v>0</v>
      </c>
      <c r="BS48" s="773">
        <v>0</v>
      </c>
      <c r="BT48" s="773">
        <v>0</v>
      </c>
      <c r="BU48" s="773">
        <v>0</v>
      </c>
      <c r="BV48" s="773">
        <f t="shared" si="45"/>
        <v>0</v>
      </c>
      <c r="BW48" s="773">
        <f>+BR48</f>
        <v>0</v>
      </c>
      <c r="BX48" s="773">
        <v>0</v>
      </c>
      <c r="BY48" s="773">
        <f t="shared" si="57"/>
        <v>0</v>
      </c>
      <c r="BZ48" s="773">
        <v>0</v>
      </c>
      <c r="CA48" s="773">
        <v>0</v>
      </c>
      <c r="CC48" s="773">
        <v>0</v>
      </c>
      <c r="CD48" s="773">
        <v>0</v>
      </c>
      <c r="CE48" s="773">
        <v>0</v>
      </c>
      <c r="CF48" s="773">
        <v>0</v>
      </c>
      <c r="CG48" s="773">
        <f t="shared" si="46"/>
        <v>0</v>
      </c>
      <c r="CH48" s="773">
        <f>+CC48</f>
        <v>0</v>
      </c>
      <c r="CI48" s="773">
        <v>0</v>
      </c>
      <c r="CJ48" s="773">
        <f t="shared" si="58"/>
        <v>0</v>
      </c>
      <c r="CK48" s="773">
        <v>0</v>
      </c>
      <c r="CL48" s="773">
        <v>0</v>
      </c>
      <c r="CN48" s="773">
        <v>0</v>
      </c>
      <c r="CO48" s="773">
        <v>0</v>
      </c>
      <c r="CP48" s="773">
        <v>0</v>
      </c>
      <c r="CQ48" s="773">
        <v>0</v>
      </c>
      <c r="CR48" s="773">
        <f t="shared" si="47"/>
        <v>0</v>
      </c>
      <c r="CS48" s="773">
        <f>+CN48</f>
        <v>0</v>
      </c>
      <c r="CT48" s="773">
        <v>0</v>
      </c>
      <c r="CU48" s="773">
        <f t="shared" si="59"/>
        <v>0</v>
      </c>
      <c r="CV48" s="773">
        <v>0</v>
      </c>
      <c r="CW48" s="773">
        <v>0</v>
      </c>
      <c r="CY48" s="102">
        <v>0</v>
      </c>
      <c r="CZ48" s="773">
        <v>0</v>
      </c>
      <c r="DA48" s="773">
        <v>0</v>
      </c>
      <c r="DB48" s="773">
        <v>0</v>
      </c>
      <c r="DC48" s="773">
        <f t="shared" si="48"/>
        <v>0</v>
      </c>
      <c r="DD48" s="773">
        <f>+CY48</f>
        <v>0</v>
      </c>
      <c r="DE48" s="773">
        <v>0</v>
      </c>
      <c r="DF48" s="773">
        <f t="shared" si="60"/>
        <v>0</v>
      </c>
      <c r="DG48" s="773">
        <v>0</v>
      </c>
      <c r="DH48" s="773">
        <v>0</v>
      </c>
      <c r="DJ48" s="773">
        <v>0</v>
      </c>
      <c r="DK48" s="773">
        <v>0</v>
      </c>
      <c r="DL48" s="773">
        <v>0</v>
      </c>
      <c r="DM48" s="773">
        <v>0</v>
      </c>
      <c r="DN48" s="773">
        <f t="shared" si="49"/>
        <v>0</v>
      </c>
      <c r="DO48" s="773">
        <f>+DJ48</f>
        <v>0</v>
      </c>
      <c r="DP48" s="773">
        <v>0</v>
      </c>
      <c r="DQ48" s="773">
        <f t="shared" si="61"/>
        <v>0</v>
      </c>
      <c r="DR48" s="773">
        <v>0</v>
      </c>
      <c r="DS48" s="773">
        <v>0</v>
      </c>
      <c r="DU48" s="773">
        <v>-103681.41</v>
      </c>
      <c r="DV48" s="773">
        <v>0</v>
      </c>
      <c r="DW48" s="773">
        <v>0</v>
      </c>
      <c r="DX48" s="773">
        <v>0</v>
      </c>
      <c r="DY48" s="773">
        <f t="shared" si="50"/>
        <v>0</v>
      </c>
      <c r="DZ48" s="773">
        <f>+DU48</f>
        <v>-103681.41</v>
      </c>
      <c r="EA48" s="773">
        <v>0</v>
      </c>
      <c r="EB48" s="773">
        <f t="shared" si="62"/>
        <v>-103681.41</v>
      </c>
      <c r="EC48" s="773">
        <v>0</v>
      </c>
      <c r="ED48" s="773">
        <v>0</v>
      </c>
      <c r="EE48" s="642">
        <f>+'II-E-3.5'!I57+DU48</f>
        <v>0</v>
      </c>
      <c r="EF48" s="772">
        <f t="shared" si="38"/>
        <v>0</v>
      </c>
    </row>
    <row r="49" spans="1:136" s="406" customFormat="1">
      <c r="A49" s="409">
        <f t="shared" si="0"/>
        <v>37</v>
      </c>
      <c r="B49" s="179" t="s">
        <v>1056</v>
      </c>
      <c r="C49" s="408" t="s">
        <v>711</v>
      </c>
      <c r="D49" s="773">
        <v>0</v>
      </c>
      <c r="E49" s="773">
        <v>0</v>
      </c>
      <c r="F49" s="773">
        <v>0</v>
      </c>
      <c r="G49" s="773">
        <v>0</v>
      </c>
      <c r="H49" s="773">
        <f t="shared" si="39"/>
        <v>0</v>
      </c>
      <c r="I49" s="773">
        <f>+D49</f>
        <v>0</v>
      </c>
      <c r="J49" s="773">
        <v>0</v>
      </c>
      <c r="K49" s="773">
        <f t="shared" si="51"/>
        <v>0</v>
      </c>
      <c r="L49" s="773">
        <v>0</v>
      </c>
      <c r="M49" s="773">
        <v>0</v>
      </c>
      <c r="N49" s="774"/>
      <c r="O49" s="773">
        <v>0</v>
      </c>
      <c r="P49" s="773">
        <v>0</v>
      </c>
      <c r="Q49" s="773">
        <v>0</v>
      </c>
      <c r="R49" s="773">
        <v>0</v>
      </c>
      <c r="S49" s="773">
        <f t="shared" si="40"/>
        <v>0</v>
      </c>
      <c r="T49" s="773">
        <f>+O49</f>
        <v>0</v>
      </c>
      <c r="U49" s="773">
        <v>0</v>
      </c>
      <c r="V49" s="773">
        <f t="shared" si="52"/>
        <v>0</v>
      </c>
      <c r="W49" s="773">
        <v>0</v>
      </c>
      <c r="X49" s="773">
        <v>0</v>
      </c>
      <c r="Y49" s="609"/>
      <c r="Z49" s="773">
        <v>0</v>
      </c>
      <c r="AA49" s="773">
        <v>0</v>
      </c>
      <c r="AB49" s="773">
        <v>0</v>
      </c>
      <c r="AC49" s="773">
        <v>0</v>
      </c>
      <c r="AD49" s="773">
        <f t="shared" si="41"/>
        <v>0</v>
      </c>
      <c r="AE49" s="773">
        <f>+Z49</f>
        <v>0</v>
      </c>
      <c r="AF49" s="773">
        <v>0</v>
      </c>
      <c r="AG49" s="773">
        <f t="shared" si="53"/>
        <v>0</v>
      </c>
      <c r="AH49" s="773">
        <v>0</v>
      </c>
      <c r="AI49" s="773">
        <v>0</v>
      </c>
      <c r="AK49" s="773">
        <v>0</v>
      </c>
      <c r="AL49" s="773">
        <v>0</v>
      </c>
      <c r="AM49" s="773">
        <v>0</v>
      </c>
      <c r="AN49" s="773">
        <v>0</v>
      </c>
      <c r="AO49" s="773">
        <f t="shared" si="42"/>
        <v>0</v>
      </c>
      <c r="AP49" s="773">
        <f>+AK49</f>
        <v>0</v>
      </c>
      <c r="AQ49" s="773">
        <v>0</v>
      </c>
      <c r="AR49" s="773">
        <f t="shared" si="54"/>
        <v>0</v>
      </c>
      <c r="AS49" s="773">
        <v>0</v>
      </c>
      <c r="AT49" s="773">
        <v>0</v>
      </c>
      <c r="AU49" s="779"/>
      <c r="AV49" s="773">
        <v>0</v>
      </c>
      <c r="AW49" s="773">
        <v>0</v>
      </c>
      <c r="AX49" s="773">
        <v>0</v>
      </c>
      <c r="AY49" s="773">
        <v>0</v>
      </c>
      <c r="AZ49" s="773">
        <f t="shared" si="43"/>
        <v>0</v>
      </c>
      <c r="BA49" s="773">
        <f>+AV49</f>
        <v>0</v>
      </c>
      <c r="BB49" s="773">
        <v>0</v>
      </c>
      <c r="BC49" s="773">
        <f t="shared" si="55"/>
        <v>0</v>
      </c>
      <c r="BD49" s="773">
        <v>0</v>
      </c>
      <c r="BE49" s="773">
        <v>0</v>
      </c>
      <c r="BF49" s="779"/>
      <c r="BG49" s="773">
        <v>0</v>
      </c>
      <c r="BH49" s="773">
        <v>0</v>
      </c>
      <c r="BI49" s="773">
        <v>0</v>
      </c>
      <c r="BJ49" s="773">
        <v>0</v>
      </c>
      <c r="BK49" s="773">
        <f t="shared" si="44"/>
        <v>0</v>
      </c>
      <c r="BL49" s="773">
        <f>+BG49</f>
        <v>0</v>
      </c>
      <c r="BM49" s="773">
        <v>0</v>
      </c>
      <c r="BN49" s="773">
        <f t="shared" si="56"/>
        <v>0</v>
      </c>
      <c r="BO49" s="773">
        <v>0</v>
      </c>
      <c r="BP49" s="773">
        <v>0</v>
      </c>
      <c r="BQ49" s="779"/>
      <c r="BR49" s="773">
        <v>0</v>
      </c>
      <c r="BS49" s="773">
        <v>0</v>
      </c>
      <c r="BT49" s="773">
        <v>0</v>
      </c>
      <c r="BU49" s="773">
        <v>0</v>
      </c>
      <c r="BV49" s="773">
        <f t="shared" si="45"/>
        <v>0</v>
      </c>
      <c r="BW49" s="773">
        <f>+BR49</f>
        <v>0</v>
      </c>
      <c r="BX49" s="773">
        <v>0</v>
      </c>
      <c r="BY49" s="773">
        <f t="shared" si="57"/>
        <v>0</v>
      </c>
      <c r="BZ49" s="773">
        <v>0</v>
      </c>
      <c r="CA49" s="773">
        <v>0</v>
      </c>
      <c r="CC49" s="773">
        <v>0</v>
      </c>
      <c r="CD49" s="773">
        <v>0</v>
      </c>
      <c r="CE49" s="773">
        <v>0</v>
      </c>
      <c r="CF49" s="773">
        <v>0</v>
      </c>
      <c r="CG49" s="773">
        <f t="shared" si="46"/>
        <v>0</v>
      </c>
      <c r="CH49" s="773">
        <f>+CC49</f>
        <v>0</v>
      </c>
      <c r="CI49" s="773">
        <v>0</v>
      </c>
      <c r="CJ49" s="773">
        <f t="shared" si="58"/>
        <v>0</v>
      </c>
      <c r="CK49" s="773">
        <v>0</v>
      </c>
      <c r="CL49" s="773">
        <v>0</v>
      </c>
      <c r="CN49" s="773">
        <v>0</v>
      </c>
      <c r="CO49" s="773">
        <v>0</v>
      </c>
      <c r="CP49" s="773">
        <v>0</v>
      </c>
      <c r="CQ49" s="773">
        <v>0</v>
      </c>
      <c r="CR49" s="773">
        <f t="shared" si="47"/>
        <v>0</v>
      </c>
      <c r="CS49" s="773">
        <f>+CN49</f>
        <v>0</v>
      </c>
      <c r="CT49" s="773">
        <v>0</v>
      </c>
      <c r="CU49" s="773">
        <f t="shared" si="59"/>
        <v>0</v>
      </c>
      <c r="CV49" s="773">
        <v>0</v>
      </c>
      <c r="CW49" s="773">
        <v>0</v>
      </c>
      <c r="CY49" s="102">
        <v>0</v>
      </c>
      <c r="CZ49" s="773">
        <v>0</v>
      </c>
      <c r="DA49" s="773">
        <v>0</v>
      </c>
      <c r="DB49" s="773">
        <v>0</v>
      </c>
      <c r="DC49" s="773">
        <f t="shared" si="48"/>
        <v>0</v>
      </c>
      <c r="DD49" s="773">
        <f>+CY49</f>
        <v>0</v>
      </c>
      <c r="DE49" s="773">
        <v>0</v>
      </c>
      <c r="DF49" s="773">
        <f t="shared" si="60"/>
        <v>0</v>
      </c>
      <c r="DG49" s="773">
        <v>0</v>
      </c>
      <c r="DH49" s="773">
        <v>0</v>
      </c>
      <c r="DJ49" s="773">
        <v>-15281.12</v>
      </c>
      <c r="DK49" s="773">
        <v>0</v>
      </c>
      <c r="DL49" s="773">
        <v>0</v>
      </c>
      <c r="DM49" s="773">
        <v>0</v>
      </c>
      <c r="DN49" s="773">
        <f t="shared" si="49"/>
        <v>0</v>
      </c>
      <c r="DO49" s="773">
        <f>+DJ49</f>
        <v>-15281.12</v>
      </c>
      <c r="DP49" s="773">
        <v>0</v>
      </c>
      <c r="DQ49" s="773">
        <f t="shared" si="61"/>
        <v>-15281.12</v>
      </c>
      <c r="DR49" s="773">
        <v>0</v>
      </c>
      <c r="DS49" s="773">
        <v>0</v>
      </c>
      <c r="DU49" s="773">
        <v>-152716.09</v>
      </c>
      <c r="DV49" s="773">
        <v>0</v>
      </c>
      <c r="DW49" s="773">
        <v>0</v>
      </c>
      <c r="DX49" s="773">
        <v>0</v>
      </c>
      <c r="DY49" s="773">
        <f t="shared" si="50"/>
        <v>0</v>
      </c>
      <c r="DZ49" s="773">
        <f>+DU49</f>
        <v>-152716.09</v>
      </c>
      <c r="EA49" s="773">
        <v>0</v>
      </c>
      <c r="EB49" s="773">
        <f t="shared" si="62"/>
        <v>-152716.09</v>
      </c>
      <c r="EC49" s="773">
        <v>0</v>
      </c>
      <c r="ED49" s="773">
        <v>0</v>
      </c>
      <c r="EE49" s="642">
        <f>+'II-E-3.5'!I58+DU49</f>
        <v>0</v>
      </c>
      <c r="EF49" s="772">
        <f t="shared" si="38"/>
        <v>0</v>
      </c>
    </row>
    <row r="50" spans="1:136" s="406" customFormat="1">
      <c r="A50" s="409">
        <f t="shared" si="0"/>
        <v>38</v>
      </c>
      <c r="B50" s="192" t="s">
        <v>976</v>
      </c>
      <c r="C50" s="408" t="s">
        <v>663</v>
      </c>
      <c r="D50" s="773">
        <v>8932704.7899999991</v>
      </c>
      <c r="E50" s="773">
        <f>ROUND(+D50*'[5]II-F Alloc_Factor'!$E$34,2)</f>
        <v>3953414.16</v>
      </c>
      <c r="F50" s="773">
        <f>ROUND(+D50*'[5]II-F Alloc_Factor'!$F$34,2)</f>
        <v>0</v>
      </c>
      <c r="G50" s="773">
        <f>ROUND(+D50*'[5]II-F Alloc_Factor'!$G$34,2)</f>
        <v>0</v>
      </c>
      <c r="H50" s="773">
        <f t="shared" si="39"/>
        <v>3953414.16</v>
      </c>
      <c r="I50" s="773">
        <f>ROUND(+D50*'[5]II-F Alloc_Factor'!$I$34,2)</f>
        <v>4821817.63</v>
      </c>
      <c r="J50" s="773">
        <f>ROUND(+D50*'[5]II-F Alloc_Factor'!$J$34,2)</f>
        <v>0</v>
      </c>
      <c r="K50" s="773">
        <f t="shared" si="51"/>
        <v>4821817.63</v>
      </c>
      <c r="L50" s="773">
        <f>ROUND(+D50*'[5]II-F Alloc_Factor'!$L$34,2)</f>
        <v>157472.99</v>
      </c>
      <c r="M50" s="773">
        <f>ROUND(+D50*'[5]II-F Alloc_Factor'!$M$34,2)</f>
        <v>0</v>
      </c>
      <c r="N50" s="774"/>
      <c r="O50" s="773">
        <v>8871479.4499999993</v>
      </c>
      <c r="P50" s="773">
        <f>ROUND(+O50*'[5]II-F Alloc_Factor'!$E$34,2)</f>
        <v>3926317.2</v>
      </c>
      <c r="Q50" s="773">
        <f>ROUND(+O50*'[5]II-F Alloc_Factor'!$F$34,2)</f>
        <v>0</v>
      </c>
      <c r="R50" s="773">
        <f>ROUND(+O50*'[5]II-F Alloc_Factor'!$G$34,2)</f>
        <v>0</v>
      </c>
      <c r="S50" s="773">
        <f t="shared" si="40"/>
        <v>3926317.2</v>
      </c>
      <c r="T50" s="773">
        <f>ROUND(+O50*'[5]II-F Alloc_Factor'!$I$34,2)</f>
        <v>4788768.58</v>
      </c>
      <c r="U50" s="773">
        <f>ROUND(+O50*'[5]II-F Alloc_Factor'!$J$34,2)</f>
        <v>0</v>
      </c>
      <c r="V50" s="773">
        <f t="shared" si="52"/>
        <v>4788768.58</v>
      </c>
      <c r="W50" s="773">
        <f>ROUND(+O50*'[5]II-F Alloc_Factor'!$L$34,2)</f>
        <v>156393.66</v>
      </c>
      <c r="X50" s="773">
        <f>ROUND(+O50*'[5]II-F Alloc_Factor'!$M$34,2)</f>
        <v>0</v>
      </c>
      <c r="Y50" s="609"/>
      <c r="Z50" s="773">
        <v>8809602.5599999987</v>
      </c>
      <c r="AA50" s="773">
        <f>ROUND(+Z50*'[5]II-F Alloc_Factor'!$E$34,2)</f>
        <v>3898931.89</v>
      </c>
      <c r="AB50" s="773">
        <f>ROUND(+Z50*'[5]II-F Alloc_Factor'!$F$34,2)</f>
        <v>0</v>
      </c>
      <c r="AC50" s="773">
        <f>ROUND(+Z50*'[5]II-F Alloc_Factor'!$G$34,2)</f>
        <v>0</v>
      </c>
      <c r="AD50" s="773">
        <f t="shared" si="41"/>
        <v>3898931.89</v>
      </c>
      <c r="AE50" s="773">
        <f>ROUND(+Z50*'[5]II-F Alloc_Factor'!$I$34,2)</f>
        <v>4755367.83</v>
      </c>
      <c r="AF50" s="773">
        <f>ROUND(+Z50*'[5]II-F Alloc_Factor'!$J$34,2)</f>
        <v>0</v>
      </c>
      <c r="AG50" s="773">
        <f t="shared" si="53"/>
        <v>4755367.83</v>
      </c>
      <c r="AH50" s="773">
        <f>ROUND(+Z50*'[5]II-F Alloc_Factor'!$L$34,2)</f>
        <v>155302.85</v>
      </c>
      <c r="AI50" s="773">
        <f>ROUND(+Z50*'[5]II-F Alloc_Factor'!$M$34,2)</f>
        <v>0</v>
      </c>
      <c r="AK50" s="773">
        <v>8809593.6599999983</v>
      </c>
      <c r="AL50" s="773">
        <f>ROUND(+AK50*'[5]II-F Alloc_Factor'!$E$34,2)</f>
        <v>3898927.95</v>
      </c>
      <c r="AM50" s="773">
        <f>ROUND(+AK50*'[5]II-F Alloc_Factor'!$F$34,2)</f>
        <v>0</v>
      </c>
      <c r="AN50" s="773">
        <f>ROUND(+AK50*'[5]II-F Alloc_Factor'!$G$34,2)</f>
        <v>0</v>
      </c>
      <c r="AO50" s="773">
        <f t="shared" si="42"/>
        <v>3898927.95</v>
      </c>
      <c r="AP50" s="773">
        <f>ROUND(+AK50*'[5]II-F Alloc_Factor'!$I$34,2)</f>
        <v>4755363.0199999996</v>
      </c>
      <c r="AQ50" s="773">
        <f>ROUND(+AK50*'[5]II-F Alloc_Factor'!$J$34,2)</f>
        <v>0</v>
      </c>
      <c r="AR50" s="773">
        <f t="shared" si="54"/>
        <v>4755363.0199999996</v>
      </c>
      <c r="AS50" s="773">
        <f>ROUND(+AK50*'[5]II-F Alloc_Factor'!$L$34,2)</f>
        <v>155302.69</v>
      </c>
      <c r="AT50" s="773">
        <f>ROUND(+AK50*'[5]II-F Alloc_Factor'!$M$34,2)</f>
        <v>0</v>
      </c>
      <c r="AU50" s="779"/>
      <c r="AV50" s="773">
        <v>10384740.779999997</v>
      </c>
      <c r="AW50" s="773">
        <f>ROUND(+AV50*'[5]II-F Alloc_Factor'!$E$34,2)</f>
        <v>4596052.62</v>
      </c>
      <c r="AX50" s="773">
        <f>ROUND(+AV50*'[5]II-F Alloc_Factor'!$F$34,2)</f>
        <v>0</v>
      </c>
      <c r="AY50" s="773">
        <f>ROUND(+AV50*'[5]II-F Alloc_Factor'!$G$34,2)</f>
        <v>0</v>
      </c>
      <c r="AZ50" s="773">
        <f t="shared" si="43"/>
        <v>4596052.62</v>
      </c>
      <c r="BA50" s="773">
        <f>ROUND(+AV50*'[5]II-F Alloc_Factor'!$I$34,2)</f>
        <v>5605617.4900000002</v>
      </c>
      <c r="BB50" s="773">
        <f>ROUND(+AV50*'[5]II-F Alloc_Factor'!$J$34,2)</f>
        <v>0</v>
      </c>
      <c r="BC50" s="773">
        <f t="shared" si="55"/>
        <v>5605617.4900000002</v>
      </c>
      <c r="BD50" s="773">
        <f>ROUND(+AV50*'[5]II-F Alloc_Factor'!$L$34,2)</f>
        <v>183070.67</v>
      </c>
      <c r="BE50" s="773">
        <f>ROUND(+AV50*'[5]II-F Alloc_Factor'!$M$34,2)</f>
        <v>0</v>
      </c>
      <c r="BF50" s="779"/>
      <c r="BG50" s="773">
        <v>14466656.889999997</v>
      </c>
      <c r="BH50" s="773">
        <f>ROUND(+BG50*'[5]II-F Alloc_Factor'!$E$34,2)</f>
        <v>6402616.8499999996</v>
      </c>
      <c r="BI50" s="773">
        <f>ROUND(+BG50*'[5]II-F Alloc_Factor'!$F$34,2)</f>
        <v>0</v>
      </c>
      <c r="BJ50" s="773">
        <f>ROUND(+BG50*'[5]II-F Alloc_Factor'!$G$34,2)</f>
        <v>0</v>
      </c>
      <c r="BK50" s="773">
        <f t="shared" si="44"/>
        <v>6402616.8499999996</v>
      </c>
      <c r="BL50" s="773">
        <f>ROUND(+BG50*'[5]II-F Alloc_Factor'!$I$34,2)</f>
        <v>7809010.0300000003</v>
      </c>
      <c r="BM50" s="773">
        <f>ROUND(+BG50*'[5]II-F Alloc_Factor'!$J$34,2)</f>
        <v>0</v>
      </c>
      <c r="BN50" s="773">
        <f t="shared" si="56"/>
        <v>7809010.0300000003</v>
      </c>
      <c r="BO50" s="773">
        <f>ROUND(+BG50*'[5]II-F Alloc_Factor'!$L$34,2)</f>
        <v>255030.01</v>
      </c>
      <c r="BP50" s="773">
        <f>ROUND(+BG50*'[5]II-F Alloc_Factor'!$M$34,2)</f>
        <v>0</v>
      </c>
      <c r="BQ50" s="779"/>
      <c r="BR50" s="773">
        <v>14387307.849999998</v>
      </c>
      <c r="BS50" s="773">
        <f>ROUND(+BR50*'[5]II-F Alloc_Factor'!$E$34,2)</f>
        <v>6367498.75</v>
      </c>
      <c r="BT50" s="773">
        <f>ROUND(+BR50*'[5]II-F Alloc_Factor'!$F$34,2)</f>
        <v>0</v>
      </c>
      <c r="BU50" s="773">
        <f>ROUND(+BR50*'[5]II-F Alloc_Factor'!$G$34,2)</f>
        <v>0</v>
      </c>
      <c r="BV50" s="773">
        <f t="shared" si="45"/>
        <v>6367498.75</v>
      </c>
      <c r="BW50" s="773">
        <f>ROUND(+BR50*'[5]II-F Alloc_Factor'!$I$34,2)</f>
        <v>7766177.9199999999</v>
      </c>
      <c r="BX50" s="773">
        <f>ROUND(+BR50*'[5]II-F Alloc_Factor'!$J$34,2)</f>
        <v>0</v>
      </c>
      <c r="BY50" s="773">
        <f t="shared" si="57"/>
        <v>7766177.9199999999</v>
      </c>
      <c r="BZ50" s="773">
        <f>ROUND(+BR50*'[5]II-F Alloc_Factor'!$L$34,2)</f>
        <v>253631.18</v>
      </c>
      <c r="CA50" s="773">
        <f>ROUND(+BR50*'[5]II-F Alloc_Factor'!$M$34,2)</f>
        <v>0</v>
      </c>
      <c r="CC50" s="773">
        <v>15901277.419999998</v>
      </c>
      <c r="CD50" s="773">
        <f>ROUND(+CC50*'[5]II-F Alloc_Factor'!$E$34,2)</f>
        <v>7037547.6200000001</v>
      </c>
      <c r="CE50" s="773">
        <f>ROUND(+CC50*'[5]II-F Alloc_Factor'!$F$34,2)</f>
        <v>0</v>
      </c>
      <c r="CF50" s="773">
        <f>ROUND(+CC50*'[5]II-F Alloc_Factor'!$G$34,2)</f>
        <v>0</v>
      </c>
      <c r="CG50" s="773">
        <f t="shared" si="46"/>
        <v>7037547.6200000001</v>
      </c>
      <c r="CH50" s="773">
        <f>ROUND(+CC50*'[5]II-F Alloc_Factor'!$I$34,2)</f>
        <v>8583409.1300000008</v>
      </c>
      <c r="CI50" s="773">
        <f>ROUND(+CC50*'[5]II-F Alloc_Factor'!$J$34,2)</f>
        <v>0</v>
      </c>
      <c r="CJ50" s="773">
        <f t="shared" si="58"/>
        <v>8583409.1300000008</v>
      </c>
      <c r="CK50" s="773">
        <f>ROUND(+CC50*'[5]II-F Alloc_Factor'!$L$34,2)</f>
        <v>280320.67</v>
      </c>
      <c r="CL50" s="773">
        <f>ROUND(+CC50*'[5]II-F Alloc_Factor'!$M$34,2)</f>
        <v>0</v>
      </c>
      <c r="CN50" s="773">
        <v>15149979.389999999</v>
      </c>
      <c r="CO50" s="773">
        <f>ROUND(+CN50*'[5]II-F Alloc_Factor'!$E$34,2)</f>
        <v>6705040.0199999996</v>
      </c>
      <c r="CP50" s="773">
        <f>ROUND(+CN50*'[5]II-F Alloc_Factor'!$F$34,2)</f>
        <v>0</v>
      </c>
      <c r="CQ50" s="773">
        <f>ROUND(+CN50*'[5]II-F Alloc_Factor'!$G$34,2)</f>
        <v>0</v>
      </c>
      <c r="CR50" s="773">
        <f t="shared" si="47"/>
        <v>6705040.0199999996</v>
      </c>
      <c r="CS50" s="773">
        <f>ROUND(+CN50*'[5]II-F Alloc_Factor'!$I$34,2)</f>
        <v>8177863.2000000002</v>
      </c>
      <c r="CT50" s="773">
        <f>ROUND(+CN50*'[5]II-F Alloc_Factor'!$J$34,2)</f>
        <v>0</v>
      </c>
      <c r="CU50" s="773">
        <f t="shared" si="59"/>
        <v>8177863.2000000002</v>
      </c>
      <c r="CV50" s="773">
        <f>ROUND(+CN50*'[5]II-F Alloc_Factor'!$L$34,2)</f>
        <v>267076.17</v>
      </c>
      <c r="CW50" s="773">
        <f>ROUND(+CN50*'[5]II-F Alloc_Factor'!$M$34,2)</f>
        <v>0</v>
      </c>
      <c r="CY50" s="102">
        <v>13010372.319999998</v>
      </c>
      <c r="CZ50" s="773">
        <f>ROUND(+CY50*'[5]II-F Alloc_Factor'!$E$34,2)</f>
        <v>5758098.0700000003</v>
      </c>
      <c r="DA50" s="773">
        <f>ROUND(+CY50*'[5]II-F Alloc_Factor'!$F$34,2)</f>
        <v>0</v>
      </c>
      <c r="DB50" s="773">
        <f>ROUND(+CY50*'[5]II-F Alloc_Factor'!$G$34,2)</f>
        <v>0</v>
      </c>
      <c r="DC50" s="773">
        <f t="shared" si="48"/>
        <v>5758098.0700000003</v>
      </c>
      <c r="DD50" s="773">
        <f>ROUND(+CY50*'[5]II-F Alloc_Factor'!$I$34,2)</f>
        <v>7022916.8099999996</v>
      </c>
      <c r="DE50" s="773">
        <f>ROUND(+CY50*'[5]II-F Alloc_Factor'!$J$34,2)</f>
        <v>0</v>
      </c>
      <c r="DF50" s="773">
        <f t="shared" si="60"/>
        <v>7022916.8099999996</v>
      </c>
      <c r="DG50" s="773">
        <f>ROUND(+CY50*'[5]II-F Alloc_Factor'!$L$34,2)</f>
        <v>229357.44</v>
      </c>
      <c r="DH50" s="773">
        <f>ROUND(+CY50*'[5]II-F Alloc_Factor'!$M$34,2)</f>
        <v>0</v>
      </c>
      <c r="DJ50" s="773">
        <v>11396153.079999998</v>
      </c>
      <c r="DK50" s="773">
        <f>ROUND(+DJ50*'[5]II-F Alloc_Factor'!$E$34,2)</f>
        <v>5043680.95</v>
      </c>
      <c r="DL50" s="773">
        <f>ROUND(+DJ50*'[5]II-F Alloc_Factor'!$F$34,2)</f>
        <v>0</v>
      </c>
      <c r="DM50" s="773">
        <f>ROUND(+DJ50*'[5]II-F Alloc_Factor'!$G$34,2)</f>
        <v>0</v>
      </c>
      <c r="DN50" s="773">
        <f t="shared" si="49"/>
        <v>5043680.95</v>
      </c>
      <c r="DO50" s="773">
        <f>ROUND(+DJ50*'[5]II-F Alloc_Factor'!$I$34,2)</f>
        <v>6151571.46</v>
      </c>
      <c r="DP50" s="773">
        <f>ROUND(+DJ50*'[5]II-F Alloc_Factor'!$J$34,2)</f>
        <v>0</v>
      </c>
      <c r="DQ50" s="773">
        <f t="shared" si="61"/>
        <v>6151571.46</v>
      </c>
      <c r="DR50" s="773">
        <f>ROUND(+DJ50*'[5]II-F Alloc_Factor'!$L$34,2)</f>
        <v>200900.67</v>
      </c>
      <c r="DS50" s="773">
        <f>ROUND(+DJ50*'[5]II-F Alloc_Factor'!$M$34,2)</f>
        <v>0</v>
      </c>
      <c r="DU50" s="773">
        <v>10877031.609999998</v>
      </c>
      <c r="DV50" s="773">
        <f>ROUND(+DU50*'[5]II-F Alloc_Factor'!$E$34,2)</f>
        <v>4813929.47</v>
      </c>
      <c r="DW50" s="773">
        <f>ROUND(+DU50*'[5]II-F Alloc_Factor'!$F$34,2)</f>
        <v>0</v>
      </c>
      <c r="DX50" s="773">
        <f>ROUND(+DU50*'[5]II-F Alloc_Factor'!$G$34,2)</f>
        <v>0</v>
      </c>
      <c r="DY50" s="773">
        <f t="shared" si="50"/>
        <v>4813929.47</v>
      </c>
      <c r="DZ50" s="773">
        <f>ROUND(+DU50*'[5]II-F Alloc_Factor'!$I$34,2)</f>
        <v>5871352.9699999997</v>
      </c>
      <c r="EA50" s="773">
        <f>ROUND(+DU50*'[5]II-F Alloc_Factor'!$J$34,2)</f>
        <v>0</v>
      </c>
      <c r="EB50" s="773">
        <f t="shared" si="62"/>
        <v>5871352.9699999997</v>
      </c>
      <c r="EC50" s="773">
        <f>ROUND(+DU50*'[5]II-F Alloc_Factor'!$L$34,2)</f>
        <v>191749.17</v>
      </c>
      <c r="ED50" s="773">
        <f>ROUND(+DU50*'[5]II-F Alloc_Factor'!$M$34,2)</f>
        <v>0</v>
      </c>
      <c r="EE50" s="642">
        <f>+'II-E-3.5'!I61+DU50</f>
        <v>0</v>
      </c>
      <c r="EF50" s="772">
        <f t="shared" si="38"/>
        <v>0</v>
      </c>
    </row>
    <row r="51" spans="1:136" s="406" customFormat="1">
      <c r="A51" s="409">
        <f t="shared" si="0"/>
        <v>39</v>
      </c>
      <c r="B51" s="366" t="s">
        <v>878</v>
      </c>
      <c r="C51" s="775" t="s">
        <v>684</v>
      </c>
      <c r="D51" s="773">
        <v>-2038509.6199999973</v>
      </c>
      <c r="E51" s="773">
        <f>ROUND(+D51*'[5]II-F Alloc_Factor'!$E$38,2)</f>
        <v>-926671.29</v>
      </c>
      <c r="F51" s="773">
        <f>ROUND(+D51*'[5]II-F Alloc_Factor'!$F$38,2)</f>
        <v>0</v>
      </c>
      <c r="G51" s="773">
        <f>ROUND(+D51*'[5]II-F Alloc_Factor'!$G$38,2)</f>
        <v>-796.13</v>
      </c>
      <c r="H51" s="773">
        <f t="shared" si="39"/>
        <v>-927467.42</v>
      </c>
      <c r="I51" s="773">
        <f>ROUND(+D51*'[5]II-F Alloc_Factor'!$I$38,2)</f>
        <v>-1058351.55</v>
      </c>
      <c r="J51" s="773">
        <f>ROUND(+D51*'[5]II-F Alloc_Factor'!$J$38,2)</f>
        <v>0</v>
      </c>
      <c r="K51" s="773">
        <f t="shared" si="51"/>
        <v>-1058351.55</v>
      </c>
      <c r="L51" s="773">
        <f>ROUND(+D51*'[5]II-F Alloc_Factor'!$L$38,2)</f>
        <v>-31720.82</v>
      </c>
      <c r="M51" s="773">
        <f>ROUND(+D51*'[5]II-F Alloc_Factor'!$M$38,2)</f>
        <v>-20969.830000000002</v>
      </c>
      <c r="N51" s="774"/>
      <c r="O51" s="773">
        <v>25755673.140000004</v>
      </c>
      <c r="P51" s="773">
        <f>ROUND(+O51*'[5]II-F Alloc_Factor'!$E$38,2)</f>
        <v>11708084.48</v>
      </c>
      <c r="Q51" s="773">
        <f>ROUND(+O51*'[5]II-F Alloc_Factor'!$F$38,2)</f>
        <v>0</v>
      </c>
      <c r="R51" s="773">
        <f>ROUND(+O51*'[5]II-F Alloc_Factor'!$G$38,2)</f>
        <v>10058.719999999999</v>
      </c>
      <c r="S51" s="773">
        <f t="shared" si="40"/>
        <v>11718143.200000001</v>
      </c>
      <c r="T51" s="773">
        <f>ROUND(+O51*'[5]II-F Alloc_Factor'!$I$38,2)</f>
        <v>13371806.74</v>
      </c>
      <c r="U51" s="773">
        <f>ROUND(+O51*'[5]II-F Alloc_Factor'!$J$38,2)</f>
        <v>0</v>
      </c>
      <c r="V51" s="773">
        <f t="shared" si="52"/>
        <v>13371806.74</v>
      </c>
      <c r="W51" s="773">
        <f>ROUND(+O51*'[5]II-F Alloc_Factor'!$L$38,2)</f>
        <v>400778.56</v>
      </c>
      <c r="X51" s="773">
        <f>ROUND(+O51*'[5]II-F Alloc_Factor'!$M$38,2)</f>
        <v>264944.65000000002</v>
      </c>
      <c r="Y51" s="609"/>
      <c r="Z51" s="773">
        <v>25532714.450000003</v>
      </c>
      <c r="AA51" s="773">
        <f>ROUND(+Z51*'[5]II-F Alloc_Factor'!$E$38,2)</f>
        <v>11606731.300000001</v>
      </c>
      <c r="AB51" s="773">
        <f>ROUND(+Z51*'[5]II-F Alloc_Factor'!$F$38,2)</f>
        <v>0</v>
      </c>
      <c r="AC51" s="773">
        <f>ROUND(+Z51*'[5]II-F Alloc_Factor'!$G$38,2)</f>
        <v>9971.64</v>
      </c>
      <c r="AD51" s="773">
        <f t="shared" si="41"/>
        <v>11616702.940000001</v>
      </c>
      <c r="AE51" s="773">
        <f>ROUND(+Z51*'[5]II-F Alloc_Factor'!$I$38,2)</f>
        <v>13256051.26</v>
      </c>
      <c r="AF51" s="773">
        <f>ROUND(+Z51*'[5]II-F Alloc_Factor'!$J$38,2)</f>
        <v>0</v>
      </c>
      <c r="AG51" s="773">
        <f t="shared" si="53"/>
        <v>13256051.26</v>
      </c>
      <c r="AH51" s="773">
        <f>ROUND(+Z51*'[5]II-F Alloc_Factor'!$L$38,2)</f>
        <v>397309.14</v>
      </c>
      <c r="AI51" s="773">
        <f>ROUND(+Z51*'[5]II-F Alloc_Factor'!$M$38,2)</f>
        <v>262651.11</v>
      </c>
      <c r="AK51" s="773">
        <v>25528944.000000004</v>
      </c>
      <c r="AL51" s="773">
        <f>ROUND(+AK51*'[5]II-F Alloc_Factor'!$E$38,2)</f>
        <v>11605017.32</v>
      </c>
      <c r="AM51" s="773">
        <f>ROUND(+AK51*'[5]II-F Alloc_Factor'!$F$38,2)</f>
        <v>0</v>
      </c>
      <c r="AN51" s="773">
        <f>ROUND(+AK51*'[5]II-F Alloc_Factor'!$G$38,2)</f>
        <v>9970.17</v>
      </c>
      <c r="AO51" s="773">
        <f t="shared" si="42"/>
        <v>11614987.49</v>
      </c>
      <c r="AP51" s="773">
        <f>ROUND(+AK51*'[5]II-F Alloc_Factor'!$I$38,2)</f>
        <v>13254093.720000001</v>
      </c>
      <c r="AQ51" s="773">
        <f>ROUND(+AK51*'[5]II-F Alloc_Factor'!$J$38,2)</f>
        <v>0</v>
      </c>
      <c r="AR51" s="773">
        <f t="shared" si="54"/>
        <v>13254093.720000001</v>
      </c>
      <c r="AS51" s="773">
        <f>ROUND(+AK51*'[5]II-F Alloc_Factor'!$L$38,2)</f>
        <v>397250.47</v>
      </c>
      <c r="AT51" s="773">
        <f>ROUND(+AK51*'[5]II-F Alloc_Factor'!$M$38,2)</f>
        <v>262612.32</v>
      </c>
      <c r="AU51" s="779"/>
      <c r="AV51" s="773">
        <v>25690752.180000003</v>
      </c>
      <c r="AW51" s="773">
        <f>ROUND(+AV51*'[5]II-F Alloc_Factor'!$E$38,2)</f>
        <v>11678572.529999999</v>
      </c>
      <c r="AX51" s="773">
        <f>ROUND(+AV51*'[5]II-F Alloc_Factor'!$F$38,2)</f>
        <v>0</v>
      </c>
      <c r="AY51" s="773">
        <f>ROUND(+AV51*'[5]II-F Alloc_Factor'!$G$38,2)</f>
        <v>10033.36</v>
      </c>
      <c r="AZ51" s="773">
        <f t="shared" si="43"/>
        <v>11688605.889999999</v>
      </c>
      <c r="BA51" s="773">
        <f>ROUND(+AV51*'[5]II-F Alloc_Factor'!$I$38,2)</f>
        <v>13338101.140000001</v>
      </c>
      <c r="BB51" s="773">
        <f>ROUND(+AV51*'[5]II-F Alloc_Factor'!$J$38,2)</f>
        <v>0</v>
      </c>
      <c r="BC51" s="773">
        <f t="shared" si="55"/>
        <v>13338101.140000001</v>
      </c>
      <c r="BD51" s="773">
        <f>ROUND(+AV51*'[5]II-F Alloc_Factor'!$L$38,2)</f>
        <v>399768.34</v>
      </c>
      <c r="BE51" s="773">
        <f>ROUND(+AV51*'[5]II-F Alloc_Factor'!$M$38,2)</f>
        <v>264276.82</v>
      </c>
      <c r="BF51" s="779"/>
      <c r="BG51" s="773">
        <v>26777342.880000003</v>
      </c>
      <c r="BH51" s="773">
        <f>ROUND(+BG51*'[5]II-F Alloc_Factor'!$E$38,2)</f>
        <v>12172517.91</v>
      </c>
      <c r="BI51" s="773">
        <f>ROUND(+BG51*'[5]II-F Alloc_Factor'!$F$38,2)</f>
        <v>0</v>
      </c>
      <c r="BJ51" s="773">
        <f>ROUND(+BG51*'[5]II-F Alloc_Factor'!$G$38,2)</f>
        <v>10457.719999999999</v>
      </c>
      <c r="BK51" s="773">
        <f t="shared" si="44"/>
        <v>12182975.630000001</v>
      </c>
      <c r="BL51" s="773">
        <f>ROUND(+BG51*'[5]II-F Alloc_Factor'!$I$38,2)</f>
        <v>13902236.300000001</v>
      </c>
      <c r="BM51" s="773">
        <f>ROUND(+BG51*'[5]II-F Alloc_Factor'!$J$38,2)</f>
        <v>0</v>
      </c>
      <c r="BN51" s="773">
        <f t="shared" si="56"/>
        <v>13902236.300000001</v>
      </c>
      <c r="BO51" s="773">
        <f>ROUND(+BG51*'[5]II-F Alloc_Factor'!$L$38,2)</f>
        <v>416676.54</v>
      </c>
      <c r="BP51" s="773">
        <f>ROUND(+BG51*'[5]II-F Alloc_Factor'!$M$38,2)</f>
        <v>275454.40999999997</v>
      </c>
      <c r="BQ51" s="779"/>
      <c r="BR51" s="773">
        <v>27320179.340000004</v>
      </c>
      <c r="BS51" s="773">
        <f>ROUND(+BR51*'[5]II-F Alloc_Factor'!$E$38,2)</f>
        <v>12419281.99</v>
      </c>
      <c r="BT51" s="773">
        <f>ROUND(+BR51*'[5]II-F Alloc_Factor'!$F$38,2)</f>
        <v>0</v>
      </c>
      <c r="BU51" s="773">
        <f>ROUND(+BR51*'[5]II-F Alloc_Factor'!$G$38,2)</f>
        <v>10669.72</v>
      </c>
      <c r="BV51" s="773">
        <f t="shared" si="45"/>
        <v>12429951.710000001</v>
      </c>
      <c r="BW51" s="773">
        <f>ROUND(+BR51*'[5]II-F Alloc_Factor'!$I$38,2)</f>
        <v>14184065.640000001</v>
      </c>
      <c r="BX51" s="773">
        <f>ROUND(+BR51*'[5]II-F Alloc_Factor'!$J$38,2)</f>
        <v>0</v>
      </c>
      <c r="BY51" s="773">
        <f t="shared" si="57"/>
        <v>14184065.640000001</v>
      </c>
      <c r="BZ51" s="773">
        <f>ROUND(+BR51*'[5]II-F Alloc_Factor'!$L$38,2)</f>
        <v>425123.51</v>
      </c>
      <c r="CA51" s="773">
        <f>ROUND(+BR51*'[5]II-F Alloc_Factor'!$M$38,2)</f>
        <v>281038.48</v>
      </c>
      <c r="CC51" s="773">
        <v>27545259.850000005</v>
      </c>
      <c r="CD51" s="773">
        <f>ROUND(+CC51*'[5]II-F Alloc_Factor'!$E$38,2)</f>
        <v>12521599.710000001</v>
      </c>
      <c r="CE51" s="773">
        <f>ROUND(+CC51*'[5]II-F Alloc_Factor'!$F$38,2)</f>
        <v>0</v>
      </c>
      <c r="CF51" s="773">
        <f>ROUND(+CC51*'[5]II-F Alloc_Factor'!$G$38,2)</f>
        <v>10757.63</v>
      </c>
      <c r="CG51" s="773">
        <f t="shared" si="46"/>
        <v>12532357.340000002</v>
      </c>
      <c r="CH51" s="773">
        <f>ROUND(+CC51*'[5]II-F Alloc_Factor'!$I$38,2)</f>
        <v>14300922.73</v>
      </c>
      <c r="CI51" s="773">
        <f>ROUND(+CC51*'[5]II-F Alloc_Factor'!$J$38,2)</f>
        <v>0</v>
      </c>
      <c r="CJ51" s="773">
        <f t="shared" si="58"/>
        <v>14300922.73</v>
      </c>
      <c r="CK51" s="773">
        <f>ROUND(+CC51*'[5]II-F Alloc_Factor'!$L$38,2)</f>
        <v>428625.94</v>
      </c>
      <c r="CL51" s="773">
        <f>ROUND(+CC51*'[5]II-F Alloc_Factor'!$M$38,2)</f>
        <v>283353.84999999998</v>
      </c>
      <c r="CN51" s="773">
        <v>28810089.090000004</v>
      </c>
      <c r="CO51" s="773">
        <f>ROUND(+CN51*'[5]II-F Alloc_Factor'!$E$38,2)</f>
        <v>13096569.25</v>
      </c>
      <c r="CP51" s="773">
        <f>ROUND(+CN51*'[5]II-F Alloc_Factor'!$F$38,2)</f>
        <v>0</v>
      </c>
      <c r="CQ51" s="773">
        <f>ROUND(+CN51*'[5]II-F Alloc_Factor'!$G$38,2)</f>
        <v>11251.6</v>
      </c>
      <c r="CR51" s="773">
        <f t="shared" si="47"/>
        <v>13107820.85</v>
      </c>
      <c r="CS51" s="773">
        <f>ROUND(+CN51*'[5]II-F Alloc_Factor'!$I$38,2)</f>
        <v>14957595.609999999</v>
      </c>
      <c r="CT51" s="773">
        <f>ROUND(+CN51*'[5]II-F Alloc_Factor'!$J$38,2)</f>
        <v>0</v>
      </c>
      <c r="CU51" s="773">
        <f t="shared" si="59"/>
        <v>14957595.609999999</v>
      </c>
      <c r="CV51" s="773">
        <f>ROUND(+CN51*'[5]II-F Alloc_Factor'!$L$38,2)</f>
        <v>448307.68</v>
      </c>
      <c r="CW51" s="773">
        <f>ROUND(+CN51*'[5]II-F Alloc_Factor'!$M$38,2)</f>
        <v>296364.96000000002</v>
      </c>
      <c r="CY51" s="773">
        <v>41777761.590000004</v>
      </c>
      <c r="CZ51" s="773">
        <f>ROUND(+CY51*'[5]II-F Alloc_Factor'!$E$38,2)</f>
        <v>18991449.350000001</v>
      </c>
      <c r="DA51" s="773">
        <f>ROUND(+CY51*'[5]II-F Alloc_Factor'!$F$38,2)</f>
        <v>0</v>
      </c>
      <c r="DB51" s="773">
        <f>ROUND(+CY51*'[5]II-F Alloc_Factor'!$G$38,2)</f>
        <v>16316.04</v>
      </c>
      <c r="DC51" s="773">
        <f t="shared" si="48"/>
        <v>19007765.390000001</v>
      </c>
      <c r="DD51" s="773">
        <f>ROUND(+CY51*'[5]II-F Alloc_Factor'!$I$38,2)</f>
        <v>21690139.920000002</v>
      </c>
      <c r="DE51" s="773">
        <f>ROUND(+CY51*'[5]II-F Alloc_Factor'!$J$38,2)</f>
        <v>0</v>
      </c>
      <c r="DF51" s="773">
        <f t="shared" si="60"/>
        <v>21690139.920000002</v>
      </c>
      <c r="DG51" s="773">
        <f>ROUND(+CY51*'[5]II-F Alloc_Factor'!$L$38,2)</f>
        <v>650094.87</v>
      </c>
      <c r="DH51" s="773">
        <f>ROUND(+CY51*'[5]II-F Alloc_Factor'!$M$38,2)</f>
        <v>429761.41</v>
      </c>
      <c r="DJ51" s="773">
        <v>43918797.75</v>
      </c>
      <c r="DK51" s="773">
        <f>ROUND(+DJ51*'[5]II-F Alloc_Factor'!$E$38,2)</f>
        <v>19964727.43</v>
      </c>
      <c r="DL51" s="773">
        <f>ROUND(+DJ51*'[5]II-F Alloc_Factor'!$F$38,2)</f>
        <v>0</v>
      </c>
      <c r="DM51" s="773">
        <f>ROUND(+DJ51*'[5]II-F Alloc_Factor'!$G$38,2)</f>
        <v>17152.21</v>
      </c>
      <c r="DN51" s="773">
        <f t="shared" si="49"/>
        <v>19981879.640000001</v>
      </c>
      <c r="DO51" s="773">
        <f>ROUND(+DJ51*'[5]II-F Alloc_Factor'!$I$38,2)</f>
        <v>22801721.109999999</v>
      </c>
      <c r="DP51" s="773">
        <f>ROUND(+DJ51*'[5]II-F Alloc_Factor'!$J$38,2)</f>
        <v>0</v>
      </c>
      <c r="DQ51" s="773">
        <f t="shared" si="61"/>
        <v>22801721.109999999</v>
      </c>
      <c r="DR51" s="773">
        <f>ROUND(+DJ51*'[5]II-F Alloc_Factor'!$L$38,2)</f>
        <v>683411.08</v>
      </c>
      <c r="DS51" s="773">
        <f>ROUND(+DJ51*'[5]II-F Alloc_Factor'!$M$38,2)</f>
        <v>451785.92</v>
      </c>
      <c r="DU51" s="773">
        <v>43932164.649999999</v>
      </c>
      <c r="DV51" s="773">
        <f>ROUND(+DU51*'[5]II-F Alloc_Factor'!$E$38,2)</f>
        <v>19970803.800000001</v>
      </c>
      <c r="DW51" s="773">
        <f>ROUND(+DU51*'[5]II-F Alloc_Factor'!$F$38,2)</f>
        <v>0</v>
      </c>
      <c r="DX51" s="773">
        <f>ROUND(+DU51*'[5]II-F Alloc_Factor'!$G$38,2)</f>
        <v>17157.43</v>
      </c>
      <c r="DY51" s="773">
        <f t="shared" si="50"/>
        <v>19987961.23</v>
      </c>
      <c r="DZ51" s="773">
        <f>ROUND(+DU51*'[5]II-F Alloc_Factor'!$I$38,2)</f>
        <v>22808660.920000002</v>
      </c>
      <c r="EA51" s="773">
        <f>ROUND(+DU51*'[5]II-F Alloc_Factor'!$J$38,2)</f>
        <v>0</v>
      </c>
      <c r="EB51" s="773">
        <f t="shared" si="62"/>
        <v>22808660.920000002</v>
      </c>
      <c r="EC51" s="773">
        <f>ROUND(+DU51*'[5]II-F Alloc_Factor'!$L$38,2)</f>
        <v>683619.08</v>
      </c>
      <c r="ED51" s="773">
        <f>ROUND(+DU51*'[5]II-F Alloc_Factor'!$M$38,2)</f>
        <v>451923.42</v>
      </c>
      <c r="EE51" s="772">
        <f>+'II-E-3.5'!I66-DU51</f>
        <v>0</v>
      </c>
      <c r="EF51" s="772">
        <f t="shared" si="38"/>
        <v>0</v>
      </c>
    </row>
    <row r="52" spans="1:136" s="406" customFormat="1">
      <c r="A52" s="409">
        <f t="shared" si="0"/>
        <v>40</v>
      </c>
      <c r="B52" s="366" t="s">
        <v>25</v>
      </c>
      <c r="C52" s="775" t="s">
        <v>387</v>
      </c>
      <c r="D52" s="773">
        <v>3024439.5300000003</v>
      </c>
      <c r="E52" s="773">
        <v>91529.22</v>
      </c>
      <c r="F52" s="773">
        <v>0</v>
      </c>
      <c r="G52" s="773">
        <v>0</v>
      </c>
      <c r="H52" s="773">
        <f t="shared" si="39"/>
        <v>91529.22</v>
      </c>
      <c r="I52" s="773">
        <v>2932910.31</v>
      </c>
      <c r="J52" s="773">
        <v>0</v>
      </c>
      <c r="K52" s="773">
        <f t="shared" si="51"/>
        <v>2932910.31</v>
      </c>
      <c r="L52" s="773">
        <v>0</v>
      </c>
      <c r="M52" s="773">
        <v>0</v>
      </c>
      <c r="N52" s="774"/>
      <c r="O52" s="773">
        <v>3149994.31</v>
      </c>
      <c r="P52" s="773">
        <v>91529.22</v>
      </c>
      <c r="Q52" s="773">
        <v>0</v>
      </c>
      <c r="R52" s="773">
        <v>0</v>
      </c>
      <c r="S52" s="773">
        <f t="shared" si="40"/>
        <v>91529.22</v>
      </c>
      <c r="T52" s="773">
        <v>3058465.09</v>
      </c>
      <c r="U52" s="773">
        <v>0</v>
      </c>
      <c r="V52" s="773">
        <f t="shared" si="52"/>
        <v>3058465.09</v>
      </c>
      <c r="W52" s="773">
        <v>0</v>
      </c>
      <c r="X52" s="773">
        <v>0</v>
      </c>
      <c r="Y52" s="609"/>
      <c r="Z52" s="773">
        <v>3140425.13</v>
      </c>
      <c r="AA52" s="773">
        <v>28402.120000000003</v>
      </c>
      <c r="AB52" s="773">
        <v>0</v>
      </c>
      <c r="AC52" s="773">
        <v>0</v>
      </c>
      <c r="AD52" s="773">
        <f t="shared" si="41"/>
        <v>28402.120000000003</v>
      </c>
      <c r="AE52" s="773">
        <v>3112023.01</v>
      </c>
      <c r="AF52" s="773">
        <v>0</v>
      </c>
      <c r="AG52" s="773">
        <f t="shared" si="53"/>
        <v>3112023.01</v>
      </c>
      <c r="AH52" s="773">
        <v>0</v>
      </c>
      <c r="AI52" s="773">
        <v>0</v>
      </c>
      <c r="AK52" s="773">
        <v>3206995.78</v>
      </c>
      <c r="AL52" s="773">
        <v>26833.160000000003</v>
      </c>
      <c r="AM52" s="773">
        <v>0</v>
      </c>
      <c r="AN52" s="773">
        <v>0</v>
      </c>
      <c r="AO52" s="773">
        <f t="shared" si="42"/>
        <v>26833.160000000003</v>
      </c>
      <c r="AP52" s="773">
        <v>3180162.6199999996</v>
      </c>
      <c r="AQ52" s="773">
        <v>0</v>
      </c>
      <c r="AR52" s="773">
        <f t="shared" si="54"/>
        <v>3180162.6199999996</v>
      </c>
      <c r="AS52" s="773">
        <v>0</v>
      </c>
      <c r="AT52" s="773">
        <v>0</v>
      </c>
      <c r="AU52" s="779"/>
      <c r="AV52" s="773">
        <v>3245373.4499999997</v>
      </c>
      <c r="AW52" s="773">
        <v>26833.160000000003</v>
      </c>
      <c r="AX52" s="773">
        <v>0</v>
      </c>
      <c r="AY52" s="773">
        <v>0</v>
      </c>
      <c r="AZ52" s="773">
        <f t="shared" si="43"/>
        <v>26833.160000000003</v>
      </c>
      <c r="BA52" s="773">
        <v>3218540.2899999996</v>
      </c>
      <c r="BB52" s="773">
        <v>0</v>
      </c>
      <c r="BC52" s="773">
        <f t="shared" si="55"/>
        <v>3218540.2899999996</v>
      </c>
      <c r="BD52" s="773">
        <v>0</v>
      </c>
      <c r="BE52" s="773">
        <v>0</v>
      </c>
      <c r="BF52" s="779"/>
      <c r="BG52" s="773">
        <v>3283733.4799999995</v>
      </c>
      <c r="BH52" s="773">
        <v>46461.400000000009</v>
      </c>
      <c r="BI52" s="773">
        <v>0</v>
      </c>
      <c r="BJ52" s="773">
        <v>0</v>
      </c>
      <c r="BK52" s="773">
        <f t="shared" si="44"/>
        <v>46461.400000000009</v>
      </c>
      <c r="BL52" s="773">
        <v>3237272.0799999996</v>
      </c>
      <c r="BM52" s="773">
        <v>0</v>
      </c>
      <c r="BN52" s="773">
        <f t="shared" si="56"/>
        <v>3237272.0799999996</v>
      </c>
      <c r="BO52" s="773">
        <v>0</v>
      </c>
      <c r="BP52" s="773">
        <v>0</v>
      </c>
      <c r="BQ52" s="779"/>
      <c r="BR52" s="773">
        <v>3322846.1599999997</v>
      </c>
      <c r="BS52" s="773">
        <v>46461.400000000009</v>
      </c>
      <c r="BT52" s="773">
        <v>0</v>
      </c>
      <c r="BU52" s="773">
        <v>0</v>
      </c>
      <c r="BV52" s="773">
        <f t="shared" si="45"/>
        <v>46461.400000000009</v>
      </c>
      <c r="BW52" s="773">
        <v>3276384.76</v>
      </c>
      <c r="BX52" s="773">
        <v>0</v>
      </c>
      <c r="BY52" s="773">
        <f t="shared" si="57"/>
        <v>3276384.76</v>
      </c>
      <c r="BZ52" s="773">
        <v>0</v>
      </c>
      <c r="CA52" s="773">
        <v>0</v>
      </c>
      <c r="CC52" s="773">
        <v>3460413.7199999997</v>
      </c>
      <c r="CD52" s="773">
        <v>46411.000000000007</v>
      </c>
      <c r="CE52" s="773">
        <v>0</v>
      </c>
      <c r="CF52" s="773">
        <v>0</v>
      </c>
      <c r="CG52" s="773">
        <f t="shared" si="46"/>
        <v>46411.000000000007</v>
      </c>
      <c r="CH52" s="773">
        <v>3414002.7199999997</v>
      </c>
      <c r="CI52" s="773">
        <v>0</v>
      </c>
      <c r="CJ52" s="773">
        <f t="shared" si="58"/>
        <v>3414002.7199999997</v>
      </c>
      <c r="CK52" s="773">
        <v>0</v>
      </c>
      <c r="CL52" s="773">
        <v>0</v>
      </c>
      <c r="CN52" s="773">
        <v>3440663.3299999996</v>
      </c>
      <c r="CO52" s="773">
        <v>43731.41</v>
      </c>
      <c r="CP52" s="773">
        <v>0</v>
      </c>
      <c r="CQ52" s="773">
        <v>0</v>
      </c>
      <c r="CR52" s="773">
        <f t="shared" si="47"/>
        <v>43731.41</v>
      </c>
      <c r="CS52" s="773">
        <v>3396931.92</v>
      </c>
      <c r="CT52" s="773">
        <v>0</v>
      </c>
      <c r="CU52" s="773">
        <f t="shared" si="59"/>
        <v>3396931.92</v>
      </c>
      <c r="CV52" s="773">
        <v>0</v>
      </c>
      <c r="CW52" s="773">
        <v>0</v>
      </c>
      <c r="CY52" s="773">
        <v>3343378.3299999996</v>
      </c>
      <c r="CZ52" s="773">
        <v>44373.320000000007</v>
      </c>
      <c r="DA52" s="773">
        <v>0</v>
      </c>
      <c r="DB52" s="773">
        <v>0</v>
      </c>
      <c r="DC52" s="773">
        <f t="shared" si="48"/>
        <v>44373.320000000007</v>
      </c>
      <c r="DD52" s="773">
        <v>3299005.01</v>
      </c>
      <c r="DE52" s="773">
        <v>0</v>
      </c>
      <c r="DF52" s="773">
        <f t="shared" si="60"/>
        <v>3299005.01</v>
      </c>
      <c r="DG52" s="773">
        <v>0</v>
      </c>
      <c r="DH52" s="773">
        <v>0</v>
      </c>
      <c r="DJ52" s="773">
        <v>3373132.6799999997</v>
      </c>
      <c r="DK52" s="773">
        <v>44373.320000000007</v>
      </c>
      <c r="DL52" s="773">
        <v>0</v>
      </c>
      <c r="DM52" s="773">
        <v>0</v>
      </c>
      <c r="DN52" s="773">
        <f t="shared" si="49"/>
        <v>44373.320000000007</v>
      </c>
      <c r="DO52" s="773">
        <v>3328759.36</v>
      </c>
      <c r="DP52" s="773">
        <v>0</v>
      </c>
      <c r="DQ52" s="773">
        <f t="shared" si="61"/>
        <v>3328759.36</v>
      </c>
      <c r="DR52" s="773">
        <v>0</v>
      </c>
      <c r="DS52" s="773">
        <v>0</v>
      </c>
      <c r="DU52" s="773">
        <v>3458686.5799999996</v>
      </c>
      <c r="DV52" s="773">
        <v>59137.380000000005</v>
      </c>
      <c r="DW52" s="773">
        <v>0</v>
      </c>
      <c r="DX52" s="773">
        <v>0</v>
      </c>
      <c r="DY52" s="773">
        <f t="shared" si="50"/>
        <v>59137.380000000005</v>
      </c>
      <c r="DZ52" s="773">
        <v>3399549.1999999997</v>
      </c>
      <c r="EA52" s="773">
        <v>0</v>
      </c>
      <c r="EB52" s="773">
        <f t="shared" si="62"/>
        <v>3399549.1999999997</v>
      </c>
      <c r="EC52" s="773">
        <v>0</v>
      </c>
      <c r="ED52" s="773">
        <v>0</v>
      </c>
      <c r="EE52" s="772">
        <f>+'II-E-3.5'!I67-DU52</f>
        <v>0</v>
      </c>
      <c r="EF52" s="772">
        <f t="shared" si="38"/>
        <v>0</v>
      </c>
    </row>
    <row r="53" spans="1:136" s="406" customFormat="1">
      <c r="A53" s="409">
        <f t="shared" si="0"/>
        <v>41</v>
      </c>
      <c r="B53" s="366" t="s">
        <v>565</v>
      </c>
      <c r="C53" s="775" t="s">
        <v>879</v>
      </c>
      <c r="D53" s="773">
        <v>89261.81</v>
      </c>
      <c r="E53" s="773">
        <v>0</v>
      </c>
      <c r="F53" s="773">
        <v>0</v>
      </c>
      <c r="G53" s="773">
        <v>0</v>
      </c>
      <c r="H53" s="773">
        <f t="shared" si="39"/>
        <v>0</v>
      </c>
      <c r="I53" s="773">
        <v>0</v>
      </c>
      <c r="J53" s="773">
        <v>0</v>
      </c>
      <c r="K53" s="773">
        <f t="shared" si="51"/>
        <v>0</v>
      </c>
      <c r="L53" s="773">
        <f>+D53</f>
        <v>89261.81</v>
      </c>
      <c r="M53" s="773">
        <v>0</v>
      </c>
      <c r="N53" s="774"/>
      <c r="O53" s="773">
        <v>86922.68</v>
      </c>
      <c r="P53" s="773">
        <v>0</v>
      </c>
      <c r="Q53" s="773">
        <v>0</v>
      </c>
      <c r="R53" s="773">
        <v>0</v>
      </c>
      <c r="S53" s="773">
        <f t="shared" si="40"/>
        <v>0</v>
      </c>
      <c r="T53" s="773">
        <v>0</v>
      </c>
      <c r="U53" s="773">
        <v>0</v>
      </c>
      <c r="V53" s="773">
        <f t="shared" si="52"/>
        <v>0</v>
      </c>
      <c r="W53" s="773">
        <f>+O53</f>
        <v>86922.68</v>
      </c>
      <c r="X53" s="773">
        <v>0</v>
      </c>
      <c r="Y53" s="609"/>
      <c r="Z53" s="773">
        <v>84589.39</v>
      </c>
      <c r="AA53" s="773">
        <v>0</v>
      </c>
      <c r="AB53" s="773">
        <v>0</v>
      </c>
      <c r="AC53" s="773">
        <v>0</v>
      </c>
      <c r="AD53" s="773">
        <f t="shared" si="41"/>
        <v>0</v>
      </c>
      <c r="AE53" s="773">
        <v>0</v>
      </c>
      <c r="AF53" s="773">
        <v>0</v>
      </c>
      <c r="AG53" s="773">
        <f t="shared" si="53"/>
        <v>0</v>
      </c>
      <c r="AH53" s="773">
        <f>+Z53</f>
        <v>84589.39</v>
      </c>
      <c r="AI53" s="773">
        <v>0</v>
      </c>
      <c r="AK53" s="773">
        <v>82252.210000000006</v>
      </c>
      <c r="AL53" s="773">
        <v>0</v>
      </c>
      <c r="AM53" s="773">
        <v>0</v>
      </c>
      <c r="AN53" s="773">
        <v>0</v>
      </c>
      <c r="AO53" s="773">
        <f t="shared" si="42"/>
        <v>0</v>
      </c>
      <c r="AP53" s="773">
        <v>0</v>
      </c>
      <c r="AQ53" s="773">
        <v>0</v>
      </c>
      <c r="AR53" s="773">
        <f t="shared" si="54"/>
        <v>0</v>
      </c>
      <c r="AS53" s="773">
        <f>+AK53</f>
        <v>82252.210000000006</v>
      </c>
      <c r="AT53" s="773">
        <v>0</v>
      </c>
      <c r="AU53" s="779"/>
      <c r="AV53" s="773">
        <v>79915.02</v>
      </c>
      <c r="AW53" s="773">
        <v>0</v>
      </c>
      <c r="AX53" s="773">
        <v>0</v>
      </c>
      <c r="AY53" s="773">
        <v>0</v>
      </c>
      <c r="AZ53" s="773">
        <f t="shared" si="43"/>
        <v>0</v>
      </c>
      <c r="BA53" s="773">
        <v>0</v>
      </c>
      <c r="BB53" s="773">
        <v>0</v>
      </c>
      <c r="BC53" s="773">
        <f t="shared" si="55"/>
        <v>0</v>
      </c>
      <c r="BD53" s="773">
        <f>+AV53</f>
        <v>79915.02</v>
      </c>
      <c r="BE53" s="773">
        <v>0</v>
      </c>
      <c r="BF53" s="779"/>
      <c r="BG53" s="773">
        <v>77571.02</v>
      </c>
      <c r="BH53" s="773">
        <v>0</v>
      </c>
      <c r="BI53" s="773">
        <v>0</v>
      </c>
      <c r="BJ53" s="773">
        <v>0</v>
      </c>
      <c r="BK53" s="773">
        <f t="shared" si="44"/>
        <v>0</v>
      </c>
      <c r="BL53" s="773">
        <v>0</v>
      </c>
      <c r="BM53" s="773">
        <v>0</v>
      </c>
      <c r="BN53" s="773">
        <f t="shared" si="56"/>
        <v>0</v>
      </c>
      <c r="BO53" s="773">
        <f>+BG53</f>
        <v>77571.02</v>
      </c>
      <c r="BP53" s="773">
        <v>0</v>
      </c>
      <c r="BQ53" s="779"/>
      <c r="BR53" s="773">
        <v>75232.7</v>
      </c>
      <c r="BS53" s="773">
        <v>0</v>
      </c>
      <c r="BT53" s="773">
        <v>0</v>
      </c>
      <c r="BU53" s="773">
        <v>0</v>
      </c>
      <c r="BV53" s="773">
        <f t="shared" si="45"/>
        <v>0</v>
      </c>
      <c r="BW53" s="773">
        <v>0</v>
      </c>
      <c r="BX53" s="773">
        <v>0</v>
      </c>
      <c r="BY53" s="773">
        <f t="shared" si="57"/>
        <v>0</v>
      </c>
      <c r="BZ53" s="773">
        <f>+BR53</f>
        <v>75232.7</v>
      </c>
      <c r="CA53" s="773">
        <v>0</v>
      </c>
      <c r="CC53" s="773">
        <v>72894.37</v>
      </c>
      <c r="CD53" s="773">
        <v>0</v>
      </c>
      <c r="CE53" s="773">
        <v>0</v>
      </c>
      <c r="CF53" s="773">
        <v>0</v>
      </c>
      <c r="CG53" s="773">
        <f t="shared" si="46"/>
        <v>0</v>
      </c>
      <c r="CH53" s="773">
        <v>0</v>
      </c>
      <c r="CI53" s="773">
        <v>0</v>
      </c>
      <c r="CJ53" s="773">
        <f t="shared" si="58"/>
        <v>0</v>
      </c>
      <c r="CK53" s="773">
        <f>+CC53</f>
        <v>72894.37</v>
      </c>
      <c r="CL53" s="773">
        <v>0</v>
      </c>
      <c r="CN53" s="773">
        <v>70553.62</v>
      </c>
      <c r="CO53" s="773">
        <v>0</v>
      </c>
      <c r="CP53" s="773">
        <v>0</v>
      </c>
      <c r="CQ53" s="773">
        <v>0</v>
      </c>
      <c r="CR53" s="773">
        <f t="shared" si="47"/>
        <v>0</v>
      </c>
      <c r="CS53" s="773">
        <v>0</v>
      </c>
      <c r="CT53" s="773">
        <v>0</v>
      </c>
      <c r="CU53" s="773">
        <f t="shared" si="59"/>
        <v>0</v>
      </c>
      <c r="CV53" s="773">
        <f>+CN53</f>
        <v>70553.62</v>
      </c>
      <c r="CW53" s="773">
        <v>0</v>
      </c>
      <c r="CY53" s="773">
        <v>68215.01999999999</v>
      </c>
      <c r="CZ53" s="773">
        <v>0</v>
      </c>
      <c r="DA53" s="773">
        <v>0</v>
      </c>
      <c r="DB53" s="773">
        <v>0</v>
      </c>
      <c r="DC53" s="773">
        <f t="shared" si="48"/>
        <v>0</v>
      </c>
      <c r="DD53" s="773">
        <v>0</v>
      </c>
      <c r="DE53" s="773">
        <v>0</v>
      </c>
      <c r="DF53" s="773">
        <f t="shared" si="60"/>
        <v>0</v>
      </c>
      <c r="DG53" s="773">
        <f>+CY53</f>
        <v>68215.01999999999</v>
      </c>
      <c r="DH53" s="773">
        <v>0</v>
      </c>
      <c r="DJ53" s="773">
        <v>65876.429999999993</v>
      </c>
      <c r="DK53" s="773">
        <v>0</v>
      </c>
      <c r="DL53" s="773">
        <v>0</v>
      </c>
      <c r="DM53" s="773">
        <v>0</v>
      </c>
      <c r="DN53" s="773">
        <f t="shared" si="49"/>
        <v>0</v>
      </c>
      <c r="DO53" s="773">
        <v>0</v>
      </c>
      <c r="DP53" s="773">
        <v>0</v>
      </c>
      <c r="DQ53" s="773">
        <f t="shared" si="61"/>
        <v>0</v>
      </c>
      <c r="DR53" s="773">
        <f>+DJ53</f>
        <v>65876.429999999993</v>
      </c>
      <c r="DS53" s="773">
        <v>0</v>
      </c>
      <c r="DU53" s="773">
        <v>63531.34</v>
      </c>
      <c r="DV53" s="773">
        <v>0</v>
      </c>
      <c r="DW53" s="773">
        <v>0</v>
      </c>
      <c r="DX53" s="773">
        <v>0</v>
      </c>
      <c r="DY53" s="773">
        <f t="shared" si="50"/>
        <v>0</v>
      </c>
      <c r="DZ53" s="773">
        <v>0</v>
      </c>
      <c r="EA53" s="773">
        <v>0</v>
      </c>
      <c r="EB53" s="773">
        <f t="shared" si="62"/>
        <v>0</v>
      </c>
      <c r="EC53" s="773">
        <f>+DU53</f>
        <v>63531.34</v>
      </c>
      <c r="ED53" s="773">
        <v>0</v>
      </c>
      <c r="EE53" s="772">
        <f>+'II-E-3.5'!I68-DU53</f>
        <v>0</v>
      </c>
      <c r="EF53" s="772">
        <f t="shared" si="38"/>
        <v>0</v>
      </c>
    </row>
    <row r="54" spans="1:136" s="406" customFormat="1">
      <c r="A54" s="409">
        <f t="shared" si="0"/>
        <v>42</v>
      </c>
      <c r="B54" s="366" t="s">
        <v>1057</v>
      </c>
      <c r="C54" s="775" t="s">
        <v>711</v>
      </c>
      <c r="D54" s="773">
        <v>0</v>
      </c>
      <c r="E54" s="773">
        <v>0</v>
      </c>
      <c r="F54" s="773">
        <v>0</v>
      </c>
      <c r="G54" s="773">
        <v>0</v>
      </c>
      <c r="H54" s="773">
        <f t="shared" si="39"/>
        <v>0</v>
      </c>
      <c r="I54" s="773">
        <f>+D54</f>
        <v>0</v>
      </c>
      <c r="J54" s="773">
        <v>0</v>
      </c>
      <c r="K54" s="773">
        <f t="shared" si="51"/>
        <v>0</v>
      </c>
      <c r="L54" s="773">
        <v>0</v>
      </c>
      <c r="M54" s="773">
        <v>0</v>
      </c>
      <c r="N54" s="774"/>
      <c r="O54" s="773">
        <v>0</v>
      </c>
      <c r="P54" s="773">
        <v>0</v>
      </c>
      <c r="Q54" s="773">
        <v>0</v>
      </c>
      <c r="R54" s="773">
        <v>0</v>
      </c>
      <c r="S54" s="773">
        <f t="shared" si="40"/>
        <v>0</v>
      </c>
      <c r="T54" s="773">
        <f>+O54</f>
        <v>0</v>
      </c>
      <c r="U54" s="773">
        <v>0</v>
      </c>
      <c r="V54" s="773">
        <f t="shared" si="52"/>
        <v>0</v>
      </c>
      <c r="W54" s="773">
        <v>0</v>
      </c>
      <c r="X54" s="773">
        <v>0</v>
      </c>
      <c r="Y54" s="609"/>
      <c r="Z54" s="773">
        <v>0</v>
      </c>
      <c r="AA54" s="773">
        <v>0</v>
      </c>
      <c r="AB54" s="773">
        <v>0</v>
      </c>
      <c r="AC54" s="773">
        <v>0</v>
      </c>
      <c r="AD54" s="773">
        <f t="shared" si="41"/>
        <v>0</v>
      </c>
      <c r="AE54" s="773">
        <f>+Z54</f>
        <v>0</v>
      </c>
      <c r="AF54" s="773">
        <v>0</v>
      </c>
      <c r="AG54" s="773">
        <f t="shared" si="53"/>
        <v>0</v>
      </c>
      <c r="AH54" s="773">
        <v>0</v>
      </c>
      <c r="AI54" s="773">
        <v>0</v>
      </c>
      <c r="AK54" s="773">
        <v>0</v>
      </c>
      <c r="AL54" s="773">
        <v>0</v>
      </c>
      <c r="AM54" s="773">
        <v>0</v>
      </c>
      <c r="AN54" s="773">
        <v>0</v>
      </c>
      <c r="AO54" s="773">
        <f t="shared" si="42"/>
        <v>0</v>
      </c>
      <c r="AP54" s="773">
        <f>+AK54</f>
        <v>0</v>
      </c>
      <c r="AQ54" s="773">
        <v>0</v>
      </c>
      <c r="AR54" s="773">
        <f t="shared" si="54"/>
        <v>0</v>
      </c>
      <c r="AS54" s="773">
        <v>0</v>
      </c>
      <c r="AT54" s="773">
        <v>0</v>
      </c>
      <c r="AU54" s="779"/>
      <c r="AV54" s="773">
        <v>0</v>
      </c>
      <c r="AW54" s="773">
        <v>0</v>
      </c>
      <c r="AX54" s="773">
        <v>0</v>
      </c>
      <c r="AY54" s="773">
        <v>0</v>
      </c>
      <c r="AZ54" s="773">
        <f t="shared" si="43"/>
        <v>0</v>
      </c>
      <c r="BA54" s="773">
        <f>+AV54</f>
        <v>0</v>
      </c>
      <c r="BB54" s="773">
        <v>0</v>
      </c>
      <c r="BC54" s="773">
        <f t="shared" si="55"/>
        <v>0</v>
      </c>
      <c r="BD54" s="773">
        <v>0</v>
      </c>
      <c r="BE54" s="773">
        <v>0</v>
      </c>
      <c r="BF54" s="779"/>
      <c r="BG54" s="773">
        <v>0</v>
      </c>
      <c r="BH54" s="773">
        <v>0</v>
      </c>
      <c r="BI54" s="773">
        <v>0</v>
      </c>
      <c r="BJ54" s="773">
        <v>0</v>
      </c>
      <c r="BK54" s="773">
        <f t="shared" si="44"/>
        <v>0</v>
      </c>
      <c r="BL54" s="773">
        <f>+BG54</f>
        <v>0</v>
      </c>
      <c r="BM54" s="773">
        <v>0</v>
      </c>
      <c r="BN54" s="773">
        <f t="shared" si="56"/>
        <v>0</v>
      </c>
      <c r="BO54" s="773">
        <v>0</v>
      </c>
      <c r="BP54" s="773">
        <v>0</v>
      </c>
      <c r="BQ54" s="779"/>
      <c r="BR54" s="773">
        <v>0</v>
      </c>
      <c r="BS54" s="773">
        <v>0</v>
      </c>
      <c r="BT54" s="773">
        <v>0</v>
      </c>
      <c r="BU54" s="773">
        <v>0</v>
      </c>
      <c r="BV54" s="773">
        <f t="shared" si="45"/>
        <v>0</v>
      </c>
      <c r="BW54" s="773">
        <f>+BR54</f>
        <v>0</v>
      </c>
      <c r="BX54" s="773">
        <v>0</v>
      </c>
      <c r="BY54" s="773">
        <f t="shared" si="57"/>
        <v>0</v>
      </c>
      <c r="BZ54" s="773">
        <v>0</v>
      </c>
      <c r="CA54" s="773">
        <v>0</v>
      </c>
      <c r="CC54" s="773">
        <v>0</v>
      </c>
      <c r="CD54" s="773">
        <v>0</v>
      </c>
      <c r="CE54" s="773">
        <v>0</v>
      </c>
      <c r="CF54" s="773">
        <v>0</v>
      </c>
      <c r="CG54" s="773">
        <f t="shared" si="46"/>
        <v>0</v>
      </c>
      <c r="CH54" s="773">
        <f>+CC54</f>
        <v>0</v>
      </c>
      <c r="CI54" s="773">
        <v>0</v>
      </c>
      <c r="CJ54" s="773">
        <f t="shared" si="58"/>
        <v>0</v>
      </c>
      <c r="CK54" s="773">
        <v>0</v>
      </c>
      <c r="CL54" s="773">
        <v>0</v>
      </c>
      <c r="CN54" s="773">
        <v>0</v>
      </c>
      <c r="CO54" s="773">
        <v>0</v>
      </c>
      <c r="CP54" s="773">
        <v>0</v>
      </c>
      <c r="CQ54" s="773">
        <v>0</v>
      </c>
      <c r="CR54" s="773">
        <f t="shared" si="47"/>
        <v>0</v>
      </c>
      <c r="CS54" s="773">
        <f>+CN54</f>
        <v>0</v>
      </c>
      <c r="CT54" s="773">
        <v>0</v>
      </c>
      <c r="CU54" s="773">
        <f t="shared" si="59"/>
        <v>0</v>
      </c>
      <c r="CV54" s="773">
        <v>0</v>
      </c>
      <c r="CW54" s="773">
        <v>0</v>
      </c>
      <c r="CY54" s="773">
        <v>0</v>
      </c>
      <c r="CZ54" s="773">
        <v>0</v>
      </c>
      <c r="DA54" s="773">
        <v>0</v>
      </c>
      <c r="DB54" s="773">
        <v>0</v>
      </c>
      <c r="DC54" s="773">
        <f t="shared" si="48"/>
        <v>0</v>
      </c>
      <c r="DD54" s="773">
        <f>+CY54</f>
        <v>0</v>
      </c>
      <c r="DE54" s="773">
        <v>0</v>
      </c>
      <c r="DF54" s="773">
        <f t="shared" si="60"/>
        <v>0</v>
      </c>
      <c r="DG54" s="773">
        <v>0</v>
      </c>
      <c r="DH54" s="773">
        <v>0</v>
      </c>
      <c r="DJ54" s="773">
        <v>0</v>
      </c>
      <c r="DK54" s="773">
        <v>0</v>
      </c>
      <c r="DL54" s="773">
        <v>0</v>
      </c>
      <c r="DM54" s="773">
        <v>0</v>
      </c>
      <c r="DN54" s="773">
        <f t="shared" si="49"/>
        <v>0</v>
      </c>
      <c r="DO54" s="773">
        <f>+DJ54</f>
        <v>0</v>
      </c>
      <c r="DP54" s="773">
        <v>0</v>
      </c>
      <c r="DQ54" s="773">
        <f t="shared" si="61"/>
        <v>0</v>
      </c>
      <c r="DR54" s="773">
        <v>0</v>
      </c>
      <c r="DS54" s="773">
        <v>0</v>
      </c>
      <c r="DU54" s="773">
        <v>544.33000000000004</v>
      </c>
      <c r="DV54" s="773">
        <v>0</v>
      </c>
      <c r="DW54" s="773">
        <v>0</v>
      </c>
      <c r="DX54" s="773">
        <v>0</v>
      </c>
      <c r="DY54" s="773">
        <f t="shared" si="50"/>
        <v>0</v>
      </c>
      <c r="DZ54" s="773">
        <f>+DU54</f>
        <v>544.33000000000004</v>
      </c>
      <c r="EA54" s="773">
        <v>0</v>
      </c>
      <c r="EB54" s="773">
        <f t="shared" si="62"/>
        <v>544.33000000000004</v>
      </c>
      <c r="EC54" s="773">
        <v>0</v>
      </c>
      <c r="ED54" s="773">
        <v>0</v>
      </c>
      <c r="EE54" s="772">
        <f>+'II-E-3.5'!I69-DU54</f>
        <v>0</v>
      </c>
      <c r="EF54" s="772">
        <f t="shared" si="38"/>
        <v>0</v>
      </c>
    </row>
    <row r="55" spans="1:136" s="406" customFormat="1">
      <c r="A55" s="409">
        <f t="shared" si="0"/>
        <v>43</v>
      </c>
      <c r="B55" s="366" t="s">
        <v>1058</v>
      </c>
      <c r="C55" s="775" t="s">
        <v>711</v>
      </c>
      <c r="D55" s="773">
        <v>0</v>
      </c>
      <c r="E55" s="773">
        <v>0</v>
      </c>
      <c r="F55" s="773">
        <v>0</v>
      </c>
      <c r="G55" s="773">
        <v>0</v>
      </c>
      <c r="H55" s="773">
        <f t="shared" si="39"/>
        <v>0</v>
      </c>
      <c r="I55" s="773">
        <f>+D55</f>
        <v>0</v>
      </c>
      <c r="J55" s="773">
        <v>0</v>
      </c>
      <c r="K55" s="773">
        <f t="shared" si="51"/>
        <v>0</v>
      </c>
      <c r="L55" s="773">
        <v>0</v>
      </c>
      <c r="M55" s="773">
        <v>0</v>
      </c>
      <c r="N55" s="774"/>
      <c r="O55" s="773">
        <v>0</v>
      </c>
      <c r="P55" s="773">
        <v>0</v>
      </c>
      <c r="Q55" s="773">
        <v>0</v>
      </c>
      <c r="R55" s="773">
        <v>0</v>
      </c>
      <c r="S55" s="773">
        <f t="shared" si="40"/>
        <v>0</v>
      </c>
      <c r="T55" s="773">
        <f>+O55</f>
        <v>0</v>
      </c>
      <c r="U55" s="773">
        <v>0</v>
      </c>
      <c r="V55" s="773">
        <f t="shared" si="52"/>
        <v>0</v>
      </c>
      <c r="W55" s="773">
        <v>0</v>
      </c>
      <c r="X55" s="773">
        <v>0</v>
      </c>
      <c r="Y55" s="609"/>
      <c r="Z55" s="773">
        <v>0</v>
      </c>
      <c r="AA55" s="773">
        <v>0</v>
      </c>
      <c r="AB55" s="773">
        <v>0</v>
      </c>
      <c r="AC55" s="773">
        <v>0</v>
      </c>
      <c r="AD55" s="773">
        <f t="shared" si="41"/>
        <v>0</v>
      </c>
      <c r="AE55" s="773">
        <f>+Z55</f>
        <v>0</v>
      </c>
      <c r="AF55" s="773">
        <v>0</v>
      </c>
      <c r="AG55" s="773">
        <f t="shared" si="53"/>
        <v>0</v>
      </c>
      <c r="AH55" s="773">
        <v>0</v>
      </c>
      <c r="AI55" s="773">
        <v>0</v>
      </c>
      <c r="AK55" s="773">
        <v>0</v>
      </c>
      <c r="AL55" s="773">
        <v>0</v>
      </c>
      <c r="AM55" s="773">
        <v>0</v>
      </c>
      <c r="AN55" s="773">
        <v>0</v>
      </c>
      <c r="AO55" s="773">
        <f t="shared" si="42"/>
        <v>0</v>
      </c>
      <c r="AP55" s="773">
        <f>+AK55</f>
        <v>0</v>
      </c>
      <c r="AQ55" s="773">
        <v>0</v>
      </c>
      <c r="AR55" s="773">
        <f t="shared" si="54"/>
        <v>0</v>
      </c>
      <c r="AS55" s="773">
        <v>0</v>
      </c>
      <c r="AT55" s="773">
        <v>0</v>
      </c>
      <c r="AU55" s="779"/>
      <c r="AV55" s="773">
        <v>0</v>
      </c>
      <c r="AW55" s="773">
        <v>0</v>
      </c>
      <c r="AX55" s="773">
        <v>0</v>
      </c>
      <c r="AY55" s="773">
        <v>0</v>
      </c>
      <c r="AZ55" s="773">
        <f t="shared" si="43"/>
        <v>0</v>
      </c>
      <c r="BA55" s="773">
        <f>+AV55</f>
        <v>0</v>
      </c>
      <c r="BB55" s="773">
        <v>0</v>
      </c>
      <c r="BC55" s="773">
        <f t="shared" si="55"/>
        <v>0</v>
      </c>
      <c r="BD55" s="773">
        <v>0</v>
      </c>
      <c r="BE55" s="773">
        <v>0</v>
      </c>
      <c r="BF55" s="779"/>
      <c r="BG55" s="773">
        <v>0</v>
      </c>
      <c r="BH55" s="773">
        <v>0</v>
      </c>
      <c r="BI55" s="773">
        <v>0</v>
      </c>
      <c r="BJ55" s="773">
        <v>0</v>
      </c>
      <c r="BK55" s="773">
        <f t="shared" si="44"/>
        <v>0</v>
      </c>
      <c r="BL55" s="773">
        <f>+BG55</f>
        <v>0</v>
      </c>
      <c r="BM55" s="773">
        <v>0</v>
      </c>
      <c r="BN55" s="773">
        <f t="shared" si="56"/>
        <v>0</v>
      </c>
      <c r="BO55" s="773">
        <v>0</v>
      </c>
      <c r="BP55" s="773">
        <v>0</v>
      </c>
      <c r="BQ55" s="779"/>
      <c r="BR55" s="773">
        <v>0</v>
      </c>
      <c r="BS55" s="773">
        <v>0</v>
      </c>
      <c r="BT55" s="773">
        <v>0</v>
      </c>
      <c r="BU55" s="773">
        <v>0</v>
      </c>
      <c r="BV55" s="773">
        <f t="shared" si="45"/>
        <v>0</v>
      </c>
      <c r="BW55" s="773">
        <f>+BR55</f>
        <v>0</v>
      </c>
      <c r="BX55" s="773">
        <v>0</v>
      </c>
      <c r="BY55" s="773">
        <f t="shared" si="57"/>
        <v>0</v>
      </c>
      <c r="BZ55" s="773">
        <v>0</v>
      </c>
      <c r="CA55" s="773">
        <v>0</v>
      </c>
      <c r="CC55" s="773">
        <v>0</v>
      </c>
      <c r="CD55" s="773">
        <v>0</v>
      </c>
      <c r="CE55" s="773">
        <v>0</v>
      </c>
      <c r="CF55" s="773">
        <v>0</v>
      </c>
      <c r="CG55" s="773">
        <f t="shared" si="46"/>
        <v>0</v>
      </c>
      <c r="CH55" s="773">
        <f>+CC55</f>
        <v>0</v>
      </c>
      <c r="CI55" s="773">
        <v>0</v>
      </c>
      <c r="CJ55" s="773">
        <f t="shared" si="58"/>
        <v>0</v>
      </c>
      <c r="CK55" s="773">
        <v>0</v>
      </c>
      <c r="CL55" s="773">
        <v>0</v>
      </c>
      <c r="CN55" s="773">
        <v>0</v>
      </c>
      <c r="CO55" s="773">
        <v>0</v>
      </c>
      <c r="CP55" s="773">
        <v>0</v>
      </c>
      <c r="CQ55" s="773">
        <v>0</v>
      </c>
      <c r="CR55" s="773">
        <f t="shared" si="47"/>
        <v>0</v>
      </c>
      <c r="CS55" s="773">
        <f>+CN55</f>
        <v>0</v>
      </c>
      <c r="CT55" s="773">
        <v>0</v>
      </c>
      <c r="CU55" s="773">
        <f t="shared" si="59"/>
        <v>0</v>
      </c>
      <c r="CV55" s="773">
        <v>0</v>
      </c>
      <c r="CW55" s="773">
        <v>0</v>
      </c>
      <c r="CY55" s="773">
        <v>0</v>
      </c>
      <c r="CZ55" s="773">
        <v>0</v>
      </c>
      <c r="DA55" s="773">
        <v>0</v>
      </c>
      <c r="DB55" s="773">
        <v>0</v>
      </c>
      <c r="DC55" s="773">
        <f t="shared" si="48"/>
        <v>0</v>
      </c>
      <c r="DD55" s="773">
        <f>+CY55</f>
        <v>0</v>
      </c>
      <c r="DE55" s="773">
        <v>0</v>
      </c>
      <c r="DF55" s="773">
        <f t="shared" si="60"/>
        <v>0</v>
      </c>
      <c r="DG55" s="773">
        <v>0</v>
      </c>
      <c r="DH55" s="773">
        <v>0</v>
      </c>
      <c r="DJ55" s="773">
        <v>80.23</v>
      </c>
      <c r="DK55" s="773">
        <v>0</v>
      </c>
      <c r="DL55" s="773">
        <v>0</v>
      </c>
      <c r="DM55" s="773">
        <v>0</v>
      </c>
      <c r="DN55" s="773">
        <f t="shared" si="49"/>
        <v>0</v>
      </c>
      <c r="DO55" s="773">
        <f>+DJ55</f>
        <v>80.23</v>
      </c>
      <c r="DP55" s="773">
        <v>0</v>
      </c>
      <c r="DQ55" s="773">
        <f t="shared" si="61"/>
        <v>80.23</v>
      </c>
      <c r="DR55" s="773">
        <v>0</v>
      </c>
      <c r="DS55" s="773">
        <v>0</v>
      </c>
      <c r="DU55" s="773">
        <v>801.76</v>
      </c>
      <c r="DV55" s="773">
        <v>0</v>
      </c>
      <c r="DW55" s="773">
        <v>0</v>
      </c>
      <c r="DX55" s="773">
        <v>0</v>
      </c>
      <c r="DY55" s="773">
        <f t="shared" si="50"/>
        <v>0</v>
      </c>
      <c r="DZ55" s="773">
        <f>+DU55</f>
        <v>801.76</v>
      </c>
      <c r="EA55" s="773">
        <v>0</v>
      </c>
      <c r="EB55" s="773">
        <f t="shared" si="62"/>
        <v>801.76</v>
      </c>
      <c r="EC55" s="773">
        <v>0</v>
      </c>
      <c r="ED55" s="773">
        <v>0</v>
      </c>
      <c r="EE55" s="772">
        <f>+'II-E-3.5'!I70-DU55</f>
        <v>0</v>
      </c>
      <c r="EF55" s="772">
        <f t="shared" si="38"/>
        <v>0</v>
      </c>
    </row>
    <row r="56" spans="1:136" s="406" customFormat="1">
      <c r="A56" s="409">
        <f t="shared" si="0"/>
        <v>44</v>
      </c>
      <c r="B56" s="366" t="s">
        <v>180</v>
      </c>
      <c r="C56" s="775" t="s">
        <v>13</v>
      </c>
      <c r="D56" s="773">
        <v>1489865.39</v>
      </c>
      <c r="E56" s="773">
        <f>ROUND(+D56*'[5]II-F Alloc_Factor'!$E$17,2)</f>
        <v>334950.44</v>
      </c>
      <c r="F56" s="773">
        <f>ROUND(+D56*'[5]II-F Alloc_Factor'!$F$17,2)</f>
        <v>0</v>
      </c>
      <c r="G56" s="773">
        <f>ROUND(+D56*'[5]II-F Alloc_Factor'!$G$17,2)</f>
        <v>0</v>
      </c>
      <c r="H56" s="773">
        <f t="shared" si="39"/>
        <v>334950.44</v>
      </c>
      <c r="I56" s="773">
        <f>ROUND(+D56*'[5]II-F Alloc_Factor'!$I$17,2)</f>
        <v>894527.87</v>
      </c>
      <c r="J56" s="773">
        <f>ROUND(+D56*'[5]II-F Alloc_Factor'!$J$17,2)</f>
        <v>0</v>
      </c>
      <c r="K56" s="773">
        <f t="shared" si="51"/>
        <v>894527.87</v>
      </c>
      <c r="L56" s="773">
        <f>ROUND(+D56*'[5]II-F Alloc_Factor'!$L$17,2)</f>
        <v>250134.04</v>
      </c>
      <c r="M56" s="773">
        <f>ROUND(+D56*'[5]II-F Alloc_Factor'!$M$17,2)</f>
        <v>10253.040000000001</v>
      </c>
      <c r="N56" s="774"/>
      <c r="O56" s="773">
        <v>1489865.39</v>
      </c>
      <c r="P56" s="773">
        <f>ROUND(+O56*'[5]II-F Alloc_Factor'!$E$17,2)</f>
        <v>334950.44</v>
      </c>
      <c r="Q56" s="773">
        <f>ROUND(+O56*'[5]II-F Alloc_Factor'!$F$17,2)</f>
        <v>0</v>
      </c>
      <c r="R56" s="773">
        <f>ROUND(+O56*'[5]II-F Alloc_Factor'!$G$17,2)</f>
        <v>0</v>
      </c>
      <c r="S56" s="773">
        <f t="shared" si="40"/>
        <v>334950.44</v>
      </c>
      <c r="T56" s="773">
        <f>ROUND(+O56*'[5]II-F Alloc_Factor'!$I$17,2)</f>
        <v>894527.87</v>
      </c>
      <c r="U56" s="773">
        <f>ROUND(+O56*'[5]II-F Alloc_Factor'!$J$17,2)</f>
        <v>0</v>
      </c>
      <c r="V56" s="773">
        <f t="shared" si="52"/>
        <v>894527.87</v>
      </c>
      <c r="W56" s="773">
        <f>ROUND(+O56*'[5]II-F Alloc_Factor'!$L$17,2)</f>
        <v>250134.04</v>
      </c>
      <c r="X56" s="773">
        <f>ROUND(+O56*'[5]II-F Alloc_Factor'!$M$17,2)</f>
        <v>10253.040000000001</v>
      </c>
      <c r="Y56" s="609"/>
      <c r="Z56" s="773">
        <v>1489865.39</v>
      </c>
      <c r="AA56" s="773">
        <f>ROUND(+Z56*'[5]II-F Alloc_Factor'!$E$17,2)</f>
        <v>334950.44</v>
      </c>
      <c r="AB56" s="773">
        <f>ROUND(+Z56*'[5]II-F Alloc_Factor'!$F$17,2)</f>
        <v>0</v>
      </c>
      <c r="AC56" s="773">
        <f>ROUND(+Z56*'[5]II-F Alloc_Factor'!$G$17,2)</f>
        <v>0</v>
      </c>
      <c r="AD56" s="773">
        <f t="shared" si="41"/>
        <v>334950.44</v>
      </c>
      <c r="AE56" s="773">
        <f>ROUND(+Z56*'[5]II-F Alloc_Factor'!$I$17,2)</f>
        <v>894527.87</v>
      </c>
      <c r="AF56" s="773">
        <f>ROUND(+Z56*'[5]II-F Alloc_Factor'!$J$17,2)</f>
        <v>0</v>
      </c>
      <c r="AG56" s="773">
        <f t="shared" si="53"/>
        <v>894527.87</v>
      </c>
      <c r="AH56" s="773">
        <f>ROUND(+Z56*'[5]II-F Alloc_Factor'!$L$17,2)</f>
        <v>250134.04</v>
      </c>
      <c r="AI56" s="773">
        <f>ROUND(+Z56*'[5]II-F Alloc_Factor'!$M$17,2)</f>
        <v>10253.040000000001</v>
      </c>
      <c r="AK56" s="773">
        <v>1489865.39</v>
      </c>
      <c r="AL56" s="773">
        <f>ROUND(+AK56*'[5]II-F Alloc_Factor'!$E$17,2)</f>
        <v>334950.44</v>
      </c>
      <c r="AM56" s="773">
        <f>ROUND(+AK56*'[5]II-F Alloc_Factor'!$F$17,2)</f>
        <v>0</v>
      </c>
      <c r="AN56" s="773">
        <f>ROUND(+AK56*'[5]II-F Alloc_Factor'!$G$17,2)</f>
        <v>0</v>
      </c>
      <c r="AO56" s="773">
        <f t="shared" si="42"/>
        <v>334950.44</v>
      </c>
      <c r="AP56" s="773">
        <f>ROUND(+AK56*'[5]II-F Alloc_Factor'!$I$17,2)</f>
        <v>894527.87</v>
      </c>
      <c r="AQ56" s="773">
        <f>ROUND(+AK56*'[5]II-F Alloc_Factor'!$J$17,2)</f>
        <v>0</v>
      </c>
      <c r="AR56" s="773">
        <f t="shared" si="54"/>
        <v>894527.87</v>
      </c>
      <c r="AS56" s="773">
        <f>ROUND(+AK56*'[5]II-F Alloc_Factor'!$L$17,2)</f>
        <v>250134.04</v>
      </c>
      <c r="AT56" s="773">
        <f>ROUND(+AK56*'[5]II-F Alloc_Factor'!$M$17,2)</f>
        <v>10253.040000000001</v>
      </c>
      <c r="AU56" s="779"/>
      <c r="AV56" s="773">
        <v>1489865.39</v>
      </c>
      <c r="AW56" s="773">
        <f>ROUND(+AV56*'[5]II-F Alloc_Factor'!$E$17,2)</f>
        <v>334950.44</v>
      </c>
      <c r="AX56" s="773">
        <f>ROUND(+AV56*'[5]II-F Alloc_Factor'!$F$17,2)</f>
        <v>0</v>
      </c>
      <c r="AY56" s="773">
        <f>ROUND(+AV56*'[5]II-F Alloc_Factor'!$G$17,2)</f>
        <v>0</v>
      </c>
      <c r="AZ56" s="773">
        <f t="shared" si="43"/>
        <v>334950.44</v>
      </c>
      <c r="BA56" s="773">
        <f>ROUND(+AV56*'[5]II-F Alloc_Factor'!$I$17,2)</f>
        <v>894527.87</v>
      </c>
      <c r="BB56" s="773">
        <f>ROUND(+AV56*'[5]II-F Alloc_Factor'!$J$17,2)</f>
        <v>0</v>
      </c>
      <c r="BC56" s="773">
        <f t="shared" si="55"/>
        <v>894527.87</v>
      </c>
      <c r="BD56" s="773">
        <f>ROUND(+AV56*'[5]II-F Alloc_Factor'!$L$17,2)</f>
        <v>250134.04</v>
      </c>
      <c r="BE56" s="773">
        <f>ROUND(+AV56*'[5]II-F Alloc_Factor'!$M$17,2)</f>
        <v>10253.040000000001</v>
      </c>
      <c r="BF56" s="779"/>
      <c r="BG56" s="773">
        <v>1489865.39</v>
      </c>
      <c r="BH56" s="773">
        <f>ROUND(+BG56*'[5]II-F Alloc_Factor'!$E$17,2)</f>
        <v>334950.44</v>
      </c>
      <c r="BI56" s="773">
        <f>ROUND(+BG56*'[5]II-F Alloc_Factor'!$F$17,2)</f>
        <v>0</v>
      </c>
      <c r="BJ56" s="773">
        <f>ROUND(+BG56*'[5]II-F Alloc_Factor'!$G$17,2)</f>
        <v>0</v>
      </c>
      <c r="BK56" s="773">
        <f t="shared" si="44"/>
        <v>334950.44</v>
      </c>
      <c r="BL56" s="773">
        <f>ROUND(+BG56*'[5]II-F Alloc_Factor'!$I$17,2)</f>
        <v>894527.87</v>
      </c>
      <c r="BM56" s="773">
        <f>ROUND(+BG56*'[5]II-F Alloc_Factor'!$J$17,2)</f>
        <v>0</v>
      </c>
      <c r="BN56" s="773">
        <f t="shared" si="56"/>
        <v>894527.87</v>
      </c>
      <c r="BO56" s="773">
        <f>ROUND(+BG56*'[5]II-F Alloc_Factor'!$L$17,2)</f>
        <v>250134.04</v>
      </c>
      <c r="BP56" s="773">
        <f>ROUND(+BG56*'[5]II-F Alloc_Factor'!$M$17,2)</f>
        <v>10253.040000000001</v>
      </c>
      <c r="BQ56" s="779"/>
      <c r="BR56" s="773">
        <v>1489865.39</v>
      </c>
      <c r="BS56" s="773">
        <f>ROUND(+BR56*'[5]II-F Alloc_Factor'!$E$17,2)</f>
        <v>334950.44</v>
      </c>
      <c r="BT56" s="773">
        <f>ROUND(+BR56*'[5]II-F Alloc_Factor'!$F$17,2)</f>
        <v>0</v>
      </c>
      <c r="BU56" s="773">
        <f>ROUND(+BR56*'[5]II-F Alloc_Factor'!$G$17,2)</f>
        <v>0</v>
      </c>
      <c r="BV56" s="773">
        <f t="shared" si="45"/>
        <v>334950.44</v>
      </c>
      <c r="BW56" s="773">
        <f>ROUND(+BR56*'[5]II-F Alloc_Factor'!$I$17,2)</f>
        <v>894527.87</v>
      </c>
      <c r="BX56" s="773">
        <f>ROUND(+BR56*'[5]II-F Alloc_Factor'!$J$17,2)</f>
        <v>0</v>
      </c>
      <c r="BY56" s="773">
        <f t="shared" si="57"/>
        <v>894527.87</v>
      </c>
      <c r="BZ56" s="773">
        <f>ROUND(+BR56*'[5]II-F Alloc_Factor'!$L$17,2)</f>
        <v>250134.04</v>
      </c>
      <c r="CA56" s="773">
        <f>ROUND(+BR56*'[5]II-F Alloc_Factor'!$M$17,2)</f>
        <v>10253.040000000001</v>
      </c>
      <c r="CC56" s="773">
        <v>1489865.39</v>
      </c>
      <c r="CD56" s="773">
        <f>ROUND(+CC56*'[5]II-F Alloc_Factor'!$E$17,2)</f>
        <v>334950.44</v>
      </c>
      <c r="CE56" s="773">
        <f>ROUND(+CC56*'[5]II-F Alloc_Factor'!$F$17,2)</f>
        <v>0</v>
      </c>
      <c r="CF56" s="773">
        <f>ROUND(+CC56*'[5]II-F Alloc_Factor'!$G$17,2)</f>
        <v>0</v>
      </c>
      <c r="CG56" s="773">
        <f t="shared" si="46"/>
        <v>334950.44</v>
      </c>
      <c r="CH56" s="773">
        <f>ROUND(+CC56*'[5]II-F Alloc_Factor'!$I$17,2)</f>
        <v>894527.87</v>
      </c>
      <c r="CI56" s="773">
        <f>ROUND(+CC56*'[5]II-F Alloc_Factor'!$J$17,2)</f>
        <v>0</v>
      </c>
      <c r="CJ56" s="773">
        <f t="shared" si="58"/>
        <v>894527.87</v>
      </c>
      <c r="CK56" s="773">
        <f>ROUND(+CC56*'[5]II-F Alloc_Factor'!$L$17,2)</f>
        <v>250134.04</v>
      </c>
      <c r="CL56" s="773">
        <f>ROUND(+CC56*'[5]II-F Alloc_Factor'!$M$17,2)</f>
        <v>10253.040000000001</v>
      </c>
      <c r="CN56" s="773">
        <v>1489865.39</v>
      </c>
      <c r="CO56" s="773">
        <f>ROUND(+CN56*'[5]II-F Alloc_Factor'!$E$17,2)</f>
        <v>334950.44</v>
      </c>
      <c r="CP56" s="773">
        <f>ROUND(+CN56*'[5]II-F Alloc_Factor'!$F$17,2)</f>
        <v>0</v>
      </c>
      <c r="CQ56" s="773">
        <f>ROUND(+CN56*'[5]II-F Alloc_Factor'!$G$17,2)</f>
        <v>0</v>
      </c>
      <c r="CR56" s="773">
        <f t="shared" si="47"/>
        <v>334950.44</v>
      </c>
      <c r="CS56" s="773">
        <f>ROUND(+CN56*'[5]II-F Alloc_Factor'!$I$17,2)</f>
        <v>894527.87</v>
      </c>
      <c r="CT56" s="773">
        <f>ROUND(+CN56*'[5]II-F Alloc_Factor'!$J$17,2)</f>
        <v>0</v>
      </c>
      <c r="CU56" s="773">
        <f t="shared" si="59"/>
        <v>894527.87</v>
      </c>
      <c r="CV56" s="773">
        <f>ROUND(+CN56*'[5]II-F Alloc_Factor'!$L$17,2)</f>
        <v>250134.04</v>
      </c>
      <c r="CW56" s="773">
        <f>ROUND(+CN56*'[5]II-F Alloc_Factor'!$M$17,2)</f>
        <v>10253.040000000001</v>
      </c>
      <c r="CY56" s="773">
        <v>1489865.39</v>
      </c>
      <c r="CZ56" s="773">
        <f>ROUND(+CY56*'[5]II-F Alloc_Factor'!$E$17,2)</f>
        <v>334950.44</v>
      </c>
      <c r="DA56" s="773">
        <f>ROUND(+CY56*'[5]II-F Alloc_Factor'!$F$17,2)</f>
        <v>0</v>
      </c>
      <c r="DB56" s="773">
        <f>ROUND(+CY56*'[5]II-F Alloc_Factor'!$G$17,2)</f>
        <v>0</v>
      </c>
      <c r="DC56" s="773">
        <f t="shared" si="48"/>
        <v>334950.44</v>
      </c>
      <c r="DD56" s="773">
        <f>ROUND(+CY56*'[5]II-F Alloc_Factor'!$I$17,2)</f>
        <v>894527.87</v>
      </c>
      <c r="DE56" s="773">
        <f>ROUND(+CY56*'[5]II-F Alloc_Factor'!$J$17,2)</f>
        <v>0</v>
      </c>
      <c r="DF56" s="773">
        <f t="shared" si="60"/>
        <v>894527.87</v>
      </c>
      <c r="DG56" s="773">
        <f>ROUND(+CY56*'[5]II-F Alloc_Factor'!$L$17,2)</f>
        <v>250134.04</v>
      </c>
      <c r="DH56" s="773">
        <f>ROUND(+CY56*'[5]II-F Alloc_Factor'!$M$17,2)</f>
        <v>10253.040000000001</v>
      </c>
      <c r="DI56" s="773"/>
      <c r="DJ56" s="773">
        <v>1489865.39</v>
      </c>
      <c r="DK56" s="773">
        <f>ROUND(+DJ56*'[5]II-F Alloc_Factor'!$E$17,2)</f>
        <v>334950.44</v>
      </c>
      <c r="DL56" s="773">
        <f>ROUND(+DJ56*'[5]II-F Alloc_Factor'!$F$17,2)</f>
        <v>0</v>
      </c>
      <c r="DM56" s="773">
        <f>ROUND(+DJ56*'[5]II-F Alloc_Factor'!$G$17,2)</f>
        <v>0</v>
      </c>
      <c r="DN56" s="773">
        <f t="shared" si="49"/>
        <v>334950.44</v>
      </c>
      <c r="DO56" s="773">
        <f>ROUND(+DJ56*'[5]II-F Alloc_Factor'!$I$17,2)</f>
        <v>894527.87</v>
      </c>
      <c r="DP56" s="773">
        <f>ROUND(+DJ56*'[5]II-F Alloc_Factor'!$J$17,2)</f>
        <v>0</v>
      </c>
      <c r="DQ56" s="773">
        <f t="shared" si="61"/>
        <v>894527.87</v>
      </c>
      <c r="DR56" s="773">
        <f>ROUND(+DJ56*'[5]II-F Alloc_Factor'!$L$17,2)</f>
        <v>250134.04</v>
      </c>
      <c r="DS56" s="773">
        <f>ROUND(+DJ56*'[5]II-F Alloc_Factor'!$M$17,2)</f>
        <v>10253.040000000001</v>
      </c>
      <c r="DU56" s="773">
        <v>1771595.27</v>
      </c>
      <c r="DV56" s="773">
        <f>ROUND(+DU56*'[5]II-F Alloc_Factor'!$E$17,2)</f>
        <v>398288.74</v>
      </c>
      <c r="DW56" s="773">
        <f>ROUND(+DU56*'[5]II-F Alloc_Factor'!$F$17,2)</f>
        <v>0</v>
      </c>
      <c r="DX56" s="773">
        <f>ROUND(+DU56*'[5]II-F Alloc_Factor'!$G$17,2)</f>
        <v>0</v>
      </c>
      <c r="DY56" s="773">
        <f t="shared" si="50"/>
        <v>398288.74</v>
      </c>
      <c r="DZ56" s="773">
        <f>ROUND(+DU56*'[5]II-F Alloc_Factor'!$I$17,2)</f>
        <v>1063680.8899999999</v>
      </c>
      <c r="EA56" s="773">
        <f>ROUND(+DU56*'[5]II-F Alloc_Factor'!$J$17,2)</f>
        <v>0</v>
      </c>
      <c r="EB56" s="773">
        <f t="shared" si="62"/>
        <v>1063680.8899999999</v>
      </c>
      <c r="EC56" s="773">
        <f>ROUND(+DU56*'[5]II-F Alloc_Factor'!$L$17,2)</f>
        <v>297433.77</v>
      </c>
      <c r="ED56" s="773">
        <f>ROUND(+DU56*'[5]II-F Alloc_Factor'!$M$17,2)</f>
        <v>12191.87</v>
      </c>
      <c r="EE56" s="772">
        <f>+'II-E-3.5'!I71-DU56</f>
        <v>0</v>
      </c>
      <c r="EF56" s="772">
        <f t="shared" si="38"/>
        <v>0</v>
      </c>
    </row>
    <row r="57" spans="1:136" s="406" customFormat="1">
      <c r="A57" s="409">
        <f t="shared" si="0"/>
        <v>45</v>
      </c>
      <c r="B57" s="366" t="s">
        <v>421</v>
      </c>
      <c r="C57" s="775" t="s">
        <v>13</v>
      </c>
      <c r="D57" s="773">
        <v>16034674.74</v>
      </c>
      <c r="E57" s="773">
        <f>ROUND(+D57*'[5]II-F Alloc_Factor'!$E$17,2)</f>
        <v>3604903.75</v>
      </c>
      <c r="F57" s="773">
        <f>ROUND(+D57*'[5]II-F Alloc_Factor'!$F$17,2)</f>
        <v>0</v>
      </c>
      <c r="G57" s="773">
        <f>ROUND(+D57*'[5]II-F Alloc_Factor'!$G$17,2)</f>
        <v>0</v>
      </c>
      <c r="H57" s="773">
        <f t="shared" si="39"/>
        <v>3604903.75</v>
      </c>
      <c r="I57" s="773">
        <f>ROUND(+D57*'[5]II-F Alloc_Factor'!$I$17,2)</f>
        <v>9627355.3000000007</v>
      </c>
      <c r="J57" s="773">
        <f>ROUND(+D57*'[5]II-F Alloc_Factor'!$J$17,2)</f>
        <v>0</v>
      </c>
      <c r="K57" s="773">
        <f t="shared" si="51"/>
        <v>9627355.3000000007</v>
      </c>
      <c r="L57" s="773">
        <f>ROUND(+D57*'[5]II-F Alloc_Factor'!$L$17,2)</f>
        <v>2692067.32</v>
      </c>
      <c r="M57" s="773">
        <f>ROUND(+D57*'[5]II-F Alloc_Factor'!$M$17,2)</f>
        <v>110348.36</v>
      </c>
      <c r="N57" s="774"/>
      <c r="O57" s="773">
        <v>17101485.98</v>
      </c>
      <c r="P57" s="773">
        <f>ROUND(+O57*'[5]II-F Alloc_Factor'!$E$17,2)</f>
        <v>3844743.47</v>
      </c>
      <c r="Q57" s="773">
        <f>ROUND(+O57*'[5]II-F Alloc_Factor'!$F$17,2)</f>
        <v>0</v>
      </c>
      <c r="R57" s="773">
        <f>ROUND(+O57*'[5]II-F Alloc_Factor'!$G$17,2)</f>
        <v>0</v>
      </c>
      <c r="S57" s="773">
        <f t="shared" si="40"/>
        <v>3844743.47</v>
      </c>
      <c r="T57" s="773">
        <f>ROUND(+O57*'[5]II-F Alloc_Factor'!$I$17,2)</f>
        <v>10267877.859999999</v>
      </c>
      <c r="U57" s="773">
        <f>ROUND(+O57*'[5]II-F Alloc_Factor'!$J$17,2)</f>
        <v>0</v>
      </c>
      <c r="V57" s="773">
        <f t="shared" si="52"/>
        <v>10267877.859999999</v>
      </c>
      <c r="W57" s="773">
        <f>ROUND(+O57*'[5]II-F Alloc_Factor'!$L$17,2)</f>
        <v>2871174.65</v>
      </c>
      <c r="X57" s="773">
        <f>ROUND(+O57*'[5]II-F Alloc_Factor'!$M$17,2)</f>
        <v>117690</v>
      </c>
      <c r="Y57" s="609"/>
      <c r="Z57" s="773">
        <v>14613269.530000001</v>
      </c>
      <c r="AA57" s="773">
        <f>ROUND(+Z57*'[5]II-F Alloc_Factor'!$E$17,2)</f>
        <v>3285344.48</v>
      </c>
      <c r="AB57" s="773">
        <f>ROUND(+Z57*'[5]II-F Alloc_Factor'!$F$17,2)</f>
        <v>0</v>
      </c>
      <c r="AC57" s="773">
        <f>ROUND(+Z57*'[5]II-F Alloc_Factor'!$G$17,2)</f>
        <v>0</v>
      </c>
      <c r="AD57" s="773">
        <f t="shared" si="41"/>
        <v>3285344.48</v>
      </c>
      <c r="AE57" s="773">
        <f>ROUND(+Z57*'[5]II-F Alloc_Factor'!$I$17,2)</f>
        <v>8773931.5099999998</v>
      </c>
      <c r="AF57" s="773">
        <f>ROUND(+Z57*'[5]II-F Alloc_Factor'!$J$17,2)</f>
        <v>0</v>
      </c>
      <c r="AG57" s="773">
        <f t="shared" si="53"/>
        <v>8773931.5099999998</v>
      </c>
      <c r="AH57" s="773">
        <f>ROUND(+Z57*'[5]II-F Alloc_Factor'!$L$17,2)</f>
        <v>2453427.09</v>
      </c>
      <c r="AI57" s="773">
        <f>ROUND(+Z57*'[5]II-F Alloc_Factor'!$M$17,2)</f>
        <v>100566.45</v>
      </c>
      <c r="AK57" s="773">
        <v>14357661.540000001</v>
      </c>
      <c r="AL57" s="773">
        <f>ROUND(+AK57*'[5]II-F Alloc_Factor'!$E$17,2)</f>
        <v>3227878.88</v>
      </c>
      <c r="AM57" s="773">
        <f>ROUND(+AK57*'[5]II-F Alloc_Factor'!$F$17,2)</f>
        <v>0</v>
      </c>
      <c r="AN57" s="773">
        <f>ROUND(+AK57*'[5]II-F Alloc_Factor'!$G$17,2)</f>
        <v>0</v>
      </c>
      <c r="AO57" s="773">
        <f t="shared" si="42"/>
        <v>3227878.88</v>
      </c>
      <c r="AP57" s="773">
        <f>ROUND(+AK57*'[5]II-F Alloc_Factor'!$I$17,2)</f>
        <v>8620462.2899999991</v>
      </c>
      <c r="AQ57" s="773">
        <f>ROUND(+AK57*'[5]II-F Alloc_Factor'!$J$17,2)</f>
        <v>0</v>
      </c>
      <c r="AR57" s="773">
        <f t="shared" si="54"/>
        <v>8620462.2899999991</v>
      </c>
      <c r="AS57" s="773">
        <f>ROUND(+AK57*'[5]II-F Alloc_Factor'!$L$17,2)</f>
        <v>2410512.9700000002</v>
      </c>
      <c r="AT57" s="773">
        <f>ROUND(+AK57*'[5]II-F Alloc_Factor'!$M$17,2)</f>
        <v>98807.39</v>
      </c>
      <c r="AU57" s="779"/>
      <c r="AV57" s="773">
        <v>14102053.550000001</v>
      </c>
      <c r="AW57" s="773">
        <f>ROUND(+AV57*'[5]II-F Alloc_Factor'!$E$17,2)</f>
        <v>3170413.28</v>
      </c>
      <c r="AX57" s="773">
        <f>ROUND(+AV57*'[5]II-F Alloc_Factor'!$F$17,2)</f>
        <v>0</v>
      </c>
      <c r="AY57" s="773">
        <f>ROUND(+AV57*'[5]II-F Alloc_Factor'!$G$17,2)</f>
        <v>0</v>
      </c>
      <c r="AZ57" s="773">
        <f t="shared" si="43"/>
        <v>3170413.28</v>
      </c>
      <c r="BA57" s="773">
        <f>ROUND(+AV57*'[5]II-F Alloc_Factor'!$I$17,2)</f>
        <v>8466993.0800000001</v>
      </c>
      <c r="BB57" s="773">
        <f>ROUND(+AV57*'[5]II-F Alloc_Factor'!$J$17,2)</f>
        <v>0</v>
      </c>
      <c r="BC57" s="773">
        <f t="shared" si="55"/>
        <v>8466993.0800000001</v>
      </c>
      <c r="BD57" s="773">
        <f>ROUND(+AV57*'[5]II-F Alloc_Factor'!$L$17,2)</f>
        <v>2367598.85</v>
      </c>
      <c r="BE57" s="773">
        <f>ROUND(+AV57*'[5]II-F Alloc_Factor'!$M$17,2)</f>
        <v>97048.33</v>
      </c>
      <c r="BF57" s="779"/>
      <c r="BG57" s="773">
        <v>14527993.73</v>
      </c>
      <c r="BH57" s="773">
        <f>ROUND(+BG57*'[5]II-F Alloc_Factor'!$E$17,2)</f>
        <v>3266172.84</v>
      </c>
      <c r="BI57" s="773">
        <f>ROUND(+BG57*'[5]II-F Alloc_Factor'!$F$17,2)</f>
        <v>0</v>
      </c>
      <c r="BJ57" s="773">
        <f>ROUND(+BG57*'[5]II-F Alloc_Factor'!$G$17,2)</f>
        <v>0</v>
      </c>
      <c r="BK57" s="773">
        <f t="shared" si="44"/>
        <v>3266172.84</v>
      </c>
      <c r="BL57" s="773">
        <f>ROUND(+BG57*'[5]II-F Alloc_Factor'!$I$17,2)</f>
        <v>8722731.1899999995</v>
      </c>
      <c r="BM57" s="773">
        <f>ROUND(+BG57*'[5]II-F Alloc_Factor'!$J$17,2)</f>
        <v>0</v>
      </c>
      <c r="BN57" s="773">
        <f t="shared" si="56"/>
        <v>8722731.1899999995</v>
      </c>
      <c r="BO57" s="773">
        <f>ROUND(+BG57*'[5]II-F Alloc_Factor'!$L$17,2)</f>
        <v>2439110.1</v>
      </c>
      <c r="BP57" s="773">
        <f>ROUND(+BG57*'[5]II-F Alloc_Factor'!$M$17,2)</f>
        <v>99979.59</v>
      </c>
      <c r="BQ57" s="779"/>
      <c r="BR57" s="773">
        <v>14385977.1</v>
      </c>
      <c r="BS57" s="773">
        <f>ROUND(+BR57*'[5]II-F Alloc_Factor'!$E$17,2)</f>
        <v>3234244.77</v>
      </c>
      <c r="BT57" s="773">
        <f>ROUND(+BR57*'[5]II-F Alloc_Factor'!$F$17,2)</f>
        <v>0</v>
      </c>
      <c r="BU57" s="773">
        <f>ROUND(+BR57*'[5]II-F Alloc_Factor'!$G$17,2)</f>
        <v>0</v>
      </c>
      <c r="BV57" s="773">
        <f t="shared" si="45"/>
        <v>3234244.77</v>
      </c>
      <c r="BW57" s="773">
        <f>ROUND(+BR57*'[5]II-F Alloc_Factor'!$I$17,2)</f>
        <v>8637463.1999999993</v>
      </c>
      <c r="BX57" s="773">
        <f>ROUND(+BR57*'[5]II-F Alloc_Factor'!$J$17,2)</f>
        <v>0</v>
      </c>
      <c r="BY57" s="773">
        <f t="shared" si="57"/>
        <v>8637463.1999999993</v>
      </c>
      <c r="BZ57" s="773">
        <f>ROUND(+BR57*'[5]II-F Alloc_Factor'!$L$17,2)</f>
        <v>2415266.88</v>
      </c>
      <c r="CA57" s="773">
        <f>ROUND(+BR57*'[5]II-F Alloc_Factor'!$M$17,2)</f>
        <v>99002.26</v>
      </c>
      <c r="CC57" s="773">
        <v>14243960.469999999</v>
      </c>
      <c r="CD57" s="773">
        <f>ROUND(+CC57*'[5]II-F Alloc_Factor'!$E$17,2)</f>
        <v>3202316.69</v>
      </c>
      <c r="CE57" s="773">
        <f>ROUND(+CC57*'[5]II-F Alloc_Factor'!$F$17,2)</f>
        <v>0</v>
      </c>
      <c r="CF57" s="773">
        <f>ROUND(+CC57*'[5]II-F Alloc_Factor'!$G$17,2)</f>
        <v>0</v>
      </c>
      <c r="CG57" s="773">
        <f t="shared" si="46"/>
        <v>3202316.69</v>
      </c>
      <c r="CH57" s="773">
        <f>ROUND(+CC57*'[5]II-F Alloc_Factor'!$I$17,2)</f>
        <v>8552195.1999999993</v>
      </c>
      <c r="CI57" s="773">
        <f>ROUND(+CC57*'[5]II-F Alloc_Factor'!$J$17,2)</f>
        <v>0</v>
      </c>
      <c r="CJ57" s="773">
        <f t="shared" si="58"/>
        <v>8552195.1999999993</v>
      </c>
      <c r="CK57" s="773">
        <f>ROUND(+CC57*'[5]II-F Alloc_Factor'!$L$17,2)</f>
        <v>2391423.66</v>
      </c>
      <c r="CL57" s="773">
        <f>ROUND(+CC57*'[5]II-F Alloc_Factor'!$M$17,2)</f>
        <v>98024.92</v>
      </c>
      <c r="CN57" s="773">
        <v>15983187.209999999</v>
      </c>
      <c r="CO57" s="773">
        <f>ROUND(+CN57*'[5]II-F Alloc_Factor'!$E$17,2)</f>
        <v>3593328.37</v>
      </c>
      <c r="CP57" s="773">
        <f>ROUND(+CN57*'[5]II-F Alloc_Factor'!$F$17,2)</f>
        <v>0</v>
      </c>
      <c r="CQ57" s="773">
        <f>ROUND(+CN57*'[5]II-F Alloc_Factor'!$G$17,2)</f>
        <v>0</v>
      </c>
      <c r="CR57" s="773">
        <f t="shared" si="47"/>
        <v>3593328.37</v>
      </c>
      <c r="CS57" s="773">
        <f>ROUND(+CN57*'[5]II-F Alloc_Factor'!$I$17,2)</f>
        <v>9596441.75</v>
      </c>
      <c r="CT57" s="773">
        <f>ROUND(+CN57*'[5]II-F Alloc_Factor'!$J$17,2)</f>
        <v>0</v>
      </c>
      <c r="CU57" s="773">
        <f t="shared" si="59"/>
        <v>9596441.75</v>
      </c>
      <c r="CV57" s="773">
        <f>ROUND(+CN57*'[5]II-F Alloc_Factor'!$L$17,2)</f>
        <v>2683423.06</v>
      </c>
      <c r="CW57" s="773">
        <f>ROUND(+CN57*'[5]II-F Alloc_Factor'!$M$17,2)</f>
        <v>109994.03</v>
      </c>
      <c r="CY57" s="773">
        <v>16050197.619999999</v>
      </c>
      <c r="CZ57" s="773">
        <f>ROUND(+CY57*'[5]II-F Alloc_Factor'!$E$17,2)</f>
        <v>3608393.6</v>
      </c>
      <c r="DA57" s="773">
        <f>ROUND(+CY57*'[5]II-F Alloc_Factor'!$F$17,2)</f>
        <v>0</v>
      </c>
      <c r="DB57" s="773">
        <f>ROUND(+CY57*'[5]II-F Alloc_Factor'!$G$17,2)</f>
        <v>0</v>
      </c>
      <c r="DC57" s="773">
        <f t="shared" si="48"/>
        <v>3608393.6</v>
      </c>
      <c r="DD57" s="773">
        <f>ROUND(+CY57*'[5]II-F Alloc_Factor'!$I$17,2)</f>
        <v>9636675.3699999992</v>
      </c>
      <c r="DE57" s="773">
        <f>ROUND(+CY57*'[5]II-F Alloc_Factor'!$J$17,2)</f>
        <v>0</v>
      </c>
      <c r="DF57" s="773">
        <f t="shared" si="60"/>
        <v>9636675.3699999992</v>
      </c>
      <c r="DG57" s="773">
        <f>ROUND(+CY57*'[5]II-F Alloc_Factor'!$L$17,2)</f>
        <v>2694673.46</v>
      </c>
      <c r="DH57" s="773">
        <f>ROUND(+CY57*'[5]II-F Alloc_Factor'!$M$17,2)</f>
        <v>110455.19</v>
      </c>
      <c r="DI57" s="773"/>
      <c r="DJ57" s="773">
        <v>16117208.039999999</v>
      </c>
      <c r="DK57" s="773">
        <f>ROUND(+DJ57*'[5]II-F Alloc_Factor'!$E$17,2)</f>
        <v>3623458.83</v>
      </c>
      <c r="DL57" s="773">
        <f>ROUND(+DJ57*'[5]II-F Alloc_Factor'!$F$17,2)</f>
        <v>0</v>
      </c>
      <c r="DM57" s="773">
        <f>ROUND(+DJ57*'[5]II-F Alloc_Factor'!$G$17,2)</f>
        <v>0</v>
      </c>
      <c r="DN57" s="773">
        <f t="shared" si="49"/>
        <v>3623458.83</v>
      </c>
      <c r="DO57" s="773">
        <f>ROUND(+DJ57*'[5]II-F Alloc_Factor'!$I$17,2)</f>
        <v>9676909</v>
      </c>
      <c r="DP57" s="773">
        <f>ROUND(+DJ57*'[5]II-F Alloc_Factor'!$J$17,2)</f>
        <v>0</v>
      </c>
      <c r="DQ57" s="773">
        <f t="shared" si="61"/>
        <v>9676909</v>
      </c>
      <c r="DR57" s="773">
        <f>ROUND(+DJ57*'[5]II-F Alloc_Factor'!$L$17,2)</f>
        <v>2705923.87</v>
      </c>
      <c r="DS57" s="773">
        <f>ROUND(+DJ57*'[5]II-F Alloc_Factor'!$M$17,2)</f>
        <v>110916.34</v>
      </c>
      <c r="DU57" s="773">
        <v>16396585.799999999</v>
      </c>
      <c r="DV57" s="773">
        <f>ROUND(+DU57*'[5]II-F Alloc_Factor'!$E$17,2)</f>
        <v>3686268.33</v>
      </c>
      <c r="DW57" s="773">
        <f>ROUND(+DU57*'[5]II-F Alloc_Factor'!$F$17,2)</f>
        <v>0</v>
      </c>
      <c r="DX57" s="773">
        <f>ROUND(+DU57*'[5]II-F Alloc_Factor'!$G$17,2)</f>
        <v>0</v>
      </c>
      <c r="DY57" s="773">
        <f t="shared" si="50"/>
        <v>3686268.33</v>
      </c>
      <c r="DZ57" s="773">
        <f>ROUND(+DU57*'[5]II-F Alloc_Factor'!$I$17,2)</f>
        <v>9844649.7899999991</v>
      </c>
      <c r="EA57" s="773">
        <f>ROUND(+DU57*'[5]II-F Alloc_Factor'!$J$17,2)</f>
        <v>0</v>
      </c>
      <c r="EB57" s="773">
        <f t="shared" si="62"/>
        <v>9844649.7899999991</v>
      </c>
      <c r="EC57" s="773">
        <f>ROUND(+DU57*'[5]II-F Alloc_Factor'!$L$17,2)</f>
        <v>2752828.7</v>
      </c>
      <c r="ED57" s="773">
        <f>ROUND(+DU57*'[5]II-F Alloc_Factor'!$M$17,2)</f>
        <v>112838.98</v>
      </c>
      <c r="EE57" s="772">
        <f>+'II-E-3.5'!I72-DU57</f>
        <v>-1.0000001639127731E-3</v>
      </c>
      <c r="EF57" s="772">
        <f t="shared" si="38"/>
        <v>0</v>
      </c>
    </row>
    <row r="58" spans="1:136" s="406" customFormat="1">
      <c r="A58" s="409">
        <f t="shared" si="0"/>
        <v>46</v>
      </c>
      <c r="B58" s="366" t="s">
        <v>607</v>
      </c>
      <c r="C58" s="775" t="s">
        <v>711</v>
      </c>
      <c r="D58" s="773">
        <v>24058527.629999999</v>
      </c>
      <c r="E58" s="773">
        <v>0</v>
      </c>
      <c r="F58" s="773">
        <v>0</v>
      </c>
      <c r="G58" s="773">
        <v>0</v>
      </c>
      <c r="H58" s="773">
        <f t="shared" si="39"/>
        <v>0</v>
      </c>
      <c r="I58" s="773">
        <f>+D58</f>
        <v>24058527.629999999</v>
      </c>
      <c r="J58" s="773">
        <v>0</v>
      </c>
      <c r="K58" s="773">
        <f t="shared" si="51"/>
        <v>24058527.629999999</v>
      </c>
      <c r="L58" s="773">
        <v>0</v>
      </c>
      <c r="M58" s="773">
        <v>0</v>
      </c>
      <c r="N58" s="774"/>
      <c r="O58" s="773">
        <v>15526557.869999999</v>
      </c>
      <c r="P58" s="773">
        <v>0</v>
      </c>
      <c r="Q58" s="773">
        <v>0</v>
      </c>
      <c r="R58" s="773">
        <v>0</v>
      </c>
      <c r="S58" s="773">
        <f t="shared" si="40"/>
        <v>0</v>
      </c>
      <c r="T58" s="773">
        <f>+O58</f>
        <v>15526557.869999999</v>
      </c>
      <c r="U58" s="773">
        <v>0</v>
      </c>
      <c r="V58" s="773">
        <f t="shared" si="52"/>
        <v>15526557.869999999</v>
      </c>
      <c r="W58" s="773">
        <v>0</v>
      </c>
      <c r="X58" s="773">
        <v>0</v>
      </c>
      <c r="Y58" s="609"/>
      <c r="Z58" s="773">
        <v>13123718.67</v>
      </c>
      <c r="AA58" s="773">
        <v>0</v>
      </c>
      <c r="AB58" s="773">
        <v>0</v>
      </c>
      <c r="AC58" s="773">
        <v>0</v>
      </c>
      <c r="AD58" s="773">
        <f t="shared" si="41"/>
        <v>0</v>
      </c>
      <c r="AE58" s="773">
        <f>+Z58</f>
        <v>13123718.67</v>
      </c>
      <c r="AF58" s="773">
        <v>0</v>
      </c>
      <c r="AG58" s="773">
        <f t="shared" si="53"/>
        <v>13123718.67</v>
      </c>
      <c r="AH58" s="773">
        <v>0</v>
      </c>
      <c r="AI58" s="773">
        <v>0</v>
      </c>
      <c r="AK58" s="773">
        <v>11272253.949999999</v>
      </c>
      <c r="AL58" s="773">
        <v>0</v>
      </c>
      <c r="AM58" s="773">
        <v>0</v>
      </c>
      <c r="AN58" s="773">
        <v>0</v>
      </c>
      <c r="AO58" s="773">
        <f t="shared" si="42"/>
        <v>0</v>
      </c>
      <c r="AP58" s="773">
        <f>+AK58</f>
        <v>11272253.949999999</v>
      </c>
      <c r="AQ58" s="773">
        <v>0</v>
      </c>
      <c r="AR58" s="773">
        <f t="shared" si="54"/>
        <v>11272253.949999999</v>
      </c>
      <c r="AS58" s="773">
        <v>0</v>
      </c>
      <c r="AT58" s="773">
        <v>0</v>
      </c>
      <c r="AU58" s="779"/>
      <c r="AV58" s="773">
        <v>15713481.539999999</v>
      </c>
      <c r="AW58" s="773">
        <v>0</v>
      </c>
      <c r="AX58" s="773">
        <v>0</v>
      </c>
      <c r="AY58" s="773">
        <v>0</v>
      </c>
      <c r="AZ58" s="773">
        <f t="shared" si="43"/>
        <v>0</v>
      </c>
      <c r="BA58" s="773">
        <f>+AV58</f>
        <v>15713481.539999999</v>
      </c>
      <c r="BB58" s="773">
        <v>0</v>
      </c>
      <c r="BC58" s="773">
        <f t="shared" si="55"/>
        <v>15713481.539999999</v>
      </c>
      <c r="BD58" s="773">
        <v>0</v>
      </c>
      <c r="BE58" s="773">
        <v>0</v>
      </c>
      <c r="BF58" s="779"/>
      <c r="BG58" s="773">
        <v>19453456.289999999</v>
      </c>
      <c r="BH58" s="773">
        <v>0</v>
      </c>
      <c r="BI58" s="773">
        <v>0</v>
      </c>
      <c r="BJ58" s="773">
        <v>0</v>
      </c>
      <c r="BK58" s="773">
        <f t="shared" si="44"/>
        <v>0</v>
      </c>
      <c r="BL58" s="773">
        <f>+BG58</f>
        <v>19453456.289999999</v>
      </c>
      <c r="BM58" s="773">
        <v>0</v>
      </c>
      <c r="BN58" s="773">
        <f t="shared" si="56"/>
        <v>19453456.289999999</v>
      </c>
      <c r="BO58" s="773">
        <v>0</v>
      </c>
      <c r="BP58" s="773">
        <v>0</v>
      </c>
      <c r="BQ58" s="779"/>
      <c r="BR58" s="773">
        <v>19494680.219999999</v>
      </c>
      <c r="BS58" s="773">
        <v>0</v>
      </c>
      <c r="BT58" s="773">
        <v>0</v>
      </c>
      <c r="BU58" s="773">
        <v>0</v>
      </c>
      <c r="BV58" s="773">
        <f t="shared" si="45"/>
        <v>0</v>
      </c>
      <c r="BW58" s="773">
        <f>+BR58</f>
        <v>19494680.219999999</v>
      </c>
      <c r="BX58" s="773">
        <v>0</v>
      </c>
      <c r="BY58" s="773">
        <f t="shared" si="57"/>
        <v>19494680.219999999</v>
      </c>
      <c r="BZ58" s="773">
        <v>0</v>
      </c>
      <c r="CA58" s="773">
        <v>0</v>
      </c>
      <c r="CC58" s="773">
        <v>22495741.57</v>
      </c>
      <c r="CD58" s="773">
        <v>0</v>
      </c>
      <c r="CE58" s="773">
        <v>0</v>
      </c>
      <c r="CF58" s="773">
        <v>0</v>
      </c>
      <c r="CG58" s="773">
        <f t="shared" si="46"/>
        <v>0</v>
      </c>
      <c r="CH58" s="773">
        <f>+CC58</f>
        <v>22495741.57</v>
      </c>
      <c r="CI58" s="773">
        <v>0</v>
      </c>
      <c r="CJ58" s="773">
        <f t="shared" si="58"/>
        <v>22495741.57</v>
      </c>
      <c r="CK58" s="773">
        <v>0</v>
      </c>
      <c r="CL58" s="773">
        <v>0</v>
      </c>
      <c r="CN58" s="773">
        <v>20698774.530000001</v>
      </c>
      <c r="CO58" s="773">
        <v>0</v>
      </c>
      <c r="CP58" s="773">
        <v>0</v>
      </c>
      <c r="CQ58" s="773">
        <v>0</v>
      </c>
      <c r="CR58" s="773">
        <f t="shared" si="47"/>
        <v>0</v>
      </c>
      <c r="CS58" s="773">
        <f>+CN58</f>
        <v>20698774.530000001</v>
      </c>
      <c r="CT58" s="773">
        <v>0</v>
      </c>
      <c r="CU58" s="773">
        <f t="shared" si="59"/>
        <v>20698774.530000001</v>
      </c>
      <c r="CV58" s="773">
        <v>0</v>
      </c>
      <c r="CW58" s="773">
        <v>0</v>
      </c>
      <c r="CY58" s="773">
        <v>20249032.370000001</v>
      </c>
      <c r="CZ58" s="773">
        <v>0</v>
      </c>
      <c r="DA58" s="773">
        <v>0</v>
      </c>
      <c r="DB58" s="773">
        <v>0</v>
      </c>
      <c r="DC58" s="773">
        <f t="shared" si="48"/>
        <v>0</v>
      </c>
      <c r="DD58" s="773">
        <f>+CY58</f>
        <v>20249032.370000001</v>
      </c>
      <c r="DE58" s="773">
        <v>0</v>
      </c>
      <c r="DF58" s="773">
        <f t="shared" si="60"/>
        <v>20249032.370000001</v>
      </c>
      <c r="DG58" s="773">
        <v>0</v>
      </c>
      <c r="DH58" s="773">
        <v>0</v>
      </c>
      <c r="DJ58" s="773">
        <v>17054021.960000001</v>
      </c>
      <c r="DK58" s="773">
        <v>0</v>
      </c>
      <c r="DL58" s="773">
        <v>0</v>
      </c>
      <c r="DM58" s="773">
        <v>0</v>
      </c>
      <c r="DN58" s="773">
        <f t="shared" si="49"/>
        <v>0</v>
      </c>
      <c r="DO58" s="773">
        <f>+DJ58</f>
        <v>17054021.960000001</v>
      </c>
      <c r="DP58" s="773">
        <v>0</v>
      </c>
      <c r="DQ58" s="773">
        <f t="shared" si="61"/>
        <v>17054021.960000001</v>
      </c>
      <c r="DR58" s="773">
        <v>0</v>
      </c>
      <c r="DS58" s="773">
        <v>0</v>
      </c>
      <c r="DU58" s="773">
        <v>19229339.73</v>
      </c>
      <c r="DV58" s="773">
        <v>0</v>
      </c>
      <c r="DW58" s="773">
        <v>0</v>
      </c>
      <c r="DX58" s="773">
        <v>0</v>
      </c>
      <c r="DY58" s="773">
        <f t="shared" si="50"/>
        <v>0</v>
      </c>
      <c r="DZ58" s="773">
        <f>+DU58</f>
        <v>19229339.73</v>
      </c>
      <c r="EA58" s="773">
        <v>0</v>
      </c>
      <c r="EB58" s="773">
        <f t="shared" si="62"/>
        <v>19229339.73</v>
      </c>
      <c r="EC58" s="773">
        <v>0</v>
      </c>
      <c r="ED58" s="773">
        <v>0</v>
      </c>
      <c r="EE58" s="772">
        <f>+'II-E-3.5'!I73-DU58</f>
        <v>0</v>
      </c>
      <c r="EF58" s="772">
        <f t="shared" si="38"/>
        <v>0</v>
      </c>
    </row>
    <row r="59" spans="1:136" s="406" customFormat="1">
      <c r="A59" s="409">
        <f t="shared" si="0"/>
        <v>47</v>
      </c>
      <c r="B59" s="366" t="s">
        <v>608</v>
      </c>
      <c r="C59" s="775" t="s">
        <v>711</v>
      </c>
      <c r="D59" s="773">
        <v>-14603.01</v>
      </c>
      <c r="E59" s="773">
        <v>0</v>
      </c>
      <c r="F59" s="773">
        <v>0</v>
      </c>
      <c r="G59" s="773">
        <v>0</v>
      </c>
      <c r="H59" s="773">
        <f t="shared" si="39"/>
        <v>0</v>
      </c>
      <c r="I59" s="773">
        <f t="shared" ref="I59:I61" si="63">+D59</f>
        <v>-14603.01</v>
      </c>
      <c r="J59" s="773">
        <v>0</v>
      </c>
      <c r="K59" s="773">
        <f t="shared" si="51"/>
        <v>-14603.01</v>
      </c>
      <c r="L59" s="773">
        <v>0</v>
      </c>
      <c r="M59" s="773">
        <v>0</v>
      </c>
      <c r="N59" s="774"/>
      <c r="O59" s="773">
        <v>-14317.25</v>
      </c>
      <c r="P59" s="773">
        <v>0</v>
      </c>
      <c r="Q59" s="773">
        <v>0</v>
      </c>
      <c r="R59" s="773">
        <v>0</v>
      </c>
      <c r="S59" s="773">
        <f t="shared" si="40"/>
        <v>0</v>
      </c>
      <c r="T59" s="773">
        <f t="shared" ref="T59:T61" si="64">+O59</f>
        <v>-14317.25</v>
      </c>
      <c r="U59" s="773">
        <v>0</v>
      </c>
      <c r="V59" s="773">
        <f t="shared" si="52"/>
        <v>-14317.25</v>
      </c>
      <c r="W59" s="773">
        <v>0</v>
      </c>
      <c r="X59" s="773">
        <v>0</v>
      </c>
      <c r="Y59" s="609"/>
      <c r="Z59" s="773">
        <v>-14031.49</v>
      </c>
      <c r="AA59" s="773">
        <v>0</v>
      </c>
      <c r="AB59" s="773">
        <v>0</v>
      </c>
      <c r="AC59" s="773">
        <v>0</v>
      </c>
      <c r="AD59" s="773">
        <f t="shared" si="41"/>
        <v>0</v>
      </c>
      <c r="AE59" s="773">
        <f t="shared" ref="AE59:AE61" si="65">+Z59</f>
        <v>-14031.49</v>
      </c>
      <c r="AF59" s="773">
        <v>0</v>
      </c>
      <c r="AG59" s="773">
        <f t="shared" si="53"/>
        <v>-14031.49</v>
      </c>
      <c r="AH59" s="773">
        <v>0</v>
      </c>
      <c r="AI59" s="773">
        <v>0</v>
      </c>
      <c r="AK59" s="773">
        <v>-13745.73</v>
      </c>
      <c r="AL59" s="773">
        <v>0</v>
      </c>
      <c r="AM59" s="773">
        <v>0</v>
      </c>
      <c r="AN59" s="773">
        <v>0</v>
      </c>
      <c r="AO59" s="773">
        <f t="shared" si="42"/>
        <v>0</v>
      </c>
      <c r="AP59" s="773">
        <f t="shared" ref="AP59:AP61" si="66">+AK59</f>
        <v>-13745.73</v>
      </c>
      <c r="AQ59" s="773">
        <v>0</v>
      </c>
      <c r="AR59" s="773">
        <f t="shared" si="54"/>
        <v>-13745.73</v>
      </c>
      <c r="AS59" s="773">
        <v>0</v>
      </c>
      <c r="AT59" s="773">
        <v>0</v>
      </c>
      <c r="AU59" s="779"/>
      <c r="AV59" s="773">
        <v>-13459.98</v>
      </c>
      <c r="AW59" s="773">
        <v>0</v>
      </c>
      <c r="AX59" s="773">
        <v>0</v>
      </c>
      <c r="AY59" s="773">
        <v>0</v>
      </c>
      <c r="AZ59" s="773">
        <f t="shared" si="43"/>
        <v>0</v>
      </c>
      <c r="BA59" s="773">
        <f t="shared" ref="BA59:BA61" si="67">+AV59</f>
        <v>-13459.98</v>
      </c>
      <c r="BB59" s="773">
        <v>0</v>
      </c>
      <c r="BC59" s="773">
        <f t="shared" si="55"/>
        <v>-13459.98</v>
      </c>
      <c r="BD59" s="773">
        <v>0</v>
      </c>
      <c r="BE59" s="773">
        <v>0</v>
      </c>
      <c r="BF59" s="779"/>
      <c r="BG59" s="773">
        <v>-13174.22</v>
      </c>
      <c r="BH59" s="773">
        <v>0</v>
      </c>
      <c r="BI59" s="773">
        <v>0</v>
      </c>
      <c r="BJ59" s="773">
        <v>0</v>
      </c>
      <c r="BK59" s="773">
        <f t="shared" si="44"/>
        <v>0</v>
      </c>
      <c r="BL59" s="773">
        <f t="shared" ref="BL59:BL61" si="68">+BG59</f>
        <v>-13174.22</v>
      </c>
      <c r="BM59" s="773">
        <v>0</v>
      </c>
      <c r="BN59" s="773">
        <f t="shared" si="56"/>
        <v>-13174.22</v>
      </c>
      <c r="BO59" s="773">
        <v>0</v>
      </c>
      <c r="BP59" s="773">
        <v>0</v>
      </c>
      <c r="BQ59" s="779"/>
      <c r="BR59" s="773">
        <v>-12888.46</v>
      </c>
      <c r="BS59" s="773">
        <v>0</v>
      </c>
      <c r="BT59" s="773">
        <v>0</v>
      </c>
      <c r="BU59" s="773">
        <v>0</v>
      </c>
      <c r="BV59" s="773">
        <f t="shared" si="45"/>
        <v>0</v>
      </c>
      <c r="BW59" s="773">
        <f t="shared" ref="BW59:BW61" si="69">+BR59</f>
        <v>-12888.46</v>
      </c>
      <c r="BX59" s="773">
        <v>0</v>
      </c>
      <c r="BY59" s="773">
        <f t="shared" si="57"/>
        <v>-12888.46</v>
      </c>
      <c r="BZ59" s="773">
        <v>0</v>
      </c>
      <c r="CA59" s="773">
        <v>0</v>
      </c>
      <c r="CC59" s="773">
        <v>-12602.7</v>
      </c>
      <c r="CD59" s="773">
        <v>0</v>
      </c>
      <c r="CE59" s="773">
        <v>0</v>
      </c>
      <c r="CF59" s="773">
        <v>0</v>
      </c>
      <c r="CG59" s="773">
        <f t="shared" si="46"/>
        <v>0</v>
      </c>
      <c r="CH59" s="773">
        <f t="shared" ref="CH59:CH61" si="70">+CC59</f>
        <v>-12602.7</v>
      </c>
      <c r="CI59" s="773">
        <v>0</v>
      </c>
      <c r="CJ59" s="773">
        <f t="shared" si="58"/>
        <v>-12602.7</v>
      </c>
      <c r="CK59" s="773">
        <v>0</v>
      </c>
      <c r="CL59" s="773">
        <v>0</v>
      </c>
      <c r="CN59" s="773">
        <v>-12316.95</v>
      </c>
      <c r="CO59" s="773">
        <v>0</v>
      </c>
      <c r="CP59" s="773">
        <v>0</v>
      </c>
      <c r="CQ59" s="773">
        <v>0</v>
      </c>
      <c r="CR59" s="773">
        <f t="shared" si="47"/>
        <v>0</v>
      </c>
      <c r="CS59" s="773">
        <f t="shared" ref="CS59:CS61" si="71">+CN59</f>
        <v>-12316.95</v>
      </c>
      <c r="CT59" s="773">
        <v>0</v>
      </c>
      <c r="CU59" s="773">
        <f t="shared" si="59"/>
        <v>-12316.95</v>
      </c>
      <c r="CV59" s="773">
        <v>0</v>
      </c>
      <c r="CW59" s="773">
        <v>0</v>
      </c>
      <c r="CY59" s="773">
        <v>-12031.19</v>
      </c>
      <c r="CZ59" s="773">
        <v>0</v>
      </c>
      <c r="DA59" s="773">
        <v>0</v>
      </c>
      <c r="DB59" s="773">
        <v>0</v>
      </c>
      <c r="DC59" s="773">
        <f t="shared" si="48"/>
        <v>0</v>
      </c>
      <c r="DD59" s="773">
        <f t="shared" ref="DD59:DD61" si="72">+CY59</f>
        <v>-12031.19</v>
      </c>
      <c r="DE59" s="773">
        <v>0</v>
      </c>
      <c r="DF59" s="773">
        <f t="shared" si="60"/>
        <v>-12031.19</v>
      </c>
      <c r="DG59" s="773">
        <v>0</v>
      </c>
      <c r="DH59" s="773">
        <v>0</v>
      </c>
      <c r="DJ59" s="773">
        <v>-11745.43</v>
      </c>
      <c r="DK59" s="773">
        <v>0</v>
      </c>
      <c r="DL59" s="773">
        <v>0</v>
      </c>
      <c r="DM59" s="773">
        <v>0</v>
      </c>
      <c r="DN59" s="773">
        <f t="shared" si="49"/>
        <v>0</v>
      </c>
      <c r="DO59" s="773">
        <f t="shared" ref="DO59:DO61" si="73">+DJ59</f>
        <v>-11745.43</v>
      </c>
      <c r="DP59" s="773">
        <v>0</v>
      </c>
      <c r="DQ59" s="773">
        <f t="shared" si="61"/>
        <v>-11745.43</v>
      </c>
      <c r="DR59" s="773">
        <v>0</v>
      </c>
      <c r="DS59" s="773">
        <v>0</v>
      </c>
      <c r="DU59" s="773">
        <v>-11459.67</v>
      </c>
      <c r="DV59" s="773">
        <v>0</v>
      </c>
      <c r="DW59" s="773">
        <v>0</v>
      </c>
      <c r="DX59" s="773">
        <v>0</v>
      </c>
      <c r="DY59" s="773">
        <f t="shared" si="50"/>
        <v>0</v>
      </c>
      <c r="DZ59" s="773">
        <f t="shared" ref="DZ59:DZ61" si="74">+DU59</f>
        <v>-11459.67</v>
      </c>
      <c r="EA59" s="773">
        <v>0</v>
      </c>
      <c r="EB59" s="773">
        <f t="shared" si="62"/>
        <v>-11459.67</v>
      </c>
      <c r="EC59" s="773">
        <v>0</v>
      </c>
      <c r="ED59" s="773">
        <v>0</v>
      </c>
      <c r="EE59" s="772">
        <f>+'II-E-3.5'!I74-DU59</f>
        <v>0</v>
      </c>
      <c r="EF59" s="772">
        <f t="shared" si="38"/>
        <v>0</v>
      </c>
    </row>
    <row r="60" spans="1:136" s="406" customFormat="1">
      <c r="A60" s="409">
        <f t="shared" si="0"/>
        <v>48</v>
      </c>
      <c r="B60" s="366" t="s">
        <v>609</v>
      </c>
      <c r="C60" s="775" t="s">
        <v>711</v>
      </c>
      <c r="D60" s="773">
        <v>-423768.27</v>
      </c>
      <c r="E60" s="773">
        <v>0</v>
      </c>
      <c r="F60" s="773">
        <v>0</v>
      </c>
      <c r="G60" s="773">
        <v>0</v>
      </c>
      <c r="H60" s="773">
        <f t="shared" si="39"/>
        <v>0</v>
      </c>
      <c r="I60" s="773">
        <f t="shared" si="63"/>
        <v>-423768.27</v>
      </c>
      <c r="J60" s="773">
        <v>0</v>
      </c>
      <c r="K60" s="773">
        <f t="shared" si="51"/>
        <v>-423768.27</v>
      </c>
      <c r="L60" s="773">
        <v>0</v>
      </c>
      <c r="M60" s="773">
        <v>0</v>
      </c>
      <c r="N60" s="774"/>
      <c r="O60" s="773">
        <v>-415479.20609999768</v>
      </c>
      <c r="P60" s="773">
        <v>0</v>
      </c>
      <c r="Q60" s="773">
        <v>0</v>
      </c>
      <c r="R60" s="773">
        <v>0</v>
      </c>
      <c r="S60" s="773">
        <f t="shared" si="40"/>
        <v>0</v>
      </c>
      <c r="T60" s="773">
        <f t="shared" si="64"/>
        <v>-415479.20609999768</v>
      </c>
      <c r="U60" s="773">
        <v>0</v>
      </c>
      <c r="V60" s="773">
        <f t="shared" si="52"/>
        <v>-415479.20609999768</v>
      </c>
      <c r="W60" s="773">
        <v>0</v>
      </c>
      <c r="X60" s="773">
        <v>0</v>
      </c>
      <c r="Y60" s="609"/>
      <c r="Z60" s="773">
        <v>-407190.13859999768</v>
      </c>
      <c r="AA60" s="773">
        <v>0</v>
      </c>
      <c r="AB60" s="773">
        <v>0</v>
      </c>
      <c r="AC60" s="773">
        <v>0</v>
      </c>
      <c r="AD60" s="773">
        <f t="shared" si="41"/>
        <v>0</v>
      </c>
      <c r="AE60" s="773">
        <f t="shared" si="65"/>
        <v>-407190.13859999768</v>
      </c>
      <c r="AF60" s="773">
        <v>0</v>
      </c>
      <c r="AG60" s="773">
        <f t="shared" si="53"/>
        <v>-407190.13859999768</v>
      </c>
      <c r="AH60" s="773">
        <v>0</v>
      </c>
      <c r="AI60" s="773">
        <v>0</v>
      </c>
      <c r="AK60" s="773">
        <v>-398901.07109999767</v>
      </c>
      <c r="AL60" s="773">
        <v>0</v>
      </c>
      <c r="AM60" s="773">
        <v>0</v>
      </c>
      <c r="AN60" s="773">
        <v>0</v>
      </c>
      <c r="AO60" s="773">
        <f t="shared" si="42"/>
        <v>0</v>
      </c>
      <c r="AP60" s="773">
        <f t="shared" si="66"/>
        <v>-398901.07109999767</v>
      </c>
      <c r="AQ60" s="773">
        <v>0</v>
      </c>
      <c r="AR60" s="773">
        <f t="shared" si="54"/>
        <v>-398901.07109999767</v>
      </c>
      <c r="AS60" s="773">
        <v>0</v>
      </c>
      <c r="AT60" s="773">
        <v>0</v>
      </c>
      <c r="AU60" s="779"/>
      <c r="AV60" s="773">
        <v>-390612.18839999766</v>
      </c>
      <c r="AW60" s="773">
        <v>0</v>
      </c>
      <c r="AX60" s="773">
        <v>0</v>
      </c>
      <c r="AY60" s="773">
        <v>0</v>
      </c>
      <c r="AZ60" s="773">
        <f t="shared" si="43"/>
        <v>0</v>
      </c>
      <c r="BA60" s="773">
        <f t="shared" si="67"/>
        <v>-390612.18839999766</v>
      </c>
      <c r="BB60" s="773">
        <v>0</v>
      </c>
      <c r="BC60" s="773">
        <f t="shared" si="55"/>
        <v>-390612.18839999766</v>
      </c>
      <c r="BD60" s="773">
        <v>0</v>
      </c>
      <c r="BE60" s="773">
        <v>0</v>
      </c>
      <c r="BF60" s="779"/>
      <c r="BG60" s="773">
        <v>-382322.93609999766</v>
      </c>
      <c r="BH60" s="773">
        <v>0</v>
      </c>
      <c r="BI60" s="773">
        <v>0</v>
      </c>
      <c r="BJ60" s="773">
        <v>0</v>
      </c>
      <c r="BK60" s="773">
        <f t="shared" si="44"/>
        <v>0</v>
      </c>
      <c r="BL60" s="773">
        <f t="shared" si="68"/>
        <v>-382322.93609999766</v>
      </c>
      <c r="BM60" s="773">
        <v>0</v>
      </c>
      <c r="BN60" s="773">
        <f t="shared" si="56"/>
        <v>-382322.93609999766</v>
      </c>
      <c r="BO60" s="773">
        <v>0</v>
      </c>
      <c r="BP60" s="773">
        <v>0</v>
      </c>
      <c r="BQ60" s="779"/>
      <c r="BR60" s="773">
        <v>-374033.86859999766</v>
      </c>
      <c r="BS60" s="773">
        <v>0</v>
      </c>
      <c r="BT60" s="773">
        <v>0</v>
      </c>
      <c r="BU60" s="773">
        <v>0</v>
      </c>
      <c r="BV60" s="773">
        <f t="shared" si="45"/>
        <v>0</v>
      </c>
      <c r="BW60" s="773">
        <f t="shared" si="69"/>
        <v>-374033.86859999766</v>
      </c>
      <c r="BX60" s="773">
        <v>0</v>
      </c>
      <c r="BY60" s="773">
        <f t="shared" si="57"/>
        <v>-374033.86859999766</v>
      </c>
      <c r="BZ60" s="773">
        <v>0</v>
      </c>
      <c r="CA60" s="773">
        <v>0</v>
      </c>
      <c r="CC60" s="773">
        <v>-365744.80109999765</v>
      </c>
      <c r="CD60" s="773">
        <v>0</v>
      </c>
      <c r="CE60" s="773">
        <v>0</v>
      </c>
      <c r="CF60" s="773">
        <v>0</v>
      </c>
      <c r="CG60" s="773">
        <f t="shared" si="46"/>
        <v>0</v>
      </c>
      <c r="CH60" s="773">
        <f t="shared" si="70"/>
        <v>-365744.80109999765</v>
      </c>
      <c r="CI60" s="773">
        <v>0</v>
      </c>
      <c r="CJ60" s="773">
        <f t="shared" si="58"/>
        <v>-365744.80109999765</v>
      </c>
      <c r="CK60" s="773">
        <v>0</v>
      </c>
      <c r="CL60" s="773">
        <v>0</v>
      </c>
      <c r="CN60" s="773">
        <v>-357455.73359999765</v>
      </c>
      <c r="CO60" s="773">
        <v>0</v>
      </c>
      <c r="CP60" s="773">
        <v>0</v>
      </c>
      <c r="CQ60" s="773">
        <v>0</v>
      </c>
      <c r="CR60" s="773">
        <f t="shared" si="47"/>
        <v>0</v>
      </c>
      <c r="CS60" s="773">
        <f t="shared" si="71"/>
        <v>-357455.73359999765</v>
      </c>
      <c r="CT60" s="773">
        <v>0</v>
      </c>
      <c r="CU60" s="773">
        <f t="shared" si="59"/>
        <v>-357455.73359999765</v>
      </c>
      <c r="CV60" s="773">
        <v>0</v>
      </c>
      <c r="CW60" s="773">
        <v>0</v>
      </c>
      <c r="CY60" s="773">
        <v>-349166.66609999764</v>
      </c>
      <c r="CZ60" s="773">
        <v>0</v>
      </c>
      <c r="DA60" s="773">
        <v>0</v>
      </c>
      <c r="DB60" s="773">
        <v>0</v>
      </c>
      <c r="DC60" s="773">
        <f t="shared" si="48"/>
        <v>0</v>
      </c>
      <c r="DD60" s="773">
        <f t="shared" si="72"/>
        <v>-349166.66609999764</v>
      </c>
      <c r="DE60" s="773">
        <v>0</v>
      </c>
      <c r="DF60" s="773">
        <f t="shared" si="60"/>
        <v>-349166.66609999764</v>
      </c>
      <c r="DG60" s="773">
        <v>0</v>
      </c>
      <c r="DH60" s="773">
        <v>0</v>
      </c>
      <c r="DJ60" s="773">
        <v>-340877.59859999764</v>
      </c>
      <c r="DK60" s="773">
        <v>0</v>
      </c>
      <c r="DL60" s="773">
        <v>0</v>
      </c>
      <c r="DM60" s="773">
        <v>0</v>
      </c>
      <c r="DN60" s="773">
        <f t="shared" si="49"/>
        <v>0</v>
      </c>
      <c r="DO60" s="773">
        <f t="shared" si="73"/>
        <v>-340877.59859999764</v>
      </c>
      <c r="DP60" s="773">
        <v>0</v>
      </c>
      <c r="DQ60" s="773">
        <f t="shared" si="61"/>
        <v>-340877.59859999764</v>
      </c>
      <c r="DR60" s="773">
        <v>0</v>
      </c>
      <c r="DS60" s="773">
        <v>0</v>
      </c>
      <c r="DU60" s="773">
        <v>-332588.53000000003</v>
      </c>
      <c r="DV60" s="773">
        <v>0</v>
      </c>
      <c r="DW60" s="773">
        <v>0</v>
      </c>
      <c r="DX60" s="773">
        <v>0</v>
      </c>
      <c r="DY60" s="773">
        <f t="shared" si="50"/>
        <v>0</v>
      </c>
      <c r="DZ60" s="773">
        <f t="shared" si="74"/>
        <v>-332588.53000000003</v>
      </c>
      <c r="EA60" s="773">
        <v>0</v>
      </c>
      <c r="EB60" s="773">
        <f t="shared" si="62"/>
        <v>-332588.53000000003</v>
      </c>
      <c r="EC60" s="773">
        <v>0</v>
      </c>
      <c r="ED60" s="773">
        <v>0</v>
      </c>
      <c r="EE60" s="772">
        <f>+'II-E-3.5'!I75-DU60</f>
        <v>0</v>
      </c>
      <c r="EF60" s="772">
        <f t="shared" si="38"/>
        <v>0</v>
      </c>
    </row>
    <row r="61" spans="1:136" s="406" customFormat="1">
      <c r="A61" s="409">
        <f t="shared" si="0"/>
        <v>49</v>
      </c>
      <c r="B61" s="366" t="s">
        <v>610</v>
      </c>
      <c r="C61" s="347" t="s">
        <v>711</v>
      </c>
      <c r="D61" s="773">
        <v>1186191</v>
      </c>
      <c r="E61" s="773">
        <v>0</v>
      </c>
      <c r="F61" s="773">
        <v>0</v>
      </c>
      <c r="G61" s="773">
        <v>0</v>
      </c>
      <c r="H61" s="773">
        <f t="shared" si="39"/>
        <v>0</v>
      </c>
      <c r="I61" s="773">
        <f t="shared" si="63"/>
        <v>1186191</v>
      </c>
      <c r="J61" s="773">
        <v>0</v>
      </c>
      <c r="K61" s="773">
        <f t="shared" si="51"/>
        <v>1186191</v>
      </c>
      <c r="L61" s="773">
        <v>0</v>
      </c>
      <c r="M61" s="773">
        <v>0</v>
      </c>
      <c r="N61" s="774"/>
      <c r="O61" s="773">
        <v>863632.9169999999</v>
      </c>
      <c r="P61" s="773">
        <v>0</v>
      </c>
      <c r="Q61" s="773">
        <v>0</v>
      </c>
      <c r="R61" s="773">
        <v>0</v>
      </c>
      <c r="S61" s="773">
        <f t="shared" si="40"/>
        <v>0</v>
      </c>
      <c r="T61" s="773">
        <f t="shared" si="64"/>
        <v>863632.9169999999</v>
      </c>
      <c r="U61" s="773">
        <v>0</v>
      </c>
      <c r="V61" s="773">
        <f t="shared" si="52"/>
        <v>863632.9169999999</v>
      </c>
      <c r="W61" s="773">
        <v>0</v>
      </c>
      <c r="X61" s="773">
        <v>0</v>
      </c>
      <c r="Y61" s="609"/>
      <c r="Z61" s="773">
        <v>712987.62989999994</v>
      </c>
      <c r="AA61" s="773">
        <v>0</v>
      </c>
      <c r="AB61" s="773">
        <v>0</v>
      </c>
      <c r="AC61" s="773">
        <v>0</v>
      </c>
      <c r="AD61" s="773">
        <f t="shared" si="41"/>
        <v>0</v>
      </c>
      <c r="AE61" s="773">
        <f t="shared" si="65"/>
        <v>712987.62989999994</v>
      </c>
      <c r="AF61" s="773">
        <v>0</v>
      </c>
      <c r="AG61" s="773">
        <f t="shared" si="53"/>
        <v>712987.62989999994</v>
      </c>
      <c r="AH61" s="773">
        <v>0</v>
      </c>
      <c r="AI61" s="773">
        <v>0</v>
      </c>
      <c r="AK61" s="773">
        <v>678279.36119999993</v>
      </c>
      <c r="AL61" s="773">
        <v>0</v>
      </c>
      <c r="AM61" s="773">
        <v>0</v>
      </c>
      <c r="AN61" s="773">
        <v>0</v>
      </c>
      <c r="AO61" s="773">
        <f t="shared" si="42"/>
        <v>0</v>
      </c>
      <c r="AP61" s="773">
        <f t="shared" si="66"/>
        <v>678279.36119999993</v>
      </c>
      <c r="AQ61" s="773">
        <v>0</v>
      </c>
      <c r="AR61" s="773">
        <f t="shared" si="54"/>
        <v>678279.36119999993</v>
      </c>
      <c r="AS61" s="773">
        <v>0</v>
      </c>
      <c r="AT61" s="773">
        <v>0</v>
      </c>
      <c r="AU61" s="779"/>
      <c r="AV61" s="773">
        <v>923240.46989999991</v>
      </c>
      <c r="AW61" s="773">
        <v>0</v>
      </c>
      <c r="AX61" s="773">
        <v>0</v>
      </c>
      <c r="AY61" s="773">
        <v>0</v>
      </c>
      <c r="AZ61" s="773">
        <f t="shared" si="43"/>
        <v>0</v>
      </c>
      <c r="BA61" s="773">
        <f t="shared" si="67"/>
        <v>923240.46989999991</v>
      </c>
      <c r="BB61" s="773">
        <v>0</v>
      </c>
      <c r="BC61" s="773">
        <f t="shared" si="55"/>
        <v>923240.46989999991</v>
      </c>
      <c r="BD61" s="773">
        <v>0</v>
      </c>
      <c r="BE61" s="773">
        <v>0</v>
      </c>
      <c r="BF61" s="779"/>
      <c r="BG61" s="773">
        <v>1156373.6540999999</v>
      </c>
      <c r="BH61" s="773">
        <v>0</v>
      </c>
      <c r="BI61" s="773">
        <v>0</v>
      </c>
      <c r="BJ61" s="773">
        <v>0</v>
      </c>
      <c r="BK61" s="773">
        <f t="shared" si="44"/>
        <v>0</v>
      </c>
      <c r="BL61" s="773">
        <f t="shared" si="68"/>
        <v>1156373.6540999999</v>
      </c>
      <c r="BM61" s="773">
        <v>0</v>
      </c>
      <c r="BN61" s="773">
        <f t="shared" si="56"/>
        <v>1156373.6540999999</v>
      </c>
      <c r="BO61" s="773">
        <v>0</v>
      </c>
      <c r="BP61" s="773">
        <v>0</v>
      </c>
      <c r="BQ61" s="779"/>
      <c r="BR61" s="773">
        <v>1175008.1972999999</v>
      </c>
      <c r="BS61" s="773">
        <v>0</v>
      </c>
      <c r="BT61" s="773">
        <v>0</v>
      </c>
      <c r="BU61" s="773">
        <v>0</v>
      </c>
      <c r="BV61" s="773">
        <f t="shared" si="45"/>
        <v>0</v>
      </c>
      <c r="BW61" s="773">
        <f t="shared" si="69"/>
        <v>1175008.1972999999</v>
      </c>
      <c r="BX61" s="773">
        <v>0</v>
      </c>
      <c r="BY61" s="773">
        <f t="shared" si="57"/>
        <v>1175008.1972999999</v>
      </c>
      <c r="BZ61" s="773">
        <v>0</v>
      </c>
      <c r="CA61" s="773">
        <v>0</v>
      </c>
      <c r="CC61" s="773">
        <v>1409398.8089999999</v>
      </c>
      <c r="CD61" s="773">
        <v>0</v>
      </c>
      <c r="CE61" s="773">
        <v>0</v>
      </c>
      <c r="CF61" s="773">
        <v>0</v>
      </c>
      <c r="CG61" s="773">
        <f t="shared" si="46"/>
        <v>0</v>
      </c>
      <c r="CH61" s="773">
        <f t="shared" si="70"/>
        <v>1409398.8089999999</v>
      </c>
      <c r="CI61" s="773">
        <v>0</v>
      </c>
      <c r="CJ61" s="773">
        <f t="shared" si="58"/>
        <v>1409398.8089999999</v>
      </c>
      <c r="CK61" s="773">
        <v>0</v>
      </c>
      <c r="CL61" s="773">
        <v>0</v>
      </c>
      <c r="CN61" s="773">
        <v>1029359.4401999998</v>
      </c>
      <c r="CO61" s="773">
        <v>0</v>
      </c>
      <c r="CP61" s="773">
        <v>0</v>
      </c>
      <c r="CQ61" s="773">
        <v>0</v>
      </c>
      <c r="CR61" s="773">
        <f t="shared" si="47"/>
        <v>0</v>
      </c>
      <c r="CS61" s="773">
        <f t="shared" si="71"/>
        <v>1029359.4401999998</v>
      </c>
      <c r="CT61" s="773">
        <v>0</v>
      </c>
      <c r="CU61" s="773">
        <f t="shared" si="59"/>
        <v>1029359.4401999998</v>
      </c>
      <c r="CV61" s="773">
        <v>0</v>
      </c>
      <c r="CW61" s="773">
        <v>0</v>
      </c>
      <c r="CY61" s="773">
        <v>885033.90989999985</v>
      </c>
      <c r="CZ61" s="773">
        <v>0</v>
      </c>
      <c r="DA61" s="773">
        <v>0</v>
      </c>
      <c r="DB61" s="773">
        <v>0</v>
      </c>
      <c r="DC61" s="773">
        <f t="shared" si="48"/>
        <v>0</v>
      </c>
      <c r="DD61" s="773">
        <f t="shared" si="72"/>
        <v>885033.90989999985</v>
      </c>
      <c r="DE61" s="773">
        <v>0</v>
      </c>
      <c r="DF61" s="773">
        <f t="shared" si="60"/>
        <v>885033.90989999985</v>
      </c>
      <c r="DG61" s="773">
        <v>0</v>
      </c>
      <c r="DH61" s="773">
        <v>0</v>
      </c>
      <c r="DJ61" s="773">
        <v>712085.58959999983</v>
      </c>
      <c r="DK61" s="773">
        <v>0</v>
      </c>
      <c r="DL61" s="773">
        <v>0</v>
      </c>
      <c r="DM61" s="773">
        <v>0</v>
      </c>
      <c r="DN61" s="773">
        <f t="shared" si="49"/>
        <v>0</v>
      </c>
      <c r="DO61" s="773">
        <f t="shared" si="73"/>
        <v>712085.58959999983</v>
      </c>
      <c r="DP61" s="773">
        <v>0</v>
      </c>
      <c r="DQ61" s="773">
        <f t="shared" si="61"/>
        <v>712085.58959999983</v>
      </c>
      <c r="DR61" s="773">
        <v>0</v>
      </c>
      <c r="DS61" s="773">
        <v>0</v>
      </c>
      <c r="DU61" s="773">
        <v>804443.96</v>
      </c>
      <c r="DV61" s="773">
        <v>0</v>
      </c>
      <c r="DW61" s="773">
        <v>0</v>
      </c>
      <c r="DX61" s="773">
        <v>0</v>
      </c>
      <c r="DY61" s="773">
        <f t="shared" si="50"/>
        <v>0</v>
      </c>
      <c r="DZ61" s="773">
        <f t="shared" si="74"/>
        <v>804443.96</v>
      </c>
      <c r="EA61" s="773">
        <v>0</v>
      </c>
      <c r="EB61" s="773">
        <f t="shared" si="62"/>
        <v>804443.96</v>
      </c>
      <c r="EC61" s="773">
        <v>0</v>
      </c>
      <c r="ED61" s="773">
        <v>0</v>
      </c>
      <c r="EE61" s="772">
        <f>+'II-E-3.5'!I76-DU61</f>
        <v>0</v>
      </c>
      <c r="EF61" s="772">
        <f t="shared" si="38"/>
        <v>0</v>
      </c>
    </row>
    <row r="62" spans="1:136" s="406" customFormat="1">
      <c r="A62" s="409">
        <f t="shared" si="0"/>
        <v>50</v>
      </c>
      <c r="B62" s="366" t="s">
        <v>1130</v>
      </c>
      <c r="C62" s="347" t="s">
        <v>879</v>
      </c>
      <c r="D62" s="773">
        <v>259112.49</v>
      </c>
      <c r="E62" s="773">
        <v>0</v>
      </c>
      <c r="F62" s="773">
        <v>0</v>
      </c>
      <c r="G62" s="773">
        <v>0</v>
      </c>
      <c r="H62" s="773">
        <f t="shared" si="39"/>
        <v>0</v>
      </c>
      <c r="I62" s="773"/>
      <c r="J62" s="773">
        <v>0</v>
      </c>
      <c r="K62" s="773">
        <f t="shared" si="51"/>
        <v>0</v>
      </c>
      <c r="L62" s="773">
        <f>+D62</f>
        <v>259112.49</v>
      </c>
      <c r="M62" s="773">
        <v>0</v>
      </c>
      <c r="N62" s="774"/>
      <c r="O62" s="773">
        <v>259112.49</v>
      </c>
      <c r="P62" s="773">
        <v>0</v>
      </c>
      <c r="Q62" s="773">
        <v>0</v>
      </c>
      <c r="R62" s="773">
        <v>0</v>
      </c>
      <c r="S62" s="773">
        <f t="shared" si="40"/>
        <v>0</v>
      </c>
      <c r="T62" s="773"/>
      <c r="U62" s="773">
        <v>0</v>
      </c>
      <c r="V62" s="773">
        <f t="shared" si="52"/>
        <v>0</v>
      </c>
      <c r="W62" s="773">
        <f>+O62</f>
        <v>259112.49</v>
      </c>
      <c r="X62" s="773">
        <v>0</v>
      </c>
      <c r="Y62" s="609"/>
      <c r="Z62" s="773">
        <v>259112.49</v>
      </c>
      <c r="AA62" s="773">
        <v>0</v>
      </c>
      <c r="AB62" s="773">
        <v>0</v>
      </c>
      <c r="AC62" s="773">
        <v>0</v>
      </c>
      <c r="AD62" s="773">
        <f t="shared" si="41"/>
        <v>0</v>
      </c>
      <c r="AE62" s="773"/>
      <c r="AF62" s="773">
        <v>0</v>
      </c>
      <c r="AG62" s="773">
        <f t="shared" si="53"/>
        <v>0</v>
      </c>
      <c r="AH62" s="773">
        <f>+Z62</f>
        <v>259112.49</v>
      </c>
      <c r="AI62" s="773">
        <v>0</v>
      </c>
      <c r="AK62" s="773">
        <v>259112.49</v>
      </c>
      <c r="AL62" s="773">
        <v>0</v>
      </c>
      <c r="AM62" s="773">
        <v>0</v>
      </c>
      <c r="AN62" s="773">
        <v>0</v>
      </c>
      <c r="AO62" s="773">
        <f t="shared" si="42"/>
        <v>0</v>
      </c>
      <c r="AP62" s="773"/>
      <c r="AQ62" s="773">
        <v>0</v>
      </c>
      <c r="AR62" s="773">
        <f t="shared" si="54"/>
        <v>0</v>
      </c>
      <c r="AS62" s="773">
        <f>+AK62</f>
        <v>259112.49</v>
      </c>
      <c r="AT62" s="773">
        <v>0</v>
      </c>
      <c r="AU62" s="779"/>
      <c r="AV62" s="773">
        <v>259112.49</v>
      </c>
      <c r="AW62" s="773">
        <v>0</v>
      </c>
      <c r="AX62" s="773">
        <v>0</v>
      </c>
      <c r="AY62" s="773">
        <v>0</v>
      </c>
      <c r="AZ62" s="773">
        <f t="shared" si="43"/>
        <v>0</v>
      </c>
      <c r="BA62" s="773"/>
      <c r="BB62" s="773">
        <v>0</v>
      </c>
      <c r="BC62" s="773">
        <f t="shared" si="55"/>
        <v>0</v>
      </c>
      <c r="BD62" s="773">
        <f>+AV62</f>
        <v>259112.49</v>
      </c>
      <c r="BE62" s="773">
        <v>0</v>
      </c>
      <c r="BF62" s="779"/>
      <c r="BG62" s="773">
        <v>259112.49</v>
      </c>
      <c r="BH62" s="773">
        <v>0</v>
      </c>
      <c r="BI62" s="773">
        <v>0</v>
      </c>
      <c r="BJ62" s="773">
        <v>0</v>
      </c>
      <c r="BK62" s="773">
        <f t="shared" si="44"/>
        <v>0</v>
      </c>
      <c r="BL62" s="773"/>
      <c r="BM62" s="773">
        <v>0</v>
      </c>
      <c r="BN62" s="773">
        <f t="shared" si="56"/>
        <v>0</v>
      </c>
      <c r="BO62" s="773">
        <f>+BG62</f>
        <v>259112.49</v>
      </c>
      <c r="BP62" s="773">
        <v>0</v>
      </c>
      <c r="BQ62" s="779"/>
      <c r="BR62" s="773">
        <v>259112.49</v>
      </c>
      <c r="BS62" s="773">
        <v>0</v>
      </c>
      <c r="BT62" s="773">
        <v>0</v>
      </c>
      <c r="BU62" s="773">
        <v>0</v>
      </c>
      <c r="BV62" s="773">
        <f t="shared" si="45"/>
        <v>0</v>
      </c>
      <c r="BW62" s="773"/>
      <c r="BX62" s="773">
        <v>0</v>
      </c>
      <c r="BY62" s="773">
        <f t="shared" si="57"/>
        <v>0</v>
      </c>
      <c r="BZ62" s="773">
        <f>+BR62</f>
        <v>259112.49</v>
      </c>
      <c r="CA62" s="773">
        <v>0</v>
      </c>
      <c r="CC62" s="773">
        <v>259112.49</v>
      </c>
      <c r="CD62" s="773">
        <v>0</v>
      </c>
      <c r="CE62" s="773">
        <v>0</v>
      </c>
      <c r="CF62" s="773">
        <v>0</v>
      </c>
      <c r="CG62" s="773">
        <f t="shared" si="46"/>
        <v>0</v>
      </c>
      <c r="CH62" s="773"/>
      <c r="CI62" s="773">
        <v>0</v>
      </c>
      <c r="CJ62" s="773">
        <f t="shared" si="58"/>
        <v>0</v>
      </c>
      <c r="CK62" s="773">
        <f>+CC62</f>
        <v>259112.49</v>
      </c>
      <c r="CL62" s="773">
        <v>0</v>
      </c>
      <c r="CN62" s="773">
        <v>259112.49</v>
      </c>
      <c r="CO62" s="773">
        <v>0</v>
      </c>
      <c r="CP62" s="773">
        <v>0</v>
      </c>
      <c r="CQ62" s="773">
        <v>0</v>
      </c>
      <c r="CR62" s="773">
        <f t="shared" si="47"/>
        <v>0</v>
      </c>
      <c r="CS62" s="773"/>
      <c r="CT62" s="773">
        <v>0</v>
      </c>
      <c r="CU62" s="773">
        <f t="shared" si="59"/>
        <v>0</v>
      </c>
      <c r="CV62" s="773">
        <f>+CN62</f>
        <v>259112.49</v>
      </c>
      <c r="CW62" s="773">
        <v>0</v>
      </c>
      <c r="CY62" s="773">
        <v>259112.49</v>
      </c>
      <c r="CZ62" s="773">
        <v>0</v>
      </c>
      <c r="DA62" s="773">
        <v>0</v>
      </c>
      <c r="DB62" s="773">
        <v>0</v>
      </c>
      <c r="DC62" s="773">
        <f t="shared" si="48"/>
        <v>0</v>
      </c>
      <c r="DD62" s="773"/>
      <c r="DE62" s="773">
        <v>0</v>
      </c>
      <c r="DF62" s="773">
        <f t="shared" si="60"/>
        <v>0</v>
      </c>
      <c r="DG62" s="773">
        <f>+CY62</f>
        <v>259112.49</v>
      </c>
      <c r="DH62" s="773">
        <v>0</v>
      </c>
      <c r="DJ62" s="773">
        <v>259112.49</v>
      </c>
      <c r="DK62" s="773">
        <v>0</v>
      </c>
      <c r="DL62" s="773">
        <v>0</v>
      </c>
      <c r="DM62" s="773">
        <v>0</v>
      </c>
      <c r="DN62" s="773">
        <f t="shared" si="49"/>
        <v>0</v>
      </c>
      <c r="DO62" s="773"/>
      <c r="DP62" s="773">
        <v>0</v>
      </c>
      <c r="DQ62" s="773">
        <f t="shared" si="61"/>
        <v>0</v>
      </c>
      <c r="DR62" s="773">
        <f>+DJ62</f>
        <v>259112.49</v>
      </c>
      <c r="DS62" s="773">
        <v>0</v>
      </c>
      <c r="DU62" s="773">
        <v>259112.49</v>
      </c>
      <c r="DV62" s="773">
        <v>0</v>
      </c>
      <c r="DW62" s="773">
        <v>0</v>
      </c>
      <c r="DX62" s="773">
        <v>0</v>
      </c>
      <c r="DY62" s="773">
        <f t="shared" si="50"/>
        <v>0</v>
      </c>
      <c r="DZ62" s="773"/>
      <c r="EA62" s="773">
        <v>0</v>
      </c>
      <c r="EB62" s="773">
        <f t="shared" si="62"/>
        <v>0</v>
      </c>
      <c r="EC62" s="773">
        <f>+DU62</f>
        <v>259112.49</v>
      </c>
      <c r="ED62" s="773">
        <v>0</v>
      </c>
      <c r="EE62" s="772">
        <f>+'II-E-3.5'!I77-DU62</f>
        <v>0</v>
      </c>
      <c r="EF62" s="772">
        <f t="shared" si="38"/>
        <v>0</v>
      </c>
    </row>
    <row r="63" spans="1:136" s="406" customFormat="1">
      <c r="A63" s="409">
        <f t="shared" si="0"/>
        <v>51</v>
      </c>
      <c r="B63" s="366" t="s">
        <v>1131</v>
      </c>
      <c r="C63" s="347" t="s">
        <v>711</v>
      </c>
      <c r="D63" s="773">
        <v>78916.259999999995</v>
      </c>
      <c r="E63" s="773">
        <v>0</v>
      </c>
      <c r="F63" s="773">
        <v>0</v>
      </c>
      <c r="G63" s="773">
        <v>0</v>
      </c>
      <c r="H63" s="773">
        <f t="shared" si="39"/>
        <v>0</v>
      </c>
      <c r="I63" s="773">
        <f>+D63</f>
        <v>78916.259999999995</v>
      </c>
      <c r="J63" s="773">
        <v>0</v>
      </c>
      <c r="K63" s="773">
        <f t="shared" si="51"/>
        <v>78916.259999999995</v>
      </c>
      <c r="L63" s="773">
        <v>0</v>
      </c>
      <c r="M63" s="773">
        <v>0</v>
      </c>
      <c r="N63" s="774"/>
      <c r="O63" s="773">
        <v>61367.762399999992</v>
      </c>
      <c r="P63" s="773">
        <v>0</v>
      </c>
      <c r="Q63" s="773">
        <v>0</v>
      </c>
      <c r="R63" s="773">
        <v>0</v>
      </c>
      <c r="S63" s="773">
        <f t="shared" si="40"/>
        <v>0</v>
      </c>
      <c r="T63" s="773">
        <f>+O63</f>
        <v>61367.762399999992</v>
      </c>
      <c r="U63" s="773">
        <v>0</v>
      </c>
      <c r="V63" s="773">
        <f t="shared" si="52"/>
        <v>61367.762399999992</v>
      </c>
      <c r="W63" s="773">
        <v>0</v>
      </c>
      <c r="X63" s="773">
        <v>0</v>
      </c>
      <c r="Y63" s="609"/>
      <c r="Z63" s="773">
        <v>58720.13489999999</v>
      </c>
      <c r="AA63" s="773">
        <v>0</v>
      </c>
      <c r="AB63" s="773">
        <v>0</v>
      </c>
      <c r="AC63" s="773">
        <v>0</v>
      </c>
      <c r="AD63" s="773">
        <f t="shared" si="41"/>
        <v>0</v>
      </c>
      <c r="AE63" s="773">
        <f>+Z63</f>
        <v>58720.13489999999</v>
      </c>
      <c r="AF63" s="773">
        <v>0</v>
      </c>
      <c r="AG63" s="773">
        <f t="shared" si="53"/>
        <v>58720.13489999999</v>
      </c>
      <c r="AH63" s="773">
        <v>0</v>
      </c>
      <c r="AI63" s="773">
        <v>0</v>
      </c>
      <c r="AK63" s="773">
        <v>55702.722599999994</v>
      </c>
      <c r="AL63" s="773">
        <v>0</v>
      </c>
      <c r="AM63" s="773">
        <v>0</v>
      </c>
      <c r="AN63" s="773">
        <v>0</v>
      </c>
      <c r="AO63" s="773">
        <f t="shared" si="42"/>
        <v>0</v>
      </c>
      <c r="AP63" s="773">
        <f>+AK63</f>
        <v>55702.722599999994</v>
      </c>
      <c r="AQ63" s="773">
        <v>0</v>
      </c>
      <c r="AR63" s="773">
        <f t="shared" si="54"/>
        <v>55702.722599999994</v>
      </c>
      <c r="AS63" s="773">
        <v>0</v>
      </c>
      <c r="AT63" s="773">
        <v>0</v>
      </c>
      <c r="AU63" s="779"/>
      <c r="AV63" s="773">
        <v>69298.634999999995</v>
      </c>
      <c r="AW63" s="773">
        <v>0</v>
      </c>
      <c r="AX63" s="773">
        <v>0</v>
      </c>
      <c r="AY63" s="773">
        <v>0</v>
      </c>
      <c r="AZ63" s="773">
        <f t="shared" si="43"/>
        <v>0</v>
      </c>
      <c r="BA63" s="773">
        <f>+AV63</f>
        <v>69298.634999999995</v>
      </c>
      <c r="BB63" s="773">
        <v>0</v>
      </c>
      <c r="BC63" s="773">
        <f t="shared" si="55"/>
        <v>69298.634999999995</v>
      </c>
      <c r="BD63" s="773">
        <v>0</v>
      </c>
      <c r="BE63" s="773">
        <v>0</v>
      </c>
      <c r="BF63" s="779"/>
      <c r="BG63" s="773">
        <v>80028.022199999992</v>
      </c>
      <c r="BH63" s="773">
        <v>0</v>
      </c>
      <c r="BI63" s="773">
        <v>0</v>
      </c>
      <c r="BJ63" s="773">
        <v>0</v>
      </c>
      <c r="BK63" s="773">
        <f t="shared" si="44"/>
        <v>0</v>
      </c>
      <c r="BL63" s="773">
        <f>+BG63</f>
        <v>80028.022199999992</v>
      </c>
      <c r="BM63" s="773">
        <v>0</v>
      </c>
      <c r="BN63" s="773">
        <f t="shared" si="56"/>
        <v>80028.022199999992</v>
      </c>
      <c r="BO63" s="773">
        <v>0</v>
      </c>
      <c r="BP63" s="773">
        <v>0</v>
      </c>
      <c r="BQ63" s="779"/>
      <c r="BR63" s="773">
        <v>82061.777699999991</v>
      </c>
      <c r="BS63" s="773">
        <v>0</v>
      </c>
      <c r="BT63" s="773">
        <v>0</v>
      </c>
      <c r="BU63" s="773">
        <v>0</v>
      </c>
      <c r="BV63" s="773">
        <f t="shared" si="45"/>
        <v>0</v>
      </c>
      <c r="BW63" s="773">
        <f>+BR63</f>
        <v>82061.777699999991</v>
      </c>
      <c r="BX63" s="773">
        <v>0</v>
      </c>
      <c r="BY63" s="773">
        <f t="shared" si="57"/>
        <v>82061.777699999991</v>
      </c>
      <c r="BZ63" s="773">
        <v>0</v>
      </c>
      <c r="CA63" s="773">
        <v>0</v>
      </c>
      <c r="CC63" s="773">
        <v>93312.771299999993</v>
      </c>
      <c r="CD63" s="773">
        <v>0</v>
      </c>
      <c r="CE63" s="773">
        <v>0</v>
      </c>
      <c r="CF63" s="773">
        <v>0</v>
      </c>
      <c r="CG63" s="773">
        <f t="shared" si="46"/>
        <v>0</v>
      </c>
      <c r="CH63" s="773">
        <f>+CC63</f>
        <v>93312.771299999993</v>
      </c>
      <c r="CI63" s="773">
        <v>0</v>
      </c>
      <c r="CJ63" s="773">
        <f t="shared" si="58"/>
        <v>93312.771299999993</v>
      </c>
      <c r="CK63" s="773">
        <v>0</v>
      </c>
      <c r="CL63" s="773">
        <v>0</v>
      </c>
      <c r="CN63" s="773">
        <v>76057.369500000001</v>
      </c>
      <c r="CO63" s="773">
        <v>0</v>
      </c>
      <c r="CP63" s="773">
        <v>0</v>
      </c>
      <c r="CQ63" s="773">
        <v>0</v>
      </c>
      <c r="CR63" s="773">
        <f t="shared" si="47"/>
        <v>0</v>
      </c>
      <c r="CS63" s="773">
        <f>+CN63</f>
        <v>76057.369500000001</v>
      </c>
      <c r="CT63" s="773">
        <v>0</v>
      </c>
      <c r="CU63" s="773">
        <f t="shared" si="59"/>
        <v>76057.369500000001</v>
      </c>
      <c r="CV63" s="773">
        <v>0</v>
      </c>
      <c r="CW63" s="773">
        <v>0</v>
      </c>
      <c r="CY63" s="773">
        <v>69588.288</v>
      </c>
      <c r="CZ63" s="773">
        <v>0</v>
      </c>
      <c r="DA63" s="773">
        <v>0</v>
      </c>
      <c r="DB63" s="773">
        <v>0</v>
      </c>
      <c r="DC63" s="773">
        <f t="shared" si="48"/>
        <v>0</v>
      </c>
      <c r="DD63" s="773">
        <f>+CY63</f>
        <v>69588.288</v>
      </c>
      <c r="DE63" s="773">
        <v>0</v>
      </c>
      <c r="DF63" s="773">
        <f t="shared" si="60"/>
        <v>69588.288</v>
      </c>
      <c r="DG63" s="773">
        <v>0</v>
      </c>
      <c r="DH63" s="773">
        <v>0</v>
      </c>
      <c r="DJ63" s="773">
        <v>61737.123</v>
      </c>
      <c r="DK63" s="773">
        <v>0</v>
      </c>
      <c r="DL63" s="773">
        <v>0</v>
      </c>
      <c r="DM63" s="773">
        <v>0</v>
      </c>
      <c r="DN63" s="773">
        <f t="shared" si="49"/>
        <v>0</v>
      </c>
      <c r="DO63" s="773">
        <f>+DJ63</f>
        <v>61737.123</v>
      </c>
      <c r="DP63" s="773">
        <v>0</v>
      </c>
      <c r="DQ63" s="773">
        <f t="shared" si="61"/>
        <v>61737.123</v>
      </c>
      <c r="DR63" s="773">
        <v>0</v>
      </c>
      <c r="DS63" s="773">
        <v>0</v>
      </c>
      <c r="DU63" s="773">
        <v>66893.95</v>
      </c>
      <c r="DV63" s="773">
        <v>0</v>
      </c>
      <c r="DW63" s="773">
        <v>0</v>
      </c>
      <c r="DX63" s="773">
        <v>0</v>
      </c>
      <c r="DY63" s="773">
        <f t="shared" si="50"/>
        <v>0</v>
      </c>
      <c r="DZ63" s="773">
        <f>+DU63</f>
        <v>66893.95</v>
      </c>
      <c r="EA63" s="773">
        <v>0</v>
      </c>
      <c r="EB63" s="773">
        <f t="shared" si="62"/>
        <v>66893.95</v>
      </c>
      <c r="EC63" s="773">
        <v>0</v>
      </c>
      <c r="ED63" s="773">
        <v>0</v>
      </c>
      <c r="EE63" s="772">
        <f>+'II-E-3.5'!I78-DU63</f>
        <v>0</v>
      </c>
      <c r="EF63" s="772">
        <f t="shared" si="38"/>
        <v>0</v>
      </c>
    </row>
    <row r="64" spans="1:136" s="406" customFormat="1">
      <c r="A64" s="409">
        <f t="shared" si="0"/>
        <v>52</v>
      </c>
      <c r="B64" s="366" t="s">
        <v>611</v>
      </c>
      <c r="C64" s="347" t="s">
        <v>711</v>
      </c>
      <c r="D64" s="773">
        <v>6937.47</v>
      </c>
      <c r="E64" s="773">
        <v>0</v>
      </c>
      <c r="F64" s="773">
        <v>0</v>
      </c>
      <c r="G64" s="773">
        <v>0</v>
      </c>
      <c r="H64" s="773">
        <f t="shared" si="39"/>
        <v>0</v>
      </c>
      <c r="I64" s="773">
        <f>+D64</f>
        <v>6937.47</v>
      </c>
      <c r="J64" s="773">
        <v>0</v>
      </c>
      <c r="K64" s="773">
        <f t="shared" si="51"/>
        <v>6937.47</v>
      </c>
      <c r="L64" s="773">
        <v>0</v>
      </c>
      <c r="M64" s="773">
        <v>0</v>
      </c>
      <c r="N64" s="774"/>
      <c r="O64" s="773">
        <v>5175.26</v>
      </c>
      <c r="P64" s="773">
        <v>0</v>
      </c>
      <c r="Q64" s="773">
        <v>0</v>
      </c>
      <c r="R64" s="773">
        <v>0</v>
      </c>
      <c r="S64" s="773">
        <f t="shared" si="40"/>
        <v>0</v>
      </c>
      <c r="T64" s="773">
        <f>+O64</f>
        <v>5175.26</v>
      </c>
      <c r="U64" s="773">
        <v>0</v>
      </c>
      <c r="V64" s="773">
        <f t="shared" si="52"/>
        <v>5175.26</v>
      </c>
      <c r="W64" s="773">
        <v>0</v>
      </c>
      <c r="X64" s="773">
        <v>0</v>
      </c>
      <c r="Y64" s="609"/>
      <c r="Z64" s="773">
        <v>5374.9800000000005</v>
      </c>
      <c r="AA64" s="773">
        <v>0</v>
      </c>
      <c r="AB64" s="773">
        <v>0</v>
      </c>
      <c r="AC64" s="773">
        <v>0</v>
      </c>
      <c r="AD64" s="773">
        <f t="shared" si="41"/>
        <v>0</v>
      </c>
      <c r="AE64" s="773">
        <f>+Z64</f>
        <v>5374.9800000000005</v>
      </c>
      <c r="AF64" s="773">
        <v>0</v>
      </c>
      <c r="AG64" s="773">
        <f t="shared" si="53"/>
        <v>5374.9800000000005</v>
      </c>
      <c r="AH64" s="773">
        <v>0</v>
      </c>
      <c r="AI64" s="773">
        <v>0</v>
      </c>
      <c r="AK64" s="773">
        <v>5373.8300000000008</v>
      </c>
      <c r="AL64" s="773">
        <v>0</v>
      </c>
      <c r="AM64" s="773">
        <v>0</v>
      </c>
      <c r="AN64" s="773">
        <v>0</v>
      </c>
      <c r="AO64" s="773">
        <f t="shared" si="42"/>
        <v>0</v>
      </c>
      <c r="AP64" s="773">
        <f>+AK64</f>
        <v>5373.8300000000008</v>
      </c>
      <c r="AQ64" s="773">
        <v>0</v>
      </c>
      <c r="AR64" s="773">
        <f t="shared" si="54"/>
        <v>5373.8300000000008</v>
      </c>
      <c r="AS64" s="773">
        <v>0</v>
      </c>
      <c r="AT64" s="773">
        <v>0</v>
      </c>
      <c r="AU64" s="779"/>
      <c r="AV64" s="773">
        <v>5421.130000000001</v>
      </c>
      <c r="AW64" s="773">
        <v>0</v>
      </c>
      <c r="AX64" s="773">
        <v>0</v>
      </c>
      <c r="AY64" s="773">
        <v>0</v>
      </c>
      <c r="AZ64" s="773">
        <f t="shared" si="43"/>
        <v>0</v>
      </c>
      <c r="BA64" s="773">
        <f>+AV64</f>
        <v>5421.130000000001</v>
      </c>
      <c r="BB64" s="773">
        <v>0</v>
      </c>
      <c r="BC64" s="773">
        <f t="shared" si="55"/>
        <v>5421.130000000001</v>
      </c>
      <c r="BD64" s="773">
        <v>0</v>
      </c>
      <c r="BE64" s="773">
        <v>0</v>
      </c>
      <c r="BF64" s="779"/>
      <c r="BG64" s="773">
        <v>5426.2400000000007</v>
      </c>
      <c r="BH64" s="773">
        <v>0</v>
      </c>
      <c r="BI64" s="773">
        <v>0</v>
      </c>
      <c r="BJ64" s="773">
        <v>0</v>
      </c>
      <c r="BK64" s="773">
        <f t="shared" si="44"/>
        <v>0</v>
      </c>
      <c r="BL64" s="773">
        <f>+BG64</f>
        <v>5426.2400000000007</v>
      </c>
      <c r="BM64" s="773">
        <v>0</v>
      </c>
      <c r="BN64" s="773">
        <f t="shared" si="56"/>
        <v>5426.2400000000007</v>
      </c>
      <c r="BO64" s="773">
        <v>0</v>
      </c>
      <c r="BP64" s="773">
        <v>0</v>
      </c>
      <c r="BQ64" s="779"/>
      <c r="BR64" s="773">
        <v>5426.7100000000009</v>
      </c>
      <c r="BS64" s="773">
        <v>0</v>
      </c>
      <c r="BT64" s="773">
        <v>0</v>
      </c>
      <c r="BU64" s="773">
        <v>0</v>
      </c>
      <c r="BV64" s="773">
        <f t="shared" si="45"/>
        <v>0</v>
      </c>
      <c r="BW64" s="773">
        <f>+BR64</f>
        <v>5426.7100000000009</v>
      </c>
      <c r="BX64" s="773">
        <v>0</v>
      </c>
      <c r="BY64" s="773">
        <f t="shared" si="57"/>
        <v>5426.7100000000009</v>
      </c>
      <c r="BZ64" s="773">
        <v>0</v>
      </c>
      <c r="CA64" s="773">
        <v>0</v>
      </c>
      <c r="CC64" s="773">
        <v>5427.6100000000006</v>
      </c>
      <c r="CD64" s="773">
        <v>0</v>
      </c>
      <c r="CE64" s="773">
        <v>0</v>
      </c>
      <c r="CF64" s="773">
        <v>0</v>
      </c>
      <c r="CG64" s="773">
        <f t="shared" si="46"/>
        <v>0</v>
      </c>
      <c r="CH64" s="773">
        <f>+CC64</f>
        <v>5427.6100000000006</v>
      </c>
      <c r="CI64" s="773">
        <v>0</v>
      </c>
      <c r="CJ64" s="773">
        <f t="shared" si="58"/>
        <v>5427.6100000000006</v>
      </c>
      <c r="CK64" s="773">
        <v>0</v>
      </c>
      <c r="CL64" s="773">
        <v>0</v>
      </c>
      <c r="CN64" s="773">
        <v>5428.8300000000008</v>
      </c>
      <c r="CO64" s="773">
        <v>0</v>
      </c>
      <c r="CP64" s="773">
        <v>0</v>
      </c>
      <c r="CQ64" s="773">
        <v>0</v>
      </c>
      <c r="CR64" s="773">
        <f t="shared" si="47"/>
        <v>0</v>
      </c>
      <c r="CS64" s="773">
        <f>+CN64</f>
        <v>5428.8300000000008</v>
      </c>
      <c r="CT64" s="773">
        <v>0</v>
      </c>
      <c r="CU64" s="773">
        <f t="shared" si="59"/>
        <v>5428.8300000000008</v>
      </c>
      <c r="CV64" s="773">
        <v>0</v>
      </c>
      <c r="CW64" s="773">
        <v>0</v>
      </c>
      <c r="CY64" s="773">
        <v>5429.880000000001</v>
      </c>
      <c r="CZ64" s="773">
        <v>0</v>
      </c>
      <c r="DA64" s="773">
        <v>0</v>
      </c>
      <c r="DB64" s="773">
        <v>0</v>
      </c>
      <c r="DC64" s="773">
        <f t="shared" si="48"/>
        <v>0</v>
      </c>
      <c r="DD64" s="773">
        <f>+CY64</f>
        <v>5429.880000000001</v>
      </c>
      <c r="DE64" s="773">
        <v>0</v>
      </c>
      <c r="DF64" s="773">
        <f t="shared" si="60"/>
        <v>5429.880000000001</v>
      </c>
      <c r="DG64" s="773">
        <v>0</v>
      </c>
      <c r="DH64" s="773">
        <v>0</v>
      </c>
      <c r="DJ64" s="773">
        <v>5430.2600000000011</v>
      </c>
      <c r="DK64" s="773">
        <v>0</v>
      </c>
      <c r="DL64" s="773">
        <v>0</v>
      </c>
      <c r="DM64" s="773">
        <v>0</v>
      </c>
      <c r="DN64" s="773">
        <f t="shared" si="49"/>
        <v>0</v>
      </c>
      <c r="DO64" s="773">
        <f>+DJ64</f>
        <v>5430.2600000000011</v>
      </c>
      <c r="DP64" s="773">
        <v>0</v>
      </c>
      <c r="DQ64" s="773">
        <f t="shared" si="61"/>
        <v>5430.2600000000011</v>
      </c>
      <c r="DR64" s="773">
        <v>0</v>
      </c>
      <c r="DS64" s="773">
        <v>0</v>
      </c>
      <c r="DU64" s="773">
        <v>5430.4400000000014</v>
      </c>
      <c r="DV64" s="773">
        <v>0</v>
      </c>
      <c r="DW64" s="773">
        <v>0</v>
      </c>
      <c r="DX64" s="773">
        <v>0</v>
      </c>
      <c r="DY64" s="773">
        <f t="shared" si="50"/>
        <v>0</v>
      </c>
      <c r="DZ64" s="773">
        <f>+DU64</f>
        <v>5430.4400000000014</v>
      </c>
      <c r="EA64" s="773">
        <v>0</v>
      </c>
      <c r="EB64" s="773">
        <f t="shared" si="62"/>
        <v>5430.4400000000014</v>
      </c>
      <c r="EC64" s="773">
        <v>0</v>
      </c>
      <c r="ED64" s="773">
        <v>0</v>
      </c>
      <c r="EE64" s="772">
        <f>+'II-E-3.5'!I79-DU64</f>
        <v>0</v>
      </c>
      <c r="EF64" s="772">
        <f t="shared" si="38"/>
        <v>0</v>
      </c>
    </row>
    <row r="65" spans="1:136" s="406" customFormat="1">
      <c r="A65" s="409">
        <f t="shared" si="0"/>
        <v>53</v>
      </c>
      <c r="B65" s="366" t="s">
        <v>844</v>
      </c>
      <c r="C65" s="775" t="s">
        <v>386</v>
      </c>
      <c r="D65" s="773">
        <v>13107178.17</v>
      </c>
      <c r="E65" s="773">
        <f>ROUND(+D65*'[5]II-F Alloc_Factor'!$E$27,2)</f>
        <v>2736286.84</v>
      </c>
      <c r="F65" s="773">
        <f>ROUND(+D65*'[5]II-F Alloc_Factor'!$F$27,2)</f>
        <v>0</v>
      </c>
      <c r="G65" s="773">
        <f>ROUND(+D65*'[5]II-F Alloc_Factor'!$G$27,2)</f>
        <v>0</v>
      </c>
      <c r="H65" s="773">
        <f t="shared" si="39"/>
        <v>2736286.84</v>
      </c>
      <c r="I65" s="773">
        <f>ROUND(+D65*'[5]II-F Alloc_Factor'!$I$27,2)</f>
        <v>7000060.1100000003</v>
      </c>
      <c r="J65" s="773">
        <f>ROUND(+D65*'[5]II-F Alloc_Factor'!$J$27,2)</f>
        <v>0</v>
      </c>
      <c r="K65" s="773">
        <f t="shared" si="51"/>
        <v>7000060.1100000003</v>
      </c>
      <c r="L65" s="773">
        <f>ROUND(+D65*'[5]II-F Alloc_Factor'!$L$27,2)</f>
        <v>2507879.54</v>
      </c>
      <c r="M65" s="773">
        <f>ROUND(+D65*'[5]II-F Alloc_Factor'!$M$27,2)</f>
        <v>862951.68</v>
      </c>
      <c r="N65" s="774"/>
      <c r="O65" s="773">
        <v>13043329.609999999</v>
      </c>
      <c r="P65" s="773">
        <f>ROUND(+O65*'[5]II-F Alloc_Factor'!$E$27,2)</f>
        <v>2722957.66</v>
      </c>
      <c r="Q65" s="773">
        <f>ROUND(+O65*'[5]II-F Alloc_Factor'!$F$27,2)</f>
        <v>0</v>
      </c>
      <c r="R65" s="773">
        <f>ROUND(+O65*'[5]II-F Alloc_Factor'!$G$27,2)</f>
        <v>0</v>
      </c>
      <c r="S65" s="773">
        <f t="shared" si="40"/>
        <v>2722957.66</v>
      </c>
      <c r="T65" s="773">
        <f>ROUND(+O65*'[5]II-F Alloc_Factor'!$I$27,2)</f>
        <v>6965960.9500000002</v>
      </c>
      <c r="U65" s="773">
        <f>ROUND(+O65*'[5]II-F Alloc_Factor'!$J$27,2)</f>
        <v>0</v>
      </c>
      <c r="V65" s="773">
        <f t="shared" si="52"/>
        <v>6965960.9500000002</v>
      </c>
      <c r="W65" s="773">
        <f>ROUND(+O65*'[5]II-F Alloc_Factor'!$L$27,2)</f>
        <v>2495662.9900000002</v>
      </c>
      <c r="X65" s="773">
        <f>ROUND(+O65*'[5]II-F Alloc_Factor'!$M$27,2)</f>
        <v>858748.01</v>
      </c>
      <c r="Y65" s="609"/>
      <c r="Z65" s="773">
        <v>12983233.709999999</v>
      </c>
      <c r="AA65" s="773">
        <f>ROUND(+Z65*'[5]II-F Alloc_Factor'!$E$27,2)</f>
        <v>2710411.89</v>
      </c>
      <c r="AB65" s="773">
        <f>ROUND(+Z65*'[5]II-F Alloc_Factor'!$F$27,2)</f>
        <v>0</v>
      </c>
      <c r="AC65" s="773">
        <f>ROUND(+Z65*'[5]II-F Alloc_Factor'!$G$27,2)</f>
        <v>0</v>
      </c>
      <c r="AD65" s="773">
        <f t="shared" si="41"/>
        <v>2710411.89</v>
      </c>
      <c r="AE65" s="773">
        <f>ROUND(+Z65*'[5]II-F Alloc_Factor'!$I$27,2)</f>
        <v>6933865.9400000004</v>
      </c>
      <c r="AF65" s="773">
        <f>ROUND(+Z65*'[5]II-F Alloc_Factor'!$J$27,2)</f>
        <v>0</v>
      </c>
      <c r="AG65" s="773">
        <f t="shared" si="53"/>
        <v>6933865.9400000004</v>
      </c>
      <c r="AH65" s="773">
        <f>ROUND(+Z65*'[5]II-F Alloc_Factor'!$L$27,2)</f>
        <v>2484164.46</v>
      </c>
      <c r="AI65" s="773">
        <f>ROUND(+Z65*'[5]II-F Alloc_Factor'!$M$27,2)</f>
        <v>854791.41</v>
      </c>
      <c r="AK65" s="773">
        <v>12925571.739999998</v>
      </c>
      <c r="AL65" s="773">
        <f>ROUND(+AK65*'[5]II-F Alloc_Factor'!$E$27,2)</f>
        <v>2698374.24</v>
      </c>
      <c r="AM65" s="773">
        <f>ROUND(+AK65*'[5]II-F Alloc_Factor'!$F$27,2)</f>
        <v>0</v>
      </c>
      <c r="AN65" s="773">
        <f>ROUND(+AK65*'[5]II-F Alloc_Factor'!$G$27,2)</f>
        <v>0</v>
      </c>
      <c r="AO65" s="773">
        <f t="shared" si="42"/>
        <v>2698374.24</v>
      </c>
      <c r="AP65" s="773">
        <f>ROUND(+AK65*'[5]II-F Alloc_Factor'!$I$27,2)</f>
        <v>6903070.8099999996</v>
      </c>
      <c r="AQ65" s="773">
        <f>ROUND(+AK65*'[5]II-F Alloc_Factor'!$J$27,2)</f>
        <v>0</v>
      </c>
      <c r="AR65" s="773">
        <f t="shared" si="54"/>
        <v>6903070.8099999996</v>
      </c>
      <c r="AS65" s="773">
        <f>ROUND(+AK65*'[5]II-F Alloc_Factor'!$L$27,2)</f>
        <v>2473131.63</v>
      </c>
      <c r="AT65" s="773">
        <f>ROUND(+AK65*'[5]II-F Alloc_Factor'!$M$27,2)</f>
        <v>850995.06</v>
      </c>
      <c r="AU65" s="779"/>
      <c r="AV65" s="773">
        <v>12874811.719999999</v>
      </c>
      <c r="AW65" s="773">
        <f>ROUND(+AV65*'[5]II-F Alloc_Factor'!$E$27,2)</f>
        <v>2687777.45</v>
      </c>
      <c r="AX65" s="773">
        <f>ROUND(+AV65*'[5]II-F Alloc_Factor'!$F$27,2)</f>
        <v>0</v>
      </c>
      <c r="AY65" s="773">
        <f>ROUND(+AV65*'[5]II-F Alloc_Factor'!$G$27,2)</f>
        <v>0</v>
      </c>
      <c r="AZ65" s="773">
        <f t="shared" si="43"/>
        <v>2687777.45</v>
      </c>
      <c r="BA65" s="773">
        <f>ROUND(+AV65*'[5]II-F Alloc_Factor'!$I$27,2)</f>
        <v>6875961.7599999998</v>
      </c>
      <c r="BB65" s="773">
        <f>ROUND(+AV65*'[5]II-F Alloc_Factor'!$J$27,2)</f>
        <v>0</v>
      </c>
      <c r="BC65" s="773">
        <f t="shared" si="55"/>
        <v>6875961.7599999998</v>
      </c>
      <c r="BD65" s="773">
        <f>ROUND(+AV65*'[5]II-F Alloc_Factor'!$L$27,2)</f>
        <v>2463419.39</v>
      </c>
      <c r="BE65" s="773">
        <f>ROUND(+AV65*'[5]II-F Alloc_Factor'!$M$27,2)</f>
        <v>847653.11</v>
      </c>
      <c r="BF65" s="779"/>
      <c r="BG65" s="773">
        <v>12827355.979999999</v>
      </c>
      <c r="BH65" s="773">
        <f>ROUND(+BG65*'[5]II-F Alloc_Factor'!$E$27,2)</f>
        <v>2677870.4700000002</v>
      </c>
      <c r="BI65" s="773">
        <f>ROUND(+BG65*'[5]II-F Alloc_Factor'!$F$27,2)</f>
        <v>0</v>
      </c>
      <c r="BJ65" s="773">
        <f>ROUND(+BG65*'[5]II-F Alloc_Factor'!$G$27,2)</f>
        <v>0</v>
      </c>
      <c r="BK65" s="773">
        <f t="shared" si="44"/>
        <v>2677870.4700000002</v>
      </c>
      <c r="BL65" s="773">
        <f>ROUND(+BG65*'[5]II-F Alloc_Factor'!$I$27,2)</f>
        <v>6850617.4000000004</v>
      </c>
      <c r="BM65" s="773">
        <f>ROUND(+BG65*'[5]II-F Alloc_Factor'!$J$27,2)</f>
        <v>0</v>
      </c>
      <c r="BN65" s="773">
        <f t="shared" si="56"/>
        <v>6850617.4000000004</v>
      </c>
      <c r="BO65" s="773">
        <f>ROUND(+BG65*'[5]II-F Alloc_Factor'!$L$27,2)</f>
        <v>2454339.39</v>
      </c>
      <c r="BP65" s="773">
        <f>ROUND(+BG65*'[5]II-F Alloc_Factor'!$M$27,2)</f>
        <v>844528.72</v>
      </c>
      <c r="BQ65" s="779"/>
      <c r="BR65" s="773">
        <v>12752001.989999998</v>
      </c>
      <c r="BS65" s="773">
        <f>ROUND(+BR65*'[5]II-F Alloc_Factor'!$E$27,2)</f>
        <v>2662139.39</v>
      </c>
      <c r="BT65" s="773">
        <f>ROUND(+BR65*'[5]II-F Alloc_Factor'!$F$27,2)</f>
        <v>0</v>
      </c>
      <c r="BU65" s="773">
        <f>ROUND(+BR65*'[5]II-F Alloc_Factor'!$G$27,2)</f>
        <v>0</v>
      </c>
      <c r="BV65" s="773">
        <f t="shared" si="45"/>
        <v>2662139.39</v>
      </c>
      <c r="BW65" s="773">
        <f>ROUND(+BR65*'[5]II-F Alloc_Factor'!$I$27,2)</f>
        <v>6810373.6200000001</v>
      </c>
      <c r="BX65" s="773">
        <f>ROUND(+BR65*'[5]II-F Alloc_Factor'!$J$27,2)</f>
        <v>0</v>
      </c>
      <c r="BY65" s="773">
        <f t="shared" si="57"/>
        <v>6810373.6200000001</v>
      </c>
      <c r="BZ65" s="773">
        <f>ROUND(+BR65*'[5]II-F Alloc_Factor'!$L$27,2)</f>
        <v>2439921.4300000002</v>
      </c>
      <c r="CA65" s="773">
        <f>ROUND(+BR65*'[5]II-F Alloc_Factor'!$M$27,2)</f>
        <v>839567.56</v>
      </c>
      <c r="CC65" s="773">
        <v>12688406.819999998</v>
      </c>
      <c r="CD65" s="773">
        <f>ROUND(+CC65*'[5]II-F Alloc_Factor'!$E$27,2)</f>
        <v>2648863.1</v>
      </c>
      <c r="CE65" s="773">
        <f>ROUND(+CC65*'[5]II-F Alloc_Factor'!$F$27,2)</f>
        <v>0</v>
      </c>
      <c r="CF65" s="773">
        <f>ROUND(+CC65*'[5]II-F Alloc_Factor'!$G$27,2)</f>
        <v>0</v>
      </c>
      <c r="CG65" s="773">
        <f t="shared" si="46"/>
        <v>2648863.1</v>
      </c>
      <c r="CH65" s="773">
        <f>ROUND(+CC65*'[5]II-F Alloc_Factor'!$I$27,2)</f>
        <v>6776409.7800000003</v>
      </c>
      <c r="CI65" s="773">
        <f>ROUND(+CC65*'[5]II-F Alloc_Factor'!$J$27,2)</f>
        <v>0</v>
      </c>
      <c r="CJ65" s="773">
        <f t="shared" si="58"/>
        <v>6776409.7800000003</v>
      </c>
      <c r="CK65" s="773">
        <f>ROUND(+CC65*'[5]II-F Alloc_Factor'!$L$27,2)</f>
        <v>2427753.36</v>
      </c>
      <c r="CL65" s="773">
        <f>ROUND(+CC65*'[5]II-F Alloc_Factor'!$M$27,2)</f>
        <v>835380.57</v>
      </c>
      <c r="CN65" s="773">
        <v>12626130.589999998</v>
      </c>
      <c r="CO65" s="773">
        <f>ROUND(+CN65*'[5]II-F Alloc_Factor'!$E$27,2)</f>
        <v>2635862.16</v>
      </c>
      <c r="CP65" s="773">
        <f>ROUND(+CN65*'[5]II-F Alloc_Factor'!$F$27,2)</f>
        <v>0</v>
      </c>
      <c r="CQ65" s="773">
        <f>ROUND(+CN65*'[5]II-F Alloc_Factor'!$G$27,2)</f>
        <v>0</v>
      </c>
      <c r="CR65" s="773">
        <f t="shared" si="47"/>
        <v>2635862.16</v>
      </c>
      <c r="CS65" s="773">
        <f>ROUND(+CN65*'[5]II-F Alloc_Factor'!$I$27,2)</f>
        <v>6743150.3499999996</v>
      </c>
      <c r="CT65" s="773">
        <f>ROUND(+CN65*'[5]II-F Alloc_Factor'!$J$27,2)</f>
        <v>0</v>
      </c>
      <c r="CU65" s="773">
        <f t="shared" si="59"/>
        <v>6743150.3499999996</v>
      </c>
      <c r="CV65" s="773">
        <f>ROUND(+CN65*'[5]II-F Alloc_Factor'!$L$27,2)</f>
        <v>2415837.66</v>
      </c>
      <c r="CW65" s="773">
        <f>ROUND(+CN65*'[5]II-F Alloc_Factor'!$M$27,2)</f>
        <v>831280.42</v>
      </c>
      <c r="CY65" s="773">
        <v>12566534.639999999</v>
      </c>
      <c r="CZ65" s="773">
        <f>ROUND(+CY65*'[5]II-F Alloc_Factor'!$E$27,2)</f>
        <v>2623420.77</v>
      </c>
      <c r="DA65" s="773">
        <f>ROUND(+CY65*'[5]II-F Alloc_Factor'!$F$27,2)</f>
        <v>0</v>
      </c>
      <c r="DB65" s="773">
        <f>ROUND(+CY65*'[5]II-F Alloc_Factor'!$G$27,2)</f>
        <v>0</v>
      </c>
      <c r="DC65" s="773">
        <f t="shared" si="48"/>
        <v>2623420.77</v>
      </c>
      <c r="DD65" s="773">
        <f>ROUND(+CY65*'[5]II-F Alloc_Factor'!$I$27,2)</f>
        <v>6711322.3499999996</v>
      </c>
      <c r="DE65" s="773">
        <f>ROUND(+CY65*'[5]II-F Alloc_Factor'!$J$27,2)</f>
        <v>0</v>
      </c>
      <c r="DF65" s="773">
        <f t="shared" si="60"/>
        <v>6711322.3499999996</v>
      </c>
      <c r="DG65" s="773">
        <f>ROUND(+CY65*'[5]II-F Alloc_Factor'!$L$27,2)</f>
        <v>2404434.79</v>
      </c>
      <c r="DH65" s="773">
        <f>ROUND(+CY65*'[5]II-F Alloc_Factor'!$M$27,2)</f>
        <v>827356.74</v>
      </c>
      <c r="DJ65" s="773">
        <v>12509275.6</v>
      </c>
      <c r="DK65" s="773">
        <f>ROUND(+DJ65*'[5]II-F Alloc_Factor'!$E$27,2)</f>
        <v>2611467.23</v>
      </c>
      <c r="DL65" s="773">
        <f>ROUND(+DJ65*'[5]II-F Alloc_Factor'!$F$27,2)</f>
        <v>0</v>
      </c>
      <c r="DM65" s="773">
        <f>ROUND(+DJ65*'[5]II-F Alloc_Factor'!$G$27,2)</f>
        <v>0</v>
      </c>
      <c r="DN65" s="773">
        <f t="shared" si="49"/>
        <v>2611467.23</v>
      </c>
      <c r="DO65" s="773">
        <f>ROUND(+DJ65*'[5]II-F Alloc_Factor'!$I$27,2)</f>
        <v>6680742.4100000001</v>
      </c>
      <c r="DP65" s="773">
        <f>ROUND(+DJ65*'[5]II-F Alloc_Factor'!$J$27,2)</f>
        <v>0</v>
      </c>
      <c r="DQ65" s="773">
        <f t="shared" si="61"/>
        <v>6680742.4100000001</v>
      </c>
      <c r="DR65" s="773">
        <f>ROUND(+DJ65*'[5]II-F Alloc_Factor'!$L$27,2)</f>
        <v>2393479.0499999998</v>
      </c>
      <c r="DS65" s="773">
        <f>ROUND(+DJ65*'[5]II-F Alloc_Factor'!$M$27,2)</f>
        <v>823586.91</v>
      </c>
      <c r="DU65" s="773">
        <v>12436032.99</v>
      </c>
      <c r="DV65" s="773">
        <f>ROUND(+DU65*'[5]II-F Alloc_Factor'!$E$27,2)</f>
        <v>2596176.92</v>
      </c>
      <c r="DW65" s="773">
        <f>ROUND(+DU65*'[5]II-F Alloc_Factor'!$F$27,2)</f>
        <v>0</v>
      </c>
      <c r="DX65" s="773">
        <f>ROUND(+DU65*'[5]II-F Alloc_Factor'!$G$27,2)</f>
        <v>0</v>
      </c>
      <c r="DY65" s="773">
        <f t="shared" si="50"/>
        <v>2596176.92</v>
      </c>
      <c r="DZ65" s="773">
        <f>ROUND(+DU65*'[5]II-F Alloc_Factor'!$I$27,2)</f>
        <v>6641626.2400000002</v>
      </c>
      <c r="EA65" s="773">
        <f>ROUND(+DU65*'[5]II-F Alloc_Factor'!$J$27,2)</f>
        <v>0</v>
      </c>
      <c r="EB65" s="773">
        <f t="shared" si="62"/>
        <v>6641626.2400000002</v>
      </c>
      <c r="EC65" s="773">
        <f>ROUND(+DU65*'[5]II-F Alloc_Factor'!$L$27,2)</f>
        <v>2379465.08</v>
      </c>
      <c r="ED65" s="773">
        <f>ROUND(+DU65*'[5]II-F Alloc_Factor'!$M$27,2)</f>
        <v>818764.76</v>
      </c>
      <c r="EE65" s="772">
        <f>+'II-E-3.5'!I80-DU65</f>
        <v>0</v>
      </c>
      <c r="EF65" s="772">
        <f t="shared" si="38"/>
        <v>9.9999997764825821E-3</v>
      </c>
    </row>
    <row r="66" spans="1:136" s="406" customFormat="1">
      <c r="A66" s="409">
        <f t="shared" si="0"/>
        <v>54</v>
      </c>
      <c r="B66" s="366" t="s">
        <v>845</v>
      </c>
      <c r="C66" s="775" t="s">
        <v>387</v>
      </c>
      <c r="D66" s="773">
        <v>3481525.5</v>
      </c>
      <c r="E66" s="773">
        <v>39832.86</v>
      </c>
      <c r="F66" s="773">
        <v>0</v>
      </c>
      <c r="G66" s="773">
        <v>0</v>
      </c>
      <c r="H66" s="773">
        <f t="shared" si="39"/>
        <v>39832.86</v>
      </c>
      <c r="I66" s="773">
        <v>3441692.64</v>
      </c>
      <c r="J66" s="773">
        <v>0</v>
      </c>
      <c r="K66" s="773">
        <f t="shared" si="51"/>
        <v>3441692.64</v>
      </c>
      <c r="L66" s="773">
        <v>0</v>
      </c>
      <c r="M66" s="773">
        <v>0</v>
      </c>
      <c r="N66" s="774"/>
      <c r="O66" s="773">
        <v>3434146.2</v>
      </c>
      <c r="P66" s="773">
        <v>39290.78</v>
      </c>
      <c r="Q66" s="773">
        <v>0</v>
      </c>
      <c r="R66" s="773">
        <v>0</v>
      </c>
      <c r="S66" s="773">
        <f t="shared" si="40"/>
        <v>39290.78</v>
      </c>
      <c r="T66" s="773">
        <v>3394855.42</v>
      </c>
      <c r="U66" s="773">
        <v>0</v>
      </c>
      <c r="V66" s="773">
        <f t="shared" si="52"/>
        <v>3394855.42</v>
      </c>
      <c r="W66" s="773">
        <v>0</v>
      </c>
      <c r="X66" s="773">
        <v>0</v>
      </c>
      <c r="Y66" s="609"/>
      <c r="Z66" s="773">
        <v>3386766.89</v>
      </c>
      <c r="AA66" s="773">
        <v>38748.71</v>
      </c>
      <c r="AB66" s="773">
        <v>0</v>
      </c>
      <c r="AC66" s="773">
        <v>0</v>
      </c>
      <c r="AD66" s="773">
        <f t="shared" si="41"/>
        <v>38748.71</v>
      </c>
      <c r="AE66" s="773">
        <v>3348018.18</v>
      </c>
      <c r="AF66" s="773">
        <v>0</v>
      </c>
      <c r="AG66" s="773">
        <f t="shared" si="53"/>
        <v>3348018.18</v>
      </c>
      <c r="AH66" s="773">
        <v>0</v>
      </c>
      <c r="AI66" s="773">
        <v>0</v>
      </c>
      <c r="AK66" s="773">
        <v>3339387.6</v>
      </c>
      <c r="AL66" s="773">
        <v>38206.629999999997</v>
      </c>
      <c r="AM66" s="773">
        <v>0</v>
      </c>
      <c r="AN66" s="773">
        <v>0</v>
      </c>
      <c r="AO66" s="773">
        <f t="shared" si="42"/>
        <v>38206.629999999997</v>
      </c>
      <c r="AP66" s="773">
        <v>3301180.97</v>
      </c>
      <c r="AQ66" s="773">
        <v>0</v>
      </c>
      <c r="AR66" s="773">
        <f t="shared" si="54"/>
        <v>3301180.97</v>
      </c>
      <c r="AS66" s="773">
        <v>0</v>
      </c>
      <c r="AT66" s="773">
        <v>0</v>
      </c>
      <c r="AU66" s="779"/>
      <c r="AV66" s="773">
        <v>3292008.3000000003</v>
      </c>
      <c r="AW66" s="773">
        <v>37664.550000000003</v>
      </c>
      <c r="AX66" s="773">
        <v>0</v>
      </c>
      <c r="AY66" s="773">
        <v>0</v>
      </c>
      <c r="AZ66" s="773">
        <f t="shared" si="43"/>
        <v>37664.550000000003</v>
      </c>
      <c r="BA66" s="773">
        <v>3254343.75</v>
      </c>
      <c r="BB66" s="773">
        <v>0</v>
      </c>
      <c r="BC66" s="773">
        <f t="shared" si="55"/>
        <v>3254343.75</v>
      </c>
      <c r="BD66" s="773">
        <v>0</v>
      </c>
      <c r="BE66" s="773">
        <v>0</v>
      </c>
      <c r="BF66" s="779"/>
      <c r="BG66" s="773">
        <v>3244629.0000000005</v>
      </c>
      <c r="BH66" s="773">
        <v>37122.480000000003</v>
      </c>
      <c r="BI66" s="773">
        <v>0</v>
      </c>
      <c r="BJ66" s="773">
        <v>0</v>
      </c>
      <c r="BK66" s="773">
        <f t="shared" si="44"/>
        <v>37122.480000000003</v>
      </c>
      <c r="BL66" s="773">
        <v>3207506.52</v>
      </c>
      <c r="BM66" s="773">
        <v>0</v>
      </c>
      <c r="BN66" s="773">
        <f t="shared" si="56"/>
        <v>3207506.52</v>
      </c>
      <c r="BO66" s="773">
        <v>0</v>
      </c>
      <c r="BP66" s="773">
        <v>0</v>
      </c>
      <c r="BQ66" s="779"/>
      <c r="BR66" s="773">
        <v>3197249.7000000007</v>
      </c>
      <c r="BS66" s="773">
        <v>36580.400000000001</v>
      </c>
      <c r="BT66" s="773">
        <v>0</v>
      </c>
      <c r="BU66" s="773">
        <v>0</v>
      </c>
      <c r="BV66" s="773">
        <f t="shared" si="45"/>
        <v>36580.400000000001</v>
      </c>
      <c r="BW66" s="773">
        <v>3160669.3</v>
      </c>
      <c r="BX66" s="773">
        <v>0</v>
      </c>
      <c r="BY66" s="773">
        <f t="shared" si="57"/>
        <v>3160669.3</v>
      </c>
      <c r="BZ66" s="773">
        <v>0</v>
      </c>
      <c r="CA66" s="773">
        <v>0</v>
      </c>
      <c r="CC66" s="773">
        <v>3149870.4000000008</v>
      </c>
      <c r="CD66" s="773">
        <v>36038.32</v>
      </c>
      <c r="CE66" s="773">
        <v>0</v>
      </c>
      <c r="CF66" s="773">
        <v>0</v>
      </c>
      <c r="CG66" s="773">
        <f t="shared" si="46"/>
        <v>36038.32</v>
      </c>
      <c r="CH66" s="773">
        <v>3113832.08</v>
      </c>
      <c r="CI66" s="773">
        <v>0</v>
      </c>
      <c r="CJ66" s="773">
        <f t="shared" si="58"/>
        <v>3113832.08</v>
      </c>
      <c r="CK66" s="773">
        <v>0</v>
      </c>
      <c r="CL66" s="773">
        <v>0</v>
      </c>
      <c r="CN66" s="773">
        <v>3102491.100000001</v>
      </c>
      <c r="CO66" s="773">
        <v>35496.25</v>
      </c>
      <c r="CP66" s="773">
        <v>0</v>
      </c>
      <c r="CQ66" s="773">
        <v>0</v>
      </c>
      <c r="CR66" s="773">
        <f t="shared" si="47"/>
        <v>35496.25</v>
      </c>
      <c r="CS66" s="773">
        <v>3066994.85</v>
      </c>
      <c r="CT66" s="773">
        <v>0</v>
      </c>
      <c r="CU66" s="773">
        <f t="shared" si="59"/>
        <v>3066994.85</v>
      </c>
      <c r="CV66" s="773">
        <v>0</v>
      </c>
      <c r="CW66" s="773">
        <v>0</v>
      </c>
      <c r="CY66" s="773">
        <v>3055111.8000000012</v>
      </c>
      <c r="CZ66" s="773">
        <v>34954.17</v>
      </c>
      <c r="DA66" s="773">
        <v>0</v>
      </c>
      <c r="DB66" s="773">
        <v>0</v>
      </c>
      <c r="DC66" s="773">
        <f t="shared" si="48"/>
        <v>34954.17</v>
      </c>
      <c r="DD66" s="773">
        <v>3020157.63</v>
      </c>
      <c r="DE66" s="773">
        <v>0</v>
      </c>
      <c r="DF66" s="773">
        <f t="shared" si="60"/>
        <v>3020157.63</v>
      </c>
      <c r="DG66" s="773">
        <v>0</v>
      </c>
      <c r="DH66" s="773">
        <v>0</v>
      </c>
      <c r="DJ66" s="773">
        <v>3007732.5000000014</v>
      </c>
      <c r="DK66" s="773">
        <v>34412.089999999997</v>
      </c>
      <c r="DL66" s="773">
        <v>0</v>
      </c>
      <c r="DM66" s="773">
        <v>0</v>
      </c>
      <c r="DN66" s="773">
        <f t="shared" si="49"/>
        <v>34412.089999999997</v>
      </c>
      <c r="DO66" s="773">
        <v>2973320.41</v>
      </c>
      <c r="DP66" s="773">
        <v>0</v>
      </c>
      <c r="DQ66" s="773">
        <f t="shared" si="61"/>
        <v>2973320.41</v>
      </c>
      <c r="DR66" s="773">
        <v>0</v>
      </c>
      <c r="DS66" s="773">
        <v>0</v>
      </c>
      <c r="DU66" s="773">
        <v>2960353.2000000016</v>
      </c>
      <c r="DV66" s="773">
        <v>33870.019999999997</v>
      </c>
      <c r="DW66" s="773">
        <v>0</v>
      </c>
      <c r="DX66" s="773">
        <v>0</v>
      </c>
      <c r="DY66" s="773">
        <f t="shared" si="50"/>
        <v>33870.019999999997</v>
      </c>
      <c r="DZ66" s="773">
        <v>2926483.18</v>
      </c>
      <c r="EA66" s="773">
        <v>0</v>
      </c>
      <c r="EB66" s="773">
        <f t="shared" si="62"/>
        <v>2926483.18</v>
      </c>
      <c r="EC66" s="773">
        <v>0</v>
      </c>
      <c r="ED66" s="773">
        <v>0</v>
      </c>
      <c r="EE66" s="772">
        <f>+'II-E-3.5'!I81-DU66</f>
        <v>0</v>
      </c>
      <c r="EF66" s="772">
        <f t="shared" si="38"/>
        <v>0</v>
      </c>
    </row>
    <row r="67" spans="1:136" s="406" customFormat="1">
      <c r="A67" s="409">
        <f t="shared" si="0"/>
        <v>55</v>
      </c>
      <c r="B67" s="366" t="s">
        <v>423</v>
      </c>
      <c r="C67" s="775" t="s">
        <v>443</v>
      </c>
      <c r="D67" s="773">
        <v>3031833</v>
      </c>
      <c r="E67" s="773">
        <f>ROUND(+D67*'[5]II-F Alloc_Factor'!$E$26,2)</f>
        <v>1019835.3</v>
      </c>
      <c r="F67" s="773">
        <f>ROUND(+D67*'[5]II-F Alloc_Factor'!$F$26,2)</f>
        <v>0</v>
      </c>
      <c r="G67" s="773">
        <f>ROUND(+D67*'[5]II-F Alloc_Factor'!$G$26,2)</f>
        <v>0</v>
      </c>
      <c r="H67" s="773">
        <f t="shared" si="39"/>
        <v>1019835.3</v>
      </c>
      <c r="I67" s="773">
        <f>ROUND(+D67*'[5]II-F Alloc_Factor'!$I$26,2)</f>
        <v>2011997.7</v>
      </c>
      <c r="J67" s="773">
        <f>ROUND(+D67*'[5]II-F Alloc_Factor'!$J$26,2)</f>
        <v>0</v>
      </c>
      <c r="K67" s="773">
        <f t="shared" si="51"/>
        <v>2011997.7</v>
      </c>
      <c r="L67" s="773">
        <f>ROUND(+D67*'[5]II-F Alloc_Factor'!$L$26,2)</f>
        <v>0</v>
      </c>
      <c r="M67" s="773">
        <f>ROUND(+D67*'[5]II-F Alloc_Factor'!$M$26,2)</f>
        <v>0</v>
      </c>
      <c r="N67" s="773"/>
      <c r="O67" s="773">
        <v>3031833</v>
      </c>
      <c r="P67" s="773">
        <f>ROUND(+O67*'[5]II-F Alloc_Factor'!$E$26,2)</f>
        <v>1019835.3</v>
      </c>
      <c r="Q67" s="773">
        <f>ROUND(+O67*'[5]II-F Alloc_Factor'!$F$26,2)</f>
        <v>0</v>
      </c>
      <c r="R67" s="773">
        <f>ROUND(+O67*'[5]II-F Alloc_Factor'!$G$26,2)</f>
        <v>0</v>
      </c>
      <c r="S67" s="773">
        <f t="shared" si="40"/>
        <v>1019835.3</v>
      </c>
      <c r="T67" s="773">
        <f>ROUND(+O67*'[5]II-F Alloc_Factor'!$I$26,2)</f>
        <v>2011997.7</v>
      </c>
      <c r="U67" s="773">
        <f>ROUND(+O67*'[5]II-F Alloc_Factor'!$J$26,2)</f>
        <v>0</v>
      </c>
      <c r="V67" s="773">
        <f t="shared" si="52"/>
        <v>2011997.7</v>
      </c>
      <c r="W67" s="773">
        <f>ROUND(+O67*'[5]II-F Alloc_Factor'!$L$26,2)</f>
        <v>0</v>
      </c>
      <c r="X67" s="773">
        <f>ROUND(+O67*'[5]II-F Alloc_Factor'!$M$26,2)</f>
        <v>0</v>
      </c>
      <c r="Y67" s="609"/>
      <c r="Z67" s="773">
        <v>2939916.01</v>
      </c>
      <c r="AA67" s="773">
        <f>ROUND(+Z67*'[5]II-F Alloc_Factor'!$E$26,2)</f>
        <v>988916.65</v>
      </c>
      <c r="AB67" s="773">
        <f>ROUND(+Z67*'[5]II-F Alloc_Factor'!$F$26,2)</f>
        <v>0</v>
      </c>
      <c r="AC67" s="773">
        <f>ROUND(+Z67*'[5]II-F Alloc_Factor'!$G$26,2)</f>
        <v>0</v>
      </c>
      <c r="AD67" s="773">
        <f t="shared" si="41"/>
        <v>988916.65</v>
      </c>
      <c r="AE67" s="773">
        <f>ROUND(+Z67*'[5]II-F Alloc_Factor'!$I$26,2)</f>
        <v>1950999.36</v>
      </c>
      <c r="AF67" s="773">
        <f>ROUND(+Z67*'[5]II-F Alloc_Factor'!$J$26,2)</f>
        <v>0</v>
      </c>
      <c r="AG67" s="773">
        <f t="shared" si="53"/>
        <v>1950999.36</v>
      </c>
      <c r="AH67" s="773">
        <f>ROUND(+Z67*'[5]II-F Alloc_Factor'!$L$26,2)</f>
        <v>0</v>
      </c>
      <c r="AI67" s="773">
        <f>ROUND(+Z67*'[5]II-F Alloc_Factor'!$M$26,2)</f>
        <v>0</v>
      </c>
      <c r="AK67" s="773">
        <v>2939916.01</v>
      </c>
      <c r="AL67" s="773">
        <f>ROUND(+AK67*'[5]II-F Alloc_Factor'!$E$26,2)</f>
        <v>988916.65</v>
      </c>
      <c r="AM67" s="773">
        <f>ROUND(+AK67*'[5]II-F Alloc_Factor'!$F$26,2)</f>
        <v>0</v>
      </c>
      <c r="AN67" s="773">
        <f>ROUND(+AK67*'[5]II-F Alloc_Factor'!$G$26,2)</f>
        <v>0</v>
      </c>
      <c r="AO67" s="773">
        <f t="shared" si="42"/>
        <v>988916.65</v>
      </c>
      <c r="AP67" s="773">
        <f>ROUND(+AK67*'[5]II-F Alloc_Factor'!$I$26,2)</f>
        <v>1950999.36</v>
      </c>
      <c r="AQ67" s="773">
        <f>ROUND(+AK67*'[5]II-F Alloc_Factor'!$J$26,2)</f>
        <v>0</v>
      </c>
      <c r="AR67" s="773">
        <f t="shared" si="54"/>
        <v>1950999.36</v>
      </c>
      <c r="AS67" s="773">
        <f>ROUND(+AK67*'[5]II-F Alloc_Factor'!$L$26,2)</f>
        <v>0</v>
      </c>
      <c r="AT67" s="773">
        <f>ROUND(+AK67*'[5]II-F Alloc_Factor'!$M$26,2)</f>
        <v>0</v>
      </c>
      <c r="AU67" s="779"/>
      <c r="AV67" s="773">
        <v>2939916.01</v>
      </c>
      <c r="AW67" s="773">
        <f>ROUND(+AV67*'[5]II-F Alloc_Factor'!$E$26,2)</f>
        <v>988916.65</v>
      </c>
      <c r="AX67" s="773">
        <f>ROUND(+AV67*'[5]II-F Alloc_Factor'!$F$26,2)</f>
        <v>0</v>
      </c>
      <c r="AY67" s="773">
        <f>ROUND(+AV67*'[5]II-F Alloc_Factor'!$G$26,2)</f>
        <v>0</v>
      </c>
      <c r="AZ67" s="773">
        <f t="shared" si="43"/>
        <v>988916.65</v>
      </c>
      <c r="BA67" s="773">
        <f>ROUND(+AV67*'[5]II-F Alloc_Factor'!$I$26,2)</f>
        <v>1950999.36</v>
      </c>
      <c r="BB67" s="773">
        <f>ROUND(+AV67*'[5]II-F Alloc_Factor'!$J$26,2)</f>
        <v>0</v>
      </c>
      <c r="BC67" s="773">
        <f t="shared" si="55"/>
        <v>1950999.36</v>
      </c>
      <c r="BD67" s="773">
        <f>ROUND(+AV67*'[5]II-F Alloc_Factor'!$L$26,2)</f>
        <v>0</v>
      </c>
      <c r="BE67" s="773">
        <f>ROUND(+AV67*'[5]II-F Alloc_Factor'!$M$26,2)</f>
        <v>0</v>
      </c>
      <c r="BF67" s="779"/>
      <c r="BG67" s="773">
        <v>3223059</v>
      </c>
      <c r="BH67" s="773">
        <f>ROUND(+BG67*'[5]II-F Alloc_Factor'!$E$26,2)</f>
        <v>1084159.1000000001</v>
      </c>
      <c r="BI67" s="773">
        <f>ROUND(+BG67*'[5]II-F Alloc_Factor'!$F$26,2)</f>
        <v>0</v>
      </c>
      <c r="BJ67" s="773">
        <f>ROUND(+BG67*'[5]II-F Alloc_Factor'!$G$26,2)</f>
        <v>0</v>
      </c>
      <c r="BK67" s="773">
        <f t="shared" si="44"/>
        <v>1084159.1000000001</v>
      </c>
      <c r="BL67" s="773">
        <f>ROUND(+BG67*'[5]II-F Alloc_Factor'!$I$26,2)</f>
        <v>2138899.9</v>
      </c>
      <c r="BM67" s="773">
        <f>ROUND(+BG67*'[5]II-F Alloc_Factor'!$J$26,2)</f>
        <v>0</v>
      </c>
      <c r="BN67" s="773">
        <f t="shared" si="56"/>
        <v>2138899.9</v>
      </c>
      <c r="BO67" s="773">
        <f>ROUND(+BG67*'[5]II-F Alloc_Factor'!$L$26,2)</f>
        <v>0</v>
      </c>
      <c r="BP67" s="773">
        <f>ROUND(+BG67*'[5]II-F Alloc_Factor'!$M$26,2)</f>
        <v>0</v>
      </c>
      <c r="BQ67" s="779"/>
      <c r="BR67" s="773">
        <v>3223059</v>
      </c>
      <c r="BS67" s="773">
        <f>ROUND(+BR67*'[5]II-F Alloc_Factor'!$E$26,2)</f>
        <v>1084159.1000000001</v>
      </c>
      <c r="BT67" s="773">
        <f>ROUND(+BR67*'[5]II-F Alloc_Factor'!$F$26,2)</f>
        <v>0</v>
      </c>
      <c r="BU67" s="773">
        <f>ROUND(+BR67*'[5]II-F Alloc_Factor'!$G$26,2)</f>
        <v>0</v>
      </c>
      <c r="BV67" s="773">
        <f t="shared" si="45"/>
        <v>1084159.1000000001</v>
      </c>
      <c r="BW67" s="773">
        <f>ROUND(+BR67*'[5]II-F Alloc_Factor'!$I$26,2)</f>
        <v>2138899.9</v>
      </c>
      <c r="BX67" s="773">
        <f>ROUND(+BR67*'[5]II-F Alloc_Factor'!$J$26,2)</f>
        <v>0</v>
      </c>
      <c r="BY67" s="773">
        <f t="shared" si="57"/>
        <v>2138899.9</v>
      </c>
      <c r="BZ67" s="773">
        <f>ROUND(+BR67*'[5]II-F Alloc_Factor'!$L$26,2)</f>
        <v>0</v>
      </c>
      <c r="CA67" s="773">
        <f>ROUND(+BR67*'[5]II-F Alloc_Factor'!$M$26,2)</f>
        <v>0</v>
      </c>
      <c r="CC67" s="773">
        <v>3223059</v>
      </c>
      <c r="CD67" s="773">
        <f>ROUND(+CC67*'[5]II-F Alloc_Factor'!$E$26,2)</f>
        <v>1084159.1000000001</v>
      </c>
      <c r="CE67" s="773">
        <f>ROUND(+CC67*'[5]II-F Alloc_Factor'!$F$26,2)</f>
        <v>0</v>
      </c>
      <c r="CF67" s="773">
        <f>ROUND(+CC67*'[5]II-F Alloc_Factor'!$G$26,2)</f>
        <v>0</v>
      </c>
      <c r="CG67" s="773">
        <f t="shared" si="46"/>
        <v>1084159.1000000001</v>
      </c>
      <c r="CH67" s="773">
        <f>ROUND(+CC67*'[5]II-F Alloc_Factor'!$I$26,2)</f>
        <v>2138899.9</v>
      </c>
      <c r="CI67" s="773">
        <f>ROUND(+CC67*'[5]II-F Alloc_Factor'!$J$26,2)</f>
        <v>0</v>
      </c>
      <c r="CJ67" s="773">
        <f t="shared" si="58"/>
        <v>2138899.9</v>
      </c>
      <c r="CK67" s="773">
        <f>ROUND(+CC67*'[5]II-F Alloc_Factor'!$L$26,2)</f>
        <v>0</v>
      </c>
      <c r="CL67" s="773">
        <f>ROUND(+CC67*'[5]II-F Alloc_Factor'!$M$26,2)</f>
        <v>0</v>
      </c>
      <c r="CN67" s="773">
        <v>2317308</v>
      </c>
      <c r="CO67" s="773">
        <f>ROUND(+CN67*'[5]II-F Alloc_Factor'!$E$26,2)</f>
        <v>779486.37</v>
      </c>
      <c r="CP67" s="773">
        <f>ROUND(+CN67*'[5]II-F Alloc_Factor'!$F$26,2)</f>
        <v>0</v>
      </c>
      <c r="CQ67" s="773">
        <f>ROUND(+CN67*'[5]II-F Alloc_Factor'!$G$26,2)</f>
        <v>0</v>
      </c>
      <c r="CR67" s="773">
        <f t="shared" si="47"/>
        <v>779486.37</v>
      </c>
      <c r="CS67" s="773">
        <f>ROUND(+CN67*'[5]II-F Alloc_Factor'!$I$26,2)</f>
        <v>1537821.63</v>
      </c>
      <c r="CT67" s="773">
        <f>ROUND(+CN67*'[5]II-F Alloc_Factor'!$J$26,2)</f>
        <v>0</v>
      </c>
      <c r="CU67" s="773">
        <f t="shared" si="59"/>
        <v>1537821.63</v>
      </c>
      <c r="CV67" s="773">
        <f>ROUND(+CN67*'[5]II-F Alloc_Factor'!$L$26,2)</f>
        <v>0</v>
      </c>
      <c r="CW67" s="773">
        <f>ROUND(+CN67*'[5]II-F Alloc_Factor'!$M$26,2)</f>
        <v>0</v>
      </c>
      <c r="CY67" s="773">
        <v>1792308</v>
      </c>
      <c r="CZ67" s="773">
        <f>ROUND(+CY67*'[5]II-F Alloc_Factor'!$E$26,2)</f>
        <v>602889.06999999995</v>
      </c>
      <c r="DA67" s="773">
        <f>ROUND(+CY67*'[5]II-F Alloc_Factor'!$F$26,2)</f>
        <v>0</v>
      </c>
      <c r="DB67" s="773">
        <f>ROUND(+CY67*'[5]II-F Alloc_Factor'!$G$26,2)</f>
        <v>0</v>
      </c>
      <c r="DC67" s="773">
        <f t="shared" si="48"/>
        <v>602889.06999999995</v>
      </c>
      <c r="DD67" s="773">
        <f>ROUND(+CY67*'[5]II-F Alloc_Factor'!$I$26,2)</f>
        <v>1189418.93</v>
      </c>
      <c r="DE67" s="773">
        <f>ROUND(+CY67*'[5]II-F Alloc_Factor'!$J$26,2)</f>
        <v>0</v>
      </c>
      <c r="DF67" s="773">
        <f t="shared" si="60"/>
        <v>1189418.93</v>
      </c>
      <c r="DG67" s="773">
        <f>ROUND(+CY67*'[5]II-F Alloc_Factor'!$L$26,2)</f>
        <v>0</v>
      </c>
      <c r="DH67" s="773">
        <f>ROUND(+CY67*'[5]II-F Alloc_Factor'!$M$26,2)</f>
        <v>0</v>
      </c>
      <c r="DJ67" s="773">
        <v>2006508</v>
      </c>
      <c r="DK67" s="773">
        <f>ROUND(+DJ67*'[5]II-F Alloc_Factor'!$E$26,2)</f>
        <v>674940.77</v>
      </c>
      <c r="DL67" s="773">
        <f>ROUND(+DJ67*'[5]II-F Alloc_Factor'!$F$26,2)</f>
        <v>0</v>
      </c>
      <c r="DM67" s="773">
        <f>ROUND(+DJ67*'[5]II-F Alloc_Factor'!$G$26,2)</f>
        <v>0</v>
      </c>
      <c r="DN67" s="773">
        <f t="shared" si="49"/>
        <v>674940.77</v>
      </c>
      <c r="DO67" s="773">
        <f>ROUND(+DJ67*'[5]II-F Alloc_Factor'!$I$26,2)</f>
        <v>1331567.23</v>
      </c>
      <c r="DP67" s="773">
        <f>ROUND(+DJ67*'[5]II-F Alloc_Factor'!$J$26,2)</f>
        <v>0</v>
      </c>
      <c r="DQ67" s="773">
        <f t="shared" si="61"/>
        <v>1331567.23</v>
      </c>
      <c r="DR67" s="773">
        <f>ROUND(+DJ67*'[5]II-F Alloc_Factor'!$L$26,2)</f>
        <v>0</v>
      </c>
      <c r="DS67" s="773">
        <f>ROUND(+DJ67*'[5]II-F Alloc_Factor'!$M$26,2)</f>
        <v>0</v>
      </c>
      <c r="DU67" s="773">
        <v>2118060</v>
      </c>
      <c r="DV67" s="773">
        <f>ROUND(+DU67*'[5]II-F Alloc_Factor'!$E$26,2)</f>
        <v>712464.16</v>
      </c>
      <c r="DW67" s="773">
        <f>ROUND(+DU67*'[5]II-F Alloc_Factor'!$F$26,2)</f>
        <v>0</v>
      </c>
      <c r="DX67" s="773">
        <f>ROUND(+DU67*'[5]II-F Alloc_Factor'!$G$26,2)</f>
        <v>0</v>
      </c>
      <c r="DY67" s="773">
        <f t="shared" si="50"/>
        <v>712464.16</v>
      </c>
      <c r="DZ67" s="773">
        <f>ROUND(+DU67*'[5]II-F Alloc_Factor'!$I$26,2)</f>
        <v>1405595.84</v>
      </c>
      <c r="EA67" s="773">
        <f>ROUND(+DU67*'[5]II-F Alloc_Factor'!$J$26,2)</f>
        <v>0</v>
      </c>
      <c r="EB67" s="773">
        <f t="shared" si="62"/>
        <v>1405595.84</v>
      </c>
      <c r="EC67" s="773">
        <f>ROUND(+DU67*'[5]II-F Alloc_Factor'!$L$26,2)</f>
        <v>0</v>
      </c>
      <c r="ED67" s="773">
        <f>ROUND(+DU67*'[5]II-F Alloc_Factor'!$M$26,2)</f>
        <v>0</v>
      </c>
      <c r="EE67" s="772">
        <f>+'II-E-3.5'!I82-DU67</f>
        <v>0</v>
      </c>
      <c r="EF67" s="772">
        <f t="shared" si="38"/>
        <v>0</v>
      </c>
    </row>
    <row r="68" spans="1:136" s="406" customFormat="1">
      <c r="A68" s="409">
        <f t="shared" si="0"/>
        <v>56</v>
      </c>
      <c r="B68" s="366" t="s">
        <v>398</v>
      </c>
      <c r="C68" s="775" t="s">
        <v>386</v>
      </c>
      <c r="D68" s="773">
        <v>10859850</v>
      </c>
      <c r="E68" s="773">
        <f>ROUND(+D68*'[5]II-F Alloc_Factor'!$E$27,2)</f>
        <v>2267129.0699999998</v>
      </c>
      <c r="F68" s="773">
        <f>ROUND(+D68*'[5]II-F Alloc_Factor'!$F$27,2)</f>
        <v>0</v>
      </c>
      <c r="G68" s="773">
        <f>ROUND(+D68*'[5]II-F Alloc_Factor'!$G$27,2)</f>
        <v>0</v>
      </c>
      <c r="H68" s="773">
        <f t="shared" si="39"/>
        <v>2267129.0699999998</v>
      </c>
      <c r="I68" s="773">
        <f>ROUND(+D68*'[5]II-F Alloc_Factor'!$I$27,2)</f>
        <v>5799845.0700000003</v>
      </c>
      <c r="J68" s="773">
        <f>ROUND(+D68*'[5]II-F Alloc_Factor'!$J$27,2)</f>
        <v>0</v>
      </c>
      <c r="K68" s="773">
        <f t="shared" si="51"/>
        <v>5799845.0700000003</v>
      </c>
      <c r="L68" s="773">
        <f>ROUND(+D68*'[5]II-F Alloc_Factor'!$L$27,2)</f>
        <v>2077883.99</v>
      </c>
      <c r="M68" s="773">
        <f>ROUND(+D68*'[5]II-F Alloc_Factor'!$M$27,2)</f>
        <v>714991.87</v>
      </c>
      <c r="N68" s="774"/>
      <c r="O68" s="773">
        <v>11168498.93</v>
      </c>
      <c r="P68" s="773">
        <f>ROUND(+O68*'[5]II-F Alloc_Factor'!$E$27,2)</f>
        <v>2331563.38</v>
      </c>
      <c r="Q68" s="773">
        <f>ROUND(+O68*'[5]II-F Alloc_Factor'!$F$27,2)</f>
        <v>0</v>
      </c>
      <c r="R68" s="773">
        <f>ROUND(+O68*'[5]II-F Alloc_Factor'!$G$27,2)</f>
        <v>0</v>
      </c>
      <c r="S68" s="773">
        <f t="shared" si="40"/>
        <v>2331563.38</v>
      </c>
      <c r="T68" s="773">
        <f>ROUND(+O68*'[5]II-F Alloc_Factor'!$I$27,2)</f>
        <v>5964683.0800000001</v>
      </c>
      <c r="U68" s="773">
        <f>ROUND(+O68*'[5]II-F Alloc_Factor'!$J$27,2)</f>
        <v>0</v>
      </c>
      <c r="V68" s="773">
        <f t="shared" si="52"/>
        <v>5964683.0800000001</v>
      </c>
      <c r="W68" s="773">
        <f>ROUND(+O68*'[5]II-F Alloc_Factor'!$L$27,2)</f>
        <v>2136939.7400000002</v>
      </c>
      <c r="X68" s="773">
        <f>ROUND(+O68*'[5]II-F Alloc_Factor'!$M$27,2)</f>
        <v>735312.73</v>
      </c>
      <c r="Y68" s="609"/>
      <c r="Z68" s="773">
        <v>10738388.24</v>
      </c>
      <c r="AA68" s="773">
        <f>ROUND(+Z68*'[5]II-F Alloc_Factor'!$E$27,2)</f>
        <v>2241772.42</v>
      </c>
      <c r="AB68" s="773">
        <f>ROUND(+Z68*'[5]II-F Alloc_Factor'!$F$27,2)</f>
        <v>0</v>
      </c>
      <c r="AC68" s="773">
        <f>ROUND(+Z68*'[5]II-F Alloc_Factor'!$G$27,2)</f>
        <v>0</v>
      </c>
      <c r="AD68" s="773">
        <f t="shared" si="41"/>
        <v>2241772.42</v>
      </c>
      <c r="AE68" s="773">
        <f>ROUND(+Z68*'[5]II-F Alloc_Factor'!$I$27,2)</f>
        <v>5734976.8300000001</v>
      </c>
      <c r="AF68" s="773">
        <f>ROUND(+Z68*'[5]II-F Alloc_Factor'!$J$27,2)</f>
        <v>0</v>
      </c>
      <c r="AG68" s="773">
        <f t="shared" si="53"/>
        <v>5734976.8300000001</v>
      </c>
      <c r="AH68" s="773">
        <f>ROUND(+Z68*'[5]II-F Alloc_Factor'!$L$27,2)</f>
        <v>2054643.94</v>
      </c>
      <c r="AI68" s="773">
        <f>ROUND(+Z68*'[5]II-F Alloc_Factor'!$M$27,2)</f>
        <v>706995.06</v>
      </c>
      <c r="AK68" s="773">
        <v>10800783.960000001</v>
      </c>
      <c r="AL68" s="773">
        <f>ROUND(+AK68*'[5]II-F Alloc_Factor'!$E$27,2)</f>
        <v>2254798.2999999998</v>
      </c>
      <c r="AM68" s="773">
        <f>ROUND(+AK68*'[5]II-F Alloc_Factor'!$F$27,2)</f>
        <v>0</v>
      </c>
      <c r="AN68" s="773">
        <f>ROUND(+AK68*'[5]II-F Alloc_Factor'!$G$27,2)</f>
        <v>0</v>
      </c>
      <c r="AO68" s="773">
        <f t="shared" si="42"/>
        <v>2254798.2999999998</v>
      </c>
      <c r="AP68" s="773">
        <f>ROUND(+AK68*'[5]II-F Alloc_Factor'!$I$27,2)</f>
        <v>5768300.0800000001</v>
      </c>
      <c r="AQ68" s="773">
        <f>ROUND(+AK68*'[5]II-F Alloc_Factor'!$J$27,2)</f>
        <v>0</v>
      </c>
      <c r="AR68" s="773">
        <f t="shared" si="54"/>
        <v>5768300.0800000001</v>
      </c>
      <c r="AS68" s="773">
        <f>ROUND(+AK68*'[5]II-F Alloc_Factor'!$L$27,2)</f>
        <v>2066582.51</v>
      </c>
      <c r="AT68" s="773">
        <f>ROUND(+AK68*'[5]II-F Alloc_Factor'!$M$27,2)</f>
        <v>711103.07</v>
      </c>
      <c r="AU68" s="779"/>
      <c r="AV68" s="773">
        <v>10863179.690000001</v>
      </c>
      <c r="AW68" s="773">
        <f>ROUND(+AV68*'[5]II-F Alloc_Factor'!$E$27,2)</f>
        <v>2267824.19</v>
      </c>
      <c r="AX68" s="773">
        <f>ROUND(+AV68*'[5]II-F Alloc_Factor'!$F$27,2)</f>
        <v>0</v>
      </c>
      <c r="AY68" s="773">
        <f>ROUND(+AV68*'[5]II-F Alloc_Factor'!$G$27,2)</f>
        <v>0</v>
      </c>
      <c r="AZ68" s="773">
        <f t="shared" si="43"/>
        <v>2267824.19</v>
      </c>
      <c r="BA68" s="773">
        <f>ROUND(+AV68*'[5]II-F Alloc_Factor'!$I$27,2)</f>
        <v>5801623.3399999999</v>
      </c>
      <c r="BB68" s="773">
        <f>ROUND(+AV68*'[5]II-F Alloc_Factor'!$J$27,2)</f>
        <v>0</v>
      </c>
      <c r="BC68" s="773">
        <f t="shared" si="55"/>
        <v>5801623.3399999999</v>
      </c>
      <c r="BD68" s="773">
        <f>ROUND(+AV68*'[5]II-F Alloc_Factor'!$L$27,2)</f>
        <v>2078521.08</v>
      </c>
      <c r="BE68" s="773">
        <f>ROUND(+AV68*'[5]II-F Alloc_Factor'!$M$27,2)</f>
        <v>715211.09</v>
      </c>
      <c r="BF68" s="779"/>
      <c r="BG68" s="773">
        <v>10931838.040000001</v>
      </c>
      <c r="BH68" s="773">
        <f>ROUND(+BG68*'[5]II-F Alloc_Factor'!$E$27,2)</f>
        <v>2282157.4700000002</v>
      </c>
      <c r="BI68" s="773">
        <f>ROUND(+BG68*'[5]II-F Alloc_Factor'!$F$27,2)</f>
        <v>0</v>
      </c>
      <c r="BJ68" s="773">
        <f>ROUND(+BG68*'[5]II-F Alloc_Factor'!$G$27,2)</f>
        <v>0</v>
      </c>
      <c r="BK68" s="773">
        <f t="shared" si="44"/>
        <v>2282157.4700000002</v>
      </c>
      <c r="BL68" s="773">
        <f>ROUND(+BG68*'[5]II-F Alloc_Factor'!$I$27,2)</f>
        <v>5838291.2300000004</v>
      </c>
      <c r="BM68" s="773">
        <f>ROUND(+BG68*'[5]II-F Alloc_Factor'!$J$27,2)</f>
        <v>0</v>
      </c>
      <c r="BN68" s="773">
        <f t="shared" si="56"/>
        <v>5838291.2300000004</v>
      </c>
      <c r="BO68" s="773">
        <f>ROUND(+BG68*'[5]II-F Alloc_Factor'!$L$27,2)</f>
        <v>2091657.92</v>
      </c>
      <c r="BP68" s="773">
        <f>ROUND(+BG68*'[5]II-F Alloc_Factor'!$M$27,2)</f>
        <v>719731.42</v>
      </c>
      <c r="BQ68" s="779"/>
      <c r="BR68" s="773">
        <v>10995277.540000001</v>
      </c>
      <c r="BS68" s="773">
        <f>ROUND(+BR68*'[5]II-F Alloc_Factor'!$E$27,2)</f>
        <v>2295401.2599999998</v>
      </c>
      <c r="BT68" s="773">
        <f>ROUND(+BR68*'[5]II-F Alloc_Factor'!$F$27,2)</f>
        <v>0</v>
      </c>
      <c r="BU68" s="773">
        <f>ROUND(+BR68*'[5]II-F Alloc_Factor'!$G$27,2)</f>
        <v>0</v>
      </c>
      <c r="BV68" s="773">
        <f t="shared" si="45"/>
        <v>2295401.2599999998</v>
      </c>
      <c r="BW68" s="773">
        <f>ROUND(+BR68*'[5]II-F Alloc_Factor'!$I$27,2)</f>
        <v>5872171.9199999999</v>
      </c>
      <c r="BX68" s="773">
        <f>ROUND(+BR68*'[5]II-F Alloc_Factor'!$J$27,2)</f>
        <v>0</v>
      </c>
      <c r="BY68" s="773">
        <f t="shared" si="57"/>
        <v>5872171.9199999999</v>
      </c>
      <c r="BZ68" s="773">
        <f>ROUND(+BR68*'[5]II-F Alloc_Factor'!$L$27,2)</f>
        <v>2103796.2000000002</v>
      </c>
      <c r="CA68" s="773">
        <f>ROUND(+BR68*'[5]II-F Alloc_Factor'!$M$27,2)</f>
        <v>723908.16</v>
      </c>
      <c r="CC68" s="773">
        <v>11058717.040000001</v>
      </c>
      <c r="CD68" s="773">
        <f>ROUND(+CC68*'[5]II-F Alloc_Factor'!$E$27,2)</f>
        <v>2308645.0499999998</v>
      </c>
      <c r="CE68" s="773">
        <f>ROUND(+CC68*'[5]II-F Alloc_Factor'!$F$27,2)</f>
        <v>0</v>
      </c>
      <c r="CF68" s="773">
        <f>ROUND(+CC68*'[5]II-F Alloc_Factor'!$G$27,2)</f>
        <v>0</v>
      </c>
      <c r="CG68" s="773">
        <f t="shared" si="46"/>
        <v>2308645.0499999998</v>
      </c>
      <c r="CH68" s="773">
        <f>ROUND(+CC68*'[5]II-F Alloc_Factor'!$I$27,2)</f>
        <v>5906052.6200000001</v>
      </c>
      <c r="CI68" s="773">
        <f>ROUND(+CC68*'[5]II-F Alloc_Factor'!$J$27,2)</f>
        <v>0</v>
      </c>
      <c r="CJ68" s="773">
        <f t="shared" si="58"/>
        <v>5906052.6200000001</v>
      </c>
      <c r="CK68" s="773">
        <f>ROUND(+CC68*'[5]II-F Alloc_Factor'!$L$27,2)</f>
        <v>2115934.48</v>
      </c>
      <c r="CL68" s="773">
        <f>ROUND(+CC68*'[5]II-F Alloc_Factor'!$M$27,2)</f>
        <v>728084.89</v>
      </c>
      <c r="CN68" s="773">
        <v>11506867.83</v>
      </c>
      <c r="CO68" s="773">
        <f>ROUND(+CN68*'[5]II-F Alloc_Factor'!$E$27,2)</f>
        <v>2402202.11</v>
      </c>
      <c r="CP68" s="773">
        <f>ROUND(+CN68*'[5]II-F Alloc_Factor'!$F$27,2)</f>
        <v>0</v>
      </c>
      <c r="CQ68" s="773">
        <f>ROUND(+CN68*'[5]II-F Alloc_Factor'!$G$27,2)</f>
        <v>0</v>
      </c>
      <c r="CR68" s="773">
        <f t="shared" si="47"/>
        <v>2402202.11</v>
      </c>
      <c r="CS68" s="773">
        <f>ROUND(+CN68*'[5]II-F Alloc_Factor'!$I$27,2)</f>
        <v>6145393.4199999999</v>
      </c>
      <c r="CT68" s="773">
        <f>ROUND(+CN68*'[5]II-F Alloc_Factor'!$J$27,2)</f>
        <v>0</v>
      </c>
      <c r="CU68" s="773">
        <f t="shared" si="59"/>
        <v>6145393.4199999999</v>
      </c>
      <c r="CV68" s="773">
        <f>ROUND(+CN68*'[5]II-F Alloc_Factor'!$L$27,2)</f>
        <v>2201682.0099999998</v>
      </c>
      <c r="CW68" s="773">
        <f>ROUND(+CN68*'[5]II-F Alloc_Factor'!$M$27,2)</f>
        <v>757590.29</v>
      </c>
      <c r="CY68" s="773">
        <v>11613053.029999999</v>
      </c>
      <c r="CZ68" s="773">
        <f>ROUND(+CY68*'[5]II-F Alloc_Factor'!$E$27,2)</f>
        <v>2424369.59</v>
      </c>
      <c r="DA68" s="773">
        <f>ROUND(+CY68*'[5]II-F Alloc_Factor'!$F$27,2)</f>
        <v>0</v>
      </c>
      <c r="DB68" s="773">
        <f>ROUND(+CY68*'[5]II-F Alloc_Factor'!$G$27,2)</f>
        <v>0</v>
      </c>
      <c r="DC68" s="773">
        <f t="shared" si="48"/>
        <v>2424369.59</v>
      </c>
      <c r="DD68" s="773">
        <f>ROUND(+CY68*'[5]II-F Alloc_Factor'!$I$27,2)</f>
        <v>6202103.0099999998</v>
      </c>
      <c r="DE68" s="773">
        <f>ROUND(+CY68*'[5]II-F Alloc_Factor'!$J$27,2)</f>
        <v>0</v>
      </c>
      <c r="DF68" s="773">
        <f t="shared" si="60"/>
        <v>6202103.0099999998</v>
      </c>
      <c r="DG68" s="773">
        <f>ROUND(+CY68*'[5]II-F Alloc_Factor'!$L$27,2)</f>
        <v>2221999.1</v>
      </c>
      <c r="DH68" s="773">
        <f>ROUND(+CY68*'[5]II-F Alloc_Factor'!$M$27,2)</f>
        <v>764581.32</v>
      </c>
      <c r="DJ68" s="773">
        <v>11719238.229999999</v>
      </c>
      <c r="DK68" s="773">
        <f>ROUND(+DJ68*'[5]II-F Alloc_Factor'!$E$27,2)</f>
        <v>2446537.08</v>
      </c>
      <c r="DL68" s="773">
        <f>ROUND(+DJ68*'[5]II-F Alloc_Factor'!$F$27,2)</f>
        <v>0</v>
      </c>
      <c r="DM68" s="773">
        <f>ROUND(+DJ68*'[5]II-F Alloc_Factor'!$G$27,2)</f>
        <v>0</v>
      </c>
      <c r="DN68" s="773">
        <f t="shared" si="49"/>
        <v>2446537.08</v>
      </c>
      <c r="DO68" s="773">
        <f>ROUND(+DJ68*'[5]II-F Alloc_Factor'!$I$27,2)</f>
        <v>6258812.6100000003</v>
      </c>
      <c r="DP68" s="773">
        <f>ROUND(+DJ68*'[5]II-F Alloc_Factor'!$J$27,2)</f>
        <v>0</v>
      </c>
      <c r="DQ68" s="773">
        <f t="shared" si="61"/>
        <v>6258812.6100000003</v>
      </c>
      <c r="DR68" s="773">
        <f>ROUND(+DJ68*'[5]II-F Alloc_Factor'!$L$27,2)</f>
        <v>2242316.19</v>
      </c>
      <c r="DS68" s="773">
        <f>ROUND(+DJ68*'[5]II-F Alloc_Factor'!$M$27,2)</f>
        <v>771572.35</v>
      </c>
      <c r="DU68" s="773">
        <v>11523367.539999999</v>
      </c>
      <c r="DV68" s="773">
        <f>ROUND(+DU68*'[5]II-F Alloc_Factor'!$E$27,2)</f>
        <v>2405646.63</v>
      </c>
      <c r="DW68" s="773">
        <f>ROUND(+DU68*'[5]II-F Alloc_Factor'!$F$27,2)</f>
        <v>0</v>
      </c>
      <c r="DX68" s="773">
        <f>ROUND(+DU68*'[5]II-F Alloc_Factor'!$G$27,2)</f>
        <v>0</v>
      </c>
      <c r="DY68" s="773">
        <f t="shared" si="50"/>
        <v>2405646.63</v>
      </c>
      <c r="DZ68" s="773">
        <f>ROUND(+DU68*'[5]II-F Alloc_Factor'!$I$27,2)</f>
        <v>6154205.2999999998</v>
      </c>
      <c r="EA68" s="773">
        <f>ROUND(+DU68*'[5]II-F Alloc_Factor'!$J$27,2)</f>
        <v>0</v>
      </c>
      <c r="EB68" s="773">
        <f t="shared" si="62"/>
        <v>6154205.2999999998</v>
      </c>
      <c r="EC68" s="773">
        <f>ROUND(+DU68*'[5]II-F Alloc_Factor'!$L$27,2)</f>
        <v>2204839.0099999998</v>
      </c>
      <c r="ED68" s="773">
        <f>ROUND(+DU68*'[5]II-F Alloc_Factor'!$M$27,2)</f>
        <v>758676.6</v>
      </c>
      <c r="EE68" s="642">
        <f>+'II-E-3.5'!I84-DU68</f>
        <v>0</v>
      </c>
      <c r="EF68" s="772">
        <f t="shared" si="38"/>
        <v>0</v>
      </c>
    </row>
    <row r="69" spans="1:136" s="406" customFormat="1">
      <c r="A69" s="409">
        <f t="shared" si="0"/>
        <v>57</v>
      </c>
      <c r="B69" s="366" t="s">
        <v>424</v>
      </c>
      <c r="C69" s="775" t="s">
        <v>386</v>
      </c>
      <c r="D69" s="773">
        <v>144410509.38</v>
      </c>
      <c r="E69" s="773">
        <f>ROUND(+D69*'[5]II-F Alloc_Factor'!$E$27,2)</f>
        <v>30147494.129999999</v>
      </c>
      <c r="F69" s="773">
        <f>ROUND(+D69*'[5]II-F Alloc_Factor'!$F$27,2)</f>
        <v>0</v>
      </c>
      <c r="G69" s="773">
        <f>ROUND(+D69*'[5]II-F Alloc_Factor'!$G$27,2)</f>
        <v>0</v>
      </c>
      <c r="H69" s="773">
        <f t="shared" si="39"/>
        <v>30147494.129999999</v>
      </c>
      <c r="I69" s="773">
        <f>ROUND(+D69*'[5]II-F Alloc_Factor'!$I$27,2)</f>
        <v>77124323.209999993</v>
      </c>
      <c r="J69" s="773">
        <f>ROUND(+D69*'[5]II-F Alloc_Factor'!$J$27,2)</f>
        <v>0</v>
      </c>
      <c r="K69" s="773">
        <f t="shared" si="51"/>
        <v>77124323.209999993</v>
      </c>
      <c r="L69" s="773">
        <f>ROUND(+D69*'[5]II-F Alloc_Factor'!$L$27,2)</f>
        <v>27630978.789999999</v>
      </c>
      <c r="M69" s="773">
        <f>ROUND(+D69*'[5]II-F Alloc_Factor'!$M$27,2)</f>
        <v>9507713.25</v>
      </c>
      <c r="N69" s="774"/>
      <c r="O69" s="773">
        <v>144355560.94</v>
      </c>
      <c r="P69" s="773">
        <f>ROUND(+O69*'[5]II-F Alloc_Factor'!$E$27,2)</f>
        <v>30136022.949999999</v>
      </c>
      <c r="Q69" s="773">
        <f>ROUND(+O69*'[5]II-F Alloc_Factor'!$F$27,2)</f>
        <v>0</v>
      </c>
      <c r="R69" s="773">
        <f>ROUND(+O69*'[5]II-F Alloc_Factor'!$G$27,2)</f>
        <v>0</v>
      </c>
      <c r="S69" s="773">
        <f t="shared" si="40"/>
        <v>30136022.949999999</v>
      </c>
      <c r="T69" s="773">
        <f>ROUND(+O69*'[5]II-F Alloc_Factor'!$I$27,2)</f>
        <v>77094977.280000001</v>
      </c>
      <c r="U69" s="773">
        <f>ROUND(+O69*'[5]II-F Alloc_Factor'!$J$27,2)</f>
        <v>0</v>
      </c>
      <c r="V69" s="773">
        <f t="shared" si="52"/>
        <v>77094977.280000001</v>
      </c>
      <c r="W69" s="773">
        <f>ROUND(+O69*'[5]II-F Alloc_Factor'!$L$27,2)</f>
        <v>27620465.16</v>
      </c>
      <c r="X69" s="773">
        <f>ROUND(+O69*'[5]II-F Alloc_Factor'!$M$27,2)</f>
        <v>9504095.5500000007</v>
      </c>
      <c r="Y69" s="609"/>
      <c r="Z69" s="773">
        <v>144268193.72</v>
      </c>
      <c r="AA69" s="773">
        <f>ROUND(+Z69*'[5]II-F Alloc_Factor'!$E$27,2)</f>
        <v>30117783.960000001</v>
      </c>
      <c r="AB69" s="773">
        <f>ROUND(+Z69*'[5]II-F Alloc_Factor'!$F$27,2)</f>
        <v>0</v>
      </c>
      <c r="AC69" s="773">
        <f>ROUND(+Z69*'[5]II-F Alloc_Factor'!$G$27,2)</f>
        <v>0</v>
      </c>
      <c r="AD69" s="773">
        <f t="shared" si="41"/>
        <v>30117783.960000001</v>
      </c>
      <c r="AE69" s="773">
        <f>ROUND(+Z69*'[5]II-F Alloc_Factor'!$I$27,2)</f>
        <v>77048317.670000002</v>
      </c>
      <c r="AF69" s="773">
        <f>ROUND(+Z69*'[5]II-F Alloc_Factor'!$J$27,2)</f>
        <v>0</v>
      </c>
      <c r="AG69" s="773">
        <f t="shared" si="53"/>
        <v>77048317.670000002</v>
      </c>
      <c r="AH69" s="773">
        <f>ROUND(+Z69*'[5]II-F Alloc_Factor'!$L$27,2)</f>
        <v>27603748.629999999</v>
      </c>
      <c r="AI69" s="773">
        <f>ROUND(+Z69*'[5]II-F Alloc_Factor'!$M$27,2)</f>
        <v>9498343.4600000009</v>
      </c>
      <c r="AK69" s="773">
        <v>144189951.85999998</v>
      </c>
      <c r="AL69" s="773">
        <f>ROUND(+AK69*'[5]II-F Alloc_Factor'!$E$27,2)</f>
        <v>30101449.989999998</v>
      </c>
      <c r="AM69" s="773">
        <f>ROUND(+AK69*'[5]II-F Alloc_Factor'!$F$27,2)</f>
        <v>0</v>
      </c>
      <c r="AN69" s="773">
        <f>ROUND(+AK69*'[5]II-F Alloc_Factor'!$G$27,2)</f>
        <v>0</v>
      </c>
      <c r="AO69" s="773">
        <f t="shared" si="42"/>
        <v>30101449.989999998</v>
      </c>
      <c r="AP69" s="773">
        <f>ROUND(+AK69*'[5]II-F Alloc_Factor'!$I$27,2)</f>
        <v>77006531.579999998</v>
      </c>
      <c r="AQ69" s="773">
        <f>ROUND(+AK69*'[5]II-F Alloc_Factor'!$J$27,2)</f>
        <v>0</v>
      </c>
      <c r="AR69" s="773">
        <f t="shared" si="54"/>
        <v>77006531.579999998</v>
      </c>
      <c r="AS69" s="773">
        <f>ROUND(+AK69*'[5]II-F Alloc_Factor'!$L$27,2)</f>
        <v>27588778.120000001</v>
      </c>
      <c r="AT69" s="773">
        <f>ROUND(+AK69*'[5]II-F Alloc_Factor'!$M$27,2)</f>
        <v>9493192.1600000001</v>
      </c>
      <c r="AU69" s="779"/>
      <c r="AV69" s="773">
        <v>144099527.08999997</v>
      </c>
      <c r="AW69" s="773">
        <f>ROUND(+AV69*'[5]II-F Alloc_Factor'!$E$27,2)</f>
        <v>30082572.699999999</v>
      </c>
      <c r="AX69" s="773">
        <f>ROUND(+AV69*'[5]II-F Alloc_Factor'!$F$27,2)</f>
        <v>0</v>
      </c>
      <c r="AY69" s="773">
        <f>ROUND(+AV69*'[5]II-F Alloc_Factor'!$G$27,2)</f>
        <v>0</v>
      </c>
      <c r="AZ69" s="773">
        <f t="shared" si="43"/>
        <v>30082572.699999999</v>
      </c>
      <c r="BA69" s="773">
        <f>ROUND(+AV69*'[5]II-F Alloc_Factor'!$I$27,2)</f>
        <v>76958239.049999997</v>
      </c>
      <c r="BB69" s="773">
        <f>ROUND(+AV69*'[5]II-F Alloc_Factor'!$J$27,2)</f>
        <v>0</v>
      </c>
      <c r="BC69" s="773">
        <f t="shared" si="55"/>
        <v>76958239.049999997</v>
      </c>
      <c r="BD69" s="773">
        <f>ROUND(+AV69*'[5]II-F Alloc_Factor'!$L$27,2)</f>
        <v>27571476.579999998</v>
      </c>
      <c r="BE69" s="773">
        <f>ROUND(+AV69*'[5]II-F Alloc_Factor'!$M$27,2)</f>
        <v>9487238.7699999996</v>
      </c>
      <c r="BF69" s="779"/>
      <c r="BG69" s="773">
        <v>143884168.73999998</v>
      </c>
      <c r="BH69" s="773">
        <f>ROUND(+BG69*'[5]II-F Alloc_Factor'!$E$27,2)</f>
        <v>30037613.960000001</v>
      </c>
      <c r="BI69" s="773">
        <f>ROUND(+BG69*'[5]II-F Alloc_Factor'!$F$27,2)</f>
        <v>0</v>
      </c>
      <c r="BJ69" s="773">
        <f>ROUND(+BG69*'[5]II-F Alloc_Factor'!$G$27,2)</f>
        <v>0</v>
      </c>
      <c r="BK69" s="773">
        <f t="shared" si="44"/>
        <v>30037613.960000001</v>
      </c>
      <c r="BL69" s="773">
        <f>ROUND(+BG69*'[5]II-F Alloc_Factor'!$I$27,2)</f>
        <v>76843224.099999994</v>
      </c>
      <c r="BM69" s="773">
        <f>ROUND(+BG69*'[5]II-F Alloc_Factor'!$J$27,2)</f>
        <v>0</v>
      </c>
      <c r="BN69" s="773">
        <f t="shared" si="56"/>
        <v>76843224.099999994</v>
      </c>
      <c r="BO69" s="773">
        <f>ROUND(+BG69*'[5]II-F Alloc_Factor'!$L$27,2)</f>
        <v>27530270.699999999</v>
      </c>
      <c r="BP69" s="773">
        <f>ROUND(+BG69*'[5]II-F Alloc_Factor'!$M$27,2)</f>
        <v>9473059.9800000004</v>
      </c>
      <c r="BQ69" s="779"/>
      <c r="BR69" s="773">
        <v>143941180.26999998</v>
      </c>
      <c r="BS69" s="773">
        <f>ROUND(+BR69*'[5]II-F Alloc_Factor'!$E$27,2)</f>
        <v>30049515.82</v>
      </c>
      <c r="BT69" s="773">
        <f>ROUND(+BR69*'[5]II-F Alloc_Factor'!$F$27,2)</f>
        <v>0</v>
      </c>
      <c r="BU69" s="773">
        <f>ROUND(+BR69*'[5]II-F Alloc_Factor'!$G$27,2)</f>
        <v>0</v>
      </c>
      <c r="BV69" s="773">
        <f t="shared" si="45"/>
        <v>30049515.82</v>
      </c>
      <c r="BW69" s="773">
        <f>ROUND(+BR69*'[5]II-F Alloc_Factor'!$I$27,2)</f>
        <v>76873671.849999994</v>
      </c>
      <c r="BX69" s="773">
        <f>ROUND(+BR69*'[5]II-F Alloc_Factor'!$J$27,2)</f>
        <v>0</v>
      </c>
      <c r="BY69" s="773">
        <f t="shared" si="57"/>
        <v>76873671.849999994</v>
      </c>
      <c r="BZ69" s="773">
        <f>ROUND(+BR69*'[5]II-F Alloc_Factor'!$L$27,2)</f>
        <v>27541179.079999998</v>
      </c>
      <c r="CA69" s="773">
        <f>ROUND(+BR69*'[5]II-F Alloc_Factor'!$M$27,2)</f>
        <v>9476813.5099999998</v>
      </c>
      <c r="CC69" s="773">
        <v>143859198.83999997</v>
      </c>
      <c r="CD69" s="773">
        <f>ROUND(+CC69*'[5]II-F Alloc_Factor'!$E$27,2)</f>
        <v>30032401.18</v>
      </c>
      <c r="CE69" s="773">
        <f>ROUND(+CC69*'[5]II-F Alloc_Factor'!$F$27,2)</f>
        <v>0</v>
      </c>
      <c r="CF69" s="773">
        <f>ROUND(+CC69*'[5]II-F Alloc_Factor'!$G$27,2)</f>
        <v>0</v>
      </c>
      <c r="CG69" s="773">
        <f t="shared" si="46"/>
        <v>30032401.18</v>
      </c>
      <c r="CH69" s="773">
        <f>ROUND(+CC69*'[5]II-F Alloc_Factor'!$I$27,2)</f>
        <v>76829888.599999994</v>
      </c>
      <c r="CI69" s="773">
        <f>ROUND(+CC69*'[5]II-F Alloc_Factor'!$J$27,2)</f>
        <v>0</v>
      </c>
      <c r="CJ69" s="773">
        <f t="shared" si="58"/>
        <v>76829888.599999994</v>
      </c>
      <c r="CK69" s="773">
        <f>ROUND(+CC69*'[5]II-F Alloc_Factor'!$L$27,2)</f>
        <v>27525493.050000001</v>
      </c>
      <c r="CL69" s="773">
        <f>ROUND(+CC69*'[5]II-F Alloc_Factor'!$M$27,2)</f>
        <v>9471416.0099999998</v>
      </c>
      <c r="CN69" s="773">
        <v>143773286.17999998</v>
      </c>
      <c r="CO69" s="773">
        <f>ROUND(+CN69*'[5]II-F Alloc_Factor'!$E$27,2)</f>
        <v>30014465.84</v>
      </c>
      <c r="CP69" s="773">
        <f>ROUND(+CN69*'[5]II-F Alloc_Factor'!$F$27,2)</f>
        <v>0</v>
      </c>
      <c r="CQ69" s="773">
        <f>ROUND(+CN69*'[5]II-F Alloc_Factor'!$G$27,2)</f>
        <v>0</v>
      </c>
      <c r="CR69" s="773">
        <f t="shared" si="47"/>
        <v>30014465.84</v>
      </c>
      <c r="CS69" s="773">
        <f>ROUND(+CN69*'[5]II-F Alloc_Factor'!$I$27,2)</f>
        <v>76784005.819999993</v>
      </c>
      <c r="CT69" s="773">
        <f>ROUND(+CN69*'[5]II-F Alloc_Factor'!$J$27,2)</f>
        <v>0</v>
      </c>
      <c r="CU69" s="773">
        <f t="shared" si="59"/>
        <v>76784005.819999993</v>
      </c>
      <c r="CV69" s="773">
        <f>ROUND(+CN69*'[5]II-F Alloc_Factor'!$L$27,2)</f>
        <v>27509054.84</v>
      </c>
      <c r="CW69" s="773">
        <f>ROUND(+CN69*'[5]II-F Alloc_Factor'!$M$27,2)</f>
        <v>9465759.6899999995</v>
      </c>
      <c r="CY69" s="773">
        <v>143690295.13999999</v>
      </c>
      <c r="CZ69" s="773">
        <f>ROUND(+CY69*'[5]II-F Alloc_Factor'!$E$27,2)</f>
        <v>29997140.43</v>
      </c>
      <c r="DA69" s="773">
        <f>ROUND(+CY69*'[5]II-F Alloc_Factor'!$F$27,2)</f>
        <v>0</v>
      </c>
      <c r="DB69" s="773">
        <f>ROUND(+CY69*'[5]II-F Alloc_Factor'!$G$27,2)</f>
        <v>0</v>
      </c>
      <c r="DC69" s="773">
        <f t="shared" si="48"/>
        <v>29997140.43</v>
      </c>
      <c r="DD69" s="773">
        <f>ROUND(+CY69*'[5]II-F Alloc_Factor'!$I$27,2)</f>
        <v>76739683.370000005</v>
      </c>
      <c r="DE69" s="773">
        <f>ROUND(+CY69*'[5]II-F Alloc_Factor'!$J$27,2)</f>
        <v>0</v>
      </c>
      <c r="DF69" s="773">
        <f t="shared" si="60"/>
        <v>76739683.370000005</v>
      </c>
      <c r="DG69" s="773">
        <f>ROUND(+CY69*'[5]II-F Alloc_Factor'!$L$27,2)</f>
        <v>27493175.629999999</v>
      </c>
      <c r="DH69" s="773">
        <f>ROUND(+CY69*'[5]II-F Alloc_Factor'!$M$27,2)</f>
        <v>9460295.7100000009</v>
      </c>
      <c r="DJ69" s="773">
        <v>143477077.85999998</v>
      </c>
      <c r="DK69" s="773">
        <f>ROUND(+DJ69*'[5]II-F Alloc_Factor'!$E$27,2)</f>
        <v>29952628.66</v>
      </c>
      <c r="DL69" s="773">
        <f>ROUND(+DJ69*'[5]II-F Alloc_Factor'!$F$27,2)</f>
        <v>0</v>
      </c>
      <c r="DM69" s="773">
        <f>ROUND(+DJ69*'[5]II-F Alloc_Factor'!$G$27,2)</f>
        <v>0</v>
      </c>
      <c r="DN69" s="773">
        <f t="shared" si="49"/>
        <v>29952628.66</v>
      </c>
      <c r="DO69" s="773">
        <f>ROUND(+DJ69*'[5]II-F Alloc_Factor'!$I$27,2)</f>
        <v>76625811.890000001</v>
      </c>
      <c r="DP69" s="773">
        <f>ROUND(+DJ69*'[5]II-F Alloc_Factor'!$J$27,2)</f>
        <v>0</v>
      </c>
      <c r="DQ69" s="773">
        <f t="shared" si="61"/>
        <v>76625811.890000001</v>
      </c>
      <c r="DR69" s="773">
        <f>ROUND(+DJ69*'[5]II-F Alloc_Factor'!$L$27,2)</f>
        <v>27452379.420000002</v>
      </c>
      <c r="DS69" s="773">
        <f>ROUND(+DJ69*'[5]II-F Alloc_Factor'!$M$27,2)</f>
        <v>9446257.8900000006</v>
      </c>
      <c r="DU69" s="773">
        <v>143609775.57999998</v>
      </c>
      <c r="DV69" s="773">
        <f>ROUND(+DU69*'[5]II-F Alloc_Factor'!$E$27,2)</f>
        <v>29980330.960000001</v>
      </c>
      <c r="DW69" s="773">
        <f>ROUND(+DU69*'[5]II-F Alloc_Factor'!$F$27,2)</f>
        <v>0</v>
      </c>
      <c r="DX69" s="773">
        <f>ROUND(+DU69*'[5]II-F Alloc_Factor'!$G$27,2)</f>
        <v>0</v>
      </c>
      <c r="DY69" s="773">
        <f t="shared" si="50"/>
        <v>29980330.960000001</v>
      </c>
      <c r="DZ69" s="773">
        <f>ROUND(+DU69*'[5]II-F Alloc_Factor'!$I$27,2)</f>
        <v>76696680.840000004</v>
      </c>
      <c r="EA69" s="773">
        <f>ROUND(+DU69*'[5]II-F Alloc_Factor'!$J$27,2)</f>
        <v>0</v>
      </c>
      <c r="EB69" s="773">
        <f t="shared" si="62"/>
        <v>76696680.840000004</v>
      </c>
      <c r="EC69" s="773">
        <f>ROUND(+DU69*'[5]II-F Alloc_Factor'!$L$27,2)</f>
        <v>27477769.32</v>
      </c>
      <c r="ED69" s="773">
        <f>ROUND(+DU69*'[5]II-F Alloc_Factor'!$M$27,2)</f>
        <v>9454994.4600000009</v>
      </c>
      <c r="EE69" s="642">
        <f>+'II-E-3.5'!I85-DU69</f>
        <v>0</v>
      </c>
      <c r="EF69" s="772">
        <f t="shared" si="38"/>
        <v>0</v>
      </c>
    </row>
    <row r="70" spans="1:136" s="406" customFormat="1">
      <c r="A70" s="409">
        <f t="shared" si="0"/>
        <v>58</v>
      </c>
      <c r="B70" s="366" t="s">
        <v>425</v>
      </c>
      <c r="C70" s="775" t="s">
        <v>386</v>
      </c>
      <c r="D70" s="773">
        <v>2700164.8</v>
      </c>
      <c r="E70" s="773">
        <f>ROUND(+D70*'[5]II-F Alloc_Factor'!$E$27,2)</f>
        <v>563693.06000000006</v>
      </c>
      <c r="F70" s="773">
        <f>ROUND(+D70*'[5]II-F Alloc_Factor'!$F$27,2)</f>
        <v>0</v>
      </c>
      <c r="G70" s="773">
        <f>ROUND(+D70*'[5]II-F Alloc_Factor'!$G$27,2)</f>
        <v>0</v>
      </c>
      <c r="H70" s="773">
        <f t="shared" si="39"/>
        <v>563693.06000000006</v>
      </c>
      <c r="I70" s="773">
        <f>ROUND(+D70*'[5]II-F Alloc_Factor'!$I$27,2)</f>
        <v>1442058.36</v>
      </c>
      <c r="J70" s="773">
        <f>ROUND(+D70*'[5]II-F Alloc_Factor'!$J$27,2)</f>
        <v>0</v>
      </c>
      <c r="K70" s="773">
        <f t="shared" si="51"/>
        <v>1442058.36</v>
      </c>
      <c r="L70" s="773">
        <f>ROUND(+D70*'[5]II-F Alloc_Factor'!$L$27,2)</f>
        <v>516639.66</v>
      </c>
      <c r="M70" s="773">
        <f>ROUND(+D70*'[5]II-F Alloc_Factor'!$M$27,2)</f>
        <v>177773.71</v>
      </c>
      <c r="N70" s="774"/>
      <c r="O70" s="773">
        <v>2693935.66</v>
      </c>
      <c r="P70" s="773">
        <f>ROUND(+O70*'[5]II-F Alloc_Factor'!$E$27,2)</f>
        <v>562392.65</v>
      </c>
      <c r="Q70" s="773">
        <f>ROUND(+O70*'[5]II-F Alloc_Factor'!$F$27,2)</f>
        <v>0</v>
      </c>
      <c r="R70" s="773">
        <f>ROUND(+O70*'[5]II-F Alloc_Factor'!$G$27,2)</f>
        <v>0</v>
      </c>
      <c r="S70" s="773">
        <f t="shared" si="40"/>
        <v>562392.65</v>
      </c>
      <c r="T70" s="773">
        <f>ROUND(+O70*'[5]II-F Alloc_Factor'!$I$27,2)</f>
        <v>1438731.61</v>
      </c>
      <c r="U70" s="773">
        <f>ROUND(+O70*'[5]II-F Alloc_Factor'!$J$27,2)</f>
        <v>0</v>
      </c>
      <c r="V70" s="773">
        <f t="shared" si="52"/>
        <v>1438731.61</v>
      </c>
      <c r="W70" s="773">
        <f>ROUND(+O70*'[5]II-F Alloc_Factor'!$L$27,2)</f>
        <v>515447.8</v>
      </c>
      <c r="X70" s="773">
        <f>ROUND(+O70*'[5]II-F Alloc_Factor'!$M$27,2)</f>
        <v>177363.6</v>
      </c>
      <c r="Y70" s="609"/>
      <c r="Z70" s="773">
        <v>2721164.79</v>
      </c>
      <c r="AA70" s="773">
        <f>ROUND(+Z70*'[5]II-F Alloc_Factor'!$E$27,2)</f>
        <v>568077.06999999995</v>
      </c>
      <c r="AB70" s="773">
        <f>ROUND(+Z70*'[5]II-F Alloc_Factor'!$F$27,2)</f>
        <v>0</v>
      </c>
      <c r="AC70" s="773">
        <f>ROUND(+Z70*'[5]II-F Alloc_Factor'!$G$27,2)</f>
        <v>0</v>
      </c>
      <c r="AD70" s="773">
        <f t="shared" si="41"/>
        <v>568077.06999999995</v>
      </c>
      <c r="AE70" s="773">
        <f>ROUND(+Z70*'[5]II-F Alloc_Factor'!$I$27,2)</f>
        <v>1453273.68</v>
      </c>
      <c r="AF70" s="773">
        <f>ROUND(+Z70*'[5]II-F Alloc_Factor'!$J$27,2)</f>
        <v>0</v>
      </c>
      <c r="AG70" s="773">
        <f t="shared" si="53"/>
        <v>1453273.68</v>
      </c>
      <c r="AH70" s="773">
        <f>ROUND(+Z70*'[5]II-F Alloc_Factor'!$L$27,2)</f>
        <v>520657.72</v>
      </c>
      <c r="AI70" s="773">
        <f>ROUND(+Z70*'[5]II-F Alloc_Factor'!$M$27,2)</f>
        <v>179156.31</v>
      </c>
      <c r="AK70" s="773">
        <v>2721164.79</v>
      </c>
      <c r="AL70" s="773">
        <f>ROUND(+AK70*'[5]II-F Alloc_Factor'!$E$27,2)</f>
        <v>568077.06999999995</v>
      </c>
      <c r="AM70" s="773">
        <f>ROUND(+AK70*'[5]II-F Alloc_Factor'!$F$27,2)</f>
        <v>0</v>
      </c>
      <c r="AN70" s="773">
        <f>ROUND(+AK70*'[5]II-F Alloc_Factor'!$G$27,2)</f>
        <v>0</v>
      </c>
      <c r="AO70" s="773">
        <f t="shared" si="42"/>
        <v>568077.06999999995</v>
      </c>
      <c r="AP70" s="773">
        <f>ROUND(+AK70*'[5]II-F Alloc_Factor'!$I$27,2)</f>
        <v>1453273.68</v>
      </c>
      <c r="AQ70" s="773">
        <f>ROUND(+AK70*'[5]II-F Alloc_Factor'!$J$27,2)</f>
        <v>0</v>
      </c>
      <c r="AR70" s="773">
        <f t="shared" si="54"/>
        <v>1453273.68</v>
      </c>
      <c r="AS70" s="773">
        <f>ROUND(+AK70*'[5]II-F Alloc_Factor'!$L$27,2)</f>
        <v>520657.72</v>
      </c>
      <c r="AT70" s="773">
        <f>ROUND(+AK70*'[5]II-F Alloc_Factor'!$M$27,2)</f>
        <v>179156.31</v>
      </c>
      <c r="AU70" s="779"/>
      <c r="AV70" s="773">
        <v>2716422.3</v>
      </c>
      <c r="AW70" s="773">
        <f>ROUND(+AV70*'[5]II-F Alloc_Factor'!$E$27,2)</f>
        <v>567087.02</v>
      </c>
      <c r="AX70" s="773">
        <f>ROUND(+AV70*'[5]II-F Alloc_Factor'!$F$27,2)</f>
        <v>0</v>
      </c>
      <c r="AY70" s="773">
        <f>ROUND(+AV70*'[5]II-F Alloc_Factor'!$G$27,2)</f>
        <v>0</v>
      </c>
      <c r="AZ70" s="773">
        <f t="shared" si="43"/>
        <v>567087.02</v>
      </c>
      <c r="BA70" s="773">
        <f>ROUND(+AV70*'[5]II-F Alloc_Factor'!$I$27,2)</f>
        <v>1450740.89</v>
      </c>
      <c r="BB70" s="773">
        <f>ROUND(+AV70*'[5]II-F Alloc_Factor'!$J$27,2)</f>
        <v>0</v>
      </c>
      <c r="BC70" s="773">
        <f t="shared" si="55"/>
        <v>1450740.89</v>
      </c>
      <c r="BD70" s="773">
        <f>ROUND(+AV70*'[5]II-F Alloc_Factor'!$L$27,2)</f>
        <v>519750.31</v>
      </c>
      <c r="BE70" s="773">
        <f>ROUND(+AV70*'[5]II-F Alloc_Factor'!$M$27,2)</f>
        <v>178844.08</v>
      </c>
      <c r="BF70" s="779"/>
      <c r="BG70" s="773">
        <v>2742164.79</v>
      </c>
      <c r="BH70" s="773">
        <f>ROUND(+BG70*'[5]II-F Alloc_Factor'!$E$27,2)</f>
        <v>572461.09</v>
      </c>
      <c r="BI70" s="773">
        <f>ROUND(+BG70*'[5]II-F Alloc_Factor'!$F$27,2)</f>
        <v>0</v>
      </c>
      <c r="BJ70" s="773">
        <f>ROUND(+BG70*'[5]II-F Alloc_Factor'!$G$27,2)</f>
        <v>0</v>
      </c>
      <c r="BK70" s="773">
        <f t="shared" si="44"/>
        <v>572461.09</v>
      </c>
      <c r="BL70" s="773">
        <f>ROUND(+BG70*'[5]II-F Alloc_Factor'!$I$27,2)</f>
        <v>1464489.01</v>
      </c>
      <c r="BM70" s="773">
        <f>ROUND(+BG70*'[5]II-F Alloc_Factor'!$J$27,2)</f>
        <v>0</v>
      </c>
      <c r="BN70" s="773">
        <f t="shared" si="56"/>
        <v>1464489.01</v>
      </c>
      <c r="BO70" s="773">
        <f>ROUND(+BG70*'[5]II-F Alloc_Factor'!$L$27,2)</f>
        <v>524675.78</v>
      </c>
      <c r="BP70" s="773">
        <f>ROUND(+BG70*'[5]II-F Alloc_Factor'!$M$27,2)</f>
        <v>180538.91</v>
      </c>
      <c r="BQ70" s="779"/>
      <c r="BR70" s="773">
        <v>2742164.79</v>
      </c>
      <c r="BS70" s="773">
        <f>ROUND(+BR70*'[5]II-F Alloc_Factor'!$E$27,2)</f>
        <v>572461.09</v>
      </c>
      <c r="BT70" s="773">
        <f>ROUND(+BR70*'[5]II-F Alloc_Factor'!$F$27,2)</f>
        <v>0</v>
      </c>
      <c r="BU70" s="773">
        <f>ROUND(+BR70*'[5]II-F Alloc_Factor'!$G$27,2)</f>
        <v>0</v>
      </c>
      <c r="BV70" s="773">
        <f t="shared" si="45"/>
        <v>572461.09</v>
      </c>
      <c r="BW70" s="773">
        <f>ROUND(+BR70*'[5]II-F Alloc_Factor'!$I$27,2)</f>
        <v>1464489.01</v>
      </c>
      <c r="BX70" s="773">
        <f>ROUND(+BR70*'[5]II-F Alloc_Factor'!$J$27,2)</f>
        <v>0</v>
      </c>
      <c r="BY70" s="773">
        <f t="shared" si="57"/>
        <v>1464489.01</v>
      </c>
      <c r="BZ70" s="773">
        <f>ROUND(+BR70*'[5]II-F Alloc_Factor'!$L$27,2)</f>
        <v>524675.78</v>
      </c>
      <c r="CA70" s="773">
        <f>ROUND(+BR70*'[5]II-F Alloc_Factor'!$M$27,2)</f>
        <v>180538.91</v>
      </c>
      <c r="CC70" s="773">
        <v>2735438.8499999996</v>
      </c>
      <c r="CD70" s="773">
        <f>ROUND(+CC70*'[5]II-F Alloc_Factor'!$E$27,2)</f>
        <v>571056.96</v>
      </c>
      <c r="CE70" s="773">
        <f>ROUND(+CC70*'[5]II-F Alloc_Factor'!$F$27,2)</f>
        <v>0</v>
      </c>
      <c r="CF70" s="773">
        <f>ROUND(+CC70*'[5]II-F Alloc_Factor'!$G$27,2)</f>
        <v>0</v>
      </c>
      <c r="CG70" s="773">
        <f t="shared" si="46"/>
        <v>571056.96</v>
      </c>
      <c r="CH70" s="773">
        <f>ROUND(+CC70*'[5]II-F Alloc_Factor'!$I$27,2)</f>
        <v>1460896.93</v>
      </c>
      <c r="CI70" s="773">
        <f>ROUND(+CC70*'[5]II-F Alloc_Factor'!$J$27,2)</f>
        <v>0</v>
      </c>
      <c r="CJ70" s="773">
        <f t="shared" si="58"/>
        <v>1460896.93</v>
      </c>
      <c r="CK70" s="773">
        <f>ROUND(+CC70*'[5]II-F Alloc_Factor'!$L$27,2)</f>
        <v>523388.87</v>
      </c>
      <c r="CL70" s="773">
        <f>ROUND(+CC70*'[5]II-F Alloc_Factor'!$M$27,2)</f>
        <v>180096.09</v>
      </c>
      <c r="CN70" s="773">
        <v>2762030.76</v>
      </c>
      <c r="CO70" s="773">
        <f>ROUND(+CN70*'[5]II-F Alloc_Factor'!$E$27,2)</f>
        <v>576608.35</v>
      </c>
      <c r="CP70" s="773">
        <f>ROUND(+CN70*'[5]II-F Alloc_Factor'!$F$27,2)</f>
        <v>0</v>
      </c>
      <c r="CQ70" s="773">
        <f>ROUND(+CN70*'[5]II-F Alloc_Factor'!$G$27,2)</f>
        <v>0</v>
      </c>
      <c r="CR70" s="773">
        <f t="shared" si="47"/>
        <v>576608.35</v>
      </c>
      <c r="CS70" s="773">
        <f>ROUND(+CN70*'[5]II-F Alloc_Factor'!$I$27,2)</f>
        <v>1475098.69</v>
      </c>
      <c r="CT70" s="773">
        <f>ROUND(+CN70*'[5]II-F Alloc_Factor'!$J$27,2)</f>
        <v>0</v>
      </c>
      <c r="CU70" s="773">
        <f t="shared" si="59"/>
        <v>1475098.69</v>
      </c>
      <c r="CV70" s="773">
        <f>ROUND(+CN70*'[5]II-F Alloc_Factor'!$L$27,2)</f>
        <v>528476.87</v>
      </c>
      <c r="CW70" s="773">
        <f>ROUND(+CN70*'[5]II-F Alloc_Factor'!$M$27,2)</f>
        <v>181846.85</v>
      </c>
      <c r="CY70" s="773">
        <v>2762030.76</v>
      </c>
      <c r="CZ70" s="773">
        <f>ROUND(+CY70*'[5]II-F Alloc_Factor'!$E$27,2)</f>
        <v>576608.35</v>
      </c>
      <c r="DA70" s="773">
        <f>ROUND(+CY70*'[5]II-F Alloc_Factor'!$F$27,2)</f>
        <v>0</v>
      </c>
      <c r="DB70" s="773">
        <f>ROUND(+CY70*'[5]II-F Alloc_Factor'!$G$27,2)</f>
        <v>0</v>
      </c>
      <c r="DC70" s="773">
        <f t="shared" si="48"/>
        <v>576608.35</v>
      </c>
      <c r="DD70" s="773">
        <f>ROUND(+CY70*'[5]II-F Alloc_Factor'!$I$27,2)</f>
        <v>1475098.69</v>
      </c>
      <c r="DE70" s="773">
        <f>ROUND(+CY70*'[5]II-F Alloc_Factor'!$J$27,2)</f>
        <v>0</v>
      </c>
      <c r="DF70" s="773">
        <f t="shared" si="60"/>
        <v>1475098.69</v>
      </c>
      <c r="DG70" s="773">
        <f>ROUND(+CY70*'[5]II-F Alloc_Factor'!$L$27,2)</f>
        <v>528476.87</v>
      </c>
      <c r="DH70" s="773">
        <f>ROUND(+CY70*'[5]II-F Alloc_Factor'!$M$27,2)</f>
        <v>181846.85</v>
      </c>
      <c r="DJ70" s="773">
        <v>2762030.76</v>
      </c>
      <c r="DK70" s="773">
        <f>ROUND(+DJ70*'[5]II-F Alloc_Factor'!$E$27,2)</f>
        <v>576608.35</v>
      </c>
      <c r="DL70" s="773">
        <f>ROUND(+DJ70*'[5]II-F Alloc_Factor'!$F$27,2)</f>
        <v>0</v>
      </c>
      <c r="DM70" s="773">
        <f>ROUND(+DJ70*'[5]II-F Alloc_Factor'!$G$27,2)</f>
        <v>0</v>
      </c>
      <c r="DN70" s="773">
        <f t="shared" si="49"/>
        <v>576608.35</v>
      </c>
      <c r="DO70" s="773">
        <f>ROUND(+DJ70*'[5]II-F Alloc_Factor'!$I$27,2)</f>
        <v>1475098.69</v>
      </c>
      <c r="DP70" s="773">
        <f>ROUND(+DJ70*'[5]II-F Alloc_Factor'!$J$27,2)</f>
        <v>0</v>
      </c>
      <c r="DQ70" s="773">
        <f t="shared" si="61"/>
        <v>1475098.69</v>
      </c>
      <c r="DR70" s="773">
        <f>ROUND(+DJ70*'[5]II-F Alloc_Factor'!$L$27,2)</f>
        <v>528476.87</v>
      </c>
      <c r="DS70" s="773">
        <f>ROUND(+DJ70*'[5]II-F Alloc_Factor'!$M$27,2)</f>
        <v>181846.85</v>
      </c>
      <c r="DU70" s="773">
        <v>3005140.2699999996</v>
      </c>
      <c r="DV70" s="773">
        <f>ROUND(+DU70*'[5]II-F Alloc_Factor'!$E$27,2)</f>
        <v>627360.49</v>
      </c>
      <c r="DW70" s="773">
        <f>ROUND(+DU70*'[5]II-F Alloc_Factor'!$F$27,2)</f>
        <v>0</v>
      </c>
      <c r="DX70" s="773">
        <f>ROUND(+DU70*'[5]II-F Alloc_Factor'!$G$27,2)</f>
        <v>0</v>
      </c>
      <c r="DY70" s="773">
        <f t="shared" si="50"/>
        <v>627360.49</v>
      </c>
      <c r="DZ70" s="773">
        <f>ROUND(+DU70*'[5]II-F Alloc_Factor'!$I$27,2)</f>
        <v>1604934.51</v>
      </c>
      <c r="EA70" s="773">
        <f>ROUND(+DU70*'[5]II-F Alloc_Factor'!$J$27,2)</f>
        <v>0</v>
      </c>
      <c r="EB70" s="773">
        <f t="shared" si="62"/>
        <v>1604934.51</v>
      </c>
      <c r="EC70" s="773">
        <f>ROUND(+DU70*'[5]II-F Alloc_Factor'!$L$27,2)</f>
        <v>574992.55000000005</v>
      </c>
      <c r="ED70" s="773">
        <f>ROUND(+DU70*'[5]II-F Alloc_Factor'!$M$27,2)</f>
        <v>197852.72</v>
      </c>
      <c r="EE70" s="642">
        <f>+'II-E-3.5'!I86-DU70</f>
        <v>0</v>
      </c>
      <c r="EF70" s="772">
        <f t="shared" si="38"/>
        <v>0</v>
      </c>
    </row>
    <row r="71" spans="1:136" s="406" customFormat="1">
      <c r="A71" s="409">
        <f t="shared" si="0"/>
        <v>59</v>
      </c>
      <c r="B71" s="366" t="s">
        <v>399</v>
      </c>
      <c r="C71" s="775" t="s">
        <v>439</v>
      </c>
      <c r="D71" s="773">
        <v>10968808.139999999</v>
      </c>
      <c r="E71" s="773">
        <f>ROUND(+D71*'[5]II-F Alloc_Factor'!$E$30,2)</f>
        <v>2309786.56</v>
      </c>
      <c r="F71" s="773">
        <f>ROUND(+D71*'[5]II-F Alloc_Factor'!$F$30,2)</f>
        <v>0</v>
      </c>
      <c r="G71" s="773">
        <f>ROUND(+D71*'[5]II-F Alloc_Factor'!$G$30,2)</f>
        <v>0</v>
      </c>
      <c r="H71" s="773">
        <f t="shared" si="39"/>
        <v>2309786.56</v>
      </c>
      <c r="I71" s="773">
        <f>ROUND(+D71*'[5]II-F Alloc_Factor'!$I$30,2)</f>
        <v>5434798.9000000004</v>
      </c>
      <c r="J71" s="773">
        <f>ROUND(+D71*'[5]II-F Alloc_Factor'!$J$30,2)</f>
        <v>0</v>
      </c>
      <c r="K71" s="773">
        <f t="shared" si="51"/>
        <v>5434798.9000000004</v>
      </c>
      <c r="L71" s="773">
        <f>ROUND(+D71*'[5]II-F Alloc_Factor'!$L$30,2)</f>
        <v>1511342.29</v>
      </c>
      <c r="M71" s="773">
        <f>ROUND(+D71*'[5]II-F Alloc_Factor'!$M$30,2)</f>
        <v>1712880.39</v>
      </c>
      <c r="N71" s="774"/>
      <c r="O71" s="773">
        <v>10665074.369999999</v>
      </c>
      <c r="P71" s="773">
        <f>ROUND(+O71*'[5]II-F Alloc_Factor'!$E$30,2)</f>
        <v>2245827</v>
      </c>
      <c r="Q71" s="773">
        <f>ROUND(+O71*'[5]II-F Alloc_Factor'!$F$30,2)</f>
        <v>0</v>
      </c>
      <c r="R71" s="773">
        <f>ROUND(+O71*'[5]II-F Alloc_Factor'!$G$30,2)</f>
        <v>0</v>
      </c>
      <c r="S71" s="773">
        <f t="shared" si="40"/>
        <v>2245827</v>
      </c>
      <c r="T71" s="773">
        <f>ROUND(+O71*'[5]II-F Alloc_Factor'!$I$30,2)</f>
        <v>5284305.62</v>
      </c>
      <c r="U71" s="773">
        <f>ROUND(+O71*'[5]II-F Alloc_Factor'!$J$30,2)</f>
        <v>0</v>
      </c>
      <c r="V71" s="773">
        <f t="shared" si="52"/>
        <v>5284305.62</v>
      </c>
      <c r="W71" s="773">
        <f>ROUND(+O71*'[5]II-F Alloc_Factor'!$L$30,2)</f>
        <v>1469492.19</v>
      </c>
      <c r="X71" s="773">
        <f>ROUND(+O71*'[5]II-F Alloc_Factor'!$M$30,2)</f>
        <v>1665449.56</v>
      </c>
      <c r="Y71" s="609"/>
      <c r="Z71" s="773">
        <v>11434594.16</v>
      </c>
      <c r="AA71" s="773">
        <f>ROUND(+Z71*'[5]II-F Alloc_Factor'!$E$30,2)</f>
        <v>2407870.7200000002</v>
      </c>
      <c r="AB71" s="773">
        <f>ROUND(+Z71*'[5]II-F Alloc_Factor'!$F$30,2)</f>
        <v>0</v>
      </c>
      <c r="AC71" s="773">
        <f>ROUND(+Z71*'[5]II-F Alloc_Factor'!$G$30,2)</f>
        <v>0</v>
      </c>
      <c r="AD71" s="773">
        <f t="shared" si="41"/>
        <v>2407870.7200000002</v>
      </c>
      <c r="AE71" s="773">
        <f>ROUND(+Z71*'[5]II-F Alloc_Factor'!$I$30,2)</f>
        <v>5665585.4500000002</v>
      </c>
      <c r="AF71" s="773">
        <f>ROUND(+Z71*'[5]II-F Alloc_Factor'!$J$30,2)</f>
        <v>0</v>
      </c>
      <c r="AG71" s="773">
        <f t="shared" si="53"/>
        <v>5665585.4500000002</v>
      </c>
      <c r="AH71" s="773">
        <f>ROUND(+Z71*'[5]II-F Alloc_Factor'!$L$30,2)</f>
        <v>1575520.83</v>
      </c>
      <c r="AI71" s="773">
        <f>ROUND(+Z71*'[5]II-F Alloc_Factor'!$M$30,2)</f>
        <v>1785617.16</v>
      </c>
      <c r="AK71" s="773">
        <v>11698555.460000001</v>
      </c>
      <c r="AL71" s="773">
        <f>ROUND(+AK71*'[5]II-F Alloc_Factor'!$E$30,2)</f>
        <v>2463455.08</v>
      </c>
      <c r="AM71" s="773">
        <f>ROUND(+AK71*'[5]II-F Alloc_Factor'!$F$30,2)</f>
        <v>0</v>
      </c>
      <c r="AN71" s="773">
        <f>ROUND(+AK71*'[5]II-F Alloc_Factor'!$G$30,2)</f>
        <v>0</v>
      </c>
      <c r="AO71" s="773">
        <f t="shared" si="42"/>
        <v>2463455.08</v>
      </c>
      <c r="AP71" s="773">
        <f>ROUND(+AK71*'[5]II-F Alloc_Factor'!$I$30,2)</f>
        <v>5796372.3600000003</v>
      </c>
      <c r="AQ71" s="773">
        <f>ROUND(+AK71*'[5]II-F Alloc_Factor'!$J$30,2)</f>
        <v>0</v>
      </c>
      <c r="AR71" s="773">
        <f t="shared" si="54"/>
        <v>5796372.3600000003</v>
      </c>
      <c r="AS71" s="773">
        <f>ROUND(+AK71*'[5]II-F Alloc_Factor'!$L$30,2)</f>
        <v>1611890.86</v>
      </c>
      <c r="AT71" s="773">
        <f>ROUND(+AK71*'[5]II-F Alloc_Factor'!$M$30,2)</f>
        <v>1826837.15</v>
      </c>
      <c r="AU71" s="779"/>
      <c r="AV71" s="773">
        <v>11400559.300000001</v>
      </c>
      <c r="AW71" s="773">
        <f>ROUND(+AV71*'[5]II-F Alloc_Factor'!$E$30,2)</f>
        <v>2400703.73</v>
      </c>
      <c r="AX71" s="773">
        <f>ROUND(+AV71*'[5]II-F Alloc_Factor'!$F$30,2)</f>
        <v>0</v>
      </c>
      <c r="AY71" s="773">
        <f>ROUND(+AV71*'[5]II-F Alloc_Factor'!$G$30,2)</f>
        <v>0</v>
      </c>
      <c r="AZ71" s="773">
        <f t="shared" si="43"/>
        <v>2400703.73</v>
      </c>
      <c r="BA71" s="773">
        <f>ROUND(+AV71*'[5]II-F Alloc_Factor'!$I$30,2)</f>
        <v>5648721.9400000004</v>
      </c>
      <c r="BB71" s="773">
        <f>ROUND(+AV71*'[5]II-F Alloc_Factor'!$J$30,2)</f>
        <v>0</v>
      </c>
      <c r="BC71" s="773">
        <f t="shared" si="55"/>
        <v>5648721.9400000004</v>
      </c>
      <c r="BD71" s="773">
        <f>ROUND(+AV71*'[5]II-F Alloc_Factor'!$L$30,2)</f>
        <v>1570831.32</v>
      </c>
      <c r="BE71" s="773">
        <f>ROUND(+AV71*'[5]II-F Alloc_Factor'!$M$30,2)</f>
        <v>1780302.31</v>
      </c>
      <c r="BF71" s="779"/>
      <c r="BG71" s="773">
        <v>11697597.780000001</v>
      </c>
      <c r="BH71" s="773">
        <f>ROUND(+BG71*'[5]II-F Alloc_Factor'!$E$30,2)</f>
        <v>2463253.42</v>
      </c>
      <c r="BI71" s="773">
        <f>ROUND(+BG71*'[5]II-F Alloc_Factor'!$F$30,2)</f>
        <v>0</v>
      </c>
      <c r="BJ71" s="773">
        <f>ROUND(+BG71*'[5]II-F Alloc_Factor'!$G$30,2)</f>
        <v>0</v>
      </c>
      <c r="BK71" s="773">
        <f t="shared" si="44"/>
        <v>2463253.42</v>
      </c>
      <c r="BL71" s="773">
        <f>ROUND(+BG71*'[5]II-F Alloc_Factor'!$I$30,2)</f>
        <v>5795897.8600000003</v>
      </c>
      <c r="BM71" s="773">
        <f>ROUND(+BG71*'[5]II-F Alloc_Factor'!$J$30,2)</f>
        <v>0</v>
      </c>
      <c r="BN71" s="773">
        <f t="shared" si="56"/>
        <v>5795897.8600000003</v>
      </c>
      <c r="BO71" s="773">
        <f>ROUND(+BG71*'[5]II-F Alloc_Factor'!$L$30,2)</f>
        <v>1611758.9</v>
      </c>
      <c r="BP71" s="773">
        <f>ROUND(+BG71*'[5]II-F Alloc_Factor'!$M$30,2)</f>
        <v>1826687.6</v>
      </c>
      <c r="BQ71" s="779"/>
      <c r="BR71" s="773">
        <v>12006106.160000002</v>
      </c>
      <c r="BS71" s="773">
        <f>ROUND(+BR71*'[5]II-F Alloc_Factor'!$E$30,2)</f>
        <v>2528218.41</v>
      </c>
      <c r="BT71" s="773">
        <f>ROUND(+BR71*'[5]II-F Alloc_Factor'!$F$30,2)</f>
        <v>0</v>
      </c>
      <c r="BU71" s="773">
        <f>ROUND(+BR71*'[5]II-F Alloc_Factor'!$G$30,2)</f>
        <v>0</v>
      </c>
      <c r="BV71" s="773">
        <f t="shared" si="45"/>
        <v>2528218.41</v>
      </c>
      <c r="BW71" s="773">
        <f>ROUND(+BR71*'[5]II-F Alloc_Factor'!$I$30,2)</f>
        <v>5948756.8499999996</v>
      </c>
      <c r="BX71" s="773">
        <f>ROUND(+BR71*'[5]II-F Alloc_Factor'!$J$30,2)</f>
        <v>0</v>
      </c>
      <c r="BY71" s="773">
        <f t="shared" si="57"/>
        <v>5948756.8499999996</v>
      </c>
      <c r="BZ71" s="773">
        <f>ROUND(+BR71*'[5]II-F Alloc_Factor'!$L$30,2)</f>
        <v>1654266.87</v>
      </c>
      <c r="CA71" s="773">
        <f>ROUND(+BR71*'[5]II-F Alloc_Factor'!$M$30,2)</f>
        <v>1874864.03</v>
      </c>
      <c r="CC71" s="773">
        <v>12243593.760000002</v>
      </c>
      <c r="CD71" s="773">
        <f>ROUND(+CC71*'[5]II-F Alloc_Factor'!$E$30,2)</f>
        <v>2578228</v>
      </c>
      <c r="CE71" s="773">
        <f>ROUND(+CC71*'[5]II-F Alloc_Factor'!$F$30,2)</f>
        <v>0</v>
      </c>
      <c r="CF71" s="773">
        <f>ROUND(+CC71*'[5]II-F Alloc_Factor'!$G$30,2)</f>
        <v>0</v>
      </c>
      <c r="CG71" s="773">
        <f t="shared" si="46"/>
        <v>2578228</v>
      </c>
      <c r="CH71" s="773">
        <f>ROUND(+CC71*'[5]II-F Alloc_Factor'!$I$30,2)</f>
        <v>6066426.6399999997</v>
      </c>
      <c r="CI71" s="773">
        <f>ROUND(+CC71*'[5]II-F Alloc_Factor'!$J$30,2)</f>
        <v>0</v>
      </c>
      <c r="CJ71" s="773">
        <f t="shared" si="58"/>
        <v>6066426.6399999997</v>
      </c>
      <c r="CK71" s="773">
        <f>ROUND(+CC71*'[5]II-F Alloc_Factor'!$L$30,2)</f>
        <v>1686989.21</v>
      </c>
      <c r="CL71" s="773">
        <f>ROUND(+CC71*'[5]II-F Alloc_Factor'!$M$30,2)</f>
        <v>1911949.9</v>
      </c>
      <c r="CN71" s="773">
        <v>12495267.550000001</v>
      </c>
      <c r="CO71" s="773">
        <f>ROUND(+CN71*'[5]II-F Alloc_Factor'!$E$30,2)</f>
        <v>2631224.9</v>
      </c>
      <c r="CP71" s="773">
        <f>ROUND(+CN71*'[5]II-F Alloc_Factor'!$F$30,2)</f>
        <v>0</v>
      </c>
      <c r="CQ71" s="773">
        <f>ROUND(+CN71*'[5]II-F Alloc_Factor'!$G$30,2)</f>
        <v>0</v>
      </c>
      <c r="CR71" s="773">
        <f t="shared" si="47"/>
        <v>2631224.9</v>
      </c>
      <c r="CS71" s="773">
        <f>ROUND(+CN71*'[5]II-F Alloc_Factor'!$I$30,2)</f>
        <v>6191125.3700000001</v>
      </c>
      <c r="CT71" s="773">
        <f>ROUND(+CN71*'[5]II-F Alloc_Factor'!$J$30,2)</f>
        <v>0</v>
      </c>
      <c r="CU71" s="773">
        <f t="shared" si="59"/>
        <v>6191125.3700000001</v>
      </c>
      <c r="CV71" s="773">
        <f>ROUND(+CN71*'[5]II-F Alloc_Factor'!$L$30,2)</f>
        <v>1721666.2</v>
      </c>
      <c r="CW71" s="773">
        <f>ROUND(+CN71*'[5]II-F Alloc_Factor'!$M$30,2)</f>
        <v>1951251.08</v>
      </c>
      <c r="CY71" s="773">
        <v>12751142.290000001</v>
      </c>
      <c r="CZ71" s="773">
        <f>ROUND(+CY71*'[5]II-F Alloc_Factor'!$E$30,2)</f>
        <v>2685106.41</v>
      </c>
      <c r="DA71" s="773">
        <f>ROUND(+CY71*'[5]II-F Alloc_Factor'!$F$30,2)</f>
        <v>0</v>
      </c>
      <c r="DB71" s="773">
        <f>ROUND(+CY71*'[5]II-F Alloc_Factor'!$G$30,2)</f>
        <v>0</v>
      </c>
      <c r="DC71" s="773">
        <f t="shared" si="48"/>
        <v>2685106.41</v>
      </c>
      <c r="DD71" s="773">
        <f>ROUND(+CY71*'[5]II-F Alloc_Factor'!$I$30,2)</f>
        <v>6317905.5800000001</v>
      </c>
      <c r="DE71" s="773">
        <f>ROUND(+CY71*'[5]II-F Alloc_Factor'!$J$30,2)</f>
        <v>0</v>
      </c>
      <c r="DF71" s="773">
        <f t="shared" si="60"/>
        <v>6317905.5800000001</v>
      </c>
      <c r="DG71" s="773">
        <f>ROUND(+CY71*'[5]II-F Alloc_Factor'!$L$30,2)</f>
        <v>1756922.02</v>
      </c>
      <c r="DH71" s="773">
        <f>ROUND(+CY71*'[5]II-F Alloc_Factor'!$M$30,2)</f>
        <v>1991208.28</v>
      </c>
      <c r="DJ71" s="773">
        <v>12742504.850000001</v>
      </c>
      <c r="DK71" s="773">
        <f>ROUND(+DJ71*'[5]II-F Alloc_Factor'!$E$30,2)</f>
        <v>2683287.56</v>
      </c>
      <c r="DL71" s="773">
        <f>ROUND(+DJ71*'[5]II-F Alloc_Factor'!$F$30,2)</f>
        <v>0</v>
      </c>
      <c r="DM71" s="773">
        <f>ROUND(+DJ71*'[5]II-F Alloc_Factor'!$G$30,2)</f>
        <v>0</v>
      </c>
      <c r="DN71" s="773">
        <f t="shared" si="49"/>
        <v>2683287.56</v>
      </c>
      <c r="DO71" s="773">
        <f>ROUND(+DJ71*'[5]II-F Alloc_Factor'!$I$30,2)</f>
        <v>6313625.9199999999</v>
      </c>
      <c r="DP71" s="773">
        <f>ROUND(+DJ71*'[5]II-F Alloc_Factor'!$J$30,2)</f>
        <v>0</v>
      </c>
      <c r="DQ71" s="773">
        <f t="shared" si="61"/>
        <v>6313625.9199999999</v>
      </c>
      <c r="DR71" s="773">
        <f>ROUND(+DJ71*'[5]II-F Alloc_Factor'!$L$30,2)</f>
        <v>1755731.91</v>
      </c>
      <c r="DS71" s="773">
        <f>ROUND(+DJ71*'[5]II-F Alloc_Factor'!$M$30,2)</f>
        <v>1989859.46</v>
      </c>
      <c r="DU71" s="773">
        <v>13465264.480000002</v>
      </c>
      <c r="DV71" s="773">
        <f>ROUND(+DU71*'[5]II-F Alloc_Factor'!$E$30,2)</f>
        <v>2835484.63</v>
      </c>
      <c r="DW71" s="773">
        <f>ROUND(+DU71*'[5]II-F Alloc_Factor'!$F$30,2)</f>
        <v>0</v>
      </c>
      <c r="DX71" s="773">
        <f>ROUND(+DU71*'[5]II-F Alloc_Factor'!$G$30,2)</f>
        <v>0</v>
      </c>
      <c r="DY71" s="773">
        <f t="shared" si="50"/>
        <v>2835484.63</v>
      </c>
      <c r="DZ71" s="773">
        <f>ROUND(+DU71*'[5]II-F Alloc_Factor'!$I$30,2)</f>
        <v>6671737.1399999997</v>
      </c>
      <c r="EA71" s="773">
        <f>ROUND(+DU71*'[5]II-F Alloc_Factor'!$J$30,2)</f>
        <v>0</v>
      </c>
      <c r="EB71" s="773">
        <f t="shared" si="62"/>
        <v>6671737.1399999997</v>
      </c>
      <c r="EC71" s="773">
        <f>ROUND(+DU71*'[5]II-F Alloc_Factor'!$L$30,2)</f>
        <v>1855317.68</v>
      </c>
      <c r="ED71" s="773">
        <f>ROUND(+DU71*'[5]II-F Alloc_Factor'!$M$30,2)</f>
        <v>2102725.0299999998</v>
      </c>
      <c r="EE71" s="642">
        <f>+'II-E-3.5'!I87-DU71</f>
        <v>0</v>
      </c>
      <c r="EF71" s="772">
        <f t="shared" si="38"/>
        <v>0</v>
      </c>
    </row>
    <row r="72" spans="1:136" s="406" customFormat="1">
      <c r="A72" s="409">
        <f t="shared" si="0"/>
        <v>60</v>
      </c>
      <c r="B72" s="366" t="s">
        <v>959</v>
      </c>
      <c r="C72" s="775" t="s">
        <v>386</v>
      </c>
      <c r="D72" s="773">
        <v>52685300.389999986</v>
      </c>
      <c r="E72" s="773">
        <f>ROUND(+D72*'[5]II-F Alloc_Factor'!$E$27,2)</f>
        <v>10998713.26</v>
      </c>
      <c r="F72" s="773">
        <f>ROUND(+D72*'[5]II-F Alloc_Factor'!$F$27,2)</f>
        <v>0</v>
      </c>
      <c r="G72" s="773">
        <f>ROUND(+D72*'[5]II-F Alloc_Factor'!$G$27,2)</f>
        <v>0</v>
      </c>
      <c r="H72" s="773">
        <f t="shared" si="39"/>
        <v>10998713.26</v>
      </c>
      <c r="I72" s="773">
        <f>ROUND(+D72*'[5]II-F Alloc_Factor'!$I$27,2)</f>
        <v>28137274.449999999</v>
      </c>
      <c r="J72" s="773">
        <f>ROUND(+D72*'[5]II-F Alloc_Factor'!$J$27,2)</f>
        <v>0</v>
      </c>
      <c r="K72" s="773">
        <f t="shared" si="51"/>
        <v>28137274.449999999</v>
      </c>
      <c r="L72" s="773">
        <f>ROUND(+D72*'[5]II-F Alloc_Factor'!$L$27,2)</f>
        <v>10080612.720000001</v>
      </c>
      <c r="M72" s="773">
        <f>ROUND(+D72*'[5]II-F Alloc_Factor'!$M$27,2)</f>
        <v>3468699.96</v>
      </c>
      <c r="N72" s="774"/>
      <c r="O72" s="773">
        <v>52828221.119999975</v>
      </c>
      <c r="P72" s="773">
        <f>ROUND(+O72*'[5]II-F Alloc_Factor'!$E$27,2)</f>
        <v>11028549.74</v>
      </c>
      <c r="Q72" s="773">
        <f>ROUND(+O72*'[5]II-F Alloc_Factor'!$F$27,2)</f>
        <v>0</v>
      </c>
      <c r="R72" s="773">
        <f>ROUND(+O72*'[5]II-F Alloc_Factor'!$G$27,2)</f>
        <v>0</v>
      </c>
      <c r="S72" s="773">
        <f t="shared" si="40"/>
        <v>11028549.74</v>
      </c>
      <c r="T72" s="773">
        <f>ROUND(+O72*'[5]II-F Alloc_Factor'!$I$27,2)</f>
        <v>28213603.140000001</v>
      </c>
      <c r="U72" s="773">
        <f>ROUND(+O72*'[5]II-F Alloc_Factor'!$J$27,2)</f>
        <v>0</v>
      </c>
      <c r="V72" s="773">
        <f t="shared" si="52"/>
        <v>28213603.140000001</v>
      </c>
      <c r="W72" s="773">
        <f>ROUND(+O72*'[5]II-F Alloc_Factor'!$L$27,2)</f>
        <v>10107958.65</v>
      </c>
      <c r="X72" s="773">
        <f>ROUND(+O72*'[5]II-F Alloc_Factor'!$M$27,2)</f>
        <v>3478109.59</v>
      </c>
      <c r="Y72" s="609"/>
      <c r="Z72" s="773">
        <v>52971141.849999964</v>
      </c>
      <c r="AA72" s="773">
        <f>ROUND(+Z72*'[5]II-F Alloc_Factor'!$E$27,2)</f>
        <v>11058386.23</v>
      </c>
      <c r="AB72" s="773">
        <f>ROUND(+Z72*'[5]II-F Alloc_Factor'!$F$27,2)</f>
        <v>0</v>
      </c>
      <c r="AC72" s="773">
        <f>ROUND(+Z72*'[5]II-F Alloc_Factor'!$G$27,2)</f>
        <v>0</v>
      </c>
      <c r="AD72" s="773">
        <f t="shared" si="41"/>
        <v>11058386.23</v>
      </c>
      <c r="AE72" s="773">
        <f>ROUND(+Z72*'[5]II-F Alloc_Factor'!$I$27,2)</f>
        <v>28289931.82</v>
      </c>
      <c r="AF72" s="773">
        <f>ROUND(+Z72*'[5]II-F Alloc_Factor'!$J$27,2)</f>
        <v>0</v>
      </c>
      <c r="AG72" s="773">
        <f t="shared" si="53"/>
        <v>28289931.82</v>
      </c>
      <c r="AH72" s="773">
        <f>ROUND(+Z72*'[5]II-F Alloc_Factor'!$L$27,2)</f>
        <v>10135304.58</v>
      </c>
      <c r="AI72" s="773">
        <f>ROUND(+Z72*'[5]II-F Alloc_Factor'!$M$27,2)</f>
        <v>3487519.22</v>
      </c>
      <c r="AK72" s="773">
        <v>53114062.579999954</v>
      </c>
      <c r="AL72" s="773">
        <f>ROUND(+AK72*'[5]II-F Alloc_Factor'!$E$27,2)</f>
        <v>11088222.710000001</v>
      </c>
      <c r="AM72" s="773">
        <f>ROUND(+AK72*'[5]II-F Alloc_Factor'!$F$27,2)</f>
        <v>0</v>
      </c>
      <c r="AN72" s="773">
        <f>ROUND(+AK72*'[5]II-F Alloc_Factor'!$G$27,2)</f>
        <v>0</v>
      </c>
      <c r="AO72" s="773">
        <f t="shared" si="42"/>
        <v>11088222.710000001</v>
      </c>
      <c r="AP72" s="773">
        <f>ROUND(+AK72*'[5]II-F Alloc_Factor'!$I$27,2)</f>
        <v>28366260.510000002</v>
      </c>
      <c r="AQ72" s="773">
        <f>ROUND(+AK72*'[5]II-F Alloc_Factor'!$J$27,2)</f>
        <v>0</v>
      </c>
      <c r="AR72" s="773">
        <f t="shared" si="54"/>
        <v>28366260.510000002</v>
      </c>
      <c r="AS72" s="773">
        <f>ROUND(+AK72*'[5]II-F Alloc_Factor'!$L$27,2)</f>
        <v>10162650.51</v>
      </c>
      <c r="AT72" s="773">
        <f>ROUND(+AK72*'[5]II-F Alloc_Factor'!$M$27,2)</f>
        <v>3496928.85</v>
      </c>
      <c r="AU72" s="779"/>
      <c r="AV72" s="773">
        <v>53256983.319999963</v>
      </c>
      <c r="AW72" s="773">
        <f>ROUND(+AV72*'[5]II-F Alloc_Factor'!$E$27,2)</f>
        <v>11118059.199999999</v>
      </c>
      <c r="AX72" s="773">
        <f>ROUND(+AV72*'[5]II-F Alloc_Factor'!$F$27,2)</f>
        <v>0</v>
      </c>
      <c r="AY72" s="773">
        <f>ROUND(+AV72*'[5]II-F Alloc_Factor'!$G$27,2)</f>
        <v>0</v>
      </c>
      <c r="AZ72" s="773">
        <f t="shared" si="43"/>
        <v>11118059.199999999</v>
      </c>
      <c r="BA72" s="773">
        <f>ROUND(+AV72*'[5]II-F Alloc_Factor'!$I$27,2)</f>
        <v>28442589.199999999</v>
      </c>
      <c r="BB72" s="773">
        <f>ROUND(+AV72*'[5]II-F Alloc_Factor'!$J$27,2)</f>
        <v>0</v>
      </c>
      <c r="BC72" s="773">
        <f t="shared" si="55"/>
        <v>28442589.199999999</v>
      </c>
      <c r="BD72" s="773">
        <f>ROUND(+AV72*'[5]II-F Alloc_Factor'!$L$27,2)</f>
        <v>10189996.439999999</v>
      </c>
      <c r="BE72" s="773">
        <f>ROUND(+AV72*'[5]II-F Alloc_Factor'!$M$27,2)</f>
        <v>3506338.48</v>
      </c>
      <c r="BF72" s="779"/>
      <c r="BG72" s="773">
        <v>53399904.049999952</v>
      </c>
      <c r="BH72" s="773">
        <f>ROUND(+BG72*'[5]II-F Alloc_Factor'!$E$27,2)</f>
        <v>11147895.68</v>
      </c>
      <c r="BI72" s="773">
        <f>ROUND(+BG72*'[5]II-F Alloc_Factor'!$F$27,2)</f>
        <v>0</v>
      </c>
      <c r="BJ72" s="773">
        <f>ROUND(+BG72*'[5]II-F Alloc_Factor'!$G$27,2)</f>
        <v>0</v>
      </c>
      <c r="BK72" s="773">
        <f t="shared" si="44"/>
        <v>11147895.68</v>
      </c>
      <c r="BL72" s="773">
        <f>ROUND(+BG72*'[5]II-F Alloc_Factor'!$I$27,2)</f>
        <v>28518917.890000001</v>
      </c>
      <c r="BM72" s="773">
        <f>ROUND(+BG72*'[5]II-F Alloc_Factor'!$J$27,2)</f>
        <v>0</v>
      </c>
      <c r="BN72" s="773">
        <f t="shared" si="56"/>
        <v>28518917.890000001</v>
      </c>
      <c r="BO72" s="773">
        <f>ROUND(+BG72*'[5]II-F Alloc_Factor'!$L$27,2)</f>
        <v>10217342.369999999</v>
      </c>
      <c r="BP72" s="773">
        <f>ROUND(+BG72*'[5]II-F Alloc_Factor'!$M$27,2)</f>
        <v>3515748.11</v>
      </c>
      <c r="BQ72" s="779"/>
      <c r="BR72" s="773">
        <v>53542824.779999942</v>
      </c>
      <c r="BS72" s="773">
        <f>ROUND(+BR72*'[5]II-F Alloc_Factor'!$E$27,2)</f>
        <v>11177732.16</v>
      </c>
      <c r="BT72" s="773">
        <f>ROUND(+BR72*'[5]II-F Alloc_Factor'!$F$27,2)</f>
        <v>0</v>
      </c>
      <c r="BU72" s="773">
        <f>ROUND(+BR72*'[5]II-F Alloc_Factor'!$G$27,2)</f>
        <v>0</v>
      </c>
      <c r="BV72" s="773">
        <f t="shared" si="45"/>
        <v>11177732.16</v>
      </c>
      <c r="BW72" s="773">
        <f>ROUND(+BR72*'[5]II-F Alloc_Factor'!$I$27,2)</f>
        <v>28595246.579999998</v>
      </c>
      <c r="BX72" s="773">
        <f>ROUND(+BR72*'[5]II-F Alloc_Factor'!$J$27,2)</f>
        <v>0</v>
      </c>
      <c r="BY72" s="773">
        <f t="shared" si="57"/>
        <v>28595246.579999998</v>
      </c>
      <c r="BZ72" s="773">
        <f>ROUND(+BR72*'[5]II-F Alloc_Factor'!$L$27,2)</f>
        <v>10244688.300000001</v>
      </c>
      <c r="CA72" s="773">
        <f>ROUND(+BR72*'[5]II-F Alloc_Factor'!$M$27,2)</f>
        <v>3525157.74</v>
      </c>
      <c r="CC72" s="773">
        <v>53685745.519999951</v>
      </c>
      <c r="CD72" s="773">
        <f>ROUND(+CC72*'[5]II-F Alloc_Factor'!$E$27,2)</f>
        <v>11207568.65</v>
      </c>
      <c r="CE72" s="773">
        <f>ROUND(+CC72*'[5]II-F Alloc_Factor'!$F$27,2)</f>
        <v>0</v>
      </c>
      <c r="CF72" s="773">
        <f>ROUND(+CC72*'[5]II-F Alloc_Factor'!$G$27,2)</f>
        <v>0</v>
      </c>
      <c r="CG72" s="773">
        <f t="shared" si="46"/>
        <v>11207568.65</v>
      </c>
      <c r="CH72" s="773">
        <f>ROUND(+CC72*'[5]II-F Alloc_Factor'!$I$27,2)</f>
        <v>28671575.27</v>
      </c>
      <c r="CI72" s="773">
        <f>ROUND(+CC72*'[5]II-F Alloc_Factor'!$J$27,2)</f>
        <v>0</v>
      </c>
      <c r="CJ72" s="773">
        <f t="shared" si="58"/>
        <v>28671575.27</v>
      </c>
      <c r="CK72" s="773">
        <f>ROUND(+CC72*'[5]II-F Alloc_Factor'!$L$27,2)</f>
        <v>10272034.23</v>
      </c>
      <c r="CL72" s="773">
        <f>ROUND(+CC72*'[5]II-F Alloc_Factor'!$M$27,2)</f>
        <v>3534567.37</v>
      </c>
      <c r="CN72" s="773">
        <v>45622916.23999995</v>
      </c>
      <c r="CO72" s="773">
        <f>ROUND(+CN72*'[5]II-F Alloc_Factor'!$E$27,2)</f>
        <v>9524352.5199999996</v>
      </c>
      <c r="CP72" s="773">
        <f>ROUND(+CN72*'[5]II-F Alloc_Factor'!$F$27,2)</f>
        <v>0</v>
      </c>
      <c r="CQ72" s="773">
        <f>ROUND(+CN72*'[5]II-F Alloc_Factor'!$G$27,2)</f>
        <v>0</v>
      </c>
      <c r="CR72" s="773">
        <f t="shared" si="47"/>
        <v>9524352.5199999996</v>
      </c>
      <c r="CS72" s="773">
        <f>ROUND(+CN72*'[5]II-F Alloc_Factor'!$I$27,2)</f>
        <v>24365515.73</v>
      </c>
      <c r="CT72" s="773">
        <f>ROUND(+CN72*'[5]II-F Alloc_Factor'!$J$27,2)</f>
        <v>0</v>
      </c>
      <c r="CU72" s="773">
        <f t="shared" si="59"/>
        <v>24365515.73</v>
      </c>
      <c r="CV72" s="773">
        <f>ROUND(+CN72*'[5]II-F Alloc_Factor'!$L$27,2)</f>
        <v>8729321.9600000009</v>
      </c>
      <c r="CW72" s="773">
        <f>ROUND(+CN72*'[5]II-F Alloc_Factor'!$M$27,2)</f>
        <v>3003726.02</v>
      </c>
      <c r="CY72" s="773">
        <v>44854086.979999959</v>
      </c>
      <c r="CZ72" s="773">
        <f>ROUND(+CY72*'[5]II-F Alloc_Factor'!$E$27,2)</f>
        <v>9363849.8300000001</v>
      </c>
      <c r="DA72" s="773">
        <f>ROUND(+CY72*'[5]II-F Alloc_Factor'!$F$27,2)</f>
        <v>0</v>
      </c>
      <c r="DB72" s="773">
        <f>ROUND(+CY72*'[5]II-F Alloc_Factor'!$G$27,2)</f>
        <v>0</v>
      </c>
      <c r="DC72" s="773">
        <f t="shared" si="48"/>
        <v>9363849.8300000001</v>
      </c>
      <c r="DD72" s="773">
        <f>ROUND(+CY72*'[5]II-F Alloc_Factor'!$I$27,2)</f>
        <v>23954912.399999999</v>
      </c>
      <c r="DE72" s="773">
        <f>ROUND(+CY72*'[5]II-F Alloc_Factor'!$J$27,2)</f>
        <v>0</v>
      </c>
      <c r="DF72" s="773">
        <f t="shared" si="60"/>
        <v>23954912.399999999</v>
      </c>
      <c r="DG72" s="773">
        <f>ROUND(+CY72*'[5]II-F Alloc_Factor'!$L$27,2)</f>
        <v>8582216.9800000004</v>
      </c>
      <c r="DH72" s="773">
        <f>ROUND(+CY72*'[5]II-F Alloc_Factor'!$M$27,2)</f>
        <v>2953107.77</v>
      </c>
      <c r="DJ72" s="773">
        <v>44085257.709999949</v>
      </c>
      <c r="DK72" s="773">
        <f>ROUND(+DJ72*'[5]II-F Alloc_Factor'!$E$27,2)</f>
        <v>9203347.1400000006</v>
      </c>
      <c r="DL72" s="773">
        <f>ROUND(+DJ72*'[5]II-F Alloc_Factor'!$F$27,2)</f>
        <v>0</v>
      </c>
      <c r="DM72" s="773">
        <f>ROUND(+DJ72*'[5]II-F Alloc_Factor'!$G$27,2)</f>
        <v>0</v>
      </c>
      <c r="DN72" s="773">
        <f t="shared" si="49"/>
        <v>9203347.1400000006</v>
      </c>
      <c r="DO72" s="773">
        <f>ROUND(+DJ72*'[5]II-F Alloc_Factor'!$I$27,2)</f>
        <v>23544309.059999999</v>
      </c>
      <c r="DP72" s="773">
        <f>ROUND(+DJ72*'[5]II-F Alloc_Factor'!$J$27,2)</f>
        <v>0</v>
      </c>
      <c r="DQ72" s="773">
        <f t="shared" si="61"/>
        <v>23544309.059999999</v>
      </c>
      <c r="DR72" s="773">
        <f>ROUND(+DJ72*'[5]II-F Alloc_Factor'!$L$27,2)</f>
        <v>8435112</v>
      </c>
      <c r="DS72" s="773">
        <f>ROUND(+DJ72*'[5]II-F Alloc_Factor'!$M$27,2)</f>
        <v>2902489.51</v>
      </c>
      <c r="DU72" s="773">
        <v>38969428.449999958</v>
      </c>
      <c r="DV72" s="773">
        <f>ROUND(+DU72*'[5]II-F Alloc_Factor'!$E$27,2)</f>
        <v>8135354</v>
      </c>
      <c r="DW72" s="773">
        <f>ROUND(+DU72*'[5]II-F Alloc_Factor'!$F$27,2)</f>
        <v>0</v>
      </c>
      <c r="DX72" s="773">
        <f>ROUND(+DU72*'[5]II-F Alloc_Factor'!$G$27,2)</f>
        <v>0</v>
      </c>
      <c r="DY72" s="773">
        <f t="shared" si="50"/>
        <v>8135354</v>
      </c>
      <c r="DZ72" s="773">
        <f>ROUND(+DU72*'[5]II-F Alloc_Factor'!$I$27,2)</f>
        <v>20812133.469999999</v>
      </c>
      <c r="EA72" s="773">
        <f>ROUND(+DU72*'[5]II-F Alloc_Factor'!$J$27,2)</f>
        <v>0</v>
      </c>
      <c r="EB72" s="773">
        <f t="shared" si="62"/>
        <v>20812133.469999999</v>
      </c>
      <c r="EC72" s="773">
        <f>ROUND(+DU72*'[5]II-F Alloc_Factor'!$L$27,2)</f>
        <v>7456267.9400000004</v>
      </c>
      <c r="ED72" s="773">
        <f>ROUND(+DU72*'[5]II-F Alloc_Factor'!$M$27,2)</f>
        <v>2565673.04</v>
      </c>
      <c r="EE72" s="642">
        <f>+'II-E-3.5'!I88-DU72</f>
        <v>0</v>
      </c>
      <c r="EF72" s="772">
        <f t="shared" si="38"/>
        <v>0</v>
      </c>
    </row>
    <row r="73" spans="1:136" s="406" customFormat="1">
      <c r="A73" s="409">
        <f t="shared" si="0"/>
        <v>61</v>
      </c>
      <c r="B73" s="366" t="s">
        <v>426</v>
      </c>
      <c r="C73" s="775" t="s">
        <v>711</v>
      </c>
      <c r="D73" s="773">
        <v>551722.69999999995</v>
      </c>
      <c r="E73" s="773">
        <v>0</v>
      </c>
      <c r="F73" s="773">
        <v>0</v>
      </c>
      <c r="G73" s="773">
        <v>0</v>
      </c>
      <c r="H73" s="773">
        <f t="shared" si="39"/>
        <v>0</v>
      </c>
      <c r="I73" s="773">
        <f>+D73</f>
        <v>551722.69999999995</v>
      </c>
      <c r="J73" s="773">
        <v>0</v>
      </c>
      <c r="K73" s="773">
        <f t="shared" si="51"/>
        <v>551722.69999999995</v>
      </c>
      <c r="L73" s="773">
        <v>0</v>
      </c>
      <c r="M73" s="773">
        <v>0</v>
      </c>
      <c r="N73" s="774"/>
      <c r="O73" s="773">
        <v>1305779.0899999999</v>
      </c>
      <c r="P73" s="773">
        <v>0</v>
      </c>
      <c r="Q73" s="773">
        <v>0</v>
      </c>
      <c r="R73" s="773">
        <v>0</v>
      </c>
      <c r="S73" s="773">
        <f t="shared" si="40"/>
        <v>0</v>
      </c>
      <c r="T73" s="773">
        <f>+O73</f>
        <v>1305779.0899999999</v>
      </c>
      <c r="U73" s="773">
        <v>0</v>
      </c>
      <c r="V73" s="773">
        <f t="shared" si="52"/>
        <v>1305779.0899999999</v>
      </c>
      <c r="W73" s="773">
        <v>0</v>
      </c>
      <c r="X73" s="773">
        <v>0</v>
      </c>
      <c r="Y73" s="609"/>
      <c r="Z73" s="773">
        <v>-40676.020000000251</v>
      </c>
      <c r="AA73" s="773">
        <v>0</v>
      </c>
      <c r="AB73" s="773">
        <v>0</v>
      </c>
      <c r="AC73" s="773">
        <v>0</v>
      </c>
      <c r="AD73" s="773">
        <f t="shared" si="41"/>
        <v>0</v>
      </c>
      <c r="AE73" s="773">
        <f>+Z73</f>
        <v>-40676.020000000251</v>
      </c>
      <c r="AF73" s="773">
        <v>0</v>
      </c>
      <c r="AG73" s="773">
        <f t="shared" si="53"/>
        <v>-40676.020000000251</v>
      </c>
      <c r="AH73" s="773">
        <v>0</v>
      </c>
      <c r="AI73" s="773">
        <v>0</v>
      </c>
      <c r="AK73" s="773">
        <v>81081.289999999746</v>
      </c>
      <c r="AL73" s="773">
        <v>0</v>
      </c>
      <c r="AM73" s="773">
        <v>0</v>
      </c>
      <c r="AN73" s="773">
        <v>0</v>
      </c>
      <c r="AO73" s="773">
        <f t="shared" si="42"/>
        <v>0</v>
      </c>
      <c r="AP73" s="773">
        <f>+AK73</f>
        <v>81081.289999999746</v>
      </c>
      <c r="AQ73" s="773">
        <v>0</v>
      </c>
      <c r="AR73" s="773">
        <f t="shared" si="54"/>
        <v>81081.289999999746</v>
      </c>
      <c r="AS73" s="773">
        <v>0</v>
      </c>
      <c r="AT73" s="773">
        <v>0</v>
      </c>
      <c r="AU73" s="779"/>
      <c r="AV73" s="773">
        <v>202838.58999999973</v>
      </c>
      <c r="AW73" s="773">
        <v>0</v>
      </c>
      <c r="AX73" s="773">
        <v>0</v>
      </c>
      <c r="AY73" s="773">
        <v>0</v>
      </c>
      <c r="AZ73" s="773">
        <f t="shared" si="43"/>
        <v>0</v>
      </c>
      <c r="BA73" s="773">
        <f>+AV73</f>
        <v>202838.58999999973</v>
      </c>
      <c r="BB73" s="773">
        <v>0</v>
      </c>
      <c r="BC73" s="773">
        <f t="shared" si="55"/>
        <v>202838.58999999973</v>
      </c>
      <c r="BD73" s="773">
        <v>0</v>
      </c>
      <c r="BE73" s="773">
        <v>0</v>
      </c>
      <c r="BF73" s="779"/>
      <c r="BG73" s="773">
        <v>-44227.170000000275</v>
      </c>
      <c r="BH73" s="773">
        <v>0</v>
      </c>
      <c r="BI73" s="773">
        <v>0</v>
      </c>
      <c r="BJ73" s="773">
        <v>0</v>
      </c>
      <c r="BK73" s="773">
        <f t="shared" si="44"/>
        <v>0</v>
      </c>
      <c r="BL73" s="773">
        <f>+BG73</f>
        <v>-44227.170000000275</v>
      </c>
      <c r="BM73" s="773">
        <v>0</v>
      </c>
      <c r="BN73" s="773">
        <f t="shared" si="56"/>
        <v>-44227.170000000275</v>
      </c>
      <c r="BO73" s="773">
        <v>0</v>
      </c>
      <c r="BP73" s="773">
        <v>0</v>
      </c>
      <c r="BQ73" s="779"/>
      <c r="BR73" s="773">
        <v>16059.629999999728</v>
      </c>
      <c r="BS73" s="773">
        <v>0</v>
      </c>
      <c r="BT73" s="773">
        <v>0</v>
      </c>
      <c r="BU73" s="773">
        <v>0</v>
      </c>
      <c r="BV73" s="773">
        <f t="shared" si="45"/>
        <v>0</v>
      </c>
      <c r="BW73" s="773">
        <f>+BR73</f>
        <v>16059.629999999728</v>
      </c>
      <c r="BX73" s="773">
        <v>0</v>
      </c>
      <c r="BY73" s="773">
        <f t="shared" si="57"/>
        <v>16059.629999999728</v>
      </c>
      <c r="BZ73" s="773">
        <v>0</v>
      </c>
      <c r="CA73" s="773">
        <v>0</v>
      </c>
      <c r="CC73" s="773">
        <v>76346.419999999722</v>
      </c>
      <c r="CD73" s="773">
        <v>0</v>
      </c>
      <c r="CE73" s="773">
        <v>0</v>
      </c>
      <c r="CF73" s="773">
        <v>0</v>
      </c>
      <c r="CG73" s="773">
        <f t="shared" si="46"/>
        <v>0</v>
      </c>
      <c r="CH73" s="773">
        <f>+CC73</f>
        <v>76346.419999999722</v>
      </c>
      <c r="CI73" s="773">
        <v>0</v>
      </c>
      <c r="CJ73" s="773">
        <f t="shared" si="58"/>
        <v>76346.419999999722</v>
      </c>
      <c r="CK73" s="773">
        <v>0</v>
      </c>
      <c r="CL73" s="773">
        <v>0</v>
      </c>
      <c r="CN73" s="773">
        <v>-766062.0700000003</v>
      </c>
      <c r="CO73" s="773">
        <v>0</v>
      </c>
      <c r="CP73" s="773">
        <v>0</v>
      </c>
      <c r="CQ73" s="773">
        <v>0</v>
      </c>
      <c r="CR73" s="773">
        <f t="shared" si="47"/>
        <v>0</v>
      </c>
      <c r="CS73" s="773">
        <f>+CN73</f>
        <v>-766062.0700000003</v>
      </c>
      <c r="CT73" s="773">
        <v>0</v>
      </c>
      <c r="CU73" s="773">
        <f t="shared" si="59"/>
        <v>-766062.0700000003</v>
      </c>
      <c r="CV73" s="773">
        <v>0</v>
      </c>
      <c r="CW73" s="773">
        <v>0</v>
      </c>
      <c r="CY73" s="773">
        <v>-806074.76000000024</v>
      </c>
      <c r="CZ73" s="773">
        <v>0</v>
      </c>
      <c r="DA73" s="773">
        <v>0</v>
      </c>
      <c r="DB73" s="773">
        <v>0</v>
      </c>
      <c r="DC73" s="773">
        <f t="shared" si="48"/>
        <v>0</v>
      </c>
      <c r="DD73" s="773">
        <f>+CY73</f>
        <v>-806074.76000000024</v>
      </c>
      <c r="DE73" s="773">
        <v>0</v>
      </c>
      <c r="DF73" s="773">
        <f t="shared" si="60"/>
        <v>-806074.76000000024</v>
      </c>
      <c r="DG73" s="773">
        <v>0</v>
      </c>
      <c r="DH73" s="773">
        <v>0</v>
      </c>
      <c r="DJ73" s="773">
        <v>-846087.44000000029</v>
      </c>
      <c r="DK73" s="773">
        <v>0</v>
      </c>
      <c r="DL73" s="773">
        <v>0</v>
      </c>
      <c r="DM73" s="773">
        <v>0</v>
      </c>
      <c r="DN73" s="773">
        <f t="shared" si="49"/>
        <v>0</v>
      </c>
      <c r="DO73" s="773">
        <f>+DJ73</f>
        <v>-846087.44000000029</v>
      </c>
      <c r="DP73" s="773">
        <v>0</v>
      </c>
      <c r="DQ73" s="773">
        <f t="shared" si="61"/>
        <v>-846087.44000000029</v>
      </c>
      <c r="DR73" s="773">
        <v>0</v>
      </c>
      <c r="DS73" s="773">
        <v>0</v>
      </c>
      <c r="DU73" s="773">
        <v>-1451649.2100000004</v>
      </c>
      <c r="DV73" s="773">
        <v>0</v>
      </c>
      <c r="DW73" s="773">
        <v>0</v>
      </c>
      <c r="DX73" s="773">
        <v>0</v>
      </c>
      <c r="DY73" s="773">
        <f t="shared" si="50"/>
        <v>0</v>
      </c>
      <c r="DZ73" s="773">
        <f>+DU73</f>
        <v>-1451649.2100000004</v>
      </c>
      <c r="EA73" s="773">
        <v>0</v>
      </c>
      <c r="EB73" s="773">
        <f t="shared" si="62"/>
        <v>-1451649.2100000004</v>
      </c>
      <c r="EC73" s="773">
        <v>0</v>
      </c>
      <c r="ED73" s="773">
        <v>0</v>
      </c>
      <c r="EE73" s="642">
        <f>+'II-E-3.5'!I90-DU73</f>
        <v>0</v>
      </c>
      <c r="EF73" s="772">
        <f t="shared" si="38"/>
        <v>0</v>
      </c>
    </row>
    <row r="74" spans="1:136" s="406" customFormat="1">
      <c r="A74" s="409">
        <f t="shared" si="0"/>
        <v>62</v>
      </c>
      <c r="B74" s="366" t="s">
        <v>613</v>
      </c>
      <c r="C74" s="775" t="s">
        <v>880</v>
      </c>
      <c r="D74" s="773">
        <v>376560.82</v>
      </c>
      <c r="E74" s="773">
        <v>0</v>
      </c>
      <c r="F74" s="773">
        <f>+D74</f>
        <v>376560.82</v>
      </c>
      <c r="G74" s="773">
        <v>0</v>
      </c>
      <c r="H74" s="773">
        <f t="shared" si="39"/>
        <v>376560.82</v>
      </c>
      <c r="I74" s="773">
        <v>0</v>
      </c>
      <c r="J74" s="773">
        <v>0</v>
      </c>
      <c r="K74" s="773">
        <f t="shared" si="51"/>
        <v>0</v>
      </c>
      <c r="L74" s="773">
        <v>0</v>
      </c>
      <c r="M74" s="773">
        <v>0</v>
      </c>
      <c r="N74" s="774"/>
      <c r="O74" s="773">
        <v>379237.81</v>
      </c>
      <c r="P74" s="773">
        <v>0</v>
      </c>
      <c r="Q74" s="773">
        <f>+O74</f>
        <v>379237.81</v>
      </c>
      <c r="R74" s="773">
        <v>0</v>
      </c>
      <c r="S74" s="773">
        <f t="shared" si="40"/>
        <v>379237.81</v>
      </c>
      <c r="T74" s="773">
        <v>0</v>
      </c>
      <c r="U74" s="773">
        <v>0</v>
      </c>
      <c r="V74" s="773">
        <f t="shared" si="52"/>
        <v>0</v>
      </c>
      <c r="W74" s="773">
        <v>0</v>
      </c>
      <c r="X74" s="773">
        <v>0</v>
      </c>
      <c r="Y74" s="609"/>
      <c r="Z74" s="773">
        <v>381914.8</v>
      </c>
      <c r="AA74" s="773">
        <v>0</v>
      </c>
      <c r="AB74" s="773">
        <f>+Z74</f>
        <v>381914.8</v>
      </c>
      <c r="AC74" s="773">
        <v>0</v>
      </c>
      <c r="AD74" s="773">
        <f t="shared" si="41"/>
        <v>381914.8</v>
      </c>
      <c r="AE74" s="773">
        <v>0</v>
      </c>
      <c r="AF74" s="773">
        <v>0</v>
      </c>
      <c r="AG74" s="773">
        <f t="shared" si="53"/>
        <v>0</v>
      </c>
      <c r="AH74" s="773">
        <v>0</v>
      </c>
      <c r="AI74" s="773">
        <v>0</v>
      </c>
      <c r="AK74" s="773">
        <v>384591.8</v>
      </c>
      <c r="AL74" s="773">
        <v>0</v>
      </c>
      <c r="AM74" s="773">
        <f>+AK74</f>
        <v>384591.8</v>
      </c>
      <c r="AN74" s="773">
        <v>0</v>
      </c>
      <c r="AO74" s="773">
        <f t="shared" si="42"/>
        <v>384591.8</v>
      </c>
      <c r="AP74" s="773">
        <v>0</v>
      </c>
      <c r="AQ74" s="773">
        <v>0</v>
      </c>
      <c r="AR74" s="773">
        <f t="shared" si="54"/>
        <v>0</v>
      </c>
      <c r="AS74" s="773">
        <v>0</v>
      </c>
      <c r="AT74" s="773">
        <v>0</v>
      </c>
      <c r="AU74" s="779"/>
      <c r="AV74" s="773">
        <v>387268.79</v>
      </c>
      <c r="AW74" s="773">
        <v>0</v>
      </c>
      <c r="AX74" s="773">
        <f>+AV74</f>
        <v>387268.79</v>
      </c>
      <c r="AY74" s="773">
        <v>0</v>
      </c>
      <c r="AZ74" s="773">
        <f t="shared" si="43"/>
        <v>387268.79</v>
      </c>
      <c r="BA74" s="773">
        <v>0</v>
      </c>
      <c r="BB74" s="773">
        <v>0</v>
      </c>
      <c r="BC74" s="773">
        <f t="shared" si="55"/>
        <v>0</v>
      </c>
      <c r="BD74" s="773">
        <v>0</v>
      </c>
      <c r="BE74" s="773">
        <v>0</v>
      </c>
      <c r="BF74" s="779"/>
      <c r="BG74" s="773">
        <v>389945.77999999997</v>
      </c>
      <c r="BH74" s="773">
        <v>0</v>
      </c>
      <c r="BI74" s="773">
        <f>+BG74</f>
        <v>389945.77999999997</v>
      </c>
      <c r="BJ74" s="773">
        <v>0</v>
      </c>
      <c r="BK74" s="773">
        <f t="shared" si="44"/>
        <v>389945.77999999997</v>
      </c>
      <c r="BL74" s="773">
        <v>0</v>
      </c>
      <c r="BM74" s="773">
        <v>0</v>
      </c>
      <c r="BN74" s="773">
        <f t="shared" si="56"/>
        <v>0</v>
      </c>
      <c r="BO74" s="773">
        <v>0</v>
      </c>
      <c r="BP74" s="773">
        <v>0</v>
      </c>
      <c r="BQ74" s="779"/>
      <c r="BR74" s="773">
        <v>392622.77999999997</v>
      </c>
      <c r="BS74" s="773">
        <v>0</v>
      </c>
      <c r="BT74" s="773">
        <f>+BR74</f>
        <v>392622.77999999997</v>
      </c>
      <c r="BU74" s="773">
        <v>0</v>
      </c>
      <c r="BV74" s="773">
        <f t="shared" si="45"/>
        <v>392622.77999999997</v>
      </c>
      <c r="BW74" s="773">
        <v>0</v>
      </c>
      <c r="BX74" s="773">
        <v>0</v>
      </c>
      <c r="BY74" s="773">
        <f t="shared" si="57"/>
        <v>0</v>
      </c>
      <c r="BZ74" s="773">
        <v>0</v>
      </c>
      <c r="CA74" s="773">
        <v>0</v>
      </c>
      <c r="CC74" s="773">
        <v>395299.76999999996</v>
      </c>
      <c r="CD74" s="773">
        <v>0</v>
      </c>
      <c r="CE74" s="773">
        <f>+CC74</f>
        <v>395299.76999999996</v>
      </c>
      <c r="CF74" s="773">
        <v>0</v>
      </c>
      <c r="CG74" s="773">
        <f t="shared" si="46"/>
        <v>395299.76999999996</v>
      </c>
      <c r="CH74" s="773">
        <v>0</v>
      </c>
      <c r="CI74" s="773">
        <v>0</v>
      </c>
      <c r="CJ74" s="773">
        <f t="shared" si="58"/>
        <v>0</v>
      </c>
      <c r="CK74" s="773">
        <v>0</v>
      </c>
      <c r="CL74" s="773">
        <v>0</v>
      </c>
      <c r="CN74" s="773">
        <v>397976.76999999996</v>
      </c>
      <c r="CO74" s="773">
        <v>0</v>
      </c>
      <c r="CP74" s="773">
        <f>+CN74</f>
        <v>397976.76999999996</v>
      </c>
      <c r="CQ74" s="773">
        <v>0</v>
      </c>
      <c r="CR74" s="773">
        <f t="shared" si="47"/>
        <v>397976.76999999996</v>
      </c>
      <c r="CS74" s="773">
        <v>0</v>
      </c>
      <c r="CT74" s="773">
        <v>0</v>
      </c>
      <c r="CU74" s="773">
        <f t="shared" si="59"/>
        <v>0</v>
      </c>
      <c r="CV74" s="773">
        <v>0</v>
      </c>
      <c r="CW74" s="773">
        <v>0</v>
      </c>
      <c r="CY74" s="773">
        <v>400653.75999999995</v>
      </c>
      <c r="CZ74" s="773">
        <v>0</v>
      </c>
      <c r="DA74" s="773">
        <f>+CY74</f>
        <v>400653.75999999995</v>
      </c>
      <c r="DB74" s="773">
        <v>0</v>
      </c>
      <c r="DC74" s="773">
        <f t="shared" si="48"/>
        <v>400653.75999999995</v>
      </c>
      <c r="DD74" s="773">
        <v>0</v>
      </c>
      <c r="DE74" s="773">
        <v>0</v>
      </c>
      <c r="DF74" s="773">
        <f t="shared" si="60"/>
        <v>0</v>
      </c>
      <c r="DG74" s="773">
        <v>0</v>
      </c>
      <c r="DH74" s="773">
        <v>0</v>
      </c>
      <c r="DJ74" s="773">
        <v>403330.74999999994</v>
      </c>
      <c r="DK74" s="773">
        <v>0</v>
      </c>
      <c r="DL74" s="773">
        <f>+DJ74</f>
        <v>403330.74999999994</v>
      </c>
      <c r="DM74" s="773">
        <v>0</v>
      </c>
      <c r="DN74" s="773">
        <f t="shared" si="49"/>
        <v>403330.74999999994</v>
      </c>
      <c r="DO74" s="773">
        <v>0</v>
      </c>
      <c r="DP74" s="773">
        <v>0</v>
      </c>
      <c r="DQ74" s="773">
        <f t="shared" si="61"/>
        <v>0</v>
      </c>
      <c r="DR74" s="773">
        <v>0</v>
      </c>
      <c r="DS74" s="773">
        <v>0</v>
      </c>
      <c r="DU74" s="773">
        <v>406007.74999999994</v>
      </c>
      <c r="DV74" s="773">
        <v>0</v>
      </c>
      <c r="DW74" s="773">
        <f>+DU74</f>
        <v>406007.74999999994</v>
      </c>
      <c r="DX74" s="773">
        <v>0</v>
      </c>
      <c r="DY74" s="773">
        <f t="shared" si="50"/>
        <v>406007.74999999994</v>
      </c>
      <c r="DZ74" s="773">
        <v>0</v>
      </c>
      <c r="EA74" s="773">
        <v>0</v>
      </c>
      <c r="EB74" s="773">
        <f t="shared" si="62"/>
        <v>0</v>
      </c>
      <c r="EC74" s="773">
        <v>0</v>
      </c>
      <c r="ED74" s="773">
        <v>0</v>
      </c>
      <c r="EE74" s="642">
        <f>+'II-E-3.5'!I91-DU74</f>
        <v>0</v>
      </c>
      <c r="EF74" s="772">
        <f t="shared" si="38"/>
        <v>0</v>
      </c>
    </row>
    <row r="75" spans="1:136" s="406" customFormat="1">
      <c r="A75" s="409">
        <f t="shared" si="0"/>
        <v>63</v>
      </c>
      <c r="B75" s="366" t="s">
        <v>846</v>
      </c>
      <c r="C75" s="775" t="s">
        <v>684</v>
      </c>
      <c r="D75" s="773">
        <v>1173749.2999999998</v>
      </c>
      <c r="E75" s="773">
        <f>ROUND(+D75*'[5]II-F Alloc_Factor'!$E$38,2)</f>
        <v>533566.17000000004</v>
      </c>
      <c r="F75" s="773">
        <f>ROUND(+D75*'[5]II-F Alloc_Factor'!$F$38,2)</f>
        <v>0</v>
      </c>
      <c r="G75" s="773">
        <f>ROUND(+D75*'[5]II-F Alloc_Factor'!$G$38,2)</f>
        <v>458.4</v>
      </c>
      <c r="H75" s="773">
        <f t="shared" si="39"/>
        <v>534024.57000000007</v>
      </c>
      <c r="I75" s="773">
        <f>ROUND(+D75*'[5]II-F Alloc_Factor'!$I$38,2)</f>
        <v>609386.07999999996</v>
      </c>
      <c r="J75" s="773">
        <f>ROUND(+D75*'[5]II-F Alloc_Factor'!$J$38,2)</f>
        <v>0</v>
      </c>
      <c r="K75" s="773">
        <f t="shared" si="51"/>
        <v>609386.07999999996</v>
      </c>
      <c r="L75" s="773">
        <f>ROUND(+D75*'[5]II-F Alloc_Factor'!$L$38,2)</f>
        <v>18264.46</v>
      </c>
      <c r="M75" s="773">
        <f>ROUND(+D75*'[5]II-F Alloc_Factor'!$M$38,2)</f>
        <v>12074.18</v>
      </c>
      <c r="N75" s="774"/>
      <c r="O75" s="773">
        <v>1197780.7099999997</v>
      </c>
      <c r="P75" s="773">
        <f>ROUND(+O75*'[5]II-F Alloc_Factor'!$E$38,2)</f>
        <v>544490.43999999994</v>
      </c>
      <c r="Q75" s="773">
        <f>ROUND(+O75*'[5]II-F Alloc_Factor'!$F$38,2)</f>
        <v>0</v>
      </c>
      <c r="R75" s="773">
        <f>ROUND(+O75*'[5]II-F Alloc_Factor'!$G$38,2)</f>
        <v>467.79</v>
      </c>
      <c r="S75" s="773">
        <f t="shared" si="40"/>
        <v>544958.23</v>
      </c>
      <c r="T75" s="773">
        <f>ROUND(+O75*'[5]II-F Alloc_Factor'!$I$38,2)</f>
        <v>621862.68999999994</v>
      </c>
      <c r="U75" s="773">
        <f>ROUND(+O75*'[5]II-F Alloc_Factor'!$J$38,2)</f>
        <v>0</v>
      </c>
      <c r="V75" s="773">
        <f t="shared" si="52"/>
        <v>621862.68999999994</v>
      </c>
      <c r="W75" s="773">
        <f>ROUND(+O75*'[5]II-F Alloc_Factor'!$L$38,2)</f>
        <v>18638.41</v>
      </c>
      <c r="X75" s="773">
        <f>ROUND(+O75*'[5]II-F Alloc_Factor'!$M$38,2)</f>
        <v>12321.39</v>
      </c>
      <c r="Y75" s="609"/>
      <c r="Z75" s="773">
        <v>1221812.1299999997</v>
      </c>
      <c r="AA75" s="773">
        <f>ROUND(+Z75*'[5]II-F Alloc_Factor'!$E$38,2)</f>
        <v>555414.71</v>
      </c>
      <c r="AB75" s="773">
        <f>ROUND(+Z75*'[5]II-F Alloc_Factor'!$F$38,2)</f>
        <v>0</v>
      </c>
      <c r="AC75" s="773">
        <f>ROUND(+Z75*'[5]II-F Alloc_Factor'!$G$38,2)</f>
        <v>477.17</v>
      </c>
      <c r="AD75" s="773">
        <f t="shared" si="41"/>
        <v>555891.88</v>
      </c>
      <c r="AE75" s="773">
        <f>ROUND(+Z75*'[5]II-F Alloc_Factor'!$I$38,2)</f>
        <v>634339.30000000005</v>
      </c>
      <c r="AF75" s="773">
        <f>ROUND(+Z75*'[5]II-F Alloc_Factor'!$J$38,2)</f>
        <v>0</v>
      </c>
      <c r="AG75" s="773">
        <f t="shared" si="53"/>
        <v>634339.30000000005</v>
      </c>
      <c r="AH75" s="773">
        <f>ROUND(+Z75*'[5]II-F Alloc_Factor'!$L$38,2)</f>
        <v>19012.36</v>
      </c>
      <c r="AI75" s="773">
        <f>ROUND(+Z75*'[5]II-F Alloc_Factor'!$M$38,2)</f>
        <v>12568.59</v>
      </c>
      <c r="AK75" s="773">
        <v>1245843.5499999996</v>
      </c>
      <c r="AL75" s="773">
        <f>ROUND(+AK75*'[5]II-F Alloc_Factor'!$E$38,2)</f>
        <v>566338.97</v>
      </c>
      <c r="AM75" s="773">
        <f>ROUND(+AK75*'[5]II-F Alloc_Factor'!$F$38,2)</f>
        <v>0</v>
      </c>
      <c r="AN75" s="773">
        <f>ROUND(+AK75*'[5]II-F Alloc_Factor'!$G$38,2)</f>
        <v>486.56</v>
      </c>
      <c r="AO75" s="773">
        <f t="shared" si="42"/>
        <v>566825.53</v>
      </c>
      <c r="AP75" s="773">
        <f>ROUND(+AK75*'[5]II-F Alloc_Factor'!$I$38,2)</f>
        <v>646815.91</v>
      </c>
      <c r="AQ75" s="773">
        <f>ROUND(+AK75*'[5]II-F Alloc_Factor'!$J$38,2)</f>
        <v>0</v>
      </c>
      <c r="AR75" s="773">
        <f t="shared" si="54"/>
        <v>646815.91</v>
      </c>
      <c r="AS75" s="773">
        <f>ROUND(+AK75*'[5]II-F Alloc_Factor'!$L$38,2)</f>
        <v>19386.310000000001</v>
      </c>
      <c r="AT75" s="773">
        <f>ROUND(+AK75*'[5]II-F Alloc_Factor'!$M$38,2)</f>
        <v>12815.8</v>
      </c>
      <c r="AU75" s="779"/>
      <c r="AV75" s="773">
        <v>1269874.9699999995</v>
      </c>
      <c r="AW75" s="773">
        <f>ROUND(+AV75*'[5]II-F Alloc_Factor'!$E$38,2)</f>
        <v>577263.24</v>
      </c>
      <c r="AX75" s="773">
        <f>ROUND(+AV75*'[5]II-F Alloc_Factor'!$F$38,2)</f>
        <v>0</v>
      </c>
      <c r="AY75" s="773">
        <f>ROUND(+AV75*'[5]II-F Alloc_Factor'!$G$38,2)</f>
        <v>495.94</v>
      </c>
      <c r="AZ75" s="773">
        <f t="shared" si="43"/>
        <v>577759.17999999993</v>
      </c>
      <c r="BA75" s="773">
        <f>ROUND(+AV75*'[5]II-F Alloc_Factor'!$I$38,2)</f>
        <v>659292.52</v>
      </c>
      <c r="BB75" s="773">
        <f>ROUND(+AV75*'[5]II-F Alloc_Factor'!$J$38,2)</f>
        <v>0</v>
      </c>
      <c r="BC75" s="773">
        <f t="shared" si="55"/>
        <v>659292.52</v>
      </c>
      <c r="BD75" s="773">
        <f>ROUND(+AV75*'[5]II-F Alloc_Factor'!$L$38,2)</f>
        <v>19760.25</v>
      </c>
      <c r="BE75" s="773">
        <f>ROUND(+AV75*'[5]II-F Alloc_Factor'!$M$38,2)</f>
        <v>13063.01</v>
      </c>
      <c r="BF75" s="779"/>
      <c r="BG75" s="773">
        <v>1293906.3899999994</v>
      </c>
      <c r="BH75" s="773">
        <f>ROUND(+BG75*'[5]II-F Alloc_Factor'!$E$38,2)</f>
        <v>588187.51</v>
      </c>
      <c r="BI75" s="773">
        <f>ROUND(+BG75*'[5]II-F Alloc_Factor'!$F$38,2)</f>
        <v>0</v>
      </c>
      <c r="BJ75" s="773">
        <f>ROUND(+BG75*'[5]II-F Alloc_Factor'!$G$38,2)</f>
        <v>505.33</v>
      </c>
      <c r="BK75" s="773">
        <f t="shared" si="44"/>
        <v>588692.84</v>
      </c>
      <c r="BL75" s="773">
        <f>ROUND(+BG75*'[5]II-F Alloc_Factor'!$I$38,2)</f>
        <v>671769.13</v>
      </c>
      <c r="BM75" s="773">
        <f>ROUND(+BG75*'[5]II-F Alloc_Factor'!$J$38,2)</f>
        <v>0</v>
      </c>
      <c r="BN75" s="773">
        <f t="shared" si="56"/>
        <v>671769.13</v>
      </c>
      <c r="BO75" s="773">
        <f>ROUND(+BG75*'[5]II-F Alloc_Factor'!$L$38,2)</f>
        <v>20134.2</v>
      </c>
      <c r="BP75" s="773">
        <f>ROUND(+BG75*'[5]II-F Alloc_Factor'!$M$38,2)</f>
        <v>13310.22</v>
      </c>
      <c r="BQ75" s="779"/>
      <c r="BR75" s="773">
        <v>1317966.8099999994</v>
      </c>
      <c r="BS75" s="773">
        <f>ROUND(+BR75*'[5]II-F Alloc_Factor'!$E$38,2)</f>
        <v>599124.96</v>
      </c>
      <c r="BT75" s="773">
        <f>ROUND(+BR75*'[5]II-F Alloc_Factor'!$F$38,2)</f>
        <v>0</v>
      </c>
      <c r="BU75" s="773">
        <f>ROUND(+BR75*'[5]II-F Alloc_Factor'!$G$38,2)</f>
        <v>514.72</v>
      </c>
      <c r="BV75" s="773">
        <f t="shared" si="45"/>
        <v>599639.67999999993</v>
      </c>
      <c r="BW75" s="773">
        <f>ROUND(+BR75*'[5]II-F Alloc_Factor'!$I$38,2)</f>
        <v>684260.8</v>
      </c>
      <c r="BX75" s="773">
        <f>ROUND(+BR75*'[5]II-F Alloc_Factor'!$J$38,2)</f>
        <v>0</v>
      </c>
      <c r="BY75" s="773">
        <f t="shared" si="57"/>
        <v>684260.8</v>
      </c>
      <c r="BZ75" s="773">
        <f>ROUND(+BR75*'[5]II-F Alloc_Factor'!$L$38,2)</f>
        <v>20508.599999999999</v>
      </c>
      <c r="CA75" s="773">
        <f>ROUND(+BR75*'[5]II-F Alloc_Factor'!$M$38,2)</f>
        <v>13557.72</v>
      </c>
      <c r="CC75" s="773">
        <v>1343342.8299999994</v>
      </c>
      <c r="CD75" s="773">
        <f>ROUND(+CC75*'[5]II-F Alloc_Factor'!$E$38,2)</f>
        <v>610660.46</v>
      </c>
      <c r="CE75" s="773">
        <f>ROUND(+CC75*'[5]II-F Alloc_Factor'!$F$38,2)</f>
        <v>0</v>
      </c>
      <c r="CF75" s="773">
        <f>ROUND(+CC75*'[5]II-F Alloc_Factor'!$G$38,2)</f>
        <v>524.63</v>
      </c>
      <c r="CG75" s="773">
        <f t="shared" si="46"/>
        <v>611185.09</v>
      </c>
      <c r="CH75" s="773">
        <f>ROUND(+CC75*'[5]II-F Alloc_Factor'!$I$38,2)</f>
        <v>697435.5</v>
      </c>
      <c r="CI75" s="773">
        <f>ROUND(+CC75*'[5]II-F Alloc_Factor'!$J$38,2)</f>
        <v>0</v>
      </c>
      <c r="CJ75" s="773">
        <f t="shared" si="58"/>
        <v>697435.5</v>
      </c>
      <c r="CK75" s="773">
        <f>ROUND(+CC75*'[5]II-F Alloc_Factor'!$L$38,2)</f>
        <v>20903.47</v>
      </c>
      <c r="CL75" s="773">
        <f>ROUND(+CC75*'[5]II-F Alloc_Factor'!$M$38,2)</f>
        <v>13818.76</v>
      </c>
      <c r="CN75" s="773">
        <v>1367374.2499999993</v>
      </c>
      <c r="CO75" s="773">
        <f>ROUND(+CN75*'[5]II-F Alloc_Factor'!$E$38,2)</f>
        <v>621584.73</v>
      </c>
      <c r="CP75" s="773">
        <f>ROUND(+CN75*'[5]II-F Alloc_Factor'!$F$38,2)</f>
        <v>0</v>
      </c>
      <c r="CQ75" s="773">
        <f>ROUND(+CN75*'[5]II-F Alloc_Factor'!$G$38,2)</f>
        <v>534.02</v>
      </c>
      <c r="CR75" s="773">
        <f t="shared" si="47"/>
        <v>622118.75</v>
      </c>
      <c r="CS75" s="773">
        <f>ROUND(+CN75*'[5]II-F Alloc_Factor'!$I$38,2)</f>
        <v>709912.11</v>
      </c>
      <c r="CT75" s="773">
        <f>ROUND(+CN75*'[5]II-F Alloc_Factor'!$J$38,2)</f>
        <v>0</v>
      </c>
      <c r="CU75" s="773">
        <f t="shared" si="59"/>
        <v>709912.11</v>
      </c>
      <c r="CV75" s="773">
        <f>ROUND(+CN75*'[5]II-F Alloc_Factor'!$L$38,2)</f>
        <v>21277.42</v>
      </c>
      <c r="CW75" s="773">
        <f>ROUND(+CN75*'[5]II-F Alloc_Factor'!$M$38,2)</f>
        <v>14065.97</v>
      </c>
      <c r="CY75" s="773">
        <v>1391405.6699999992</v>
      </c>
      <c r="CZ75" s="773">
        <f>ROUND(+CY75*'[5]II-F Alloc_Factor'!$E$38,2)</f>
        <v>632509</v>
      </c>
      <c r="DA75" s="773">
        <f>ROUND(+CY75*'[5]II-F Alloc_Factor'!$F$38,2)</f>
        <v>0</v>
      </c>
      <c r="DB75" s="773">
        <f>ROUND(+CY75*'[5]II-F Alloc_Factor'!$G$38,2)</f>
        <v>543.4</v>
      </c>
      <c r="DC75" s="773">
        <f t="shared" si="48"/>
        <v>633052.4</v>
      </c>
      <c r="DD75" s="773">
        <f>ROUND(+CY75*'[5]II-F Alloc_Factor'!$I$38,2)</f>
        <v>722388.72</v>
      </c>
      <c r="DE75" s="773">
        <f>ROUND(+CY75*'[5]II-F Alloc_Factor'!$J$38,2)</f>
        <v>0</v>
      </c>
      <c r="DF75" s="773">
        <f t="shared" si="60"/>
        <v>722388.72</v>
      </c>
      <c r="DG75" s="773">
        <f>ROUND(+CY75*'[5]II-F Alloc_Factor'!$L$38,2)</f>
        <v>21651.37</v>
      </c>
      <c r="DH75" s="773">
        <f>ROUND(+CY75*'[5]II-F Alloc_Factor'!$M$38,2)</f>
        <v>14313.18</v>
      </c>
      <c r="DJ75" s="773">
        <v>1414993.5599999991</v>
      </c>
      <c r="DK75" s="773">
        <f>ROUND(+DJ75*'[5]II-F Alloc_Factor'!$E$38,2)</f>
        <v>643231.65</v>
      </c>
      <c r="DL75" s="773">
        <f>ROUND(+DJ75*'[5]II-F Alloc_Factor'!$F$38,2)</f>
        <v>0</v>
      </c>
      <c r="DM75" s="773">
        <f>ROUND(+DJ75*'[5]II-F Alloc_Factor'!$G$38,2)</f>
        <v>552.62</v>
      </c>
      <c r="DN75" s="773">
        <f t="shared" si="49"/>
        <v>643784.27</v>
      </c>
      <c r="DO75" s="773">
        <f>ROUND(+DJ75*'[5]II-F Alloc_Factor'!$I$38,2)</f>
        <v>734635.06</v>
      </c>
      <c r="DP75" s="773">
        <f>ROUND(+DJ75*'[5]II-F Alloc_Factor'!$J$38,2)</f>
        <v>0</v>
      </c>
      <c r="DQ75" s="773">
        <f t="shared" si="61"/>
        <v>734635.06</v>
      </c>
      <c r="DR75" s="773">
        <f>ROUND(+DJ75*'[5]II-F Alloc_Factor'!$L$38,2)</f>
        <v>22018.41</v>
      </c>
      <c r="DS75" s="773">
        <f>ROUND(+DJ75*'[5]II-F Alloc_Factor'!$M$38,2)</f>
        <v>14555.82</v>
      </c>
      <c r="DU75" s="773">
        <v>1438581.449999999</v>
      </c>
      <c r="DV75" s="773">
        <f>ROUND(+DU75*'[5]II-F Alloc_Factor'!$E$38,2)</f>
        <v>653954.30000000005</v>
      </c>
      <c r="DW75" s="773">
        <f>ROUND(+DU75*'[5]II-F Alloc_Factor'!$F$38,2)</f>
        <v>0</v>
      </c>
      <c r="DX75" s="773">
        <f>ROUND(+DU75*'[5]II-F Alloc_Factor'!$G$38,2)</f>
        <v>561.83000000000004</v>
      </c>
      <c r="DY75" s="773">
        <f t="shared" si="50"/>
        <v>654516.13</v>
      </c>
      <c r="DZ75" s="773">
        <f>ROUND(+DU75*'[5]II-F Alloc_Factor'!$I$38,2)</f>
        <v>746881.4</v>
      </c>
      <c r="EA75" s="773">
        <f>ROUND(+DU75*'[5]II-F Alloc_Factor'!$J$38,2)</f>
        <v>0</v>
      </c>
      <c r="EB75" s="773">
        <f t="shared" si="62"/>
        <v>746881.4</v>
      </c>
      <c r="EC75" s="773">
        <f>ROUND(+DU75*'[5]II-F Alloc_Factor'!$L$38,2)</f>
        <v>22385.46</v>
      </c>
      <c r="ED75" s="773">
        <f>ROUND(+DU75*'[5]II-F Alloc_Factor'!$M$38,2)</f>
        <v>14798.47</v>
      </c>
      <c r="EE75" s="642">
        <f>+'II-E-3.5'!I92-DU75</f>
        <v>0</v>
      </c>
      <c r="EF75" s="772">
        <f t="shared" si="38"/>
        <v>1.00000009406358E-2</v>
      </c>
    </row>
    <row r="76" spans="1:136" s="406" customFormat="1">
      <c r="A76" s="409">
        <f t="shared" si="0"/>
        <v>64</v>
      </c>
      <c r="B76" s="366" t="s">
        <v>1059</v>
      </c>
      <c r="C76" s="775" t="s">
        <v>684</v>
      </c>
      <c r="D76" s="773">
        <v>13874383.130000001</v>
      </c>
      <c r="E76" s="773">
        <f>ROUND(+D76*'[5]II-F Alloc_Factor'!$E$38,2)</f>
        <v>6307055.0999999996</v>
      </c>
      <c r="F76" s="773">
        <f>ROUND(+D76*'[5]II-F Alloc_Factor'!$F$38,2)</f>
        <v>0</v>
      </c>
      <c r="G76" s="773">
        <f>ROUND(+D76*'[5]II-F Alloc_Factor'!$G$38,2)</f>
        <v>5418.55</v>
      </c>
      <c r="H76" s="773">
        <f t="shared" si="39"/>
        <v>6312473.6499999994</v>
      </c>
      <c r="I76" s="773">
        <f>ROUND(+D76*'[5]II-F Alloc_Factor'!$I$38,2)</f>
        <v>7203289.5</v>
      </c>
      <c r="J76" s="773">
        <f>ROUND(+D76*'[5]II-F Alloc_Factor'!$J$38,2)</f>
        <v>0</v>
      </c>
      <c r="K76" s="773">
        <f t="shared" si="51"/>
        <v>7203289.5</v>
      </c>
      <c r="L76" s="773">
        <f>ROUND(+D76*'[5]II-F Alloc_Factor'!$L$38,2)</f>
        <v>215896.33</v>
      </c>
      <c r="M76" s="773">
        <f>ROUND(+D76*'[5]II-F Alloc_Factor'!$M$38,2)</f>
        <v>142723.65</v>
      </c>
      <c r="N76" s="774"/>
      <c r="O76" s="773">
        <v>13794255.090000002</v>
      </c>
      <c r="P76" s="773">
        <f>ROUND(+O76*'[5]II-F Alloc_Factor'!$E$38,2)</f>
        <v>6270630.2800000003</v>
      </c>
      <c r="Q76" s="773">
        <f>ROUND(+O76*'[5]II-F Alloc_Factor'!$F$38,2)</f>
        <v>0</v>
      </c>
      <c r="R76" s="773">
        <f>ROUND(+O76*'[5]II-F Alloc_Factor'!$G$38,2)</f>
        <v>5387.26</v>
      </c>
      <c r="S76" s="773">
        <f t="shared" si="40"/>
        <v>6276017.54</v>
      </c>
      <c r="T76" s="773">
        <f>ROUND(+O76*'[5]II-F Alloc_Factor'!$I$38,2)</f>
        <v>7161688.7000000002</v>
      </c>
      <c r="U76" s="773">
        <f>ROUND(+O76*'[5]II-F Alloc_Factor'!$J$38,2)</f>
        <v>0</v>
      </c>
      <c r="V76" s="773">
        <f t="shared" si="52"/>
        <v>7161688.7000000002</v>
      </c>
      <c r="W76" s="773">
        <f>ROUND(+O76*'[5]II-F Alloc_Factor'!$L$38,2)</f>
        <v>214649.47</v>
      </c>
      <c r="X76" s="773">
        <f>ROUND(+O76*'[5]II-F Alloc_Factor'!$M$38,2)</f>
        <v>141899.38</v>
      </c>
      <c r="Y76" s="609"/>
      <c r="Z76" s="773">
        <v>13714127.050000003</v>
      </c>
      <c r="AA76" s="773">
        <f>ROUND(+Z76*'[5]II-F Alloc_Factor'!$E$38,2)</f>
        <v>6234205.46</v>
      </c>
      <c r="AB76" s="773">
        <f>ROUND(+Z76*'[5]II-F Alloc_Factor'!$F$38,2)</f>
        <v>0</v>
      </c>
      <c r="AC76" s="773">
        <f>ROUND(+Z76*'[5]II-F Alloc_Factor'!$G$38,2)</f>
        <v>5355.97</v>
      </c>
      <c r="AD76" s="773">
        <f t="shared" si="41"/>
        <v>6239561.4299999997</v>
      </c>
      <c r="AE76" s="773">
        <f>ROUND(+Z76*'[5]II-F Alloc_Factor'!$I$38,2)</f>
        <v>7120087.9000000004</v>
      </c>
      <c r="AF76" s="773">
        <f>ROUND(+Z76*'[5]II-F Alloc_Factor'!$J$38,2)</f>
        <v>0</v>
      </c>
      <c r="AG76" s="773">
        <f t="shared" si="53"/>
        <v>7120087.9000000004</v>
      </c>
      <c r="AH76" s="773">
        <f>ROUND(+Z76*'[5]II-F Alloc_Factor'!$L$38,2)</f>
        <v>213402.62</v>
      </c>
      <c r="AI76" s="773">
        <f>ROUND(+Z76*'[5]II-F Alloc_Factor'!$M$38,2)</f>
        <v>141075.12</v>
      </c>
      <c r="AK76" s="773">
        <v>13633999.000000002</v>
      </c>
      <c r="AL76" s="773">
        <f>ROUND(+AK76*'[5]II-F Alloc_Factor'!$E$38,2)</f>
        <v>6197780.6299999999</v>
      </c>
      <c r="AM76" s="773">
        <f>ROUND(+AK76*'[5]II-F Alloc_Factor'!$F$38,2)</f>
        <v>0</v>
      </c>
      <c r="AN76" s="773">
        <f>ROUND(+AK76*'[5]II-F Alloc_Factor'!$G$38,2)</f>
        <v>5324.67</v>
      </c>
      <c r="AO76" s="773">
        <f t="shared" si="42"/>
        <v>6203105.2999999998</v>
      </c>
      <c r="AP76" s="773">
        <f>ROUND(+AK76*'[5]II-F Alloc_Factor'!$I$38,2)</f>
        <v>7078487.0899999999</v>
      </c>
      <c r="AQ76" s="773">
        <f>ROUND(+AK76*'[5]II-F Alloc_Factor'!$J$38,2)</f>
        <v>0</v>
      </c>
      <c r="AR76" s="773">
        <f t="shared" si="54"/>
        <v>7078487.0899999999</v>
      </c>
      <c r="AS76" s="773">
        <f>ROUND(+AK76*'[5]II-F Alloc_Factor'!$L$38,2)</f>
        <v>212155.76</v>
      </c>
      <c r="AT76" s="773">
        <f>ROUND(+AK76*'[5]II-F Alloc_Factor'!$M$38,2)</f>
        <v>140250.85</v>
      </c>
      <c r="AU76" s="779"/>
      <c r="AV76" s="773">
        <v>13553870.960000003</v>
      </c>
      <c r="AW76" s="773">
        <f>ROUND(+AV76*'[5]II-F Alloc_Factor'!$E$38,2)</f>
        <v>6161355.7999999998</v>
      </c>
      <c r="AX76" s="773">
        <f>ROUND(+AV76*'[5]II-F Alloc_Factor'!$F$38,2)</f>
        <v>0</v>
      </c>
      <c r="AY76" s="773">
        <f>ROUND(+AV76*'[5]II-F Alloc_Factor'!$G$38,2)</f>
        <v>5293.38</v>
      </c>
      <c r="AZ76" s="773">
        <f t="shared" si="43"/>
        <v>6166649.1799999997</v>
      </c>
      <c r="BA76" s="773">
        <f>ROUND(+AV76*'[5]II-F Alloc_Factor'!$I$38,2)</f>
        <v>7036886.29</v>
      </c>
      <c r="BB76" s="773">
        <f>ROUND(+AV76*'[5]II-F Alloc_Factor'!$J$38,2)</f>
        <v>0</v>
      </c>
      <c r="BC76" s="773">
        <f t="shared" si="55"/>
        <v>7036886.29</v>
      </c>
      <c r="BD76" s="773">
        <f>ROUND(+AV76*'[5]II-F Alloc_Factor'!$L$38,2)</f>
        <v>210908.91</v>
      </c>
      <c r="BE76" s="773">
        <f>ROUND(+AV76*'[5]II-F Alloc_Factor'!$M$38,2)</f>
        <v>139426.59</v>
      </c>
      <c r="BF76" s="779"/>
      <c r="BG76" s="773">
        <v>13460888.990000002</v>
      </c>
      <c r="BH76" s="773">
        <f>ROUND(+BG76*'[5]II-F Alloc_Factor'!$E$38,2)</f>
        <v>6119087.7999999998</v>
      </c>
      <c r="BI76" s="773">
        <f>ROUND(+BG76*'[5]II-F Alloc_Factor'!$F$38,2)</f>
        <v>0</v>
      </c>
      <c r="BJ76" s="773">
        <f>ROUND(+BG76*'[5]II-F Alloc_Factor'!$G$38,2)</f>
        <v>5257.07</v>
      </c>
      <c r="BK76" s="773">
        <f t="shared" si="44"/>
        <v>6124344.8700000001</v>
      </c>
      <c r="BL76" s="773">
        <f>ROUND(+BG76*'[5]II-F Alloc_Factor'!$I$38,2)</f>
        <v>6988611.9900000002</v>
      </c>
      <c r="BM76" s="773">
        <f>ROUND(+BG76*'[5]II-F Alloc_Factor'!$J$38,2)</f>
        <v>0</v>
      </c>
      <c r="BN76" s="773">
        <f t="shared" si="56"/>
        <v>6988611.9900000002</v>
      </c>
      <c r="BO76" s="773">
        <f>ROUND(+BG76*'[5]II-F Alloc_Factor'!$L$38,2)</f>
        <v>209462.03</v>
      </c>
      <c r="BP76" s="773">
        <f>ROUND(+BG76*'[5]II-F Alloc_Factor'!$M$38,2)</f>
        <v>138470.09</v>
      </c>
      <c r="BQ76" s="779"/>
      <c r="BR76" s="773">
        <v>13379837.630000003</v>
      </c>
      <c r="BS76" s="773">
        <f>ROUND(+BR76*'[5]II-F Alloc_Factor'!$E$38,2)</f>
        <v>6082243.2599999998</v>
      </c>
      <c r="BT76" s="773">
        <f>ROUND(+BR76*'[5]II-F Alloc_Factor'!$F$38,2)</f>
        <v>0</v>
      </c>
      <c r="BU76" s="773">
        <f>ROUND(+BR76*'[5]II-F Alloc_Factor'!$G$38,2)</f>
        <v>5225.41</v>
      </c>
      <c r="BV76" s="773">
        <f t="shared" si="45"/>
        <v>6087468.6699999999</v>
      </c>
      <c r="BW76" s="773">
        <f>ROUND(+BR76*'[5]II-F Alloc_Factor'!$I$38,2)</f>
        <v>6946531.8200000003</v>
      </c>
      <c r="BX76" s="773">
        <f>ROUND(+BR76*'[5]II-F Alloc_Factor'!$J$38,2)</f>
        <v>0</v>
      </c>
      <c r="BY76" s="773">
        <f t="shared" si="57"/>
        <v>6946531.8200000003</v>
      </c>
      <c r="BZ76" s="773">
        <f>ROUND(+BR76*'[5]II-F Alloc_Factor'!$L$38,2)</f>
        <v>208200.81</v>
      </c>
      <c r="CA76" s="773">
        <f>ROUND(+BR76*'[5]II-F Alloc_Factor'!$M$38,2)</f>
        <v>137636.32999999999</v>
      </c>
      <c r="CC76" s="773">
        <v>13298786.270000003</v>
      </c>
      <c r="CD76" s="773">
        <f>ROUND(+CC76*'[5]II-F Alloc_Factor'!$E$38,2)</f>
        <v>6045398.71</v>
      </c>
      <c r="CE76" s="773">
        <f>ROUND(+CC76*'[5]II-F Alloc_Factor'!$F$38,2)</f>
        <v>0</v>
      </c>
      <c r="CF76" s="773">
        <f>ROUND(+CC76*'[5]II-F Alloc_Factor'!$G$38,2)</f>
        <v>5193.76</v>
      </c>
      <c r="CG76" s="773">
        <f t="shared" si="46"/>
        <v>6050592.4699999997</v>
      </c>
      <c r="CH76" s="773">
        <f>ROUND(+CC76*'[5]II-F Alloc_Factor'!$I$38,2)</f>
        <v>6904451.6500000004</v>
      </c>
      <c r="CI76" s="773">
        <f>ROUND(+CC76*'[5]II-F Alloc_Factor'!$J$38,2)</f>
        <v>0</v>
      </c>
      <c r="CJ76" s="773">
        <f t="shared" si="58"/>
        <v>6904451.6500000004</v>
      </c>
      <c r="CK76" s="773">
        <f>ROUND(+CC76*'[5]II-F Alloc_Factor'!$L$38,2)</f>
        <v>206939.59</v>
      </c>
      <c r="CL76" s="773">
        <f>ROUND(+CC76*'[5]II-F Alloc_Factor'!$M$38,2)</f>
        <v>136802.57</v>
      </c>
      <c r="CN76" s="773">
        <v>13852467.950000003</v>
      </c>
      <c r="CO76" s="773">
        <f>ROUND(+CN76*'[5]II-F Alloc_Factor'!$E$38,2)</f>
        <v>6297092.8399999999</v>
      </c>
      <c r="CP76" s="773">
        <f>ROUND(+CN76*'[5]II-F Alloc_Factor'!$F$38,2)</f>
        <v>0</v>
      </c>
      <c r="CQ76" s="773">
        <f>ROUND(+CN76*'[5]II-F Alloc_Factor'!$G$38,2)</f>
        <v>5409.99</v>
      </c>
      <c r="CR76" s="773">
        <f t="shared" si="47"/>
        <v>6302502.8300000001</v>
      </c>
      <c r="CS76" s="773">
        <f>ROUND(+CN76*'[5]II-F Alloc_Factor'!$I$38,2)</f>
        <v>7191911.5999999996</v>
      </c>
      <c r="CT76" s="773">
        <f>ROUND(+CN76*'[5]II-F Alloc_Factor'!$J$38,2)</f>
        <v>0</v>
      </c>
      <c r="CU76" s="773">
        <f t="shared" si="59"/>
        <v>7191911.5999999996</v>
      </c>
      <c r="CV76" s="773">
        <f>ROUND(+CN76*'[5]II-F Alloc_Factor'!$L$38,2)</f>
        <v>215555.31</v>
      </c>
      <c r="CW76" s="773">
        <f>ROUND(+CN76*'[5]II-F Alloc_Factor'!$M$38,2)</f>
        <v>142498.21</v>
      </c>
      <c r="CY76" s="773">
        <v>13771416.590000004</v>
      </c>
      <c r="CZ76" s="773">
        <f>ROUND(+CY76*'[5]II-F Alloc_Factor'!$E$38,2)</f>
        <v>6260248.29</v>
      </c>
      <c r="DA76" s="773">
        <f>ROUND(+CY76*'[5]II-F Alloc_Factor'!$F$38,2)</f>
        <v>0</v>
      </c>
      <c r="DB76" s="773">
        <f>ROUND(+CY76*'[5]II-F Alloc_Factor'!$G$38,2)</f>
        <v>5378.34</v>
      </c>
      <c r="DC76" s="773">
        <f t="shared" si="48"/>
        <v>6265626.6299999999</v>
      </c>
      <c r="DD76" s="773">
        <f>ROUND(+CY76*'[5]II-F Alloc_Factor'!$I$38,2)</f>
        <v>7149831.4299999997</v>
      </c>
      <c r="DE76" s="773">
        <f>ROUND(+CY76*'[5]II-F Alloc_Factor'!$J$38,2)</f>
        <v>0</v>
      </c>
      <c r="DF76" s="773">
        <f t="shared" si="60"/>
        <v>7149831.4299999997</v>
      </c>
      <c r="DG76" s="773">
        <f>ROUND(+CY76*'[5]II-F Alloc_Factor'!$L$38,2)</f>
        <v>214294.09</v>
      </c>
      <c r="DH76" s="773">
        <f>ROUND(+CY76*'[5]II-F Alloc_Factor'!$M$38,2)</f>
        <v>141664.44</v>
      </c>
      <c r="DJ76" s="773">
        <v>13690365.230000004</v>
      </c>
      <c r="DK76" s="773">
        <f>ROUND(+DJ76*'[5]II-F Alloc_Factor'!$E$38,2)</f>
        <v>6223403.7400000002</v>
      </c>
      <c r="DL76" s="773">
        <f>ROUND(+DJ76*'[5]II-F Alloc_Factor'!$F$38,2)</f>
        <v>0</v>
      </c>
      <c r="DM76" s="773">
        <f>ROUND(+DJ76*'[5]II-F Alloc_Factor'!$G$38,2)</f>
        <v>5346.69</v>
      </c>
      <c r="DN76" s="773">
        <f t="shared" si="49"/>
        <v>6228750.4300000006</v>
      </c>
      <c r="DO76" s="773">
        <f>ROUND(+DJ76*'[5]II-F Alloc_Factor'!$I$38,2)</f>
        <v>7107751.2599999998</v>
      </c>
      <c r="DP76" s="773">
        <f>ROUND(+DJ76*'[5]II-F Alloc_Factor'!$J$38,2)</f>
        <v>0</v>
      </c>
      <c r="DQ76" s="773">
        <f t="shared" si="61"/>
        <v>7107751.2599999998</v>
      </c>
      <c r="DR76" s="773">
        <f>ROUND(+DJ76*'[5]II-F Alloc_Factor'!$L$38,2)</f>
        <v>213032.86</v>
      </c>
      <c r="DS76" s="773">
        <f>ROUND(+DJ76*'[5]II-F Alloc_Factor'!$M$38,2)</f>
        <v>140830.68</v>
      </c>
      <c r="DU76" s="773">
        <v>12974580.840000004</v>
      </c>
      <c r="DV76" s="773">
        <f>ROUND(+DU76*'[5]II-F Alloc_Factor'!$E$38,2)</f>
        <v>5898020.5099999998</v>
      </c>
      <c r="DW76" s="773">
        <f>ROUND(+DU76*'[5]II-F Alloc_Factor'!$F$38,2)</f>
        <v>0</v>
      </c>
      <c r="DX76" s="773">
        <f>ROUND(+DU76*'[5]II-F Alloc_Factor'!$G$38,2)</f>
        <v>5067.1400000000003</v>
      </c>
      <c r="DY76" s="773">
        <f t="shared" si="50"/>
        <v>5903087.6499999994</v>
      </c>
      <c r="DZ76" s="773">
        <f>ROUND(+DU76*'[5]II-F Alloc_Factor'!$I$38,2)</f>
        <v>6736130.9699999997</v>
      </c>
      <c r="EA76" s="773">
        <f>ROUND(+DU76*'[5]II-F Alloc_Factor'!$J$38,2)</f>
        <v>0</v>
      </c>
      <c r="EB76" s="773">
        <f t="shared" si="62"/>
        <v>6736130.9699999997</v>
      </c>
      <c r="EC76" s="773">
        <f>ROUND(+DU76*'[5]II-F Alloc_Factor'!$L$38,2)</f>
        <v>201894.7</v>
      </c>
      <c r="ED76" s="773">
        <f>ROUND(+DU76*'[5]II-F Alloc_Factor'!$M$38,2)</f>
        <v>133467.51999999999</v>
      </c>
      <c r="EE76" s="772"/>
      <c r="EF76" s="772">
        <f t="shared" si="38"/>
        <v>0</v>
      </c>
    </row>
    <row r="77" spans="1:136" s="406" customFormat="1">
      <c r="A77" s="409">
        <f t="shared" si="0"/>
        <v>65</v>
      </c>
      <c r="B77" s="331"/>
      <c r="C77" s="409"/>
      <c r="D77" s="776">
        <f>SUM(D32:D76)</f>
        <v>59637335.010000035</v>
      </c>
      <c r="E77" s="776">
        <f t="shared" ref="E77:M77" si="75">SUM(E32:E76)</f>
        <v>47557539.43</v>
      </c>
      <c r="F77" s="776">
        <f t="shared" si="75"/>
        <v>25987.350000000035</v>
      </c>
      <c r="G77" s="776">
        <f t="shared" si="75"/>
        <v>5080.82</v>
      </c>
      <c r="H77" s="776">
        <f t="shared" si="75"/>
        <v>47588607.599999994</v>
      </c>
      <c r="I77" s="776">
        <f t="shared" si="75"/>
        <v>-30663398.460000053</v>
      </c>
      <c r="J77" s="776">
        <f t="shared" si="75"/>
        <v>0</v>
      </c>
      <c r="K77" s="776">
        <f t="shared" si="75"/>
        <v>-30663398.460000053</v>
      </c>
      <c r="L77" s="776">
        <f t="shared" si="75"/>
        <v>28414406.649999991</v>
      </c>
      <c r="M77" s="776">
        <f t="shared" si="75"/>
        <v>14297719.180000002</v>
      </c>
      <c r="N77" s="771"/>
      <c r="O77" s="776">
        <f>SUM(O32:O76)</f>
        <v>89496252.683300033</v>
      </c>
      <c r="P77" s="776">
        <f t="shared" ref="P77:X77" si="76">SUM(P32:P76)</f>
        <v>60767599.989999995</v>
      </c>
      <c r="Q77" s="776">
        <f t="shared" si="76"/>
        <v>34062.539999999979</v>
      </c>
      <c r="R77" s="776">
        <f t="shared" si="76"/>
        <v>15913.77</v>
      </c>
      <c r="S77" s="776">
        <f t="shared" si="76"/>
        <v>60817576.299999997</v>
      </c>
      <c r="T77" s="776">
        <f t="shared" si="76"/>
        <v>-15588721.416699972</v>
      </c>
      <c r="U77" s="776">
        <f t="shared" si="76"/>
        <v>0</v>
      </c>
      <c r="V77" s="776">
        <f t="shared" si="76"/>
        <v>-15588721.416699972</v>
      </c>
      <c r="W77" s="776">
        <f t="shared" si="76"/>
        <v>29624065.84</v>
      </c>
      <c r="X77" s="776">
        <f t="shared" si="76"/>
        <v>14643331.950000003</v>
      </c>
      <c r="Z77" s="776">
        <f>SUM(Z32:Z76)</f>
        <v>64777442.486199982</v>
      </c>
      <c r="AA77" s="776">
        <f t="shared" ref="AA77:AI77" si="77">SUM(AA32:AA76)</f>
        <v>59880636.680000007</v>
      </c>
      <c r="AB77" s="776">
        <f t="shared" si="77"/>
        <v>25202.229999999981</v>
      </c>
      <c r="AC77" s="776">
        <f t="shared" si="77"/>
        <v>15804.779999999999</v>
      </c>
      <c r="AD77" s="776">
        <f t="shared" si="77"/>
        <v>59921643.689999998</v>
      </c>
      <c r="AE77" s="776">
        <f t="shared" si="77"/>
        <v>-39747184.053799994</v>
      </c>
      <c r="AF77" s="776">
        <f t="shared" si="77"/>
        <v>0</v>
      </c>
      <c r="AG77" s="776">
        <f t="shared" si="77"/>
        <v>-39747184.053799994</v>
      </c>
      <c r="AH77" s="776">
        <f t="shared" si="77"/>
        <v>29807385.569999997</v>
      </c>
      <c r="AI77" s="776">
        <f t="shared" si="77"/>
        <v>14795597.310000001</v>
      </c>
      <c r="AK77" s="776">
        <f>SUM(AK32:AK76)</f>
        <v>63607094.102699973</v>
      </c>
      <c r="AL77" s="776">
        <f t="shared" ref="AL77:AT77" si="78">SUM(AL32:AL76)</f>
        <v>60138504.600000001</v>
      </c>
      <c r="AM77" s="776">
        <f t="shared" si="78"/>
        <v>29485.809999999998</v>
      </c>
      <c r="AN77" s="776">
        <f t="shared" si="78"/>
        <v>15781.4</v>
      </c>
      <c r="AO77" s="776">
        <f t="shared" si="78"/>
        <v>60183771.809999995</v>
      </c>
      <c r="AP77" s="776">
        <f t="shared" si="78"/>
        <v>-41723037.187299922</v>
      </c>
      <c r="AQ77" s="776">
        <f t="shared" si="78"/>
        <v>0</v>
      </c>
      <c r="AR77" s="776">
        <f t="shared" si="78"/>
        <v>-41723037.187299922</v>
      </c>
      <c r="AS77" s="776">
        <f t="shared" si="78"/>
        <v>30393159.769999996</v>
      </c>
      <c r="AT77" s="776">
        <f t="shared" si="78"/>
        <v>14753199.680000002</v>
      </c>
      <c r="AU77" s="779"/>
      <c r="AV77" s="776">
        <f>SUM(AV32:AV76)</f>
        <v>58723481.936499953</v>
      </c>
      <c r="AW77" s="776">
        <f t="shared" ref="AW77:BE77" si="79">SUM(AW32:AW76)</f>
        <v>59751733.149999999</v>
      </c>
      <c r="AX77" s="776">
        <f t="shared" si="79"/>
        <v>38707.889999999956</v>
      </c>
      <c r="AY77" s="776">
        <f t="shared" si="79"/>
        <v>15822.68</v>
      </c>
      <c r="AZ77" s="776">
        <f t="shared" si="79"/>
        <v>59806263.719999991</v>
      </c>
      <c r="BA77" s="776">
        <f t="shared" si="79"/>
        <v>-46496159.053500019</v>
      </c>
      <c r="BB77" s="776">
        <f t="shared" si="79"/>
        <v>0</v>
      </c>
      <c r="BC77" s="776">
        <f t="shared" si="79"/>
        <v>-46496159.053500019</v>
      </c>
      <c r="BD77" s="776">
        <f t="shared" si="79"/>
        <v>30884960.930000003</v>
      </c>
      <c r="BE77" s="776">
        <f t="shared" si="79"/>
        <v>14528416.34</v>
      </c>
      <c r="BF77" s="779"/>
      <c r="BG77" s="776">
        <f>SUM(BG32:BG76)</f>
        <v>69262003.470199883</v>
      </c>
      <c r="BH77" s="776">
        <f t="shared" ref="BH77:BP77" si="80">SUM(BH32:BH76)</f>
        <v>62560529.560000002</v>
      </c>
      <c r="BI77" s="776">
        <f t="shared" si="80"/>
        <v>45491.02999999997</v>
      </c>
      <c r="BJ77" s="776">
        <f t="shared" si="80"/>
        <v>16220.119999999999</v>
      </c>
      <c r="BK77" s="776">
        <f t="shared" si="80"/>
        <v>62622240.710000008</v>
      </c>
      <c r="BL77" s="776">
        <f t="shared" si="80"/>
        <v>-39528966.939800024</v>
      </c>
      <c r="BM77" s="776">
        <f t="shared" si="80"/>
        <v>0</v>
      </c>
      <c r="BN77" s="776">
        <f t="shared" si="80"/>
        <v>-39528966.939800024</v>
      </c>
      <c r="BO77" s="776">
        <f t="shared" si="80"/>
        <v>31662697.789999995</v>
      </c>
      <c r="BP77" s="776">
        <f t="shared" si="80"/>
        <v>14506031.9</v>
      </c>
      <c r="BQ77" s="779"/>
      <c r="BR77" s="776">
        <f>SUM(BR32:BR76)</f>
        <v>68545827.346399903</v>
      </c>
      <c r="BS77" s="776">
        <f t="shared" ref="BS77:CA77" si="81">SUM(BS32:BS76)</f>
        <v>61673690.769999996</v>
      </c>
      <c r="BT77" s="776">
        <f t="shared" si="81"/>
        <v>52483.909999999974</v>
      </c>
      <c r="BU77" s="776">
        <f t="shared" si="81"/>
        <v>16409.849999999999</v>
      </c>
      <c r="BV77" s="776">
        <f t="shared" si="81"/>
        <v>61742584.530000009</v>
      </c>
      <c r="BW77" s="776">
        <f t="shared" si="81"/>
        <v>-40087490.093600005</v>
      </c>
      <c r="BX77" s="776">
        <f t="shared" si="81"/>
        <v>0</v>
      </c>
      <c r="BY77" s="776">
        <f t="shared" si="81"/>
        <v>-40087490.093600005</v>
      </c>
      <c r="BZ77" s="776">
        <f t="shared" si="81"/>
        <v>32239585.82</v>
      </c>
      <c r="CA77" s="776">
        <f t="shared" si="81"/>
        <v>14651147.060000001</v>
      </c>
      <c r="CC77" s="776">
        <f>SUM(CC32:CC76)</f>
        <v>76148128.149199873</v>
      </c>
      <c r="CD77" s="776">
        <f t="shared" ref="CD77:CL77" si="82">SUM(CD32:CD76)</f>
        <v>62764931.790000007</v>
      </c>
      <c r="CE77" s="776">
        <f t="shared" si="82"/>
        <v>53264.679999999935</v>
      </c>
      <c r="CF77" s="776">
        <f t="shared" si="82"/>
        <v>16476.019999999997</v>
      </c>
      <c r="CG77" s="776">
        <f t="shared" si="82"/>
        <v>62834672.490000002</v>
      </c>
      <c r="CH77" s="776">
        <f t="shared" si="82"/>
        <v>-34873793.960800014</v>
      </c>
      <c r="CI77" s="776">
        <f t="shared" si="82"/>
        <v>0</v>
      </c>
      <c r="CJ77" s="776">
        <f t="shared" si="82"/>
        <v>-34873793.960800014</v>
      </c>
      <c r="CK77" s="776">
        <f t="shared" si="82"/>
        <v>32870111.149999999</v>
      </c>
      <c r="CL77" s="776">
        <f t="shared" si="82"/>
        <v>15317138.439999999</v>
      </c>
      <c r="CN77" s="776">
        <f>SUM(CN32:CN76)</f>
        <v>38657873.696099959</v>
      </c>
      <c r="CO77" s="776">
        <f t="shared" ref="CO77:CW77" si="83">SUM(CO32:CO76)</f>
        <v>60574046.989999995</v>
      </c>
      <c r="CP77" s="776">
        <f t="shared" si="83"/>
        <v>5959.7099999999627</v>
      </c>
      <c r="CQ77" s="776">
        <f t="shared" si="83"/>
        <v>17195.61</v>
      </c>
      <c r="CR77" s="776">
        <f t="shared" si="83"/>
        <v>60597202.309999995</v>
      </c>
      <c r="CS77" s="776">
        <f t="shared" si="83"/>
        <v>-69213995.053899989</v>
      </c>
      <c r="CT77" s="776">
        <f t="shared" si="83"/>
        <v>0</v>
      </c>
      <c r="CU77" s="776">
        <f t="shared" si="83"/>
        <v>-69213995.053899989</v>
      </c>
      <c r="CV77" s="776">
        <f t="shared" si="83"/>
        <v>32314851.080000002</v>
      </c>
      <c r="CW77" s="776">
        <f t="shared" si="83"/>
        <v>14959815.390000001</v>
      </c>
      <c r="CY77" s="776">
        <f>SUM(CY32:CY76)</f>
        <v>45628919.561800033</v>
      </c>
      <c r="CZ77" s="776">
        <f t="shared" ref="CZ77:DH77" si="84">SUM(CZ32:CZ76)</f>
        <v>65413935.779999994</v>
      </c>
      <c r="DA77" s="776">
        <f t="shared" si="84"/>
        <v>3985.3899999999558</v>
      </c>
      <c r="DB77" s="776">
        <f t="shared" si="84"/>
        <v>22237.780000000002</v>
      </c>
      <c r="DC77" s="776">
        <f t="shared" si="84"/>
        <v>65440158.949999996</v>
      </c>
      <c r="DD77" s="776">
        <f t="shared" si="84"/>
        <v>-67384816.218199998</v>
      </c>
      <c r="DE77" s="776">
        <f t="shared" si="84"/>
        <v>0</v>
      </c>
      <c r="DF77" s="776">
        <f t="shared" si="84"/>
        <v>-67384816.218199998</v>
      </c>
      <c r="DG77" s="776">
        <f t="shared" si="84"/>
        <v>32953599.430000003</v>
      </c>
      <c r="DH77" s="776">
        <f t="shared" si="84"/>
        <v>14619977.389999999</v>
      </c>
      <c r="DJ77" s="776">
        <f>SUM(DJ32:DJ76)</f>
        <v>40559039.763999961</v>
      </c>
      <c r="DK77" s="776">
        <f t="shared" ref="DK77:DS77" si="85">SUM(DK32:DK76)</f>
        <v>65825410.970000006</v>
      </c>
      <c r="DL77" s="776">
        <f t="shared" si="85"/>
        <v>3606.3999999999651</v>
      </c>
      <c r="DM77" s="776">
        <f t="shared" si="85"/>
        <v>23051.519999999997</v>
      </c>
      <c r="DN77" s="776">
        <f t="shared" si="85"/>
        <v>65852068.890000008</v>
      </c>
      <c r="DO77" s="776">
        <f t="shared" si="85"/>
        <v>-73329230.995999977</v>
      </c>
      <c r="DP77" s="776">
        <f t="shared" si="85"/>
        <v>0</v>
      </c>
      <c r="DQ77" s="776">
        <f t="shared" si="85"/>
        <v>-73329230.995999977</v>
      </c>
      <c r="DR77" s="776">
        <f t="shared" si="85"/>
        <v>33375759.420000006</v>
      </c>
      <c r="DS77" s="776">
        <f t="shared" si="85"/>
        <v>14660442.429999998</v>
      </c>
      <c r="DU77" s="776">
        <f>SUM(DU32:DU76)</f>
        <v>38743499.009999976</v>
      </c>
      <c r="DV77" s="776">
        <f t="shared" ref="DV77:ED77" si="86">SUM(DV32:DV76)</f>
        <v>64742720.119999997</v>
      </c>
      <c r="DW77" s="776">
        <f t="shared" si="86"/>
        <v>4294.9199999999255</v>
      </c>
      <c r="DX77" s="776">
        <f t="shared" si="86"/>
        <v>22786.400000000001</v>
      </c>
      <c r="DY77" s="776">
        <f t="shared" si="86"/>
        <v>64769801.440000005</v>
      </c>
      <c r="DZ77" s="776">
        <f t="shared" si="86"/>
        <v>-73696194.360000029</v>
      </c>
      <c r="EA77" s="776">
        <f t="shared" si="86"/>
        <v>0</v>
      </c>
      <c r="EB77" s="776">
        <f t="shared" si="86"/>
        <v>-73696194.360000029</v>
      </c>
      <c r="EC77" s="776">
        <f t="shared" si="86"/>
        <v>33168562.760000002</v>
      </c>
      <c r="ED77" s="776">
        <f t="shared" si="86"/>
        <v>14501329.220000001</v>
      </c>
      <c r="EE77" s="772"/>
      <c r="EF77" s="772">
        <f t="shared" si="38"/>
        <v>5.0000004470348358E-2</v>
      </c>
    </row>
    <row r="78" spans="1:136" s="406" customFormat="1">
      <c r="A78" s="409">
        <f t="shared" si="0"/>
        <v>66</v>
      </c>
      <c r="C78" s="775"/>
      <c r="D78" s="773"/>
      <c r="E78" s="773"/>
      <c r="F78" s="773"/>
      <c r="G78" s="773"/>
      <c r="H78" s="773"/>
      <c r="I78" s="773"/>
      <c r="J78" s="773"/>
      <c r="K78" s="773"/>
      <c r="L78" s="773"/>
      <c r="M78" s="773"/>
      <c r="N78" s="774"/>
      <c r="O78" s="773"/>
      <c r="P78" s="773"/>
      <c r="Q78" s="773"/>
      <c r="R78" s="773"/>
      <c r="S78" s="773"/>
      <c r="T78" s="773"/>
      <c r="U78" s="773"/>
      <c r="V78" s="773"/>
      <c r="W78" s="773"/>
      <c r="X78" s="773"/>
      <c r="Z78" s="773"/>
      <c r="AA78" s="773"/>
      <c r="AB78" s="773"/>
      <c r="AC78" s="773"/>
      <c r="AD78" s="773"/>
      <c r="AE78" s="773"/>
      <c r="AF78" s="773"/>
      <c r="AG78" s="773"/>
      <c r="AH78" s="773"/>
      <c r="AI78" s="773"/>
      <c r="AK78" s="773"/>
      <c r="AL78" s="773"/>
      <c r="AM78" s="773"/>
      <c r="AN78" s="773"/>
      <c r="AO78" s="773"/>
      <c r="AP78" s="773"/>
      <c r="AQ78" s="773"/>
      <c r="AR78" s="773"/>
      <c r="AS78" s="773"/>
      <c r="AT78" s="773"/>
      <c r="AU78" s="779"/>
      <c r="AV78" s="773"/>
      <c r="AW78" s="773"/>
      <c r="AX78" s="773"/>
      <c r="AY78" s="773"/>
      <c r="AZ78" s="773"/>
      <c r="BA78" s="773"/>
      <c r="BB78" s="773"/>
      <c r="BC78" s="773"/>
      <c r="BD78" s="773"/>
      <c r="BE78" s="773"/>
      <c r="BF78" s="779"/>
      <c r="BG78" s="773"/>
      <c r="BH78" s="773"/>
      <c r="BI78" s="773"/>
      <c r="BJ78" s="773"/>
      <c r="BK78" s="773"/>
      <c r="BL78" s="773"/>
      <c r="BM78" s="773"/>
      <c r="BN78" s="773"/>
      <c r="BO78" s="773"/>
      <c r="BP78" s="773"/>
      <c r="BQ78" s="779"/>
      <c r="BR78" s="773"/>
      <c r="BS78" s="773"/>
      <c r="BT78" s="773"/>
      <c r="BU78" s="773"/>
      <c r="BV78" s="773"/>
      <c r="BW78" s="773"/>
      <c r="BX78" s="773"/>
      <c r="BY78" s="773"/>
      <c r="BZ78" s="773"/>
      <c r="CA78" s="773"/>
      <c r="CC78" s="773"/>
      <c r="CD78" s="773"/>
      <c r="CE78" s="773"/>
      <c r="CF78" s="773"/>
      <c r="CG78" s="773"/>
      <c r="CH78" s="773"/>
      <c r="CI78" s="773"/>
      <c r="CJ78" s="773"/>
      <c r="CK78" s="773"/>
      <c r="CL78" s="773"/>
      <c r="CN78" s="773"/>
      <c r="CO78" s="773"/>
      <c r="CP78" s="773"/>
      <c r="CQ78" s="773"/>
      <c r="CR78" s="773"/>
      <c r="CS78" s="773"/>
      <c r="CT78" s="773"/>
      <c r="CU78" s="773"/>
      <c r="CV78" s="773"/>
      <c r="CW78" s="773"/>
      <c r="CY78" s="773"/>
      <c r="CZ78" s="773"/>
      <c r="DA78" s="773"/>
      <c r="DB78" s="773"/>
      <c r="DC78" s="773"/>
      <c r="DD78" s="773"/>
      <c r="DE78" s="773"/>
      <c r="DF78" s="773"/>
      <c r="DG78" s="773"/>
      <c r="DH78" s="773"/>
      <c r="DJ78" s="773"/>
      <c r="DK78" s="773"/>
      <c r="DL78" s="773"/>
      <c r="DM78" s="773"/>
      <c r="DN78" s="773"/>
      <c r="DO78" s="773"/>
      <c r="DP78" s="773"/>
      <c r="DQ78" s="773"/>
      <c r="DR78" s="773"/>
      <c r="DS78" s="773"/>
      <c r="DU78" s="773"/>
      <c r="DV78" s="773"/>
      <c r="DW78" s="773"/>
      <c r="DX78" s="773"/>
      <c r="DY78" s="773"/>
      <c r="DZ78" s="773"/>
      <c r="EA78" s="773"/>
      <c r="EB78" s="773"/>
      <c r="EC78" s="773"/>
      <c r="ED78" s="773"/>
      <c r="EE78" s="772"/>
      <c r="EF78" s="772">
        <f t="shared" si="38"/>
        <v>0</v>
      </c>
    </row>
    <row r="79" spans="1:136" s="406" customFormat="1" ht="13.5" thickBot="1">
      <c r="A79" s="409">
        <f t="shared" ref="A79" si="87">1+A78</f>
        <v>67</v>
      </c>
      <c r="B79" s="366" t="s">
        <v>478</v>
      </c>
      <c r="C79" s="775"/>
      <c r="D79" s="780">
        <f t="shared" ref="D79:M79" si="88">+D30+D77</f>
        <v>-2557074690.3900008</v>
      </c>
      <c r="E79" s="780">
        <f t="shared" si="88"/>
        <v>-1039309630.12</v>
      </c>
      <c r="F79" s="780">
        <f t="shared" si="88"/>
        <v>-144188873.74000001</v>
      </c>
      <c r="G79" s="780">
        <f t="shared" si="88"/>
        <v>-894302.41999999993</v>
      </c>
      <c r="H79" s="780">
        <f t="shared" si="88"/>
        <v>-1184392806.28</v>
      </c>
      <c r="I79" s="780">
        <f t="shared" si="88"/>
        <v>-1295733666.4000001</v>
      </c>
      <c r="J79" s="780">
        <f t="shared" si="88"/>
        <v>-11519042.609999999</v>
      </c>
      <c r="K79" s="780">
        <f t="shared" si="88"/>
        <v>-1307252709.01</v>
      </c>
      <c r="L79" s="780">
        <f t="shared" si="88"/>
        <v>-13983470.340000004</v>
      </c>
      <c r="M79" s="780">
        <f t="shared" si="88"/>
        <v>-51445704.810000002</v>
      </c>
      <c r="N79" s="771"/>
      <c r="O79" s="780">
        <f t="shared" ref="O79:X79" si="89">+O30+O77</f>
        <v>-2567845605.5867004</v>
      </c>
      <c r="P79" s="780">
        <f t="shared" si="89"/>
        <v>-1044358048.6200001</v>
      </c>
      <c r="Q79" s="780">
        <f t="shared" si="89"/>
        <v>-144757399.06</v>
      </c>
      <c r="R79" s="780">
        <f t="shared" si="89"/>
        <v>-899233.3899999999</v>
      </c>
      <c r="S79" s="780">
        <f t="shared" si="89"/>
        <v>-1190014681.0700002</v>
      </c>
      <c r="T79" s="780">
        <f t="shared" si="89"/>
        <v>-1301458365.3666999</v>
      </c>
      <c r="U79" s="780">
        <f t="shared" si="89"/>
        <v>-11565098.1</v>
      </c>
      <c r="V79" s="780">
        <f t="shared" si="89"/>
        <v>-1313023463.4666998</v>
      </c>
      <c r="W79" s="780">
        <f t="shared" si="89"/>
        <v>-13387091.120000001</v>
      </c>
      <c r="X79" s="780">
        <f t="shared" si="89"/>
        <v>-51420369.940000013</v>
      </c>
      <c r="Z79" s="780">
        <f t="shared" ref="Z79:AI79" si="90">+Z30+Z77</f>
        <v>-2602469931.7338009</v>
      </c>
      <c r="AA79" s="780">
        <f t="shared" si="90"/>
        <v>-1049469527.3899996</v>
      </c>
      <c r="AB79" s="780">
        <f t="shared" si="90"/>
        <v>-145518773.64000002</v>
      </c>
      <c r="AC79" s="780">
        <f t="shared" si="90"/>
        <v>-903070.00999999989</v>
      </c>
      <c r="AD79" s="780">
        <f t="shared" si="90"/>
        <v>-1195891371.0399997</v>
      </c>
      <c r="AE79" s="780">
        <f t="shared" si="90"/>
        <v>-1330373736.3038001</v>
      </c>
      <c r="AF79" s="780">
        <f t="shared" si="90"/>
        <v>-11625204.550000001</v>
      </c>
      <c r="AG79" s="780">
        <f t="shared" si="90"/>
        <v>-1341998940.8537998</v>
      </c>
      <c r="AH79" s="780">
        <f t="shared" si="90"/>
        <v>-13333535.740000006</v>
      </c>
      <c r="AI79" s="780">
        <f t="shared" si="90"/>
        <v>-51246084.050000004</v>
      </c>
      <c r="AK79" s="780">
        <f t="shared" ref="AK79:AT79" si="91">+AK30+AK77</f>
        <v>-2615711333.4873009</v>
      </c>
      <c r="AL79" s="780">
        <f t="shared" si="91"/>
        <v>-1054468409.86</v>
      </c>
      <c r="AM79" s="780">
        <f t="shared" si="91"/>
        <v>-146149624.13999999</v>
      </c>
      <c r="AN79" s="780">
        <f t="shared" si="91"/>
        <v>-907697.27999999991</v>
      </c>
      <c r="AO79" s="780">
        <f t="shared" si="91"/>
        <v>-1201525731.2800002</v>
      </c>
      <c r="AP79" s="780">
        <f t="shared" si="91"/>
        <v>-1338292725.2272999</v>
      </c>
      <c r="AQ79" s="780">
        <f t="shared" si="91"/>
        <v>-11675935.359999999</v>
      </c>
      <c r="AR79" s="780">
        <f t="shared" si="91"/>
        <v>-1349968660.5872996</v>
      </c>
      <c r="AS79" s="780">
        <f t="shared" si="91"/>
        <v>-12914458.479999997</v>
      </c>
      <c r="AT79" s="780">
        <f t="shared" si="91"/>
        <v>-51302483.180000007</v>
      </c>
      <c r="AU79" s="779"/>
      <c r="AV79" s="780">
        <f t="shared" ref="AV79:BE79" si="92">+AV30+AV77</f>
        <v>-2632961121.8435006</v>
      </c>
      <c r="AW79" s="780">
        <f t="shared" si="92"/>
        <v>-1060248250.5100001</v>
      </c>
      <c r="AX79" s="780">
        <f t="shared" si="92"/>
        <v>-146775536.45000002</v>
      </c>
      <c r="AY79" s="780">
        <f t="shared" si="92"/>
        <v>-912379.32000000007</v>
      </c>
      <c r="AZ79" s="780">
        <f t="shared" si="92"/>
        <v>-1207936166.2800002</v>
      </c>
      <c r="BA79" s="780">
        <f t="shared" si="92"/>
        <v>-1349163060.5534999</v>
      </c>
      <c r="BB79" s="780">
        <f t="shared" si="92"/>
        <v>-11726666.189999999</v>
      </c>
      <c r="BC79" s="780">
        <f t="shared" si="92"/>
        <v>-1360889726.7435</v>
      </c>
      <c r="BD79" s="780">
        <f t="shared" si="92"/>
        <v>-12593668.199999999</v>
      </c>
      <c r="BE79" s="780">
        <f t="shared" si="92"/>
        <v>-51541560.640000001</v>
      </c>
      <c r="BG79" s="780">
        <f t="shared" ref="BG79:BP79" si="93">+BG30+BG77</f>
        <v>-2644512784.6598001</v>
      </c>
      <c r="BH79" s="780">
        <f t="shared" si="93"/>
        <v>-1067261687.6600001</v>
      </c>
      <c r="BI79" s="780">
        <f t="shared" si="93"/>
        <v>-147414191.87</v>
      </c>
      <c r="BJ79" s="780">
        <f t="shared" si="93"/>
        <v>-920525.36</v>
      </c>
      <c r="BK79" s="780">
        <f t="shared" si="93"/>
        <v>-1215596404.8900001</v>
      </c>
      <c r="BL79" s="780">
        <f t="shared" si="93"/>
        <v>-1353341295.8398001</v>
      </c>
      <c r="BM79" s="780">
        <f t="shared" si="93"/>
        <v>-11778220.060000001</v>
      </c>
      <c r="BN79" s="780">
        <f t="shared" si="93"/>
        <v>-1365119515.8998001</v>
      </c>
      <c r="BO79" s="780">
        <f t="shared" si="93"/>
        <v>-12136297.29000001</v>
      </c>
      <c r="BP79" s="780">
        <f t="shared" si="93"/>
        <v>-51660566.600000001</v>
      </c>
      <c r="BQ79" s="779"/>
      <c r="BR79" s="780">
        <f t="shared" ref="BR79:CA79" si="94">+BR30+BR77</f>
        <v>-2659293605.8336005</v>
      </c>
      <c r="BS79" s="780">
        <f t="shared" si="94"/>
        <v>-1074312353.5400004</v>
      </c>
      <c r="BT79" s="780">
        <f t="shared" si="94"/>
        <v>-148044049.81999999</v>
      </c>
      <c r="BU79" s="780">
        <f t="shared" si="94"/>
        <v>-925720.59</v>
      </c>
      <c r="BV79" s="780">
        <f t="shared" si="94"/>
        <v>-1223282123.9500005</v>
      </c>
      <c r="BW79" s="780">
        <f t="shared" si="94"/>
        <v>-1360877683.8436</v>
      </c>
      <c r="BX79" s="780">
        <f t="shared" si="94"/>
        <v>-11829088</v>
      </c>
      <c r="BY79" s="780">
        <f t="shared" si="94"/>
        <v>-1372706771.8436</v>
      </c>
      <c r="BZ79" s="780">
        <f t="shared" si="94"/>
        <v>-11756884.449999996</v>
      </c>
      <c r="CA79" s="780">
        <f t="shared" si="94"/>
        <v>-51547825.590000011</v>
      </c>
      <c r="CC79" s="780">
        <f t="shared" ref="CC79:CL79" si="95">+CC30+CC77</f>
        <v>-2665482401.4807992</v>
      </c>
      <c r="CD79" s="780">
        <f t="shared" si="95"/>
        <v>-1079261692.2800002</v>
      </c>
      <c r="CE79" s="780">
        <f t="shared" si="95"/>
        <v>-148680120.50999999</v>
      </c>
      <c r="CF79" s="780">
        <f t="shared" si="95"/>
        <v>-930934.72</v>
      </c>
      <c r="CG79" s="780">
        <f t="shared" si="95"/>
        <v>-1228872747.5099998</v>
      </c>
      <c r="CH79" s="780">
        <f t="shared" si="95"/>
        <v>-1362500268.6508002</v>
      </c>
      <c r="CI79" s="780">
        <f t="shared" si="95"/>
        <v>-11879955.98</v>
      </c>
      <c r="CJ79" s="780">
        <f t="shared" si="95"/>
        <v>-1374380224.6308002</v>
      </c>
      <c r="CK79" s="780">
        <f t="shared" si="95"/>
        <v>-11319435.559999995</v>
      </c>
      <c r="CL79" s="780">
        <f t="shared" si="95"/>
        <v>-50909993.840000004</v>
      </c>
      <c r="CN79" s="780">
        <f t="shared" ref="CN79:CW79" si="96">+CN30+CN77</f>
        <v>-2719814836.7139006</v>
      </c>
      <c r="CO79" s="780">
        <f t="shared" si="96"/>
        <v>-1088093578.5800002</v>
      </c>
      <c r="CP79" s="780">
        <f t="shared" si="96"/>
        <v>-150924265.66999999</v>
      </c>
      <c r="CQ79" s="780">
        <f t="shared" si="96"/>
        <v>-935988.85</v>
      </c>
      <c r="CR79" s="780">
        <f t="shared" si="96"/>
        <v>-1239953833.1000009</v>
      </c>
      <c r="CS79" s="780">
        <f t="shared" si="96"/>
        <v>-1404377979.9238997</v>
      </c>
      <c r="CT79" s="780">
        <f t="shared" si="96"/>
        <v>-12055426.77</v>
      </c>
      <c r="CU79" s="780">
        <f t="shared" si="96"/>
        <v>-1416433406.6938999</v>
      </c>
      <c r="CV79" s="780">
        <f t="shared" si="96"/>
        <v>-12091710.40000001</v>
      </c>
      <c r="CW79" s="780">
        <f t="shared" si="96"/>
        <v>-51335886.530000001</v>
      </c>
      <c r="CY79" s="780">
        <f t="shared" ref="CY79:DH79" si="97">+CY30+CY77</f>
        <v>-2739264656.5081987</v>
      </c>
      <c r="CZ79" s="780">
        <f t="shared" si="97"/>
        <v>-1094975628.75</v>
      </c>
      <c r="DA79" s="780">
        <f t="shared" si="97"/>
        <v>-151695296.55000001</v>
      </c>
      <c r="DB79" s="780">
        <f t="shared" si="97"/>
        <v>-941113.32</v>
      </c>
      <c r="DC79" s="780">
        <f t="shared" si="97"/>
        <v>-1247612038.6200001</v>
      </c>
      <c r="DD79" s="780">
        <f t="shared" si="97"/>
        <v>-1415870047.3781996</v>
      </c>
      <c r="DE79" s="780">
        <f t="shared" si="97"/>
        <v>-12116854.529999999</v>
      </c>
      <c r="DF79" s="780">
        <f t="shared" si="97"/>
        <v>-1427986901.9081995</v>
      </c>
      <c r="DG79" s="780">
        <f t="shared" si="97"/>
        <v>-11839704.199999992</v>
      </c>
      <c r="DH79" s="780">
        <f t="shared" si="97"/>
        <v>-51826011.81000001</v>
      </c>
      <c r="DJ79" s="780">
        <f t="shared" ref="DJ79:DS79" si="98">+DJ30+DJ77</f>
        <v>-2760012149.5259986</v>
      </c>
      <c r="DK79" s="780">
        <f t="shared" si="98"/>
        <v>-1101403438.3699999</v>
      </c>
      <c r="DL79" s="780">
        <f t="shared" si="98"/>
        <v>-152464732.09999999</v>
      </c>
      <c r="DM79" s="780">
        <f t="shared" si="98"/>
        <v>-946272.57</v>
      </c>
      <c r="DN79" s="780">
        <f t="shared" si="98"/>
        <v>-1254814443.0399997</v>
      </c>
      <c r="DO79" s="780">
        <f t="shared" si="98"/>
        <v>-1429558449.7060001</v>
      </c>
      <c r="DP79" s="780">
        <f t="shared" si="98"/>
        <v>-12178282.279999999</v>
      </c>
      <c r="DQ79" s="780">
        <f t="shared" si="98"/>
        <v>-1441736731.9859998</v>
      </c>
      <c r="DR79" s="780">
        <f t="shared" si="98"/>
        <v>-11636978.549999993</v>
      </c>
      <c r="DS79" s="780">
        <f t="shared" si="98"/>
        <v>-51823996.009999983</v>
      </c>
      <c r="DU79" s="780">
        <f t="shared" ref="DU79:ED79" si="99">+DU30+DU77</f>
        <v>-2769394321.4100008</v>
      </c>
      <c r="DV79" s="780">
        <f t="shared" si="99"/>
        <v>-1106355572.9800003</v>
      </c>
      <c r="DW79" s="780">
        <f t="shared" si="99"/>
        <v>-151650766.90000001</v>
      </c>
      <c r="DX79" s="780">
        <f t="shared" si="99"/>
        <v>-949894.97</v>
      </c>
      <c r="DY79" s="780">
        <f t="shared" si="99"/>
        <v>-1258956234.8499999</v>
      </c>
      <c r="DZ79" s="780">
        <f t="shared" si="99"/>
        <v>-1434321915.4100001</v>
      </c>
      <c r="EA79" s="780">
        <f t="shared" si="99"/>
        <v>-12113322.48</v>
      </c>
      <c r="EB79" s="780">
        <f t="shared" si="99"/>
        <v>-1446435237.8900001</v>
      </c>
      <c r="EC79" s="780">
        <f t="shared" si="99"/>
        <v>-11971648.140000012</v>
      </c>
      <c r="ED79" s="780">
        <f t="shared" si="99"/>
        <v>-52031200.449999988</v>
      </c>
      <c r="EE79" s="772"/>
      <c r="EF79" s="772">
        <f t="shared" si="38"/>
        <v>8.0001354217529297E-2</v>
      </c>
    </row>
    <row r="80" spans="1:136" s="366" customFormat="1">
      <c r="B80" s="346"/>
      <c r="M80" s="610"/>
      <c r="N80" s="611"/>
      <c r="X80" s="610"/>
      <c r="AI80" s="610"/>
      <c r="AT80" s="610"/>
      <c r="BE80" s="610"/>
      <c r="BP80" s="610"/>
      <c r="CA80" s="610"/>
      <c r="CL80" s="610"/>
      <c r="CW80" s="610"/>
      <c r="DH80" s="610"/>
      <c r="DS80" s="610"/>
      <c r="ED80" s="610"/>
    </row>
    <row r="81" spans="4:135" s="366" customFormat="1">
      <c r="M81" s="610">
        <f>+D79-H79-K79-L79-M79</f>
        <v>4.9999147653579712E-2</v>
      </c>
      <c r="N81" s="611"/>
      <c r="X81" s="610">
        <f>+O79-S79-V79-W79-X79</f>
        <v>9.9995881319046021E-3</v>
      </c>
      <c r="AI81" s="610">
        <f>+Z79-AD79-AG79-AH79-AI79</f>
        <v>-5.0001330673694611E-2</v>
      </c>
      <c r="AT81" s="610">
        <f>+AK79-AO79-AR79-AS79-AT79</f>
        <v>3.9998926222324371E-2</v>
      </c>
      <c r="BE81" s="610">
        <f>+AV79-AZ79-BC79-BD79-BE79</f>
        <v>1.9999593496322632E-2</v>
      </c>
      <c r="BP81" s="610">
        <f>+BG79-BK79-BN79-BO79-BP79</f>
        <v>2.0000122487545013E-2</v>
      </c>
      <c r="CA81" s="610">
        <f>+BR79-BV79-BY79-BZ79-CA79</f>
        <v>0</v>
      </c>
      <c r="CL81" s="610">
        <f>+CC79-CG79-CJ79-CK79-CL79</f>
        <v>6.0000799596309662E-2</v>
      </c>
      <c r="CW81" s="610">
        <f>+CN79-CR79-CU79-CV79-CW79</f>
        <v>1.0000169277191162E-2</v>
      </c>
      <c r="DH81" s="610">
        <f>+CY79-DC79-DF79-DG79-DH79</f>
        <v>3.0000932514667511E-2</v>
      </c>
      <c r="DS81" s="610">
        <f>+DJ79-DN79-DQ79-DR79-DS79</f>
        <v>6.0000933706760406E-2</v>
      </c>
      <c r="ED81" s="610">
        <f>+DU79-DY79-EB79-EC79-ED79</f>
        <v>-8.0000787973403931E-2</v>
      </c>
    </row>
    <row r="82" spans="4:135" s="366" customFormat="1">
      <c r="DS82" s="365" t="s">
        <v>992</v>
      </c>
      <c r="DU82" s="781">
        <f>+'II-E-3.5'!K98</f>
        <v>2769394321.4099998</v>
      </c>
      <c r="DV82" s="781">
        <f>+'II-E-3.5'!O98</f>
        <v>1106355572.98</v>
      </c>
      <c r="DW82" s="781">
        <f>+'II-E-3.5'!P98</f>
        <v>151650766.90000001</v>
      </c>
      <c r="DX82" s="781">
        <f>+'II-E-3.5'!Q98</f>
        <v>949894.97</v>
      </c>
      <c r="DY82" s="781">
        <f>+'II-E-3.5'!R98</f>
        <v>1258956234.8599999</v>
      </c>
      <c r="DZ82" s="781">
        <f>+'II-E-3.5'!S98</f>
        <v>1434321915.47</v>
      </c>
      <c r="EA82" s="781">
        <f>+'II-E-3.5'!T98</f>
        <v>12113322.48</v>
      </c>
      <c r="EB82" s="781">
        <f>+'II-E-3.5'!U98</f>
        <v>1446435237.9400001</v>
      </c>
      <c r="EC82" s="781">
        <f>+'II-E-3.5'!V98</f>
        <v>11971648.140000001</v>
      </c>
      <c r="ED82" s="781">
        <f>+'II-E-3.5'!W98</f>
        <v>52031200.460000001</v>
      </c>
    </row>
    <row r="83" spans="4:135" s="366" customFormat="1">
      <c r="DU83" s="781">
        <f t="shared" ref="DU83:ED83" si="100">+DU82+DU79</f>
        <v>0</v>
      </c>
      <c r="DV83" s="781">
        <f t="shared" si="100"/>
        <v>0</v>
      </c>
      <c r="DW83" s="781">
        <f t="shared" si="100"/>
        <v>0</v>
      </c>
      <c r="DX83" s="781">
        <f t="shared" si="100"/>
        <v>0</v>
      </c>
      <c r="DY83" s="781">
        <f t="shared" si="100"/>
        <v>9.9999904632568359E-3</v>
      </c>
      <c r="DZ83" s="781">
        <f t="shared" si="100"/>
        <v>5.9999942779541016E-2</v>
      </c>
      <c r="EA83" s="781">
        <f t="shared" si="100"/>
        <v>0</v>
      </c>
      <c r="EB83" s="781">
        <f t="shared" si="100"/>
        <v>4.999995231628418E-2</v>
      </c>
      <c r="EC83" s="781">
        <f t="shared" si="100"/>
        <v>0</v>
      </c>
      <c r="ED83" s="781">
        <f t="shared" si="100"/>
        <v>1.0000012814998627E-2</v>
      </c>
    </row>
    <row r="84" spans="4:135" s="366" customFormat="1">
      <c r="D84" s="432"/>
      <c r="E84" s="432"/>
      <c r="F84" s="432"/>
      <c r="G84" s="432"/>
      <c r="H84" s="432"/>
      <c r="I84" s="432"/>
      <c r="J84" s="432"/>
      <c r="K84" s="432"/>
      <c r="L84" s="432"/>
      <c r="M84" s="432"/>
      <c r="N84" s="432"/>
      <c r="O84" s="432"/>
      <c r="P84" s="432"/>
      <c r="Q84" s="432"/>
      <c r="R84" s="432"/>
      <c r="S84" s="432"/>
      <c r="T84" s="432"/>
      <c r="U84" s="432"/>
      <c r="V84" s="432"/>
      <c r="W84" s="432"/>
      <c r="X84" s="432"/>
      <c r="Z84" s="432"/>
      <c r="AA84" s="432"/>
      <c r="AB84" s="432"/>
      <c r="AC84" s="432"/>
      <c r="AD84" s="432"/>
      <c r="AE84" s="432"/>
      <c r="AF84" s="432"/>
      <c r="AG84" s="432"/>
      <c r="AH84" s="432"/>
      <c r="AI84" s="432"/>
      <c r="AK84" s="432"/>
      <c r="AL84" s="432"/>
      <c r="AM84" s="432"/>
      <c r="AN84" s="432"/>
      <c r="AO84" s="432"/>
      <c r="AP84" s="432"/>
      <c r="AQ84" s="432"/>
      <c r="AR84" s="432"/>
      <c r="AS84" s="432"/>
      <c r="AT84" s="432"/>
      <c r="AV84" s="432"/>
      <c r="AW84" s="432"/>
      <c r="AX84" s="432"/>
      <c r="AY84" s="432"/>
      <c r="AZ84" s="432"/>
      <c r="BA84" s="432"/>
      <c r="BB84" s="432"/>
      <c r="BC84" s="432"/>
      <c r="BD84" s="432"/>
      <c r="BE84" s="432"/>
      <c r="BG84" s="432"/>
      <c r="BH84" s="432"/>
      <c r="BI84" s="432"/>
      <c r="BJ84" s="432"/>
      <c r="BK84" s="432"/>
      <c r="BL84" s="432"/>
      <c r="BM84" s="432"/>
      <c r="BN84" s="432"/>
      <c r="BO84" s="432"/>
      <c r="BP84" s="432"/>
      <c r="BR84" s="432"/>
      <c r="BS84" s="432"/>
      <c r="BT84" s="432"/>
      <c r="BU84" s="432"/>
      <c r="BV84" s="432"/>
      <c r="BW84" s="432"/>
      <c r="BX84" s="432"/>
      <c r="BY84" s="432"/>
      <c r="BZ84" s="432"/>
      <c r="CA84" s="432"/>
      <c r="CC84" s="432"/>
      <c r="CD84" s="432"/>
      <c r="CE84" s="432"/>
      <c r="CF84" s="432"/>
      <c r="CG84" s="432"/>
      <c r="CH84" s="432"/>
      <c r="CI84" s="432"/>
      <c r="CJ84" s="432"/>
      <c r="CK84" s="432"/>
      <c r="CL84" s="432"/>
      <c r="CN84" s="432"/>
      <c r="CO84" s="432"/>
      <c r="CP84" s="432"/>
      <c r="CQ84" s="432"/>
      <c r="CR84" s="432"/>
      <c r="CS84" s="432"/>
      <c r="CT84" s="432"/>
      <c r="CU84" s="432"/>
      <c r="CV84" s="432"/>
      <c r="CW84" s="432"/>
      <c r="CY84" s="432"/>
      <c r="CZ84" s="432"/>
      <c r="DA84" s="432"/>
      <c r="DB84" s="432"/>
      <c r="DC84" s="432"/>
      <c r="DD84" s="432"/>
      <c r="DE84" s="432"/>
      <c r="DF84" s="432"/>
      <c r="DG84" s="432"/>
      <c r="DH84" s="432"/>
      <c r="DJ84" s="432"/>
      <c r="DK84" s="432"/>
      <c r="DL84" s="432"/>
      <c r="DM84" s="432"/>
      <c r="DN84" s="432"/>
      <c r="DO84" s="432"/>
      <c r="DP84" s="432"/>
      <c r="DQ84" s="432"/>
      <c r="DR84" s="432"/>
      <c r="DS84" s="432"/>
      <c r="DU84" s="432"/>
      <c r="DV84" s="432"/>
      <c r="DW84" s="432"/>
      <c r="DX84" s="432"/>
      <c r="DY84" s="432"/>
      <c r="DZ84" s="432"/>
      <c r="EA84" s="432"/>
      <c r="EB84" s="432"/>
      <c r="EC84" s="432"/>
      <c r="ED84" s="432"/>
    </row>
    <row r="85" spans="4:135" s="366" customFormat="1">
      <c r="DU85" s="385"/>
      <c r="DV85" s="385"/>
      <c r="DW85" s="385"/>
      <c r="DX85" s="385"/>
      <c r="DY85" s="385"/>
      <c r="DZ85" s="385"/>
      <c r="EA85" s="385"/>
      <c r="EB85" s="385"/>
      <c r="EC85" s="385"/>
      <c r="ED85" s="385"/>
    </row>
    <row r="86" spans="4:135" s="366" customFormat="1">
      <c r="D86" s="102"/>
      <c r="O86" s="102"/>
      <c r="Z86" s="102"/>
      <c r="AK86" s="102"/>
      <c r="AV86" s="102"/>
      <c r="BG86" s="102"/>
      <c r="BR86" s="102"/>
      <c r="CC86" s="102"/>
      <c r="CN86" s="102"/>
      <c r="CY86" s="102"/>
      <c r="DJ86" s="102"/>
      <c r="DU86" s="385"/>
      <c r="DV86" s="385"/>
      <c r="DW86" s="385"/>
      <c r="DX86" s="385"/>
      <c r="DY86" s="385"/>
      <c r="DZ86" s="385"/>
      <c r="EA86" s="385"/>
      <c r="EB86" s="385"/>
      <c r="EC86" s="385"/>
      <c r="ED86" s="385"/>
    </row>
    <row r="87" spans="4:135" s="366" customFormat="1">
      <c r="DU87" s="385"/>
      <c r="DV87" s="385"/>
      <c r="DW87" s="385"/>
      <c r="DX87" s="385"/>
      <c r="DY87" s="385"/>
      <c r="DZ87" s="385"/>
      <c r="EA87" s="385"/>
      <c r="EB87" s="385"/>
      <c r="EC87" s="385"/>
      <c r="ED87" s="385"/>
    </row>
    <row r="88" spans="4:135" s="366" customFormat="1"/>
    <row r="89" spans="4:135" s="366" customFormat="1">
      <c r="DU89" s="385"/>
      <c r="DV89" s="385"/>
      <c r="DW89" s="385"/>
      <c r="DX89" s="385"/>
      <c r="DY89" s="385"/>
      <c r="DZ89" s="385"/>
      <c r="EA89" s="385"/>
      <c r="EB89" s="385"/>
      <c r="EC89" s="385"/>
      <c r="ED89" s="385"/>
    </row>
    <row r="90" spans="4:135" s="366" customFormat="1">
      <c r="DU90" s="385"/>
      <c r="DV90" s="385"/>
      <c r="DW90" s="385"/>
      <c r="DX90" s="385"/>
      <c r="DY90" s="385"/>
      <c r="DZ90" s="385"/>
      <c r="EA90" s="385"/>
      <c r="EB90" s="385"/>
      <c r="EC90" s="385"/>
      <c r="ED90" s="385"/>
    </row>
    <row r="91" spans="4:135">
      <c r="DU91" s="782"/>
      <c r="DV91" s="782"/>
      <c r="DW91" s="782"/>
      <c r="DX91" s="782"/>
      <c r="DY91" s="782"/>
      <c r="DZ91" s="782"/>
      <c r="EA91" s="782"/>
      <c r="EB91" s="782"/>
      <c r="EC91" s="782"/>
      <c r="ED91" s="782"/>
      <c r="EE91" s="782"/>
    </row>
  </sheetData>
  <printOptions horizontalCentered="1"/>
  <pageMargins left="0.5" right="0.5" top="3" bottom="0.5" header="1.5" footer="0.5"/>
  <pageSetup scale="55" orientation="landscape"/>
  <headerFooter>
    <oddHeader>&amp;R&amp;"Arial,Bold"Schedule &amp;A
Page &amp;P of &amp;N&amp;C&amp;B
2025 RATE CASE
ONCOR ELECTRIC DELIVERY COMPANY LLC
II-E-3.5  ADFIT - MONTHLY
TEST YEAR ENDING DECEMBER 31, 2024
SPONSOR: B. L. CLUTTER</oddHeader>
  </headerFooter>
  <rowBreaks count="1" manualBreakCount="1">
    <brk id="30" max="133" man="1"/>
  </rowBreaks>
  <colBreaks count="11" manualBreakCount="11">
    <brk id="13" min="9" max="78" man="1"/>
    <brk id="24" min="9" max="78" man="1"/>
    <brk id="35" min="9" max="78" man="1"/>
    <brk id="46" min="9" max="78" man="1"/>
    <brk id="57" min="9" max="78" man="1"/>
    <brk id="68" min="9" max="78" man="1"/>
    <brk id="79" min="9" max="78" man="1"/>
    <brk id="90" min="9" max="78" man="1"/>
    <brk id="101" min="9" max="78" man="1"/>
    <brk id="112" min="9" max="78" man="1"/>
    <brk id="123" min="9" max="78" man="1"/>
  </col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6"/>
  <dimension ref="A1:F103"/>
  <sheetViews>
    <sheetView zoomScale="80" zoomScaleNormal="80" workbookViewId="0">
      <pane ySplit="11" topLeftCell="A12" activePane="bottomLeft" state="frozen"/>
      <selection activeCell="E19" sqref="E19"/>
      <selection pane="bottomLeft" activeCell="C30" sqref="C30"/>
    </sheetView>
  </sheetViews>
  <sheetFormatPr defaultColWidth="9.140625" defaultRowHeight="12.75"/>
  <cols>
    <col min="1" max="1" width="9.140625" style="346" customWidth="1"/>
    <col min="2" max="2" width="43.7109375" style="347" bestFit="1" customWidth="1"/>
    <col min="3" max="3" width="83.42578125" style="192" customWidth="1"/>
    <col min="4" max="4" width="73.42578125" style="346" customWidth="1"/>
    <col min="5" max="5" width="84.85546875" style="346" bestFit="1" customWidth="1"/>
    <col min="6" max="6" width="47.28515625" style="346" bestFit="1" customWidth="1"/>
    <col min="7" max="16384" width="9.140625" style="346"/>
  </cols>
  <sheetData>
    <row r="1" spans="1:4">
      <c r="A1" s="196" t="str">
        <f>+'[3]Input Data'!$A$9</f>
        <v>2025 RATE CASE</v>
      </c>
    </row>
    <row r="2" spans="1:4">
      <c r="A2" s="188" t="str">
        <f>+'[3]Input Data'!$A$2</f>
        <v>ONCOR ELECTRIC DELIVERY COMPANY LLC</v>
      </c>
    </row>
    <row r="3" spans="1:4">
      <c r="A3" s="187" t="str">
        <f>CONCATENATE('[3]Schedule Sponsors'!$A$91,'[3]Schedule Sponsors'!$B$91)</f>
        <v>II-E-3.6  ADFIT – DESCRIPTION OF TIMING DIFFERENCES</v>
      </c>
    </row>
    <row r="4" spans="1:4">
      <c r="A4" s="187" t="str">
        <f>+'[3]Input Data'!$A$4</f>
        <v>TEST YEAR ENDING DECEMBER 31, 2024</v>
      </c>
    </row>
    <row r="5" spans="1:4">
      <c r="A5" s="185" t="str">
        <f>CONCATENATE("SPONSOR: ",'[3]Schedule Sponsors'!$D$93)</f>
        <v>SPONSOR: B. L. CLUTTER</v>
      </c>
    </row>
    <row r="9" spans="1:4" ht="13.5" thickBot="1"/>
    <row r="10" spans="1:4" s="423" customFormat="1">
      <c r="A10" s="662" t="s">
        <v>459</v>
      </c>
      <c r="B10" s="812" t="s">
        <v>38</v>
      </c>
      <c r="C10" s="812" t="s">
        <v>64</v>
      </c>
      <c r="D10" s="663" t="s">
        <v>479</v>
      </c>
    </row>
    <row r="11" spans="1:4" s="424" customFormat="1" ht="13.5" thickBot="1">
      <c r="A11" s="624"/>
      <c r="B11" s="813" t="s">
        <v>226</v>
      </c>
      <c r="C11" s="625" t="s">
        <v>227</v>
      </c>
      <c r="D11" s="626" t="s">
        <v>228</v>
      </c>
    </row>
    <row r="12" spans="1:4" s="426" customFormat="1">
      <c r="A12" s="618">
        <v>1</v>
      </c>
      <c r="B12" s="814" t="s">
        <v>482</v>
      </c>
      <c r="C12" s="815"/>
      <c r="D12" s="816"/>
    </row>
    <row r="13" spans="1:4" s="426" customFormat="1" ht="25.5">
      <c r="A13" s="618">
        <v>2</v>
      </c>
      <c r="B13" s="619" t="s">
        <v>874</v>
      </c>
      <c r="C13" s="817" t="s">
        <v>813</v>
      </c>
      <c r="D13" s="818" t="s">
        <v>964</v>
      </c>
    </row>
    <row r="14" spans="1:4" s="426" customFormat="1" ht="76.5">
      <c r="A14" s="618">
        <v>3</v>
      </c>
      <c r="B14" s="815" t="s">
        <v>1330</v>
      </c>
      <c r="C14" s="819" t="s">
        <v>1331</v>
      </c>
      <c r="D14" s="820" t="s">
        <v>487</v>
      </c>
    </row>
    <row r="15" spans="1:4" s="426" customFormat="1" ht="63.75">
      <c r="A15" s="618">
        <v>4</v>
      </c>
      <c r="B15" s="821" t="s">
        <v>814</v>
      </c>
      <c r="C15" s="623" t="s">
        <v>965</v>
      </c>
      <c r="D15" s="620" t="s">
        <v>499</v>
      </c>
    </row>
    <row r="16" spans="1:4" s="426" customFormat="1" ht="25.5">
      <c r="A16" s="618">
        <v>5</v>
      </c>
      <c r="B16" s="619" t="s">
        <v>817</v>
      </c>
      <c r="C16" s="623" t="s">
        <v>492</v>
      </c>
      <c r="D16" s="818" t="s">
        <v>493</v>
      </c>
    </row>
    <row r="17" spans="1:4" s="426" customFormat="1" ht="25.5">
      <c r="A17" s="618">
        <v>6</v>
      </c>
      <c r="B17" s="821" t="s">
        <v>350</v>
      </c>
      <c r="C17" s="619" t="s">
        <v>1011</v>
      </c>
      <c r="D17" s="620" t="s">
        <v>489</v>
      </c>
    </row>
    <row r="18" spans="1:4" s="426" customFormat="1" ht="38.25">
      <c r="A18" s="618">
        <v>7</v>
      </c>
      <c r="B18" s="619" t="s">
        <v>815</v>
      </c>
      <c r="C18" s="619" t="s">
        <v>488</v>
      </c>
      <c r="D18" s="620" t="s">
        <v>489</v>
      </c>
    </row>
    <row r="19" spans="1:4" s="426" customFormat="1" ht="38.25">
      <c r="A19" s="618">
        <v>8</v>
      </c>
      <c r="B19" s="619" t="s">
        <v>816</v>
      </c>
      <c r="C19" s="619" t="s">
        <v>490</v>
      </c>
      <c r="D19" s="620" t="s">
        <v>491</v>
      </c>
    </row>
    <row r="20" spans="1:4" s="426" customFormat="1" ht="63.75">
      <c r="A20" s="618">
        <v>9</v>
      </c>
      <c r="B20" s="619" t="s">
        <v>954</v>
      </c>
      <c r="C20" s="619" t="s">
        <v>966</v>
      </c>
      <c r="D20" s="620" t="s">
        <v>494</v>
      </c>
    </row>
    <row r="21" spans="1:4" s="426" customFormat="1" ht="51">
      <c r="A21" s="618">
        <v>10</v>
      </c>
      <c r="B21" s="619" t="s">
        <v>960</v>
      </c>
      <c r="C21" s="619" t="s">
        <v>505</v>
      </c>
      <c r="D21" s="620" t="s">
        <v>495</v>
      </c>
    </row>
    <row r="22" spans="1:4" s="426" customFormat="1">
      <c r="A22" s="618">
        <v>11</v>
      </c>
      <c r="B22" s="822"/>
      <c r="C22" s="623"/>
      <c r="D22" s="622"/>
    </row>
    <row r="23" spans="1:4" s="426" customFormat="1">
      <c r="A23" s="618">
        <v>12</v>
      </c>
      <c r="B23" s="823" t="s">
        <v>483</v>
      </c>
      <c r="C23" s="623"/>
      <c r="D23" s="622"/>
    </row>
    <row r="24" spans="1:4" s="426" customFormat="1" ht="25.5">
      <c r="A24" s="618">
        <v>13</v>
      </c>
      <c r="B24" s="821" t="s">
        <v>349</v>
      </c>
      <c r="C24" s="619" t="s">
        <v>496</v>
      </c>
      <c r="D24" s="620" t="s">
        <v>497</v>
      </c>
    </row>
    <row r="25" spans="1:4" s="426" customFormat="1" ht="25.5">
      <c r="A25" s="618">
        <v>14</v>
      </c>
      <c r="B25" s="821" t="s">
        <v>422</v>
      </c>
      <c r="C25" s="619" t="s">
        <v>818</v>
      </c>
      <c r="D25" s="620" t="s">
        <v>499</v>
      </c>
    </row>
    <row r="26" spans="1:4" s="426" customFormat="1" ht="38.25">
      <c r="A26" s="618">
        <v>15</v>
      </c>
      <c r="B26" s="821" t="s">
        <v>401</v>
      </c>
      <c r="C26" s="619" t="s">
        <v>819</v>
      </c>
      <c r="D26" s="620" t="s">
        <v>499</v>
      </c>
    </row>
    <row r="27" spans="1:4" s="426" customFormat="1" ht="38.25">
      <c r="A27" s="618">
        <v>16</v>
      </c>
      <c r="B27" s="821" t="s">
        <v>601</v>
      </c>
      <c r="C27" s="619" t="s">
        <v>967</v>
      </c>
      <c r="D27" s="620" t="s">
        <v>820</v>
      </c>
    </row>
    <row r="28" spans="1:4" s="426" customFormat="1" ht="25.5">
      <c r="A28" s="618">
        <v>17</v>
      </c>
      <c r="B28" s="619" t="s">
        <v>367</v>
      </c>
      <c r="C28" s="619" t="s">
        <v>821</v>
      </c>
      <c r="D28" s="620" t="s">
        <v>822</v>
      </c>
    </row>
    <row r="29" spans="1:4" s="426" customFormat="1" ht="63.75">
      <c r="A29" s="618">
        <v>18</v>
      </c>
      <c r="B29" s="821" t="s">
        <v>955</v>
      </c>
      <c r="C29" s="619" t="s">
        <v>968</v>
      </c>
      <c r="D29" s="620" t="s">
        <v>500</v>
      </c>
    </row>
    <row r="30" spans="1:4" s="426" customFormat="1" ht="25.5">
      <c r="A30" s="618">
        <v>19</v>
      </c>
      <c r="B30" s="619" t="s">
        <v>1262</v>
      </c>
      <c r="C30" s="619" t="s">
        <v>1263</v>
      </c>
      <c r="D30" s="620" t="s">
        <v>499</v>
      </c>
    </row>
    <row r="31" spans="1:4" s="426" customFormat="1" ht="25.5">
      <c r="A31" s="618">
        <v>20</v>
      </c>
      <c r="B31" s="623" t="s">
        <v>506</v>
      </c>
      <c r="C31" s="623" t="s">
        <v>969</v>
      </c>
      <c r="D31" s="622" t="s">
        <v>501</v>
      </c>
    </row>
    <row r="32" spans="1:4" s="426" customFormat="1" ht="25.5">
      <c r="A32" s="618">
        <v>21</v>
      </c>
      <c r="B32" s="821" t="s">
        <v>418</v>
      </c>
      <c r="C32" s="619" t="s">
        <v>970</v>
      </c>
      <c r="D32" s="620" t="s">
        <v>823</v>
      </c>
    </row>
    <row r="33" spans="1:4" s="426" customFormat="1" ht="38.25">
      <c r="A33" s="618">
        <v>22</v>
      </c>
      <c r="B33" s="821" t="s">
        <v>419</v>
      </c>
      <c r="C33" s="619" t="s">
        <v>971</v>
      </c>
      <c r="D33" s="620" t="s">
        <v>499</v>
      </c>
    </row>
    <row r="34" spans="1:4" s="426" customFormat="1" ht="38.25">
      <c r="A34" s="618">
        <v>23</v>
      </c>
      <c r="B34" s="619" t="s">
        <v>957</v>
      </c>
      <c r="C34" s="619" t="s">
        <v>972</v>
      </c>
      <c r="D34" s="620" t="s">
        <v>499</v>
      </c>
    </row>
    <row r="35" spans="1:4" s="426" customFormat="1" ht="38.25">
      <c r="A35" s="618">
        <v>24</v>
      </c>
      <c r="B35" s="821" t="s">
        <v>603</v>
      </c>
      <c r="C35" s="619" t="s">
        <v>1336</v>
      </c>
      <c r="D35" s="620" t="s">
        <v>1332</v>
      </c>
    </row>
    <row r="36" spans="1:4" s="426" customFormat="1" ht="25.5">
      <c r="A36" s="618">
        <v>25</v>
      </c>
      <c r="B36" s="821" t="s">
        <v>824</v>
      </c>
      <c r="C36" s="619" t="s">
        <v>973</v>
      </c>
      <c r="D36" s="620" t="s">
        <v>499</v>
      </c>
    </row>
    <row r="37" spans="1:4" s="426" customFormat="1" ht="25.5">
      <c r="A37" s="618">
        <v>26</v>
      </c>
      <c r="B37" s="821" t="s">
        <v>605</v>
      </c>
      <c r="C37" s="619" t="s">
        <v>974</v>
      </c>
      <c r="D37" s="620" t="s">
        <v>825</v>
      </c>
    </row>
    <row r="38" spans="1:4" s="426" customFormat="1" ht="25.5">
      <c r="A38" s="618">
        <v>27</v>
      </c>
      <c r="B38" s="821" t="s">
        <v>606</v>
      </c>
      <c r="C38" s="619" t="s">
        <v>975</v>
      </c>
      <c r="D38" s="620" t="s">
        <v>825</v>
      </c>
    </row>
    <row r="39" spans="1:4" s="426" customFormat="1" ht="63.75">
      <c r="A39" s="618">
        <v>28</v>
      </c>
      <c r="B39" s="623" t="s">
        <v>1264</v>
      </c>
      <c r="C39" s="623" t="s">
        <v>1294</v>
      </c>
      <c r="D39" s="622" t="s">
        <v>1295</v>
      </c>
    </row>
    <row r="40" spans="1:4" s="426" customFormat="1" ht="39" thickBot="1">
      <c r="A40" s="618">
        <v>29</v>
      </c>
      <c r="B40" s="834" t="s">
        <v>1288</v>
      </c>
      <c r="C40" s="835" t="s">
        <v>1296</v>
      </c>
      <c r="D40" s="836" t="s">
        <v>1297</v>
      </c>
    </row>
    <row r="41" spans="1:4" s="426" customFormat="1">
      <c r="A41" s="618">
        <v>30</v>
      </c>
      <c r="B41" s="621"/>
      <c r="C41" s="623"/>
      <c r="D41" s="622"/>
    </row>
    <row r="42" spans="1:4" s="426" customFormat="1">
      <c r="A42" s="618">
        <v>31</v>
      </c>
      <c r="B42" s="823" t="s">
        <v>480</v>
      </c>
      <c r="C42" s="623"/>
      <c r="D42" s="622"/>
    </row>
    <row r="43" spans="1:4" s="426" customFormat="1" ht="25.5">
      <c r="A43" s="618">
        <v>32</v>
      </c>
      <c r="B43" s="619" t="s">
        <v>878</v>
      </c>
      <c r="C43" s="817" t="s">
        <v>977</v>
      </c>
      <c r="D43" s="818" t="s">
        <v>978</v>
      </c>
    </row>
    <row r="44" spans="1:4" s="426" customFormat="1" ht="25.5">
      <c r="A44" s="618">
        <v>33</v>
      </c>
      <c r="B44" s="821" t="s">
        <v>25</v>
      </c>
      <c r="C44" s="619" t="s">
        <v>507</v>
      </c>
      <c r="D44" s="620" t="s">
        <v>502</v>
      </c>
    </row>
    <row r="45" spans="1:4" s="426" customFormat="1" ht="25.5">
      <c r="A45" s="618">
        <v>34</v>
      </c>
      <c r="B45" s="821" t="s">
        <v>1298</v>
      </c>
      <c r="C45" s="817" t="s">
        <v>508</v>
      </c>
      <c r="D45" s="620" t="s">
        <v>498</v>
      </c>
    </row>
    <row r="46" spans="1:4" s="426" customFormat="1" ht="25.5">
      <c r="A46" s="618">
        <v>35</v>
      </c>
      <c r="B46" s="623" t="s">
        <v>1289</v>
      </c>
      <c r="C46" s="817" t="s">
        <v>1290</v>
      </c>
      <c r="D46" s="620"/>
    </row>
    <row r="47" spans="1:4" s="426" customFormat="1" ht="25.5">
      <c r="A47" s="618">
        <v>36</v>
      </c>
      <c r="B47" s="821" t="s">
        <v>180</v>
      </c>
      <c r="C47" s="619" t="s">
        <v>826</v>
      </c>
      <c r="D47" s="622" t="s">
        <v>509</v>
      </c>
    </row>
    <row r="48" spans="1:4" s="426" customFormat="1" ht="25.5">
      <c r="A48" s="618">
        <v>37</v>
      </c>
      <c r="B48" s="821" t="s">
        <v>421</v>
      </c>
      <c r="C48" s="619" t="s">
        <v>510</v>
      </c>
      <c r="D48" s="620" t="s">
        <v>481</v>
      </c>
    </row>
    <row r="49" spans="1:4" s="426" customFormat="1" ht="25.5">
      <c r="A49" s="618">
        <v>38</v>
      </c>
      <c r="B49" s="821" t="s">
        <v>607</v>
      </c>
      <c r="C49" s="619" t="s">
        <v>511</v>
      </c>
      <c r="D49" s="620" t="s">
        <v>503</v>
      </c>
    </row>
    <row r="50" spans="1:4" s="426" customFormat="1" ht="38.25">
      <c r="A50" s="618">
        <v>39</v>
      </c>
      <c r="B50" s="821" t="s">
        <v>608</v>
      </c>
      <c r="C50" s="619" t="s">
        <v>979</v>
      </c>
      <c r="D50" s="620" t="s">
        <v>1333</v>
      </c>
    </row>
    <row r="51" spans="1:4" s="426" customFormat="1" ht="38.25">
      <c r="A51" s="618">
        <v>40</v>
      </c>
      <c r="B51" s="821" t="s">
        <v>609</v>
      </c>
      <c r="C51" s="619" t="s">
        <v>980</v>
      </c>
      <c r="D51" s="620" t="s">
        <v>1333</v>
      </c>
    </row>
    <row r="52" spans="1:4" s="426" customFormat="1" ht="25.5">
      <c r="A52" s="618">
        <v>41</v>
      </c>
      <c r="B52" s="821" t="s">
        <v>610</v>
      </c>
      <c r="C52" s="619" t="s">
        <v>511</v>
      </c>
      <c r="D52" s="620" t="s">
        <v>503</v>
      </c>
    </row>
    <row r="53" spans="1:4" s="426" customFormat="1" ht="25.5">
      <c r="A53" s="618">
        <v>42</v>
      </c>
      <c r="B53" s="821" t="s">
        <v>1130</v>
      </c>
      <c r="C53" s="619" t="s">
        <v>511</v>
      </c>
      <c r="D53" s="620" t="s">
        <v>503</v>
      </c>
    </row>
    <row r="54" spans="1:4" s="426" customFormat="1" ht="25.5">
      <c r="A54" s="618">
        <v>43</v>
      </c>
      <c r="B54" s="821" t="s">
        <v>1131</v>
      </c>
      <c r="C54" s="619" t="s">
        <v>511</v>
      </c>
      <c r="D54" s="620" t="s">
        <v>503</v>
      </c>
    </row>
    <row r="55" spans="1:4" s="426" customFormat="1" ht="38.25">
      <c r="A55" s="618">
        <v>44</v>
      </c>
      <c r="B55" s="821" t="s">
        <v>611</v>
      </c>
      <c r="C55" s="837" t="s">
        <v>1291</v>
      </c>
      <c r="D55" s="838" t="s">
        <v>827</v>
      </c>
    </row>
    <row r="56" spans="1:4" s="426" customFormat="1" ht="38.25">
      <c r="A56" s="618">
        <v>45</v>
      </c>
      <c r="B56" s="822" t="s">
        <v>844</v>
      </c>
      <c r="C56" s="619" t="s">
        <v>981</v>
      </c>
      <c r="D56" s="620" t="s">
        <v>982</v>
      </c>
    </row>
    <row r="57" spans="1:4" s="426" customFormat="1" ht="38.25">
      <c r="A57" s="618">
        <v>46</v>
      </c>
      <c r="B57" s="821" t="s">
        <v>845</v>
      </c>
      <c r="C57" s="623" t="s">
        <v>983</v>
      </c>
      <c r="D57" s="620" t="s">
        <v>984</v>
      </c>
    </row>
    <row r="58" spans="1:4" s="426" customFormat="1" ht="51">
      <c r="A58" s="618">
        <v>47</v>
      </c>
      <c r="B58" s="821" t="s">
        <v>423</v>
      </c>
      <c r="C58" s="619" t="s">
        <v>512</v>
      </c>
      <c r="D58" s="620" t="s">
        <v>513</v>
      </c>
    </row>
    <row r="59" spans="1:4" s="426" customFormat="1" ht="38.25">
      <c r="A59" s="618">
        <v>48</v>
      </c>
      <c r="B59" s="821" t="s">
        <v>398</v>
      </c>
      <c r="C59" s="623" t="s">
        <v>514</v>
      </c>
      <c r="D59" s="622" t="s">
        <v>985</v>
      </c>
    </row>
    <row r="60" spans="1:4" s="426" customFormat="1" ht="51">
      <c r="A60" s="618">
        <v>49</v>
      </c>
      <c r="B60" s="821" t="s">
        <v>515</v>
      </c>
      <c r="C60" s="619" t="s">
        <v>986</v>
      </c>
      <c r="D60" s="622" t="s">
        <v>516</v>
      </c>
    </row>
    <row r="61" spans="1:4" s="426" customFormat="1" ht="38.25">
      <c r="A61" s="618">
        <v>50</v>
      </c>
      <c r="B61" s="619" t="s">
        <v>399</v>
      </c>
      <c r="C61" s="619" t="s">
        <v>987</v>
      </c>
      <c r="D61" s="620" t="s">
        <v>988</v>
      </c>
    </row>
    <row r="62" spans="1:4" s="426" customFormat="1" ht="63.75">
      <c r="A62" s="618">
        <v>51</v>
      </c>
      <c r="B62" s="619" t="s">
        <v>959</v>
      </c>
      <c r="C62" s="619" t="s">
        <v>517</v>
      </c>
      <c r="D62" s="620" t="s">
        <v>518</v>
      </c>
    </row>
    <row r="63" spans="1:4" s="426" customFormat="1" ht="38.25">
      <c r="A63" s="618">
        <v>52</v>
      </c>
      <c r="B63" s="619" t="s">
        <v>426</v>
      </c>
      <c r="C63" s="623" t="s">
        <v>1334</v>
      </c>
      <c r="D63" s="622" t="s">
        <v>1292</v>
      </c>
    </row>
    <row r="64" spans="1:4" s="426" customFormat="1" ht="38.25">
      <c r="A64" s="618">
        <v>53</v>
      </c>
      <c r="B64" s="619" t="s">
        <v>989</v>
      </c>
      <c r="C64" s="623" t="s">
        <v>828</v>
      </c>
      <c r="D64" s="622" t="s">
        <v>829</v>
      </c>
    </row>
    <row r="65" spans="1:6" s="426" customFormat="1" ht="38.25">
      <c r="A65" s="857">
        <v>54</v>
      </c>
      <c r="B65" s="619" t="s">
        <v>846</v>
      </c>
      <c r="C65" s="619" t="s">
        <v>990</v>
      </c>
      <c r="D65" s="620" t="s">
        <v>1293</v>
      </c>
    </row>
    <row r="66" spans="1:6" s="426" customFormat="1" ht="39" thickBot="1">
      <c r="A66" s="624">
        <v>55</v>
      </c>
      <c r="B66" s="858" t="s">
        <v>1059</v>
      </c>
      <c r="C66" s="859" t="s">
        <v>1299</v>
      </c>
      <c r="D66" s="860" t="s">
        <v>1335</v>
      </c>
    </row>
    <row r="67" spans="1:6" s="426" customFormat="1">
      <c r="A67" s="424"/>
      <c r="B67" s="429"/>
      <c r="C67" s="787"/>
      <c r="D67" s="787"/>
    </row>
    <row r="68" spans="1:6" s="426" customFormat="1">
      <c r="A68" s="424"/>
      <c r="B68" s="429"/>
      <c r="C68" s="787"/>
      <c r="D68" s="787"/>
    </row>
    <row r="69" spans="1:6" s="426" customFormat="1">
      <c r="A69" s="424"/>
      <c r="B69" s="429"/>
      <c r="C69" s="787"/>
      <c r="D69" s="787"/>
    </row>
    <row r="70" spans="1:6" s="426" customFormat="1">
      <c r="A70" s="424"/>
      <c r="B70" s="429"/>
      <c r="C70" s="787"/>
      <c r="D70" s="787"/>
    </row>
    <row r="71" spans="1:6" s="426" customFormat="1">
      <c r="A71" s="424"/>
      <c r="B71" s="429"/>
      <c r="C71" s="787"/>
      <c r="D71" s="787"/>
    </row>
    <row r="72" spans="1:6" s="426" customFormat="1">
      <c r="A72" s="424"/>
      <c r="B72" s="429"/>
      <c r="C72" s="787"/>
      <c r="D72" s="787"/>
    </row>
    <row r="73" spans="1:6" s="426" customFormat="1">
      <c r="A73" s="424"/>
      <c r="B73" s="429"/>
      <c r="C73" s="787"/>
      <c r="D73" s="787"/>
    </row>
    <row r="74" spans="1:6" s="427" customFormat="1">
      <c r="A74" s="424"/>
      <c r="B74" s="429"/>
      <c r="C74" s="425"/>
      <c r="D74" s="428"/>
      <c r="E74" s="426"/>
      <c r="F74" s="426"/>
    </row>
    <row r="75" spans="1:6" s="427" customFormat="1">
      <c r="A75" s="424"/>
      <c r="B75" s="429"/>
      <c r="C75" s="425"/>
      <c r="D75" s="428"/>
      <c r="E75" s="426"/>
      <c r="F75" s="426"/>
    </row>
    <row r="76" spans="1:6" s="427" customFormat="1">
      <c r="A76" s="424"/>
      <c r="B76" s="429"/>
      <c r="C76" s="425"/>
      <c r="D76" s="428"/>
      <c r="E76" s="426"/>
      <c r="F76" s="426"/>
    </row>
    <row r="77" spans="1:6" s="427" customFormat="1">
      <c r="A77" s="424"/>
      <c r="B77" s="429"/>
      <c r="C77" s="425"/>
      <c r="D77" s="428"/>
      <c r="E77" s="426"/>
      <c r="F77" s="426"/>
    </row>
    <row r="78" spans="1:6" s="427" customFormat="1">
      <c r="A78" s="424"/>
      <c r="B78" s="429"/>
      <c r="C78" s="425"/>
      <c r="D78" s="428"/>
      <c r="E78" s="426"/>
      <c r="F78" s="426"/>
    </row>
    <row r="79" spans="1:6" s="427" customFormat="1">
      <c r="A79" s="424"/>
      <c r="B79" s="429"/>
      <c r="C79" s="425"/>
      <c r="D79" s="428"/>
      <c r="E79" s="426"/>
      <c r="F79" s="426"/>
    </row>
    <row r="80" spans="1:6" s="427" customFormat="1">
      <c r="A80" s="424"/>
      <c r="B80" s="429"/>
      <c r="C80" s="425"/>
      <c r="D80" s="428"/>
      <c r="E80" s="426"/>
      <c r="F80" s="426"/>
    </row>
    <row r="81" spans="1:6" s="427" customFormat="1">
      <c r="A81" s="424"/>
      <c r="B81" s="429"/>
      <c r="C81" s="425"/>
      <c r="D81" s="428"/>
      <c r="E81" s="426"/>
      <c r="F81" s="426"/>
    </row>
    <row r="82" spans="1:6" s="427" customFormat="1">
      <c r="A82" s="424"/>
      <c r="B82" s="429"/>
      <c r="C82" s="425"/>
      <c r="D82" s="428"/>
      <c r="E82" s="426"/>
      <c r="F82" s="426"/>
    </row>
    <row r="83" spans="1:6" s="427" customFormat="1">
      <c r="A83" s="424"/>
      <c r="B83" s="429"/>
      <c r="C83" s="425"/>
      <c r="D83" s="428"/>
      <c r="E83" s="426"/>
      <c r="F83" s="426"/>
    </row>
    <row r="84" spans="1:6" s="427" customFormat="1">
      <c r="A84" s="424"/>
      <c r="B84" s="429"/>
      <c r="C84" s="425"/>
      <c r="D84" s="428"/>
      <c r="E84" s="426"/>
      <c r="F84" s="426"/>
    </row>
    <row r="85" spans="1:6" s="427" customFormat="1">
      <c r="A85" s="424"/>
      <c r="B85" s="429"/>
      <c r="C85" s="425"/>
      <c r="D85" s="428"/>
      <c r="E85" s="426"/>
      <c r="F85" s="426"/>
    </row>
    <row r="86" spans="1:6" s="427" customFormat="1">
      <c r="A86" s="424"/>
      <c r="B86" s="429"/>
      <c r="C86" s="425"/>
      <c r="D86" s="428"/>
      <c r="E86" s="426"/>
      <c r="F86" s="426"/>
    </row>
    <row r="87" spans="1:6" s="427" customFormat="1">
      <c r="A87" s="424"/>
      <c r="B87" s="429"/>
      <c r="C87" s="425"/>
      <c r="D87" s="428"/>
      <c r="E87" s="426"/>
      <c r="F87" s="426"/>
    </row>
    <row r="88" spans="1:6" s="427" customFormat="1">
      <c r="A88" s="424"/>
      <c r="B88" s="429"/>
      <c r="C88" s="425"/>
      <c r="D88" s="428"/>
      <c r="E88" s="426"/>
      <c r="F88" s="426"/>
    </row>
    <row r="89" spans="1:6" s="427" customFormat="1">
      <c r="A89" s="424"/>
      <c r="B89" s="429"/>
      <c r="C89" s="425"/>
      <c r="D89" s="428"/>
      <c r="E89" s="426"/>
      <c r="F89" s="426"/>
    </row>
    <row r="90" spans="1:6" s="427" customFormat="1">
      <c r="A90" s="424"/>
      <c r="B90" s="429"/>
      <c r="C90" s="425"/>
      <c r="D90" s="428"/>
      <c r="E90" s="426"/>
      <c r="F90" s="426"/>
    </row>
    <row r="91" spans="1:6" s="427" customFormat="1">
      <c r="A91" s="424"/>
      <c r="B91" s="429"/>
      <c r="C91" s="425"/>
      <c r="D91" s="428"/>
      <c r="E91" s="426"/>
      <c r="F91" s="426"/>
    </row>
    <row r="92" spans="1:6" s="427" customFormat="1">
      <c r="A92" s="424"/>
      <c r="B92" s="429"/>
      <c r="C92" s="425"/>
      <c r="D92" s="428"/>
      <c r="E92" s="426"/>
      <c r="F92" s="426"/>
    </row>
    <row r="93" spans="1:6" s="427" customFormat="1">
      <c r="A93" s="424"/>
      <c r="B93" s="429"/>
      <c r="C93" s="425"/>
      <c r="D93" s="428"/>
      <c r="E93" s="426"/>
      <c r="F93" s="426"/>
    </row>
    <row r="94" spans="1:6" s="427" customFormat="1">
      <c r="A94" s="424"/>
      <c r="B94" s="429"/>
      <c r="C94" s="425"/>
      <c r="D94" s="428"/>
      <c r="E94" s="426"/>
      <c r="F94" s="426"/>
    </row>
    <row r="95" spans="1:6" s="427" customFormat="1">
      <c r="A95" s="424"/>
      <c r="B95" s="429"/>
      <c r="C95" s="425"/>
      <c r="D95" s="428"/>
      <c r="E95" s="426"/>
      <c r="F95" s="426"/>
    </row>
    <row r="96" spans="1:6" s="427" customFormat="1">
      <c r="A96" s="424"/>
      <c r="B96" s="429"/>
      <c r="C96" s="425"/>
      <c r="D96" s="428"/>
      <c r="E96" s="426"/>
      <c r="F96" s="426"/>
    </row>
    <row r="97" spans="1:6" s="427" customFormat="1">
      <c r="A97" s="424"/>
      <c r="B97" s="429"/>
      <c r="C97" s="425"/>
      <c r="D97" s="428"/>
      <c r="E97" s="426"/>
      <c r="F97" s="426"/>
    </row>
    <row r="98" spans="1:6" s="427" customFormat="1">
      <c r="A98" s="424"/>
      <c r="B98" s="429"/>
      <c r="C98" s="425"/>
      <c r="D98" s="428"/>
      <c r="E98" s="426"/>
      <c r="F98" s="426"/>
    </row>
    <row r="99" spans="1:6" s="427" customFormat="1">
      <c r="A99" s="424"/>
      <c r="B99" s="429"/>
      <c r="C99" s="425"/>
      <c r="D99" s="428"/>
      <c r="E99" s="426"/>
      <c r="F99" s="426"/>
    </row>
    <row r="100" spans="1:6" s="427" customFormat="1">
      <c r="A100" s="424"/>
      <c r="B100" s="429"/>
      <c r="C100" s="425"/>
      <c r="D100" s="428"/>
      <c r="E100" s="426"/>
      <c r="F100" s="426"/>
    </row>
    <row r="101" spans="1:6" s="427" customFormat="1">
      <c r="A101" s="424"/>
      <c r="B101" s="429"/>
      <c r="C101" s="425"/>
      <c r="D101" s="428"/>
      <c r="E101" s="426"/>
      <c r="F101" s="426"/>
    </row>
    <row r="102" spans="1:6" s="427" customFormat="1">
      <c r="A102" s="424"/>
      <c r="B102" s="429"/>
      <c r="C102" s="425"/>
      <c r="D102" s="428"/>
      <c r="E102" s="426"/>
      <c r="F102" s="426"/>
    </row>
    <row r="103" spans="1:6" s="427" customFormat="1">
      <c r="A103" s="424"/>
      <c r="B103" s="429"/>
      <c r="C103" s="425"/>
      <c r="D103" s="428"/>
      <c r="E103" s="426"/>
      <c r="F103" s="426"/>
    </row>
  </sheetData>
  <phoneticPr fontId="29" type="noConversion"/>
  <printOptions horizontalCentered="1"/>
  <pageMargins left="0.5" right="0.5" top="2.5" bottom="0.25" header="1.5" footer="0.5"/>
  <pageSetup scale="61" fitToHeight="3" pageOrder="overThenDown" orientation="landscape"/>
  <headerFooter alignWithMargins="0">
    <oddHeader>&amp;R&amp;"Arial,Bold"Schedule II-E-3.6
Page &amp;P of &amp;N&amp;C&amp;B
2025 RATE CASE
ONCOR ELECTRIC DELIVERY COMPANY LLC
II-E-3.6  ADFIT – DESCRIPTION OF TIMING DIFFERENCES
TEST YEAR ENDING DECEMBER 31, 2024
SPONSOR: B. L. CLUTTER</oddHeader>
  </headerFooter>
  <rowBreaks count="2" manualBreakCount="2">
    <brk id="22" max="3" man="1"/>
    <brk id="40" max="3" man="1"/>
  </row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A1:E57"/>
  <sheetViews>
    <sheetView topLeftCell="A7" zoomScale="80" zoomScaleNormal="80" workbookViewId="0">
      <selection activeCell="E17" sqref="E17"/>
    </sheetView>
  </sheetViews>
  <sheetFormatPr defaultColWidth="9.140625" defaultRowHeight="12.75"/>
  <cols>
    <col min="1" max="1" width="9.42578125" style="346" bestFit="1" customWidth="1"/>
    <col min="2" max="2" width="56.140625" style="346" customWidth="1"/>
    <col min="3" max="3" width="17.28515625" style="346" customWidth="1"/>
    <col min="4" max="4" width="17.5703125" style="346" bestFit="1" customWidth="1"/>
    <col min="5" max="5" width="80.5703125" style="346" bestFit="1" customWidth="1"/>
    <col min="6" max="16384" width="9.140625" style="346"/>
  </cols>
  <sheetData>
    <row r="1" spans="1:5">
      <c r="A1" s="189" t="str">
        <f>+'[3]Input Data'!$A$9</f>
        <v>2025 RATE CASE</v>
      </c>
    </row>
    <row r="2" spans="1:5">
      <c r="A2" s="188" t="str">
        <f>+'[3]Input Data'!$A$2</f>
        <v>ONCOR ELECTRIC DELIVERY COMPANY LLC</v>
      </c>
    </row>
    <row r="3" spans="1:5">
      <c r="A3" s="187" t="str">
        <f>CONCATENATE('[3]Schedule Sponsors'!$A$92,'[3]Schedule Sponsors'!$B$92)</f>
        <v>II-E-3.7  ADJUSTMENTS TO ADFIT</v>
      </c>
    </row>
    <row r="4" spans="1:5">
      <c r="A4" s="187" t="str">
        <f>+'[3]Input Data'!$A$4</f>
        <v>TEST YEAR ENDING DECEMBER 31, 2024</v>
      </c>
    </row>
    <row r="5" spans="1:5">
      <c r="A5" s="185" t="str">
        <f>CONCATENATE("SPONSOR: ",'[3]Schedule Sponsors'!$D$94)</f>
        <v>SPONSOR: B. L. CLUTTER</v>
      </c>
    </row>
    <row r="9" spans="1:5" ht="13.5" thickBot="1"/>
    <row r="10" spans="1:5" s="189" customFormat="1">
      <c r="A10" s="259" t="s">
        <v>241</v>
      </c>
      <c r="B10" s="251"/>
      <c r="C10" s="259" t="s">
        <v>66</v>
      </c>
      <c r="D10" s="251"/>
      <c r="E10" s="259"/>
    </row>
    <row r="11" spans="1:5" s="189" customFormat="1">
      <c r="A11" s="260" t="s">
        <v>139</v>
      </c>
      <c r="B11" s="260" t="s">
        <v>64</v>
      </c>
      <c r="C11" s="260" t="s">
        <v>68</v>
      </c>
      <c r="D11" s="173" t="s">
        <v>464</v>
      </c>
      <c r="E11" s="260" t="s">
        <v>428</v>
      </c>
    </row>
    <row r="12" spans="1:5" ht="13.5" thickBot="1">
      <c r="A12" s="308"/>
      <c r="B12" s="261" t="s">
        <v>226</v>
      </c>
      <c r="C12" s="261" t="s">
        <v>227</v>
      </c>
      <c r="D12" s="261" t="s">
        <v>228</v>
      </c>
      <c r="E12" s="261" t="s">
        <v>229</v>
      </c>
    </row>
    <row r="14" spans="1:5">
      <c r="A14" s="347">
        <v>1</v>
      </c>
      <c r="B14" s="346" t="s">
        <v>1072</v>
      </c>
      <c r="C14" s="347" t="s">
        <v>992</v>
      </c>
      <c r="D14" s="463">
        <f>+'II-E-3.5'!E98</f>
        <v>2551880640.0300002</v>
      </c>
      <c r="E14" s="349"/>
    </row>
    <row r="15" spans="1:5">
      <c r="A15" s="347">
        <f t="shared" ref="A15:A48" si="0">A14+1</f>
        <v>2</v>
      </c>
      <c r="D15" s="255"/>
      <c r="E15" s="349"/>
    </row>
    <row r="16" spans="1:5">
      <c r="A16" s="347">
        <f t="shared" si="0"/>
        <v>3</v>
      </c>
      <c r="B16" s="339" t="s">
        <v>1000</v>
      </c>
      <c r="C16" s="339"/>
      <c r="D16" s="255"/>
      <c r="E16" s="349"/>
    </row>
    <row r="17" spans="1:5">
      <c r="A17" s="347">
        <f t="shared" si="0"/>
        <v>4</v>
      </c>
      <c r="B17" s="346" t="s">
        <v>427</v>
      </c>
      <c r="C17" s="673" t="s">
        <v>1002</v>
      </c>
      <c r="D17" s="467">
        <f>+'II-E-3.5'!H18</f>
        <v>-44229087.270000003</v>
      </c>
      <c r="E17" s="317" t="s">
        <v>429</v>
      </c>
    </row>
    <row r="18" spans="1:5">
      <c r="A18" s="347">
        <f t="shared" si="0"/>
        <v>5</v>
      </c>
      <c r="B18" s="549" t="s">
        <v>952</v>
      </c>
      <c r="C18" s="673" t="s">
        <v>1003</v>
      </c>
      <c r="D18" s="463">
        <f>+'II-E-3.5'!H19</f>
        <v>-43566659.75</v>
      </c>
      <c r="E18" s="317" t="s">
        <v>429</v>
      </c>
    </row>
    <row r="19" spans="1:5">
      <c r="A19" s="347">
        <f t="shared" si="0"/>
        <v>6</v>
      </c>
      <c r="B19" s="549" t="s">
        <v>953</v>
      </c>
      <c r="C19" s="673" t="s">
        <v>1088</v>
      </c>
      <c r="D19" s="467">
        <f>+'II-E-3.5'!H20</f>
        <v>-8476771.2699999996</v>
      </c>
      <c r="E19" s="317" t="s">
        <v>429</v>
      </c>
    </row>
    <row r="20" spans="1:5">
      <c r="A20" s="347">
        <f t="shared" si="0"/>
        <v>7</v>
      </c>
      <c r="B20" s="549" t="s">
        <v>599</v>
      </c>
      <c r="C20" s="673" t="s">
        <v>1099</v>
      </c>
      <c r="D20" s="467">
        <f>+'II-E-3.5'!F23</f>
        <v>2588446.77</v>
      </c>
      <c r="E20" s="349" t="s">
        <v>961</v>
      </c>
    </row>
    <row r="21" spans="1:5">
      <c r="A21" s="347">
        <f t="shared" si="0"/>
        <v>8</v>
      </c>
      <c r="B21" s="549" t="s">
        <v>698</v>
      </c>
      <c r="C21" s="673" t="s">
        <v>1217</v>
      </c>
      <c r="D21" s="467">
        <f>+'II-E-3.5'!H24</f>
        <v>-1291037.33</v>
      </c>
      <c r="E21" s="349" t="s">
        <v>961</v>
      </c>
    </row>
    <row r="22" spans="1:5">
      <c r="A22" s="347">
        <f t="shared" si="0"/>
        <v>9</v>
      </c>
      <c r="B22" s="606" t="s">
        <v>339</v>
      </c>
      <c r="C22" s="673" t="s">
        <v>1004</v>
      </c>
      <c r="D22" s="467">
        <f>+'II-E-3.5'!F27</f>
        <v>-2588446.77</v>
      </c>
      <c r="E22" s="349" t="s">
        <v>961</v>
      </c>
    </row>
    <row r="23" spans="1:5">
      <c r="A23" s="347">
        <f t="shared" si="0"/>
        <v>10</v>
      </c>
      <c r="B23" s="175" t="s">
        <v>600</v>
      </c>
      <c r="C23" s="689" t="s">
        <v>1089</v>
      </c>
      <c r="D23" s="467">
        <f>+'II-E-3.5'!H28</f>
        <v>-290966.40000000002</v>
      </c>
      <c r="E23" s="317" t="s">
        <v>961</v>
      </c>
    </row>
    <row r="24" spans="1:5" s="840" customFormat="1">
      <c r="A24" s="347">
        <f t="shared" si="0"/>
        <v>11</v>
      </c>
      <c r="B24" s="175" t="s">
        <v>422</v>
      </c>
      <c r="C24" s="689" t="s">
        <v>1301</v>
      </c>
      <c r="D24" s="467">
        <f>+'II-E-3.5'!H40</f>
        <v>5565.71</v>
      </c>
      <c r="E24" s="317" t="s">
        <v>961</v>
      </c>
    </row>
    <row r="25" spans="1:5">
      <c r="A25" s="347">
        <f t="shared" si="0"/>
        <v>12</v>
      </c>
      <c r="B25" s="606" t="s">
        <v>401</v>
      </c>
      <c r="C25" s="689" t="s">
        <v>1239</v>
      </c>
      <c r="D25" s="467">
        <f>+'II-E-3.5'!H41</f>
        <v>275850.44</v>
      </c>
      <c r="E25" s="317" t="s">
        <v>962</v>
      </c>
    </row>
    <row r="26" spans="1:5" s="192" customFormat="1">
      <c r="A26" s="347">
        <f t="shared" si="0"/>
        <v>13</v>
      </c>
      <c r="B26" s="678" t="s">
        <v>1054</v>
      </c>
      <c r="C26" s="689" t="s">
        <v>1100</v>
      </c>
      <c r="D26" s="467">
        <f>+'II-E-3.5'!H45</f>
        <v>70821.100000000006</v>
      </c>
      <c r="E26" s="317" t="s">
        <v>962</v>
      </c>
    </row>
    <row r="27" spans="1:5">
      <c r="A27" s="347">
        <f t="shared" si="0"/>
        <v>14</v>
      </c>
      <c r="B27" s="606" t="s">
        <v>637</v>
      </c>
      <c r="C27" s="689" t="s">
        <v>1241</v>
      </c>
      <c r="D27" s="467">
        <f>+'II-E-3.5'!H46</f>
        <v>-3484398.54</v>
      </c>
      <c r="E27" s="192" t="s">
        <v>1240</v>
      </c>
    </row>
    <row r="28" spans="1:5" s="192" customFormat="1">
      <c r="A28" s="347">
        <f t="shared" si="0"/>
        <v>15</v>
      </c>
      <c r="B28" s="678" t="s">
        <v>956</v>
      </c>
      <c r="C28" s="689" t="s">
        <v>1087</v>
      </c>
      <c r="D28" s="467">
        <f>+'II-E-3.5'!H47</f>
        <v>-341366</v>
      </c>
      <c r="E28" s="317" t="s">
        <v>962</v>
      </c>
    </row>
    <row r="29" spans="1:5" s="192" customFormat="1">
      <c r="A29" s="347">
        <f t="shared" si="0"/>
        <v>16</v>
      </c>
      <c r="B29" s="606" t="s">
        <v>419</v>
      </c>
      <c r="C29" s="689" t="s">
        <v>1242</v>
      </c>
      <c r="D29" s="467">
        <f>+'II-E-3.5'!H51</f>
        <v>21107.37</v>
      </c>
      <c r="E29" s="317" t="s">
        <v>962</v>
      </c>
    </row>
    <row r="30" spans="1:5" s="192" customFormat="1">
      <c r="A30" s="347">
        <f t="shared" si="0"/>
        <v>17</v>
      </c>
      <c r="B30" s="606" t="s">
        <v>1056</v>
      </c>
      <c r="C30" s="673" t="s">
        <v>1005</v>
      </c>
      <c r="D30" s="467">
        <f>+'II-E-3.5'!H58</f>
        <v>52.37</v>
      </c>
      <c r="E30" s="317" t="s">
        <v>962</v>
      </c>
    </row>
    <row r="31" spans="1:5">
      <c r="A31" s="347">
        <f t="shared" si="0"/>
        <v>18</v>
      </c>
      <c r="B31" s="606" t="s">
        <v>875</v>
      </c>
      <c r="C31" s="673" t="s">
        <v>1006</v>
      </c>
      <c r="D31" s="467">
        <f>+'II-E-3.5'!H59</f>
        <v>-1766887.01</v>
      </c>
      <c r="E31" s="317" t="s">
        <v>1090</v>
      </c>
    </row>
    <row r="32" spans="1:5">
      <c r="A32" s="347">
        <f t="shared" si="0"/>
        <v>19</v>
      </c>
      <c r="B32" s="346" t="s">
        <v>566</v>
      </c>
      <c r="C32" s="673" t="s">
        <v>1243</v>
      </c>
      <c r="D32" s="467">
        <f>+'II-E-3.5'!H60</f>
        <v>-13532890.859999999</v>
      </c>
      <c r="E32" s="317" t="s">
        <v>429</v>
      </c>
    </row>
    <row r="33" spans="1:5">
      <c r="A33" s="347">
        <f t="shared" si="0"/>
        <v>20</v>
      </c>
    </row>
    <row r="34" spans="1:5">
      <c r="A34" s="347">
        <f t="shared" si="0"/>
        <v>21</v>
      </c>
      <c r="B34" s="349"/>
      <c r="C34" s="349"/>
      <c r="D34" s="340"/>
      <c r="E34" s="317"/>
    </row>
    <row r="35" spans="1:5">
      <c r="A35" s="347">
        <f t="shared" si="0"/>
        <v>22</v>
      </c>
      <c r="B35" s="339" t="s">
        <v>1001</v>
      </c>
      <c r="C35" s="339"/>
      <c r="D35" s="285"/>
      <c r="E35" s="317"/>
    </row>
    <row r="36" spans="1:5">
      <c r="A36" s="347">
        <f t="shared" si="0"/>
        <v>23</v>
      </c>
      <c r="B36" s="545" t="s">
        <v>427</v>
      </c>
      <c r="C36" s="673" t="s">
        <v>1007</v>
      </c>
      <c r="D36" s="463">
        <f>+'II-E-3.5'!H65</f>
        <v>-44229087.270000003</v>
      </c>
      <c r="E36" s="317" t="s">
        <v>429</v>
      </c>
    </row>
    <row r="37" spans="1:5">
      <c r="A37" s="347">
        <f t="shared" si="0"/>
        <v>24</v>
      </c>
      <c r="B37" s="545" t="s">
        <v>421</v>
      </c>
      <c r="C37" s="673" t="s">
        <v>1092</v>
      </c>
      <c r="D37" s="467">
        <f>+'II-E-3.5'!H72</f>
        <v>-561254.63100000005</v>
      </c>
      <c r="E37" s="317" t="s">
        <v>1094</v>
      </c>
    </row>
    <row r="38" spans="1:5">
      <c r="A38" s="347">
        <f t="shared" si="0"/>
        <v>25</v>
      </c>
      <c r="B38" s="545" t="s">
        <v>607</v>
      </c>
      <c r="C38" s="673" t="s">
        <v>1093</v>
      </c>
      <c r="D38" s="467">
        <f>+'II-E-3.5'!H73</f>
        <v>-107344.9</v>
      </c>
      <c r="E38" s="317" t="s">
        <v>1095</v>
      </c>
    </row>
    <row r="39" spans="1:5">
      <c r="A39" s="347">
        <f t="shared" si="0"/>
        <v>26</v>
      </c>
      <c r="B39" s="606" t="s">
        <v>341</v>
      </c>
      <c r="C39" s="673" t="s">
        <v>1096</v>
      </c>
      <c r="D39" s="467">
        <f>+'II-E-3.5'!H83</f>
        <v>-9038370.5500000007</v>
      </c>
      <c r="E39" s="317" t="s">
        <v>1094</v>
      </c>
    </row>
    <row r="40" spans="1:5">
      <c r="A40" s="347">
        <f t="shared" si="0"/>
        <v>27</v>
      </c>
      <c r="B40" s="606" t="s">
        <v>398</v>
      </c>
      <c r="C40" s="673" t="s">
        <v>1008</v>
      </c>
      <c r="D40" s="467">
        <f>+'II-E-3.5'!H84</f>
        <v>-1350855.37</v>
      </c>
      <c r="E40" s="317" t="s">
        <v>1094</v>
      </c>
    </row>
    <row r="41" spans="1:5">
      <c r="A41" s="347">
        <f t="shared" si="0"/>
        <v>28</v>
      </c>
      <c r="B41" s="539" t="s">
        <v>425</v>
      </c>
      <c r="C41" s="673" t="s">
        <v>1097</v>
      </c>
      <c r="D41" s="467">
        <f>+'II-E-3.5'!H86</f>
        <v>-1766887.01</v>
      </c>
      <c r="E41" s="317" t="s">
        <v>1091</v>
      </c>
    </row>
    <row r="42" spans="1:5">
      <c r="A42" s="347">
        <f t="shared" si="0"/>
        <v>29</v>
      </c>
      <c r="B42" s="346" t="s">
        <v>612</v>
      </c>
      <c r="C42" s="673" t="s">
        <v>1009</v>
      </c>
      <c r="D42" s="467">
        <f>+'II-E-3.5'!H89</f>
        <v>-1277621.29</v>
      </c>
      <c r="E42" s="317" t="s">
        <v>961</v>
      </c>
    </row>
    <row r="43" spans="1:5">
      <c r="A43" s="347">
        <f t="shared" si="0"/>
        <v>30</v>
      </c>
      <c r="B43" s="346" t="s">
        <v>566</v>
      </c>
      <c r="C43" s="673" t="s">
        <v>1010</v>
      </c>
      <c r="D43" s="467">
        <f>+'II-E-3.5'!H94</f>
        <v>-275246531.94</v>
      </c>
      <c r="E43" s="317" t="s">
        <v>429</v>
      </c>
    </row>
    <row r="44" spans="1:5">
      <c r="A44" s="347">
        <f t="shared" si="0"/>
        <v>31</v>
      </c>
      <c r="B44" s="546" t="s">
        <v>567</v>
      </c>
      <c r="C44" s="673" t="s">
        <v>1098</v>
      </c>
      <c r="D44" s="467">
        <f>+'II-E-3.5'!H95</f>
        <v>-542395.86</v>
      </c>
      <c r="E44" s="317" t="s">
        <v>429</v>
      </c>
    </row>
    <row r="45" spans="1:5">
      <c r="A45" s="347">
        <f t="shared" si="0"/>
        <v>32</v>
      </c>
      <c r="B45" s="175"/>
      <c r="C45" s="175"/>
      <c r="D45" s="467"/>
      <c r="E45" s="317"/>
    </row>
    <row r="46" spans="1:5">
      <c r="A46" s="347">
        <f t="shared" si="0"/>
        <v>33</v>
      </c>
      <c r="B46" s="339" t="s">
        <v>186</v>
      </c>
      <c r="C46" s="347" t="s">
        <v>1012</v>
      </c>
      <c r="D46" s="502">
        <f>SUM(D17:D33)-SUM(D36:D44)</f>
        <v>217513681.38099995</v>
      </c>
      <c r="E46" s="349"/>
    </row>
    <row r="47" spans="1:5">
      <c r="A47" s="347">
        <f t="shared" si="0"/>
        <v>34</v>
      </c>
      <c r="D47" s="255"/>
      <c r="E47" s="349"/>
    </row>
    <row r="48" spans="1:5">
      <c r="A48" s="347">
        <f t="shared" si="0"/>
        <v>35</v>
      </c>
      <c r="B48" s="339" t="s">
        <v>1073</v>
      </c>
      <c r="C48" s="173" t="s">
        <v>992</v>
      </c>
      <c r="D48" s="502">
        <f>D14+D46</f>
        <v>2769394321.4110003</v>
      </c>
      <c r="E48" s="349"/>
    </row>
    <row r="52" spans="4:5">
      <c r="D52" s="258">
        <f>+'II-E-3.5'!I98</f>
        <v>2769394321.4099998</v>
      </c>
      <c r="E52" s="257" t="s">
        <v>430</v>
      </c>
    </row>
    <row r="53" spans="4:5">
      <c r="D53" s="550">
        <f>+D48-D52</f>
        <v>1.0004043579101563E-3</v>
      </c>
    </row>
    <row r="55" spans="4:5">
      <c r="D55" s="460"/>
    </row>
    <row r="56" spans="4:5">
      <c r="D56" s="463"/>
    </row>
    <row r="57" spans="4:5">
      <c r="D57" s="460"/>
    </row>
  </sheetData>
  <phoneticPr fontId="0" type="noConversion"/>
  <printOptions horizontalCentered="1"/>
  <pageMargins left="0.5" right="0.5" top="3" bottom="0.5" header="1.5" footer="0.5"/>
  <pageSetup scale="68" pageOrder="overThenDown" orientation="landscape"/>
  <headerFooter alignWithMargins="0">
    <oddHeader>&amp;R&amp;"Arial,Bold"Schedule &amp;A
Page &amp;P of &amp;N&amp;C&amp;B
2025 RATE CASE
ONCOR ELECTRIC DELIVERY COMPANY LLC
II-E-3.7  ADJUSTMENTS TO ADFIT
TEST YEAR ENDING DECEMBER 31, 2024
SPONSOR: B. L. CLUTTER</oddHead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2">
    <pageSetUpPr fitToPage="1"/>
  </sheetPr>
  <dimension ref="A1:K43"/>
  <sheetViews>
    <sheetView zoomScale="80" zoomScaleNormal="80" zoomScaleSheetLayoutView="100" workbookViewId="0">
      <selection activeCell="B21" sqref="B21"/>
    </sheetView>
  </sheetViews>
  <sheetFormatPr defaultColWidth="9.140625" defaultRowHeight="12.75"/>
  <cols>
    <col min="1" max="1" width="8.28515625" style="346" customWidth="1"/>
    <col min="2" max="2" width="30.85546875" style="346" customWidth="1"/>
    <col min="3" max="6" width="15.5703125" style="346" customWidth="1"/>
    <col min="7" max="7" width="21.42578125" style="346" bestFit="1" customWidth="1"/>
    <col min="8" max="8" width="15.5703125" style="346" customWidth="1"/>
    <col min="9" max="9" width="15.28515625" style="346" customWidth="1"/>
    <col min="10" max="10" width="23.28515625" style="346" customWidth="1"/>
    <col min="11" max="11" width="29.7109375" style="346" bestFit="1" customWidth="1"/>
    <col min="12" max="16384" width="9.140625" style="346"/>
  </cols>
  <sheetData>
    <row r="1" spans="1:11">
      <c r="A1" s="189" t="str">
        <f>+'[3]Input Data'!$A$9</f>
        <v>2025 RATE CASE</v>
      </c>
    </row>
    <row r="2" spans="1:11">
      <c r="A2" s="188" t="str">
        <f>+'[3]Input Data'!$A$2</f>
        <v>ONCOR ELECTRIC DELIVERY COMPANY LLC</v>
      </c>
    </row>
    <row r="3" spans="1:11">
      <c r="A3" s="187" t="str">
        <f>CONCATENATE('[3]Schedule Sponsors'!$A$93,'[3]Schedule Sponsors'!$B$93)</f>
        <v>II-E-3.8  ADFIT AND ITC – PLANT ADJUSTMENTS &amp;&amp; ALLOCATIONS</v>
      </c>
    </row>
    <row r="4" spans="1:11">
      <c r="A4" s="187" t="str">
        <f>+'[3]Input Data'!$A$4</f>
        <v>TEST YEAR ENDING DECEMBER 31, 2024</v>
      </c>
    </row>
    <row r="5" spans="1:11">
      <c r="A5" s="185" t="str">
        <f>CONCATENATE("SPONSOR: ",'[3]Schedule Sponsors'!$D$95)</f>
        <v>SPONSOR: B. L. CLUTTER</v>
      </c>
    </row>
    <row r="9" spans="1:11">
      <c r="B9" s="269"/>
    </row>
    <row r="10" spans="1:11" s="294" customFormat="1">
      <c r="A10" s="389"/>
      <c r="B10" s="390"/>
      <c r="C10" s="389" t="s">
        <v>14</v>
      </c>
      <c r="D10" s="389"/>
      <c r="E10" s="389"/>
      <c r="F10" s="389"/>
      <c r="G10" s="389"/>
      <c r="H10" s="389"/>
      <c r="I10" s="389"/>
      <c r="J10" s="390"/>
      <c r="K10" s="390"/>
    </row>
    <row r="11" spans="1:11" s="172" customFormat="1">
      <c r="A11" s="391" t="s">
        <v>46</v>
      </c>
      <c r="B11" s="392"/>
      <c r="C11" s="391">
        <v>2022</v>
      </c>
      <c r="D11" s="391">
        <v>2023</v>
      </c>
      <c r="E11" s="391">
        <v>2024</v>
      </c>
      <c r="F11" s="391" t="s">
        <v>15</v>
      </c>
      <c r="G11" s="391" t="s">
        <v>66</v>
      </c>
    </row>
    <row r="12" spans="1:11" s="189" customFormat="1">
      <c r="A12" s="393"/>
      <c r="B12" s="395" t="s">
        <v>226</v>
      </c>
      <c r="C12" s="395" t="s">
        <v>227</v>
      </c>
      <c r="D12" s="395" t="s">
        <v>228</v>
      </c>
      <c r="E12" s="395" t="s">
        <v>230</v>
      </c>
      <c r="F12" s="395" t="s">
        <v>233</v>
      </c>
      <c r="G12" s="395" t="s">
        <v>234</v>
      </c>
    </row>
    <row r="13" spans="1:11">
      <c r="A13" s="395">
        <v>1</v>
      </c>
      <c r="B13" s="393" t="s">
        <v>16</v>
      </c>
      <c r="C13" s="394"/>
      <c r="D13" s="394"/>
      <c r="E13" s="394"/>
      <c r="F13" s="394"/>
      <c r="G13" s="394"/>
    </row>
    <row r="14" spans="1:11">
      <c r="A14" s="395">
        <f t="shared" ref="A14:A39" si="0">+A13+1</f>
        <v>2</v>
      </c>
      <c r="B14" s="331" t="s">
        <v>374</v>
      </c>
      <c r="C14" s="468">
        <v>65692468.609999999</v>
      </c>
      <c r="D14" s="468">
        <v>60773269.060000002</v>
      </c>
      <c r="E14" s="468">
        <v>23280722.239999998</v>
      </c>
      <c r="F14" s="468">
        <f t="shared" ref="F14:F21" si="1">SUM(C14:E14)</f>
        <v>149746459.91</v>
      </c>
      <c r="G14" s="395" t="s">
        <v>701</v>
      </c>
    </row>
    <row r="15" spans="1:11">
      <c r="A15" s="395">
        <f t="shared" si="0"/>
        <v>3</v>
      </c>
      <c r="B15" s="175" t="s">
        <v>17</v>
      </c>
      <c r="C15" s="469">
        <v>9135812.8200000003</v>
      </c>
      <c r="D15" s="469">
        <v>13108639.640000001</v>
      </c>
      <c r="E15" s="469">
        <v>17777544.469999999</v>
      </c>
      <c r="F15" s="469">
        <f t="shared" si="1"/>
        <v>40021996.93</v>
      </c>
      <c r="G15" s="395" t="s">
        <v>701</v>
      </c>
    </row>
    <row r="16" spans="1:11">
      <c r="A16" s="395">
        <f t="shared" si="0"/>
        <v>4</v>
      </c>
      <c r="B16" s="175" t="s">
        <v>384</v>
      </c>
      <c r="C16" s="469">
        <v>35697947.039999999</v>
      </c>
      <c r="D16" s="469">
        <v>33396296.84</v>
      </c>
      <c r="E16" s="469">
        <v>28996426.620000001</v>
      </c>
      <c r="F16" s="469">
        <f t="shared" si="1"/>
        <v>98090670.5</v>
      </c>
      <c r="G16" s="395" t="s">
        <v>701</v>
      </c>
    </row>
    <row r="17" spans="1:10">
      <c r="A17" s="395">
        <f t="shared" si="0"/>
        <v>5</v>
      </c>
      <c r="B17" s="175" t="s">
        <v>28</v>
      </c>
      <c r="C17" s="469">
        <v>-12454609.67</v>
      </c>
      <c r="D17" s="469">
        <v>-17010240.75</v>
      </c>
      <c r="E17" s="469">
        <v>-27608043.84</v>
      </c>
      <c r="F17" s="469">
        <f t="shared" si="1"/>
        <v>-57072894.260000005</v>
      </c>
      <c r="G17" s="395" t="s">
        <v>701</v>
      </c>
    </row>
    <row r="18" spans="1:10">
      <c r="A18" s="395">
        <f t="shared" si="0"/>
        <v>6</v>
      </c>
      <c r="B18" s="175" t="s">
        <v>18</v>
      </c>
      <c r="C18" s="469">
        <v>7637917.0300000003</v>
      </c>
      <c r="D18" s="469">
        <v>9941922.4000000004</v>
      </c>
      <c r="E18" s="469">
        <v>8655373.5500000007</v>
      </c>
      <c r="F18" s="469">
        <f t="shared" si="1"/>
        <v>26235212.98</v>
      </c>
      <c r="G18" s="395" t="s">
        <v>701</v>
      </c>
    </row>
    <row r="19" spans="1:10">
      <c r="A19" s="395">
        <f t="shared" si="0"/>
        <v>7</v>
      </c>
      <c r="B19" s="175" t="s">
        <v>686</v>
      </c>
      <c r="C19" s="469">
        <v>40225663.140000001</v>
      </c>
      <c r="D19" s="469">
        <v>42533817.149999999</v>
      </c>
      <c r="E19" s="469">
        <v>43350456.520000003</v>
      </c>
      <c r="F19" s="469">
        <f t="shared" si="1"/>
        <v>126109936.81</v>
      </c>
      <c r="G19" s="395" t="s">
        <v>701</v>
      </c>
    </row>
    <row r="20" spans="1:10">
      <c r="A20" s="395">
        <f t="shared" si="0"/>
        <v>8</v>
      </c>
      <c r="B20" s="175" t="s">
        <v>669</v>
      </c>
      <c r="C20" s="469">
        <v>-3382127.57</v>
      </c>
      <c r="D20" s="469">
        <v>-6543805.3300000001</v>
      </c>
      <c r="E20" s="469">
        <v>-12807973.039999999</v>
      </c>
      <c r="F20" s="469">
        <f t="shared" si="1"/>
        <v>-22733905.939999998</v>
      </c>
      <c r="G20" s="395" t="s">
        <v>701</v>
      </c>
    </row>
    <row r="21" spans="1:10">
      <c r="A21" s="395">
        <f t="shared" si="0"/>
        <v>9</v>
      </c>
      <c r="B21" s="175" t="s">
        <v>687</v>
      </c>
      <c r="C21" s="469">
        <v>3001002.46</v>
      </c>
      <c r="D21" s="469">
        <v>-3426827.54</v>
      </c>
      <c r="E21" s="469">
        <v>2056584.93</v>
      </c>
      <c r="F21" s="469">
        <f t="shared" si="1"/>
        <v>1630759.8499999999</v>
      </c>
      <c r="G21" s="395" t="s">
        <v>701</v>
      </c>
    </row>
    <row r="22" spans="1:10">
      <c r="A22" s="395">
        <f t="shared" si="0"/>
        <v>10</v>
      </c>
      <c r="B22" s="175" t="s">
        <v>322</v>
      </c>
      <c r="C22" s="469"/>
      <c r="D22" s="469"/>
      <c r="E22" s="469"/>
      <c r="F22" s="469">
        <v>-380036500.74000001</v>
      </c>
      <c r="G22" s="395"/>
    </row>
    <row r="23" spans="1:10">
      <c r="A23" s="395">
        <f t="shared" si="0"/>
        <v>11</v>
      </c>
      <c r="B23" s="396" t="s">
        <v>73</v>
      </c>
      <c r="C23" s="470">
        <f>SUM(C14:C22)</f>
        <v>145554073.86000001</v>
      </c>
      <c r="D23" s="470">
        <f t="shared" ref="D23:F23" si="2">SUM(D14:D22)</f>
        <v>132773071.46999998</v>
      </c>
      <c r="E23" s="470">
        <f t="shared" si="2"/>
        <v>83701091.450000018</v>
      </c>
      <c r="F23" s="470">
        <f t="shared" si="2"/>
        <v>-18008263.959999979</v>
      </c>
      <c r="G23" s="394"/>
    </row>
    <row r="24" spans="1:10">
      <c r="A24" s="395">
        <f t="shared" si="0"/>
        <v>12</v>
      </c>
      <c r="B24" s="443" t="s">
        <v>1101</v>
      </c>
      <c r="C24" s="442"/>
      <c r="D24" s="442"/>
      <c r="E24" s="442"/>
      <c r="F24" s="442"/>
      <c r="G24" s="442"/>
      <c r="H24" s="375"/>
      <c r="I24" s="394"/>
    </row>
    <row r="25" spans="1:10">
      <c r="A25" s="395">
        <f t="shared" si="0"/>
        <v>13</v>
      </c>
      <c r="B25" s="443" t="s">
        <v>1216</v>
      </c>
      <c r="C25" s="442"/>
      <c r="D25" s="442"/>
      <c r="E25" s="442"/>
      <c r="F25" s="442"/>
      <c r="G25" s="442"/>
      <c r="H25" s="375"/>
      <c r="I25" s="394"/>
    </row>
    <row r="26" spans="1:10">
      <c r="A26" s="395">
        <f t="shared" si="0"/>
        <v>14</v>
      </c>
      <c r="C26" s="394"/>
      <c r="D26" s="394"/>
      <c r="E26" s="394"/>
      <c r="F26" s="394"/>
      <c r="G26" s="394"/>
      <c r="H26" s="397"/>
      <c r="I26" s="394"/>
      <c r="J26" s="394"/>
    </row>
    <row r="27" spans="1:10">
      <c r="A27" s="395">
        <f t="shared" si="0"/>
        <v>15</v>
      </c>
      <c r="B27" s="443" t="s">
        <v>1102</v>
      </c>
      <c r="C27" s="394"/>
      <c r="D27" s="394"/>
      <c r="E27" s="394"/>
      <c r="F27" s="394"/>
      <c r="G27" s="394"/>
      <c r="H27" s="394"/>
      <c r="I27" s="394"/>
      <c r="J27" s="394"/>
    </row>
    <row r="28" spans="1:10">
      <c r="A28" s="395">
        <f t="shared" si="0"/>
        <v>16</v>
      </c>
    </row>
    <row r="29" spans="1:10">
      <c r="A29" s="395">
        <f t="shared" si="0"/>
        <v>17</v>
      </c>
      <c r="B29" s="391" t="s">
        <v>470</v>
      </c>
      <c r="C29" s="337" t="s">
        <v>684</v>
      </c>
      <c r="D29" s="599" t="s">
        <v>685</v>
      </c>
      <c r="E29" s="177" t="s">
        <v>700</v>
      </c>
      <c r="F29" s="391" t="s">
        <v>699</v>
      </c>
      <c r="G29" s="391" t="s">
        <v>15</v>
      </c>
      <c r="J29" s="394"/>
    </row>
    <row r="30" spans="1:10">
      <c r="A30" s="395">
        <f t="shared" si="0"/>
        <v>18</v>
      </c>
      <c r="B30" s="579" t="s">
        <v>198</v>
      </c>
      <c r="C30" s="398">
        <f>+'[5]II-F Alloc_Factor'!$E$38</f>
        <v>0.45458274033396245</v>
      </c>
      <c r="D30" s="581">
        <f>+'[5]II-F Alloc_Factor'!$E$39</f>
        <v>0</v>
      </c>
      <c r="E30" s="468">
        <f t="shared" ref="E30:E38" si="3">+$E$39*C30</f>
        <v>2726781.3799892738</v>
      </c>
      <c r="F30" s="468">
        <f t="shared" ref="F30:F38" si="4">+$F$39*D30</f>
        <v>0</v>
      </c>
      <c r="G30" s="468">
        <f t="shared" ref="G30:G38" si="5">SUM(E30:F30)</f>
        <v>2726781.3799892738</v>
      </c>
      <c r="J30" s="401"/>
    </row>
    <row r="31" spans="1:10">
      <c r="A31" s="395">
        <f t="shared" si="0"/>
        <v>19</v>
      </c>
      <c r="B31" s="579" t="s">
        <v>582</v>
      </c>
      <c r="C31" s="398">
        <f>+'[5]II-F Alloc_Factor'!$F$38</f>
        <v>0</v>
      </c>
      <c r="D31" s="581">
        <f>+'[5]II-F Alloc_Factor'!$F$39</f>
        <v>0.92603381578170541</v>
      </c>
      <c r="E31" s="110">
        <f t="shared" si="3"/>
        <v>0</v>
      </c>
      <c r="F31" s="400">
        <f t="shared" si="4"/>
        <v>-22231007.659261692</v>
      </c>
      <c r="G31" s="255">
        <f t="shared" si="5"/>
        <v>-22231007.659261692</v>
      </c>
      <c r="J31" s="402"/>
    </row>
    <row r="32" spans="1:10">
      <c r="A32" s="395">
        <f t="shared" si="0"/>
        <v>20</v>
      </c>
      <c r="B32" s="579" t="s">
        <v>688</v>
      </c>
      <c r="C32" s="398">
        <f>+'[5]II-F Alloc_Factor'!$G$38</f>
        <v>3.9054368052814981E-4</v>
      </c>
      <c r="D32" s="581">
        <f>+'[5]II-F Alloc_Factor'!$G$39</f>
        <v>0</v>
      </c>
      <c r="E32" s="110">
        <f t="shared" si="3"/>
        <v>2342.6477550693676</v>
      </c>
      <c r="F32" s="400">
        <f t="shared" si="4"/>
        <v>0</v>
      </c>
      <c r="G32" s="255">
        <f t="shared" si="5"/>
        <v>2342.6477550693676</v>
      </c>
      <c r="J32" s="402"/>
    </row>
    <row r="33" spans="1:10">
      <c r="A33" s="395">
        <f t="shared" si="0"/>
        <v>21</v>
      </c>
      <c r="B33" s="579" t="s">
        <v>584</v>
      </c>
      <c r="C33" s="398">
        <f>+'[5]II-F Alloc_Factor'!$H$38</f>
        <v>0.45497328401449061</v>
      </c>
      <c r="D33" s="581">
        <f>+'[5]II-F Alloc_Factor'!$H$39</f>
        <v>0.92603381578170541</v>
      </c>
      <c r="E33" s="110">
        <f t="shared" si="3"/>
        <v>2729124.027744343</v>
      </c>
      <c r="F33" s="400">
        <f t="shared" si="4"/>
        <v>-22231007.659261692</v>
      </c>
      <c r="G33" s="255">
        <f t="shared" si="5"/>
        <v>-19501883.631517351</v>
      </c>
      <c r="J33" s="402"/>
    </row>
    <row r="34" spans="1:10">
      <c r="A34" s="395">
        <f t="shared" si="0"/>
        <v>22</v>
      </c>
      <c r="B34" s="579" t="s">
        <v>199</v>
      </c>
      <c r="C34" s="580">
        <f>+'[5]II-F Alloc_Factor'!$I$38</f>
        <v>0.51917908223557052</v>
      </c>
      <c r="D34" s="581">
        <f>+'[5]II-F Alloc_Factor'!$I$39</f>
        <v>0</v>
      </c>
      <c r="E34" s="110">
        <f t="shared" si="3"/>
        <v>3114257.8208750919</v>
      </c>
      <c r="F34" s="400">
        <f t="shared" si="4"/>
        <v>0</v>
      </c>
      <c r="G34" s="255">
        <f t="shared" si="5"/>
        <v>3114257.8208750919</v>
      </c>
      <c r="J34" s="402"/>
    </row>
    <row r="35" spans="1:10">
      <c r="A35" s="395">
        <f t="shared" si="0"/>
        <v>23</v>
      </c>
      <c r="B35" s="349" t="s">
        <v>585</v>
      </c>
      <c r="C35" s="581">
        <f>+'[5]II-F Alloc_Factor'!$J$38</f>
        <v>0</v>
      </c>
      <c r="D35" s="581">
        <f>+'[5]II-F Alloc_Factor'!$J$39</f>
        <v>7.3966184218294553E-2</v>
      </c>
      <c r="E35" s="110">
        <f t="shared" si="3"/>
        <v>0</v>
      </c>
      <c r="F35" s="400">
        <f t="shared" si="4"/>
        <v>-1775683.3280383032</v>
      </c>
      <c r="G35" s="255">
        <f t="shared" si="5"/>
        <v>-1775683.3280383032</v>
      </c>
      <c r="J35" s="402"/>
    </row>
    <row r="36" spans="1:10">
      <c r="A36" s="395">
        <f t="shared" si="0"/>
        <v>24</v>
      </c>
      <c r="B36" s="349" t="s">
        <v>586</v>
      </c>
      <c r="C36" s="581">
        <f>+'[5]II-F Alloc_Factor'!$K$38</f>
        <v>0.51917908223557052</v>
      </c>
      <c r="D36" s="581">
        <f>+'[5]II-F Alloc_Factor'!$K$39</f>
        <v>7.3966184218294553E-2</v>
      </c>
      <c r="E36" s="110">
        <f t="shared" si="3"/>
        <v>3114257.8208750919</v>
      </c>
      <c r="F36" s="400">
        <f t="shared" si="4"/>
        <v>-1775683.3280383032</v>
      </c>
      <c r="G36" s="255">
        <f t="shared" si="5"/>
        <v>1338574.4928367888</v>
      </c>
      <c r="J36" s="394"/>
    </row>
    <row r="37" spans="1:10">
      <c r="A37" s="395">
        <f t="shared" si="0"/>
        <v>25</v>
      </c>
      <c r="B37" s="349" t="s">
        <v>194</v>
      </c>
      <c r="C37" s="581">
        <f>+'[5]II-F Alloc_Factor'!$L$38</f>
        <v>1.5560787538446273E-2</v>
      </c>
      <c r="D37" s="581">
        <f>+'[5]II-F Alloc_Factor'!$L$39</f>
        <v>0</v>
      </c>
      <c r="E37" s="110">
        <f t="shared" si="3"/>
        <v>93340.247996728343</v>
      </c>
      <c r="F37" s="400">
        <f t="shared" si="4"/>
        <v>0</v>
      </c>
      <c r="G37" s="255">
        <f t="shared" si="5"/>
        <v>93340.247996728343</v>
      </c>
    </row>
    <row r="38" spans="1:10">
      <c r="A38" s="395">
        <f t="shared" si="0"/>
        <v>26</v>
      </c>
      <c r="B38" s="349" t="s">
        <v>279</v>
      </c>
      <c r="C38" s="582">
        <f>+'[5]II-F Alloc_Factor'!$M$38</f>
        <v>1.0286846211492508E-2</v>
      </c>
      <c r="D38" s="582">
        <f>+'[5]II-F Alloc_Factor'!$M$39</f>
        <v>0</v>
      </c>
      <c r="E38" s="110">
        <f t="shared" si="3"/>
        <v>61704.895983740724</v>
      </c>
      <c r="F38" s="400">
        <f t="shared" si="4"/>
        <v>0</v>
      </c>
      <c r="G38" s="255">
        <f t="shared" si="5"/>
        <v>61704.895983740724</v>
      </c>
    </row>
    <row r="39" spans="1:10">
      <c r="A39" s="395">
        <f t="shared" si="0"/>
        <v>27</v>
      </c>
      <c r="B39" s="579" t="s">
        <v>73</v>
      </c>
      <c r="C39" s="598">
        <f>+C33+C36+C37+C38</f>
        <v>0.99999999999999989</v>
      </c>
      <c r="D39" s="598">
        <f>+D33+D36+D37+D38</f>
        <v>1</v>
      </c>
      <c r="E39" s="470">
        <v>5998426.9925999045</v>
      </c>
      <c r="F39" s="470">
        <v>-24006690.987299997</v>
      </c>
      <c r="G39" s="470">
        <f>+G33+G36+G37+G38</f>
        <v>-18008263.994700093</v>
      </c>
    </row>
    <row r="42" spans="1:10">
      <c r="G42" s="460"/>
    </row>
    <row r="43" spans="1:10">
      <c r="G43" s="600"/>
    </row>
  </sheetData>
  <phoneticPr fontId="0" type="noConversion"/>
  <printOptions horizontalCentered="1"/>
  <pageMargins left="0.5" right="0.5" top="3" bottom="0.5" header="1.5" footer="0.5"/>
  <pageSetup scale="96" pageOrder="overThenDown" orientation="landscape"/>
  <headerFooter alignWithMargins="0">
    <oddHeader>&amp;R&amp;"Arial,Bold"Schedule &amp;A
Page &amp;P of &amp;N&amp;C&amp;B
2025 RATE CASE
ONCOR ELECTRIC DELIVERY COMPANY LLC
II-E-3.8  ADFIT AND ITC – PLANT ADJUSTMENTS &amp;&amp; ALLOCATIONS
TEST YEAR ENDING DECEMBER 31, 2024
SPONSOR: B. L. CLUTTER</oddHead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44">
    <pageSetUpPr fitToPage="1"/>
  </sheetPr>
  <dimension ref="A1:I40"/>
  <sheetViews>
    <sheetView zoomScale="80" zoomScaleNormal="80" zoomScaleSheetLayoutView="100" workbookViewId="0">
      <pane ySplit="13" topLeftCell="A14" activePane="bottomLeft" state="frozen"/>
      <selection activeCell="E19" sqref="E19"/>
      <selection pane="bottomLeft" activeCell="C5" sqref="C5"/>
    </sheetView>
  </sheetViews>
  <sheetFormatPr defaultColWidth="9.140625" defaultRowHeight="12.75"/>
  <cols>
    <col min="1" max="1" width="6.28515625" style="144" bestFit="1" customWidth="1"/>
    <col min="2" max="2" width="53.5703125" style="144" bestFit="1" customWidth="1"/>
    <col min="3" max="3" width="18.28515625" style="144" customWidth="1"/>
    <col min="4" max="4" width="18.42578125" style="144" customWidth="1"/>
    <col min="5" max="5" width="16.28515625" style="144" bestFit="1" customWidth="1"/>
    <col min="6" max="16384" width="9.140625" style="144"/>
  </cols>
  <sheetData>
    <row r="1" spans="1:9">
      <c r="A1" s="189" t="str">
        <f>+'[3]Input Data'!$A$9</f>
        <v>2025 RATE CASE</v>
      </c>
    </row>
    <row r="2" spans="1:9">
      <c r="A2" s="188" t="str">
        <f>+'[3]Input Data'!$A$2</f>
        <v>ONCOR ELECTRIC DELIVERY COMPANY LLC</v>
      </c>
    </row>
    <row r="3" spans="1:9">
      <c r="A3" s="187" t="str">
        <f>CONCATENATE('[3]Schedule Sponsors'!$A$94,'[3]Schedule Sponsors'!$B$94)</f>
        <v>II-E-3.9  ANALYSIS OF ITCS</v>
      </c>
    </row>
    <row r="4" spans="1:9">
      <c r="A4" s="187" t="str">
        <f>+'[3]Input Data'!$A$4</f>
        <v>TEST YEAR ENDING DECEMBER 31, 2024</v>
      </c>
    </row>
    <row r="5" spans="1:9">
      <c r="A5" s="185" t="str">
        <f>CONCATENATE("SPONSOR: ",'[3]Schedule Sponsors'!$D$96)</f>
        <v>SPONSOR: B. L. CLUTTER</v>
      </c>
      <c r="C5" s="250"/>
      <c r="D5" s="250"/>
      <c r="E5" s="250"/>
    </row>
    <row r="6" spans="1:9">
      <c r="C6" s="250"/>
      <c r="D6" s="250"/>
      <c r="E6" s="250"/>
    </row>
    <row r="7" spans="1:9">
      <c r="C7" s="250"/>
      <c r="D7" s="250"/>
      <c r="E7" s="250"/>
    </row>
    <row r="8" spans="1:9">
      <c r="C8" s="250"/>
      <c r="D8" s="250"/>
      <c r="E8" s="250"/>
      <c r="F8" s="176"/>
      <c r="G8" s="176"/>
      <c r="H8" s="176"/>
      <c r="I8" s="176"/>
    </row>
    <row r="9" spans="1:9" ht="13.5" thickBot="1"/>
    <row r="10" spans="1:9">
      <c r="A10" s="259" t="s">
        <v>241</v>
      </c>
      <c r="B10" s="259"/>
      <c r="C10" s="259"/>
      <c r="D10" s="259"/>
    </row>
    <row r="11" spans="1:9" s="182" customFormat="1">
      <c r="A11" s="260" t="s">
        <v>139</v>
      </c>
      <c r="B11" s="260" t="s">
        <v>64</v>
      </c>
      <c r="C11" s="260" t="s">
        <v>219</v>
      </c>
      <c r="D11" s="260" t="s">
        <v>73</v>
      </c>
    </row>
    <row r="12" spans="1:9" ht="13.5" thickBot="1">
      <c r="A12" s="261"/>
      <c r="B12" s="261" t="s">
        <v>226</v>
      </c>
      <c r="C12" s="261" t="s">
        <v>227</v>
      </c>
      <c r="D12" s="261" t="s">
        <v>228</v>
      </c>
    </row>
    <row r="14" spans="1:9">
      <c r="A14" s="176">
        <v>1</v>
      </c>
      <c r="B14" s="144" t="s">
        <v>247</v>
      </c>
      <c r="C14" s="471">
        <v>0</v>
      </c>
    </row>
    <row r="15" spans="1:9">
      <c r="A15" s="176">
        <v>2</v>
      </c>
    </row>
    <row r="16" spans="1:9">
      <c r="A16" s="176">
        <v>3</v>
      </c>
      <c r="B16" s="144" t="s">
        <v>248</v>
      </c>
      <c r="C16" s="462">
        <v>0</v>
      </c>
      <c r="D16" s="460"/>
    </row>
    <row r="17" spans="1:5">
      <c r="A17" s="176">
        <v>4</v>
      </c>
      <c r="C17" s="460"/>
      <c r="D17" s="460"/>
    </row>
    <row r="18" spans="1:5">
      <c r="A18" s="176">
        <v>5</v>
      </c>
      <c r="B18" s="144" t="s">
        <v>23</v>
      </c>
      <c r="C18" s="460"/>
      <c r="D18" s="462">
        <f>'II-E-3.14'!I16</f>
        <v>216034218.63</v>
      </c>
    </row>
    <row r="19" spans="1:5">
      <c r="A19" s="176">
        <v>6</v>
      </c>
      <c r="C19" s="460"/>
      <c r="D19" s="460"/>
      <c r="E19" s="174"/>
    </row>
    <row r="20" spans="1:5">
      <c r="A20" s="176">
        <v>7</v>
      </c>
      <c r="B20" s="144" t="s">
        <v>249</v>
      </c>
      <c r="C20" s="460"/>
      <c r="D20" s="460"/>
    </row>
    <row r="21" spans="1:5">
      <c r="A21" s="176">
        <v>8</v>
      </c>
      <c r="C21" s="472"/>
      <c r="D21" s="460"/>
    </row>
    <row r="22" spans="1:5">
      <c r="A22" s="176">
        <v>9</v>
      </c>
      <c r="B22" s="144" t="s">
        <v>10</v>
      </c>
      <c r="C22" s="14">
        <f>-'II-E-3.14'!E18-C24</f>
        <v>213514252.16000003</v>
      </c>
      <c r="D22" s="460"/>
    </row>
    <row r="23" spans="1:5">
      <c r="A23" s="176">
        <v>10</v>
      </c>
      <c r="C23" s="14"/>
      <c r="D23" s="460"/>
    </row>
    <row r="24" spans="1:5">
      <c r="A24" s="176">
        <v>11</v>
      </c>
      <c r="B24" s="144" t="s">
        <v>9</v>
      </c>
      <c r="C24" s="13">
        <f>+'II-E-3'!E21</f>
        <v>479524.92</v>
      </c>
      <c r="D24" s="473"/>
    </row>
    <row r="25" spans="1:5">
      <c r="A25" s="176">
        <v>12</v>
      </c>
      <c r="C25" s="472"/>
      <c r="D25" s="460"/>
    </row>
    <row r="26" spans="1:5">
      <c r="A26" s="176">
        <v>15</v>
      </c>
      <c r="B26" s="144" t="s">
        <v>250</v>
      </c>
      <c r="C26" s="460"/>
      <c r="D26" s="474">
        <f>SUM(C22:C25)</f>
        <v>213993777.08000001</v>
      </c>
    </row>
    <row r="27" spans="1:5">
      <c r="A27" s="176">
        <v>16</v>
      </c>
      <c r="C27" s="460"/>
      <c r="D27" s="460"/>
    </row>
    <row r="28" spans="1:5">
      <c r="A28" s="176">
        <v>17</v>
      </c>
      <c r="B28" s="144" t="s">
        <v>24</v>
      </c>
      <c r="C28" s="460"/>
      <c r="D28" s="462">
        <f>D18-D26</f>
        <v>2040441.5499999821</v>
      </c>
    </row>
    <row r="29" spans="1:5">
      <c r="A29" s="176">
        <v>18</v>
      </c>
      <c r="C29" s="174"/>
    </row>
    <row r="30" spans="1:5">
      <c r="A30" s="176">
        <v>19</v>
      </c>
      <c r="B30" s="144" t="s">
        <v>251</v>
      </c>
    </row>
    <row r="31" spans="1:5">
      <c r="A31" s="176">
        <v>20</v>
      </c>
    </row>
    <row r="32" spans="1:5">
      <c r="A32" s="176">
        <v>21</v>
      </c>
      <c r="B32" s="144" t="s">
        <v>252</v>
      </c>
      <c r="C32" s="754">
        <v>1.9099999999999999E-2</v>
      </c>
      <c r="D32" s="257"/>
    </row>
    <row r="33" spans="1:4">
      <c r="A33" s="176">
        <v>22</v>
      </c>
      <c r="C33" s="143"/>
    </row>
    <row r="34" spans="1:4">
      <c r="A34" s="176">
        <v>23</v>
      </c>
      <c r="B34" s="6" t="s">
        <v>431</v>
      </c>
      <c r="C34" s="143"/>
    </row>
    <row r="35" spans="1:4">
      <c r="A35" s="176">
        <v>24</v>
      </c>
      <c r="B35" s="176" t="s">
        <v>253</v>
      </c>
      <c r="C35" s="7">
        <f>(C24)/D18</f>
        <v>2.2196711384008952E-3</v>
      </c>
      <c r="D35" s="315"/>
    </row>
    <row r="36" spans="1:4">
      <c r="A36" s="176"/>
    </row>
    <row r="37" spans="1:4">
      <c r="A37" s="176"/>
    </row>
    <row r="38" spans="1:4">
      <c r="A38" s="176"/>
    </row>
    <row r="39" spans="1:4">
      <c r="A39" s="176"/>
    </row>
    <row r="40" spans="1:4">
      <c r="A40" s="176"/>
    </row>
  </sheetData>
  <phoneticPr fontId="10" type="noConversion"/>
  <printOptions horizontalCentered="1"/>
  <pageMargins left="0.5" right="0.5" top="3" bottom="0.5" header="1.5" footer="0.5"/>
  <pageSetup pageOrder="overThenDown" orientation="landscape"/>
  <headerFooter alignWithMargins="0">
    <oddHeader>&amp;R&amp;"Arial,Bold"Schedule II-E-3.9
Page &amp;P of &amp;N&amp;C&amp;B
2025 RATE CASE
ONCOR ELECTRIC DELIVERY COMPANY LLC
II-E-3.9  ANALYSIS OF ITCS
TEST YEAR ENDING DECEMBER 31, 2024
SPONSOR: B. L. CLUTTER</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23">
    <pageSetUpPr fitToPage="1"/>
  </sheetPr>
  <dimension ref="A1:I22"/>
  <sheetViews>
    <sheetView zoomScaleNormal="100" workbookViewId="0">
      <selection activeCell="E19" sqref="E19"/>
    </sheetView>
  </sheetViews>
  <sheetFormatPr defaultColWidth="9.140625" defaultRowHeight="12.75"/>
  <cols>
    <col min="1" max="1" width="6.85546875" style="144" customWidth="1"/>
    <col min="2" max="2" width="2.7109375" style="144" customWidth="1"/>
    <col min="3" max="3" width="12.7109375" style="144" customWidth="1"/>
    <col min="4" max="4" width="2.7109375" style="144" customWidth="1"/>
    <col min="5" max="5" width="13.85546875" style="144" customWidth="1"/>
    <col min="6" max="6" width="2.7109375" style="144" customWidth="1"/>
    <col min="7" max="7" width="12.85546875" style="144" customWidth="1"/>
    <col min="8" max="8" width="2.7109375" style="144" customWidth="1"/>
    <col min="9" max="9" width="16.5703125" style="144" bestFit="1" customWidth="1"/>
    <col min="10" max="16384" width="9.140625" style="144"/>
  </cols>
  <sheetData>
    <row r="1" spans="1:9">
      <c r="A1" s="189" t="str">
        <f>+'[3]Input Data'!$A$9</f>
        <v>2025 RATE CASE</v>
      </c>
    </row>
    <row r="2" spans="1:9">
      <c r="A2" s="188" t="str">
        <f>+'[3]Input Data'!$A$2</f>
        <v>ONCOR ELECTRIC DELIVERY COMPANY LLC</v>
      </c>
    </row>
    <row r="3" spans="1:9">
      <c r="A3" s="187" t="str">
        <f>CONCATENATE('[3]Schedule Sponsors'!$A$95,'[3]Schedule Sponsors'!$B$95)</f>
        <v>II-E-3.10  UTILIZED</v>
      </c>
    </row>
    <row r="4" spans="1:9">
      <c r="A4" s="187" t="str">
        <f>+'[3]Input Data'!$A$4</f>
        <v>TEST YEAR ENDING DECEMBER 31, 2024</v>
      </c>
    </row>
    <row r="5" spans="1:9">
      <c r="A5" s="185" t="str">
        <f>CONCATENATE("SPONSOR: ",'[3]Schedule Sponsors'!$D$97)</f>
        <v>SPONSOR: B. L. CLUTTER</v>
      </c>
    </row>
    <row r="10" spans="1:9" s="189" customFormat="1">
      <c r="A10" s="173" t="s">
        <v>241</v>
      </c>
      <c r="B10" s="184"/>
      <c r="C10" s="173"/>
      <c r="D10" s="184"/>
      <c r="E10" s="173"/>
      <c r="F10" s="184"/>
      <c r="G10" s="173"/>
      <c r="H10" s="184"/>
      <c r="I10" s="173" t="s">
        <v>309</v>
      </c>
    </row>
    <row r="11" spans="1:9" s="189" customFormat="1">
      <c r="A11" s="177" t="s">
        <v>310</v>
      </c>
      <c r="B11" s="184"/>
      <c r="C11" s="177" t="s">
        <v>311</v>
      </c>
      <c r="D11" s="184"/>
      <c r="E11" s="177" t="s">
        <v>312</v>
      </c>
      <c r="F11" s="184"/>
      <c r="G11" s="177" t="s">
        <v>137</v>
      </c>
      <c r="H11" s="184"/>
      <c r="I11" s="177" t="s">
        <v>313</v>
      </c>
    </row>
    <row r="12" spans="1:9">
      <c r="B12" s="253"/>
      <c r="C12" s="342" t="s">
        <v>226</v>
      </c>
      <c r="D12" s="253"/>
      <c r="E12" s="342" t="s">
        <v>227</v>
      </c>
      <c r="F12" s="253"/>
      <c r="G12" s="342" t="s">
        <v>228</v>
      </c>
      <c r="H12" s="253"/>
      <c r="I12" s="342" t="s">
        <v>229</v>
      </c>
    </row>
    <row r="13" spans="1:9">
      <c r="B13" s="182"/>
      <c r="D13" s="182"/>
      <c r="F13" s="182"/>
      <c r="H13" s="182"/>
    </row>
    <row r="14" spans="1:9">
      <c r="A14" s="176">
        <v>1</v>
      </c>
      <c r="B14" s="182"/>
      <c r="C14" s="176">
        <v>2022</v>
      </c>
      <c r="D14" s="182"/>
      <c r="E14" s="463">
        <v>0</v>
      </c>
      <c r="F14" s="475"/>
      <c r="G14" s="463">
        <v>0</v>
      </c>
      <c r="H14" s="475"/>
      <c r="I14" s="463">
        <f t="shared" ref="I14:I16" si="0">G14+E14</f>
        <v>0</v>
      </c>
    </row>
    <row r="15" spans="1:9">
      <c r="A15" s="347">
        <f>+A14+1</f>
        <v>2</v>
      </c>
      <c r="B15" s="182"/>
      <c r="C15" s="176">
        <v>2023</v>
      </c>
      <c r="D15" s="182"/>
      <c r="E15" s="460">
        <v>0</v>
      </c>
      <c r="F15" s="472"/>
      <c r="G15" s="460">
        <v>0</v>
      </c>
      <c r="H15" s="472"/>
      <c r="I15" s="460">
        <f t="shared" si="0"/>
        <v>0</v>
      </c>
    </row>
    <row r="16" spans="1:9" s="346" customFormat="1">
      <c r="A16" s="347">
        <f t="shared" ref="A16:A21" si="1">+A15+1</f>
        <v>3</v>
      </c>
      <c r="B16" s="294"/>
      <c r="C16" s="347">
        <v>2024</v>
      </c>
      <c r="D16" s="294"/>
      <c r="E16" s="460">
        <v>0</v>
      </c>
      <c r="F16" s="472"/>
      <c r="G16" s="460">
        <v>0</v>
      </c>
      <c r="H16" s="472"/>
      <c r="I16" s="460">
        <f t="shared" si="0"/>
        <v>0</v>
      </c>
    </row>
    <row r="17" spans="1:9">
      <c r="A17" s="347">
        <f t="shared" si="1"/>
        <v>4</v>
      </c>
      <c r="B17" s="182"/>
      <c r="C17" s="338"/>
      <c r="D17" s="182"/>
      <c r="E17" s="343"/>
      <c r="F17" s="303"/>
      <c r="G17" s="343"/>
      <c r="H17" s="303"/>
      <c r="I17" s="343"/>
    </row>
    <row r="18" spans="1:9" ht="13.5" thickBot="1">
      <c r="A18" s="347">
        <f t="shared" si="1"/>
        <v>5</v>
      </c>
      <c r="B18" s="182"/>
      <c r="C18" s="176" t="s">
        <v>335</v>
      </c>
      <c r="D18" s="182"/>
      <c r="E18" s="476">
        <f>SUM(E14:E16)</f>
        <v>0</v>
      </c>
      <c r="F18" s="463"/>
      <c r="G18" s="476">
        <f>SUM(G14:G16)</f>
        <v>0</v>
      </c>
      <c r="H18" s="475"/>
      <c r="I18" s="476">
        <f>SUM(I14:I16)</f>
        <v>0</v>
      </c>
    </row>
    <row r="19" spans="1:9" ht="13.5" thickTop="1">
      <c r="A19" s="347">
        <f t="shared" si="1"/>
        <v>6</v>
      </c>
      <c r="B19" s="182"/>
      <c r="C19" s="338"/>
      <c r="D19" s="182"/>
      <c r="E19" s="174"/>
      <c r="F19" s="303"/>
      <c r="G19" s="174"/>
      <c r="H19" s="303"/>
      <c r="I19" s="174"/>
    </row>
    <row r="20" spans="1:9">
      <c r="A20" s="347">
        <f t="shared" si="1"/>
        <v>7</v>
      </c>
      <c r="B20" s="182"/>
      <c r="C20" s="338"/>
      <c r="D20" s="182"/>
      <c r="E20" s="174"/>
      <c r="F20" s="303"/>
      <c r="G20" s="174"/>
      <c r="H20" s="303"/>
      <c r="I20" s="174"/>
    </row>
    <row r="21" spans="1:9">
      <c r="A21" s="347">
        <f t="shared" si="1"/>
        <v>8</v>
      </c>
      <c r="B21" s="338" t="s">
        <v>30</v>
      </c>
      <c r="D21" s="182"/>
      <c r="E21" s="174"/>
      <c r="F21" s="303"/>
      <c r="G21" s="174"/>
      <c r="H21" s="303"/>
      <c r="I21" s="345"/>
    </row>
    <row r="22" spans="1:9">
      <c r="A22" s="347"/>
    </row>
  </sheetData>
  <phoneticPr fontId="10" type="noConversion"/>
  <printOptions horizontalCentered="1"/>
  <pageMargins left="0.5" right="0.5" top="3" bottom="0.5" header="1.5" footer="0.5"/>
  <pageSetup pageOrder="overThenDown" orientation="landscape"/>
  <headerFooter alignWithMargins="0">
    <oddHeader>&amp;R&amp;"Arial,Bold"Schedule &amp;A
Page &amp;P of &amp;N&amp;C&amp;B
2025 RATE CASE
ONCOR ELECTRIC DELIVERY COMPANY LLC
II-E-3.10  UTILIZED
TEST YEAR ENDING DECEMBER 31, 2024
SPONSOR: B. L. CLUTTER</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4">
    <pageSetUpPr fitToPage="1"/>
  </sheetPr>
  <dimension ref="A1:I23"/>
  <sheetViews>
    <sheetView zoomScaleNormal="100" workbookViewId="0">
      <selection activeCell="T42" sqref="T42"/>
    </sheetView>
  </sheetViews>
  <sheetFormatPr defaultColWidth="9.140625" defaultRowHeight="12.75"/>
  <cols>
    <col min="1" max="1" width="5.5703125" style="144" customWidth="1"/>
    <col min="2" max="2" width="3.7109375" style="144" customWidth="1"/>
    <col min="3" max="3" width="12.5703125" style="144" bestFit="1" customWidth="1"/>
    <col min="4" max="4" width="3.7109375" style="144" customWidth="1"/>
    <col min="5" max="5" width="16.42578125" style="144" bestFit="1" customWidth="1"/>
    <col min="6" max="6" width="16.28515625" style="144" bestFit="1" customWidth="1"/>
    <col min="7" max="7" width="14.28515625" style="144" bestFit="1" customWidth="1"/>
    <col min="8" max="8" width="10.7109375" style="144" customWidth="1"/>
    <col min="9" max="9" width="19" style="144" bestFit="1" customWidth="1"/>
    <col min="10" max="16384" width="9.140625" style="144"/>
  </cols>
  <sheetData>
    <row r="1" spans="1:9">
      <c r="A1" s="189" t="str">
        <f>+'[3]Input Data'!$A$9</f>
        <v>2025 RATE CASE</v>
      </c>
    </row>
    <row r="2" spans="1:9">
      <c r="A2" s="188" t="str">
        <f>+'[3]Input Data'!$A$2</f>
        <v>ONCOR ELECTRIC DELIVERY COMPANY LLC</v>
      </c>
    </row>
    <row r="3" spans="1:9">
      <c r="A3" s="187" t="str">
        <f>CONCATENATE('[3]Schedule Sponsors'!$A$96,'[3]Schedule Sponsors'!$B$96)</f>
        <v>II-E-3.11  GENERATED BUT NOT UTILIZED</v>
      </c>
    </row>
    <row r="4" spans="1:9">
      <c r="A4" s="187" t="str">
        <f>+'[3]Input Data'!$A$4</f>
        <v>TEST YEAR ENDING DECEMBER 31, 2024</v>
      </c>
    </row>
    <row r="5" spans="1:9">
      <c r="A5" s="185" t="str">
        <f>CONCATENATE("SPONSOR: ",'[3]Schedule Sponsors'!$D$98)</f>
        <v>SPONSOR: B. L. CLUTTER</v>
      </c>
    </row>
    <row r="10" spans="1:9" s="189" customFormat="1">
      <c r="A10" s="173" t="s">
        <v>241</v>
      </c>
      <c r="B10" s="184"/>
      <c r="C10" s="173"/>
      <c r="D10" s="184"/>
      <c r="E10" s="173"/>
      <c r="F10" s="173"/>
      <c r="G10" s="173" t="s">
        <v>71</v>
      </c>
      <c r="H10" s="173" t="s">
        <v>314</v>
      </c>
      <c r="I10" s="173" t="s">
        <v>315</v>
      </c>
    </row>
    <row r="11" spans="1:9" s="189" customFormat="1">
      <c r="A11" s="177" t="s">
        <v>310</v>
      </c>
      <c r="B11" s="184"/>
      <c r="C11" s="177" t="s">
        <v>311</v>
      </c>
      <c r="D11" s="184"/>
      <c r="E11" s="177" t="s">
        <v>316</v>
      </c>
      <c r="F11" s="177" t="s">
        <v>317</v>
      </c>
      <c r="G11" s="177" t="s">
        <v>318</v>
      </c>
      <c r="H11" s="177" t="s">
        <v>319</v>
      </c>
      <c r="I11" s="177" t="s">
        <v>320</v>
      </c>
    </row>
    <row r="12" spans="1:9">
      <c r="B12" s="253"/>
      <c r="C12" s="342" t="s">
        <v>226</v>
      </c>
      <c r="D12" s="253"/>
      <c r="E12" s="342" t="s">
        <v>227</v>
      </c>
      <c r="F12" s="342" t="s">
        <v>228</v>
      </c>
      <c r="G12" s="342" t="s">
        <v>229</v>
      </c>
      <c r="H12" s="342" t="s">
        <v>230</v>
      </c>
      <c r="I12" s="342" t="s">
        <v>231</v>
      </c>
    </row>
    <row r="13" spans="1:9">
      <c r="B13" s="182"/>
      <c r="D13" s="182"/>
    </row>
    <row r="14" spans="1:9">
      <c r="A14" s="176">
        <v>1</v>
      </c>
      <c r="B14" s="182"/>
      <c r="C14" s="347">
        <v>2022</v>
      </c>
      <c r="D14" s="182"/>
      <c r="E14" s="463">
        <v>0</v>
      </c>
      <c r="F14" s="463">
        <v>0</v>
      </c>
      <c r="G14" s="463">
        <f>F14+E14</f>
        <v>0</v>
      </c>
      <c r="H14" s="463">
        <v>0</v>
      </c>
      <c r="I14" s="463">
        <f>G14-H14</f>
        <v>0</v>
      </c>
    </row>
    <row r="15" spans="1:9">
      <c r="A15" s="176">
        <f t="shared" ref="A15:A21" si="0">A14+1</f>
        <v>2</v>
      </c>
      <c r="B15" s="182"/>
      <c r="C15" s="347">
        <v>2023</v>
      </c>
      <c r="D15" s="182"/>
      <c r="E15" s="460">
        <v>0</v>
      </c>
      <c r="F15" s="460">
        <v>0</v>
      </c>
      <c r="G15" s="460">
        <f>F15+E15</f>
        <v>0</v>
      </c>
      <c r="H15" s="460"/>
      <c r="I15" s="460">
        <f>+G15-H15</f>
        <v>0</v>
      </c>
    </row>
    <row r="16" spans="1:9" s="346" customFormat="1">
      <c r="A16" s="347">
        <f t="shared" si="0"/>
        <v>3</v>
      </c>
      <c r="B16" s="294"/>
      <c r="C16" s="347">
        <v>2024</v>
      </c>
      <c r="D16" s="294"/>
      <c r="E16" s="460">
        <v>0</v>
      </c>
      <c r="F16" s="460">
        <v>0</v>
      </c>
      <c r="G16" s="460">
        <f>F16+E16</f>
        <v>0</v>
      </c>
      <c r="H16" s="460">
        <v>0</v>
      </c>
      <c r="I16" s="460">
        <f>G16-H16</f>
        <v>0</v>
      </c>
    </row>
    <row r="17" spans="1:9">
      <c r="A17" s="347">
        <f t="shared" si="0"/>
        <v>4</v>
      </c>
      <c r="B17" s="182"/>
      <c r="C17" s="176"/>
      <c r="D17" s="182"/>
      <c r="E17" s="343"/>
      <c r="F17" s="343"/>
      <c r="G17" s="343"/>
      <c r="H17" s="344"/>
      <c r="I17" s="344"/>
    </row>
    <row r="18" spans="1:9" ht="13.5" thickBot="1">
      <c r="A18" s="347">
        <f t="shared" si="0"/>
        <v>5</v>
      </c>
      <c r="B18" s="182"/>
      <c r="C18" s="176" t="s">
        <v>335</v>
      </c>
      <c r="D18" s="182"/>
      <c r="E18" s="476">
        <f>SUM(E14:E16)</f>
        <v>0</v>
      </c>
      <c r="F18" s="476">
        <f>SUM(F14:F16)</f>
        <v>0</v>
      </c>
      <c r="G18" s="476">
        <f>SUM(G14:G16)</f>
        <v>0</v>
      </c>
      <c r="H18" s="476">
        <f>SUM(H14:H16)</f>
        <v>0</v>
      </c>
      <c r="I18" s="476">
        <f>SUM(I14:I16)</f>
        <v>0</v>
      </c>
    </row>
    <row r="19" spans="1:9" ht="13.5" thickTop="1">
      <c r="A19" s="347">
        <f t="shared" si="0"/>
        <v>6</v>
      </c>
      <c r="B19" s="182"/>
      <c r="C19" s="338"/>
      <c r="D19" s="182"/>
      <c r="E19" s="174"/>
      <c r="F19" s="174"/>
      <c r="G19" s="174"/>
    </row>
    <row r="20" spans="1:9">
      <c r="A20" s="347">
        <f t="shared" si="0"/>
        <v>7</v>
      </c>
      <c r="B20" s="182"/>
      <c r="C20" s="338"/>
      <c r="D20" s="182"/>
      <c r="E20" s="174"/>
      <c r="F20" s="174"/>
      <c r="G20" s="174"/>
    </row>
    <row r="21" spans="1:9">
      <c r="A21" s="347">
        <f t="shared" si="0"/>
        <v>8</v>
      </c>
      <c r="B21" s="338" t="s">
        <v>19</v>
      </c>
      <c r="C21" s="338"/>
      <c r="D21" s="182"/>
      <c r="E21" s="174"/>
      <c r="F21" s="174"/>
      <c r="G21" s="174"/>
    </row>
    <row r="22" spans="1:9">
      <c r="A22" s="176"/>
      <c r="D22" s="182"/>
    </row>
    <row r="23" spans="1:9">
      <c r="B23" s="182"/>
      <c r="D23" s="182"/>
    </row>
  </sheetData>
  <phoneticPr fontId="10" type="noConversion"/>
  <printOptions horizontalCentered="1"/>
  <pageMargins left="0.5" right="0.5" top="3" bottom="0.5" header="1.5" footer="0.5"/>
  <pageSetup pageOrder="overThenDown" orientation="landscape"/>
  <headerFooter alignWithMargins="0">
    <oddHeader>&amp;R&amp;"Arial,Bold"Schedule &amp;A
Page &amp;P of &amp;N&amp;C&amp;B
2025 RATE CASE
ONCOR ELECTRIC DELIVERY COMPANY LLC
II-E-3.11  GENERATED BUT NOT UTILIZED
TEST YEAR ENDING DECEMBER 31, 2024
SPONSOR: B. L. CLUTTER</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5">
    <pageSetUpPr fitToPage="1"/>
  </sheetPr>
  <dimension ref="A1:G21"/>
  <sheetViews>
    <sheetView zoomScaleNormal="100" workbookViewId="0">
      <pane ySplit="12" topLeftCell="A13" activePane="bottomLeft" state="frozen"/>
      <selection activeCell="E19" sqref="E19"/>
      <selection pane="bottomLeft" activeCell="E19" sqref="E19"/>
    </sheetView>
  </sheetViews>
  <sheetFormatPr defaultColWidth="9.140625" defaultRowHeight="12.75"/>
  <cols>
    <col min="1" max="1" width="5.7109375" style="111" customWidth="1"/>
    <col min="2" max="2" width="12.5703125" style="111" bestFit="1" customWidth="1"/>
    <col min="3" max="3" width="16.42578125" style="111" bestFit="1" customWidth="1"/>
    <col min="4" max="4" width="16.28515625" style="111" bestFit="1" customWidth="1"/>
    <col min="5" max="5" width="14.28515625" style="111" bestFit="1" customWidth="1"/>
    <col min="6" max="6" width="9.7109375" style="111" customWidth="1"/>
    <col min="7" max="7" width="19.85546875" style="111" bestFit="1" customWidth="1"/>
    <col min="8" max="16384" width="9.140625" style="111"/>
  </cols>
  <sheetData>
    <row r="1" spans="1:7">
      <c r="A1" s="105" t="str">
        <f>+'[3]Input Data'!$A$9</f>
        <v>2025 RATE CASE</v>
      </c>
    </row>
    <row r="2" spans="1:7">
      <c r="A2" s="163" t="str">
        <f>+'[3]Input Data'!$A$2</f>
        <v>ONCOR ELECTRIC DELIVERY COMPANY LLC</v>
      </c>
    </row>
    <row r="3" spans="1:7">
      <c r="A3" s="164" t="str">
        <f>CONCATENATE('[3]Schedule Sponsors'!$A$97,'[3]Schedule Sponsors'!$B$97)</f>
        <v>II-E-3.12  UTILIZED – STAND ALONE BASIS</v>
      </c>
    </row>
    <row r="4" spans="1:7">
      <c r="A4" s="164" t="str">
        <f>+'[3]Input Data'!$A$4</f>
        <v>TEST YEAR ENDING DECEMBER 31, 2024</v>
      </c>
    </row>
    <row r="5" spans="1:7">
      <c r="A5" s="162" t="str">
        <f>CONCATENATE("SPONSOR: ",'[3]Schedule Sponsors'!$D$99)</f>
        <v>SPONSOR: B. L. CLUTTER</v>
      </c>
    </row>
    <row r="10" spans="1:7">
      <c r="A10" s="168" t="s">
        <v>241</v>
      </c>
      <c r="B10" s="168"/>
      <c r="C10" s="168"/>
      <c r="D10" s="168"/>
      <c r="E10" s="168" t="s">
        <v>71</v>
      </c>
      <c r="F10" s="168" t="s">
        <v>314</v>
      </c>
      <c r="G10" s="168" t="s">
        <v>315</v>
      </c>
    </row>
    <row r="11" spans="1:7">
      <c r="A11" s="167" t="s">
        <v>310</v>
      </c>
      <c r="B11" s="167" t="s">
        <v>311</v>
      </c>
      <c r="C11" s="167" t="s">
        <v>316</v>
      </c>
      <c r="D11" s="167" t="s">
        <v>317</v>
      </c>
      <c r="E11" s="167" t="s">
        <v>318</v>
      </c>
      <c r="F11" s="167" t="s">
        <v>319</v>
      </c>
      <c r="G11" s="167" t="s">
        <v>320</v>
      </c>
    </row>
    <row r="12" spans="1:7">
      <c r="B12" s="342" t="s">
        <v>226</v>
      </c>
      <c r="C12" s="342" t="s">
        <v>227</v>
      </c>
      <c r="D12" s="342" t="s">
        <v>228</v>
      </c>
      <c r="E12" s="342" t="s">
        <v>229</v>
      </c>
      <c r="F12" s="342" t="s">
        <v>230</v>
      </c>
      <c r="G12" s="342" t="s">
        <v>231</v>
      </c>
    </row>
    <row r="14" spans="1:7">
      <c r="A14" s="93">
        <v>1</v>
      </c>
      <c r="B14" s="93">
        <v>2022</v>
      </c>
      <c r="C14" s="459">
        <v>0</v>
      </c>
      <c r="D14" s="459">
        <v>0</v>
      </c>
      <c r="E14" s="459">
        <v>0</v>
      </c>
      <c r="F14" s="459">
        <v>0</v>
      </c>
      <c r="G14" s="459">
        <v>0</v>
      </c>
    </row>
    <row r="15" spans="1:7">
      <c r="A15" s="93">
        <f>+A14+1</f>
        <v>2</v>
      </c>
      <c r="B15" s="93">
        <v>2023</v>
      </c>
      <c r="C15" s="13">
        <v>0</v>
      </c>
      <c r="D15" s="13">
        <v>0</v>
      </c>
      <c r="E15" s="13">
        <v>0</v>
      </c>
      <c r="F15" s="13">
        <v>0</v>
      </c>
      <c r="G15" s="13">
        <v>0</v>
      </c>
    </row>
    <row r="16" spans="1:7" s="346" customFormat="1">
      <c r="A16" s="347">
        <f t="shared" ref="A16:A17" si="0">+A15+1</f>
        <v>3</v>
      </c>
      <c r="B16" s="347">
        <v>2024</v>
      </c>
      <c r="C16" s="460">
        <v>0</v>
      </c>
      <c r="D16" s="460">
        <v>0</v>
      </c>
      <c r="E16" s="460">
        <f>D16+C16</f>
        <v>0</v>
      </c>
      <c r="F16" s="460">
        <v>0</v>
      </c>
      <c r="G16" s="460">
        <f>E16-F16</f>
        <v>0</v>
      </c>
    </row>
    <row r="17" spans="1:7">
      <c r="A17" s="347">
        <f t="shared" si="0"/>
        <v>4</v>
      </c>
      <c r="B17" s="93"/>
      <c r="C17" s="343"/>
      <c r="D17" s="343"/>
      <c r="E17" s="343"/>
      <c r="F17" s="344"/>
      <c r="G17" s="344"/>
    </row>
    <row r="18" spans="1:7" ht="13.5" thickBot="1">
      <c r="A18" s="347">
        <f t="shared" ref="A18:A21" si="1">+A17+1</f>
        <v>5</v>
      </c>
      <c r="B18" s="93" t="s">
        <v>335</v>
      </c>
      <c r="C18" s="476">
        <f>SUM(C14:C16)</f>
        <v>0</v>
      </c>
      <c r="D18" s="476">
        <f>SUM(D14:D16)</f>
        <v>0</v>
      </c>
      <c r="E18" s="476">
        <f>SUM(E14:E16)</f>
        <v>0</v>
      </c>
      <c r="F18" s="476">
        <f>SUM(F14:F16)</f>
        <v>0</v>
      </c>
      <c r="G18" s="476">
        <f>SUM(G14:G16)</f>
        <v>0</v>
      </c>
    </row>
    <row r="19" spans="1:7" ht="13.5" thickTop="1">
      <c r="A19" s="347">
        <f t="shared" si="1"/>
        <v>6</v>
      </c>
      <c r="B19" s="338"/>
      <c r="C19" s="255"/>
      <c r="D19" s="255"/>
      <c r="E19" s="255"/>
    </row>
    <row r="20" spans="1:7">
      <c r="A20" s="347">
        <f t="shared" si="1"/>
        <v>7</v>
      </c>
      <c r="B20" s="338"/>
      <c r="C20" s="255"/>
      <c r="D20" s="255"/>
      <c r="E20" s="255"/>
    </row>
    <row r="21" spans="1:7">
      <c r="A21" s="347">
        <f t="shared" si="1"/>
        <v>8</v>
      </c>
      <c r="B21" s="338" t="s">
        <v>30</v>
      </c>
      <c r="C21" s="255"/>
      <c r="D21" s="255"/>
      <c r="E21" s="255"/>
    </row>
  </sheetData>
  <phoneticPr fontId="10" type="noConversion"/>
  <printOptions horizontalCentered="1"/>
  <pageMargins left="0.5" right="0.5" top="3" bottom="0.5" header="1.5" footer="0.5"/>
  <pageSetup pageOrder="overThenDown" orientation="landscape"/>
  <headerFooter alignWithMargins="0">
    <oddHeader>&amp;R&amp;"Arial,Bold"Schedule &amp;A
Page &amp;P of &amp;N&amp;C&amp;B
2025 RATE CASE
ONCOR ELECTRIC DELIVERY COMPANY LLC
II-E-3.12  UTILIZED – STAND ALONE BASIS
TEST YEAR ENDING DECEMBER 31, 2024
SPONSOR: B. L. CLUTTER</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4">
    <pageSetUpPr fitToPage="1"/>
  </sheetPr>
  <dimension ref="A1:B14"/>
  <sheetViews>
    <sheetView zoomScaleNormal="100" workbookViewId="0">
      <selection activeCell="E19" sqref="E19"/>
    </sheetView>
  </sheetViews>
  <sheetFormatPr defaultColWidth="9.140625" defaultRowHeight="12.75"/>
  <cols>
    <col min="1" max="16384" width="9.140625" style="144"/>
  </cols>
  <sheetData>
    <row r="1" spans="1:2">
      <c r="A1" s="189" t="str">
        <f>+'[3]Input Data'!$A$9</f>
        <v>2025 RATE CASE</v>
      </c>
    </row>
    <row r="2" spans="1:2">
      <c r="A2" s="188" t="str">
        <f>+'[3]Input Data'!$A$2</f>
        <v>ONCOR ELECTRIC DELIVERY COMPANY LLC</v>
      </c>
    </row>
    <row r="3" spans="1:2">
      <c r="A3" s="187" t="str">
        <f>CONCATENATE('[3]Schedule Sponsors'!$A$98,'[3]Schedule Sponsors'!$B$98)</f>
        <v>II-E-3.13  ITC ELECTION</v>
      </c>
    </row>
    <row r="4" spans="1:2">
      <c r="A4" s="187" t="str">
        <f>+'[3]Input Data'!$A$4</f>
        <v>TEST YEAR ENDING DECEMBER 31, 2024</v>
      </c>
    </row>
    <row r="5" spans="1:2">
      <c r="A5" s="185" t="str">
        <f>CONCATENATE("SPONSOR: ",'[3]Schedule Sponsors'!$D$100)</f>
        <v>SPONSOR: B. L. CLUTTER</v>
      </c>
    </row>
    <row r="10" spans="1:2">
      <c r="A10" s="173" t="s">
        <v>241</v>
      </c>
    </row>
    <row r="11" spans="1:2">
      <c r="A11" s="177" t="s">
        <v>310</v>
      </c>
    </row>
    <row r="12" spans="1:2">
      <c r="A12" s="184"/>
    </row>
    <row r="13" spans="1:2">
      <c r="A13" s="176">
        <v>1</v>
      </c>
      <c r="B13" s="144" t="s">
        <v>375</v>
      </c>
    </row>
    <row r="14" spans="1:2">
      <c r="A14" s="176">
        <f>A13+1</f>
        <v>2</v>
      </c>
      <c r="B14" s="144" t="s">
        <v>376</v>
      </c>
    </row>
  </sheetData>
  <phoneticPr fontId="10" type="noConversion"/>
  <printOptions horizontalCentered="1"/>
  <pageMargins left="0.5" right="0.5" top="3" bottom="0.5" header="1.5" footer="0.5"/>
  <pageSetup pageOrder="overThenDown" orientation="landscape"/>
  <headerFooter alignWithMargins="0">
    <oddHeader>&amp;R&amp;"Arial,Bold"Schedule &amp;A
Page &amp;P of &amp;N&amp;C&amp;B
2025 RATE CASE
ONCOR ELECTRIC DELIVERY COMPANY LLC
II-E-3.13  ITC ELECTION
TEST YEAR ENDING DECEMBER 31, 2024
SPONSOR: B. L. CLUTTER</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26"/>
  <dimension ref="A1:BP32"/>
  <sheetViews>
    <sheetView zoomScale="80" zoomScaleNormal="80" workbookViewId="0">
      <pane ySplit="14" topLeftCell="A15" activePane="bottomLeft" state="frozen"/>
      <selection activeCell="E19" sqref="E19"/>
      <selection pane="bottomLeft" activeCell="J13" sqref="J13"/>
    </sheetView>
  </sheetViews>
  <sheetFormatPr defaultColWidth="9.140625" defaultRowHeight="12.75"/>
  <cols>
    <col min="1" max="1" width="5.85546875" style="144" customWidth="1"/>
    <col min="2" max="2" width="18.85546875" style="144" customWidth="1"/>
    <col min="3" max="3" width="34.85546875" style="144" customWidth="1"/>
    <col min="4" max="4" width="10.42578125" style="144" bestFit="1" customWidth="1"/>
    <col min="5" max="5" width="14.5703125" style="144" bestFit="1" customWidth="1"/>
    <col min="6" max="6" width="15.140625" style="144" bestFit="1" customWidth="1"/>
    <col min="7" max="7" width="14.5703125" style="144" bestFit="1" customWidth="1"/>
    <col min="8" max="8" width="17.85546875" style="144" bestFit="1" customWidth="1"/>
    <col min="9" max="9" width="14.5703125" style="144" bestFit="1" customWidth="1"/>
    <col min="10" max="10" width="10.140625" style="144" bestFit="1" customWidth="1"/>
    <col min="11" max="11" width="14.5703125" style="144" bestFit="1" customWidth="1"/>
    <col min="12" max="12" width="4.85546875" style="144" bestFit="1" customWidth="1"/>
    <col min="13" max="13" width="16.85546875" style="144" bestFit="1" customWidth="1"/>
    <col min="14" max="14" width="10.42578125" style="144" bestFit="1" customWidth="1"/>
    <col min="15" max="15" width="15.85546875" style="144" bestFit="1" customWidth="1"/>
    <col min="16" max="17" width="14.5703125" style="346" customWidth="1"/>
    <col min="18" max="18" width="15.5703125" style="346" bestFit="1" customWidth="1"/>
    <col min="19" max="19" width="16.42578125" style="144" bestFit="1" customWidth="1"/>
    <col min="20" max="21" width="14.5703125" style="346" customWidth="1"/>
    <col min="22" max="22" width="12.140625" style="144" bestFit="1" customWidth="1"/>
    <col min="23" max="24" width="14.5703125" style="144" bestFit="1" customWidth="1"/>
    <col min="25" max="25" width="8.7109375" style="144" bestFit="1" customWidth="1"/>
    <col min="26" max="51" width="31.42578125" style="144" customWidth="1"/>
    <col min="52" max="16384" width="9.140625" style="144"/>
  </cols>
  <sheetData>
    <row r="1" spans="1:68">
      <c r="A1" s="189" t="str">
        <f>+'[3]Input Data'!$A$9</f>
        <v>2025 RATE CASE</v>
      </c>
    </row>
    <row r="2" spans="1:68">
      <c r="A2" s="188" t="str">
        <f>+'[3]Input Data'!$A$2</f>
        <v>ONCOR ELECTRIC DELIVERY COMPANY LLC</v>
      </c>
    </row>
    <row r="3" spans="1:68">
      <c r="A3" s="187" t="str">
        <f>CONCATENATE('[3]Schedule Sponsors'!$A$99,'[3]Schedule Sponsors'!$B$99)</f>
        <v>II-E-3.14  FERC ACCOUNT 255 BALANCE</v>
      </c>
    </row>
    <row r="4" spans="1:68">
      <c r="A4" s="187" t="str">
        <f>+'[3]Input Data'!$A$4</f>
        <v>TEST YEAR ENDING DECEMBER 31, 2024</v>
      </c>
    </row>
    <row r="5" spans="1:68">
      <c r="A5" s="185" t="str">
        <f>CONCATENATE("SPONSOR: ",'[3]Schedule Sponsors'!$D$101)</f>
        <v>SPONSOR: B. L. CLUTTER</v>
      </c>
    </row>
    <row r="7" spans="1:68">
      <c r="M7" s="594"/>
      <c r="N7" s="194"/>
      <c r="O7" s="194"/>
    </row>
    <row r="9" spans="1:68" ht="13.5" thickBot="1"/>
    <row r="10" spans="1:68" s="506" customFormat="1" ht="25.5">
      <c r="A10" s="504" t="s">
        <v>241</v>
      </c>
      <c r="B10" s="505" t="s">
        <v>69</v>
      </c>
      <c r="C10" s="505"/>
      <c r="D10" s="505" t="s">
        <v>66</v>
      </c>
      <c r="E10" s="505" t="s">
        <v>73</v>
      </c>
      <c r="F10" s="505" t="s">
        <v>57</v>
      </c>
      <c r="G10" s="212" t="s">
        <v>61</v>
      </c>
      <c r="H10" s="505" t="s">
        <v>379</v>
      </c>
      <c r="I10" s="505" t="s">
        <v>62</v>
      </c>
      <c r="J10" s="505" t="s">
        <v>79</v>
      </c>
      <c r="K10" s="505" t="s">
        <v>269</v>
      </c>
      <c r="L10" s="505" t="s">
        <v>56</v>
      </c>
      <c r="M10" s="505" t="s">
        <v>70</v>
      </c>
      <c r="N10" s="505" t="s">
        <v>68</v>
      </c>
      <c r="O10" s="212"/>
      <c r="P10" s="212"/>
      <c r="Q10" s="212"/>
      <c r="R10" s="212"/>
      <c r="S10" s="212"/>
      <c r="T10" s="212"/>
      <c r="U10" s="212"/>
      <c r="V10" s="212"/>
      <c r="W10" s="212"/>
      <c r="X10" s="212"/>
    </row>
    <row r="11" spans="1:68" s="166" customFormat="1">
      <c r="A11" s="421" t="s">
        <v>139</v>
      </c>
      <c r="B11" s="165" t="s">
        <v>203</v>
      </c>
      <c r="C11" s="165" t="s">
        <v>64</v>
      </c>
      <c r="D11" s="165" t="s">
        <v>68</v>
      </c>
      <c r="E11" s="165" t="s">
        <v>76</v>
      </c>
      <c r="F11" s="165" t="s">
        <v>334</v>
      </c>
      <c r="G11" s="165" t="s">
        <v>63</v>
      </c>
      <c r="H11" s="165" t="s">
        <v>484</v>
      </c>
      <c r="I11" s="165" t="s">
        <v>485</v>
      </c>
      <c r="J11" s="165" t="s">
        <v>269</v>
      </c>
      <c r="K11" s="165" t="s">
        <v>43</v>
      </c>
      <c r="L11" s="165"/>
      <c r="M11" s="165" t="s">
        <v>58</v>
      </c>
      <c r="N11" s="165" t="s">
        <v>66</v>
      </c>
      <c r="O11" s="165"/>
      <c r="P11" s="165" t="s">
        <v>571</v>
      </c>
      <c r="Q11" s="165" t="s">
        <v>572</v>
      </c>
      <c r="R11" s="165" t="s">
        <v>574</v>
      </c>
      <c r="S11" s="165"/>
      <c r="T11" s="165" t="s">
        <v>571</v>
      </c>
      <c r="U11" s="165" t="s">
        <v>574</v>
      </c>
      <c r="V11" s="165"/>
      <c r="W11" s="165"/>
      <c r="X11" s="165"/>
    </row>
    <row r="12" spans="1:68" s="166" customFormat="1">
      <c r="A12" s="421"/>
      <c r="B12" s="165"/>
      <c r="C12" s="165"/>
      <c r="D12" s="165"/>
      <c r="E12" s="165"/>
      <c r="F12" s="165"/>
      <c r="G12" s="165" t="s">
        <v>78</v>
      </c>
      <c r="H12" s="165" t="s">
        <v>381</v>
      </c>
      <c r="I12" s="165" t="s">
        <v>78</v>
      </c>
      <c r="J12" s="165" t="s">
        <v>75</v>
      </c>
      <c r="K12" s="165" t="s">
        <v>79</v>
      </c>
      <c r="L12" s="165"/>
      <c r="M12" s="165"/>
      <c r="N12" s="165"/>
      <c r="O12" s="165" t="s">
        <v>198</v>
      </c>
      <c r="P12" s="165" t="s">
        <v>198</v>
      </c>
      <c r="Q12" s="165" t="s">
        <v>575</v>
      </c>
      <c r="R12" s="165" t="s">
        <v>198</v>
      </c>
      <c r="S12" s="165" t="s">
        <v>199</v>
      </c>
      <c r="T12" s="165" t="s">
        <v>199</v>
      </c>
      <c r="U12" s="165" t="s">
        <v>199</v>
      </c>
      <c r="V12" s="165" t="s">
        <v>194</v>
      </c>
      <c r="W12" s="165" t="s">
        <v>279</v>
      </c>
      <c r="X12" s="165" t="s">
        <v>73</v>
      </c>
    </row>
    <row r="13" spans="1:68" s="221" customFormat="1" ht="13.5" thickBot="1">
      <c r="A13" s="422"/>
      <c r="B13" s="215" t="s">
        <v>226</v>
      </c>
      <c r="C13" s="215" t="s">
        <v>227</v>
      </c>
      <c r="D13" s="507" t="s">
        <v>228</v>
      </c>
      <c r="E13" s="215" t="s">
        <v>229</v>
      </c>
      <c r="F13" s="215" t="s">
        <v>230</v>
      </c>
      <c r="G13" s="215" t="s">
        <v>231</v>
      </c>
      <c r="H13" s="215" t="s">
        <v>232</v>
      </c>
      <c r="I13" s="215" t="s">
        <v>233</v>
      </c>
      <c r="J13" s="215" t="s">
        <v>234</v>
      </c>
      <c r="K13" s="215" t="s">
        <v>235</v>
      </c>
      <c r="L13" s="215" t="s">
        <v>236</v>
      </c>
      <c r="M13" s="215" t="s">
        <v>237</v>
      </c>
      <c r="N13" s="215" t="s">
        <v>238</v>
      </c>
      <c r="O13" s="215" t="s">
        <v>239</v>
      </c>
      <c r="P13" s="215" t="s">
        <v>240</v>
      </c>
      <c r="Q13" s="215" t="s">
        <v>140</v>
      </c>
      <c r="R13" s="215" t="s">
        <v>270</v>
      </c>
      <c r="S13" s="215" t="s">
        <v>280</v>
      </c>
      <c r="T13" s="215" t="s">
        <v>281</v>
      </c>
      <c r="U13" s="215" t="s">
        <v>473</v>
      </c>
      <c r="V13" s="215" t="s">
        <v>474</v>
      </c>
      <c r="W13" s="215" t="s">
        <v>475</v>
      </c>
      <c r="X13" s="508" t="s">
        <v>476</v>
      </c>
    </row>
    <row r="14" spans="1:68" s="192" customFormat="1"/>
    <row r="15" spans="1:68">
      <c r="O15" s="459"/>
      <c r="P15" s="459"/>
      <c r="Q15" s="459"/>
      <c r="R15" s="459"/>
    </row>
    <row r="16" spans="1:68">
      <c r="A16" s="176">
        <v>1</v>
      </c>
      <c r="B16" s="338">
        <v>2551000</v>
      </c>
      <c r="C16" s="144" t="s">
        <v>39</v>
      </c>
      <c r="D16" s="110"/>
      <c r="E16" s="459">
        <v>216034218.63</v>
      </c>
      <c r="F16" s="459">
        <v>0</v>
      </c>
      <c r="G16" s="459">
        <f>+E16+F16</f>
        <v>216034218.63</v>
      </c>
      <c r="H16" s="459">
        <v>0</v>
      </c>
      <c r="I16" s="459">
        <f>+G16+H16</f>
        <v>216034218.63</v>
      </c>
      <c r="J16" s="1">
        <v>1</v>
      </c>
      <c r="K16" s="459">
        <f>+I16*J16</f>
        <v>216034218.63</v>
      </c>
      <c r="L16" s="110"/>
      <c r="M16" s="190" t="s">
        <v>387</v>
      </c>
      <c r="N16" s="110"/>
      <c r="O16" s="593">
        <v>62291873.120000005</v>
      </c>
      <c r="P16" s="593">
        <v>0</v>
      </c>
      <c r="Q16" s="593">
        <v>0</v>
      </c>
      <c r="R16" s="593">
        <f>SUM(O16:Q16)</f>
        <v>62291873.120000005</v>
      </c>
      <c r="S16" s="593">
        <v>153742345.5</v>
      </c>
      <c r="T16" s="593">
        <v>0</v>
      </c>
      <c r="U16" s="593">
        <f>SUM(S16:T16)</f>
        <v>153742345.5</v>
      </c>
      <c r="V16" s="593">
        <v>0</v>
      </c>
      <c r="W16" s="593">
        <v>0</v>
      </c>
      <c r="X16" s="593">
        <f>+R16+U16+V16+W16</f>
        <v>216034218.62</v>
      </c>
      <c r="Y16" s="110" t="b">
        <f>ROUND(+K16,0)=ROUND(X16,0)</f>
        <v>1</v>
      </c>
      <c r="Z16" s="110"/>
      <c r="AA16" s="110"/>
      <c r="AB16" s="110"/>
      <c r="AC16" s="110"/>
      <c r="AD16" s="110"/>
      <c r="AE16" s="110"/>
      <c r="AF16" s="110"/>
      <c r="AG16" s="110"/>
      <c r="AH16" s="110"/>
      <c r="AI16" s="110"/>
      <c r="AJ16" s="110"/>
      <c r="AK16" s="110"/>
      <c r="AL16" s="110"/>
      <c r="AM16" s="110"/>
      <c r="AN16" s="110"/>
      <c r="AO16" s="110"/>
      <c r="AP16" s="110"/>
      <c r="AQ16" s="110"/>
      <c r="AR16" s="110"/>
      <c r="AS16" s="110"/>
      <c r="AT16" s="110"/>
      <c r="AU16" s="110"/>
      <c r="AV16" s="110"/>
      <c r="AW16" s="110"/>
      <c r="AX16" s="110"/>
      <c r="AY16" s="110"/>
      <c r="AZ16" s="110"/>
      <c r="BA16" s="110"/>
      <c r="BB16" s="110"/>
      <c r="BC16" s="110"/>
      <c r="BD16" s="110"/>
      <c r="BE16" s="110"/>
      <c r="BF16" s="110"/>
      <c r="BG16" s="110"/>
      <c r="BH16" s="110"/>
      <c r="BI16" s="110"/>
      <c r="BJ16" s="110"/>
      <c r="BK16" s="110"/>
      <c r="BL16" s="110"/>
      <c r="BM16" s="110"/>
      <c r="BN16" s="110"/>
      <c r="BO16" s="110"/>
      <c r="BP16" s="110"/>
    </row>
    <row r="17" spans="1:68">
      <c r="A17" s="176">
        <v>2</v>
      </c>
      <c r="B17" s="338" t="s">
        <v>59</v>
      </c>
      <c r="D17" s="110"/>
      <c r="E17" s="110"/>
      <c r="F17" s="110"/>
      <c r="G17" s="110"/>
      <c r="H17" s="110"/>
      <c r="I17" s="110"/>
      <c r="J17" s="1"/>
      <c r="K17" s="110"/>
      <c r="L17" s="110"/>
      <c r="M17" s="3"/>
      <c r="N17" s="110"/>
      <c r="O17" s="110"/>
      <c r="P17" s="110"/>
      <c r="Q17" s="110"/>
      <c r="R17" s="110"/>
      <c r="S17" s="110"/>
      <c r="T17" s="110"/>
      <c r="U17" s="110"/>
      <c r="V17" s="110"/>
      <c r="W17" s="110"/>
      <c r="X17" s="110"/>
      <c r="Y17" s="110"/>
      <c r="Z17" s="110"/>
      <c r="AA17" s="110"/>
      <c r="AB17" s="110"/>
      <c r="AC17" s="110"/>
      <c r="AD17" s="110"/>
      <c r="AE17" s="110"/>
      <c r="AF17" s="110"/>
      <c r="AG17" s="110"/>
      <c r="AH17" s="110"/>
      <c r="AI17" s="110"/>
      <c r="AJ17" s="110"/>
      <c r="AK17" s="110"/>
      <c r="AL17" s="110"/>
      <c r="AM17" s="110"/>
      <c r="AN17" s="110"/>
      <c r="AO17" s="110"/>
      <c r="AP17" s="110"/>
      <c r="AQ17" s="110"/>
      <c r="AR17" s="110"/>
      <c r="AS17" s="110"/>
      <c r="AT17" s="110"/>
      <c r="AU17" s="110"/>
      <c r="AV17" s="110"/>
      <c r="AW17" s="110"/>
      <c r="AX17" s="110"/>
      <c r="AY17" s="110"/>
      <c r="AZ17" s="110"/>
      <c r="BA17" s="110"/>
      <c r="BB17" s="110"/>
      <c r="BC17" s="110"/>
      <c r="BD17" s="110"/>
      <c r="BE17" s="110"/>
      <c r="BF17" s="110"/>
      <c r="BG17" s="110"/>
      <c r="BH17" s="110"/>
      <c r="BI17" s="110"/>
      <c r="BJ17" s="110"/>
      <c r="BK17" s="110"/>
      <c r="BL17" s="110"/>
      <c r="BM17" s="110"/>
      <c r="BN17" s="110"/>
      <c r="BO17" s="110"/>
      <c r="BP17" s="110"/>
    </row>
    <row r="18" spans="1:68">
      <c r="A18" s="176">
        <v>3</v>
      </c>
      <c r="B18" s="338">
        <v>2553000</v>
      </c>
      <c r="C18" s="144" t="s">
        <v>40</v>
      </c>
      <c r="D18" s="110"/>
      <c r="E18" s="462">
        <v>-213993777.08000001</v>
      </c>
      <c r="F18" s="462">
        <v>0</v>
      </c>
      <c r="G18" s="462">
        <f>+E18+F18</f>
        <v>-213993777.08000001</v>
      </c>
      <c r="H18" s="462">
        <v>0</v>
      </c>
      <c r="I18" s="462">
        <f>+G18+H18</f>
        <v>-213993777.08000001</v>
      </c>
      <c r="J18" s="231">
        <v>1</v>
      </c>
      <c r="K18" s="462">
        <f>+I18*J18</f>
        <v>-213993777.08000001</v>
      </c>
      <c r="L18" s="145"/>
      <c r="M18" s="190" t="s">
        <v>387</v>
      </c>
      <c r="N18" s="110"/>
      <c r="O18" s="462">
        <v>-60251431.570000023</v>
      </c>
      <c r="P18" s="462">
        <v>0</v>
      </c>
      <c r="Q18" s="462">
        <v>0</v>
      </c>
      <c r="R18" s="462">
        <f>SUM(O18:Q18)</f>
        <v>-60251431.570000023</v>
      </c>
      <c r="S18" s="462">
        <v>-153742345.50999999</v>
      </c>
      <c r="T18" s="462">
        <v>0</v>
      </c>
      <c r="U18" s="462">
        <f>SUM(S18:T18)</f>
        <v>-153742345.50999999</v>
      </c>
      <c r="V18" s="462">
        <v>0</v>
      </c>
      <c r="W18" s="462">
        <v>0</v>
      </c>
      <c r="X18" s="462">
        <f>+R18+U18+V18+W18</f>
        <v>-213993777.08000001</v>
      </c>
      <c r="Y18" s="110" t="b">
        <f>ROUND(+K18,0)=ROUND(X18,0)</f>
        <v>1</v>
      </c>
      <c r="Z18" s="110"/>
      <c r="AA18" s="110"/>
      <c r="AB18" s="110"/>
      <c r="AC18" s="110"/>
      <c r="AD18" s="110"/>
      <c r="AE18" s="110"/>
      <c r="AF18" s="110"/>
      <c r="AG18" s="110"/>
      <c r="AH18" s="110"/>
      <c r="AI18" s="110"/>
      <c r="AJ18" s="110"/>
      <c r="AK18" s="110"/>
      <c r="AL18" s="110"/>
      <c r="AM18" s="110"/>
      <c r="AN18" s="110"/>
      <c r="AO18" s="110"/>
      <c r="AP18" s="110"/>
      <c r="AQ18" s="110"/>
      <c r="AR18" s="110"/>
      <c r="AS18" s="110"/>
      <c r="AT18" s="110"/>
      <c r="AU18" s="110"/>
      <c r="AV18" s="110"/>
      <c r="AW18" s="110"/>
      <c r="AX18" s="110"/>
      <c r="AY18" s="110"/>
      <c r="AZ18" s="110"/>
      <c r="BA18" s="110"/>
      <c r="BB18" s="110"/>
      <c r="BC18" s="110"/>
      <c r="BD18" s="110"/>
      <c r="BE18" s="110"/>
      <c r="BF18" s="110"/>
      <c r="BG18" s="110"/>
      <c r="BH18" s="110"/>
      <c r="BI18" s="110"/>
      <c r="BJ18" s="110"/>
      <c r="BK18" s="110"/>
      <c r="BL18" s="110"/>
      <c r="BM18" s="110"/>
      <c r="BN18" s="110"/>
      <c r="BO18" s="110"/>
      <c r="BP18" s="110"/>
    </row>
    <row r="19" spans="1:68">
      <c r="A19" s="176">
        <v>4</v>
      </c>
      <c r="E19" s="110"/>
      <c r="F19" s="110"/>
      <c r="G19" s="110"/>
      <c r="H19" s="4" t="s">
        <v>31</v>
      </c>
      <c r="I19" s="110"/>
      <c r="J19" s="231"/>
      <c r="K19" s="110"/>
      <c r="L19" s="110"/>
      <c r="M19" s="110"/>
      <c r="N19" s="110"/>
      <c r="O19" s="110"/>
      <c r="P19" s="110"/>
      <c r="Q19" s="110"/>
      <c r="R19" s="110"/>
      <c r="S19" s="110"/>
      <c r="T19" s="110"/>
      <c r="U19" s="110"/>
      <c r="V19" s="110"/>
      <c r="W19" s="110"/>
      <c r="X19" s="110"/>
      <c r="Y19" s="110"/>
      <c r="Z19" s="110"/>
      <c r="AA19" s="110"/>
      <c r="AB19" s="110"/>
      <c r="AC19" s="110"/>
      <c r="AD19" s="110"/>
      <c r="AE19" s="110"/>
      <c r="AF19" s="110"/>
      <c r="AG19" s="110"/>
      <c r="AH19" s="110"/>
      <c r="AI19" s="110"/>
      <c r="AJ19" s="110"/>
      <c r="AK19" s="110"/>
      <c r="AL19" s="110"/>
      <c r="AM19" s="110"/>
      <c r="AN19" s="110"/>
      <c r="AO19" s="110"/>
      <c r="AP19" s="110"/>
      <c r="AQ19" s="110"/>
      <c r="AR19" s="110"/>
      <c r="AS19" s="110"/>
      <c r="AT19" s="110"/>
      <c r="AU19" s="110"/>
      <c r="AV19" s="110"/>
      <c r="AW19" s="110"/>
      <c r="AX19" s="110"/>
      <c r="AY19" s="110"/>
      <c r="AZ19" s="110"/>
      <c r="BA19" s="110"/>
      <c r="BB19" s="110"/>
      <c r="BC19" s="110"/>
      <c r="BD19" s="110"/>
      <c r="BE19" s="110"/>
      <c r="BF19" s="110"/>
      <c r="BG19" s="110"/>
      <c r="BH19" s="110"/>
      <c r="BI19" s="110"/>
      <c r="BJ19" s="110"/>
      <c r="BK19" s="110"/>
      <c r="BL19" s="110"/>
      <c r="BM19" s="110"/>
      <c r="BN19" s="110"/>
      <c r="BO19" s="110"/>
      <c r="BP19" s="110"/>
    </row>
    <row r="20" spans="1:68" ht="13.5" thickBot="1">
      <c r="A20" s="176">
        <v>5</v>
      </c>
      <c r="C20" s="189" t="s">
        <v>73</v>
      </c>
      <c r="D20" s="189"/>
      <c r="E20" s="478">
        <f>+E16+E18</f>
        <v>2040441.5499999821</v>
      </c>
      <c r="F20" s="478">
        <f>+F16+F18</f>
        <v>0</v>
      </c>
      <c r="G20" s="478">
        <f>+G16+G18</f>
        <v>2040441.5499999821</v>
      </c>
      <c r="H20" s="478">
        <f>+H16+H18</f>
        <v>0</v>
      </c>
      <c r="I20" s="478">
        <f>+I16+I18</f>
        <v>2040441.5499999821</v>
      </c>
      <c r="J20" s="5"/>
      <c r="K20" s="478">
        <f>+K16+K18</f>
        <v>2040441.5499999821</v>
      </c>
      <c r="L20" s="5"/>
      <c r="M20" s="5"/>
      <c r="N20" s="5"/>
      <c r="O20" s="478">
        <f t="shared" ref="O20:X20" si="0">+O16+O18</f>
        <v>2040441.5499999821</v>
      </c>
      <c r="P20" s="478">
        <f t="shared" ref="P20:W20" si="1">+P16+P18</f>
        <v>0</v>
      </c>
      <c r="Q20" s="478">
        <f t="shared" si="1"/>
        <v>0</v>
      </c>
      <c r="R20" s="478">
        <f t="shared" si="1"/>
        <v>2040441.5499999821</v>
      </c>
      <c r="S20" s="478">
        <f t="shared" si="1"/>
        <v>-9.9999904632568359E-3</v>
      </c>
      <c r="T20" s="478">
        <f t="shared" si="1"/>
        <v>0</v>
      </c>
      <c r="U20" s="478">
        <f t="shared" si="1"/>
        <v>-9.9999904632568359E-3</v>
      </c>
      <c r="V20" s="478">
        <f t="shared" si="1"/>
        <v>0</v>
      </c>
      <c r="W20" s="478">
        <f t="shared" si="1"/>
        <v>0</v>
      </c>
      <c r="X20" s="478">
        <f t="shared" si="0"/>
        <v>2040441.5399999917</v>
      </c>
      <c r="Y20" s="110" t="b">
        <f>ROUND(+K20,0)=ROUND(X20,0)</f>
        <v>1</v>
      </c>
      <c r="Z20" s="110"/>
      <c r="AA20" s="110"/>
      <c r="AB20" s="110"/>
      <c r="AC20" s="110"/>
      <c r="AD20" s="110"/>
      <c r="AE20" s="110"/>
      <c r="AF20" s="110"/>
      <c r="AG20" s="110"/>
      <c r="AH20" s="110"/>
      <c r="AI20" s="110"/>
      <c r="AJ20" s="110"/>
      <c r="AK20" s="110"/>
      <c r="AL20" s="110"/>
      <c r="AM20" s="110"/>
      <c r="AN20" s="110"/>
      <c r="AO20" s="110"/>
      <c r="AP20" s="110"/>
      <c r="AQ20" s="110"/>
      <c r="AR20" s="110"/>
      <c r="AS20" s="110"/>
      <c r="AT20" s="110"/>
      <c r="AU20" s="110"/>
      <c r="AV20" s="110"/>
      <c r="AW20" s="110"/>
      <c r="AX20" s="110"/>
      <c r="AY20" s="110"/>
      <c r="AZ20" s="110"/>
      <c r="BA20" s="110"/>
      <c r="BB20" s="110"/>
      <c r="BC20" s="110"/>
      <c r="BD20" s="110"/>
      <c r="BE20" s="110"/>
      <c r="BF20" s="110"/>
      <c r="BG20" s="110"/>
      <c r="BH20" s="110"/>
      <c r="BI20" s="110"/>
      <c r="BJ20" s="110"/>
      <c r="BK20" s="110"/>
      <c r="BL20" s="110"/>
      <c r="BM20" s="110"/>
      <c r="BN20" s="110"/>
      <c r="BO20" s="110"/>
      <c r="BP20" s="110"/>
    </row>
    <row r="21" spans="1:68" ht="13.5" thickTop="1">
      <c r="N21" s="182"/>
    </row>
    <row r="24" spans="1:68">
      <c r="O24" s="460"/>
    </row>
    <row r="32" spans="1:68">
      <c r="D32" s="189"/>
    </row>
  </sheetData>
  <phoneticPr fontId="10" type="noConversion"/>
  <printOptions horizontalCentered="1"/>
  <pageMargins left="0.5" right="0.5" top="3" bottom="0.5" header="1.5" footer="0.5"/>
  <pageSetup scale="53" fitToWidth="2" pageOrder="overThenDown" orientation="landscape"/>
  <headerFooter alignWithMargins="0">
    <oddHeader>&amp;R&amp;"Arial,Bold"Schedule &amp;A
Page &amp;P of &amp;N&amp;C&amp;B
2025 RATE CASE
ONCOR ELECTRIC DELIVERY COMPANY LLC
II-E-3.14  FERC ACCOUNT 255 BALANCE
TEST YEAR ENDING DECEMBER 31, 2024
SPONSOR: B. L. CLUTTER</oddHeader>
  </headerFooter>
  <colBreaks count="1" manualBreakCount="1">
    <brk id="12" min="9" max="19" man="1"/>
  </col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6">
    <pageSetUpPr fitToPage="1"/>
  </sheetPr>
  <dimension ref="A1:O161"/>
  <sheetViews>
    <sheetView zoomScale="80" zoomScaleNormal="80" workbookViewId="0">
      <pane xSplit="2" ySplit="13" topLeftCell="C75" activePane="bottomRight" state="frozen"/>
      <selection activeCell="E19" sqref="E19"/>
      <selection pane="topRight" activeCell="E19" sqref="E19"/>
      <selection pane="bottomLeft" activeCell="E19" sqref="E19"/>
      <selection pane="bottomRight" activeCell="B93" sqref="B93"/>
    </sheetView>
  </sheetViews>
  <sheetFormatPr defaultColWidth="9.140625" defaultRowHeight="12.75"/>
  <cols>
    <col min="1" max="1" width="15.140625" style="111" customWidth="1"/>
    <col min="2" max="2" width="51.42578125" style="111" bestFit="1" customWidth="1"/>
    <col min="3" max="3" width="16.28515625" style="192" bestFit="1" customWidth="1"/>
    <col min="4" max="4" width="11.42578125" style="111" bestFit="1" customWidth="1"/>
    <col min="5" max="5" width="17.42578125" style="111" bestFit="1" customWidth="1"/>
    <col min="6" max="6" width="56" style="289" bestFit="1" customWidth="1"/>
    <col min="7" max="7" width="14.28515625" style="111" bestFit="1" customWidth="1"/>
    <col min="8" max="8" width="48.7109375" style="111" bestFit="1" customWidth="1"/>
    <col min="9" max="9" width="15.42578125" style="277" bestFit="1" customWidth="1"/>
    <col min="10" max="10" width="18.85546875" style="111" bestFit="1" customWidth="1"/>
    <col min="11" max="11" width="46" style="111" bestFit="1" customWidth="1"/>
    <col min="12" max="12" width="12.7109375" style="111" bestFit="1" customWidth="1"/>
    <col min="13" max="13" width="17.140625" style="111" bestFit="1" customWidth="1"/>
    <col min="14" max="14" width="17.5703125" style="111" bestFit="1" customWidth="1"/>
    <col min="15" max="15" width="11" style="111" bestFit="1" customWidth="1"/>
    <col min="16" max="16384" width="9.140625" style="111"/>
  </cols>
  <sheetData>
    <row r="1" spans="1:14" s="750" customFormat="1" ht="15">
      <c r="A1" s="188" t="str">
        <f>+'[3]Input Data'!$A$9</f>
        <v>2025 RATE CASE</v>
      </c>
      <c r="C1" s="751"/>
      <c r="F1" s="752"/>
    </row>
    <row r="2" spans="1:14">
      <c r="A2" s="163" t="str">
        <f>+'[3]Input Data'!$A$2</f>
        <v>ONCOR ELECTRIC DELIVERY COMPANY LLC</v>
      </c>
    </row>
    <row r="3" spans="1:14">
      <c r="A3" s="164" t="str">
        <f>CONCATENATE('[3]Schedule Sponsors'!$A$100,'[3]Schedule Sponsors'!$B$100)</f>
        <v>II-E-3.15  ANALYSIS OF TEST YEAR FIT &amp;&amp; REQUESTED FIT-TAX METHOD 2</v>
      </c>
      <c r="E3" s="255"/>
    </row>
    <row r="4" spans="1:14">
      <c r="A4" s="164" t="str">
        <f>+'[3]Input Data'!$A$4</f>
        <v>TEST YEAR ENDING DECEMBER 31, 2024</v>
      </c>
      <c r="E4" s="255"/>
    </row>
    <row r="5" spans="1:14">
      <c r="A5" s="162" t="str">
        <f>CONCATENATE("SPONSOR: ",'[3]Schedule Sponsors'!$D$102)</f>
        <v>SPONSOR: B. L. CLUTTER</v>
      </c>
      <c r="C5" s="283"/>
      <c r="D5" s="250"/>
      <c r="E5" s="297"/>
      <c r="F5" s="291"/>
    </row>
    <row r="6" spans="1:14">
      <c r="C6" s="298"/>
      <c r="D6" s="250"/>
      <c r="E6" s="250"/>
      <c r="F6" s="292"/>
    </row>
    <row r="7" spans="1:14">
      <c r="C7" s="299"/>
      <c r="D7" s="250"/>
      <c r="E7" s="298"/>
      <c r="F7" s="293"/>
    </row>
    <row r="8" spans="1:14">
      <c r="C8" s="300"/>
      <c r="D8" s="250"/>
      <c r="E8" s="250"/>
      <c r="F8" s="293"/>
    </row>
    <row r="9" spans="1:14" ht="13.5" thickBot="1">
      <c r="C9" s="298"/>
      <c r="D9" s="250"/>
      <c r="E9" s="301"/>
      <c r="F9" s="293"/>
    </row>
    <row r="10" spans="1:14" s="346" customFormat="1">
      <c r="A10" s="259" t="s">
        <v>241</v>
      </c>
      <c r="B10" s="259"/>
      <c r="C10" s="212"/>
      <c r="D10" s="259" t="s">
        <v>68</v>
      </c>
      <c r="E10" s="259"/>
      <c r="F10" s="289"/>
      <c r="I10" s="277"/>
    </row>
    <row r="11" spans="1:14" s="294" customFormat="1">
      <c r="A11" s="260" t="s">
        <v>139</v>
      </c>
      <c r="B11" s="260" t="s">
        <v>64</v>
      </c>
      <c r="C11" s="165" t="s">
        <v>242</v>
      </c>
      <c r="D11" s="260" t="s">
        <v>66</v>
      </c>
      <c r="E11" s="260" t="s">
        <v>243</v>
      </c>
      <c r="F11" s="224"/>
      <c r="I11" s="634"/>
    </row>
    <row r="12" spans="1:14" s="346" customFormat="1" ht="13.5" thickBot="1">
      <c r="A12" s="261"/>
      <c r="B12" s="261" t="s">
        <v>226</v>
      </c>
      <c r="C12" s="215" t="s">
        <v>227</v>
      </c>
      <c r="D12" s="261" t="s">
        <v>228</v>
      </c>
      <c r="E12" s="261" t="s">
        <v>229</v>
      </c>
      <c r="F12" s="289"/>
      <c r="I12" s="277"/>
    </row>
    <row r="13" spans="1:14" s="346" customFormat="1">
      <c r="C13" s="192"/>
      <c r="F13" s="289"/>
      <c r="I13" s="277"/>
    </row>
    <row r="14" spans="1:14" s="346" customFormat="1">
      <c r="A14" s="347">
        <v>1</v>
      </c>
      <c r="B14" s="346" t="s">
        <v>254</v>
      </c>
      <c r="C14" s="479">
        <v>6081835516.5099993</v>
      </c>
      <c r="D14" s="480" t="s">
        <v>1127</v>
      </c>
      <c r="E14" s="479">
        <f>ROUND(+'[4]Link Sheet'!$D$9,2)</f>
        <v>7938293036.0900002</v>
      </c>
      <c r="F14" s="295"/>
      <c r="I14" s="277"/>
      <c r="K14" s="110"/>
      <c r="N14" s="110"/>
    </row>
    <row r="15" spans="1:14" s="346" customFormat="1">
      <c r="A15" s="347">
        <f t="shared" ref="A15:A87" si="0">A14+1</f>
        <v>2</v>
      </c>
      <c r="B15" s="346" t="s">
        <v>255</v>
      </c>
      <c r="C15" s="142"/>
      <c r="D15" s="294"/>
      <c r="E15" s="142"/>
      <c r="F15" s="295"/>
      <c r="I15" s="277"/>
      <c r="N15" s="110"/>
    </row>
    <row r="16" spans="1:14" s="346" customFormat="1">
      <c r="A16" s="347">
        <f t="shared" si="0"/>
        <v>3</v>
      </c>
      <c r="B16" s="346" t="s">
        <v>625</v>
      </c>
      <c r="C16" s="479">
        <v>0</v>
      </c>
      <c r="D16" s="479"/>
      <c r="E16" s="479">
        <v>0</v>
      </c>
      <c r="F16" s="296"/>
      <c r="I16" s="277"/>
      <c r="N16" s="110"/>
    </row>
    <row r="17" spans="1:15" s="346" customFormat="1">
      <c r="A17" s="347">
        <f t="shared" si="0"/>
        <v>4</v>
      </c>
      <c r="B17" s="346" t="s">
        <v>626</v>
      </c>
      <c r="C17" s="481">
        <v>2686842764.4699988</v>
      </c>
      <c r="D17" s="482" t="s">
        <v>1127</v>
      </c>
      <c r="E17" s="481">
        <f>ROUND(+'[4]Link Sheet'!D4,2)</f>
        <v>3798577774.0999999</v>
      </c>
      <c r="F17" s="296"/>
      <c r="I17" s="277"/>
      <c r="K17" s="110"/>
      <c r="N17" s="110"/>
    </row>
    <row r="18" spans="1:15" s="346" customFormat="1">
      <c r="A18" s="347">
        <f t="shared" si="0"/>
        <v>5</v>
      </c>
      <c r="B18" s="346" t="s">
        <v>627</v>
      </c>
      <c r="C18" s="481">
        <v>1059919905.7300001</v>
      </c>
      <c r="D18" s="482" t="s">
        <v>1127</v>
      </c>
      <c r="E18" s="481">
        <f>ROUND(+'[4]Link Sheet'!D5-E20,2)</f>
        <v>1235809869.5</v>
      </c>
      <c r="F18" s="289"/>
      <c r="I18" s="277"/>
      <c r="K18" s="255"/>
      <c r="N18" s="110"/>
    </row>
    <row r="19" spans="1:15" s="346" customFormat="1">
      <c r="A19" s="347">
        <f t="shared" si="0"/>
        <v>6</v>
      </c>
      <c r="B19" s="346" t="s">
        <v>628</v>
      </c>
      <c r="C19" s="481">
        <v>571123696.01999986</v>
      </c>
      <c r="D19" s="482" t="s">
        <v>1127</v>
      </c>
      <c r="E19" s="481">
        <f>ROUND(+'[4]Link Sheet'!D6,2)</f>
        <v>643110889.54999995</v>
      </c>
      <c r="F19" s="257" t="s">
        <v>1129</v>
      </c>
      <c r="H19" s="302"/>
      <c r="I19" s="277"/>
      <c r="K19" s="255"/>
      <c r="N19" s="110"/>
    </row>
    <row r="20" spans="1:15" s="346" customFormat="1">
      <c r="A20" s="347">
        <f t="shared" si="0"/>
        <v>7</v>
      </c>
      <c r="B20" s="346" t="s">
        <v>629</v>
      </c>
      <c r="C20" s="481">
        <f>ROUND(+'II-E-4'!E18,2)</f>
        <v>7817075</v>
      </c>
      <c r="D20" s="483" t="s">
        <v>222</v>
      </c>
      <c r="E20" s="481">
        <f>ROUND(+'II-E-4'!K18,2)</f>
        <v>9895806</v>
      </c>
      <c r="F20" s="289"/>
      <c r="I20" s="277"/>
      <c r="N20" s="110"/>
    </row>
    <row r="21" spans="1:15" s="346" customFormat="1">
      <c r="A21" s="347">
        <f t="shared" si="0"/>
        <v>8</v>
      </c>
      <c r="B21" s="346" t="s">
        <v>256</v>
      </c>
      <c r="C21" s="142"/>
      <c r="D21" s="294"/>
      <c r="E21" s="142"/>
      <c r="F21" s="289"/>
      <c r="I21" s="277"/>
      <c r="N21" s="145"/>
      <c r="O21" s="255"/>
    </row>
    <row r="22" spans="1:15" s="346" customFormat="1">
      <c r="A22" s="347">
        <f t="shared" si="0"/>
        <v>9</v>
      </c>
      <c r="B22" s="346" t="s">
        <v>630</v>
      </c>
      <c r="C22" s="481">
        <f>'II-E-3'!E20-C20</f>
        <v>645723659.52999997</v>
      </c>
      <c r="D22" s="253" t="s">
        <v>221</v>
      </c>
      <c r="E22" s="481">
        <f>ROUND('II-E-3'!I20,2)</f>
        <v>719767622.02999997</v>
      </c>
      <c r="F22" s="289"/>
      <c r="I22" s="277"/>
      <c r="K22" s="255"/>
      <c r="N22" s="255"/>
    </row>
    <row r="23" spans="1:15" s="346" customFormat="1">
      <c r="A23" s="347">
        <f t="shared" si="0"/>
        <v>10</v>
      </c>
      <c r="B23" s="346" t="s">
        <v>631</v>
      </c>
      <c r="C23" s="481">
        <v>0</v>
      </c>
      <c r="D23" s="253"/>
      <c r="E23" s="481">
        <f>+C23</f>
        <v>0</v>
      </c>
      <c r="F23" s="289"/>
      <c r="I23" s="277"/>
      <c r="K23" s="255"/>
      <c r="N23" s="255"/>
    </row>
    <row r="24" spans="1:15" s="346" customFormat="1">
      <c r="A24" s="347">
        <f t="shared" si="0"/>
        <v>11</v>
      </c>
      <c r="C24" s="191"/>
      <c r="D24" s="253"/>
      <c r="E24" s="191"/>
      <c r="F24" s="289"/>
      <c r="I24" s="277"/>
    </row>
    <row r="25" spans="1:15" s="346" customFormat="1">
      <c r="A25" s="347">
        <f t="shared" si="0"/>
        <v>12</v>
      </c>
      <c r="B25" s="346" t="s">
        <v>142</v>
      </c>
      <c r="C25" s="479">
        <f>C14-SUM(C16:C24)</f>
        <v>1110408415.7600012</v>
      </c>
      <c r="D25" s="479"/>
      <c r="E25" s="479">
        <f>E14-SUM(E16:E24)</f>
        <v>1531131074.9099998</v>
      </c>
      <c r="F25" s="446">
        <f>+'II-E-3.2b'!C15+'II-E-3.1'!D17</f>
        <v>1110408415.76</v>
      </c>
      <c r="G25" s="446">
        <f>+'II-E-3.2b'!E15</f>
        <v>1531131074.9100003</v>
      </c>
      <c r="I25" s="277"/>
      <c r="J25" s="255"/>
      <c r="K25" s="191"/>
      <c r="N25" s="255"/>
    </row>
    <row r="26" spans="1:15" s="346" customFormat="1">
      <c r="A26" s="347">
        <f t="shared" si="0"/>
        <v>13</v>
      </c>
      <c r="C26" s="191"/>
      <c r="D26" s="253"/>
      <c r="E26" s="191"/>
      <c r="F26" s="540">
        <f>+F25-C25</f>
        <v>0</v>
      </c>
      <c r="G26" s="540">
        <f>+G25-E25</f>
        <v>0</v>
      </c>
      <c r="I26" s="277"/>
      <c r="K26" s="255"/>
    </row>
    <row r="27" spans="1:15" s="346" customFormat="1">
      <c r="A27" s="347">
        <f t="shared" si="0"/>
        <v>14</v>
      </c>
      <c r="B27" s="346" t="s">
        <v>143</v>
      </c>
      <c r="C27" s="191"/>
      <c r="D27" s="253"/>
      <c r="E27" s="191"/>
      <c r="F27" s="289"/>
      <c r="I27" s="277"/>
      <c r="J27" s="277"/>
    </row>
    <row r="28" spans="1:15" s="346" customFormat="1">
      <c r="A28" s="347">
        <f t="shared" si="0"/>
        <v>15</v>
      </c>
      <c r="C28" s="191"/>
      <c r="D28" s="253"/>
      <c r="E28" s="191"/>
      <c r="F28" s="289"/>
      <c r="I28" s="277"/>
    </row>
    <row r="29" spans="1:15" s="346" customFormat="1">
      <c r="A29" s="347">
        <f t="shared" si="0"/>
        <v>16</v>
      </c>
      <c r="B29" s="346" t="s">
        <v>620</v>
      </c>
      <c r="C29" s="479">
        <f>+'II-E-3.1'!D23</f>
        <v>4310520.8099999996</v>
      </c>
      <c r="D29" s="253" t="s">
        <v>221</v>
      </c>
      <c r="E29" s="479">
        <f>+'II-E-3'!I31</f>
        <v>4310520.8099999996</v>
      </c>
      <c r="F29" s="289" t="s">
        <v>221</v>
      </c>
      <c r="I29" s="277"/>
    </row>
    <row r="30" spans="1:15" s="346" customFormat="1">
      <c r="A30" s="347">
        <f t="shared" si="0"/>
        <v>17</v>
      </c>
      <c r="B30" s="142" t="s">
        <v>621</v>
      </c>
      <c r="C30" s="481">
        <f>+'II-E-3.1'!D24</f>
        <v>267483.76</v>
      </c>
      <c r="D30" s="253" t="s">
        <v>221</v>
      </c>
      <c r="E30" s="481">
        <f>+'II-E-3'!I32</f>
        <v>0</v>
      </c>
      <c r="F30" s="289" t="s">
        <v>221</v>
      </c>
      <c r="I30" s="277"/>
      <c r="J30" s="255"/>
      <c r="N30" s="255"/>
    </row>
    <row r="31" spans="1:15" s="346" customFormat="1">
      <c r="A31" s="347">
        <f t="shared" si="0"/>
        <v>18</v>
      </c>
      <c r="B31" s="538" t="s">
        <v>622</v>
      </c>
      <c r="C31" s="481">
        <f>+'II-E-3.1'!D25</f>
        <v>1524901.52</v>
      </c>
      <c r="D31" s="253" t="s">
        <v>221</v>
      </c>
      <c r="E31" s="481">
        <f>+'II-E-3'!I33</f>
        <v>1524901.52</v>
      </c>
      <c r="F31" s="289" t="s">
        <v>221</v>
      </c>
      <c r="I31" s="277"/>
    </row>
    <row r="32" spans="1:15" s="346" customFormat="1">
      <c r="A32" s="347">
        <f t="shared" si="0"/>
        <v>19</v>
      </c>
      <c r="B32" s="142" t="s">
        <v>623</v>
      </c>
      <c r="C32" s="481">
        <f>+'II-E-3.1'!D26</f>
        <v>-8505119.0000000019</v>
      </c>
      <c r="D32" s="253" t="s">
        <v>221</v>
      </c>
      <c r="E32" s="481">
        <f>+'II-E-3'!I34</f>
        <v>-14221770.000000002</v>
      </c>
      <c r="F32" s="289" t="s">
        <v>221</v>
      </c>
      <c r="I32" s="277"/>
    </row>
    <row r="33" spans="1:9" s="346" customFormat="1">
      <c r="A33" s="347">
        <f t="shared" si="0"/>
        <v>20</v>
      </c>
      <c r="B33" s="346" t="s">
        <v>624</v>
      </c>
      <c r="C33" s="481">
        <f>+'II-E-3.1'!D28</f>
        <v>-31615870.66</v>
      </c>
      <c r="D33" s="253" t="s">
        <v>221</v>
      </c>
      <c r="E33" s="481">
        <v>0</v>
      </c>
      <c r="F33" s="289" t="s">
        <v>1128</v>
      </c>
      <c r="I33" s="277"/>
    </row>
    <row r="34" spans="1:9" s="346" customFormat="1">
      <c r="A34" s="347">
        <f t="shared" si="0"/>
        <v>21</v>
      </c>
      <c r="B34" s="350"/>
      <c r="C34" s="350"/>
      <c r="D34" s="253"/>
      <c r="E34" s="674"/>
      <c r="F34" s="289"/>
      <c r="H34" s="255"/>
      <c r="I34" s="277"/>
    </row>
    <row r="35" spans="1:9" s="346" customFormat="1">
      <c r="A35" s="347">
        <f t="shared" si="0"/>
        <v>22</v>
      </c>
      <c r="B35" s="350" t="s">
        <v>144</v>
      </c>
      <c r="C35" s="479">
        <f>SUM(C29:C33)</f>
        <v>-34018083.57</v>
      </c>
      <c r="D35" s="479"/>
      <c r="E35" s="479">
        <f>SUM(E29:E33)</f>
        <v>-8386347.6700000018</v>
      </c>
      <c r="F35" s="289"/>
      <c r="H35" s="255"/>
      <c r="I35" s="277"/>
    </row>
    <row r="36" spans="1:9" s="346" customFormat="1">
      <c r="A36" s="347">
        <f t="shared" si="0"/>
        <v>23</v>
      </c>
      <c r="B36" s="350"/>
      <c r="C36" s="350"/>
      <c r="D36" s="253"/>
      <c r="E36" s="477"/>
      <c r="F36" s="289"/>
      <c r="I36" s="277"/>
    </row>
    <row r="37" spans="1:9" s="346" customFormat="1">
      <c r="A37" s="347">
        <f t="shared" si="0"/>
        <v>24</v>
      </c>
      <c r="B37" s="350" t="s">
        <v>145</v>
      </c>
      <c r="C37" s="191"/>
      <c r="D37" s="253"/>
      <c r="E37" s="145"/>
      <c r="F37" s="289"/>
      <c r="I37" s="277"/>
    </row>
    <row r="38" spans="1:9" s="346" customFormat="1">
      <c r="A38" s="347">
        <f t="shared" si="0"/>
        <v>25</v>
      </c>
      <c r="C38" s="191"/>
      <c r="D38" s="253"/>
      <c r="E38" s="145"/>
      <c r="F38" s="192"/>
      <c r="I38" s="277"/>
    </row>
    <row r="39" spans="1:9" s="346" customFormat="1">
      <c r="A39" s="347">
        <f t="shared" si="0"/>
        <v>26</v>
      </c>
      <c r="B39" s="192" t="s">
        <v>289</v>
      </c>
      <c r="C39" s="191"/>
      <c r="D39" s="253"/>
      <c r="E39" s="145"/>
      <c r="F39" s="192"/>
      <c r="I39" s="277"/>
    </row>
    <row r="40" spans="1:9" s="346" customFormat="1">
      <c r="A40" s="347">
        <f t="shared" si="0"/>
        <v>27</v>
      </c>
      <c r="B40" s="192" t="s">
        <v>166</v>
      </c>
      <c r="C40" s="479">
        <f>+'II-E-3.1'!D35</f>
        <v>-274354346.33000004</v>
      </c>
      <c r="D40" s="253" t="s">
        <v>51</v>
      </c>
      <c r="E40" s="479">
        <f>+'II-E-3.16'!F15</f>
        <v>-272078427.33000004</v>
      </c>
      <c r="F40" s="289" t="s">
        <v>51</v>
      </c>
      <c r="G40" s="463"/>
      <c r="I40" s="277"/>
    </row>
    <row r="41" spans="1:9" s="346" customFormat="1">
      <c r="A41" s="347">
        <f t="shared" si="0"/>
        <v>28</v>
      </c>
      <c r="B41" s="192" t="s">
        <v>343</v>
      </c>
      <c r="C41" s="13">
        <f>+'II-E-3.1'!D36</f>
        <v>-85526273.170000002</v>
      </c>
      <c r="D41" s="253" t="s">
        <v>51</v>
      </c>
      <c r="E41" s="13">
        <f>+'II-E-3.16'!F16</f>
        <v>-85526273.170000002</v>
      </c>
      <c r="F41" s="289" t="s">
        <v>51</v>
      </c>
      <c r="G41" s="463"/>
      <c r="I41" s="277"/>
    </row>
    <row r="42" spans="1:9" s="346" customFormat="1">
      <c r="A42" s="347">
        <f t="shared" si="0"/>
        <v>29</v>
      </c>
      <c r="B42" s="192" t="s">
        <v>397</v>
      </c>
      <c r="C42" s="13">
        <f>+'II-E-3.1'!D37</f>
        <v>-208163489.91999999</v>
      </c>
      <c r="D42" s="253" t="s">
        <v>51</v>
      </c>
      <c r="E42" s="13">
        <f>+'II-E-3.16'!F17</f>
        <v>-208163489.91999999</v>
      </c>
      <c r="F42" s="289" t="s">
        <v>51</v>
      </c>
      <c r="G42" s="463"/>
      <c r="I42" s="277"/>
    </row>
    <row r="43" spans="1:9" s="346" customFormat="1">
      <c r="A43" s="347">
        <f t="shared" si="0"/>
        <v>30</v>
      </c>
      <c r="B43" s="192" t="s">
        <v>322</v>
      </c>
      <c r="C43" s="13">
        <f>+'II-E-3.1'!D38</f>
        <v>-203070217.87</v>
      </c>
      <c r="D43" s="253" t="s">
        <v>51</v>
      </c>
      <c r="E43" s="13">
        <f>+'II-E-3.16'!F18</f>
        <v>-203070217.87</v>
      </c>
      <c r="F43" s="289" t="s">
        <v>51</v>
      </c>
      <c r="G43" s="463"/>
      <c r="I43" s="277"/>
    </row>
    <row r="44" spans="1:9" s="346" customFormat="1">
      <c r="A44" s="347">
        <f t="shared" si="0"/>
        <v>31</v>
      </c>
      <c r="B44" s="606" t="s">
        <v>414</v>
      </c>
      <c r="C44" s="13">
        <f>+'II-E-3.1'!D39</f>
        <v>-41682730.590000004</v>
      </c>
      <c r="D44" s="253" t="s">
        <v>51</v>
      </c>
      <c r="E44" s="13">
        <f>+'II-E-3.16'!F19</f>
        <v>-41682730.590000004</v>
      </c>
      <c r="F44" s="289" t="s">
        <v>51</v>
      </c>
      <c r="G44" s="463"/>
      <c r="I44" s="277"/>
    </row>
    <row r="45" spans="1:9" s="346" customFormat="1">
      <c r="A45" s="347">
        <f t="shared" si="0"/>
        <v>32</v>
      </c>
      <c r="B45" s="192" t="s">
        <v>28</v>
      </c>
      <c r="C45" s="13">
        <f>+'II-E-3.1'!D40</f>
        <v>95801382.450000003</v>
      </c>
      <c r="D45" s="253" t="s">
        <v>51</v>
      </c>
      <c r="E45" s="13">
        <f>+'II-E-3.16'!F20</f>
        <v>95801382.450000003</v>
      </c>
      <c r="F45" s="289" t="s">
        <v>51</v>
      </c>
      <c r="G45" s="463"/>
      <c r="I45" s="277"/>
    </row>
    <row r="46" spans="1:9" s="346" customFormat="1">
      <c r="A46" s="347">
        <f t="shared" si="0"/>
        <v>33</v>
      </c>
      <c r="B46" s="192" t="s">
        <v>342</v>
      </c>
      <c r="C46" s="13">
        <f>+'II-E-3.1'!D41</f>
        <v>63297999.979999997</v>
      </c>
      <c r="D46" s="253" t="s">
        <v>51</v>
      </c>
      <c r="E46" s="13">
        <f>+'II-E-3.16'!F21</f>
        <v>63297999.979999997</v>
      </c>
      <c r="F46" s="289" t="s">
        <v>51</v>
      </c>
      <c r="G46" s="463"/>
      <c r="I46" s="277"/>
    </row>
    <row r="47" spans="1:9" s="346" customFormat="1">
      <c r="A47" s="347">
        <f t="shared" si="0"/>
        <v>34</v>
      </c>
      <c r="B47" s="192" t="s">
        <v>27</v>
      </c>
      <c r="C47" s="13">
        <f>+'II-E-3.1'!D42</f>
        <v>-43481933.219999999</v>
      </c>
      <c r="D47" s="253" t="s">
        <v>51</v>
      </c>
      <c r="E47" s="13">
        <f>+'II-E-3.16'!F22</f>
        <v>-43481933.219999999</v>
      </c>
      <c r="F47" s="289" t="s">
        <v>51</v>
      </c>
      <c r="G47" s="463"/>
      <c r="I47" s="277"/>
    </row>
    <row r="48" spans="1:9" s="346" customFormat="1">
      <c r="A48" s="347">
        <f t="shared" si="0"/>
        <v>35</v>
      </c>
      <c r="B48" s="192" t="s">
        <v>26</v>
      </c>
      <c r="C48" s="13">
        <f>+'II-E-3.1'!D43</f>
        <v>-33795801.82</v>
      </c>
      <c r="D48" s="253" t="s">
        <v>51</v>
      </c>
      <c r="E48" s="13">
        <f>+'II-E-3.16'!F23</f>
        <v>-33795801.82</v>
      </c>
      <c r="F48" s="289" t="s">
        <v>51</v>
      </c>
      <c r="G48" s="463"/>
      <c r="I48" s="277"/>
    </row>
    <row r="49" spans="1:9" s="346" customFormat="1">
      <c r="A49" s="347">
        <f t="shared" si="0"/>
        <v>36</v>
      </c>
      <c r="B49" s="192" t="s">
        <v>599</v>
      </c>
      <c r="C49" s="13">
        <f>+'II-E-3.1'!D44</f>
        <v>-8882197.4299999997</v>
      </c>
      <c r="D49" s="221" t="s">
        <v>51</v>
      </c>
      <c r="E49" s="13">
        <f>+'II-E-3.16'!F24</f>
        <v>-11158116.43</v>
      </c>
      <c r="F49" s="289" t="s">
        <v>51</v>
      </c>
      <c r="G49" s="463"/>
      <c r="I49" s="277"/>
    </row>
    <row r="50" spans="1:9" s="346" customFormat="1">
      <c r="A50" s="347">
        <f t="shared" si="0"/>
        <v>37</v>
      </c>
      <c r="B50" s="192" t="s">
        <v>341</v>
      </c>
      <c r="C50" s="13">
        <f>+'II-E-3.1'!D45</f>
        <v>-4429804.04</v>
      </c>
      <c r="D50" s="253" t="s">
        <v>51</v>
      </c>
      <c r="E50" s="13">
        <f>+'II-E-3.16'!F25</f>
        <v>0</v>
      </c>
      <c r="F50" s="289" t="s">
        <v>51</v>
      </c>
      <c r="G50" s="463"/>
      <c r="I50" s="277"/>
    </row>
    <row r="51" spans="1:9" s="346" customFormat="1">
      <c r="A51" s="347">
        <f t="shared" si="0"/>
        <v>38</v>
      </c>
      <c r="B51" s="192" t="s">
        <v>398</v>
      </c>
      <c r="C51" s="13">
        <f>+'II-E-3.1'!D46</f>
        <v>11062008.800000001</v>
      </c>
      <c r="D51" s="253" t="s">
        <v>51</v>
      </c>
      <c r="E51" s="13">
        <f>+'II-E-3.16'!F26</f>
        <v>6856320.6100000003</v>
      </c>
      <c r="F51" s="289" t="s">
        <v>51</v>
      </c>
      <c r="G51" s="463"/>
      <c r="I51" s="277"/>
    </row>
    <row r="52" spans="1:9" s="346" customFormat="1">
      <c r="A52" s="347">
        <f t="shared" si="0"/>
        <v>39</v>
      </c>
      <c r="B52" s="606" t="s">
        <v>424</v>
      </c>
      <c r="C52" s="13">
        <f>+'II-E-3.1'!D47</f>
        <v>-3932131.53</v>
      </c>
      <c r="D52" s="253" t="s">
        <v>51</v>
      </c>
      <c r="E52" s="13">
        <f>+'II-E-3.16'!F27</f>
        <v>-3932131.53</v>
      </c>
      <c r="F52" s="289" t="s">
        <v>51</v>
      </c>
      <c r="G52" s="463"/>
      <c r="I52" s="277"/>
    </row>
    <row r="53" spans="1:9" s="346" customFormat="1">
      <c r="A53" s="347">
        <f t="shared" si="0"/>
        <v>40</v>
      </c>
      <c r="B53" s="606" t="s">
        <v>425</v>
      </c>
      <c r="C53" s="13">
        <f>+'II-E-3.1'!D48</f>
        <v>1227689.79</v>
      </c>
      <c r="D53" s="253" t="s">
        <v>51</v>
      </c>
      <c r="E53" s="13">
        <f>+'II-E-3.16'!F28</f>
        <v>1227689.79</v>
      </c>
      <c r="F53" s="289" t="s">
        <v>51</v>
      </c>
      <c r="G53" s="463"/>
      <c r="I53" s="277"/>
    </row>
    <row r="54" spans="1:9" s="346" customFormat="1">
      <c r="A54" s="347">
        <f t="shared" si="0"/>
        <v>41</v>
      </c>
      <c r="B54" s="192" t="s">
        <v>399</v>
      </c>
      <c r="C54" s="13">
        <f>+'II-E-3.1'!D49</f>
        <v>14767459.27</v>
      </c>
      <c r="D54" s="253" t="s">
        <v>51</v>
      </c>
      <c r="E54" s="13">
        <f>+'II-E-3.16'!F29</f>
        <v>14767459.27</v>
      </c>
      <c r="F54" s="289" t="s">
        <v>51</v>
      </c>
      <c r="G54" s="463"/>
      <c r="I54" s="277"/>
    </row>
    <row r="55" spans="1:9" s="346" customFormat="1">
      <c r="A55" s="347">
        <f t="shared" si="0"/>
        <v>42</v>
      </c>
      <c r="B55" s="192" t="s">
        <v>169</v>
      </c>
      <c r="C55" s="13">
        <f>+'II-E-3.1'!D50</f>
        <v>-64617090</v>
      </c>
      <c r="D55" s="253" t="s">
        <v>51</v>
      </c>
      <c r="E55" s="13">
        <f>+'II-E-3.16'!F30</f>
        <v>-64617090</v>
      </c>
      <c r="F55" s="289" t="s">
        <v>51</v>
      </c>
      <c r="G55" s="463"/>
      <c r="I55" s="277"/>
    </row>
    <row r="56" spans="1:9" s="346" customFormat="1">
      <c r="A56" s="347">
        <f t="shared" si="0"/>
        <v>43</v>
      </c>
      <c r="B56" s="192" t="s">
        <v>25</v>
      </c>
      <c r="C56" s="13">
        <f>+'II-E-3.1'!D51</f>
        <v>2215571.2599999998</v>
      </c>
      <c r="D56" s="253" t="s">
        <v>51</v>
      </c>
      <c r="E56" s="13">
        <f>+'II-E-3.16'!F31</f>
        <v>2215571.2599999998</v>
      </c>
      <c r="F56" s="289" t="s">
        <v>51</v>
      </c>
      <c r="G56" s="463"/>
      <c r="I56" s="277"/>
    </row>
    <row r="57" spans="1:9" s="346" customFormat="1">
      <c r="A57" s="347">
        <f t="shared" si="0"/>
        <v>44</v>
      </c>
      <c r="B57" s="192" t="s">
        <v>349</v>
      </c>
      <c r="C57" s="13">
        <f>+'II-E-3.1'!D52</f>
        <v>-18727783.43</v>
      </c>
      <c r="D57" s="253" t="s">
        <v>51</v>
      </c>
      <c r="E57" s="13">
        <f>+'II-E-3.16'!F32</f>
        <v>-18727783.43</v>
      </c>
      <c r="F57" s="289" t="s">
        <v>51</v>
      </c>
      <c r="G57" s="463"/>
      <c r="I57" s="277"/>
    </row>
    <row r="58" spans="1:9" s="346" customFormat="1">
      <c r="A58" s="347">
        <f t="shared" si="0"/>
        <v>45</v>
      </c>
      <c r="B58" s="192" t="s">
        <v>180</v>
      </c>
      <c r="C58" s="13">
        <f>+'II-E-3.1'!D53</f>
        <v>1341570.8999999999</v>
      </c>
      <c r="D58" s="253" t="s">
        <v>51</v>
      </c>
      <c r="E58" s="13">
        <f>+'II-E-3.16'!F33</f>
        <v>1341570.8999999999</v>
      </c>
      <c r="F58" s="289" t="s">
        <v>51</v>
      </c>
      <c r="G58" s="463"/>
      <c r="I58" s="277"/>
    </row>
    <row r="59" spans="1:9" s="346" customFormat="1">
      <c r="A59" s="347">
        <f t="shared" si="0"/>
        <v>46</v>
      </c>
      <c r="B59" s="192" t="s">
        <v>167</v>
      </c>
      <c r="C59" s="13">
        <f>+'II-E-3.1'!D54</f>
        <v>7513080.6100000003</v>
      </c>
      <c r="D59" s="253" t="s">
        <v>51</v>
      </c>
      <c r="E59" s="13">
        <f>+'II-E-3.16'!F34</f>
        <v>6503111.1800000006</v>
      </c>
      <c r="F59" s="289" t="s">
        <v>51</v>
      </c>
      <c r="G59" s="463"/>
      <c r="I59" s="277"/>
    </row>
    <row r="60" spans="1:9" s="346" customFormat="1">
      <c r="A60" s="347">
        <f t="shared" si="0"/>
        <v>47</v>
      </c>
      <c r="B60" s="192" t="s">
        <v>345</v>
      </c>
      <c r="C60" s="13">
        <f>+'II-E-3.1'!D55</f>
        <v>-699253.09</v>
      </c>
      <c r="D60" s="253" t="s">
        <v>51</v>
      </c>
      <c r="E60" s="13">
        <f>+'II-E-3.16'!F35</f>
        <v>-699253.09</v>
      </c>
      <c r="F60" s="289" t="s">
        <v>51</v>
      </c>
      <c r="G60" s="463"/>
      <c r="I60" s="277"/>
    </row>
    <row r="61" spans="1:9" s="346" customFormat="1">
      <c r="A61" s="347">
        <f t="shared" si="0"/>
        <v>48</v>
      </c>
      <c r="B61" s="192" t="s">
        <v>607</v>
      </c>
      <c r="C61" s="13">
        <f>+'II-E-3.1'!D56</f>
        <v>1258539.76</v>
      </c>
      <c r="D61" s="253" t="s">
        <v>51</v>
      </c>
      <c r="E61" s="13">
        <f>+'II-E-3.16'!F36</f>
        <v>1258539.76</v>
      </c>
      <c r="F61" s="289" t="s">
        <v>51</v>
      </c>
      <c r="G61" s="463"/>
      <c r="I61" s="277"/>
    </row>
    <row r="62" spans="1:9" s="346" customFormat="1">
      <c r="A62" s="347">
        <f t="shared" si="0"/>
        <v>49</v>
      </c>
      <c r="B62" s="192" t="s">
        <v>608</v>
      </c>
      <c r="C62" s="13">
        <f>+'II-E-3.1'!D57</f>
        <v>16239</v>
      </c>
      <c r="D62" s="253" t="s">
        <v>51</v>
      </c>
      <c r="E62" s="13">
        <f>+'II-E-3.16'!F37</f>
        <v>16239</v>
      </c>
      <c r="F62" s="289" t="s">
        <v>51</v>
      </c>
      <c r="G62" s="463"/>
      <c r="I62" s="277"/>
    </row>
    <row r="63" spans="1:9" s="346" customFormat="1">
      <c r="A63" s="347">
        <f t="shared" si="0"/>
        <v>50</v>
      </c>
      <c r="B63" s="192" t="s">
        <v>609</v>
      </c>
      <c r="C63" s="13">
        <f>+'II-E-3.1'!D58</f>
        <v>473661</v>
      </c>
      <c r="D63" s="253" t="s">
        <v>51</v>
      </c>
      <c r="E63" s="13">
        <f>+'II-E-3.16'!F38</f>
        <v>473661</v>
      </c>
      <c r="F63" s="289" t="s">
        <v>51</v>
      </c>
      <c r="G63" s="463"/>
      <c r="I63" s="277"/>
    </row>
    <row r="64" spans="1:9" s="346" customFormat="1">
      <c r="A64" s="347">
        <f t="shared" si="0"/>
        <v>51</v>
      </c>
      <c r="B64" s="192" t="s">
        <v>610</v>
      </c>
      <c r="C64" s="13">
        <f>+'II-E-3.1'!D59</f>
        <v>-501188.43</v>
      </c>
      <c r="D64" s="253" t="s">
        <v>51</v>
      </c>
      <c r="E64" s="13">
        <f>+'II-E-3.16'!F39</f>
        <v>-501188.43</v>
      </c>
      <c r="F64" s="289" t="s">
        <v>51</v>
      </c>
      <c r="G64" s="463"/>
      <c r="I64" s="277"/>
    </row>
    <row r="65" spans="1:13" s="346" customFormat="1">
      <c r="A65" s="347">
        <f t="shared" si="0"/>
        <v>52</v>
      </c>
      <c r="B65" s="192" t="s">
        <v>1130</v>
      </c>
      <c r="C65" s="13">
        <f>+'II-E-3.1'!D60</f>
        <v>0</v>
      </c>
      <c r="D65" s="253" t="s">
        <v>51</v>
      </c>
      <c r="E65" s="13">
        <f>+'II-E-3.16'!F40</f>
        <v>0</v>
      </c>
      <c r="F65" s="289" t="s">
        <v>51</v>
      </c>
      <c r="G65" s="463"/>
      <c r="I65" s="277"/>
    </row>
    <row r="66" spans="1:13" s="346" customFormat="1">
      <c r="A66" s="347">
        <f t="shared" si="0"/>
        <v>53</v>
      </c>
      <c r="B66" s="192" t="s">
        <v>1131</v>
      </c>
      <c r="C66" s="13">
        <f>+'II-E-3.1'!D61</f>
        <v>3252.08</v>
      </c>
      <c r="D66" s="253" t="s">
        <v>51</v>
      </c>
      <c r="E66" s="13">
        <f>+'II-E-3.16'!F41</f>
        <v>3252.08</v>
      </c>
      <c r="F66" s="289" t="s">
        <v>51</v>
      </c>
      <c r="G66" s="463"/>
      <c r="I66" s="277"/>
    </row>
    <row r="67" spans="1:13" s="346" customFormat="1">
      <c r="A67" s="347">
        <f t="shared" si="0"/>
        <v>54</v>
      </c>
      <c r="B67" s="192" t="s">
        <v>611</v>
      </c>
      <c r="C67" s="13">
        <f>+'II-E-3.1'!D62</f>
        <v>-7967.45</v>
      </c>
      <c r="D67" s="253" t="s">
        <v>51</v>
      </c>
      <c r="E67" s="13">
        <f>+'II-E-3.16'!F42</f>
        <v>-7967.45</v>
      </c>
      <c r="F67" s="289" t="s">
        <v>51</v>
      </c>
      <c r="G67" s="463"/>
      <c r="I67" s="277"/>
    </row>
    <row r="68" spans="1:13" s="346" customFormat="1">
      <c r="A68" s="347">
        <f t="shared" si="0"/>
        <v>55</v>
      </c>
      <c r="B68" s="192" t="s">
        <v>844</v>
      </c>
      <c r="C68" s="13">
        <f>+'II-E-3.1'!D63</f>
        <v>-3433183.55</v>
      </c>
      <c r="D68" s="253" t="s">
        <v>51</v>
      </c>
      <c r="E68" s="13">
        <f>+'II-E-3.16'!F43</f>
        <v>-3433183.55</v>
      </c>
      <c r="F68" s="289" t="s">
        <v>51</v>
      </c>
      <c r="G68" s="463"/>
      <c r="I68" s="277"/>
    </row>
    <row r="69" spans="1:13" s="346" customFormat="1">
      <c r="A69" s="347">
        <f t="shared" si="0"/>
        <v>56</v>
      </c>
      <c r="B69" s="192" t="s">
        <v>845</v>
      </c>
      <c r="C69" s="13">
        <f>+'II-E-3.1'!D64</f>
        <v>-2707388.59</v>
      </c>
      <c r="D69" s="253" t="s">
        <v>51</v>
      </c>
      <c r="E69" s="13">
        <f>+'II-E-3.16'!F44</f>
        <v>-2707388.59</v>
      </c>
      <c r="F69" s="289" t="s">
        <v>51</v>
      </c>
      <c r="G69" s="463"/>
      <c r="I69" s="277"/>
    </row>
    <row r="70" spans="1:13" s="346" customFormat="1">
      <c r="A70" s="347">
        <f t="shared" si="0"/>
        <v>57</v>
      </c>
      <c r="B70" s="192" t="s">
        <v>401</v>
      </c>
      <c r="C70" s="13">
        <f>+'II-E-3.1'!D65</f>
        <v>-209681446.09</v>
      </c>
      <c r="D70" s="253" t="s">
        <v>51</v>
      </c>
      <c r="E70" s="13">
        <f>+'II-E-3.16'!F45</f>
        <v>-209681446.09</v>
      </c>
      <c r="F70" s="289" t="s">
        <v>51</v>
      </c>
      <c r="G70" s="463"/>
      <c r="I70" s="277"/>
    </row>
    <row r="71" spans="1:13" s="346" customFormat="1">
      <c r="A71" s="347">
        <f t="shared" si="0"/>
        <v>58</v>
      </c>
      <c r="B71" s="192" t="s">
        <v>181</v>
      </c>
      <c r="C71" s="13">
        <f>+'II-E-3.1'!D66</f>
        <v>-4351300</v>
      </c>
      <c r="D71" s="253" t="s">
        <v>51</v>
      </c>
      <c r="E71" s="13">
        <f>+'II-E-3.16'!F46</f>
        <v>-4351300</v>
      </c>
      <c r="F71" s="289" t="s">
        <v>51</v>
      </c>
      <c r="G71" s="463"/>
      <c r="I71" s="277"/>
    </row>
    <row r="72" spans="1:13" s="346" customFormat="1">
      <c r="A72" s="347">
        <f t="shared" si="0"/>
        <v>59</v>
      </c>
      <c r="B72" s="192" t="s">
        <v>601</v>
      </c>
      <c r="C72" s="13">
        <f>+'II-E-3.1'!D67</f>
        <v>-13417577</v>
      </c>
      <c r="D72" s="253" t="s">
        <v>51</v>
      </c>
      <c r="E72" s="13">
        <f>+'II-E-3.16'!F47</f>
        <v>-13417577</v>
      </c>
      <c r="F72" s="289" t="s">
        <v>51</v>
      </c>
      <c r="G72" s="463"/>
      <c r="I72" s="277"/>
    </row>
    <row r="73" spans="1:13" s="346" customFormat="1">
      <c r="A73" s="347">
        <f t="shared" si="0"/>
        <v>60</v>
      </c>
      <c r="B73" s="192" t="s">
        <v>366</v>
      </c>
      <c r="C73" s="13">
        <f>+'II-E-3.1'!D68</f>
        <v>0</v>
      </c>
      <c r="D73" s="253" t="s">
        <v>51</v>
      </c>
      <c r="E73" s="13">
        <f>+'II-E-3.16'!F48</f>
        <v>0</v>
      </c>
      <c r="F73" s="289" t="s">
        <v>51</v>
      </c>
      <c r="G73" s="463"/>
      <c r="I73" s="277"/>
    </row>
    <row r="74" spans="1:13" s="346" customFormat="1">
      <c r="A74" s="347">
        <f t="shared" si="0"/>
        <v>61</v>
      </c>
      <c r="B74" s="192" t="s">
        <v>367</v>
      </c>
      <c r="C74" s="13">
        <f>+'II-E-3.1'!D69</f>
        <v>25459957.489999998</v>
      </c>
      <c r="D74" s="253" t="s">
        <v>51</v>
      </c>
      <c r="E74" s="13">
        <f>+'II-E-3.16'!F49</f>
        <v>25459957.489999998</v>
      </c>
      <c r="F74" s="289" t="s">
        <v>51</v>
      </c>
      <c r="G74" s="463"/>
      <c r="I74" s="277"/>
    </row>
    <row r="75" spans="1:13" s="346" customFormat="1">
      <c r="A75" s="347">
        <f t="shared" si="0"/>
        <v>62</v>
      </c>
      <c r="B75" s="606" t="s">
        <v>955</v>
      </c>
      <c r="C75" s="13">
        <f>+'II-E-3.1'!D70</f>
        <v>38067788.600000001</v>
      </c>
      <c r="D75" s="253" t="s">
        <v>51</v>
      </c>
      <c r="E75" s="13">
        <f>+'II-E-3.16'!F50</f>
        <v>38067788.600000001</v>
      </c>
      <c r="F75" s="289" t="s">
        <v>51</v>
      </c>
      <c r="G75" s="463"/>
      <c r="I75" s="277"/>
    </row>
    <row r="76" spans="1:13" s="346" customFormat="1">
      <c r="A76" s="347">
        <f t="shared" si="0"/>
        <v>63</v>
      </c>
      <c r="B76" s="346" t="s">
        <v>1119</v>
      </c>
      <c r="C76" s="13">
        <f>+'II-E-3.1'!D71</f>
        <v>-213899.61</v>
      </c>
      <c r="D76" s="253" t="s">
        <v>51</v>
      </c>
      <c r="E76" s="13">
        <f>+'II-E-3.16'!F51</f>
        <v>-273185.61</v>
      </c>
      <c r="F76" s="289" t="s">
        <v>51</v>
      </c>
      <c r="G76" s="463"/>
      <c r="I76" s="277"/>
    </row>
    <row r="77" spans="1:13" s="346" customFormat="1">
      <c r="A77" s="347">
        <f t="shared" si="0"/>
        <v>64</v>
      </c>
      <c r="B77" s="192" t="s">
        <v>847</v>
      </c>
      <c r="C77" s="13">
        <f>+'II-E-3.1'!D72</f>
        <v>3952910</v>
      </c>
      <c r="D77" s="253" t="s">
        <v>51</v>
      </c>
      <c r="E77" s="13">
        <f>+'II-E-3.16'!F52</f>
        <v>0</v>
      </c>
      <c r="F77" s="289" t="s">
        <v>51</v>
      </c>
      <c r="G77" s="463"/>
      <c r="I77" s="277"/>
      <c r="K77" s="294"/>
      <c r="L77" s="294"/>
      <c r="M77" s="294"/>
    </row>
    <row r="78" spans="1:13" s="346" customFormat="1">
      <c r="A78" s="347">
        <f t="shared" si="0"/>
        <v>65</v>
      </c>
      <c r="B78" s="606" t="s">
        <v>956</v>
      </c>
      <c r="C78" s="13">
        <f>+'II-E-3.1'!D73</f>
        <v>2430925.9900000002</v>
      </c>
      <c r="D78" s="253" t="s">
        <v>51</v>
      </c>
      <c r="E78" s="13">
        <f>+'II-E-3.16'!F53</f>
        <v>0</v>
      </c>
      <c r="F78" s="289" t="s">
        <v>51</v>
      </c>
      <c r="G78" s="463"/>
      <c r="I78" s="277"/>
      <c r="K78" s="294"/>
      <c r="L78" s="294"/>
      <c r="M78" s="294"/>
    </row>
    <row r="79" spans="1:13" s="346" customFormat="1">
      <c r="A79" s="347">
        <f t="shared" si="0"/>
        <v>66</v>
      </c>
      <c r="B79" s="192" t="s">
        <v>168</v>
      </c>
      <c r="C79" s="13">
        <f>+'II-E-3.1'!D74</f>
        <v>3295108.56</v>
      </c>
      <c r="D79" s="253" t="s">
        <v>51</v>
      </c>
      <c r="E79" s="13">
        <f>+'II-E-3.16'!F54</f>
        <v>3295108.56</v>
      </c>
      <c r="F79" s="289" t="s">
        <v>51</v>
      </c>
      <c r="G79" s="463"/>
      <c r="I79" s="277"/>
      <c r="K79" s="294"/>
      <c r="L79" s="294"/>
      <c r="M79" s="294"/>
    </row>
    <row r="80" spans="1:13" s="346" customFormat="1">
      <c r="A80" s="347">
        <f t="shared" si="0"/>
        <v>67</v>
      </c>
      <c r="B80" s="192" t="s">
        <v>402</v>
      </c>
      <c r="C80" s="13">
        <f>+'II-E-3.1'!D75</f>
        <v>873131.76</v>
      </c>
      <c r="D80" s="253" t="s">
        <v>51</v>
      </c>
      <c r="E80" s="13">
        <f>+'II-E-3.16'!F55</f>
        <v>873131.76</v>
      </c>
      <c r="F80" s="289" t="s">
        <v>51</v>
      </c>
      <c r="G80" s="463"/>
      <c r="I80" s="277"/>
      <c r="K80" s="294"/>
      <c r="L80" s="294"/>
      <c r="M80" s="294"/>
    </row>
    <row r="81" spans="1:13" s="346" customFormat="1">
      <c r="A81" s="347">
        <f t="shared" si="0"/>
        <v>68</v>
      </c>
      <c r="B81" s="192" t="s">
        <v>612</v>
      </c>
      <c r="C81" s="13">
        <f>+'II-E-3.1'!D76</f>
        <v>-767374.2</v>
      </c>
      <c r="D81" s="253" t="s">
        <v>51</v>
      </c>
      <c r="E81" s="13">
        <f>+'II-E-3.16'!F56</f>
        <v>0</v>
      </c>
      <c r="F81" s="289" t="s">
        <v>51</v>
      </c>
      <c r="G81" s="463"/>
      <c r="I81" s="277"/>
      <c r="K81" s="294"/>
      <c r="L81" s="294"/>
      <c r="M81" s="294"/>
    </row>
    <row r="82" spans="1:13" s="346" customFormat="1">
      <c r="A82" s="347">
        <f t="shared" si="0"/>
        <v>69</v>
      </c>
      <c r="B82" s="192" t="s">
        <v>418</v>
      </c>
      <c r="C82" s="13">
        <f>+'II-E-3.1'!D77</f>
        <v>-20975043.129999999</v>
      </c>
      <c r="D82" s="253" t="s">
        <v>51</v>
      </c>
      <c r="E82" s="13">
        <f>+'II-E-3.16'!F57</f>
        <v>-20975043.129999999</v>
      </c>
      <c r="F82" s="289" t="s">
        <v>51</v>
      </c>
      <c r="G82" s="463"/>
      <c r="I82" s="277"/>
      <c r="K82" s="294"/>
      <c r="L82" s="294"/>
      <c r="M82" s="294"/>
    </row>
    <row r="83" spans="1:13" s="346" customFormat="1">
      <c r="A83" s="347">
        <f t="shared" si="0"/>
        <v>70</v>
      </c>
      <c r="B83" s="192" t="s">
        <v>614</v>
      </c>
      <c r="C83" s="13">
        <f>+'II-E-3.1'!D78</f>
        <v>-4979529.8899999997</v>
      </c>
      <c r="D83" s="253" t="s">
        <v>51</v>
      </c>
      <c r="E83" s="13">
        <f>+'II-E-3.16'!F58</f>
        <v>-4979529.8899999997</v>
      </c>
      <c r="F83" s="289" t="s">
        <v>51</v>
      </c>
      <c r="G83" s="463"/>
      <c r="I83" s="277"/>
      <c r="K83" s="294"/>
      <c r="L83" s="294"/>
      <c r="M83" s="294"/>
    </row>
    <row r="84" spans="1:13" s="346" customFormat="1">
      <c r="A84" s="347">
        <f t="shared" si="0"/>
        <v>71</v>
      </c>
      <c r="B84" s="192" t="s">
        <v>419</v>
      </c>
      <c r="C84" s="13">
        <f>+'II-E-3.1'!D79</f>
        <v>-888545.03</v>
      </c>
      <c r="D84" s="253" t="s">
        <v>51</v>
      </c>
      <c r="E84" s="13">
        <f>+'II-E-3.16'!F59</f>
        <v>-888545.03</v>
      </c>
      <c r="F84" s="289" t="s">
        <v>51</v>
      </c>
      <c r="G84" s="463"/>
      <c r="I84" s="277"/>
      <c r="K84" s="294"/>
      <c r="L84" s="294"/>
      <c r="M84" s="294"/>
    </row>
    <row r="85" spans="1:13" s="346" customFormat="1">
      <c r="A85" s="347">
        <f t="shared" si="0"/>
        <v>72</v>
      </c>
      <c r="B85" s="606" t="s">
        <v>957</v>
      </c>
      <c r="C85" s="13">
        <f>+'II-E-3.1'!D80</f>
        <v>15053413.859999999</v>
      </c>
      <c r="D85" s="253" t="s">
        <v>51</v>
      </c>
      <c r="E85" s="13">
        <f>+'II-E-3.16'!F60</f>
        <v>15053413.859999999</v>
      </c>
      <c r="F85" s="289" t="s">
        <v>51</v>
      </c>
      <c r="G85" s="463"/>
      <c r="I85" s="277"/>
      <c r="K85" s="294"/>
      <c r="L85" s="294"/>
      <c r="M85" s="294"/>
    </row>
    <row r="86" spans="1:13" s="346" customFormat="1">
      <c r="A86" s="347">
        <f t="shared" si="0"/>
        <v>73</v>
      </c>
      <c r="B86" s="366" t="s">
        <v>1120</v>
      </c>
      <c r="C86" s="13">
        <f>+'II-E-3.1'!D81</f>
        <v>125472.6</v>
      </c>
      <c r="D86" s="253" t="s">
        <v>51</v>
      </c>
      <c r="E86" s="13">
        <f>+'II-E-3.16'!F61</f>
        <v>125472.6</v>
      </c>
      <c r="F86" s="289" t="s">
        <v>51</v>
      </c>
      <c r="G86" s="463"/>
      <c r="I86" s="277"/>
      <c r="K86" s="294"/>
      <c r="L86" s="294"/>
      <c r="M86" s="294"/>
    </row>
    <row r="87" spans="1:13" s="346" customFormat="1">
      <c r="A87" s="347">
        <f t="shared" si="0"/>
        <v>74</v>
      </c>
      <c r="B87" s="366" t="s">
        <v>1121</v>
      </c>
      <c r="C87" s="13">
        <f>+'II-E-3.1'!D82</f>
        <v>303779.52</v>
      </c>
      <c r="D87" s="253" t="s">
        <v>51</v>
      </c>
      <c r="E87" s="13">
        <f>+'II-E-3.16'!F62</f>
        <v>303779.52</v>
      </c>
      <c r="F87" s="289" t="s">
        <v>51</v>
      </c>
      <c r="G87" s="463"/>
      <c r="I87" s="277"/>
      <c r="K87" s="294"/>
      <c r="L87" s="294"/>
      <c r="M87" s="294"/>
    </row>
    <row r="88" spans="1:13" s="346" customFormat="1">
      <c r="A88" s="347">
        <f t="shared" ref="A88:A128" si="1">A87+1</f>
        <v>75</v>
      </c>
      <c r="B88" s="192" t="s">
        <v>613</v>
      </c>
      <c r="C88" s="13">
        <f>+'II-E-3.1'!D83</f>
        <v>152971.07999999999</v>
      </c>
      <c r="D88" s="253" t="s">
        <v>51</v>
      </c>
      <c r="E88" s="13">
        <f>+'II-E-3.16'!F63</f>
        <v>152971.07999999999</v>
      </c>
      <c r="F88" s="289" t="s">
        <v>51</v>
      </c>
      <c r="G88" s="463"/>
      <c r="I88" s="277"/>
      <c r="K88" s="294"/>
      <c r="L88" s="294"/>
      <c r="M88" s="294"/>
    </row>
    <row r="89" spans="1:13" s="346" customFormat="1">
      <c r="A89" s="347">
        <f t="shared" si="1"/>
        <v>76</v>
      </c>
      <c r="B89" s="192" t="s">
        <v>605</v>
      </c>
      <c r="C89" s="13">
        <f>+'II-E-3.1'!D84</f>
        <v>1865804</v>
      </c>
      <c r="D89" s="253" t="s">
        <v>51</v>
      </c>
      <c r="E89" s="13">
        <f>+'II-E-3.16'!F64</f>
        <v>1865804</v>
      </c>
      <c r="F89" s="289" t="s">
        <v>51</v>
      </c>
      <c r="G89" s="463"/>
      <c r="I89" s="277"/>
      <c r="K89" s="294"/>
      <c r="L89" s="294"/>
      <c r="M89" s="294"/>
    </row>
    <row r="90" spans="1:13" s="346" customFormat="1">
      <c r="A90" s="347">
        <f t="shared" si="1"/>
        <v>77</v>
      </c>
      <c r="B90" s="192" t="s">
        <v>606</v>
      </c>
      <c r="C90" s="13">
        <f>+'II-E-3.1'!D85</f>
        <v>6923725.3200000003</v>
      </c>
      <c r="D90" s="253" t="s">
        <v>51</v>
      </c>
      <c r="E90" s="13">
        <f>+'II-E-3.16'!F65</f>
        <v>6923725.3200000003</v>
      </c>
      <c r="F90" s="289" t="s">
        <v>51</v>
      </c>
      <c r="G90" s="463"/>
      <c r="I90" s="277"/>
      <c r="K90" s="294"/>
      <c r="L90" s="294"/>
      <c r="M90" s="294"/>
    </row>
    <row r="91" spans="1:13" s="346" customFormat="1">
      <c r="A91" s="347">
        <f t="shared" si="1"/>
        <v>78</v>
      </c>
      <c r="B91" s="192" t="s">
        <v>846</v>
      </c>
      <c r="C91" s="13">
        <f>+'II-E-3.1'!D86</f>
        <v>1375540.85</v>
      </c>
      <c r="D91" s="253" t="s">
        <v>51</v>
      </c>
      <c r="E91" s="13">
        <f>+'II-E-3.16'!F66</f>
        <v>1375540.85</v>
      </c>
      <c r="F91" s="289" t="s">
        <v>51</v>
      </c>
      <c r="G91" s="463"/>
      <c r="I91" s="277"/>
      <c r="K91" s="294"/>
      <c r="L91" s="294"/>
      <c r="M91" s="294"/>
    </row>
    <row r="92" spans="1:13" s="346" customFormat="1">
      <c r="A92" s="347">
        <f t="shared" si="1"/>
        <v>79</v>
      </c>
      <c r="B92" s="366" t="s">
        <v>1122</v>
      </c>
      <c r="C92" s="13">
        <f>+'II-E-3.1'!D87</f>
        <v>16223.26</v>
      </c>
      <c r="D92" s="253" t="s">
        <v>51</v>
      </c>
      <c r="E92" s="13">
        <f>+'II-E-3.16'!F67</f>
        <v>16223.26</v>
      </c>
      <c r="F92" s="289" t="s">
        <v>51</v>
      </c>
      <c r="G92" s="463"/>
      <c r="I92" s="277"/>
      <c r="K92" s="294"/>
      <c r="L92" s="294"/>
      <c r="M92" s="294"/>
    </row>
    <row r="93" spans="1:13" s="346" customFormat="1">
      <c r="A93" s="347">
        <f t="shared" si="1"/>
        <v>80</v>
      </c>
      <c r="B93" s="366" t="s">
        <v>1123</v>
      </c>
      <c r="C93" s="13">
        <f>+'II-E-3.1'!D88</f>
        <v>-4666334.92</v>
      </c>
      <c r="D93" s="253" t="s">
        <v>51</v>
      </c>
      <c r="E93" s="13">
        <f>+'II-E-3.16'!F68</f>
        <v>-4666334.92</v>
      </c>
      <c r="F93" s="289" t="s">
        <v>51</v>
      </c>
      <c r="G93" s="463"/>
      <c r="I93" s="277"/>
      <c r="K93" s="294"/>
      <c r="L93" s="294"/>
      <c r="M93" s="294"/>
    </row>
    <row r="94" spans="1:13" s="346" customFormat="1">
      <c r="A94" s="347">
        <f t="shared" si="1"/>
        <v>81</v>
      </c>
      <c r="B94" s="192" t="s">
        <v>403</v>
      </c>
      <c r="C94" s="13">
        <f>+'II-E-3.1'!D89</f>
        <v>0</v>
      </c>
      <c r="D94" s="253" t="s">
        <v>51</v>
      </c>
      <c r="E94" s="13">
        <f>+'II-E-3.16'!F69</f>
        <v>0</v>
      </c>
      <c r="F94" s="289" t="s">
        <v>51</v>
      </c>
      <c r="G94" s="463"/>
      <c r="I94" s="277"/>
      <c r="K94" s="294"/>
      <c r="L94" s="294"/>
      <c r="M94" s="294"/>
    </row>
    <row r="95" spans="1:13" s="346" customFormat="1">
      <c r="A95" s="347">
        <f t="shared" si="1"/>
        <v>82</v>
      </c>
      <c r="B95" s="366" t="s">
        <v>1124</v>
      </c>
      <c r="C95" s="13">
        <f>+'II-E-3.1'!D90</f>
        <v>-493721</v>
      </c>
      <c r="D95" s="253" t="s">
        <v>51</v>
      </c>
      <c r="E95" s="13">
        <f>+'II-E-3.16'!F70</f>
        <v>-493721</v>
      </c>
      <c r="F95" s="289" t="s">
        <v>51</v>
      </c>
      <c r="G95" s="463"/>
      <c r="I95" s="277"/>
      <c r="K95" s="294"/>
      <c r="L95" s="294"/>
      <c r="M95" s="294"/>
    </row>
    <row r="96" spans="1:13" s="346" customFormat="1">
      <c r="A96" s="347">
        <f t="shared" si="1"/>
        <v>83</v>
      </c>
      <c r="B96" s="346" t="s">
        <v>1125</v>
      </c>
      <c r="C96" s="705">
        <f>+'II-E-3.1'!D91</f>
        <v>-726970.12</v>
      </c>
      <c r="D96" s="706" t="s">
        <v>51</v>
      </c>
      <c r="E96" s="705">
        <f>+'II-E-3.16'!F71</f>
        <v>-727219.12</v>
      </c>
      <c r="F96" s="289" t="s">
        <v>51</v>
      </c>
      <c r="G96" s="463"/>
      <c r="I96" s="277"/>
      <c r="K96" s="303"/>
      <c r="L96" s="294"/>
      <c r="M96" s="294"/>
    </row>
    <row r="97" spans="1:13" s="346" customFormat="1">
      <c r="A97" s="347">
        <f t="shared" si="1"/>
        <v>84</v>
      </c>
      <c r="B97" s="192"/>
      <c r="C97" s="145"/>
      <c r="D97" s="253"/>
      <c r="E97" s="145"/>
      <c r="F97" s="192"/>
      <c r="I97" s="277"/>
      <c r="K97" s="303"/>
      <c r="L97" s="294"/>
      <c r="M97" s="294"/>
    </row>
    <row r="98" spans="1:13" s="346" customFormat="1">
      <c r="A98" s="347">
        <f t="shared" si="1"/>
        <v>85</v>
      </c>
      <c r="B98" s="346" t="str">
        <f>'II-E-3.16'!B72</f>
        <v xml:space="preserve">  Subtotal</v>
      </c>
      <c r="C98" s="479">
        <f>SUM(C40:C97)</f>
        <v>-960299313.65999997</v>
      </c>
      <c r="D98" s="479"/>
      <c r="E98" s="479">
        <f>SUM(E40:E97)</f>
        <v>-966761164.02999997</v>
      </c>
      <c r="F98" s="290">
        <f>+'II-E-3.16'!D72</f>
        <v>-960299313.65999997</v>
      </c>
      <c r="G98" s="257" t="s">
        <v>51</v>
      </c>
      <c r="I98" s="277"/>
      <c r="K98" s="303"/>
      <c r="L98" s="294"/>
      <c r="M98" s="294"/>
    </row>
    <row r="99" spans="1:13" s="346" customFormat="1">
      <c r="A99" s="347">
        <f t="shared" si="1"/>
        <v>86</v>
      </c>
      <c r="C99" s="191"/>
      <c r="D99" s="253"/>
      <c r="E99" s="145"/>
      <c r="F99" s="290">
        <f>+'II-E-3.16'!F72</f>
        <v>-966761164.02999997</v>
      </c>
      <c r="G99" s="257" t="s">
        <v>51</v>
      </c>
      <c r="I99" s="277"/>
      <c r="K99" s="303"/>
      <c r="L99" s="294"/>
      <c r="M99" s="294"/>
    </row>
    <row r="100" spans="1:13" s="346" customFormat="1">
      <c r="A100" s="347">
        <f t="shared" si="1"/>
        <v>87</v>
      </c>
      <c r="B100" s="346" t="s">
        <v>408</v>
      </c>
      <c r="C100" s="13">
        <f>C25+C35+C98</f>
        <v>116091018.53000128</v>
      </c>
      <c r="D100" s="13"/>
      <c r="E100" s="13">
        <f>E25+E35+E98</f>
        <v>555983563.2099998</v>
      </c>
      <c r="F100" s="291">
        <f>+'II-E-3.1'!D95</f>
        <v>116091018.53000009</v>
      </c>
      <c r="G100" s="257" t="s">
        <v>49</v>
      </c>
      <c r="I100" s="277"/>
      <c r="K100" s="303"/>
      <c r="L100" s="294"/>
      <c r="M100" s="294"/>
    </row>
    <row r="101" spans="1:13" s="346" customFormat="1">
      <c r="A101" s="347">
        <f t="shared" si="1"/>
        <v>88</v>
      </c>
      <c r="B101" s="346" t="s">
        <v>257</v>
      </c>
      <c r="C101" s="304">
        <v>0.21</v>
      </c>
      <c r="D101" s="145"/>
      <c r="E101" s="304">
        <v>0.21</v>
      </c>
      <c r="F101" s="289"/>
      <c r="I101" s="277"/>
      <c r="K101" s="303"/>
      <c r="L101" s="294"/>
      <c r="M101" s="294"/>
    </row>
    <row r="102" spans="1:13" s="346" customFormat="1">
      <c r="A102" s="347">
        <f t="shared" si="1"/>
        <v>89</v>
      </c>
      <c r="B102" s="346" t="s">
        <v>258</v>
      </c>
      <c r="C102" s="13">
        <f>ROUND(C100*C101,2)</f>
        <v>24379113.890000001</v>
      </c>
      <c r="D102" s="13"/>
      <c r="E102" s="656">
        <f>ROUND(E100*E101,2)</f>
        <v>116756548.27</v>
      </c>
      <c r="F102" s="289"/>
      <c r="I102" s="277"/>
      <c r="K102" s="294"/>
      <c r="L102" s="294"/>
      <c r="M102" s="294"/>
    </row>
    <row r="103" spans="1:13" s="346" customFormat="1">
      <c r="A103" s="347">
        <f t="shared" si="1"/>
        <v>90</v>
      </c>
      <c r="B103" s="346" t="s">
        <v>34</v>
      </c>
      <c r="C103" s="140"/>
      <c r="D103" s="145"/>
      <c r="E103" s="145">
        <f>+C103</f>
        <v>0</v>
      </c>
      <c r="F103" s="289"/>
      <c r="I103" s="277"/>
    </row>
    <row r="104" spans="1:13" s="346" customFormat="1">
      <c r="A104" s="347">
        <f t="shared" si="1"/>
        <v>91</v>
      </c>
      <c r="B104" s="346" t="s">
        <v>1205</v>
      </c>
      <c r="C104" s="479">
        <f>+'II-E-3'!E48</f>
        <v>79367.460000000006</v>
      </c>
      <c r="D104" s="253" t="s">
        <v>221</v>
      </c>
      <c r="E104" s="479">
        <f>+'II-E-3'!I48</f>
        <v>79367.460000000006</v>
      </c>
      <c r="F104" s="289"/>
      <c r="I104" s="277"/>
    </row>
    <row r="105" spans="1:13" s="346" customFormat="1">
      <c r="A105" s="347">
        <f t="shared" si="1"/>
        <v>92</v>
      </c>
      <c r="B105" s="346" t="s">
        <v>35</v>
      </c>
      <c r="C105" s="13">
        <f>+C102-C104</f>
        <v>24299746.43</v>
      </c>
      <c r="D105" s="145"/>
      <c r="E105" s="13">
        <f>+E102-E104</f>
        <v>116677180.81</v>
      </c>
      <c r="F105" s="289"/>
      <c r="I105" s="277"/>
    </row>
    <row r="106" spans="1:13" s="346" customFormat="1">
      <c r="A106" s="347">
        <f t="shared" si="1"/>
        <v>93</v>
      </c>
      <c r="B106" s="346" t="s">
        <v>848</v>
      </c>
      <c r="C106" s="635">
        <v>252058.87</v>
      </c>
      <c r="D106" s="145"/>
      <c r="E106" s="13">
        <v>0</v>
      </c>
      <c r="F106" s="289"/>
      <c r="I106" s="277"/>
    </row>
    <row r="107" spans="1:13" s="346" customFormat="1">
      <c r="A107" s="347">
        <f t="shared" si="1"/>
        <v>94</v>
      </c>
      <c r="B107" s="346" t="s">
        <v>632</v>
      </c>
      <c r="C107" s="13">
        <v>-3255963.16</v>
      </c>
      <c r="D107" s="253" t="s">
        <v>221</v>
      </c>
      <c r="E107" s="13">
        <f>+'II-E-3'!I53</f>
        <v>0</v>
      </c>
      <c r="F107" s="291"/>
      <c r="I107" s="277"/>
    </row>
    <row r="108" spans="1:13" s="346" customFormat="1">
      <c r="A108" s="347">
        <f t="shared" si="1"/>
        <v>95</v>
      </c>
      <c r="B108" s="346" t="s">
        <v>1207</v>
      </c>
      <c r="C108" s="13">
        <v>697078</v>
      </c>
      <c r="D108" s="253" t="s">
        <v>221</v>
      </c>
      <c r="E108" s="13">
        <v>0</v>
      </c>
      <c r="F108" s="291"/>
      <c r="I108" s="277"/>
    </row>
    <row r="109" spans="1:13" s="346" customFormat="1" ht="13.5" thickBot="1">
      <c r="A109" s="347">
        <f t="shared" si="1"/>
        <v>96</v>
      </c>
      <c r="B109" s="346" t="s">
        <v>259</v>
      </c>
      <c r="C109" s="484">
        <f>SUM(C105:C108)</f>
        <v>21992920.140000001</v>
      </c>
      <c r="D109" s="463"/>
      <c r="E109" s="484">
        <f>SUM(E105:E108)</f>
        <v>116677180.81</v>
      </c>
      <c r="F109" s="291"/>
      <c r="I109" s="277"/>
    </row>
    <row r="110" spans="1:13" s="346" customFormat="1" ht="13.5" thickTop="1">
      <c r="A110" s="347">
        <f t="shared" si="1"/>
        <v>97</v>
      </c>
      <c r="C110" s="291"/>
      <c r="F110" s="289"/>
      <c r="I110" s="277"/>
      <c r="K110" s="140"/>
      <c r="M110" s="110"/>
    </row>
    <row r="111" spans="1:13" s="346" customFormat="1">
      <c r="A111" s="347">
        <f t="shared" si="1"/>
        <v>98</v>
      </c>
      <c r="B111" s="346" t="s">
        <v>409</v>
      </c>
      <c r="C111" s="479">
        <f>ROUND(-C98*21%,2)</f>
        <v>201662855.87</v>
      </c>
      <c r="D111" s="479"/>
      <c r="E111" s="479">
        <f>ROUND(-E98*21%,2)</f>
        <v>203019844.44999999</v>
      </c>
      <c r="F111" s="290">
        <f>+'II-E-3.16'!E72</f>
        <v>201662855.84999999</v>
      </c>
      <c r="G111" s="257" t="s">
        <v>51</v>
      </c>
      <c r="I111" s="277"/>
      <c r="K111" s="140"/>
      <c r="M111" s="193"/>
    </row>
    <row r="112" spans="1:13" s="346" customFormat="1">
      <c r="A112" s="347">
        <f t="shared" si="1"/>
        <v>99</v>
      </c>
      <c r="C112" s="140"/>
      <c r="E112" s="294"/>
      <c r="F112" s="290">
        <f>+'II-E-3.16'!G72</f>
        <v>203019844.43000001</v>
      </c>
      <c r="G112" s="257" t="s">
        <v>51</v>
      </c>
      <c r="I112" s="277"/>
      <c r="K112" s="140"/>
      <c r="M112" s="193"/>
    </row>
    <row r="113" spans="1:13" s="346" customFormat="1">
      <c r="A113" s="347">
        <f t="shared" si="1"/>
        <v>100</v>
      </c>
      <c r="B113" s="346" t="s">
        <v>54</v>
      </c>
      <c r="C113" s="192"/>
      <c r="F113" s="291"/>
      <c r="I113" s="277"/>
      <c r="K113" s="375"/>
      <c r="M113" s="193"/>
    </row>
    <row r="114" spans="1:13" s="346" customFormat="1">
      <c r="A114" s="347">
        <f t="shared" si="1"/>
        <v>101</v>
      </c>
      <c r="B114" s="346" t="s">
        <v>633</v>
      </c>
      <c r="C114" s="479">
        <f>+'II-E-3'!E51</f>
        <v>884662.91</v>
      </c>
      <c r="D114" s="253" t="s">
        <v>221</v>
      </c>
      <c r="E114" s="479">
        <f>'II-E-3'!I51</f>
        <v>884662.91</v>
      </c>
      <c r="F114" s="192"/>
      <c r="I114" s="277"/>
      <c r="K114" s="140"/>
      <c r="M114" s="193"/>
    </row>
    <row r="115" spans="1:13" s="346" customFormat="1">
      <c r="A115" s="347">
        <f t="shared" si="1"/>
        <v>102</v>
      </c>
      <c r="B115" s="346" t="s">
        <v>634</v>
      </c>
      <c r="C115" s="13">
        <f>-'II-E-3'!E45</f>
        <v>-16233756.41</v>
      </c>
      <c r="D115" s="253" t="s">
        <v>221</v>
      </c>
      <c r="E115" s="13">
        <f>-'II-E-3'!I22</f>
        <v>-17271740.120000001</v>
      </c>
      <c r="F115" s="289"/>
      <c r="I115" s="277"/>
      <c r="J115" s="255"/>
      <c r="K115" s="140"/>
      <c r="M115" s="193"/>
    </row>
    <row r="116" spans="1:13" s="346" customFormat="1">
      <c r="A116" s="347">
        <f t="shared" si="1"/>
        <v>103</v>
      </c>
      <c r="B116" s="346" t="s">
        <v>635</v>
      </c>
      <c r="C116" s="13">
        <f>-'II-E-3'!E46</f>
        <v>-36089813.840000004</v>
      </c>
      <c r="D116" s="253" t="s">
        <v>221</v>
      </c>
      <c r="E116" s="13">
        <f>-'II-E-3'!I23</f>
        <v>-32588176.080000006</v>
      </c>
      <c r="F116" s="289"/>
      <c r="H116" s="291"/>
      <c r="I116" s="277"/>
      <c r="M116" s="193"/>
    </row>
    <row r="117" spans="1:13" s="346" customFormat="1">
      <c r="A117" s="347">
        <f t="shared" si="1"/>
        <v>104</v>
      </c>
      <c r="B117" s="142" t="s">
        <v>851</v>
      </c>
      <c r="C117" s="13">
        <f>-'II-E-3'!E47</f>
        <v>1608928.6</v>
      </c>
      <c r="D117" s="253"/>
      <c r="E117" s="13">
        <f>-'II-E-3'!I24</f>
        <v>3947398.3800000004</v>
      </c>
      <c r="F117" s="289"/>
      <c r="H117" s="291"/>
      <c r="I117" s="277"/>
      <c r="M117" s="193"/>
    </row>
    <row r="118" spans="1:13" s="346" customFormat="1">
      <c r="A118" s="347">
        <f t="shared" si="1"/>
        <v>105</v>
      </c>
      <c r="B118" s="346" t="s">
        <v>636</v>
      </c>
      <c r="C118" s="13">
        <f>-127254.84*-0.21</f>
        <v>26723.516399999997</v>
      </c>
      <c r="D118" s="305"/>
      <c r="E118" s="13">
        <v>0</v>
      </c>
      <c r="F118" s="289"/>
      <c r="I118" s="277"/>
    </row>
    <row r="119" spans="1:13" s="346" customFormat="1">
      <c r="A119" s="347">
        <f t="shared" si="1"/>
        <v>106</v>
      </c>
      <c r="B119" s="346" t="s">
        <v>1206</v>
      </c>
      <c r="C119" s="13">
        <v>-716120</v>
      </c>
      <c r="D119" s="305"/>
      <c r="E119" s="13">
        <v>0</v>
      </c>
      <c r="F119" s="289"/>
      <c r="I119" s="277"/>
    </row>
    <row r="120" spans="1:13" s="346" customFormat="1">
      <c r="A120" s="347">
        <f t="shared" si="1"/>
        <v>107</v>
      </c>
      <c r="B120" s="346" t="s">
        <v>632</v>
      </c>
      <c r="C120" s="705">
        <v>3781197.08</v>
      </c>
      <c r="D120" s="253" t="s">
        <v>221</v>
      </c>
      <c r="E120" s="462">
        <v>0</v>
      </c>
      <c r="F120" s="289"/>
      <c r="I120" s="277"/>
    </row>
    <row r="121" spans="1:13" s="346" customFormat="1">
      <c r="A121" s="347">
        <f t="shared" si="1"/>
        <v>108</v>
      </c>
      <c r="B121" s="346" t="s">
        <v>260</v>
      </c>
      <c r="C121" s="13">
        <f>SUM(C111:C120)</f>
        <v>154924677.72640002</v>
      </c>
      <c r="D121" s="305"/>
      <c r="E121" s="461">
        <f>SUM(E111:E120)</f>
        <v>157991989.53999996</v>
      </c>
      <c r="F121" s="291">
        <f>+'II-E-3.16'!E83-'II-E-3.16'!E80</f>
        <v>154924677.70640001</v>
      </c>
      <c r="G121" s="257" t="s">
        <v>51</v>
      </c>
      <c r="I121" s="277"/>
    </row>
    <row r="122" spans="1:13" s="346" customFormat="1">
      <c r="A122" s="347">
        <f t="shared" si="1"/>
        <v>109</v>
      </c>
      <c r="C122" s="230"/>
      <c r="D122" s="305"/>
      <c r="E122" s="191"/>
      <c r="F122" s="291">
        <f>+'II-E-3.16'!G83-'II-E-3.16'!G80</f>
        <v>157991989.51999998</v>
      </c>
      <c r="G122" s="257" t="s">
        <v>51</v>
      </c>
      <c r="I122" s="277"/>
    </row>
    <row r="123" spans="1:13" s="346" customFormat="1" ht="13.5" thickBot="1">
      <c r="A123" s="347">
        <f t="shared" si="1"/>
        <v>110</v>
      </c>
      <c r="B123" s="346" t="s">
        <v>36</v>
      </c>
      <c r="C123" s="485">
        <f>-'II-E-3'!E44</f>
        <v>-479524.92</v>
      </c>
      <c r="D123" s="253" t="s">
        <v>221</v>
      </c>
      <c r="E123" s="485">
        <f>-'II-E-3'!I44</f>
        <v>-485229.49</v>
      </c>
      <c r="F123" s="289"/>
      <c r="I123" s="277"/>
    </row>
    <row r="124" spans="1:13" s="346" customFormat="1" ht="13.5" thickTop="1">
      <c r="A124" s="347">
        <f t="shared" si="1"/>
        <v>111</v>
      </c>
      <c r="C124" s="230"/>
      <c r="D124" s="192"/>
      <c r="F124" s="289"/>
      <c r="I124" s="277"/>
    </row>
    <row r="125" spans="1:13" s="346" customFormat="1" ht="13.5" thickBot="1">
      <c r="A125" s="347">
        <f t="shared" si="1"/>
        <v>112</v>
      </c>
      <c r="B125" s="346" t="s">
        <v>261</v>
      </c>
      <c r="C125" s="485">
        <f>+C121+C109+C123</f>
        <v>176438072.94640002</v>
      </c>
      <c r="D125" s="192"/>
      <c r="E125" s="485">
        <f>+E121+E109+E123</f>
        <v>274183940.85999995</v>
      </c>
      <c r="F125" s="289"/>
      <c r="I125" s="277"/>
    </row>
    <row r="126" spans="1:13" s="346" customFormat="1" ht="13.5" thickTop="1">
      <c r="A126" s="347">
        <f t="shared" si="1"/>
        <v>113</v>
      </c>
      <c r="C126" s="192"/>
      <c r="D126" s="192"/>
      <c r="F126" s="289"/>
      <c r="G126" s="460"/>
      <c r="I126" s="277"/>
    </row>
    <row r="127" spans="1:13" s="346" customFormat="1">
      <c r="A127" s="347">
        <f t="shared" si="1"/>
        <v>114</v>
      </c>
      <c r="B127" s="346" t="s">
        <v>410</v>
      </c>
      <c r="C127" s="192"/>
      <c r="F127" s="289"/>
      <c r="G127" s="460"/>
      <c r="I127" s="277"/>
    </row>
    <row r="128" spans="1:13" s="346" customFormat="1">
      <c r="A128" s="347">
        <f t="shared" si="1"/>
        <v>115</v>
      </c>
      <c r="B128" s="346" t="s">
        <v>411</v>
      </c>
      <c r="C128" s="192"/>
      <c r="F128" s="289"/>
      <c r="I128" s="277"/>
    </row>
    <row r="129" spans="1:9" s="346" customFormat="1">
      <c r="A129" s="347"/>
      <c r="C129" s="192"/>
      <c r="F129" s="296"/>
      <c r="G129" s="460"/>
      <c r="H129" s="277"/>
      <c r="I129" s="277"/>
    </row>
    <row r="130" spans="1:9" s="346" customFormat="1">
      <c r="A130" s="347"/>
      <c r="B130" s="257" t="s">
        <v>1208</v>
      </c>
      <c r="C130" s="198">
        <v>176438072.97000012</v>
      </c>
      <c r="D130" s="590"/>
      <c r="E130" s="198">
        <f>+'II-E-3'!I54</f>
        <v>274183940.86000007</v>
      </c>
      <c r="F130" s="289" t="s">
        <v>221</v>
      </c>
      <c r="I130" s="277"/>
    </row>
    <row r="131" spans="1:9" s="346" customFormat="1">
      <c r="A131" s="347"/>
      <c r="B131" s="257" t="s">
        <v>1209</v>
      </c>
      <c r="C131" s="198">
        <f>+C125</f>
        <v>176438072.94640002</v>
      </c>
      <c r="D131" s="590"/>
      <c r="E131" s="198">
        <f>+E125</f>
        <v>274183940.85999995</v>
      </c>
      <c r="F131" s="289"/>
      <c r="I131" s="277"/>
    </row>
    <row r="132" spans="1:9" s="346" customFormat="1" ht="13.5" thickBot="1">
      <c r="A132" s="347"/>
      <c r="B132" s="257" t="s">
        <v>37</v>
      </c>
      <c r="C132" s="591">
        <f>C130-C131</f>
        <v>2.3600101470947266E-2</v>
      </c>
      <c r="D132" s="590"/>
      <c r="E132" s="591">
        <f>E130-E131</f>
        <v>0</v>
      </c>
      <c r="F132" s="296"/>
      <c r="G132" s="399"/>
      <c r="I132" s="277"/>
    </row>
    <row r="133" spans="1:9" s="346" customFormat="1" ht="13.5" thickTop="1">
      <c r="A133" s="347"/>
      <c r="B133" s="257"/>
      <c r="C133" s="198"/>
      <c r="D133" s="590"/>
      <c r="E133" s="198"/>
      <c r="F133" s="289"/>
      <c r="I133" s="277"/>
    </row>
    <row r="134" spans="1:9" s="346" customFormat="1">
      <c r="A134" s="347"/>
      <c r="B134" s="257" t="s">
        <v>1210</v>
      </c>
      <c r="C134" s="198">
        <f>152579891.39-ROUND(C49*0.21,2)</f>
        <v>154445152.84999999</v>
      </c>
      <c r="D134" s="590"/>
      <c r="E134" s="198">
        <f>+'II-E-3.16'!G83</f>
        <v>157506760.02999997</v>
      </c>
      <c r="F134" s="289" t="s">
        <v>51</v>
      </c>
      <c r="I134" s="277"/>
    </row>
    <row r="135" spans="1:9" s="346" customFormat="1">
      <c r="A135" s="347"/>
      <c r="B135" s="257" t="s">
        <v>1211</v>
      </c>
      <c r="C135" s="198">
        <f>C121+C123</f>
        <v>154445152.80640003</v>
      </c>
      <c r="D135" s="590"/>
      <c r="E135" s="198">
        <f>+E121+E123</f>
        <v>157506760.04999995</v>
      </c>
      <c r="F135" s="289"/>
      <c r="I135" s="277"/>
    </row>
    <row r="136" spans="1:9" s="346" customFormat="1" ht="13.5" thickBot="1">
      <c r="A136" s="347"/>
      <c r="B136" s="257" t="s">
        <v>37</v>
      </c>
      <c r="C136" s="591">
        <f>C134-C135</f>
        <v>4.3599963188171387E-2</v>
      </c>
      <c r="D136" s="590"/>
      <c r="E136" s="591">
        <f>E134-E135</f>
        <v>-1.9999980926513672E-2</v>
      </c>
      <c r="F136" s="289"/>
      <c r="I136" s="277"/>
    </row>
    <row r="137" spans="1:9" s="346" customFormat="1" ht="13.5" thickTop="1">
      <c r="A137" s="347"/>
      <c r="B137" s="257"/>
      <c r="C137" s="592"/>
      <c r="D137" s="590"/>
      <c r="E137" s="590"/>
      <c r="F137" s="289"/>
      <c r="I137" s="277"/>
    </row>
    <row r="138" spans="1:9">
      <c r="A138" s="347"/>
      <c r="B138" s="257" t="s">
        <v>1132</v>
      </c>
      <c r="C138" s="198">
        <f>23858181.58+ROUND(C49*0.21,2)</f>
        <v>21992920.119999997</v>
      </c>
      <c r="D138" s="590"/>
      <c r="E138" s="590">
        <f>'II-E-3.2a'!E28</f>
        <v>116677180.81</v>
      </c>
      <c r="G138" s="346"/>
    </row>
    <row r="139" spans="1:9">
      <c r="A139" s="347"/>
      <c r="B139" s="257" t="s">
        <v>1133</v>
      </c>
      <c r="C139" s="198">
        <f>C109</f>
        <v>21992920.140000001</v>
      </c>
      <c r="D139" s="590"/>
      <c r="E139" s="198">
        <f>E109</f>
        <v>116677180.81</v>
      </c>
      <c r="G139" s="346"/>
    </row>
    <row r="140" spans="1:9" ht="13.5" thickBot="1">
      <c r="A140" s="347"/>
      <c r="B140" s="257" t="s">
        <v>37</v>
      </c>
      <c r="C140" s="591">
        <f>C138-C139</f>
        <v>-2.0000003278255463E-2</v>
      </c>
      <c r="D140" s="590"/>
      <c r="E140" s="591">
        <f>E138-E139</f>
        <v>0</v>
      </c>
      <c r="G140" s="346"/>
    </row>
    <row r="141" spans="1:9" ht="13.5" thickTop="1">
      <c r="C141" s="193"/>
      <c r="D141" s="110"/>
      <c r="E141" s="110"/>
    </row>
    <row r="142" spans="1:9">
      <c r="B142" s="257" t="s">
        <v>1134</v>
      </c>
      <c r="C142" s="198">
        <f>+'II-E-3.1'!D98</f>
        <v>116091018.46000001</v>
      </c>
      <c r="D142" s="590"/>
      <c r="E142" s="592"/>
    </row>
    <row r="143" spans="1:9">
      <c r="B143" s="257" t="s">
        <v>1135</v>
      </c>
      <c r="C143" s="198">
        <f>+C100</f>
        <v>116091018.53000128</v>
      </c>
      <c r="D143" s="590"/>
      <c r="E143" s="592"/>
    </row>
    <row r="144" spans="1:9" ht="13.5" thickBot="1">
      <c r="B144" s="257" t="s">
        <v>37</v>
      </c>
      <c r="C144" s="591">
        <f>C142-C143</f>
        <v>-7.0001274347305298E-2</v>
      </c>
      <c r="D144" s="590"/>
      <c r="E144" s="592"/>
    </row>
    <row r="145" spans="3:6" ht="13.5" thickTop="1"/>
    <row r="147" spans="3:6">
      <c r="C147" s="111"/>
      <c r="F147" s="111"/>
    </row>
    <row r="148" spans="3:6">
      <c r="C148" s="111"/>
      <c r="F148" s="111"/>
    </row>
    <row r="149" spans="3:6">
      <c r="C149" s="111"/>
      <c r="F149" s="111"/>
    </row>
    <row r="150" spans="3:6">
      <c r="C150" s="111"/>
      <c r="F150" s="111"/>
    </row>
    <row r="151" spans="3:6">
      <c r="C151" s="111"/>
      <c r="F151" s="111"/>
    </row>
    <row r="152" spans="3:6">
      <c r="C152" s="111"/>
      <c r="F152" s="111"/>
    </row>
    <row r="153" spans="3:6">
      <c r="C153" s="111"/>
      <c r="F153" s="111"/>
    </row>
    <row r="154" spans="3:6">
      <c r="C154" s="111"/>
      <c r="F154" s="111"/>
    </row>
    <row r="155" spans="3:6">
      <c r="C155" s="111"/>
      <c r="F155" s="111"/>
    </row>
    <row r="156" spans="3:6">
      <c r="C156" s="111"/>
      <c r="F156" s="111"/>
    </row>
    <row r="157" spans="3:6">
      <c r="C157" s="111"/>
      <c r="F157" s="111"/>
    </row>
    <row r="158" spans="3:6">
      <c r="C158" s="111"/>
      <c r="F158" s="111"/>
    </row>
    <row r="159" spans="3:6">
      <c r="C159" s="111"/>
      <c r="F159" s="111"/>
    </row>
    <row r="160" spans="3:6">
      <c r="C160" s="111"/>
      <c r="F160" s="111"/>
    </row>
    <row r="161" spans="3:6">
      <c r="C161" s="111"/>
      <c r="F161" s="111"/>
    </row>
  </sheetData>
  <phoneticPr fontId="0" type="noConversion"/>
  <pageMargins left="1.5" right="0.5" top="2.5" bottom="0.5" header="1" footer="0.5"/>
  <pageSetup scale="75" fitToHeight="2" pageOrder="overThenDown" orientation="portrait"/>
  <headerFooter alignWithMargins="0">
    <oddHeader>&amp;R&amp;"Arial,Bold"Schedule &amp;A
Page &amp;P of &amp;N&amp;C&amp;B
2025 RATE CASE
ONCOR ELECTRIC DELIVERY COMPANY LLC
II-E-3.15  ANALYSIS OF TEST YEAR FIT &amp;&amp; REQUESTED FIT-TAX METHOD 2
TEST YEAR ENDING DECEMBER 31, 2024
SPONSOR: B. L. CLUTTER</oddHead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45">
    <pageSetUpPr fitToPage="1"/>
  </sheetPr>
  <dimension ref="A1:M98"/>
  <sheetViews>
    <sheetView topLeftCell="A43" zoomScale="85" zoomScaleNormal="85" workbookViewId="0">
      <selection activeCell="B68" sqref="B68"/>
    </sheetView>
  </sheetViews>
  <sheetFormatPr defaultColWidth="9.140625" defaultRowHeight="12.75"/>
  <cols>
    <col min="1" max="1" width="5" style="192" bestFit="1" customWidth="1"/>
    <col min="2" max="2" width="51.85546875" style="192" customWidth="1"/>
    <col min="3" max="3" width="3.140625" style="192" customWidth="1"/>
    <col min="4" max="7" width="17.7109375" style="192" customWidth="1"/>
    <col min="8" max="8" width="8.28515625" style="192" customWidth="1"/>
    <col min="9" max="9" width="12.85546875" style="192" bestFit="1" customWidth="1"/>
    <col min="10" max="10" width="15.42578125" style="355" bestFit="1" customWidth="1"/>
    <col min="11" max="11" width="14.5703125" style="192" bestFit="1" customWidth="1"/>
    <col min="12" max="12" width="18.140625" style="193" bestFit="1" customWidth="1"/>
    <col min="13" max="16384" width="9.140625" style="192"/>
  </cols>
  <sheetData>
    <row r="1" spans="1:13">
      <c r="A1" s="194" t="str">
        <f>+'[3]Input Data'!$A$9</f>
        <v>2025 RATE CASE</v>
      </c>
      <c r="L1" s="192"/>
    </row>
    <row r="2" spans="1:13">
      <c r="A2" s="163" t="str">
        <f>+'[3]Input Data'!$A$2</f>
        <v>ONCOR ELECTRIC DELIVERY COMPANY LLC</v>
      </c>
      <c r="H2" s="282"/>
      <c r="L2" s="192"/>
    </row>
    <row r="3" spans="1:13">
      <c r="A3" s="164" t="str">
        <f>CONCATENATE('[3]Schedule Sponsors'!$A$101,'[3]Schedule Sponsors'!$B$101)</f>
        <v>II-E-3.16  ANALYSIS OF DEFERRED FIT</v>
      </c>
      <c r="L3" s="192"/>
    </row>
    <row r="4" spans="1:13">
      <c r="A4" s="164" t="str">
        <f>+'[3]Input Data'!$A$4</f>
        <v>TEST YEAR ENDING DECEMBER 31, 2024</v>
      </c>
      <c r="C4" s="283"/>
      <c r="D4" s="283"/>
      <c r="E4" s="283"/>
      <c r="F4" s="283"/>
      <c r="L4" s="192"/>
    </row>
    <row r="5" spans="1:13">
      <c r="A5" s="162" t="str">
        <f>CONCATENATE("SPONSOR: ",'[3]Schedule Sponsors'!$D$103)</f>
        <v>SPONSOR: B. L. CLUTTER</v>
      </c>
      <c r="C5" s="283"/>
      <c r="D5" s="283"/>
      <c r="E5" s="283"/>
      <c r="F5" s="283"/>
      <c r="L5" s="192"/>
    </row>
    <row r="6" spans="1:13">
      <c r="C6" s="283"/>
      <c r="D6" s="283"/>
      <c r="E6" s="283"/>
      <c r="F6" s="283"/>
      <c r="L6" s="192"/>
    </row>
    <row r="8" spans="1:13">
      <c r="B8" s="139"/>
      <c r="C8" s="139"/>
      <c r="D8" s="139"/>
      <c r="E8" s="139"/>
      <c r="F8" s="139"/>
      <c r="L8" s="192"/>
    </row>
    <row r="9" spans="1:13" ht="13.5" thickBot="1">
      <c r="L9" s="192"/>
    </row>
    <row r="10" spans="1:13" ht="13.5" thickBot="1">
      <c r="A10" s="212" t="s">
        <v>241</v>
      </c>
      <c r="B10" s="420"/>
      <c r="C10" s="417"/>
      <c r="D10" s="866" t="s">
        <v>262</v>
      </c>
      <c r="E10" s="866"/>
      <c r="F10" s="866" t="s">
        <v>263</v>
      </c>
      <c r="G10" s="866"/>
      <c r="K10" s="362"/>
      <c r="L10" s="363"/>
    </row>
    <row r="11" spans="1:13">
      <c r="A11" s="165" t="s">
        <v>139</v>
      </c>
      <c r="B11" s="421" t="s">
        <v>60</v>
      </c>
      <c r="C11" s="418"/>
      <c r="D11" s="165" t="s">
        <v>264</v>
      </c>
      <c r="E11" s="165" t="s">
        <v>615</v>
      </c>
      <c r="F11" s="165" t="s">
        <v>407</v>
      </c>
      <c r="G11" s="165" t="s">
        <v>616</v>
      </c>
      <c r="K11" s="362"/>
      <c r="L11" s="192"/>
    </row>
    <row r="12" spans="1:13" ht="13.5" thickBot="1">
      <c r="A12" s="215"/>
      <c r="B12" s="422" t="s">
        <v>226</v>
      </c>
      <c r="C12" s="419"/>
      <c r="D12" s="215" t="s">
        <v>227</v>
      </c>
      <c r="E12" s="215" t="s">
        <v>228</v>
      </c>
      <c r="F12" s="215" t="s">
        <v>340</v>
      </c>
      <c r="G12" s="215" t="s">
        <v>230</v>
      </c>
      <c r="H12" s="284"/>
      <c r="I12" s="221"/>
      <c r="K12" s="362"/>
      <c r="L12" s="363"/>
    </row>
    <row r="13" spans="1:13">
      <c r="K13" s="362"/>
      <c r="L13" s="192"/>
      <c r="M13" s="193"/>
    </row>
    <row r="14" spans="1:13">
      <c r="A14" s="190">
        <v>1</v>
      </c>
      <c r="B14" s="192" t="s">
        <v>289</v>
      </c>
      <c r="K14" s="362"/>
      <c r="L14" s="192"/>
    </row>
    <row r="15" spans="1:13">
      <c r="A15" s="190">
        <f>A14+1</f>
        <v>2</v>
      </c>
      <c r="B15" s="192" t="s">
        <v>166</v>
      </c>
      <c r="D15" s="487">
        <f>+'II-E-3.1'!D35</f>
        <v>-274354346.33000004</v>
      </c>
      <c r="E15" s="487">
        <f>-ROUND(D15*0.21,2)</f>
        <v>57614412.729999997</v>
      </c>
      <c r="F15" s="487">
        <f>+D15+2275919</f>
        <v>-272078427.33000004</v>
      </c>
      <c r="G15" s="486">
        <f>-ROUND(F15*0.21,2)</f>
        <v>57136469.740000002</v>
      </c>
      <c r="H15" s="197"/>
      <c r="I15" s="487"/>
      <c r="K15" s="362"/>
      <c r="L15" s="192"/>
    </row>
    <row r="16" spans="1:13">
      <c r="A16" s="190">
        <f>A15+1</f>
        <v>3</v>
      </c>
      <c r="B16" s="192" t="s">
        <v>343</v>
      </c>
      <c r="D16" s="451">
        <f>+'II-E-3.1'!D36</f>
        <v>-85526273.170000002</v>
      </c>
      <c r="E16" s="451">
        <f t="shared" ref="E16:E71" si="0">-ROUND(D16*0.21,2)</f>
        <v>17960517.370000001</v>
      </c>
      <c r="F16" s="451">
        <f t="shared" ref="F16:F70" si="1">+D16</f>
        <v>-85526273.170000002</v>
      </c>
      <c r="G16" s="461">
        <f t="shared" ref="G16:G71" si="2">-ROUND(F16*0.21,2)</f>
        <v>17960517.370000001</v>
      </c>
      <c r="H16" s="197"/>
      <c r="I16" s="487"/>
      <c r="K16" s="362"/>
      <c r="L16" s="192"/>
    </row>
    <row r="17" spans="1:13">
      <c r="A17" s="190">
        <f t="shared" ref="A17:A86" si="3">A16+1</f>
        <v>4</v>
      </c>
      <c r="B17" s="192" t="s">
        <v>397</v>
      </c>
      <c r="D17" s="451">
        <f>+'II-E-3.1'!D37</f>
        <v>-208163489.91999999</v>
      </c>
      <c r="E17" s="451">
        <f t="shared" si="0"/>
        <v>43714332.880000003</v>
      </c>
      <c r="F17" s="451">
        <f t="shared" si="1"/>
        <v>-208163489.91999999</v>
      </c>
      <c r="G17" s="461">
        <f t="shared" si="2"/>
        <v>43714332.880000003</v>
      </c>
      <c r="H17" s="197"/>
      <c r="I17" s="487"/>
      <c r="K17" s="362"/>
      <c r="L17" s="192"/>
      <c r="M17" s="193"/>
    </row>
    <row r="18" spans="1:13">
      <c r="A18" s="190">
        <f t="shared" si="3"/>
        <v>5</v>
      </c>
      <c r="B18" s="192" t="s">
        <v>322</v>
      </c>
      <c r="D18" s="451">
        <f>+'II-E-3.1'!D38</f>
        <v>-203070217.87</v>
      </c>
      <c r="E18" s="451">
        <f t="shared" si="0"/>
        <v>42644745.75</v>
      </c>
      <c r="F18" s="451">
        <f t="shared" si="1"/>
        <v>-203070217.87</v>
      </c>
      <c r="G18" s="461">
        <f t="shared" si="2"/>
        <v>42644745.75</v>
      </c>
      <c r="H18" s="197"/>
      <c r="I18" s="487"/>
      <c r="K18" s="362"/>
      <c r="L18" s="192"/>
      <c r="M18" s="193"/>
    </row>
    <row r="19" spans="1:13">
      <c r="A19" s="190">
        <f t="shared" si="3"/>
        <v>6</v>
      </c>
      <c r="B19" s="606" t="s">
        <v>414</v>
      </c>
      <c r="D19" s="451">
        <f>+'II-E-3.1'!D39</f>
        <v>-41682730.590000004</v>
      </c>
      <c r="E19" s="451">
        <f t="shared" si="0"/>
        <v>8753373.4199999999</v>
      </c>
      <c r="F19" s="451">
        <f t="shared" si="1"/>
        <v>-41682730.590000004</v>
      </c>
      <c r="G19" s="461">
        <f t="shared" si="2"/>
        <v>8753373.4199999999</v>
      </c>
      <c r="H19" s="197"/>
      <c r="I19" s="487"/>
      <c r="K19" s="362"/>
      <c r="L19" s="192"/>
      <c r="M19" s="193"/>
    </row>
    <row r="20" spans="1:13">
      <c r="A20" s="190">
        <f t="shared" si="3"/>
        <v>7</v>
      </c>
      <c r="B20" s="192" t="s">
        <v>28</v>
      </c>
      <c r="D20" s="451">
        <f>+'II-E-3.1'!D40</f>
        <v>95801382.450000003</v>
      </c>
      <c r="E20" s="451">
        <f t="shared" si="0"/>
        <v>-20118290.309999999</v>
      </c>
      <c r="F20" s="451">
        <f t="shared" si="1"/>
        <v>95801382.450000003</v>
      </c>
      <c r="G20" s="461">
        <f t="shared" si="2"/>
        <v>-20118290.309999999</v>
      </c>
      <c r="H20" s="197"/>
      <c r="I20" s="487"/>
      <c r="K20" s="362"/>
      <c r="L20" s="192"/>
      <c r="M20" s="193"/>
    </row>
    <row r="21" spans="1:13">
      <c r="A21" s="190">
        <f t="shared" si="3"/>
        <v>8</v>
      </c>
      <c r="B21" s="192" t="s">
        <v>342</v>
      </c>
      <c r="D21" s="451">
        <f>+'II-E-3.1'!D41</f>
        <v>63297999.979999997</v>
      </c>
      <c r="E21" s="451">
        <f t="shared" si="0"/>
        <v>-13292580</v>
      </c>
      <c r="F21" s="451">
        <f t="shared" si="1"/>
        <v>63297999.979999997</v>
      </c>
      <c r="G21" s="461">
        <f t="shared" si="2"/>
        <v>-13292580</v>
      </c>
      <c r="H21" s="197"/>
      <c r="I21" s="487"/>
      <c r="K21" s="362"/>
      <c r="L21" s="192"/>
      <c r="M21" s="193"/>
    </row>
    <row r="22" spans="1:13">
      <c r="A22" s="190">
        <f t="shared" si="3"/>
        <v>9</v>
      </c>
      <c r="B22" s="192" t="s">
        <v>27</v>
      </c>
      <c r="D22" s="451">
        <f>+'II-E-3.1'!D42</f>
        <v>-43481933.219999999</v>
      </c>
      <c r="E22" s="451">
        <f t="shared" si="0"/>
        <v>9131205.9800000004</v>
      </c>
      <c r="F22" s="451">
        <f t="shared" si="1"/>
        <v>-43481933.219999999</v>
      </c>
      <c r="G22" s="461">
        <f t="shared" si="2"/>
        <v>9131205.9800000004</v>
      </c>
      <c r="H22" s="197"/>
      <c r="I22" s="487"/>
      <c r="K22" s="362"/>
      <c r="L22" s="192"/>
      <c r="M22" s="193"/>
    </row>
    <row r="23" spans="1:13">
      <c r="A23" s="190">
        <f t="shared" si="3"/>
        <v>10</v>
      </c>
      <c r="B23" s="192" t="s">
        <v>26</v>
      </c>
      <c r="D23" s="451">
        <f>+'II-E-3.1'!D43</f>
        <v>-33795801.82</v>
      </c>
      <c r="E23" s="451">
        <f t="shared" si="0"/>
        <v>7097118.3799999999</v>
      </c>
      <c r="F23" s="451">
        <f t="shared" si="1"/>
        <v>-33795801.82</v>
      </c>
      <c r="G23" s="461">
        <f t="shared" si="2"/>
        <v>7097118.3799999999</v>
      </c>
      <c r="H23" s="197"/>
      <c r="I23" s="487"/>
      <c r="K23" s="362"/>
      <c r="L23" s="192"/>
      <c r="M23" s="193"/>
    </row>
    <row r="24" spans="1:13">
      <c r="A24" s="190">
        <f t="shared" si="3"/>
        <v>11</v>
      </c>
      <c r="B24" s="192" t="s">
        <v>599</v>
      </c>
      <c r="D24" s="451">
        <f>+'II-E-3.1'!D44</f>
        <v>-8882197.4299999997</v>
      </c>
      <c r="E24" s="451">
        <f t="shared" si="0"/>
        <v>1865261.46</v>
      </c>
      <c r="F24" s="451">
        <f>+D24-2275919</f>
        <v>-11158116.43</v>
      </c>
      <c r="G24" s="461">
        <f t="shared" si="2"/>
        <v>2343204.4500000002</v>
      </c>
      <c r="H24" s="197"/>
      <c r="I24" s="487"/>
      <c r="K24" s="362"/>
      <c r="L24" s="192"/>
      <c r="M24" s="193"/>
    </row>
    <row r="25" spans="1:13">
      <c r="A25" s="190">
        <f t="shared" si="3"/>
        <v>12</v>
      </c>
      <c r="B25" s="192" t="s">
        <v>341</v>
      </c>
      <c r="D25" s="451">
        <f>+'II-E-3.1'!D45</f>
        <v>-4429804.04</v>
      </c>
      <c r="E25" s="451">
        <f t="shared" si="0"/>
        <v>930258.85</v>
      </c>
      <c r="F25" s="451">
        <v>0</v>
      </c>
      <c r="G25" s="461">
        <f t="shared" si="2"/>
        <v>0</v>
      </c>
      <c r="H25" s="197"/>
      <c r="I25" s="487"/>
      <c r="K25" s="362"/>
      <c r="L25" s="192"/>
      <c r="M25" s="193"/>
    </row>
    <row r="26" spans="1:13">
      <c r="A26" s="190">
        <f t="shared" si="3"/>
        <v>13</v>
      </c>
      <c r="B26" s="192" t="s">
        <v>398</v>
      </c>
      <c r="D26" s="451">
        <f>+'II-E-3.1'!D46</f>
        <v>11062008.800000001</v>
      </c>
      <c r="E26" s="451">
        <f t="shared" si="0"/>
        <v>-2323021.85</v>
      </c>
      <c r="F26" s="451">
        <f>+D26-4205688.19</f>
        <v>6856320.6100000003</v>
      </c>
      <c r="G26" s="461">
        <f t="shared" si="2"/>
        <v>-1439827.33</v>
      </c>
      <c r="H26" s="197"/>
      <c r="I26" s="487"/>
      <c r="K26" s="362"/>
      <c r="L26" s="192"/>
      <c r="M26" s="193"/>
    </row>
    <row r="27" spans="1:13">
      <c r="A27" s="190">
        <f t="shared" si="3"/>
        <v>14</v>
      </c>
      <c r="B27" s="678" t="s">
        <v>424</v>
      </c>
      <c r="D27" s="451">
        <f>+'II-E-3.1'!D47</f>
        <v>-3932131.53</v>
      </c>
      <c r="E27" s="451">
        <f t="shared" si="0"/>
        <v>825747.62</v>
      </c>
      <c r="F27" s="451">
        <f t="shared" si="1"/>
        <v>-3932131.53</v>
      </c>
      <c r="G27" s="461">
        <f t="shared" si="2"/>
        <v>825747.62</v>
      </c>
      <c r="H27" s="197"/>
      <c r="I27" s="487"/>
      <c r="K27" s="362"/>
      <c r="L27" s="314"/>
      <c r="M27" s="193"/>
    </row>
    <row r="28" spans="1:13">
      <c r="A28" s="190">
        <f t="shared" si="3"/>
        <v>15</v>
      </c>
      <c r="B28" s="678" t="s">
        <v>425</v>
      </c>
      <c r="D28" s="451">
        <f>+'II-E-3.1'!D48</f>
        <v>1227689.79</v>
      </c>
      <c r="E28" s="451">
        <f t="shared" si="0"/>
        <v>-257814.86</v>
      </c>
      <c r="F28" s="451">
        <f t="shared" si="1"/>
        <v>1227689.79</v>
      </c>
      <c r="G28" s="461">
        <f t="shared" si="2"/>
        <v>-257814.86</v>
      </c>
      <c r="H28" s="197"/>
      <c r="I28" s="487"/>
      <c r="K28" s="362"/>
      <c r="L28" s="192"/>
      <c r="M28" s="193"/>
    </row>
    <row r="29" spans="1:13">
      <c r="A29" s="190">
        <f t="shared" si="3"/>
        <v>16</v>
      </c>
      <c r="B29" s="192" t="s">
        <v>399</v>
      </c>
      <c r="D29" s="451">
        <f>+'II-E-3.1'!D49</f>
        <v>14767459.27</v>
      </c>
      <c r="E29" s="451">
        <f t="shared" si="0"/>
        <v>-3101166.45</v>
      </c>
      <c r="F29" s="451">
        <f t="shared" si="1"/>
        <v>14767459.27</v>
      </c>
      <c r="G29" s="461">
        <f t="shared" si="2"/>
        <v>-3101166.45</v>
      </c>
      <c r="H29" s="197"/>
      <c r="I29" s="487"/>
      <c r="K29" s="362"/>
      <c r="L29" s="314"/>
      <c r="M29" s="193"/>
    </row>
    <row r="30" spans="1:13">
      <c r="A30" s="190">
        <f t="shared" si="3"/>
        <v>17</v>
      </c>
      <c r="B30" s="192" t="s">
        <v>169</v>
      </c>
      <c r="D30" s="451">
        <f>+'II-E-3.1'!D50</f>
        <v>-64617090</v>
      </c>
      <c r="E30" s="451">
        <f t="shared" si="0"/>
        <v>13569588.9</v>
      </c>
      <c r="F30" s="451">
        <f t="shared" si="1"/>
        <v>-64617090</v>
      </c>
      <c r="G30" s="461">
        <f t="shared" si="2"/>
        <v>13569588.9</v>
      </c>
      <c r="H30" s="197"/>
      <c r="I30" s="487"/>
      <c r="K30" s="362"/>
      <c r="L30" s="192"/>
      <c r="M30" s="193"/>
    </row>
    <row r="31" spans="1:13">
      <c r="A31" s="190">
        <f t="shared" si="3"/>
        <v>18</v>
      </c>
      <c r="B31" s="192" t="s">
        <v>25</v>
      </c>
      <c r="D31" s="451">
        <f>+'II-E-3.1'!D51</f>
        <v>2215571.2599999998</v>
      </c>
      <c r="E31" s="451">
        <f t="shared" si="0"/>
        <v>-465269.96</v>
      </c>
      <c r="F31" s="451">
        <f t="shared" si="1"/>
        <v>2215571.2599999998</v>
      </c>
      <c r="G31" s="461">
        <f t="shared" si="2"/>
        <v>-465269.96</v>
      </c>
      <c r="H31" s="197"/>
      <c r="I31" s="487"/>
      <c r="K31" s="362"/>
      <c r="L31" s="314"/>
      <c r="M31" s="193"/>
    </row>
    <row r="32" spans="1:13">
      <c r="A32" s="190">
        <f t="shared" si="3"/>
        <v>19</v>
      </c>
      <c r="B32" s="192" t="s">
        <v>349</v>
      </c>
      <c r="D32" s="451">
        <f>+'II-E-3.1'!D52</f>
        <v>-18727783.43</v>
      </c>
      <c r="E32" s="451">
        <f t="shared" si="0"/>
        <v>3932834.52</v>
      </c>
      <c r="F32" s="451">
        <f t="shared" si="1"/>
        <v>-18727783.43</v>
      </c>
      <c r="G32" s="461">
        <f t="shared" si="2"/>
        <v>3932834.52</v>
      </c>
      <c r="H32" s="197"/>
      <c r="I32" s="487"/>
      <c r="K32" s="362"/>
      <c r="L32" s="192"/>
      <c r="M32" s="193"/>
    </row>
    <row r="33" spans="1:13">
      <c r="A33" s="190">
        <f t="shared" si="3"/>
        <v>20</v>
      </c>
      <c r="B33" s="192" t="s">
        <v>180</v>
      </c>
      <c r="D33" s="451">
        <f>+'II-E-3.1'!D53</f>
        <v>1341570.8999999999</v>
      </c>
      <c r="E33" s="451">
        <f t="shared" si="0"/>
        <v>-281729.89</v>
      </c>
      <c r="F33" s="451">
        <f t="shared" si="1"/>
        <v>1341570.8999999999</v>
      </c>
      <c r="G33" s="461">
        <f t="shared" si="2"/>
        <v>-281729.89</v>
      </c>
      <c r="H33" s="197"/>
      <c r="I33" s="487"/>
      <c r="K33" s="362"/>
      <c r="L33" s="192"/>
      <c r="M33" s="193"/>
    </row>
    <row r="34" spans="1:13">
      <c r="A34" s="190">
        <f t="shared" si="3"/>
        <v>21</v>
      </c>
      <c r="B34" s="192" t="s">
        <v>167</v>
      </c>
      <c r="D34" s="451">
        <f>+'II-E-3.1'!D54</f>
        <v>7513080.6100000003</v>
      </c>
      <c r="E34" s="451">
        <f t="shared" si="0"/>
        <v>-1577746.93</v>
      </c>
      <c r="F34" s="451">
        <f>+D34-1009969.43</f>
        <v>6503111.1800000006</v>
      </c>
      <c r="G34" s="461">
        <f t="shared" si="2"/>
        <v>-1365653.35</v>
      </c>
      <c r="H34" s="197"/>
      <c r="I34" s="487"/>
      <c r="K34" s="362"/>
      <c r="L34" s="192"/>
      <c r="M34" s="193"/>
    </row>
    <row r="35" spans="1:13">
      <c r="A35" s="190">
        <f t="shared" si="3"/>
        <v>22</v>
      </c>
      <c r="B35" s="192" t="s">
        <v>345</v>
      </c>
      <c r="D35" s="451">
        <f>+'II-E-3.1'!D55</f>
        <v>-699253.09</v>
      </c>
      <c r="E35" s="451">
        <f t="shared" si="0"/>
        <v>146843.15</v>
      </c>
      <c r="F35" s="451">
        <f t="shared" si="1"/>
        <v>-699253.09</v>
      </c>
      <c r="G35" s="461">
        <f t="shared" si="2"/>
        <v>146843.15</v>
      </c>
      <c r="I35" s="487"/>
      <c r="K35" s="362"/>
      <c r="L35" s="192"/>
      <c r="M35" s="193"/>
    </row>
    <row r="36" spans="1:13">
      <c r="A36" s="190">
        <f t="shared" si="3"/>
        <v>23</v>
      </c>
      <c r="B36" s="192" t="s">
        <v>607</v>
      </c>
      <c r="D36" s="451">
        <f>+'II-E-3.1'!D56</f>
        <v>1258539.76</v>
      </c>
      <c r="E36" s="451">
        <f t="shared" si="0"/>
        <v>-264293.34999999998</v>
      </c>
      <c r="F36" s="451">
        <f t="shared" si="1"/>
        <v>1258539.76</v>
      </c>
      <c r="G36" s="461">
        <f t="shared" si="2"/>
        <v>-264293.34999999998</v>
      </c>
      <c r="H36" s="197"/>
      <c r="I36" s="487"/>
      <c r="K36" s="362"/>
      <c r="L36" s="192"/>
      <c r="M36" s="193"/>
    </row>
    <row r="37" spans="1:13">
      <c r="A37" s="190">
        <f t="shared" si="3"/>
        <v>24</v>
      </c>
      <c r="B37" s="192" t="s">
        <v>608</v>
      </c>
      <c r="D37" s="451">
        <f>+'II-E-3.1'!D57</f>
        <v>16239</v>
      </c>
      <c r="E37" s="451">
        <f t="shared" si="0"/>
        <v>-3410.19</v>
      </c>
      <c r="F37" s="451">
        <f t="shared" si="1"/>
        <v>16239</v>
      </c>
      <c r="G37" s="461">
        <f t="shared" si="2"/>
        <v>-3410.19</v>
      </c>
      <c r="H37" s="197"/>
      <c r="I37" s="487"/>
      <c r="K37" s="362"/>
      <c r="L37" s="192"/>
      <c r="M37" s="193"/>
    </row>
    <row r="38" spans="1:13">
      <c r="A38" s="190">
        <f t="shared" si="3"/>
        <v>25</v>
      </c>
      <c r="B38" s="192" t="s">
        <v>609</v>
      </c>
      <c r="D38" s="451">
        <f>+'II-E-3.1'!D58</f>
        <v>473661</v>
      </c>
      <c r="E38" s="451">
        <f t="shared" si="0"/>
        <v>-99468.81</v>
      </c>
      <c r="F38" s="451">
        <f t="shared" si="1"/>
        <v>473661</v>
      </c>
      <c r="G38" s="461">
        <f t="shared" si="2"/>
        <v>-99468.81</v>
      </c>
      <c r="H38" s="197"/>
      <c r="I38" s="487"/>
      <c r="K38" s="362"/>
      <c r="L38" s="192"/>
      <c r="M38" s="193"/>
    </row>
    <row r="39" spans="1:13">
      <c r="A39" s="190">
        <f t="shared" si="3"/>
        <v>26</v>
      </c>
      <c r="B39" s="192" t="s">
        <v>610</v>
      </c>
      <c r="D39" s="451">
        <f>+'II-E-3.1'!D59</f>
        <v>-501188.43</v>
      </c>
      <c r="E39" s="451">
        <f t="shared" si="0"/>
        <v>105249.57</v>
      </c>
      <c r="F39" s="451">
        <f t="shared" si="1"/>
        <v>-501188.43</v>
      </c>
      <c r="G39" s="461">
        <f t="shared" si="2"/>
        <v>105249.57</v>
      </c>
      <c r="H39" s="197"/>
      <c r="I39" s="487"/>
      <c r="K39" s="362"/>
      <c r="L39" s="192"/>
      <c r="M39" s="193"/>
    </row>
    <row r="40" spans="1:13">
      <c r="A40" s="190">
        <f t="shared" si="3"/>
        <v>27</v>
      </c>
      <c r="B40" s="192" t="s">
        <v>1130</v>
      </c>
      <c r="D40" s="451">
        <f>+'II-E-3.1'!D60</f>
        <v>0</v>
      </c>
      <c r="E40" s="451">
        <f t="shared" si="0"/>
        <v>0</v>
      </c>
      <c r="F40" s="451">
        <f t="shared" si="1"/>
        <v>0</v>
      </c>
      <c r="G40" s="461">
        <f t="shared" si="2"/>
        <v>0</v>
      </c>
      <c r="H40" s="197"/>
      <c r="I40" s="487"/>
      <c r="K40" s="362"/>
      <c r="L40" s="192"/>
      <c r="M40" s="193"/>
    </row>
    <row r="41" spans="1:13">
      <c r="A41" s="190">
        <f t="shared" si="3"/>
        <v>28</v>
      </c>
      <c r="B41" s="192" t="s">
        <v>1131</v>
      </c>
      <c r="D41" s="451">
        <f>+'II-E-3.1'!D61</f>
        <v>3252.08</v>
      </c>
      <c r="E41" s="451">
        <f t="shared" si="0"/>
        <v>-682.94</v>
      </c>
      <c r="F41" s="451">
        <f t="shared" si="1"/>
        <v>3252.08</v>
      </c>
      <c r="G41" s="461">
        <f t="shared" si="2"/>
        <v>-682.94</v>
      </c>
      <c r="H41" s="197"/>
      <c r="I41" s="487"/>
      <c r="K41" s="362"/>
      <c r="L41" s="192"/>
      <c r="M41" s="193"/>
    </row>
    <row r="42" spans="1:13">
      <c r="A42" s="190">
        <f t="shared" si="3"/>
        <v>29</v>
      </c>
      <c r="B42" s="192" t="s">
        <v>611</v>
      </c>
      <c r="D42" s="451">
        <f>+'II-E-3.1'!D62</f>
        <v>-7967.45</v>
      </c>
      <c r="E42" s="451">
        <f t="shared" si="0"/>
        <v>1673.16</v>
      </c>
      <c r="F42" s="451">
        <f t="shared" si="1"/>
        <v>-7967.45</v>
      </c>
      <c r="G42" s="461">
        <f t="shared" si="2"/>
        <v>1673.16</v>
      </c>
      <c r="H42" s="197"/>
      <c r="I42" s="487"/>
      <c r="K42" s="362"/>
      <c r="L42" s="192"/>
      <c r="M42" s="193"/>
    </row>
    <row r="43" spans="1:13">
      <c r="A43" s="190">
        <f t="shared" si="3"/>
        <v>30</v>
      </c>
      <c r="B43" s="192" t="s">
        <v>844</v>
      </c>
      <c r="D43" s="451">
        <f>+'II-E-3.1'!D63</f>
        <v>-3433183.55</v>
      </c>
      <c r="E43" s="451">
        <f t="shared" si="0"/>
        <v>720968.55</v>
      </c>
      <c r="F43" s="451">
        <f t="shared" si="1"/>
        <v>-3433183.55</v>
      </c>
      <c r="G43" s="461">
        <f t="shared" si="2"/>
        <v>720968.55</v>
      </c>
      <c r="H43" s="197"/>
      <c r="I43" s="487"/>
      <c r="K43" s="362"/>
      <c r="L43" s="192"/>
      <c r="M43" s="193"/>
    </row>
    <row r="44" spans="1:13">
      <c r="A44" s="190">
        <f t="shared" si="3"/>
        <v>31</v>
      </c>
      <c r="B44" s="192" t="s">
        <v>845</v>
      </c>
      <c r="D44" s="451">
        <f>+'II-E-3.1'!D64</f>
        <v>-2707388.59</v>
      </c>
      <c r="E44" s="451">
        <f t="shared" si="0"/>
        <v>568551.6</v>
      </c>
      <c r="F44" s="451">
        <f t="shared" si="1"/>
        <v>-2707388.59</v>
      </c>
      <c r="G44" s="461">
        <f t="shared" si="2"/>
        <v>568551.6</v>
      </c>
      <c r="H44" s="197"/>
      <c r="I44" s="487"/>
      <c r="K44" s="362"/>
      <c r="L44" s="192"/>
      <c r="M44" s="193"/>
    </row>
    <row r="45" spans="1:13">
      <c r="A45" s="190">
        <f t="shared" si="3"/>
        <v>32</v>
      </c>
      <c r="B45" s="192" t="s">
        <v>401</v>
      </c>
      <c r="D45" s="451">
        <f>+'II-E-3.1'!D65</f>
        <v>-209681446.09</v>
      </c>
      <c r="E45" s="451">
        <f t="shared" si="0"/>
        <v>44033103.68</v>
      </c>
      <c r="F45" s="451">
        <f t="shared" si="1"/>
        <v>-209681446.09</v>
      </c>
      <c r="G45" s="461">
        <f t="shared" si="2"/>
        <v>44033103.68</v>
      </c>
      <c r="H45" s="197"/>
      <c r="I45" s="487"/>
      <c r="K45" s="362"/>
      <c r="L45" s="192"/>
      <c r="M45" s="193"/>
    </row>
    <row r="46" spans="1:13">
      <c r="A46" s="190">
        <f t="shared" si="3"/>
        <v>33</v>
      </c>
      <c r="B46" s="192" t="s">
        <v>181</v>
      </c>
      <c r="D46" s="451">
        <f>+'II-E-3.1'!D66</f>
        <v>-4351300</v>
      </c>
      <c r="E46" s="451">
        <f t="shared" si="0"/>
        <v>913773</v>
      </c>
      <c r="F46" s="451">
        <f t="shared" si="1"/>
        <v>-4351300</v>
      </c>
      <c r="G46" s="461">
        <f t="shared" si="2"/>
        <v>913773</v>
      </c>
      <c r="H46" s="197"/>
      <c r="I46" s="487"/>
      <c r="K46" s="362"/>
      <c r="L46" s="192"/>
      <c r="M46" s="193"/>
    </row>
    <row r="47" spans="1:13">
      <c r="A47" s="190">
        <f t="shared" si="3"/>
        <v>34</v>
      </c>
      <c r="B47" s="192" t="s">
        <v>601</v>
      </c>
      <c r="D47" s="451">
        <f>+'II-E-3.1'!D67</f>
        <v>-13417577</v>
      </c>
      <c r="E47" s="451">
        <f t="shared" si="0"/>
        <v>2817691.17</v>
      </c>
      <c r="F47" s="451">
        <f t="shared" si="1"/>
        <v>-13417577</v>
      </c>
      <c r="G47" s="461">
        <f t="shared" si="2"/>
        <v>2817691.17</v>
      </c>
      <c r="H47" s="197"/>
      <c r="I47" s="487"/>
      <c r="K47" s="362"/>
      <c r="L47" s="192"/>
      <c r="M47" s="193"/>
    </row>
    <row r="48" spans="1:13">
      <c r="A48" s="190">
        <f t="shared" si="3"/>
        <v>35</v>
      </c>
      <c r="B48" s="192" t="s">
        <v>366</v>
      </c>
      <c r="D48" s="451">
        <f>+'II-E-3.1'!D68</f>
        <v>0</v>
      </c>
      <c r="E48" s="451">
        <f t="shared" si="0"/>
        <v>0</v>
      </c>
      <c r="F48" s="451">
        <f t="shared" si="1"/>
        <v>0</v>
      </c>
      <c r="G48" s="461">
        <f t="shared" si="2"/>
        <v>0</v>
      </c>
      <c r="H48" s="197"/>
      <c r="I48" s="487"/>
      <c r="K48" s="362"/>
      <c r="L48" s="192"/>
      <c r="M48" s="193"/>
    </row>
    <row r="49" spans="1:13">
      <c r="A49" s="190">
        <f t="shared" si="3"/>
        <v>36</v>
      </c>
      <c r="B49" s="192" t="s">
        <v>367</v>
      </c>
      <c r="D49" s="451">
        <f>+'II-E-3.1'!D69</f>
        <v>25459957.489999998</v>
      </c>
      <c r="E49" s="451">
        <f t="shared" si="0"/>
        <v>-5346591.07</v>
      </c>
      <c r="F49" s="451">
        <f t="shared" si="1"/>
        <v>25459957.489999998</v>
      </c>
      <c r="G49" s="461">
        <f t="shared" si="2"/>
        <v>-5346591.07</v>
      </c>
      <c r="H49" s="197"/>
      <c r="I49" s="487"/>
      <c r="K49" s="362"/>
      <c r="L49" s="192"/>
      <c r="M49" s="193"/>
    </row>
    <row r="50" spans="1:13">
      <c r="A50" s="190">
        <f t="shared" si="3"/>
        <v>37</v>
      </c>
      <c r="B50" s="192" t="s">
        <v>955</v>
      </c>
      <c r="D50" s="451">
        <f>+'II-E-3.1'!D70</f>
        <v>38067788.600000001</v>
      </c>
      <c r="E50" s="451">
        <f t="shared" si="0"/>
        <v>-7994235.6100000003</v>
      </c>
      <c r="F50" s="451">
        <f t="shared" si="1"/>
        <v>38067788.600000001</v>
      </c>
      <c r="G50" s="461">
        <f t="shared" si="2"/>
        <v>-7994235.6100000003</v>
      </c>
      <c r="H50" s="197"/>
      <c r="I50" s="487"/>
      <c r="K50" s="362"/>
      <c r="L50" s="192"/>
      <c r="M50" s="193"/>
    </row>
    <row r="51" spans="1:13">
      <c r="A51" s="190">
        <f t="shared" si="3"/>
        <v>38</v>
      </c>
      <c r="B51" s="192" t="s">
        <v>1119</v>
      </c>
      <c r="D51" s="451">
        <f>+'II-E-3.1'!D71</f>
        <v>-213899.61</v>
      </c>
      <c r="E51" s="451">
        <f t="shared" si="0"/>
        <v>44918.92</v>
      </c>
      <c r="F51" s="451">
        <f>+D51-59286</f>
        <v>-273185.61</v>
      </c>
      <c r="G51" s="461">
        <f t="shared" si="2"/>
        <v>57368.98</v>
      </c>
      <c r="H51" s="197"/>
      <c r="I51" s="487"/>
      <c r="K51" s="362"/>
      <c r="L51" s="192"/>
      <c r="M51" s="193"/>
    </row>
    <row r="52" spans="1:13">
      <c r="A52" s="190">
        <f t="shared" si="3"/>
        <v>39</v>
      </c>
      <c r="B52" s="192" t="s">
        <v>847</v>
      </c>
      <c r="D52" s="451">
        <f>+'II-E-3.1'!D72</f>
        <v>3952910</v>
      </c>
      <c r="E52" s="451">
        <f t="shared" si="0"/>
        <v>-830111.1</v>
      </c>
      <c r="F52" s="451">
        <v>0</v>
      </c>
      <c r="G52" s="461">
        <f t="shared" si="2"/>
        <v>0</v>
      </c>
      <c r="H52" s="197"/>
      <c r="I52" s="487"/>
      <c r="K52" s="362"/>
      <c r="L52" s="192"/>
      <c r="M52" s="193"/>
    </row>
    <row r="53" spans="1:13">
      <c r="A53" s="190">
        <f t="shared" si="3"/>
        <v>40</v>
      </c>
      <c r="B53" s="192" t="s">
        <v>956</v>
      </c>
      <c r="D53" s="451">
        <f>+'II-E-3.1'!D73</f>
        <v>2430925.9900000002</v>
      </c>
      <c r="E53" s="451">
        <f t="shared" si="0"/>
        <v>-510494.46</v>
      </c>
      <c r="F53" s="451">
        <v>0</v>
      </c>
      <c r="G53" s="461">
        <f t="shared" si="2"/>
        <v>0</v>
      </c>
      <c r="H53" s="197"/>
      <c r="I53" s="487"/>
      <c r="K53" s="362"/>
      <c r="L53" s="192"/>
      <c r="M53" s="193"/>
    </row>
    <row r="54" spans="1:13">
      <c r="A54" s="190">
        <f t="shared" si="3"/>
        <v>41</v>
      </c>
      <c r="B54" s="192" t="s">
        <v>168</v>
      </c>
      <c r="D54" s="451">
        <f>+'II-E-3.1'!D74</f>
        <v>3295108.56</v>
      </c>
      <c r="E54" s="451">
        <f t="shared" si="0"/>
        <v>-691972.8</v>
      </c>
      <c r="F54" s="451">
        <f t="shared" si="1"/>
        <v>3295108.56</v>
      </c>
      <c r="G54" s="461">
        <f t="shared" si="2"/>
        <v>-691972.8</v>
      </c>
      <c r="H54" s="197"/>
      <c r="I54" s="487"/>
      <c r="K54" s="362"/>
      <c r="L54" s="192"/>
      <c r="M54" s="193"/>
    </row>
    <row r="55" spans="1:13">
      <c r="A55" s="190">
        <f t="shared" si="3"/>
        <v>42</v>
      </c>
      <c r="B55" s="192" t="s">
        <v>402</v>
      </c>
      <c r="D55" s="451">
        <f>+'II-E-3.1'!D75</f>
        <v>873131.76</v>
      </c>
      <c r="E55" s="451">
        <f t="shared" si="0"/>
        <v>-183357.67</v>
      </c>
      <c r="F55" s="451">
        <f t="shared" si="1"/>
        <v>873131.76</v>
      </c>
      <c r="G55" s="461">
        <f t="shared" si="2"/>
        <v>-183357.67</v>
      </c>
      <c r="H55" s="197"/>
      <c r="I55" s="487"/>
      <c r="K55" s="362"/>
      <c r="L55" s="192"/>
      <c r="M55" s="193"/>
    </row>
    <row r="56" spans="1:13">
      <c r="A56" s="190">
        <f t="shared" si="3"/>
        <v>43</v>
      </c>
      <c r="B56" s="192" t="s">
        <v>612</v>
      </c>
      <c r="D56" s="451">
        <f>+'II-E-3.1'!D76</f>
        <v>-767374.2</v>
      </c>
      <c r="E56" s="451">
        <f t="shared" si="0"/>
        <v>161148.57999999999</v>
      </c>
      <c r="F56" s="451">
        <v>0</v>
      </c>
      <c r="G56" s="461">
        <f t="shared" si="2"/>
        <v>0</v>
      </c>
      <c r="H56" s="197"/>
      <c r="I56" s="487"/>
      <c r="K56" s="362"/>
      <c r="L56" s="192"/>
      <c r="M56" s="193"/>
    </row>
    <row r="57" spans="1:13">
      <c r="A57" s="190">
        <f t="shared" si="3"/>
        <v>44</v>
      </c>
      <c r="B57" s="192" t="s">
        <v>418</v>
      </c>
      <c r="D57" s="451">
        <f>+'II-E-3.1'!D77</f>
        <v>-20975043.129999999</v>
      </c>
      <c r="E57" s="451">
        <f t="shared" si="0"/>
        <v>4404759.0599999996</v>
      </c>
      <c r="F57" s="451">
        <f t="shared" si="1"/>
        <v>-20975043.129999999</v>
      </c>
      <c r="G57" s="461">
        <f t="shared" si="2"/>
        <v>4404759.0599999996</v>
      </c>
      <c r="H57" s="197"/>
      <c r="I57" s="487"/>
      <c r="K57" s="362"/>
      <c r="L57" s="192"/>
      <c r="M57" s="193"/>
    </row>
    <row r="58" spans="1:13">
      <c r="A58" s="190">
        <f t="shared" si="3"/>
        <v>45</v>
      </c>
      <c r="B58" s="606" t="s">
        <v>614</v>
      </c>
      <c r="D58" s="451">
        <f>+'II-E-3.1'!D78</f>
        <v>-4979529.8899999997</v>
      </c>
      <c r="E58" s="451">
        <f t="shared" si="0"/>
        <v>1045701.28</v>
      </c>
      <c r="F58" s="451">
        <f t="shared" si="1"/>
        <v>-4979529.8899999997</v>
      </c>
      <c r="G58" s="461">
        <f t="shared" si="2"/>
        <v>1045701.28</v>
      </c>
      <c r="H58" s="197"/>
      <c r="I58" s="487"/>
      <c r="K58" s="362"/>
      <c r="L58" s="192"/>
      <c r="M58" s="193"/>
    </row>
    <row r="59" spans="1:13">
      <c r="A59" s="190">
        <f t="shared" si="3"/>
        <v>46</v>
      </c>
      <c r="B59" s="192" t="s">
        <v>419</v>
      </c>
      <c r="D59" s="451">
        <f>+'II-E-3.1'!D79</f>
        <v>-888545.03</v>
      </c>
      <c r="E59" s="451">
        <f t="shared" si="0"/>
        <v>186594.46</v>
      </c>
      <c r="F59" s="451">
        <f t="shared" si="1"/>
        <v>-888545.03</v>
      </c>
      <c r="G59" s="461">
        <f t="shared" si="2"/>
        <v>186594.46</v>
      </c>
      <c r="H59" s="197"/>
      <c r="I59" s="487"/>
      <c r="K59" s="362"/>
      <c r="L59" s="192"/>
      <c r="M59" s="193"/>
    </row>
    <row r="60" spans="1:13">
      <c r="A60" s="190">
        <f t="shared" si="3"/>
        <v>47</v>
      </c>
      <c r="B60" s="192" t="s">
        <v>957</v>
      </c>
      <c r="D60" s="451">
        <f>+'II-E-3.1'!D80</f>
        <v>15053413.859999999</v>
      </c>
      <c r="E60" s="451">
        <f t="shared" si="0"/>
        <v>-3161216.91</v>
      </c>
      <c r="F60" s="451">
        <f t="shared" si="1"/>
        <v>15053413.859999999</v>
      </c>
      <c r="G60" s="461">
        <f t="shared" si="2"/>
        <v>-3161216.91</v>
      </c>
      <c r="H60" s="197"/>
      <c r="I60" s="487"/>
      <c r="K60" s="362"/>
      <c r="L60" s="192"/>
      <c r="M60" s="193"/>
    </row>
    <row r="61" spans="1:13">
      <c r="A61" s="190">
        <f t="shared" si="3"/>
        <v>48</v>
      </c>
      <c r="B61" s="606" t="s">
        <v>1120</v>
      </c>
      <c r="D61" s="451">
        <f>+'II-E-3.1'!D81</f>
        <v>125472.6</v>
      </c>
      <c r="E61" s="451">
        <f t="shared" si="0"/>
        <v>-26349.25</v>
      </c>
      <c r="F61" s="451">
        <f t="shared" si="1"/>
        <v>125472.6</v>
      </c>
      <c r="G61" s="461">
        <f t="shared" si="2"/>
        <v>-26349.25</v>
      </c>
      <c r="H61" s="197"/>
      <c r="I61" s="487"/>
      <c r="K61" s="362"/>
      <c r="L61" s="192"/>
      <c r="M61" s="193"/>
    </row>
    <row r="62" spans="1:13">
      <c r="A62" s="190">
        <f t="shared" si="3"/>
        <v>49</v>
      </c>
      <c r="B62" s="192" t="s">
        <v>1121</v>
      </c>
      <c r="D62" s="451">
        <f>+'II-E-3.1'!D82</f>
        <v>303779.52</v>
      </c>
      <c r="E62" s="451">
        <f t="shared" si="0"/>
        <v>-63793.7</v>
      </c>
      <c r="F62" s="451">
        <f t="shared" si="1"/>
        <v>303779.52</v>
      </c>
      <c r="G62" s="461">
        <f t="shared" si="2"/>
        <v>-63793.7</v>
      </c>
      <c r="H62" s="197"/>
      <c r="I62" s="487"/>
      <c r="K62" s="362"/>
      <c r="L62" s="192"/>
      <c r="M62" s="193"/>
    </row>
    <row r="63" spans="1:13">
      <c r="A63" s="190">
        <f t="shared" si="3"/>
        <v>50</v>
      </c>
      <c r="B63" s="192" t="s">
        <v>613</v>
      </c>
      <c r="D63" s="451">
        <f>+'II-E-3.1'!D83</f>
        <v>152971.07999999999</v>
      </c>
      <c r="E63" s="451">
        <f t="shared" si="0"/>
        <v>-32123.93</v>
      </c>
      <c r="F63" s="451">
        <f t="shared" si="1"/>
        <v>152971.07999999999</v>
      </c>
      <c r="G63" s="461">
        <f t="shared" si="2"/>
        <v>-32123.93</v>
      </c>
      <c r="H63" s="197"/>
      <c r="I63" s="487"/>
      <c r="K63" s="362"/>
      <c r="L63" s="192"/>
      <c r="M63" s="193"/>
    </row>
    <row r="64" spans="1:13">
      <c r="A64" s="190">
        <f t="shared" si="3"/>
        <v>51</v>
      </c>
      <c r="B64" s="192" t="s">
        <v>605</v>
      </c>
      <c r="D64" s="451">
        <f>+'II-E-3.1'!D84</f>
        <v>1865804</v>
      </c>
      <c r="E64" s="451">
        <f t="shared" si="0"/>
        <v>-391818.84</v>
      </c>
      <c r="F64" s="451">
        <f t="shared" si="1"/>
        <v>1865804</v>
      </c>
      <c r="G64" s="461">
        <f t="shared" si="2"/>
        <v>-391818.84</v>
      </c>
      <c r="H64" s="197"/>
      <c r="I64" s="487"/>
      <c r="K64" s="362"/>
      <c r="L64" s="192"/>
      <c r="M64" s="193"/>
    </row>
    <row r="65" spans="1:13">
      <c r="A65" s="190">
        <f t="shared" si="3"/>
        <v>52</v>
      </c>
      <c r="B65" s="192" t="s">
        <v>606</v>
      </c>
      <c r="D65" s="451">
        <f>+'II-E-3.1'!D85</f>
        <v>6923725.3200000003</v>
      </c>
      <c r="E65" s="451">
        <f t="shared" si="0"/>
        <v>-1453982.32</v>
      </c>
      <c r="F65" s="451">
        <f t="shared" si="1"/>
        <v>6923725.3200000003</v>
      </c>
      <c r="G65" s="461">
        <f t="shared" si="2"/>
        <v>-1453982.32</v>
      </c>
      <c r="H65" s="197"/>
      <c r="I65" s="487"/>
      <c r="K65" s="362"/>
      <c r="L65" s="192"/>
      <c r="M65" s="193"/>
    </row>
    <row r="66" spans="1:13">
      <c r="A66" s="190">
        <f t="shared" si="3"/>
        <v>53</v>
      </c>
      <c r="B66" s="192" t="s">
        <v>846</v>
      </c>
      <c r="D66" s="451">
        <f>+'II-E-3.1'!D86</f>
        <v>1375540.85</v>
      </c>
      <c r="E66" s="451">
        <f t="shared" si="0"/>
        <v>-288863.58</v>
      </c>
      <c r="F66" s="451">
        <f t="shared" si="1"/>
        <v>1375540.85</v>
      </c>
      <c r="G66" s="461">
        <f t="shared" si="2"/>
        <v>-288863.58</v>
      </c>
      <c r="H66" s="197"/>
      <c r="I66" s="487"/>
      <c r="K66" s="362"/>
      <c r="L66" s="192"/>
      <c r="M66" s="193"/>
    </row>
    <row r="67" spans="1:13">
      <c r="A67" s="190">
        <f t="shared" si="3"/>
        <v>54</v>
      </c>
      <c r="B67" s="192" t="s">
        <v>1122</v>
      </c>
      <c r="D67" s="451">
        <f>+'II-E-3.1'!D87</f>
        <v>16223.26</v>
      </c>
      <c r="E67" s="451">
        <f t="shared" si="0"/>
        <v>-3406.88</v>
      </c>
      <c r="F67" s="451">
        <f t="shared" si="1"/>
        <v>16223.26</v>
      </c>
      <c r="G67" s="461">
        <f t="shared" si="2"/>
        <v>-3406.88</v>
      </c>
      <c r="H67" s="197"/>
      <c r="I67" s="487"/>
      <c r="K67" s="362"/>
      <c r="L67" s="192"/>
      <c r="M67" s="193"/>
    </row>
    <row r="68" spans="1:13">
      <c r="A68" s="190">
        <f t="shared" si="3"/>
        <v>55</v>
      </c>
      <c r="B68" s="606" t="s">
        <v>1123</v>
      </c>
      <c r="D68" s="451">
        <f>+'II-E-3.1'!D88</f>
        <v>-4666334.92</v>
      </c>
      <c r="E68" s="451">
        <f t="shared" si="0"/>
        <v>979930.33</v>
      </c>
      <c r="F68" s="451">
        <f t="shared" si="1"/>
        <v>-4666334.92</v>
      </c>
      <c r="G68" s="461">
        <f t="shared" si="2"/>
        <v>979930.33</v>
      </c>
      <c r="H68" s="197"/>
      <c r="I68" s="487"/>
      <c r="K68" s="362"/>
      <c r="L68" s="192"/>
      <c r="M68" s="193"/>
    </row>
    <row r="69" spans="1:13">
      <c r="A69" s="190">
        <f t="shared" si="3"/>
        <v>56</v>
      </c>
      <c r="B69" s="192" t="s">
        <v>403</v>
      </c>
      <c r="D69" s="451">
        <f>+'II-E-3.1'!D89</f>
        <v>0</v>
      </c>
      <c r="E69" s="451">
        <f t="shared" si="0"/>
        <v>0</v>
      </c>
      <c r="F69" s="451">
        <f t="shared" si="1"/>
        <v>0</v>
      </c>
      <c r="G69" s="461">
        <f t="shared" si="2"/>
        <v>0</v>
      </c>
      <c r="H69" s="197"/>
      <c r="I69" s="487"/>
      <c r="K69" s="362"/>
      <c r="L69" s="192"/>
      <c r="M69" s="193"/>
    </row>
    <row r="70" spans="1:13">
      <c r="A70" s="190">
        <f t="shared" si="3"/>
        <v>57</v>
      </c>
      <c r="B70" s="192" t="s">
        <v>1124</v>
      </c>
      <c r="D70" s="451">
        <f>+'II-E-3.1'!D90</f>
        <v>-493721</v>
      </c>
      <c r="E70" s="451">
        <f t="shared" si="0"/>
        <v>103681.41</v>
      </c>
      <c r="F70" s="451">
        <f t="shared" si="1"/>
        <v>-493721</v>
      </c>
      <c r="G70" s="461">
        <f t="shared" si="2"/>
        <v>103681.41</v>
      </c>
      <c r="H70" s="197"/>
      <c r="I70" s="487"/>
      <c r="K70" s="362"/>
      <c r="L70" s="192"/>
      <c r="M70" s="193"/>
    </row>
    <row r="71" spans="1:13">
      <c r="A71" s="190">
        <f t="shared" si="3"/>
        <v>58</v>
      </c>
      <c r="B71" s="192" t="s">
        <v>1125</v>
      </c>
      <c r="D71" s="451">
        <f>+'II-E-3.1'!D91</f>
        <v>-726970.12</v>
      </c>
      <c r="E71" s="451">
        <f t="shared" si="0"/>
        <v>152663.73000000001</v>
      </c>
      <c r="F71" s="451">
        <f>+D71-249</f>
        <v>-727219.12</v>
      </c>
      <c r="G71" s="461">
        <f t="shared" si="2"/>
        <v>152716.01999999999</v>
      </c>
      <c r="H71" s="197"/>
      <c r="I71" s="487"/>
      <c r="K71" s="362"/>
      <c r="L71" s="192"/>
      <c r="M71" s="193"/>
    </row>
    <row r="72" spans="1:13">
      <c r="A72" s="190">
        <f t="shared" si="3"/>
        <v>59</v>
      </c>
      <c r="B72" s="188" t="s">
        <v>271</v>
      </c>
      <c r="D72" s="488">
        <f>SUM(D15:D71)</f>
        <v>-960299313.65999997</v>
      </c>
      <c r="E72" s="488">
        <f>SUM(E15:E71)</f>
        <v>201662855.84999999</v>
      </c>
      <c r="F72" s="488">
        <f>SUM(F15:F71)</f>
        <v>-966761164.02999997</v>
      </c>
      <c r="G72" s="488">
        <f>SUM(G15:G71)</f>
        <v>203019844.43000001</v>
      </c>
      <c r="K72" s="362"/>
      <c r="L72" s="192"/>
      <c r="M72" s="193"/>
    </row>
    <row r="73" spans="1:13">
      <c r="A73" s="190">
        <f t="shared" si="3"/>
        <v>60</v>
      </c>
      <c r="D73" s="193"/>
      <c r="E73" s="193"/>
      <c r="F73" s="193"/>
      <c r="G73" s="193"/>
      <c r="K73" s="362"/>
      <c r="L73" s="192"/>
      <c r="M73" s="193"/>
    </row>
    <row r="74" spans="1:13">
      <c r="A74" s="190">
        <f t="shared" si="3"/>
        <v>61</v>
      </c>
      <c r="B74" s="142" t="s">
        <v>374</v>
      </c>
      <c r="D74" s="193"/>
      <c r="E74" s="193">
        <f>+'II-E-3.15'!C114</f>
        <v>884662.91</v>
      </c>
      <c r="F74" s="193"/>
      <c r="G74" s="193">
        <f>+'II-E-3.15'!E114</f>
        <v>884662.91</v>
      </c>
      <c r="K74" s="362"/>
      <c r="L74" s="192"/>
      <c r="M74" s="193"/>
    </row>
    <row r="75" spans="1:13">
      <c r="A75" s="190">
        <f t="shared" si="3"/>
        <v>62</v>
      </c>
      <c r="B75" s="346" t="s">
        <v>182</v>
      </c>
      <c r="D75" s="140"/>
      <c r="E75" s="193">
        <f>+'II-E-3.15'!C115</f>
        <v>-16233756.41</v>
      </c>
      <c r="F75" s="193"/>
      <c r="G75" s="193">
        <f>+'II-E-3.15'!E115</f>
        <v>-17271740.120000001</v>
      </c>
      <c r="K75" s="355"/>
      <c r="L75" s="192"/>
      <c r="M75" s="193"/>
    </row>
    <row r="76" spans="1:13">
      <c r="A76" s="190">
        <f t="shared" si="3"/>
        <v>63</v>
      </c>
      <c r="B76" s="346" t="s">
        <v>617</v>
      </c>
      <c r="D76" s="375"/>
      <c r="E76" s="193">
        <f>+'II-E-3.15'!C116</f>
        <v>-36089813.840000004</v>
      </c>
      <c r="F76" s="193"/>
      <c r="G76" s="193">
        <f>+'II-E-3.15'!E116</f>
        <v>-32588176.080000006</v>
      </c>
      <c r="K76" s="355"/>
      <c r="L76" s="192"/>
      <c r="M76" s="193"/>
    </row>
    <row r="77" spans="1:13">
      <c r="A77" s="190">
        <f t="shared" si="3"/>
        <v>64</v>
      </c>
      <c r="B77" s="142" t="s">
        <v>850</v>
      </c>
      <c r="D77" s="375"/>
      <c r="E77" s="193">
        <f>+'II-E-3.15'!C117</f>
        <v>1608928.6</v>
      </c>
      <c r="F77" s="193"/>
      <c r="G77" s="193">
        <f>+'II-E-3.15'!E117</f>
        <v>3947398.3800000004</v>
      </c>
      <c r="K77" s="355"/>
      <c r="L77" s="192"/>
      <c r="M77" s="193"/>
    </row>
    <row r="78" spans="1:13">
      <c r="A78" s="190">
        <f t="shared" si="3"/>
        <v>65</v>
      </c>
      <c r="B78" s="346" t="s">
        <v>445</v>
      </c>
      <c r="D78" s="140"/>
      <c r="E78" s="193">
        <f>+'II-E-3.15'!C118</f>
        <v>26723.516399999997</v>
      </c>
      <c r="F78" s="193"/>
      <c r="G78" s="193">
        <f>+'II-E-3.15'!E118</f>
        <v>0</v>
      </c>
      <c r="K78" s="355"/>
      <c r="L78" s="192"/>
      <c r="M78" s="193"/>
    </row>
    <row r="79" spans="1:13">
      <c r="A79" s="190">
        <f t="shared" si="3"/>
        <v>66</v>
      </c>
      <c r="B79" s="346" t="s">
        <v>1212</v>
      </c>
      <c r="D79" s="375"/>
      <c r="E79" s="193">
        <f>+'II-E-3.15'!C119</f>
        <v>-716120</v>
      </c>
      <c r="F79" s="193"/>
      <c r="G79" s="193">
        <v>0</v>
      </c>
      <c r="K79" s="355"/>
      <c r="L79" s="192"/>
      <c r="M79" s="193"/>
    </row>
    <row r="80" spans="1:13">
      <c r="A80" s="190">
        <f t="shared" si="3"/>
        <v>67</v>
      </c>
      <c r="B80" s="142" t="s">
        <v>33</v>
      </c>
      <c r="D80" s="193"/>
      <c r="E80" s="285">
        <f>+'II-E-3.15'!C123</f>
        <v>-479524.92</v>
      </c>
      <c r="F80" s="285"/>
      <c r="G80" s="193">
        <f>+'II-E-3.15'!E123</f>
        <v>-485229.49</v>
      </c>
      <c r="K80" s="355"/>
      <c r="L80" s="192"/>
      <c r="M80" s="193"/>
    </row>
    <row r="81" spans="1:13">
      <c r="A81" s="190">
        <f t="shared" si="3"/>
        <v>68</v>
      </c>
      <c r="B81" s="142" t="s">
        <v>32</v>
      </c>
      <c r="D81" s="193"/>
      <c r="E81" s="285">
        <f>+'II-E-3.15'!C120</f>
        <v>3781197.08</v>
      </c>
      <c r="G81" s="193">
        <v>0</v>
      </c>
      <c r="K81" s="355"/>
      <c r="L81" s="192"/>
      <c r="M81" s="193"/>
    </row>
    <row r="82" spans="1:13">
      <c r="A82" s="190">
        <f t="shared" si="3"/>
        <v>69</v>
      </c>
      <c r="D82" s="193"/>
      <c r="E82" s="193"/>
      <c r="G82" s="285"/>
      <c r="K82" s="355"/>
      <c r="L82" s="192"/>
    </row>
    <row r="83" spans="1:13" ht="13.5" thickBot="1">
      <c r="A83" s="190">
        <f t="shared" si="3"/>
        <v>70</v>
      </c>
      <c r="B83" s="286" t="s">
        <v>323</v>
      </c>
      <c r="C83" s="286"/>
      <c r="D83" s="287" t="s">
        <v>266</v>
      </c>
      <c r="E83" s="287">
        <f>SUM(E72:E82)</f>
        <v>154445152.78640002</v>
      </c>
      <c r="F83" s="288" t="s">
        <v>267</v>
      </c>
      <c r="G83" s="287">
        <f>SUM(G72:G82)</f>
        <v>157506760.02999997</v>
      </c>
      <c r="K83" s="355"/>
      <c r="L83" s="192"/>
    </row>
    <row r="84" spans="1:13" ht="13.5" thickTop="1">
      <c r="A84" s="190">
        <f t="shared" si="3"/>
        <v>71</v>
      </c>
      <c r="D84" s="193"/>
      <c r="E84" s="193"/>
      <c r="F84" s="193"/>
      <c r="G84" s="193"/>
      <c r="K84" s="355"/>
      <c r="L84" s="192"/>
    </row>
    <row r="85" spans="1:13">
      <c r="A85" s="190">
        <f t="shared" si="3"/>
        <v>72</v>
      </c>
      <c r="B85" s="346" t="s">
        <v>1018</v>
      </c>
      <c r="L85" s="192"/>
    </row>
    <row r="86" spans="1:13">
      <c r="A86" s="190">
        <f t="shared" si="3"/>
        <v>73</v>
      </c>
      <c r="B86" s="346" t="s">
        <v>1019</v>
      </c>
    </row>
    <row r="87" spans="1:13">
      <c r="A87" s="190"/>
      <c r="B87" s="366"/>
    </row>
    <row r="88" spans="1:13">
      <c r="A88" s="190"/>
      <c r="C88" s="193"/>
      <c r="L88" s="192"/>
    </row>
    <row r="89" spans="1:13">
      <c r="A89" s="190"/>
      <c r="C89" s="193"/>
      <c r="L89" s="192"/>
    </row>
    <row r="90" spans="1:13">
      <c r="A90" s="190"/>
      <c r="B90" s="289"/>
      <c r="C90" s="290"/>
      <c r="D90" s="290"/>
      <c r="E90" s="290"/>
      <c r="F90" s="290"/>
      <c r="G90" s="197"/>
      <c r="L90" s="192"/>
    </row>
    <row r="91" spans="1:13">
      <c r="A91" s="190"/>
      <c r="B91" s="289" t="s">
        <v>696</v>
      </c>
      <c r="C91" s="289"/>
      <c r="D91" s="290">
        <f>+'II-E-3.15'!C98</f>
        <v>-960299313.65999997</v>
      </c>
      <c r="E91" s="290">
        <f>+'II-E-3.15'!C121+'II-E-3.15'!C123</f>
        <v>154445152.80640003</v>
      </c>
      <c r="F91" s="290">
        <f>+'II-E-3.15'!E98</f>
        <v>-966761164.02999997</v>
      </c>
      <c r="G91" s="290">
        <f>+'II-E-3.15'!E121+'II-E-3.15'!E123</f>
        <v>157506760.04999995</v>
      </c>
      <c r="H91" s="197" t="s">
        <v>50</v>
      </c>
      <c r="I91" s="197" t="s">
        <v>1244</v>
      </c>
      <c r="L91" s="192"/>
    </row>
    <row r="92" spans="1:13">
      <c r="A92" s="190"/>
      <c r="B92" s="289" t="s">
        <v>29</v>
      </c>
      <c r="C92" s="289"/>
      <c r="D92" s="290">
        <f>D72-D91</f>
        <v>0</v>
      </c>
      <c r="E92" s="290">
        <f>E83-E91</f>
        <v>-2.000001072883606E-2</v>
      </c>
      <c r="F92" s="290">
        <f>F72-F91</f>
        <v>0</v>
      </c>
      <c r="G92" s="290">
        <f>G83-G91</f>
        <v>-1.9999980926513672E-2</v>
      </c>
      <c r="L92" s="192"/>
    </row>
    <row r="93" spans="1:13">
      <c r="A93" s="190"/>
      <c r="L93" s="192"/>
    </row>
    <row r="94" spans="1:13">
      <c r="A94" s="190"/>
      <c r="L94" s="192"/>
    </row>
    <row r="95" spans="1:13">
      <c r="A95" s="190"/>
      <c r="L95" s="192"/>
    </row>
    <row r="96" spans="1:13">
      <c r="A96" s="190"/>
      <c r="L96" s="192"/>
    </row>
    <row r="97" spans="12:12">
      <c r="L97" s="192"/>
    </row>
    <row r="98" spans="12:12">
      <c r="L98" s="192"/>
    </row>
  </sheetData>
  <mergeCells count="2">
    <mergeCell ref="D10:E10"/>
    <mergeCell ref="F10:G10"/>
  </mergeCells>
  <phoneticPr fontId="10" type="noConversion"/>
  <pageMargins left="1.5" right="0.5" top="2.5" bottom="0.5" header="1" footer="0.5"/>
  <pageSetup scale="60" pageOrder="overThenDown" orientation="portrait"/>
  <headerFooter alignWithMargins="0">
    <oddHeader>&amp;R&amp;"Arial,Bold"Schedule &amp;A
Page &amp;P of &amp;N&amp;C&amp;B
2025 RATE CASE
ONCOR ELECTRIC DELIVERY COMPANY LLC
II-E-3.16  ANALYSIS OF DEFERRED FIT
TEST YEAR ENDING DECEMBER 31, 2024
SPONSOR: B. L. CLUTTER</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7">
    <pageSetUpPr fitToPage="1"/>
  </sheetPr>
  <dimension ref="A1:Q15"/>
  <sheetViews>
    <sheetView zoomScaleNormal="100" workbookViewId="0">
      <pane ySplit="14" topLeftCell="A15" activePane="bottomLeft" state="frozen"/>
      <selection activeCell="E19" sqref="E19"/>
      <selection pane="bottomLeft" activeCell="J13" sqref="J13"/>
    </sheetView>
  </sheetViews>
  <sheetFormatPr defaultRowHeight="12.75"/>
  <cols>
    <col min="1" max="1" width="6" customWidth="1"/>
    <col min="3" max="3" width="12.5703125" bestFit="1" customWidth="1"/>
    <col min="4" max="4" width="12" bestFit="1" customWidth="1"/>
    <col min="5" max="5" width="12.7109375" customWidth="1"/>
    <col min="6" max="6" width="12" bestFit="1" customWidth="1"/>
    <col min="7" max="8" width="10.28515625" bestFit="1" customWidth="1"/>
    <col min="9" max="11" width="10.28515625" style="366" customWidth="1"/>
    <col min="12" max="12" width="10.28515625" bestFit="1" customWidth="1"/>
    <col min="13" max="14" width="10.28515625" style="366" customWidth="1"/>
    <col min="15" max="15" width="8.7109375" bestFit="1" customWidth="1"/>
    <col min="16" max="16" width="8.5703125" bestFit="1" customWidth="1"/>
    <col min="17" max="17" width="11.28515625" bestFit="1" customWidth="1"/>
    <col min="18" max="18" width="5.85546875" bestFit="1" customWidth="1"/>
  </cols>
  <sheetData>
    <row r="1" spans="1:17">
      <c r="A1" s="28" t="str">
        <f>+'[3]Input Data'!$A$9</f>
        <v>2025 RATE CASE</v>
      </c>
    </row>
    <row r="2" spans="1:17">
      <c r="A2" s="31" t="str">
        <f>+'[3]Input Data'!$A$2</f>
        <v>ONCOR ELECTRIC DELIVERY COMPANY LLC</v>
      </c>
    </row>
    <row r="3" spans="1:17">
      <c r="A3" s="164" t="str">
        <f>CONCATENATE('[3]Schedule Sponsors'!$A$102,'[3]Schedule Sponsors'!$B$102)</f>
        <v>II-E-3.17  ANALYSIS OF ADDITIONAL DEPRECIATION REQUESTED</v>
      </c>
      <c r="H3" s="144"/>
      <c r="I3" s="346"/>
      <c r="J3" s="346"/>
      <c r="K3" s="346"/>
    </row>
    <row r="4" spans="1:17">
      <c r="A4" s="89" t="str">
        <f>+'[3]Input Data'!$A$4</f>
        <v>TEST YEAR ENDING DECEMBER 31, 2024</v>
      </c>
    </row>
    <row r="5" spans="1:17">
      <c r="A5" s="30" t="str">
        <f>CONCATENATE("SPONSOR: ",'[3]Schedule Sponsors'!$D$104)</f>
        <v>SPONSOR: B. L. CLUTTER</v>
      </c>
    </row>
    <row r="10" spans="1:17" s="107" customFormat="1">
      <c r="A10" s="106"/>
      <c r="B10" s="106"/>
      <c r="C10" s="106" t="s">
        <v>41</v>
      </c>
      <c r="D10" s="106"/>
      <c r="E10" s="106" t="s">
        <v>379</v>
      </c>
      <c r="F10" s="106"/>
      <c r="G10" s="106"/>
      <c r="H10" s="106"/>
      <c r="I10" s="106"/>
      <c r="J10" s="106"/>
      <c r="K10" s="106"/>
      <c r="L10" s="106"/>
      <c r="M10" s="106"/>
      <c r="N10" s="106"/>
      <c r="O10" s="106"/>
      <c r="P10" s="106"/>
      <c r="Q10" s="106"/>
    </row>
    <row r="11" spans="1:17" s="107" customFormat="1">
      <c r="A11" s="109" t="s">
        <v>241</v>
      </c>
      <c r="B11" s="109" t="s">
        <v>69</v>
      </c>
      <c r="C11" s="109" t="s">
        <v>265</v>
      </c>
      <c r="D11" s="109" t="s">
        <v>61</v>
      </c>
      <c r="E11" s="109" t="s">
        <v>380</v>
      </c>
      <c r="F11" s="109" t="s">
        <v>62</v>
      </c>
      <c r="G11" s="109" t="s">
        <v>68</v>
      </c>
      <c r="H11" s="109"/>
      <c r="I11" s="501" t="s">
        <v>571</v>
      </c>
      <c r="J11" s="501" t="s">
        <v>572</v>
      </c>
      <c r="K11" s="501" t="s">
        <v>574</v>
      </c>
      <c r="L11" s="109"/>
      <c r="M11" s="501" t="s">
        <v>571</v>
      </c>
      <c r="N11" s="501" t="s">
        <v>574</v>
      </c>
      <c r="O11" s="109"/>
      <c r="P11" s="109"/>
      <c r="Q11" s="109"/>
    </row>
    <row r="12" spans="1:17" s="107" customFormat="1">
      <c r="A12" s="109" t="s">
        <v>139</v>
      </c>
      <c r="B12" s="109" t="s">
        <v>203</v>
      </c>
      <c r="C12" s="109" t="s">
        <v>42</v>
      </c>
      <c r="D12" s="109" t="s">
        <v>364</v>
      </c>
      <c r="E12" s="109" t="s">
        <v>381</v>
      </c>
      <c r="F12" s="109" t="s">
        <v>364</v>
      </c>
      <c r="G12" s="109" t="s">
        <v>66</v>
      </c>
      <c r="H12" s="109" t="s">
        <v>198</v>
      </c>
      <c r="I12" s="501" t="s">
        <v>198</v>
      </c>
      <c r="J12" s="501" t="s">
        <v>573</v>
      </c>
      <c r="K12" s="501" t="s">
        <v>198</v>
      </c>
      <c r="L12" s="109" t="s">
        <v>199</v>
      </c>
      <c r="M12" s="501" t="s">
        <v>199</v>
      </c>
      <c r="N12" s="501" t="s">
        <v>199</v>
      </c>
      <c r="O12" s="109" t="s">
        <v>194</v>
      </c>
      <c r="P12" s="109" t="s">
        <v>279</v>
      </c>
      <c r="Q12" s="109" t="s">
        <v>73</v>
      </c>
    </row>
    <row r="13" spans="1:17" s="24" customFormat="1">
      <c r="A13" s="108"/>
      <c r="B13" s="108" t="s">
        <v>226</v>
      </c>
      <c r="C13" s="108" t="s">
        <v>227</v>
      </c>
      <c r="D13" s="108" t="s">
        <v>228</v>
      </c>
      <c r="E13" s="108" t="s">
        <v>229</v>
      </c>
      <c r="F13" s="108" t="s">
        <v>230</v>
      </c>
      <c r="G13" s="108" t="s">
        <v>231</v>
      </c>
      <c r="H13" s="108" t="s">
        <v>232</v>
      </c>
      <c r="I13" s="351" t="s">
        <v>233</v>
      </c>
      <c r="J13" s="351" t="s">
        <v>234</v>
      </c>
      <c r="K13" s="351" t="s">
        <v>235</v>
      </c>
      <c r="L13" s="351" t="s">
        <v>236</v>
      </c>
      <c r="M13" s="351" t="s">
        <v>237</v>
      </c>
      <c r="N13" s="351" t="s">
        <v>238</v>
      </c>
      <c r="O13" s="351" t="s">
        <v>239</v>
      </c>
      <c r="P13" s="351" t="s">
        <v>240</v>
      </c>
      <c r="Q13" s="351" t="s">
        <v>140</v>
      </c>
    </row>
    <row r="15" spans="1:17">
      <c r="A15" s="24">
        <v>1</v>
      </c>
      <c r="B15" s="189" t="s">
        <v>432</v>
      </c>
    </row>
  </sheetData>
  <phoneticPr fontId="10" type="noConversion"/>
  <printOptions horizontalCentered="1"/>
  <pageMargins left="0.5" right="0.5" top="3" bottom="0.5" header="1.5" footer="0.5"/>
  <pageSetup scale="74" pageOrder="overThenDown" orientation="landscape"/>
  <headerFooter alignWithMargins="0">
    <oddHeader>&amp;R&amp;"Arial,Bold"Schedule &amp;A
Page &amp;P of &amp;N&amp;C&amp;B
2025 RATE CASE
ONCOR ELECTRIC DELIVERY COMPANY LLC
II-E-3.17  ANALYSIS OF ADDITIONAL DEPRECIATION REQUESTED
TEST YEAR ENDING DECEMBER 31, 2024
SPONSOR: B. L. CLUTTER</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11"/>
  <dimension ref="A1:Y80"/>
  <sheetViews>
    <sheetView topLeftCell="K1" zoomScale="80" zoomScaleNormal="80" workbookViewId="0">
      <pane ySplit="14" topLeftCell="A15" activePane="bottomLeft" state="frozen"/>
      <selection activeCell="E19" sqref="E19"/>
      <selection pane="bottomLeft" activeCell="K27" sqref="K27"/>
    </sheetView>
  </sheetViews>
  <sheetFormatPr defaultColWidth="9.140625" defaultRowHeight="12.75"/>
  <cols>
    <col min="1" max="1" width="7.140625" style="250" customWidth="1"/>
    <col min="2" max="2" width="40.5703125" style="250" customWidth="1"/>
    <col min="3" max="3" width="16.140625" style="250" bestFit="1" customWidth="1"/>
    <col min="4" max="4" width="14.5703125" style="250" bestFit="1" customWidth="1"/>
    <col min="5" max="5" width="16.140625" style="250" bestFit="1" customWidth="1"/>
    <col min="6" max="7" width="15.5703125" style="250" bestFit="1" customWidth="1"/>
    <col min="8" max="8" width="9.5703125" style="250" bestFit="1" customWidth="1"/>
    <col min="9" max="9" width="13.42578125" style="250" bestFit="1" customWidth="1"/>
    <col min="10" max="10" width="3.28515625" style="250" bestFit="1" customWidth="1"/>
    <col min="11" max="11" width="24.140625" style="250" bestFit="1" customWidth="1"/>
    <col min="12" max="12" width="11.5703125" style="250" bestFit="1" customWidth="1"/>
    <col min="13" max="13" width="13.42578125" style="250" bestFit="1" customWidth="1"/>
    <col min="14" max="14" width="12.28515625" style="499" bestFit="1" customWidth="1"/>
    <col min="15" max="15" width="12.85546875" style="499" bestFit="1" customWidth="1"/>
    <col min="16" max="16" width="13.42578125" style="499" bestFit="1" customWidth="1"/>
    <col min="17" max="17" width="13.42578125" style="250" bestFit="1" customWidth="1"/>
    <col min="18" max="18" width="12.28515625" style="499" bestFit="1" customWidth="1"/>
    <col min="19" max="19" width="13.42578125" style="499" bestFit="1" customWidth="1"/>
    <col min="20" max="20" width="13.42578125" style="250" bestFit="1" customWidth="1"/>
    <col min="21" max="21" width="13" style="250" bestFit="1" customWidth="1"/>
    <col min="22" max="22" width="13.42578125" style="250" bestFit="1" customWidth="1"/>
    <col min="23" max="23" width="29.140625" style="250" bestFit="1" customWidth="1"/>
    <col min="24" max="24" width="6.85546875" style="601" bestFit="1" customWidth="1"/>
    <col min="25" max="25" width="11.42578125" style="601" bestFit="1" customWidth="1"/>
    <col min="26" max="16384" width="9.140625" style="250"/>
  </cols>
  <sheetData>
    <row r="1" spans="1:25">
      <c r="A1" s="178" t="str">
        <f>+'[3]Input Data'!$A$9</f>
        <v>2025 RATE CASE</v>
      </c>
    </row>
    <row r="2" spans="1:25">
      <c r="A2" s="8" t="str">
        <f>+'[3]Input Data'!$A$2</f>
        <v>ONCOR ELECTRIC DELIVERY COMPANY LLC</v>
      </c>
    </row>
    <row r="3" spans="1:25">
      <c r="A3" s="187" t="str">
        <f>CONCATENATE('[3]Schedule Sponsors'!$A$103,'[3]Schedule Sponsors'!$B$103)</f>
        <v>II-E-3.18  AMORTIZATION OF PROTECTED AND UNPROTECTED EXCESS DEFERRED TAXES</v>
      </c>
    </row>
    <row r="4" spans="1:25">
      <c r="A4" s="187" t="str">
        <f>+'[3]Input Data'!$A$4</f>
        <v>TEST YEAR ENDING DECEMBER 31, 2024</v>
      </c>
    </row>
    <row r="5" spans="1:25">
      <c r="A5" s="185" t="str">
        <f>CONCATENATE("SPONSOR: ",'[3]Schedule Sponsors'!$D$105)</f>
        <v>SPONSOR: B. L. CLUTTER</v>
      </c>
    </row>
    <row r="7" spans="1:25">
      <c r="K7" s="577"/>
    </row>
    <row r="9" spans="1:25" ht="13.5" thickBot="1"/>
    <row r="10" spans="1:25" s="166" customFormat="1">
      <c r="A10" s="212"/>
      <c r="B10" s="509"/>
      <c r="C10" s="420" t="s">
        <v>73</v>
      </c>
      <c r="D10" s="212"/>
      <c r="E10" s="445" t="s">
        <v>61</v>
      </c>
      <c r="F10" s="505" t="s">
        <v>379</v>
      </c>
      <c r="G10" s="510" t="s">
        <v>62</v>
      </c>
      <c r="H10" s="505" t="s">
        <v>79</v>
      </c>
      <c r="I10" s="505" t="s">
        <v>269</v>
      </c>
      <c r="J10" s="212" t="s">
        <v>74</v>
      </c>
      <c r="K10" s="445" t="s">
        <v>338</v>
      </c>
      <c r="L10" s="212"/>
      <c r="M10" s="212"/>
      <c r="N10" s="212"/>
      <c r="O10" s="212"/>
      <c r="P10" s="212"/>
      <c r="Q10" s="212"/>
      <c r="R10" s="212"/>
      <c r="S10" s="212"/>
      <c r="T10" s="212"/>
      <c r="U10" s="212"/>
      <c r="V10" s="445"/>
      <c r="W10" s="212"/>
      <c r="X10" s="602"/>
      <c r="Y10" s="602"/>
    </row>
    <row r="11" spans="1:25" s="166" customFormat="1">
      <c r="A11" s="165"/>
      <c r="C11" s="421" t="s">
        <v>76</v>
      </c>
      <c r="D11" s="165" t="s">
        <v>57</v>
      </c>
      <c r="E11" s="166" t="s">
        <v>63</v>
      </c>
      <c r="F11" s="165" t="s">
        <v>484</v>
      </c>
      <c r="G11" s="166" t="s">
        <v>485</v>
      </c>
      <c r="H11" s="165" t="s">
        <v>269</v>
      </c>
      <c r="I11" s="165" t="s">
        <v>43</v>
      </c>
      <c r="J11" s="165" t="s">
        <v>80</v>
      </c>
      <c r="K11" s="166" t="s">
        <v>75</v>
      </c>
      <c r="L11" s="165" t="s">
        <v>690</v>
      </c>
      <c r="M11" s="165"/>
      <c r="N11" s="165" t="s">
        <v>571</v>
      </c>
      <c r="O11" s="165" t="s">
        <v>572</v>
      </c>
      <c r="P11" s="165" t="s">
        <v>574</v>
      </c>
      <c r="Q11" s="165"/>
      <c r="R11" s="165" t="s">
        <v>571</v>
      </c>
      <c r="S11" s="165" t="s">
        <v>574</v>
      </c>
      <c r="T11" s="165"/>
      <c r="U11" s="165"/>
      <c r="W11" s="165" t="s">
        <v>693</v>
      </c>
      <c r="X11" s="602"/>
      <c r="Y11" s="602"/>
    </row>
    <row r="12" spans="1:25" s="166" customFormat="1">
      <c r="A12" s="165" t="s">
        <v>241</v>
      </c>
      <c r="B12" s="511" t="s">
        <v>64</v>
      </c>
      <c r="C12" s="421"/>
      <c r="D12" s="165" t="s">
        <v>334</v>
      </c>
      <c r="E12" s="166" t="s">
        <v>78</v>
      </c>
      <c r="F12" s="165" t="s">
        <v>381</v>
      </c>
      <c r="G12" s="166" t="s">
        <v>78</v>
      </c>
      <c r="H12" s="165" t="s">
        <v>75</v>
      </c>
      <c r="I12" s="165" t="s">
        <v>79</v>
      </c>
      <c r="J12" s="165"/>
      <c r="K12" s="166" t="s">
        <v>81</v>
      </c>
      <c r="L12" s="165" t="s">
        <v>691</v>
      </c>
      <c r="M12" s="165" t="s">
        <v>198</v>
      </c>
      <c r="N12" s="165" t="s">
        <v>198</v>
      </c>
      <c r="O12" s="165" t="s">
        <v>573</v>
      </c>
      <c r="P12" s="165" t="s">
        <v>198</v>
      </c>
      <c r="Q12" s="165" t="s">
        <v>199</v>
      </c>
      <c r="R12" s="165" t="s">
        <v>199</v>
      </c>
      <c r="S12" s="165" t="s">
        <v>199</v>
      </c>
      <c r="T12" s="165" t="s">
        <v>194</v>
      </c>
      <c r="U12" s="165" t="s">
        <v>279</v>
      </c>
      <c r="V12" s="166" t="s">
        <v>73</v>
      </c>
      <c r="W12" s="165" t="s">
        <v>694</v>
      </c>
      <c r="X12" s="602"/>
      <c r="Y12" s="602"/>
    </row>
    <row r="13" spans="1:25" s="221" customFormat="1" ht="13.5" thickBot="1">
      <c r="A13" s="214" t="s">
        <v>139</v>
      </c>
      <c r="B13" s="508" t="s">
        <v>226</v>
      </c>
      <c r="C13" s="215" t="s">
        <v>227</v>
      </c>
      <c r="D13" s="512" t="s">
        <v>228</v>
      </c>
      <c r="E13" s="215" t="s">
        <v>229</v>
      </c>
      <c r="F13" s="513" t="s">
        <v>230</v>
      </c>
      <c r="G13" s="215" t="s">
        <v>231</v>
      </c>
      <c r="H13" s="513" t="s">
        <v>232</v>
      </c>
      <c r="I13" s="215" t="s">
        <v>233</v>
      </c>
      <c r="J13" s="215" t="s">
        <v>234</v>
      </c>
      <c r="K13" s="215" t="s">
        <v>235</v>
      </c>
      <c r="L13" s="513" t="s">
        <v>236</v>
      </c>
      <c r="M13" s="215" t="s">
        <v>237</v>
      </c>
      <c r="N13" s="215" t="s">
        <v>238</v>
      </c>
      <c r="O13" s="215" t="s">
        <v>239</v>
      </c>
      <c r="P13" s="215" t="s">
        <v>240</v>
      </c>
      <c r="Q13" s="215" t="s">
        <v>140</v>
      </c>
      <c r="R13" s="215" t="s">
        <v>270</v>
      </c>
      <c r="S13" s="215" t="s">
        <v>280</v>
      </c>
      <c r="T13" s="215" t="s">
        <v>281</v>
      </c>
      <c r="U13" s="215" t="s">
        <v>473</v>
      </c>
      <c r="V13" s="215" t="s">
        <v>474</v>
      </c>
      <c r="W13" s="215" t="s">
        <v>475</v>
      </c>
      <c r="X13" s="603"/>
      <c r="Y13" s="603"/>
    </row>
    <row r="14" spans="1:25" s="221" customFormat="1">
      <c r="C14" s="514"/>
      <c r="X14" s="603"/>
      <c r="Y14" s="603"/>
    </row>
    <row r="15" spans="1:25" s="283" customFormat="1">
      <c r="X15" s="604"/>
      <c r="Y15" s="604"/>
    </row>
    <row r="16" spans="1:25" s="283" customFormat="1">
      <c r="A16" s="190">
        <v>1</v>
      </c>
      <c r="B16" s="283" t="s">
        <v>44</v>
      </c>
      <c r="C16" s="515"/>
      <c r="D16" s="516"/>
      <c r="E16" s="516"/>
      <c r="F16" s="516"/>
      <c r="G16" s="517"/>
      <c r="H16" s="518"/>
      <c r="I16" s="517"/>
      <c r="J16" s="517"/>
      <c r="K16" s="517"/>
      <c r="L16" s="517"/>
      <c r="M16" s="517"/>
      <c r="N16" s="517"/>
      <c r="O16" s="517"/>
      <c r="P16" s="517"/>
      <c r="Q16" s="517"/>
      <c r="R16" s="517"/>
      <c r="S16" s="517"/>
      <c r="T16" s="517"/>
      <c r="U16" s="517"/>
      <c r="V16" s="517"/>
      <c r="X16" s="604"/>
      <c r="Y16" s="604"/>
    </row>
    <row r="17" spans="1:25" s="283" customFormat="1">
      <c r="A17" s="190">
        <f t="shared" ref="A17:A39" si="0">A16+1</f>
        <v>2</v>
      </c>
      <c r="B17" s="552" t="s">
        <v>638</v>
      </c>
      <c r="C17" s="519">
        <v>14169299.41</v>
      </c>
      <c r="D17" s="520">
        <v>0</v>
      </c>
      <c r="E17" s="520">
        <f>SUM(C17:D17)</f>
        <v>14169299.41</v>
      </c>
      <c r="F17" s="520">
        <f>+G17-E17</f>
        <v>1116825.4499999993</v>
      </c>
      <c r="G17" s="521">
        <v>15286124.859999999</v>
      </c>
      <c r="H17" s="227">
        <v>1</v>
      </c>
      <c r="I17" s="521">
        <f>G17*H17</f>
        <v>15286124.859999999</v>
      </c>
      <c r="J17" s="522"/>
      <c r="K17" s="516" t="s">
        <v>684</v>
      </c>
      <c r="L17" s="190" t="s">
        <v>1080</v>
      </c>
      <c r="M17" s="519">
        <f>ROUND(+$I17*'[5]II-F Alloc_Factor'!E$38,2)</f>
        <v>6948808.5300000003</v>
      </c>
      <c r="N17" s="519">
        <f>ROUND(+$I17*'[5]II-F Alloc_Factor'!F$38,2)</f>
        <v>0</v>
      </c>
      <c r="O17" s="519">
        <f>ROUND(+$I17*'[5]II-F Alloc_Factor'!G$38,2)</f>
        <v>5969.9</v>
      </c>
      <c r="P17" s="519">
        <f>SUM(M17:O17)</f>
        <v>6954778.4300000006</v>
      </c>
      <c r="Q17" s="519">
        <f>ROUND(+$I17*'[5]II-F Alloc_Factor'!I$38,2)</f>
        <v>7936236.2800000003</v>
      </c>
      <c r="R17" s="519">
        <f>ROUND(+$I17*'[5]II-F Alloc_Factor'!J$38,2)</f>
        <v>0</v>
      </c>
      <c r="S17" s="519">
        <f>SUM(Q17:R17)</f>
        <v>7936236.2800000003</v>
      </c>
      <c r="T17" s="519">
        <f>ROUND(+$I17*'[5]II-F Alloc_Factor'!L$38,2)</f>
        <v>237864.14</v>
      </c>
      <c r="U17" s="519">
        <f>+I17-M17-N17-O17-Q17-R17-T17</f>
        <v>157246.0099999985</v>
      </c>
      <c r="V17" s="519">
        <f>+P17+S17+T17+U17</f>
        <v>15286124.859999999</v>
      </c>
      <c r="W17" s="523" t="s">
        <v>560</v>
      </c>
      <c r="X17" s="604" t="b">
        <f>+V17=I17</f>
        <v>1</v>
      </c>
      <c r="Y17" s="605">
        <f>+I17-V17</f>
        <v>0</v>
      </c>
    </row>
    <row r="18" spans="1:25" s="283" customFormat="1">
      <c r="A18" s="190">
        <f t="shared" si="0"/>
        <v>3</v>
      </c>
      <c r="B18" s="552" t="s">
        <v>639</v>
      </c>
      <c r="C18" s="515">
        <v>2064457</v>
      </c>
      <c r="D18" s="9">
        <v>0</v>
      </c>
      <c r="E18" s="9">
        <f>SUM(C18:D18)</f>
        <v>2064457</v>
      </c>
      <c r="F18" s="516">
        <f>+G18-E18</f>
        <v>-78841.739999999991</v>
      </c>
      <c r="G18" s="517">
        <v>1985615.26</v>
      </c>
      <c r="H18" s="227">
        <v>1</v>
      </c>
      <c r="I18" s="517">
        <f>+G18*H18</f>
        <v>1985615.26</v>
      </c>
      <c r="J18" s="522"/>
      <c r="K18" s="516" t="s">
        <v>685</v>
      </c>
      <c r="L18" s="190" t="s">
        <v>1080</v>
      </c>
      <c r="M18" s="410">
        <f>ROUND(+$I18*'[5]II-F Alloc_Factor'!E$39,2)</f>
        <v>0</v>
      </c>
      <c r="N18" s="410">
        <f>ROUND(+$I18*'[5]II-F Alloc_Factor'!F$39,2)</f>
        <v>1838746.88</v>
      </c>
      <c r="O18" s="410">
        <f>ROUND(+$I18*'[5]II-F Alloc_Factor'!G$39,2)</f>
        <v>0</v>
      </c>
      <c r="P18" s="410">
        <f>SUM(M18:O18)</f>
        <v>1838746.88</v>
      </c>
      <c r="Q18" s="410">
        <f>ROUND(+$I18*'[5]II-F Alloc_Factor'!I$39,2)</f>
        <v>0</v>
      </c>
      <c r="R18" s="410">
        <f>ROUND(+$I18*'[5]II-F Alloc_Factor'!J$39,2)</f>
        <v>146868.38</v>
      </c>
      <c r="S18" s="410">
        <f>SUM(Q18:R18)</f>
        <v>146868.38</v>
      </c>
      <c r="T18" s="410">
        <f>ROUND(+$I18*'[5]II-F Alloc_Factor'!L$39,2)</f>
        <v>0</v>
      </c>
      <c r="U18" s="410">
        <f>ROUND(+$I18*'[5]II-F Alloc_Factor'!M$39,2)</f>
        <v>0</v>
      </c>
      <c r="V18" s="516">
        <f t="shared" ref="V18" si="1">+P18+S18+T18+U18</f>
        <v>1985615.2599999998</v>
      </c>
      <c r="W18" s="523" t="s">
        <v>560</v>
      </c>
      <c r="X18" s="604" t="b">
        <f>+V18=I18</f>
        <v>1</v>
      </c>
      <c r="Y18" s="605">
        <f>+I18-V18</f>
        <v>0</v>
      </c>
    </row>
    <row r="19" spans="1:25" s="551" customFormat="1">
      <c r="A19" s="190">
        <f t="shared" si="0"/>
        <v>4</v>
      </c>
      <c r="B19" s="11" t="s">
        <v>561</v>
      </c>
      <c r="C19" s="553">
        <f>SUM(C17:C18)</f>
        <v>16233756.41</v>
      </c>
      <c r="D19" s="553">
        <f t="shared" ref="D19:G19" si="2">SUM(D17:D18)</f>
        <v>0</v>
      </c>
      <c r="E19" s="553">
        <f t="shared" si="2"/>
        <v>16233756.41</v>
      </c>
      <c r="F19" s="553">
        <f t="shared" si="2"/>
        <v>1037983.7099999993</v>
      </c>
      <c r="G19" s="553">
        <f t="shared" si="2"/>
        <v>17271740.120000001</v>
      </c>
      <c r="H19" s="490"/>
      <c r="I19" s="553">
        <f>SUM(I17:I18)</f>
        <v>17271740.120000001</v>
      </c>
      <c r="J19" s="491"/>
      <c r="K19" s="491"/>
      <c r="L19" s="491"/>
      <c r="M19" s="553">
        <f>SUM(M17:M18)</f>
        <v>6948808.5300000003</v>
      </c>
      <c r="N19" s="553">
        <f t="shared" ref="N19:V19" si="3">SUM(N17:N18)</f>
        <v>1838746.88</v>
      </c>
      <c r="O19" s="553">
        <f t="shared" si="3"/>
        <v>5969.9</v>
      </c>
      <c r="P19" s="553">
        <f t="shared" si="3"/>
        <v>8793525.3100000005</v>
      </c>
      <c r="Q19" s="553">
        <f t="shared" si="3"/>
        <v>7936236.2800000003</v>
      </c>
      <c r="R19" s="553">
        <f t="shared" si="3"/>
        <v>146868.38</v>
      </c>
      <c r="S19" s="553">
        <f t="shared" si="3"/>
        <v>8083104.6600000001</v>
      </c>
      <c r="T19" s="553">
        <f t="shared" si="3"/>
        <v>237864.14</v>
      </c>
      <c r="U19" s="553">
        <f t="shared" si="3"/>
        <v>157246.0099999985</v>
      </c>
      <c r="V19" s="553">
        <f t="shared" si="3"/>
        <v>17271740.119999997</v>
      </c>
      <c r="W19" s="688"/>
      <c r="X19" s="604" t="b">
        <f>+V19=I19</f>
        <v>1</v>
      </c>
      <c r="Y19" s="605">
        <f>+I19-V19</f>
        <v>0</v>
      </c>
    </row>
    <row r="20" spans="1:25" s="551" customFormat="1">
      <c r="A20" s="190">
        <f t="shared" si="0"/>
        <v>5</v>
      </c>
      <c r="B20" s="347"/>
      <c r="C20" s="9"/>
      <c r="D20" s="2"/>
      <c r="E20" s="2"/>
      <c r="F20" s="2"/>
      <c r="G20" s="574"/>
      <c r="H20" s="1"/>
      <c r="I20" s="10"/>
      <c r="J20" s="10"/>
      <c r="K20" s="10"/>
      <c r="L20" s="2"/>
      <c r="M20" s="10"/>
      <c r="N20" s="10"/>
      <c r="O20" s="10"/>
      <c r="P20" s="10"/>
      <c r="Q20" s="10"/>
      <c r="R20" s="10"/>
      <c r="S20" s="10"/>
      <c r="T20" s="10"/>
      <c r="U20" s="10"/>
      <c r="V20" s="10"/>
      <c r="W20" s="688"/>
      <c r="X20" s="601"/>
      <c r="Y20" s="601"/>
    </row>
    <row r="21" spans="1:25" s="551" customFormat="1">
      <c r="A21" s="190">
        <f t="shared" si="0"/>
        <v>6</v>
      </c>
      <c r="B21" s="349" t="s">
        <v>702</v>
      </c>
      <c r="C21" s="9"/>
      <c r="D21" s="2"/>
      <c r="E21" s="2"/>
      <c r="F21" s="2"/>
      <c r="G21" s="574"/>
      <c r="H21" s="1"/>
      <c r="I21" s="10"/>
      <c r="J21" s="10"/>
      <c r="K21" s="10"/>
      <c r="L21" s="2"/>
      <c r="M21" s="10"/>
      <c r="N21" s="10"/>
      <c r="O21" s="10"/>
      <c r="P21" s="10"/>
      <c r="Q21" s="10"/>
      <c r="R21" s="10"/>
      <c r="S21" s="10"/>
      <c r="T21" s="10"/>
      <c r="U21" s="10"/>
      <c r="V21" s="10"/>
      <c r="W21" s="688"/>
      <c r="X21" s="601"/>
      <c r="Y21" s="601"/>
    </row>
    <row r="22" spans="1:25" s="682" customFormat="1">
      <c r="A22" s="190">
        <f t="shared" si="0"/>
        <v>7</v>
      </c>
      <c r="B22" s="349" t="s">
        <v>1066</v>
      </c>
      <c r="C22" s="793">
        <v>0</v>
      </c>
      <c r="D22" s="793"/>
      <c r="E22" s="793">
        <f>SUM(C22:D22)</f>
        <v>0</v>
      </c>
      <c r="F22" s="793">
        <f>+G22-E22</f>
        <v>-3354497.06</v>
      </c>
      <c r="G22" s="793">
        <v>-3354497.06</v>
      </c>
      <c r="H22" s="231">
        <v>1</v>
      </c>
      <c r="I22" s="793">
        <f>+G22*H22</f>
        <v>-3354497.06</v>
      </c>
      <c r="J22" s="10"/>
      <c r="K22" s="516" t="s">
        <v>684</v>
      </c>
      <c r="L22" s="190" t="s">
        <v>1080</v>
      </c>
      <c r="M22" s="793">
        <f>ROUND(+$I22*'[5]II-F Alloc_Factor'!E$38,2)</f>
        <v>-1524896.47</v>
      </c>
      <c r="N22" s="793">
        <f>ROUND(+$I22*'[5]II-F Alloc_Factor'!F$38,2)</f>
        <v>0</v>
      </c>
      <c r="O22" s="793">
        <f>ROUND(+$I22*'[5]II-F Alloc_Factor'!G$38,2)</f>
        <v>-1310.08</v>
      </c>
      <c r="P22" s="793">
        <f>SUM(M22:O22)</f>
        <v>-1526206.55</v>
      </c>
      <c r="Q22" s="793">
        <f>ROUND(+$I22*'[5]II-F Alloc_Factor'!I$38,2)</f>
        <v>-1741584.7</v>
      </c>
      <c r="R22" s="793">
        <f>ROUND(+$I22*'[5]II-F Alloc_Factor'!J$38,2)</f>
        <v>0</v>
      </c>
      <c r="S22" s="793">
        <f>SUM(Q22:R22)</f>
        <v>-1741584.7</v>
      </c>
      <c r="T22" s="793">
        <f>ROUND(+$I22*'[5]II-F Alloc_Factor'!L$38,2)</f>
        <v>-52198.62</v>
      </c>
      <c r="U22" s="519">
        <f>+I22-M22-N22-O22-Q22-R22-T22</f>
        <v>-34507.190000000053</v>
      </c>
      <c r="V22" s="793">
        <f t="shared" ref="V22:V23" si="4">+P22+S22+T22+U22</f>
        <v>-3354497.06</v>
      </c>
      <c r="W22" s="347" t="s">
        <v>1082</v>
      </c>
      <c r="X22" s="604" t="b">
        <f t="shared" ref="X22:X23" si="5">+V22=I22</f>
        <v>1</v>
      </c>
      <c r="Y22" s="605">
        <f t="shared" ref="Y22:Y23" si="6">+I22-V22</f>
        <v>0</v>
      </c>
    </row>
    <row r="23" spans="1:25" s="682" customFormat="1">
      <c r="A23" s="190">
        <f t="shared" si="0"/>
        <v>8</v>
      </c>
      <c r="B23" s="349" t="s">
        <v>1067</v>
      </c>
      <c r="C23" s="701">
        <v>0</v>
      </c>
      <c r="D23" s="701"/>
      <c r="E23" s="701">
        <f>SUM(C23:D23)</f>
        <v>0</v>
      </c>
      <c r="F23" s="701">
        <f>+G23-E23</f>
        <v>-147140.66000000015</v>
      </c>
      <c r="G23" s="701">
        <v>-147140.66000000015</v>
      </c>
      <c r="H23" s="231">
        <v>1</v>
      </c>
      <c r="I23" s="701">
        <f>+G23*H23</f>
        <v>-147140.66000000015</v>
      </c>
      <c r="J23" s="10"/>
      <c r="K23" s="516" t="s">
        <v>685</v>
      </c>
      <c r="L23" s="190" t="s">
        <v>1080</v>
      </c>
      <c r="M23" s="702">
        <f>ROUND(+$I23*'[5]II-F Alloc_Factor'!E$39,2)</f>
        <v>0</v>
      </c>
      <c r="N23" s="702">
        <f>ROUND(+$I23*'[5]II-F Alloc_Factor'!F$39,2)</f>
        <v>-136257.23000000001</v>
      </c>
      <c r="O23" s="702">
        <f>ROUND(+$I23*'[5]II-F Alloc_Factor'!G$39,2)</f>
        <v>0</v>
      </c>
      <c r="P23" s="702">
        <f>SUM(M23:O23)</f>
        <v>-136257.23000000001</v>
      </c>
      <c r="Q23" s="702">
        <f>ROUND(+$I23*'[5]II-F Alloc_Factor'!I$39,2)</f>
        <v>0</v>
      </c>
      <c r="R23" s="702">
        <f>ROUND(+$I23*'[5]II-F Alloc_Factor'!J$39,2)</f>
        <v>-10883.43</v>
      </c>
      <c r="S23" s="702">
        <f>SUM(Q23:R23)</f>
        <v>-10883.43</v>
      </c>
      <c r="T23" s="702">
        <f>ROUND(+$I23*'[5]II-F Alloc_Factor'!L$39,2)</f>
        <v>0</v>
      </c>
      <c r="U23" s="702">
        <f>ROUND(+$I23*'[5]II-F Alloc_Factor'!M$39,2)</f>
        <v>0</v>
      </c>
      <c r="V23" s="703">
        <f t="shared" si="4"/>
        <v>-147140.66</v>
      </c>
      <c r="W23" s="347" t="s">
        <v>1071</v>
      </c>
      <c r="X23" s="604" t="b">
        <f t="shared" si="5"/>
        <v>1</v>
      </c>
      <c r="Y23" s="605">
        <f t="shared" si="6"/>
        <v>0</v>
      </c>
    </row>
    <row r="24" spans="1:25" s="700" customFormat="1">
      <c r="A24" s="190">
        <f t="shared" si="0"/>
        <v>9</v>
      </c>
      <c r="B24" s="11" t="s">
        <v>1115</v>
      </c>
      <c r="C24" s="9">
        <f>SUM(C22:C23)</f>
        <v>0</v>
      </c>
      <c r="D24" s="9">
        <f t="shared" ref="D24:I24" si="7">SUM(D22:D23)</f>
        <v>0</v>
      </c>
      <c r="E24" s="9">
        <f t="shared" si="7"/>
        <v>0</v>
      </c>
      <c r="F24" s="9">
        <f t="shared" si="7"/>
        <v>-3501637.72</v>
      </c>
      <c r="G24" s="9">
        <f t="shared" si="7"/>
        <v>-3501637.72</v>
      </c>
      <c r="H24" s="9"/>
      <c r="I24" s="9">
        <f t="shared" si="7"/>
        <v>-3501637.72</v>
      </c>
      <c r="J24" s="10"/>
      <c r="K24" s="516"/>
      <c r="L24" s="190"/>
      <c r="M24" s="515">
        <f>SUM(M22:M23)</f>
        <v>-1524896.47</v>
      </c>
      <c r="N24" s="515">
        <f t="shared" ref="N24:V24" si="8">SUM(N22:N23)</f>
        <v>-136257.23000000001</v>
      </c>
      <c r="O24" s="515">
        <f t="shared" si="8"/>
        <v>-1310.08</v>
      </c>
      <c r="P24" s="515">
        <f t="shared" si="8"/>
        <v>-1662463.78</v>
      </c>
      <c r="Q24" s="515">
        <f t="shared" si="8"/>
        <v>-1741584.7</v>
      </c>
      <c r="R24" s="515">
        <f t="shared" si="8"/>
        <v>-10883.43</v>
      </c>
      <c r="S24" s="515">
        <f t="shared" si="8"/>
        <v>-1752468.13</v>
      </c>
      <c r="T24" s="515">
        <f t="shared" si="8"/>
        <v>-52198.62</v>
      </c>
      <c r="U24" s="515">
        <f t="shared" si="8"/>
        <v>-34507.190000000053</v>
      </c>
      <c r="V24" s="515">
        <f t="shared" si="8"/>
        <v>-3501637.72</v>
      </c>
      <c r="W24" s="347"/>
      <c r="X24" s="604"/>
      <c r="Y24" s="605"/>
    </row>
    <row r="25" spans="1:25" s="700" customFormat="1">
      <c r="A25" s="190">
        <f t="shared" si="0"/>
        <v>10</v>
      </c>
      <c r="B25" s="349"/>
      <c r="C25" s="9"/>
      <c r="D25" s="2"/>
      <c r="E25" s="2"/>
      <c r="F25" s="2"/>
      <c r="G25" s="574"/>
      <c r="H25" s="1"/>
      <c r="I25" s="10"/>
      <c r="J25" s="10"/>
      <c r="K25" s="10"/>
      <c r="L25" s="2"/>
      <c r="M25" s="10"/>
      <c r="N25" s="10"/>
      <c r="O25" s="10"/>
      <c r="P25" s="10"/>
      <c r="Q25" s="10"/>
      <c r="R25" s="10"/>
      <c r="S25" s="10"/>
      <c r="T25" s="10"/>
      <c r="U25" s="10"/>
      <c r="V25" s="10"/>
      <c r="W25" s="688"/>
      <c r="X25" s="601"/>
      <c r="Y25" s="601"/>
    </row>
    <row r="26" spans="1:25" s="551" customFormat="1">
      <c r="A26" s="190">
        <f t="shared" si="0"/>
        <v>11</v>
      </c>
      <c r="B26" s="554" t="s">
        <v>640</v>
      </c>
      <c r="C26" s="9">
        <v>36534910.240000002</v>
      </c>
      <c r="D26" s="9">
        <v>0</v>
      </c>
      <c r="E26" s="9">
        <f>SUM(C26:D26)</f>
        <v>36534910.240000002</v>
      </c>
      <c r="F26" s="9">
        <f t="shared" ref="F26:F29" si="9">+G26-E26</f>
        <v>-3.9999999105930328E-2</v>
      </c>
      <c r="G26" s="684">
        <v>36534910.200000003</v>
      </c>
      <c r="H26" s="231">
        <v>1</v>
      </c>
      <c r="I26" s="9">
        <f>+G26*H26</f>
        <v>36534910.200000003</v>
      </c>
      <c r="J26" s="10"/>
      <c r="K26" s="516" t="s">
        <v>1218</v>
      </c>
      <c r="L26" s="190" t="s">
        <v>1080</v>
      </c>
      <c r="M26" s="789">
        <v>16960690.699999999</v>
      </c>
      <c r="N26" s="789">
        <v>0</v>
      </c>
      <c r="O26" s="789">
        <v>21638.14</v>
      </c>
      <c r="P26" s="789">
        <f>SUM(M26:O26)</f>
        <v>16982328.84</v>
      </c>
      <c r="Q26" s="789">
        <v>18393605.899999999</v>
      </c>
      <c r="R26" s="789">
        <v>0</v>
      </c>
      <c r="S26" s="789">
        <f>SUM(Q26:R26)</f>
        <v>18393605.899999999</v>
      </c>
      <c r="T26" s="789">
        <v>625543.6</v>
      </c>
      <c r="U26" s="789">
        <v>533431.86</v>
      </c>
      <c r="V26" s="789">
        <f>+P26+S26+T26+U26</f>
        <v>36534910.199999996</v>
      </c>
      <c r="W26" s="347" t="s">
        <v>1081</v>
      </c>
      <c r="X26" s="604" t="b">
        <f t="shared" ref="X26:X36" si="10">+V26=I26</f>
        <v>1</v>
      </c>
      <c r="Y26" s="605">
        <f t="shared" ref="Y26:Y36" si="11">+I26-V26</f>
        <v>0</v>
      </c>
    </row>
    <row r="27" spans="1:25" s="551" customFormat="1">
      <c r="A27" s="190">
        <f t="shared" si="0"/>
        <v>12</v>
      </c>
      <c r="B27" s="554" t="s">
        <v>641</v>
      </c>
      <c r="C27" s="9">
        <v>-306988.2</v>
      </c>
      <c r="D27" s="9">
        <v>0</v>
      </c>
      <c r="E27" s="9">
        <f t="shared" ref="E27:E29" si="12">SUM(C27:D27)</f>
        <v>-306988.2</v>
      </c>
      <c r="F27" s="9">
        <f t="shared" si="9"/>
        <v>0</v>
      </c>
      <c r="G27" s="9">
        <v>-306988.2</v>
      </c>
      <c r="H27" s="231">
        <v>1</v>
      </c>
      <c r="I27" s="9">
        <f t="shared" ref="I27:I29" si="13">+G27*H27</f>
        <v>-306988.2</v>
      </c>
      <c r="J27" s="10"/>
      <c r="K27" s="516" t="s">
        <v>692</v>
      </c>
      <c r="L27" s="190" t="s">
        <v>1080</v>
      </c>
      <c r="M27" s="9">
        <v>-3690613.05</v>
      </c>
      <c r="N27" s="9">
        <v>0</v>
      </c>
      <c r="O27" s="9">
        <v>0</v>
      </c>
      <c r="P27" s="789">
        <f t="shared" ref="P27:P29" si="14">SUM(M27:O27)</f>
        <v>-3690613.05</v>
      </c>
      <c r="Q27" s="9">
        <v>2210661.14</v>
      </c>
      <c r="R27" s="9">
        <v>0</v>
      </c>
      <c r="S27" s="789">
        <f t="shared" ref="S27:S29" si="15">SUM(Q27:R27)</f>
        <v>2210661.14</v>
      </c>
      <c r="T27" s="9">
        <v>1923989.49</v>
      </c>
      <c r="U27" s="9">
        <v>-751025.78</v>
      </c>
      <c r="V27" s="9">
        <f>+P27+S27+T27+U27</f>
        <v>-306988.19999999972</v>
      </c>
      <c r="W27" s="347" t="s">
        <v>1081</v>
      </c>
      <c r="X27" s="604" t="b">
        <f t="shared" si="10"/>
        <v>1</v>
      </c>
      <c r="Y27" s="605">
        <f t="shared" si="11"/>
        <v>0</v>
      </c>
    </row>
    <row r="28" spans="1:25" s="551" customFormat="1">
      <c r="A28" s="190">
        <f t="shared" si="0"/>
        <v>13</v>
      </c>
      <c r="B28" s="554" t="s">
        <v>643</v>
      </c>
      <c r="C28" s="9">
        <v>36641.4</v>
      </c>
      <c r="D28" s="9">
        <v>0</v>
      </c>
      <c r="E28" s="9">
        <f t="shared" si="12"/>
        <v>36641.4</v>
      </c>
      <c r="F28" s="9">
        <f t="shared" si="9"/>
        <v>0</v>
      </c>
      <c r="G28" s="9">
        <v>36641.4</v>
      </c>
      <c r="H28" s="231">
        <v>1</v>
      </c>
      <c r="I28" s="9">
        <f t="shared" si="13"/>
        <v>36641.4</v>
      </c>
      <c r="J28" s="10"/>
      <c r="K28" s="516" t="s">
        <v>1219</v>
      </c>
      <c r="L28" s="190" t="s">
        <v>1080</v>
      </c>
      <c r="M28" s="410">
        <v>0</v>
      </c>
      <c r="N28" s="410">
        <v>33871.54</v>
      </c>
      <c r="O28" s="410">
        <v>0</v>
      </c>
      <c r="P28" s="789">
        <f t="shared" si="14"/>
        <v>33871.54</v>
      </c>
      <c r="Q28" s="410">
        <v>0</v>
      </c>
      <c r="R28" s="410">
        <v>2769.86</v>
      </c>
      <c r="S28" s="789">
        <f t="shared" si="15"/>
        <v>2769.86</v>
      </c>
      <c r="T28" s="410">
        <v>0</v>
      </c>
      <c r="U28" s="410">
        <v>0</v>
      </c>
      <c r="V28" s="516">
        <f t="shared" ref="V28:V29" si="16">+P28+S28+T28+U28</f>
        <v>36641.4</v>
      </c>
      <c r="W28" s="347" t="s">
        <v>1081</v>
      </c>
      <c r="X28" s="604" t="b">
        <f t="shared" si="10"/>
        <v>1</v>
      </c>
      <c r="Y28" s="605">
        <f t="shared" si="11"/>
        <v>0</v>
      </c>
    </row>
    <row r="29" spans="1:25" s="551" customFormat="1">
      <c r="A29" s="190">
        <f t="shared" si="0"/>
        <v>14</v>
      </c>
      <c r="B29" s="554" t="s">
        <v>644</v>
      </c>
      <c r="C29" s="701">
        <v>-174749.6</v>
      </c>
      <c r="D29" s="701">
        <v>0</v>
      </c>
      <c r="E29" s="701">
        <f t="shared" si="12"/>
        <v>-174749.6</v>
      </c>
      <c r="F29" s="701">
        <f t="shared" si="9"/>
        <v>0</v>
      </c>
      <c r="G29" s="701">
        <v>-174749.6</v>
      </c>
      <c r="H29" s="231">
        <v>1</v>
      </c>
      <c r="I29" s="701">
        <f t="shared" si="13"/>
        <v>-174749.6</v>
      </c>
      <c r="J29" s="10"/>
      <c r="K29" s="516" t="s">
        <v>1219</v>
      </c>
      <c r="L29" s="190" t="s">
        <v>1080</v>
      </c>
      <c r="M29" s="702">
        <v>0</v>
      </c>
      <c r="N29" s="702">
        <v>-161539.59</v>
      </c>
      <c r="O29" s="702">
        <v>0</v>
      </c>
      <c r="P29" s="794">
        <f t="shared" si="14"/>
        <v>-161539.59</v>
      </c>
      <c r="Q29" s="702">
        <v>0</v>
      </c>
      <c r="R29" s="702">
        <v>-13210.01</v>
      </c>
      <c r="S29" s="794">
        <f t="shared" si="15"/>
        <v>-13210.01</v>
      </c>
      <c r="T29" s="702">
        <v>0</v>
      </c>
      <c r="U29" s="702">
        <v>0</v>
      </c>
      <c r="V29" s="703">
        <f t="shared" si="16"/>
        <v>-174749.6</v>
      </c>
      <c r="W29" s="347" t="s">
        <v>1081</v>
      </c>
      <c r="X29" s="604" t="b">
        <f t="shared" si="10"/>
        <v>1</v>
      </c>
      <c r="Y29" s="605">
        <f t="shared" si="11"/>
        <v>0</v>
      </c>
    </row>
    <row r="30" spans="1:25" s="700" customFormat="1">
      <c r="A30" s="190">
        <f t="shared" si="0"/>
        <v>15</v>
      </c>
      <c r="B30" s="11" t="s">
        <v>1114</v>
      </c>
      <c r="C30" s="9">
        <f>SUM(C26:C29)</f>
        <v>36089813.839999996</v>
      </c>
      <c r="D30" s="9">
        <f t="shared" ref="D30:I30" si="17">SUM(D26:D29)</f>
        <v>0</v>
      </c>
      <c r="E30" s="9">
        <f t="shared" si="17"/>
        <v>36089813.839999996</v>
      </c>
      <c r="F30" s="9">
        <f t="shared" si="17"/>
        <v>-3.9999999105930328E-2</v>
      </c>
      <c r="G30" s="9">
        <f t="shared" si="17"/>
        <v>36089813.799999997</v>
      </c>
      <c r="H30" s="9"/>
      <c r="I30" s="9">
        <f t="shared" si="17"/>
        <v>36089813.799999997</v>
      </c>
      <c r="J30" s="10"/>
      <c r="K30" s="516"/>
      <c r="L30" s="190"/>
      <c r="M30" s="9">
        <f t="shared" ref="M30" si="18">SUM(M26:M29)</f>
        <v>13270077.649999999</v>
      </c>
      <c r="N30" s="9">
        <f t="shared" ref="N30" si="19">SUM(N26:N29)</f>
        <v>-127668.04999999999</v>
      </c>
      <c r="O30" s="9">
        <f t="shared" ref="O30" si="20">SUM(O26:O29)</f>
        <v>21638.14</v>
      </c>
      <c r="P30" s="9">
        <f t="shared" ref="P30" si="21">SUM(P26:P29)</f>
        <v>13164047.739999998</v>
      </c>
      <c r="Q30" s="9">
        <f t="shared" ref="Q30" si="22">SUM(Q26:Q29)</f>
        <v>20604267.039999999</v>
      </c>
      <c r="R30" s="9">
        <f t="shared" ref="R30" si="23">SUM(R26:R29)</f>
        <v>-10440.15</v>
      </c>
      <c r="S30" s="9">
        <f t="shared" ref="S30" si="24">SUM(S26:S29)</f>
        <v>20593826.889999997</v>
      </c>
      <c r="T30" s="9">
        <f t="shared" ref="T30" si="25">SUM(T26:T29)</f>
        <v>2549533.09</v>
      </c>
      <c r="U30" s="9">
        <f t="shared" ref="U30" si="26">SUM(U26:U29)</f>
        <v>-217593.92000000004</v>
      </c>
      <c r="V30" s="9">
        <f t="shared" ref="V30" si="27">SUM(V26:V29)</f>
        <v>36089813.79999999</v>
      </c>
      <c r="W30" s="347"/>
      <c r="X30" s="604"/>
      <c r="Y30" s="605"/>
    </row>
    <row r="31" spans="1:25" s="700" customFormat="1">
      <c r="A31" s="190">
        <f t="shared" si="0"/>
        <v>16</v>
      </c>
      <c r="B31" s="554"/>
      <c r="C31" s="9"/>
      <c r="D31" s="9"/>
      <c r="E31" s="9"/>
      <c r="F31" s="9"/>
      <c r="G31" s="9"/>
      <c r="H31" s="231"/>
      <c r="I31" s="9"/>
      <c r="J31" s="10"/>
      <c r="K31" s="516"/>
      <c r="L31" s="190"/>
      <c r="M31" s="410"/>
      <c r="N31" s="410"/>
      <c r="O31" s="410"/>
      <c r="P31" s="410"/>
      <c r="Q31" s="410"/>
      <c r="R31" s="410"/>
      <c r="S31" s="410"/>
      <c r="T31" s="410"/>
      <c r="U31" s="410"/>
      <c r="V31" s="516"/>
      <c r="W31" s="347"/>
      <c r="X31" s="604"/>
      <c r="Y31" s="605"/>
    </row>
    <row r="32" spans="1:25" s="551" customFormat="1">
      <c r="A32" s="190">
        <f t="shared" si="0"/>
        <v>17</v>
      </c>
      <c r="B32" s="554" t="s">
        <v>642</v>
      </c>
      <c r="C32" s="9">
        <v>-3330883.4</v>
      </c>
      <c r="D32" s="9">
        <v>0</v>
      </c>
      <c r="E32" s="9">
        <f>SUM(C32:D32)</f>
        <v>-3330883.4</v>
      </c>
      <c r="F32" s="9">
        <f>+G32-E32</f>
        <v>-2767296.73</v>
      </c>
      <c r="G32" s="9">
        <v>-6098180.1299999999</v>
      </c>
      <c r="H32" s="231">
        <v>1</v>
      </c>
      <c r="I32" s="9">
        <f>+G32*H32</f>
        <v>-6098180.1299999999</v>
      </c>
      <c r="J32" s="10"/>
      <c r="K32" s="516" t="s">
        <v>684</v>
      </c>
      <c r="L32" s="190" t="s">
        <v>1080</v>
      </c>
      <c r="M32" s="515">
        <f>ROUND(+$I32*'[5]II-F Alloc_Factor'!E$38,2)</f>
        <v>-2772127.43</v>
      </c>
      <c r="N32" s="515">
        <f>ROUND(+$I32*'[5]II-F Alloc_Factor'!F$38,2)</f>
        <v>0</v>
      </c>
      <c r="O32" s="515">
        <f>ROUND(+$I32*'[5]II-F Alloc_Factor'!G$38,2)</f>
        <v>-2381.61</v>
      </c>
      <c r="P32" s="515">
        <f>SUM(M32:O32)</f>
        <v>-2774509.04</v>
      </c>
      <c r="Q32" s="515">
        <f>+G32-P32-T32-U32</f>
        <v>-3166047.5599999996</v>
      </c>
      <c r="R32" s="515">
        <f>ROUND(+$I32*'[5]II-F Alloc_Factor'!J$38,2)</f>
        <v>0</v>
      </c>
      <c r="S32" s="515">
        <f>SUM(Q32:R32)</f>
        <v>-3166047.5599999996</v>
      </c>
      <c r="T32" s="515">
        <f>ROUND(+$I32*'[5]II-F Alloc_Factor'!L$38,2)</f>
        <v>-94892.49</v>
      </c>
      <c r="U32" s="515">
        <f>ROUND(+$I32*'[5]II-F Alloc_Factor'!M$38,2)</f>
        <v>-62731.040000000001</v>
      </c>
      <c r="V32" s="515">
        <f>+P32+S32+T32+U32</f>
        <v>-6098180.1299999999</v>
      </c>
      <c r="W32" s="347" t="s">
        <v>1081</v>
      </c>
      <c r="X32" s="604" t="b">
        <f>+V32=I32</f>
        <v>1</v>
      </c>
      <c r="Y32" s="605">
        <f>+I32-V32</f>
        <v>0</v>
      </c>
    </row>
    <row r="33" spans="1:25" s="551" customFormat="1">
      <c r="A33" s="190">
        <f t="shared" si="0"/>
        <v>18</v>
      </c>
      <c r="B33" s="554" t="s">
        <v>645</v>
      </c>
      <c r="C33" s="701">
        <v>1721954.8</v>
      </c>
      <c r="D33" s="701">
        <v>0</v>
      </c>
      <c r="E33" s="701">
        <f>SUM(C33:D33)</f>
        <v>1721954.8</v>
      </c>
      <c r="F33" s="701">
        <f>+G33-E33</f>
        <v>428826.94999999995</v>
      </c>
      <c r="G33" s="701">
        <v>2150781.75</v>
      </c>
      <c r="H33" s="231">
        <v>1</v>
      </c>
      <c r="I33" s="701">
        <f>+G33*H33</f>
        <v>2150781.75</v>
      </c>
      <c r="J33" s="10"/>
      <c r="K33" s="516" t="s">
        <v>685</v>
      </c>
      <c r="L33" s="190" t="s">
        <v>1080</v>
      </c>
      <c r="M33" s="702">
        <f>ROUND(+$I33*'[5]II-F Alloc_Factor'!E$39,2)</f>
        <v>0</v>
      </c>
      <c r="N33" s="702">
        <f>ROUND(+$I33*'[5]II-F Alloc_Factor'!F$39,2)</f>
        <v>1991696.63</v>
      </c>
      <c r="O33" s="702">
        <f>ROUND(+$I33*'[5]II-F Alloc_Factor'!G$39,2)</f>
        <v>0</v>
      </c>
      <c r="P33" s="795">
        <f>SUM(M33:O33)</f>
        <v>1991696.63</v>
      </c>
      <c r="Q33" s="702">
        <f>ROUND(+$I33*'[5]II-F Alloc_Factor'!I$39,2)</f>
        <v>0</v>
      </c>
      <c r="R33" s="702">
        <f>ROUND(+$I33*'[5]II-F Alloc_Factor'!J$39,2)</f>
        <v>159085.12</v>
      </c>
      <c r="S33" s="702">
        <f>SUM(Q33:R33)</f>
        <v>159085.12</v>
      </c>
      <c r="T33" s="702">
        <f>ROUND(+$I33*'[5]II-F Alloc_Factor'!L$39,2)</f>
        <v>0</v>
      </c>
      <c r="U33" s="702">
        <f>ROUND(+$I33*'[5]II-F Alloc_Factor'!M$39,2)</f>
        <v>0</v>
      </c>
      <c r="V33" s="703">
        <f>+P33+S33+T33+U33</f>
        <v>2150781.75</v>
      </c>
      <c r="W33" s="347" t="s">
        <v>1081</v>
      </c>
      <c r="X33" s="604" t="b">
        <f>+V33=I33</f>
        <v>1</v>
      </c>
      <c r="Y33" s="605">
        <f>+I33-V33</f>
        <v>0</v>
      </c>
    </row>
    <row r="34" spans="1:25" s="700" customFormat="1">
      <c r="A34" s="190">
        <f t="shared" si="0"/>
        <v>19</v>
      </c>
      <c r="B34" s="11" t="s">
        <v>1116</v>
      </c>
      <c r="C34" s="482">
        <f>SUM(C32:C33)</f>
        <v>-1608928.5999999999</v>
      </c>
      <c r="D34" s="482">
        <f t="shared" ref="D34:V34" si="28">SUM(D32:D33)</f>
        <v>0</v>
      </c>
      <c r="E34" s="482">
        <f t="shared" si="28"/>
        <v>-1608928.5999999999</v>
      </c>
      <c r="F34" s="482">
        <f t="shared" si="28"/>
        <v>-2338469.7800000003</v>
      </c>
      <c r="G34" s="482">
        <f t="shared" si="28"/>
        <v>-3947398.38</v>
      </c>
      <c r="H34" s="482"/>
      <c r="I34" s="482">
        <f t="shared" si="28"/>
        <v>-3947398.38</v>
      </c>
      <c r="J34" s="482"/>
      <c r="K34" s="482"/>
      <c r="L34" s="482"/>
      <c r="M34" s="482">
        <f t="shared" si="28"/>
        <v>-2772127.43</v>
      </c>
      <c r="N34" s="482">
        <f t="shared" si="28"/>
        <v>1991696.63</v>
      </c>
      <c r="O34" s="482">
        <f t="shared" si="28"/>
        <v>-2381.61</v>
      </c>
      <c r="P34" s="482">
        <f t="shared" si="28"/>
        <v>-782812.41000000015</v>
      </c>
      <c r="Q34" s="482">
        <f t="shared" si="28"/>
        <v>-3166047.5599999996</v>
      </c>
      <c r="R34" s="482">
        <f t="shared" si="28"/>
        <v>159085.12</v>
      </c>
      <c r="S34" s="482">
        <f t="shared" si="28"/>
        <v>-3006962.4399999995</v>
      </c>
      <c r="T34" s="482">
        <f t="shared" si="28"/>
        <v>-94892.49</v>
      </c>
      <c r="U34" s="482">
        <f t="shared" si="28"/>
        <v>-62731.040000000001</v>
      </c>
      <c r="V34" s="482">
        <f t="shared" si="28"/>
        <v>-3947398.38</v>
      </c>
      <c r="W34" s="347"/>
      <c r="X34" s="604"/>
      <c r="Y34" s="605"/>
    </row>
    <row r="35" spans="1:25" s="700" customFormat="1">
      <c r="A35" s="190">
        <f t="shared" si="0"/>
        <v>20</v>
      </c>
      <c r="B35" s="349"/>
      <c r="C35" s="9"/>
      <c r="D35" s="9"/>
      <c r="E35" s="9"/>
      <c r="F35" s="9"/>
      <c r="G35" s="9"/>
      <c r="H35" s="231"/>
      <c r="I35" s="9"/>
      <c r="J35" s="686"/>
      <c r="K35" s="524"/>
      <c r="L35" s="221"/>
      <c r="M35" s="515"/>
      <c r="N35" s="515"/>
      <c r="O35" s="515"/>
      <c r="P35" s="515"/>
      <c r="Q35" s="515"/>
      <c r="R35" s="515"/>
      <c r="S35" s="515"/>
      <c r="T35" s="515"/>
      <c r="U35" s="515"/>
      <c r="V35" s="515"/>
      <c r="W35" s="347"/>
      <c r="X35" s="604"/>
      <c r="Y35" s="605"/>
    </row>
    <row r="36" spans="1:25" s="551" customFormat="1">
      <c r="A36" s="190">
        <f t="shared" si="0"/>
        <v>21</v>
      </c>
      <c r="B36" s="11" t="s">
        <v>703</v>
      </c>
      <c r="C36" s="553">
        <f>+C24+C30+C34</f>
        <v>34480885.239999995</v>
      </c>
      <c r="D36" s="553">
        <f t="shared" ref="D36:I36" si="29">+D24+D30+D34</f>
        <v>0</v>
      </c>
      <c r="E36" s="553">
        <f t="shared" si="29"/>
        <v>34480885.239999995</v>
      </c>
      <c r="F36" s="553">
        <f t="shared" si="29"/>
        <v>-5840107.5399999991</v>
      </c>
      <c r="G36" s="553">
        <f t="shared" si="29"/>
        <v>28640777.699999999</v>
      </c>
      <c r="H36" s="231"/>
      <c r="I36" s="553">
        <f t="shared" si="29"/>
        <v>28640777.699999999</v>
      </c>
      <c r="J36" s="482"/>
      <c r="K36" s="482"/>
      <c r="L36" s="482"/>
      <c r="M36" s="553">
        <f t="shared" ref="M36:V36" si="30">+M24+M30+M34</f>
        <v>8973053.7499999981</v>
      </c>
      <c r="N36" s="553">
        <f t="shared" si="30"/>
        <v>1727771.3499999999</v>
      </c>
      <c r="O36" s="553">
        <f t="shared" si="30"/>
        <v>17946.449999999997</v>
      </c>
      <c r="P36" s="553">
        <f t="shared" si="30"/>
        <v>10718771.549999999</v>
      </c>
      <c r="Q36" s="553">
        <f t="shared" si="30"/>
        <v>15696634.780000001</v>
      </c>
      <c r="R36" s="553">
        <f t="shared" si="30"/>
        <v>137761.53999999998</v>
      </c>
      <c r="S36" s="553">
        <f t="shared" si="30"/>
        <v>15834396.319999998</v>
      </c>
      <c r="T36" s="553">
        <f t="shared" si="30"/>
        <v>2402441.9799999995</v>
      </c>
      <c r="U36" s="553">
        <f t="shared" si="30"/>
        <v>-314832.15000000008</v>
      </c>
      <c r="V36" s="553">
        <f t="shared" si="30"/>
        <v>28640777.699999992</v>
      </c>
      <c r="W36" s="347"/>
      <c r="X36" s="604" t="b">
        <f t="shared" si="10"/>
        <v>1</v>
      </c>
      <c r="Y36" s="605">
        <f t="shared" si="11"/>
        <v>0</v>
      </c>
    </row>
    <row r="37" spans="1:25" s="551" customFormat="1">
      <c r="A37" s="190">
        <f t="shared" si="0"/>
        <v>22</v>
      </c>
      <c r="B37" s="349"/>
      <c r="C37" s="347"/>
      <c r="D37" s="347"/>
      <c r="E37" s="347"/>
      <c r="F37" s="347"/>
      <c r="G37" s="575"/>
      <c r="H37" s="1"/>
      <c r="L37" s="347"/>
      <c r="X37" s="601"/>
      <c r="Y37" s="601"/>
    </row>
    <row r="38" spans="1:25" s="551" customFormat="1">
      <c r="A38" s="190">
        <f t="shared" si="0"/>
        <v>23</v>
      </c>
      <c r="B38" s="349"/>
      <c r="G38" s="575"/>
      <c r="X38" s="601"/>
      <c r="Y38" s="601"/>
    </row>
    <row r="39" spans="1:25" s="551" customFormat="1" ht="13.5" thickBot="1">
      <c r="A39" s="190">
        <f t="shared" si="0"/>
        <v>24</v>
      </c>
      <c r="B39" s="555" t="s">
        <v>646</v>
      </c>
      <c r="C39" s="489">
        <f>+C19+C36</f>
        <v>50714641.649999991</v>
      </c>
      <c r="D39" s="489">
        <f>+D19+D36</f>
        <v>0</v>
      </c>
      <c r="E39" s="489">
        <f>+E19+E36</f>
        <v>50714641.649999991</v>
      </c>
      <c r="F39" s="489">
        <f>+F19+F36</f>
        <v>-4802123.83</v>
      </c>
      <c r="G39" s="489">
        <f>+G19+G36</f>
        <v>45912517.82</v>
      </c>
      <c r="H39" s="12"/>
      <c r="I39" s="489">
        <f>+I19+I36</f>
        <v>45912517.82</v>
      </c>
      <c r="J39" s="638"/>
      <c r="K39" s="444"/>
      <c r="L39" s="444"/>
      <c r="M39" s="489">
        <f t="shared" ref="M39:V39" si="31">+M19+M36</f>
        <v>15921862.279999997</v>
      </c>
      <c r="N39" s="489">
        <f t="shared" si="31"/>
        <v>3566518.2299999995</v>
      </c>
      <c r="O39" s="489">
        <f t="shared" si="31"/>
        <v>23916.35</v>
      </c>
      <c r="P39" s="489">
        <f t="shared" si="31"/>
        <v>19512296.859999999</v>
      </c>
      <c r="Q39" s="489">
        <f t="shared" si="31"/>
        <v>23632871.060000002</v>
      </c>
      <c r="R39" s="489">
        <f t="shared" si="31"/>
        <v>284629.92</v>
      </c>
      <c r="S39" s="489">
        <f t="shared" si="31"/>
        <v>23917500.979999997</v>
      </c>
      <c r="T39" s="489">
        <f t="shared" si="31"/>
        <v>2640306.1199999996</v>
      </c>
      <c r="U39" s="489">
        <f t="shared" si="31"/>
        <v>-157586.14000000159</v>
      </c>
      <c r="V39" s="489">
        <f t="shared" si="31"/>
        <v>45912517.819999993</v>
      </c>
      <c r="X39" s="604" t="b">
        <f>+V39=I39</f>
        <v>1</v>
      </c>
      <c r="Y39" s="601"/>
    </row>
    <row r="40" spans="1:25" ht="13.5" thickTop="1">
      <c r="A40" s="190"/>
    </row>
    <row r="41" spans="1:25" s="700" customFormat="1">
      <c r="A41" s="190"/>
      <c r="B41" s="11"/>
      <c r="X41" s="601"/>
      <c r="Y41" s="601"/>
    </row>
    <row r="43" spans="1:25">
      <c r="B43" s="557" t="s">
        <v>221</v>
      </c>
      <c r="C43" s="690">
        <f>+'II-E-3'!E22+'II-E-3'!E23+'II-E-3'!E24</f>
        <v>50714641.649999999</v>
      </c>
      <c r="G43" s="690">
        <f>+SUM('II-E-3'!I22:I24)</f>
        <v>45912517.82</v>
      </c>
      <c r="H43" s="557" t="s">
        <v>221</v>
      </c>
      <c r="I43" s="556">
        <f>+'II-E-3'!I22+'II-E-3'!I23+'II-E-3'!I24</f>
        <v>45912517.82</v>
      </c>
      <c r="M43" s="556">
        <f>+'II-E-3'!N22+'II-E-3'!N23+'II-E-3'!N24</f>
        <v>15921862.279999997</v>
      </c>
      <c r="N43" s="556">
        <f>+'II-E-3'!O22+'II-E-3'!O23+'II-E-3'!O24</f>
        <v>3566518.2299999995</v>
      </c>
      <c r="O43" s="556">
        <f>+'II-E-3'!P22+'II-E-3'!P23+'II-E-3'!P24</f>
        <v>23916.35</v>
      </c>
      <c r="P43" s="556">
        <f>+'II-E-3'!Q22+'II-E-3'!Q23+'II-E-3'!Q24</f>
        <v>19512296.859999999</v>
      </c>
      <c r="Q43" s="556">
        <f>+'II-E-3'!R22+'II-E-3'!R23+'II-E-3'!R24</f>
        <v>23632871.060000002</v>
      </c>
      <c r="R43" s="556">
        <f>+'II-E-3'!S22+'II-E-3'!S23+'II-E-3'!S24</f>
        <v>284629.92</v>
      </c>
      <c r="S43" s="556">
        <f>+'II-E-3'!T22+'II-E-3'!T23+'II-E-3'!T24</f>
        <v>23917500.980000004</v>
      </c>
      <c r="T43" s="556">
        <f>+'II-E-3'!U22+'II-E-3'!U23+'II-E-3'!U24</f>
        <v>2640306.1199999996</v>
      </c>
      <c r="U43" s="556">
        <f>+'II-E-3'!V22+'II-E-3'!V23+'II-E-3'!V24</f>
        <v>-157586.14000000161</v>
      </c>
      <c r="V43" s="556">
        <f>+'II-E-3'!W22+'II-E-3'!W23+'II-E-3'!W24</f>
        <v>45912517.819999993</v>
      </c>
    </row>
    <row r="44" spans="1:25">
      <c r="C44" s="788">
        <f>+C43-C39</f>
        <v>0</v>
      </c>
      <c r="G44" s="788">
        <f>+G43-G39</f>
        <v>0</v>
      </c>
      <c r="I44" s="556">
        <f>+I43-I39</f>
        <v>0</v>
      </c>
      <c r="M44" s="556">
        <f t="shared" ref="M44:V44" si="32">+M43-M39</f>
        <v>0</v>
      </c>
      <c r="N44" s="556">
        <f t="shared" si="32"/>
        <v>0</v>
      </c>
      <c r="O44" s="556">
        <f t="shared" si="32"/>
        <v>0</v>
      </c>
      <c r="P44" s="556">
        <f t="shared" si="32"/>
        <v>0</v>
      </c>
      <c r="Q44" s="556">
        <f t="shared" si="32"/>
        <v>0</v>
      </c>
      <c r="R44" s="556">
        <f t="shared" si="32"/>
        <v>0</v>
      </c>
      <c r="S44" s="556">
        <f t="shared" si="32"/>
        <v>0</v>
      </c>
      <c r="T44" s="556">
        <f t="shared" si="32"/>
        <v>0</v>
      </c>
      <c r="U44" s="556">
        <f t="shared" si="32"/>
        <v>0</v>
      </c>
      <c r="V44" s="556">
        <f t="shared" si="32"/>
        <v>0</v>
      </c>
    </row>
    <row r="45" spans="1:25">
      <c r="G45" s="575"/>
    </row>
    <row r="46" spans="1:25">
      <c r="G46" s="575"/>
      <c r="H46" s="557" t="s">
        <v>877</v>
      </c>
      <c r="I46" s="556">
        <f>+'II-E-3.19'!D75</f>
        <v>45912517.820000008</v>
      </c>
      <c r="M46" s="685"/>
      <c r="N46" s="685"/>
      <c r="O46" s="685"/>
      <c r="P46" s="685"/>
      <c r="Q46" s="685"/>
      <c r="R46" s="685"/>
      <c r="S46" s="685"/>
      <c r="T46" s="685"/>
      <c r="U46" s="685"/>
      <c r="V46" s="685"/>
    </row>
    <row r="47" spans="1:25">
      <c r="G47" s="575"/>
      <c r="H47" s="637"/>
      <c r="I47" s="556">
        <f>+I46-I39</f>
        <v>0</v>
      </c>
      <c r="M47" s="563"/>
      <c r="N47" s="563"/>
      <c r="O47" s="563"/>
      <c r="P47" s="563"/>
      <c r="Q47" s="563"/>
      <c r="R47" s="563"/>
      <c r="S47" s="563"/>
      <c r="T47" s="563"/>
      <c r="U47" s="563"/>
      <c r="V47" s="563"/>
    </row>
    <row r="48" spans="1:25">
      <c r="C48" s="575"/>
      <c r="M48" s="410"/>
      <c r="N48" s="410"/>
      <c r="O48" s="410"/>
      <c r="P48" s="410"/>
      <c r="Q48" s="410"/>
      <c r="R48" s="410"/>
      <c r="S48" s="410"/>
      <c r="T48" s="410"/>
      <c r="U48" s="410"/>
      <c r="V48" s="410"/>
    </row>
    <row r="49" spans="2:25">
      <c r="C49" s="684"/>
      <c r="M49" s="480"/>
      <c r="N49" s="480"/>
      <c r="O49" s="480"/>
      <c r="P49" s="480"/>
      <c r="Q49" s="480"/>
      <c r="R49" s="480"/>
      <c r="S49" s="480"/>
      <c r="T49" s="480"/>
      <c r="U49" s="480"/>
      <c r="V49" s="480"/>
    </row>
    <row r="50" spans="2:25" s="687" customFormat="1">
      <c r="B50" s="796"/>
      <c r="C50" s="797"/>
      <c r="D50" s="797"/>
      <c r="E50" s="797"/>
      <c r="F50" s="797"/>
      <c r="G50" s="797"/>
      <c r="H50" s="797"/>
      <c r="I50" s="797"/>
      <c r="M50" s="686"/>
      <c r="N50" s="686"/>
      <c r="O50" s="686"/>
      <c r="P50" s="686"/>
      <c r="Q50" s="686"/>
      <c r="R50" s="686"/>
      <c r="S50" s="686"/>
      <c r="T50" s="686"/>
      <c r="U50" s="686"/>
      <c r="V50" s="686"/>
      <c r="X50" s="798"/>
      <c r="Y50" s="798"/>
    </row>
    <row r="51" spans="2:25" s="687" customFormat="1">
      <c r="B51" s="799"/>
      <c r="C51" s="799"/>
      <c r="D51" s="799"/>
      <c r="E51" s="799"/>
      <c r="F51" s="799"/>
      <c r="G51" s="799"/>
      <c r="H51" s="799"/>
      <c r="I51" s="799"/>
      <c r="M51" s="686"/>
      <c r="N51" s="686"/>
      <c r="O51" s="686"/>
      <c r="P51" s="686"/>
      <c r="Q51" s="686"/>
      <c r="R51" s="686"/>
      <c r="S51" s="686"/>
      <c r="T51" s="686"/>
      <c r="U51" s="686"/>
      <c r="V51" s="686"/>
      <c r="X51" s="798"/>
      <c r="Y51" s="798"/>
    </row>
    <row r="52" spans="2:25" s="687" customFormat="1">
      <c r="B52" s="799"/>
      <c r="C52" s="799"/>
      <c r="D52" s="799"/>
      <c r="E52" s="799"/>
      <c r="F52" s="799"/>
      <c r="G52" s="799"/>
      <c r="H52" s="799"/>
      <c r="I52" s="799"/>
      <c r="M52" s="563"/>
      <c r="N52" s="563"/>
      <c r="O52" s="563"/>
      <c r="P52" s="563"/>
      <c r="Q52" s="563"/>
      <c r="R52" s="563"/>
      <c r="S52" s="563"/>
      <c r="T52" s="563"/>
      <c r="U52" s="563"/>
      <c r="V52" s="563"/>
      <c r="X52" s="798"/>
      <c r="Y52" s="798"/>
    </row>
    <row r="53" spans="2:25" s="687" customFormat="1">
      <c r="B53" s="800"/>
      <c r="C53" s="801"/>
      <c r="D53" s="802"/>
      <c r="E53" s="799"/>
      <c r="F53" s="800"/>
      <c r="G53" s="685"/>
      <c r="H53" s="803"/>
      <c r="I53" s="799"/>
      <c r="M53" s="482"/>
      <c r="N53" s="482"/>
      <c r="O53" s="482"/>
      <c r="P53" s="482"/>
      <c r="Q53" s="482"/>
      <c r="R53" s="482"/>
      <c r="S53" s="482"/>
      <c r="T53" s="482"/>
      <c r="U53" s="482"/>
      <c r="V53" s="482"/>
      <c r="X53" s="798"/>
      <c r="Y53" s="798"/>
    </row>
    <row r="54" spans="2:25" s="687" customFormat="1">
      <c r="B54" s="800"/>
      <c r="C54" s="801"/>
      <c r="D54" s="802"/>
      <c r="E54" s="799"/>
      <c r="F54" s="800"/>
      <c r="G54" s="685"/>
      <c r="H54" s="803"/>
      <c r="I54" s="799"/>
      <c r="M54" s="483"/>
      <c r="N54" s="483"/>
      <c r="O54" s="483"/>
      <c r="P54" s="483"/>
      <c r="Q54" s="483"/>
      <c r="R54" s="483"/>
      <c r="S54" s="483"/>
      <c r="T54" s="483"/>
      <c r="U54" s="482"/>
      <c r="V54" s="483"/>
      <c r="X54" s="798"/>
      <c r="Y54" s="798"/>
    </row>
    <row r="55" spans="2:25" s="687" customFormat="1">
      <c r="B55" s="800"/>
      <c r="C55" s="685"/>
      <c r="D55" s="802"/>
      <c r="E55" s="799"/>
      <c r="F55" s="800"/>
      <c r="G55" s="685"/>
      <c r="H55" s="803"/>
      <c r="I55" s="799"/>
      <c r="M55" s="410"/>
      <c r="N55" s="410"/>
      <c r="O55" s="410"/>
      <c r="P55" s="524"/>
      <c r="Q55" s="410"/>
      <c r="R55" s="410"/>
      <c r="S55" s="524"/>
      <c r="T55" s="410"/>
      <c r="U55" s="410"/>
      <c r="V55" s="524"/>
      <c r="X55" s="798"/>
      <c r="Y55" s="798"/>
    </row>
    <row r="56" spans="2:25" s="687" customFormat="1">
      <c r="B56" s="804"/>
      <c r="C56" s="685"/>
      <c r="D56" s="799"/>
      <c r="E56" s="799"/>
      <c r="F56" s="804"/>
      <c r="G56" s="685"/>
      <c r="H56" s="799"/>
      <c r="I56" s="799"/>
      <c r="M56" s="482"/>
      <c r="N56" s="482"/>
      <c r="O56" s="482"/>
      <c r="P56" s="482"/>
      <c r="Q56" s="482"/>
      <c r="R56" s="482"/>
      <c r="S56" s="482"/>
      <c r="T56" s="482"/>
      <c r="U56" s="482"/>
      <c r="V56" s="522"/>
      <c r="X56" s="798"/>
      <c r="Y56" s="798"/>
    </row>
    <row r="57" spans="2:25" s="687" customFormat="1">
      <c r="B57" s="799"/>
      <c r="C57" s="799"/>
      <c r="D57" s="799"/>
      <c r="E57" s="799"/>
      <c r="F57" s="799"/>
      <c r="G57" s="799"/>
      <c r="H57" s="799"/>
      <c r="I57" s="799"/>
      <c r="M57" s="410"/>
      <c r="N57" s="410"/>
      <c r="O57" s="410"/>
      <c r="P57" s="524"/>
      <c r="Q57" s="410"/>
      <c r="R57" s="410"/>
      <c r="S57" s="524"/>
      <c r="T57" s="410"/>
      <c r="U57" s="410"/>
      <c r="V57" s="524"/>
      <c r="X57" s="798"/>
      <c r="Y57" s="798"/>
    </row>
    <row r="58" spans="2:25">
      <c r="M58" s="480"/>
      <c r="N58" s="480"/>
      <c r="O58" s="480"/>
      <c r="P58" s="480"/>
      <c r="Q58" s="480"/>
      <c r="R58" s="480"/>
      <c r="S58" s="480"/>
      <c r="T58" s="480"/>
      <c r="U58" s="480"/>
      <c r="V58" s="480"/>
    </row>
    <row r="59" spans="2:25">
      <c r="M59" s="687"/>
      <c r="N59" s="687"/>
      <c r="O59" s="687"/>
      <c r="P59" s="687"/>
      <c r="Q59" s="687"/>
      <c r="R59" s="687"/>
      <c r="S59" s="687"/>
      <c r="T59" s="687"/>
      <c r="U59" s="687"/>
      <c r="V59" s="687"/>
    </row>
    <row r="60" spans="2:25">
      <c r="M60" s="687"/>
      <c r="N60" s="687"/>
      <c r="O60" s="687"/>
      <c r="P60" s="687"/>
      <c r="Q60" s="687"/>
      <c r="R60" s="687"/>
      <c r="S60" s="687"/>
      <c r="T60" s="687"/>
      <c r="U60" s="687"/>
      <c r="V60" s="687"/>
    </row>
    <row r="61" spans="2:25">
      <c r="M61" s="480"/>
      <c r="N61" s="480"/>
      <c r="O61" s="480"/>
      <c r="P61" s="480"/>
      <c r="Q61" s="480"/>
      <c r="R61" s="480"/>
      <c r="S61" s="480"/>
      <c r="T61" s="480"/>
      <c r="U61" s="480"/>
      <c r="V61" s="480"/>
    </row>
    <row r="62" spans="2:25">
      <c r="M62" s="687"/>
      <c r="N62" s="687"/>
      <c r="O62" s="687"/>
      <c r="P62" s="687"/>
      <c r="Q62" s="687"/>
      <c r="R62" s="687"/>
      <c r="S62" s="687"/>
      <c r="T62" s="687"/>
      <c r="U62" s="687"/>
      <c r="V62" s="687"/>
    </row>
    <row r="63" spans="2:25">
      <c r="M63" s="687"/>
      <c r="N63" s="687"/>
      <c r="O63" s="687"/>
      <c r="P63" s="687"/>
      <c r="Q63" s="687"/>
      <c r="R63" s="687"/>
      <c r="S63" s="687"/>
      <c r="T63" s="687"/>
      <c r="U63" s="687"/>
      <c r="V63" s="687"/>
    </row>
    <row r="64" spans="2:25">
      <c r="M64" s="563"/>
      <c r="N64" s="563"/>
      <c r="O64" s="563"/>
      <c r="P64" s="563"/>
      <c r="Q64" s="563"/>
      <c r="R64" s="563"/>
      <c r="S64" s="563"/>
      <c r="T64" s="563"/>
      <c r="U64" s="563"/>
      <c r="V64" s="563"/>
    </row>
    <row r="65" spans="13:22">
      <c r="M65" s="410"/>
      <c r="N65" s="410"/>
      <c r="O65" s="410"/>
      <c r="P65" s="410"/>
      <c r="Q65" s="410"/>
      <c r="R65" s="410"/>
      <c r="S65" s="410"/>
      <c r="T65" s="410"/>
      <c r="U65" s="410"/>
      <c r="V65" s="410"/>
    </row>
    <row r="66" spans="13:22">
      <c r="M66" s="480"/>
      <c r="N66" s="480"/>
      <c r="O66" s="480"/>
      <c r="P66" s="480"/>
      <c r="Q66" s="480"/>
      <c r="R66" s="480"/>
      <c r="S66" s="480"/>
      <c r="T66" s="480"/>
      <c r="U66" s="480"/>
      <c r="V66" s="480"/>
    </row>
    <row r="67" spans="13:22">
      <c r="M67" s="686"/>
      <c r="N67" s="686"/>
      <c r="O67" s="686"/>
      <c r="P67" s="686"/>
      <c r="Q67" s="686"/>
      <c r="R67" s="686"/>
      <c r="S67" s="686"/>
      <c r="T67" s="686"/>
      <c r="U67" s="686"/>
      <c r="V67" s="686"/>
    </row>
    <row r="68" spans="13:22">
      <c r="M68" s="686"/>
      <c r="N68" s="686"/>
      <c r="O68" s="686"/>
      <c r="P68" s="686"/>
      <c r="Q68" s="686"/>
      <c r="R68" s="686"/>
      <c r="S68" s="686"/>
      <c r="T68" s="686"/>
      <c r="U68" s="686"/>
      <c r="V68" s="686"/>
    </row>
    <row r="69" spans="13:22">
      <c r="M69" s="563"/>
      <c r="N69" s="563"/>
      <c r="O69" s="563"/>
      <c r="P69" s="563"/>
      <c r="Q69" s="563"/>
      <c r="R69" s="563"/>
      <c r="S69" s="563"/>
      <c r="T69" s="563"/>
      <c r="U69" s="563"/>
      <c r="V69" s="563"/>
    </row>
    <row r="70" spans="13:22">
      <c r="M70" s="482"/>
      <c r="N70" s="482"/>
      <c r="O70" s="482"/>
      <c r="P70" s="482"/>
      <c r="Q70" s="482"/>
      <c r="R70" s="482"/>
      <c r="S70" s="482"/>
      <c r="T70" s="482"/>
      <c r="U70" s="482"/>
      <c r="V70" s="482"/>
    </row>
    <row r="71" spans="13:22">
      <c r="M71" s="483"/>
      <c r="N71" s="483"/>
      <c r="O71" s="483"/>
      <c r="P71" s="483"/>
      <c r="Q71" s="483"/>
      <c r="R71" s="483"/>
      <c r="S71" s="483"/>
      <c r="T71" s="483"/>
      <c r="U71" s="482"/>
      <c r="V71" s="483"/>
    </row>
    <row r="72" spans="13:22">
      <c r="M72" s="410"/>
      <c r="N72" s="410"/>
      <c r="O72" s="410"/>
      <c r="P72" s="524"/>
      <c r="Q72" s="410"/>
      <c r="R72" s="410"/>
      <c r="S72" s="524"/>
      <c r="T72" s="410"/>
      <c r="U72" s="410"/>
      <c r="V72" s="524"/>
    </row>
    <row r="73" spans="13:22">
      <c r="M73" s="482"/>
      <c r="N73" s="482"/>
      <c r="O73" s="482"/>
      <c r="P73" s="482"/>
      <c r="Q73" s="482"/>
      <c r="R73" s="482"/>
      <c r="S73" s="482"/>
      <c r="T73" s="482"/>
      <c r="U73" s="482"/>
      <c r="V73" s="522"/>
    </row>
    <row r="74" spans="13:22">
      <c r="M74" s="410"/>
      <c r="N74" s="410"/>
      <c r="O74" s="410"/>
      <c r="P74" s="524"/>
      <c r="Q74" s="410"/>
      <c r="R74" s="410"/>
      <c r="S74" s="524"/>
      <c r="T74" s="410"/>
      <c r="U74" s="410"/>
      <c r="V74" s="524"/>
    </row>
    <row r="75" spans="13:22">
      <c r="M75" s="480"/>
      <c r="N75" s="480"/>
      <c r="O75" s="480"/>
      <c r="P75" s="480"/>
      <c r="Q75" s="480"/>
      <c r="R75" s="480"/>
      <c r="S75" s="480"/>
      <c r="T75" s="480"/>
      <c r="U75" s="480"/>
      <c r="V75" s="480"/>
    </row>
    <row r="76" spans="13:22">
      <c r="M76" s="687"/>
      <c r="N76" s="687"/>
      <c r="O76" s="687"/>
      <c r="P76" s="687"/>
      <c r="Q76" s="687"/>
      <c r="R76" s="687"/>
      <c r="S76" s="687"/>
      <c r="T76" s="687"/>
      <c r="U76" s="687"/>
      <c r="V76" s="687"/>
    </row>
    <row r="77" spans="13:22">
      <c r="M77" s="687"/>
      <c r="N77" s="687"/>
      <c r="O77" s="687"/>
      <c r="P77" s="687"/>
      <c r="Q77" s="687"/>
      <c r="R77" s="687"/>
      <c r="S77" s="687"/>
      <c r="T77" s="687"/>
      <c r="U77" s="687"/>
      <c r="V77" s="687"/>
    </row>
    <row r="78" spans="13:22">
      <c r="M78" s="480"/>
      <c r="N78" s="480"/>
      <c r="O78" s="480"/>
      <c r="P78" s="480"/>
      <c r="Q78" s="480"/>
      <c r="R78" s="480"/>
      <c r="S78" s="480"/>
      <c r="T78" s="480"/>
      <c r="U78" s="480"/>
      <c r="V78" s="480"/>
    </row>
    <row r="79" spans="13:22">
      <c r="M79" s="687"/>
      <c r="N79" s="687"/>
      <c r="O79" s="687"/>
      <c r="P79" s="687"/>
      <c r="Q79" s="687"/>
      <c r="R79" s="687"/>
      <c r="S79" s="687"/>
      <c r="T79" s="687"/>
      <c r="U79" s="687"/>
      <c r="V79" s="687"/>
    </row>
    <row r="80" spans="13:22">
      <c r="M80" s="687"/>
      <c r="N80" s="687"/>
      <c r="O80" s="687"/>
      <c r="P80" s="687"/>
      <c r="Q80" s="687"/>
      <c r="R80" s="687"/>
      <c r="S80" s="687"/>
      <c r="T80" s="687"/>
      <c r="U80" s="687"/>
      <c r="V80" s="687"/>
    </row>
  </sheetData>
  <phoneticPr fontId="10" type="noConversion"/>
  <printOptions horizontalCentered="1"/>
  <pageMargins left="0.5" right="0.5" top="3" bottom="0.5" header="1.5" footer="0.5"/>
  <pageSetup scale="52" fitToWidth="2" fitToHeight="0" pageOrder="overThenDown" orientation="landscape"/>
  <headerFooter alignWithMargins="0">
    <oddHeader>&amp;R&amp;"Arial,Bold"Schedule &amp;A
Page &amp;P of &amp;N&amp;C&amp;B
2025 RATE CASE
ONCOR ELECTRIC DELIVERY COMPANY LLC
II-E-3.18  AMORTIZATION OF PROTECTED AND UNPROTECTED EXCESS DEFERRED TAXES
TEST YEAR ENDING DECEMBER 31, 2024
SPONSOR: B. L. CLUTTER</oddHeader>
  </headerFooter>
  <colBreaks count="1" manualBreakCount="1">
    <brk id="9" min="7" max="31" man="1"/>
  </col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08"/>
  <dimension ref="A1:T86"/>
  <sheetViews>
    <sheetView zoomScale="80" zoomScaleNormal="80" workbookViewId="0">
      <pane xSplit="3" ySplit="11" topLeftCell="D12" activePane="bottomRight" state="frozen"/>
      <selection activeCell="E19" sqref="E19"/>
      <selection pane="topRight" activeCell="E19" sqref="E19"/>
      <selection pane="bottomLeft" activeCell="E19" sqref="E19"/>
      <selection pane="bottomRight" activeCell="C47" sqref="C47"/>
    </sheetView>
  </sheetViews>
  <sheetFormatPr defaultColWidth="9.140625" defaultRowHeight="12.75"/>
  <cols>
    <col min="1" max="1" width="5" style="144" customWidth="1"/>
    <col min="2" max="2" width="9.5703125" style="144" customWidth="1"/>
    <col min="3" max="3" width="45.140625" style="144" customWidth="1"/>
    <col min="4" max="4" width="18.42578125" style="192" bestFit="1" customWidth="1"/>
    <col min="5" max="5" width="18.85546875" style="192" bestFit="1" customWidth="1"/>
    <col min="6" max="6" width="23.85546875" style="347" bestFit="1" customWidth="1"/>
    <col min="7" max="7" width="11.42578125" style="144" bestFit="1" customWidth="1"/>
    <col min="8" max="8" width="15.42578125" style="144" bestFit="1" customWidth="1"/>
    <col min="9" max="9" width="14.42578125" style="346" bestFit="1" customWidth="1"/>
    <col min="10" max="10" width="13.85546875" style="346" bestFit="1" customWidth="1"/>
    <col min="11" max="11" width="15.42578125" style="346" bestFit="1" customWidth="1"/>
    <col min="12" max="12" width="15.42578125" style="144" bestFit="1" customWidth="1"/>
    <col min="13" max="13" width="13.42578125" style="346" bestFit="1" customWidth="1"/>
    <col min="14" max="14" width="15.42578125" style="346" bestFit="1" customWidth="1"/>
    <col min="15" max="16" width="14.42578125" style="144" bestFit="1" customWidth="1"/>
    <col min="17" max="17" width="17.140625" style="144" bestFit="1" customWidth="1"/>
    <col min="18" max="18" width="7.140625" style="257" bestFit="1" customWidth="1"/>
    <col min="19" max="19" width="8.5703125" style="257" bestFit="1" customWidth="1"/>
    <col min="20" max="16384" width="9.140625" style="144"/>
  </cols>
  <sheetData>
    <row r="1" spans="1:19">
      <c r="A1" s="189" t="str">
        <f>+'[3]Input Data'!$A$9</f>
        <v>2025 RATE CASE</v>
      </c>
    </row>
    <row r="2" spans="1:19">
      <c r="A2" s="188" t="str">
        <f>+'[3]Input Data'!$A$2</f>
        <v>ONCOR ELECTRIC DELIVERY COMPANY LLC</v>
      </c>
    </row>
    <row r="3" spans="1:19">
      <c r="A3" s="187" t="str">
        <f>CONCATENATE('[3]Schedule Sponsors'!$A$104,'[3]Schedule Sponsors'!$B$104)</f>
        <v>II-E-3.19  ANALYSIS OF EXCESS DEFERRED TAXES BY TIMING DIFFERENCE</v>
      </c>
    </row>
    <row r="4" spans="1:19">
      <c r="A4" s="187" t="str">
        <f>+'[3]Input Data'!$A$4</f>
        <v>TEST YEAR ENDING DECEMBER 31, 2024</v>
      </c>
    </row>
    <row r="5" spans="1:19">
      <c r="A5" s="185" t="str">
        <f>CONCATENATE("SPONSOR: ",'[3]Schedule Sponsors'!$D$106)</f>
        <v>SPONSOR: B. L. CLUTTER</v>
      </c>
      <c r="F5" s="516"/>
    </row>
    <row r="6" spans="1:19">
      <c r="F6" s="516"/>
    </row>
    <row r="8" spans="1:19">
      <c r="H8" s="600"/>
    </row>
    <row r="9" spans="1:19" ht="13.5" thickBot="1"/>
    <row r="10" spans="1:19" s="506" customFormat="1" ht="38.25">
      <c r="A10" s="505" t="s">
        <v>356</v>
      </c>
      <c r="B10" s="505" t="s">
        <v>352</v>
      </c>
      <c r="C10" s="505" t="s">
        <v>64</v>
      </c>
      <c r="D10" s="505" t="s">
        <v>355</v>
      </c>
      <c r="E10" s="505" t="s">
        <v>353</v>
      </c>
      <c r="F10" s="505" t="s">
        <v>1015</v>
      </c>
      <c r="G10" s="505" t="s">
        <v>354</v>
      </c>
      <c r="H10" s="505" t="s">
        <v>198</v>
      </c>
      <c r="I10" s="505" t="s">
        <v>576</v>
      </c>
      <c r="J10" s="505" t="s">
        <v>577</v>
      </c>
      <c r="K10" s="505" t="s">
        <v>578</v>
      </c>
      <c r="L10" s="505" t="s">
        <v>199</v>
      </c>
      <c r="M10" s="505" t="s">
        <v>579</v>
      </c>
      <c r="N10" s="505" t="s">
        <v>580</v>
      </c>
      <c r="O10" s="505" t="s">
        <v>194</v>
      </c>
      <c r="P10" s="505" t="s">
        <v>279</v>
      </c>
      <c r="Q10" s="505" t="s">
        <v>73</v>
      </c>
      <c r="R10" s="570"/>
      <c r="S10" s="570"/>
    </row>
    <row r="11" spans="1:19" s="190" customFormat="1" ht="13.5" thickBot="1">
      <c r="A11" s="215"/>
      <c r="B11" s="215" t="s">
        <v>226</v>
      </c>
      <c r="C11" s="215" t="s">
        <v>227</v>
      </c>
      <c r="D11" s="215" t="s">
        <v>229</v>
      </c>
      <c r="E11" s="215" t="s">
        <v>230</v>
      </c>
      <c r="F11" s="215" t="s">
        <v>231</v>
      </c>
      <c r="G11" s="215" t="s">
        <v>232</v>
      </c>
      <c r="H11" s="215" t="s">
        <v>233</v>
      </c>
      <c r="I11" s="215" t="s">
        <v>581</v>
      </c>
      <c r="J11" s="215" t="s">
        <v>235</v>
      </c>
      <c r="K11" s="215" t="s">
        <v>236</v>
      </c>
      <c r="L11" s="215" t="s">
        <v>237</v>
      </c>
      <c r="M11" s="215" t="s">
        <v>238</v>
      </c>
      <c r="N11" s="215" t="s">
        <v>239</v>
      </c>
      <c r="O11" s="215" t="s">
        <v>240</v>
      </c>
      <c r="P11" s="215" t="s">
        <v>270</v>
      </c>
      <c r="Q11" s="215" t="s">
        <v>280</v>
      </c>
      <c r="R11" s="571"/>
      <c r="S11" s="571"/>
    </row>
    <row r="12" spans="1:19" s="192" customFormat="1">
      <c r="F12" s="190"/>
      <c r="R12" s="197"/>
      <c r="S12" s="197"/>
    </row>
    <row r="13" spans="1:19" s="192" customFormat="1">
      <c r="A13" s="190">
        <v>1</v>
      </c>
      <c r="B13" s="567" t="s">
        <v>44</v>
      </c>
      <c r="D13" s="515"/>
      <c r="E13" s="516"/>
      <c r="F13" s="516"/>
      <c r="G13" s="461"/>
      <c r="H13" s="461"/>
      <c r="I13" s="461"/>
      <c r="J13" s="461"/>
      <c r="K13" s="461"/>
      <c r="L13" s="461"/>
      <c r="M13" s="461"/>
      <c r="N13" s="461"/>
      <c r="O13" s="461"/>
      <c r="P13" s="461"/>
      <c r="Q13" s="461"/>
      <c r="R13" s="197"/>
      <c r="S13" s="197"/>
    </row>
    <row r="14" spans="1:19" s="192" customFormat="1">
      <c r="A14" s="190">
        <f>+A13+1</f>
        <v>2</v>
      </c>
      <c r="C14" s="559"/>
      <c r="D14" s="515"/>
      <c r="E14" s="516"/>
      <c r="F14" s="516"/>
      <c r="G14" s="461"/>
      <c r="H14" s="461"/>
      <c r="I14" s="461"/>
      <c r="J14" s="461"/>
      <c r="K14" s="461"/>
      <c r="L14" s="461"/>
      <c r="M14" s="461"/>
      <c r="N14" s="461"/>
      <c r="O14" s="461"/>
      <c r="P14" s="461"/>
      <c r="Q14" s="461"/>
      <c r="R14" s="197"/>
      <c r="S14" s="197"/>
    </row>
    <row r="15" spans="1:19" s="192" customFormat="1">
      <c r="A15" s="190">
        <f t="shared" ref="A15:A75" si="0">+A14+1</f>
        <v>3</v>
      </c>
      <c r="B15" s="190">
        <v>254</v>
      </c>
      <c r="C15" s="331" t="s">
        <v>1069</v>
      </c>
      <c r="D15" s="520">
        <v>17461191.489999998</v>
      </c>
      <c r="E15" s="520">
        <v>-1023896612.3</v>
      </c>
      <c r="F15" s="516" t="s">
        <v>684</v>
      </c>
      <c r="G15" s="190" t="s">
        <v>680</v>
      </c>
      <c r="H15" s="519">
        <f>ROUND(+$E15*'[5]II-F Alloc_Factor'!E$38,2)</f>
        <v>-465445727.83999997</v>
      </c>
      <c r="I15" s="519">
        <f>ROUND(+$E15*'[5]II-F Alloc_Factor'!F$38,2)</f>
        <v>0</v>
      </c>
      <c r="J15" s="519">
        <f>ROUND(+$E15*'[5]II-F Alloc_Factor'!G$38,2)</f>
        <v>-399876.35</v>
      </c>
      <c r="K15" s="519">
        <f>SUM(H15:J15)</f>
        <v>-465845604.19</v>
      </c>
      <c r="L15" s="519">
        <f>ROUND(+$E15*'[5]II-F Alloc_Factor'!I$38,2)</f>
        <v>-531585703.48000002</v>
      </c>
      <c r="M15" s="519">
        <f>ROUND(+$E15*'[5]II-F Alloc_Factor'!J$38,2)</f>
        <v>0</v>
      </c>
      <c r="N15" s="519">
        <f>SUM(L15:M15)</f>
        <v>-531585703.48000002</v>
      </c>
      <c r="O15" s="519">
        <f>ROUND(+$E15*'[5]II-F Alloc_Factor'!L$38,2)</f>
        <v>-15932637.65</v>
      </c>
      <c r="P15" s="519">
        <f>ROUND(+$E15*'[5]II-F Alloc_Factor'!M$38,2)</f>
        <v>-10532666.99</v>
      </c>
      <c r="Q15" s="519">
        <f>+K15+N15+O15+P15</f>
        <v>-1023896612.3100001</v>
      </c>
      <c r="R15" s="197" t="b">
        <f>+E15=Q15</f>
        <v>0</v>
      </c>
      <c r="S15" s="617">
        <f>+E15-Q15</f>
        <v>1.0000109672546387E-2</v>
      </c>
    </row>
    <row r="16" spans="1:19" s="192" customFormat="1">
      <c r="A16" s="190">
        <f t="shared" si="0"/>
        <v>4</v>
      </c>
      <c r="B16" s="190">
        <v>254</v>
      </c>
      <c r="C16" s="331" t="s">
        <v>1070</v>
      </c>
      <c r="D16" s="564">
        <v>2087265.44</v>
      </c>
      <c r="E16" s="564">
        <v>-50605947.090000004</v>
      </c>
      <c r="F16" s="516" t="s">
        <v>685</v>
      </c>
      <c r="G16" s="190" t="s">
        <v>680</v>
      </c>
      <c r="H16" s="410">
        <f>ROUND(+$E16*'[5]II-F Alloc_Factor'!E$39,2)</f>
        <v>0</v>
      </c>
      <c r="I16" s="410">
        <f>ROUND(+$E16*'[5]II-F Alloc_Factor'!F$39,2)</f>
        <v>-46862818.280000001</v>
      </c>
      <c r="J16" s="410">
        <f>ROUND(+$E16*'[5]II-F Alloc_Factor'!G$39,2)</f>
        <v>0</v>
      </c>
      <c r="K16" s="789">
        <f t="shared" ref="K16:K18" si="1">SUM(H16:J16)</f>
        <v>-46862818.280000001</v>
      </c>
      <c r="L16" s="410">
        <f>ROUND(+$E16*'[5]II-F Alloc_Factor'!I$39,2)</f>
        <v>0</v>
      </c>
      <c r="M16" s="410">
        <f>ROUND(+$E16*'[5]II-F Alloc_Factor'!J$39,2)</f>
        <v>-3743128.81</v>
      </c>
      <c r="N16" s="410">
        <f>SUM(L16:M16)</f>
        <v>-3743128.81</v>
      </c>
      <c r="O16" s="410">
        <f>ROUND(+$E16*'[5]II-F Alloc_Factor'!L$39,2)</f>
        <v>0</v>
      </c>
      <c r="P16" s="410">
        <f>ROUND(+$E16*'[5]II-F Alloc_Factor'!M$39,2)</f>
        <v>0</v>
      </c>
      <c r="Q16" s="516">
        <f t="shared" ref="Q16" si="2">+K16+N16+O16+P16</f>
        <v>-50605947.090000004</v>
      </c>
      <c r="R16" s="197" t="b">
        <f t="shared" ref="R16:R19" si="3">+E16=Q16</f>
        <v>1</v>
      </c>
      <c r="S16" s="617">
        <f>+E16-Q16</f>
        <v>0</v>
      </c>
    </row>
    <row r="17" spans="1:20" s="192" customFormat="1">
      <c r="A17" s="190">
        <f t="shared" si="0"/>
        <v>5</v>
      </c>
      <c r="B17" s="190">
        <v>254</v>
      </c>
      <c r="C17" s="331" t="s">
        <v>664</v>
      </c>
      <c r="D17" s="564">
        <v>-2175066.63</v>
      </c>
      <c r="E17" s="564">
        <v>11588703.550000001</v>
      </c>
      <c r="F17" s="516" t="s">
        <v>684</v>
      </c>
      <c r="G17" s="190" t="s">
        <v>680</v>
      </c>
      <c r="H17" s="515">
        <f>ROUND(+$E17*'[5]II-F Alloc_Factor'!E$38,2)</f>
        <v>5268024.62</v>
      </c>
      <c r="I17" s="515">
        <f>ROUND(+$E17*'[5]II-F Alloc_Factor'!F$38,2)</f>
        <v>0</v>
      </c>
      <c r="J17" s="515">
        <f>ROUND(+$E17*'[5]II-F Alloc_Factor'!G$38,2)</f>
        <v>4525.8900000000003</v>
      </c>
      <c r="K17" s="789">
        <f t="shared" si="1"/>
        <v>5272550.51</v>
      </c>
      <c r="L17" s="515">
        <f>+E17-K17-O17-P17</f>
        <v>6016612.4800000014</v>
      </c>
      <c r="M17" s="515">
        <f>ROUND(+$E17*'[5]II-F Alloc_Factor'!J$38,2)</f>
        <v>0</v>
      </c>
      <c r="N17" s="410">
        <f t="shared" ref="N17:N18" si="4">SUM(L17:M17)</f>
        <v>6016612.4800000014</v>
      </c>
      <c r="O17" s="515">
        <f>ROUND(+$E17*'[5]II-F Alloc_Factor'!L$38,2)</f>
        <v>180329.35</v>
      </c>
      <c r="P17" s="515">
        <f>ROUND(+$E17*'[5]II-F Alloc_Factor'!M$38,2)</f>
        <v>119211.21</v>
      </c>
      <c r="Q17" s="515">
        <f>+K17+N17+O17+P17</f>
        <v>11588703.550000003</v>
      </c>
      <c r="R17" s="197" t="b">
        <f t="shared" si="3"/>
        <v>1</v>
      </c>
      <c r="S17" s="617">
        <f>+E17-Q17</f>
        <v>0</v>
      </c>
    </row>
    <row r="18" spans="1:20" s="192" customFormat="1">
      <c r="A18" s="190">
        <f t="shared" si="0"/>
        <v>6</v>
      </c>
      <c r="B18" s="190">
        <v>254</v>
      </c>
      <c r="C18" s="331" t="s">
        <v>665</v>
      </c>
      <c r="D18" s="564">
        <v>-101650.18</v>
      </c>
      <c r="E18" s="564">
        <v>858441.53</v>
      </c>
      <c r="F18" s="516" t="s">
        <v>685</v>
      </c>
      <c r="G18" s="221" t="s">
        <v>680</v>
      </c>
      <c r="H18" s="410">
        <f>ROUND(+$E18*'[5]II-F Alloc_Factor'!E$39,2)</f>
        <v>0</v>
      </c>
      <c r="I18" s="410">
        <f>ROUND(+$E18*'[5]II-F Alloc_Factor'!F$39,2)</f>
        <v>794945.89</v>
      </c>
      <c r="J18" s="410">
        <f>ROUND(+$E18*'[5]II-F Alloc_Factor'!G$39,2)</f>
        <v>0</v>
      </c>
      <c r="K18" s="789">
        <f t="shared" si="1"/>
        <v>794945.89</v>
      </c>
      <c r="L18" s="410">
        <f>ROUND(+$E18*'[5]II-F Alloc_Factor'!I$39,2)</f>
        <v>0</v>
      </c>
      <c r="M18" s="410">
        <f>ROUND(+$E18*'[5]II-F Alloc_Factor'!J$39,2)</f>
        <v>63495.64</v>
      </c>
      <c r="N18" s="410">
        <f t="shared" si="4"/>
        <v>63495.64</v>
      </c>
      <c r="O18" s="410">
        <f>ROUND(+$E18*'[5]II-F Alloc_Factor'!L$39,2)</f>
        <v>0</v>
      </c>
      <c r="P18" s="410">
        <f>ROUND(+$E18*'[5]II-F Alloc_Factor'!M$39,2)</f>
        <v>0</v>
      </c>
      <c r="Q18" s="516">
        <f t="shared" ref="Q18" si="5">+K18+N18+O18+P18</f>
        <v>858441.53</v>
      </c>
      <c r="R18" s="197" t="b">
        <f t="shared" si="3"/>
        <v>1</v>
      </c>
      <c r="S18" s="617">
        <f>+E18-Q18</f>
        <v>0</v>
      </c>
    </row>
    <row r="19" spans="1:20" s="192" customFormat="1">
      <c r="A19" s="190">
        <f t="shared" si="0"/>
        <v>7</v>
      </c>
      <c r="B19" s="190"/>
      <c r="C19" s="11" t="s">
        <v>45</v>
      </c>
      <c r="D19" s="562">
        <f>SUM(D15:D18)</f>
        <v>17271740.120000001</v>
      </c>
      <c r="E19" s="562">
        <f>SUM(E15:E18)</f>
        <v>-1062055414.3099999</v>
      </c>
      <c r="F19" s="483"/>
      <c r="G19" s="483"/>
      <c r="H19" s="562">
        <f>SUM(H15:H18)</f>
        <v>-460177703.21999997</v>
      </c>
      <c r="I19" s="562">
        <f t="shared" ref="I19:Q19" si="6">SUM(I15:I18)</f>
        <v>-46067872.390000001</v>
      </c>
      <c r="J19" s="562">
        <f t="shared" si="6"/>
        <v>-395350.45999999996</v>
      </c>
      <c r="K19" s="562">
        <f t="shared" si="6"/>
        <v>-506640926.07000005</v>
      </c>
      <c r="L19" s="562">
        <f t="shared" si="6"/>
        <v>-525569091</v>
      </c>
      <c r="M19" s="562">
        <f t="shared" si="6"/>
        <v>-3679633.17</v>
      </c>
      <c r="N19" s="562">
        <f t="shared" si="6"/>
        <v>-529248724.17000002</v>
      </c>
      <c r="O19" s="562">
        <f t="shared" si="6"/>
        <v>-15752308.300000001</v>
      </c>
      <c r="P19" s="562">
        <f t="shared" si="6"/>
        <v>-10413455.779999999</v>
      </c>
      <c r="Q19" s="562">
        <f t="shared" si="6"/>
        <v>-1062055414.3200002</v>
      </c>
      <c r="R19" s="197" t="b">
        <f t="shared" si="3"/>
        <v>0</v>
      </c>
      <c r="S19" s="617">
        <f>+E19-Q19</f>
        <v>1.0000228881835938E-2</v>
      </c>
    </row>
    <row r="20" spans="1:20" s="192" customFormat="1">
      <c r="A20" s="190">
        <f t="shared" si="0"/>
        <v>8</v>
      </c>
      <c r="B20" s="190"/>
      <c r="C20" s="190"/>
      <c r="D20" s="516"/>
      <c r="E20" s="516"/>
      <c r="F20" s="516"/>
      <c r="G20" s="461"/>
      <c r="H20" s="461"/>
      <c r="I20" s="461"/>
      <c r="J20" s="461"/>
      <c r="K20" s="461"/>
      <c r="L20" s="461"/>
      <c r="M20" s="461"/>
      <c r="N20" s="461"/>
      <c r="O20" s="461"/>
      <c r="P20" s="461"/>
      <c r="Q20" s="461"/>
      <c r="R20" s="197"/>
      <c r="S20" s="197"/>
    </row>
    <row r="21" spans="1:20">
      <c r="A21" s="190">
        <f t="shared" si="0"/>
        <v>9</v>
      </c>
      <c r="B21" s="568" t="s">
        <v>702</v>
      </c>
      <c r="D21" s="516"/>
      <c r="E21" s="516"/>
      <c r="F21" s="2"/>
      <c r="G21" s="13"/>
      <c r="H21" s="13"/>
      <c r="I21" s="13"/>
      <c r="J21" s="13"/>
      <c r="K21" s="13"/>
      <c r="L21" s="13"/>
      <c r="M21" s="13"/>
      <c r="N21" s="13"/>
      <c r="O21" s="13"/>
      <c r="P21" s="13"/>
      <c r="Q21" s="13"/>
    </row>
    <row r="22" spans="1:20" s="346" customFormat="1">
      <c r="A22" s="190">
        <f t="shared" si="0"/>
        <v>10</v>
      </c>
      <c r="B22" s="347"/>
      <c r="C22" s="560"/>
      <c r="D22" s="516"/>
      <c r="E22" s="516"/>
      <c r="F22" s="2"/>
      <c r="G22" s="13"/>
      <c r="H22" s="13"/>
      <c r="I22" s="13"/>
      <c r="J22" s="13"/>
      <c r="K22" s="13"/>
      <c r="L22" s="13"/>
      <c r="M22" s="13"/>
      <c r="N22" s="13"/>
      <c r="O22" s="13"/>
      <c r="P22" s="13"/>
      <c r="Q22" s="13"/>
      <c r="R22" s="257"/>
      <c r="S22" s="257"/>
    </row>
    <row r="23" spans="1:20" s="346" customFormat="1">
      <c r="A23" s="190">
        <f t="shared" si="0"/>
        <v>11</v>
      </c>
      <c r="B23" s="347">
        <v>254</v>
      </c>
      <c r="C23" s="349" t="s">
        <v>322</v>
      </c>
      <c r="D23" s="520">
        <v>-3354497.06</v>
      </c>
      <c r="E23" s="520">
        <v>133109550.09</v>
      </c>
      <c r="F23" s="516" t="s">
        <v>684</v>
      </c>
      <c r="G23" s="190" t="s">
        <v>680</v>
      </c>
      <c r="H23" s="519">
        <f>ROUND(+$E23*'[5]II-F Alloc_Factor'!E$38,2)</f>
        <v>60509304.039999999</v>
      </c>
      <c r="I23" s="519">
        <f>ROUND(+$E23*'[5]II-F Alloc_Factor'!F$38,2)</f>
        <v>0</v>
      </c>
      <c r="J23" s="519">
        <f>ROUND(+$E23*'[5]II-F Alloc_Factor'!G$38,2)</f>
        <v>51985.09</v>
      </c>
      <c r="K23" s="519">
        <f>SUM(H23:J23)</f>
        <v>60561289.130000003</v>
      </c>
      <c r="L23" s="519">
        <f t="shared" ref="L23" si="7">ROUND(+E23-H23-I23-J23-M23-O23-P23,2)</f>
        <v>69107694.060000002</v>
      </c>
      <c r="M23" s="519">
        <f>ROUND(+$E23*'[5]II-F Alloc_Factor'!J$38,2)</f>
        <v>0</v>
      </c>
      <c r="N23" s="519">
        <f>SUM(L23:M23)</f>
        <v>69107694.060000002</v>
      </c>
      <c r="O23" s="519">
        <f>ROUND(+$E23*'[5]II-F Alloc_Factor'!L$38,2)</f>
        <v>2071289.43</v>
      </c>
      <c r="P23" s="519">
        <f>ROUND(+$E23*'[5]II-F Alloc_Factor'!M$38,2)</f>
        <v>1369277.47</v>
      </c>
      <c r="Q23" s="519">
        <f>+H23+I23+J23+L23+M23+O23+P23</f>
        <v>133109550.09</v>
      </c>
      <c r="R23" s="197" t="b">
        <f>+E22=Q22</f>
        <v>1</v>
      </c>
      <c r="S23" s="617">
        <f>+E22-Q22</f>
        <v>0</v>
      </c>
    </row>
    <row r="24" spans="1:20" s="346" customFormat="1">
      <c r="A24" s="190">
        <f t="shared" si="0"/>
        <v>12</v>
      </c>
      <c r="B24" s="347">
        <v>254</v>
      </c>
      <c r="C24" s="331" t="s">
        <v>666</v>
      </c>
      <c r="D24" s="110">
        <v>3701806</v>
      </c>
      <c r="E24" s="110">
        <v>-8718955.0199999996</v>
      </c>
      <c r="F24" s="516" t="s">
        <v>1218</v>
      </c>
      <c r="G24" s="190" t="s">
        <v>680</v>
      </c>
      <c r="H24" s="515">
        <v>-4047621.81</v>
      </c>
      <c r="I24" s="515">
        <v>0</v>
      </c>
      <c r="J24" s="515">
        <v>-5163.88</v>
      </c>
      <c r="K24" s="515">
        <f>SUM(H24:J24)</f>
        <v>-4052785.69</v>
      </c>
      <c r="L24" s="515">
        <v>-4389583.0599999996</v>
      </c>
      <c r="M24" s="515">
        <v>0</v>
      </c>
      <c r="N24" s="515">
        <f>SUM(L24:M24)</f>
        <v>-4389583.0599999996</v>
      </c>
      <c r="O24" s="515">
        <v>-149284.25</v>
      </c>
      <c r="P24" s="515">
        <v>-127302.02</v>
      </c>
      <c r="Q24" s="515">
        <f>+H24+I24+J24+L24+M24+O24+P24</f>
        <v>-8718955.0199999996</v>
      </c>
      <c r="R24" s="197" t="b">
        <f>+E23=Q23</f>
        <v>1</v>
      </c>
      <c r="S24" s="617">
        <f>+E23-Q23</f>
        <v>0</v>
      </c>
      <c r="T24" s="600"/>
    </row>
    <row r="25" spans="1:20" s="346" customFormat="1">
      <c r="A25" s="190">
        <f t="shared" si="0"/>
        <v>13</v>
      </c>
      <c r="B25" s="347">
        <v>254</v>
      </c>
      <c r="C25" s="331" t="s">
        <v>667</v>
      </c>
      <c r="D25" s="683">
        <v>1984777.6</v>
      </c>
      <c r="E25" s="683">
        <v>-4627237.78</v>
      </c>
      <c r="F25" s="516" t="s">
        <v>1218</v>
      </c>
      <c r="G25" s="190" t="s">
        <v>680</v>
      </c>
      <c r="H25" s="515">
        <v>-2148113.91</v>
      </c>
      <c r="I25" s="515">
        <v>0</v>
      </c>
      <c r="J25" s="515">
        <v>-2740.53</v>
      </c>
      <c r="K25" s="515">
        <f t="shared" ref="K25:K35" si="8">SUM(H25:J25)</f>
        <v>-2150854.44</v>
      </c>
      <c r="L25" s="515">
        <v>-2329596.21</v>
      </c>
      <c r="M25" s="515">
        <v>0</v>
      </c>
      <c r="N25" s="515">
        <f t="shared" ref="N25:N35" si="9">SUM(L25:M25)</f>
        <v>-2329596.21</v>
      </c>
      <c r="O25" s="515">
        <v>-79226.66</v>
      </c>
      <c r="P25" s="515">
        <v>-67560.47</v>
      </c>
      <c r="Q25" s="515">
        <f>+H25+I25+J25+L25+M25+O25+P25</f>
        <v>-4627237.78</v>
      </c>
      <c r="R25" s="197" t="b">
        <f t="shared" ref="R25" si="10">+E25=Q25</f>
        <v>1</v>
      </c>
      <c r="S25" s="617">
        <f t="shared" ref="S25:S70" si="11">+E25-Q25</f>
        <v>0</v>
      </c>
      <c r="T25" s="600"/>
    </row>
    <row r="26" spans="1:20" s="346" customFormat="1">
      <c r="A26" s="190">
        <f t="shared" si="0"/>
        <v>14</v>
      </c>
      <c r="B26" s="347">
        <v>254</v>
      </c>
      <c r="C26" s="331" t="s">
        <v>27</v>
      </c>
      <c r="D26" s="683">
        <v>2351357.6</v>
      </c>
      <c r="E26" s="683">
        <v>-5482873.3099999996</v>
      </c>
      <c r="F26" s="516" t="s">
        <v>1218</v>
      </c>
      <c r="G26" s="190" t="s">
        <v>680</v>
      </c>
      <c r="H26" s="515">
        <v>-2545327.6800000002</v>
      </c>
      <c r="I26" s="515">
        <v>0</v>
      </c>
      <c r="J26" s="515">
        <v>-3247.28</v>
      </c>
      <c r="K26" s="515">
        <f t="shared" si="8"/>
        <v>-2548574.96</v>
      </c>
      <c r="L26" s="515">
        <v>-2760368.39</v>
      </c>
      <c r="M26" s="515">
        <v>0</v>
      </c>
      <c r="N26" s="515">
        <f t="shared" si="9"/>
        <v>-2760368.39</v>
      </c>
      <c r="O26" s="515">
        <v>-93876.69</v>
      </c>
      <c r="P26" s="515">
        <v>-80053.27</v>
      </c>
      <c r="Q26" s="515">
        <f t="shared" ref="Q26:Q35" si="12">+H26+I26+J26+L26+M26+O26+P26</f>
        <v>-5482873.3099999996</v>
      </c>
      <c r="R26" s="197" t="b">
        <f t="shared" ref="R26:R36" si="13">+E26=Q26</f>
        <v>1</v>
      </c>
      <c r="S26" s="617">
        <f t="shared" si="11"/>
        <v>0</v>
      </c>
      <c r="T26" s="600"/>
    </row>
    <row r="27" spans="1:20" s="346" customFormat="1">
      <c r="A27" s="190">
        <f t="shared" si="0"/>
        <v>15</v>
      </c>
      <c r="B27" s="347">
        <v>254</v>
      </c>
      <c r="C27" s="331" t="s">
        <v>350</v>
      </c>
      <c r="D27" s="683">
        <v>1385041.8</v>
      </c>
      <c r="E27" s="683">
        <v>-3227937.11</v>
      </c>
      <c r="F27" s="516" t="s">
        <v>1218</v>
      </c>
      <c r="G27" s="190" t="s">
        <v>680</v>
      </c>
      <c r="H27" s="515">
        <v>-1498513.14</v>
      </c>
      <c r="I27" s="515">
        <v>0</v>
      </c>
      <c r="J27" s="515">
        <v>-1911.78</v>
      </c>
      <c r="K27" s="515">
        <f t="shared" si="8"/>
        <v>-1500424.92</v>
      </c>
      <c r="L27" s="515">
        <v>-1625114.24</v>
      </c>
      <c r="M27" s="515">
        <v>0</v>
      </c>
      <c r="N27" s="515">
        <f t="shared" si="9"/>
        <v>-1625114.24</v>
      </c>
      <c r="O27" s="515">
        <v>-55268.11</v>
      </c>
      <c r="P27" s="515">
        <v>-47129.84</v>
      </c>
      <c r="Q27" s="515">
        <f t="shared" si="12"/>
        <v>-3227937.11</v>
      </c>
      <c r="R27" s="197" t="b">
        <f t="shared" si="13"/>
        <v>1</v>
      </c>
      <c r="S27" s="617">
        <f t="shared" si="11"/>
        <v>0</v>
      </c>
      <c r="T27" s="600"/>
    </row>
    <row r="28" spans="1:20" s="346" customFormat="1">
      <c r="A28" s="190">
        <f t="shared" si="0"/>
        <v>16</v>
      </c>
      <c r="B28" s="347">
        <v>254</v>
      </c>
      <c r="C28" s="331" t="s">
        <v>668</v>
      </c>
      <c r="D28" s="683">
        <v>6074333</v>
      </c>
      <c r="E28" s="683">
        <v>-10104060.67</v>
      </c>
      <c r="F28" s="516" t="s">
        <v>1218</v>
      </c>
      <c r="G28" s="190" t="s">
        <v>680</v>
      </c>
      <c r="H28" s="515">
        <v>-4690632.79</v>
      </c>
      <c r="I28" s="515">
        <v>0</v>
      </c>
      <c r="J28" s="515">
        <v>-5984.23</v>
      </c>
      <c r="K28" s="515">
        <f t="shared" si="8"/>
        <v>-4696617.0200000005</v>
      </c>
      <c r="L28" s="515">
        <v>-5086918.4800000004</v>
      </c>
      <c r="M28" s="515">
        <v>0</v>
      </c>
      <c r="N28" s="515">
        <f t="shared" si="9"/>
        <v>-5086918.4800000004</v>
      </c>
      <c r="O28" s="515">
        <v>-172999.76</v>
      </c>
      <c r="P28" s="515">
        <v>-147525.41</v>
      </c>
      <c r="Q28" s="515">
        <f t="shared" si="12"/>
        <v>-10104060.67</v>
      </c>
      <c r="R28" s="197" t="b">
        <f t="shared" si="13"/>
        <v>1</v>
      </c>
      <c r="S28" s="617">
        <f t="shared" si="11"/>
        <v>0</v>
      </c>
      <c r="T28" s="600"/>
    </row>
    <row r="29" spans="1:20" s="346" customFormat="1">
      <c r="A29" s="190">
        <f t="shared" si="0"/>
        <v>17</v>
      </c>
      <c r="B29" s="347">
        <v>254</v>
      </c>
      <c r="C29" s="331" t="s">
        <v>397</v>
      </c>
      <c r="D29" s="683">
        <v>16482281.6</v>
      </c>
      <c r="E29" s="683">
        <f>-38086960.16-0.15</f>
        <v>-38086960.309999995</v>
      </c>
      <c r="F29" s="516" t="s">
        <v>1218</v>
      </c>
      <c r="G29" s="190" t="s">
        <v>680</v>
      </c>
      <c r="H29" s="515">
        <v>-17681202.629999999</v>
      </c>
      <c r="I29" s="515">
        <v>0</v>
      </c>
      <c r="J29" s="515">
        <v>-22557.37</v>
      </c>
      <c r="K29" s="515">
        <f t="shared" si="8"/>
        <v>-17703760</v>
      </c>
      <c r="L29" s="515">
        <f>-19174989.97-0.15</f>
        <v>-19174990.119999997</v>
      </c>
      <c r="M29" s="515">
        <v>0</v>
      </c>
      <c r="N29" s="515">
        <f t="shared" si="9"/>
        <v>-19174990.119999997</v>
      </c>
      <c r="O29" s="515">
        <v>-652117.5</v>
      </c>
      <c r="P29" s="515">
        <v>-556092.68999999994</v>
      </c>
      <c r="Q29" s="515">
        <f t="shared" si="12"/>
        <v>-38086960.309999995</v>
      </c>
      <c r="R29" s="197" t="b">
        <f t="shared" si="13"/>
        <v>1</v>
      </c>
      <c r="S29" s="617">
        <f t="shared" si="11"/>
        <v>0</v>
      </c>
      <c r="T29" s="600"/>
    </row>
    <row r="30" spans="1:20" s="346" customFormat="1">
      <c r="A30" s="190">
        <f t="shared" si="0"/>
        <v>18</v>
      </c>
      <c r="B30" s="347">
        <v>254</v>
      </c>
      <c r="C30" s="331" t="s">
        <v>18</v>
      </c>
      <c r="D30" s="683">
        <v>6865815.4000000004</v>
      </c>
      <c r="E30" s="683">
        <v>-16050078.890000001</v>
      </c>
      <c r="F30" s="516" t="s">
        <v>1218</v>
      </c>
      <c r="G30" s="190" t="s">
        <v>680</v>
      </c>
      <c r="H30" s="515">
        <v>-7450967.3600000003</v>
      </c>
      <c r="I30" s="515">
        <v>0</v>
      </c>
      <c r="J30" s="515">
        <v>-9505.81</v>
      </c>
      <c r="K30" s="515">
        <f t="shared" si="8"/>
        <v>-7460473.1699999999</v>
      </c>
      <c r="L30" s="515">
        <v>-8080458.5299999993</v>
      </c>
      <c r="M30" s="515">
        <v>0</v>
      </c>
      <c r="N30" s="515">
        <f t="shared" si="9"/>
        <v>-8080458.5299999993</v>
      </c>
      <c r="O30" s="515">
        <v>-274806.32</v>
      </c>
      <c r="P30" s="515">
        <v>-234340.87</v>
      </c>
      <c r="Q30" s="515">
        <f t="shared" si="12"/>
        <v>-16050078.889999999</v>
      </c>
      <c r="R30" s="197" t="b">
        <f t="shared" si="13"/>
        <v>1</v>
      </c>
      <c r="S30" s="617">
        <f t="shared" si="11"/>
        <v>0</v>
      </c>
      <c r="T30" s="600"/>
    </row>
    <row r="31" spans="1:20" s="346" customFormat="1">
      <c r="A31" s="190">
        <f t="shared" si="0"/>
        <v>19</v>
      </c>
      <c r="B31" s="347">
        <v>254</v>
      </c>
      <c r="C31" s="331" t="s">
        <v>669</v>
      </c>
      <c r="D31" s="683">
        <v>-2613994.4</v>
      </c>
      <c r="E31" s="683">
        <v>6071353.2999999998</v>
      </c>
      <c r="F31" s="516" t="s">
        <v>1218</v>
      </c>
      <c r="G31" s="190" t="s">
        <v>680</v>
      </c>
      <c r="H31" s="515">
        <v>2818519.19</v>
      </c>
      <c r="I31" s="515">
        <v>0</v>
      </c>
      <c r="J31" s="515">
        <v>3595.82</v>
      </c>
      <c r="K31" s="515">
        <f t="shared" si="8"/>
        <v>2822115.01</v>
      </c>
      <c r="L31" s="515">
        <v>3056640.3200000003</v>
      </c>
      <c r="M31" s="515">
        <v>0</v>
      </c>
      <c r="N31" s="515">
        <f t="shared" si="9"/>
        <v>3056640.3200000003</v>
      </c>
      <c r="O31" s="515">
        <v>103952.53</v>
      </c>
      <c r="P31" s="515">
        <v>88645.440000000002</v>
      </c>
      <c r="Q31" s="515">
        <f t="shared" si="12"/>
        <v>6071353.3000000007</v>
      </c>
      <c r="R31" s="197" t="b">
        <f t="shared" si="13"/>
        <v>1</v>
      </c>
      <c r="S31" s="617">
        <f t="shared" si="11"/>
        <v>0</v>
      </c>
      <c r="T31" s="600"/>
    </row>
    <row r="32" spans="1:20" s="346" customFormat="1">
      <c r="A32" s="190">
        <f t="shared" si="0"/>
        <v>20</v>
      </c>
      <c r="B32" s="347">
        <v>254</v>
      </c>
      <c r="C32" s="331" t="s">
        <v>670</v>
      </c>
      <c r="D32" s="683">
        <v>303491.59999999998</v>
      </c>
      <c r="E32" s="683">
        <v>-974654.64</v>
      </c>
      <c r="F32" s="516" t="s">
        <v>1218</v>
      </c>
      <c r="G32" s="190" t="s">
        <v>680</v>
      </c>
      <c r="H32" s="515">
        <v>-452466.31</v>
      </c>
      <c r="I32" s="515">
        <v>0</v>
      </c>
      <c r="J32" s="515">
        <v>-577.25</v>
      </c>
      <c r="K32" s="515">
        <f t="shared" si="8"/>
        <v>-453043.56</v>
      </c>
      <c r="L32" s="515">
        <v>-490692.68</v>
      </c>
      <c r="M32" s="515">
        <v>0</v>
      </c>
      <c r="N32" s="515">
        <f t="shared" si="9"/>
        <v>-490692.68</v>
      </c>
      <c r="O32" s="515">
        <v>-16687.849999999999</v>
      </c>
      <c r="P32" s="515">
        <v>-14230.55</v>
      </c>
      <c r="Q32" s="515">
        <f t="shared" si="12"/>
        <v>-974654.64</v>
      </c>
      <c r="R32" s="197" t="b">
        <f t="shared" si="13"/>
        <v>1</v>
      </c>
      <c r="S32" s="617">
        <f t="shared" si="11"/>
        <v>0</v>
      </c>
      <c r="T32" s="600"/>
    </row>
    <row r="33" spans="1:20" s="346" customFormat="1">
      <c r="A33" s="190">
        <f t="shared" si="0"/>
        <v>21</v>
      </c>
      <c r="B33" s="347">
        <v>254</v>
      </c>
      <c r="C33" s="790" t="s">
        <v>1068</v>
      </c>
      <c r="D33" s="683">
        <v>-147140.66000000015</v>
      </c>
      <c r="E33" s="683">
        <v>7472757.3700000001</v>
      </c>
      <c r="F33" s="516" t="s">
        <v>685</v>
      </c>
      <c r="G33" s="190" t="s">
        <v>680</v>
      </c>
      <c r="H33" s="410">
        <f>ROUND(+$E33*'[5]II-F Alloc_Factor'!E$39,2)</f>
        <v>0</v>
      </c>
      <c r="I33" s="410">
        <f>ROUND(+$E33*'[5]II-F Alloc_Factor'!F$39,2)</f>
        <v>6920026.0199999996</v>
      </c>
      <c r="J33" s="410">
        <f>ROUND(+$E33*'[5]II-F Alloc_Factor'!G$39,2)</f>
        <v>0</v>
      </c>
      <c r="K33" s="515">
        <f t="shared" si="8"/>
        <v>6920026.0199999996</v>
      </c>
      <c r="L33" s="410">
        <f>ROUND(+$E33*'[5]II-F Alloc_Factor'!I$39,2)</f>
        <v>0</v>
      </c>
      <c r="M33" s="410">
        <f>ROUND(+$E33*'[5]II-F Alloc_Factor'!J$39,2)</f>
        <v>552731.35</v>
      </c>
      <c r="N33" s="515">
        <f t="shared" si="9"/>
        <v>552731.35</v>
      </c>
      <c r="O33" s="410">
        <f>ROUND(+$E33*'[5]II-F Alloc_Factor'!L$39,2)</f>
        <v>0</v>
      </c>
      <c r="P33" s="410">
        <f>ROUND(+$E33*'[5]II-F Alloc_Factor'!M$39,2)</f>
        <v>0</v>
      </c>
      <c r="Q33" s="515">
        <f t="shared" si="12"/>
        <v>7472757.3699999992</v>
      </c>
      <c r="R33" s="197" t="b">
        <f t="shared" ref="R33" si="14">+E33=Q33</f>
        <v>1</v>
      </c>
      <c r="S33" s="617">
        <f t="shared" ref="S33" si="15">+E33-Q33</f>
        <v>0</v>
      </c>
      <c r="T33" s="600"/>
    </row>
    <row r="34" spans="1:20" s="346" customFormat="1">
      <c r="A34" s="190">
        <f t="shared" si="0"/>
        <v>22</v>
      </c>
      <c r="B34" s="347">
        <v>254</v>
      </c>
      <c r="C34" s="331" t="s">
        <v>671</v>
      </c>
      <c r="D34" s="683">
        <v>80939</v>
      </c>
      <c r="E34" s="683">
        <v>-269796.67</v>
      </c>
      <c r="F34" s="516" t="s">
        <v>1219</v>
      </c>
      <c r="G34" s="190" t="s">
        <v>680</v>
      </c>
      <c r="H34" s="410">
        <v>0</v>
      </c>
      <c r="I34" s="410">
        <v>-249401.68</v>
      </c>
      <c r="J34" s="410">
        <v>0</v>
      </c>
      <c r="K34" s="515">
        <f t="shared" si="8"/>
        <v>-249401.68</v>
      </c>
      <c r="L34" s="410">
        <v>0</v>
      </c>
      <c r="M34" s="410">
        <v>-20394.990000000002</v>
      </c>
      <c r="N34" s="515">
        <f t="shared" si="9"/>
        <v>-20394.990000000002</v>
      </c>
      <c r="O34" s="410">
        <v>0</v>
      </c>
      <c r="P34" s="410">
        <v>0</v>
      </c>
      <c r="Q34" s="516">
        <f t="shared" si="12"/>
        <v>-269796.67</v>
      </c>
      <c r="R34" s="197" t="b">
        <f t="shared" si="13"/>
        <v>1</v>
      </c>
      <c r="S34" s="617">
        <f t="shared" si="11"/>
        <v>0</v>
      </c>
      <c r="T34" s="600"/>
    </row>
    <row r="35" spans="1:20" s="346" customFormat="1">
      <c r="A35" s="190">
        <f t="shared" si="0"/>
        <v>23</v>
      </c>
      <c r="B35" s="347">
        <v>254</v>
      </c>
      <c r="C35" s="331" t="s">
        <v>672</v>
      </c>
      <c r="D35" s="683">
        <v>-44297.599999999999</v>
      </c>
      <c r="E35" s="683">
        <v>147658.66999999998</v>
      </c>
      <c r="F35" s="516" t="s">
        <v>1219</v>
      </c>
      <c r="G35" s="190" t="s">
        <v>680</v>
      </c>
      <c r="H35" s="410">
        <v>0</v>
      </c>
      <c r="I35" s="410">
        <v>136496.57</v>
      </c>
      <c r="J35" s="410">
        <v>0</v>
      </c>
      <c r="K35" s="515">
        <f t="shared" si="8"/>
        <v>136496.57</v>
      </c>
      <c r="L35" s="410">
        <v>0</v>
      </c>
      <c r="M35" s="410">
        <v>11162.1</v>
      </c>
      <c r="N35" s="515">
        <f t="shared" si="9"/>
        <v>11162.1</v>
      </c>
      <c r="O35" s="410">
        <v>0</v>
      </c>
      <c r="P35" s="410">
        <v>0</v>
      </c>
      <c r="Q35" s="516">
        <f t="shared" si="12"/>
        <v>147658.67000000001</v>
      </c>
      <c r="R35" s="197" t="b">
        <f t="shared" si="13"/>
        <v>1</v>
      </c>
      <c r="S35" s="617">
        <f t="shared" si="11"/>
        <v>0</v>
      </c>
      <c r="T35" s="600"/>
    </row>
    <row r="36" spans="1:20" s="346" customFormat="1">
      <c r="A36" s="190">
        <f t="shared" si="0"/>
        <v>24</v>
      </c>
      <c r="B36" s="347"/>
      <c r="C36" s="11" t="s">
        <v>704</v>
      </c>
      <c r="D36" s="562">
        <f>SUM(D23:D35)</f>
        <v>33069913.879999999</v>
      </c>
      <c r="E36" s="562">
        <f>SUM(E23:E35)</f>
        <v>59258765.030000001</v>
      </c>
      <c r="F36" s="524"/>
      <c r="G36" s="13"/>
      <c r="H36" s="562">
        <f t="shared" ref="H36:Q36" si="16">SUM(H23:H35)</f>
        <v>22812977.599999998</v>
      </c>
      <c r="I36" s="562">
        <f t="shared" si="16"/>
        <v>6807120.9100000001</v>
      </c>
      <c r="J36" s="562">
        <f t="shared" si="16"/>
        <v>3892.7800000000007</v>
      </c>
      <c r="K36" s="562">
        <f t="shared" si="16"/>
        <v>29623991.289999999</v>
      </c>
      <c r="L36" s="562">
        <f t="shared" si="16"/>
        <v>28226612.669999994</v>
      </c>
      <c r="M36" s="562">
        <f t="shared" si="16"/>
        <v>543498.46</v>
      </c>
      <c r="N36" s="562">
        <f>SUM(N23:N35)</f>
        <v>28770111.129999999</v>
      </c>
      <c r="O36" s="562">
        <f t="shared" si="16"/>
        <v>680974.82</v>
      </c>
      <c r="P36" s="562">
        <f t="shared" si="16"/>
        <v>183687.79000000004</v>
      </c>
      <c r="Q36" s="562">
        <f t="shared" si="16"/>
        <v>59258765.030000009</v>
      </c>
      <c r="R36" s="197" t="b">
        <f t="shared" si="13"/>
        <v>1</v>
      </c>
      <c r="S36" s="617">
        <f t="shared" si="11"/>
        <v>0</v>
      </c>
    </row>
    <row r="37" spans="1:20" s="346" customFormat="1">
      <c r="A37" s="190">
        <f t="shared" si="0"/>
        <v>25</v>
      </c>
      <c r="B37" s="347"/>
      <c r="C37" s="331"/>
      <c r="D37" s="516"/>
      <c r="E37" s="516"/>
      <c r="F37" s="524"/>
      <c r="G37" s="13"/>
      <c r="H37" s="679"/>
      <c r="I37" s="516"/>
      <c r="J37" s="516"/>
      <c r="K37" s="516"/>
      <c r="L37" s="516"/>
      <c r="M37" s="516"/>
      <c r="N37" s="516"/>
      <c r="O37" s="516"/>
      <c r="P37" s="516"/>
      <c r="Q37" s="516"/>
      <c r="R37" s="257"/>
      <c r="S37" s="257"/>
    </row>
    <row r="38" spans="1:20" s="192" customFormat="1">
      <c r="A38" s="190">
        <f t="shared" si="0"/>
        <v>26</v>
      </c>
      <c r="B38" s="190">
        <v>254</v>
      </c>
      <c r="C38" s="572" t="s">
        <v>349</v>
      </c>
      <c r="D38" s="520">
        <v>114451.8</v>
      </c>
      <c r="E38" s="520">
        <v>-268956.05</v>
      </c>
      <c r="F38" s="524" t="s">
        <v>1253</v>
      </c>
      <c r="G38" s="190" t="s">
        <v>680</v>
      </c>
      <c r="H38" s="745">
        <v>-24703.34</v>
      </c>
      <c r="I38" s="745">
        <v>0</v>
      </c>
      <c r="J38" s="745">
        <v>0</v>
      </c>
      <c r="K38" s="745">
        <f>SUM(H38:J38)</f>
        <v>-24703.34</v>
      </c>
      <c r="L38" s="745">
        <v>-233847.47999999998</v>
      </c>
      <c r="M38" s="745">
        <v>0</v>
      </c>
      <c r="N38" s="745">
        <f>SUM(L38:M38)</f>
        <v>-233847.47999999998</v>
      </c>
      <c r="O38" s="745">
        <v>-8232.65</v>
      </c>
      <c r="P38" s="745">
        <v>-2172.58</v>
      </c>
      <c r="Q38" s="745">
        <f t="shared" ref="Q38:Q66" si="17">+H38+I38+J38+L38+M38+O38+P38</f>
        <v>-268956.05</v>
      </c>
      <c r="R38" s="197" t="b">
        <f t="shared" ref="R38:R39" si="18">+E38=Q38</f>
        <v>1</v>
      </c>
      <c r="S38" s="617">
        <f t="shared" si="11"/>
        <v>0</v>
      </c>
      <c r="T38" s="314"/>
    </row>
    <row r="39" spans="1:20" s="192" customFormat="1">
      <c r="A39" s="190">
        <f t="shared" si="0"/>
        <v>27</v>
      </c>
      <c r="B39" s="190">
        <v>254</v>
      </c>
      <c r="C39" s="572" t="s">
        <v>415</v>
      </c>
      <c r="D39" s="516">
        <v>8316330.4000000004</v>
      </c>
      <c r="E39" s="516">
        <f>-19554949.06+0.01</f>
        <v>-19554949.049999997</v>
      </c>
      <c r="F39" s="497" t="s">
        <v>387</v>
      </c>
      <c r="G39" s="190" t="s">
        <v>680</v>
      </c>
      <c r="H39" s="683">
        <v>-61759.77</v>
      </c>
      <c r="I39" s="683">
        <v>0</v>
      </c>
      <c r="J39" s="683">
        <v>0</v>
      </c>
      <c r="K39" s="683">
        <f t="shared" ref="K39:K66" si="19">SUM(H39:J39)</f>
        <v>-61759.77</v>
      </c>
      <c r="L39" s="683">
        <f>-19493189.29+0.01</f>
        <v>-19493189.279999997</v>
      </c>
      <c r="M39" s="683">
        <v>0</v>
      </c>
      <c r="N39" s="683">
        <f>SUM(L39:M39)</f>
        <v>-19493189.279999997</v>
      </c>
      <c r="O39" s="683">
        <v>0</v>
      </c>
      <c r="P39" s="683">
        <v>0</v>
      </c>
      <c r="Q39" s="683">
        <f t="shared" si="17"/>
        <v>-19554949.049999997</v>
      </c>
      <c r="R39" s="197" t="b">
        <f t="shared" si="18"/>
        <v>1</v>
      </c>
      <c r="S39" s="617">
        <f t="shared" ref="S39" si="20">+E39-Q39</f>
        <v>0</v>
      </c>
      <c r="T39" s="791"/>
    </row>
    <row r="40" spans="1:20" s="192" customFormat="1">
      <c r="A40" s="190">
        <f t="shared" si="0"/>
        <v>28</v>
      </c>
      <c r="B40" s="190">
        <v>254</v>
      </c>
      <c r="C40" s="572" t="s">
        <v>416</v>
      </c>
      <c r="D40" s="516">
        <v>3965398.8</v>
      </c>
      <c r="E40" s="516">
        <v>-9324754.2100000009</v>
      </c>
      <c r="F40" s="327" t="s">
        <v>387</v>
      </c>
      <c r="G40" s="190" t="s">
        <v>680</v>
      </c>
      <c r="H40" s="193">
        <v>0</v>
      </c>
      <c r="I40" s="193">
        <v>0</v>
      </c>
      <c r="J40" s="193">
        <v>0</v>
      </c>
      <c r="K40" s="683">
        <f t="shared" si="19"/>
        <v>0</v>
      </c>
      <c r="L40" s="193"/>
      <c r="M40" s="193">
        <v>0</v>
      </c>
      <c r="N40" s="683">
        <f t="shared" ref="N40:N66" si="21">SUM(L40:M40)</f>
        <v>0</v>
      </c>
      <c r="O40" s="193">
        <v>-9324754.2100000009</v>
      </c>
      <c r="P40" s="193">
        <v>0</v>
      </c>
      <c r="Q40" s="683">
        <f t="shared" si="17"/>
        <v>-9324754.2100000009</v>
      </c>
      <c r="R40" s="197" t="b">
        <f t="shared" ref="R40:R70" si="22">+E40=Q40</f>
        <v>1</v>
      </c>
      <c r="S40" s="617">
        <f t="shared" si="11"/>
        <v>0</v>
      </c>
      <c r="T40" s="314"/>
    </row>
    <row r="41" spans="1:20" s="192" customFormat="1">
      <c r="A41" s="190">
        <f t="shared" si="0"/>
        <v>29</v>
      </c>
      <c r="B41" s="190">
        <v>254</v>
      </c>
      <c r="C41" s="572" t="s">
        <v>8</v>
      </c>
      <c r="D41" s="516">
        <v>6818660.2000000002</v>
      </c>
      <c r="E41" s="516">
        <v>-15980387.620000001</v>
      </c>
      <c r="F41" s="516" t="s">
        <v>1254</v>
      </c>
      <c r="G41" s="190" t="s">
        <v>680</v>
      </c>
      <c r="H41" s="683">
        <v>-4586966.1900000004</v>
      </c>
      <c r="I41" s="683">
        <v>0</v>
      </c>
      <c r="J41" s="683">
        <v>0</v>
      </c>
      <c r="K41" s="683">
        <f t="shared" si="19"/>
        <v>-4586966.1900000004</v>
      </c>
      <c r="L41" s="683">
        <v>-7911822.1699999999</v>
      </c>
      <c r="M41" s="683">
        <v>0</v>
      </c>
      <c r="N41" s="683">
        <f t="shared" si="21"/>
        <v>-7911822.1699999999</v>
      </c>
      <c r="O41" s="683">
        <v>-2620742.69</v>
      </c>
      <c r="P41" s="683">
        <v>-860856.57</v>
      </c>
      <c r="Q41" s="683">
        <f t="shared" si="17"/>
        <v>-15980387.619999999</v>
      </c>
      <c r="R41" s="197" t="b">
        <f t="shared" si="22"/>
        <v>1</v>
      </c>
      <c r="S41" s="617">
        <f t="shared" si="11"/>
        <v>0</v>
      </c>
      <c r="T41" s="314"/>
    </row>
    <row r="42" spans="1:20" s="192" customFormat="1">
      <c r="A42" s="190">
        <f t="shared" si="0"/>
        <v>30</v>
      </c>
      <c r="B42" s="190">
        <v>254</v>
      </c>
      <c r="C42" s="572" t="s">
        <v>417</v>
      </c>
      <c r="D42" s="516">
        <v>59966.6</v>
      </c>
      <c r="E42" s="516">
        <v>-141013.34</v>
      </c>
      <c r="F42" s="516" t="s">
        <v>387</v>
      </c>
      <c r="G42" s="190" t="s">
        <v>680</v>
      </c>
      <c r="H42" s="193">
        <v>0</v>
      </c>
      <c r="I42" s="193">
        <v>0</v>
      </c>
      <c r="J42" s="193">
        <v>0</v>
      </c>
      <c r="K42" s="683">
        <f t="shared" si="19"/>
        <v>0</v>
      </c>
      <c r="L42" s="193"/>
      <c r="M42" s="193">
        <v>0</v>
      </c>
      <c r="N42" s="683">
        <f t="shared" si="21"/>
        <v>0</v>
      </c>
      <c r="O42" s="193">
        <v>-141013.34</v>
      </c>
      <c r="P42" s="193">
        <v>0</v>
      </c>
      <c r="Q42" s="683">
        <f t="shared" si="17"/>
        <v>-141013.34</v>
      </c>
      <c r="R42" s="197" t="b">
        <f t="shared" si="22"/>
        <v>1</v>
      </c>
      <c r="S42" s="617">
        <f t="shared" si="11"/>
        <v>0</v>
      </c>
      <c r="T42" s="314"/>
    </row>
    <row r="43" spans="1:20" s="192" customFormat="1">
      <c r="A43" s="190">
        <f t="shared" si="0"/>
        <v>31</v>
      </c>
      <c r="B43" s="190">
        <v>254</v>
      </c>
      <c r="C43" s="572" t="s">
        <v>368</v>
      </c>
      <c r="D43" s="516">
        <v>1083141.6000000001</v>
      </c>
      <c r="E43" s="516">
        <v>-2547039.83</v>
      </c>
      <c r="F43" s="516" t="s">
        <v>387</v>
      </c>
      <c r="G43" s="190" t="s">
        <v>680</v>
      </c>
      <c r="H43" s="193">
        <v>0</v>
      </c>
      <c r="I43" s="193">
        <v>0</v>
      </c>
      <c r="J43" s="193">
        <v>0</v>
      </c>
      <c r="K43" s="683">
        <f t="shared" si="19"/>
        <v>0</v>
      </c>
      <c r="L43" s="683">
        <v>-2547039.83</v>
      </c>
      <c r="M43" s="193">
        <v>0</v>
      </c>
      <c r="N43" s="683">
        <f t="shared" si="21"/>
        <v>-2547039.83</v>
      </c>
      <c r="O43" s="193">
        <v>0</v>
      </c>
      <c r="P43" s="193">
        <v>0</v>
      </c>
      <c r="Q43" s="683">
        <f t="shared" si="17"/>
        <v>-2547039.83</v>
      </c>
      <c r="R43" s="197" t="b">
        <f t="shared" si="22"/>
        <v>1</v>
      </c>
      <c r="S43" s="617">
        <f t="shared" si="11"/>
        <v>0</v>
      </c>
      <c r="T43" s="314"/>
    </row>
    <row r="44" spans="1:20" s="192" customFormat="1">
      <c r="A44" s="190">
        <f t="shared" si="0"/>
        <v>32</v>
      </c>
      <c r="B44" s="190">
        <v>254</v>
      </c>
      <c r="C44" s="572" t="s">
        <v>168</v>
      </c>
      <c r="D44" s="516">
        <v>214993.2</v>
      </c>
      <c r="E44" s="516">
        <v>-501416.12000000005</v>
      </c>
      <c r="F44" s="327" t="s">
        <v>1255</v>
      </c>
      <c r="G44" s="190" t="s">
        <v>680</v>
      </c>
      <c r="H44" s="683">
        <v>-224342.06</v>
      </c>
      <c r="I44" s="683">
        <v>0</v>
      </c>
      <c r="J44" s="683">
        <v>0</v>
      </c>
      <c r="K44" s="683">
        <f t="shared" si="19"/>
        <v>-224342.06</v>
      </c>
      <c r="L44" s="683">
        <v>-261834.11</v>
      </c>
      <c r="M44" s="683">
        <v>0</v>
      </c>
      <c r="N44" s="683">
        <f t="shared" si="21"/>
        <v>-261834.11</v>
      </c>
      <c r="O44" s="683">
        <v>-12174.06</v>
      </c>
      <c r="P44" s="683">
        <v>-3065.89</v>
      </c>
      <c r="Q44" s="683">
        <f t="shared" si="17"/>
        <v>-501416.12</v>
      </c>
      <c r="R44" s="197" t="b">
        <f t="shared" si="22"/>
        <v>1</v>
      </c>
      <c r="S44" s="617">
        <f t="shared" si="11"/>
        <v>0</v>
      </c>
      <c r="T44" s="314"/>
    </row>
    <row r="45" spans="1:20" s="192" customFormat="1">
      <c r="A45" s="190">
        <f t="shared" si="0"/>
        <v>33</v>
      </c>
      <c r="B45" s="190">
        <v>254</v>
      </c>
      <c r="C45" s="572" t="s">
        <v>419</v>
      </c>
      <c r="D45" s="516">
        <v>14755.8</v>
      </c>
      <c r="E45" s="516">
        <v>-34698.61</v>
      </c>
      <c r="F45" s="516" t="s">
        <v>387</v>
      </c>
      <c r="G45" s="190" t="s">
        <v>680</v>
      </c>
      <c r="H45" s="193">
        <v>0</v>
      </c>
      <c r="I45" s="193">
        <v>0</v>
      </c>
      <c r="J45" s="193">
        <v>0</v>
      </c>
      <c r="K45" s="683">
        <f t="shared" si="19"/>
        <v>0</v>
      </c>
      <c r="L45" s="193">
        <v>0</v>
      </c>
      <c r="M45" s="193">
        <v>0</v>
      </c>
      <c r="N45" s="683">
        <f t="shared" si="21"/>
        <v>0</v>
      </c>
      <c r="O45" s="193">
        <v>0</v>
      </c>
      <c r="P45" s="193">
        <v>-34698.61</v>
      </c>
      <c r="Q45" s="683">
        <f t="shared" si="17"/>
        <v>-34698.61</v>
      </c>
      <c r="R45" s="197" t="b">
        <f t="shared" si="22"/>
        <v>1</v>
      </c>
      <c r="S45" s="617">
        <f t="shared" si="11"/>
        <v>0</v>
      </c>
      <c r="T45" s="314"/>
    </row>
    <row r="46" spans="1:20" s="192" customFormat="1">
      <c r="A46" s="190">
        <f t="shared" si="0"/>
        <v>34</v>
      </c>
      <c r="B46" s="190">
        <v>254</v>
      </c>
      <c r="C46" s="572" t="s">
        <v>674</v>
      </c>
      <c r="D46" s="516">
        <v>373978</v>
      </c>
      <c r="E46" s="516">
        <v>-879420.85000000009</v>
      </c>
      <c r="F46" s="516" t="s">
        <v>387</v>
      </c>
      <c r="G46" s="190" t="s">
        <v>680</v>
      </c>
      <c r="H46" s="193">
        <v>0</v>
      </c>
      <c r="I46" s="193">
        <v>0</v>
      </c>
      <c r="J46" s="193">
        <v>0</v>
      </c>
      <c r="K46" s="683">
        <f t="shared" si="19"/>
        <v>0</v>
      </c>
      <c r="L46" s="683">
        <v>-879420.85000000009</v>
      </c>
      <c r="M46" s="193">
        <v>0</v>
      </c>
      <c r="N46" s="683">
        <f t="shared" si="21"/>
        <v>-879420.85000000009</v>
      </c>
      <c r="O46" s="193">
        <v>0</v>
      </c>
      <c r="P46" s="193">
        <v>0</v>
      </c>
      <c r="Q46" s="683">
        <f t="shared" si="17"/>
        <v>-879420.85000000009</v>
      </c>
      <c r="R46" s="197" t="b">
        <f t="shared" si="22"/>
        <v>1</v>
      </c>
      <c r="S46" s="617">
        <f t="shared" si="11"/>
        <v>0</v>
      </c>
      <c r="T46" s="314"/>
    </row>
    <row r="47" spans="1:20" s="192" customFormat="1">
      <c r="A47" s="190">
        <f t="shared" si="0"/>
        <v>35</v>
      </c>
      <c r="B47" s="190">
        <v>254</v>
      </c>
      <c r="C47" s="572" t="s">
        <v>602</v>
      </c>
      <c r="D47" s="516">
        <v>28586</v>
      </c>
      <c r="E47" s="516">
        <v>-67220.81</v>
      </c>
      <c r="F47" s="516" t="s">
        <v>387</v>
      </c>
      <c r="G47" s="190" t="s">
        <v>680</v>
      </c>
      <c r="H47" s="193">
        <v>0</v>
      </c>
      <c r="I47" s="193">
        <v>0</v>
      </c>
      <c r="J47" s="193">
        <v>0</v>
      </c>
      <c r="K47" s="683">
        <f t="shared" si="19"/>
        <v>0</v>
      </c>
      <c r="L47" s="683">
        <v>-67220.81</v>
      </c>
      <c r="M47" s="193">
        <v>0</v>
      </c>
      <c r="N47" s="683">
        <f t="shared" si="21"/>
        <v>-67220.81</v>
      </c>
      <c r="O47" s="193">
        <v>0</v>
      </c>
      <c r="P47" s="193">
        <v>0</v>
      </c>
      <c r="Q47" s="683">
        <f t="shared" si="17"/>
        <v>-67220.81</v>
      </c>
      <c r="R47" s="197" t="b">
        <f t="shared" si="22"/>
        <v>1</v>
      </c>
      <c r="S47" s="617">
        <f t="shared" si="11"/>
        <v>0</v>
      </c>
      <c r="T47" s="314"/>
    </row>
    <row r="48" spans="1:20" s="192" customFormat="1">
      <c r="A48" s="190">
        <f t="shared" si="0"/>
        <v>36</v>
      </c>
      <c r="B48" s="190">
        <v>254</v>
      </c>
      <c r="C48" s="572" t="s">
        <v>420</v>
      </c>
      <c r="D48" s="516">
        <v>87234.8</v>
      </c>
      <c r="E48" s="516">
        <v>-204445.99</v>
      </c>
      <c r="F48" s="516" t="s">
        <v>1254</v>
      </c>
      <c r="G48" s="190" t="s">
        <v>680</v>
      </c>
      <c r="H48" s="683">
        <v>-58683.61</v>
      </c>
      <c r="I48" s="683">
        <v>0</v>
      </c>
      <c r="J48" s="683">
        <v>0</v>
      </c>
      <c r="K48" s="683">
        <f t="shared" si="19"/>
        <v>-58683.61</v>
      </c>
      <c r="L48" s="683">
        <v>-101220.34</v>
      </c>
      <c r="M48" s="683">
        <v>0</v>
      </c>
      <c r="N48" s="683">
        <f t="shared" si="21"/>
        <v>-101220.34</v>
      </c>
      <c r="O48" s="683">
        <v>-33528.620000000003</v>
      </c>
      <c r="P48" s="683">
        <v>-11013.42</v>
      </c>
      <c r="Q48" s="683">
        <f t="shared" si="17"/>
        <v>-204445.99000000002</v>
      </c>
      <c r="R48" s="197" t="b">
        <f t="shared" si="22"/>
        <v>1</v>
      </c>
      <c r="S48" s="617">
        <f t="shared" si="11"/>
        <v>0</v>
      </c>
      <c r="T48" s="314"/>
    </row>
    <row r="49" spans="1:20" s="192" customFormat="1">
      <c r="A49" s="190">
        <f t="shared" si="0"/>
        <v>37</v>
      </c>
      <c r="B49" s="190">
        <v>254</v>
      </c>
      <c r="C49" s="572" t="s">
        <v>422</v>
      </c>
      <c r="D49" s="516">
        <v>96496.8</v>
      </c>
      <c r="E49" s="516">
        <v>-226915.3</v>
      </c>
      <c r="F49" s="516" t="s">
        <v>387</v>
      </c>
      <c r="G49" s="190" t="s">
        <v>680</v>
      </c>
      <c r="H49" s="683">
        <v>0</v>
      </c>
      <c r="I49" s="683">
        <v>0</v>
      </c>
      <c r="J49" s="683">
        <v>0</v>
      </c>
      <c r="K49" s="683">
        <f t="shared" si="19"/>
        <v>0</v>
      </c>
      <c r="L49" s="683">
        <v>-226915.3</v>
      </c>
      <c r="M49" s="683">
        <v>0</v>
      </c>
      <c r="N49" s="683">
        <f t="shared" si="21"/>
        <v>-226915.3</v>
      </c>
      <c r="O49" s="683">
        <v>0</v>
      </c>
      <c r="P49" s="683">
        <v>0</v>
      </c>
      <c r="Q49" s="683">
        <f t="shared" si="17"/>
        <v>-226915.3</v>
      </c>
      <c r="R49" s="197" t="b">
        <f t="shared" si="22"/>
        <v>1</v>
      </c>
      <c r="S49" s="617">
        <f t="shared" si="11"/>
        <v>0</v>
      </c>
      <c r="T49" s="314"/>
    </row>
    <row r="50" spans="1:20" s="192" customFormat="1">
      <c r="A50" s="190">
        <f t="shared" si="0"/>
        <v>38</v>
      </c>
      <c r="B50" s="190">
        <v>182</v>
      </c>
      <c r="C50" s="572" t="s">
        <v>25</v>
      </c>
      <c r="D50" s="516">
        <v>-65965.399999999994</v>
      </c>
      <c r="E50" s="805">
        <v>155119.78000000003</v>
      </c>
      <c r="F50" s="516" t="s">
        <v>387</v>
      </c>
      <c r="G50" s="190" t="s">
        <v>680</v>
      </c>
      <c r="H50" s="193">
        <v>0</v>
      </c>
      <c r="I50" s="193">
        <v>0</v>
      </c>
      <c r="J50" s="193">
        <v>0</v>
      </c>
      <c r="K50" s="683">
        <f t="shared" si="19"/>
        <v>0</v>
      </c>
      <c r="L50" s="683">
        <v>155119.78000000003</v>
      </c>
      <c r="M50" s="193">
        <v>0</v>
      </c>
      <c r="N50" s="683">
        <f t="shared" si="21"/>
        <v>155119.78000000003</v>
      </c>
      <c r="O50" s="193">
        <v>0</v>
      </c>
      <c r="P50" s="193">
        <v>0</v>
      </c>
      <c r="Q50" s="683">
        <f t="shared" si="17"/>
        <v>155119.78000000003</v>
      </c>
      <c r="R50" s="197" t="b">
        <f t="shared" si="22"/>
        <v>1</v>
      </c>
      <c r="S50" s="617">
        <f t="shared" si="11"/>
        <v>0</v>
      </c>
      <c r="T50" s="314"/>
    </row>
    <row r="51" spans="1:20" s="192" customFormat="1">
      <c r="A51" s="190">
        <f t="shared" si="0"/>
        <v>39</v>
      </c>
      <c r="B51" s="190">
        <v>182</v>
      </c>
      <c r="C51" s="572" t="s">
        <v>565</v>
      </c>
      <c r="D51" s="516">
        <v>-20818.400000000001</v>
      </c>
      <c r="E51" s="805">
        <v>48955.139999999992</v>
      </c>
      <c r="F51" s="516" t="s">
        <v>387</v>
      </c>
      <c r="G51" s="190" t="s">
        <v>680</v>
      </c>
      <c r="H51" s="193">
        <v>0</v>
      </c>
      <c r="I51" s="193">
        <v>0</v>
      </c>
      <c r="J51" s="193">
        <v>0</v>
      </c>
      <c r="K51" s="683">
        <f t="shared" si="19"/>
        <v>0</v>
      </c>
      <c r="L51" s="193"/>
      <c r="M51" s="193">
        <v>0</v>
      </c>
      <c r="N51" s="683">
        <f t="shared" si="21"/>
        <v>0</v>
      </c>
      <c r="O51" s="193">
        <v>48955.139999999992</v>
      </c>
      <c r="P51" s="193"/>
      <c r="Q51" s="683">
        <f t="shared" si="17"/>
        <v>48955.139999999992</v>
      </c>
      <c r="R51" s="197" t="b">
        <f t="shared" si="22"/>
        <v>1</v>
      </c>
      <c r="S51" s="617">
        <f t="shared" si="11"/>
        <v>0</v>
      </c>
      <c r="T51" s="314"/>
    </row>
    <row r="52" spans="1:20" s="192" customFormat="1">
      <c r="A52" s="190">
        <f t="shared" si="0"/>
        <v>40</v>
      </c>
      <c r="B52" s="190">
        <v>182</v>
      </c>
      <c r="C52" s="572" t="s">
        <v>180</v>
      </c>
      <c r="D52" s="516">
        <v>-54707.200000000004</v>
      </c>
      <c r="E52" s="805">
        <v>128148.96999999997</v>
      </c>
      <c r="F52" s="327" t="s">
        <v>1256</v>
      </c>
      <c r="G52" s="190" t="s">
        <v>680</v>
      </c>
      <c r="H52" s="683">
        <v>28218.6</v>
      </c>
      <c r="I52" s="683">
        <v>0</v>
      </c>
      <c r="J52" s="683">
        <v>0</v>
      </c>
      <c r="K52" s="683">
        <f t="shared" si="19"/>
        <v>28218.6</v>
      </c>
      <c r="L52" s="683">
        <v>77850.45</v>
      </c>
      <c r="M52" s="683">
        <v>0</v>
      </c>
      <c r="N52" s="683">
        <f t="shared" si="21"/>
        <v>77850.45</v>
      </c>
      <c r="O52" s="683">
        <v>21225.77</v>
      </c>
      <c r="P52" s="683">
        <v>854.15</v>
      </c>
      <c r="Q52" s="683">
        <f t="shared" si="17"/>
        <v>128148.96999999999</v>
      </c>
      <c r="R52" s="197" t="b">
        <f t="shared" si="22"/>
        <v>1</v>
      </c>
      <c r="S52" s="617">
        <f t="shared" si="11"/>
        <v>0</v>
      </c>
      <c r="T52" s="314"/>
    </row>
    <row r="53" spans="1:20" s="192" customFormat="1">
      <c r="A53" s="190">
        <f t="shared" si="0"/>
        <v>41</v>
      </c>
      <c r="B53" s="190">
        <v>182</v>
      </c>
      <c r="C53" s="572" t="s">
        <v>421</v>
      </c>
      <c r="D53" s="516">
        <v>-587500.4</v>
      </c>
      <c r="E53" s="805">
        <v>1376191.85</v>
      </c>
      <c r="F53" s="327" t="s">
        <v>1256</v>
      </c>
      <c r="G53" s="190" t="s">
        <v>680</v>
      </c>
      <c r="H53" s="683">
        <v>303039.57</v>
      </c>
      <c r="I53" s="683">
        <v>0</v>
      </c>
      <c r="J53" s="683">
        <v>0</v>
      </c>
      <c r="K53" s="683">
        <f t="shared" si="19"/>
        <v>303039.57</v>
      </c>
      <c r="L53" s="683">
        <v>836035.95</v>
      </c>
      <c r="M53" s="683">
        <v>0</v>
      </c>
      <c r="N53" s="683">
        <f t="shared" si="21"/>
        <v>836035.95</v>
      </c>
      <c r="O53" s="683">
        <v>227943.6</v>
      </c>
      <c r="P53" s="683">
        <v>9172.73</v>
      </c>
      <c r="Q53" s="683">
        <f t="shared" si="17"/>
        <v>1376191.85</v>
      </c>
      <c r="R53" s="197" t="b">
        <f t="shared" si="22"/>
        <v>1</v>
      </c>
      <c r="S53" s="617">
        <f t="shared" si="11"/>
        <v>0</v>
      </c>
      <c r="T53" s="314"/>
    </row>
    <row r="54" spans="1:20" s="192" customFormat="1">
      <c r="A54" s="190">
        <f t="shared" si="0"/>
        <v>42</v>
      </c>
      <c r="B54" s="190">
        <v>182</v>
      </c>
      <c r="C54" s="572" t="s">
        <v>400</v>
      </c>
      <c r="D54" s="516">
        <v>-1197930.2</v>
      </c>
      <c r="E54" s="805">
        <v>2797999.1899999995</v>
      </c>
      <c r="F54" s="516" t="s">
        <v>387</v>
      </c>
      <c r="G54" s="190" t="s">
        <v>680</v>
      </c>
      <c r="H54" s="193">
        <v>0</v>
      </c>
      <c r="I54" s="193">
        <v>0</v>
      </c>
      <c r="J54" s="193">
        <v>0</v>
      </c>
      <c r="K54" s="683">
        <f t="shared" si="19"/>
        <v>0</v>
      </c>
      <c r="L54" s="683">
        <v>2797999.1899999995</v>
      </c>
      <c r="M54" s="193">
        <v>0</v>
      </c>
      <c r="N54" s="683">
        <f t="shared" si="21"/>
        <v>2797999.1899999995</v>
      </c>
      <c r="O54" s="193">
        <v>0</v>
      </c>
      <c r="P54" s="193">
        <v>0</v>
      </c>
      <c r="Q54" s="683">
        <f t="shared" si="17"/>
        <v>2797999.1899999995</v>
      </c>
      <c r="R54" s="197" t="b">
        <f t="shared" si="22"/>
        <v>1</v>
      </c>
      <c r="S54" s="617">
        <f t="shared" si="11"/>
        <v>0</v>
      </c>
      <c r="T54" s="314"/>
    </row>
    <row r="55" spans="1:20" s="192" customFormat="1">
      <c r="A55" s="190">
        <f t="shared" si="0"/>
        <v>43</v>
      </c>
      <c r="B55" s="190">
        <v>182</v>
      </c>
      <c r="C55" s="572" t="s">
        <v>418</v>
      </c>
      <c r="D55" s="516">
        <v>148307.6</v>
      </c>
      <c r="E55" s="805">
        <v>-348749.73</v>
      </c>
      <c r="F55" s="516" t="s">
        <v>387</v>
      </c>
      <c r="G55" s="190" t="s">
        <v>680</v>
      </c>
      <c r="H55" s="193">
        <v>0</v>
      </c>
      <c r="I55" s="193">
        <v>0</v>
      </c>
      <c r="J55" s="193">
        <v>0</v>
      </c>
      <c r="K55" s="683">
        <f t="shared" si="19"/>
        <v>0</v>
      </c>
      <c r="L55" s="683">
        <v>-348749.73</v>
      </c>
      <c r="M55" s="193">
        <v>0</v>
      </c>
      <c r="N55" s="683">
        <f t="shared" si="21"/>
        <v>-348749.73</v>
      </c>
      <c r="O55" s="193">
        <v>0</v>
      </c>
      <c r="P55" s="193">
        <v>0</v>
      </c>
      <c r="Q55" s="683">
        <f t="shared" si="17"/>
        <v>-348749.73</v>
      </c>
      <c r="R55" s="197" t="b">
        <f t="shared" si="22"/>
        <v>1</v>
      </c>
      <c r="S55" s="617">
        <f t="shared" si="11"/>
        <v>0</v>
      </c>
      <c r="T55" s="314"/>
    </row>
    <row r="56" spans="1:20" s="192" customFormat="1">
      <c r="A56" s="190">
        <f t="shared" si="0"/>
        <v>44</v>
      </c>
      <c r="B56" s="190">
        <v>182</v>
      </c>
      <c r="C56" s="572" t="s">
        <v>423</v>
      </c>
      <c r="D56" s="516">
        <v>-102953.2</v>
      </c>
      <c r="E56" s="805">
        <v>241233.75</v>
      </c>
      <c r="F56" s="516" t="s">
        <v>1257</v>
      </c>
      <c r="G56" s="190" t="s">
        <v>680</v>
      </c>
      <c r="H56" s="683">
        <v>52145.83</v>
      </c>
      <c r="I56" s="683">
        <v>0</v>
      </c>
      <c r="J56" s="683">
        <v>0</v>
      </c>
      <c r="K56" s="683">
        <f t="shared" si="19"/>
        <v>52145.83</v>
      </c>
      <c r="L56" s="683">
        <v>189087.92</v>
      </c>
      <c r="M56" s="683">
        <v>0</v>
      </c>
      <c r="N56" s="683">
        <f t="shared" si="21"/>
        <v>189087.92</v>
      </c>
      <c r="O56" s="683">
        <v>0</v>
      </c>
      <c r="P56" s="683">
        <v>0</v>
      </c>
      <c r="Q56" s="683">
        <f t="shared" si="17"/>
        <v>241233.75</v>
      </c>
      <c r="R56" s="197" t="b">
        <f t="shared" si="22"/>
        <v>1</v>
      </c>
      <c r="S56" s="617">
        <f t="shared" si="11"/>
        <v>0</v>
      </c>
      <c r="T56" s="314"/>
    </row>
    <row r="57" spans="1:20" s="192" customFormat="1">
      <c r="A57" s="190">
        <f t="shared" si="0"/>
        <v>45</v>
      </c>
      <c r="B57" s="190">
        <v>182</v>
      </c>
      <c r="C57" s="572" t="s">
        <v>341</v>
      </c>
      <c r="D57" s="516">
        <v>-777280.6</v>
      </c>
      <c r="E57" s="805">
        <v>1821654.71</v>
      </c>
      <c r="F57" s="516" t="s">
        <v>1254</v>
      </c>
      <c r="G57" s="190" t="s">
        <v>680</v>
      </c>
      <c r="H57" s="683">
        <v>522882.72</v>
      </c>
      <c r="I57" s="683">
        <v>0</v>
      </c>
      <c r="J57" s="683">
        <v>0</v>
      </c>
      <c r="K57" s="683">
        <f t="shared" si="19"/>
        <v>522882.72</v>
      </c>
      <c r="L57" s="683">
        <v>901893.53</v>
      </c>
      <c r="M57" s="683">
        <v>0</v>
      </c>
      <c r="N57" s="683">
        <f t="shared" si="21"/>
        <v>901893.53</v>
      </c>
      <c r="O57" s="683">
        <v>298746.71000000002</v>
      </c>
      <c r="P57" s="683">
        <v>98131.75</v>
      </c>
      <c r="Q57" s="683">
        <f t="shared" si="17"/>
        <v>1821654.71</v>
      </c>
      <c r="R57" s="197" t="b">
        <f t="shared" si="22"/>
        <v>1</v>
      </c>
      <c r="S57" s="617">
        <f t="shared" si="11"/>
        <v>0</v>
      </c>
      <c r="T57" s="314"/>
    </row>
    <row r="58" spans="1:20" s="192" customFormat="1">
      <c r="A58" s="190">
        <f t="shared" si="0"/>
        <v>46</v>
      </c>
      <c r="B58" s="190">
        <v>182</v>
      </c>
      <c r="C58" s="572" t="s">
        <v>398</v>
      </c>
      <c r="D58" s="516">
        <v>-521852.8</v>
      </c>
      <c r="E58" s="805">
        <v>1223027.5399999998</v>
      </c>
      <c r="F58" s="516" t="s">
        <v>1254</v>
      </c>
      <c r="G58" s="190" t="s">
        <v>680</v>
      </c>
      <c r="H58" s="683">
        <v>351054.44</v>
      </c>
      <c r="I58" s="683">
        <v>0</v>
      </c>
      <c r="J58" s="683">
        <v>0</v>
      </c>
      <c r="K58" s="683">
        <f t="shared" si="19"/>
        <v>351054.44</v>
      </c>
      <c r="L58" s="683">
        <v>605515.74</v>
      </c>
      <c r="M58" s="683">
        <v>0</v>
      </c>
      <c r="N58" s="683">
        <f t="shared" si="21"/>
        <v>605515.74</v>
      </c>
      <c r="O58" s="683">
        <v>200573.39</v>
      </c>
      <c r="P58" s="683">
        <v>65883.97</v>
      </c>
      <c r="Q58" s="683">
        <f t="shared" si="17"/>
        <v>1223027.5399999998</v>
      </c>
      <c r="R58" s="197" t="b">
        <f t="shared" si="22"/>
        <v>1</v>
      </c>
      <c r="S58" s="617">
        <f t="shared" si="11"/>
        <v>0</v>
      </c>
      <c r="T58" s="314"/>
    </row>
    <row r="59" spans="1:20" s="192" customFormat="1">
      <c r="A59" s="190">
        <f t="shared" si="0"/>
        <v>47</v>
      </c>
      <c r="B59" s="190">
        <v>182</v>
      </c>
      <c r="C59" s="572" t="s">
        <v>424</v>
      </c>
      <c r="D59" s="516">
        <v>-13631990.199999999</v>
      </c>
      <c r="E59" s="805">
        <f>31948306.07-0.02</f>
        <v>31948306.050000001</v>
      </c>
      <c r="F59" s="516" t="s">
        <v>1254</v>
      </c>
      <c r="G59" s="190" t="s">
        <v>680</v>
      </c>
      <c r="H59" s="683">
        <v>9170353.2599999998</v>
      </c>
      <c r="I59" s="683">
        <v>0</v>
      </c>
      <c r="J59" s="683">
        <v>0</v>
      </c>
      <c r="K59" s="683">
        <f t="shared" si="19"/>
        <v>9170353.2599999998</v>
      </c>
      <c r="L59" s="683">
        <f>15817470.92-0.04</f>
        <v>15817470.880000001</v>
      </c>
      <c r="M59" s="683">
        <v>0</v>
      </c>
      <c r="N59" s="683">
        <f t="shared" si="21"/>
        <v>15817470.880000001</v>
      </c>
      <c r="O59" s="683">
        <v>5239440.47</v>
      </c>
      <c r="P59" s="683">
        <v>1721041.44</v>
      </c>
      <c r="Q59" s="683">
        <f t="shared" si="17"/>
        <v>31948306.050000001</v>
      </c>
      <c r="R59" s="197" t="b">
        <f t="shared" si="22"/>
        <v>1</v>
      </c>
      <c r="S59" s="617">
        <f t="shared" si="11"/>
        <v>0</v>
      </c>
      <c r="T59" s="314"/>
    </row>
    <row r="60" spans="1:20" s="192" customFormat="1">
      <c r="A60" s="190">
        <f t="shared" si="0"/>
        <v>48</v>
      </c>
      <c r="B60" s="190">
        <v>182</v>
      </c>
      <c r="C60" s="572" t="s">
        <v>425</v>
      </c>
      <c r="D60" s="516">
        <v>-355678.4</v>
      </c>
      <c r="E60" s="805">
        <v>833576.97999999986</v>
      </c>
      <c r="F60" s="516" t="s">
        <v>1254</v>
      </c>
      <c r="G60" s="190" t="s">
        <v>680</v>
      </c>
      <c r="H60" s="683">
        <v>239267.63</v>
      </c>
      <c r="I60" s="683">
        <v>0</v>
      </c>
      <c r="J60" s="683">
        <v>0</v>
      </c>
      <c r="K60" s="683">
        <f t="shared" si="19"/>
        <v>239267.63</v>
      </c>
      <c r="L60" s="683">
        <v>412700.43</v>
      </c>
      <c r="M60" s="683">
        <v>0</v>
      </c>
      <c r="N60" s="683">
        <f t="shared" si="21"/>
        <v>412700.43</v>
      </c>
      <c r="O60" s="683">
        <v>136704.49</v>
      </c>
      <c r="P60" s="683">
        <v>44904.43</v>
      </c>
      <c r="Q60" s="683">
        <f t="shared" si="17"/>
        <v>833576.9800000001</v>
      </c>
      <c r="R60" s="197" t="b">
        <f t="shared" si="22"/>
        <v>1</v>
      </c>
      <c r="S60" s="617">
        <f t="shared" si="11"/>
        <v>0</v>
      </c>
      <c r="T60" s="314"/>
    </row>
    <row r="61" spans="1:20" s="192" customFormat="1">
      <c r="A61" s="190">
        <f t="shared" si="0"/>
        <v>49</v>
      </c>
      <c r="B61" s="190">
        <v>182</v>
      </c>
      <c r="C61" s="572" t="s">
        <v>399</v>
      </c>
      <c r="D61" s="516">
        <v>-743958.4</v>
      </c>
      <c r="E61" s="805">
        <v>1744973.62</v>
      </c>
      <c r="F61" s="516" t="s">
        <v>1258</v>
      </c>
      <c r="G61" s="190" t="s">
        <v>680</v>
      </c>
      <c r="H61" s="683">
        <v>344186.79</v>
      </c>
      <c r="I61" s="683">
        <v>0</v>
      </c>
      <c r="J61" s="683">
        <v>0</v>
      </c>
      <c r="K61" s="683">
        <f t="shared" si="19"/>
        <v>344186.79</v>
      </c>
      <c r="L61" s="683">
        <v>835047.77</v>
      </c>
      <c r="M61" s="683">
        <v>0</v>
      </c>
      <c r="N61" s="683">
        <f t="shared" si="21"/>
        <v>835047.77</v>
      </c>
      <c r="O61" s="683">
        <v>225737.2</v>
      </c>
      <c r="P61" s="683">
        <v>340001.86</v>
      </c>
      <c r="Q61" s="683">
        <f t="shared" si="17"/>
        <v>1744973.62</v>
      </c>
      <c r="R61" s="197" t="b">
        <f t="shared" si="22"/>
        <v>1</v>
      </c>
      <c r="S61" s="617">
        <f t="shared" si="11"/>
        <v>0</v>
      </c>
      <c r="T61" s="314"/>
    </row>
    <row r="62" spans="1:20" s="192" customFormat="1">
      <c r="A62" s="190">
        <f t="shared" si="0"/>
        <v>50</v>
      </c>
      <c r="B62" s="190">
        <v>182</v>
      </c>
      <c r="C62" s="572" t="s">
        <v>681</v>
      </c>
      <c r="D62" s="516">
        <v>-3045680</v>
      </c>
      <c r="E62" s="805">
        <v>7136798.9300000016</v>
      </c>
      <c r="F62" s="516" t="s">
        <v>1254</v>
      </c>
      <c r="G62" s="190" t="s">
        <v>680</v>
      </c>
      <c r="H62" s="683">
        <v>2048526.99</v>
      </c>
      <c r="I62" s="683">
        <v>0</v>
      </c>
      <c r="J62" s="683">
        <v>0</v>
      </c>
      <c r="K62" s="683">
        <f t="shared" si="19"/>
        <v>2048526.99</v>
      </c>
      <c r="L62" s="683">
        <v>3533398.9</v>
      </c>
      <c r="M62" s="683">
        <v>0</v>
      </c>
      <c r="N62" s="683">
        <f t="shared" si="21"/>
        <v>3533398.9</v>
      </c>
      <c r="O62" s="683">
        <v>1170416.77</v>
      </c>
      <c r="P62" s="683">
        <v>384456.27</v>
      </c>
      <c r="Q62" s="683">
        <f t="shared" si="17"/>
        <v>7136798.9299999997</v>
      </c>
      <c r="R62" s="197" t="b">
        <f t="shared" si="22"/>
        <v>1</v>
      </c>
      <c r="S62" s="617">
        <f t="shared" si="11"/>
        <v>0</v>
      </c>
      <c r="T62" s="314"/>
    </row>
    <row r="63" spans="1:20" s="192" customFormat="1">
      <c r="A63" s="190">
        <f t="shared" si="0"/>
        <v>51</v>
      </c>
      <c r="B63" s="190">
        <v>182</v>
      </c>
      <c r="C63" s="572" t="s">
        <v>673</v>
      </c>
      <c r="D63" s="516">
        <v>-3147.4000000000005</v>
      </c>
      <c r="E63" s="805">
        <v>7348.4899999999989</v>
      </c>
      <c r="F63" s="327" t="s">
        <v>1259</v>
      </c>
      <c r="G63" s="190" t="s">
        <v>680</v>
      </c>
      <c r="H63" s="683">
        <v>1711.77</v>
      </c>
      <c r="I63" s="683">
        <v>0</v>
      </c>
      <c r="J63" s="683">
        <v>0</v>
      </c>
      <c r="K63" s="683">
        <f t="shared" si="19"/>
        <v>1711.77</v>
      </c>
      <c r="L63" s="683">
        <v>5232.46</v>
      </c>
      <c r="M63" s="683">
        <v>0</v>
      </c>
      <c r="N63" s="683">
        <f t="shared" si="21"/>
        <v>5232.46</v>
      </c>
      <c r="O63" s="683">
        <v>267.89</v>
      </c>
      <c r="P63" s="683">
        <v>136.37</v>
      </c>
      <c r="Q63" s="683">
        <f t="shared" si="17"/>
        <v>7348.49</v>
      </c>
      <c r="R63" s="197" t="b">
        <f t="shared" si="22"/>
        <v>1</v>
      </c>
      <c r="S63" s="617">
        <f t="shared" si="11"/>
        <v>0</v>
      </c>
      <c r="T63" s="314"/>
    </row>
    <row r="64" spans="1:20" s="192" customFormat="1">
      <c r="A64" s="190">
        <f t="shared" si="0"/>
        <v>52</v>
      </c>
      <c r="B64" s="190">
        <v>182</v>
      </c>
      <c r="C64" s="192" t="s">
        <v>976</v>
      </c>
      <c r="D64" s="516">
        <v>-519827.19999999995</v>
      </c>
      <c r="E64" s="805">
        <v>1212362.6100000001</v>
      </c>
      <c r="F64" s="327" t="s">
        <v>1255</v>
      </c>
      <c r="G64" s="190" t="s">
        <v>680</v>
      </c>
      <c r="H64" s="683">
        <v>542431.56000000006</v>
      </c>
      <c r="I64" s="683">
        <v>0</v>
      </c>
      <c r="J64" s="683">
        <v>0</v>
      </c>
      <c r="K64" s="683">
        <f t="shared" si="19"/>
        <v>542431.56000000006</v>
      </c>
      <c r="L64" s="683">
        <v>633082.73</v>
      </c>
      <c r="M64" s="683">
        <v>0</v>
      </c>
      <c r="N64" s="683">
        <f t="shared" si="21"/>
        <v>633082.73</v>
      </c>
      <c r="O64" s="683">
        <v>29435.38</v>
      </c>
      <c r="P64" s="683">
        <v>7412.94</v>
      </c>
      <c r="Q64" s="683">
        <f t="shared" si="17"/>
        <v>1212362.6099999999</v>
      </c>
      <c r="R64" s="197" t="b">
        <f t="shared" si="22"/>
        <v>1</v>
      </c>
      <c r="S64" s="617">
        <f t="shared" si="11"/>
        <v>0</v>
      </c>
      <c r="T64" s="314"/>
    </row>
    <row r="65" spans="1:20" s="192" customFormat="1">
      <c r="A65" s="190">
        <f t="shared" si="0"/>
        <v>53</v>
      </c>
      <c r="B65" s="190">
        <v>182</v>
      </c>
      <c r="C65" s="175" t="s">
        <v>675</v>
      </c>
      <c r="D65" s="516">
        <v>-172424.6</v>
      </c>
      <c r="E65" s="805">
        <v>574748.67000000004</v>
      </c>
      <c r="F65" s="516" t="s">
        <v>1219</v>
      </c>
      <c r="G65" s="190" t="s">
        <v>680</v>
      </c>
      <c r="H65" s="375">
        <v>0</v>
      </c>
      <c r="I65" s="375">
        <v>531301.17000000004</v>
      </c>
      <c r="J65" s="375">
        <v>0</v>
      </c>
      <c r="K65" s="683">
        <f t="shared" si="19"/>
        <v>531301.17000000004</v>
      </c>
      <c r="L65" s="375">
        <v>0</v>
      </c>
      <c r="M65" s="375">
        <v>43447.5</v>
      </c>
      <c r="N65" s="683">
        <f t="shared" si="21"/>
        <v>43447.5</v>
      </c>
      <c r="O65" s="375">
        <v>0</v>
      </c>
      <c r="P65" s="375">
        <v>0</v>
      </c>
      <c r="Q65" s="683">
        <f t="shared" si="17"/>
        <v>574748.67000000004</v>
      </c>
      <c r="R65" s="197" t="b">
        <f t="shared" si="22"/>
        <v>1</v>
      </c>
      <c r="S65" s="617">
        <f t="shared" si="11"/>
        <v>0</v>
      </c>
      <c r="T65" s="314"/>
    </row>
    <row r="66" spans="1:20" s="192" customFormat="1">
      <c r="A66" s="190">
        <f t="shared" si="0"/>
        <v>54</v>
      </c>
      <c r="B66" s="190">
        <v>182</v>
      </c>
      <c r="C66" s="175" t="s">
        <v>676</v>
      </c>
      <c r="D66" s="516">
        <v>-2325</v>
      </c>
      <c r="E66" s="805">
        <v>7750</v>
      </c>
      <c r="F66" s="516" t="s">
        <v>1219</v>
      </c>
      <c r="G66" s="221" t="s">
        <v>680</v>
      </c>
      <c r="H66" s="375">
        <v>0</v>
      </c>
      <c r="I66" s="375">
        <v>7164.15</v>
      </c>
      <c r="J66" s="375">
        <v>0</v>
      </c>
      <c r="K66" s="683">
        <f t="shared" si="19"/>
        <v>7164.15</v>
      </c>
      <c r="L66" s="375">
        <v>0</v>
      </c>
      <c r="M66" s="375">
        <v>585.85</v>
      </c>
      <c r="N66" s="683">
        <f t="shared" si="21"/>
        <v>585.85</v>
      </c>
      <c r="O66" s="375">
        <v>0</v>
      </c>
      <c r="P66" s="375">
        <v>0</v>
      </c>
      <c r="Q66" s="683">
        <f t="shared" si="17"/>
        <v>7750</v>
      </c>
      <c r="R66" s="197" t="b">
        <f t="shared" si="22"/>
        <v>1</v>
      </c>
      <c r="S66" s="617">
        <f t="shared" si="11"/>
        <v>0</v>
      </c>
      <c r="T66" s="314"/>
    </row>
    <row r="67" spans="1:20" s="346" customFormat="1">
      <c r="A67" s="190">
        <f t="shared" si="0"/>
        <v>55</v>
      </c>
      <c r="B67" s="347"/>
      <c r="C67" s="11" t="s">
        <v>705</v>
      </c>
      <c r="D67" s="562">
        <f>SUM(D38:D66)</f>
        <v>-481737.79999998934</v>
      </c>
      <c r="E67" s="562">
        <f>SUM(E38:E66)</f>
        <v>1178228.7700000047</v>
      </c>
      <c r="F67" s="483"/>
      <c r="G67" s="483"/>
      <c r="H67" s="562">
        <f t="shared" ref="H67:Q67" si="23">SUM(H38:H66)</f>
        <v>8647364.1899999995</v>
      </c>
      <c r="I67" s="562">
        <f t="shared" si="23"/>
        <v>538465.32000000007</v>
      </c>
      <c r="J67" s="562">
        <f t="shared" si="23"/>
        <v>0</v>
      </c>
      <c r="K67" s="562">
        <f t="shared" si="23"/>
        <v>9185829.5099999998</v>
      </c>
      <c r="L67" s="562">
        <f t="shared" si="23"/>
        <v>-5270824.1699999962</v>
      </c>
      <c r="M67" s="562">
        <f t="shared" si="23"/>
        <v>44033.35</v>
      </c>
      <c r="N67" s="562">
        <f t="shared" si="23"/>
        <v>-5226790.8199999966</v>
      </c>
      <c r="O67" s="562">
        <f t="shared" si="23"/>
        <v>-4540998.76</v>
      </c>
      <c r="P67" s="562">
        <f t="shared" si="23"/>
        <v>1760188.84</v>
      </c>
      <c r="Q67" s="562">
        <f t="shared" si="23"/>
        <v>1178228.7700000028</v>
      </c>
      <c r="R67" s="197" t="b">
        <f t="shared" si="22"/>
        <v>1</v>
      </c>
      <c r="S67" s="617">
        <f t="shared" si="11"/>
        <v>1.862645149230957E-9</v>
      </c>
    </row>
    <row r="68" spans="1:20" s="346" customFormat="1">
      <c r="A68" s="190">
        <f t="shared" si="0"/>
        <v>56</v>
      </c>
      <c r="B68" s="347"/>
      <c r="C68" s="331"/>
      <c r="D68" s="516"/>
      <c r="E68" s="516"/>
      <c r="F68" s="2"/>
      <c r="G68" s="13"/>
      <c r="H68" s="13"/>
      <c r="I68" s="13"/>
      <c r="J68" s="13"/>
      <c r="K68" s="13"/>
      <c r="L68" s="13"/>
      <c r="M68" s="13"/>
      <c r="N68" s="13"/>
      <c r="O68" s="13"/>
      <c r="P68" s="13"/>
      <c r="Q68" s="13"/>
      <c r="R68" s="257"/>
      <c r="S68" s="257"/>
    </row>
    <row r="69" spans="1:20" s="346" customFormat="1">
      <c r="A69" s="190">
        <f t="shared" si="0"/>
        <v>57</v>
      </c>
      <c r="B69" s="347">
        <v>254</v>
      </c>
      <c r="C69" s="331" t="s">
        <v>677</v>
      </c>
      <c r="D69" s="639">
        <v>-6098180.1299999999</v>
      </c>
      <c r="E69" s="639">
        <f>24960611.6+0.35</f>
        <v>24960611.950000003</v>
      </c>
      <c r="F69" s="516" t="s">
        <v>684</v>
      </c>
      <c r="G69" s="221" t="s">
        <v>680</v>
      </c>
      <c r="H69" s="745">
        <f>ROUND(+$E69*'[5]II-F Alloc_Factor'!E$38,2)</f>
        <v>11346663.380000001</v>
      </c>
      <c r="I69" s="745">
        <f>ROUND(+$E69*'[5]II-F Alloc_Factor'!F$38,2)</f>
        <v>0</v>
      </c>
      <c r="J69" s="745">
        <f>ROUND(+$E69*'[5]II-F Alloc_Factor'!G$38,2)</f>
        <v>9748.2099999999991</v>
      </c>
      <c r="K69" s="745">
        <f>SUM(H69:J69)</f>
        <v>11356411.590000002</v>
      </c>
      <c r="L69" s="745">
        <f>+E69-H69-I69-J69-M69-O69-P69</f>
        <v>12959027.600000001</v>
      </c>
      <c r="M69" s="745">
        <f>ROUND(+$E69*'[5]II-F Alloc_Factor'!J$38,2)</f>
        <v>0</v>
      </c>
      <c r="N69" s="745">
        <f>SUM(L69:M69)</f>
        <v>12959027.600000001</v>
      </c>
      <c r="O69" s="745">
        <f>ROUND(+$E69*'[5]II-F Alloc_Factor'!L$38,2)</f>
        <v>388406.78</v>
      </c>
      <c r="P69" s="745">
        <f>ROUND(+$E69*'[5]II-F Alloc_Factor'!M$38,2)</f>
        <v>256765.98</v>
      </c>
      <c r="Q69" s="745">
        <f t="shared" ref="Q69:Q70" si="24">+H69+I69+J69+L69+M69+O69+P69</f>
        <v>24960611.950000007</v>
      </c>
      <c r="R69" s="197" t="b">
        <f t="shared" si="22"/>
        <v>1</v>
      </c>
      <c r="S69" s="617">
        <f t="shared" si="11"/>
        <v>0</v>
      </c>
      <c r="T69" s="600"/>
    </row>
    <row r="70" spans="1:20" s="346" customFormat="1">
      <c r="A70" s="190">
        <f t="shared" si="0"/>
        <v>58</v>
      </c>
      <c r="B70" s="347">
        <v>254</v>
      </c>
      <c r="C70" s="331" t="s">
        <v>678</v>
      </c>
      <c r="D70" s="516">
        <v>2150781.75</v>
      </c>
      <c r="E70" s="516">
        <v>-7883984.0899999989</v>
      </c>
      <c r="F70" s="516" t="s">
        <v>685</v>
      </c>
      <c r="G70" s="221" t="s">
        <v>680</v>
      </c>
      <c r="H70" s="410">
        <f>ROUND(+$E70*'[5]II-F Alloc_Factor'!E$39,2)</f>
        <v>0</v>
      </c>
      <c r="I70" s="410">
        <f>ROUND(+$E70*'[5]II-F Alloc_Factor'!F$39,2)</f>
        <v>-7300835.8700000001</v>
      </c>
      <c r="J70" s="410">
        <f>ROUND(+$E70*'[5]II-F Alloc_Factor'!G$39,2)</f>
        <v>0</v>
      </c>
      <c r="K70" s="410">
        <f>SUM(H70:J70)</f>
        <v>-7300835.8700000001</v>
      </c>
      <c r="L70" s="410">
        <f>ROUND(+$E70*'[5]II-F Alloc_Factor'!I$39,2)</f>
        <v>0</v>
      </c>
      <c r="M70" s="410">
        <f>+E70-K70</f>
        <v>-583148.21999999881</v>
      </c>
      <c r="N70" s="410">
        <f>SUM(L70:M70)</f>
        <v>-583148.21999999881</v>
      </c>
      <c r="O70" s="410">
        <f>ROUND(+$E70*'[5]II-F Alloc_Factor'!L$39,2)</f>
        <v>0</v>
      </c>
      <c r="P70" s="410">
        <f>ROUND(+$E70*'[5]II-F Alloc_Factor'!M$39,2)</f>
        <v>0</v>
      </c>
      <c r="Q70" s="516">
        <f t="shared" si="24"/>
        <v>-7883984.0899999989</v>
      </c>
      <c r="R70" s="197" t="b">
        <f t="shared" si="22"/>
        <v>1</v>
      </c>
      <c r="S70" s="617">
        <f t="shared" si="11"/>
        <v>0</v>
      </c>
      <c r="T70" s="600"/>
    </row>
    <row r="71" spans="1:20" s="346" customFormat="1">
      <c r="A71" s="190">
        <f t="shared" si="0"/>
        <v>59</v>
      </c>
      <c r="B71" s="347"/>
      <c r="C71" s="11" t="s">
        <v>706</v>
      </c>
      <c r="D71" s="562">
        <f>SUM(D69:D70)</f>
        <v>-3947398.38</v>
      </c>
      <c r="E71" s="562">
        <f>SUM(E69:E70)</f>
        <v>17076627.860000003</v>
      </c>
      <c r="F71" s="483"/>
      <c r="G71" s="483"/>
      <c r="H71" s="562">
        <f t="shared" ref="H71:Q71" si="25">SUM(H69:H70)</f>
        <v>11346663.380000001</v>
      </c>
      <c r="I71" s="562">
        <f t="shared" si="25"/>
        <v>-7300835.8700000001</v>
      </c>
      <c r="J71" s="562">
        <f t="shared" si="25"/>
        <v>9748.2099999999991</v>
      </c>
      <c r="K71" s="562">
        <f t="shared" si="25"/>
        <v>4055575.7200000016</v>
      </c>
      <c r="L71" s="562">
        <f t="shared" si="25"/>
        <v>12959027.600000001</v>
      </c>
      <c r="M71" s="562">
        <f t="shared" si="25"/>
        <v>-583148.21999999881</v>
      </c>
      <c r="N71" s="562">
        <f t="shared" si="25"/>
        <v>12375879.380000003</v>
      </c>
      <c r="O71" s="562">
        <f t="shared" si="25"/>
        <v>388406.78</v>
      </c>
      <c r="P71" s="562">
        <f t="shared" si="25"/>
        <v>256765.98</v>
      </c>
      <c r="Q71" s="562">
        <f t="shared" si="25"/>
        <v>17076627.860000007</v>
      </c>
      <c r="R71" s="197" t="b">
        <f t="shared" ref="R71" si="26">+E71=Q71</f>
        <v>1</v>
      </c>
      <c r="S71" s="617">
        <f t="shared" ref="S71" si="27">+E71-Q71</f>
        <v>0</v>
      </c>
    </row>
    <row r="72" spans="1:20" s="346" customFormat="1">
      <c r="A72" s="190">
        <f t="shared" si="0"/>
        <v>60</v>
      </c>
      <c r="B72" s="347"/>
      <c r="D72" s="563"/>
      <c r="E72" s="563"/>
      <c r="F72" s="483"/>
      <c r="G72" s="483"/>
      <c r="H72" s="563"/>
      <c r="I72" s="563"/>
      <c r="J72" s="563"/>
      <c r="K72" s="563"/>
      <c r="L72" s="563"/>
      <c r="M72" s="563"/>
      <c r="N72" s="563"/>
      <c r="O72" s="563"/>
      <c r="P72" s="563"/>
      <c r="Q72" s="563"/>
      <c r="R72" s="257"/>
      <c r="S72" s="257"/>
    </row>
    <row r="73" spans="1:20" s="346" customFormat="1" ht="13.5" thickBot="1">
      <c r="A73" s="190">
        <f t="shared" si="0"/>
        <v>61</v>
      </c>
      <c r="B73" s="347"/>
      <c r="C73" s="346" t="s">
        <v>707</v>
      </c>
      <c r="D73" s="566">
        <f>+D36+D67+D71</f>
        <v>28640777.70000001</v>
      </c>
      <c r="E73" s="566">
        <f>+E36+E67+E71</f>
        <v>77513621.660000011</v>
      </c>
      <c r="F73" s="2"/>
      <c r="G73" s="13"/>
      <c r="H73" s="566">
        <f>+H36+H67+H71</f>
        <v>42807005.170000002</v>
      </c>
      <c r="I73" s="566">
        <f t="shared" ref="I73:Q73" si="28">+I36+I67+I71</f>
        <v>44750.360000000335</v>
      </c>
      <c r="J73" s="566">
        <f t="shared" si="28"/>
        <v>13640.99</v>
      </c>
      <c r="K73" s="566">
        <f t="shared" si="28"/>
        <v>42865396.519999996</v>
      </c>
      <c r="L73" s="566">
        <f t="shared" si="28"/>
        <v>35914816.100000001</v>
      </c>
      <c r="M73" s="566">
        <f t="shared" si="28"/>
        <v>4383.5900000011316</v>
      </c>
      <c r="N73" s="566">
        <f t="shared" si="28"/>
        <v>35919199.690000005</v>
      </c>
      <c r="O73" s="566">
        <f t="shared" si="28"/>
        <v>-3471617.16</v>
      </c>
      <c r="P73" s="566">
        <f t="shared" si="28"/>
        <v>2200642.6100000003</v>
      </c>
      <c r="Q73" s="566">
        <f t="shared" si="28"/>
        <v>77513621.660000026</v>
      </c>
      <c r="R73" s="197" t="b">
        <f t="shared" ref="R73" si="29">+E73=Q73</f>
        <v>1</v>
      </c>
      <c r="S73" s="617">
        <f t="shared" ref="S73" si="30">+E73-Q73</f>
        <v>0</v>
      </c>
    </row>
    <row r="74" spans="1:20" s="346" customFormat="1" ht="13.5" thickTop="1">
      <c r="A74" s="190">
        <f t="shared" si="0"/>
        <v>62</v>
      </c>
      <c r="B74" s="347"/>
      <c r="C74" s="561"/>
      <c r="D74" s="516"/>
      <c r="E74" s="516"/>
      <c r="F74" s="2"/>
      <c r="G74" s="13"/>
      <c r="H74" s="13"/>
      <c r="I74" s="13"/>
      <c r="J74" s="13"/>
      <c r="K74" s="13"/>
      <c r="L74" s="13"/>
      <c r="M74" s="13"/>
      <c r="N74" s="13"/>
      <c r="O74" s="13"/>
      <c r="P74" s="13"/>
      <c r="Q74" s="13"/>
      <c r="R74" s="257"/>
      <c r="S74" s="257"/>
    </row>
    <row r="75" spans="1:20" s="189" customFormat="1" ht="13.5" thickBot="1">
      <c r="A75" s="190">
        <f t="shared" si="0"/>
        <v>63</v>
      </c>
      <c r="B75" s="173"/>
      <c r="C75" s="189" t="s">
        <v>679</v>
      </c>
      <c r="D75" s="565">
        <f>+D19+D73</f>
        <v>45912517.820000008</v>
      </c>
      <c r="E75" s="565">
        <f>+E19+E73</f>
        <v>-984541792.64999998</v>
      </c>
      <c r="F75" s="569"/>
      <c r="G75" s="455"/>
      <c r="H75" s="565">
        <f t="shared" ref="H75:Q75" si="31">+H19+H73</f>
        <v>-417370698.04999995</v>
      </c>
      <c r="I75" s="565">
        <f t="shared" si="31"/>
        <v>-46023122.030000001</v>
      </c>
      <c r="J75" s="565">
        <f t="shared" si="31"/>
        <v>-381709.47</v>
      </c>
      <c r="K75" s="565">
        <f t="shared" si="31"/>
        <v>-463775529.55000007</v>
      </c>
      <c r="L75" s="565">
        <f t="shared" si="31"/>
        <v>-489654274.89999998</v>
      </c>
      <c r="M75" s="565">
        <f t="shared" si="31"/>
        <v>-3675249.5799999987</v>
      </c>
      <c r="N75" s="565">
        <f t="shared" si="31"/>
        <v>-493329524.48000002</v>
      </c>
      <c r="O75" s="565">
        <f t="shared" si="31"/>
        <v>-19223925.460000001</v>
      </c>
      <c r="P75" s="565">
        <f t="shared" si="31"/>
        <v>-8212813.169999999</v>
      </c>
      <c r="Q75" s="565">
        <f t="shared" si="31"/>
        <v>-984541792.66000009</v>
      </c>
      <c r="R75" s="197" t="b">
        <f t="shared" ref="R75" si="32">+E75=Q75</f>
        <v>0</v>
      </c>
      <c r="S75" s="617">
        <f t="shared" ref="S75" si="33">+E75-Q75</f>
        <v>1.0000109672546387E-2</v>
      </c>
    </row>
    <row r="76" spans="1:20" s="346" customFormat="1" ht="13.5" thickTop="1">
      <c r="A76" s="347"/>
      <c r="B76" s="347"/>
      <c r="D76" s="515"/>
      <c r="E76" s="516"/>
      <c r="F76" s="2"/>
      <c r="G76" s="13"/>
      <c r="H76" s="13"/>
      <c r="I76" s="13"/>
      <c r="J76" s="13"/>
      <c r="K76" s="13"/>
      <c r="L76" s="13"/>
      <c r="M76" s="13"/>
      <c r="N76" s="13"/>
      <c r="O76" s="13"/>
      <c r="P76" s="13"/>
      <c r="Q76" s="13"/>
      <c r="R76" s="257"/>
      <c r="S76" s="257"/>
    </row>
    <row r="77" spans="1:20">
      <c r="G77" s="249"/>
    </row>
    <row r="78" spans="1:20">
      <c r="C78" s="557" t="s">
        <v>682</v>
      </c>
      <c r="D78" s="660">
        <f>+'II-E-3.18'!G39</f>
        <v>45912517.82</v>
      </c>
      <c r="E78" s="660">
        <f>+'[6]II-B-12'!$I$100</f>
        <v>-984541792.64999998</v>
      </c>
      <c r="F78" s="576" t="s">
        <v>529</v>
      </c>
      <c r="H78" s="657">
        <f>+'[6]II-B-12'!N100</f>
        <v>-417370698.04999995</v>
      </c>
      <c r="I78" s="657">
        <f>+'[6]II-B-12'!O100</f>
        <v>-46023122.030000001</v>
      </c>
      <c r="J78" s="657">
        <f>+'[6]II-B-12'!P100</f>
        <v>-381709.46999999991</v>
      </c>
      <c r="K78" s="657">
        <f>+'[6]II-B-12'!Q100</f>
        <v>-463775529.55000001</v>
      </c>
      <c r="L78" s="657">
        <f>+'[6]II-B-12'!R100</f>
        <v>-489654274.89000005</v>
      </c>
      <c r="M78" s="657">
        <f>+'[6]II-B-12'!S100</f>
        <v>-3675249.5799999987</v>
      </c>
      <c r="N78" s="657">
        <f>+'[6]II-B-12'!T100</f>
        <v>-493329524.48000002</v>
      </c>
      <c r="O78" s="657">
        <f>+'[6]II-B-12'!U100</f>
        <v>-19223925.460000001</v>
      </c>
      <c r="P78" s="657">
        <f>+'[6]II-B-12'!V100</f>
        <v>-8212813.1699999971</v>
      </c>
      <c r="Q78" s="657">
        <f>+'[6]II-B-12'!W100</f>
        <v>-984541792.64999986</v>
      </c>
    </row>
    <row r="79" spans="1:20">
      <c r="C79" s="557" t="s">
        <v>683</v>
      </c>
      <c r="D79" s="806">
        <f>+D78-D75</f>
        <v>0</v>
      </c>
      <c r="E79" s="660">
        <f>+E78-E75</f>
        <v>0</v>
      </c>
      <c r="H79" s="657">
        <f>+H78-H75</f>
        <v>0</v>
      </c>
      <c r="I79" s="661">
        <f t="shared" ref="I79:Q79" si="34">+I78-I75</f>
        <v>0</v>
      </c>
      <c r="J79" s="657">
        <f t="shared" si="34"/>
        <v>0</v>
      </c>
      <c r="K79" s="657">
        <f t="shared" si="34"/>
        <v>0</v>
      </c>
      <c r="L79" s="657">
        <f t="shared" si="34"/>
        <v>9.9999308586120605E-3</v>
      </c>
      <c r="M79" s="657">
        <f t="shared" si="34"/>
        <v>0</v>
      </c>
      <c r="N79" s="657">
        <f t="shared" si="34"/>
        <v>0</v>
      </c>
      <c r="O79" s="657">
        <f t="shared" si="34"/>
        <v>0</v>
      </c>
      <c r="P79" s="657">
        <f t="shared" si="34"/>
        <v>0</v>
      </c>
      <c r="Q79" s="657">
        <f t="shared" si="34"/>
        <v>1.0000228881835938E-2</v>
      </c>
    </row>
    <row r="81" spans="3:17">
      <c r="C81" s="557" t="s">
        <v>221</v>
      </c>
      <c r="D81" s="660">
        <f>SUM('II-E-3'!I22:I24)</f>
        <v>45912517.82</v>
      </c>
      <c r="E81" s="573"/>
    </row>
    <row r="82" spans="3:17">
      <c r="C82" s="557"/>
      <c r="D82" s="660"/>
      <c r="E82" s="573"/>
    </row>
    <row r="83" spans="3:17">
      <c r="C83" s="557"/>
      <c r="E83" s="792"/>
      <c r="H83" s="792"/>
      <c r="I83" s="792"/>
      <c r="J83" s="792"/>
      <c r="K83" s="792"/>
      <c r="L83" s="792"/>
      <c r="M83" s="792"/>
      <c r="N83" s="792"/>
      <c r="O83" s="792"/>
      <c r="P83" s="792"/>
      <c r="Q83" s="792"/>
    </row>
    <row r="84" spans="3:17">
      <c r="E84" s="314"/>
      <c r="H84" s="314"/>
      <c r="I84" s="314"/>
      <c r="J84" s="314"/>
      <c r="K84" s="314"/>
      <c r="L84" s="314"/>
      <c r="M84" s="314"/>
      <c r="N84" s="314"/>
      <c r="O84" s="314"/>
      <c r="P84" s="314"/>
      <c r="Q84" s="314"/>
    </row>
    <row r="86" spans="3:17">
      <c r="D86" s="285"/>
      <c r="E86" s="285"/>
    </row>
  </sheetData>
  <autoFilter ref="A13:S75" xr:uid="{00000000-0001-0000-1A00-000000000000}"/>
  <phoneticPr fontId="10" type="noConversion"/>
  <printOptions horizontalCentered="1"/>
  <pageMargins left="0.5" right="0.5" top="3" bottom="0.5" header="1.5" footer="0.5"/>
  <pageSetup scale="61" fitToWidth="2" fitToHeight="0" pageOrder="overThenDown" orientation="landscape"/>
  <headerFooter alignWithMargins="0">
    <oddHeader>&amp;R&amp;"Arial,Bold"Schedule &amp;A
Page &amp;P of &amp;N&amp;C&amp;B
2025 RATE CASE
ONCOR ELECTRIC DELIVERY COMPANY LLC
II-E-3.19  ANALYSIS OF EXCESS DEFERRED TAXES BY TIMING DIFFERENCE
TEST YEAR ENDING DECEMBER 31, 2024
SPONSOR: B. L. CLUTTER</oddHeader>
  </headerFooter>
  <rowBreaks count="1" manualBreakCount="1">
    <brk id="37" max="16" man="1"/>
  </rowBreaks>
  <colBreaks count="1" manualBreakCount="1">
    <brk id="7" min="9" max="74" man="1"/>
  </col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09">
    <pageSetUpPr fitToPage="1"/>
  </sheetPr>
  <dimension ref="A1:T14"/>
  <sheetViews>
    <sheetView zoomScaleNormal="100" workbookViewId="0">
      <selection activeCell="E9" sqref="E9"/>
    </sheetView>
  </sheetViews>
  <sheetFormatPr defaultColWidth="9.140625" defaultRowHeight="15"/>
  <cols>
    <col min="1" max="1" width="5.5703125" style="151" customWidth="1"/>
    <col min="2" max="2" width="31.85546875" style="151" customWidth="1"/>
    <col min="3" max="3" width="2.7109375" style="151" customWidth="1"/>
    <col min="4" max="4" width="10.7109375" style="151" bestFit="1" customWidth="1"/>
    <col min="5" max="5" width="11.28515625" style="151" bestFit="1" customWidth="1"/>
    <col min="6" max="6" width="2.7109375" style="151" customWidth="1"/>
    <col min="7" max="7" width="11.7109375" style="151" bestFit="1" customWidth="1"/>
    <col min="8" max="8" width="11.28515625" style="151" bestFit="1" customWidth="1"/>
    <col min="9" max="9" width="2.7109375" style="151" customWidth="1"/>
    <col min="10" max="10" width="9.7109375" style="151" bestFit="1" customWidth="1"/>
    <col min="11" max="11" width="10.28515625" style="151" bestFit="1" customWidth="1"/>
    <col min="12" max="12" width="2.7109375" style="151" customWidth="1"/>
    <col min="13" max="14" width="9.140625" style="151"/>
    <col min="15" max="15" width="2.7109375" style="151" customWidth="1"/>
    <col min="16" max="17" width="9.140625" style="151"/>
    <col min="18" max="18" width="2.7109375" style="151" customWidth="1"/>
    <col min="19" max="16384" width="9.140625" style="151"/>
  </cols>
  <sheetData>
    <row r="1" spans="1:20" ht="15.75">
      <c r="A1" s="150" t="str">
        <f>+'[3]Input Data'!$A$9</f>
        <v>2025 RATE CASE</v>
      </c>
    </row>
    <row r="2" spans="1:20" ht="15.75">
      <c r="A2" s="152" t="str">
        <f>+'[3]Input Data'!$A$2</f>
        <v>ONCOR ELECTRIC DELIVERY COMPANY LLC</v>
      </c>
    </row>
    <row r="3" spans="1:20" ht="15.75">
      <c r="A3" s="154" t="str">
        <f>CONCATENATE('[3]Schedule Sponsors'!$A$105,'[3]Schedule Sponsors'!$B$105)</f>
        <v>II-E-3.20  EFFECTS OF POST TEST YEAR ADJUSTMENT</v>
      </c>
    </row>
    <row r="4" spans="1:20" ht="15.75">
      <c r="A4" s="154" t="str">
        <f>+'[3]Input Data'!$A$4</f>
        <v>TEST YEAR ENDING DECEMBER 31, 2024</v>
      </c>
    </row>
    <row r="5" spans="1:20" ht="15.75">
      <c r="A5" s="153" t="str">
        <f>CONCATENATE("SPONSOR: ",'[3]Schedule Sponsors'!$D$107)</f>
        <v>SPONSOR: B. L. CLUTTER</v>
      </c>
    </row>
    <row r="10" spans="1:20">
      <c r="A10" s="96" t="s">
        <v>241</v>
      </c>
    </row>
    <row r="11" spans="1:20">
      <c r="A11" s="97" t="s">
        <v>139</v>
      </c>
    </row>
    <row r="12" spans="1:20" ht="15.75">
      <c r="A12" s="149">
        <v>1</v>
      </c>
      <c r="B12" s="151" t="s">
        <v>11</v>
      </c>
      <c r="E12" s="157"/>
      <c r="F12" s="150"/>
      <c r="G12" s="150"/>
      <c r="H12" s="157"/>
      <c r="I12" s="150"/>
      <c r="J12" s="150"/>
      <c r="K12" s="157"/>
      <c r="M12" s="150"/>
      <c r="N12" s="157"/>
      <c r="P12" s="150"/>
      <c r="Q12" s="157"/>
      <c r="S12" s="150"/>
      <c r="T12" s="157"/>
    </row>
    <row r="13" spans="1:20">
      <c r="A13" s="149"/>
      <c r="D13" s="158"/>
      <c r="G13" s="158"/>
      <c r="J13" s="158"/>
      <c r="M13" s="158"/>
      <c r="P13" s="158"/>
      <c r="S13" s="158"/>
    </row>
    <row r="14" spans="1:20">
      <c r="C14" s="155"/>
      <c r="D14" s="159"/>
      <c r="F14" s="158"/>
      <c r="J14" s="156"/>
    </row>
  </sheetData>
  <phoneticPr fontId="10" type="noConversion"/>
  <printOptions horizontalCentered="1"/>
  <pageMargins left="0.5" right="0.5" top="3" bottom="0.5" header="1.5" footer="0.5"/>
  <pageSetup pageOrder="overThenDown" orientation="landscape"/>
  <headerFooter alignWithMargins="0">
    <oddHeader>&amp;R&amp;"Arial,Bold"Schedule &amp;A
Page &amp;P of &amp;N&amp;C&amp;B
2025 RATE CASE
ONCOR ELECTRIC DELIVERY COMPANY LLC
II-E-3.20  EFFECTS OF POST TEST YEAR ADJUSTMENT
TEST YEAR ENDING DECEMBER 31, 2024
SPONSOR: B. L. CLUTTER</oddHead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10">
    <pageSetUpPr fitToPage="1"/>
  </sheetPr>
  <dimension ref="A1:D21"/>
  <sheetViews>
    <sheetView zoomScaleNormal="100" workbookViewId="0">
      <selection activeCell="D13" sqref="D13"/>
    </sheetView>
  </sheetViews>
  <sheetFormatPr defaultColWidth="9.140625" defaultRowHeight="12.75"/>
  <cols>
    <col min="1" max="1" width="9.140625" style="341"/>
    <col min="2" max="2" width="20.140625" style="341" customWidth="1"/>
    <col min="3" max="3" width="3.28515625" style="341" customWidth="1"/>
    <col min="4" max="4" width="18.28515625" style="341" customWidth="1"/>
    <col min="5" max="16384" width="9.140625" style="341"/>
  </cols>
  <sheetData>
    <row r="1" spans="1:4">
      <c r="A1" s="189" t="str">
        <f>+'[3]Input Data'!$A$9</f>
        <v>2025 RATE CASE</v>
      </c>
    </row>
    <row r="2" spans="1:4">
      <c r="A2" s="188" t="str">
        <f>+'[3]Input Data'!$A$2</f>
        <v>ONCOR ELECTRIC DELIVERY COMPANY LLC</v>
      </c>
    </row>
    <row r="3" spans="1:4">
      <c r="A3" s="188" t="str">
        <f>CONCATENATE('[3]Schedule Sponsors'!$A$106,'[3]Schedule Sponsors'!$B$106)</f>
        <v>II-E-3.21  LIST OF FIT TESTIMONY</v>
      </c>
    </row>
    <row r="4" spans="1:4">
      <c r="A4" s="187" t="str">
        <f>+'[3]Input Data'!$A$4</f>
        <v>TEST YEAR ENDING DECEMBER 31, 2024</v>
      </c>
    </row>
    <row r="5" spans="1:4">
      <c r="A5" s="185" t="str">
        <f>CONCATENATE("SPONSOR: ",'[3]Schedule Sponsors'!$D$108)</f>
        <v>SPONSOR: B. L. CLUTTER</v>
      </c>
    </row>
    <row r="10" spans="1:4">
      <c r="A10" s="173" t="s">
        <v>241</v>
      </c>
      <c r="B10" s="173"/>
      <c r="C10" s="173"/>
      <c r="D10" s="173" t="s">
        <v>569</v>
      </c>
    </row>
    <row r="11" spans="1:4">
      <c r="A11" s="177" t="s">
        <v>139</v>
      </c>
      <c r="B11" s="177" t="s">
        <v>48</v>
      </c>
      <c r="C11" s="177"/>
      <c r="D11" s="177" t="s">
        <v>570</v>
      </c>
    </row>
    <row r="12" spans="1:4">
      <c r="A12" s="141">
        <v>1</v>
      </c>
      <c r="B12" s="347" t="s">
        <v>963</v>
      </c>
      <c r="D12" s="190" t="s">
        <v>1337</v>
      </c>
    </row>
    <row r="13" spans="1:4">
      <c r="A13" s="141"/>
      <c r="B13" s="141"/>
      <c r="C13" s="170"/>
      <c r="D13" s="141"/>
    </row>
    <row r="14" spans="1:4">
      <c r="A14" s="141"/>
      <c r="B14" s="141"/>
      <c r="C14" s="170"/>
      <c r="D14" s="141"/>
    </row>
    <row r="15" spans="1:4">
      <c r="A15" s="141"/>
      <c r="B15" s="141"/>
      <c r="C15" s="144"/>
      <c r="D15" s="141"/>
    </row>
    <row r="16" spans="1:4">
      <c r="A16" s="141"/>
      <c r="B16" s="141"/>
      <c r="D16" s="141"/>
    </row>
    <row r="17" spans="1:4">
      <c r="A17" s="141"/>
      <c r="B17" s="141"/>
      <c r="D17" s="141"/>
    </row>
    <row r="18" spans="1:4">
      <c r="A18" s="141"/>
    </row>
    <row r="19" spans="1:4">
      <c r="A19" s="141"/>
      <c r="B19" s="148"/>
    </row>
    <row r="20" spans="1:4">
      <c r="A20" s="141"/>
    </row>
    <row r="21" spans="1:4">
      <c r="A21" s="141"/>
    </row>
  </sheetData>
  <phoneticPr fontId="10" type="noConversion"/>
  <printOptions horizontalCentered="1"/>
  <pageMargins left="0.5" right="0.5" top="3" bottom="0.5" header="1.5" footer="0.5"/>
  <pageSetup pageOrder="overThenDown" orientation="landscape"/>
  <headerFooter alignWithMargins="0">
    <oddHeader>&amp;R&amp;"Arial,Bold"Schedule&amp;A
Page &amp;P of &amp;N&amp;C&amp;B
2025 RATE CASE
ONCOR ELECTRIC DELIVERY COMPANY LLC
II-E-3.21  LIST OF FIT TESTIMONY
TEST YEAR ENDING DECEMBER 31, 2024
SPONSOR: B. L. CLUTTER</oddHead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28">
    <pageSetUpPr fitToPage="1"/>
  </sheetPr>
  <dimension ref="A1:M62"/>
  <sheetViews>
    <sheetView showGridLines="0" topLeftCell="A21" zoomScaleNormal="100" workbookViewId="0">
      <selection activeCell="A39" sqref="A39:M39"/>
    </sheetView>
  </sheetViews>
  <sheetFormatPr defaultColWidth="9.140625" defaultRowHeight="12.75"/>
  <cols>
    <col min="1" max="1" width="20.85546875" style="144" customWidth="1"/>
    <col min="2" max="2" width="12.140625" style="144" customWidth="1"/>
    <col min="3" max="3" width="17.85546875" style="144" customWidth="1"/>
    <col min="4" max="16384" width="9.140625" style="144"/>
  </cols>
  <sheetData>
    <row r="1" spans="1:13">
      <c r="A1" s="189" t="str">
        <f>+'[3]Input Data'!$A$9</f>
        <v>2025 RATE CASE</v>
      </c>
    </row>
    <row r="2" spans="1:13">
      <c r="A2" s="188" t="str">
        <f>+'[3]Input Data'!$A$2</f>
        <v>ONCOR ELECTRIC DELIVERY COMPANY LLC</v>
      </c>
    </row>
    <row r="3" spans="1:13">
      <c r="A3" s="187" t="str">
        <f>CONCATENATE('[3]Schedule Sponsors'!$A$107,'[3]Schedule Sponsors'!$B$107)</f>
        <v>II-E-3.22  HISTORY OF TAX NORMALIZATION</v>
      </c>
    </row>
    <row r="4" spans="1:13">
      <c r="A4" s="187" t="str">
        <f>+'[3]Input Data'!$A$4</f>
        <v>TEST YEAR ENDING DECEMBER 31, 2024</v>
      </c>
    </row>
    <row r="5" spans="1:13">
      <c r="A5" s="185" t="str">
        <f>CONCATENATE("SPONSOR: ",'[3]Schedule Sponsors'!$D$109)</f>
        <v>SPONSOR: B. L. CLUTTER</v>
      </c>
    </row>
    <row r="10" spans="1:13" s="346" customFormat="1" ht="24.95" customHeight="1">
      <c r="A10" s="867" t="s">
        <v>388</v>
      </c>
      <c r="B10" s="868"/>
      <c r="C10" s="868"/>
      <c r="D10" s="868"/>
      <c r="E10" s="868"/>
      <c r="F10" s="868"/>
      <c r="G10" s="868"/>
      <c r="H10" s="868"/>
      <c r="I10" s="868"/>
      <c r="J10" s="868"/>
      <c r="K10" s="868"/>
      <c r="L10" s="868"/>
      <c r="M10" s="868"/>
    </row>
    <row r="11" spans="1:13" s="346" customFormat="1" ht="12.6" customHeight="1">
      <c r="A11" s="147"/>
    </row>
    <row r="12" spans="1:13" s="346" customFormat="1" ht="62.45" customHeight="1">
      <c r="A12" s="867" t="s">
        <v>389</v>
      </c>
      <c r="B12" s="868"/>
      <c r="C12" s="868"/>
      <c r="D12" s="868"/>
      <c r="E12" s="868"/>
      <c r="F12" s="868"/>
      <c r="G12" s="868"/>
      <c r="H12" s="868"/>
      <c r="I12" s="868"/>
      <c r="J12" s="868"/>
      <c r="K12" s="868"/>
      <c r="L12" s="868"/>
      <c r="M12" s="868"/>
    </row>
    <row r="13" spans="1:13" s="346" customFormat="1" ht="12.6" customHeight="1">
      <c r="A13" s="147"/>
    </row>
    <row r="14" spans="1:13" s="346" customFormat="1">
      <c r="A14" s="867" t="s">
        <v>390</v>
      </c>
      <c r="B14" s="868"/>
      <c r="C14" s="868"/>
      <c r="D14" s="868"/>
      <c r="E14" s="868"/>
      <c r="F14" s="868"/>
      <c r="G14" s="868"/>
      <c r="H14" s="868"/>
      <c r="I14" s="868"/>
      <c r="J14" s="868"/>
      <c r="K14" s="868"/>
      <c r="L14" s="868"/>
      <c r="M14" s="868"/>
    </row>
    <row r="15" spans="1:13" s="346" customFormat="1">
      <c r="A15" s="147"/>
    </row>
    <row r="16" spans="1:13" s="346" customFormat="1">
      <c r="A16" s="347" t="s">
        <v>448</v>
      </c>
      <c r="B16" s="347" t="s">
        <v>277</v>
      </c>
      <c r="C16" s="347" t="s">
        <v>446</v>
      </c>
    </row>
    <row r="17" spans="1:13" s="346" customFormat="1">
      <c r="A17" s="347" t="s">
        <v>451</v>
      </c>
      <c r="B17" s="347">
        <v>178</v>
      </c>
      <c r="C17" s="364" t="s">
        <v>447</v>
      </c>
    </row>
    <row r="18" spans="1:13" s="346" customFormat="1">
      <c r="A18" s="347" t="s">
        <v>449</v>
      </c>
      <c r="B18" s="347">
        <v>527</v>
      </c>
      <c r="C18" s="342" t="s">
        <v>452</v>
      </c>
    </row>
    <row r="19" spans="1:13" s="346" customFormat="1">
      <c r="A19" s="347" t="s">
        <v>450</v>
      </c>
      <c r="B19" s="347">
        <v>1526</v>
      </c>
      <c r="C19" s="342" t="s">
        <v>453</v>
      </c>
    </row>
    <row r="20" spans="1:13" s="346" customFormat="1" ht="12.6" customHeight="1">
      <c r="A20" s="147"/>
    </row>
    <row r="21" spans="1:13" s="346" customFormat="1">
      <c r="A21" s="867" t="s">
        <v>852</v>
      </c>
      <c r="B21" s="868"/>
      <c r="C21" s="868"/>
      <c r="D21" s="868"/>
      <c r="E21" s="868"/>
      <c r="F21" s="868"/>
      <c r="G21" s="868"/>
      <c r="H21" s="868"/>
      <c r="I21" s="868"/>
      <c r="J21" s="868"/>
      <c r="K21" s="868"/>
      <c r="L21" s="868"/>
      <c r="M21" s="868"/>
    </row>
    <row r="22" spans="1:13" s="346" customFormat="1">
      <c r="A22" s="147"/>
    </row>
    <row r="23" spans="1:13" s="346" customFormat="1" ht="37.5" customHeight="1">
      <c r="A23" s="867" t="s">
        <v>391</v>
      </c>
      <c r="B23" s="868"/>
      <c r="C23" s="868"/>
      <c r="D23" s="868"/>
      <c r="E23" s="868"/>
      <c r="F23" s="868"/>
      <c r="G23" s="868"/>
      <c r="H23" s="868"/>
      <c r="I23" s="868"/>
      <c r="J23" s="868"/>
      <c r="K23" s="868"/>
      <c r="L23" s="868"/>
      <c r="M23" s="868"/>
    </row>
    <row r="24" spans="1:13" s="346" customFormat="1" ht="12.6" customHeight="1">
      <c r="A24" s="869"/>
      <c r="B24" s="869"/>
      <c r="C24" s="869"/>
      <c r="D24" s="869"/>
      <c r="E24" s="189"/>
      <c r="F24" s="869"/>
      <c r="G24" s="869"/>
    </row>
    <row r="25" spans="1:13" s="346" customFormat="1" ht="54" customHeight="1">
      <c r="A25" s="867" t="s">
        <v>708</v>
      </c>
      <c r="B25" s="867"/>
      <c r="C25" s="870"/>
      <c r="D25" s="870"/>
      <c r="E25" s="870"/>
      <c r="F25" s="870"/>
      <c r="G25" s="870"/>
      <c r="H25" s="870"/>
      <c r="I25" s="870"/>
      <c r="J25" s="870"/>
      <c r="K25" s="870"/>
      <c r="L25" s="870"/>
      <c r="M25" s="870"/>
    </row>
    <row r="26" spans="1:13" s="346" customFormat="1" ht="12.6" customHeight="1">
      <c r="A26" s="872"/>
      <c r="B26" s="872"/>
      <c r="C26" s="872"/>
      <c r="D26" s="872"/>
      <c r="F26" s="871"/>
      <c r="G26" s="871"/>
    </row>
    <row r="27" spans="1:13" s="346" customFormat="1" ht="50.1" customHeight="1">
      <c r="A27" s="867" t="s">
        <v>1</v>
      </c>
      <c r="B27" s="867"/>
      <c r="C27" s="870"/>
      <c r="D27" s="870"/>
      <c r="E27" s="870"/>
      <c r="F27" s="870"/>
      <c r="G27" s="870"/>
      <c r="H27" s="870"/>
      <c r="I27" s="870"/>
      <c r="J27" s="870"/>
      <c r="K27" s="870"/>
      <c r="L27" s="870"/>
      <c r="M27" s="870"/>
    </row>
    <row r="28" spans="1:13" s="346" customFormat="1" ht="12.6" customHeight="1">
      <c r="A28" s="147"/>
    </row>
    <row r="29" spans="1:13" s="346" customFormat="1" ht="50.1" customHeight="1">
      <c r="A29" s="867" t="s">
        <v>709</v>
      </c>
      <c r="B29" s="867"/>
      <c r="C29" s="870"/>
      <c r="D29" s="870"/>
      <c r="E29" s="870"/>
      <c r="F29" s="870"/>
      <c r="G29" s="870"/>
      <c r="H29" s="870"/>
      <c r="I29" s="870"/>
      <c r="J29" s="870"/>
      <c r="K29" s="870"/>
      <c r="L29" s="870"/>
      <c r="M29" s="870"/>
    </row>
    <row r="30" spans="1:13" s="346" customFormat="1">
      <c r="A30" s="147"/>
    </row>
    <row r="31" spans="1:13" s="346" customFormat="1" ht="62.45" customHeight="1">
      <c r="A31" s="867" t="s">
        <v>710</v>
      </c>
      <c r="B31" s="867"/>
      <c r="C31" s="870"/>
      <c r="D31" s="870"/>
      <c r="E31" s="870"/>
      <c r="F31" s="870"/>
      <c r="G31" s="870"/>
      <c r="H31" s="870"/>
      <c r="I31" s="870"/>
      <c r="J31" s="870"/>
      <c r="K31" s="870"/>
      <c r="L31" s="870"/>
      <c r="M31" s="870"/>
    </row>
    <row r="32" spans="1:13" s="346" customFormat="1" ht="12.6" customHeight="1">
      <c r="A32" s="147"/>
    </row>
    <row r="33" spans="1:13" s="346" customFormat="1" ht="12.6" customHeight="1">
      <c r="A33" s="867" t="s">
        <v>22</v>
      </c>
      <c r="B33" s="867"/>
      <c r="C33" s="870"/>
      <c r="D33" s="870"/>
      <c r="E33" s="870"/>
      <c r="F33" s="870"/>
      <c r="G33" s="870"/>
      <c r="H33" s="870"/>
      <c r="I33" s="870"/>
      <c r="J33" s="870"/>
      <c r="K33" s="870"/>
      <c r="L33" s="870"/>
      <c r="M33" s="870"/>
    </row>
    <row r="34" spans="1:13" s="346" customFormat="1" ht="12.6" customHeight="1">
      <c r="A34" s="147"/>
    </row>
    <row r="35" spans="1:13" s="346" customFormat="1" ht="53.45" customHeight="1">
      <c r="A35" s="867" t="s">
        <v>1266</v>
      </c>
      <c r="B35" s="867"/>
      <c r="C35" s="870"/>
      <c r="D35" s="870"/>
      <c r="E35" s="870"/>
      <c r="F35" s="870"/>
      <c r="G35" s="870"/>
      <c r="H35" s="870"/>
      <c r="I35" s="870"/>
      <c r="J35" s="870"/>
      <c r="K35" s="870"/>
      <c r="L35" s="870"/>
      <c r="M35" s="870"/>
    </row>
    <row r="36" spans="1:13" s="346" customFormat="1">
      <c r="A36" s="824"/>
      <c r="B36" s="824"/>
      <c r="C36" s="825"/>
      <c r="D36" s="825"/>
      <c r="E36" s="825"/>
      <c r="F36" s="825"/>
      <c r="G36" s="825"/>
      <c r="H36" s="825"/>
      <c r="I36" s="825"/>
      <c r="J36" s="825"/>
      <c r="K36" s="825"/>
      <c r="L36" s="825"/>
      <c r="M36" s="825"/>
    </row>
    <row r="37" spans="1:13" s="346" customFormat="1" ht="29.45" customHeight="1">
      <c r="A37" s="865" t="s">
        <v>1267</v>
      </c>
      <c r="B37" s="865"/>
      <c r="C37" s="865"/>
      <c r="D37" s="865"/>
      <c r="E37" s="865"/>
      <c r="F37" s="865"/>
      <c r="G37" s="865"/>
      <c r="H37" s="865"/>
      <c r="I37" s="865"/>
      <c r="J37" s="865"/>
      <c r="K37" s="865"/>
      <c r="L37" s="865"/>
      <c r="M37" s="865"/>
    </row>
    <row r="38" spans="1:13" s="346" customFormat="1" ht="12.6" customHeight="1">
      <c r="A38" s="147"/>
    </row>
    <row r="39" spans="1:13" s="346" customFormat="1" ht="50.1" customHeight="1">
      <c r="A39" s="865" t="s">
        <v>1268</v>
      </c>
      <c r="B39" s="865"/>
      <c r="C39" s="865"/>
      <c r="D39" s="865"/>
      <c r="E39" s="865"/>
      <c r="F39" s="865"/>
      <c r="G39" s="865"/>
      <c r="H39" s="865"/>
      <c r="I39" s="865"/>
      <c r="J39" s="865"/>
      <c r="K39" s="865"/>
      <c r="L39" s="865"/>
      <c r="M39" s="865"/>
    </row>
    <row r="40" spans="1:13">
      <c r="A40" s="141"/>
      <c r="B40" s="147"/>
    </row>
    <row r="41" spans="1:13">
      <c r="A41" s="141"/>
      <c r="B41" s="147"/>
    </row>
    <row r="42" spans="1:13">
      <c r="B42" s="147"/>
    </row>
    <row r="43" spans="1:13">
      <c r="A43" s="346"/>
      <c r="B43" s="147"/>
    </row>
    <row r="44" spans="1:13">
      <c r="B44" s="146"/>
    </row>
    <row r="45" spans="1:13">
      <c r="B45" s="146"/>
    </row>
    <row r="46" spans="1:13">
      <c r="B46" s="146"/>
    </row>
    <row r="47" spans="1:13">
      <c r="B47" s="146"/>
    </row>
    <row r="48" spans="1:13">
      <c r="B48" s="146"/>
    </row>
    <row r="49" spans="2:2">
      <c r="B49" s="146"/>
    </row>
    <row r="50" spans="2:2">
      <c r="B50" s="146"/>
    </row>
    <row r="51" spans="2:2">
      <c r="B51" s="146"/>
    </row>
    <row r="52" spans="2:2">
      <c r="B52" s="146"/>
    </row>
    <row r="53" spans="2:2">
      <c r="B53" s="146"/>
    </row>
    <row r="54" spans="2:2">
      <c r="B54" s="146"/>
    </row>
    <row r="55" spans="2:2">
      <c r="B55" s="146"/>
    </row>
    <row r="56" spans="2:2">
      <c r="B56" s="146"/>
    </row>
    <row r="57" spans="2:2">
      <c r="B57" s="146"/>
    </row>
    <row r="58" spans="2:2">
      <c r="B58" s="146"/>
    </row>
    <row r="59" spans="2:2">
      <c r="B59" s="146"/>
    </row>
    <row r="60" spans="2:2">
      <c r="B60" s="146"/>
    </row>
    <row r="61" spans="2:2">
      <c r="B61" s="146"/>
    </row>
    <row r="62" spans="2:2">
      <c r="B62" s="146"/>
    </row>
  </sheetData>
  <mergeCells count="19">
    <mergeCell ref="F24:G24"/>
    <mergeCell ref="C24:D24"/>
    <mergeCell ref="A39:M39"/>
    <mergeCell ref="A31:M31"/>
    <mergeCell ref="A33:M33"/>
    <mergeCell ref="A35:M35"/>
    <mergeCell ref="A29:M29"/>
    <mergeCell ref="A25:M25"/>
    <mergeCell ref="F26:G26"/>
    <mergeCell ref="A27:M27"/>
    <mergeCell ref="C26:D26"/>
    <mergeCell ref="A26:B26"/>
    <mergeCell ref="A24:B24"/>
    <mergeCell ref="A37:M37"/>
    <mergeCell ref="A10:M10"/>
    <mergeCell ref="A12:M12"/>
    <mergeCell ref="A14:M14"/>
    <mergeCell ref="A21:M21"/>
    <mergeCell ref="A23:M23"/>
  </mergeCells>
  <phoneticPr fontId="10" type="noConversion"/>
  <printOptions horizontalCentered="1"/>
  <pageMargins left="0.5" right="0.5" top="3" bottom="0.5" header="1.5" footer="0.5"/>
  <pageSetup scale="91" fitToHeight="2" pageOrder="overThenDown" orientation="landscape"/>
  <headerFooter alignWithMargins="0">
    <oddHeader>&amp;R&amp;"Arial,Bold"Schedule&amp;A
Page &amp;P of &amp;N&amp;C&amp;B
2025 RATE CASE
ONCOR ELECTRIC DELIVERY COMPANY LLC
II-E-3.22  HISTORY OF TAX NORMALIZATION
TEST YEAR ENDING DECEMBER 31, 2024
SPONSOR: B. L. CLUTTER</oddHead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29">
    <pageSetUpPr fitToPage="1"/>
  </sheetPr>
  <dimension ref="A1:D34"/>
  <sheetViews>
    <sheetView zoomScale="90" zoomScaleNormal="90" workbookViewId="0">
      <selection activeCell="D31" sqref="D31"/>
    </sheetView>
  </sheetViews>
  <sheetFormatPr defaultColWidth="9.140625" defaultRowHeight="12.75"/>
  <cols>
    <col min="1" max="2" width="9.140625" style="346"/>
    <col min="3" max="3" width="26.5703125" style="346" customWidth="1"/>
    <col min="4" max="4" width="68" style="346" customWidth="1"/>
    <col min="5" max="16384" width="9.140625" style="346"/>
  </cols>
  <sheetData>
    <row r="1" spans="1:2">
      <c r="A1" s="189" t="str">
        <f>+'[3]Input Data'!$A$9</f>
        <v>2025 RATE CASE</v>
      </c>
    </row>
    <row r="2" spans="1:2">
      <c r="A2" s="188" t="str">
        <f>+'[3]Input Data'!$A$2</f>
        <v>ONCOR ELECTRIC DELIVERY COMPANY LLC</v>
      </c>
    </row>
    <row r="3" spans="1:2">
      <c r="A3" s="187" t="str">
        <f>CONCATENATE('[3]Schedule Sponsors'!$A$108,'[3]Schedule Sponsors'!$B$108)</f>
        <v>II-E-3.23  TAX ELECTIONS, IRS AUDIT STATUS AND PRIVATE LETTER RULINGS</v>
      </c>
    </row>
    <row r="4" spans="1:2">
      <c r="A4" s="187" t="str">
        <f>+'[3]Input Data'!$A$4</f>
        <v>TEST YEAR ENDING DECEMBER 31, 2024</v>
      </c>
    </row>
    <row r="5" spans="1:2">
      <c r="A5" s="185" t="str">
        <f>CONCATENATE("SPONSOR: ",'[3]Schedule Sponsors'!$D$108)</f>
        <v>SPONSOR: B. L. CLUTTER</v>
      </c>
    </row>
    <row r="10" spans="1:2">
      <c r="A10" s="348" t="s">
        <v>346</v>
      </c>
    </row>
    <row r="12" spans="1:2">
      <c r="A12" s="346" t="s">
        <v>1085</v>
      </c>
    </row>
    <row r="14" spans="1:2">
      <c r="A14" s="347"/>
      <c r="B14" s="347"/>
    </row>
    <row r="15" spans="1:2">
      <c r="A15" s="348" t="s">
        <v>347</v>
      </c>
    </row>
    <row r="16" spans="1:2">
      <c r="A16" s="348"/>
    </row>
    <row r="17" spans="1:4" ht="29.1" customHeight="1">
      <c r="A17" s="873" t="s">
        <v>1086</v>
      </c>
      <c r="B17" s="873"/>
      <c r="C17" s="873"/>
      <c r="D17" s="873"/>
    </row>
    <row r="18" spans="1:4">
      <c r="B18" s="347"/>
    </row>
    <row r="19" spans="1:4">
      <c r="A19" s="347"/>
      <c r="B19" s="347"/>
    </row>
    <row r="20" spans="1:4">
      <c r="A20" s="348" t="s">
        <v>348</v>
      </c>
      <c r="B20" s="347"/>
    </row>
    <row r="21" spans="1:4">
      <c r="B21" s="347"/>
    </row>
    <row r="22" spans="1:4">
      <c r="A22" s="346" t="s">
        <v>1338</v>
      </c>
      <c r="B22" s="347"/>
    </row>
    <row r="23" spans="1:4">
      <c r="A23" s="347"/>
      <c r="B23" s="347"/>
    </row>
    <row r="24" spans="1:4">
      <c r="A24" s="347"/>
      <c r="B24" s="347"/>
    </row>
    <row r="25" spans="1:4">
      <c r="A25" s="347"/>
      <c r="B25" s="347"/>
    </row>
    <row r="26" spans="1:4">
      <c r="A26" s="347"/>
      <c r="B26" s="347"/>
    </row>
    <row r="27" spans="1:4">
      <c r="A27" s="347"/>
      <c r="B27" s="347"/>
    </row>
    <row r="28" spans="1:4">
      <c r="A28" s="347"/>
      <c r="B28" s="347"/>
    </row>
    <row r="29" spans="1:4">
      <c r="A29" s="347"/>
      <c r="B29" s="347"/>
    </row>
    <row r="30" spans="1:4">
      <c r="A30" s="347"/>
      <c r="B30" s="347"/>
    </row>
    <row r="31" spans="1:4">
      <c r="A31" s="347"/>
      <c r="B31" s="347"/>
    </row>
    <row r="32" spans="1:4">
      <c r="A32" s="347"/>
      <c r="B32" s="347"/>
    </row>
    <row r="33" spans="1:1">
      <c r="A33" s="347"/>
    </row>
    <row r="34" spans="1:1">
      <c r="A34" s="347"/>
    </row>
  </sheetData>
  <mergeCells count="1">
    <mergeCell ref="A17:D17"/>
  </mergeCells>
  <phoneticPr fontId="10" type="noConversion"/>
  <printOptions horizontalCentered="1"/>
  <pageMargins left="0.5" right="0.5" top="3" bottom="0.5" header="1.5" footer="0.5"/>
  <pageSetup scale="99" pageOrder="overThenDown" orientation="landscape"/>
  <headerFooter alignWithMargins="0">
    <oddHeader>&amp;R&amp;"Arial,Bold"Schedule &amp;A
Page &amp;P of &amp;N&amp;C&amp;B
2025 RATE CASE
ONCOR ELECTRIC DELIVERY COMPANY LLC
II-E-3.23  TAX ELECTIONS, IRS AUDIT STATUS AND PRIVATE LETTER RULINGS
TEST YEAR ENDING DECEMBER 31, 2024
SPONSOR: B. L. CLUTTER</oddHead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30">
    <pageSetUpPr fitToPage="1"/>
  </sheetPr>
  <dimension ref="A1:J26"/>
  <sheetViews>
    <sheetView zoomScaleNormal="100" workbookViewId="0">
      <selection activeCell="E5" sqref="E5"/>
    </sheetView>
  </sheetViews>
  <sheetFormatPr defaultColWidth="9.140625" defaultRowHeight="12.75"/>
  <cols>
    <col min="1" max="1" width="4.85546875" style="144" customWidth="1"/>
    <col min="2" max="7" width="13.7109375" style="144" customWidth="1"/>
    <col min="8" max="8" width="23.28515625" style="144" customWidth="1"/>
    <col min="9" max="16384" width="9.140625" style="144"/>
  </cols>
  <sheetData>
    <row r="1" spans="1:10">
      <c r="A1" s="189" t="str">
        <f>+'[3]Input Data'!$A$9</f>
        <v>2025 RATE CASE</v>
      </c>
    </row>
    <row r="2" spans="1:10">
      <c r="A2" s="188" t="str">
        <f>+'[3]Input Data'!$A$2</f>
        <v>ONCOR ELECTRIC DELIVERY COMPANY LLC</v>
      </c>
    </row>
    <row r="3" spans="1:10">
      <c r="A3" s="187" t="str">
        <f>CONCATENATE('[3]Schedule Sponsors'!$A$109,'[3]Schedule Sponsors'!$B$109)</f>
        <v>II-E-3.24  METHOD OF ACCOUNTING FOR ADFIT RELATED TO NOL CARRYFORWARD</v>
      </c>
    </row>
    <row r="4" spans="1:10">
      <c r="A4" s="187" t="str">
        <f>+'[3]Input Data'!$A$4</f>
        <v>TEST YEAR ENDING DECEMBER 31, 2024</v>
      </c>
    </row>
    <row r="5" spans="1:10">
      <c r="A5" s="185" t="str">
        <f>CONCATENATE("SPONSOR: ",'[3]Schedule Sponsors'!$D$108)</f>
        <v>SPONSOR: B. L. CLUTTER</v>
      </c>
    </row>
    <row r="10" spans="1:10" ht="65.099999999999994" customHeight="1">
      <c r="A10" s="865" t="s">
        <v>1062</v>
      </c>
      <c r="B10" s="865"/>
      <c r="C10" s="865"/>
      <c r="D10" s="865"/>
      <c r="E10" s="865"/>
      <c r="F10" s="865"/>
      <c r="G10" s="865"/>
      <c r="H10" s="865"/>
      <c r="I10" s="865"/>
      <c r="J10" s="171"/>
    </row>
    <row r="11" spans="1:10">
      <c r="A11" s="176"/>
    </row>
    <row r="12" spans="1:10">
      <c r="A12" s="176"/>
      <c r="B12" s="189" t="s">
        <v>433</v>
      </c>
    </row>
    <row r="13" spans="1:10">
      <c r="A13" s="176"/>
      <c r="B13" s="189" t="s">
        <v>434</v>
      </c>
    </row>
    <row r="14" spans="1:10">
      <c r="A14" s="176"/>
      <c r="B14" s="189" t="s">
        <v>435</v>
      </c>
    </row>
    <row r="15" spans="1:10">
      <c r="A15" s="176"/>
      <c r="B15" s="189" t="s">
        <v>436</v>
      </c>
    </row>
    <row r="16" spans="1:10">
      <c r="A16" s="176"/>
    </row>
    <row r="17" spans="1:9">
      <c r="A17" s="865" t="s">
        <v>1063</v>
      </c>
      <c r="B17" s="865"/>
      <c r="C17" s="865"/>
      <c r="D17" s="865"/>
      <c r="E17" s="865"/>
      <c r="F17" s="865"/>
      <c r="G17" s="865"/>
      <c r="H17" s="865"/>
      <c r="I17" s="865"/>
    </row>
    <row r="18" spans="1:9">
      <c r="A18" s="176"/>
    </row>
    <row r="19" spans="1:9">
      <c r="A19" s="176"/>
    </row>
    <row r="20" spans="1:9">
      <c r="A20" s="176"/>
    </row>
    <row r="21" spans="1:9">
      <c r="A21" s="176"/>
    </row>
    <row r="22" spans="1:9">
      <c r="A22" s="176"/>
    </row>
    <row r="23" spans="1:9">
      <c r="A23" s="176"/>
    </row>
    <row r="24" spans="1:9">
      <c r="A24" s="176"/>
    </row>
    <row r="25" spans="1:9">
      <c r="A25" s="176"/>
    </row>
    <row r="26" spans="1:9">
      <c r="A26" s="176"/>
    </row>
  </sheetData>
  <mergeCells count="2">
    <mergeCell ref="A17:I17"/>
    <mergeCell ref="A10:I10"/>
  </mergeCells>
  <phoneticPr fontId="10" type="noConversion"/>
  <printOptions horizontalCentered="1"/>
  <pageMargins left="0.5" right="0.5" top="3" bottom="0.5" header="1.5" footer="0.5"/>
  <pageSetup fitToHeight="2" pageOrder="overThenDown" orientation="landscape"/>
  <headerFooter alignWithMargins="0">
    <oddHeader>&amp;R&amp;"Arial,Bold"Schedule &amp;A
Page &amp;P of &amp;N&amp;C&amp;B
2025 RATE CASE
ONCOR ELECTRIC DELIVERY COMPANY LLC
II-E-3.24  METHOD OF ACCOUNTING FOR ADFIT RELATED TO NOL CARRYFORWARD
TEST YEAR ENDING DECEMBER 31, 2024
SPONSOR: B. L. CLUTTER</oddHead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9"/>
  <dimension ref="A1:X148"/>
  <sheetViews>
    <sheetView zoomScaleNormal="100" workbookViewId="0">
      <pane xSplit="4" ySplit="13" topLeftCell="J14" activePane="bottomRight" state="frozen"/>
      <selection activeCell="I30" sqref="I30"/>
      <selection pane="topRight" activeCell="I30" sqref="I30"/>
      <selection pane="bottomLeft" activeCell="I30" sqref="I30"/>
      <selection pane="bottomRight" activeCell="B17" sqref="B17"/>
    </sheetView>
  </sheetViews>
  <sheetFormatPr defaultColWidth="9.140625" defaultRowHeight="12.75" customHeight="1"/>
  <cols>
    <col min="1" max="1" width="5.7109375" style="55" customWidth="1"/>
    <col min="2" max="2" width="8.7109375" style="57" customWidth="1"/>
    <col min="3" max="3" width="46.5703125" style="57" customWidth="1"/>
    <col min="4" max="4" width="10.5703125" style="57" customWidth="1"/>
    <col min="5" max="5" width="15" style="57" bestFit="1" customWidth="1"/>
    <col min="6" max="6" width="17.140625" style="57" bestFit="1" customWidth="1"/>
    <col min="7" max="7" width="15" style="57" bestFit="1" customWidth="1"/>
    <col min="8" max="8" width="14" style="57" bestFit="1" customWidth="1"/>
    <col min="9" max="9" width="15" style="57" bestFit="1" customWidth="1"/>
    <col min="10" max="10" width="10.140625" style="57" bestFit="1" customWidth="1"/>
    <col min="11" max="11" width="15" style="62" bestFit="1" customWidth="1"/>
    <col min="12" max="12" width="12.7109375" style="57" customWidth="1"/>
    <col min="13" max="13" width="16.85546875" style="62" bestFit="1" customWidth="1"/>
    <col min="14" max="14" width="13.42578125" style="57" bestFit="1" customWidth="1"/>
    <col min="15" max="17" width="13.42578125" style="57" customWidth="1"/>
    <col min="18" max="18" width="15" style="57" bestFit="1" customWidth="1"/>
    <col min="19" max="19" width="13.42578125" style="57" customWidth="1"/>
    <col min="20" max="20" width="15" style="57" bestFit="1" customWidth="1"/>
    <col min="21" max="21" width="12.7109375" style="57" customWidth="1"/>
    <col min="22" max="22" width="13.42578125" style="57" bestFit="1" customWidth="1"/>
    <col min="23" max="23" width="19" style="57" bestFit="1" customWidth="1"/>
    <col min="24" max="16384" width="9.140625" style="57"/>
  </cols>
  <sheetData>
    <row r="1" spans="1:23">
      <c r="A1" s="59" t="str">
        <f>+'[3]Input Data'!$A$9</f>
        <v>2025 RATE CASE</v>
      </c>
    </row>
    <row r="2" spans="1:23">
      <c r="A2" s="31" t="str">
        <f>+'[3]Input Data'!$A$2</f>
        <v>ONCOR ELECTRIC DELIVERY COMPANY LLC</v>
      </c>
      <c r="B2" s="55"/>
      <c r="C2" s="55"/>
      <c r="D2" s="55"/>
      <c r="E2" s="55"/>
      <c r="F2" s="85"/>
      <c r="G2" s="55"/>
      <c r="H2" s="55"/>
      <c r="I2" s="55"/>
      <c r="J2" s="55"/>
      <c r="K2" s="56"/>
      <c r="L2" s="55"/>
      <c r="M2" s="56"/>
      <c r="N2" s="27"/>
      <c r="O2" s="27"/>
      <c r="P2" s="27"/>
      <c r="Q2" s="27"/>
      <c r="R2" s="55"/>
      <c r="S2" s="55"/>
      <c r="T2" s="55"/>
      <c r="U2" s="55"/>
      <c r="V2" s="55"/>
      <c r="W2" s="55"/>
    </row>
    <row r="3" spans="1:23">
      <c r="A3" s="164" t="str">
        <f>CONCATENATE('[3]Schedule Sponsors'!$A$110,'[3]Schedule Sponsors'!$B$110)</f>
        <v>II-E-4   OTHER EXPENSES</v>
      </c>
      <c r="B3" s="27"/>
      <c r="D3" s="55"/>
      <c r="E3" s="55"/>
      <c r="F3" s="58"/>
      <c r="G3" s="55"/>
      <c r="H3" s="55"/>
      <c r="I3" s="55"/>
      <c r="J3" s="55"/>
      <c r="K3" s="56"/>
      <c r="L3" s="55"/>
      <c r="M3" s="56"/>
      <c r="N3" s="51"/>
      <c r="O3" s="51"/>
      <c r="P3" s="51"/>
      <c r="Q3" s="51"/>
      <c r="R3" s="55"/>
      <c r="S3" s="55"/>
      <c r="T3" s="55"/>
      <c r="U3" s="55"/>
      <c r="V3" s="55"/>
      <c r="W3" s="55"/>
    </row>
    <row r="4" spans="1:23">
      <c r="A4" s="89" t="str">
        <f>+'[3]Input Data'!$A$4</f>
        <v>TEST YEAR ENDING DECEMBER 31, 2024</v>
      </c>
      <c r="B4" s="27"/>
      <c r="D4" s="55"/>
      <c r="E4" s="55"/>
      <c r="F4" s="58"/>
      <c r="G4" s="55"/>
      <c r="H4" s="55"/>
      <c r="I4" s="55"/>
      <c r="J4" s="55"/>
      <c r="K4" s="56"/>
      <c r="L4" s="55"/>
      <c r="M4" s="56"/>
      <c r="N4" s="51"/>
      <c r="O4" s="51"/>
      <c r="P4" s="51"/>
      <c r="Q4" s="51"/>
      <c r="R4" s="55"/>
      <c r="S4" s="55"/>
      <c r="T4" s="55"/>
      <c r="U4" s="55"/>
      <c r="V4" s="55"/>
      <c r="W4" s="55"/>
    </row>
    <row r="5" spans="1:23">
      <c r="A5" s="30" t="str">
        <f>CONCATENATE("SPONSOR: ",'[3]Schedule Sponsors'!$D$110)</f>
        <v>SPONSOR: R. PRACHYL</v>
      </c>
      <c r="B5" s="27"/>
      <c r="D5" s="55"/>
      <c r="E5" s="55"/>
      <c r="F5" s="55"/>
      <c r="G5" s="55"/>
      <c r="H5" s="55"/>
      <c r="I5" s="55"/>
      <c r="J5" s="55"/>
      <c r="K5" s="56"/>
      <c r="L5" s="55"/>
      <c r="M5" s="56"/>
      <c r="N5" s="55"/>
      <c r="O5" s="55"/>
      <c r="P5" s="55"/>
      <c r="Q5" s="55"/>
      <c r="R5" s="55"/>
      <c r="S5" s="55"/>
      <c r="T5" s="55"/>
      <c r="U5" s="55"/>
      <c r="V5" s="55"/>
      <c r="W5" s="55"/>
    </row>
    <row r="6" spans="1:23">
      <c r="B6" s="27"/>
      <c r="D6" s="55"/>
      <c r="E6" s="55"/>
      <c r="F6" s="55"/>
      <c r="G6" s="55"/>
      <c r="H6" s="55"/>
      <c r="I6" s="55"/>
      <c r="J6" s="55"/>
      <c r="K6" s="56"/>
      <c r="L6" s="55"/>
      <c r="M6" s="56"/>
      <c r="N6" s="55"/>
      <c r="O6" s="55"/>
      <c r="P6" s="55"/>
      <c r="Q6" s="55"/>
      <c r="R6" s="55"/>
      <c r="S6" s="55"/>
      <c r="T6" s="55"/>
      <c r="U6" s="55"/>
      <c r="V6" s="55"/>
      <c r="W6" s="55"/>
    </row>
    <row r="7" spans="1:23">
      <c r="B7" s="27"/>
      <c r="D7" s="55"/>
      <c r="E7" s="55"/>
      <c r="F7" s="55"/>
      <c r="G7" s="55"/>
      <c r="H7" s="55"/>
      <c r="I7" s="55"/>
      <c r="J7" s="55"/>
      <c r="K7" s="56"/>
      <c r="L7" s="55"/>
      <c r="M7" s="56"/>
      <c r="N7" s="55"/>
      <c r="O7" s="55"/>
      <c r="P7" s="55"/>
      <c r="Q7" s="55"/>
      <c r="R7" s="55"/>
      <c r="S7" s="55"/>
      <c r="T7" s="55"/>
      <c r="U7" s="55"/>
      <c r="V7" s="55"/>
      <c r="W7" s="55"/>
    </row>
    <row r="8" spans="1:23">
      <c r="B8" s="59"/>
      <c r="C8" s="55"/>
      <c r="D8" s="55"/>
      <c r="E8" s="55"/>
      <c r="F8" s="55"/>
      <c r="G8" s="55"/>
      <c r="H8" s="55"/>
      <c r="I8" s="55"/>
      <c r="J8" s="55"/>
      <c r="K8" s="56"/>
      <c r="L8" s="55"/>
      <c r="M8" s="56"/>
      <c r="N8" s="55"/>
      <c r="O8" s="55"/>
      <c r="P8" s="55"/>
      <c r="Q8" s="55"/>
      <c r="R8" s="55"/>
      <c r="S8" s="55"/>
      <c r="T8" s="55"/>
      <c r="U8" s="55"/>
      <c r="V8" s="55"/>
      <c r="W8" s="55"/>
    </row>
    <row r="9" spans="1:23" ht="13.5" thickBot="1">
      <c r="B9" s="55" t="s">
        <v>67</v>
      </c>
      <c r="C9" s="55"/>
      <c r="D9" s="55"/>
      <c r="E9" s="60"/>
      <c r="F9" s="60"/>
      <c r="G9" s="60"/>
      <c r="H9" s="60"/>
      <c r="I9" s="60"/>
      <c r="J9" s="60"/>
      <c r="K9" s="60"/>
      <c r="L9" s="60"/>
      <c r="M9" s="60"/>
      <c r="N9" s="60"/>
      <c r="O9" s="60"/>
      <c r="P9" s="60"/>
      <c r="Q9" s="60"/>
      <c r="R9" s="60"/>
      <c r="S9" s="60"/>
      <c r="T9" s="60"/>
      <c r="U9" s="61"/>
      <c r="V9" s="61"/>
      <c r="W9" s="56"/>
    </row>
    <row r="10" spans="1:23" s="59" customFormat="1">
      <c r="A10" s="32"/>
      <c r="B10" s="32"/>
      <c r="C10" s="32"/>
      <c r="D10" s="32"/>
      <c r="E10" s="32"/>
      <c r="F10" s="32"/>
      <c r="G10" s="33" t="s">
        <v>61</v>
      </c>
      <c r="H10" s="525" t="s">
        <v>379</v>
      </c>
      <c r="I10" s="33" t="s">
        <v>62</v>
      </c>
      <c r="J10" s="33" t="s">
        <v>79</v>
      </c>
      <c r="K10" s="33" t="s">
        <v>269</v>
      </c>
      <c r="L10" s="32"/>
      <c r="M10" s="33" t="s">
        <v>338</v>
      </c>
      <c r="N10" s="212"/>
      <c r="O10" s="212"/>
      <c r="P10" s="212"/>
      <c r="Q10" s="212"/>
      <c r="R10" s="212"/>
      <c r="S10" s="212"/>
      <c r="T10" s="212"/>
      <c r="U10" s="212"/>
      <c r="V10" s="212"/>
      <c r="W10" s="212"/>
    </row>
    <row r="11" spans="1:23" s="59" customFormat="1">
      <c r="A11" s="34" t="s">
        <v>241</v>
      </c>
      <c r="B11" s="34" t="s">
        <v>69</v>
      </c>
      <c r="C11" s="34"/>
      <c r="D11" s="34" t="s">
        <v>66</v>
      </c>
      <c r="E11" s="50" t="s">
        <v>71</v>
      </c>
      <c r="F11" s="34" t="s">
        <v>72</v>
      </c>
      <c r="G11" s="34" t="s">
        <v>63</v>
      </c>
      <c r="H11" s="526" t="s">
        <v>380</v>
      </c>
      <c r="I11" s="34" t="s">
        <v>61</v>
      </c>
      <c r="J11" s="34" t="s">
        <v>269</v>
      </c>
      <c r="K11" s="34" t="s">
        <v>43</v>
      </c>
      <c r="L11" s="34" t="s">
        <v>74</v>
      </c>
      <c r="M11" s="34" t="s">
        <v>75</v>
      </c>
      <c r="N11" s="165"/>
      <c r="O11" s="165" t="s">
        <v>571</v>
      </c>
      <c r="P11" s="165" t="s">
        <v>572</v>
      </c>
      <c r="Q11" s="165" t="s">
        <v>574</v>
      </c>
      <c r="R11" s="165"/>
      <c r="S11" s="165" t="s">
        <v>571</v>
      </c>
      <c r="T11" s="165" t="s">
        <v>574</v>
      </c>
      <c r="U11" s="165"/>
      <c r="V11" s="165"/>
      <c r="W11" s="165"/>
    </row>
    <row r="12" spans="1:23" s="59" customFormat="1">
      <c r="A12" s="34" t="s">
        <v>268</v>
      </c>
      <c r="B12" s="34" t="s">
        <v>203</v>
      </c>
      <c r="C12" s="34" t="s">
        <v>64</v>
      </c>
      <c r="D12" s="34" t="s">
        <v>68</v>
      </c>
      <c r="E12" s="50" t="s">
        <v>76</v>
      </c>
      <c r="F12" s="34" t="s">
        <v>77</v>
      </c>
      <c r="G12" s="34" t="s">
        <v>78</v>
      </c>
      <c r="H12" s="526" t="s">
        <v>381</v>
      </c>
      <c r="I12" s="34" t="s">
        <v>63</v>
      </c>
      <c r="J12" s="34" t="s">
        <v>75</v>
      </c>
      <c r="K12" s="34" t="s">
        <v>79</v>
      </c>
      <c r="L12" s="34" t="s">
        <v>80</v>
      </c>
      <c r="M12" s="34" t="s">
        <v>81</v>
      </c>
      <c r="N12" s="165" t="s">
        <v>198</v>
      </c>
      <c r="O12" s="165" t="s">
        <v>198</v>
      </c>
      <c r="P12" s="165" t="s">
        <v>575</v>
      </c>
      <c r="Q12" s="165" t="s">
        <v>198</v>
      </c>
      <c r="R12" s="165" t="s">
        <v>199</v>
      </c>
      <c r="S12" s="165" t="s">
        <v>199</v>
      </c>
      <c r="T12" s="165" t="s">
        <v>199</v>
      </c>
      <c r="U12" s="165" t="s">
        <v>194</v>
      </c>
      <c r="V12" s="165" t="s">
        <v>279</v>
      </c>
      <c r="W12" s="165" t="s">
        <v>73</v>
      </c>
    </row>
    <row r="13" spans="1:23" s="59" customFormat="1" ht="13.5" thickBot="1">
      <c r="A13" s="35"/>
      <c r="B13" s="53" t="s">
        <v>226</v>
      </c>
      <c r="C13" s="53" t="s">
        <v>227</v>
      </c>
      <c r="D13" s="53" t="s">
        <v>228</v>
      </c>
      <c r="E13" s="53" t="s">
        <v>229</v>
      </c>
      <c r="F13" s="53" t="s">
        <v>230</v>
      </c>
      <c r="G13" s="53" t="s">
        <v>231</v>
      </c>
      <c r="H13" s="53" t="s">
        <v>232</v>
      </c>
      <c r="I13" s="53" t="s">
        <v>233</v>
      </c>
      <c r="J13" s="53" t="s">
        <v>234</v>
      </c>
      <c r="K13" s="53" t="s">
        <v>235</v>
      </c>
      <c r="L13" s="53" t="s">
        <v>236</v>
      </c>
      <c r="M13" s="53" t="s">
        <v>237</v>
      </c>
      <c r="N13" s="53" t="s">
        <v>238</v>
      </c>
      <c r="O13" s="215" t="s">
        <v>239</v>
      </c>
      <c r="P13" s="215" t="s">
        <v>240</v>
      </c>
      <c r="Q13" s="215" t="s">
        <v>140</v>
      </c>
      <c r="R13" s="215" t="s">
        <v>270</v>
      </c>
      <c r="S13" s="215" t="s">
        <v>280</v>
      </c>
      <c r="T13" s="215" t="s">
        <v>281</v>
      </c>
      <c r="U13" s="215" t="s">
        <v>473</v>
      </c>
      <c r="V13" s="215" t="s">
        <v>474</v>
      </c>
      <c r="W13" s="215" t="s">
        <v>475</v>
      </c>
    </row>
    <row r="14" spans="1:23" s="55" customFormat="1" ht="12.75" customHeight="1">
      <c r="B14" s="63"/>
      <c r="C14" s="63"/>
      <c r="D14" s="63"/>
      <c r="E14" s="63"/>
      <c r="F14" s="63"/>
      <c r="G14" s="63"/>
      <c r="H14" s="63"/>
      <c r="I14" s="63"/>
      <c r="J14" s="63"/>
      <c r="K14" s="64"/>
      <c r="L14" s="63"/>
      <c r="M14" s="64"/>
      <c r="N14" s="63"/>
      <c r="O14" s="63"/>
      <c r="P14" s="63"/>
      <c r="Q14" s="63"/>
      <c r="R14" s="63"/>
      <c r="S14" s="63"/>
      <c r="T14" s="63"/>
      <c r="U14" s="63"/>
      <c r="V14" s="63"/>
      <c r="W14" s="63"/>
    </row>
    <row r="15" spans="1:23" s="31" customFormat="1">
      <c r="A15" s="41">
        <v>1</v>
      </c>
      <c r="B15" s="40" t="s">
        <v>164</v>
      </c>
      <c r="D15" s="42"/>
      <c r="E15" s="43"/>
      <c r="F15" s="43"/>
      <c r="G15" s="43"/>
      <c r="H15" s="43"/>
      <c r="I15" s="43"/>
      <c r="J15" s="43"/>
      <c r="K15" s="42"/>
      <c r="L15" s="43"/>
      <c r="M15" s="42"/>
      <c r="N15" s="43"/>
      <c r="O15" s="43"/>
      <c r="P15" s="43"/>
      <c r="Q15" s="43"/>
      <c r="R15" s="43"/>
      <c r="S15" s="43"/>
      <c r="T15" s="43"/>
      <c r="U15" s="43"/>
      <c r="V15" s="43"/>
      <c r="W15" s="43"/>
    </row>
    <row r="16" spans="1:23" s="27" customFormat="1">
      <c r="A16" s="41">
        <v>2</v>
      </c>
      <c r="B16" s="31"/>
      <c r="D16" s="41"/>
      <c r="E16" s="37"/>
      <c r="F16" s="37"/>
      <c r="G16" s="37"/>
      <c r="H16" s="37"/>
      <c r="I16" s="37"/>
      <c r="J16" s="37"/>
      <c r="K16" s="41"/>
      <c r="L16" s="37"/>
      <c r="M16" s="41"/>
      <c r="N16" s="37"/>
      <c r="O16" s="37"/>
      <c r="P16" s="37"/>
      <c r="Q16" s="37"/>
      <c r="R16" s="37"/>
      <c r="S16" s="37"/>
      <c r="T16" s="37"/>
      <c r="U16" s="37"/>
      <c r="V16" s="37"/>
      <c r="W16" s="37"/>
    </row>
    <row r="17" spans="1:24" s="31" customFormat="1">
      <c r="A17" s="41">
        <v>3</v>
      </c>
      <c r="B17" s="31" t="s">
        <v>165</v>
      </c>
      <c r="D17" s="42" t="s">
        <v>222</v>
      </c>
      <c r="E17" s="43"/>
      <c r="F17" s="43"/>
      <c r="G17" s="43"/>
      <c r="H17" s="43"/>
      <c r="I17" s="43"/>
      <c r="J17" s="43"/>
      <c r="K17" s="42"/>
      <c r="L17" s="43"/>
      <c r="M17" s="42"/>
      <c r="N17" s="43"/>
      <c r="O17" s="43"/>
      <c r="P17" s="43"/>
      <c r="Q17" s="43"/>
      <c r="R17" s="43"/>
      <c r="S17" s="43"/>
      <c r="T17" s="43"/>
      <c r="U17" s="43"/>
      <c r="V17" s="43"/>
      <c r="W17" s="43"/>
    </row>
    <row r="18" spans="1:24" s="27" customFormat="1">
      <c r="A18" s="41">
        <v>4</v>
      </c>
      <c r="B18" s="142" t="s">
        <v>469</v>
      </c>
      <c r="C18" s="27" t="s">
        <v>187</v>
      </c>
      <c r="E18" s="387">
        <v>7817075</v>
      </c>
      <c r="F18" s="387">
        <v>0</v>
      </c>
      <c r="G18" s="387">
        <f>E18-F18</f>
        <v>7817075</v>
      </c>
      <c r="H18" s="387">
        <v>2078731</v>
      </c>
      <c r="I18" s="387">
        <f>ROUND(+G18+H18,2)</f>
        <v>9895806</v>
      </c>
      <c r="J18" s="136">
        <v>1</v>
      </c>
      <c r="K18" s="387">
        <f>ROUND(+I18*J18,2)</f>
        <v>9895806</v>
      </c>
      <c r="L18" s="37"/>
      <c r="M18" s="41" t="s">
        <v>358</v>
      </c>
      <c r="N18" s="387">
        <v>9888367</v>
      </c>
      <c r="O18" s="387">
        <v>0</v>
      </c>
      <c r="P18" s="387">
        <v>0</v>
      </c>
      <c r="Q18" s="387">
        <f>SUM(N18:P18)</f>
        <v>9888367</v>
      </c>
      <c r="R18" s="387">
        <f>ROUND(K18,2)-N18</f>
        <v>7439</v>
      </c>
      <c r="S18" s="387">
        <v>0</v>
      </c>
      <c r="T18" s="387">
        <f>SUM(R18:S18)</f>
        <v>7439</v>
      </c>
      <c r="U18" s="387">
        <v>0</v>
      </c>
      <c r="V18" s="387">
        <v>0</v>
      </c>
      <c r="W18" s="387">
        <f>+Q18+T18+U18+V18</f>
        <v>9895806</v>
      </c>
      <c r="X18" s="188" t="b">
        <f>+K18=W18</f>
        <v>1</v>
      </c>
    </row>
    <row r="19" spans="1:24" s="27" customFormat="1">
      <c r="A19" s="41">
        <v>6</v>
      </c>
      <c r="D19" s="41"/>
      <c r="E19" s="118"/>
      <c r="F19" s="118"/>
      <c r="G19" s="118"/>
      <c r="H19" s="118"/>
      <c r="I19" s="118"/>
      <c r="J19" s="90"/>
      <c r="K19" s="121"/>
      <c r="L19" s="37"/>
      <c r="M19" s="41"/>
      <c r="N19" s="118"/>
      <c r="O19" s="118"/>
      <c r="P19" s="118"/>
      <c r="Q19" s="118"/>
      <c r="R19" s="118"/>
      <c r="S19" s="118"/>
      <c r="T19" s="118"/>
      <c r="U19" s="118"/>
      <c r="V19" s="118"/>
      <c r="W19" s="118"/>
    </row>
    <row r="20" spans="1:24" s="31" customFormat="1">
      <c r="A20" s="41">
        <v>7</v>
      </c>
      <c r="C20" s="45" t="s">
        <v>84</v>
      </c>
      <c r="D20" s="42"/>
      <c r="E20" s="386">
        <f>SUM(E18:E18)</f>
        <v>7817075</v>
      </c>
      <c r="F20" s="386">
        <f>SUM(F18:F18)</f>
        <v>0</v>
      </c>
      <c r="G20" s="386">
        <f>SUM(G18:G18)</f>
        <v>7817075</v>
      </c>
      <c r="H20" s="386">
        <f>SUM(H18:H18)</f>
        <v>2078731</v>
      </c>
      <c r="I20" s="386">
        <f>SUM(I18:I18)</f>
        <v>9895806</v>
      </c>
      <c r="J20" s="43"/>
      <c r="K20" s="386">
        <f>SUM(K18:K18)</f>
        <v>9895806</v>
      </c>
      <c r="L20" s="43"/>
      <c r="M20" s="42"/>
      <c r="N20" s="386">
        <f t="shared" ref="N20:W20" si="0">SUM(N18:N18)</f>
        <v>9888367</v>
      </c>
      <c r="O20" s="386">
        <f t="shared" si="0"/>
        <v>0</v>
      </c>
      <c r="P20" s="386">
        <f t="shared" si="0"/>
        <v>0</v>
      </c>
      <c r="Q20" s="386">
        <f t="shared" si="0"/>
        <v>9888367</v>
      </c>
      <c r="R20" s="386">
        <f t="shared" si="0"/>
        <v>7439</v>
      </c>
      <c r="S20" s="386">
        <f t="shared" si="0"/>
        <v>0</v>
      </c>
      <c r="T20" s="386">
        <f t="shared" si="0"/>
        <v>7439</v>
      </c>
      <c r="U20" s="386">
        <f t="shared" si="0"/>
        <v>0</v>
      </c>
      <c r="V20" s="386">
        <f t="shared" si="0"/>
        <v>0</v>
      </c>
      <c r="W20" s="386">
        <f t="shared" si="0"/>
        <v>9895806</v>
      </c>
    </row>
    <row r="21" spans="1:24" s="27" customFormat="1">
      <c r="A21" s="41">
        <v>8</v>
      </c>
      <c r="D21" s="41"/>
      <c r="E21" s="37"/>
      <c r="F21" s="37"/>
      <c r="G21" s="37"/>
      <c r="H21" s="37"/>
      <c r="I21" s="37"/>
      <c r="J21" s="37"/>
      <c r="K21" s="41"/>
      <c r="L21" s="37"/>
      <c r="M21" s="41"/>
      <c r="N21" s="386"/>
      <c r="O21" s="386"/>
      <c r="P21" s="386"/>
      <c r="Q21" s="386"/>
      <c r="R21" s="386"/>
      <c r="S21" s="386"/>
      <c r="T21" s="386"/>
      <c r="U21" s="386"/>
      <c r="V21" s="386"/>
      <c r="W21" s="386"/>
    </row>
    <row r="22" spans="1:24" s="59" customFormat="1" ht="12.75" customHeight="1">
      <c r="A22" s="41">
        <v>9</v>
      </c>
      <c r="B22" s="31" t="s">
        <v>188</v>
      </c>
      <c r="D22" s="66" t="s">
        <v>223</v>
      </c>
      <c r="E22" s="386">
        <f>+'II-E-1'!E80+'II-E-2'!E36+'II-E-4'!E20</f>
        <v>1675437729.0300002</v>
      </c>
      <c r="F22" s="386">
        <f>+'II-E-1'!F80+'II-E-2'!F36+'II-E-4'!F20</f>
        <v>0</v>
      </c>
      <c r="G22" s="386">
        <f>+'II-E-1'!G80+'II-E-2'!G36+'II-E-4'!G20</f>
        <v>1675437729.0300002</v>
      </c>
      <c r="H22" s="386">
        <f>+'II-E-1'!H80+'II-E-2'!H36+'II-E-4'!H20</f>
        <v>172072626.01999998</v>
      </c>
      <c r="I22" s="386">
        <f>+'II-E-1'!I80+'II-E-2'!I36+'II-E-4'!I20</f>
        <v>1847510355.0500002</v>
      </c>
      <c r="J22" s="386"/>
      <c r="K22" s="386">
        <f>+'II-E-1'!K80+'II-E-2'!K36+'II-E-4'!K20</f>
        <v>1847510355.0500002</v>
      </c>
      <c r="L22" s="67"/>
      <c r="M22" s="68"/>
      <c r="N22" s="386">
        <f>+'II-E-1'!N80+'II-E-2'!N36+'II-E-4'!N20</f>
        <v>573492253.18000007</v>
      </c>
      <c r="O22" s="386">
        <f>+'II-E-1'!O80+'II-E-2'!O36+'II-E-4'!O20</f>
        <v>52668701.140000001</v>
      </c>
      <c r="P22" s="386">
        <f>+'II-E-1'!P80+'II-E-2'!P36+'II-E-4'!P20</f>
        <v>840573.89</v>
      </c>
      <c r="Q22" s="386">
        <f>+'II-E-1'!Q80+'II-E-2'!Q36+'II-E-4'!Q20</f>
        <v>627001528.21000004</v>
      </c>
      <c r="R22" s="386">
        <f>+'II-E-1'!R80+'II-E-2'!R36+'II-E-4'!R20</f>
        <v>1133944768.9200001</v>
      </c>
      <c r="S22" s="386">
        <f>+'II-E-1'!S80+'II-E-2'!S36+'II-E-4'!S20</f>
        <v>4266307.3</v>
      </c>
      <c r="T22" s="386">
        <f>+'II-E-1'!T80+'II-E-2'!T36+'II-E-4'!T20</f>
        <v>1138211076.2200003</v>
      </c>
      <c r="U22" s="386">
        <f>+'II-E-1'!U80+'II-E-2'!U36+'II-E-4'!U20</f>
        <v>38746664.399999999</v>
      </c>
      <c r="V22" s="386">
        <f>+'II-E-1'!V80+'II-E-2'!V36+'II-E-4'!V20</f>
        <v>43551086.220000006</v>
      </c>
      <c r="W22" s="386">
        <f>+'II-E-1'!W80+'II-E-2'!W36+'II-E-4'!W20</f>
        <v>1847510355.0500002</v>
      </c>
    </row>
    <row r="23" spans="1:24" s="55" customFormat="1" ht="12.75" customHeight="1">
      <c r="A23" s="41">
        <v>10</v>
      </c>
      <c r="B23" s="73"/>
      <c r="D23" s="69"/>
      <c r="E23" s="386"/>
      <c r="F23" s="386"/>
      <c r="G23" s="386"/>
      <c r="H23" s="386"/>
      <c r="I23" s="386"/>
      <c r="J23" s="386"/>
      <c r="K23" s="386"/>
      <c r="L23" s="69"/>
      <c r="M23" s="60"/>
      <c r="N23" s="386"/>
      <c r="O23" s="386"/>
      <c r="P23" s="386"/>
      <c r="Q23" s="386"/>
      <c r="R23" s="386"/>
      <c r="S23" s="386"/>
      <c r="T23" s="386"/>
      <c r="U23" s="386"/>
      <c r="V23" s="386"/>
      <c r="W23" s="386"/>
    </row>
    <row r="24" spans="1:24" s="59" customFormat="1" ht="12.75" customHeight="1">
      <c r="A24" s="41">
        <v>11</v>
      </c>
      <c r="B24" s="31" t="s">
        <v>218</v>
      </c>
      <c r="D24" s="66" t="s">
        <v>224</v>
      </c>
      <c r="E24" s="386">
        <f>+E22+'II-E-3'!E57</f>
        <v>1851875802.0000002</v>
      </c>
      <c r="F24" s="386">
        <f>+F22+'II-E-3'!F57</f>
        <v>0</v>
      </c>
      <c r="G24" s="386">
        <f>+G22+'II-E-3'!G57</f>
        <v>1675437729.0300002</v>
      </c>
      <c r="H24" s="386">
        <f>+H22+'II-E-3'!H57</f>
        <v>172072626.01999998</v>
      </c>
      <c r="I24" s="386">
        <f>+I22+'II-E-3'!I57</f>
        <v>1847510355.0500002</v>
      </c>
      <c r="J24" s="386"/>
      <c r="K24" s="386">
        <f>+K22+'II-E-3'!K57</f>
        <v>1847510355.0500002</v>
      </c>
      <c r="L24" s="67"/>
      <c r="M24" s="68"/>
      <c r="N24" s="386">
        <f>+N22+'II-E-3'!N57</f>
        <v>573492253.18000007</v>
      </c>
      <c r="O24" s="386">
        <f>+O22+'II-E-3'!O57</f>
        <v>52668701.140000001</v>
      </c>
      <c r="P24" s="386">
        <f>+P22+'II-E-3'!P57</f>
        <v>840573.89</v>
      </c>
      <c r="Q24" s="386">
        <f>+Q22+'II-E-3'!Q57</f>
        <v>627001528.21000004</v>
      </c>
      <c r="R24" s="386">
        <f>+R22+'II-E-3'!R57</f>
        <v>1133944768.9200001</v>
      </c>
      <c r="S24" s="386">
        <f>+S22+'II-E-3'!S57</f>
        <v>4266307.3</v>
      </c>
      <c r="T24" s="386">
        <f>+T22+'II-E-3'!T57</f>
        <v>1138211076.2200003</v>
      </c>
      <c r="U24" s="386">
        <f>+U22+'II-E-3'!U57</f>
        <v>38746664.399999999</v>
      </c>
      <c r="V24" s="386">
        <f>+V22+'II-E-3'!V57</f>
        <v>43551086.220000006</v>
      </c>
      <c r="W24" s="386">
        <f>+W22+'II-E-3'!W57</f>
        <v>1847510355.0500002</v>
      </c>
    </row>
    <row r="25" spans="1:24" s="55" customFormat="1" ht="12.75" customHeight="1">
      <c r="C25" s="74"/>
      <c r="D25" s="69"/>
      <c r="E25" s="69"/>
      <c r="F25" s="69"/>
      <c r="G25" s="69"/>
      <c r="H25" s="69"/>
      <c r="I25" s="69"/>
      <c r="J25" s="69"/>
      <c r="K25" s="56"/>
      <c r="L25" s="69"/>
      <c r="M25" s="60"/>
      <c r="N25" s="69"/>
      <c r="O25" s="69"/>
      <c r="P25" s="69"/>
      <c r="Q25" s="69"/>
      <c r="R25" s="72"/>
      <c r="S25" s="72"/>
      <c r="T25" s="72"/>
      <c r="U25" s="72"/>
      <c r="V25" s="72"/>
      <c r="W25" s="72"/>
    </row>
    <row r="27" spans="1:24" s="55" customFormat="1" ht="12.75" customHeight="1">
      <c r="C27" s="74"/>
      <c r="D27" s="69"/>
      <c r="E27" s="69"/>
      <c r="F27" s="69"/>
      <c r="G27" s="69"/>
      <c r="H27" s="69"/>
      <c r="I27" s="69"/>
      <c r="J27" s="69"/>
      <c r="K27" s="56"/>
      <c r="L27" s="69"/>
      <c r="M27" s="56"/>
      <c r="N27" s="69"/>
      <c r="O27" s="69"/>
      <c r="P27" s="69"/>
      <c r="Q27" s="69"/>
      <c r="R27" s="72"/>
      <c r="S27" s="72"/>
      <c r="T27" s="72"/>
      <c r="U27" s="72"/>
      <c r="V27" s="72"/>
      <c r="W27" s="72"/>
    </row>
    <row r="28" spans="1:24" s="55" customFormat="1" ht="12.75" customHeight="1">
      <c r="C28" s="74"/>
      <c r="D28" s="69"/>
      <c r="E28" s="69"/>
      <c r="F28" s="69"/>
      <c r="G28" s="69"/>
      <c r="H28" s="69"/>
      <c r="I28" s="69"/>
      <c r="J28" s="69"/>
      <c r="K28" s="56"/>
      <c r="L28" s="69"/>
      <c r="M28" s="56"/>
      <c r="N28" s="69"/>
      <c r="O28" s="69"/>
      <c r="P28" s="69"/>
      <c r="Q28" s="69"/>
      <c r="R28" s="72"/>
      <c r="S28" s="72"/>
      <c r="T28" s="72"/>
      <c r="U28" s="72"/>
      <c r="V28" s="72"/>
      <c r="W28" s="72"/>
    </row>
    <row r="29" spans="1:24" s="55" customFormat="1" ht="12.75" customHeight="1">
      <c r="C29" s="74"/>
      <c r="D29" s="69"/>
      <c r="E29" s="69"/>
      <c r="F29" s="69"/>
      <c r="G29" s="69"/>
      <c r="H29" s="69"/>
      <c r="I29" s="69"/>
      <c r="J29" s="69"/>
      <c r="K29" s="56"/>
      <c r="L29" s="69"/>
      <c r="M29" s="60"/>
      <c r="N29" s="69"/>
      <c r="O29" s="69"/>
      <c r="P29" s="69"/>
      <c r="Q29" s="69"/>
      <c r="R29" s="72"/>
      <c r="S29" s="72"/>
      <c r="T29" s="72"/>
      <c r="U29" s="72"/>
      <c r="V29" s="72"/>
      <c r="W29" s="72"/>
    </row>
    <row r="30" spans="1:24" s="59" customFormat="1" ht="12.75" customHeight="1">
      <c r="C30" s="70"/>
      <c r="D30" s="67"/>
      <c r="E30" s="67"/>
      <c r="F30" s="67"/>
      <c r="G30" s="67"/>
      <c r="H30" s="67"/>
      <c r="I30" s="67"/>
      <c r="J30" s="67"/>
      <c r="K30" s="68"/>
      <c r="L30" s="67"/>
      <c r="M30" s="75"/>
      <c r="N30" s="67"/>
      <c r="O30" s="67"/>
      <c r="P30" s="67"/>
      <c r="Q30" s="67"/>
      <c r="R30" s="67"/>
      <c r="S30" s="67"/>
      <c r="T30" s="67"/>
      <c r="U30" s="67"/>
      <c r="V30" s="67"/>
      <c r="W30" s="67"/>
    </row>
    <row r="31" spans="1:24" s="55" customFormat="1" ht="12.75" customHeight="1">
      <c r="C31" s="74"/>
      <c r="D31" s="69"/>
      <c r="E31" s="69"/>
      <c r="F31" s="69"/>
      <c r="G31" s="69"/>
      <c r="H31" s="69"/>
      <c r="I31" s="69"/>
      <c r="J31" s="69"/>
      <c r="K31" s="56"/>
      <c r="L31" s="69"/>
      <c r="M31" s="60"/>
      <c r="N31" s="69"/>
      <c r="O31" s="69"/>
      <c r="P31" s="69"/>
      <c r="Q31" s="69"/>
      <c r="R31" s="72"/>
      <c r="S31" s="72"/>
      <c r="T31" s="72"/>
      <c r="U31" s="72"/>
      <c r="V31" s="72"/>
      <c r="W31" s="72"/>
    </row>
    <row r="32" spans="1:24" s="55" customFormat="1" ht="12.75" customHeight="1">
      <c r="C32" s="71"/>
      <c r="D32" s="69"/>
      <c r="E32" s="69"/>
      <c r="F32" s="69"/>
      <c r="G32" s="69"/>
      <c r="H32" s="69"/>
      <c r="I32" s="69"/>
      <c r="J32" s="69"/>
      <c r="K32" s="56"/>
      <c r="L32" s="69"/>
      <c r="M32" s="56"/>
      <c r="N32" s="69"/>
      <c r="O32" s="69"/>
      <c r="P32" s="69"/>
      <c r="Q32" s="69"/>
      <c r="R32" s="72"/>
      <c r="S32" s="72"/>
      <c r="T32" s="72"/>
      <c r="U32" s="72"/>
      <c r="V32" s="72"/>
      <c r="W32" s="72"/>
    </row>
    <row r="33" spans="2:23" s="55" customFormat="1" ht="12.75" customHeight="1">
      <c r="C33" s="71"/>
      <c r="D33" s="69"/>
      <c r="E33" s="69"/>
      <c r="F33" s="69"/>
      <c r="G33" s="69"/>
      <c r="H33" s="69"/>
      <c r="I33" s="69"/>
      <c r="J33" s="69"/>
      <c r="K33" s="56"/>
      <c r="L33" s="69"/>
      <c r="M33" s="56"/>
      <c r="N33" s="69"/>
      <c r="O33" s="69"/>
      <c r="P33" s="69"/>
      <c r="Q33" s="69"/>
      <c r="R33" s="72"/>
      <c r="S33" s="72"/>
      <c r="T33" s="72"/>
      <c r="U33" s="72"/>
      <c r="V33" s="72"/>
      <c r="W33" s="72"/>
    </row>
    <row r="34" spans="2:23" s="55" customFormat="1" ht="12.75" customHeight="1">
      <c r="D34" s="69"/>
      <c r="E34" s="69"/>
      <c r="F34" s="69"/>
      <c r="G34" s="69"/>
      <c r="H34" s="69"/>
      <c r="I34" s="69"/>
      <c r="J34" s="69"/>
      <c r="K34" s="56"/>
      <c r="L34" s="69"/>
      <c r="M34" s="56"/>
      <c r="N34" s="69"/>
      <c r="O34" s="69"/>
      <c r="P34" s="69"/>
      <c r="Q34" s="69"/>
      <c r="R34" s="72"/>
      <c r="S34" s="72"/>
      <c r="T34" s="72"/>
      <c r="U34" s="72"/>
      <c r="V34" s="72"/>
      <c r="W34" s="72"/>
    </row>
    <row r="35" spans="2:23" s="59" customFormat="1" ht="12.75" customHeight="1">
      <c r="C35" s="70"/>
      <c r="D35" s="67"/>
      <c r="E35" s="67"/>
      <c r="F35" s="67"/>
      <c r="G35" s="67"/>
      <c r="H35" s="67"/>
      <c r="I35" s="67"/>
      <c r="J35" s="67"/>
      <c r="K35" s="68"/>
      <c r="L35" s="67"/>
      <c r="M35" s="68"/>
      <c r="N35" s="67"/>
      <c r="O35" s="67"/>
      <c r="P35" s="67"/>
      <c r="Q35" s="67"/>
      <c r="R35" s="67"/>
      <c r="S35" s="67"/>
      <c r="T35" s="67"/>
      <c r="U35" s="67"/>
      <c r="V35" s="67"/>
      <c r="W35" s="67"/>
    </row>
    <row r="36" spans="2:23" s="55" customFormat="1" ht="12.75" customHeight="1">
      <c r="C36" s="70"/>
      <c r="D36" s="69"/>
      <c r="E36" s="69"/>
      <c r="F36" s="69"/>
      <c r="G36" s="69"/>
      <c r="H36" s="69"/>
      <c r="I36" s="69"/>
      <c r="J36" s="69"/>
      <c r="K36" s="56"/>
      <c r="L36" s="69"/>
      <c r="M36" s="56"/>
      <c r="N36" s="69"/>
      <c r="O36" s="69"/>
      <c r="P36" s="69"/>
      <c r="Q36" s="69"/>
      <c r="R36" s="69"/>
      <c r="S36" s="69"/>
      <c r="T36" s="69"/>
      <c r="U36" s="69"/>
      <c r="V36" s="69"/>
      <c r="W36" s="69"/>
    </row>
    <row r="37" spans="2:23" s="55" customFormat="1" ht="12.75" customHeight="1">
      <c r="C37" s="70"/>
      <c r="D37" s="69"/>
      <c r="E37" s="69"/>
      <c r="F37" s="69"/>
      <c r="G37" s="69"/>
      <c r="H37" s="69"/>
      <c r="I37" s="69"/>
      <c r="J37" s="69"/>
      <c r="K37" s="56"/>
      <c r="L37" s="69"/>
      <c r="M37" s="56"/>
      <c r="N37" s="69"/>
      <c r="O37" s="69"/>
      <c r="P37" s="69"/>
      <c r="Q37" s="69"/>
      <c r="R37" s="69"/>
      <c r="S37" s="69"/>
      <c r="T37" s="69"/>
      <c r="U37" s="69"/>
      <c r="V37" s="69"/>
      <c r="W37" s="69"/>
    </row>
    <row r="38" spans="2:23" s="55" customFormat="1" ht="12.75" customHeight="1">
      <c r="D38" s="69"/>
      <c r="E38" s="69"/>
      <c r="F38" s="69"/>
      <c r="G38" s="69"/>
      <c r="H38" s="69"/>
      <c r="I38" s="69"/>
      <c r="J38" s="69"/>
      <c r="K38" s="56"/>
      <c r="L38" s="69"/>
      <c r="M38" s="56"/>
      <c r="N38" s="69"/>
      <c r="O38" s="69"/>
      <c r="P38" s="69"/>
      <c r="Q38" s="69"/>
      <c r="R38" s="69"/>
      <c r="S38" s="69"/>
      <c r="T38" s="69"/>
      <c r="U38" s="69"/>
      <c r="V38" s="69"/>
    </row>
    <row r="39" spans="2:23" s="59" customFormat="1" ht="12.75" customHeight="1">
      <c r="B39" s="76"/>
      <c r="D39" s="67"/>
      <c r="E39" s="67"/>
      <c r="F39" s="67"/>
      <c r="G39" s="67"/>
      <c r="H39" s="67"/>
      <c r="I39" s="67"/>
      <c r="J39" s="67"/>
      <c r="K39" s="68"/>
      <c r="L39" s="67"/>
      <c r="M39" s="68"/>
      <c r="N39" s="67"/>
      <c r="O39" s="67"/>
      <c r="P39" s="67"/>
      <c r="Q39" s="67"/>
      <c r="R39" s="67"/>
      <c r="S39" s="67"/>
      <c r="T39" s="67"/>
      <c r="U39" s="67"/>
      <c r="V39" s="67"/>
    </row>
    <row r="40" spans="2:23" s="55" customFormat="1" ht="12.75" customHeight="1">
      <c r="E40" s="69"/>
      <c r="F40" s="69"/>
      <c r="G40" s="69"/>
      <c r="H40" s="69"/>
      <c r="I40" s="69"/>
      <c r="J40" s="69"/>
      <c r="K40" s="56"/>
      <c r="L40" s="69"/>
      <c r="M40" s="56"/>
      <c r="N40" s="69"/>
      <c r="O40" s="69"/>
      <c r="P40" s="69"/>
      <c r="Q40" s="69"/>
      <c r="R40" s="72"/>
      <c r="S40" s="72"/>
      <c r="T40" s="72"/>
      <c r="U40" s="72"/>
      <c r="V40" s="72"/>
      <c r="W40" s="72"/>
    </row>
    <row r="41" spans="2:23" s="55" customFormat="1" ht="12.75" customHeight="1">
      <c r="D41" s="69"/>
      <c r="E41" s="69"/>
      <c r="F41" s="69"/>
      <c r="G41" s="69"/>
      <c r="H41" s="69"/>
      <c r="I41" s="69"/>
      <c r="J41" s="69"/>
      <c r="K41" s="56"/>
      <c r="L41" s="69"/>
      <c r="M41" s="56"/>
      <c r="N41" s="69"/>
      <c r="O41" s="69"/>
      <c r="P41" s="69"/>
      <c r="Q41" s="69"/>
      <c r="R41" s="69"/>
      <c r="S41" s="69"/>
      <c r="T41" s="69"/>
      <c r="U41" s="69"/>
      <c r="V41" s="69"/>
    </row>
    <row r="42" spans="2:23" s="55" customFormat="1" ht="12.75" customHeight="1">
      <c r="D42" s="67"/>
      <c r="E42" s="69"/>
      <c r="F42" s="69"/>
      <c r="G42" s="69"/>
      <c r="H42" s="69"/>
      <c r="I42" s="69"/>
      <c r="J42" s="69"/>
      <c r="K42" s="56"/>
      <c r="L42" s="69"/>
      <c r="M42" s="56"/>
      <c r="N42" s="69"/>
      <c r="O42" s="69"/>
      <c r="P42" s="69"/>
      <c r="Q42" s="69"/>
      <c r="R42" s="37"/>
      <c r="S42" s="37"/>
      <c r="T42" s="37"/>
      <c r="U42" s="37"/>
      <c r="V42" s="37"/>
      <c r="W42" s="37"/>
    </row>
    <row r="43" spans="2:23" s="55" customFormat="1" ht="12.75" customHeight="1">
      <c r="D43" s="69"/>
      <c r="E43" s="69"/>
      <c r="F43" s="69"/>
      <c r="G43" s="69"/>
      <c r="H43" s="69"/>
      <c r="I43" s="69"/>
      <c r="J43" s="69"/>
      <c r="K43" s="56"/>
      <c r="L43" s="69"/>
      <c r="M43" s="56"/>
      <c r="N43" s="69"/>
      <c r="O43" s="69"/>
      <c r="P43" s="69"/>
      <c r="Q43" s="69"/>
      <c r="R43" s="37"/>
      <c r="S43" s="37"/>
      <c r="T43" s="37"/>
      <c r="U43" s="37"/>
      <c r="V43" s="37"/>
      <c r="W43" s="37"/>
    </row>
    <row r="44" spans="2:23" s="59" customFormat="1" ht="12.75" customHeight="1">
      <c r="C44" s="70"/>
      <c r="D44" s="67"/>
      <c r="E44" s="67"/>
      <c r="F44" s="67"/>
      <c r="G44" s="67"/>
      <c r="H44" s="67"/>
      <c r="I44" s="67"/>
      <c r="J44" s="67"/>
      <c r="K44" s="68"/>
      <c r="L44" s="67"/>
      <c r="M44" s="68"/>
      <c r="N44" s="67"/>
      <c r="O44" s="67"/>
      <c r="P44" s="67"/>
      <c r="Q44" s="67"/>
      <c r="R44" s="67"/>
      <c r="S44" s="67"/>
      <c r="T44" s="67"/>
      <c r="U44" s="67"/>
      <c r="V44" s="67"/>
      <c r="W44" s="67"/>
    </row>
    <row r="45" spans="2:23" s="55" customFormat="1" ht="12.75" customHeight="1">
      <c r="D45" s="69"/>
      <c r="E45" s="69"/>
      <c r="F45" s="69"/>
      <c r="G45" s="69"/>
      <c r="H45" s="69"/>
      <c r="I45" s="69"/>
      <c r="J45" s="69"/>
      <c r="K45" s="56"/>
      <c r="L45" s="69"/>
      <c r="M45" s="56"/>
      <c r="N45" s="69"/>
      <c r="O45" s="69"/>
      <c r="P45" s="69"/>
      <c r="Q45" s="69"/>
      <c r="R45" s="69"/>
      <c r="S45" s="69"/>
      <c r="T45" s="69"/>
      <c r="U45" s="69"/>
      <c r="V45" s="69"/>
    </row>
    <row r="46" spans="2:23" s="59" customFormat="1" ht="12.75" customHeight="1">
      <c r="C46" s="76"/>
      <c r="D46" s="67"/>
      <c r="E46" s="67"/>
      <c r="F46" s="77"/>
      <c r="G46" s="67"/>
      <c r="H46" s="67"/>
      <c r="I46" s="67"/>
      <c r="J46" s="67"/>
      <c r="K46" s="68"/>
      <c r="L46" s="67"/>
      <c r="M46" s="78"/>
      <c r="N46" s="67"/>
      <c r="O46" s="67"/>
      <c r="P46" s="67"/>
      <c r="Q46" s="67"/>
      <c r="R46" s="67"/>
      <c r="S46" s="67"/>
      <c r="T46" s="67"/>
      <c r="U46" s="67"/>
      <c r="V46" s="67"/>
    </row>
    <row r="47" spans="2:23" s="55" customFormat="1" ht="12.75" customHeight="1">
      <c r="D47" s="79"/>
      <c r="E47" s="69"/>
      <c r="F47" s="69"/>
      <c r="G47" s="69"/>
      <c r="H47" s="69"/>
      <c r="I47" s="69"/>
      <c r="J47" s="69"/>
      <c r="K47" s="56"/>
      <c r="L47" s="69"/>
      <c r="M47" s="56"/>
      <c r="N47" s="69"/>
      <c r="O47" s="69"/>
      <c r="P47" s="69"/>
      <c r="Q47" s="69"/>
      <c r="R47" s="72"/>
      <c r="S47" s="72"/>
      <c r="T47" s="72"/>
      <c r="U47" s="72"/>
      <c r="V47" s="72"/>
      <c r="W47" s="72"/>
    </row>
    <row r="48" spans="2:23" s="55" customFormat="1" ht="12.75" customHeight="1">
      <c r="D48" s="79"/>
      <c r="E48" s="69"/>
      <c r="F48" s="69"/>
      <c r="G48" s="69"/>
      <c r="H48" s="69"/>
      <c r="I48" s="69"/>
      <c r="J48" s="69"/>
      <c r="K48" s="56"/>
      <c r="L48" s="69"/>
      <c r="M48" s="56"/>
      <c r="N48" s="69"/>
      <c r="O48" s="69"/>
      <c r="P48" s="69"/>
      <c r="Q48" s="69"/>
      <c r="R48" s="72"/>
      <c r="S48" s="72"/>
      <c r="T48" s="72"/>
      <c r="U48" s="72"/>
      <c r="V48" s="72"/>
      <c r="W48" s="72"/>
    </row>
    <row r="49" spans="2:24" s="55" customFormat="1" ht="12.75" customHeight="1">
      <c r="D49" s="79"/>
      <c r="E49" s="69"/>
      <c r="F49" s="69"/>
      <c r="G49" s="69"/>
      <c r="H49" s="69"/>
      <c r="I49" s="69"/>
      <c r="J49" s="69"/>
      <c r="K49" s="56"/>
      <c r="L49" s="69"/>
      <c r="M49" s="56"/>
      <c r="N49" s="69"/>
      <c r="O49" s="69"/>
      <c r="P49" s="69"/>
      <c r="Q49" s="69"/>
      <c r="R49" s="72"/>
      <c r="S49" s="72"/>
      <c r="T49" s="72"/>
      <c r="U49" s="72"/>
      <c r="V49" s="72"/>
      <c r="W49" s="72"/>
    </row>
    <row r="50" spans="2:24" s="55" customFormat="1" ht="12.75" customHeight="1">
      <c r="D50" s="79"/>
      <c r="E50" s="69"/>
      <c r="F50" s="69"/>
      <c r="G50" s="69"/>
      <c r="H50" s="69"/>
      <c r="I50" s="69"/>
      <c r="J50" s="69"/>
      <c r="K50" s="56"/>
      <c r="L50" s="69"/>
      <c r="M50" s="56"/>
      <c r="N50" s="69"/>
      <c r="O50" s="69"/>
      <c r="P50" s="69"/>
      <c r="Q50" s="69"/>
      <c r="R50" s="72"/>
      <c r="S50" s="72"/>
      <c r="T50" s="72"/>
      <c r="U50" s="72"/>
      <c r="V50" s="72"/>
      <c r="W50" s="72"/>
    </row>
    <row r="51" spans="2:24" s="55" customFormat="1" ht="12.75" customHeight="1">
      <c r="D51" s="79"/>
      <c r="E51" s="69"/>
      <c r="F51" s="69"/>
      <c r="G51" s="69"/>
      <c r="H51" s="69"/>
      <c r="I51" s="69"/>
      <c r="J51" s="69"/>
      <c r="K51" s="56"/>
      <c r="L51" s="69"/>
      <c r="M51" s="56"/>
      <c r="N51" s="69"/>
      <c r="O51" s="69"/>
      <c r="P51" s="69"/>
      <c r="Q51" s="69"/>
      <c r="R51" s="72"/>
      <c r="S51" s="72"/>
      <c r="T51" s="72"/>
      <c r="U51" s="72"/>
      <c r="V51" s="72"/>
      <c r="W51" s="72"/>
    </row>
    <row r="52" spans="2:24" s="55" customFormat="1" ht="12.75" customHeight="1">
      <c r="D52" s="79"/>
      <c r="E52" s="69"/>
      <c r="F52" s="69"/>
      <c r="G52" s="69"/>
      <c r="H52" s="69"/>
      <c r="I52" s="69"/>
      <c r="J52" s="69"/>
      <c r="K52" s="56"/>
      <c r="L52" s="69"/>
      <c r="M52" s="56"/>
      <c r="N52" s="69"/>
      <c r="O52" s="69"/>
      <c r="P52" s="69"/>
      <c r="Q52" s="69"/>
      <c r="R52" s="72"/>
      <c r="S52" s="72"/>
      <c r="T52" s="72"/>
      <c r="U52" s="72"/>
      <c r="V52" s="72"/>
      <c r="W52" s="72"/>
    </row>
    <row r="53" spans="2:24" s="55" customFormat="1" ht="12.75" customHeight="1">
      <c r="D53" s="79"/>
      <c r="E53" s="69"/>
      <c r="F53" s="69"/>
      <c r="G53" s="69"/>
      <c r="H53" s="69"/>
      <c r="I53" s="69"/>
      <c r="J53" s="69"/>
      <c r="K53" s="56"/>
      <c r="L53" s="69"/>
      <c r="M53" s="56"/>
      <c r="N53" s="69"/>
      <c r="O53" s="69"/>
      <c r="P53" s="69"/>
      <c r="Q53" s="69"/>
      <c r="R53" s="37"/>
      <c r="S53" s="37"/>
      <c r="T53" s="37"/>
      <c r="U53" s="37"/>
      <c r="V53" s="37"/>
      <c r="W53" s="37"/>
    </row>
    <row r="54" spans="2:24" s="55" customFormat="1" ht="12.75" customHeight="1">
      <c r="D54" s="79"/>
      <c r="E54" s="69"/>
      <c r="F54" s="69"/>
      <c r="G54" s="69"/>
      <c r="H54" s="69"/>
      <c r="I54" s="69"/>
      <c r="J54" s="69"/>
      <c r="K54" s="56"/>
      <c r="L54" s="69"/>
      <c r="M54" s="56"/>
      <c r="N54" s="69"/>
      <c r="O54" s="69"/>
      <c r="P54" s="69"/>
      <c r="Q54" s="69"/>
      <c r="R54" s="72"/>
      <c r="S54" s="72"/>
      <c r="T54" s="72"/>
      <c r="U54" s="72"/>
      <c r="V54" s="72"/>
      <c r="W54" s="72"/>
    </row>
    <row r="55" spans="2:24" s="55" customFormat="1" ht="12.75" customHeight="1">
      <c r="D55" s="79"/>
      <c r="E55" s="69"/>
      <c r="F55" s="69"/>
      <c r="G55" s="69"/>
      <c r="H55" s="69"/>
      <c r="I55" s="69"/>
      <c r="J55" s="69"/>
      <c r="K55" s="56"/>
      <c r="L55" s="69"/>
      <c r="M55" s="56"/>
      <c r="N55" s="69"/>
      <c r="O55" s="69"/>
      <c r="P55" s="69"/>
      <c r="Q55" s="69"/>
      <c r="R55" s="72"/>
      <c r="S55" s="72"/>
      <c r="T55" s="72"/>
      <c r="U55" s="72"/>
      <c r="V55" s="72"/>
      <c r="W55" s="72"/>
    </row>
    <row r="56" spans="2:24" s="55" customFormat="1" ht="12.75" customHeight="1">
      <c r="D56" s="79"/>
      <c r="E56" s="69"/>
      <c r="F56" s="69"/>
      <c r="G56" s="69"/>
      <c r="H56" s="69"/>
      <c r="I56" s="69"/>
      <c r="J56" s="69"/>
      <c r="K56" s="56"/>
      <c r="L56" s="69"/>
      <c r="M56" s="56"/>
      <c r="N56" s="69"/>
      <c r="O56" s="69"/>
      <c r="P56" s="69"/>
      <c r="Q56" s="69"/>
      <c r="R56" s="72"/>
      <c r="S56" s="72"/>
      <c r="T56" s="72"/>
      <c r="U56" s="72"/>
      <c r="V56" s="72"/>
      <c r="W56" s="72"/>
    </row>
    <row r="57" spans="2:24" s="59" customFormat="1" ht="12.75" customHeight="1">
      <c r="C57" s="70"/>
      <c r="D57" s="77"/>
      <c r="E57" s="67"/>
      <c r="F57" s="67"/>
      <c r="G57" s="67"/>
      <c r="H57" s="67"/>
      <c r="I57" s="67"/>
      <c r="J57" s="67"/>
      <c r="K57" s="78"/>
      <c r="L57" s="67"/>
      <c r="M57" s="68"/>
      <c r="N57" s="67"/>
      <c r="O57" s="67"/>
      <c r="P57" s="67"/>
      <c r="Q57" s="67"/>
      <c r="R57" s="67"/>
      <c r="S57" s="67"/>
      <c r="T57" s="67"/>
      <c r="U57" s="67"/>
      <c r="V57" s="67"/>
      <c r="W57" s="67"/>
      <c r="X57" s="55"/>
    </row>
    <row r="58" spans="2:24" s="55" customFormat="1" ht="12.75" customHeight="1">
      <c r="C58" s="71"/>
      <c r="D58" s="79"/>
      <c r="E58" s="69"/>
      <c r="F58" s="69"/>
      <c r="G58" s="69"/>
      <c r="H58" s="69"/>
      <c r="I58" s="69"/>
      <c r="J58" s="69"/>
      <c r="K58" s="80"/>
      <c r="L58" s="69"/>
      <c r="M58" s="56"/>
      <c r="N58" s="69"/>
      <c r="O58" s="69"/>
      <c r="P58" s="69"/>
      <c r="Q58" s="69"/>
      <c r="R58" s="69"/>
      <c r="S58" s="69"/>
      <c r="T58" s="69"/>
      <c r="U58" s="69"/>
      <c r="V58" s="69"/>
    </row>
    <row r="59" spans="2:24" s="59" customFormat="1" ht="12.75" customHeight="1">
      <c r="B59" s="81"/>
      <c r="D59" s="77"/>
      <c r="E59" s="67"/>
      <c r="F59" s="67"/>
      <c r="G59" s="67"/>
      <c r="H59" s="67"/>
      <c r="I59" s="67"/>
      <c r="J59" s="67"/>
      <c r="K59" s="78"/>
      <c r="L59" s="67"/>
      <c r="M59" s="68"/>
      <c r="N59" s="67"/>
      <c r="O59" s="67"/>
      <c r="P59" s="67"/>
      <c r="Q59" s="67"/>
      <c r="R59" s="67"/>
      <c r="S59" s="67"/>
      <c r="T59" s="67"/>
      <c r="U59" s="67"/>
      <c r="V59" s="67"/>
      <c r="W59" s="67"/>
      <c r="X59" s="55"/>
    </row>
    <row r="60" spans="2:24" s="55" customFormat="1" ht="12.75" customHeight="1">
      <c r="C60" s="70"/>
      <c r="D60" s="79"/>
      <c r="E60" s="69"/>
      <c r="F60" s="69"/>
      <c r="G60" s="69"/>
      <c r="H60" s="69"/>
      <c r="I60" s="69"/>
      <c r="J60" s="69"/>
      <c r="K60" s="80"/>
      <c r="L60" s="69"/>
      <c r="M60" s="68"/>
      <c r="N60" s="69"/>
      <c r="O60" s="69"/>
      <c r="P60" s="69"/>
      <c r="Q60" s="69"/>
      <c r="R60" s="69"/>
      <c r="S60" s="69"/>
      <c r="T60" s="69"/>
      <c r="U60" s="69"/>
      <c r="V60" s="69"/>
      <c r="W60" s="69"/>
    </row>
    <row r="61" spans="2:24" s="59" customFormat="1" ht="12.75" customHeight="1">
      <c r="C61" s="70"/>
      <c r="D61" s="67"/>
      <c r="E61" s="67"/>
      <c r="F61" s="67"/>
      <c r="G61" s="67"/>
      <c r="H61" s="67"/>
      <c r="I61" s="67"/>
      <c r="J61" s="67"/>
      <c r="K61" s="78"/>
      <c r="L61" s="67"/>
      <c r="M61" s="68"/>
      <c r="N61" s="67"/>
      <c r="O61" s="67"/>
      <c r="P61" s="67"/>
      <c r="Q61" s="67"/>
      <c r="R61" s="67"/>
      <c r="S61" s="67"/>
      <c r="T61" s="67"/>
      <c r="U61" s="67"/>
      <c r="V61" s="67"/>
      <c r="W61" s="67"/>
    </row>
    <row r="62" spans="2:24" s="59" customFormat="1" ht="12.75" customHeight="1">
      <c r="C62" s="70"/>
      <c r="D62" s="77"/>
      <c r="E62" s="67"/>
      <c r="F62" s="67"/>
      <c r="G62" s="67"/>
      <c r="H62" s="67"/>
      <c r="I62" s="67"/>
      <c r="J62" s="67"/>
      <c r="K62" s="78"/>
      <c r="L62" s="67"/>
      <c r="M62" s="68"/>
      <c r="N62" s="67"/>
      <c r="O62" s="67"/>
      <c r="P62" s="67"/>
      <c r="Q62" s="67"/>
      <c r="R62" s="67"/>
      <c r="S62" s="67"/>
      <c r="T62" s="67"/>
      <c r="U62" s="67"/>
      <c r="V62" s="67"/>
    </row>
    <row r="63" spans="2:24" s="59" customFormat="1" ht="12.75" customHeight="1">
      <c r="C63" s="70"/>
      <c r="D63" s="67"/>
      <c r="E63" s="67"/>
      <c r="F63" s="67"/>
      <c r="G63" s="67"/>
      <c r="H63" s="67"/>
      <c r="I63" s="67"/>
      <c r="J63" s="67"/>
      <c r="K63" s="78"/>
      <c r="L63" s="67"/>
      <c r="M63" s="68"/>
      <c r="N63" s="67"/>
      <c r="O63" s="67"/>
      <c r="P63" s="67"/>
      <c r="Q63" s="67"/>
      <c r="R63" s="82"/>
      <c r="S63" s="82"/>
      <c r="T63" s="82"/>
      <c r="U63" s="82"/>
      <c r="V63" s="82"/>
      <c r="W63" s="82"/>
    </row>
    <row r="64" spans="2:24" s="59" customFormat="1" ht="12.75" customHeight="1">
      <c r="C64" s="70"/>
      <c r="D64" s="77"/>
      <c r="E64" s="67"/>
      <c r="F64" s="67"/>
      <c r="G64" s="67"/>
      <c r="H64" s="67"/>
      <c r="I64" s="67"/>
      <c r="J64" s="67"/>
      <c r="K64" s="78"/>
      <c r="L64" s="67"/>
      <c r="M64" s="68"/>
      <c r="N64" s="67"/>
      <c r="O64" s="67"/>
      <c r="P64" s="67"/>
      <c r="Q64" s="67"/>
      <c r="R64" s="67"/>
      <c r="S64" s="67"/>
      <c r="T64" s="67"/>
      <c r="U64" s="67"/>
      <c r="V64" s="67"/>
    </row>
    <row r="65" spans="2:23" s="59" customFormat="1" ht="12.75" customHeight="1">
      <c r="B65" s="65"/>
      <c r="C65" s="70"/>
      <c r="D65" s="77"/>
      <c r="E65" s="67"/>
      <c r="F65" s="67"/>
      <c r="G65" s="67"/>
      <c r="H65" s="67"/>
      <c r="I65" s="67"/>
      <c r="J65" s="67"/>
      <c r="K65" s="78"/>
      <c r="L65" s="67"/>
      <c r="M65" s="68"/>
      <c r="N65" s="67"/>
      <c r="O65" s="67"/>
      <c r="P65" s="67"/>
      <c r="Q65" s="67"/>
      <c r="R65" s="67"/>
      <c r="S65" s="67"/>
      <c r="T65" s="67"/>
      <c r="U65" s="67"/>
      <c r="V65" s="67"/>
      <c r="W65" s="67"/>
    </row>
    <row r="66" spans="2:23" s="55" customFormat="1" ht="12.75" customHeight="1">
      <c r="C66" s="70"/>
      <c r="D66" s="79"/>
      <c r="E66" s="69"/>
      <c r="F66" s="69"/>
      <c r="G66" s="69"/>
      <c r="H66" s="69"/>
      <c r="I66" s="69"/>
      <c r="J66" s="69"/>
      <c r="K66" s="80"/>
      <c r="L66" s="69"/>
      <c r="M66" s="68"/>
      <c r="N66" s="69"/>
      <c r="O66" s="69"/>
      <c r="P66" s="69"/>
      <c r="Q66" s="69"/>
      <c r="R66" s="69"/>
      <c r="S66" s="69"/>
      <c r="T66" s="69"/>
      <c r="U66" s="69"/>
      <c r="V66" s="69"/>
    </row>
    <row r="67" spans="2:23" s="55" customFormat="1" ht="12.75" customHeight="1">
      <c r="C67" s="70"/>
      <c r="D67" s="79"/>
      <c r="E67" s="69"/>
      <c r="F67" s="69"/>
      <c r="G67" s="69"/>
      <c r="H67" s="69"/>
      <c r="I67" s="69"/>
      <c r="J67" s="69"/>
      <c r="K67" s="56"/>
      <c r="L67" s="69"/>
      <c r="M67" s="56"/>
      <c r="N67" s="69"/>
      <c r="O67" s="69"/>
      <c r="P67" s="69"/>
      <c r="Q67" s="69"/>
      <c r="R67" s="72"/>
      <c r="S67" s="72"/>
      <c r="T67" s="72"/>
      <c r="U67" s="72"/>
      <c r="V67" s="72"/>
      <c r="W67" s="72"/>
    </row>
    <row r="68" spans="2:23" s="55" customFormat="1" ht="12.75" customHeight="1">
      <c r="C68" s="70"/>
      <c r="D68" s="79"/>
      <c r="E68" s="69"/>
      <c r="F68" s="69"/>
      <c r="G68" s="69"/>
      <c r="H68" s="69"/>
      <c r="I68" s="69"/>
      <c r="J68" s="69"/>
      <c r="K68" s="56"/>
      <c r="L68" s="69"/>
      <c r="M68" s="56"/>
      <c r="N68" s="69"/>
      <c r="O68" s="69"/>
      <c r="P68" s="69"/>
      <c r="Q68" s="69"/>
      <c r="R68" s="72"/>
      <c r="S68" s="72"/>
      <c r="T68" s="72"/>
      <c r="U68" s="72"/>
      <c r="V68" s="72"/>
      <c r="W68" s="72"/>
    </row>
    <row r="69" spans="2:23" s="55" customFormat="1" ht="12.75" customHeight="1">
      <c r="C69" s="70"/>
      <c r="D69" s="79"/>
      <c r="E69" s="69"/>
      <c r="F69" s="69"/>
      <c r="G69" s="69"/>
      <c r="H69" s="69"/>
      <c r="I69" s="69"/>
      <c r="J69" s="69"/>
      <c r="K69" s="80"/>
      <c r="L69" s="69"/>
      <c r="M69" s="68"/>
      <c r="N69" s="69"/>
      <c r="O69" s="69"/>
      <c r="P69" s="69"/>
      <c r="Q69" s="69"/>
      <c r="R69" s="69"/>
      <c r="S69" s="69"/>
      <c r="T69" s="69"/>
      <c r="U69" s="69"/>
      <c r="V69" s="69"/>
    </row>
    <row r="70" spans="2:23" s="55" customFormat="1" ht="12.75" customHeight="1">
      <c r="C70" s="83"/>
      <c r="D70" s="79"/>
      <c r="E70" s="69"/>
      <c r="F70" s="69"/>
      <c r="G70" s="69"/>
      <c r="H70" s="69"/>
      <c r="I70" s="69"/>
      <c r="J70" s="69"/>
      <c r="K70" s="56"/>
      <c r="L70" s="69"/>
      <c r="M70" s="56"/>
      <c r="N70" s="69"/>
      <c r="O70" s="69"/>
      <c r="P70" s="69"/>
      <c r="Q70" s="69"/>
      <c r="R70" s="72"/>
      <c r="S70" s="72"/>
      <c r="T70" s="72"/>
      <c r="U70" s="72"/>
      <c r="V70" s="72"/>
      <c r="W70" s="72"/>
    </row>
    <row r="71" spans="2:23" s="55" customFormat="1" ht="12.75" customHeight="1">
      <c r="C71" s="84"/>
      <c r="D71" s="79"/>
      <c r="E71" s="69"/>
      <c r="F71" s="69"/>
      <c r="G71" s="69"/>
      <c r="H71" s="69"/>
      <c r="I71" s="69"/>
      <c r="J71" s="69"/>
      <c r="K71" s="56"/>
      <c r="L71" s="69"/>
      <c r="M71" s="56"/>
      <c r="N71" s="69"/>
      <c r="O71" s="69"/>
      <c r="P71" s="69"/>
      <c r="Q71" s="69"/>
      <c r="R71" s="72"/>
      <c r="S71" s="72"/>
      <c r="T71" s="72"/>
      <c r="U71" s="72"/>
      <c r="V71" s="72"/>
      <c r="W71" s="72"/>
    </row>
    <row r="72" spans="2:23" s="55" customFormat="1" ht="12.75" customHeight="1">
      <c r="K72" s="56"/>
      <c r="M72" s="56"/>
    </row>
    <row r="73" spans="2:23" s="55" customFormat="1" ht="12.75" customHeight="1">
      <c r="K73" s="56"/>
      <c r="M73" s="56"/>
    </row>
    <row r="74" spans="2:23" s="55" customFormat="1" ht="12.75" customHeight="1">
      <c r="K74" s="56"/>
      <c r="M74" s="56"/>
    </row>
    <row r="75" spans="2:23" s="55" customFormat="1" ht="12.75" customHeight="1">
      <c r="K75" s="56"/>
      <c r="M75" s="56"/>
    </row>
    <row r="76" spans="2:23" s="55" customFormat="1" ht="12.75" customHeight="1">
      <c r="K76" s="56"/>
      <c r="M76" s="56"/>
    </row>
    <row r="77" spans="2:23" s="55" customFormat="1" ht="12.75" customHeight="1">
      <c r="K77" s="56"/>
      <c r="M77" s="56"/>
    </row>
    <row r="78" spans="2:23" s="55" customFormat="1" ht="12.75" customHeight="1">
      <c r="K78" s="56"/>
      <c r="M78" s="56"/>
    </row>
    <row r="79" spans="2:23" s="55" customFormat="1" ht="12.75" customHeight="1">
      <c r="K79" s="56"/>
      <c r="M79" s="56"/>
    </row>
    <row r="80" spans="2:23" s="55" customFormat="1" ht="12.75" customHeight="1">
      <c r="K80" s="56"/>
      <c r="M80" s="56"/>
    </row>
    <row r="81" spans="11:13" s="55" customFormat="1" ht="12.75" customHeight="1">
      <c r="K81" s="56"/>
      <c r="M81" s="56"/>
    </row>
    <row r="82" spans="11:13" s="55" customFormat="1" ht="12.75" customHeight="1">
      <c r="K82" s="56"/>
      <c r="M82" s="56"/>
    </row>
    <row r="83" spans="11:13" s="55" customFormat="1" ht="12.75" customHeight="1">
      <c r="K83" s="56"/>
      <c r="M83" s="56"/>
    </row>
    <row r="84" spans="11:13" s="55" customFormat="1" ht="12.75" customHeight="1">
      <c r="K84" s="56"/>
      <c r="M84" s="56"/>
    </row>
    <row r="85" spans="11:13" s="55" customFormat="1" ht="12.75" customHeight="1">
      <c r="K85" s="56"/>
      <c r="M85" s="56"/>
    </row>
    <row r="86" spans="11:13" s="55" customFormat="1" ht="12.75" customHeight="1">
      <c r="K86" s="56"/>
      <c r="M86" s="56"/>
    </row>
    <row r="87" spans="11:13" s="55" customFormat="1" ht="12.75" customHeight="1">
      <c r="K87" s="56"/>
      <c r="M87" s="56"/>
    </row>
    <row r="88" spans="11:13" s="55" customFormat="1" ht="12.75" customHeight="1">
      <c r="K88" s="56"/>
      <c r="M88" s="56"/>
    </row>
    <row r="89" spans="11:13" s="55" customFormat="1" ht="12.75" customHeight="1">
      <c r="K89" s="56"/>
      <c r="M89" s="56"/>
    </row>
    <row r="90" spans="11:13" s="55" customFormat="1" ht="12.75" customHeight="1">
      <c r="K90" s="56"/>
      <c r="M90" s="56"/>
    </row>
    <row r="91" spans="11:13" s="55" customFormat="1" ht="12.75" customHeight="1">
      <c r="K91" s="56"/>
      <c r="M91" s="56"/>
    </row>
    <row r="92" spans="11:13" s="55" customFormat="1" ht="12.75" customHeight="1">
      <c r="K92" s="56"/>
      <c r="M92" s="56"/>
    </row>
    <row r="93" spans="11:13" s="55" customFormat="1" ht="12.75" customHeight="1">
      <c r="K93" s="56"/>
      <c r="M93" s="56"/>
    </row>
    <row r="94" spans="11:13" s="55" customFormat="1" ht="12.75" customHeight="1">
      <c r="K94" s="56"/>
      <c r="M94" s="56"/>
    </row>
    <row r="95" spans="11:13" s="55" customFormat="1" ht="12.75" customHeight="1">
      <c r="K95" s="56"/>
      <c r="M95" s="56"/>
    </row>
    <row r="96" spans="11:13" s="55" customFormat="1" ht="12.75" customHeight="1">
      <c r="K96" s="56"/>
      <c r="M96" s="56"/>
    </row>
    <row r="97" spans="11:13" s="55" customFormat="1" ht="12.75" customHeight="1">
      <c r="K97" s="56"/>
      <c r="M97" s="56"/>
    </row>
    <row r="98" spans="11:13" s="55" customFormat="1" ht="12.75" customHeight="1">
      <c r="K98" s="56"/>
      <c r="M98" s="56"/>
    </row>
    <row r="99" spans="11:13" s="55" customFormat="1" ht="12.75" customHeight="1">
      <c r="K99" s="56"/>
      <c r="M99" s="56"/>
    </row>
    <row r="100" spans="11:13" s="55" customFormat="1" ht="12.75" customHeight="1">
      <c r="K100" s="56"/>
      <c r="M100" s="56"/>
    </row>
    <row r="101" spans="11:13" s="55" customFormat="1" ht="12.75" customHeight="1">
      <c r="K101" s="56"/>
      <c r="M101" s="56"/>
    </row>
    <row r="102" spans="11:13" s="55" customFormat="1" ht="12.75" customHeight="1">
      <c r="K102" s="56"/>
      <c r="M102" s="56"/>
    </row>
    <row r="103" spans="11:13" s="55" customFormat="1" ht="12.75" customHeight="1">
      <c r="K103" s="56"/>
      <c r="M103" s="56"/>
    </row>
    <row r="104" spans="11:13" s="55" customFormat="1" ht="12.75" customHeight="1">
      <c r="K104" s="56"/>
      <c r="M104" s="56"/>
    </row>
    <row r="105" spans="11:13" s="55" customFormat="1" ht="12.75" customHeight="1">
      <c r="K105" s="56"/>
      <c r="M105" s="56"/>
    </row>
    <row r="106" spans="11:13" s="55" customFormat="1" ht="12.75" customHeight="1">
      <c r="K106" s="56"/>
      <c r="M106" s="56"/>
    </row>
    <row r="107" spans="11:13" s="55" customFormat="1" ht="12.75" customHeight="1">
      <c r="K107" s="56"/>
      <c r="M107" s="56"/>
    </row>
    <row r="108" spans="11:13" s="55" customFormat="1" ht="12.75" customHeight="1">
      <c r="K108" s="56"/>
      <c r="M108" s="56"/>
    </row>
    <row r="109" spans="11:13" s="55" customFormat="1" ht="12.75" customHeight="1">
      <c r="K109" s="56"/>
      <c r="M109" s="56"/>
    </row>
    <row r="110" spans="11:13" s="55" customFormat="1" ht="12.75" customHeight="1">
      <c r="K110" s="56"/>
      <c r="M110" s="56"/>
    </row>
    <row r="111" spans="11:13" s="55" customFormat="1" ht="12.75" customHeight="1">
      <c r="K111" s="56"/>
      <c r="M111" s="56"/>
    </row>
    <row r="112" spans="11:13" s="55" customFormat="1" ht="12.75" customHeight="1">
      <c r="K112" s="56"/>
      <c r="M112" s="56"/>
    </row>
    <row r="113" spans="11:13" s="55" customFormat="1" ht="12.75" customHeight="1">
      <c r="K113" s="56"/>
      <c r="M113" s="56"/>
    </row>
    <row r="114" spans="11:13" s="55" customFormat="1" ht="12.75" customHeight="1">
      <c r="K114" s="56"/>
      <c r="M114" s="56"/>
    </row>
    <row r="115" spans="11:13" s="55" customFormat="1" ht="12.75" customHeight="1">
      <c r="K115" s="56"/>
      <c r="M115" s="56"/>
    </row>
    <row r="116" spans="11:13" s="55" customFormat="1" ht="12.75" customHeight="1">
      <c r="K116" s="56"/>
      <c r="M116" s="56"/>
    </row>
    <row r="117" spans="11:13" s="55" customFormat="1" ht="12.75" customHeight="1">
      <c r="K117" s="56"/>
      <c r="M117" s="56"/>
    </row>
    <row r="118" spans="11:13" s="55" customFormat="1" ht="12.75" customHeight="1">
      <c r="K118" s="56"/>
      <c r="M118" s="56"/>
    </row>
    <row r="119" spans="11:13" s="55" customFormat="1" ht="12.75" customHeight="1">
      <c r="K119" s="56"/>
      <c r="M119" s="56"/>
    </row>
    <row r="120" spans="11:13" s="55" customFormat="1" ht="12.75" customHeight="1">
      <c r="K120" s="56"/>
      <c r="M120" s="56"/>
    </row>
    <row r="121" spans="11:13" s="55" customFormat="1" ht="12.75" customHeight="1">
      <c r="K121" s="56"/>
      <c r="M121" s="56"/>
    </row>
    <row r="122" spans="11:13" s="55" customFormat="1" ht="12.75" customHeight="1">
      <c r="K122" s="56"/>
      <c r="M122" s="56"/>
    </row>
    <row r="123" spans="11:13" s="55" customFormat="1" ht="12.75" customHeight="1">
      <c r="K123" s="56"/>
      <c r="M123" s="56"/>
    </row>
    <row r="124" spans="11:13" s="55" customFormat="1" ht="12.75" customHeight="1">
      <c r="K124" s="56"/>
      <c r="M124" s="56"/>
    </row>
    <row r="125" spans="11:13" s="55" customFormat="1" ht="12.75" customHeight="1">
      <c r="K125" s="56"/>
      <c r="M125" s="56"/>
    </row>
    <row r="126" spans="11:13" s="55" customFormat="1" ht="12.75" customHeight="1">
      <c r="K126" s="56"/>
      <c r="M126" s="56"/>
    </row>
    <row r="127" spans="11:13" s="55" customFormat="1" ht="12.75" customHeight="1">
      <c r="K127" s="56"/>
      <c r="M127" s="56"/>
    </row>
    <row r="128" spans="11:13" s="55" customFormat="1" ht="12.75" customHeight="1">
      <c r="K128" s="56"/>
      <c r="M128" s="56"/>
    </row>
    <row r="129" spans="11:13" s="55" customFormat="1" ht="12.75" customHeight="1">
      <c r="K129" s="56"/>
      <c r="M129" s="56"/>
    </row>
    <row r="130" spans="11:13" s="55" customFormat="1" ht="12.75" customHeight="1">
      <c r="K130" s="56"/>
      <c r="M130" s="56"/>
    </row>
    <row r="131" spans="11:13" s="55" customFormat="1" ht="12.75" customHeight="1">
      <c r="K131" s="56"/>
      <c r="M131" s="56"/>
    </row>
    <row r="132" spans="11:13" s="55" customFormat="1" ht="12.75" customHeight="1">
      <c r="K132" s="56"/>
      <c r="M132" s="56"/>
    </row>
    <row r="133" spans="11:13" s="55" customFormat="1" ht="12.75" customHeight="1">
      <c r="K133" s="56"/>
      <c r="M133" s="56"/>
    </row>
    <row r="134" spans="11:13" s="55" customFormat="1" ht="12.75" customHeight="1">
      <c r="K134" s="56"/>
      <c r="M134" s="56"/>
    </row>
    <row r="135" spans="11:13" s="55" customFormat="1" ht="12.75" customHeight="1">
      <c r="K135" s="56"/>
      <c r="M135" s="56"/>
    </row>
    <row r="136" spans="11:13" s="55" customFormat="1" ht="12.75" customHeight="1">
      <c r="K136" s="56"/>
      <c r="M136" s="56"/>
    </row>
    <row r="137" spans="11:13" s="55" customFormat="1" ht="12.75" customHeight="1">
      <c r="K137" s="56"/>
      <c r="M137" s="56"/>
    </row>
    <row r="138" spans="11:13" s="55" customFormat="1" ht="12.75" customHeight="1">
      <c r="K138" s="56"/>
      <c r="M138" s="56"/>
    </row>
    <row r="139" spans="11:13" s="55" customFormat="1" ht="12.75" customHeight="1">
      <c r="K139" s="56"/>
      <c r="M139" s="56"/>
    </row>
    <row r="140" spans="11:13" s="55" customFormat="1" ht="12.75" customHeight="1">
      <c r="K140" s="56"/>
      <c r="M140" s="56"/>
    </row>
    <row r="141" spans="11:13" s="55" customFormat="1" ht="12.75" customHeight="1">
      <c r="K141" s="56"/>
      <c r="M141" s="56"/>
    </row>
    <row r="142" spans="11:13" s="55" customFormat="1" ht="12.75" customHeight="1">
      <c r="K142" s="56"/>
      <c r="M142" s="56"/>
    </row>
    <row r="143" spans="11:13" s="55" customFormat="1" ht="12.75" customHeight="1">
      <c r="K143" s="56"/>
      <c r="M143" s="56"/>
    </row>
    <row r="144" spans="11:13" s="55" customFormat="1" ht="12.75" customHeight="1">
      <c r="K144" s="56"/>
      <c r="M144" s="56"/>
    </row>
    <row r="145" spans="11:13" s="55" customFormat="1" ht="12.75" customHeight="1">
      <c r="K145" s="56"/>
      <c r="M145" s="56"/>
    </row>
    <row r="146" spans="11:13" s="55" customFormat="1" ht="12.75" customHeight="1">
      <c r="K146" s="56"/>
      <c r="M146" s="56"/>
    </row>
    <row r="147" spans="11:13" s="55" customFormat="1" ht="12.75" customHeight="1">
      <c r="K147" s="56"/>
      <c r="M147" s="56"/>
    </row>
    <row r="148" spans="11:13" s="55" customFormat="1" ht="12.75" customHeight="1">
      <c r="K148" s="56"/>
      <c r="M148" s="56"/>
    </row>
  </sheetData>
  <phoneticPr fontId="10" type="noConversion"/>
  <printOptions horizontalCentered="1"/>
  <pageMargins left="0.1" right="0.1" top="2" bottom="0.2" header="1" footer="0.5"/>
  <pageSetup scale="54" pageOrder="overThenDown" orientation="landscape"/>
  <headerFooter alignWithMargins="0">
    <oddHeader>&amp;R&amp;"Arial,Bold"Schedule &amp;A
Page &amp;P of &amp;N&amp;C&amp;B
2025 RATE CASE
ONCOR ELECTRIC DELIVERY COMPANY LLC
II-E-4   OTHER EXPENSES
TEST YEAR ENDING DECEMBER 31, 2024
SPONSOR: R. PRACHYL</oddHeader>
  </headerFooter>
  <colBreaks count="1" manualBreakCount="1">
    <brk id="10" max="1048575" man="1"/>
  </colBreak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4"/>
  <dimension ref="A1:Z92"/>
  <sheetViews>
    <sheetView zoomScale="80" zoomScaleNormal="80" workbookViewId="0">
      <pane ySplit="13" topLeftCell="A14" activePane="bottomLeft" state="frozen"/>
      <selection pane="bottomLeft" activeCell="M17" sqref="M17"/>
    </sheetView>
  </sheetViews>
  <sheetFormatPr defaultRowHeight="12.75"/>
  <cols>
    <col min="1" max="1" width="6.7109375" customWidth="1"/>
    <col min="2" max="2" width="11" bestFit="1" customWidth="1"/>
    <col min="3" max="3" width="10.7109375" customWidth="1"/>
    <col min="4" max="4" width="96.140625" bestFit="1" customWidth="1"/>
    <col min="5" max="5" width="16.28515625" bestFit="1" customWidth="1"/>
    <col min="6" max="6" width="15.28515625" bestFit="1" customWidth="1"/>
    <col min="7" max="7" width="16.28515625" bestFit="1" customWidth="1"/>
    <col min="8" max="8" width="17.42578125" bestFit="1" customWidth="1"/>
    <col min="9" max="9" width="16.28515625" bestFit="1" customWidth="1"/>
    <col min="10" max="10" width="10.42578125" bestFit="1" customWidth="1"/>
    <col min="11" max="11" width="16.28515625" bestFit="1" customWidth="1"/>
    <col min="12" max="12" width="8.28515625" bestFit="1" customWidth="1"/>
    <col min="13" max="13" width="27" bestFit="1" customWidth="1"/>
    <col min="14" max="14" width="13.140625" bestFit="1" customWidth="1"/>
    <col min="15" max="17" width="13" style="366" customWidth="1"/>
    <col min="18" max="18" width="16.28515625" bestFit="1" customWidth="1"/>
    <col min="19" max="20" width="14.28515625" style="366" customWidth="1"/>
    <col min="21" max="21" width="13.5703125" bestFit="1" customWidth="1"/>
    <col min="22" max="22" width="13" bestFit="1" customWidth="1"/>
    <col min="23" max="23" width="16.28515625" bestFit="1" customWidth="1"/>
    <col min="24" max="24" width="3.7109375" bestFit="1" customWidth="1"/>
    <col min="26" max="26" width="19.42578125" bestFit="1" customWidth="1"/>
  </cols>
  <sheetData>
    <row r="1" spans="1:23">
      <c r="A1" s="28" t="str">
        <f>+'[3]Input Data'!$A$9</f>
        <v>2025 RATE CASE</v>
      </c>
    </row>
    <row r="2" spans="1:23">
      <c r="A2" s="31" t="str">
        <f>+'[3]Input Data'!$A$2</f>
        <v>ONCOR ELECTRIC DELIVERY COMPANY LLC</v>
      </c>
    </row>
    <row r="3" spans="1:23">
      <c r="A3" s="164" t="str">
        <f>CONCATENATE('[3]Schedule Sponsors'!$A$111,'[3]Schedule Sponsors'!$B$111)</f>
        <v>II-E-4.1  DEFERRED EXPENSES FROM PRIOR DOCKETS</v>
      </c>
    </row>
    <row r="4" spans="1:23">
      <c r="A4" s="89" t="str">
        <f>+'[3]Input Data'!$A$4</f>
        <v>TEST YEAR ENDING DECEMBER 31, 2024</v>
      </c>
    </row>
    <row r="5" spans="1:23">
      <c r="A5" s="30" t="str">
        <f>CONCATENATE("SPONSOR: ",'[3]Schedule Sponsors'!$D$111)</f>
        <v>SPONSOR: R. PRACHYL</v>
      </c>
    </row>
    <row r="10" spans="1:23" ht="13.5" thickBot="1"/>
    <row r="11" spans="1:23" s="529" customFormat="1" ht="13.5" thickTop="1">
      <c r="A11" s="527"/>
      <c r="B11" s="527"/>
      <c r="C11" s="527"/>
      <c r="D11" s="527"/>
      <c r="E11" s="528"/>
      <c r="F11" s="528"/>
      <c r="G11" s="528" t="s">
        <v>61</v>
      </c>
      <c r="H11" s="528" t="s">
        <v>379</v>
      </c>
      <c r="I11" s="528" t="s">
        <v>62</v>
      </c>
      <c r="J11" s="528" t="s">
        <v>79</v>
      </c>
      <c r="K11" s="528" t="s">
        <v>269</v>
      </c>
      <c r="L11" s="528" t="s">
        <v>303</v>
      </c>
      <c r="M11" s="528"/>
      <c r="N11" s="528"/>
      <c r="O11" s="528"/>
      <c r="P11" s="528"/>
      <c r="Q11" s="528"/>
      <c r="R11" s="528"/>
      <c r="S11" s="528"/>
      <c r="T11" s="528"/>
      <c r="U11" s="528"/>
      <c r="V11" s="528"/>
      <c r="W11" s="528"/>
    </row>
    <row r="12" spans="1:23" s="529" customFormat="1">
      <c r="A12" s="530" t="s">
        <v>241</v>
      </c>
      <c r="B12" s="531"/>
      <c r="C12" s="531"/>
      <c r="D12" s="530"/>
      <c r="E12" s="530" t="s">
        <v>363</v>
      </c>
      <c r="F12" s="530" t="s">
        <v>304</v>
      </c>
      <c r="G12" s="530" t="s">
        <v>63</v>
      </c>
      <c r="H12" s="530" t="s">
        <v>380</v>
      </c>
      <c r="I12" s="530" t="s">
        <v>61</v>
      </c>
      <c r="J12" s="530" t="s">
        <v>269</v>
      </c>
      <c r="K12" s="530" t="s">
        <v>43</v>
      </c>
      <c r="L12" s="530" t="s">
        <v>305</v>
      </c>
      <c r="M12" s="530" t="s">
        <v>70</v>
      </c>
      <c r="N12" s="530"/>
      <c r="O12" s="532" t="s">
        <v>571</v>
      </c>
      <c r="P12" s="532" t="s">
        <v>572</v>
      </c>
      <c r="Q12" s="532" t="s">
        <v>574</v>
      </c>
      <c r="R12" s="530"/>
      <c r="S12" s="532" t="s">
        <v>571</v>
      </c>
      <c r="T12" s="532" t="s">
        <v>574</v>
      </c>
      <c r="U12" s="530"/>
      <c r="V12" s="530"/>
      <c r="W12" s="530"/>
    </row>
    <row r="13" spans="1:23" s="529" customFormat="1" ht="13.5" thickBot="1">
      <c r="A13" s="533" t="s">
        <v>139</v>
      </c>
      <c r="B13" s="533" t="s">
        <v>69</v>
      </c>
      <c r="C13" s="533" t="s">
        <v>306</v>
      </c>
      <c r="D13" s="533" t="s">
        <v>64</v>
      </c>
      <c r="E13" s="533" t="s">
        <v>278</v>
      </c>
      <c r="F13" s="533" t="s">
        <v>307</v>
      </c>
      <c r="G13" s="533" t="s">
        <v>78</v>
      </c>
      <c r="H13" s="533" t="s">
        <v>381</v>
      </c>
      <c r="I13" s="533" t="s">
        <v>63</v>
      </c>
      <c r="J13" s="533" t="s">
        <v>75</v>
      </c>
      <c r="K13" s="533" t="s">
        <v>79</v>
      </c>
      <c r="L13" s="533" t="s">
        <v>69</v>
      </c>
      <c r="M13" s="533" t="s">
        <v>308</v>
      </c>
      <c r="N13" s="533" t="s">
        <v>198</v>
      </c>
      <c r="O13" s="533" t="s">
        <v>198</v>
      </c>
      <c r="P13" s="533" t="s">
        <v>573</v>
      </c>
      <c r="Q13" s="533" t="s">
        <v>198</v>
      </c>
      <c r="R13" s="533" t="s">
        <v>199</v>
      </c>
      <c r="S13" s="533" t="s">
        <v>199</v>
      </c>
      <c r="T13" s="533" t="s">
        <v>199</v>
      </c>
      <c r="U13" s="533" t="s">
        <v>194</v>
      </c>
      <c r="V13" s="533" t="s">
        <v>279</v>
      </c>
      <c r="W13" s="533" t="s">
        <v>73</v>
      </c>
    </row>
    <row r="14" spans="1:23" s="179" customFormat="1" ht="13.5" thickTop="1">
      <c r="B14" s="190" t="s">
        <v>226</v>
      </c>
      <c r="C14" s="190" t="s">
        <v>227</v>
      </c>
      <c r="D14" s="190" t="s">
        <v>228</v>
      </c>
      <c r="E14" s="190" t="s">
        <v>229</v>
      </c>
      <c r="F14" s="190" t="s">
        <v>230</v>
      </c>
      <c r="G14" s="190" t="s">
        <v>231</v>
      </c>
      <c r="H14" s="190" t="s">
        <v>232</v>
      </c>
      <c r="I14" s="190" t="s">
        <v>233</v>
      </c>
      <c r="J14" s="190" t="s">
        <v>234</v>
      </c>
      <c r="K14" s="190" t="s">
        <v>235</v>
      </c>
      <c r="L14" s="190" t="s">
        <v>236</v>
      </c>
      <c r="M14" s="190" t="s">
        <v>237</v>
      </c>
      <c r="N14" s="190" t="s">
        <v>238</v>
      </c>
      <c r="O14" s="190" t="s">
        <v>239</v>
      </c>
      <c r="P14" s="190" t="s">
        <v>240</v>
      </c>
      <c r="Q14" s="190" t="s">
        <v>140</v>
      </c>
      <c r="R14" s="190" t="s">
        <v>270</v>
      </c>
      <c r="S14" s="190" t="s">
        <v>280</v>
      </c>
      <c r="T14" s="190" t="s">
        <v>281</v>
      </c>
      <c r="U14" s="190" t="s">
        <v>473</v>
      </c>
      <c r="V14" s="190" t="s">
        <v>474</v>
      </c>
      <c r="W14" s="190" t="s">
        <v>475</v>
      </c>
    </row>
    <row r="15" spans="1:23" s="179" customFormat="1"/>
    <row r="16" spans="1:23" s="179" customFormat="1">
      <c r="A16" s="180">
        <v>1</v>
      </c>
      <c r="B16" s="141"/>
      <c r="C16" s="141"/>
      <c r="D16" s="348" t="str">
        <f>'II-E-4.1.1'!C13</f>
        <v>Acquisition Adjustments Approved in Docket No. 53601:</v>
      </c>
      <c r="E16" s="102"/>
      <c r="F16" s="102"/>
      <c r="G16" s="102"/>
      <c r="H16" s="102"/>
      <c r="I16" s="102"/>
      <c r="J16" s="114"/>
      <c r="K16" s="102"/>
      <c r="L16" s="366"/>
      <c r="M16" s="141"/>
      <c r="N16" s="102"/>
      <c r="O16" s="102"/>
      <c r="P16" s="102"/>
      <c r="Q16" s="102"/>
      <c r="R16" s="102"/>
      <c r="S16" s="102"/>
      <c r="T16" s="102"/>
      <c r="U16" s="102"/>
      <c r="V16" s="102"/>
      <c r="W16" s="102"/>
    </row>
    <row r="17" spans="1:26">
      <c r="A17" s="24">
        <v>2</v>
      </c>
      <c r="B17" s="347" t="s">
        <v>831</v>
      </c>
      <c r="C17" s="141"/>
      <c r="D17" s="346" t="str">
        <f>'II-E-4.1.1'!C14</f>
        <v>Amortization of Electric Plant Acquisition Adjustments - Andrews County Line</v>
      </c>
      <c r="E17" s="378">
        <f>'II-E-4.1.1'!J14</f>
        <v>67562.64</v>
      </c>
      <c r="F17" s="378">
        <v>0</v>
      </c>
      <c r="G17" s="378">
        <f t="shared" ref="G17:G39" si="0">+E17+F17</f>
        <v>67562.64</v>
      </c>
      <c r="H17" s="378">
        <f>'II-E-4.1.1'!P14</f>
        <v>0</v>
      </c>
      <c r="I17" s="378">
        <f>+G17+H17</f>
        <v>67562.64</v>
      </c>
      <c r="J17" s="137">
        <v>1</v>
      </c>
      <c r="K17" s="378">
        <f>+I17*J17</f>
        <v>67562.64</v>
      </c>
      <c r="L17" s="366"/>
      <c r="M17" s="347" t="s">
        <v>1198</v>
      </c>
      <c r="N17" s="378">
        <f>K17</f>
        <v>67562.64</v>
      </c>
      <c r="O17" s="378">
        <v>0</v>
      </c>
      <c r="P17" s="378">
        <v>0</v>
      </c>
      <c r="Q17" s="378">
        <f>SUM(N17:P17)</f>
        <v>67562.64</v>
      </c>
      <c r="R17" s="378">
        <v>0</v>
      </c>
      <c r="S17" s="378">
        <v>0</v>
      </c>
      <c r="T17" s="378">
        <f>SUM(R17:S17)</f>
        <v>0</v>
      </c>
      <c r="U17" s="378">
        <v>0</v>
      </c>
      <c r="V17" s="378">
        <v>0</v>
      </c>
      <c r="W17" s="454">
        <f>+Q17+T17+U17+V17</f>
        <v>67562.64</v>
      </c>
      <c r="Y17" s="366" t="b">
        <f t="shared" ref="Y17:Y78" si="1">+K17=W17</f>
        <v>1</v>
      </c>
      <c r="Z17" s="431">
        <f t="shared" ref="Z17:Z22" si="2">+K17-W17</f>
        <v>0</v>
      </c>
    </row>
    <row r="18" spans="1:26" s="341" customFormat="1">
      <c r="A18" s="141">
        <v>3</v>
      </c>
      <c r="B18" s="347" t="str">
        <f>B17</f>
        <v>A406*</v>
      </c>
      <c r="C18" s="141"/>
      <c r="D18" s="346" t="str">
        <f>'II-E-4.1.1'!C15</f>
        <v>Amortization of Electric Plant Acquisition Adjustments - Stanton</v>
      </c>
      <c r="E18" s="99">
        <f>'II-E-4.1.1'!J15</f>
        <v>-98236.2</v>
      </c>
      <c r="F18" s="99">
        <v>0</v>
      </c>
      <c r="G18" s="99">
        <f t="shared" si="0"/>
        <v>-98236.2</v>
      </c>
      <c r="H18" s="99">
        <f>'II-E-4.1.1'!P15</f>
        <v>0</v>
      </c>
      <c r="I18" s="99">
        <f>+G18+H18</f>
        <v>-98236.2</v>
      </c>
      <c r="J18" s="137">
        <v>1</v>
      </c>
      <c r="K18" s="99">
        <f>+I18*J18</f>
        <v>-98236.2</v>
      </c>
      <c r="L18" s="366"/>
      <c r="M18" s="347" t="s">
        <v>1198</v>
      </c>
      <c r="N18" s="380">
        <v>0</v>
      </c>
      <c r="O18" s="380">
        <v>0</v>
      </c>
      <c r="P18" s="380">
        <v>0</v>
      </c>
      <c r="Q18" s="380">
        <f t="shared" ref="Q18:Q22" si="3">SUM(N18:P18)</f>
        <v>0</v>
      </c>
      <c r="R18" s="380">
        <f>K18</f>
        <v>-98236.2</v>
      </c>
      <c r="S18" s="380">
        <v>0</v>
      </c>
      <c r="T18" s="380">
        <f t="shared" ref="T18:T22" si="4">SUM(R18:S18)</f>
        <v>-98236.2</v>
      </c>
      <c r="U18" s="380">
        <v>0</v>
      </c>
      <c r="V18" s="380">
        <v>0</v>
      </c>
      <c r="W18" s="455">
        <f t="shared" ref="W18:W39" si="5">+Q18+T18+U18+V18</f>
        <v>-98236.2</v>
      </c>
      <c r="Y18" s="366" t="b">
        <f t="shared" si="1"/>
        <v>1</v>
      </c>
      <c r="Z18" s="431">
        <f t="shared" si="2"/>
        <v>0</v>
      </c>
    </row>
    <row r="19" spans="1:26" ht="13.5" thickBot="1">
      <c r="A19" s="180">
        <v>4</v>
      </c>
      <c r="B19" s="347"/>
      <c r="C19" s="141"/>
      <c r="D19" s="346" t="str">
        <f>'II-E-4.1.1'!C16</f>
        <v>Total Acquisition Adjustments &amp; Related Account 406 amortization expense</v>
      </c>
      <c r="E19" s="437">
        <f>SUM(E9:E18)</f>
        <v>-30673.559999999998</v>
      </c>
      <c r="F19" s="437">
        <f>SUM(F9:F18)</f>
        <v>0</v>
      </c>
      <c r="G19" s="437">
        <f>SUM(G9:G18)</f>
        <v>-30673.559999999998</v>
      </c>
      <c r="H19" s="648">
        <f>SUM(H9:H18)</f>
        <v>0</v>
      </c>
      <c r="I19" s="437">
        <f>SUM(I9:I18)</f>
        <v>-30673.559999999998</v>
      </c>
      <c r="J19" s="385"/>
      <c r="K19" s="437">
        <f>SUM(K9:K18)</f>
        <v>-30673.559999999998</v>
      </c>
      <c r="L19" s="366"/>
      <c r="M19" s="141"/>
      <c r="N19" s="437">
        <f t="shared" ref="N19:W19" si="6">SUM(N9:N18)</f>
        <v>67562.64</v>
      </c>
      <c r="O19" s="437">
        <f t="shared" si="6"/>
        <v>0</v>
      </c>
      <c r="P19" s="437">
        <f t="shared" si="6"/>
        <v>0</v>
      </c>
      <c r="Q19" s="437">
        <f t="shared" si="6"/>
        <v>67562.64</v>
      </c>
      <c r="R19" s="437">
        <f t="shared" si="6"/>
        <v>-98236.2</v>
      </c>
      <c r="S19" s="437">
        <f t="shared" si="6"/>
        <v>0</v>
      </c>
      <c r="T19" s="437">
        <f t="shared" si="6"/>
        <v>-98236.2</v>
      </c>
      <c r="U19" s="437">
        <f t="shared" si="6"/>
        <v>0</v>
      </c>
      <c r="V19" s="437">
        <f t="shared" si="6"/>
        <v>0</v>
      </c>
      <c r="W19" s="437">
        <f t="shared" si="6"/>
        <v>-30673.559999999998</v>
      </c>
      <c r="Y19" s="366" t="b">
        <f t="shared" si="1"/>
        <v>1</v>
      </c>
      <c r="Z19" s="431">
        <f t="shared" si="2"/>
        <v>0</v>
      </c>
    </row>
    <row r="20" spans="1:26" s="366" customFormat="1" ht="13.5" thickTop="1">
      <c r="A20" s="141">
        <v>5</v>
      </c>
      <c r="B20" s="347"/>
      <c r="C20" s="141"/>
      <c r="D20" s="346"/>
      <c r="E20" s="380"/>
      <c r="F20" s="380"/>
      <c r="G20" s="380"/>
      <c r="H20" s="433"/>
      <c r="I20" s="380"/>
      <c r="J20" s="137"/>
      <c r="K20" s="380"/>
      <c r="M20" s="141"/>
      <c r="N20" s="380"/>
      <c r="O20" s="380"/>
      <c r="P20" s="380"/>
      <c r="Q20" s="380"/>
      <c r="R20" s="380"/>
      <c r="S20" s="380"/>
      <c r="T20" s="380"/>
      <c r="U20" s="380"/>
      <c r="V20" s="380"/>
      <c r="W20" s="455"/>
      <c r="Y20" s="366" t="b">
        <f t="shared" si="1"/>
        <v>1</v>
      </c>
      <c r="Z20" s="431">
        <f t="shared" si="2"/>
        <v>0</v>
      </c>
    </row>
    <row r="21" spans="1:26" s="366" customFormat="1">
      <c r="A21" s="141">
        <v>6</v>
      </c>
      <c r="B21" s="347"/>
      <c r="C21" s="141"/>
      <c r="D21" s="348" t="str">
        <f>'II-E-4.1.1'!C18</f>
        <v>Five-Year Amortizations of Regulatory Assets &amp; Liabilities Approved in Docket No. 53601:</v>
      </c>
      <c r="E21" s="380"/>
      <c r="F21" s="380"/>
      <c r="G21" s="380"/>
      <c r="H21" s="433"/>
      <c r="I21" s="380"/>
      <c r="J21" s="137"/>
      <c r="K21" s="380"/>
      <c r="M21" s="141"/>
      <c r="N21" s="380"/>
      <c r="O21" s="380"/>
      <c r="P21" s="380"/>
      <c r="Q21" s="380"/>
      <c r="R21" s="380"/>
      <c r="S21" s="380"/>
      <c r="T21" s="380"/>
      <c r="U21" s="380"/>
      <c r="V21" s="380"/>
      <c r="W21" s="455"/>
      <c r="Y21" s="366" t="b">
        <f t="shared" si="1"/>
        <v>1</v>
      </c>
      <c r="Z21" s="431">
        <f t="shared" si="2"/>
        <v>0</v>
      </c>
    </row>
    <row r="22" spans="1:26" s="366" customFormat="1">
      <c r="A22" s="180">
        <v>7</v>
      </c>
      <c r="B22" s="347" t="s">
        <v>853</v>
      </c>
      <c r="C22" s="141"/>
      <c r="D22" s="346" t="str">
        <f>'II-E-4.1.1'!C19</f>
        <v>Under-recovered AMS</v>
      </c>
      <c r="E22" s="128">
        <f>'II-E-4.1.1'!J19</f>
        <v>25459958.280000001</v>
      </c>
      <c r="F22" s="128">
        <v>0</v>
      </c>
      <c r="G22" s="128">
        <f t="shared" si="0"/>
        <v>25459958.280000001</v>
      </c>
      <c r="H22" s="676">
        <f>'II-E-4.1.1'!P19</f>
        <v>0</v>
      </c>
      <c r="I22" s="128">
        <f t="shared" ref="I22:I39" si="7">+G22+H22</f>
        <v>25459958.280000001</v>
      </c>
      <c r="J22" s="137">
        <v>1</v>
      </c>
      <c r="K22" s="128">
        <f t="shared" ref="K22:K39" si="8">+I22*J22</f>
        <v>25459958.280000001</v>
      </c>
      <c r="M22" s="347" t="s">
        <v>1198</v>
      </c>
      <c r="N22" s="380">
        <v>0</v>
      </c>
      <c r="O22" s="380">
        <v>0</v>
      </c>
      <c r="P22" s="380">
        <v>0</v>
      </c>
      <c r="Q22" s="380">
        <f t="shared" si="3"/>
        <v>0</v>
      </c>
      <c r="R22" s="380">
        <v>0</v>
      </c>
      <c r="S22" s="380">
        <v>0</v>
      </c>
      <c r="T22" s="380">
        <f t="shared" si="4"/>
        <v>0</v>
      </c>
      <c r="U22" s="380">
        <f>+K22</f>
        <v>25459958.280000001</v>
      </c>
      <c r="V22" s="380">
        <v>0</v>
      </c>
      <c r="W22" s="455">
        <f t="shared" si="5"/>
        <v>25459958.280000001</v>
      </c>
      <c r="Y22" s="366" t="b">
        <f t="shared" si="1"/>
        <v>1</v>
      </c>
      <c r="Z22" s="431">
        <f t="shared" si="2"/>
        <v>0</v>
      </c>
    </row>
    <row r="23" spans="1:26">
      <c r="A23" s="141">
        <v>8</v>
      </c>
      <c r="B23" s="347" t="s">
        <v>853</v>
      </c>
      <c r="C23" s="141"/>
      <c r="D23" s="346" t="str">
        <f>'II-E-4.1.1'!C20</f>
        <v>Wholesale Distribution Substation Service</v>
      </c>
      <c r="E23" s="380">
        <f>'II-E-4.1.1'!J20</f>
        <v>11119102.149999999</v>
      </c>
      <c r="F23" s="380">
        <v>0</v>
      </c>
      <c r="G23" s="380">
        <f t="shared" si="0"/>
        <v>11119102.149999999</v>
      </c>
      <c r="H23" s="433">
        <f>'II-E-4.1.1'!P20</f>
        <v>0</v>
      </c>
      <c r="I23" s="380">
        <f t="shared" si="7"/>
        <v>11119102.149999999</v>
      </c>
      <c r="J23" s="137">
        <v>1</v>
      </c>
      <c r="K23" s="380">
        <f t="shared" si="8"/>
        <v>11119102.149999999</v>
      </c>
      <c r="L23" s="366"/>
      <c r="M23" s="347" t="s">
        <v>1198</v>
      </c>
      <c r="N23" s="380">
        <v>0</v>
      </c>
      <c r="O23" s="380">
        <v>0</v>
      </c>
      <c r="P23" s="380">
        <v>0</v>
      </c>
      <c r="Q23" s="380">
        <f t="shared" ref="Q23:Q39" si="9">SUM(N23:P23)</f>
        <v>0</v>
      </c>
      <c r="R23" s="380">
        <f>K23</f>
        <v>11119102.149999999</v>
      </c>
      <c r="S23" s="380">
        <v>0</v>
      </c>
      <c r="T23" s="380">
        <f t="shared" ref="T23:T39" si="10">SUM(R23:S23)</f>
        <v>11119102.149999999</v>
      </c>
      <c r="U23" s="380">
        <v>0</v>
      </c>
      <c r="V23" s="380">
        <v>0</v>
      </c>
      <c r="W23" s="455">
        <f t="shared" si="5"/>
        <v>11119102.149999999</v>
      </c>
      <c r="Y23" s="366" t="b">
        <f t="shared" si="1"/>
        <v>1</v>
      </c>
      <c r="Z23" s="133"/>
    </row>
    <row r="24" spans="1:26">
      <c r="A24" s="141">
        <v>9</v>
      </c>
      <c r="B24" s="347" t="str">
        <f>'II-E-4.1.1'!B21</f>
        <v>A588</v>
      </c>
      <c r="C24" s="141"/>
      <c r="D24" s="346" t="str">
        <f>'II-E-4.1.1'!C21</f>
        <v>Wholesale Distribution Substation Service</v>
      </c>
      <c r="E24" s="380">
        <f>'II-E-4.1.1'!J21</f>
        <v>3934311.72</v>
      </c>
      <c r="F24" s="380">
        <v>0</v>
      </c>
      <c r="G24" s="380">
        <f t="shared" si="0"/>
        <v>3934311.72</v>
      </c>
      <c r="H24" s="433">
        <f>'II-E-4.1.1'!P21</f>
        <v>0</v>
      </c>
      <c r="I24" s="380">
        <f t="shared" si="7"/>
        <v>3934311.72</v>
      </c>
      <c r="J24" s="137">
        <v>1</v>
      </c>
      <c r="K24" s="380">
        <f t="shared" si="8"/>
        <v>3934311.72</v>
      </c>
      <c r="L24" s="366"/>
      <c r="M24" s="347" t="s">
        <v>1198</v>
      </c>
      <c r="N24" s="380">
        <v>0</v>
      </c>
      <c r="O24" s="380">
        <v>0</v>
      </c>
      <c r="P24" s="380">
        <v>0</v>
      </c>
      <c r="Q24" s="380">
        <f t="shared" si="9"/>
        <v>0</v>
      </c>
      <c r="R24" s="380">
        <f>K24</f>
        <v>3934311.72</v>
      </c>
      <c r="S24" s="380">
        <v>0</v>
      </c>
      <c r="T24" s="380">
        <f t="shared" si="10"/>
        <v>3934311.72</v>
      </c>
      <c r="U24" s="380">
        <v>0</v>
      </c>
      <c r="V24" s="380">
        <v>0</v>
      </c>
      <c r="W24" s="455">
        <f t="shared" si="5"/>
        <v>3934311.72</v>
      </c>
      <c r="Y24" s="366" t="b">
        <f t="shared" si="1"/>
        <v>1</v>
      </c>
    </row>
    <row r="25" spans="1:26">
      <c r="A25" s="180">
        <v>10</v>
      </c>
      <c r="B25" s="347" t="s">
        <v>853</v>
      </c>
      <c r="C25" s="141"/>
      <c r="D25" s="346" t="str">
        <f>'II-E-4.1.1'!C22</f>
        <v>Rocky Mound reactive compensation facilities project termination</v>
      </c>
      <c r="E25" s="380">
        <f>'II-E-4.1.1'!J22</f>
        <v>303779.51999999996</v>
      </c>
      <c r="F25" s="380">
        <v>0</v>
      </c>
      <c r="G25" s="380">
        <f t="shared" si="0"/>
        <v>303779.51999999996</v>
      </c>
      <c r="H25" s="433">
        <f>'II-E-4.1.1'!P22</f>
        <v>0</v>
      </c>
      <c r="I25" s="380">
        <f t="shared" si="7"/>
        <v>303779.51999999996</v>
      </c>
      <c r="J25" s="137">
        <v>1</v>
      </c>
      <c r="K25" s="380">
        <f t="shared" si="8"/>
        <v>303779.51999999996</v>
      </c>
      <c r="L25" s="366"/>
      <c r="M25" s="347" t="s">
        <v>1198</v>
      </c>
      <c r="N25" s="380">
        <f>K25</f>
        <v>303779.51999999996</v>
      </c>
      <c r="O25" s="380">
        <v>0</v>
      </c>
      <c r="P25" s="380">
        <v>0</v>
      </c>
      <c r="Q25" s="380">
        <f t="shared" si="9"/>
        <v>303779.51999999996</v>
      </c>
      <c r="R25" s="380">
        <v>0</v>
      </c>
      <c r="S25" s="380">
        <v>0</v>
      </c>
      <c r="T25" s="380">
        <f t="shared" si="10"/>
        <v>0</v>
      </c>
      <c r="U25" s="380">
        <v>0</v>
      </c>
      <c r="V25" s="380">
        <v>0</v>
      </c>
      <c r="W25" s="455">
        <f t="shared" si="5"/>
        <v>303779.51999999996</v>
      </c>
      <c r="Y25" s="366" t="b">
        <f t="shared" si="1"/>
        <v>1</v>
      </c>
    </row>
    <row r="26" spans="1:26">
      <c r="A26" s="141">
        <v>11</v>
      </c>
      <c r="B26" s="347" t="s">
        <v>853</v>
      </c>
      <c r="C26" s="141"/>
      <c r="D26" s="346" t="str">
        <f>'II-E-4.1.1'!C23</f>
        <v>Over-collection - Intangible Asset Over-Amortization (TRAN)</v>
      </c>
      <c r="E26" s="380">
        <f>'II-E-4.1.1'!J23</f>
        <v>-32624.000000000004</v>
      </c>
      <c r="F26" s="380">
        <v>0</v>
      </c>
      <c r="G26" s="380">
        <f t="shared" si="0"/>
        <v>-32624.000000000004</v>
      </c>
      <c r="H26" s="433">
        <f>'II-E-4.1.1'!P23</f>
        <v>0</v>
      </c>
      <c r="I26" s="380">
        <f t="shared" si="7"/>
        <v>-32624.000000000004</v>
      </c>
      <c r="J26" s="137">
        <v>1</v>
      </c>
      <c r="K26" s="380">
        <f t="shared" si="8"/>
        <v>-32624.000000000004</v>
      </c>
      <c r="L26" s="385"/>
      <c r="M26" s="347" t="s">
        <v>1198</v>
      </c>
      <c r="N26" s="380">
        <f>K26</f>
        <v>-32624.000000000004</v>
      </c>
      <c r="O26" s="380">
        <v>0</v>
      </c>
      <c r="P26" s="380">
        <v>0</v>
      </c>
      <c r="Q26" s="380">
        <f t="shared" si="9"/>
        <v>-32624.000000000004</v>
      </c>
      <c r="R26" s="380">
        <v>0</v>
      </c>
      <c r="S26" s="380">
        <v>0</v>
      </c>
      <c r="T26" s="380">
        <f t="shared" si="10"/>
        <v>0</v>
      </c>
      <c r="U26" s="380">
        <v>0</v>
      </c>
      <c r="V26" s="380">
        <v>0</v>
      </c>
      <c r="W26" s="455">
        <f t="shared" si="5"/>
        <v>-32624.000000000004</v>
      </c>
      <c r="Y26" s="366" t="b">
        <f t="shared" si="1"/>
        <v>1</v>
      </c>
    </row>
    <row r="27" spans="1:26" s="366" customFormat="1">
      <c r="A27" s="141">
        <v>12</v>
      </c>
      <c r="B27" s="347" t="s">
        <v>853</v>
      </c>
      <c r="C27" s="141"/>
      <c r="D27" s="346" t="str">
        <f>'II-E-4.1.1'!C24</f>
        <v>Over-collection - Intangible Asset Over-Amortization (DIST)</v>
      </c>
      <c r="E27" s="380">
        <f>'II-E-4.1.1'!J24</f>
        <v>-2674764.58</v>
      </c>
      <c r="F27" s="380">
        <v>0</v>
      </c>
      <c r="G27" s="380">
        <f t="shared" si="0"/>
        <v>-2674764.58</v>
      </c>
      <c r="H27" s="433">
        <f>'II-E-4.1.1'!P24</f>
        <v>0</v>
      </c>
      <c r="I27" s="380">
        <f t="shared" si="7"/>
        <v>-2674764.58</v>
      </c>
      <c r="J27" s="137">
        <v>1</v>
      </c>
      <c r="K27" s="380">
        <f t="shared" si="8"/>
        <v>-2674764.58</v>
      </c>
      <c r="L27" s="385"/>
      <c r="M27" s="347" t="s">
        <v>1198</v>
      </c>
      <c r="N27" s="380">
        <v>0</v>
      </c>
      <c r="O27" s="380">
        <v>0</v>
      </c>
      <c r="P27" s="380">
        <v>0</v>
      </c>
      <c r="Q27" s="380">
        <f t="shared" si="9"/>
        <v>0</v>
      </c>
      <c r="R27" s="380">
        <f>K27</f>
        <v>-2674764.58</v>
      </c>
      <c r="S27" s="380">
        <v>0</v>
      </c>
      <c r="T27" s="380">
        <f t="shared" si="10"/>
        <v>-2674764.58</v>
      </c>
      <c r="U27" s="380">
        <v>0</v>
      </c>
      <c r="V27" s="380">
        <v>0</v>
      </c>
      <c r="W27" s="455">
        <f t="shared" si="5"/>
        <v>-2674764.58</v>
      </c>
      <c r="Y27" s="366" t="b">
        <f t="shared" si="1"/>
        <v>1</v>
      </c>
    </row>
    <row r="28" spans="1:26" s="366" customFormat="1">
      <c r="A28" s="180">
        <v>13</v>
      </c>
      <c r="B28" s="347" t="str">
        <f>'II-E-4.1.1'!B25</f>
        <v>A563,A583</v>
      </c>
      <c r="C28" s="141"/>
      <c r="D28" s="346" t="str">
        <f>'II-E-4.1.1'!C25</f>
        <v>Power Line Safety Act PURA § 36066</v>
      </c>
      <c r="E28" s="380">
        <f>'II-E-4.1.1'!J25</f>
        <v>1502680.08</v>
      </c>
      <c r="F28" s="380">
        <v>0</v>
      </c>
      <c r="G28" s="380">
        <f t="shared" si="0"/>
        <v>1502680.08</v>
      </c>
      <c r="H28" s="433">
        <f>'II-E-4.1.1'!P25</f>
        <v>0</v>
      </c>
      <c r="I28" s="380">
        <f t="shared" si="7"/>
        <v>1502680.08</v>
      </c>
      <c r="J28" s="137">
        <v>1</v>
      </c>
      <c r="K28" s="380">
        <f t="shared" si="8"/>
        <v>1502680.08</v>
      </c>
      <c r="L28" s="385"/>
      <c r="M28" s="347" t="s">
        <v>1198</v>
      </c>
      <c r="N28" s="380">
        <v>1268797.8799999999</v>
      </c>
      <c r="O28" s="380">
        <v>111240.6</v>
      </c>
      <c r="P28" s="380">
        <v>0</v>
      </c>
      <c r="Q28" s="380">
        <f t="shared" si="9"/>
        <v>1380038.48</v>
      </c>
      <c r="R28" s="380">
        <v>122641.56000000006</v>
      </c>
      <c r="S28" s="380">
        <v>0</v>
      </c>
      <c r="T28" s="380">
        <f>K28-Q28</f>
        <v>122641.60000000009</v>
      </c>
      <c r="U28" s="380">
        <v>0</v>
      </c>
      <c r="V28" s="380">
        <v>0</v>
      </c>
      <c r="W28" s="455">
        <f t="shared" si="5"/>
        <v>1502680.08</v>
      </c>
      <c r="Y28" s="366" t="b">
        <f t="shared" si="1"/>
        <v>1</v>
      </c>
    </row>
    <row r="29" spans="1:26" s="366" customFormat="1">
      <c r="A29" s="141">
        <v>14</v>
      </c>
      <c r="B29" s="347" t="str">
        <f>'II-E-4.1.1'!B26</f>
        <v>A566,A588</v>
      </c>
      <c r="C29" s="141"/>
      <c r="D29" s="346" t="str">
        <f>'II-E-4.1.1'!C26</f>
        <v>COVID19-Incremental Expense</v>
      </c>
      <c r="E29" s="380">
        <f>'II-E-4.1.1'!J26</f>
        <v>6923725.3200000012</v>
      </c>
      <c r="F29" s="380">
        <v>0</v>
      </c>
      <c r="G29" s="380">
        <f t="shared" si="0"/>
        <v>6923725.3200000012</v>
      </c>
      <c r="H29" s="433">
        <f>'II-E-4.1.1'!P26</f>
        <v>0</v>
      </c>
      <c r="I29" s="380">
        <f t="shared" si="7"/>
        <v>6923725.3200000012</v>
      </c>
      <c r="J29" s="137">
        <v>1</v>
      </c>
      <c r="K29" s="380">
        <f t="shared" si="8"/>
        <v>6923725.3200000012</v>
      </c>
      <c r="L29" s="385"/>
      <c r="M29" s="347" t="s">
        <v>1198</v>
      </c>
      <c r="N29" s="380">
        <v>601322.56999999995</v>
      </c>
      <c r="O29" s="380">
        <v>0</v>
      </c>
      <c r="P29" s="380">
        <v>0</v>
      </c>
      <c r="Q29" s="380">
        <f t="shared" si="9"/>
        <v>601322.56999999995</v>
      </c>
      <c r="R29" s="380">
        <v>5750412.3300000001</v>
      </c>
      <c r="S29" s="380">
        <v>0</v>
      </c>
      <c r="T29" s="380">
        <f t="shared" si="10"/>
        <v>5750412.3300000001</v>
      </c>
      <c r="U29" s="380">
        <v>315840.78000000003</v>
      </c>
      <c r="V29" s="380">
        <f>K29-Q29-T29-U29</f>
        <v>256149.64000000083</v>
      </c>
      <c r="W29" s="455">
        <f t="shared" si="5"/>
        <v>6923725.3200000012</v>
      </c>
      <c r="Y29" s="366" t="b">
        <f t="shared" si="1"/>
        <v>1</v>
      </c>
    </row>
    <row r="30" spans="1:26" s="366" customFormat="1">
      <c r="A30" s="141">
        <v>15</v>
      </c>
      <c r="B30" s="347" t="str">
        <f>'II-E-4.1.1'!B27</f>
        <v>A904</v>
      </c>
      <c r="C30" s="141"/>
      <c r="D30" s="346" t="str">
        <f>'II-E-4.1.1'!C27</f>
        <v>Bad Debt Expenses (Defaulted REPs - 16 TAC § 25.107, bad debt expense (5))</v>
      </c>
      <c r="E30" s="380">
        <f>'II-E-4.1.1'!J27</f>
        <v>1671750.84</v>
      </c>
      <c r="F30" s="380">
        <v>0</v>
      </c>
      <c r="G30" s="380">
        <f t="shared" si="0"/>
        <v>1671750.84</v>
      </c>
      <c r="H30" s="433">
        <f>'II-E-4.1.1'!P27</f>
        <v>0</v>
      </c>
      <c r="I30" s="380">
        <f t="shared" si="7"/>
        <v>1671750.84</v>
      </c>
      <c r="J30" s="137">
        <v>1</v>
      </c>
      <c r="K30" s="380">
        <f t="shared" si="8"/>
        <v>1671750.84</v>
      </c>
      <c r="L30" s="385"/>
      <c r="M30" s="347" t="s">
        <v>1198</v>
      </c>
      <c r="N30" s="380">
        <v>0</v>
      </c>
      <c r="O30" s="380">
        <v>0</v>
      </c>
      <c r="P30" s="380">
        <v>0</v>
      </c>
      <c r="Q30" s="380">
        <f t="shared" si="9"/>
        <v>0</v>
      </c>
      <c r="R30" s="380">
        <v>0</v>
      </c>
      <c r="S30" s="380">
        <v>0</v>
      </c>
      <c r="T30" s="380">
        <f t="shared" si="10"/>
        <v>0</v>
      </c>
      <c r="U30" s="380">
        <v>0</v>
      </c>
      <c r="V30" s="380">
        <f>K30</f>
        <v>1671750.84</v>
      </c>
      <c r="W30" s="455">
        <f t="shared" si="5"/>
        <v>1671750.84</v>
      </c>
      <c r="Y30" s="366" t="b">
        <f t="shared" si="1"/>
        <v>1</v>
      </c>
    </row>
    <row r="31" spans="1:26" s="366" customFormat="1">
      <c r="A31" s="180">
        <v>16</v>
      </c>
      <c r="B31" s="347" t="str">
        <f>'II-E-4.1.1'!B28</f>
        <v>A924</v>
      </c>
      <c r="C31" s="141"/>
      <c r="D31" s="346" t="str">
        <f>'II-E-4.1.1'!C28</f>
        <v>Self-insurance reserve (1)</v>
      </c>
      <c r="E31" s="380">
        <f>'II-E-4.1.1'!J28</f>
        <v>118448241.83999999</v>
      </c>
      <c r="F31" s="380">
        <v>0</v>
      </c>
      <c r="G31" s="380">
        <f t="shared" si="0"/>
        <v>118448241.83999999</v>
      </c>
      <c r="H31" s="433">
        <f>'II-E-4.1.1'!P28</f>
        <v>0</v>
      </c>
      <c r="I31" s="380">
        <f t="shared" si="7"/>
        <v>118448241.83999999</v>
      </c>
      <c r="J31" s="137">
        <v>1</v>
      </c>
      <c r="K31" s="433">
        <f t="shared" si="8"/>
        <v>118448241.83999999</v>
      </c>
      <c r="L31" s="385"/>
      <c r="M31" s="347" t="s">
        <v>1198</v>
      </c>
      <c r="N31" s="433">
        <v>5603507.2818666678</v>
      </c>
      <c r="O31" s="433">
        <v>0</v>
      </c>
      <c r="P31" s="433">
        <v>0</v>
      </c>
      <c r="Q31" s="433">
        <f t="shared" si="9"/>
        <v>5603507.2818666678</v>
      </c>
      <c r="R31" s="433">
        <f>K31-Q31</f>
        <v>112844734.55813332</v>
      </c>
      <c r="S31" s="380">
        <v>0</v>
      </c>
      <c r="T31" s="380">
        <f t="shared" si="10"/>
        <v>112844734.55813332</v>
      </c>
      <c r="U31" s="380">
        <v>0</v>
      </c>
      <c r="V31" s="380">
        <v>0</v>
      </c>
      <c r="W31" s="455">
        <f t="shared" si="5"/>
        <v>118448241.83999999</v>
      </c>
      <c r="Y31" s="366" t="b">
        <f t="shared" si="1"/>
        <v>1</v>
      </c>
    </row>
    <row r="32" spans="1:26" s="366" customFormat="1">
      <c r="A32" s="141">
        <v>17</v>
      </c>
      <c r="B32" s="347" t="str">
        <f>'II-E-4.1.1'!B29</f>
        <v>A924</v>
      </c>
      <c r="C32" s="141"/>
      <c r="D32" s="346" t="str">
        <f>'II-E-4.1.1'!C29</f>
        <v>Self-insurance reserve - NTU (1)</v>
      </c>
      <c r="E32" s="380">
        <f>'II-E-4.1.1'!J29</f>
        <v>730702.92000000027</v>
      </c>
      <c r="F32" s="380">
        <v>0</v>
      </c>
      <c r="G32" s="380">
        <f t="shared" si="0"/>
        <v>730702.92000000027</v>
      </c>
      <c r="H32" s="433">
        <f>'II-E-4.1.1'!P29</f>
        <v>0</v>
      </c>
      <c r="I32" s="380">
        <f t="shared" si="7"/>
        <v>730702.92000000027</v>
      </c>
      <c r="J32" s="137">
        <v>1</v>
      </c>
      <c r="K32" s="433">
        <f t="shared" si="8"/>
        <v>730702.92000000027</v>
      </c>
      <c r="L32" s="385"/>
      <c r="M32" s="347" t="s">
        <v>1198</v>
      </c>
      <c r="N32" s="433"/>
      <c r="O32" s="433">
        <f>K32</f>
        <v>730702.92000000027</v>
      </c>
      <c r="P32" s="433">
        <v>0</v>
      </c>
      <c r="Q32" s="433">
        <f t="shared" si="9"/>
        <v>730702.92000000027</v>
      </c>
      <c r="R32" s="433">
        <v>0</v>
      </c>
      <c r="S32" s="380">
        <v>0</v>
      </c>
      <c r="T32" s="380">
        <f t="shared" si="10"/>
        <v>0</v>
      </c>
      <c r="U32" s="380">
        <v>0</v>
      </c>
      <c r="V32" s="380">
        <v>0</v>
      </c>
      <c r="W32" s="455">
        <f t="shared" si="5"/>
        <v>730702.92000000027</v>
      </c>
      <c r="Y32" s="366" t="b">
        <f t="shared" si="1"/>
        <v>1</v>
      </c>
    </row>
    <row r="33" spans="1:26" s="366" customFormat="1">
      <c r="A33" s="141">
        <v>18</v>
      </c>
      <c r="B33" s="347" t="str">
        <f>'II-E-4.1.1'!B30</f>
        <v>A925</v>
      </c>
      <c r="C33" s="141"/>
      <c r="D33" s="346" t="str">
        <f>'II-E-4.1.1'!C30</f>
        <v>Self-insurance reserve (1)</v>
      </c>
      <c r="E33" s="380">
        <f>'II-E-4.1.1'!J30</f>
        <v>-1469813.2799999998</v>
      </c>
      <c r="F33" s="380">
        <v>0</v>
      </c>
      <c r="G33" s="380">
        <f t="shared" si="0"/>
        <v>-1469813.2799999998</v>
      </c>
      <c r="H33" s="433">
        <f>'II-E-4.1.1'!P30</f>
        <v>0</v>
      </c>
      <c r="I33" s="380">
        <f t="shared" si="7"/>
        <v>-1469813.2799999998</v>
      </c>
      <c r="J33" s="137">
        <v>1</v>
      </c>
      <c r="K33" s="433">
        <f t="shared" si="8"/>
        <v>-1469813.2799999998</v>
      </c>
      <c r="L33" s="385"/>
      <c r="M33" s="347" t="s">
        <v>1198</v>
      </c>
      <c r="N33" s="433">
        <v>-1176709.1030666665</v>
      </c>
      <c r="O33" s="433">
        <v>0</v>
      </c>
      <c r="P33" s="433">
        <v>0</v>
      </c>
      <c r="Q33" s="433">
        <f t="shared" si="9"/>
        <v>-1176709.1030666665</v>
      </c>
      <c r="R33" s="433">
        <f>K33-Q33</f>
        <v>-293104.17693333328</v>
      </c>
      <c r="S33" s="380">
        <v>0</v>
      </c>
      <c r="T33" s="380">
        <f t="shared" si="10"/>
        <v>-293104.17693333328</v>
      </c>
      <c r="U33" s="380">
        <v>0</v>
      </c>
      <c r="V33" s="380">
        <v>0</v>
      </c>
      <c r="W33" s="455">
        <f t="shared" si="5"/>
        <v>-1469813.2799999998</v>
      </c>
      <c r="Y33" s="366" t="b">
        <f t="shared" si="1"/>
        <v>1</v>
      </c>
    </row>
    <row r="34" spans="1:26" s="366" customFormat="1">
      <c r="A34" s="180">
        <v>19</v>
      </c>
      <c r="B34" s="347" t="str">
        <f>'II-E-4.1.1'!B31</f>
        <v>A926</v>
      </c>
      <c r="C34" s="141"/>
      <c r="D34" s="346" t="str">
        <f>'II-E-4.1.1'!C31</f>
        <v>Pension regulatory asset (2)</v>
      </c>
      <c r="E34" s="380">
        <f>'II-E-4.1.1'!J31</f>
        <v>31107534.960000001</v>
      </c>
      <c r="F34" s="380">
        <v>0</v>
      </c>
      <c r="G34" s="380">
        <f t="shared" si="0"/>
        <v>31107534.960000001</v>
      </c>
      <c r="H34" s="433">
        <f>'II-E-4.1.1'!P31</f>
        <v>0</v>
      </c>
      <c r="I34" s="380">
        <f t="shared" si="7"/>
        <v>31107534.960000001</v>
      </c>
      <c r="J34" s="137">
        <v>1</v>
      </c>
      <c r="K34" s="380">
        <f t="shared" si="8"/>
        <v>31107534.960000001</v>
      </c>
      <c r="L34" s="385"/>
      <c r="M34" s="347" t="s">
        <v>1198</v>
      </c>
      <c r="N34" s="380">
        <v>6455484.2599999998</v>
      </c>
      <c r="O34" s="380">
        <v>0</v>
      </c>
      <c r="P34" s="380">
        <v>0</v>
      </c>
      <c r="Q34" s="380">
        <f t="shared" si="9"/>
        <v>6455484.2599999998</v>
      </c>
      <c r="R34" s="380">
        <v>18932424.699999999</v>
      </c>
      <c r="S34" s="380">
        <v>0</v>
      </c>
      <c r="T34" s="380">
        <f t="shared" si="10"/>
        <v>18932424.699999999</v>
      </c>
      <c r="U34" s="380">
        <v>4462838.7700000005</v>
      </c>
      <c r="V34" s="380">
        <f>K34-Q34-T34-U34</f>
        <v>1256787.2300000032</v>
      </c>
      <c r="W34" s="455">
        <f t="shared" si="5"/>
        <v>31107534.960000005</v>
      </c>
      <c r="Y34" s="366" t="b">
        <f t="shared" si="1"/>
        <v>1</v>
      </c>
    </row>
    <row r="35" spans="1:26" s="366" customFormat="1">
      <c r="A35" s="141">
        <v>20</v>
      </c>
      <c r="B35" s="347" t="str">
        <f>'II-E-4.1.1'!B32</f>
        <v>A926</v>
      </c>
      <c r="C35" s="141"/>
      <c r="D35" s="346" t="str">
        <f>'II-E-4.1.1'!C32</f>
        <v>OPEB regulatory liability (2)</v>
      </c>
      <c r="E35" s="380">
        <f>'II-E-4.1.1'!J32</f>
        <v>-4094646.72</v>
      </c>
      <c r="F35" s="380">
        <v>0</v>
      </c>
      <c r="G35" s="380">
        <f t="shared" si="0"/>
        <v>-4094646.72</v>
      </c>
      <c r="H35" s="433">
        <f>'II-E-4.1.1'!P32</f>
        <v>0</v>
      </c>
      <c r="I35" s="380">
        <f t="shared" si="7"/>
        <v>-4094646.72</v>
      </c>
      <c r="J35" s="137">
        <v>1</v>
      </c>
      <c r="K35" s="380">
        <f t="shared" si="8"/>
        <v>-4094646.72</v>
      </c>
      <c r="L35" s="385"/>
      <c r="M35" s="347" t="s">
        <v>1198</v>
      </c>
      <c r="N35" s="380">
        <v>-944553.78999999992</v>
      </c>
      <c r="O35" s="380">
        <v>0</v>
      </c>
      <c r="P35" s="380">
        <v>0</v>
      </c>
      <c r="Q35" s="380">
        <f t="shared" si="9"/>
        <v>-944553.78999999992</v>
      </c>
      <c r="R35" s="380">
        <v>-2483730.9</v>
      </c>
      <c r="S35" s="380">
        <v>0</v>
      </c>
      <c r="T35" s="380">
        <f t="shared" si="10"/>
        <v>-2483730.9</v>
      </c>
      <c r="U35" s="380">
        <v>-753224.93</v>
      </c>
      <c r="V35" s="380">
        <f>K35-Q35-T35-U35</f>
        <v>86862.89999999979</v>
      </c>
      <c r="W35" s="455">
        <f t="shared" si="5"/>
        <v>-4094646.72</v>
      </c>
      <c r="Y35" s="366" t="b">
        <f t="shared" si="1"/>
        <v>1</v>
      </c>
    </row>
    <row r="36" spans="1:26">
      <c r="A36" s="141">
        <v>21</v>
      </c>
      <c r="B36" s="347" t="str">
        <f>'II-E-4.1.1'!B33</f>
        <v>A928</v>
      </c>
      <c r="C36" s="141"/>
      <c r="D36" s="346" t="str">
        <f>'II-E-4.1.1'!C33</f>
        <v>Acquisition Regulatory Asset (Study Costs/Transition to Comp - NTU)</v>
      </c>
      <c r="E36" s="380">
        <f>'II-E-4.1.1'!J33</f>
        <v>520569.48</v>
      </c>
      <c r="F36" s="380">
        <v>0</v>
      </c>
      <c r="G36" s="380">
        <f t="shared" si="0"/>
        <v>520569.48</v>
      </c>
      <c r="H36" s="433">
        <f>'II-E-4.1.1'!P33</f>
        <v>0</v>
      </c>
      <c r="I36" s="380">
        <f t="shared" si="7"/>
        <v>520569.48</v>
      </c>
      <c r="J36" s="137">
        <v>1</v>
      </c>
      <c r="K36" s="380">
        <f t="shared" si="8"/>
        <v>520569.48</v>
      </c>
      <c r="L36" s="385"/>
      <c r="M36" s="347" t="s">
        <v>1198</v>
      </c>
      <c r="N36" s="380">
        <v>0</v>
      </c>
      <c r="O36" s="433">
        <v>209845.6</v>
      </c>
      <c r="P36" s="433">
        <v>0</v>
      </c>
      <c r="Q36" s="433">
        <f t="shared" si="9"/>
        <v>209845.6</v>
      </c>
      <c r="R36" s="433">
        <v>0</v>
      </c>
      <c r="S36" s="433">
        <f>K36-O36</f>
        <v>310723.88</v>
      </c>
      <c r="T36" s="380">
        <f t="shared" si="10"/>
        <v>310723.88</v>
      </c>
      <c r="U36" s="380">
        <v>0</v>
      </c>
      <c r="V36" s="380">
        <v>0</v>
      </c>
      <c r="W36" s="455">
        <f t="shared" si="5"/>
        <v>520569.48</v>
      </c>
      <c r="Y36" s="366" t="b">
        <f t="shared" si="1"/>
        <v>1</v>
      </c>
    </row>
    <row r="37" spans="1:26">
      <c r="A37" s="180">
        <v>22</v>
      </c>
      <c r="B37" s="347" t="str">
        <f>'II-E-4.1.1'!B34</f>
        <v>A928</v>
      </c>
      <c r="C37" s="141"/>
      <c r="D37" s="346" t="str">
        <f>'II-E-4.1.1'!C34</f>
        <v>Sharyland Residential Interim Rates</v>
      </c>
      <c r="E37" s="380">
        <f>'II-E-4.1.1'!J34</f>
        <v>125472.59800000001</v>
      </c>
      <c r="F37" s="380">
        <v>0</v>
      </c>
      <c r="G37" s="380">
        <f t="shared" si="0"/>
        <v>125472.59800000001</v>
      </c>
      <c r="H37" s="433">
        <f>'II-E-4.1.1'!P34</f>
        <v>0</v>
      </c>
      <c r="I37" s="380">
        <f t="shared" si="7"/>
        <v>125472.59800000001</v>
      </c>
      <c r="J37" s="137">
        <v>1</v>
      </c>
      <c r="K37" s="380">
        <f t="shared" si="8"/>
        <v>125472.59800000001</v>
      </c>
      <c r="L37" s="385"/>
      <c r="M37" s="347" t="s">
        <v>1198</v>
      </c>
      <c r="N37" s="380">
        <v>0</v>
      </c>
      <c r="O37" s="380">
        <v>0</v>
      </c>
      <c r="P37" s="380">
        <v>0</v>
      </c>
      <c r="Q37" s="380">
        <f t="shared" si="9"/>
        <v>0</v>
      </c>
      <c r="R37" s="380">
        <f>K37</f>
        <v>125472.59800000001</v>
      </c>
      <c r="S37" s="380">
        <v>0</v>
      </c>
      <c r="T37" s="380">
        <f t="shared" si="10"/>
        <v>125472.59800000001</v>
      </c>
      <c r="U37" s="380">
        <v>0</v>
      </c>
      <c r="V37" s="380">
        <v>0</v>
      </c>
      <c r="W37" s="455">
        <f t="shared" si="5"/>
        <v>125472.59800000001</v>
      </c>
      <c r="Y37" s="366" t="b">
        <f t="shared" si="1"/>
        <v>1</v>
      </c>
    </row>
    <row r="38" spans="1:26">
      <c r="A38" s="141">
        <v>23</v>
      </c>
      <c r="B38" s="347" t="str">
        <f>'II-E-4.1.1'!B35</f>
        <v>A928</v>
      </c>
      <c r="C38" s="141"/>
      <c r="D38" s="346" t="str">
        <f>'II-E-4.1.1'!C35</f>
        <v>Rider CSR - Capital structure refund - over-refund</v>
      </c>
      <c r="E38" s="380">
        <f>'II-E-4.1.1'!J35</f>
        <v>16329</v>
      </c>
      <c r="F38" s="380">
        <v>0</v>
      </c>
      <c r="G38" s="380">
        <f t="shared" si="0"/>
        <v>16329</v>
      </c>
      <c r="H38" s="433">
        <f>'II-E-4.1.1'!P35</f>
        <v>0</v>
      </c>
      <c r="I38" s="380">
        <f t="shared" si="7"/>
        <v>16329</v>
      </c>
      <c r="J38" s="137">
        <v>1</v>
      </c>
      <c r="K38" s="380">
        <f t="shared" si="8"/>
        <v>16329</v>
      </c>
      <c r="L38" s="385"/>
      <c r="M38" s="347" t="s">
        <v>1198</v>
      </c>
      <c r="N38" s="380">
        <v>0</v>
      </c>
      <c r="O38" s="380">
        <v>0</v>
      </c>
      <c r="P38" s="380">
        <v>0</v>
      </c>
      <c r="Q38" s="380">
        <f t="shared" si="9"/>
        <v>0</v>
      </c>
      <c r="R38" s="380">
        <f>K38</f>
        <v>16329</v>
      </c>
      <c r="S38" s="380">
        <v>0</v>
      </c>
      <c r="T38" s="380">
        <f t="shared" si="10"/>
        <v>16329</v>
      </c>
      <c r="U38" s="380">
        <v>0</v>
      </c>
      <c r="V38" s="380">
        <v>0</v>
      </c>
      <c r="W38" s="455">
        <f t="shared" si="5"/>
        <v>16329</v>
      </c>
      <c r="Y38" s="366" t="b">
        <f t="shared" si="1"/>
        <v>1</v>
      </c>
    </row>
    <row r="39" spans="1:26">
      <c r="A39" s="141">
        <v>24</v>
      </c>
      <c r="B39" s="347" t="str">
        <f>'II-E-4.1.1'!B36</f>
        <v>A928</v>
      </c>
      <c r="C39" s="141"/>
      <c r="D39" s="346" t="str">
        <f>'II-E-4.1.1'!C36</f>
        <v>Rider TRF - FIT rate refund - over-refund</v>
      </c>
      <c r="E39" s="380">
        <f>'II-E-4.1.1'!J36</f>
        <v>473661</v>
      </c>
      <c r="F39" s="380">
        <v>0</v>
      </c>
      <c r="G39" s="380">
        <f t="shared" si="0"/>
        <v>473661</v>
      </c>
      <c r="H39" s="433">
        <f>'II-E-4.1.1'!P36</f>
        <v>0</v>
      </c>
      <c r="I39" s="380">
        <f t="shared" si="7"/>
        <v>473661</v>
      </c>
      <c r="J39" s="137">
        <v>1</v>
      </c>
      <c r="K39" s="380">
        <f t="shared" si="8"/>
        <v>473661</v>
      </c>
      <c r="L39" s="385"/>
      <c r="M39" s="347" t="s">
        <v>1198</v>
      </c>
      <c r="N39" s="380">
        <v>0</v>
      </c>
      <c r="O39" s="380">
        <v>0</v>
      </c>
      <c r="P39" s="380">
        <v>0</v>
      </c>
      <c r="Q39" s="380">
        <f t="shared" si="9"/>
        <v>0</v>
      </c>
      <c r="R39" s="380">
        <f>K39</f>
        <v>473661</v>
      </c>
      <c r="S39" s="380">
        <v>0</v>
      </c>
      <c r="T39" s="380">
        <f t="shared" si="10"/>
        <v>473661</v>
      </c>
      <c r="U39" s="380">
        <v>0</v>
      </c>
      <c r="V39" s="380">
        <v>0</v>
      </c>
      <c r="W39" s="455">
        <f t="shared" si="5"/>
        <v>473661</v>
      </c>
      <c r="Y39" s="366" t="b">
        <f t="shared" si="1"/>
        <v>1</v>
      </c>
      <c r="Z39" s="431">
        <f t="shared" ref="Z39:Z69" si="11">+K39-W39</f>
        <v>0</v>
      </c>
    </row>
    <row r="40" spans="1:26" ht="13.5" thickBot="1">
      <c r="A40" s="180">
        <v>25</v>
      </c>
      <c r="B40" s="347"/>
      <c r="C40" s="141"/>
      <c r="D40" s="728" t="str">
        <f>'II-E-4.1.1'!C37</f>
        <v>Total Five-Year Amortizations Approved in Docket No. 53601</v>
      </c>
      <c r="E40" s="437">
        <f>SUM(E22:E39)</f>
        <v>194065971.12799996</v>
      </c>
      <c r="F40" s="437">
        <f t="shared" ref="F40:K40" si="12">SUM(F22:F39)</f>
        <v>0</v>
      </c>
      <c r="G40" s="437">
        <f t="shared" si="12"/>
        <v>194065971.12799996</v>
      </c>
      <c r="H40" s="648">
        <f t="shared" si="12"/>
        <v>0</v>
      </c>
      <c r="I40" s="437">
        <f t="shared" si="12"/>
        <v>194065971.12799996</v>
      </c>
      <c r="J40" s="385"/>
      <c r="K40" s="437">
        <f t="shared" si="12"/>
        <v>194065971.12799996</v>
      </c>
      <c r="L40" s="385"/>
      <c r="M40" s="385"/>
      <c r="N40" s="437">
        <f t="shared" ref="N40:W40" si="13">SUM(N22:N39)</f>
        <v>12079004.618800001</v>
      </c>
      <c r="O40" s="437">
        <f t="shared" si="13"/>
        <v>1051789.1200000003</v>
      </c>
      <c r="P40" s="437">
        <f t="shared" si="13"/>
        <v>0</v>
      </c>
      <c r="Q40" s="437">
        <f t="shared" si="13"/>
        <v>13130793.738800002</v>
      </c>
      <c r="R40" s="437">
        <f t="shared" si="13"/>
        <v>147867489.95919997</v>
      </c>
      <c r="S40" s="437">
        <f t="shared" si="13"/>
        <v>310723.88</v>
      </c>
      <c r="T40" s="437">
        <f t="shared" si="13"/>
        <v>148178213.87919995</v>
      </c>
      <c r="U40" s="437">
        <f t="shared" si="13"/>
        <v>29485412.900000002</v>
      </c>
      <c r="V40" s="437">
        <f t="shared" si="13"/>
        <v>3271550.6100000041</v>
      </c>
      <c r="W40" s="437">
        <f t="shared" si="13"/>
        <v>194065971.12799996</v>
      </c>
      <c r="Y40" s="366" t="b">
        <f t="shared" si="1"/>
        <v>1</v>
      </c>
      <c r="Z40" s="431">
        <f t="shared" si="11"/>
        <v>0</v>
      </c>
    </row>
    <row r="41" spans="1:26" ht="13.5" thickTop="1">
      <c r="A41" s="141">
        <v>26</v>
      </c>
      <c r="B41" s="347"/>
      <c r="C41" s="141"/>
      <c r="D41" s="346"/>
      <c r="E41" s="641"/>
      <c r="F41" s="641"/>
      <c r="G41" s="641"/>
      <c r="H41" s="448"/>
      <c r="I41" s="641"/>
      <c r="J41" s="385"/>
      <c r="K41" s="641"/>
      <c r="L41" s="385"/>
      <c r="M41" s="385"/>
      <c r="N41" s="380"/>
      <c r="O41" s="380"/>
      <c r="P41" s="380"/>
      <c r="Q41" s="380"/>
      <c r="R41" s="380"/>
      <c r="S41" s="380"/>
      <c r="T41" s="380"/>
      <c r="U41" s="380"/>
      <c r="V41" s="380"/>
      <c r="W41" s="455"/>
      <c r="Y41" s="366" t="b">
        <f t="shared" si="1"/>
        <v>1</v>
      </c>
      <c r="Z41" s="431">
        <f t="shared" si="11"/>
        <v>0</v>
      </c>
    </row>
    <row r="42" spans="1:26" s="179" customFormat="1">
      <c r="A42" s="141">
        <v>27</v>
      </c>
      <c r="B42" s="347"/>
      <c r="C42" s="141"/>
      <c r="D42" s="346"/>
      <c r="E42" s="641"/>
      <c r="F42" s="641"/>
      <c r="G42" s="641"/>
      <c r="H42" s="448"/>
      <c r="I42" s="641"/>
      <c r="J42" s="385"/>
      <c r="K42" s="641"/>
      <c r="L42" s="385"/>
      <c r="M42" s="385"/>
      <c r="N42" s="380"/>
      <c r="O42" s="380"/>
      <c r="P42" s="380"/>
      <c r="Q42" s="380"/>
      <c r="R42" s="380"/>
      <c r="S42" s="380"/>
      <c r="T42" s="380"/>
      <c r="U42" s="380"/>
      <c r="V42" s="380"/>
      <c r="W42" s="455"/>
      <c r="Y42" s="366" t="b">
        <f t="shared" si="1"/>
        <v>1</v>
      </c>
      <c r="Z42" s="435">
        <f t="shared" si="11"/>
        <v>0</v>
      </c>
    </row>
    <row r="43" spans="1:26" s="179" customFormat="1">
      <c r="A43" s="180">
        <v>28</v>
      </c>
      <c r="B43" s="366"/>
      <c r="C43" s="366"/>
      <c r="D43" s="348" t="s">
        <v>1305</v>
      </c>
      <c r="E43" s="641"/>
      <c r="F43" s="641"/>
      <c r="G43" s="641"/>
      <c r="H43" s="448"/>
      <c r="I43" s="641"/>
      <c r="J43" s="385"/>
      <c r="K43" s="641"/>
      <c r="L43" s="385"/>
      <c r="M43" s="385"/>
      <c r="N43" s="641"/>
      <c r="O43" s="641"/>
      <c r="P43" s="641"/>
      <c r="Q43" s="641"/>
      <c r="R43" s="641"/>
      <c r="S43" s="641"/>
      <c r="T43" s="641"/>
      <c r="U43" s="641"/>
      <c r="V43" s="641"/>
      <c r="W43" s="641"/>
      <c r="Y43" s="366" t="b">
        <f t="shared" si="1"/>
        <v>1</v>
      </c>
      <c r="Z43" s="435">
        <f t="shared" si="11"/>
        <v>0</v>
      </c>
    </row>
    <row r="44" spans="1:26" s="179" customFormat="1">
      <c r="A44" s="141">
        <v>29</v>
      </c>
      <c r="B44" s="347" t="str">
        <f>'II-E-4.1.1'!B41</f>
        <v>A589</v>
      </c>
      <c r="C44" s="366"/>
      <c r="D44" s="366" t="str">
        <f>'II-E-4.1.1'!C41</f>
        <v>HB 2483 Mobile generator capital leases (TEEEF PURA Sec. 39.918)</v>
      </c>
      <c r="E44" s="378">
        <f>'II-E-4.1.1'!J41</f>
        <v>704087.09999999986</v>
      </c>
      <c r="F44" s="378">
        <v>0</v>
      </c>
      <c r="G44" s="378">
        <f t="shared" ref="G44" si="14">+E44+F44</f>
        <v>704087.09999999986</v>
      </c>
      <c r="H44" s="649">
        <f>'II-E-4.1.1'!P41</f>
        <v>-704087.09999999986</v>
      </c>
      <c r="I44" s="378">
        <f>+G44+H44</f>
        <v>0</v>
      </c>
      <c r="J44" s="137">
        <v>1</v>
      </c>
      <c r="K44" s="378">
        <f>+I44*J44</f>
        <v>0</v>
      </c>
      <c r="L44" s="366"/>
      <c r="M44" s="141" t="s">
        <v>358</v>
      </c>
      <c r="N44" s="378">
        <v>0</v>
      </c>
      <c r="O44" s="378">
        <v>0</v>
      </c>
      <c r="P44" s="378">
        <v>0</v>
      </c>
      <c r="Q44" s="378">
        <f>SUM(N44:P44)</f>
        <v>0</v>
      </c>
      <c r="R44" s="649">
        <f>+K44</f>
        <v>0</v>
      </c>
      <c r="S44" s="378">
        <v>0</v>
      </c>
      <c r="T44" s="378">
        <f>SUM(R44:S44)</f>
        <v>0</v>
      </c>
      <c r="U44" s="378">
        <v>0</v>
      </c>
      <c r="V44" s="378">
        <v>0</v>
      </c>
      <c r="W44" s="454">
        <f>+Q44+T44+U44+V44</f>
        <v>0</v>
      </c>
      <c r="Y44" s="366" t="b">
        <f t="shared" si="1"/>
        <v>1</v>
      </c>
      <c r="Z44" s="435">
        <f t="shared" si="11"/>
        <v>0</v>
      </c>
    </row>
    <row r="45" spans="1:26" s="179" customFormat="1" ht="13.5" thickBot="1">
      <c r="A45" s="141">
        <v>30</v>
      </c>
      <c r="B45" s="366"/>
      <c r="C45" s="366"/>
      <c r="D45" s="728" t="s">
        <v>1306</v>
      </c>
      <c r="E45" s="437">
        <f>SUM(E44:E44)</f>
        <v>704087.09999999986</v>
      </c>
      <c r="F45" s="437">
        <f>SUM(F44:F44)</f>
        <v>0</v>
      </c>
      <c r="G45" s="437">
        <f>SUM(G44:G44)</f>
        <v>704087.09999999986</v>
      </c>
      <c r="H45" s="648">
        <f>SUM(H44:H44)</f>
        <v>-704087.09999999986</v>
      </c>
      <c r="I45" s="437">
        <f>SUM(I44:I44)</f>
        <v>0</v>
      </c>
      <c r="J45" s="385"/>
      <c r="K45" s="437">
        <f>SUM(K44:K44)</f>
        <v>0</v>
      </c>
      <c r="L45" s="385"/>
      <c r="M45" s="385"/>
      <c r="N45" s="437">
        <f t="shared" ref="N45:W45" si="15">SUM(N44:N44)</f>
        <v>0</v>
      </c>
      <c r="O45" s="437">
        <f t="shared" si="15"/>
        <v>0</v>
      </c>
      <c r="P45" s="437">
        <f t="shared" si="15"/>
        <v>0</v>
      </c>
      <c r="Q45" s="437">
        <f t="shared" si="15"/>
        <v>0</v>
      </c>
      <c r="R45" s="437">
        <f t="shared" si="15"/>
        <v>0</v>
      </c>
      <c r="S45" s="437">
        <f t="shared" si="15"/>
        <v>0</v>
      </c>
      <c r="T45" s="437">
        <f t="shared" si="15"/>
        <v>0</v>
      </c>
      <c r="U45" s="437">
        <f t="shared" si="15"/>
        <v>0</v>
      </c>
      <c r="V45" s="437">
        <f t="shared" si="15"/>
        <v>0</v>
      </c>
      <c r="W45" s="437">
        <f t="shared" si="15"/>
        <v>0</v>
      </c>
      <c r="Y45" s="366" t="b">
        <f t="shared" si="1"/>
        <v>1</v>
      </c>
      <c r="Z45" s="435">
        <f t="shared" si="11"/>
        <v>0</v>
      </c>
    </row>
    <row r="46" spans="1:26" s="179" customFormat="1" ht="13.5" thickTop="1">
      <c r="A46" s="180">
        <v>31</v>
      </c>
      <c r="B46" s="366"/>
      <c r="C46" s="366"/>
      <c r="D46" s="366"/>
      <c r="E46" s="641"/>
      <c r="F46" s="641"/>
      <c r="G46" s="641"/>
      <c r="H46" s="448"/>
      <c r="I46" s="641"/>
      <c r="J46" s="385"/>
      <c r="K46" s="641"/>
      <c r="L46" s="385"/>
      <c r="M46" s="385"/>
      <c r="N46" s="641"/>
      <c r="O46" s="641"/>
      <c r="P46" s="641"/>
      <c r="Q46" s="641"/>
      <c r="R46" s="641"/>
      <c r="S46" s="641"/>
      <c r="T46" s="641"/>
      <c r="U46" s="641"/>
      <c r="V46" s="641"/>
      <c r="W46" s="641"/>
      <c r="Y46" s="366" t="b">
        <f t="shared" si="1"/>
        <v>1</v>
      </c>
      <c r="Z46" s="435">
        <f t="shared" si="11"/>
        <v>0</v>
      </c>
    </row>
    <row r="47" spans="1:26" s="179" customFormat="1">
      <c r="A47" s="141">
        <v>32</v>
      </c>
      <c r="B47" s="366"/>
      <c r="C47" s="366"/>
      <c r="D47" s="366"/>
      <c r="E47" s="641"/>
      <c r="F47" s="641"/>
      <c r="G47" s="641"/>
      <c r="H47" s="448"/>
      <c r="I47" s="641"/>
      <c r="J47" s="385"/>
      <c r="K47" s="641"/>
      <c r="L47" s="385"/>
      <c r="M47" s="385"/>
      <c r="N47" s="641"/>
      <c r="O47" s="641"/>
      <c r="P47" s="641"/>
      <c r="Q47" s="641"/>
      <c r="R47" s="641"/>
      <c r="S47" s="641"/>
      <c r="T47" s="641"/>
      <c r="U47" s="641"/>
      <c r="V47" s="641"/>
      <c r="W47" s="641"/>
      <c r="Y47" s="366" t="b">
        <f t="shared" si="1"/>
        <v>1</v>
      </c>
      <c r="Z47" s="435">
        <f t="shared" si="11"/>
        <v>0</v>
      </c>
    </row>
    <row r="48" spans="1:26" s="179" customFormat="1">
      <c r="A48" s="141">
        <v>33</v>
      </c>
      <c r="B48" s="189"/>
      <c r="C48" s="366"/>
      <c r="D48" s="348" t="str">
        <f>'II-E-4.1.1'!C46</f>
        <v>Five-Year Amortizations of Regulatory Assets &amp; Liabilities to be Reviewed in this Case:</v>
      </c>
      <c r="E48" s="92"/>
      <c r="F48" s="92"/>
      <c r="G48" s="92"/>
      <c r="H48" s="92"/>
      <c r="I48" s="92"/>
      <c r="J48" s="92"/>
      <c r="K48" s="92"/>
      <c r="L48" s="92"/>
      <c r="M48" s="92"/>
      <c r="N48" s="92"/>
      <c r="O48" s="92"/>
      <c r="P48" s="92"/>
      <c r="Q48" s="92"/>
      <c r="R48" s="92"/>
      <c r="S48" s="92"/>
      <c r="T48" s="92"/>
      <c r="U48" s="92"/>
      <c r="V48" s="92"/>
      <c r="W48" s="366"/>
      <c r="Y48" s="366" t="b">
        <f t="shared" si="1"/>
        <v>1</v>
      </c>
      <c r="Z48" s="435">
        <f t="shared" si="11"/>
        <v>0</v>
      </c>
    </row>
    <row r="49" spans="1:26" s="179" customFormat="1">
      <c r="A49" s="180">
        <v>34</v>
      </c>
      <c r="B49" s="347" t="s">
        <v>853</v>
      </c>
      <c r="C49" s="366"/>
      <c r="D49" s="366" t="str">
        <f>'II-E-4.1.1'!C47</f>
        <v>SRP Regulatory Asset - SRP Operating Expenses</v>
      </c>
      <c r="E49" s="128">
        <f>'II-E-4.1.1'!J47</f>
        <v>0</v>
      </c>
      <c r="F49" s="128">
        <v>0</v>
      </c>
      <c r="G49" s="128">
        <f t="shared" ref="G49:G76" si="16">+E49+F49</f>
        <v>0</v>
      </c>
      <c r="H49" s="128">
        <f>'II-E-4.1.1'!P47</f>
        <v>987442</v>
      </c>
      <c r="I49" s="676">
        <f t="shared" ref="I49:I76" si="17">+G49+H49</f>
        <v>987442</v>
      </c>
      <c r="J49" s="137">
        <v>1</v>
      </c>
      <c r="K49" s="676">
        <f t="shared" ref="K49:K76" si="18">+I49*J49</f>
        <v>987442</v>
      </c>
      <c r="L49" s="92"/>
      <c r="M49" s="141" t="s">
        <v>358</v>
      </c>
      <c r="N49" s="385">
        <v>0</v>
      </c>
      <c r="O49" s="385">
        <v>0</v>
      </c>
      <c r="P49" s="385">
        <v>0</v>
      </c>
      <c r="Q49" s="385">
        <f>SUM(N49:P49)</f>
        <v>0</v>
      </c>
      <c r="R49" s="385">
        <f>+K49-Q49</f>
        <v>987442</v>
      </c>
      <c r="S49" s="385">
        <v>0</v>
      </c>
      <c r="T49" s="385">
        <f t="shared" ref="T49" si="19">SUM(R49:S49)</f>
        <v>987442</v>
      </c>
      <c r="U49" s="385">
        <v>0</v>
      </c>
      <c r="V49" s="385">
        <v>0</v>
      </c>
      <c r="W49" s="454">
        <f t="shared" ref="W49:W76" si="20">+Q49+T49+U49+V49</f>
        <v>987442</v>
      </c>
      <c r="Y49" s="366" t="b">
        <f t="shared" si="1"/>
        <v>1</v>
      </c>
      <c r="Z49" s="435">
        <f t="shared" si="11"/>
        <v>0</v>
      </c>
    </row>
    <row r="50" spans="1:26" s="179" customFormat="1">
      <c r="A50" s="141">
        <v>35</v>
      </c>
      <c r="B50" s="347" t="s">
        <v>853</v>
      </c>
      <c r="C50" s="366"/>
      <c r="D50" s="366" t="str">
        <f>'II-E-4.1.1'!C48</f>
        <v>SRP Regulatory Asset - SRP Vegetation Management Operating Expenses</v>
      </c>
      <c r="E50" s="99">
        <f>'II-E-4.1.1'!J48</f>
        <v>0</v>
      </c>
      <c r="F50" s="99">
        <v>0</v>
      </c>
      <c r="G50" s="99">
        <f t="shared" si="16"/>
        <v>0</v>
      </c>
      <c r="H50" s="99">
        <f>'II-E-4.1.1'!P48</f>
        <v>1454438.96</v>
      </c>
      <c r="I50" s="102">
        <f t="shared" si="17"/>
        <v>1454438.96</v>
      </c>
      <c r="J50" s="137">
        <v>1</v>
      </c>
      <c r="K50" s="99">
        <f t="shared" si="18"/>
        <v>1454438.96</v>
      </c>
      <c r="L50" s="92"/>
      <c r="M50" s="141" t="s">
        <v>358</v>
      </c>
      <c r="N50" s="99">
        <v>0</v>
      </c>
      <c r="O50" s="99">
        <v>0</v>
      </c>
      <c r="P50" s="99">
        <v>0</v>
      </c>
      <c r="Q50" s="99">
        <f>SUM(N50:P50)</f>
        <v>0</v>
      </c>
      <c r="R50" s="99">
        <f>+K50-Q50</f>
        <v>1454438.96</v>
      </c>
      <c r="S50" s="99">
        <v>0</v>
      </c>
      <c r="T50" s="99">
        <f t="shared" ref="T50:T76" si="21">SUM(R50:S50)</f>
        <v>1454438.96</v>
      </c>
      <c r="U50" s="99">
        <v>0</v>
      </c>
      <c r="V50" s="99">
        <v>0</v>
      </c>
      <c r="W50" s="458">
        <f t="shared" si="20"/>
        <v>1454438.96</v>
      </c>
      <c r="Y50" s="366" t="b">
        <f t="shared" si="1"/>
        <v>1</v>
      </c>
      <c r="Z50" s="435">
        <f t="shared" si="11"/>
        <v>0</v>
      </c>
    </row>
    <row r="51" spans="1:26" s="366" customFormat="1">
      <c r="A51" s="141">
        <v>36</v>
      </c>
      <c r="B51" s="347" t="s">
        <v>853</v>
      </c>
      <c r="D51" s="366" t="str">
        <f>'II-E-4.1.1'!C49</f>
        <v>Wholesale Distribution Substation Service</v>
      </c>
      <c r="E51" s="99">
        <f>'II-E-4.1.1'!J49</f>
        <v>0</v>
      </c>
      <c r="F51" s="99">
        <v>0</v>
      </c>
      <c r="G51" s="99">
        <f t="shared" si="16"/>
        <v>0</v>
      </c>
      <c r="H51" s="99">
        <f>'II-E-4.1.1'!P49</f>
        <v>5588147.0899999999</v>
      </c>
      <c r="I51" s="102">
        <f t="shared" si="17"/>
        <v>5588147.0899999999</v>
      </c>
      <c r="J51" s="137">
        <v>1</v>
      </c>
      <c r="K51" s="99">
        <f t="shared" si="18"/>
        <v>5588147.0899999999</v>
      </c>
      <c r="M51" s="141" t="s">
        <v>358</v>
      </c>
      <c r="N51" s="102">
        <v>0</v>
      </c>
      <c r="O51" s="102">
        <v>0</v>
      </c>
      <c r="P51" s="102">
        <v>0</v>
      </c>
      <c r="Q51" s="102">
        <f t="shared" ref="Q51:Q76" si="22">SUM(N51:P51)</f>
        <v>0</v>
      </c>
      <c r="R51" s="102">
        <f>+K51</f>
        <v>5588147.0899999999</v>
      </c>
      <c r="S51" s="102">
        <v>0</v>
      </c>
      <c r="T51" s="102">
        <f t="shared" si="21"/>
        <v>5588147.0899999999</v>
      </c>
      <c r="U51" s="102">
        <v>0</v>
      </c>
      <c r="V51" s="102">
        <v>0</v>
      </c>
      <c r="W51" s="740">
        <f t="shared" si="20"/>
        <v>5588147.0899999999</v>
      </c>
      <c r="Y51" s="366" t="b">
        <f t="shared" si="1"/>
        <v>1</v>
      </c>
      <c r="Z51" s="431">
        <f t="shared" si="11"/>
        <v>0</v>
      </c>
    </row>
    <row r="52" spans="1:26" s="366" customFormat="1">
      <c r="A52" s="180">
        <v>37</v>
      </c>
      <c r="B52" s="347" t="s">
        <v>853</v>
      </c>
      <c r="D52" s="366" t="str">
        <f>'II-E-4.1.1'!C50</f>
        <v>Over-collection - Intangible Asset Over-Amortization (TRAN)</v>
      </c>
      <c r="E52" s="99">
        <f>'II-E-4.1.1'!J50</f>
        <v>0</v>
      </c>
      <c r="F52" s="99">
        <v>0</v>
      </c>
      <c r="G52" s="99">
        <f t="shared" si="16"/>
        <v>0</v>
      </c>
      <c r="H52" s="99">
        <f>'II-E-4.1.1'!P50</f>
        <v>-10507.84</v>
      </c>
      <c r="I52" s="102">
        <f t="shared" si="17"/>
        <v>-10507.84</v>
      </c>
      <c r="J52" s="137">
        <v>1</v>
      </c>
      <c r="K52" s="99">
        <f t="shared" si="18"/>
        <v>-10507.84</v>
      </c>
      <c r="M52" s="141" t="s">
        <v>358</v>
      </c>
      <c r="N52" s="99">
        <f>K52</f>
        <v>-10507.84</v>
      </c>
      <c r="O52" s="99">
        <v>0</v>
      </c>
      <c r="P52" s="99">
        <v>0</v>
      </c>
      <c r="Q52" s="99">
        <f t="shared" si="22"/>
        <v>-10507.84</v>
      </c>
      <c r="R52" s="99">
        <v>0</v>
      </c>
      <c r="S52" s="99">
        <v>0</v>
      </c>
      <c r="T52" s="99">
        <f t="shared" si="21"/>
        <v>0</v>
      </c>
      <c r="U52" s="99">
        <v>0</v>
      </c>
      <c r="V52" s="99">
        <v>0</v>
      </c>
      <c r="W52" s="458">
        <f t="shared" si="20"/>
        <v>-10507.84</v>
      </c>
      <c r="Y52" s="366" t="b">
        <f t="shared" si="1"/>
        <v>1</v>
      </c>
      <c r="Z52" s="431">
        <f t="shared" si="11"/>
        <v>0</v>
      </c>
    </row>
    <row r="53" spans="1:26" s="179" customFormat="1">
      <c r="A53" s="141">
        <v>38</v>
      </c>
      <c r="B53" s="347" t="s">
        <v>853</v>
      </c>
      <c r="C53" s="366"/>
      <c r="D53" s="366" t="str">
        <f>'II-E-4.1.1'!C51</f>
        <v>Over-collection - Intangible Asset Over-Amortization (DIST)</v>
      </c>
      <c r="E53" s="99">
        <f>'II-E-4.1.1'!J51</f>
        <v>0</v>
      </c>
      <c r="F53" s="99">
        <v>0</v>
      </c>
      <c r="G53" s="99">
        <f t="shared" si="16"/>
        <v>0</v>
      </c>
      <c r="H53" s="99">
        <f>'II-E-4.1.1'!P51</f>
        <v>-997594.02</v>
      </c>
      <c r="I53" s="102">
        <f t="shared" si="17"/>
        <v>-997594.02</v>
      </c>
      <c r="J53" s="137">
        <v>1</v>
      </c>
      <c r="K53" s="99">
        <f t="shared" si="18"/>
        <v>-997594.02</v>
      </c>
      <c r="L53" s="366"/>
      <c r="M53" s="141" t="s">
        <v>358</v>
      </c>
      <c r="N53" s="99">
        <v>0</v>
      </c>
      <c r="O53" s="99">
        <v>0</v>
      </c>
      <c r="P53" s="99">
        <v>0</v>
      </c>
      <c r="Q53" s="99">
        <f t="shared" si="22"/>
        <v>0</v>
      </c>
      <c r="R53" s="99">
        <f>+K53</f>
        <v>-997594.02</v>
      </c>
      <c r="S53" s="99">
        <v>0</v>
      </c>
      <c r="T53" s="99">
        <f t="shared" si="21"/>
        <v>-997594.02</v>
      </c>
      <c r="U53" s="99">
        <v>0</v>
      </c>
      <c r="V53" s="99">
        <v>0</v>
      </c>
      <c r="W53" s="740">
        <f t="shared" si="20"/>
        <v>-997594.02</v>
      </c>
      <c r="Y53" s="366" t="b">
        <f t="shared" si="1"/>
        <v>1</v>
      </c>
      <c r="Z53" s="435">
        <f t="shared" si="11"/>
        <v>0</v>
      </c>
    </row>
    <row r="54" spans="1:26" s="179" customFormat="1">
      <c r="A54" s="141">
        <v>39</v>
      </c>
      <c r="B54" s="180" t="str">
        <f>'II-E-4.1.1'!B52</f>
        <v>A407</v>
      </c>
      <c r="D54" s="366" t="str">
        <f>'II-E-4.1.1'!C52</f>
        <v>HB 2483 Long-Lead Time Facilities (PURA 39.918)</v>
      </c>
      <c r="E54" s="102">
        <f>'II-E-4.1.1'!J52</f>
        <v>0</v>
      </c>
      <c r="F54" s="102">
        <v>0</v>
      </c>
      <c r="G54" s="102">
        <f t="shared" si="16"/>
        <v>0</v>
      </c>
      <c r="H54" s="102">
        <f>'II-E-4.1.1'!P52</f>
        <v>139506</v>
      </c>
      <c r="I54" s="102">
        <f t="shared" si="17"/>
        <v>139506</v>
      </c>
      <c r="J54" s="743">
        <v>1</v>
      </c>
      <c r="K54" s="102">
        <f t="shared" si="18"/>
        <v>139506</v>
      </c>
      <c r="M54" s="180" t="s">
        <v>358</v>
      </c>
      <c r="N54" s="102">
        <v>96854.64</v>
      </c>
      <c r="O54" s="102">
        <v>0</v>
      </c>
      <c r="P54" s="102">
        <v>0</v>
      </c>
      <c r="Q54" s="102">
        <f t="shared" si="22"/>
        <v>96854.64</v>
      </c>
      <c r="R54" s="102">
        <f>+K54-Q54</f>
        <v>42651.360000000001</v>
      </c>
      <c r="S54" s="102">
        <v>0</v>
      </c>
      <c r="T54" s="102">
        <f t="shared" si="21"/>
        <v>42651.360000000001</v>
      </c>
      <c r="U54" s="102">
        <v>0</v>
      </c>
      <c r="V54" s="102">
        <v>0</v>
      </c>
      <c r="W54" s="740">
        <f t="shared" si="20"/>
        <v>139506</v>
      </c>
      <c r="Y54" s="179" t="b">
        <f t="shared" si="1"/>
        <v>1</v>
      </c>
      <c r="Z54" s="435">
        <f t="shared" si="11"/>
        <v>0</v>
      </c>
    </row>
    <row r="55" spans="1:26" s="366" customFormat="1">
      <c r="A55" s="180">
        <v>40</v>
      </c>
      <c r="B55" s="141" t="str">
        <f>'II-E-4.1.1'!B53</f>
        <v>A563,A583</v>
      </c>
      <c r="D55" s="366" t="str">
        <f>'II-E-4.1.1'!C53</f>
        <v>Power Line Safety Act PURA § 36.066</v>
      </c>
      <c r="E55" s="99">
        <f>'II-E-4.1.1'!J53</f>
        <v>0</v>
      </c>
      <c r="F55" s="99">
        <v>0</v>
      </c>
      <c r="G55" s="99">
        <f t="shared" si="16"/>
        <v>0</v>
      </c>
      <c r="H55" s="99">
        <f>'II-E-4.1.1'!P53</f>
        <v>693539.00399999996</v>
      </c>
      <c r="I55" s="102">
        <f t="shared" si="17"/>
        <v>693539.00399999996</v>
      </c>
      <c r="J55" s="137">
        <v>1</v>
      </c>
      <c r="K55" s="99">
        <f t="shared" si="18"/>
        <v>693539.00399999996</v>
      </c>
      <c r="M55" s="141" t="s">
        <v>358</v>
      </c>
      <c r="N55" s="99">
        <f>K55-O55-R55</f>
        <v>676413.424</v>
      </c>
      <c r="O55" s="99">
        <v>10544.25</v>
      </c>
      <c r="P55" s="99">
        <v>0</v>
      </c>
      <c r="Q55" s="99">
        <f t="shared" si="22"/>
        <v>686957.674</v>
      </c>
      <c r="R55" s="99">
        <v>6581.33</v>
      </c>
      <c r="S55" s="99">
        <v>0</v>
      </c>
      <c r="T55" s="99">
        <f t="shared" si="21"/>
        <v>6581.33</v>
      </c>
      <c r="U55" s="99">
        <v>0</v>
      </c>
      <c r="V55" s="99">
        <v>0</v>
      </c>
      <c r="W55" s="740">
        <f t="shared" si="20"/>
        <v>693539.00399999996</v>
      </c>
      <c r="Y55" s="366" t="b">
        <f t="shared" si="1"/>
        <v>1</v>
      </c>
      <c r="Z55" s="431">
        <f t="shared" si="11"/>
        <v>0</v>
      </c>
    </row>
    <row r="56" spans="1:26" s="179" customFormat="1">
      <c r="A56" s="141">
        <v>41</v>
      </c>
      <c r="B56" s="141" t="str">
        <f>'II-E-4.1.1'!B54</f>
        <v>A566,A588</v>
      </c>
      <c r="C56" s="366"/>
      <c r="D56" s="366" t="str">
        <f>'II-E-4.1.1'!C54</f>
        <v>COVID19-Incremental Expense</v>
      </c>
      <c r="E56" s="99">
        <f>'II-E-4.1.1'!J54</f>
        <v>0</v>
      </c>
      <c r="F56" s="99">
        <v>0</v>
      </c>
      <c r="G56" s="99">
        <f t="shared" si="16"/>
        <v>0</v>
      </c>
      <c r="H56" s="99">
        <f>'II-E-4.1.1'!P54</f>
        <v>480485.74400000006</v>
      </c>
      <c r="I56" s="102">
        <f t="shared" si="17"/>
        <v>480485.74400000006</v>
      </c>
      <c r="J56" s="137">
        <v>1</v>
      </c>
      <c r="K56" s="99">
        <f t="shared" si="18"/>
        <v>480485.74400000006</v>
      </c>
      <c r="L56" s="366"/>
      <c r="M56" s="347" t="s">
        <v>855</v>
      </c>
      <c r="N56" s="102">
        <f>ROUND(+$K56*'[5]II-F Alloc_Factor'!E$18,2)</f>
        <v>35329.22</v>
      </c>
      <c r="O56" s="102">
        <f>ROUND(+$K56*'[5]II-F Alloc_Factor'!F$18,2)</f>
        <v>0</v>
      </c>
      <c r="P56" s="102">
        <f>ROUND(+$K56*'[5]II-F Alloc_Factor'!G$18,2)</f>
        <v>0</v>
      </c>
      <c r="Q56" s="99">
        <f t="shared" si="22"/>
        <v>35329.22</v>
      </c>
      <c r="R56" s="102">
        <f>ROUND(+$K56*'[5]II-F Alloc_Factor'!I$18,2)</f>
        <v>411282.61</v>
      </c>
      <c r="S56" s="102">
        <f>ROUND(+$K56*'[5]II-F Alloc_Factor'!J$18,2)</f>
        <v>0</v>
      </c>
      <c r="T56" s="102">
        <f t="shared" si="21"/>
        <v>411282.61</v>
      </c>
      <c r="U56" s="102">
        <f>ROUND(+$K56*'[5]II-F Alloc_Factor'!L$18,2)</f>
        <v>17779.490000000002</v>
      </c>
      <c r="V56" s="102">
        <f>+K56-Q56-T56-U56</f>
        <v>16094.424000000105</v>
      </c>
      <c r="W56" s="740">
        <f t="shared" si="20"/>
        <v>480485.74400000006</v>
      </c>
      <c r="Y56" s="366" t="b">
        <f t="shared" si="1"/>
        <v>1</v>
      </c>
      <c r="Z56" s="435">
        <f t="shared" si="11"/>
        <v>0</v>
      </c>
    </row>
    <row r="57" spans="1:26" s="366" customFormat="1">
      <c r="A57" s="141">
        <v>42</v>
      </c>
      <c r="B57" s="141" t="str">
        <f>'II-E-4.1.1'!B55</f>
        <v>A904</v>
      </c>
      <c r="D57" s="366" t="str">
        <f>'II-E-4.1.1'!C55</f>
        <v>Bad Debt Expenses (Defaulted REPs - 16 TAC § 25.107, bad debt expense (5))</v>
      </c>
      <c r="E57" s="99">
        <f>'II-E-4.1.1'!J55</f>
        <v>0</v>
      </c>
      <c r="F57" s="99">
        <v>0</v>
      </c>
      <c r="G57" s="99">
        <f t="shared" si="16"/>
        <v>0</v>
      </c>
      <c r="H57" s="99">
        <f>'II-E-4.1.1'!P55</f>
        <v>532280.16</v>
      </c>
      <c r="I57" s="102">
        <f t="shared" si="17"/>
        <v>532280.16</v>
      </c>
      <c r="J57" s="137">
        <v>1</v>
      </c>
      <c r="K57" s="99">
        <f t="shared" si="18"/>
        <v>532280.16</v>
      </c>
      <c r="M57" s="347" t="s">
        <v>358</v>
      </c>
      <c r="N57" s="99">
        <v>0</v>
      </c>
      <c r="O57" s="99">
        <v>0</v>
      </c>
      <c r="P57" s="99">
        <v>0</v>
      </c>
      <c r="Q57" s="99">
        <f t="shared" si="22"/>
        <v>0</v>
      </c>
      <c r="R57" s="99">
        <v>0</v>
      </c>
      <c r="S57" s="99">
        <v>0</v>
      </c>
      <c r="T57" s="99">
        <f t="shared" si="21"/>
        <v>0</v>
      </c>
      <c r="U57" s="99">
        <v>0</v>
      </c>
      <c r="V57" s="99">
        <f>K57</f>
        <v>532280.16</v>
      </c>
      <c r="W57" s="458">
        <f t="shared" si="20"/>
        <v>532280.16</v>
      </c>
      <c r="Y57" s="366" t="b">
        <f t="shared" si="1"/>
        <v>1</v>
      </c>
      <c r="Z57" s="431">
        <f t="shared" si="11"/>
        <v>0</v>
      </c>
    </row>
    <row r="58" spans="1:26" s="366" customFormat="1">
      <c r="A58" s="180">
        <v>43</v>
      </c>
      <c r="B58" s="141" t="str">
        <f>'II-E-4.1.1'!B56</f>
        <v>A924</v>
      </c>
      <c r="D58" s="366" t="str">
        <f>'II-E-4.1.1'!C56</f>
        <v>Self-insurance reserve regulatory asset amortization - to be reviewed (1)</v>
      </c>
      <c r="E58" s="99">
        <f>'II-E-4.1.1'!J56</f>
        <v>0</v>
      </c>
      <c r="F58" s="99">
        <v>0</v>
      </c>
      <c r="G58" s="99">
        <f t="shared" si="16"/>
        <v>0</v>
      </c>
      <c r="H58" s="99">
        <f>'II-E-4.1.1'!P56</f>
        <v>148794960.11000001</v>
      </c>
      <c r="I58" s="102">
        <f t="shared" si="17"/>
        <v>148794960.11000001</v>
      </c>
      <c r="J58" s="137">
        <v>1</v>
      </c>
      <c r="K58" s="99">
        <f t="shared" si="18"/>
        <v>148794960.11000001</v>
      </c>
      <c r="M58" s="347" t="s">
        <v>358</v>
      </c>
      <c r="N58" s="99">
        <v>6509484.3100000005</v>
      </c>
      <c r="O58" s="99">
        <v>0</v>
      </c>
      <c r="P58" s="99">
        <v>0</v>
      </c>
      <c r="Q58" s="99">
        <f t="shared" si="22"/>
        <v>6509484.3100000005</v>
      </c>
      <c r="R58" s="99">
        <f>+K58-Q58</f>
        <v>142285475.80000001</v>
      </c>
      <c r="S58" s="99">
        <v>0</v>
      </c>
      <c r="T58" s="99">
        <f t="shared" si="21"/>
        <v>142285475.80000001</v>
      </c>
      <c r="U58" s="99">
        <v>0</v>
      </c>
      <c r="V58" s="99">
        <v>0</v>
      </c>
      <c r="W58" s="458">
        <f t="shared" si="20"/>
        <v>148794960.11000001</v>
      </c>
      <c r="Y58" s="366" t="b">
        <f t="shared" si="1"/>
        <v>1</v>
      </c>
      <c r="Z58" s="431">
        <f t="shared" si="11"/>
        <v>0</v>
      </c>
    </row>
    <row r="59" spans="1:26" s="366" customFormat="1">
      <c r="A59" s="141">
        <v>44</v>
      </c>
      <c r="B59" s="141" t="str">
        <f>'II-E-4.1.1'!B57</f>
        <v>A924</v>
      </c>
      <c r="D59" s="366" t="str">
        <f>'II-E-4.1.1'!C57</f>
        <v>Self-insurance reserve regulatory asset amortization - to be reviewed - NTU (1)</v>
      </c>
      <c r="E59" s="99">
        <f>'II-E-4.1.1'!J57</f>
        <v>0</v>
      </c>
      <c r="F59" s="99">
        <v>0</v>
      </c>
      <c r="G59" s="99">
        <f t="shared" si="16"/>
        <v>0</v>
      </c>
      <c r="H59" s="99">
        <f>'II-E-4.1.1'!P57</f>
        <v>-189256.14</v>
      </c>
      <c r="I59" s="102">
        <f t="shared" si="17"/>
        <v>-189256.14</v>
      </c>
      <c r="J59" s="137">
        <v>1</v>
      </c>
      <c r="K59" s="99">
        <f t="shared" si="18"/>
        <v>-189256.14</v>
      </c>
      <c r="M59" s="347" t="s">
        <v>358</v>
      </c>
      <c r="N59" s="99">
        <v>0</v>
      </c>
      <c r="O59" s="99">
        <f>+K59</f>
        <v>-189256.14</v>
      </c>
      <c r="P59" s="99">
        <v>0</v>
      </c>
      <c r="Q59" s="99">
        <f t="shared" si="22"/>
        <v>-189256.14</v>
      </c>
      <c r="R59" s="99">
        <v>0</v>
      </c>
      <c r="S59" s="99">
        <v>0</v>
      </c>
      <c r="T59" s="99">
        <f t="shared" si="21"/>
        <v>0</v>
      </c>
      <c r="U59" s="99">
        <v>0</v>
      </c>
      <c r="V59" s="99">
        <v>0</v>
      </c>
      <c r="W59" s="458">
        <f t="shared" si="20"/>
        <v>-189256.14</v>
      </c>
      <c r="Y59" s="366" t="b">
        <f t="shared" si="1"/>
        <v>1</v>
      </c>
      <c r="Z59" s="431">
        <f t="shared" si="11"/>
        <v>0</v>
      </c>
    </row>
    <row r="60" spans="1:26" s="366" customFormat="1">
      <c r="A60" s="141">
        <v>45</v>
      </c>
      <c r="B60" s="141" t="str">
        <f>'II-E-4.1.1'!B58</f>
        <v>A925</v>
      </c>
      <c r="D60" s="366" t="str">
        <f>'II-E-4.1.1'!C58</f>
        <v>Self-insurance reserve regulatory asset amortization - to be reviewed (1)</v>
      </c>
      <c r="E60" s="99">
        <f>'II-E-4.1.1'!J58</f>
        <v>0</v>
      </c>
      <c r="F60" s="99">
        <v>0</v>
      </c>
      <c r="G60" s="99">
        <f t="shared" si="16"/>
        <v>0</v>
      </c>
      <c r="H60" s="99">
        <f>'II-E-4.1.1'!P58</f>
        <v>2966875.26</v>
      </c>
      <c r="I60" s="102">
        <f t="shared" si="17"/>
        <v>2966875.26</v>
      </c>
      <c r="J60" s="137">
        <v>1</v>
      </c>
      <c r="K60" s="99">
        <f t="shared" si="18"/>
        <v>2966875.26</v>
      </c>
      <c r="M60" s="347" t="s">
        <v>358</v>
      </c>
      <c r="N60" s="99">
        <v>-5868.4539999999924</v>
      </c>
      <c r="O60" s="99">
        <v>0</v>
      </c>
      <c r="P60" s="99">
        <v>0</v>
      </c>
      <c r="Q60" s="99">
        <f t="shared" si="22"/>
        <v>-5868.4539999999924</v>
      </c>
      <c r="R60" s="99">
        <f>+K60-Q60</f>
        <v>2972743.7139999997</v>
      </c>
      <c r="S60" s="99">
        <v>0</v>
      </c>
      <c r="T60" s="99">
        <f t="shared" si="21"/>
        <v>2972743.7139999997</v>
      </c>
      <c r="U60" s="99">
        <v>0</v>
      </c>
      <c r="V60" s="99">
        <v>0</v>
      </c>
      <c r="W60" s="458">
        <f t="shared" si="20"/>
        <v>2966875.26</v>
      </c>
      <c r="Y60" s="366" t="b">
        <f t="shared" si="1"/>
        <v>1</v>
      </c>
      <c r="Z60" s="431">
        <f t="shared" si="11"/>
        <v>0</v>
      </c>
    </row>
    <row r="61" spans="1:26" s="366" customFormat="1">
      <c r="A61" s="180">
        <v>46</v>
      </c>
      <c r="B61" s="141" t="str">
        <f>'II-E-4.1.1'!B59</f>
        <v>A926</v>
      </c>
      <c r="D61" s="366" t="str">
        <f>'II-E-4.1.1'!C59</f>
        <v>Pension regulatory asset amortization - to be reviewed (2)</v>
      </c>
      <c r="E61" s="99">
        <f>'II-E-4.1.1'!J59</f>
        <v>0</v>
      </c>
      <c r="F61" s="99">
        <v>0</v>
      </c>
      <c r="G61" s="99">
        <f t="shared" si="16"/>
        <v>0</v>
      </c>
      <c r="H61" s="99">
        <f>'II-E-4.1.1'!P59</f>
        <v>-9005653.1099999994</v>
      </c>
      <c r="I61" s="102">
        <f t="shared" si="17"/>
        <v>-9005653.1099999994</v>
      </c>
      <c r="J61" s="137">
        <v>1</v>
      </c>
      <c r="K61" s="99">
        <f t="shared" si="18"/>
        <v>-9005653.1099999994</v>
      </c>
      <c r="M61" s="347" t="s">
        <v>13</v>
      </c>
      <c r="N61" s="102">
        <f>ROUND(+$K61*'[5]II-F Alloc_Factor'!E$17,2)</f>
        <v>-2024644.29</v>
      </c>
      <c r="O61" s="102">
        <f>ROUND(+$K61*'[5]II-F Alloc_Factor'!F$17,2)</f>
        <v>0</v>
      </c>
      <c r="P61" s="102">
        <f>ROUND(+$K61*'[5]II-F Alloc_Factor'!G$17,2)</f>
        <v>0</v>
      </c>
      <c r="Q61" s="99">
        <f t="shared" si="22"/>
        <v>-2024644.29</v>
      </c>
      <c r="R61" s="102">
        <f>ROUND(+$K61*'[5]II-F Alloc_Factor'!I$17,2)</f>
        <v>-5407070.8399999999</v>
      </c>
      <c r="S61" s="102">
        <f>ROUND(+$K61*'[5]II-F Alloc_Factor'!J$17,2)</f>
        <v>0</v>
      </c>
      <c r="T61" s="99">
        <f t="shared" si="21"/>
        <v>-5407070.8399999999</v>
      </c>
      <c r="U61" s="102">
        <f>ROUND(+$K61*'[5]II-F Alloc_Factor'!L$17,2)</f>
        <v>-1511962.35</v>
      </c>
      <c r="V61" s="102">
        <f>+K61-Q61-T61-U61</f>
        <v>-61975.629999999423</v>
      </c>
      <c r="W61" s="458">
        <f t="shared" si="20"/>
        <v>-9005653.1099999994</v>
      </c>
      <c r="Y61" s="366" t="b">
        <f t="shared" si="1"/>
        <v>1</v>
      </c>
      <c r="Z61" s="431">
        <f t="shared" si="11"/>
        <v>0</v>
      </c>
    </row>
    <row r="62" spans="1:26">
      <c r="A62" s="141">
        <v>47</v>
      </c>
      <c r="B62" s="141" t="str">
        <f>'II-E-4.1.1'!B60</f>
        <v>A926</v>
      </c>
      <c r="C62" s="366"/>
      <c r="D62" s="366" t="str">
        <f>'II-E-4.1.1'!C60</f>
        <v>OPEB regulatory asset amortization - to be reviewed (2)</v>
      </c>
      <c r="E62" s="99">
        <f>'II-E-4.1.1'!J60</f>
        <v>0</v>
      </c>
      <c r="F62" s="99">
        <v>0</v>
      </c>
      <c r="G62" s="99">
        <f t="shared" si="16"/>
        <v>0</v>
      </c>
      <c r="H62" s="99">
        <f>'II-E-4.1.1'!P60</f>
        <v>-7968680.6399999997</v>
      </c>
      <c r="I62" s="102">
        <f t="shared" si="17"/>
        <v>-7968680.6399999997</v>
      </c>
      <c r="J62" s="137">
        <v>1</v>
      </c>
      <c r="K62" s="99">
        <f t="shared" si="18"/>
        <v>-7968680.6399999997</v>
      </c>
      <c r="L62" s="366"/>
      <c r="M62" s="347" t="s">
        <v>13</v>
      </c>
      <c r="N62" s="102">
        <f>ROUND(+$K62*'[5]II-F Alloc_Factor'!E$17,2)</f>
        <v>-1791512.91</v>
      </c>
      <c r="O62" s="102">
        <f>ROUND(+$K62*'[5]II-F Alloc_Factor'!F$17,2)</f>
        <v>0</v>
      </c>
      <c r="P62" s="102">
        <f>ROUND(+$K62*'[5]II-F Alloc_Factor'!G$17,2)</f>
        <v>0</v>
      </c>
      <c r="Q62" s="99">
        <f t="shared" ref="Q62" si="23">SUM(N62:P62)</f>
        <v>-1791512.91</v>
      </c>
      <c r="R62" s="102">
        <f>ROUND(+$K62*'[5]II-F Alloc_Factor'!I$17,2)</f>
        <v>-4784463.74</v>
      </c>
      <c r="S62" s="102">
        <f>ROUND(+$K62*'[5]II-F Alloc_Factor'!J$17,2)</f>
        <v>0</v>
      </c>
      <c r="T62" s="99">
        <f t="shared" ref="T62" si="24">SUM(R62:S62)</f>
        <v>-4784463.74</v>
      </c>
      <c r="U62" s="102">
        <f>ROUND(+$K62*'[5]II-F Alloc_Factor'!L$17,2)</f>
        <v>-1337864.67</v>
      </c>
      <c r="V62" s="102">
        <f>+K62-Q62-T62-U62</f>
        <v>-54839.319999999367</v>
      </c>
      <c r="W62" s="458">
        <f t="shared" si="20"/>
        <v>-7968680.6399999997</v>
      </c>
      <c r="Y62" s="366" t="b">
        <f t="shared" si="1"/>
        <v>1</v>
      </c>
      <c r="Z62" s="431">
        <f t="shared" si="11"/>
        <v>0</v>
      </c>
    </row>
    <row r="63" spans="1:26" s="179" customFormat="1">
      <c r="A63" s="141">
        <v>48</v>
      </c>
      <c r="B63" s="180" t="str">
        <f>'II-E-4.1.1'!B61</f>
        <v>A928</v>
      </c>
      <c r="D63" s="179" t="str">
        <f>'II-E-4.1.1'!C61</f>
        <v>Rider CSR - Capital structure refund - over-refund</v>
      </c>
      <c r="E63" s="102">
        <f>'II-E-4.1.1'!J61</f>
        <v>0</v>
      </c>
      <c r="F63" s="102">
        <v>0</v>
      </c>
      <c r="G63" s="102">
        <f t="shared" si="16"/>
        <v>0</v>
      </c>
      <c r="H63" s="102">
        <f>'II-E-4.1.1'!P61</f>
        <v>-10.73</v>
      </c>
      <c r="I63" s="102">
        <f t="shared" si="17"/>
        <v>-10.73</v>
      </c>
      <c r="J63" s="743">
        <v>1</v>
      </c>
      <c r="K63" s="102">
        <f t="shared" si="18"/>
        <v>-10.73</v>
      </c>
      <c r="M63" s="190" t="s">
        <v>358</v>
      </c>
      <c r="N63" s="102">
        <v>0</v>
      </c>
      <c r="O63" s="102">
        <v>0</v>
      </c>
      <c r="P63" s="102">
        <v>0</v>
      </c>
      <c r="Q63" s="102">
        <f t="shared" si="22"/>
        <v>0</v>
      </c>
      <c r="R63" s="102">
        <f>+K63</f>
        <v>-10.73</v>
      </c>
      <c r="S63" s="102">
        <v>0</v>
      </c>
      <c r="T63" s="102">
        <f t="shared" ref="T63:T65" si="25">SUM(R63:S63)</f>
        <v>-10.73</v>
      </c>
      <c r="U63" s="102">
        <v>0</v>
      </c>
      <c r="V63" s="102">
        <v>0</v>
      </c>
      <c r="W63" s="740">
        <f t="shared" si="20"/>
        <v>-10.73</v>
      </c>
      <c r="Y63" s="179" t="b">
        <f t="shared" si="1"/>
        <v>1</v>
      </c>
      <c r="Z63" s="435">
        <f t="shared" si="11"/>
        <v>0</v>
      </c>
    </row>
    <row r="64" spans="1:26" s="179" customFormat="1">
      <c r="A64" s="180">
        <v>49</v>
      </c>
      <c r="B64" s="180" t="str">
        <f>'II-E-4.1.1'!B62</f>
        <v>A928</v>
      </c>
      <c r="D64" s="179" t="str">
        <f>'II-E-4.1.1'!C62</f>
        <v>Rider TRF - FIT rate refund - over-refund</v>
      </c>
      <c r="E64" s="102">
        <f>'II-E-4.1.1'!J62</f>
        <v>0</v>
      </c>
      <c r="F64" s="102">
        <v>0</v>
      </c>
      <c r="G64" s="102">
        <f t="shared" si="16"/>
        <v>0</v>
      </c>
      <c r="H64" s="102">
        <f>'II-E-4.1.1'!P62</f>
        <v>-148.41</v>
      </c>
      <c r="I64" s="102">
        <f t="shared" si="17"/>
        <v>-148.41</v>
      </c>
      <c r="J64" s="743">
        <v>1</v>
      </c>
      <c r="K64" s="102">
        <f t="shared" si="18"/>
        <v>-148.41</v>
      </c>
      <c r="M64" s="190" t="s">
        <v>358</v>
      </c>
      <c r="N64" s="102">
        <v>0</v>
      </c>
      <c r="O64" s="102">
        <v>0</v>
      </c>
      <c r="P64" s="102">
        <v>0</v>
      </c>
      <c r="Q64" s="102">
        <f t="shared" si="22"/>
        <v>0</v>
      </c>
      <c r="R64" s="102">
        <f>+K64</f>
        <v>-148.41</v>
      </c>
      <c r="S64" s="102">
        <v>0</v>
      </c>
      <c r="T64" s="102">
        <f t="shared" si="25"/>
        <v>-148.41</v>
      </c>
      <c r="U64" s="102">
        <v>0</v>
      </c>
      <c r="V64" s="102">
        <f>+K64-Q64-T64-U64</f>
        <v>0</v>
      </c>
      <c r="W64" s="740">
        <f t="shared" si="20"/>
        <v>-148.41</v>
      </c>
      <c r="Y64" s="179" t="b">
        <f t="shared" si="1"/>
        <v>1</v>
      </c>
      <c r="Z64" s="435">
        <f t="shared" si="11"/>
        <v>0</v>
      </c>
    </row>
    <row r="65" spans="1:26" s="179" customFormat="1">
      <c r="A65" s="141">
        <v>50</v>
      </c>
      <c r="B65" s="180" t="str">
        <f>'II-E-4.1.1'!B63</f>
        <v>A928</v>
      </c>
      <c r="D65" s="179" t="str">
        <f>'II-E-4.1.1'!C63</f>
        <v>Interest-rate savings Dkt 47675 &amp; 55453</v>
      </c>
      <c r="E65" s="102">
        <f>'II-E-4.1.1'!J63</f>
        <v>0</v>
      </c>
      <c r="F65" s="102">
        <v>0</v>
      </c>
      <c r="G65" s="102">
        <f t="shared" si="16"/>
        <v>0</v>
      </c>
      <c r="H65" s="102">
        <f>'II-E-4.1.1'!P63</f>
        <v>-5171.8500000000004</v>
      </c>
      <c r="I65" s="102">
        <f t="shared" si="17"/>
        <v>-5171.8500000000004</v>
      </c>
      <c r="J65" s="743">
        <v>1</v>
      </c>
      <c r="K65" s="102">
        <f t="shared" si="18"/>
        <v>-5171.8500000000004</v>
      </c>
      <c r="M65" s="190" t="s">
        <v>358</v>
      </c>
      <c r="N65" s="102">
        <v>0</v>
      </c>
      <c r="O65" s="102">
        <v>0</v>
      </c>
      <c r="P65" s="102">
        <v>0</v>
      </c>
      <c r="Q65" s="102">
        <f t="shared" si="22"/>
        <v>0</v>
      </c>
      <c r="R65" s="102">
        <f>+K65</f>
        <v>-5171.8500000000004</v>
      </c>
      <c r="S65" s="102">
        <v>0</v>
      </c>
      <c r="T65" s="102">
        <f t="shared" si="25"/>
        <v>-5171.8500000000004</v>
      </c>
      <c r="U65" s="102">
        <v>0</v>
      </c>
      <c r="V65" s="102">
        <v>0</v>
      </c>
      <c r="W65" s="740">
        <f t="shared" si="20"/>
        <v>-5171.8500000000004</v>
      </c>
      <c r="Y65" s="179" t="b">
        <f t="shared" si="1"/>
        <v>1</v>
      </c>
      <c r="Z65" s="435">
        <f t="shared" si="11"/>
        <v>0</v>
      </c>
    </row>
    <row r="66" spans="1:26" s="179" customFormat="1">
      <c r="A66" s="141">
        <v>51</v>
      </c>
      <c r="B66" s="180" t="str">
        <f>'II-E-4.1.1'!B77</f>
        <v>A928</v>
      </c>
      <c r="D66" s="179" t="str">
        <f>'II-E-4.1.1'!C77</f>
        <v>Rate case expenses - Docket No. 53601 Rider RCE &amp; Rider WRCE &amp; Docket No. 57799</v>
      </c>
      <c r="E66" s="102">
        <f>'II-E-4.1.1'!J77</f>
        <v>5547316.1800000006</v>
      </c>
      <c r="F66" s="102">
        <v>0</v>
      </c>
      <c r="G66" s="102">
        <f t="shared" si="16"/>
        <v>5547316.1800000006</v>
      </c>
      <c r="H66" s="102">
        <f>'II-E-4.1.1'!P77</f>
        <v>-5547316.1800000006</v>
      </c>
      <c r="I66" s="102">
        <f t="shared" si="17"/>
        <v>0</v>
      </c>
      <c r="J66" s="743">
        <v>1</v>
      </c>
      <c r="K66" s="102">
        <f t="shared" si="18"/>
        <v>0</v>
      </c>
      <c r="M66" s="190"/>
      <c r="N66" s="102">
        <v>0</v>
      </c>
      <c r="O66" s="102">
        <v>0</v>
      </c>
      <c r="P66" s="102">
        <v>0</v>
      </c>
      <c r="Q66" s="102">
        <f t="shared" si="22"/>
        <v>0</v>
      </c>
      <c r="R66" s="102">
        <v>0</v>
      </c>
      <c r="S66" s="102">
        <v>0</v>
      </c>
      <c r="T66" s="102">
        <f t="shared" si="21"/>
        <v>0</v>
      </c>
      <c r="U66" s="102">
        <f>+K66</f>
        <v>0</v>
      </c>
      <c r="V66" s="102">
        <v>0</v>
      </c>
      <c r="W66" s="740">
        <f t="shared" si="20"/>
        <v>0</v>
      </c>
      <c r="Y66" s="179" t="b">
        <f t="shared" si="1"/>
        <v>1</v>
      </c>
      <c r="Z66" s="435">
        <f t="shared" si="11"/>
        <v>0</v>
      </c>
    </row>
    <row r="67" spans="1:26" s="179" customFormat="1">
      <c r="A67" s="180">
        <v>52</v>
      </c>
      <c r="B67" s="180" t="str">
        <f>'II-E-4.1.1'!B64</f>
        <v>A928</v>
      </c>
      <c r="D67" s="179" t="str">
        <f>'II-E-4.1.1'!C64</f>
        <v>Non-standard metering service (Docket No. 41890 one-time costs) (3)</v>
      </c>
      <c r="E67" s="102">
        <f>'II-E-4.1.1'!J64</f>
        <v>2429.3100000000004</v>
      </c>
      <c r="F67" s="102">
        <v>0</v>
      </c>
      <c r="G67" s="102">
        <f t="shared" si="16"/>
        <v>2429.3100000000004</v>
      </c>
      <c r="H67" s="102">
        <f>'II-E-4.1.1'!P64</f>
        <v>-2429.3100000000004</v>
      </c>
      <c r="I67" s="102">
        <f t="shared" si="17"/>
        <v>0</v>
      </c>
      <c r="J67" s="743">
        <v>1</v>
      </c>
      <c r="K67" s="102">
        <f t="shared" si="18"/>
        <v>0</v>
      </c>
      <c r="M67" s="190"/>
      <c r="N67" s="102">
        <v>0</v>
      </c>
      <c r="O67" s="102">
        <v>0</v>
      </c>
      <c r="P67" s="102">
        <v>0</v>
      </c>
      <c r="Q67" s="102">
        <f t="shared" si="22"/>
        <v>0</v>
      </c>
      <c r="R67" s="102">
        <v>0</v>
      </c>
      <c r="S67" s="102">
        <v>0</v>
      </c>
      <c r="T67" s="102">
        <f t="shared" si="21"/>
        <v>0</v>
      </c>
      <c r="U67" s="102">
        <f>+K67</f>
        <v>0</v>
      </c>
      <c r="V67" s="102">
        <v>0</v>
      </c>
      <c r="W67" s="740">
        <f t="shared" si="20"/>
        <v>0</v>
      </c>
      <c r="Y67" s="179" t="b">
        <f t="shared" si="1"/>
        <v>1</v>
      </c>
      <c r="Z67" s="435">
        <f t="shared" si="11"/>
        <v>0</v>
      </c>
    </row>
    <row r="68" spans="1:26">
      <c r="A68" s="141">
        <v>53</v>
      </c>
      <c r="B68" s="141" t="str">
        <f>'II-E-4.1.1'!B65</f>
        <v>A928</v>
      </c>
      <c r="C68" s="366"/>
      <c r="D68" s="346" t="s">
        <v>1245</v>
      </c>
      <c r="E68" s="99">
        <f>'II-E-4.1.1'!J65</f>
        <v>0</v>
      </c>
      <c r="F68" s="99">
        <v>0</v>
      </c>
      <c r="G68" s="99">
        <f t="shared" si="16"/>
        <v>0</v>
      </c>
      <c r="H68" s="99">
        <f>'II-E-4.1.1'!P65</f>
        <v>0</v>
      </c>
      <c r="I68" s="102">
        <f t="shared" si="17"/>
        <v>0</v>
      </c>
      <c r="J68" s="137">
        <v>1</v>
      </c>
      <c r="K68" s="99">
        <f t="shared" si="18"/>
        <v>0</v>
      </c>
      <c r="L68" s="366"/>
      <c r="M68" s="347" t="s">
        <v>358</v>
      </c>
      <c r="N68" s="102">
        <v>0</v>
      </c>
      <c r="O68" s="102">
        <v>0</v>
      </c>
      <c r="P68" s="102">
        <v>0</v>
      </c>
      <c r="Q68" s="99">
        <f t="shared" si="22"/>
        <v>0</v>
      </c>
      <c r="R68" s="99">
        <f>K68</f>
        <v>0</v>
      </c>
      <c r="S68" s="102">
        <v>0</v>
      </c>
      <c r="T68" s="99">
        <f t="shared" si="21"/>
        <v>0</v>
      </c>
      <c r="U68" s="99">
        <v>0</v>
      </c>
      <c r="V68" s="99">
        <v>0</v>
      </c>
      <c r="W68" s="458">
        <f t="shared" si="20"/>
        <v>0</v>
      </c>
      <c r="Y68" s="366" t="b">
        <f t="shared" si="1"/>
        <v>1</v>
      </c>
      <c r="Z68" s="431">
        <f t="shared" si="11"/>
        <v>0</v>
      </c>
    </row>
    <row r="69" spans="1:26">
      <c r="A69" s="141">
        <v>54</v>
      </c>
      <c r="B69" s="141" t="str">
        <f>'II-E-4.1.1'!B66</f>
        <v>A928</v>
      </c>
      <c r="C69" s="366"/>
      <c r="D69" s="681" t="s">
        <v>1246</v>
      </c>
      <c r="E69" s="99">
        <f>'II-E-4.1.1'!J66</f>
        <v>0</v>
      </c>
      <c r="F69" s="99">
        <v>0</v>
      </c>
      <c r="G69" s="99">
        <f t="shared" si="16"/>
        <v>0</v>
      </c>
      <c r="H69" s="99">
        <f>'II-E-4.1.1'!P66</f>
        <v>0</v>
      </c>
      <c r="I69" s="102">
        <f t="shared" si="17"/>
        <v>0</v>
      </c>
      <c r="J69" s="137">
        <v>1</v>
      </c>
      <c r="K69" s="99">
        <f t="shared" si="18"/>
        <v>0</v>
      </c>
      <c r="L69" s="366"/>
      <c r="M69" s="347" t="s">
        <v>358</v>
      </c>
      <c r="N69" s="102">
        <v>0</v>
      </c>
      <c r="O69" s="102">
        <v>0</v>
      </c>
      <c r="P69" s="102">
        <v>0</v>
      </c>
      <c r="Q69" s="99">
        <f t="shared" si="22"/>
        <v>0</v>
      </c>
      <c r="R69" s="99">
        <f t="shared" ref="R69:R76" si="26">K69</f>
        <v>0</v>
      </c>
      <c r="S69" s="102">
        <v>0</v>
      </c>
      <c r="T69" s="99">
        <f t="shared" si="21"/>
        <v>0</v>
      </c>
      <c r="U69" s="99">
        <v>0</v>
      </c>
      <c r="V69" s="99">
        <v>0</v>
      </c>
      <c r="W69" s="458">
        <f t="shared" si="20"/>
        <v>0</v>
      </c>
      <c r="Y69" s="366" t="b">
        <f t="shared" si="1"/>
        <v>1</v>
      </c>
      <c r="Z69" s="431">
        <f t="shared" si="11"/>
        <v>0</v>
      </c>
    </row>
    <row r="70" spans="1:26">
      <c r="A70" s="180">
        <v>55</v>
      </c>
      <c r="B70" s="141" t="str">
        <f>'II-E-4.1.1'!B67</f>
        <v>A928</v>
      </c>
      <c r="C70" s="366"/>
      <c r="D70" s="844" t="s">
        <v>1247</v>
      </c>
      <c r="E70" s="99">
        <f>'II-E-4.1.1'!J67</f>
        <v>0</v>
      </c>
      <c r="F70" s="99">
        <v>0</v>
      </c>
      <c r="G70" s="99">
        <f t="shared" si="16"/>
        <v>0</v>
      </c>
      <c r="H70" s="99">
        <f>'II-E-4.1.1'!P67</f>
        <v>0</v>
      </c>
      <c r="I70" s="102">
        <f t="shared" si="17"/>
        <v>0</v>
      </c>
      <c r="J70" s="137">
        <v>1</v>
      </c>
      <c r="K70" s="99">
        <f t="shared" si="18"/>
        <v>0</v>
      </c>
      <c r="L70" s="366"/>
      <c r="M70" s="347" t="s">
        <v>358</v>
      </c>
      <c r="N70" s="102">
        <v>0</v>
      </c>
      <c r="O70" s="102">
        <v>0</v>
      </c>
      <c r="P70" s="102">
        <v>0</v>
      </c>
      <c r="Q70" s="99">
        <f t="shared" si="22"/>
        <v>0</v>
      </c>
      <c r="R70" s="99">
        <f t="shared" si="26"/>
        <v>0</v>
      </c>
      <c r="S70" s="102">
        <v>0</v>
      </c>
      <c r="T70" s="99">
        <f t="shared" si="21"/>
        <v>0</v>
      </c>
      <c r="U70" s="99">
        <v>0</v>
      </c>
      <c r="V70" s="99">
        <v>0</v>
      </c>
      <c r="W70" s="458">
        <f t="shared" si="20"/>
        <v>0</v>
      </c>
      <c r="Y70" s="366" t="b">
        <f t="shared" si="1"/>
        <v>1</v>
      </c>
    </row>
    <row r="71" spans="1:26">
      <c r="A71" s="141">
        <v>56</v>
      </c>
      <c r="B71" s="141" t="str">
        <f>'II-E-4.1.1'!B68</f>
        <v>A928</v>
      </c>
      <c r="C71" s="366"/>
      <c r="D71" s="844" t="s">
        <v>1248</v>
      </c>
      <c r="E71" s="99">
        <f>'II-E-4.1.1'!J68</f>
        <v>0</v>
      </c>
      <c r="F71" s="99">
        <v>0</v>
      </c>
      <c r="G71" s="99">
        <f t="shared" si="16"/>
        <v>0</v>
      </c>
      <c r="H71" s="99">
        <f>'II-E-4.1.1'!P68</f>
        <v>0</v>
      </c>
      <c r="I71" s="102">
        <f t="shared" si="17"/>
        <v>0</v>
      </c>
      <c r="J71" s="137">
        <v>1</v>
      </c>
      <c r="K71" s="99">
        <f t="shared" si="18"/>
        <v>0</v>
      </c>
      <c r="L71" s="366"/>
      <c r="M71" s="347" t="s">
        <v>358</v>
      </c>
      <c r="N71" s="102">
        <v>0</v>
      </c>
      <c r="O71" s="102">
        <v>0</v>
      </c>
      <c r="P71" s="102">
        <v>0</v>
      </c>
      <c r="Q71" s="99">
        <f t="shared" si="22"/>
        <v>0</v>
      </c>
      <c r="R71" s="99">
        <f t="shared" si="26"/>
        <v>0</v>
      </c>
      <c r="S71" s="102">
        <v>0</v>
      </c>
      <c r="T71" s="99">
        <f t="shared" si="21"/>
        <v>0</v>
      </c>
      <c r="U71" s="99">
        <v>0</v>
      </c>
      <c r="V71" s="99">
        <v>0</v>
      </c>
      <c r="W71" s="458">
        <f t="shared" si="20"/>
        <v>0</v>
      </c>
      <c r="Y71" s="366" t="b">
        <f t="shared" si="1"/>
        <v>1</v>
      </c>
    </row>
    <row r="72" spans="1:26">
      <c r="A72" s="141">
        <v>57</v>
      </c>
      <c r="B72" s="141" t="str">
        <f>'II-E-4.1.1'!B69</f>
        <v>A928</v>
      </c>
      <c r="C72" s="366"/>
      <c r="D72" s="844" t="str">
        <f>+'II-E-4.1.1'!C69</f>
        <v>SRP Application and Compliance, Docket No. 56545 &amp; 57147</v>
      </c>
      <c r="E72" s="99">
        <f>'II-E-4.1.1'!J69</f>
        <v>0</v>
      </c>
      <c r="F72" s="99">
        <v>0</v>
      </c>
      <c r="G72" s="99">
        <f t="shared" si="16"/>
        <v>0</v>
      </c>
      <c r="H72" s="99">
        <f>'II-E-4.1.1'!P69</f>
        <v>964765.79</v>
      </c>
      <c r="I72" s="102">
        <f t="shared" si="17"/>
        <v>964765.79</v>
      </c>
      <c r="J72" s="137">
        <v>1</v>
      </c>
      <c r="K72" s="99">
        <f t="shared" si="18"/>
        <v>964765.79</v>
      </c>
      <c r="L72" s="366"/>
      <c r="M72" s="347" t="s">
        <v>358</v>
      </c>
      <c r="N72" s="102">
        <v>0</v>
      </c>
      <c r="O72" s="102">
        <v>0</v>
      </c>
      <c r="P72" s="102">
        <v>0</v>
      </c>
      <c r="Q72" s="99">
        <f t="shared" si="22"/>
        <v>0</v>
      </c>
      <c r="R72" s="99">
        <f t="shared" si="26"/>
        <v>964765.79</v>
      </c>
      <c r="S72" s="102">
        <v>0</v>
      </c>
      <c r="T72" s="99">
        <f t="shared" si="21"/>
        <v>964765.79</v>
      </c>
      <c r="U72" s="99">
        <v>0</v>
      </c>
      <c r="V72" s="99">
        <v>0</v>
      </c>
      <c r="W72" s="458">
        <f t="shared" si="20"/>
        <v>964765.79</v>
      </c>
      <c r="Y72" s="366" t="b">
        <f t="shared" si="1"/>
        <v>1</v>
      </c>
    </row>
    <row r="73" spans="1:26">
      <c r="A73" s="180">
        <v>58</v>
      </c>
      <c r="B73" s="141" t="str">
        <f>'II-E-4.1.1'!B70</f>
        <v>A928</v>
      </c>
      <c r="C73" s="366"/>
      <c r="D73" s="844" t="s">
        <v>1249</v>
      </c>
      <c r="E73" s="99">
        <f>'II-E-4.1.1'!J70</f>
        <v>0</v>
      </c>
      <c r="F73" s="99">
        <v>0</v>
      </c>
      <c r="G73" s="99">
        <f t="shared" si="16"/>
        <v>0</v>
      </c>
      <c r="H73" s="99">
        <f>'II-E-4.1.1'!P70</f>
        <v>0</v>
      </c>
      <c r="I73" s="102">
        <f t="shared" si="17"/>
        <v>0</v>
      </c>
      <c r="J73" s="137">
        <v>1</v>
      </c>
      <c r="K73" s="99">
        <f t="shared" si="18"/>
        <v>0</v>
      </c>
      <c r="L73" s="366"/>
      <c r="M73" s="347" t="s">
        <v>358</v>
      </c>
      <c r="N73" s="102">
        <v>0</v>
      </c>
      <c r="O73" s="102">
        <v>0</v>
      </c>
      <c r="P73" s="102">
        <v>0</v>
      </c>
      <c r="Q73" s="99">
        <f t="shared" si="22"/>
        <v>0</v>
      </c>
      <c r="R73" s="99">
        <f t="shared" si="26"/>
        <v>0</v>
      </c>
      <c r="S73" s="102">
        <v>0</v>
      </c>
      <c r="T73" s="99">
        <f t="shared" si="21"/>
        <v>0</v>
      </c>
      <c r="U73" s="99">
        <v>0</v>
      </c>
      <c r="V73" s="99">
        <v>0</v>
      </c>
      <c r="W73" s="458">
        <f t="shared" si="20"/>
        <v>0</v>
      </c>
      <c r="Y73" s="366" t="b">
        <f t="shared" si="1"/>
        <v>1</v>
      </c>
    </row>
    <row r="74" spans="1:26">
      <c r="A74" s="141">
        <v>59</v>
      </c>
      <c r="B74" s="141" t="str">
        <f>'II-E-4.1.1'!B71</f>
        <v>A928</v>
      </c>
      <c r="C74" s="366"/>
      <c r="D74" s="844" t="str">
        <f>+'II-E-4.1.1'!C71</f>
        <v>Insurance Case, Docket No. 57774 &amp; 57932</v>
      </c>
      <c r="E74" s="99">
        <f>'II-E-4.1.1'!J71</f>
        <v>0</v>
      </c>
      <c r="F74" s="99">
        <v>0</v>
      </c>
      <c r="G74" s="99">
        <f t="shared" si="16"/>
        <v>0</v>
      </c>
      <c r="H74" s="99">
        <f>'II-E-4.1.1'!P71</f>
        <v>29299.91</v>
      </c>
      <c r="I74" s="102">
        <f t="shared" si="17"/>
        <v>29299.91</v>
      </c>
      <c r="J74" s="137">
        <v>1</v>
      </c>
      <c r="K74" s="99">
        <f t="shared" si="18"/>
        <v>29299.91</v>
      </c>
      <c r="L74" s="366"/>
      <c r="M74" s="347" t="s">
        <v>358</v>
      </c>
      <c r="N74" s="102">
        <v>0</v>
      </c>
      <c r="O74" s="102">
        <v>0</v>
      </c>
      <c r="P74" s="102">
        <v>0</v>
      </c>
      <c r="Q74" s="99">
        <f t="shared" si="22"/>
        <v>0</v>
      </c>
      <c r="R74" s="99">
        <f t="shared" si="26"/>
        <v>29299.91</v>
      </c>
      <c r="S74" s="102">
        <v>0</v>
      </c>
      <c r="T74" s="99">
        <f t="shared" si="21"/>
        <v>29299.91</v>
      </c>
      <c r="U74" s="99">
        <v>0</v>
      </c>
      <c r="V74" s="99">
        <v>0</v>
      </c>
      <c r="W74" s="458">
        <f t="shared" si="20"/>
        <v>29299.91</v>
      </c>
      <c r="Y74" s="366" t="b">
        <f t="shared" si="1"/>
        <v>1</v>
      </c>
    </row>
    <row r="75" spans="1:26">
      <c r="A75" s="141">
        <v>60</v>
      </c>
      <c r="B75" s="141" t="str">
        <f>'II-E-4.1.1'!B72</f>
        <v>A928</v>
      </c>
      <c r="C75" s="366"/>
      <c r="D75" s="844" t="s">
        <v>1250</v>
      </c>
      <c r="E75" s="99">
        <f>'II-E-4.1.1'!J72</f>
        <v>0</v>
      </c>
      <c r="F75" s="99">
        <v>0</v>
      </c>
      <c r="G75" s="99">
        <f t="shared" si="16"/>
        <v>0</v>
      </c>
      <c r="H75" s="99">
        <f>'II-E-4.1.1'!P72</f>
        <v>0</v>
      </c>
      <c r="I75" s="102">
        <f t="shared" si="17"/>
        <v>0</v>
      </c>
      <c r="J75" s="137">
        <v>1</v>
      </c>
      <c r="K75" s="99">
        <f t="shared" si="18"/>
        <v>0</v>
      </c>
      <c r="L75" s="366"/>
      <c r="M75" s="347" t="s">
        <v>358</v>
      </c>
      <c r="N75" s="102">
        <v>0</v>
      </c>
      <c r="O75" s="102">
        <v>0</v>
      </c>
      <c r="P75" s="102">
        <v>0</v>
      </c>
      <c r="Q75" s="99">
        <f t="shared" si="22"/>
        <v>0</v>
      </c>
      <c r="R75" s="99">
        <f t="shared" si="26"/>
        <v>0</v>
      </c>
      <c r="S75" s="102">
        <v>0</v>
      </c>
      <c r="T75" s="99">
        <f t="shared" si="21"/>
        <v>0</v>
      </c>
      <c r="U75" s="99">
        <v>0</v>
      </c>
      <c r="V75" s="99">
        <v>0</v>
      </c>
      <c r="W75" s="458">
        <f t="shared" si="20"/>
        <v>0</v>
      </c>
      <c r="Y75" s="366" t="b">
        <f t="shared" si="1"/>
        <v>1</v>
      </c>
    </row>
    <row r="76" spans="1:26">
      <c r="A76" s="180">
        <v>61</v>
      </c>
      <c r="B76" s="141" t="str">
        <f>'II-E-4.1.1'!B73</f>
        <v>A928</v>
      </c>
      <c r="C76" s="366"/>
      <c r="D76" s="681" t="s">
        <v>1251</v>
      </c>
      <c r="E76" s="99">
        <f>'II-E-4.1.1'!J73</f>
        <v>0</v>
      </c>
      <c r="F76" s="99">
        <v>0</v>
      </c>
      <c r="G76" s="99">
        <f t="shared" si="16"/>
        <v>0</v>
      </c>
      <c r="H76" s="99">
        <f>'II-E-4.1.1'!P73</f>
        <v>0</v>
      </c>
      <c r="I76" s="102">
        <f t="shared" si="17"/>
        <v>0</v>
      </c>
      <c r="J76" s="137">
        <v>1</v>
      </c>
      <c r="K76" s="99">
        <f t="shared" si="18"/>
        <v>0</v>
      </c>
      <c r="L76" s="366"/>
      <c r="M76" s="347" t="s">
        <v>358</v>
      </c>
      <c r="N76" s="102">
        <v>0</v>
      </c>
      <c r="O76" s="102">
        <v>0</v>
      </c>
      <c r="P76" s="102">
        <v>0</v>
      </c>
      <c r="Q76" s="99">
        <f t="shared" si="22"/>
        <v>0</v>
      </c>
      <c r="R76" s="99">
        <f t="shared" si="26"/>
        <v>0</v>
      </c>
      <c r="S76" s="102">
        <v>0</v>
      </c>
      <c r="T76" s="99">
        <f t="shared" si="21"/>
        <v>0</v>
      </c>
      <c r="U76" s="99">
        <v>0</v>
      </c>
      <c r="V76" s="99">
        <v>0</v>
      </c>
      <c r="W76" s="458">
        <f t="shared" si="20"/>
        <v>0</v>
      </c>
      <c r="Y76" s="366" t="b">
        <f t="shared" si="1"/>
        <v>1</v>
      </c>
    </row>
    <row r="77" spans="1:26">
      <c r="A77" s="141">
        <v>62</v>
      </c>
      <c r="B77" s="141"/>
      <c r="C77" s="366"/>
      <c r="D77" s="366"/>
      <c r="E77" s="385"/>
      <c r="F77" s="99"/>
      <c r="G77" s="385"/>
      <c r="H77" s="92"/>
      <c r="I77" s="433"/>
      <c r="J77" s="137"/>
      <c r="K77" s="380"/>
      <c r="L77" s="366"/>
      <c r="M77" s="347"/>
      <c r="N77" s="432"/>
      <c r="O77" s="432"/>
      <c r="P77" s="432"/>
      <c r="Q77" s="432"/>
      <c r="R77" s="432"/>
      <c r="S77" s="432"/>
      <c r="T77" s="432"/>
      <c r="U77" s="432"/>
      <c r="V77" s="432"/>
      <c r="W77" s="456"/>
      <c r="Y77" s="366" t="b">
        <f t="shared" si="1"/>
        <v>1</v>
      </c>
    </row>
    <row r="78" spans="1:26" ht="13.5" thickBot="1">
      <c r="A78" s="141">
        <v>63</v>
      </c>
      <c r="B78" s="366"/>
      <c r="C78" s="366"/>
      <c r="D78" s="728" t="s">
        <v>1302</v>
      </c>
      <c r="E78" s="736">
        <f>SUM(E49:E77)</f>
        <v>5549745.4900000002</v>
      </c>
      <c r="F78" s="736">
        <f>SUM(F49:F77)</f>
        <v>0</v>
      </c>
      <c r="G78" s="736">
        <f>SUM(G49:G77)</f>
        <v>5549745.4900000002</v>
      </c>
      <c r="H78" s="736">
        <f>SUM(H49:H77)</f>
        <v>138904971.79800001</v>
      </c>
      <c r="I78" s="736">
        <f>SUM(I49:I77)</f>
        <v>144454717.28800002</v>
      </c>
      <c r="J78" s="366"/>
      <c r="K78" s="736">
        <f>SUM(K49:K77)</f>
        <v>144454717.28800002</v>
      </c>
      <c r="L78" s="366"/>
      <c r="M78" s="366"/>
      <c r="N78" s="736">
        <f t="shared" ref="N78:W78" si="27">SUM(N49:N77)</f>
        <v>3485548.1000000006</v>
      </c>
      <c r="O78" s="736">
        <f t="shared" si="27"/>
        <v>-178711.89</v>
      </c>
      <c r="P78" s="736">
        <f t="shared" si="27"/>
        <v>0</v>
      </c>
      <c r="Q78" s="736">
        <f t="shared" si="27"/>
        <v>3306836.2100000009</v>
      </c>
      <c r="R78" s="736">
        <f t="shared" si="27"/>
        <v>143548368.97400001</v>
      </c>
      <c r="S78" s="736">
        <f t="shared" si="27"/>
        <v>0</v>
      </c>
      <c r="T78" s="736">
        <f t="shared" si="27"/>
        <v>143548368.97400001</v>
      </c>
      <c r="U78" s="736">
        <f t="shared" si="27"/>
        <v>-2832047.5300000003</v>
      </c>
      <c r="V78" s="736">
        <f t="shared" si="27"/>
        <v>431559.63400000136</v>
      </c>
      <c r="W78" s="736">
        <f t="shared" si="27"/>
        <v>144454717.28800002</v>
      </c>
      <c r="Y78" s="366" t="b">
        <f t="shared" si="1"/>
        <v>1</v>
      </c>
    </row>
    <row r="79" spans="1:26" ht="13.5" thickTop="1">
      <c r="A79" s="180">
        <v>64</v>
      </c>
      <c r="B79" s="366"/>
      <c r="C79" s="366"/>
      <c r="D79" s="366"/>
      <c r="E79" s="366"/>
      <c r="F79" s="366"/>
      <c r="G79" s="366"/>
      <c r="H79" s="366"/>
      <c r="I79" s="366"/>
      <c r="J79" s="366"/>
      <c r="K79" s="366"/>
      <c r="L79" s="366"/>
      <c r="M79" s="366"/>
      <c r="N79" s="366"/>
      <c r="R79" s="366"/>
      <c r="U79" s="366"/>
      <c r="V79" s="366"/>
      <c r="W79" s="366"/>
    </row>
    <row r="80" spans="1:26">
      <c r="A80" s="141">
        <v>65</v>
      </c>
      <c r="B80" s="366"/>
      <c r="C80" s="366"/>
      <c r="D80" s="346" t="s">
        <v>830</v>
      </c>
      <c r="E80" s="366"/>
      <c r="F80" s="366"/>
      <c r="G80" s="366"/>
      <c r="H80" s="366"/>
      <c r="I80" s="366"/>
      <c r="J80" s="366"/>
      <c r="K80" s="366"/>
      <c r="L80" s="366"/>
      <c r="M80" s="366"/>
      <c r="N80" s="366"/>
      <c r="R80" s="366"/>
      <c r="U80" s="366"/>
      <c r="V80" s="366"/>
      <c r="W80" s="366"/>
    </row>
    <row r="81" spans="1:25">
      <c r="A81" s="141">
        <v>66</v>
      </c>
      <c r="B81" s="366"/>
      <c r="C81" s="366"/>
      <c r="D81" s="366" t="s">
        <v>854</v>
      </c>
      <c r="E81" s="366"/>
      <c r="F81" s="366"/>
      <c r="G81" s="366"/>
      <c r="H81" s="366"/>
      <c r="I81" s="366"/>
      <c r="J81" s="366"/>
      <c r="K81" s="366"/>
      <c r="L81" s="366"/>
      <c r="M81" s="366"/>
      <c r="N81" s="366"/>
      <c r="R81" s="366"/>
      <c r="U81" s="366"/>
      <c r="V81" s="366"/>
      <c r="W81" s="366"/>
    </row>
    <row r="82" spans="1:25">
      <c r="A82" s="180">
        <v>67</v>
      </c>
      <c r="B82" s="366"/>
      <c r="C82" s="366"/>
      <c r="D82" s="346" t="s">
        <v>1252</v>
      </c>
      <c r="E82" s="366"/>
      <c r="F82" s="366"/>
      <c r="G82" s="366"/>
      <c r="H82" s="366"/>
      <c r="I82" s="366"/>
      <c r="J82" s="366"/>
      <c r="K82" s="366"/>
      <c r="L82" s="366"/>
      <c r="M82" s="366"/>
      <c r="N82" s="366"/>
      <c r="R82" s="366"/>
      <c r="U82" s="366"/>
      <c r="V82" s="366"/>
      <c r="W82" s="366"/>
    </row>
    <row r="83" spans="1:25">
      <c r="A83" s="141">
        <v>68</v>
      </c>
      <c r="B83" s="366"/>
      <c r="C83" s="366"/>
      <c r="D83" s="366"/>
      <c r="E83" s="366"/>
      <c r="F83" s="366"/>
      <c r="G83" s="366"/>
      <c r="H83" s="366"/>
      <c r="I83" s="366"/>
      <c r="J83" s="366"/>
      <c r="K83" s="366"/>
      <c r="L83" s="366"/>
      <c r="M83" s="366"/>
      <c r="N83" s="366"/>
      <c r="R83" s="366"/>
      <c r="U83" s="366"/>
      <c r="V83" s="366"/>
      <c r="W83" s="366"/>
    </row>
    <row r="84" spans="1:25">
      <c r="A84" s="141">
        <v>69</v>
      </c>
      <c r="B84" s="366"/>
      <c r="C84" s="366"/>
      <c r="D84" s="349" t="s">
        <v>1199</v>
      </c>
      <c r="E84" s="432">
        <f>E19</f>
        <v>-30673.559999999998</v>
      </c>
      <c r="F84" s="432">
        <f>F19</f>
        <v>0</v>
      </c>
      <c r="G84" s="432">
        <f>G19</f>
        <v>-30673.559999999998</v>
      </c>
      <c r="H84" s="432">
        <f>H19</f>
        <v>0</v>
      </c>
      <c r="I84" s="432">
        <f>I19</f>
        <v>-30673.559999999998</v>
      </c>
      <c r="J84" s="432"/>
      <c r="K84" s="432">
        <f>K19</f>
        <v>-30673.559999999998</v>
      </c>
      <c r="L84" s="366"/>
      <c r="M84" s="366"/>
      <c r="N84" s="432">
        <f t="shared" ref="N84:W84" si="28">N19</f>
        <v>67562.64</v>
      </c>
      <c r="O84" s="432">
        <f t="shared" si="28"/>
        <v>0</v>
      </c>
      <c r="P84" s="432">
        <f t="shared" si="28"/>
        <v>0</v>
      </c>
      <c r="Q84" s="432">
        <f t="shared" si="28"/>
        <v>67562.64</v>
      </c>
      <c r="R84" s="432">
        <f t="shared" si="28"/>
        <v>-98236.2</v>
      </c>
      <c r="S84" s="432">
        <f t="shared" si="28"/>
        <v>0</v>
      </c>
      <c r="T84" s="432">
        <f t="shared" si="28"/>
        <v>-98236.2</v>
      </c>
      <c r="U84" s="432">
        <f t="shared" si="28"/>
        <v>0</v>
      </c>
      <c r="V84" s="432">
        <f t="shared" si="28"/>
        <v>0</v>
      </c>
      <c r="W84" s="432">
        <f t="shared" si="28"/>
        <v>-30673.559999999998</v>
      </c>
      <c r="Y84" s="366" t="b">
        <f t="shared" ref="Y84:Y89" si="29">+K84=W84</f>
        <v>1</v>
      </c>
    </row>
    <row r="85" spans="1:25">
      <c r="A85" s="180">
        <v>70</v>
      </c>
      <c r="B85" s="366"/>
      <c r="C85" s="366"/>
      <c r="D85" s="349" t="s">
        <v>1200</v>
      </c>
      <c r="E85" s="432">
        <f>SUM(E22:E23)+SUM(E25:E27)+SUM(E49:E54)</f>
        <v>34175451.369999997</v>
      </c>
      <c r="F85" s="432">
        <f>SUM(F22:F23)+SUM(F25:F27)+SUM(F49:F54)</f>
        <v>0</v>
      </c>
      <c r="G85" s="432">
        <f>SUM(G22:G23)+SUM(G25:G27)+SUM(G49:G54)</f>
        <v>34175451.369999997</v>
      </c>
      <c r="H85" s="432">
        <f>SUM(H22:H23)+SUM(H25:H27)+SUM(H49:H54)</f>
        <v>7161432.1899999995</v>
      </c>
      <c r="I85" s="432">
        <f>SUM(I22:I23)+SUM(I25:I27)+SUM(I49:I54)</f>
        <v>41336883.559999995</v>
      </c>
      <c r="J85" s="432"/>
      <c r="K85" s="432">
        <f>SUM(K22:K23)+SUM(K25:K27)+SUM(K49:K54)</f>
        <v>41336883.559999995</v>
      </c>
      <c r="L85" s="366"/>
      <c r="M85" s="366"/>
      <c r="N85" s="432">
        <f t="shared" ref="N85:W85" si="30">SUM(N22:N23)+SUM(N25:N27)+SUM(N49:N54)</f>
        <v>357502.31999999995</v>
      </c>
      <c r="O85" s="432">
        <f t="shared" si="30"/>
        <v>0</v>
      </c>
      <c r="P85" s="432">
        <f t="shared" si="30"/>
        <v>0</v>
      </c>
      <c r="Q85" s="432">
        <f t="shared" si="30"/>
        <v>357502.31999999995</v>
      </c>
      <c r="R85" s="432">
        <f t="shared" si="30"/>
        <v>15519422.959999997</v>
      </c>
      <c r="S85" s="432">
        <f t="shared" si="30"/>
        <v>0</v>
      </c>
      <c r="T85" s="432">
        <f t="shared" si="30"/>
        <v>15519422.959999997</v>
      </c>
      <c r="U85" s="432">
        <f t="shared" si="30"/>
        <v>25459958.280000001</v>
      </c>
      <c r="V85" s="432">
        <f t="shared" si="30"/>
        <v>0</v>
      </c>
      <c r="W85" s="432">
        <f t="shared" si="30"/>
        <v>41336883.559999995</v>
      </c>
      <c r="Y85" s="366" t="b">
        <f t="shared" si="29"/>
        <v>1</v>
      </c>
    </row>
    <row r="86" spans="1:25">
      <c r="A86" s="141">
        <v>71</v>
      </c>
      <c r="B86" s="366"/>
      <c r="C86" s="366"/>
      <c r="D86" s="349" t="s">
        <v>1201</v>
      </c>
      <c r="E86" s="432">
        <f>E45</f>
        <v>704087.09999999986</v>
      </c>
      <c r="F86" s="432">
        <f>F45</f>
        <v>0</v>
      </c>
      <c r="G86" s="432">
        <f>G45</f>
        <v>704087.09999999986</v>
      </c>
      <c r="H86" s="432">
        <f>H45</f>
        <v>-704087.09999999986</v>
      </c>
      <c r="I86" s="432">
        <f>I45</f>
        <v>0</v>
      </c>
      <c r="J86" s="432"/>
      <c r="K86" s="432">
        <f>K45</f>
        <v>0</v>
      </c>
      <c r="L86" s="366"/>
      <c r="M86" s="366"/>
      <c r="N86" s="432">
        <f t="shared" ref="N86:W86" si="31">N45</f>
        <v>0</v>
      </c>
      <c r="O86" s="432">
        <f t="shared" si="31"/>
        <v>0</v>
      </c>
      <c r="P86" s="432">
        <f t="shared" si="31"/>
        <v>0</v>
      </c>
      <c r="Q86" s="432">
        <f t="shared" si="31"/>
        <v>0</v>
      </c>
      <c r="R86" s="432">
        <f t="shared" si="31"/>
        <v>0</v>
      </c>
      <c r="S86" s="432">
        <f t="shared" si="31"/>
        <v>0</v>
      </c>
      <c r="T86" s="432">
        <f t="shared" si="31"/>
        <v>0</v>
      </c>
      <c r="U86" s="432">
        <f t="shared" si="31"/>
        <v>0</v>
      </c>
      <c r="V86" s="432">
        <f t="shared" si="31"/>
        <v>0</v>
      </c>
      <c r="W86" s="432">
        <f t="shared" si="31"/>
        <v>0</v>
      </c>
      <c r="Y86" s="366" t="b">
        <f t="shared" si="29"/>
        <v>1</v>
      </c>
    </row>
    <row r="87" spans="1:25">
      <c r="A87" s="141">
        <v>72</v>
      </c>
      <c r="B87" s="366"/>
      <c r="C87" s="366"/>
      <c r="D87" s="349" t="s">
        <v>1202</v>
      </c>
      <c r="E87" s="385">
        <f>SUM(E28:E39)+SUM(E55:E76)+E24</f>
        <v>165440265.24799997</v>
      </c>
      <c r="F87" s="385">
        <f>SUM(F28:F39)+SUM(F55:F76)+F24</f>
        <v>0</v>
      </c>
      <c r="G87" s="385">
        <f>SUM(G28:G39)+SUM(G55:G76)+G24</f>
        <v>165440265.24799997</v>
      </c>
      <c r="H87" s="385">
        <f>SUM(H28:H39)+SUM(H55:H76)+H24</f>
        <v>131743539.60800003</v>
      </c>
      <c r="I87" s="385">
        <f>SUM(I28:I39)+SUM(I55:I76)+I24</f>
        <v>297183804.85600001</v>
      </c>
      <c r="J87" s="385"/>
      <c r="K87" s="385">
        <f>SUM(K28:K39)+SUM(K55:K76)+K24</f>
        <v>297183804.85600001</v>
      </c>
      <c r="L87" s="366"/>
      <c r="M87" s="366"/>
      <c r="N87" s="385">
        <f t="shared" ref="N87:W87" si="32">SUM(N28:N39)+SUM(N55:N76)+N24</f>
        <v>15207050.398800002</v>
      </c>
      <c r="O87" s="385">
        <f t="shared" si="32"/>
        <v>873077.23000000033</v>
      </c>
      <c r="P87" s="385">
        <f t="shared" si="32"/>
        <v>0</v>
      </c>
      <c r="Q87" s="385">
        <f t="shared" si="32"/>
        <v>16080127.628800001</v>
      </c>
      <c r="R87" s="385">
        <f t="shared" si="32"/>
        <v>275896435.97319996</v>
      </c>
      <c r="S87" s="385">
        <f t="shared" si="32"/>
        <v>310723.88</v>
      </c>
      <c r="T87" s="385">
        <f t="shared" si="32"/>
        <v>276207159.89319998</v>
      </c>
      <c r="U87" s="385">
        <f t="shared" si="32"/>
        <v>1193407.0900000003</v>
      </c>
      <c r="V87" s="385">
        <f t="shared" si="32"/>
        <v>3703110.2440000055</v>
      </c>
      <c r="W87" s="385">
        <f t="shared" si="32"/>
        <v>297183804.85600001</v>
      </c>
      <c r="Y87" s="366" t="b">
        <f t="shared" si="29"/>
        <v>1</v>
      </c>
    </row>
    <row r="88" spans="1:25">
      <c r="A88" s="180">
        <v>73</v>
      </c>
      <c r="B88" s="366"/>
      <c r="C88" s="366"/>
      <c r="D88" s="249" t="s">
        <v>73</v>
      </c>
      <c r="E88" s="432">
        <f>SUM(E84:E87)</f>
        <v>200289130.15799996</v>
      </c>
      <c r="F88" s="432">
        <f t="shared" ref="F88:V88" si="33">SUM(F84:F87)</f>
        <v>0</v>
      </c>
      <c r="G88" s="432">
        <f t="shared" si="33"/>
        <v>200289130.15799996</v>
      </c>
      <c r="H88" s="432">
        <f t="shared" si="33"/>
        <v>138200884.69800001</v>
      </c>
      <c r="I88" s="432">
        <f t="shared" si="33"/>
        <v>338490014.85600001</v>
      </c>
      <c r="J88" s="432"/>
      <c r="K88" s="432">
        <f t="shared" si="33"/>
        <v>338490014.85600001</v>
      </c>
      <c r="L88" s="432"/>
      <c r="M88" s="432"/>
      <c r="N88" s="432">
        <f t="shared" si="33"/>
        <v>15632115.358800001</v>
      </c>
      <c r="O88" s="432">
        <f t="shared" si="33"/>
        <v>873077.23000000033</v>
      </c>
      <c r="P88" s="432">
        <f t="shared" si="33"/>
        <v>0</v>
      </c>
      <c r="Q88" s="432">
        <f t="shared" si="33"/>
        <v>16505192.588800002</v>
      </c>
      <c r="R88" s="432">
        <f t="shared" si="33"/>
        <v>291317622.73319995</v>
      </c>
      <c r="S88" s="432">
        <f t="shared" si="33"/>
        <v>310723.88</v>
      </c>
      <c r="T88" s="432">
        <f t="shared" si="33"/>
        <v>291628346.65319997</v>
      </c>
      <c r="U88" s="432">
        <f t="shared" si="33"/>
        <v>26653365.370000001</v>
      </c>
      <c r="V88" s="432">
        <f t="shared" si="33"/>
        <v>3703110.2440000055</v>
      </c>
      <c r="W88" s="432">
        <f>SUM(W84:W87)</f>
        <v>338490014.85600001</v>
      </c>
      <c r="Y88" s="366" t="b">
        <f t="shared" si="29"/>
        <v>1</v>
      </c>
    </row>
    <row r="89" spans="1:25">
      <c r="A89" s="141">
        <v>74</v>
      </c>
      <c r="B89" s="366"/>
      <c r="C89" s="366"/>
      <c r="D89" s="249" t="s">
        <v>1308</v>
      </c>
      <c r="E89" s="385">
        <f t="shared" ref="E89:V89" si="34">E78+E45+E40+E19</f>
        <v>200289130.15799996</v>
      </c>
      <c r="F89" s="385">
        <f t="shared" si="34"/>
        <v>0</v>
      </c>
      <c r="G89" s="385">
        <f t="shared" si="34"/>
        <v>200289130.15799996</v>
      </c>
      <c r="H89" s="385">
        <f t="shared" si="34"/>
        <v>138200884.69800001</v>
      </c>
      <c r="I89" s="385">
        <f t="shared" si="34"/>
        <v>338490014.85600001</v>
      </c>
      <c r="J89" s="385"/>
      <c r="K89" s="385">
        <f t="shared" si="34"/>
        <v>338490014.85600001</v>
      </c>
      <c r="L89" s="385"/>
      <c r="M89" s="385"/>
      <c r="N89" s="385">
        <f t="shared" si="34"/>
        <v>15632115.358800001</v>
      </c>
      <c r="O89" s="385">
        <f t="shared" si="34"/>
        <v>873077.23000000033</v>
      </c>
      <c r="P89" s="385">
        <f t="shared" si="34"/>
        <v>0</v>
      </c>
      <c r="Q89" s="385">
        <f t="shared" si="34"/>
        <v>16505192.588800004</v>
      </c>
      <c r="R89" s="385">
        <f t="shared" si="34"/>
        <v>291317622.73320001</v>
      </c>
      <c r="S89" s="385">
        <f t="shared" si="34"/>
        <v>310723.88</v>
      </c>
      <c r="T89" s="385">
        <f t="shared" si="34"/>
        <v>291628346.65319997</v>
      </c>
      <c r="U89" s="385">
        <f t="shared" si="34"/>
        <v>26653365.370000001</v>
      </c>
      <c r="V89" s="385">
        <f t="shared" si="34"/>
        <v>3703110.2440000055</v>
      </c>
      <c r="W89" s="385">
        <f>W78+W45+W40+W19</f>
        <v>338490014.85600001</v>
      </c>
      <c r="Y89" s="366" t="b">
        <f t="shared" si="29"/>
        <v>1</v>
      </c>
    </row>
    <row r="90" spans="1:25">
      <c r="A90" s="141">
        <v>75</v>
      </c>
    </row>
    <row r="91" spans="1:25">
      <c r="A91" s="180">
        <v>76</v>
      </c>
      <c r="D91" s="249" t="s">
        <v>1307</v>
      </c>
      <c r="E91" s="744">
        <f>+E88-E89</f>
        <v>0</v>
      </c>
      <c r="F91" s="744">
        <f>+F88-F89</f>
        <v>0</v>
      </c>
      <c r="G91" s="744">
        <f>+G88-G89</f>
        <v>0</v>
      </c>
      <c r="H91" s="744">
        <f>+H88-H89</f>
        <v>0</v>
      </c>
      <c r="I91" s="744">
        <f>+I88-I89</f>
        <v>0</v>
      </c>
      <c r="K91" s="744">
        <f>+K88-K89</f>
        <v>0</v>
      </c>
    </row>
    <row r="92" spans="1:25">
      <c r="E92" s="744"/>
    </row>
  </sheetData>
  <sortState xmlns:xlrd2="http://schemas.microsoft.com/office/spreadsheetml/2017/richdata2" ref="B30:K49">
    <sortCondition ref="B30:B49"/>
    <sortCondition ref="D30:D49"/>
  </sortState>
  <phoneticPr fontId="10" type="noConversion"/>
  <printOptions horizontalCentered="1"/>
  <pageMargins left="0.1" right="0.1" top="2" bottom="0.2" header="1" footer="0.5"/>
  <pageSetup scale="39" fitToWidth="2" orientation="landscape"/>
  <headerFooter alignWithMargins="0">
    <oddHeader>&amp;R&amp;"Arial,Bold"Schedule &amp;A
Page &amp;P of &amp;N&amp;C&amp;B
2025 RATE CASE
ONCOR ELECTRIC DELIVERY COMPANY LLC
II-E-4.1  DEFERRED EXPENSES FROM PRIOR DOCKETS
TEST YEAR ENDING DECEMBER 31, 2024
SPONSOR: R. PRACHYL</oddHeader>
  </headerFooter>
  <rowBreaks count="1" manualBreakCount="1">
    <brk id="46" max="22" man="1"/>
  </rowBreaks>
  <colBreaks count="1" manualBreakCount="1">
    <brk id="12" min="10" max="90" man="1"/>
  </colBreak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1"/>
  <dimension ref="A1:S192"/>
  <sheetViews>
    <sheetView topLeftCell="A10" zoomScale="85" zoomScaleNormal="85" workbookViewId="0">
      <pane xSplit="2" ySplit="1" topLeftCell="C11" activePane="bottomRight" state="frozen"/>
      <selection activeCell="I30" sqref="I30"/>
      <selection pane="topRight" activeCell="I30" sqref="I30"/>
      <selection pane="bottomLeft" activeCell="I30" sqref="I30"/>
      <selection pane="bottomRight" activeCell="C46" sqref="C46"/>
    </sheetView>
  </sheetViews>
  <sheetFormatPr defaultRowHeight="12.75"/>
  <cols>
    <col min="1" max="1" width="7.42578125" customWidth="1"/>
    <col min="2" max="2" width="15.7109375" customWidth="1"/>
    <col min="3" max="3" width="93.140625" customWidth="1"/>
    <col min="4" max="4" width="60.7109375" bestFit="1" customWidth="1"/>
    <col min="5" max="5" width="25.28515625" customWidth="1"/>
    <col min="6" max="6" width="61" bestFit="1" customWidth="1"/>
    <col min="7" max="7" width="23.28515625" bestFit="1" customWidth="1"/>
    <col min="8" max="8" width="33.85546875" bestFit="1" customWidth="1"/>
    <col min="9" max="9" width="25.5703125" bestFit="1" customWidth="1"/>
    <col min="10" max="10" width="19.140625" customWidth="1"/>
    <col min="11" max="12" width="15.7109375" customWidth="1"/>
    <col min="13" max="13" width="28.42578125" bestFit="1" customWidth="1"/>
    <col min="14" max="14" width="41.28515625" bestFit="1" customWidth="1"/>
    <col min="15" max="17" width="15.7109375" style="179" customWidth="1"/>
    <col min="18" max="18" width="15.7109375" customWidth="1"/>
    <col min="19" max="19" width="18.28515625" bestFit="1" customWidth="1"/>
  </cols>
  <sheetData>
    <row r="1" spans="1:19" s="366" customFormat="1">
      <c r="A1" s="28" t="str">
        <f>+'[3]Input Data'!$A$9</f>
        <v>2025 RATE CASE</v>
      </c>
      <c r="O1" s="179"/>
      <c r="P1" s="179"/>
      <c r="Q1" s="179"/>
    </row>
    <row r="2" spans="1:19" s="366" customFormat="1">
      <c r="A2" s="31" t="str">
        <f>+'[3]Input Data'!$A$2</f>
        <v>ONCOR ELECTRIC DELIVERY COMPANY LLC</v>
      </c>
      <c r="O2" s="179"/>
      <c r="P2" s="179"/>
      <c r="Q2" s="179"/>
    </row>
    <row r="3" spans="1:19" s="366" customFormat="1">
      <c r="A3" s="187" t="str">
        <f>CONCATENATE('[3]Schedule Sponsors'!$A$111,'[3]Schedule Sponsors'!$B$111)</f>
        <v>II-E-4.1  DEFERRED EXPENSES FROM PRIOR DOCKETS</v>
      </c>
      <c r="O3" s="179"/>
      <c r="P3" s="179"/>
      <c r="Q3" s="179"/>
    </row>
    <row r="4" spans="1:19" s="366" customFormat="1">
      <c r="A4" s="89" t="str">
        <f>+'[3]Input Data'!$A$4</f>
        <v>TEST YEAR ENDING DECEMBER 31, 2024</v>
      </c>
      <c r="O4" s="179"/>
      <c r="P4" s="179"/>
      <c r="Q4" s="179"/>
    </row>
    <row r="5" spans="1:19" s="366" customFormat="1">
      <c r="A5" s="30" t="str">
        <f>CONCATENATE("SPONSOR: ",'[3]Schedule Sponsors'!$D$111)</f>
        <v>SPONSOR: R. PRACHYL</v>
      </c>
      <c r="O5" s="179"/>
      <c r="P5" s="179"/>
      <c r="Q5" s="179"/>
    </row>
    <row r="9" spans="1:19" ht="13.5" thickBot="1"/>
    <row r="10" spans="1:19" s="436" customFormat="1" ht="65.25" thickTop="1" thickBot="1">
      <c r="A10" s="439" t="s">
        <v>539</v>
      </c>
      <c r="B10" s="439" t="s">
        <v>541</v>
      </c>
      <c r="C10" s="439" t="s">
        <v>64</v>
      </c>
      <c r="D10" s="439" t="s">
        <v>542</v>
      </c>
      <c r="E10" s="439" t="s">
        <v>551</v>
      </c>
      <c r="F10" s="439" t="s">
        <v>552</v>
      </c>
      <c r="G10" s="439" t="s">
        <v>834</v>
      </c>
      <c r="H10" s="439" t="s">
        <v>524</v>
      </c>
      <c r="I10" s="439" t="s">
        <v>543</v>
      </c>
      <c r="J10" s="439" t="s">
        <v>544</v>
      </c>
      <c r="K10" s="439" t="s">
        <v>545</v>
      </c>
      <c r="L10" s="439" t="s">
        <v>546</v>
      </c>
      <c r="M10" s="439" t="s">
        <v>555</v>
      </c>
      <c r="N10" s="439" t="s">
        <v>547</v>
      </c>
      <c r="O10" s="630" t="s">
        <v>554</v>
      </c>
      <c r="P10" s="630" t="s">
        <v>548</v>
      </c>
      <c r="Q10" s="630" t="s">
        <v>553</v>
      </c>
      <c r="R10" s="439" t="s">
        <v>549</v>
      </c>
      <c r="S10" s="439" t="s">
        <v>525</v>
      </c>
    </row>
    <row r="11" spans="1:19" s="436" customFormat="1" ht="13.5" thickTop="1">
      <c r="A11" s="438"/>
      <c r="B11" s="438" t="s">
        <v>226</v>
      </c>
      <c r="C11" s="438" t="s">
        <v>227</v>
      </c>
      <c r="D11" s="438" t="s">
        <v>228</v>
      </c>
      <c r="E11" s="438" t="s">
        <v>229</v>
      </c>
      <c r="F11" s="438" t="s">
        <v>230</v>
      </c>
      <c r="G11" s="438" t="s">
        <v>231</v>
      </c>
      <c r="H11" s="438" t="s">
        <v>232</v>
      </c>
      <c r="I11" s="438" t="s">
        <v>233</v>
      </c>
      <c r="J11" s="438" t="s">
        <v>234</v>
      </c>
      <c r="K11" s="438" t="s">
        <v>235</v>
      </c>
      <c r="L11" s="438" t="s">
        <v>236</v>
      </c>
      <c r="M11" s="438" t="s">
        <v>237</v>
      </c>
      <c r="N11" s="438" t="s">
        <v>238</v>
      </c>
      <c r="O11" s="330" t="s">
        <v>239</v>
      </c>
      <c r="P11" s="330" t="s">
        <v>240</v>
      </c>
      <c r="Q11" s="330" t="s">
        <v>140</v>
      </c>
      <c r="R11" s="438" t="s">
        <v>270</v>
      </c>
      <c r="S11" s="438" t="s">
        <v>280</v>
      </c>
    </row>
    <row r="13" spans="1:19" s="179" customFormat="1">
      <c r="A13" s="180">
        <v>1</v>
      </c>
      <c r="B13" s="366"/>
      <c r="C13" s="348" t="s">
        <v>1136</v>
      </c>
      <c r="D13" s="366"/>
      <c r="E13" s="366"/>
      <c r="F13" s="366"/>
      <c r="G13" s="366"/>
      <c r="H13" s="366"/>
      <c r="I13" s="366"/>
      <c r="J13" s="366"/>
      <c r="K13" s="366"/>
      <c r="L13" s="366"/>
      <c r="M13" s="366"/>
      <c r="N13" s="366"/>
      <c r="O13" s="366"/>
      <c r="P13" s="366"/>
      <c r="Q13" s="366"/>
      <c r="R13" s="366"/>
      <c r="S13" s="366"/>
    </row>
    <row r="14" spans="1:19" s="179" customFormat="1">
      <c r="A14" s="180">
        <v>2</v>
      </c>
      <c r="B14" s="347" t="s">
        <v>520</v>
      </c>
      <c r="C14" s="346" t="s">
        <v>468</v>
      </c>
      <c r="D14" s="721" t="s">
        <v>1137</v>
      </c>
      <c r="E14" s="385">
        <v>997299.29</v>
      </c>
      <c r="F14" s="366" t="s">
        <v>526</v>
      </c>
      <c r="G14" s="722">
        <v>14.761132207620438</v>
      </c>
      <c r="H14" s="723" t="s">
        <v>1138</v>
      </c>
      <c r="I14" s="385">
        <v>411756.93</v>
      </c>
      <c r="J14" s="385">
        <v>67562.64</v>
      </c>
      <c r="K14" s="385">
        <f>J14</f>
        <v>67562.64</v>
      </c>
      <c r="L14" s="385">
        <v>517979.78</v>
      </c>
      <c r="M14" s="724">
        <f>L14/K14</f>
        <v>7.6666598581701368</v>
      </c>
      <c r="N14" s="724" t="s">
        <v>863</v>
      </c>
      <c r="O14" s="724">
        <v>14.8</v>
      </c>
      <c r="P14" s="128">
        <f>K14-J14</f>
        <v>0</v>
      </c>
      <c r="Q14" s="725"/>
      <c r="R14" s="724" t="s">
        <v>220</v>
      </c>
      <c r="S14" s="724" t="s">
        <v>528</v>
      </c>
    </row>
    <row r="15" spans="1:19" s="179" customFormat="1">
      <c r="A15" s="180">
        <v>3</v>
      </c>
      <c r="B15" s="347" t="s">
        <v>520</v>
      </c>
      <c r="C15" s="366" t="s">
        <v>832</v>
      </c>
      <c r="D15" s="721" t="s">
        <v>1139</v>
      </c>
      <c r="E15" s="726">
        <v>-2848484.61</v>
      </c>
      <c r="F15" s="366" t="s">
        <v>833</v>
      </c>
      <c r="G15" s="722">
        <v>28.996282531286834</v>
      </c>
      <c r="H15" s="366" t="s">
        <v>657</v>
      </c>
      <c r="I15" s="726">
        <f>E15-L15-J15</f>
        <v>-778696.47</v>
      </c>
      <c r="J15" s="726">
        <v>-98236.2</v>
      </c>
      <c r="K15" s="727">
        <f t="shared" ref="K15:K36" si="0">J15</f>
        <v>-98236.2</v>
      </c>
      <c r="L15" s="726">
        <v>-1971551.94</v>
      </c>
      <c r="M15" s="724">
        <f>L15/K15</f>
        <v>20.069505335100501</v>
      </c>
      <c r="N15" s="724" t="s">
        <v>864</v>
      </c>
      <c r="O15" s="724">
        <v>29</v>
      </c>
      <c r="P15" s="680">
        <f t="shared" ref="P15:P36" si="1">K15-J15</f>
        <v>0</v>
      </c>
      <c r="Q15" s="725"/>
      <c r="R15" s="724" t="s">
        <v>220</v>
      </c>
      <c r="S15" s="724" t="s">
        <v>528</v>
      </c>
    </row>
    <row r="16" spans="1:19" s="179" customFormat="1" ht="13.5" thickBot="1">
      <c r="A16" s="180">
        <v>4</v>
      </c>
      <c r="B16" s="347"/>
      <c r="C16" s="728" t="s">
        <v>1140</v>
      </c>
      <c r="D16" s="721"/>
      <c r="E16" s="732">
        <f>SUM(E14:E15)</f>
        <v>-1851185.3199999998</v>
      </c>
      <c r="F16" s="366"/>
      <c r="G16" s="722"/>
      <c r="H16" s="366"/>
      <c r="I16" s="432">
        <f>SUM(I14:I15)</f>
        <v>-366939.54</v>
      </c>
      <c r="J16" s="432">
        <f t="shared" ref="J16:L16" si="2">SUM(J14:J15)</f>
        <v>-30673.559999999998</v>
      </c>
      <c r="K16" s="432">
        <f t="shared" si="2"/>
        <v>-30673.559999999998</v>
      </c>
      <c r="L16" s="432">
        <f t="shared" si="2"/>
        <v>-1453572.16</v>
      </c>
      <c r="M16" s="724"/>
      <c r="N16" s="724"/>
      <c r="O16" s="724"/>
      <c r="P16" s="128">
        <f>SUM(P14:P15)</f>
        <v>0</v>
      </c>
      <c r="Q16" s="385"/>
      <c r="R16" s="724"/>
      <c r="S16" s="724"/>
    </row>
    <row r="17" spans="1:19" s="179" customFormat="1" ht="13.5" thickTop="1">
      <c r="A17" s="180">
        <v>5</v>
      </c>
      <c r="B17" s="347"/>
      <c r="C17" s="729"/>
      <c r="D17" s="721"/>
      <c r="E17" s="432"/>
      <c r="F17" s="366"/>
      <c r="G17" s="722"/>
      <c r="H17" s="366"/>
      <c r="I17" s="432"/>
      <c r="J17" s="432"/>
      <c r="K17" s="432"/>
      <c r="L17" s="432"/>
      <c r="M17" s="724"/>
      <c r="N17" s="724"/>
      <c r="O17" s="724"/>
      <c r="P17" s="385"/>
      <c r="Q17" s="385"/>
      <c r="R17" s="724"/>
      <c r="S17" s="724"/>
    </row>
    <row r="18" spans="1:19" s="179" customFormat="1">
      <c r="A18" s="180">
        <v>6</v>
      </c>
      <c r="B18" s="347"/>
      <c r="C18" s="348" t="s">
        <v>1328</v>
      </c>
      <c r="D18" s="721"/>
      <c r="E18" s="432"/>
      <c r="F18" s="366"/>
      <c r="G18" s="742" t="s">
        <v>1203</v>
      </c>
      <c r="H18" s="366"/>
      <c r="I18" s="432"/>
      <c r="J18" s="432"/>
      <c r="K18" s="432"/>
      <c r="L18" s="432"/>
      <c r="M18" s="741" t="s">
        <v>1204</v>
      </c>
      <c r="N18" s="724"/>
      <c r="O18" s="724"/>
      <c r="P18" s="385"/>
      <c r="Q18" s="385"/>
      <c r="R18" s="724"/>
      <c r="S18" s="724"/>
    </row>
    <row r="19" spans="1:19" s="179" customFormat="1">
      <c r="A19" s="180">
        <v>7</v>
      </c>
      <c r="B19" s="347" t="s">
        <v>647</v>
      </c>
      <c r="C19" s="366" t="s">
        <v>1141</v>
      </c>
      <c r="D19" s="346" t="s">
        <v>1142</v>
      </c>
      <c r="E19" s="128">
        <v>127299791.38</v>
      </c>
      <c r="F19" s="366" t="s">
        <v>658</v>
      </c>
      <c r="G19" s="722">
        <v>5</v>
      </c>
      <c r="H19" s="346" t="s">
        <v>1143</v>
      </c>
      <c r="I19" s="128">
        <f>E19-L19-J19</f>
        <v>44215032.310000002</v>
      </c>
      <c r="J19" s="128">
        <v>25459958.280000001</v>
      </c>
      <c r="K19" s="128">
        <f t="shared" si="0"/>
        <v>25459958.280000001</v>
      </c>
      <c r="L19" s="128">
        <v>57624800.789999999</v>
      </c>
      <c r="M19" s="724">
        <f>L19/K19</f>
        <v>2.2633501656311434</v>
      </c>
      <c r="N19" s="730" t="s">
        <v>1144</v>
      </c>
      <c r="O19" s="724">
        <v>5</v>
      </c>
      <c r="P19" s="128">
        <f t="shared" si="1"/>
        <v>0</v>
      </c>
      <c r="Q19" s="725"/>
      <c r="R19" s="724" t="s">
        <v>220</v>
      </c>
      <c r="S19" s="724" t="s">
        <v>529</v>
      </c>
    </row>
    <row r="20" spans="1:19" s="179" customFormat="1">
      <c r="A20" s="180">
        <v>8</v>
      </c>
      <c r="B20" s="347" t="s">
        <v>647</v>
      </c>
      <c r="C20" s="366" t="s">
        <v>1145</v>
      </c>
      <c r="D20" s="346" t="s">
        <v>1146</v>
      </c>
      <c r="E20" s="432">
        <f>75267069.37-E21</f>
        <v>55592257.440000005</v>
      </c>
      <c r="F20" s="103" t="s">
        <v>868</v>
      </c>
      <c r="G20" s="722">
        <v>5</v>
      </c>
      <c r="H20" s="346" t="str">
        <f>H19</f>
        <v>May 1, 2023 (Docket 53601 rates)</v>
      </c>
      <c r="I20" s="99">
        <f>9856741.32-I21</f>
        <v>7280615.1899999995</v>
      </c>
      <c r="J20" s="99">
        <f>15053413.87-J21</f>
        <v>11119102.149999999</v>
      </c>
      <c r="K20" s="99">
        <f>15053413.87-K21</f>
        <v>11119102.149999999</v>
      </c>
      <c r="L20" s="99">
        <f>E20-I20-J20</f>
        <v>37192540.100000009</v>
      </c>
      <c r="M20" s="724">
        <f t="shared" ref="M20:M36" si="3">L20/K20</f>
        <v>3.3449229621476237</v>
      </c>
      <c r="N20" s="730" t="s">
        <v>1144</v>
      </c>
      <c r="O20" s="724">
        <v>5</v>
      </c>
      <c r="P20" s="99">
        <f t="shared" si="1"/>
        <v>0</v>
      </c>
      <c r="Q20" s="725"/>
      <c r="R20" s="724" t="s">
        <v>220</v>
      </c>
      <c r="S20" s="724" t="s">
        <v>529</v>
      </c>
    </row>
    <row r="21" spans="1:19" s="179" customFormat="1">
      <c r="A21" s="180">
        <v>9</v>
      </c>
      <c r="B21" s="347" t="s">
        <v>653</v>
      </c>
      <c r="C21" s="366" t="s">
        <v>1145</v>
      </c>
      <c r="D21" s="346" t="s">
        <v>1146</v>
      </c>
      <c r="E21" s="432">
        <v>19674811.93</v>
      </c>
      <c r="F21" s="103" t="s">
        <v>868</v>
      </c>
      <c r="G21" s="722">
        <v>5</v>
      </c>
      <c r="H21" s="346" t="str">
        <f t="shared" ref="H21:H36" si="4">H20</f>
        <v>May 1, 2023 (Docket 53601 rates)</v>
      </c>
      <c r="I21" s="110">
        <v>2576126.1300000004</v>
      </c>
      <c r="J21" s="99">
        <v>3934311.72</v>
      </c>
      <c r="K21" s="99">
        <v>3934311.72</v>
      </c>
      <c r="L21" s="99">
        <f>E21-I21-J21</f>
        <v>13164374.08</v>
      </c>
      <c r="M21" s="724">
        <f t="shared" si="3"/>
        <v>3.3460424635595474</v>
      </c>
      <c r="N21" s="730" t="s">
        <v>1144</v>
      </c>
      <c r="O21" s="724">
        <v>5</v>
      </c>
      <c r="P21" s="99">
        <f t="shared" si="1"/>
        <v>0</v>
      </c>
      <c r="Q21" s="725"/>
      <c r="R21" s="731" t="s">
        <v>532</v>
      </c>
      <c r="S21" s="724" t="s">
        <v>529</v>
      </c>
    </row>
    <row r="22" spans="1:19" s="179" customFormat="1">
      <c r="A22" s="180">
        <v>10</v>
      </c>
      <c r="B22" s="347" t="s">
        <v>647</v>
      </c>
      <c r="C22" s="366" t="s">
        <v>648</v>
      </c>
      <c r="D22" s="346" t="s">
        <v>1147</v>
      </c>
      <c r="E22" s="432">
        <v>1518897.72</v>
      </c>
      <c r="F22" s="366" t="s">
        <v>659</v>
      </c>
      <c r="G22" s="722">
        <v>5</v>
      </c>
      <c r="H22" s="346" t="str">
        <f t="shared" si="4"/>
        <v>May 1, 2023 (Docket 53601 rates)</v>
      </c>
      <c r="I22" s="99">
        <v>202519.68000000002</v>
      </c>
      <c r="J22" s="99">
        <v>303779.51999999996</v>
      </c>
      <c r="K22" s="99">
        <v>303779.51999999996</v>
      </c>
      <c r="L22" s="99">
        <v>1012598.52</v>
      </c>
      <c r="M22" s="724">
        <f t="shared" si="3"/>
        <v>3.333333728356672</v>
      </c>
      <c r="N22" s="730" t="s">
        <v>1144</v>
      </c>
      <c r="O22" s="724">
        <v>5</v>
      </c>
      <c r="P22" s="99">
        <f t="shared" si="1"/>
        <v>0</v>
      </c>
      <c r="Q22" s="725"/>
      <c r="R22" s="724" t="s">
        <v>220</v>
      </c>
      <c r="S22" s="724" t="s">
        <v>529</v>
      </c>
    </row>
    <row r="23" spans="1:19" s="179" customFormat="1">
      <c r="A23" s="180">
        <v>11</v>
      </c>
      <c r="B23" s="347" t="s">
        <v>647</v>
      </c>
      <c r="C23" s="346" t="s">
        <v>1148</v>
      </c>
      <c r="D23" s="721" t="s">
        <v>1149</v>
      </c>
      <c r="E23" s="432">
        <v>-163118.06</v>
      </c>
      <c r="F23" s="366" t="s">
        <v>862</v>
      </c>
      <c r="G23" s="722">
        <v>5</v>
      </c>
      <c r="H23" s="346" t="str">
        <f t="shared" si="4"/>
        <v>May 1, 2023 (Docket 53601 rates)</v>
      </c>
      <c r="I23" s="99">
        <v>-21747.46</v>
      </c>
      <c r="J23" s="99">
        <v>-32624.000000000004</v>
      </c>
      <c r="K23" s="99">
        <f t="shared" si="0"/>
        <v>-32624.000000000004</v>
      </c>
      <c r="L23" s="99">
        <f>E23-I23-J23</f>
        <v>-108746.6</v>
      </c>
      <c r="M23" s="724">
        <f t="shared" si="3"/>
        <v>3.3333312898479646</v>
      </c>
      <c r="N23" s="730" t="s">
        <v>1144</v>
      </c>
      <c r="O23" s="724">
        <v>5</v>
      </c>
      <c r="P23" s="99">
        <f t="shared" si="1"/>
        <v>0</v>
      </c>
      <c r="Q23" s="725"/>
      <c r="R23" s="724" t="s">
        <v>220</v>
      </c>
      <c r="S23" s="724" t="s">
        <v>529</v>
      </c>
    </row>
    <row r="24" spans="1:19" s="179" customFormat="1">
      <c r="A24" s="180">
        <v>12</v>
      </c>
      <c r="B24" s="347" t="s">
        <v>647</v>
      </c>
      <c r="C24" s="346" t="s">
        <v>1150</v>
      </c>
      <c r="D24" s="721" t="s">
        <v>1149</v>
      </c>
      <c r="E24" s="432">
        <f>-13536942.92-E23</f>
        <v>-13373824.859999999</v>
      </c>
      <c r="F24" s="366" t="s">
        <v>862</v>
      </c>
      <c r="G24" s="722">
        <v>5</v>
      </c>
      <c r="H24" s="346" t="str">
        <f t="shared" si="4"/>
        <v>May 1, 2023 (Docket 53601 rates)</v>
      </c>
      <c r="I24" s="99">
        <v>-1751396.13</v>
      </c>
      <c r="J24" s="99">
        <v>-2674764.58</v>
      </c>
      <c r="K24" s="99">
        <f t="shared" si="0"/>
        <v>-2674764.58</v>
      </c>
      <c r="L24" s="99">
        <f>E24-I24-J24</f>
        <v>-8947664.1500000004</v>
      </c>
      <c r="M24" s="724">
        <f t="shared" si="3"/>
        <v>3.3452155815522278</v>
      </c>
      <c r="N24" s="730" t="s">
        <v>1144</v>
      </c>
      <c r="O24" s="724">
        <v>5</v>
      </c>
      <c r="P24" s="99">
        <f t="shared" si="1"/>
        <v>0</v>
      </c>
      <c r="Q24" s="725"/>
      <c r="R24" s="724" t="s">
        <v>220</v>
      </c>
      <c r="S24" s="724" t="s">
        <v>529</v>
      </c>
    </row>
    <row r="25" spans="1:19" s="179" customFormat="1">
      <c r="A25" s="180">
        <v>13</v>
      </c>
      <c r="B25" s="347" t="s">
        <v>649</v>
      </c>
      <c r="C25" s="366" t="s">
        <v>650</v>
      </c>
      <c r="D25" s="346" t="s">
        <v>1151</v>
      </c>
      <c r="E25" s="432">
        <v>7513400.1899999995</v>
      </c>
      <c r="F25" s="103" t="s">
        <v>866</v>
      </c>
      <c r="G25" s="722">
        <v>5</v>
      </c>
      <c r="H25" s="346" t="str">
        <f t="shared" si="4"/>
        <v>May 1, 2023 (Docket 53601 rates)</v>
      </c>
      <c r="I25" s="99">
        <v>1000329.4599999998</v>
      </c>
      <c r="J25" s="99">
        <v>1502680.08</v>
      </c>
      <c r="K25" s="99">
        <f t="shared" si="0"/>
        <v>1502680.08</v>
      </c>
      <c r="L25" s="99">
        <f>E25-I25-J25</f>
        <v>5010390.6499999994</v>
      </c>
      <c r="M25" s="724">
        <f t="shared" si="3"/>
        <v>3.3343029675351783</v>
      </c>
      <c r="N25" s="730" t="s">
        <v>1144</v>
      </c>
      <c r="O25" s="724">
        <v>5</v>
      </c>
      <c r="P25" s="99">
        <f t="shared" si="1"/>
        <v>0</v>
      </c>
      <c r="Q25" s="725"/>
      <c r="R25" s="731" t="s">
        <v>532</v>
      </c>
      <c r="S25" s="724" t="s">
        <v>529</v>
      </c>
    </row>
    <row r="26" spans="1:19" s="179" customFormat="1">
      <c r="A26" s="180">
        <v>14</v>
      </c>
      <c r="B26" s="347" t="s">
        <v>651</v>
      </c>
      <c r="C26" s="366" t="s">
        <v>652</v>
      </c>
      <c r="D26" s="346" t="s">
        <v>1152</v>
      </c>
      <c r="E26" s="432">
        <v>34618626.280000001</v>
      </c>
      <c r="F26" s="103" t="s">
        <v>867</v>
      </c>
      <c r="G26" s="722">
        <v>5</v>
      </c>
      <c r="H26" s="346" t="str">
        <f t="shared" si="4"/>
        <v>May 1, 2023 (Docket 53601 rates)</v>
      </c>
      <c r="I26" s="99">
        <v>4540692.7199999988</v>
      </c>
      <c r="J26" s="99">
        <v>6923725.3200000012</v>
      </c>
      <c r="K26" s="99">
        <f t="shared" si="0"/>
        <v>6923725.3200000012</v>
      </c>
      <c r="L26" s="99">
        <f>E26-I26-J26</f>
        <v>23154208.240000002</v>
      </c>
      <c r="M26" s="724">
        <f t="shared" si="3"/>
        <v>3.3441835384653875</v>
      </c>
      <c r="N26" s="730" t="s">
        <v>1144</v>
      </c>
      <c r="O26" s="724">
        <v>5</v>
      </c>
      <c r="P26" s="99">
        <f t="shared" si="1"/>
        <v>0</v>
      </c>
      <c r="Q26" s="725"/>
      <c r="R26" s="731" t="s">
        <v>532</v>
      </c>
      <c r="S26" s="724" t="s">
        <v>529</v>
      </c>
    </row>
    <row r="27" spans="1:19" s="179" customFormat="1">
      <c r="A27" s="180">
        <v>15</v>
      </c>
      <c r="B27" s="347" t="s">
        <v>523</v>
      </c>
      <c r="C27" s="346" t="s">
        <v>1153</v>
      </c>
      <c r="D27" s="346" t="s">
        <v>1149</v>
      </c>
      <c r="E27" s="432">
        <f>8358754</f>
        <v>8358754</v>
      </c>
      <c r="F27" s="349" t="s">
        <v>1154</v>
      </c>
      <c r="G27" s="722">
        <v>5</v>
      </c>
      <c r="H27" s="346" t="str">
        <f t="shared" si="4"/>
        <v>May 1, 2023 (Docket 53601 rates)</v>
      </c>
      <c r="I27" s="99">
        <f>+(22329.78*16)+3189.97+119448.46+(139312.57*7)</f>
        <v>1455102.9</v>
      </c>
      <c r="J27" s="99">
        <v>1671750.84</v>
      </c>
      <c r="K27" s="99">
        <f t="shared" si="0"/>
        <v>1671750.84</v>
      </c>
      <c r="L27" s="99">
        <f>E27-I27-J27</f>
        <v>5231900.26</v>
      </c>
      <c r="M27" s="724">
        <f t="shared" si="3"/>
        <v>3.1295933190618284</v>
      </c>
      <c r="N27" s="730" t="s">
        <v>1144</v>
      </c>
      <c r="O27" s="724">
        <v>5</v>
      </c>
      <c r="P27" s="99">
        <f t="shared" si="1"/>
        <v>0</v>
      </c>
      <c r="Q27" s="725"/>
      <c r="R27" s="731" t="s">
        <v>532</v>
      </c>
      <c r="S27" s="724" t="s">
        <v>529</v>
      </c>
    </row>
    <row r="28" spans="1:19" s="179" customFormat="1">
      <c r="A28" s="180">
        <v>16</v>
      </c>
      <c r="B28" s="347" t="s">
        <v>521</v>
      </c>
      <c r="C28" s="346" t="s">
        <v>1155</v>
      </c>
      <c r="D28" s="346" t="s">
        <v>1156</v>
      </c>
      <c r="E28" s="432">
        <v>590462763.55999994</v>
      </c>
      <c r="F28" s="349" t="s">
        <v>1157</v>
      </c>
      <c r="G28" s="722">
        <v>5</v>
      </c>
      <c r="H28" s="346" t="str">
        <f t="shared" si="4"/>
        <v>May 1, 2023 (Docket 53601 rates)</v>
      </c>
      <c r="I28" s="99">
        <v>133190153.79000001</v>
      </c>
      <c r="J28" s="99">
        <v>118448241.83999999</v>
      </c>
      <c r="K28" s="99">
        <f t="shared" si="0"/>
        <v>118448241.83999999</v>
      </c>
      <c r="L28" s="99">
        <f t="shared" ref="L28:L32" si="5">E28-I28-J28</f>
        <v>338824367.92999995</v>
      </c>
      <c r="M28" s="724">
        <f t="shared" si="3"/>
        <v>2.8605267808675814</v>
      </c>
      <c r="N28" s="730" t="s">
        <v>1144</v>
      </c>
      <c r="O28" s="724">
        <v>5</v>
      </c>
      <c r="P28" s="99">
        <f t="shared" si="1"/>
        <v>0</v>
      </c>
      <c r="Q28" s="725"/>
      <c r="R28" s="731" t="s">
        <v>531</v>
      </c>
      <c r="S28" s="724" t="s">
        <v>529</v>
      </c>
    </row>
    <row r="29" spans="1:19" s="179" customFormat="1">
      <c r="A29" s="180">
        <v>17</v>
      </c>
      <c r="B29" s="347" t="s">
        <v>521</v>
      </c>
      <c r="C29" s="346" t="s">
        <v>1158</v>
      </c>
      <c r="D29" s="346" t="s">
        <v>1156</v>
      </c>
      <c r="E29" s="432">
        <v>3653514.49</v>
      </c>
      <c r="F29" s="349" t="s">
        <v>1157</v>
      </c>
      <c r="G29" s="722">
        <v>5</v>
      </c>
      <c r="H29" s="346" t="str">
        <f t="shared" si="4"/>
        <v>May 1, 2023 (Docket 53601 rates)</v>
      </c>
      <c r="I29" s="99">
        <f>60891.91*8</f>
        <v>487135.28</v>
      </c>
      <c r="J29" s="99">
        <v>730702.92000000027</v>
      </c>
      <c r="K29" s="99">
        <f t="shared" si="0"/>
        <v>730702.92000000027</v>
      </c>
      <c r="L29" s="99">
        <f t="shared" si="5"/>
        <v>2435676.2899999996</v>
      </c>
      <c r="M29" s="724">
        <f t="shared" si="3"/>
        <v>3.3333331827933557</v>
      </c>
      <c r="N29" s="730" t="s">
        <v>1144</v>
      </c>
      <c r="O29" s="724">
        <v>5</v>
      </c>
      <c r="P29" s="99">
        <f t="shared" si="1"/>
        <v>0</v>
      </c>
      <c r="Q29" s="725"/>
      <c r="R29" s="731" t="s">
        <v>531</v>
      </c>
      <c r="S29" s="724" t="s">
        <v>529</v>
      </c>
    </row>
    <row r="30" spans="1:19" s="179" customFormat="1">
      <c r="A30" s="180">
        <v>18</v>
      </c>
      <c r="B30" s="347" t="s">
        <v>443</v>
      </c>
      <c r="C30" s="346" t="s">
        <v>1155</v>
      </c>
      <c r="D30" s="346" t="s">
        <v>1156</v>
      </c>
      <c r="E30" s="432">
        <v>-5570621.0200000014</v>
      </c>
      <c r="F30" s="349" t="s">
        <v>1157</v>
      </c>
      <c r="G30" s="722">
        <v>5</v>
      </c>
      <c r="H30" s="346" t="str">
        <f t="shared" si="4"/>
        <v>May 1, 2023 (Docket 53601 rates)</v>
      </c>
      <c r="I30" s="99">
        <v>819166.64</v>
      </c>
      <c r="J30" s="99">
        <v>-1469813.2799999998</v>
      </c>
      <c r="K30" s="99">
        <f t="shared" si="0"/>
        <v>-1469813.2799999998</v>
      </c>
      <c r="L30" s="99">
        <f t="shared" si="5"/>
        <v>-4919974.3800000008</v>
      </c>
      <c r="M30" s="724">
        <f t="shared" si="3"/>
        <v>3.3473465282610602</v>
      </c>
      <c r="N30" s="730" t="s">
        <v>1144</v>
      </c>
      <c r="O30" s="724">
        <v>5</v>
      </c>
      <c r="P30" s="99">
        <f t="shared" si="1"/>
        <v>0</v>
      </c>
      <c r="Q30" s="725"/>
      <c r="R30" s="731" t="s">
        <v>531</v>
      </c>
      <c r="S30" s="724" t="s">
        <v>529</v>
      </c>
    </row>
    <row r="31" spans="1:19" s="179" customFormat="1">
      <c r="A31" s="180">
        <v>19</v>
      </c>
      <c r="B31" s="347" t="s">
        <v>386</v>
      </c>
      <c r="C31" s="366" t="s">
        <v>1159</v>
      </c>
      <c r="D31" s="346" t="s">
        <v>1160</v>
      </c>
      <c r="E31" s="432">
        <v>155537673.78</v>
      </c>
      <c r="F31" s="349" t="s">
        <v>1157</v>
      </c>
      <c r="G31" s="722">
        <v>5</v>
      </c>
      <c r="H31" s="346" t="str">
        <f t="shared" si="4"/>
        <v>May 1, 2023 (Docket 53601 rates)</v>
      </c>
      <c r="I31" s="99">
        <v>61606883.119999997</v>
      </c>
      <c r="J31" s="99">
        <v>31107534.960000001</v>
      </c>
      <c r="K31" s="99">
        <f t="shared" si="0"/>
        <v>31107534.960000001</v>
      </c>
      <c r="L31" s="99">
        <f t="shared" si="5"/>
        <v>62823255.699999996</v>
      </c>
      <c r="M31" s="724">
        <f t="shared" si="3"/>
        <v>2.0195510759943542</v>
      </c>
      <c r="N31" s="730" t="s">
        <v>1144</v>
      </c>
      <c r="O31" s="724">
        <v>5</v>
      </c>
      <c r="P31" s="99">
        <f t="shared" si="1"/>
        <v>0</v>
      </c>
      <c r="Q31" s="725"/>
      <c r="R31" s="731" t="s">
        <v>531</v>
      </c>
      <c r="S31" s="724" t="s">
        <v>529</v>
      </c>
    </row>
    <row r="32" spans="1:19" s="179" customFormat="1">
      <c r="A32" s="180">
        <v>20</v>
      </c>
      <c r="B32" s="347" t="s">
        <v>386</v>
      </c>
      <c r="C32" s="346" t="s">
        <v>1161</v>
      </c>
      <c r="D32" s="346" t="s">
        <v>1160</v>
      </c>
      <c r="E32" s="432">
        <v>-20473234.519999996</v>
      </c>
      <c r="F32" s="349" t="s">
        <v>1157</v>
      </c>
      <c r="G32" s="722">
        <v>5</v>
      </c>
      <c r="H32" s="346" t="str">
        <f t="shared" si="4"/>
        <v>May 1, 2023 (Docket 53601 rates)</v>
      </c>
      <c r="I32" s="99">
        <v>2997214.28</v>
      </c>
      <c r="J32" s="99">
        <v>-4094646.72</v>
      </c>
      <c r="K32" s="99">
        <f t="shared" si="0"/>
        <v>-4094646.72</v>
      </c>
      <c r="L32" s="99">
        <f t="shared" si="5"/>
        <v>-19375802.079999998</v>
      </c>
      <c r="M32" s="724">
        <f t="shared" si="3"/>
        <v>4.7319838327835022</v>
      </c>
      <c r="N32" s="730" t="s">
        <v>1144</v>
      </c>
      <c r="O32" s="724">
        <v>5</v>
      </c>
      <c r="P32" s="99">
        <f t="shared" si="1"/>
        <v>0</v>
      </c>
      <c r="Q32" s="725"/>
      <c r="R32" s="731" t="s">
        <v>531</v>
      </c>
      <c r="S32" s="724" t="s">
        <v>529</v>
      </c>
    </row>
    <row r="33" spans="1:19" s="179" customFormat="1">
      <c r="A33" s="180">
        <v>21</v>
      </c>
      <c r="B33" s="347" t="s">
        <v>522</v>
      </c>
      <c r="C33" s="366" t="s">
        <v>1162</v>
      </c>
      <c r="D33" s="366" t="s">
        <v>1163</v>
      </c>
      <c r="E33" s="432">
        <v>2602847.86</v>
      </c>
      <c r="F33" s="346" t="s">
        <v>662</v>
      </c>
      <c r="G33" s="722">
        <v>5</v>
      </c>
      <c r="H33" s="346" t="str">
        <f t="shared" si="4"/>
        <v>May 1, 2023 (Docket 53601 rates)</v>
      </c>
      <c r="I33" s="110">
        <v>569413.68000000005</v>
      </c>
      <c r="J33" s="99">
        <f>43380.79*12</f>
        <v>520569.48</v>
      </c>
      <c r="K33" s="99">
        <f t="shared" si="0"/>
        <v>520569.48</v>
      </c>
      <c r="L33" s="99">
        <f>E33-I33-J33</f>
        <v>1512864.6999999997</v>
      </c>
      <c r="M33" s="724">
        <f t="shared" si="3"/>
        <v>2.9061724863316991</v>
      </c>
      <c r="N33" s="730" t="s">
        <v>1144</v>
      </c>
      <c r="O33" s="724">
        <v>5</v>
      </c>
      <c r="P33" s="99">
        <f t="shared" si="1"/>
        <v>0</v>
      </c>
      <c r="Q33" s="725"/>
      <c r="R33" s="731" t="s">
        <v>531</v>
      </c>
      <c r="S33" s="724" t="s">
        <v>529</v>
      </c>
    </row>
    <row r="34" spans="1:19" s="179" customFormat="1">
      <c r="A34" s="180">
        <v>22</v>
      </c>
      <c r="B34" s="347" t="s">
        <v>522</v>
      </c>
      <c r="C34" s="366" t="s">
        <v>1164</v>
      </c>
      <c r="D34" s="346" t="s">
        <v>1165</v>
      </c>
      <c r="E34" s="432">
        <v>627362.99</v>
      </c>
      <c r="F34" s="103" t="s">
        <v>661</v>
      </c>
      <c r="G34" s="722">
        <v>5</v>
      </c>
      <c r="H34" s="346" t="str">
        <f t="shared" si="4"/>
        <v>May 1, 2023 (Docket 53601 rates)</v>
      </c>
      <c r="I34" s="99">
        <v>82157.37</v>
      </c>
      <c r="J34" s="749">
        <v>125472.59800000001</v>
      </c>
      <c r="K34" s="99">
        <f t="shared" si="0"/>
        <v>125472.59800000001</v>
      </c>
      <c r="L34" s="99">
        <f>E34-I34-J34</f>
        <v>419733.022</v>
      </c>
      <c r="M34" s="724">
        <f t="shared" si="3"/>
        <v>3.3452166344718548</v>
      </c>
      <c r="N34" s="730" t="s">
        <v>1144</v>
      </c>
      <c r="O34" s="724">
        <v>5</v>
      </c>
      <c r="P34" s="99">
        <f t="shared" si="1"/>
        <v>0</v>
      </c>
      <c r="Q34" s="725"/>
      <c r="R34" s="731" t="s">
        <v>531</v>
      </c>
      <c r="S34" s="724" t="s">
        <v>529</v>
      </c>
    </row>
    <row r="35" spans="1:19" s="179" customFormat="1">
      <c r="A35" s="180">
        <v>23</v>
      </c>
      <c r="B35" s="347" t="s">
        <v>522</v>
      </c>
      <c r="C35" s="366" t="s">
        <v>655</v>
      </c>
      <c r="D35" s="366" t="s">
        <v>1166</v>
      </c>
      <c r="E35" s="432">
        <v>81644.490000000005</v>
      </c>
      <c r="F35" s="103" t="s">
        <v>869</v>
      </c>
      <c r="G35" s="722">
        <v>5</v>
      </c>
      <c r="H35" s="346" t="str">
        <f t="shared" si="4"/>
        <v>May 1, 2023 (Docket 53601 rates)</v>
      </c>
      <c r="I35" s="99">
        <v>10691.96</v>
      </c>
      <c r="J35" s="99">
        <v>16329</v>
      </c>
      <c r="K35" s="99">
        <f t="shared" si="0"/>
        <v>16329</v>
      </c>
      <c r="L35" s="99">
        <f t="shared" ref="L35:L36" si="6">E35-I35-J35</f>
        <v>54623.53</v>
      </c>
      <c r="M35" s="724">
        <f t="shared" si="3"/>
        <v>3.3451852532304489</v>
      </c>
      <c r="N35" s="730" t="s">
        <v>1144</v>
      </c>
      <c r="O35" s="724">
        <v>5</v>
      </c>
      <c r="P35" s="99">
        <f t="shared" si="1"/>
        <v>0</v>
      </c>
      <c r="Q35" s="725"/>
      <c r="R35" s="731" t="s">
        <v>531</v>
      </c>
      <c r="S35" s="724" t="s">
        <v>529</v>
      </c>
    </row>
    <row r="36" spans="1:19" s="179" customFormat="1">
      <c r="A36" s="180">
        <v>24</v>
      </c>
      <c r="B36" s="347" t="s">
        <v>522</v>
      </c>
      <c r="C36" s="366" t="s">
        <v>656</v>
      </c>
      <c r="D36" s="366" t="s">
        <v>1167</v>
      </c>
      <c r="E36" s="432">
        <v>2368303.2899999991</v>
      </c>
      <c r="F36" s="103" t="s">
        <v>870</v>
      </c>
      <c r="G36" s="722">
        <v>5</v>
      </c>
      <c r="H36" s="346" t="str">
        <f t="shared" si="4"/>
        <v>May 1, 2023 (Docket 53601 rates)</v>
      </c>
      <c r="I36" s="99">
        <v>310145.33</v>
      </c>
      <c r="J36" s="99">
        <v>473661</v>
      </c>
      <c r="K36" s="99">
        <f t="shared" si="0"/>
        <v>473661</v>
      </c>
      <c r="L36" s="99">
        <f t="shared" si="6"/>
        <v>1584496.959999999</v>
      </c>
      <c r="M36" s="724">
        <f t="shared" si="3"/>
        <v>3.3452130532173836</v>
      </c>
      <c r="N36" s="730" t="s">
        <v>1144</v>
      </c>
      <c r="O36" s="724">
        <v>5</v>
      </c>
      <c r="P36" s="99">
        <f t="shared" si="1"/>
        <v>0</v>
      </c>
      <c r="Q36" s="725"/>
      <c r="R36" s="731" t="s">
        <v>531</v>
      </c>
      <c r="S36" s="724" t="s">
        <v>529</v>
      </c>
    </row>
    <row r="37" spans="1:19" s="179" customFormat="1" ht="13.5" thickBot="1">
      <c r="A37" s="180">
        <v>25</v>
      </c>
      <c r="B37" s="366"/>
      <c r="C37" s="728" t="s">
        <v>1168</v>
      </c>
      <c r="D37" s="366"/>
      <c r="E37" s="732">
        <f>SUM(E19:E36)</f>
        <v>970329850.93999994</v>
      </c>
      <c r="F37" s="366"/>
      <c r="G37" s="725"/>
      <c r="H37" s="366"/>
      <c r="I37" s="732">
        <f>SUM(I19:I36)</f>
        <v>259570236.25000003</v>
      </c>
      <c r="J37" s="732">
        <f>SUM(J19:J36)</f>
        <v>194065971.12799996</v>
      </c>
      <c r="K37" s="732">
        <f>SUM(K19:K36)</f>
        <v>194065971.12799996</v>
      </c>
      <c r="L37" s="732">
        <f>SUM(L19:L36)</f>
        <v>516693643.56199998</v>
      </c>
      <c r="M37" s="366"/>
      <c r="N37" s="366"/>
      <c r="O37" s="366"/>
      <c r="P37" s="736">
        <f>SUM(P19:P36)</f>
        <v>0</v>
      </c>
      <c r="Q37" s="502"/>
      <c r="R37" s="366"/>
      <c r="S37" s="366"/>
    </row>
    <row r="38" spans="1:19" s="179" customFormat="1" ht="13.5" thickTop="1">
      <c r="A38" s="180">
        <v>26</v>
      </c>
      <c r="E38" s="434"/>
      <c r="G38" s="828"/>
      <c r="I38" s="434"/>
      <c r="J38" s="434"/>
      <c r="K38" s="434"/>
      <c r="L38" s="434"/>
      <c r="P38" s="434"/>
      <c r="Q38" s="828"/>
    </row>
    <row r="39" spans="1:19" s="179" customFormat="1">
      <c r="A39" s="180">
        <v>27</v>
      </c>
      <c r="E39" s="434"/>
      <c r="G39" s="828"/>
      <c r="I39" s="434"/>
      <c r="J39" s="434"/>
      <c r="K39" s="434"/>
      <c r="L39" s="434"/>
      <c r="P39" s="434"/>
      <c r="Q39" s="828"/>
    </row>
    <row r="40" spans="1:19" s="179" customFormat="1">
      <c r="A40" s="180">
        <v>28</v>
      </c>
      <c r="C40" s="845" t="s">
        <v>882</v>
      </c>
      <c r="E40" s="434"/>
      <c r="G40" s="828"/>
      <c r="I40" s="434"/>
      <c r="J40" s="434"/>
      <c r="K40" s="434"/>
      <c r="L40" s="434"/>
      <c r="P40" s="434"/>
      <c r="Q40" s="828"/>
    </row>
    <row r="41" spans="1:19" s="179" customFormat="1">
      <c r="A41" s="180">
        <v>29</v>
      </c>
      <c r="B41" s="190" t="s">
        <v>881</v>
      </c>
      <c r="C41" s="192" t="s">
        <v>1169</v>
      </c>
      <c r="D41" s="192" t="s">
        <v>1170</v>
      </c>
      <c r="E41" s="676">
        <v>4969701.6100000003</v>
      </c>
      <c r="F41" s="849" t="s">
        <v>1220</v>
      </c>
      <c r="G41" s="828">
        <v>7</v>
      </c>
      <c r="H41" s="849" t="s">
        <v>884</v>
      </c>
      <c r="I41" s="434">
        <v>1402075.28</v>
      </c>
      <c r="J41" s="434">
        <v>704087.09999999986</v>
      </c>
      <c r="K41" s="434">
        <v>0</v>
      </c>
      <c r="L41" s="434">
        <f t="shared" ref="L41" si="7">E41-I41-J41</f>
        <v>2863539.2300000004</v>
      </c>
      <c r="M41" s="179">
        <v>4</v>
      </c>
      <c r="N41" s="849" t="s">
        <v>1224</v>
      </c>
      <c r="O41" s="179">
        <v>7</v>
      </c>
      <c r="P41" s="676">
        <f>-J41</f>
        <v>-704087.09999999986</v>
      </c>
      <c r="Q41" s="829" t="s">
        <v>1319</v>
      </c>
      <c r="S41" s="192" t="s">
        <v>529</v>
      </c>
    </row>
    <row r="42" spans="1:19" s="179" customFormat="1">
      <c r="A42" s="180">
        <v>30</v>
      </c>
      <c r="B42" s="190"/>
      <c r="C42" s="192"/>
      <c r="D42" s="846"/>
      <c r="E42" s="434"/>
      <c r="G42" s="828"/>
      <c r="I42" s="434"/>
      <c r="J42" s="434"/>
      <c r="K42" s="434"/>
      <c r="L42" s="434"/>
      <c r="P42" s="434"/>
      <c r="Q42" s="828"/>
      <c r="S42" s="192"/>
    </row>
    <row r="43" spans="1:19" s="179" customFormat="1" ht="13.5" thickBot="1">
      <c r="A43" s="180">
        <v>31</v>
      </c>
      <c r="C43" s="850" t="s">
        <v>883</v>
      </c>
      <c r="E43" s="851">
        <f>SUM(E41:E42)</f>
        <v>4969701.6100000003</v>
      </c>
      <c r="G43" s="828"/>
      <c r="I43" s="851">
        <f t="shared" ref="I43:L43" si="8">SUM(I41:I42)</f>
        <v>1402075.28</v>
      </c>
      <c r="J43" s="851">
        <f t="shared" si="8"/>
        <v>704087.09999999986</v>
      </c>
      <c r="K43" s="851">
        <f t="shared" si="8"/>
        <v>0</v>
      </c>
      <c r="L43" s="851">
        <f t="shared" si="8"/>
        <v>2863539.2300000004</v>
      </c>
      <c r="P43" s="851">
        <f>SUM(P41:P42)</f>
        <v>-704087.09999999986</v>
      </c>
      <c r="Q43" s="828"/>
    </row>
    <row r="44" spans="1:19" s="179" customFormat="1" ht="13.5" thickTop="1">
      <c r="A44" s="180">
        <v>32</v>
      </c>
      <c r="E44" s="434"/>
      <c r="G44" s="828"/>
      <c r="I44" s="434"/>
      <c r="J44" s="434"/>
      <c r="K44" s="434"/>
      <c r="L44" s="434"/>
      <c r="P44" s="434"/>
      <c r="Q44" s="828"/>
    </row>
    <row r="45" spans="1:19" s="179" customFormat="1">
      <c r="A45" s="180">
        <v>33</v>
      </c>
      <c r="E45" s="434"/>
      <c r="G45" s="828"/>
      <c r="I45" s="434"/>
      <c r="J45" s="434"/>
      <c r="K45" s="434"/>
      <c r="L45" s="434"/>
      <c r="P45" s="434"/>
      <c r="Q45" s="828"/>
    </row>
    <row r="46" spans="1:19" s="179" customFormat="1">
      <c r="A46" s="180">
        <v>34</v>
      </c>
      <c r="C46" s="845" t="s">
        <v>1329</v>
      </c>
      <c r="E46" s="434"/>
      <c r="G46" s="828"/>
      <c r="I46" s="434"/>
      <c r="J46" s="434"/>
      <c r="K46" s="434"/>
      <c r="L46" s="434"/>
      <c r="P46" s="434"/>
      <c r="Q46" s="828"/>
    </row>
    <row r="47" spans="1:19" s="179" customFormat="1">
      <c r="A47" s="180">
        <v>35</v>
      </c>
      <c r="B47" s="190" t="s">
        <v>647</v>
      </c>
      <c r="C47" s="192" t="s">
        <v>1171</v>
      </c>
      <c r="D47" s="846" t="s">
        <v>1172</v>
      </c>
      <c r="E47" s="676">
        <v>493721</v>
      </c>
      <c r="F47" s="192" t="s">
        <v>1173</v>
      </c>
      <c r="G47" s="828">
        <v>0.5</v>
      </c>
      <c r="H47" s="192" t="s">
        <v>1320</v>
      </c>
      <c r="I47" s="676">
        <v>0</v>
      </c>
      <c r="J47" s="676">
        <v>0</v>
      </c>
      <c r="K47" s="676">
        <f t="shared" ref="K47:K48" si="9">ROUND(L47/O47,2)</f>
        <v>987442</v>
      </c>
      <c r="L47" s="676">
        <f t="shared" ref="L47:L48" si="10">E47</f>
        <v>493721</v>
      </c>
      <c r="M47" s="179" t="s">
        <v>527</v>
      </c>
      <c r="N47" s="841" t="s">
        <v>527</v>
      </c>
      <c r="O47" s="179">
        <v>0.5</v>
      </c>
      <c r="P47" s="676">
        <f t="shared" ref="P47:P64" si="11">K47-J47</f>
        <v>987442</v>
      </c>
      <c r="Q47" s="828"/>
      <c r="R47" s="192" t="s">
        <v>220</v>
      </c>
      <c r="S47" s="179" t="s">
        <v>529</v>
      </c>
    </row>
    <row r="48" spans="1:19" s="179" customFormat="1">
      <c r="A48" s="180">
        <v>36</v>
      </c>
      <c r="B48" s="190" t="s">
        <v>647</v>
      </c>
      <c r="C48" s="192" t="s">
        <v>1174</v>
      </c>
      <c r="D48" s="846" t="s">
        <v>1172</v>
      </c>
      <c r="E48" s="102">
        <v>727219.48</v>
      </c>
      <c r="F48" s="192" t="str">
        <f>F47</f>
        <v>Beginning November 2024 after approval of Docket No. 56545 SRP</v>
      </c>
      <c r="G48" s="828">
        <v>0.5</v>
      </c>
      <c r="H48" s="192" t="s">
        <v>1320</v>
      </c>
      <c r="I48" s="102">
        <v>0</v>
      </c>
      <c r="J48" s="102">
        <v>0</v>
      </c>
      <c r="K48" s="102">
        <f t="shared" si="9"/>
        <v>1454438.96</v>
      </c>
      <c r="L48" s="102">
        <f t="shared" si="10"/>
        <v>727219.48</v>
      </c>
      <c r="M48" s="179" t="s">
        <v>527</v>
      </c>
      <c r="N48" s="841" t="s">
        <v>527</v>
      </c>
      <c r="O48" s="179">
        <v>0.5</v>
      </c>
      <c r="P48" s="102">
        <f t="shared" si="11"/>
        <v>1454438.96</v>
      </c>
      <c r="Q48" s="828"/>
      <c r="R48" s="192" t="s">
        <v>220</v>
      </c>
      <c r="S48" s="179" t="s">
        <v>529</v>
      </c>
    </row>
    <row r="49" spans="1:19" s="179" customFormat="1">
      <c r="A49" s="180">
        <v>37</v>
      </c>
      <c r="B49" s="190" t="s">
        <v>647</v>
      </c>
      <c r="C49" s="192" t="s">
        <v>1145</v>
      </c>
      <c r="D49" s="192" t="s">
        <v>1175</v>
      </c>
      <c r="E49" s="102">
        <v>27940735.450000003</v>
      </c>
      <c r="F49" s="317" t="s">
        <v>1176</v>
      </c>
      <c r="G49" s="828">
        <v>5</v>
      </c>
      <c r="H49" s="192" t="s">
        <v>1177</v>
      </c>
      <c r="I49" s="102">
        <v>0</v>
      </c>
      <c r="J49" s="102">
        <v>0</v>
      </c>
      <c r="K49" s="102">
        <f>ROUND(L49/O49,2)</f>
        <v>5588147.0899999999</v>
      </c>
      <c r="L49" s="102">
        <f>E49</f>
        <v>27940735.450000003</v>
      </c>
      <c r="M49" s="179" t="s">
        <v>527</v>
      </c>
      <c r="N49" s="841" t="s">
        <v>527</v>
      </c>
      <c r="O49" s="629">
        <v>5</v>
      </c>
      <c r="P49" s="102">
        <f t="shared" si="11"/>
        <v>5588147.0899999999</v>
      </c>
      <c r="Q49" s="828"/>
      <c r="R49" s="192" t="s">
        <v>220</v>
      </c>
      <c r="S49" s="179" t="s">
        <v>529</v>
      </c>
    </row>
    <row r="50" spans="1:19" s="179" customFormat="1">
      <c r="A50" s="180">
        <v>38</v>
      </c>
      <c r="B50" s="347" t="s">
        <v>647</v>
      </c>
      <c r="C50" s="346" t="s">
        <v>1148</v>
      </c>
      <c r="D50" s="346" t="s">
        <v>1178</v>
      </c>
      <c r="E50" s="99">
        <v>-52539.200000000004</v>
      </c>
      <c r="F50" s="349" t="s">
        <v>1176</v>
      </c>
      <c r="G50" s="725">
        <v>5</v>
      </c>
      <c r="H50" s="346" t="s">
        <v>1177</v>
      </c>
      <c r="I50" s="99">
        <v>0</v>
      </c>
      <c r="J50" s="99">
        <v>0</v>
      </c>
      <c r="K50" s="102">
        <f>ROUND(L50/O50,2)</f>
        <v>-10507.84</v>
      </c>
      <c r="L50" s="99">
        <v>-52539.200000000004</v>
      </c>
      <c r="M50" s="366" t="s">
        <v>527</v>
      </c>
      <c r="N50" s="733" t="s">
        <v>527</v>
      </c>
      <c r="O50" s="629">
        <v>5</v>
      </c>
      <c r="P50" s="102">
        <f t="shared" si="11"/>
        <v>-10507.84</v>
      </c>
      <c r="Q50" s="725"/>
      <c r="R50" s="346" t="s">
        <v>220</v>
      </c>
      <c r="S50" s="366" t="s">
        <v>529</v>
      </c>
    </row>
    <row r="51" spans="1:19" s="179" customFormat="1">
      <c r="A51" s="180">
        <v>39</v>
      </c>
      <c r="B51" s="347" t="s">
        <v>647</v>
      </c>
      <c r="C51" s="346" t="s">
        <v>1150</v>
      </c>
      <c r="D51" s="346" t="s">
        <v>1178</v>
      </c>
      <c r="E51" s="99">
        <v>-4987970.08</v>
      </c>
      <c r="F51" s="349" t="s">
        <v>1176</v>
      </c>
      <c r="G51" s="725">
        <v>5</v>
      </c>
      <c r="H51" s="346" t="s">
        <v>1177</v>
      </c>
      <c r="I51" s="99">
        <v>0</v>
      </c>
      <c r="J51" s="99">
        <v>0</v>
      </c>
      <c r="K51" s="102">
        <f>ROUND(L51/O51,2)</f>
        <v>-997594.02</v>
      </c>
      <c r="L51" s="99">
        <f t="shared" ref="L51:L52" si="12">E51</f>
        <v>-4987970.08</v>
      </c>
      <c r="M51" s="366" t="s">
        <v>527</v>
      </c>
      <c r="N51" s="733" t="s">
        <v>527</v>
      </c>
      <c r="O51" s="629">
        <v>5</v>
      </c>
      <c r="P51" s="102">
        <f t="shared" si="11"/>
        <v>-997594.02</v>
      </c>
      <c r="Q51" s="725"/>
      <c r="R51" s="346" t="s">
        <v>220</v>
      </c>
      <c r="S51" s="366" t="s">
        <v>529</v>
      </c>
    </row>
    <row r="52" spans="1:19" s="179" customFormat="1">
      <c r="A52" s="180">
        <v>40</v>
      </c>
      <c r="B52" s="347" t="s">
        <v>647</v>
      </c>
      <c r="C52" s="856" t="s">
        <v>1324</v>
      </c>
      <c r="D52" s="346" t="s">
        <v>660</v>
      </c>
      <c r="E52" s="99">
        <v>697529.98</v>
      </c>
      <c r="F52" s="349" t="s">
        <v>1179</v>
      </c>
      <c r="G52" s="725">
        <v>5</v>
      </c>
      <c r="H52" s="346" t="s">
        <v>1177</v>
      </c>
      <c r="I52" s="99">
        <v>0</v>
      </c>
      <c r="J52" s="99">
        <v>0</v>
      </c>
      <c r="K52" s="102">
        <f>ROUND(L52/O52,2)</f>
        <v>139506</v>
      </c>
      <c r="L52" s="99">
        <f t="shared" si="12"/>
        <v>697529.98</v>
      </c>
      <c r="M52" s="366" t="s">
        <v>527</v>
      </c>
      <c r="N52" s="733" t="s">
        <v>527</v>
      </c>
      <c r="O52" s="629">
        <v>5</v>
      </c>
      <c r="P52" s="102">
        <f t="shared" si="11"/>
        <v>139506</v>
      </c>
      <c r="Q52" s="725"/>
      <c r="R52" s="346" t="s">
        <v>220</v>
      </c>
      <c r="S52" s="366" t="s">
        <v>529</v>
      </c>
    </row>
    <row r="53" spans="1:19" s="179" customFormat="1">
      <c r="A53" s="180">
        <v>41</v>
      </c>
      <c r="B53" s="347" t="s">
        <v>649</v>
      </c>
      <c r="C53" s="346" t="s">
        <v>1180</v>
      </c>
      <c r="D53" s="346" t="s">
        <v>660</v>
      </c>
      <c r="E53" s="99">
        <v>3467695.0199999996</v>
      </c>
      <c r="F53" s="349" t="s">
        <v>1179</v>
      </c>
      <c r="G53" s="725">
        <v>5</v>
      </c>
      <c r="H53" s="346" t="s">
        <v>1177</v>
      </c>
      <c r="I53" s="102">
        <v>0</v>
      </c>
      <c r="J53" s="102">
        <v>0</v>
      </c>
      <c r="K53" s="102">
        <f>L53/O53</f>
        <v>693539.00399999996</v>
      </c>
      <c r="L53" s="99">
        <f>E53</f>
        <v>3467695.0199999996</v>
      </c>
      <c r="M53" s="366" t="s">
        <v>527</v>
      </c>
      <c r="N53" s="733" t="s">
        <v>527</v>
      </c>
      <c r="O53" s="629">
        <v>5</v>
      </c>
      <c r="P53" s="102">
        <f t="shared" si="11"/>
        <v>693539.00399999996</v>
      </c>
      <c r="Q53" s="828" t="s">
        <v>1277</v>
      </c>
      <c r="R53" s="366" t="s">
        <v>532</v>
      </c>
      <c r="S53" s="366" t="s">
        <v>529</v>
      </c>
    </row>
    <row r="54" spans="1:19" s="179" customFormat="1">
      <c r="A54" s="180">
        <v>42</v>
      </c>
      <c r="B54" s="347" t="s">
        <v>651</v>
      </c>
      <c r="C54" s="366" t="s">
        <v>652</v>
      </c>
      <c r="D54" s="346" t="s">
        <v>1181</v>
      </c>
      <c r="E54" s="99">
        <v>2402428.7200000002</v>
      </c>
      <c r="F54" s="349" t="s">
        <v>1182</v>
      </c>
      <c r="G54" s="725">
        <v>5</v>
      </c>
      <c r="H54" s="346" t="s">
        <v>1177</v>
      </c>
      <c r="I54" s="102">
        <v>0</v>
      </c>
      <c r="J54" s="102">
        <v>0</v>
      </c>
      <c r="K54" s="102">
        <f>L54/O54</f>
        <v>480485.74400000006</v>
      </c>
      <c r="L54" s="99">
        <f>E54</f>
        <v>2402428.7200000002</v>
      </c>
      <c r="M54" s="366" t="s">
        <v>527</v>
      </c>
      <c r="N54" s="733" t="s">
        <v>527</v>
      </c>
      <c r="O54" s="629">
        <v>5</v>
      </c>
      <c r="P54" s="102">
        <f t="shared" si="11"/>
        <v>480485.74400000006</v>
      </c>
      <c r="Q54" s="828" t="s">
        <v>1276</v>
      </c>
      <c r="R54" s="366" t="s">
        <v>532</v>
      </c>
      <c r="S54" s="366" t="s">
        <v>529</v>
      </c>
    </row>
    <row r="55" spans="1:19" s="179" customFormat="1">
      <c r="A55" s="180">
        <v>43</v>
      </c>
      <c r="B55" s="347" t="s">
        <v>523</v>
      </c>
      <c r="C55" s="346" t="s">
        <v>1153</v>
      </c>
      <c r="D55" s="346" t="s">
        <v>660</v>
      </c>
      <c r="E55" s="99">
        <v>2661400.7999999998</v>
      </c>
      <c r="F55" s="349" t="s">
        <v>1179</v>
      </c>
      <c r="G55" s="725">
        <v>5</v>
      </c>
      <c r="H55" s="346" t="s">
        <v>1177</v>
      </c>
      <c r="I55" s="102">
        <v>0</v>
      </c>
      <c r="J55" s="102">
        <v>0</v>
      </c>
      <c r="K55" s="102">
        <f t="shared" ref="K55:K62" si="13">ROUND(L55/O55,2)</f>
        <v>532280.16</v>
      </c>
      <c r="L55" s="99">
        <f>E55</f>
        <v>2661400.7999999998</v>
      </c>
      <c r="M55" s="366" t="s">
        <v>527</v>
      </c>
      <c r="N55" s="733" t="s">
        <v>527</v>
      </c>
      <c r="O55" s="629">
        <v>5</v>
      </c>
      <c r="P55" s="102">
        <f t="shared" si="11"/>
        <v>532280.16</v>
      </c>
      <c r="Q55" s="828" t="s">
        <v>1275</v>
      </c>
      <c r="R55" s="366" t="s">
        <v>532</v>
      </c>
      <c r="S55" s="366" t="s">
        <v>529</v>
      </c>
    </row>
    <row r="56" spans="1:19" s="179" customFormat="1">
      <c r="A56" s="180">
        <v>44</v>
      </c>
      <c r="B56" s="347" t="s">
        <v>521</v>
      </c>
      <c r="C56" s="366" t="s">
        <v>654</v>
      </c>
      <c r="D56" s="346" t="s">
        <v>856</v>
      </c>
      <c r="E56" s="99">
        <v>743974800.57000005</v>
      </c>
      <c r="F56" s="349" t="s">
        <v>1179</v>
      </c>
      <c r="G56" s="725">
        <v>5</v>
      </c>
      <c r="H56" s="346" t="s">
        <v>1177</v>
      </c>
      <c r="I56" s="102">
        <v>0</v>
      </c>
      <c r="J56" s="102">
        <v>0</v>
      </c>
      <c r="K56" s="102">
        <f t="shared" si="13"/>
        <v>148794960.11000001</v>
      </c>
      <c r="L56" s="99">
        <f t="shared" ref="L56:L58" si="14">E56</f>
        <v>743974800.57000005</v>
      </c>
      <c r="M56" s="366" t="s">
        <v>527</v>
      </c>
      <c r="N56" s="733" t="s">
        <v>527</v>
      </c>
      <c r="O56" s="629">
        <v>5</v>
      </c>
      <c r="P56" s="102">
        <f t="shared" si="11"/>
        <v>148794960.11000001</v>
      </c>
      <c r="Q56" s="828" t="s">
        <v>1273</v>
      </c>
      <c r="R56" s="366" t="s">
        <v>531</v>
      </c>
      <c r="S56" s="366" t="s">
        <v>529</v>
      </c>
    </row>
    <row r="57" spans="1:19" s="179" customFormat="1">
      <c r="A57" s="180">
        <v>45</v>
      </c>
      <c r="B57" s="347" t="s">
        <v>521</v>
      </c>
      <c r="C57" s="366" t="s">
        <v>1183</v>
      </c>
      <c r="D57" s="346" t="s">
        <v>856</v>
      </c>
      <c r="E57" s="99">
        <v>-946280.72</v>
      </c>
      <c r="F57" s="349" t="s">
        <v>1179</v>
      </c>
      <c r="G57" s="725">
        <v>5</v>
      </c>
      <c r="H57" s="346" t="s">
        <v>1177</v>
      </c>
      <c r="I57" s="102">
        <v>0</v>
      </c>
      <c r="J57" s="102">
        <v>0</v>
      </c>
      <c r="K57" s="102">
        <f t="shared" si="13"/>
        <v>-189256.14</v>
      </c>
      <c r="L57" s="99">
        <f t="shared" si="14"/>
        <v>-946280.72</v>
      </c>
      <c r="M57" s="366" t="s">
        <v>527</v>
      </c>
      <c r="N57" s="733" t="s">
        <v>527</v>
      </c>
      <c r="O57" s="629">
        <v>5</v>
      </c>
      <c r="P57" s="102">
        <f t="shared" si="11"/>
        <v>-189256.14</v>
      </c>
      <c r="Q57" s="828" t="s">
        <v>1273</v>
      </c>
      <c r="R57" s="366" t="s">
        <v>531</v>
      </c>
      <c r="S57" s="366" t="s">
        <v>529</v>
      </c>
    </row>
    <row r="58" spans="1:19" s="179" customFormat="1">
      <c r="A58" s="180">
        <v>46</v>
      </c>
      <c r="B58" s="347" t="s">
        <v>443</v>
      </c>
      <c r="C58" s="366" t="s">
        <v>654</v>
      </c>
      <c r="D58" s="346" t="s">
        <v>856</v>
      </c>
      <c r="E58" s="99">
        <v>14834376.289999999</v>
      </c>
      <c r="F58" s="349" t="s">
        <v>1179</v>
      </c>
      <c r="G58" s="725">
        <v>5</v>
      </c>
      <c r="H58" s="346" t="s">
        <v>1177</v>
      </c>
      <c r="I58" s="102">
        <v>0</v>
      </c>
      <c r="J58" s="102">
        <v>0</v>
      </c>
      <c r="K58" s="102">
        <f t="shared" si="13"/>
        <v>2966875.26</v>
      </c>
      <c r="L58" s="99">
        <f t="shared" si="14"/>
        <v>14834376.289999999</v>
      </c>
      <c r="M58" s="366" t="s">
        <v>527</v>
      </c>
      <c r="N58" s="733" t="s">
        <v>527</v>
      </c>
      <c r="O58" s="629">
        <v>5</v>
      </c>
      <c r="P58" s="102">
        <f t="shared" si="11"/>
        <v>2966875.26</v>
      </c>
      <c r="Q58" s="828" t="s">
        <v>1273</v>
      </c>
      <c r="R58" s="366" t="s">
        <v>531</v>
      </c>
      <c r="S58" s="366" t="s">
        <v>529</v>
      </c>
    </row>
    <row r="59" spans="1:19" s="179" customFormat="1">
      <c r="A59" s="180">
        <v>47</v>
      </c>
      <c r="B59" s="347" t="s">
        <v>386</v>
      </c>
      <c r="C59" s="366" t="s">
        <v>535</v>
      </c>
      <c r="D59" s="346" t="s">
        <v>857</v>
      </c>
      <c r="E59" s="99">
        <v>-45028265.549999997</v>
      </c>
      <c r="F59" s="349" t="s">
        <v>1179</v>
      </c>
      <c r="G59" s="725">
        <v>5</v>
      </c>
      <c r="H59" s="346" t="s">
        <v>1177</v>
      </c>
      <c r="I59" s="102">
        <v>0</v>
      </c>
      <c r="J59" s="102">
        <v>0</v>
      </c>
      <c r="K59" s="102">
        <f t="shared" si="13"/>
        <v>-9005653.1099999994</v>
      </c>
      <c r="L59" s="102">
        <f>E59</f>
        <v>-45028265.549999997</v>
      </c>
      <c r="M59" s="366" t="s">
        <v>527</v>
      </c>
      <c r="N59" s="733" t="s">
        <v>527</v>
      </c>
      <c r="O59" s="629">
        <v>5</v>
      </c>
      <c r="P59" s="102">
        <f t="shared" si="11"/>
        <v>-9005653.1099999994</v>
      </c>
      <c r="Q59" s="828" t="s">
        <v>1272</v>
      </c>
      <c r="R59" s="366" t="s">
        <v>531</v>
      </c>
      <c r="S59" s="366" t="s">
        <v>529</v>
      </c>
    </row>
    <row r="60" spans="1:19" s="179" customFormat="1">
      <c r="A60" s="180">
        <v>48</v>
      </c>
      <c r="B60" s="347" t="s">
        <v>386</v>
      </c>
      <c r="C60" s="366" t="s">
        <v>536</v>
      </c>
      <c r="D60" s="346" t="s">
        <v>857</v>
      </c>
      <c r="E60" s="99">
        <v>-39843403.189999998</v>
      </c>
      <c r="F60" s="349" t="s">
        <v>1179</v>
      </c>
      <c r="G60" s="725">
        <v>5</v>
      </c>
      <c r="H60" s="346" t="s">
        <v>1177</v>
      </c>
      <c r="I60" s="102">
        <v>0</v>
      </c>
      <c r="J60" s="102">
        <v>0</v>
      </c>
      <c r="K60" s="102">
        <f t="shared" si="13"/>
        <v>-7968680.6399999997</v>
      </c>
      <c r="L60" s="102">
        <f>E60</f>
        <v>-39843403.189999998</v>
      </c>
      <c r="M60" s="366" t="s">
        <v>527</v>
      </c>
      <c r="N60" s="733" t="s">
        <v>527</v>
      </c>
      <c r="O60" s="629">
        <v>5</v>
      </c>
      <c r="P60" s="102">
        <f t="shared" si="11"/>
        <v>-7968680.6399999997</v>
      </c>
      <c r="Q60" s="828" t="s">
        <v>1274</v>
      </c>
      <c r="R60" s="366" t="s">
        <v>531</v>
      </c>
      <c r="S60" s="366" t="s">
        <v>529</v>
      </c>
    </row>
    <row r="61" spans="1:19" s="179" customFormat="1">
      <c r="A61" s="180">
        <v>49</v>
      </c>
      <c r="B61" s="190" t="s">
        <v>522</v>
      </c>
      <c r="C61" s="179" t="s">
        <v>655</v>
      </c>
      <c r="D61" s="192" t="s">
        <v>1178</v>
      </c>
      <c r="E61" s="102">
        <f>54569.88-L35</f>
        <v>-53.650000000001455</v>
      </c>
      <c r="F61" s="317" t="s">
        <v>1184</v>
      </c>
      <c r="G61" s="828">
        <v>5</v>
      </c>
      <c r="H61" s="192" t="s">
        <v>1177</v>
      </c>
      <c r="I61" s="102">
        <v>0</v>
      </c>
      <c r="J61" s="102">
        <v>0</v>
      </c>
      <c r="K61" s="102">
        <f t="shared" si="13"/>
        <v>-10.73</v>
      </c>
      <c r="L61" s="102">
        <f t="shared" ref="L61:L63" si="15">E61</f>
        <v>-53.650000000001455</v>
      </c>
      <c r="M61" s="179" t="s">
        <v>527</v>
      </c>
      <c r="N61" s="841" t="s">
        <v>527</v>
      </c>
      <c r="O61" s="629">
        <v>5</v>
      </c>
      <c r="P61" s="102">
        <f t="shared" si="11"/>
        <v>-10.73</v>
      </c>
      <c r="Q61" s="828" t="s">
        <v>1278</v>
      </c>
      <c r="R61" s="179" t="s">
        <v>531</v>
      </c>
      <c r="S61" s="179" t="s">
        <v>529</v>
      </c>
    </row>
    <row r="62" spans="1:19" s="179" customFormat="1">
      <c r="A62" s="180">
        <v>50</v>
      </c>
      <c r="B62" s="190" t="s">
        <v>522</v>
      </c>
      <c r="C62" s="179" t="s">
        <v>656</v>
      </c>
      <c r="D62" s="192" t="s">
        <v>1178</v>
      </c>
      <c r="E62" s="102">
        <f>1583754.91-L36</f>
        <v>-742.04999999911524</v>
      </c>
      <c r="F62" s="317" t="s">
        <v>1184</v>
      </c>
      <c r="G62" s="828">
        <v>5</v>
      </c>
      <c r="H62" s="192" t="s">
        <v>1177</v>
      </c>
      <c r="I62" s="102">
        <v>0</v>
      </c>
      <c r="J62" s="102">
        <v>0</v>
      </c>
      <c r="K62" s="102">
        <f t="shared" si="13"/>
        <v>-148.41</v>
      </c>
      <c r="L62" s="102">
        <f t="shared" si="15"/>
        <v>-742.04999999911524</v>
      </c>
      <c r="M62" s="179" t="s">
        <v>527</v>
      </c>
      <c r="N62" s="841" t="s">
        <v>527</v>
      </c>
      <c r="O62" s="629">
        <v>5</v>
      </c>
      <c r="P62" s="102">
        <f t="shared" si="11"/>
        <v>-148.41</v>
      </c>
      <c r="Q62" s="829" t="s">
        <v>1279</v>
      </c>
      <c r="R62" s="179" t="s">
        <v>531</v>
      </c>
      <c r="S62" s="179" t="s">
        <v>529</v>
      </c>
    </row>
    <row r="63" spans="1:19" s="179" customFormat="1">
      <c r="A63" s="180">
        <v>51</v>
      </c>
      <c r="B63" s="190" t="s">
        <v>522</v>
      </c>
      <c r="C63" s="179" t="s">
        <v>1185</v>
      </c>
      <c r="D63" s="192" t="s">
        <v>1186</v>
      </c>
      <c r="E63" s="102">
        <v>-25859.24</v>
      </c>
      <c r="F63" s="842" t="s">
        <v>1187</v>
      </c>
      <c r="G63" s="828">
        <v>5</v>
      </c>
      <c r="H63" s="192" t="s">
        <v>1177</v>
      </c>
      <c r="I63" s="102">
        <v>0</v>
      </c>
      <c r="J63" s="102">
        <v>0</v>
      </c>
      <c r="K63" s="102">
        <f>ROUND(+L63/O63,2)</f>
        <v>-5171.8500000000004</v>
      </c>
      <c r="L63" s="102">
        <f t="shared" si="15"/>
        <v>-25859.24</v>
      </c>
      <c r="M63" s="179" t="s">
        <v>527</v>
      </c>
      <c r="N63" s="841" t="s">
        <v>527</v>
      </c>
      <c r="O63" s="629">
        <v>5</v>
      </c>
      <c r="P63" s="102">
        <f t="shared" si="11"/>
        <v>-5171.8500000000004</v>
      </c>
      <c r="Q63" s="829" t="s">
        <v>1280</v>
      </c>
      <c r="R63" s="179" t="s">
        <v>531</v>
      </c>
      <c r="S63" s="179" t="s">
        <v>529</v>
      </c>
    </row>
    <row r="64" spans="1:19" s="179" customFormat="1">
      <c r="A64" s="180">
        <v>52</v>
      </c>
      <c r="B64" s="190" t="s">
        <v>522</v>
      </c>
      <c r="C64" s="179" t="s">
        <v>471</v>
      </c>
      <c r="D64" s="192" t="s">
        <v>550</v>
      </c>
      <c r="E64" s="102">
        <v>62294.31</v>
      </c>
      <c r="F64" s="183" t="s">
        <v>533</v>
      </c>
      <c r="G64" s="828" t="s">
        <v>530</v>
      </c>
      <c r="H64" s="179" t="s">
        <v>534</v>
      </c>
      <c r="I64" s="102">
        <f>E64-L64-J64</f>
        <v>45222.54</v>
      </c>
      <c r="J64" s="102">
        <v>2429.3100000000004</v>
      </c>
      <c r="K64" s="102">
        <v>0</v>
      </c>
      <c r="L64" s="102">
        <v>14642.460000000001</v>
      </c>
      <c r="M64" s="317" t="s">
        <v>991</v>
      </c>
      <c r="N64" s="317" t="s">
        <v>991</v>
      </c>
      <c r="O64" s="629" t="s">
        <v>530</v>
      </c>
      <c r="P64" s="102">
        <f t="shared" si="11"/>
        <v>-2429.3100000000004</v>
      </c>
      <c r="Q64" s="829" t="s">
        <v>1281</v>
      </c>
      <c r="R64" s="179" t="s">
        <v>531</v>
      </c>
      <c r="S64" s="179" t="s">
        <v>529</v>
      </c>
    </row>
    <row r="65" spans="1:19" s="179" customFormat="1">
      <c r="A65" s="180">
        <v>53</v>
      </c>
      <c r="B65" s="347" t="s">
        <v>522</v>
      </c>
      <c r="C65" s="346" t="s">
        <v>1036</v>
      </c>
      <c r="D65" s="346" t="s">
        <v>1225</v>
      </c>
      <c r="E65" s="102">
        <f>+'II-E-4.5'!M42</f>
        <v>3042863.87</v>
      </c>
      <c r="F65" s="349" t="s">
        <v>1325</v>
      </c>
      <c r="G65" s="725">
        <v>1</v>
      </c>
      <c r="H65" s="346"/>
      <c r="I65" s="102">
        <v>0</v>
      </c>
      <c r="J65" s="102">
        <v>0</v>
      </c>
      <c r="K65" s="102">
        <f>ROUND(E65/O65,2)</f>
        <v>3042863.87</v>
      </c>
      <c r="L65" s="102">
        <f t="shared" ref="L65:L73" si="16">E65</f>
        <v>3042863.87</v>
      </c>
      <c r="M65" s="855" t="s">
        <v>1321</v>
      </c>
      <c r="N65" s="855" t="s">
        <v>1321</v>
      </c>
      <c r="O65" s="629">
        <v>1</v>
      </c>
      <c r="P65" s="102">
        <v>0</v>
      </c>
      <c r="Q65" s="828"/>
      <c r="R65" s="366"/>
      <c r="S65" s="826" t="s">
        <v>1271</v>
      </c>
    </row>
    <row r="66" spans="1:19" s="179" customFormat="1">
      <c r="A66" s="180">
        <v>54</v>
      </c>
      <c r="B66" s="347" t="s">
        <v>522</v>
      </c>
      <c r="C66" s="681" t="s">
        <v>1037</v>
      </c>
      <c r="D66" s="681" t="s">
        <v>1226</v>
      </c>
      <c r="E66" s="102">
        <f>+'II-E-4.5'!M43</f>
        <v>597598.76</v>
      </c>
      <c r="F66" s="103" t="s">
        <v>1232</v>
      </c>
      <c r="G66" s="725">
        <v>1</v>
      </c>
      <c r="H66" s="346"/>
      <c r="I66" s="102">
        <v>0</v>
      </c>
      <c r="J66" s="102">
        <v>0</v>
      </c>
      <c r="K66" s="102">
        <f t="shared" ref="K66:K73" si="17">ROUND(E66/O66,2)</f>
        <v>597598.76</v>
      </c>
      <c r="L66" s="102">
        <f t="shared" si="16"/>
        <v>597598.76</v>
      </c>
      <c r="M66" s="855" t="s">
        <v>1321</v>
      </c>
      <c r="N66" s="855" t="s">
        <v>1321</v>
      </c>
      <c r="O66" s="629">
        <f>O65</f>
        <v>1</v>
      </c>
      <c r="P66" s="102">
        <v>0</v>
      </c>
      <c r="Q66" s="828"/>
      <c r="R66" s="366"/>
      <c r="S66" s="366" t="str">
        <f>S65</f>
        <v>II-E-4.5</v>
      </c>
    </row>
    <row r="67" spans="1:19" s="179" customFormat="1">
      <c r="A67" s="180">
        <v>55</v>
      </c>
      <c r="B67" s="347" t="s">
        <v>522</v>
      </c>
      <c r="C67" s="681" t="s">
        <v>1038</v>
      </c>
      <c r="D67" s="681" t="s">
        <v>1227</v>
      </c>
      <c r="E67" s="102">
        <f>+'II-E-4.5'!M44</f>
        <v>312886.08</v>
      </c>
      <c r="F67" s="103" t="s">
        <v>1233</v>
      </c>
      <c r="G67" s="725">
        <v>1</v>
      </c>
      <c r="H67" s="346"/>
      <c r="I67" s="102">
        <v>0</v>
      </c>
      <c r="J67" s="102">
        <v>0</v>
      </c>
      <c r="K67" s="102">
        <f t="shared" si="17"/>
        <v>312886.08</v>
      </c>
      <c r="L67" s="102">
        <f t="shared" si="16"/>
        <v>312886.08</v>
      </c>
      <c r="M67" s="855" t="s">
        <v>1321</v>
      </c>
      <c r="N67" s="855" t="s">
        <v>1321</v>
      </c>
      <c r="O67" s="629">
        <f t="shared" ref="O67:O68" si="18">O66</f>
        <v>1</v>
      </c>
      <c r="P67" s="102">
        <v>0</v>
      </c>
      <c r="Q67" s="828"/>
      <c r="R67" s="366"/>
      <c r="S67" s="366" t="str">
        <f t="shared" ref="S67:S68" si="19">S66</f>
        <v>II-E-4.5</v>
      </c>
    </row>
    <row r="68" spans="1:19" s="179" customFormat="1">
      <c r="A68" s="180">
        <v>56</v>
      </c>
      <c r="B68" s="347" t="s">
        <v>522</v>
      </c>
      <c r="C68" s="681" t="s">
        <v>1039</v>
      </c>
      <c r="D68" s="681" t="s">
        <v>1228</v>
      </c>
      <c r="E68" s="102">
        <f>+'II-E-4.5'!M45</f>
        <v>511485.67</v>
      </c>
      <c r="F68" s="366" t="s">
        <v>1234</v>
      </c>
      <c r="G68" s="725">
        <v>1</v>
      </c>
      <c r="H68" s="346"/>
      <c r="I68" s="102">
        <v>0</v>
      </c>
      <c r="J68" s="102">
        <v>0</v>
      </c>
      <c r="K68" s="102">
        <f t="shared" si="17"/>
        <v>511485.67</v>
      </c>
      <c r="L68" s="102">
        <f t="shared" si="16"/>
        <v>511485.67</v>
      </c>
      <c r="M68" s="855" t="s">
        <v>1321</v>
      </c>
      <c r="N68" s="855" t="s">
        <v>1321</v>
      </c>
      <c r="O68" s="629">
        <f t="shared" si="18"/>
        <v>1</v>
      </c>
      <c r="P68" s="102">
        <v>0</v>
      </c>
      <c r="Q68" s="828"/>
      <c r="R68" s="366"/>
      <c r="S68" s="366" t="str">
        <f t="shared" si="19"/>
        <v>II-E-4.5</v>
      </c>
    </row>
    <row r="69" spans="1:19" s="179" customFormat="1">
      <c r="A69" s="180">
        <v>57</v>
      </c>
      <c r="B69" s="190" t="s">
        <v>522</v>
      </c>
      <c r="C69" s="844" t="s">
        <v>1303</v>
      </c>
      <c r="D69" s="844" t="s">
        <v>1309</v>
      </c>
      <c r="E69" s="102">
        <f>+'[6]II-B-12'!$I$51</f>
        <v>4823828.9400000004</v>
      </c>
      <c r="F69" s="183" t="s">
        <v>1235</v>
      </c>
      <c r="G69" s="828">
        <v>5</v>
      </c>
      <c r="H69" s="192" t="s">
        <v>1177</v>
      </c>
      <c r="I69" s="102">
        <v>0</v>
      </c>
      <c r="J69" s="102">
        <v>0</v>
      </c>
      <c r="K69" s="102">
        <f t="shared" si="17"/>
        <v>964765.79</v>
      </c>
      <c r="L69" s="102">
        <f t="shared" si="16"/>
        <v>4823828.9400000004</v>
      </c>
      <c r="M69" s="179" t="s">
        <v>527</v>
      </c>
      <c r="N69" s="841" t="s">
        <v>527</v>
      </c>
      <c r="O69" s="629">
        <v>5</v>
      </c>
      <c r="P69" s="102">
        <f t="shared" ref="P69:P71" si="20">K69-J69</f>
        <v>964765.79</v>
      </c>
      <c r="Q69" s="829" t="s">
        <v>1317</v>
      </c>
      <c r="R69" s="179" t="s">
        <v>531</v>
      </c>
      <c r="S69" s="192" t="s">
        <v>529</v>
      </c>
    </row>
    <row r="70" spans="1:19" s="179" customFormat="1">
      <c r="A70" s="180">
        <v>58</v>
      </c>
      <c r="B70" s="190" t="s">
        <v>522</v>
      </c>
      <c r="C70" s="844" t="s">
        <v>1040</v>
      </c>
      <c r="D70" s="844" t="s">
        <v>1229</v>
      </c>
      <c r="E70" s="102">
        <f>+'II-E-4.5'!M46</f>
        <v>100478.22</v>
      </c>
      <c r="F70" s="179" t="s">
        <v>1236</v>
      </c>
      <c r="G70" s="828">
        <v>1</v>
      </c>
      <c r="H70" s="192"/>
      <c r="I70" s="102">
        <v>0</v>
      </c>
      <c r="J70" s="102">
        <v>0</v>
      </c>
      <c r="K70" s="102">
        <f t="shared" si="17"/>
        <v>100478.22</v>
      </c>
      <c r="L70" s="102">
        <f t="shared" si="16"/>
        <v>100478.22</v>
      </c>
      <c r="M70" s="855" t="s">
        <v>1321</v>
      </c>
      <c r="N70" s="855" t="s">
        <v>1321</v>
      </c>
      <c r="O70" s="629">
        <v>1</v>
      </c>
      <c r="P70" s="102">
        <v>0</v>
      </c>
      <c r="Q70" s="828"/>
      <c r="S70" s="179" t="s">
        <v>1271</v>
      </c>
    </row>
    <row r="71" spans="1:19" s="179" customFormat="1">
      <c r="A71" s="180">
        <v>59</v>
      </c>
      <c r="B71" s="190" t="s">
        <v>522</v>
      </c>
      <c r="C71" s="844" t="s">
        <v>1304</v>
      </c>
      <c r="D71" s="844" t="s">
        <v>1304</v>
      </c>
      <c r="E71" s="102">
        <f>+'[6]II-B-12'!$I$53</f>
        <v>146499.54999999999</v>
      </c>
      <c r="F71" s="179" t="s">
        <v>1237</v>
      </c>
      <c r="G71" s="828">
        <v>5</v>
      </c>
      <c r="H71" s="192" t="s">
        <v>1177</v>
      </c>
      <c r="I71" s="102">
        <v>0</v>
      </c>
      <c r="J71" s="102">
        <v>0</v>
      </c>
      <c r="K71" s="102">
        <f t="shared" si="17"/>
        <v>29299.91</v>
      </c>
      <c r="L71" s="102">
        <f t="shared" si="16"/>
        <v>146499.54999999999</v>
      </c>
      <c r="M71" s="179" t="s">
        <v>527</v>
      </c>
      <c r="N71" s="841" t="s">
        <v>527</v>
      </c>
      <c r="O71" s="629">
        <f>+O69</f>
        <v>5</v>
      </c>
      <c r="P71" s="102">
        <f t="shared" si="20"/>
        <v>29299.91</v>
      </c>
      <c r="Q71" s="829" t="s">
        <v>1317</v>
      </c>
      <c r="R71" s="179" t="s">
        <v>531</v>
      </c>
      <c r="S71" s="192" t="s">
        <v>529</v>
      </c>
    </row>
    <row r="72" spans="1:19" s="179" customFormat="1">
      <c r="A72" s="180">
        <v>60</v>
      </c>
      <c r="B72" s="190" t="s">
        <v>522</v>
      </c>
      <c r="C72" s="844" t="s">
        <v>1041</v>
      </c>
      <c r="D72" s="844" t="s">
        <v>1230</v>
      </c>
      <c r="E72" s="102">
        <f>+'II-E-4.5'!M47</f>
        <v>109910.14</v>
      </c>
      <c r="F72" s="317" t="s">
        <v>1326</v>
      </c>
      <c r="G72" s="828">
        <v>1</v>
      </c>
      <c r="H72" s="192"/>
      <c r="I72" s="102">
        <v>0</v>
      </c>
      <c r="J72" s="102"/>
      <c r="K72" s="102">
        <f t="shared" si="17"/>
        <v>109910.14</v>
      </c>
      <c r="L72" s="102">
        <f t="shared" si="16"/>
        <v>109910.14</v>
      </c>
      <c r="M72" s="855" t="s">
        <v>1321</v>
      </c>
      <c r="N72" s="855" t="s">
        <v>1321</v>
      </c>
      <c r="O72" s="629">
        <v>1</v>
      </c>
      <c r="P72" s="102">
        <v>0</v>
      </c>
      <c r="Q72" s="828"/>
      <c r="S72" s="179" t="s">
        <v>1271</v>
      </c>
    </row>
    <row r="73" spans="1:19" s="179" customFormat="1">
      <c r="A73" s="180">
        <v>61</v>
      </c>
      <c r="B73" s="347" t="s">
        <v>522</v>
      </c>
      <c r="C73" s="681" t="s">
        <v>1042</v>
      </c>
      <c r="D73" s="844" t="s">
        <v>1271</v>
      </c>
      <c r="E73" s="102">
        <f>+'II-E-4.5'!M48</f>
        <v>9481579.7100000009</v>
      </c>
      <c r="F73" s="103"/>
      <c r="G73" s="725">
        <v>1</v>
      </c>
      <c r="H73" s="346"/>
      <c r="I73" s="102">
        <v>0</v>
      </c>
      <c r="J73" s="102"/>
      <c r="K73" s="102">
        <f t="shared" si="17"/>
        <v>9481579.7100000009</v>
      </c>
      <c r="L73" s="102">
        <f t="shared" si="16"/>
        <v>9481579.7100000009</v>
      </c>
      <c r="M73" s="855" t="s">
        <v>1321</v>
      </c>
      <c r="N73" s="855" t="s">
        <v>1321</v>
      </c>
      <c r="O73" s="629">
        <v>1</v>
      </c>
      <c r="P73" s="102">
        <v>0</v>
      </c>
      <c r="Q73" s="828"/>
      <c r="R73" s="366"/>
      <c r="S73" s="366" t="s">
        <v>1271</v>
      </c>
    </row>
    <row r="74" spans="1:19" s="179" customFormat="1" ht="13.5" thickBot="1">
      <c r="A74" s="180">
        <v>62</v>
      </c>
      <c r="B74" s="366"/>
      <c r="C74" s="189" t="s">
        <v>537</v>
      </c>
      <c r="D74" s="366"/>
      <c r="E74" s="732">
        <f>SUM(E47:E73)</f>
        <v>725504218.88</v>
      </c>
      <c r="F74" s="366"/>
      <c r="G74" s="366"/>
      <c r="H74" s="366"/>
      <c r="I74" s="732">
        <f t="shared" ref="I74:K74" si="21">SUM(I47:I73)</f>
        <v>45222.54</v>
      </c>
      <c r="J74" s="732">
        <f t="shared" si="21"/>
        <v>2429.3100000000004</v>
      </c>
      <c r="K74" s="732">
        <f t="shared" si="21"/>
        <v>158611519.73800001</v>
      </c>
      <c r="L74" s="732">
        <f>SUM(L47:L73)</f>
        <v>725456567.03000009</v>
      </c>
      <c r="M74" s="366"/>
      <c r="N74" s="366"/>
      <c r="O74" s="366"/>
      <c r="P74" s="732">
        <f>SUM(P47:P73)</f>
        <v>144452287.97800002</v>
      </c>
      <c r="Q74" s="725"/>
      <c r="R74" s="366"/>
      <c r="S74" s="366"/>
    </row>
    <row r="75" spans="1:19" s="179" customFormat="1" ht="13.5" thickTop="1">
      <c r="A75" s="180">
        <v>63</v>
      </c>
      <c r="B75" s="366"/>
      <c r="C75" s="366"/>
      <c r="D75" s="366"/>
      <c r="E75" s="432"/>
      <c r="F75" s="366"/>
      <c r="G75" s="366"/>
      <c r="H75" s="366"/>
      <c r="I75" s="432"/>
      <c r="J75" s="432"/>
      <c r="K75" s="432"/>
      <c r="L75" s="432"/>
      <c r="M75" s="366"/>
      <c r="N75" s="366"/>
      <c r="O75" s="366"/>
      <c r="P75" s="432"/>
      <c r="Q75" s="828"/>
      <c r="R75" s="366"/>
      <c r="S75" s="366"/>
    </row>
    <row r="76" spans="1:19" s="179" customFormat="1">
      <c r="A76" s="180">
        <v>64</v>
      </c>
      <c r="B76" s="366"/>
      <c r="C76" s="348" t="s">
        <v>1270</v>
      </c>
      <c r="D76" s="366"/>
      <c r="E76" s="432"/>
      <c r="F76" s="366"/>
      <c r="G76" s="366"/>
      <c r="H76" s="366"/>
      <c r="I76" s="432"/>
      <c r="J76" s="432"/>
      <c r="K76" s="432"/>
      <c r="L76" s="432"/>
      <c r="M76" s="366"/>
      <c r="N76" s="366"/>
      <c r="O76" s="366"/>
      <c r="P76" s="432"/>
      <c r="Q76" s="828"/>
      <c r="R76" s="366"/>
      <c r="S76" s="366"/>
    </row>
    <row r="77" spans="1:19" s="179" customFormat="1">
      <c r="A77" s="180">
        <v>65</v>
      </c>
      <c r="B77" s="346" t="s">
        <v>522</v>
      </c>
      <c r="C77" s="847" t="s">
        <v>1310</v>
      </c>
      <c r="D77" s="366" t="s">
        <v>1149</v>
      </c>
      <c r="E77" s="385">
        <v>10009643</v>
      </c>
      <c r="F77" s="346" t="s">
        <v>1188</v>
      </c>
      <c r="G77" s="366">
        <v>2</v>
      </c>
      <c r="H77" s="346" t="s">
        <v>1143</v>
      </c>
      <c r="I77" s="385">
        <v>3782410.7</v>
      </c>
      <c r="J77" s="385">
        <v>5547316.1800000006</v>
      </c>
      <c r="K77" s="385">
        <v>0</v>
      </c>
      <c r="L77" s="385">
        <f>+E77-I77-J77</f>
        <v>679916.11999999918</v>
      </c>
      <c r="M77" s="366" t="s">
        <v>1189</v>
      </c>
      <c r="N77" s="346" t="s">
        <v>1190</v>
      </c>
      <c r="O77" s="629">
        <v>0</v>
      </c>
      <c r="P77" s="385">
        <f>+K77-J77</f>
        <v>-5547316.1800000006</v>
      </c>
      <c r="Q77" s="829" t="s">
        <v>1318</v>
      </c>
      <c r="R77" s="366" t="s">
        <v>531</v>
      </c>
      <c r="S77" s="366" t="s">
        <v>529</v>
      </c>
    </row>
    <row r="78" spans="1:19" s="179" customFormat="1" ht="13.5" thickBot="1">
      <c r="A78" s="180">
        <v>66</v>
      </c>
      <c r="B78" s="366"/>
      <c r="C78" s="189" t="s">
        <v>538</v>
      </c>
      <c r="D78" s="366"/>
      <c r="E78" s="732">
        <f>SUM(E77:E77)</f>
        <v>10009643</v>
      </c>
      <c r="F78" s="366"/>
      <c r="G78" s="366"/>
      <c r="H78" s="366"/>
      <c r="I78" s="732">
        <f>SUM(I77:I77)</f>
        <v>3782410.7</v>
      </c>
      <c r="J78" s="732">
        <f>SUM(J77:J77)</f>
        <v>5547316.1800000006</v>
      </c>
      <c r="K78" s="732">
        <f>SUM(K77:K77)</f>
        <v>0</v>
      </c>
      <c r="L78" s="732">
        <f>SUM(L77:L77)</f>
        <v>679916.11999999918</v>
      </c>
      <c r="M78" s="366"/>
      <c r="N78" s="366"/>
      <c r="O78" s="366"/>
      <c r="P78" s="732">
        <f>SUM(P77:P77)</f>
        <v>-5547316.1800000006</v>
      </c>
      <c r="R78" s="366"/>
      <c r="S78" s="366"/>
    </row>
    <row r="79" spans="1:19" s="179" customFormat="1" ht="13.5" thickTop="1">
      <c r="A79" s="180">
        <v>67</v>
      </c>
      <c r="B79" s="366"/>
      <c r="C79" s="189"/>
      <c r="D79" s="366"/>
      <c r="E79" s="502"/>
      <c r="F79" s="366"/>
      <c r="G79" s="366"/>
      <c r="H79" s="366"/>
      <c r="I79" s="502"/>
      <c r="J79" s="502"/>
      <c r="K79" s="502"/>
      <c r="L79" s="502"/>
      <c r="M79" s="366"/>
      <c r="N79" s="366"/>
      <c r="O79" s="366"/>
      <c r="P79" s="502"/>
      <c r="R79" s="366"/>
      <c r="S79" s="366"/>
    </row>
    <row r="80" spans="1:19" s="179" customFormat="1">
      <c r="A80" s="180">
        <v>68</v>
      </c>
      <c r="B80" s="366"/>
      <c r="C80" s="366"/>
      <c r="D80" s="366"/>
      <c r="E80" s="366"/>
      <c r="F80" s="366"/>
      <c r="G80" s="366"/>
      <c r="H80" s="366"/>
      <c r="I80" s="432"/>
      <c r="J80" s="432"/>
      <c r="K80" s="432"/>
      <c r="L80" s="432"/>
      <c r="M80" s="366"/>
      <c r="N80" s="366"/>
      <c r="O80" s="366"/>
      <c r="P80" s="366"/>
      <c r="Q80" s="366"/>
      <c r="R80" s="366"/>
      <c r="S80" s="366"/>
    </row>
    <row r="81" spans="1:19" s="179" customFormat="1">
      <c r="A81" s="180">
        <v>69</v>
      </c>
      <c r="B81" s="346" t="s">
        <v>1191</v>
      </c>
      <c r="C81" s="366"/>
      <c r="D81" s="346"/>
      <c r="E81" s="366"/>
      <c r="F81" s="366"/>
      <c r="G81" s="366"/>
      <c r="H81" s="366"/>
      <c r="I81" s="366"/>
      <c r="J81" s="366"/>
      <c r="K81" s="366"/>
      <c r="L81" s="366"/>
      <c r="M81" s="366"/>
      <c r="N81" s="366"/>
      <c r="O81" s="366"/>
      <c r="P81" s="366"/>
      <c r="Q81" s="366"/>
      <c r="R81" s="366"/>
      <c r="S81" s="366"/>
    </row>
    <row r="82" spans="1:19" s="179" customFormat="1">
      <c r="A82" s="180">
        <v>70</v>
      </c>
      <c r="B82" s="347" t="s">
        <v>647</v>
      </c>
      <c r="C82" s="346" t="s">
        <v>1192</v>
      </c>
      <c r="D82" s="735">
        <f>(1706309.42*16)+243296.87</f>
        <v>27544247.59</v>
      </c>
      <c r="E82" s="366"/>
      <c r="F82" s="366"/>
      <c r="G82" s="366"/>
      <c r="H82" s="366"/>
      <c r="I82" s="366"/>
      <c r="J82" s="366"/>
      <c r="K82" s="366"/>
      <c r="L82" s="366"/>
      <c r="M82" s="366"/>
      <c r="N82" s="366"/>
      <c r="O82" s="366"/>
      <c r="P82" s="366"/>
      <c r="Q82" s="366"/>
      <c r="R82" s="366"/>
      <c r="S82" s="366"/>
    </row>
    <row r="83" spans="1:19" s="179" customFormat="1">
      <c r="A83" s="180">
        <v>71</v>
      </c>
      <c r="B83" s="347" t="s">
        <v>1221</v>
      </c>
      <c r="C83" s="346" t="s">
        <v>1311</v>
      </c>
      <c r="D83" s="193">
        <v>59201</v>
      </c>
      <c r="E83" s="346" t="s">
        <v>1223</v>
      </c>
      <c r="F83" s="366"/>
      <c r="G83" s="366"/>
      <c r="H83" s="366"/>
      <c r="I83" s="366"/>
      <c r="J83" s="366"/>
      <c r="K83" s="366"/>
      <c r="L83" s="366"/>
      <c r="M83" s="366"/>
      <c r="N83" s="366"/>
      <c r="O83" s="366"/>
      <c r="P83" s="366"/>
      <c r="Q83" s="366"/>
      <c r="R83" s="366"/>
      <c r="S83" s="366"/>
    </row>
    <row r="84" spans="1:19" s="179" customFormat="1">
      <c r="A84" s="180">
        <v>72</v>
      </c>
      <c r="B84" s="347" t="s">
        <v>523</v>
      </c>
      <c r="C84" s="346" t="s">
        <v>1193</v>
      </c>
      <c r="D84" s="193">
        <v>360466.45000000007</v>
      </c>
      <c r="E84" s="366"/>
      <c r="F84" s="366"/>
      <c r="G84" s="366"/>
      <c r="H84" s="366"/>
      <c r="I84" s="366"/>
      <c r="J84" s="366"/>
      <c r="K84" s="366"/>
      <c r="L84" s="366"/>
      <c r="M84" s="366"/>
      <c r="N84" s="366"/>
      <c r="O84" s="366"/>
      <c r="P84" s="366"/>
      <c r="Q84" s="366"/>
      <c r="R84" s="366"/>
      <c r="S84" s="366"/>
    </row>
    <row r="85" spans="1:19" s="179" customFormat="1">
      <c r="A85" s="180">
        <v>73</v>
      </c>
      <c r="B85" s="347" t="s">
        <v>1222</v>
      </c>
      <c r="C85" s="346" t="s">
        <v>1312</v>
      </c>
      <c r="D85" s="193">
        <v>524869</v>
      </c>
      <c r="E85" s="346" t="s">
        <v>1223</v>
      </c>
      <c r="F85" s="366"/>
      <c r="G85" s="366"/>
      <c r="H85" s="366"/>
      <c r="I85" s="366"/>
      <c r="J85" s="366"/>
      <c r="K85" s="366"/>
      <c r="L85" s="366"/>
      <c r="M85" s="366"/>
      <c r="N85" s="366"/>
      <c r="O85" s="366"/>
      <c r="P85" s="366"/>
      <c r="Q85" s="366"/>
      <c r="R85" s="366"/>
      <c r="S85" s="366"/>
    </row>
    <row r="86" spans="1:19" s="179" customFormat="1">
      <c r="A86" s="180">
        <v>74</v>
      </c>
      <c r="B86" s="347" t="s">
        <v>521</v>
      </c>
      <c r="C86" s="346" t="s">
        <v>1194</v>
      </c>
      <c r="D86" s="99">
        <v>55077680.639999986</v>
      </c>
      <c r="E86" s="366"/>
      <c r="F86" s="366"/>
      <c r="G86" s="366"/>
      <c r="H86" s="366"/>
      <c r="I86" s="366"/>
      <c r="J86" s="366"/>
      <c r="K86" s="366"/>
      <c r="L86" s="366"/>
      <c r="M86" s="366"/>
      <c r="N86" s="366"/>
      <c r="O86" s="366"/>
      <c r="P86" s="366"/>
      <c r="Q86" s="366"/>
      <c r="R86" s="366"/>
      <c r="S86" s="366"/>
    </row>
    <row r="87" spans="1:19" s="179" customFormat="1">
      <c r="A87" s="180">
        <v>75</v>
      </c>
      <c r="B87" s="347" t="s">
        <v>443</v>
      </c>
      <c r="C87" s="346" t="s">
        <v>1194</v>
      </c>
      <c r="D87" s="99">
        <v>1778445.4400000006</v>
      </c>
      <c r="E87" s="366"/>
      <c r="F87" s="366"/>
      <c r="G87" s="366"/>
      <c r="H87" s="366"/>
      <c r="I87" s="366"/>
      <c r="J87" s="366"/>
      <c r="K87" s="366"/>
      <c r="L87" s="366"/>
      <c r="M87" s="366"/>
      <c r="N87" s="366"/>
      <c r="O87" s="366"/>
      <c r="P87" s="366"/>
      <c r="Q87" s="366"/>
      <c r="R87" s="366"/>
      <c r="S87" s="366"/>
    </row>
    <row r="88" spans="1:19" s="179" customFormat="1">
      <c r="A88" s="180">
        <v>76</v>
      </c>
      <c r="B88" s="347" t="s">
        <v>386</v>
      </c>
      <c r="C88" s="346" t="s">
        <v>1195</v>
      </c>
      <c r="D88" s="99">
        <v>40917590.719999999</v>
      </c>
      <c r="E88" s="366"/>
      <c r="F88" s="366"/>
      <c r="G88" s="366"/>
      <c r="H88" s="366"/>
      <c r="I88" s="366"/>
      <c r="J88" s="366"/>
      <c r="K88" s="366"/>
      <c r="L88" s="366"/>
      <c r="M88" s="366"/>
      <c r="N88" s="366"/>
      <c r="O88" s="366"/>
      <c r="P88" s="366"/>
      <c r="Q88" s="366"/>
      <c r="R88" s="366"/>
      <c r="S88" s="366"/>
    </row>
    <row r="89" spans="1:19" s="179" customFormat="1">
      <c r="A89" s="180">
        <v>77</v>
      </c>
      <c r="B89" s="347" t="s">
        <v>386</v>
      </c>
      <c r="C89" s="346" t="s">
        <v>1196</v>
      </c>
      <c r="D89" s="99">
        <v>5663398.7199999997</v>
      </c>
      <c r="E89" s="366"/>
      <c r="F89" s="366"/>
      <c r="G89" s="366"/>
      <c r="H89" s="366"/>
      <c r="I89" s="366"/>
      <c r="J89" s="366"/>
      <c r="K89" s="366"/>
      <c r="L89" s="366"/>
      <c r="M89" s="366"/>
      <c r="N89" s="366"/>
      <c r="O89" s="366"/>
      <c r="P89" s="366"/>
      <c r="Q89" s="366"/>
      <c r="R89" s="366"/>
      <c r="S89" s="366"/>
    </row>
    <row r="90" spans="1:19" s="179" customFormat="1">
      <c r="A90" s="180">
        <v>78</v>
      </c>
      <c r="B90" s="347" t="s">
        <v>522</v>
      </c>
      <c r="C90" s="346" t="s">
        <v>1313</v>
      </c>
      <c r="D90" s="99">
        <v>222367.35999999999</v>
      </c>
      <c r="E90" s="366"/>
      <c r="F90" s="366"/>
      <c r="G90" s="366"/>
      <c r="H90" s="366"/>
      <c r="I90" s="366"/>
      <c r="J90" s="366"/>
      <c r="K90" s="366"/>
      <c r="L90" s="366"/>
      <c r="M90" s="366"/>
      <c r="N90" s="366"/>
      <c r="O90" s="366"/>
      <c r="P90" s="366"/>
      <c r="Q90" s="366"/>
      <c r="R90" s="366"/>
      <c r="S90" s="366"/>
    </row>
    <row r="91" spans="1:19" s="179" customFormat="1" ht="13.5" thickBot="1">
      <c r="A91" s="180">
        <v>79</v>
      </c>
      <c r="B91" s="729" t="s">
        <v>1197</v>
      </c>
      <c r="C91" s="366"/>
      <c r="D91" s="736">
        <f>SUM(D82:D89)</f>
        <v>131925899.55999997</v>
      </c>
      <c r="E91" s="366"/>
      <c r="F91" s="366"/>
      <c r="G91" s="366"/>
      <c r="H91" s="366"/>
      <c r="I91" s="366"/>
      <c r="J91" s="366"/>
      <c r="K91" s="366"/>
      <c r="L91" s="366"/>
      <c r="M91" s="366"/>
      <c r="N91" s="366"/>
      <c r="O91" s="366"/>
      <c r="P91" s="366"/>
      <c r="Q91" s="366"/>
      <c r="R91" s="366"/>
      <c r="S91" s="366"/>
    </row>
    <row r="92" spans="1:19" s="179" customFormat="1" ht="14.25" thickTop="1" thickBot="1">
      <c r="A92" s="180">
        <v>80</v>
      </c>
      <c r="B92" s="366"/>
      <c r="C92" s="366"/>
      <c r="D92" s="366"/>
      <c r="E92" s="366"/>
      <c r="F92" s="366"/>
      <c r="G92" s="366"/>
      <c r="H92" s="366"/>
      <c r="I92" s="366"/>
      <c r="J92" s="366"/>
      <c r="K92" s="366"/>
      <c r="L92" s="366"/>
      <c r="M92" s="366"/>
      <c r="N92" s="366"/>
      <c r="O92" s="366"/>
      <c r="P92" s="366"/>
      <c r="Q92" s="366"/>
      <c r="R92" s="366"/>
      <c r="S92" s="366"/>
    </row>
    <row r="93" spans="1:19" s="179" customFormat="1" ht="13.5" thickTop="1">
      <c r="A93" s="180">
        <v>81</v>
      </c>
      <c r="B93" s="366"/>
      <c r="C93" s="366"/>
      <c r="D93" s="737"/>
      <c r="E93" s="737" t="s">
        <v>304</v>
      </c>
      <c r="F93" s="737" t="s">
        <v>61</v>
      </c>
      <c r="G93" s="737" t="s">
        <v>379</v>
      </c>
      <c r="H93" s="737" t="s">
        <v>62</v>
      </c>
      <c r="I93" s="366"/>
      <c r="J93" s="366"/>
      <c r="K93" s="366"/>
      <c r="L93" s="366"/>
      <c r="M93" s="366"/>
      <c r="N93" s="366"/>
      <c r="O93" s="366"/>
      <c r="P93" s="366"/>
      <c r="Q93" s="366"/>
      <c r="R93" s="366"/>
      <c r="S93" s="366"/>
    </row>
    <row r="94" spans="1:19" s="179" customFormat="1">
      <c r="A94" s="180">
        <v>82</v>
      </c>
      <c r="B94" s="366"/>
      <c r="C94" s="366"/>
      <c r="D94" s="738" t="s">
        <v>71</v>
      </c>
      <c r="E94" s="738" t="s">
        <v>865</v>
      </c>
      <c r="F94" s="738" t="s">
        <v>63</v>
      </c>
      <c r="G94" s="738" t="s">
        <v>380</v>
      </c>
      <c r="H94" s="738" t="s">
        <v>61</v>
      </c>
      <c r="I94" s="366"/>
      <c r="J94" s="366"/>
      <c r="K94" s="366"/>
      <c r="L94" s="366"/>
      <c r="M94" s="366"/>
      <c r="N94" s="366"/>
      <c r="O94" s="366"/>
      <c r="P94" s="366"/>
      <c r="Q94" s="366"/>
      <c r="R94" s="366"/>
      <c r="S94" s="366"/>
    </row>
    <row r="95" spans="1:19" s="179" customFormat="1" ht="13.5" thickBot="1">
      <c r="A95" s="180">
        <v>83</v>
      </c>
      <c r="B95" s="366"/>
      <c r="C95" s="366" t="s">
        <v>858</v>
      </c>
      <c r="D95" s="739" t="s">
        <v>76</v>
      </c>
      <c r="E95" s="739" t="s">
        <v>77</v>
      </c>
      <c r="F95" s="739" t="s">
        <v>78</v>
      </c>
      <c r="G95" s="739" t="s">
        <v>381</v>
      </c>
      <c r="H95" s="739" t="s">
        <v>63</v>
      </c>
      <c r="I95" s="366"/>
      <c r="J95" s="366"/>
      <c r="K95" s="366"/>
      <c r="L95" s="366"/>
      <c r="M95" s="366"/>
      <c r="N95" s="366"/>
      <c r="O95" s="366"/>
      <c r="P95" s="366"/>
      <c r="Q95" s="366"/>
      <c r="R95" s="366"/>
      <c r="S95" s="366"/>
    </row>
    <row r="96" spans="1:19" s="179" customFormat="1" ht="13.5" thickTop="1">
      <c r="A96" s="180">
        <v>84</v>
      </c>
      <c r="B96" s="366"/>
      <c r="C96" s="366"/>
      <c r="D96" s="366"/>
      <c r="E96" s="366"/>
      <c r="F96" s="366"/>
      <c r="G96" s="366"/>
      <c r="H96" s="366"/>
      <c r="J96" s="366"/>
      <c r="K96" s="366"/>
      <c r="L96" s="366"/>
      <c r="M96" s="366"/>
      <c r="N96" s="366"/>
      <c r="O96" s="366"/>
      <c r="P96" s="366"/>
      <c r="Q96" s="366"/>
      <c r="R96" s="366"/>
      <c r="S96" s="366"/>
    </row>
    <row r="97" spans="1:19" s="179" customFormat="1">
      <c r="A97" s="180">
        <v>85</v>
      </c>
      <c r="B97" s="366"/>
      <c r="C97" s="249" t="s">
        <v>1314</v>
      </c>
      <c r="D97" s="676">
        <f>+'II-E-4.1'!E19</f>
        <v>-30673.559999999998</v>
      </c>
      <c r="E97" s="676">
        <f>+'II-E-4.1'!F19</f>
        <v>0</v>
      </c>
      <c r="F97" s="676">
        <f>+D97+E97</f>
        <v>-30673.559999999998</v>
      </c>
      <c r="G97" s="676">
        <v>0</v>
      </c>
      <c r="H97" s="676">
        <f>+F97+G97</f>
        <v>-30673.559999999998</v>
      </c>
      <c r="I97" s="192"/>
      <c r="J97" s="366"/>
      <c r="K97" s="366"/>
      <c r="L97" s="366"/>
      <c r="M97" s="366"/>
      <c r="N97" s="366"/>
      <c r="O97" s="366"/>
      <c r="P97" s="366"/>
      <c r="Q97" s="366"/>
      <c r="R97" s="366"/>
      <c r="S97" s="366"/>
    </row>
    <row r="98" spans="1:19" s="179" customFormat="1">
      <c r="A98" s="180">
        <v>86</v>
      </c>
      <c r="B98" s="366"/>
      <c r="C98" s="236" t="s">
        <v>1315</v>
      </c>
      <c r="D98" s="102">
        <f>+'II-E-4.1'!E22+'II-E-4.1'!E23+'II-E-4.1'!E25+'II-E-4.1'!E26+'II-E-4.1'!E27</f>
        <v>34175451.370000005</v>
      </c>
      <c r="E98" s="102">
        <f>+'II-E-4.1'!F22+'II-E-4.1'!F23+'II-E-4.1'!F25+'II-E-4.1'!F26+'II-E-4.1'!F27</f>
        <v>0</v>
      </c>
      <c r="F98" s="102">
        <f>+D98+E98</f>
        <v>34175451.370000005</v>
      </c>
      <c r="G98" s="102">
        <f>SUM(P47:P52)</f>
        <v>7161432.1899999995</v>
      </c>
      <c r="H98" s="782">
        <f>+F98+G98</f>
        <v>41336883.560000002</v>
      </c>
      <c r="I98" s="192"/>
      <c r="J98" s="366"/>
      <c r="K98" s="366"/>
      <c r="L98" s="366"/>
      <c r="M98" s="366"/>
      <c r="N98" s="366"/>
      <c r="O98" s="366"/>
      <c r="P98" s="366"/>
      <c r="Q98" s="366"/>
      <c r="R98" s="366"/>
      <c r="S98" s="366"/>
    </row>
    <row r="99" spans="1:19" s="179" customFormat="1" ht="13.5" thickBot="1">
      <c r="A99" s="180">
        <v>87</v>
      </c>
      <c r="B99" s="366"/>
      <c r="C99" s="847" t="s">
        <v>1316</v>
      </c>
      <c r="D99" s="848">
        <f>SUM(D97:D98)</f>
        <v>34144777.810000002</v>
      </c>
      <c r="E99" s="848">
        <f>SUM(E97:E98)</f>
        <v>0</v>
      </c>
      <c r="F99" s="848">
        <f t="shared" ref="F99:H99" si="22">SUM(F97:F98)</f>
        <v>34144777.810000002</v>
      </c>
      <c r="G99" s="848">
        <f>SUM(G97:G98)</f>
        <v>7161432.1899999995</v>
      </c>
      <c r="H99" s="848">
        <f t="shared" si="22"/>
        <v>41306210</v>
      </c>
      <c r="I99" s="192"/>
      <c r="J99" s="366"/>
      <c r="K99" s="366"/>
      <c r="L99" s="366"/>
      <c r="M99" s="366"/>
      <c r="N99" s="366"/>
      <c r="O99" s="366"/>
      <c r="P99" s="366"/>
      <c r="Q99" s="366"/>
      <c r="R99" s="366"/>
      <c r="S99" s="366"/>
    </row>
    <row r="100" spans="1:19" s="179" customFormat="1" ht="13.5" thickTop="1">
      <c r="A100" s="180">
        <v>88</v>
      </c>
      <c r="B100" s="366"/>
      <c r="C100" s="847"/>
      <c r="D100" s="366"/>
      <c r="E100" s="366"/>
      <c r="F100" s="366"/>
      <c r="G100" s="366"/>
      <c r="H100" s="366"/>
      <c r="J100" s="366"/>
      <c r="K100" s="366"/>
      <c r="L100" s="366"/>
      <c r="M100" s="366"/>
      <c r="N100" s="366"/>
      <c r="O100" s="366"/>
      <c r="P100" s="366"/>
      <c r="Q100" s="366"/>
      <c r="R100" s="366"/>
      <c r="S100" s="366"/>
    </row>
    <row r="101" spans="1:19" s="179" customFormat="1">
      <c r="A101" s="180">
        <v>89</v>
      </c>
      <c r="B101" s="366" t="s">
        <v>859</v>
      </c>
      <c r="C101" s="366"/>
      <c r="D101" s="366"/>
      <c r="E101" s="366"/>
      <c r="F101" s="366"/>
      <c r="G101" s="366"/>
      <c r="H101" s="366"/>
      <c r="I101" s="366"/>
      <c r="J101" s="366"/>
      <c r="K101" s="366"/>
      <c r="L101" s="366"/>
      <c r="M101" s="366"/>
      <c r="N101" s="366"/>
      <c r="O101" s="366"/>
      <c r="P101" s="366"/>
      <c r="Q101" s="366"/>
      <c r="R101" s="366"/>
      <c r="S101" s="366"/>
    </row>
    <row r="102" spans="1:19" s="179" customFormat="1">
      <c r="A102" s="180">
        <v>90</v>
      </c>
      <c r="B102" s="366" t="s">
        <v>860</v>
      </c>
      <c r="C102" s="366"/>
      <c r="D102" s="366"/>
      <c r="E102" s="366"/>
      <c r="F102" s="366"/>
      <c r="G102" s="366"/>
      <c r="H102" s="366"/>
      <c r="I102" s="366"/>
      <c r="J102" s="366"/>
      <c r="K102" s="366"/>
      <c r="L102" s="366"/>
      <c r="M102" s="366"/>
      <c r="N102" s="366"/>
      <c r="O102" s="366"/>
      <c r="P102" s="366"/>
      <c r="Q102" s="366"/>
      <c r="R102" s="366"/>
      <c r="S102" s="366"/>
    </row>
    <row r="103" spans="1:19" s="179" customFormat="1">
      <c r="A103" s="180">
        <v>91</v>
      </c>
      <c r="B103" s="366" t="s">
        <v>861</v>
      </c>
      <c r="C103" s="366"/>
      <c r="D103" s="366"/>
      <c r="E103" s="366"/>
      <c r="F103" s="366"/>
      <c r="G103" s="366"/>
      <c r="H103" s="366"/>
      <c r="I103" s="366"/>
      <c r="J103" s="366"/>
      <c r="K103" s="366"/>
      <c r="L103" s="366"/>
      <c r="M103" s="366"/>
      <c r="N103" s="366"/>
      <c r="O103" s="366"/>
      <c r="P103" s="366"/>
      <c r="Q103" s="366"/>
      <c r="R103" s="366"/>
      <c r="S103" s="366"/>
    </row>
    <row r="104" spans="1:19" s="179" customFormat="1">
      <c r="A104" s="180">
        <v>92</v>
      </c>
      <c r="B104" s="346" t="s">
        <v>1017</v>
      </c>
      <c r="C104" s="366"/>
      <c r="D104" s="366"/>
      <c r="E104" s="366"/>
      <c r="F104" s="366"/>
      <c r="G104" s="366"/>
      <c r="H104" s="366"/>
      <c r="I104" s="366"/>
      <c r="J104" s="366"/>
      <c r="K104" s="366"/>
      <c r="L104" s="366"/>
      <c r="M104" s="366"/>
      <c r="N104" s="366"/>
      <c r="O104" s="366"/>
      <c r="P104" s="366"/>
      <c r="Q104" s="366"/>
      <c r="R104" s="366"/>
      <c r="S104" s="366"/>
    </row>
    <row r="105" spans="1:19" s="179" customFormat="1">
      <c r="A105" s="180"/>
      <c r="B105" s="712"/>
      <c r="C105" s="711"/>
      <c r="D105" s="713"/>
      <c r="E105" s="714"/>
      <c r="F105" s="181"/>
      <c r="G105" s="181"/>
      <c r="H105" s="181"/>
      <c r="I105" s="181"/>
      <c r="J105" s="181"/>
      <c r="K105" s="181"/>
      <c r="L105" s="181"/>
      <c r="M105" s="181"/>
      <c r="N105" s="181"/>
      <c r="O105" s="181"/>
      <c r="P105" s="181"/>
      <c r="Q105" s="181"/>
      <c r="R105" s="181"/>
      <c r="S105" s="181"/>
    </row>
    <row r="106" spans="1:19" s="179" customFormat="1">
      <c r="A106" s="180"/>
      <c r="B106" s="711"/>
      <c r="C106" s="711"/>
      <c r="D106" s="181"/>
      <c r="E106" s="714"/>
      <c r="F106" s="181"/>
      <c r="G106" s="181"/>
      <c r="H106" s="181"/>
      <c r="I106" s="181"/>
      <c r="J106" s="181"/>
      <c r="K106" s="181"/>
      <c r="L106" s="181"/>
      <c r="M106" s="181"/>
      <c r="N106" s="181"/>
      <c r="O106" s="181"/>
      <c r="P106" s="181"/>
      <c r="Q106" s="181"/>
      <c r="R106" s="181"/>
      <c r="S106" s="181"/>
    </row>
    <row r="107" spans="1:19" s="179" customFormat="1">
      <c r="A107" s="180"/>
      <c r="B107" s="710"/>
      <c r="C107" s="711"/>
      <c r="D107" s="181"/>
      <c r="E107" s="715"/>
      <c r="F107" s="181"/>
      <c r="G107" s="221"/>
      <c r="H107" s="221"/>
      <c r="I107" s="221"/>
      <c r="J107" s="181"/>
      <c r="K107" s="181"/>
      <c r="L107" s="181"/>
      <c r="M107" s="181"/>
      <c r="N107" s="181"/>
      <c r="O107" s="181"/>
      <c r="P107" s="181"/>
      <c r="Q107" s="181"/>
      <c r="R107" s="181"/>
      <c r="S107" s="181"/>
    </row>
    <row r="108" spans="1:19" s="179" customFormat="1">
      <c r="A108" s="180"/>
      <c r="B108" s="712"/>
      <c r="C108" s="711"/>
      <c r="D108" s="707"/>
      <c r="E108" s="716"/>
      <c r="F108" s="181"/>
      <c r="G108" s="707"/>
      <c r="H108" s="707"/>
      <c r="I108" s="707"/>
      <c r="J108" s="181"/>
      <c r="K108" s="181"/>
      <c r="L108" s="181"/>
      <c r="M108" s="181"/>
      <c r="N108" s="181"/>
      <c r="O108" s="181"/>
      <c r="P108" s="181"/>
      <c r="Q108" s="181"/>
      <c r="R108" s="181"/>
      <c r="S108" s="181"/>
    </row>
    <row r="109" spans="1:19" s="179" customFormat="1">
      <c r="A109" s="180"/>
      <c r="B109" s="712"/>
      <c r="C109" s="711"/>
      <c r="D109" s="612"/>
      <c r="E109" s="717"/>
      <c r="F109" s="181"/>
      <c r="G109" s="612"/>
      <c r="H109" s="612"/>
      <c r="I109" s="612"/>
      <c r="J109" s="181"/>
      <c r="K109" s="181"/>
      <c r="L109" s="181"/>
      <c r="M109" s="181"/>
      <c r="N109" s="181"/>
      <c r="O109" s="181"/>
      <c r="P109" s="181"/>
      <c r="Q109" s="181"/>
      <c r="R109" s="181"/>
      <c r="S109" s="181"/>
    </row>
    <row r="110" spans="1:19" s="179" customFormat="1">
      <c r="A110" s="180"/>
      <c r="B110" s="712"/>
      <c r="C110" s="711"/>
      <c r="D110" s="612"/>
      <c r="E110" s="612"/>
      <c r="F110" s="181"/>
      <c r="G110" s="612"/>
      <c r="H110" s="612"/>
      <c r="I110" s="612"/>
      <c r="J110" s="181"/>
      <c r="K110" s="181"/>
      <c r="L110" s="181"/>
      <c r="M110" s="181"/>
      <c r="N110" s="181"/>
      <c r="O110" s="181"/>
      <c r="P110" s="181"/>
      <c r="Q110" s="181"/>
      <c r="R110" s="181"/>
      <c r="S110" s="181"/>
    </row>
    <row r="111" spans="1:19" s="179" customFormat="1">
      <c r="A111" s="180"/>
      <c r="B111" s="712"/>
      <c r="C111" s="711"/>
      <c r="D111" s="713"/>
      <c r="E111" s="181"/>
      <c r="F111" s="181"/>
      <c r="G111" s="709"/>
      <c r="H111" s="709"/>
      <c r="I111" s="709"/>
      <c r="J111" s="181"/>
      <c r="K111" s="181"/>
      <c r="L111" s="181"/>
      <c r="M111" s="181"/>
      <c r="N111" s="181"/>
      <c r="O111" s="181"/>
      <c r="P111" s="181"/>
      <c r="Q111" s="181"/>
      <c r="R111" s="181"/>
      <c r="S111" s="181"/>
    </row>
    <row r="112" spans="1:19" s="179" customFormat="1">
      <c r="A112" s="180"/>
      <c r="B112" s="181"/>
      <c r="C112" s="181"/>
      <c r="D112" s="181"/>
      <c r="E112" s="181"/>
      <c r="F112" s="181"/>
      <c r="G112" s="181"/>
      <c r="H112" s="181"/>
      <c r="I112" s="181"/>
      <c r="J112" s="181"/>
      <c r="K112" s="181"/>
      <c r="L112" s="181"/>
      <c r="M112" s="181"/>
      <c r="N112" s="181"/>
      <c r="O112" s="181"/>
      <c r="P112" s="181"/>
      <c r="Q112" s="181"/>
      <c r="R112" s="181"/>
      <c r="S112" s="181"/>
    </row>
    <row r="113" spans="1:19" s="179" customFormat="1">
      <c r="A113" s="180"/>
      <c r="B113" s="181"/>
      <c r="C113" s="181"/>
      <c r="D113" s="181"/>
      <c r="E113" s="181"/>
      <c r="F113" s="181"/>
      <c r="G113" s="181"/>
      <c r="H113" s="181"/>
      <c r="I113" s="181"/>
      <c r="J113" s="181"/>
      <c r="K113" s="181"/>
      <c r="L113" s="181"/>
      <c r="M113" s="181"/>
      <c r="N113" s="181"/>
      <c r="O113" s="181"/>
      <c r="P113" s="181"/>
      <c r="Q113" s="181"/>
      <c r="R113" s="181"/>
      <c r="S113" s="181"/>
    </row>
    <row r="114" spans="1:19" s="179" customFormat="1">
      <c r="A114" s="180"/>
      <c r="B114" s="181"/>
      <c r="C114" s="181"/>
      <c r="D114" s="181"/>
      <c r="E114" s="181"/>
      <c r="F114" s="181"/>
      <c r="G114" s="181"/>
      <c r="H114" s="181"/>
      <c r="I114" s="181"/>
      <c r="J114" s="181"/>
      <c r="K114" s="708"/>
      <c r="L114" s="718"/>
      <c r="M114" s="181"/>
      <c r="N114" s="181"/>
      <c r="O114" s="181"/>
      <c r="P114" s="181"/>
      <c r="Q114" s="181"/>
      <c r="R114" s="181"/>
      <c r="S114" s="181"/>
    </row>
    <row r="115" spans="1:19" s="179" customFormat="1">
      <c r="A115" s="180"/>
      <c r="B115" s="181"/>
      <c r="C115" s="181"/>
      <c r="D115" s="181"/>
      <c r="E115" s="181"/>
      <c r="F115" s="181"/>
      <c r="G115" s="181"/>
      <c r="H115" s="181"/>
      <c r="I115" s="181"/>
      <c r="J115" s="181"/>
      <c r="K115" s="708"/>
      <c r="L115" s="719"/>
      <c r="M115" s="181"/>
      <c r="N115" s="181"/>
      <c r="O115" s="181"/>
      <c r="P115" s="181"/>
      <c r="Q115" s="181"/>
      <c r="R115" s="181"/>
      <c r="S115" s="181"/>
    </row>
    <row r="116" spans="1:19" s="179" customFormat="1">
      <c r="A116" s="180"/>
      <c r="B116" s="181"/>
      <c r="C116" s="181"/>
      <c r="D116" s="181"/>
      <c r="E116" s="181"/>
      <c r="F116" s="181"/>
      <c r="G116" s="181"/>
      <c r="H116" s="181"/>
      <c r="I116" s="181"/>
      <c r="J116" s="181"/>
      <c r="K116" s="720"/>
      <c r="L116" s="612"/>
      <c r="M116" s="181"/>
      <c r="N116" s="181"/>
      <c r="O116" s="181"/>
      <c r="P116" s="181"/>
      <c r="Q116" s="181"/>
      <c r="R116" s="181"/>
      <c r="S116" s="181"/>
    </row>
    <row r="117" spans="1:19" s="179" customFormat="1">
      <c r="A117" s="180"/>
      <c r="B117" s="181"/>
      <c r="C117" s="181"/>
      <c r="D117" s="181"/>
      <c r="E117" s="181"/>
      <c r="F117" s="181"/>
      <c r="G117" s="181"/>
      <c r="H117" s="181"/>
      <c r="I117" s="181"/>
      <c r="J117" s="181"/>
      <c r="K117" s="708"/>
      <c r="L117" s="612"/>
      <c r="M117" s="181"/>
      <c r="N117" s="181"/>
      <c r="O117" s="181"/>
      <c r="P117" s="181"/>
      <c r="Q117" s="181"/>
      <c r="R117" s="181"/>
      <c r="S117" s="181"/>
    </row>
    <row r="118" spans="1:19" s="179" customFormat="1">
      <c r="B118" s="181"/>
      <c r="C118" s="181"/>
      <c r="D118" s="181"/>
      <c r="E118" s="181"/>
      <c r="F118" s="181"/>
      <c r="G118" s="181"/>
      <c r="H118" s="181"/>
      <c r="I118" s="181"/>
      <c r="J118" s="181"/>
      <c r="K118" s="181"/>
      <c r="L118" s="181"/>
      <c r="M118" s="181"/>
      <c r="N118" s="181"/>
      <c r="O118" s="181"/>
      <c r="P118" s="181"/>
      <c r="Q118" s="181"/>
      <c r="R118" s="181"/>
      <c r="S118" s="181"/>
    </row>
    <row r="119" spans="1:19" s="179" customFormat="1">
      <c r="B119" s="181"/>
      <c r="C119" s="181"/>
      <c r="D119" s="181"/>
      <c r="E119" s="181"/>
      <c r="F119" s="181"/>
      <c r="G119" s="181"/>
      <c r="H119" s="181"/>
      <c r="I119" s="181"/>
      <c r="J119" s="181"/>
      <c r="K119" s="181"/>
      <c r="L119" s="181"/>
      <c r="M119" s="181"/>
      <c r="N119" s="181"/>
      <c r="O119" s="181"/>
      <c r="P119" s="181"/>
      <c r="Q119" s="181"/>
      <c r="R119" s="181"/>
      <c r="S119" s="181"/>
    </row>
    <row r="120" spans="1:19" s="179" customFormat="1">
      <c r="B120" s="181"/>
      <c r="C120" s="181"/>
      <c r="D120" s="181"/>
      <c r="E120" s="181"/>
      <c r="F120" s="181"/>
      <c r="G120" s="181"/>
      <c r="H120" s="181"/>
      <c r="I120" s="181"/>
      <c r="J120" s="181"/>
      <c r="K120" s="181"/>
      <c r="L120" s="181"/>
      <c r="M120" s="181"/>
      <c r="N120" s="181"/>
      <c r="O120" s="181"/>
      <c r="P120" s="181"/>
      <c r="Q120" s="181"/>
      <c r="R120" s="181"/>
      <c r="S120" s="181"/>
    </row>
    <row r="121" spans="1:19" s="179" customFormat="1">
      <c r="B121" s="181"/>
      <c r="C121" s="181"/>
      <c r="D121" s="181"/>
      <c r="E121" s="181"/>
      <c r="F121" s="181"/>
      <c r="G121" s="181"/>
      <c r="H121" s="181"/>
      <c r="I121" s="181"/>
      <c r="J121" s="181"/>
      <c r="K121" s="181"/>
      <c r="L121" s="181"/>
      <c r="M121" s="181"/>
      <c r="N121" s="181"/>
      <c r="O121" s="181"/>
      <c r="P121" s="181"/>
      <c r="Q121" s="181"/>
      <c r="R121" s="181"/>
      <c r="S121" s="181"/>
    </row>
    <row r="122" spans="1:19" s="179" customFormat="1">
      <c r="B122" s="181"/>
      <c r="C122" s="181"/>
      <c r="D122" s="181"/>
      <c r="E122" s="181"/>
      <c r="F122" s="181"/>
      <c r="G122" s="181"/>
      <c r="H122" s="181"/>
      <c r="I122" s="181"/>
      <c r="J122" s="181"/>
      <c r="K122" s="181"/>
      <c r="L122" s="181"/>
      <c r="M122" s="181"/>
      <c r="N122" s="181"/>
      <c r="O122" s="181"/>
      <c r="P122" s="181"/>
      <c r="Q122" s="181"/>
      <c r="R122" s="181"/>
      <c r="S122" s="181"/>
    </row>
    <row r="123" spans="1:19" s="179" customFormat="1">
      <c r="B123" s="181"/>
      <c r="C123" s="181"/>
      <c r="D123" s="181"/>
      <c r="E123" s="181"/>
      <c r="F123" s="181"/>
      <c r="G123" s="181"/>
      <c r="H123" s="181"/>
      <c r="I123" s="181"/>
      <c r="J123" s="181"/>
      <c r="K123" s="181"/>
      <c r="L123" s="181"/>
      <c r="M123" s="181"/>
      <c r="N123" s="181"/>
      <c r="O123" s="181"/>
      <c r="P123" s="181"/>
      <c r="Q123" s="181"/>
      <c r="R123" s="181"/>
      <c r="S123" s="181"/>
    </row>
    <row r="124" spans="1:19" s="179" customFormat="1">
      <c r="B124" s="181"/>
      <c r="C124" s="181"/>
      <c r="D124" s="181"/>
      <c r="E124" s="181"/>
      <c r="F124" s="181"/>
      <c r="G124" s="181"/>
      <c r="H124" s="181"/>
      <c r="I124" s="181"/>
      <c r="J124" s="181"/>
      <c r="K124" s="181"/>
      <c r="L124" s="181"/>
      <c r="M124" s="181"/>
      <c r="N124" s="181"/>
      <c r="O124" s="181"/>
      <c r="P124" s="181"/>
      <c r="Q124" s="181"/>
      <c r="R124" s="181"/>
      <c r="S124" s="181"/>
    </row>
    <row r="125" spans="1:19" s="179" customFormat="1">
      <c r="B125" s="181"/>
      <c r="C125" s="181"/>
      <c r="D125" s="181"/>
      <c r="E125" s="181"/>
      <c r="F125" s="181"/>
      <c r="G125" s="181"/>
      <c r="H125" s="181"/>
      <c r="I125" s="181"/>
      <c r="J125" s="181"/>
      <c r="K125" s="181"/>
      <c r="L125" s="181"/>
      <c r="M125" s="181"/>
      <c r="N125" s="181"/>
      <c r="O125" s="181"/>
      <c r="P125" s="181"/>
      <c r="Q125" s="181"/>
      <c r="R125" s="181"/>
      <c r="S125" s="181"/>
    </row>
    <row r="126" spans="1:19" s="179" customFormat="1">
      <c r="B126" s="181"/>
      <c r="C126" s="181"/>
      <c r="D126" s="181"/>
      <c r="E126" s="181"/>
      <c r="F126" s="181"/>
      <c r="G126" s="181"/>
      <c r="H126" s="181"/>
      <c r="I126" s="181"/>
      <c r="J126" s="181"/>
      <c r="K126" s="181"/>
      <c r="L126" s="181"/>
      <c r="M126" s="181"/>
      <c r="N126" s="181"/>
      <c r="O126" s="181"/>
      <c r="P126" s="181"/>
      <c r="Q126" s="181"/>
      <c r="R126" s="181"/>
      <c r="S126" s="181"/>
    </row>
    <row r="127" spans="1:19" s="179" customFormat="1"/>
    <row r="128" spans="1:19" s="179" customFormat="1"/>
    <row r="129" s="179" customFormat="1"/>
    <row r="130" s="179" customFormat="1"/>
    <row r="131" s="179" customFormat="1"/>
    <row r="132" s="179" customFormat="1"/>
    <row r="133" s="179" customFormat="1"/>
    <row r="134" s="179" customFormat="1"/>
    <row r="135" s="179" customFormat="1"/>
    <row r="136" s="179" customFormat="1"/>
    <row r="137" s="179" customFormat="1"/>
    <row r="138" s="179" customFormat="1"/>
    <row r="139" s="179" customFormat="1"/>
    <row r="140" s="179" customFormat="1"/>
    <row r="141" s="179" customFormat="1"/>
    <row r="142" s="179" customFormat="1"/>
    <row r="143" s="179" customFormat="1"/>
    <row r="144" s="179" customFormat="1"/>
    <row r="145" s="179" customFormat="1"/>
    <row r="146" s="179" customFormat="1"/>
    <row r="147" s="179" customFormat="1"/>
    <row r="148" s="179" customFormat="1"/>
    <row r="149" s="179" customFormat="1"/>
    <row r="150" s="179" customFormat="1"/>
    <row r="151" s="179" customFormat="1"/>
    <row r="152" s="179" customFormat="1"/>
    <row r="153" s="179" customFormat="1"/>
    <row r="154" s="179" customFormat="1"/>
    <row r="155" s="179" customFormat="1"/>
    <row r="156" s="179" customFormat="1"/>
    <row r="157" s="179" customFormat="1"/>
    <row r="158" s="179" customFormat="1"/>
    <row r="159" s="179" customFormat="1"/>
    <row r="160" s="179" customFormat="1"/>
    <row r="161" s="179" customFormat="1"/>
    <row r="162" s="179" customFormat="1"/>
    <row r="163" s="179" customFormat="1"/>
    <row r="164" s="179" customFormat="1"/>
    <row r="165" s="179" customFormat="1"/>
    <row r="166" s="179" customFormat="1"/>
    <row r="167" s="179" customFormat="1"/>
    <row r="168" s="179" customFormat="1"/>
    <row r="169" s="179" customFormat="1"/>
    <row r="170" s="179" customFormat="1"/>
    <row r="171" s="179" customFormat="1"/>
    <row r="172" s="179" customFormat="1"/>
    <row r="173" s="179" customFormat="1"/>
    <row r="174" s="179" customFormat="1"/>
    <row r="175" s="179" customFormat="1"/>
    <row r="176" s="179" customFormat="1"/>
    <row r="177" s="179" customFormat="1"/>
    <row r="178" s="179" customFormat="1"/>
    <row r="179" s="179" customFormat="1"/>
    <row r="180" s="179" customFormat="1"/>
    <row r="181" s="179" customFormat="1"/>
    <row r="182" s="179" customFormat="1"/>
    <row r="183" s="179" customFormat="1"/>
    <row r="184" s="179" customFormat="1"/>
    <row r="185" s="179" customFormat="1"/>
    <row r="186" s="179" customFormat="1"/>
    <row r="187" s="179" customFormat="1"/>
    <row r="188" s="179" customFormat="1"/>
    <row r="189" s="179" customFormat="1"/>
    <row r="190" s="179" customFormat="1"/>
    <row r="191" s="179" customFormat="1"/>
    <row r="192" s="179" customFormat="1"/>
  </sheetData>
  <printOptions horizontalCentered="1"/>
  <pageMargins left="0.5" right="0.5" top="2.5" bottom="0.5" header="1.25" footer="0.3"/>
  <pageSetup scale="40" fitToWidth="2" fitToHeight="0" orientation="landscape"/>
  <headerFooter>
    <oddHeader>&amp;R&amp;"Arial,Bold"Schedule &amp;A
Page &amp;P of &amp;N&amp;C&amp;B
2025 RATE CASE
ONCOR ELECTRIC DELIVERY COMPANY LLC
II-E-4.1  DEFERRED EXPENSES FROM PRIOR DOCKETS
TEST YEAR ENDING DECEMBER 31, 2024
SPONSOR: R. PRACHYL</oddHeader>
  </headerFooter>
  <rowBreaks count="1" manualBreakCount="1">
    <brk id="73" min="3" max="18" man="1"/>
  </rowBreaks>
  <colBreaks count="1" manualBreakCount="1">
    <brk id="9" min="12" max="112" man="1"/>
  </colBreak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15">
    <pageSetUpPr fitToPage="1"/>
  </sheetPr>
  <dimension ref="A1:V55"/>
  <sheetViews>
    <sheetView zoomScale="85" zoomScaleNormal="85" workbookViewId="0">
      <pane xSplit="3" ySplit="14" topLeftCell="D15" activePane="bottomRight" state="frozen"/>
      <selection activeCell="I30" sqref="I30"/>
      <selection pane="topRight" activeCell="I30" sqref="I30"/>
      <selection pane="bottomLeft" activeCell="I30" sqref="I30"/>
      <selection pane="bottomRight" activeCell="C28" sqref="C28"/>
    </sheetView>
  </sheetViews>
  <sheetFormatPr defaultRowHeight="12.75"/>
  <cols>
    <col min="2" max="2" width="12.140625" customWidth="1"/>
    <col min="3" max="3" width="33" customWidth="1"/>
    <col min="4" max="4" width="2.7109375" customWidth="1"/>
    <col min="5" max="5" width="16.5703125" bestFit="1" customWidth="1"/>
    <col min="6" max="6" width="17.140625" customWidth="1"/>
    <col min="7" max="7" width="14.140625" customWidth="1"/>
    <col min="8" max="10" width="15.7109375" style="366" customWidth="1"/>
    <col min="11" max="11" width="15.7109375" customWidth="1"/>
    <col min="12" max="13" width="15.7109375" style="366" customWidth="1"/>
    <col min="14" max="16" width="15.7109375" customWidth="1"/>
    <col min="18" max="18" width="9.28515625" bestFit="1" customWidth="1"/>
  </cols>
  <sheetData>
    <row r="1" spans="1:22">
      <c r="A1" s="28" t="str">
        <f>+'[3]Input Data'!$A$9</f>
        <v>2025 RATE CASE</v>
      </c>
    </row>
    <row r="2" spans="1:22">
      <c r="A2" s="31" t="str">
        <f>+'[3]Input Data'!$A$2</f>
        <v>ONCOR ELECTRIC DELIVERY COMPANY LLC</v>
      </c>
    </row>
    <row r="3" spans="1:22">
      <c r="A3" s="164" t="str">
        <f>CONCATENATE('[3]Schedule Sponsors'!$A$112,'[3]Schedule Sponsors'!$B$112)</f>
        <v>II-E-4.2 BELOW THE LINE EXPENSES</v>
      </c>
    </row>
    <row r="4" spans="1:22">
      <c r="A4" s="89" t="str">
        <f>+'[3]Input Data'!$A$4</f>
        <v>TEST YEAR ENDING DECEMBER 31, 2024</v>
      </c>
    </row>
    <row r="5" spans="1:22">
      <c r="A5" s="30" t="str">
        <f>CONCATENATE("SPONSOR: ",'[3]Schedule Sponsors'!$D$112)</f>
        <v>SPONSOR: R. PRACHYL</v>
      </c>
    </row>
    <row r="10" spans="1:22" s="179" customFormat="1"/>
    <row r="11" spans="1:22" s="179" customFormat="1">
      <c r="A11" s="534" t="s">
        <v>241</v>
      </c>
      <c r="B11" s="534" t="s">
        <v>69</v>
      </c>
      <c r="C11" s="534"/>
      <c r="D11" s="534"/>
      <c r="E11" s="534"/>
      <c r="F11" s="534"/>
      <c r="G11" s="534"/>
      <c r="H11" s="534" t="s">
        <v>571</v>
      </c>
      <c r="I11" s="534" t="s">
        <v>572</v>
      </c>
      <c r="J11" s="534" t="s">
        <v>574</v>
      </c>
      <c r="K11" s="534"/>
      <c r="L11" s="534" t="s">
        <v>571</v>
      </c>
      <c r="M11" s="534" t="s">
        <v>574</v>
      </c>
      <c r="N11" s="534"/>
      <c r="O11" s="534"/>
      <c r="P11" s="534"/>
    </row>
    <row r="12" spans="1:22" s="179" customFormat="1">
      <c r="A12" s="535" t="s">
        <v>268</v>
      </c>
      <c r="B12" s="535" t="s">
        <v>203</v>
      </c>
      <c r="C12" s="42" t="s">
        <v>64</v>
      </c>
      <c r="D12" s="534"/>
      <c r="E12" s="534" t="s">
        <v>335</v>
      </c>
      <c r="F12" s="534" t="s">
        <v>75</v>
      </c>
      <c r="G12" s="42" t="s">
        <v>198</v>
      </c>
      <c r="H12" s="42" t="s">
        <v>198</v>
      </c>
      <c r="I12" s="42" t="s">
        <v>575</v>
      </c>
      <c r="J12" s="42" t="s">
        <v>198</v>
      </c>
      <c r="K12" s="535" t="s">
        <v>199</v>
      </c>
      <c r="L12" s="535" t="s">
        <v>199</v>
      </c>
      <c r="M12" s="535" t="s">
        <v>199</v>
      </c>
      <c r="N12" s="535" t="s">
        <v>194</v>
      </c>
      <c r="O12" s="535" t="s">
        <v>279</v>
      </c>
      <c r="P12" s="535" t="s">
        <v>73</v>
      </c>
    </row>
    <row r="13" spans="1:22" s="179" customFormat="1">
      <c r="A13" s="180"/>
      <c r="B13" s="180" t="s">
        <v>226</v>
      </c>
      <c r="C13" s="536" t="s">
        <v>227</v>
      </c>
      <c r="D13" s="536"/>
      <c r="E13" s="536" t="s">
        <v>228</v>
      </c>
      <c r="F13" s="536" t="s">
        <v>229</v>
      </c>
      <c r="G13" s="536" t="s">
        <v>230</v>
      </c>
      <c r="H13" s="537" t="s">
        <v>231</v>
      </c>
      <c r="I13" s="537" t="s">
        <v>232</v>
      </c>
      <c r="J13" s="537" t="s">
        <v>233</v>
      </c>
      <c r="K13" s="537" t="s">
        <v>234</v>
      </c>
      <c r="L13" s="537" t="s">
        <v>235</v>
      </c>
      <c r="M13" s="537" t="s">
        <v>236</v>
      </c>
      <c r="N13" s="537" t="s">
        <v>237</v>
      </c>
      <c r="O13" s="537" t="s">
        <v>238</v>
      </c>
      <c r="P13" s="537" t="s">
        <v>239</v>
      </c>
    </row>
    <row r="14" spans="1:22" s="179" customFormat="1">
      <c r="A14" s="180"/>
    </row>
    <row r="15" spans="1:22">
      <c r="A15" s="24">
        <v>1</v>
      </c>
      <c r="F15" s="29"/>
      <c r="G15" s="127"/>
      <c r="H15" s="127"/>
      <c r="I15" s="127"/>
      <c r="J15" s="127"/>
      <c r="K15" s="127"/>
      <c r="L15" s="127"/>
      <c r="M15" s="127"/>
      <c r="N15" s="127"/>
      <c r="O15" s="127"/>
      <c r="P15" s="127"/>
      <c r="Q15" s="29"/>
      <c r="R15" s="29"/>
      <c r="S15" s="29"/>
      <c r="T15" s="29"/>
      <c r="U15" s="29"/>
      <c r="V15" s="29"/>
    </row>
    <row r="16" spans="1:22">
      <c r="A16" s="24">
        <v>2</v>
      </c>
      <c r="B16" s="101" t="s">
        <v>835</v>
      </c>
      <c r="C16" s="28"/>
      <c r="F16" s="29"/>
      <c r="G16" s="127"/>
      <c r="H16" s="127"/>
      <c r="I16" s="127"/>
      <c r="J16" s="127"/>
      <c r="K16" s="127"/>
      <c r="L16" s="127"/>
      <c r="M16" s="127"/>
      <c r="N16" s="127"/>
      <c r="O16" s="127"/>
      <c r="P16" s="127"/>
      <c r="Q16" s="29"/>
      <c r="R16" s="29"/>
      <c r="S16" s="29"/>
      <c r="T16" s="29"/>
      <c r="U16" s="29"/>
      <c r="V16" s="29"/>
    </row>
    <row r="17" spans="1:22">
      <c r="A17" s="141">
        <v>3</v>
      </c>
      <c r="F17" s="29"/>
      <c r="G17" s="29"/>
      <c r="H17" s="29"/>
      <c r="I17" s="29"/>
      <c r="J17" s="29"/>
      <c r="K17" s="29"/>
      <c r="L17" s="29"/>
      <c r="M17" s="29"/>
      <c r="N17" s="29"/>
      <c r="O17" s="29"/>
      <c r="P17" s="29"/>
      <c r="Q17" s="29"/>
      <c r="R17" s="29"/>
      <c r="S17" s="29"/>
      <c r="T17" s="29"/>
      <c r="U17" s="29"/>
      <c r="V17" s="29"/>
    </row>
    <row r="18" spans="1:22">
      <c r="A18" s="141">
        <v>4</v>
      </c>
      <c r="B18" s="98" t="s">
        <v>465</v>
      </c>
      <c r="C18" s="346" t="s">
        <v>1020</v>
      </c>
      <c r="E18" s="378">
        <v>1196783.94</v>
      </c>
      <c r="F18" s="26" t="s">
        <v>387</v>
      </c>
      <c r="G18" s="378">
        <v>58567.32</v>
      </c>
      <c r="H18" s="378">
        <v>843764.88</v>
      </c>
      <c r="I18" s="378">
        <v>0</v>
      </c>
      <c r="J18" s="378">
        <f>SUM(G18:I18)</f>
        <v>902332.2</v>
      </c>
      <c r="K18" s="378">
        <v>294451.74</v>
      </c>
      <c r="L18" s="378">
        <v>0</v>
      </c>
      <c r="M18" s="378">
        <f>SUM(K18:L18)</f>
        <v>294451.74</v>
      </c>
      <c r="N18" s="378">
        <v>0</v>
      </c>
      <c r="O18" s="378">
        <v>0</v>
      </c>
      <c r="P18" s="379">
        <f>+J18+M18+N18+O18</f>
        <v>1196783.94</v>
      </c>
      <c r="Q18" s="29" t="b">
        <f t="shared" ref="Q18:Q23" si="0">+E18=P18</f>
        <v>1</v>
      </c>
      <c r="R18" s="29"/>
      <c r="S18" s="29"/>
      <c r="T18" s="29"/>
      <c r="U18" s="29"/>
      <c r="V18" s="29"/>
    </row>
    <row r="19" spans="1:22">
      <c r="A19" s="141">
        <v>5</v>
      </c>
      <c r="B19" s="98" t="s">
        <v>466</v>
      </c>
      <c r="C19" t="s">
        <v>1021</v>
      </c>
      <c r="E19" s="433">
        <v>636895.6</v>
      </c>
      <c r="F19" s="492" t="s">
        <v>13</v>
      </c>
      <c r="G19" s="380">
        <f>ROUND(+$E19*'[5]II-F Alloc_Factor'!E$17,2)</f>
        <v>143186.4</v>
      </c>
      <c r="H19" s="380">
        <f>ROUND(+$E19*'[5]II-F Alloc_Factor'!F$17,2)</f>
        <v>0</v>
      </c>
      <c r="I19" s="380">
        <f>ROUND(+$E19*'[5]II-F Alloc_Factor'!G$17,2)</f>
        <v>0</v>
      </c>
      <c r="J19" s="380">
        <f t="shared" ref="J19" si="1">SUM(G19:I19)</f>
        <v>143186.4</v>
      </c>
      <c r="K19" s="380">
        <f>ROUND(+$E19*'[5]II-F Alloc_Factor'!I$17,2)</f>
        <v>382397.54</v>
      </c>
      <c r="L19" s="380">
        <f>ROUND(+$E19*'[5]II-F Alloc_Factor'!J$17,2)</f>
        <v>0</v>
      </c>
      <c r="M19" s="380">
        <f t="shared" ref="M19" si="2">SUM(K19:L19)</f>
        <v>382397.54</v>
      </c>
      <c r="N19" s="380">
        <f>ROUND(+$E19*'[5]II-F Alloc_Factor'!L$17,2)</f>
        <v>106928.63</v>
      </c>
      <c r="O19" s="380">
        <f>ROUND(+E19-J19-M19-N19,2)</f>
        <v>4383.03</v>
      </c>
      <c r="P19" s="381">
        <f t="shared" ref="P19:P23" si="3">+J19+M19+N19+O19</f>
        <v>636895.6</v>
      </c>
      <c r="Q19" s="29" t="b">
        <f t="shared" si="0"/>
        <v>1</v>
      </c>
      <c r="R19" s="29"/>
      <c r="S19" s="29"/>
      <c r="T19" s="29"/>
      <c r="U19" s="29"/>
      <c r="V19" s="29"/>
    </row>
    <row r="20" spans="1:22">
      <c r="A20" s="141">
        <v>6</v>
      </c>
      <c r="B20" s="98" t="s">
        <v>467</v>
      </c>
      <c r="C20" t="s">
        <v>1022</v>
      </c>
      <c r="E20" s="433">
        <v>32500</v>
      </c>
      <c r="F20" s="492" t="s">
        <v>13</v>
      </c>
      <c r="G20" s="380">
        <f>ROUND(+$E20*'[5]II-F Alloc_Factor'!E$17,2)</f>
        <v>7306.63</v>
      </c>
      <c r="H20" s="380">
        <f>ROUND(+$E20*'[5]II-F Alloc_Factor'!F$17,2)</f>
        <v>0</v>
      </c>
      <c r="I20" s="380">
        <f>ROUND(+$E20*'[5]II-F Alloc_Factor'!G$17,2)</f>
        <v>0</v>
      </c>
      <c r="J20" s="380">
        <f t="shared" ref="J20:J23" si="4">SUM(G20:I20)</f>
        <v>7306.63</v>
      </c>
      <c r="K20" s="380">
        <f>ROUND(+$E20*'[5]II-F Alloc_Factor'!I$17,2)</f>
        <v>19513.28</v>
      </c>
      <c r="L20" s="380">
        <f>ROUND(+$E20*'[5]II-F Alloc_Factor'!J$17,2)</f>
        <v>0</v>
      </c>
      <c r="M20" s="380">
        <f t="shared" ref="M20:M23" si="5">SUM(K20:L20)</f>
        <v>19513.28</v>
      </c>
      <c r="N20" s="380">
        <f>ROUND(+$E20*'[5]II-F Alloc_Factor'!L$17,2)</f>
        <v>5456.44</v>
      </c>
      <c r="O20" s="380">
        <f>ROUND(+E20-J20-M20-N20,2)</f>
        <v>223.65</v>
      </c>
      <c r="P20" s="381">
        <f t="shared" si="3"/>
        <v>32500</v>
      </c>
      <c r="Q20" s="29" t="b">
        <f t="shared" si="0"/>
        <v>1</v>
      </c>
      <c r="R20" s="29"/>
      <c r="S20" s="29"/>
      <c r="T20" s="29"/>
      <c r="U20" s="29"/>
      <c r="V20" s="29"/>
    </row>
    <row r="21" spans="1:22">
      <c r="A21" s="141">
        <v>7</v>
      </c>
      <c r="B21" s="98" t="s">
        <v>170</v>
      </c>
      <c r="C21" t="s">
        <v>1023</v>
      </c>
      <c r="E21" s="433">
        <v>5397724.8600000003</v>
      </c>
      <c r="F21" s="492" t="s">
        <v>13</v>
      </c>
      <c r="G21" s="380">
        <f>ROUND(+$E21*'[5]II-F Alloc_Factor'!E$17,2)</f>
        <v>1213512.52</v>
      </c>
      <c r="H21" s="380">
        <f>ROUND(+$E21*'[5]II-F Alloc_Factor'!F$17,2)</f>
        <v>0</v>
      </c>
      <c r="I21" s="380">
        <f>ROUND(+$E21*'[5]II-F Alloc_Factor'!G$17,2)</f>
        <v>0</v>
      </c>
      <c r="J21" s="380">
        <f t="shared" si="4"/>
        <v>1213512.52</v>
      </c>
      <c r="K21" s="380">
        <f>ROUND(+$E21*'[5]II-F Alloc_Factor'!I$17,2)</f>
        <v>3240839.99</v>
      </c>
      <c r="L21" s="380">
        <f>ROUND(+$E21*'[5]II-F Alloc_Factor'!J$17,2)</f>
        <v>0</v>
      </c>
      <c r="M21" s="380">
        <f t="shared" si="5"/>
        <v>3240839.99</v>
      </c>
      <c r="N21" s="380">
        <f>ROUND(+$E21*'[5]II-F Alloc_Factor'!L$17,2)</f>
        <v>906225.97</v>
      </c>
      <c r="O21" s="380">
        <f>ROUND(+E21-J21-M21-N21,2)</f>
        <v>37146.379999999997</v>
      </c>
      <c r="P21" s="381">
        <f t="shared" si="3"/>
        <v>5397724.8599999994</v>
      </c>
      <c r="Q21" s="29" t="b">
        <f t="shared" si="0"/>
        <v>1</v>
      </c>
      <c r="R21" s="29"/>
      <c r="S21" s="29"/>
      <c r="T21" s="29"/>
      <c r="U21" s="29"/>
      <c r="V21" s="29"/>
    </row>
    <row r="22" spans="1:22">
      <c r="A22" s="141">
        <v>8</v>
      </c>
      <c r="B22" s="98" t="s">
        <v>171</v>
      </c>
      <c r="C22" t="s">
        <v>1024</v>
      </c>
      <c r="E22" s="433">
        <v>383079.45</v>
      </c>
      <c r="F22" s="492" t="s">
        <v>13</v>
      </c>
      <c r="G22" s="380">
        <f>ROUND(+$E22*'[5]II-F Alloc_Factor'!E$17,2)</f>
        <v>86123.64</v>
      </c>
      <c r="H22" s="380">
        <f>ROUND(+$E22*'[5]II-F Alloc_Factor'!F$17,2)</f>
        <v>0</v>
      </c>
      <c r="I22" s="380">
        <f>ROUND(+$E22*'[5]II-F Alloc_Factor'!G$17,2)</f>
        <v>0</v>
      </c>
      <c r="J22" s="380">
        <f t="shared" si="4"/>
        <v>86123.64</v>
      </c>
      <c r="K22" s="380">
        <f>ROUND(+$E22*'[5]II-F Alloc_Factor'!I$17,2)</f>
        <v>230004.16</v>
      </c>
      <c r="L22" s="380">
        <f>ROUND(+$E22*'[5]II-F Alloc_Factor'!J$17,2)</f>
        <v>0</v>
      </c>
      <c r="M22" s="380">
        <f t="shared" si="5"/>
        <v>230004.16</v>
      </c>
      <c r="N22" s="380">
        <f>ROUND(+$E22*'[5]II-F Alloc_Factor'!L$17,2)</f>
        <v>64315.35</v>
      </c>
      <c r="O22" s="380">
        <f>ROUND(+E22-J22-M22-N22,2)</f>
        <v>2636.3</v>
      </c>
      <c r="P22" s="381">
        <f t="shared" si="3"/>
        <v>383079.44999999995</v>
      </c>
      <c r="Q22" s="29" t="b">
        <f t="shared" si="0"/>
        <v>1</v>
      </c>
      <c r="R22" s="29"/>
      <c r="S22" s="29"/>
      <c r="T22" s="29"/>
      <c r="U22" s="29"/>
      <c r="V22" s="29"/>
    </row>
    <row r="23" spans="1:22">
      <c r="A23" s="141">
        <v>9</v>
      </c>
      <c r="B23" s="26" t="s">
        <v>172</v>
      </c>
      <c r="C23" s="25" t="s">
        <v>1025</v>
      </c>
      <c r="E23" s="380">
        <f>15017908.54-E43</f>
        <v>-144545.15000000037</v>
      </c>
      <c r="F23" s="492" t="s">
        <v>13</v>
      </c>
      <c r="G23" s="380">
        <f>ROUND(+$E23*'[5]II-F Alloc_Factor'!E$17,2)</f>
        <v>-32496.53</v>
      </c>
      <c r="H23" s="380">
        <f>ROUND(+$E23*'[5]II-F Alloc_Factor'!F$17,2)</f>
        <v>0</v>
      </c>
      <c r="I23" s="380">
        <f>ROUND(+$E23*'[5]II-F Alloc_Factor'!G$17,2)</f>
        <v>0</v>
      </c>
      <c r="J23" s="380">
        <f t="shared" si="4"/>
        <v>-32496.53</v>
      </c>
      <c r="K23" s="380">
        <f>ROUND(+$E23*'[5]II-F Alloc_Factor'!I$17,2)</f>
        <v>-86786.14</v>
      </c>
      <c r="L23" s="380">
        <f>ROUND(+$E23*'[5]II-F Alloc_Factor'!J$17,2)</f>
        <v>0</v>
      </c>
      <c r="M23" s="380">
        <f t="shared" si="5"/>
        <v>-86786.14</v>
      </c>
      <c r="N23" s="380">
        <f>ROUND(+$E23*'[5]II-F Alloc_Factor'!L$17,2)</f>
        <v>-24267.74</v>
      </c>
      <c r="O23" s="380">
        <f>ROUND(+E23-J23-M23-N23,2)</f>
        <v>-994.74</v>
      </c>
      <c r="P23" s="381">
        <f t="shared" si="3"/>
        <v>-144545.15</v>
      </c>
      <c r="Q23" s="29" t="b">
        <f t="shared" si="0"/>
        <v>1</v>
      </c>
      <c r="R23" s="29"/>
      <c r="S23" s="29"/>
      <c r="T23" s="29"/>
      <c r="U23" s="29"/>
      <c r="V23" s="29"/>
    </row>
    <row r="24" spans="1:22">
      <c r="A24" s="141">
        <v>10</v>
      </c>
      <c r="C24" s="28" t="s">
        <v>332</v>
      </c>
      <c r="E24" s="382">
        <f>SUM(E18:E23)</f>
        <v>7502438.7000000002</v>
      </c>
      <c r="F24" s="29"/>
      <c r="G24" s="382">
        <f t="shared" ref="G24:P24" si="6">SUM(G18:G23)</f>
        <v>1476199.98</v>
      </c>
      <c r="H24" s="382">
        <f t="shared" si="6"/>
        <v>843764.88</v>
      </c>
      <c r="I24" s="382">
        <f t="shared" si="6"/>
        <v>0</v>
      </c>
      <c r="J24" s="382">
        <f t="shared" si="6"/>
        <v>2319964.8600000003</v>
      </c>
      <c r="K24" s="382">
        <f t="shared" si="6"/>
        <v>4080420.5700000003</v>
      </c>
      <c r="L24" s="382">
        <f t="shared" si="6"/>
        <v>0</v>
      </c>
      <c r="M24" s="382">
        <f t="shared" si="6"/>
        <v>4080420.5700000003</v>
      </c>
      <c r="N24" s="382">
        <f t="shared" si="6"/>
        <v>1058658.6500000001</v>
      </c>
      <c r="O24" s="382">
        <f t="shared" si="6"/>
        <v>43394.62</v>
      </c>
      <c r="P24" s="382">
        <f t="shared" si="6"/>
        <v>7502438.6999999993</v>
      </c>
      <c r="Q24" s="29"/>
      <c r="R24" s="29"/>
      <c r="S24" s="29"/>
      <c r="T24" s="29"/>
      <c r="U24" s="29"/>
      <c r="V24" s="29"/>
    </row>
    <row r="25" spans="1:22">
      <c r="A25" s="141">
        <v>11</v>
      </c>
      <c r="E25" s="100"/>
      <c r="F25" s="659"/>
      <c r="G25" s="29"/>
      <c r="H25" s="29"/>
      <c r="I25" s="29"/>
      <c r="J25" s="29"/>
      <c r="K25" s="29"/>
      <c r="L25" s="29"/>
      <c r="M25" s="29"/>
      <c r="N25" s="29"/>
      <c r="O25" s="29"/>
      <c r="P25" s="29"/>
      <c r="Q25" s="29"/>
      <c r="R25" s="29"/>
      <c r="S25" s="29"/>
      <c r="T25" s="29"/>
      <c r="U25" s="29"/>
      <c r="V25" s="29"/>
    </row>
    <row r="26" spans="1:22">
      <c r="A26" s="141">
        <v>12</v>
      </c>
      <c r="B26" s="101" t="s">
        <v>689</v>
      </c>
      <c r="E26" s="100"/>
      <c r="F26" s="29"/>
      <c r="G26" s="127"/>
      <c r="H26" s="127"/>
      <c r="I26" s="127"/>
      <c r="J26" s="127"/>
      <c r="K26" s="127"/>
      <c r="L26" s="127"/>
      <c r="M26" s="127"/>
      <c r="N26" s="127"/>
      <c r="O26" s="127"/>
      <c r="P26" s="127"/>
      <c r="Q26" s="29"/>
      <c r="R26" s="29"/>
      <c r="S26" s="29"/>
      <c r="T26" s="29"/>
      <c r="U26" s="29"/>
      <c r="V26" s="29"/>
    </row>
    <row r="27" spans="1:22">
      <c r="A27" s="141">
        <v>13</v>
      </c>
      <c r="E27" s="100"/>
    </row>
    <row r="28" spans="1:22">
      <c r="A28" s="141">
        <v>14</v>
      </c>
      <c r="B28" s="24" t="s">
        <v>174</v>
      </c>
      <c r="C28" t="s">
        <v>1026</v>
      </c>
      <c r="E28" s="378">
        <v>-1202202.98</v>
      </c>
      <c r="F28" s="26" t="s">
        <v>387</v>
      </c>
      <c r="G28" s="378">
        <v>0</v>
      </c>
      <c r="H28" s="378">
        <f>+E28</f>
        <v>-1202202.98</v>
      </c>
      <c r="I28" s="378">
        <v>0</v>
      </c>
      <c r="J28" s="378">
        <f>SUM(G28:I28)</f>
        <v>-1202202.98</v>
      </c>
      <c r="K28" s="378">
        <v>0</v>
      </c>
      <c r="L28" s="378">
        <v>0</v>
      </c>
      <c r="M28" s="378">
        <f>SUM(K28:L28)</f>
        <v>0</v>
      </c>
      <c r="N28" s="378">
        <v>0</v>
      </c>
      <c r="O28" s="378">
        <v>0</v>
      </c>
      <c r="P28" s="378">
        <f t="shared" ref="P28:P31" si="7">+J28+M28+N28+O28</f>
        <v>-1202202.98</v>
      </c>
      <c r="Q28" s="29" t="b">
        <f>+E28=P28</f>
        <v>1</v>
      </c>
      <c r="R28" s="658">
        <f>+P28-E28</f>
        <v>0</v>
      </c>
    </row>
    <row r="29" spans="1:22">
      <c r="A29" s="141">
        <v>15</v>
      </c>
      <c r="B29" s="24" t="s">
        <v>175</v>
      </c>
      <c r="C29" t="s">
        <v>1027</v>
      </c>
      <c r="E29" s="380">
        <v>87689.72</v>
      </c>
      <c r="F29" s="26" t="s">
        <v>13</v>
      </c>
      <c r="G29" s="380">
        <f>ROUND(+$E29*'[5]II-F Alloc_Factor'!E$17,2)</f>
        <v>19714.34</v>
      </c>
      <c r="H29" s="380">
        <f>ROUND(+$E29*'[5]II-F Alloc_Factor'!F$17,2)</f>
        <v>0</v>
      </c>
      <c r="I29" s="380">
        <f>ROUND(+$E29*'[5]II-F Alloc_Factor'!G$17,2)</f>
        <v>0</v>
      </c>
      <c r="J29" s="380">
        <f t="shared" ref="J29:J31" si="8">SUM(G29:I29)</f>
        <v>19714.34</v>
      </c>
      <c r="K29" s="380">
        <f>ROUND(+$E29*'[5]II-F Alloc_Factor'!I$17,2)</f>
        <v>52649.65</v>
      </c>
      <c r="L29" s="380">
        <f>ROUND(+$E29*'[5]II-F Alloc_Factor'!J$17,2)</f>
        <v>0</v>
      </c>
      <c r="M29" s="380">
        <f t="shared" ref="M29:M31" si="9">SUM(K29:L29)</f>
        <v>52649.65</v>
      </c>
      <c r="N29" s="380">
        <f>ROUND(+$E29*'[5]II-F Alloc_Factor'!L$17,2)</f>
        <v>14722.26</v>
      </c>
      <c r="O29" s="380">
        <f t="shared" ref="O29:O31" si="10">ROUND(+E29-J29-M29-N29,2)</f>
        <v>603.47</v>
      </c>
      <c r="P29" s="380">
        <f t="shared" si="7"/>
        <v>87689.72</v>
      </c>
      <c r="Q29" s="29" t="b">
        <f>+E29=P29</f>
        <v>1</v>
      </c>
      <c r="R29" s="658">
        <f t="shared" ref="R29:R31" si="11">+P29-E29</f>
        <v>0</v>
      </c>
    </row>
    <row r="30" spans="1:22">
      <c r="A30" s="141">
        <v>16</v>
      </c>
      <c r="B30" s="24" t="s">
        <v>176</v>
      </c>
      <c r="C30" t="s">
        <v>1028</v>
      </c>
      <c r="E30" s="380">
        <v>2343204.5299999998</v>
      </c>
      <c r="F30" s="26" t="s">
        <v>13</v>
      </c>
      <c r="G30" s="380">
        <f>ROUND(+$E30*'[5]II-F Alloc_Factor'!E$17,2)</f>
        <v>526797.52</v>
      </c>
      <c r="H30" s="380">
        <f>ROUND(+$E30*'[5]II-F Alloc_Factor'!F$17,2)</f>
        <v>0</v>
      </c>
      <c r="I30" s="380">
        <f>ROUND(+$E30*'[5]II-F Alloc_Factor'!G$17,2)</f>
        <v>0</v>
      </c>
      <c r="J30" s="380">
        <f t="shared" si="8"/>
        <v>526797.52</v>
      </c>
      <c r="K30" s="380">
        <f>ROUND(+$E30*'[5]II-F Alloc_Factor'!I$17,2)</f>
        <v>1406879.96</v>
      </c>
      <c r="L30" s="380">
        <f>ROUND(+$E30*'[5]II-F Alloc_Factor'!J$17,2)</f>
        <v>0</v>
      </c>
      <c r="M30" s="380">
        <f t="shared" si="9"/>
        <v>1406879.96</v>
      </c>
      <c r="N30" s="380">
        <f>ROUND(+$E30*'[5]II-F Alloc_Factor'!L$17,2)</f>
        <v>393401.45</v>
      </c>
      <c r="O30" s="380">
        <f t="shared" si="10"/>
        <v>16125.6</v>
      </c>
      <c r="P30" s="380">
        <f t="shared" si="7"/>
        <v>2343204.5300000003</v>
      </c>
      <c r="Q30" s="29" t="b">
        <f>+E30=P30</f>
        <v>1</v>
      </c>
      <c r="R30" s="658">
        <f t="shared" si="11"/>
        <v>0</v>
      </c>
    </row>
    <row r="31" spans="1:22">
      <c r="A31" s="141">
        <v>17</v>
      </c>
      <c r="B31" s="24" t="s">
        <v>177</v>
      </c>
      <c r="C31" t="s">
        <v>1029</v>
      </c>
      <c r="E31" s="380">
        <v>0</v>
      </c>
      <c r="F31" s="26"/>
      <c r="G31" s="380">
        <f>ROUND(+$E31*'[5]II-F Alloc_Factor'!E$17,2)</f>
        <v>0</v>
      </c>
      <c r="H31" s="380">
        <f>ROUND(+$E31*'[5]II-F Alloc_Factor'!F$17,2)</f>
        <v>0</v>
      </c>
      <c r="I31" s="380">
        <f>ROUND(+$E31*'[5]II-F Alloc_Factor'!G$17,2)</f>
        <v>0</v>
      </c>
      <c r="J31" s="380">
        <f t="shared" si="8"/>
        <v>0</v>
      </c>
      <c r="K31" s="380">
        <f>ROUND(+$E31*'[5]II-F Alloc_Factor'!I$17,2)</f>
        <v>0</v>
      </c>
      <c r="L31" s="380">
        <f>ROUND(+$E31*'[5]II-F Alloc_Factor'!J$17,2)</f>
        <v>0</v>
      </c>
      <c r="M31" s="380">
        <f t="shared" si="9"/>
        <v>0</v>
      </c>
      <c r="N31" s="380">
        <f>ROUND(+$E31*'[5]II-F Alloc_Factor'!L$17,2)</f>
        <v>0</v>
      </c>
      <c r="O31" s="380">
        <f t="shared" si="10"/>
        <v>0</v>
      </c>
      <c r="P31" s="380">
        <f t="shared" si="7"/>
        <v>0</v>
      </c>
      <c r="Q31" s="29" t="b">
        <f>+E31=P31</f>
        <v>1</v>
      </c>
      <c r="R31" s="658">
        <f t="shared" si="11"/>
        <v>0</v>
      </c>
    </row>
    <row r="32" spans="1:22">
      <c r="A32" s="141">
        <v>18</v>
      </c>
      <c r="C32" s="28" t="s">
        <v>178</v>
      </c>
      <c r="E32" s="382">
        <f>SUM(E28:E31)</f>
        <v>1228691.2699999998</v>
      </c>
      <c r="G32" s="382">
        <f t="shared" ref="G32:P32" si="12">SUM(G28:G31)</f>
        <v>546511.86</v>
      </c>
      <c r="H32" s="382">
        <f t="shared" ref="H32:O32" si="13">SUM(H28:H31)</f>
        <v>-1202202.98</v>
      </c>
      <c r="I32" s="382">
        <f t="shared" si="13"/>
        <v>0</v>
      </c>
      <c r="J32" s="382">
        <f t="shared" si="13"/>
        <v>-655691.11999999988</v>
      </c>
      <c r="K32" s="382">
        <f t="shared" si="13"/>
        <v>1459529.6099999999</v>
      </c>
      <c r="L32" s="382">
        <f t="shared" si="13"/>
        <v>0</v>
      </c>
      <c r="M32" s="382">
        <f t="shared" si="13"/>
        <v>1459529.6099999999</v>
      </c>
      <c r="N32" s="382">
        <f t="shared" si="13"/>
        <v>408123.71</v>
      </c>
      <c r="O32" s="382">
        <f t="shared" si="13"/>
        <v>16729.07</v>
      </c>
      <c r="P32" s="382">
        <f t="shared" si="12"/>
        <v>1228691.2700000003</v>
      </c>
    </row>
    <row r="33" spans="1:7">
      <c r="A33" s="141">
        <v>19</v>
      </c>
    </row>
    <row r="34" spans="1:7">
      <c r="A34" s="141">
        <v>20</v>
      </c>
      <c r="B34" s="103" t="s">
        <v>1030</v>
      </c>
      <c r="C34" s="366"/>
      <c r="D34" s="366"/>
      <c r="E34" s="366"/>
      <c r="F34" s="366"/>
      <c r="G34" s="366"/>
    </row>
    <row r="35" spans="1:7" s="366" customFormat="1">
      <c r="A35" s="141">
        <v>21</v>
      </c>
      <c r="B35" s="103" t="s">
        <v>1031</v>
      </c>
    </row>
    <row r="36" spans="1:7">
      <c r="A36" s="141">
        <v>22</v>
      </c>
      <c r="B36" s="498"/>
      <c r="C36" s="366"/>
      <c r="D36" s="366"/>
      <c r="E36" s="366"/>
      <c r="F36" s="366"/>
      <c r="G36" s="366"/>
    </row>
    <row r="37" spans="1:7">
      <c r="A37" s="141">
        <v>23</v>
      </c>
      <c r="B37" s="366"/>
      <c r="C37" s="366"/>
      <c r="D37" s="366"/>
      <c r="E37" s="366"/>
      <c r="F37" s="366"/>
      <c r="G37" s="366"/>
    </row>
    <row r="38" spans="1:7">
      <c r="A38" s="141">
        <v>24</v>
      </c>
      <c r="B38" s="366"/>
      <c r="C38" s="366"/>
      <c r="D38" s="366"/>
      <c r="E38" s="141" t="s">
        <v>363</v>
      </c>
      <c r="F38" s="366" t="s">
        <v>66</v>
      </c>
      <c r="G38" s="366"/>
    </row>
    <row r="39" spans="1:7">
      <c r="A39" s="141">
        <v>25</v>
      </c>
      <c r="B39" s="366"/>
      <c r="C39" s="606" t="s">
        <v>871</v>
      </c>
      <c r="D39" s="366"/>
      <c r="E39" s="99">
        <f>E24</f>
        <v>7502438.7000000002</v>
      </c>
      <c r="F39" s="366" t="s">
        <v>1032</v>
      </c>
      <c r="G39" s="366"/>
    </row>
    <row r="40" spans="1:7">
      <c r="A40" s="141">
        <v>26</v>
      </c>
      <c r="B40" s="366" t="s">
        <v>872</v>
      </c>
      <c r="C40" s="366"/>
      <c r="D40" s="366"/>
      <c r="E40" s="99"/>
      <c r="F40" s="366"/>
      <c r="G40" s="366"/>
    </row>
    <row r="41" spans="1:7">
      <c r="A41" s="141">
        <v>27</v>
      </c>
      <c r="B41" s="141">
        <v>4210200</v>
      </c>
      <c r="C41" s="366" t="s">
        <v>836</v>
      </c>
      <c r="D41" s="366"/>
      <c r="E41" s="99">
        <v>78007.33</v>
      </c>
      <c r="F41" s="366" t="s">
        <v>1033</v>
      </c>
      <c r="G41" s="366"/>
    </row>
    <row r="42" spans="1:7">
      <c r="A42" s="141">
        <v>28</v>
      </c>
      <c r="B42" s="141">
        <v>4253800</v>
      </c>
      <c r="C42" s="366" t="s">
        <v>837</v>
      </c>
      <c r="D42" s="366"/>
      <c r="E42" s="99">
        <v>2275919.36</v>
      </c>
      <c r="F42" s="366" t="s">
        <v>1034</v>
      </c>
      <c r="G42" s="366"/>
    </row>
    <row r="43" spans="1:7">
      <c r="A43" s="141">
        <v>29</v>
      </c>
      <c r="B43" s="141" t="s">
        <v>172</v>
      </c>
      <c r="C43" s="366" t="s">
        <v>173</v>
      </c>
      <c r="D43" s="366"/>
      <c r="E43" s="680">
        <v>15162453.689999999</v>
      </c>
      <c r="F43" s="366" t="s">
        <v>1035</v>
      </c>
      <c r="G43" s="366"/>
    </row>
    <row r="44" spans="1:7">
      <c r="A44" s="141">
        <v>30</v>
      </c>
      <c r="B44" s="141"/>
      <c r="C44" s="366"/>
      <c r="D44" s="366"/>
      <c r="E44" s="99"/>
      <c r="F44" s="366"/>
      <c r="G44" s="366"/>
    </row>
    <row r="45" spans="1:7">
      <c r="A45" s="141">
        <v>31</v>
      </c>
      <c r="B45" s="366"/>
      <c r="C45" s="366" t="s">
        <v>838</v>
      </c>
      <c r="D45" s="366"/>
      <c r="E45" s="433">
        <f>SUM(E39:E44)</f>
        <v>25018819.079999998</v>
      </c>
      <c r="F45" s="366" t="s">
        <v>873</v>
      </c>
      <c r="G45" s="366"/>
    </row>
    <row r="46" spans="1:7">
      <c r="A46" s="141">
        <v>32</v>
      </c>
      <c r="B46" s="366"/>
      <c r="C46" s="366"/>
      <c r="D46" s="366"/>
      <c r="E46" s="434"/>
      <c r="F46" s="366"/>
      <c r="G46" s="366"/>
    </row>
    <row r="47" spans="1:7" s="366" customFormat="1">
      <c r="A47" s="141">
        <v>33</v>
      </c>
      <c r="E47" s="434"/>
    </row>
    <row r="48" spans="1:7">
      <c r="A48" s="141">
        <v>34</v>
      </c>
      <c r="B48" s="366"/>
      <c r="C48" s="346" t="s">
        <v>1213</v>
      </c>
      <c r="D48" s="366"/>
      <c r="E48" s="434">
        <f>+E32</f>
        <v>1228691.2699999998</v>
      </c>
      <c r="F48" s="346" t="s">
        <v>1214</v>
      </c>
      <c r="G48" s="366"/>
    </row>
    <row r="49" spans="1:6" s="366" customFormat="1">
      <c r="A49" s="141">
        <v>35</v>
      </c>
      <c r="E49" s="434"/>
    </row>
    <row r="50" spans="1:6">
      <c r="A50" s="141">
        <v>36</v>
      </c>
      <c r="C50" s="346" t="s">
        <v>1215</v>
      </c>
    </row>
    <row r="51" spans="1:6">
      <c r="A51" s="141">
        <v>37</v>
      </c>
      <c r="B51" s="141">
        <v>4210200</v>
      </c>
      <c r="C51" s="366" t="s">
        <v>836</v>
      </c>
      <c r="E51" s="99">
        <f>-E41*0.21</f>
        <v>-16381.5393</v>
      </c>
    </row>
    <row r="52" spans="1:6">
      <c r="A52" s="141">
        <v>38</v>
      </c>
      <c r="B52" s="141">
        <v>4253800</v>
      </c>
      <c r="C52" s="366" t="s">
        <v>837</v>
      </c>
      <c r="E52" s="99">
        <f t="shared" ref="E52:E53" si="14">-E42*0.21</f>
        <v>-477943.06559999997</v>
      </c>
    </row>
    <row r="53" spans="1:6">
      <c r="A53" s="141">
        <v>39</v>
      </c>
      <c r="B53" s="141" t="s">
        <v>172</v>
      </c>
      <c r="C53" s="366" t="s">
        <v>173</v>
      </c>
      <c r="E53" s="99">
        <f t="shared" si="14"/>
        <v>-3184115.2748999996</v>
      </c>
    </row>
    <row r="54" spans="1:6">
      <c r="A54" s="141">
        <v>40</v>
      </c>
    </row>
    <row r="55" spans="1:6">
      <c r="A55" s="141">
        <v>41</v>
      </c>
      <c r="C55" s="346" t="s">
        <v>1213</v>
      </c>
      <c r="E55" s="432">
        <f>SUM(E48:E53)</f>
        <v>-2449748.6097999997</v>
      </c>
      <c r="F55" s="366" t="s">
        <v>873</v>
      </c>
    </row>
  </sheetData>
  <phoneticPr fontId="10" type="noConversion"/>
  <printOptions horizontalCentered="1"/>
  <pageMargins left="0.1" right="0.1" top="2.25" bottom="0.2" header="1" footer="0.5"/>
  <pageSetup scale="56" orientation="landscape"/>
  <headerFooter alignWithMargins="0">
    <oddHeader>&amp;R&amp;"Arial,Bold"Schedule &amp;A
Page &amp;P of &amp;N&amp;C&amp;B
2025 RATE CASE
ONCOR ELECTRIC DELIVERY COMPANY LLC
II-E-4.2 BELOW THE LINE EXPENSES
TEST YEAR ENDING DECEMBER 31, 2024
SPONSOR: R. PRACHYL</oddHead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16"/>
  <dimension ref="A1:I17"/>
  <sheetViews>
    <sheetView zoomScaleNormal="100" workbookViewId="0">
      <selection activeCell="F9" sqref="F9"/>
    </sheetView>
  </sheetViews>
  <sheetFormatPr defaultRowHeight="12.75"/>
  <sheetData>
    <row r="1" spans="1:9">
      <c r="A1" s="28" t="str">
        <f>+'[3]Input Data'!$A$9</f>
        <v>2025 RATE CASE</v>
      </c>
    </row>
    <row r="2" spans="1:9">
      <c r="A2" s="31" t="str">
        <f>+'[3]Input Data'!$A$2</f>
        <v>ONCOR ELECTRIC DELIVERY COMPANY LLC</v>
      </c>
    </row>
    <row r="3" spans="1:9">
      <c r="A3" s="164" t="str">
        <f>CONCATENATE('[3]Schedule Sponsors'!$A$113,'[3]Schedule Sponsors'!$B$113)</f>
        <v>II-E-4.3  NONRECURRING OR EXTRAORDINARY EXPENSES</v>
      </c>
    </row>
    <row r="4" spans="1:9">
      <c r="A4" s="89" t="str">
        <f>+'[3]Input Data'!$A$4</f>
        <v>TEST YEAR ENDING DECEMBER 31, 2024</v>
      </c>
    </row>
    <row r="5" spans="1:9">
      <c r="A5" s="30" t="str">
        <f>CONCATENATE("SPONSOR: ",'[3]Schedule Sponsors'!$D$113)</f>
        <v>SPONSOR: R. PRACHYL</v>
      </c>
    </row>
    <row r="16" spans="1:9" ht="15">
      <c r="A16" s="874" t="s">
        <v>12</v>
      </c>
      <c r="B16" s="874"/>
      <c r="C16" s="874"/>
      <c r="D16" s="874"/>
      <c r="E16" s="874"/>
      <c r="F16" s="874"/>
      <c r="G16" s="874"/>
      <c r="H16" s="874"/>
      <c r="I16" s="874"/>
    </row>
    <row r="17" spans="1:9" ht="15">
      <c r="A17" s="874" t="s">
        <v>290</v>
      </c>
      <c r="B17" s="874"/>
      <c r="C17" s="874"/>
      <c r="D17" s="874"/>
      <c r="E17" s="874"/>
      <c r="F17" s="874"/>
      <c r="G17" s="874"/>
      <c r="H17" s="874"/>
      <c r="I17" s="874"/>
    </row>
  </sheetData>
  <mergeCells count="2">
    <mergeCell ref="A16:I16"/>
    <mergeCell ref="A17:I17"/>
  </mergeCells>
  <phoneticPr fontId="10" type="noConversion"/>
  <printOptions horizontalCentered="1"/>
  <pageMargins left="0.5" right="0.5" top="3" bottom="0.5" header="1.25" footer="0.5"/>
  <pageSetup orientation="landscape"/>
  <headerFooter alignWithMargins="0">
    <oddHeader>&amp;R&amp;"Arial,Bold"Schedule II-E-4.3
Page &amp;P of &amp;N&amp;C&amp;B
2025 RATE CASE
ONCOR ELECTRIC DELIVERY COMPANY LLC
II-E-4.3  NONRECURRING OR EXTRAORDINARY EXPENSES
TEST YEAR ENDING DECEMBER 31, 2024
SPONSOR: R. PRACHYL</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17"/>
  <dimension ref="A1:S33"/>
  <sheetViews>
    <sheetView zoomScale="85" zoomScaleNormal="85" workbookViewId="0">
      <pane ySplit="11" topLeftCell="A12" activePane="bottomLeft" state="frozen"/>
      <selection pane="bottomLeft" activeCell="J12" sqref="J12"/>
    </sheetView>
  </sheetViews>
  <sheetFormatPr defaultRowHeight="12.75"/>
  <cols>
    <col min="1" max="1" width="9.42578125" bestFit="1" customWidth="1"/>
    <col min="2" max="2" width="81.85546875" customWidth="1"/>
    <col min="3" max="3" width="11.5703125" bestFit="1" customWidth="1"/>
    <col min="4" max="4" width="12.42578125" bestFit="1" customWidth="1"/>
    <col min="5" max="5" width="17.28515625" bestFit="1" customWidth="1"/>
    <col min="6" max="6" width="16.28515625" bestFit="1" customWidth="1"/>
    <col min="7" max="7" width="17" bestFit="1" customWidth="1"/>
    <col min="8" max="8" width="16.7109375" bestFit="1" customWidth="1"/>
    <col min="9" max="9" width="14" bestFit="1" customWidth="1"/>
    <col min="10" max="10" width="14.28515625" style="366" customWidth="1"/>
    <col min="11" max="11" width="9.140625" style="366" bestFit="1" customWidth="1"/>
    <col min="12" max="12" width="14" style="366" bestFit="1" customWidth="1"/>
    <col min="13" max="13" width="15.5703125" bestFit="1" customWidth="1"/>
    <col min="14" max="14" width="14" style="366" bestFit="1" customWidth="1"/>
    <col min="15" max="15" width="15.85546875" style="366" bestFit="1" customWidth="1"/>
    <col min="16" max="16" width="14" bestFit="1" customWidth="1"/>
    <col min="17" max="18" width="11.28515625" bestFit="1" customWidth="1"/>
  </cols>
  <sheetData>
    <row r="1" spans="1:19">
      <c r="A1" s="28" t="str">
        <f>+'[3]Input Data'!$A$9</f>
        <v>2025 RATE CASE</v>
      </c>
    </row>
    <row r="2" spans="1:19">
      <c r="A2" s="31" t="str">
        <f>+'[3]Input Data'!$A$2</f>
        <v>ONCOR ELECTRIC DELIVERY COMPANY LLC</v>
      </c>
    </row>
    <row r="3" spans="1:19">
      <c r="A3" s="164" t="str">
        <f>CONCATENATE('[3]Schedule Sponsors'!$A$114,'[3]Schedule Sponsors'!$B$114)</f>
        <v>II-E-4.4  REGULATORY COMMISSION EXPENSES</v>
      </c>
    </row>
    <row r="4" spans="1:19">
      <c r="A4" s="89" t="str">
        <f>+'[3]Input Data'!$A$4</f>
        <v>TEST YEAR ENDING DECEMBER 31, 2024</v>
      </c>
    </row>
    <row r="5" spans="1:19">
      <c r="A5" s="30" t="str">
        <f>CONCATENATE("SPONSOR: ",'[3]Schedule Sponsors'!$D$114)</f>
        <v>SPONSOR: R. PRACHYL</v>
      </c>
    </row>
    <row r="9" spans="1:19" s="179" customFormat="1">
      <c r="C9" s="534"/>
      <c r="D9" s="534"/>
      <c r="E9" s="534"/>
      <c r="F9" s="534" t="s">
        <v>61</v>
      </c>
      <c r="G9" s="534" t="s">
        <v>379</v>
      </c>
      <c r="H9" s="534" t="s">
        <v>62</v>
      </c>
    </row>
    <row r="10" spans="1:19" s="179" customFormat="1">
      <c r="A10" s="534" t="s">
        <v>241</v>
      </c>
      <c r="B10" s="534"/>
      <c r="C10" s="534" t="s">
        <v>71</v>
      </c>
      <c r="D10" s="534"/>
      <c r="E10" s="534" t="s">
        <v>72</v>
      </c>
      <c r="F10" s="534" t="s">
        <v>63</v>
      </c>
      <c r="G10" s="534" t="s">
        <v>380</v>
      </c>
      <c r="H10" s="534" t="s">
        <v>61</v>
      </c>
      <c r="I10" s="534"/>
      <c r="J10" s="534" t="s">
        <v>571</v>
      </c>
      <c r="K10" s="534" t="s">
        <v>572</v>
      </c>
      <c r="L10" s="534" t="s">
        <v>574</v>
      </c>
      <c r="M10" s="534"/>
      <c r="N10" s="534" t="s">
        <v>571</v>
      </c>
      <c r="O10" s="534" t="s">
        <v>574</v>
      </c>
      <c r="P10" s="534"/>
      <c r="Q10" s="534"/>
    </row>
    <row r="11" spans="1:19" s="179" customFormat="1">
      <c r="A11" s="535" t="s">
        <v>139</v>
      </c>
      <c r="B11" s="42" t="s">
        <v>64</v>
      </c>
      <c r="C11" s="534" t="s">
        <v>76</v>
      </c>
      <c r="D11" s="534" t="s">
        <v>179</v>
      </c>
      <c r="E11" s="534" t="s">
        <v>77</v>
      </c>
      <c r="F11" s="534" t="s">
        <v>78</v>
      </c>
      <c r="G11" s="534" t="s">
        <v>381</v>
      </c>
      <c r="H11" s="534" t="s">
        <v>63</v>
      </c>
      <c r="I11" s="42" t="s">
        <v>198</v>
      </c>
      <c r="J11" s="42" t="s">
        <v>198</v>
      </c>
      <c r="K11" s="42" t="s">
        <v>575</v>
      </c>
      <c r="L11" s="42" t="s">
        <v>198</v>
      </c>
      <c r="M11" s="535" t="s">
        <v>199</v>
      </c>
      <c r="N11" s="535" t="s">
        <v>199</v>
      </c>
      <c r="O11" s="535" t="s">
        <v>199</v>
      </c>
      <c r="P11" s="535" t="s">
        <v>194</v>
      </c>
      <c r="Q11" s="535" t="s">
        <v>279</v>
      </c>
      <c r="R11" s="534" t="s">
        <v>73</v>
      </c>
    </row>
    <row r="12" spans="1:19" s="179" customFormat="1">
      <c r="B12" s="120" t="s">
        <v>226</v>
      </c>
      <c r="C12" s="536" t="s">
        <v>227</v>
      </c>
      <c r="D12" s="536" t="s">
        <v>228</v>
      </c>
      <c r="E12" s="536" t="s">
        <v>229</v>
      </c>
      <c r="F12" s="120" t="s">
        <v>230</v>
      </c>
      <c r="G12" s="536" t="s">
        <v>231</v>
      </c>
      <c r="H12" s="536" t="s">
        <v>232</v>
      </c>
      <c r="I12" s="536" t="s">
        <v>233</v>
      </c>
      <c r="J12" s="537" t="s">
        <v>234</v>
      </c>
      <c r="K12" s="537" t="s">
        <v>235</v>
      </c>
      <c r="L12" s="537" t="s">
        <v>236</v>
      </c>
      <c r="M12" s="537" t="s">
        <v>237</v>
      </c>
      <c r="N12" s="537" t="s">
        <v>238</v>
      </c>
      <c r="O12" s="537" t="s">
        <v>239</v>
      </c>
      <c r="P12" s="537" t="s">
        <v>240</v>
      </c>
      <c r="Q12" s="537" t="s">
        <v>140</v>
      </c>
      <c r="R12" s="537" t="s">
        <v>270</v>
      </c>
    </row>
    <row r="13" spans="1:19" s="179" customFormat="1"/>
    <row r="14" spans="1:19">
      <c r="A14" s="24">
        <v>1</v>
      </c>
      <c r="B14" s="366" t="str">
        <f>+'II-E-4.1'!D63</f>
        <v>Rider CSR - Capital structure refund - over-refund</v>
      </c>
      <c r="C14" s="493">
        <f>+'II-E-4.1'!E63</f>
        <v>0</v>
      </c>
      <c r="D14" s="493">
        <v>0</v>
      </c>
      <c r="E14" s="493">
        <v>0</v>
      </c>
      <c r="F14" s="493">
        <f>SUM(C14:E14)</f>
        <v>0</v>
      </c>
      <c r="G14" s="493">
        <f>+'II-E-4.1'!H63</f>
        <v>-10.73</v>
      </c>
      <c r="H14" s="493">
        <f t="shared" ref="H14:H18" si="0">SUM(F14:G14)</f>
        <v>-10.73</v>
      </c>
      <c r="I14" s="493">
        <f>+'II-E-4.1'!N63</f>
        <v>0</v>
      </c>
      <c r="J14" s="493">
        <f>+'II-E-4.1'!O63</f>
        <v>0</v>
      </c>
      <c r="K14" s="493">
        <f>+'II-E-4.1'!P63</f>
        <v>0</v>
      </c>
      <c r="L14" s="493">
        <f>SUM(I14:K14)</f>
        <v>0</v>
      </c>
      <c r="M14" s="493">
        <f>+'II-E-4.1'!R63</f>
        <v>-10.73</v>
      </c>
      <c r="N14" s="493">
        <f>+'II-E-4.1'!S63</f>
        <v>0</v>
      </c>
      <c r="O14" s="493">
        <f>SUM(M14:N14)</f>
        <v>-10.73</v>
      </c>
      <c r="P14" s="493">
        <f>+'II-E-4.1'!U63</f>
        <v>0</v>
      </c>
      <c r="Q14" s="493">
        <f>+'II-E-4.1'!V63</f>
        <v>0</v>
      </c>
      <c r="R14" s="494">
        <f>+L14+O14+P14+Q14</f>
        <v>-10.73</v>
      </c>
      <c r="S14" t="b">
        <f t="shared" ref="S14:S18" si="1">+H14=R14</f>
        <v>1</v>
      </c>
    </row>
    <row r="15" spans="1:19">
      <c r="A15" s="24">
        <v>2</v>
      </c>
      <c r="B15" s="366" t="str">
        <f>+'II-E-4.1'!D64</f>
        <v>Rider TRF - FIT rate refund - over-refund</v>
      </c>
      <c r="C15" s="380">
        <f>+'II-E-4.1'!E64</f>
        <v>0</v>
      </c>
      <c r="D15" s="380">
        <v>0</v>
      </c>
      <c r="E15" s="380">
        <v>0</v>
      </c>
      <c r="F15" s="380">
        <f t="shared" ref="F15:F18" si="2">SUM(C15:E15)</f>
        <v>0</v>
      </c>
      <c r="G15" s="380">
        <f>+'II-E-4.1'!H64</f>
        <v>-148.41</v>
      </c>
      <c r="H15" s="432">
        <f t="shared" si="0"/>
        <v>-148.41</v>
      </c>
      <c r="I15" s="380">
        <f>+'II-E-4.1'!N64</f>
        <v>0</v>
      </c>
      <c r="J15" s="380">
        <f>+'II-E-4.1'!O64</f>
        <v>0</v>
      </c>
      <c r="K15" s="380">
        <f>+'II-E-4.1'!P64</f>
        <v>0</v>
      </c>
      <c r="L15" s="380">
        <f t="shared" ref="L15:L18" si="3">SUM(I15:K15)</f>
        <v>0</v>
      </c>
      <c r="M15" s="380">
        <f>+'II-E-4.1'!R64</f>
        <v>-148.41</v>
      </c>
      <c r="N15" s="380">
        <f>+'II-E-4.1'!S64</f>
        <v>0</v>
      </c>
      <c r="O15" s="380">
        <f t="shared" ref="O15:O18" si="4">SUM(M15:N15)</f>
        <v>-148.41</v>
      </c>
      <c r="P15" s="380">
        <f>+'II-E-4.1'!U64</f>
        <v>0</v>
      </c>
      <c r="Q15" s="380">
        <f>+'II-E-4.1'!V64</f>
        <v>0</v>
      </c>
      <c r="R15" s="495">
        <f t="shared" ref="R15:R18" si="5">+L15+O15+P15+Q15</f>
        <v>-148.41</v>
      </c>
      <c r="S15" t="b">
        <f t="shared" si="1"/>
        <v>1</v>
      </c>
    </row>
    <row r="16" spans="1:19">
      <c r="A16" s="24">
        <v>3</v>
      </c>
      <c r="B16" s="366" t="str">
        <f>+'II-E-4.1'!D65</f>
        <v>Interest-rate savings Dkt 47675 &amp; 55453</v>
      </c>
      <c r="C16" s="380">
        <f>+'II-E-4.1'!E65</f>
        <v>0</v>
      </c>
      <c r="D16" s="380">
        <v>0</v>
      </c>
      <c r="E16" s="380">
        <v>0</v>
      </c>
      <c r="F16" s="380">
        <f t="shared" si="2"/>
        <v>0</v>
      </c>
      <c r="G16" s="380">
        <f>+'II-E-4.1'!H65</f>
        <v>-5171.8500000000004</v>
      </c>
      <c r="H16" s="432">
        <f t="shared" si="0"/>
        <v>-5171.8500000000004</v>
      </c>
      <c r="I16" s="380">
        <f>+'II-E-4.1'!N65</f>
        <v>0</v>
      </c>
      <c r="J16" s="380">
        <f>+'II-E-4.1'!O65</f>
        <v>0</v>
      </c>
      <c r="K16" s="380">
        <f>+'II-E-4.1'!P65</f>
        <v>0</v>
      </c>
      <c r="L16" s="380">
        <f t="shared" si="3"/>
        <v>0</v>
      </c>
      <c r="M16" s="380">
        <f>+'II-E-4.1'!R65</f>
        <v>-5171.8500000000004</v>
      </c>
      <c r="N16" s="380">
        <f>+'II-E-4.1'!S65</f>
        <v>0</v>
      </c>
      <c r="O16" s="380">
        <f t="shared" si="4"/>
        <v>-5171.8500000000004</v>
      </c>
      <c r="P16" s="380">
        <f>+'II-E-4.1'!U65</f>
        <v>0</v>
      </c>
      <c r="Q16" s="380">
        <f>+'II-E-4.1'!V65</f>
        <v>0</v>
      </c>
      <c r="R16" s="495">
        <f t="shared" si="5"/>
        <v>-5171.8500000000004</v>
      </c>
      <c r="S16" t="b">
        <f t="shared" si="1"/>
        <v>1</v>
      </c>
    </row>
    <row r="17" spans="1:19" s="179" customFormat="1">
      <c r="A17" s="141">
        <v>4</v>
      </c>
      <c r="B17" s="366" t="str">
        <f>+'II-E-4.1'!D66</f>
        <v>Rate case expenses - Docket No. 53601 Rider RCE &amp; Rider WRCE &amp; Docket No. 57799</v>
      </c>
      <c r="C17" s="433">
        <f>+'II-E-4.1'!E66</f>
        <v>5547316.1800000006</v>
      </c>
      <c r="D17" s="433">
        <v>0</v>
      </c>
      <c r="E17" s="433">
        <v>0</v>
      </c>
      <c r="F17" s="433">
        <f t="shared" si="2"/>
        <v>5547316.1800000006</v>
      </c>
      <c r="G17" s="433">
        <f>+'II-E-4.1'!H66</f>
        <v>-5547316.1800000006</v>
      </c>
      <c r="H17" s="434">
        <f t="shared" si="0"/>
        <v>0</v>
      </c>
      <c r="I17" s="433">
        <f>+'II-E-4.1'!N66</f>
        <v>0</v>
      </c>
      <c r="J17" s="433">
        <f>+'II-E-4.1'!O66</f>
        <v>0</v>
      </c>
      <c r="K17" s="433">
        <f>+'II-E-4.1'!P66</f>
        <v>0</v>
      </c>
      <c r="L17" s="433">
        <f t="shared" si="3"/>
        <v>0</v>
      </c>
      <c r="M17" s="433">
        <f>+'II-E-4.1'!R66</f>
        <v>0</v>
      </c>
      <c r="N17" s="433">
        <f>+'II-E-4.1'!S66</f>
        <v>0</v>
      </c>
      <c r="O17" s="433">
        <f t="shared" si="4"/>
        <v>0</v>
      </c>
      <c r="P17" s="433">
        <f>+'II-E-4.1'!U66</f>
        <v>0</v>
      </c>
      <c r="Q17" s="433">
        <f>+'II-E-4.1'!V66</f>
        <v>0</v>
      </c>
      <c r="R17" s="675">
        <f t="shared" si="5"/>
        <v>0</v>
      </c>
      <c r="S17" s="179" t="b">
        <f t="shared" si="1"/>
        <v>1</v>
      </c>
    </row>
    <row r="18" spans="1:19" s="179" customFormat="1">
      <c r="A18" s="141">
        <v>5</v>
      </c>
      <c r="B18" s="366" t="s">
        <v>1322</v>
      </c>
      <c r="C18" s="433">
        <f>+'II-E-4.1'!E67</f>
        <v>2429.3100000000004</v>
      </c>
      <c r="D18" s="433">
        <v>0</v>
      </c>
      <c r="E18" s="433">
        <v>0</v>
      </c>
      <c r="F18" s="433">
        <f t="shared" si="2"/>
        <v>2429.3100000000004</v>
      </c>
      <c r="G18" s="433">
        <f>+'II-E-4.1'!H67</f>
        <v>-2429.3100000000004</v>
      </c>
      <c r="H18" s="434">
        <f t="shared" si="0"/>
        <v>0</v>
      </c>
      <c r="I18" s="433">
        <f>+'II-E-4.1'!N67</f>
        <v>0</v>
      </c>
      <c r="J18" s="433">
        <f>+'II-E-4.1'!O67</f>
        <v>0</v>
      </c>
      <c r="K18" s="433">
        <f>+'II-E-4.1'!P67</f>
        <v>0</v>
      </c>
      <c r="L18" s="433">
        <f t="shared" si="3"/>
        <v>0</v>
      </c>
      <c r="M18" s="433">
        <f>+'II-E-4.1'!R67</f>
        <v>0</v>
      </c>
      <c r="N18" s="433">
        <f>+'II-E-4.1'!S67</f>
        <v>0</v>
      </c>
      <c r="O18" s="433">
        <f t="shared" si="4"/>
        <v>0</v>
      </c>
      <c r="P18" s="433">
        <f>+'II-E-4.1'!U67</f>
        <v>0</v>
      </c>
      <c r="Q18" s="433">
        <f>+'II-E-4.1'!V67</f>
        <v>0</v>
      </c>
      <c r="R18" s="675">
        <f t="shared" si="5"/>
        <v>0</v>
      </c>
      <c r="S18" s="179" t="b">
        <f t="shared" si="1"/>
        <v>1</v>
      </c>
    </row>
    <row r="19" spans="1:19" s="179" customFormat="1">
      <c r="A19" s="141">
        <v>6</v>
      </c>
      <c r="B19" s="366" t="str">
        <f>+'II-E-4.1'!D72</f>
        <v>SRP Application and Compliance, Docket No. 56545 &amp; 57147</v>
      </c>
      <c r="C19" s="433">
        <f>+'II-E-4.1'!E72</f>
        <v>0</v>
      </c>
      <c r="D19" s="433">
        <v>0</v>
      </c>
      <c r="E19" s="433">
        <v>0</v>
      </c>
      <c r="F19" s="433">
        <f>SUM(C19:E19)</f>
        <v>0</v>
      </c>
      <c r="G19" s="433">
        <f>+'II-E-4.1'!H72</f>
        <v>964765.79</v>
      </c>
      <c r="H19" s="434">
        <f>SUM(F19:G19)</f>
        <v>964765.79</v>
      </c>
      <c r="I19" s="433">
        <f>+'II-E-4.1'!N72</f>
        <v>0</v>
      </c>
      <c r="J19" s="433">
        <f>+'II-E-4.1'!O72</f>
        <v>0</v>
      </c>
      <c r="K19" s="433">
        <f>+'II-E-4.1'!P72</f>
        <v>0</v>
      </c>
      <c r="L19" s="433">
        <f>SUM(I19:K19)</f>
        <v>0</v>
      </c>
      <c r="M19" s="433">
        <f>+'II-E-4.1'!R72</f>
        <v>964765.79</v>
      </c>
      <c r="N19" s="433">
        <f>+'II-E-4.1'!S72</f>
        <v>0</v>
      </c>
      <c r="O19" s="433">
        <f>SUM(M19:N19)</f>
        <v>964765.79</v>
      </c>
      <c r="P19" s="433">
        <f>+'II-E-4.1'!U72</f>
        <v>0</v>
      </c>
      <c r="Q19" s="433">
        <f>+'II-E-4.1'!V72</f>
        <v>0</v>
      </c>
      <c r="R19" s="675">
        <f>+L19+O19+P19+Q19</f>
        <v>964765.79</v>
      </c>
      <c r="S19" s="179" t="b">
        <f>+H19=R19</f>
        <v>1</v>
      </c>
    </row>
    <row r="20" spans="1:19" s="179" customFormat="1">
      <c r="A20" s="141">
        <v>7</v>
      </c>
      <c r="B20" s="366" t="str">
        <f>+'II-E-4.1'!D74</f>
        <v>Insurance Case, Docket No. 57774 &amp; 57932</v>
      </c>
      <c r="C20" s="433">
        <f>+'II-E-4.1'!E74</f>
        <v>0</v>
      </c>
      <c r="D20" s="433">
        <v>0</v>
      </c>
      <c r="E20" s="433">
        <v>0</v>
      </c>
      <c r="F20" s="433">
        <f>SUM(C20:E20)</f>
        <v>0</v>
      </c>
      <c r="G20" s="433">
        <f>+'II-E-4.1'!H74</f>
        <v>29299.91</v>
      </c>
      <c r="H20" s="434">
        <f>SUM(F20:G20)</f>
        <v>29299.91</v>
      </c>
      <c r="I20" s="433">
        <f>+'II-E-4.1'!N74</f>
        <v>0</v>
      </c>
      <c r="J20" s="433">
        <f>+'II-E-4.1'!O74</f>
        <v>0</v>
      </c>
      <c r="K20" s="433">
        <f>+'II-E-4.1'!P74</f>
        <v>0</v>
      </c>
      <c r="L20" s="433">
        <f>SUM(I20:K20)</f>
        <v>0</v>
      </c>
      <c r="M20" s="433">
        <f>+'II-E-4.1'!R74</f>
        <v>29299.91</v>
      </c>
      <c r="N20" s="433">
        <f>+'II-E-4.1'!S74</f>
        <v>0</v>
      </c>
      <c r="O20" s="433">
        <f>SUM(M20:N20)</f>
        <v>29299.91</v>
      </c>
      <c r="P20" s="433">
        <f>+'II-E-4.1'!U74</f>
        <v>0</v>
      </c>
      <c r="Q20" s="433">
        <f>+'II-E-4.1'!V74</f>
        <v>0</v>
      </c>
      <c r="R20" s="675">
        <f>+L20+O20+P20+Q20</f>
        <v>29299.91</v>
      </c>
      <c r="S20" s="179" t="b">
        <f>+H20=R20</f>
        <v>1</v>
      </c>
    </row>
    <row r="21" spans="1:19" s="179" customFormat="1">
      <c r="A21" s="141">
        <v>8</v>
      </c>
      <c r="B21" s="366"/>
      <c r="C21" s="433"/>
      <c r="D21" s="433"/>
      <c r="E21" s="433"/>
      <c r="F21" s="433"/>
      <c r="G21" s="433"/>
      <c r="H21" s="434"/>
      <c r="I21" s="433"/>
      <c r="J21" s="433"/>
      <c r="K21" s="433"/>
      <c r="L21" s="433"/>
      <c r="M21" s="433"/>
      <c r="N21" s="433"/>
      <c r="O21" s="433"/>
      <c r="P21" s="433"/>
      <c r="Q21" s="433"/>
      <c r="R21" s="675"/>
    </row>
    <row r="22" spans="1:19" s="179" customFormat="1">
      <c r="A22" s="141">
        <v>9</v>
      </c>
      <c r="B22" s="366"/>
      <c r="C22" s="433"/>
      <c r="D22" s="433"/>
      <c r="E22" s="433"/>
      <c r="F22" s="433"/>
      <c r="G22" s="433"/>
      <c r="H22" s="434"/>
      <c r="I22" s="433"/>
      <c r="J22" s="433"/>
      <c r="K22" s="433"/>
      <c r="L22" s="433"/>
      <c r="M22" s="433"/>
      <c r="N22" s="433"/>
      <c r="O22" s="433"/>
      <c r="P22" s="433"/>
      <c r="Q22" s="433"/>
      <c r="R22" s="675"/>
    </row>
    <row r="23" spans="1:19">
      <c r="A23" s="141">
        <v>10</v>
      </c>
      <c r="C23" s="129"/>
      <c r="D23" s="129"/>
      <c r="E23" s="129"/>
      <c r="F23" s="129"/>
      <c r="G23" s="129"/>
      <c r="H23" s="403"/>
      <c r="I23" s="129"/>
      <c r="J23" s="129"/>
      <c r="K23" s="129"/>
      <c r="L23" s="129"/>
      <c r="M23" s="129"/>
      <c r="N23" s="129"/>
      <c r="O23" s="129"/>
      <c r="P23" s="129"/>
      <c r="Q23" s="129"/>
      <c r="R23" s="404"/>
    </row>
    <row r="24" spans="1:19" ht="13.5" thickBot="1">
      <c r="A24" s="141">
        <v>11</v>
      </c>
      <c r="B24" s="28" t="s">
        <v>291</v>
      </c>
      <c r="C24" s="496">
        <f t="shared" ref="C24:R24" si="6">SUM(C14:C23)</f>
        <v>5549745.4900000002</v>
      </c>
      <c r="D24" s="496">
        <f t="shared" si="6"/>
        <v>0</v>
      </c>
      <c r="E24" s="496">
        <f t="shared" si="6"/>
        <v>0</v>
      </c>
      <c r="F24" s="496">
        <f t="shared" si="6"/>
        <v>5549745.4900000002</v>
      </c>
      <c r="G24" s="496">
        <f t="shared" si="6"/>
        <v>-4561010.78</v>
      </c>
      <c r="H24" s="496">
        <f t="shared" si="6"/>
        <v>988734.71000000008</v>
      </c>
      <c r="I24" s="496">
        <f t="shared" si="6"/>
        <v>0</v>
      </c>
      <c r="J24" s="496">
        <f t="shared" si="6"/>
        <v>0</v>
      </c>
      <c r="K24" s="496">
        <f t="shared" si="6"/>
        <v>0</v>
      </c>
      <c r="L24" s="496">
        <f t="shared" si="6"/>
        <v>0</v>
      </c>
      <c r="M24" s="496">
        <f t="shared" si="6"/>
        <v>988734.71000000008</v>
      </c>
      <c r="N24" s="496">
        <f t="shared" si="6"/>
        <v>0</v>
      </c>
      <c r="O24" s="496">
        <f t="shared" si="6"/>
        <v>988734.71000000008</v>
      </c>
      <c r="P24" s="496">
        <f t="shared" si="6"/>
        <v>0</v>
      </c>
      <c r="Q24" s="496">
        <f t="shared" si="6"/>
        <v>0</v>
      </c>
      <c r="R24" s="496">
        <f t="shared" si="6"/>
        <v>988734.71000000008</v>
      </c>
      <c r="S24" t="b">
        <f>+H24=R24</f>
        <v>1</v>
      </c>
    </row>
    <row r="25" spans="1:19" s="111" customFormat="1" ht="13.5" thickTop="1">
      <c r="A25" s="141">
        <v>12</v>
      </c>
      <c r="B25"/>
      <c r="J25" s="346"/>
      <c r="K25" s="346"/>
      <c r="L25" s="346"/>
      <c r="N25" s="346"/>
      <c r="O25" s="346"/>
    </row>
    <row r="26" spans="1:19">
      <c r="A26" s="141">
        <v>13</v>
      </c>
      <c r="B26" s="366" t="s">
        <v>1323</v>
      </c>
    </row>
    <row r="27" spans="1:19">
      <c r="A27" s="141">
        <v>14</v>
      </c>
      <c r="B27" s="366" t="s">
        <v>564</v>
      </c>
    </row>
    <row r="28" spans="1:19">
      <c r="A28" s="141"/>
      <c r="B28" s="631"/>
      <c r="G28" s="380"/>
    </row>
    <row r="29" spans="1:19">
      <c r="A29" s="141"/>
      <c r="G29" s="385"/>
    </row>
    <row r="30" spans="1:19">
      <c r="A30" s="141"/>
    </row>
    <row r="31" spans="1:19">
      <c r="A31" s="24"/>
      <c r="B31" s="366"/>
    </row>
    <row r="32" spans="1:19">
      <c r="A32" s="24"/>
      <c r="C32" s="366"/>
      <c r="D32" s="366"/>
      <c r="E32" s="366"/>
      <c r="F32" s="385"/>
      <c r="G32" s="385"/>
      <c r="H32" s="385"/>
      <c r="I32" s="385"/>
      <c r="J32" s="385"/>
      <c r="K32" s="385"/>
      <c r="L32" s="385"/>
      <c r="M32" s="385"/>
      <c r="N32" s="385"/>
      <c r="O32" s="385"/>
      <c r="P32" s="385"/>
      <c r="Q32" s="385"/>
      <c r="R32" s="385"/>
    </row>
    <row r="33" spans="1:1">
      <c r="A33" s="24"/>
    </row>
  </sheetData>
  <phoneticPr fontId="10" type="noConversion"/>
  <printOptions horizontalCentered="1"/>
  <pageMargins left="0.3" right="0.3" top="2.25" bottom="0.2" header="1" footer="0.5"/>
  <pageSetup scale="60" fitToWidth="2" fitToHeight="0" orientation="landscape"/>
  <headerFooter alignWithMargins="0">
    <oddHeader>&amp;R&amp;"Arial,Bold"Schedule &amp;A
Page &amp;P of &amp;N&amp;C&amp;B
2025 RATE CASE
ONCOR ELECTRIC DELIVERY COMPANY LLC
II-E-4.4  REGULATORY COMMISSION EXPENSES
TEST YEAR ENDING DECEMBER 31, 2024
SPONSOR: R. PRACHYL</oddHeader>
  </headerFooter>
  <colBreaks count="1" manualBreakCount="1">
    <brk id="8" min="8" max="38" man="1"/>
  </colBreak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118">
    <pageSetUpPr fitToPage="1"/>
  </sheetPr>
  <dimension ref="A1:R53"/>
  <sheetViews>
    <sheetView zoomScale="70" zoomScaleNormal="70" workbookViewId="0">
      <selection activeCell="K18" sqref="K18"/>
    </sheetView>
  </sheetViews>
  <sheetFormatPr defaultRowHeight="12.75"/>
  <cols>
    <col min="1" max="1" width="9.42578125" bestFit="1" customWidth="1"/>
    <col min="2" max="2" width="25.28515625" bestFit="1" customWidth="1"/>
    <col min="3" max="3" width="0.85546875" customWidth="1"/>
    <col min="4" max="4" width="15.7109375" bestFit="1" customWidth="1"/>
    <col min="5" max="7" width="15.7109375" style="366" customWidth="1"/>
    <col min="8" max="8" width="16.28515625" bestFit="1" customWidth="1"/>
    <col min="9" max="10" width="16.28515625" style="366" customWidth="1"/>
    <col min="11" max="11" width="14.42578125" bestFit="1" customWidth="1"/>
    <col min="12" max="12" width="14.5703125" bestFit="1" customWidth="1"/>
    <col min="13" max="13" width="17" bestFit="1" customWidth="1"/>
    <col min="15" max="15" width="13.140625" bestFit="1" customWidth="1"/>
    <col min="16" max="16" width="9.42578125" bestFit="1" customWidth="1"/>
    <col min="18" max="18" width="11.5703125" bestFit="1" customWidth="1"/>
  </cols>
  <sheetData>
    <row r="1" spans="1:14">
      <c r="A1" s="28" t="str">
        <f>+'[3]Input Data'!$A$9</f>
        <v>2025 RATE CASE</v>
      </c>
    </row>
    <row r="2" spans="1:14">
      <c r="A2" s="31" t="str">
        <f>+'[3]Input Data'!$A$2</f>
        <v>ONCOR ELECTRIC DELIVERY COMPANY LLC</v>
      </c>
    </row>
    <row r="3" spans="1:14">
      <c r="A3" s="164" t="str">
        <f>CONCATENATE('[3]Schedule Sponsors'!$A$115,'[3]Schedule Sponsors'!$B$115)</f>
        <v>II-E-4.5  RATE CASE EXPENSES</v>
      </c>
    </row>
    <row r="4" spans="1:14">
      <c r="A4" s="89" t="str">
        <f>+'[3]Input Data'!$A$4</f>
        <v>TEST YEAR ENDING DECEMBER 31, 2024</v>
      </c>
    </row>
    <row r="5" spans="1:14">
      <c r="A5" s="30" t="str">
        <f>CONCATENATE("SPONSOR: ",'[3]Schedule Sponsors'!$D$115)</f>
        <v>SPONSOR: C. SANDERS &amp;&amp; R. PRACHYL</v>
      </c>
    </row>
    <row r="11" spans="1:14" ht="50.25" customHeight="1">
      <c r="A11" s="875" t="s">
        <v>1327</v>
      </c>
      <c r="B11" s="876"/>
      <c r="C11" s="876"/>
      <c r="D11" s="876"/>
      <c r="E11" s="876"/>
      <c r="F11" s="876"/>
      <c r="G11" s="876"/>
      <c r="H11" s="876"/>
      <c r="I11" s="876"/>
      <c r="J11" s="876"/>
      <c r="K11" s="876"/>
      <c r="L11" s="876"/>
      <c r="M11" s="876"/>
      <c r="N11" s="876"/>
    </row>
    <row r="15" spans="1:14" s="179" customFormat="1"/>
    <row r="16" spans="1:14" s="534" customFormat="1">
      <c r="A16" s="534" t="s">
        <v>241</v>
      </c>
      <c r="E16" s="534" t="s">
        <v>571</v>
      </c>
      <c r="F16" s="534" t="s">
        <v>572</v>
      </c>
      <c r="G16" s="534" t="s">
        <v>574</v>
      </c>
      <c r="I16" s="534" t="s">
        <v>571</v>
      </c>
      <c r="J16" s="534" t="s">
        <v>574</v>
      </c>
      <c r="M16" s="179"/>
    </row>
    <row r="17" spans="1:17" s="534" customFormat="1">
      <c r="A17" s="534" t="s">
        <v>139</v>
      </c>
      <c r="B17" s="534" t="s">
        <v>64</v>
      </c>
      <c r="D17" s="42" t="s">
        <v>198</v>
      </c>
      <c r="E17" s="42" t="s">
        <v>198</v>
      </c>
      <c r="F17" s="42" t="s">
        <v>575</v>
      </c>
      <c r="G17" s="42" t="s">
        <v>198</v>
      </c>
      <c r="H17" s="535" t="s">
        <v>199</v>
      </c>
      <c r="I17" s="535" t="s">
        <v>199</v>
      </c>
      <c r="J17" s="535" t="s">
        <v>199</v>
      </c>
      <c r="K17" s="535" t="s">
        <v>194</v>
      </c>
      <c r="L17" s="535" t="s">
        <v>279</v>
      </c>
      <c r="M17" s="534" t="s">
        <v>73</v>
      </c>
    </row>
    <row r="18" spans="1:17" s="534" customFormat="1">
      <c r="A18" s="537"/>
      <c r="B18" s="537" t="s">
        <v>226</v>
      </c>
      <c r="C18" s="537"/>
      <c r="D18" s="537" t="s">
        <v>227</v>
      </c>
      <c r="E18" s="537" t="s">
        <v>228</v>
      </c>
      <c r="F18" s="537" t="s">
        <v>229</v>
      </c>
      <c r="G18" s="537" t="s">
        <v>230</v>
      </c>
      <c r="H18" s="537" t="s">
        <v>231</v>
      </c>
      <c r="I18" s="537" t="s">
        <v>232</v>
      </c>
      <c r="J18" s="537" t="s">
        <v>233</v>
      </c>
      <c r="K18" s="537" t="s">
        <v>234</v>
      </c>
      <c r="L18" s="537" t="s">
        <v>235</v>
      </c>
      <c r="M18" s="537" t="s">
        <v>236</v>
      </c>
    </row>
    <row r="19" spans="1:17" s="179" customFormat="1"/>
    <row r="20" spans="1:17" s="179" customFormat="1">
      <c r="A20" s="180">
        <v>1</v>
      </c>
      <c r="B20" s="529" t="s">
        <v>292</v>
      </c>
    </row>
    <row r="21" spans="1:17">
      <c r="A21" s="24">
        <v>2</v>
      </c>
    </row>
    <row r="22" spans="1:17">
      <c r="A22" s="24">
        <v>3</v>
      </c>
      <c r="B22" t="s">
        <v>293</v>
      </c>
      <c r="D22" s="128">
        <v>0</v>
      </c>
      <c r="E22" s="128">
        <v>0</v>
      </c>
      <c r="F22" s="128">
        <v>0</v>
      </c>
      <c r="G22" s="128">
        <f>SUM(D22:F22)</f>
        <v>0</v>
      </c>
      <c r="H22" s="128">
        <v>0</v>
      </c>
      <c r="I22" s="128">
        <v>0</v>
      </c>
      <c r="J22" s="128">
        <f>SUM(H22:I22)</f>
        <v>0</v>
      </c>
      <c r="K22" s="128">
        <v>0</v>
      </c>
      <c r="L22" s="128">
        <v>0</v>
      </c>
      <c r="M22" s="457">
        <f>+G22+J22+K22+L22</f>
        <v>0</v>
      </c>
      <c r="O22" s="99"/>
      <c r="Q22" s="116"/>
    </row>
    <row r="23" spans="1:17">
      <c r="A23" s="180">
        <v>4</v>
      </c>
      <c r="B23" t="s">
        <v>294</v>
      </c>
      <c r="D23" s="99">
        <v>0</v>
      </c>
      <c r="E23" s="99">
        <v>0</v>
      </c>
      <c r="F23" s="99">
        <v>0</v>
      </c>
      <c r="G23" s="99">
        <f t="shared" ref="G23:G24" si="0">SUM(D23:F23)</f>
        <v>0</v>
      </c>
      <c r="H23" s="99">
        <v>0</v>
      </c>
      <c r="I23" s="99">
        <v>0</v>
      </c>
      <c r="J23" s="99">
        <f t="shared" ref="J23:J24" si="1">SUM(H23:I23)</f>
        <v>0</v>
      </c>
      <c r="K23" s="99">
        <v>0</v>
      </c>
      <c r="L23" s="99">
        <v>0</v>
      </c>
      <c r="M23" s="458">
        <f t="shared" ref="M23" si="2">+G23+J23+K23+L23</f>
        <v>0</v>
      </c>
      <c r="O23" s="99"/>
      <c r="Q23" s="116"/>
    </row>
    <row r="24" spans="1:17">
      <c r="A24" s="141">
        <v>5</v>
      </c>
      <c r="B24" t="s">
        <v>295</v>
      </c>
      <c r="D24" s="99">
        <v>0</v>
      </c>
      <c r="E24" s="99">
        <v>0</v>
      </c>
      <c r="F24" s="99">
        <v>0</v>
      </c>
      <c r="G24" s="99">
        <f t="shared" si="0"/>
        <v>0</v>
      </c>
      <c r="H24" s="99">
        <f>+M24</f>
        <v>10793248.01</v>
      </c>
      <c r="I24" s="99">
        <v>0</v>
      </c>
      <c r="J24" s="99">
        <f t="shared" si="1"/>
        <v>10793248.01</v>
      </c>
      <c r="K24" s="99">
        <v>0</v>
      </c>
      <c r="L24" s="99">
        <v>0</v>
      </c>
      <c r="M24" s="458">
        <v>10793248.01</v>
      </c>
      <c r="N24" s="100" t="b">
        <f>+M24=(G24+J24+K24+L24)</f>
        <v>1</v>
      </c>
      <c r="O24" s="99"/>
      <c r="Q24" s="116"/>
    </row>
    <row r="25" spans="1:17">
      <c r="A25" s="141">
        <v>6</v>
      </c>
      <c r="B25" t="s">
        <v>137</v>
      </c>
      <c r="D25" s="99">
        <v>0</v>
      </c>
      <c r="E25" s="99">
        <v>0</v>
      </c>
      <c r="F25" s="99">
        <v>0</v>
      </c>
      <c r="G25" s="99">
        <f t="shared" ref="G25" si="3">SUM(D25:F25)</f>
        <v>0</v>
      </c>
      <c r="H25" s="99">
        <f>+M25</f>
        <v>1636981.73</v>
      </c>
      <c r="I25" s="99">
        <v>0</v>
      </c>
      <c r="J25" s="99">
        <f t="shared" ref="J25" si="4">SUM(H25:I25)</f>
        <v>1636981.73</v>
      </c>
      <c r="K25" s="99">
        <v>0</v>
      </c>
      <c r="L25" s="99">
        <v>0</v>
      </c>
      <c r="M25" s="458">
        <v>1636981.73</v>
      </c>
      <c r="N25" s="100" t="b">
        <f>+M25=(G25+J25+K25+L25)</f>
        <v>1</v>
      </c>
      <c r="O25" s="99"/>
      <c r="Q25" s="116"/>
    </row>
    <row r="26" spans="1:17">
      <c r="A26" s="180">
        <v>7</v>
      </c>
      <c r="D26" s="99"/>
      <c r="E26" s="99"/>
      <c r="F26" s="99"/>
      <c r="G26" s="99"/>
      <c r="H26" s="99"/>
      <c r="I26" s="99"/>
      <c r="J26" s="99"/>
      <c r="K26" s="99"/>
      <c r="L26" s="99"/>
      <c r="M26" s="458"/>
      <c r="O26" s="99"/>
    </row>
    <row r="27" spans="1:17">
      <c r="A27" s="141">
        <v>8</v>
      </c>
      <c r="B27" s="28" t="s">
        <v>296</v>
      </c>
      <c r="D27" s="131">
        <f t="shared" ref="D27" si="5">SUM(D22:D25)</f>
        <v>0</v>
      </c>
      <c r="E27" s="131">
        <f t="shared" ref="E27:M27" si="6">SUM(E22:E25)</f>
        <v>0</v>
      </c>
      <c r="F27" s="131">
        <f t="shared" si="6"/>
        <v>0</v>
      </c>
      <c r="G27" s="131">
        <f t="shared" si="6"/>
        <v>0</v>
      </c>
      <c r="H27" s="131">
        <f t="shared" si="6"/>
        <v>12430229.74</v>
      </c>
      <c r="I27" s="131">
        <f t="shared" si="6"/>
        <v>0</v>
      </c>
      <c r="J27" s="131">
        <f t="shared" si="6"/>
        <v>12430229.74</v>
      </c>
      <c r="K27" s="131">
        <f t="shared" si="6"/>
        <v>0</v>
      </c>
      <c r="L27" s="131">
        <f t="shared" si="6"/>
        <v>0</v>
      </c>
      <c r="M27" s="131">
        <f t="shared" si="6"/>
        <v>12430229.74</v>
      </c>
      <c r="N27" s="100" t="b">
        <f>+M27=(G27+J27+K27+L27)</f>
        <v>1</v>
      </c>
      <c r="O27" s="99"/>
    </row>
    <row r="28" spans="1:17">
      <c r="A28" s="141">
        <v>9</v>
      </c>
      <c r="D28" s="99"/>
      <c r="E28" s="99"/>
      <c r="F28" s="99"/>
      <c r="G28" s="99"/>
      <c r="H28" s="99"/>
      <c r="I28" s="99"/>
      <c r="J28" s="99"/>
      <c r="K28" s="99"/>
      <c r="L28" s="99"/>
      <c r="M28" s="458"/>
    </row>
    <row r="29" spans="1:17">
      <c r="A29" s="180">
        <v>10</v>
      </c>
      <c r="B29" s="28" t="s">
        <v>297</v>
      </c>
      <c r="D29" s="99"/>
      <c r="E29" s="99"/>
      <c r="F29" s="99"/>
      <c r="G29" s="99"/>
      <c r="H29" s="99"/>
      <c r="I29" s="99"/>
      <c r="J29" s="99"/>
      <c r="K29" s="99"/>
      <c r="L29" s="99"/>
      <c r="M29" s="458"/>
    </row>
    <row r="30" spans="1:17">
      <c r="A30" s="141">
        <v>11</v>
      </c>
      <c r="D30" s="99"/>
      <c r="E30" s="99"/>
      <c r="F30" s="99"/>
      <c r="G30" s="99"/>
      <c r="H30" s="99"/>
      <c r="I30" s="99"/>
      <c r="J30" s="99"/>
      <c r="K30" s="99"/>
      <c r="L30" s="99"/>
      <c r="M30" s="458"/>
    </row>
    <row r="31" spans="1:17">
      <c r="A31" s="141">
        <v>12</v>
      </c>
      <c r="B31" t="s">
        <v>298</v>
      </c>
      <c r="D31" s="128">
        <v>0</v>
      </c>
      <c r="E31" s="128">
        <v>0</v>
      </c>
      <c r="F31" s="128">
        <v>0</v>
      </c>
      <c r="G31" s="128">
        <f t="shared" ref="G31:G32" si="7">SUM(D31:F31)</f>
        <v>0</v>
      </c>
      <c r="H31" s="128">
        <f>+M31</f>
        <v>89000.82</v>
      </c>
      <c r="I31" s="128">
        <v>0</v>
      </c>
      <c r="J31" s="128">
        <f t="shared" ref="J31:J32" si="8">SUM(H31:I31)</f>
        <v>89000.82</v>
      </c>
      <c r="K31" s="128">
        <v>0</v>
      </c>
      <c r="L31" s="128">
        <v>0</v>
      </c>
      <c r="M31" s="457">
        <v>89000.82</v>
      </c>
      <c r="N31" s="100" t="b">
        <f>+M31=(G31+J31+K31+L31)</f>
        <v>1</v>
      </c>
      <c r="O31" s="99"/>
      <c r="Q31" s="116"/>
    </row>
    <row r="32" spans="1:17">
      <c r="A32" s="180">
        <v>13</v>
      </c>
      <c r="B32" t="s">
        <v>137</v>
      </c>
      <c r="D32" s="99">
        <v>0</v>
      </c>
      <c r="E32" s="99">
        <v>0</v>
      </c>
      <c r="F32" s="99">
        <v>0</v>
      </c>
      <c r="G32" s="99">
        <f t="shared" si="7"/>
        <v>0</v>
      </c>
      <c r="H32" s="99">
        <f>+M32</f>
        <v>99300.030000000028</v>
      </c>
      <c r="I32" s="99">
        <v>0</v>
      </c>
      <c r="J32" s="99">
        <f t="shared" si="8"/>
        <v>99300.030000000028</v>
      </c>
      <c r="K32" s="99">
        <v>0</v>
      </c>
      <c r="L32" s="99">
        <v>0</v>
      </c>
      <c r="M32" s="458">
        <v>99300.030000000028</v>
      </c>
      <c r="N32" s="100" t="b">
        <f>+M32=(G32+J32+K32+L32)</f>
        <v>1</v>
      </c>
      <c r="O32" s="99"/>
      <c r="Q32" s="116"/>
    </row>
    <row r="33" spans="1:18">
      <c r="A33" s="141">
        <v>14</v>
      </c>
      <c r="D33" s="99"/>
      <c r="E33" s="99"/>
      <c r="F33" s="99"/>
      <c r="G33" s="99"/>
      <c r="H33" s="99"/>
      <c r="I33" s="99"/>
      <c r="J33" s="99"/>
      <c r="K33" s="99"/>
      <c r="L33" s="99"/>
      <c r="M33" s="458"/>
    </row>
    <row r="34" spans="1:18">
      <c r="A34" s="141">
        <v>15</v>
      </c>
      <c r="B34" s="28" t="s">
        <v>299</v>
      </c>
      <c r="D34" s="131">
        <f t="shared" ref="D34" si="9">SUM(D31:D32)</f>
        <v>0</v>
      </c>
      <c r="E34" s="131">
        <f t="shared" ref="E34:M34" si="10">SUM(E31:E32)</f>
        <v>0</v>
      </c>
      <c r="F34" s="131">
        <f t="shared" si="10"/>
        <v>0</v>
      </c>
      <c r="G34" s="131">
        <f t="shared" si="10"/>
        <v>0</v>
      </c>
      <c r="H34" s="131">
        <f t="shared" si="10"/>
        <v>188300.85000000003</v>
      </c>
      <c r="I34" s="131">
        <f t="shared" si="10"/>
        <v>0</v>
      </c>
      <c r="J34" s="131">
        <f t="shared" si="10"/>
        <v>188300.85000000003</v>
      </c>
      <c r="K34" s="131">
        <f t="shared" si="10"/>
        <v>0</v>
      </c>
      <c r="L34" s="131">
        <f t="shared" si="10"/>
        <v>0</v>
      </c>
      <c r="M34" s="131">
        <f t="shared" si="10"/>
        <v>188300.85000000003</v>
      </c>
      <c r="N34" s="100" t="b">
        <f>+M34=(G34+J34+K34+L34)</f>
        <v>1</v>
      </c>
      <c r="O34" s="99"/>
      <c r="Q34" s="116"/>
    </row>
    <row r="35" spans="1:18">
      <c r="A35" s="180">
        <v>16</v>
      </c>
      <c r="D35" s="99"/>
      <c r="E35" s="99"/>
      <c r="F35" s="99"/>
      <c r="G35" s="99"/>
      <c r="H35" s="99"/>
      <c r="I35" s="99"/>
      <c r="J35" s="99"/>
      <c r="K35" s="99"/>
      <c r="L35" s="99"/>
      <c r="M35" s="458"/>
    </row>
    <row r="36" spans="1:18">
      <c r="A36" s="141">
        <v>17</v>
      </c>
      <c r="B36" t="s">
        <v>300</v>
      </c>
      <c r="D36" s="128">
        <v>0</v>
      </c>
      <c r="E36" s="128">
        <v>0</v>
      </c>
      <c r="F36" s="128">
        <v>0</v>
      </c>
      <c r="G36" s="128">
        <f t="shared" ref="G36" si="11">SUM(D36:F36)</f>
        <v>0</v>
      </c>
      <c r="H36" s="128">
        <f>+M36</f>
        <v>1538271.8599999999</v>
      </c>
      <c r="I36" s="128">
        <v>0</v>
      </c>
      <c r="J36" s="128">
        <f t="shared" ref="J36" si="12">SUM(H36:I36)</f>
        <v>1538271.8599999999</v>
      </c>
      <c r="K36" s="128">
        <v>0</v>
      </c>
      <c r="L36" s="128">
        <v>0</v>
      </c>
      <c r="M36" s="457">
        <v>1538271.8599999999</v>
      </c>
      <c r="N36" s="100" t="b">
        <f>+M36=(G36+J36+K36+L36)</f>
        <v>1</v>
      </c>
      <c r="O36" s="99"/>
      <c r="Q36" s="116"/>
    </row>
    <row r="37" spans="1:18">
      <c r="A37" s="141">
        <v>18</v>
      </c>
      <c r="D37" s="99"/>
      <c r="E37" s="99"/>
      <c r="F37" s="99"/>
      <c r="G37" s="99"/>
      <c r="H37" s="99"/>
      <c r="I37" s="99"/>
      <c r="J37" s="99"/>
      <c r="K37" s="99"/>
      <c r="L37" s="99"/>
      <c r="M37" s="458"/>
    </row>
    <row r="38" spans="1:18">
      <c r="A38" s="180">
        <v>19</v>
      </c>
      <c r="D38" s="99"/>
      <c r="E38" s="99"/>
      <c r="F38" s="99"/>
      <c r="G38" s="99"/>
      <c r="H38" s="99"/>
      <c r="I38" s="99"/>
      <c r="J38" s="99"/>
      <c r="K38" s="99"/>
      <c r="L38" s="99"/>
      <c r="M38" s="458"/>
    </row>
    <row r="39" spans="1:18" ht="13.5" thickBot="1">
      <c r="A39" s="141">
        <v>20</v>
      </c>
      <c r="B39" s="28" t="s">
        <v>301</v>
      </c>
      <c r="D39" s="130">
        <f t="shared" ref="D39" si="13">+D27+D34+D36</f>
        <v>0</v>
      </c>
      <c r="E39" s="130">
        <f t="shared" ref="E39:M39" si="14">+E27+E34+E36</f>
        <v>0</v>
      </c>
      <c r="F39" s="130">
        <f t="shared" si="14"/>
        <v>0</v>
      </c>
      <c r="G39" s="130">
        <f t="shared" si="14"/>
        <v>0</v>
      </c>
      <c r="H39" s="130">
        <f t="shared" si="14"/>
        <v>14156802.449999999</v>
      </c>
      <c r="I39" s="130">
        <f t="shared" si="14"/>
        <v>0</v>
      </c>
      <c r="J39" s="130">
        <f t="shared" si="14"/>
        <v>14156802.449999999</v>
      </c>
      <c r="K39" s="130">
        <f t="shared" si="14"/>
        <v>0</v>
      </c>
      <c r="L39" s="130">
        <f t="shared" si="14"/>
        <v>0</v>
      </c>
      <c r="M39" s="130">
        <f t="shared" si="14"/>
        <v>14156802.449999999</v>
      </c>
      <c r="N39" s="100" t="b">
        <f>+M39=(G39+J39+K39+L39)</f>
        <v>1</v>
      </c>
      <c r="O39" s="99"/>
      <c r="Q39" s="116"/>
    </row>
    <row r="40" spans="1:18" s="179" customFormat="1" ht="13.5" thickTop="1">
      <c r="A40" s="141">
        <v>21</v>
      </c>
    </row>
    <row r="41" spans="1:18" s="179" customFormat="1">
      <c r="A41" s="180">
        <v>22</v>
      </c>
    </row>
    <row r="42" spans="1:18" s="179" customFormat="1">
      <c r="A42" s="141">
        <v>23</v>
      </c>
      <c r="B42" s="346" t="s">
        <v>1036</v>
      </c>
      <c r="M42" s="676">
        <v>3042863.87</v>
      </c>
      <c r="Q42" s="190"/>
      <c r="R42" s="676"/>
    </row>
    <row r="43" spans="1:18" s="179" customFormat="1">
      <c r="A43" s="141">
        <v>24</v>
      </c>
      <c r="B43" s="681" t="s">
        <v>1037</v>
      </c>
      <c r="M43" s="102">
        <v>597598.76</v>
      </c>
      <c r="Q43" s="190"/>
      <c r="R43" s="102"/>
    </row>
    <row r="44" spans="1:18" s="179" customFormat="1">
      <c r="A44" s="180">
        <v>25</v>
      </c>
      <c r="B44" s="681" t="s">
        <v>1038</v>
      </c>
      <c r="M44" s="102">
        <v>312886.08</v>
      </c>
      <c r="Q44" s="190"/>
      <c r="R44" s="102"/>
    </row>
    <row r="45" spans="1:18" s="179" customFormat="1">
      <c r="A45" s="141">
        <v>26</v>
      </c>
      <c r="B45" s="681" t="s">
        <v>1039</v>
      </c>
      <c r="M45" s="102">
        <v>511485.67</v>
      </c>
      <c r="Q45" s="190"/>
      <c r="R45" s="102"/>
    </row>
    <row r="46" spans="1:18" s="179" customFormat="1">
      <c r="A46" s="141">
        <v>27</v>
      </c>
      <c r="B46" s="681" t="s">
        <v>1040</v>
      </c>
      <c r="M46" s="102">
        <v>100478.22</v>
      </c>
      <c r="Q46" s="190"/>
      <c r="R46" s="102"/>
    </row>
    <row r="47" spans="1:18" s="179" customFormat="1">
      <c r="A47" s="180">
        <v>28</v>
      </c>
      <c r="B47" s="681" t="s">
        <v>1041</v>
      </c>
      <c r="M47" s="102">
        <v>109910.14</v>
      </c>
      <c r="Q47" s="190"/>
      <c r="R47" s="102"/>
    </row>
    <row r="48" spans="1:18" s="179" customFormat="1">
      <c r="A48" s="141">
        <v>29</v>
      </c>
      <c r="B48" s="681" t="s">
        <v>1042</v>
      </c>
      <c r="M48" s="102">
        <v>9481579.7100000009</v>
      </c>
      <c r="Q48" s="190"/>
      <c r="R48" s="102"/>
    </row>
    <row r="49" spans="1:17" s="179" customFormat="1" ht="13.5" thickBot="1">
      <c r="A49" s="141">
        <v>30</v>
      </c>
      <c r="B49" s="169" t="s">
        <v>393</v>
      </c>
      <c r="M49" s="677">
        <f>SUM(M42:M48)</f>
        <v>14156802.449999999</v>
      </c>
      <c r="N49" s="179" t="b">
        <f>+M49=M39</f>
        <v>1</v>
      </c>
      <c r="O49" s="839">
        <f>+M49-M39</f>
        <v>0</v>
      </c>
      <c r="Q49" s="678"/>
    </row>
    <row r="50" spans="1:17" s="179" customFormat="1" ht="13.5" thickTop="1">
      <c r="N50" s="678"/>
    </row>
    <row r="51" spans="1:17" s="179" customFormat="1">
      <c r="N51" s="678"/>
    </row>
    <row r="52" spans="1:17" s="179" customFormat="1"/>
    <row r="53" spans="1:17" s="179" customFormat="1"/>
  </sheetData>
  <mergeCells count="1">
    <mergeCell ref="A11:N11"/>
  </mergeCells>
  <phoneticPr fontId="10" type="noConversion"/>
  <printOptions horizontalCentered="1"/>
  <pageMargins left="0.5" right="0.5" top="2.52" bottom="0.5" header="1.03" footer="0.5"/>
  <pageSetup scale="67" orientation="landscape" horizontalDpi="360" verticalDpi="360"/>
  <headerFooter alignWithMargins="0">
    <oddHeader>&amp;R&amp;"Arial,Bold"Schedule &amp;A
Page &amp;P of &amp;N&amp;C&amp;B
2025 RATE CASE
ONCOR ELECTRIC DELIVERY COMPANY LLC
II-E-4.5  RATE CASE EXPENSES
TEST YEAR ENDING DECEMBER 31, 2024
SPONSOR: C. SANDERS &amp;&amp; R. PRACHYL</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9">
    <pageSetUpPr fitToPage="1"/>
  </sheetPr>
  <dimension ref="A1:A12"/>
  <sheetViews>
    <sheetView workbookViewId="0">
      <selection activeCell="G6" sqref="G6"/>
    </sheetView>
  </sheetViews>
  <sheetFormatPr defaultRowHeight="12.75"/>
  <sheetData>
    <row r="1" spans="1:1">
      <c r="A1" s="31" t="str">
        <f>+'[3]Input Data'!$A$9</f>
        <v>2025 RATE CASE</v>
      </c>
    </row>
    <row r="2" spans="1:1">
      <c r="A2" s="31" t="str">
        <f>+'[3]Input Data'!$A$2</f>
        <v>ONCOR ELECTRIC DELIVERY COMPANY LLC</v>
      </c>
    </row>
    <row r="3" spans="1:1">
      <c r="A3" s="164" t="str">
        <f>CONCATENATE('[3]Schedule Sponsors'!$A$116,'[3]Schedule Sponsors'!$B$116)</f>
        <v>II-E-4.6  EXPENSES PREVIOUSLY DENIED BY THE COMMISSION</v>
      </c>
    </row>
    <row r="4" spans="1:1">
      <c r="A4" s="89" t="str">
        <f>+'[3]Input Data'!$A$4</f>
        <v>TEST YEAR ENDING DECEMBER 31, 2024</v>
      </c>
    </row>
    <row r="5" spans="1:1">
      <c r="A5" s="30" t="str">
        <f>CONCATENATE("SPONSOR: ",'[3]Schedule Sponsors'!$D$116)</f>
        <v>SPONSOR: R. PRACHYL</v>
      </c>
    </row>
    <row r="11" spans="1:1">
      <c r="A11" s="346" t="s">
        <v>562</v>
      </c>
    </row>
    <row r="12" spans="1:1">
      <c r="A12" s="346" t="s">
        <v>563</v>
      </c>
    </row>
  </sheetData>
  <printOptions horizontalCentered="1"/>
  <pageMargins left="0.5" right="0.5" top="3" bottom="0.5" header="1.25" footer="0.3"/>
  <pageSetup fitToHeight="0" orientation="landscape"/>
  <headerFooter>
    <oddHeader>&amp;R&amp;"Arial,Bold"Schedule &amp;A
Page &amp;P of &amp;N&amp;C&amp;B
2025 RATE CASE
ONCOR ELECTRIC DELIVERY COMPANY LLC
II-E-4.6  EXPENSES PREVIOUSLY DENIED BY THE COMMISSION
TEST YEAR ENDING DECEMBER 31, 2024
SPONSOR: R. PRACHYL</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7"/>
  <dimension ref="A1:Z77"/>
  <sheetViews>
    <sheetView zoomScaleNormal="100" workbookViewId="0">
      <pane xSplit="3" ySplit="13" topLeftCell="D14" activePane="bottomRight" state="frozen"/>
      <selection activeCell="I30" sqref="I30"/>
      <selection pane="topRight" activeCell="I30" sqref="I30"/>
      <selection pane="bottomLeft" activeCell="I30" sqref="I30"/>
      <selection pane="bottomRight" activeCell="I18" sqref="I18"/>
    </sheetView>
  </sheetViews>
  <sheetFormatPr defaultColWidth="9.140625" defaultRowHeight="12.75"/>
  <cols>
    <col min="1" max="1" width="5.7109375" style="27" customWidth="1"/>
    <col min="2" max="2" width="8.85546875" style="29" customWidth="1"/>
    <col min="3" max="3" width="46.7109375" style="29" customWidth="1"/>
    <col min="4" max="4" width="10.5703125" style="26" customWidth="1"/>
    <col min="5" max="6" width="15.42578125" style="29" customWidth="1"/>
    <col min="7" max="7" width="17.28515625" style="29" bestFit="1" customWidth="1"/>
    <col min="8" max="8" width="15.28515625" style="29" customWidth="1"/>
    <col min="9" max="9" width="14.85546875" style="29" bestFit="1" customWidth="1"/>
    <col min="10" max="10" width="13.85546875" style="29" bestFit="1" customWidth="1"/>
    <col min="11" max="11" width="10.28515625" style="29" bestFit="1" customWidth="1"/>
    <col min="12" max="12" width="14.85546875" style="26" bestFit="1" customWidth="1"/>
    <col min="13" max="13" width="3.28515625" style="29" bestFit="1" customWidth="1"/>
    <col min="14" max="14" width="16.85546875" style="26" bestFit="1" customWidth="1"/>
    <col min="15" max="15" width="15.140625" style="29" customWidth="1"/>
    <col min="16" max="16" width="14.42578125" style="29" bestFit="1" customWidth="1"/>
    <col min="17" max="18" width="15.140625" style="29" customWidth="1"/>
    <col min="19" max="21" width="16.28515625" style="29" customWidth="1"/>
    <col min="22" max="23" width="12.7109375" style="29" customWidth="1"/>
    <col min="24" max="24" width="15.85546875" style="29" bestFit="1" customWidth="1"/>
    <col min="25" max="25" width="9.140625" style="29"/>
    <col min="26" max="26" width="14" style="29" bestFit="1" customWidth="1"/>
    <col min="27" max="16384" width="9.140625" style="29"/>
  </cols>
  <sheetData>
    <row r="1" spans="1:24">
      <c r="A1" s="31" t="str">
        <f>+'[3]Input Data'!$A$9</f>
        <v>2025 RATE CASE</v>
      </c>
    </row>
    <row r="2" spans="1:24">
      <c r="A2" s="31" t="str">
        <f>+'[3]Input Data'!$A$2</f>
        <v>ONCOR ELECTRIC DELIVERY COMPANY LLC</v>
      </c>
      <c r="B2" s="27"/>
      <c r="C2" s="27"/>
      <c r="D2" s="41"/>
      <c r="E2" s="27"/>
      <c r="F2" s="27"/>
      <c r="G2" s="86"/>
      <c r="H2" s="27"/>
      <c r="I2" s="27"/>
      <c r="J2" s="27"/>
      <c r="K2" s="27"/>
      <c r="L2" s="41"/>
      <c r="M2" s="27"/>
      <c r="N2" s="41"/>
      <c r="O2" s="27"/>
      <c r="P2" s="27"/>
      <c r="Q2" s="27"/>
      <c r="R2" s="27"/>
      <c r="S2" s="27"/>
      <c r="T2" s="27"/>
      <c r="U2" s="27"/>
      <c r="V2" s="27"/>
      <c r="W2" s="27"/>
      <c r="X2" s="27"/>
    </row>
    <row r="3" spans="1:24">
      <c r="A3" s="164" t="str">
        <f>CONCATENATE('[3]Schedule Sponsors'!$A$117,'[3]Schedule Sponsors'!$B$117)</f>
        <v>II-E-5  OTHER REVENUE ITEMS (CREDIT)</v>
      </c>
      <c r="B3" s="27"/>
      <c r="D3" s="41"/>
      <c r="E3" s="27"/>
      <c r="F3" s="27"/>
      <c r="G3" s="36"/>
      <c r="H3" s="27"/>
      <c r="I3" s="27"/>
      <c r="J3" s="27"/>
      <c r="K3" s="27"/>
      <c r="L3" s="41"/>
      <c r="M3" s="27"/>
      <c r="N3" s="41"/>
      <c r="O3" s="51"/>
      <c r="P3" s="51"/>
      <c r="Q3" s="51"/>
      <c r="R3" s="51"/>
      <c r="S3" s="27"/>
      <c r="T3" s="27"/>
      <c r="U3" s="27"/>
      <c r="V3" s="27"/>
      <c r="W3" s="27"/>
      <c r="X3" s="27"/>
    </row>
    <row r="4" spans="1:24">
      <c r="A4" s="89" t="str">
        <f>+'[3]Input Data'!$A$4</f>
        <v>TEST YEAR ENDING DECEMBER 31, 2024</v>
      </c>
      <c r="B4" s="27"/>
      <c r="D4" s="41"/>
      <c r="E4" s="27"/>
      <c r="F4" s="27"/>
      <c r="G4" s="36"/>
      <c r="H4" s="27"/>
      <c r="I4" s="27"/>
      <c r="J4" s="27"/>
      <c r="K4" s="27"/>
      <c r="L4" s="41"/>
      <c r="M4" s="27"/>
      <c r="N4" s="41"/>
      <c r="O4" s="51"/>
      <c r="P4" s="51"/>
      <c r="Q4" s="51"/>
      <c r="R4" s="51"/>
      <c r="S4" s="27"/>
      <c r="T4" s="27"/>
      <c r="U4" s="27"/>
      <c r="V4" s="27"/>
      <c r="W4" s="27"/>
      <c r="X4" s="27"/>
    </row>
    <row r="5" spans="1:24">
      <c r="A5" s="30" t="str">
        <f>CONCATENATE("SPONSOR: ",'[3]Schedule Sponsors'!$D$117)</f>
        <v>SPONSOR: R. PRACHYL</v>
      </c>
      <c r="B5" s="27"/>
      <c r="D5" s="41"/>
      <c r="E5" s="27"/>
      <c r="F5" s="27"/>
      <c r="G5" s="27"/>
      <c r="H5" s="27"/>
      <c r="I5" s="27"/>
      <c r="J5" s="27"/>
      <c r="K5" s="27"/>
      <c r="L5" s="41"/>
      <c r="M5" s="27"/>
      <c r="N5" s="41"/>
      <c r="O5" s="27"/>
      <c r="P5" s="27"/>
      <c r="Q5" s="27"/>
      <c r="R5" s="27"/>
      <c r="S5" s="27"/>
      <c r="T5" s="27"/>
      <c r="U5" s="27"/>
      <c r="V5" s="27"/>
      <c r="W5" s="27"/>
      <c r="X5" s="27"/>
    </row>
    <row r="6" spans="1:24">
      <c r="B6" s="27"/>
      <c r="D6" s="41"/>
      <c r="E6" s="27"/>
      <c r="F6" s="27"/>
      <c r="G6" s="27"/>
      <c r="H6" s="27"/>
      <c r="I6" s="27"/>
      <c r="J6" s="27"/>
      <c r="K6" s="27"/>
      <c r="L6" s="41"/>
      <c r="M6" s="27"/>
      <c r="N6" s="41"/>
      <c r="O6" s="27"/>
      <c r="P6" s="27"/>
      <c r="Q6" s="27"/>
      <c r="R6" s="27"/>
      <c r="S6" s="27"/>
      <c r="T6" s="27"/>
      <c r="U6" s="27"/>
      <c r="V6" s="27"/>
      <c r="W6" s="27"/>
      <c r="X6" s="27"/>
    </row>
    <row r="7" spans="1:24">
      <c r="B7" s="27"/>
      <c r="D7" s="41"/>
      <c r="E7" s="27"/>
      <c r="F7" s="27"/>
      <c r="G7" s="27"/>
      <c r="H7" s="27"/>
      <c r="I7" s="27"/>
      <c r="J7" s="27"/>
      <c r="K7" s="27"/>
      <c r="L7" s="41"/>
      <c r="M7" s="27"/>
      <c r="N7" s="41"/>
      <c r="O7" s="27"/>
      <c r="P7" s="27"/>
      <c r="Q7" s="27"/>
      <c r="R7" s="27"/>
      <c r="S7" s="27"/>
      <c r="T7" s="27"/>
      <c r="U7" s="27"/>
      <c r="V7" s="27"/>
      <c r="W7" s="27"/>
      <c r="X7" s="27"/>
    </row>
    <row r="8" spans="1:24">
      <c r="B8" s="31"/>
      <c r="C8" s="27"/>
      <c r="D8" s="41"/>
      <c r="E8" s="27"/>
      <c r="F8" s="27"/>
      <c r="G8" s="27"/>
      <c r="H8" s="27"/>
      <c r="I8" s="27"/>
      <c r="J8" s="27"/>
      <c r="K8" s="27"/>
      <c r="L8" s="41"/>
      <c r="M8" s="27"/>
      <c r="N8" s="41"/>
      <c r="O8" s="27"/>
      <c r="P8" s="27"/>
      <c r="Q8" s="27"/>
      <c r="R8" s="27"/>
      <c r="S8" s="27"/>
      <c r="T8" s="27"/>
      <c r="U8" s="27"/>
      <c r="V8" s="27"/>
      <c r="W8" s="27"/>
      <c r="X8" s="27"/>
    </row>
    <row r="9" spans="1:24" ht="13.5" thickBot="1">
      <c r="B9" s="27" t="s">
        <v>67</v>
      </c>
      <c r="C9" s="27"/>
      <c r="D9" s="41"/>
      <c r="E9" s="47"/>
      <c r="F9" s="47"/>
      <c r="G9" s="47"/>
      <c r="H9" s="47"/>
      <c r="I9" s="47"/>
      <c r="J9" s="47"/>
      <c r="K9" s="47"/>
      <c r="L9" s="47"/>
      <c r="M9" s="47"/>
      <c r="N9" s="47"/>
      <c r="O9" s="47"/>
      <c r="P9" s="47"/>
      <c r="Q9" s="47"/>
      <c r="R9" s="47"/>
      <c r="S9" s="52"/>
      <c r="T9" s="52"/>
      <c r="U9" s="52"/>
      <c r="V9" s="52"/>
      <c r="W9" s="52"/>
      <c r="X9" s="52"/>
    </row>
    <row r="10" spans="1:24" s="31" customFormat="1">
      <c r="A10" s="32"/>
      <c r="B10" s="32"/>
      <c r="C10" s="32"/>
      <c r="D10" s="32"/>
      <c r="E10" s="32"/>
      <c r="F10" s="32"/>
      <c r="G10" s="32"/>
      <c r="H10" s="33" t="s">
        <v>61</v>
      </c>
      <c r="I10" s="33" t="s">
        <v>379</v>
      </c>
      <c r="J10" s="33" t="s">
        <v>62</v>
      </c>
      <c r="K10" s="33" t="s">
        <v>79</v>
      </c>
      <c r="L10" s="33" t="s">
        <v>269</v>
      </c>
      <c r="M10" s="32"/>
      <c r="N10" s="33" t="s">
        <v>338</v>
      </c>
      <c r="O10" s="212"/>
      <c r="P10" s="212"/>
      <c r="Q10" s="212"/>
      <c r="R10" s="212"/>
      <c r="S10" s="212"/>
      <c r="T10" s="212"/>
      <c r="U10" s="212"/>
      <c r="V10" s="212"/>
      <c r="W10" s="212"/>
      <c r="X10" s="212"/>
    </row>
    <row r="11" spans="1:24" s="31" customFormat="1">
      <c r="A11" s="34" t="s">
        <v>241</v>
      </c>
      <c r="B11" s="34" t="s">
        <v>69</v>
      </c>
      <c r="C11" s="34"/>
      <c r="D11" s="34" t="s">
        <v>66</v>
      </c>
      <c r="E11" s="50" t="s">
        <v>71</v>
      </c>
      <c r="F11" s="50"/>
      <c r="G11" s="34" t="s">
        <v>72</v>
      </c>
      <c r="H11" s="34" t="s">
        <v>63</v>
      </c>
      <c r="I11" s="34" t="s">
        <v>380</v>
      </c>
      <c r="J11" s="34" t="s">
        <v>61</v>
      </c>
      <c r="K11" s="34" t="s">
        <v>269</v>
      </c>
      <c r="L11" s="34" t="s">
        <v>43</v>
      </c>
      <c r="M11" s="34" t="s">
        <v>74</v>
      </c>
      <c r="N11" s="34" t="s">
        <v>75</v>
      </c>
      <c r="O11" s="165"/>
      <c r="P11" s="165" t="s">
        <v>571</v>
      </c>
      <c r="Q11" s="165" t="s">
        <v>572</v>
      </c>
      <c r="R11" s="165" t="s">
        <v>574</v>
      </c>
      <c r="S11" s="165"/>
      <c r="T11" s="165" t="s">
        <v>571</v>
      </c>
      <c r="U11" s="165" t="s">
        <v>574</v>
      </c>
      <c r="V11" s="165"/>
      <c r="W11" s="165"/>
      <c r="X11" s="165"/>
    </row>
    <row r="12" spans="1:24" s="31" customFormat="1">
      <c r="A12" s="34" t="s">
        <v>268</v>
      </c>
      <c r="B12" s="34" t="s">
        <v>203</v>
      </c>
      <c r="C12" s="34" t="s">
        <v>64</v>
      </c>
      <c r="D12" s="34" t="s">
        <v>68</v>
      </c>
      <c r="E12" s="50" t="s">
        <v>76</v>
      </c>
      <c r="F12" s="34" t="s">
        <v>179</v>
      </c>
      <c r="G12" s="34" t="s">
        <v>77</v>
      </c>
      <c r="H12" s="34" t="s">
        <v>78</v>
      </c>
      <c r="I12" s="34" t="s">
        <v>381</v>
      </c>
      <c r="J12" s="34" t="s">
        <v>63</v>
      </c>
      <c r="K12" s="34" t="s">
        <v>75</v>
      </c>
      <c r="L12" s="34" t="s">
        <v>79</v>
      </c>
      <c r="M12" s="34" t="s">
        <v>80</v>
      </c>
      <c r="N12" s="34" t="s">
        <v>81</v>
      </c>
      <c r="O12" s="165" t="s">
        <v>198</v>
      </c>
      <c r="P12" s="165" t="s">
        <v>198</v>
      </c>
      <c r="Q12" s="165" t="s">
        <v>575</v>
      </c>
      <c r="R12" s="165" t="s">
        <v>198</v>
      </c>
      <c r="S12" s="165" t="s">
        <v>199</v>
      </c>
      <c r="T12" s="165" t="s">
        <v>199</v>
      </c>
      <c r="U12" s="165" t="s">
        <v>199</v>
      </c>
      <c r="V12" s="165" t="s">
        <v>194</v>
      </c>
      <c r="W12" s="165" t="s">
        <v>279</v>
      </c>
      <c r="X12" s="165" t="s">
        <v>73</v>
      </c>
    </row>
    <row r="13" spans="1:24" s="31" customFormat="1" ht="13.5" thickBot="1">
      <c r="A13" s="35"/>
      <c r="B13" s="53" t="s">
        <v>226</v>
      </c>
      <c r="C13" s="53" t="s">
        <v>227</v>
      </c>
      <c r="D13" s="53" t="s">
        <v>228</v>
      </c>
      <c r="E13" s="53" t="s">
        <v>229</v>
      </c>
      <c r="F13" s="53" t="s">
        <v>230</v>
      </c>
      <c r="G13" s="53" t="s">
        <v>231</v>
      </c>
      <c r="H13" s="53" t="s">
        <v>232</v>
      </c>
      <c r="I13" s="53" t="s">
        <v>233</v>
      </c>
      <c r="J13" s="53" t="s">
        <v>234</v>
      </c>
      <c r="K13" s="53" t="s">
        <v>235</v>
      </c>
      <c r="L13" s="53" t="s">
        <v>236</v>
      </c>
      <c r="M13" s="53" t="s">
        <v>237</v>
      </c>
      <c r="N13" s="53" t="s">
        <v>238</v>
      </c>
      <c r="O13" s="215" t="s">
        <v>239</v>
      </c>
      <c r="P13" s="215" t="s">
        <v>240</v>
      </c>
      <c r="Q13" s="215" t="s">
        <v>140</v>
      </c>
      <c r="R13" s="215" t="s">
        <v>270</v>
      </c>
      <c r="S13" s="215" t="s">
        <v>280</v>
      </c>
      <c r="T13" s="215" t="s">
        <v>281</v>
      </c>
      <c r="U13" s="215" t="s">
        <v>473</v>
      </c>
      <c r="V13" s="215" t="s">
        <v>474</v>
      </c>
      <c r="W13" s="215" t="s">
        <v>475</v>
      </c>
      <c r="X13" s="215" t="s">
        <v>476</v>
      </c>
    </row>
    <row r="14" spans="1:24" s="27" customFormat="1">
      <c r="B14" s="38"/>
      <c r="C14" s="38"/>
      <c r="D14" s="39"/>
      <c r="E14" s="31"/>
      <c r="F14" s="31"/>
      <c r="G14" s="87"/>
      <c r="H14" s="87"/>
      <c r="I14" s="87"/>
      <c r="J14" s="87"/>
      <c r="K14" s="87"/>
      <c r="L14" s="39"/>
      <c r="M14" s="87"/>
      <c r="N14" s="39"/>
      <c r="O14" s="87"/>
      <c r="P14" s="87"/>
      <c r="Q14" s="87"/>
      <c r="R14" s="87"/>
      <c r="S14" s="87"/>
      <c r="T14" s="87"/>
      <c r="U14" s="87"/>
      <c r="V14" s="87"/>
      <c r="W14" s="87"/>
      <c r="X14" s="87"/>
    </row>
    <row r="15" spans="1:24" s="31" customFormat="1">
      <c r="A15" s="41">
        <v>1</v>
      </c>
      <c r="B15" s="31" t="s">
        <v>216</v>
      </c>
      <c r="D15" s="42" t="s">
        <v>225</v>
      </c>
      <c r="E15" s="43"/>
      <c r="F15" s="43"/>
      <c r="G15" s="43"/>
      <c r="H15" s="43"/>
      <c r="I15" s="43"/>
      <c r="J15" s="43"/>
      <c r="K15" s="43"/>
      <c r="L15" s="42"/>
      <c r="M15" s="43"/>
      <c r="N15" s="42"/>
      <c r="O15" s="43"/>
      <c r="P15" s="43"/>
      <c r="Q15" s="43"/>
      <c r="R15" s="43"/>
      <c r="S15" s="43"/>
      <c r="T15" s="43"/>
      <c r="U15" s="43"/>
      <c r="V15" s="43"/>
      <c r="W15" s="43"/>
      <c r="X15" s="43"/>
    </row>
    <row r="16" spans="1:24" s="31" customFormat="1">
      <c r="A16" s="41">
        <v>2</v>
      </c>
      <c r="B16" s="31" t="s">
        <v>189</v>
      </c>
      <c r="D16" s="42"/>
      <c r="G16" s="43"/>
      <c r="H16" s="37"/>
      <c r="I16" s="43"/>
      <c r="J16" s="43"/>
      <c r="K16" s="43"/>
      <c r="L16" s="42"/>
      <c r="M16" s="43"/>
      <c r="N16" s="42"/>
      <c r="O16" s="43"/>
      <c r="P16" s="43"/>
      <c r="Q16" s="43"/>
      <c r="R16" s="43"/>
      <c r="S16" s="43"/>
      <c r="T16" s="43"/>
      <c r="U16" s="43"/>
      <c r="V16" s="43"/>
      <c r="W16" s="43"/>
      <c r="X16" s="43"/>
    </row>
    <row r="17" spans="1:26" s="31" customFormat="1">
      <c r="A17" s="41">
        <v>3</v>
      </c>
      <c r="B17" s="27" t="s">
        <v>1231</v>
      </c>
      <c r="C17" s="142" t="s">
        <v>540</v>
      </c>
      <c r="D17" s="42"/>
      <c r="E17" s="160">
        <v>0</v>
      </c>
      <c r="F17" s="160">
        <v>0</v>
      </c>
      <c r="G17" s="160">
        <v>0</v>
      </c>
      <c r="H17" s="160">
        <f>SUM(E17:G17)</f>
        <v>0</v>
      </c>
      <c r="I17" s="160">
        <v>34378539</v>
      </c>
      <c r="J17" s="160">
        <f>+H17+I17</f>
        <v>34378539</v>
      </c>
      <c r="K17" s="136">
        <v>1</v>
      </c>
      <c r="L17" s="160">
        <f>+J17*K17</f>
        <v>34378539</v>
      </c>
      <c r="M17" s="37"/>
      <c r="N17" s="41" t="s">
        <v>358</v>
      </c>
      <c r="O17" s="160">
        <v>0</v>
      </c>
      <c r="P17" s="160">
        <v>0</v>
      </c>
      <c r="Q17" s="160">
        <v>0</v>
      </c>
      <c r="R17" s="160">
        <f>SUM(O17:Q17)</f>
        <v>0</v>
      </c>
      <c r="S17" s="160">
        <f>+L17</f>
        <v>34378539</v>
      </c>
      <c r="T17" s="160">
        <v>0</v>
      </c>
      <c r="U17" s="160">
        <f>SUM(S17:T17)</f>
        <v>34378539</v>
      </c>
      <c r="V17" s="160">
        <v>0</v>
      </c>
      <c r="W17" s="160">
        <v>0</v>
      </c>
      <c r="X17" s="160">
        <f>+R17+U17+V17+W17</f>
        <v>34378539</v>
      </c>
      <c r="Y17" s="27" t="b">
        <f t="shared" ref="Y17" si="0">+L17=X17</f>
        <v>1</v>
      </c>
      <c r="Z17" s="112">
        <f t="shared" ref="Z17" si="1">+L17-X17</f>
        <v>0</v>
      </c>
    </row>
    <row r="18" spans="1:26" s="31" customFormat="1">
      <c r="A18" s="41">
        <v>4</v>
      </c>
      <c r="B18" s="142" t="s">
        <v>191</v>
      </c>
      <c r="C18" s="142" t="s">
        <v>272</v>
      </c>
      <c r="D18" s="42"/>
      <c r="E18" s="37">
        <v>758930.8</v>
      </c>
      <c r="F18" s="37">
        <v>0</v>
      </c>
      <c r="G18" s="37">
        <v>0</v>
      </c>
      <c r="H18" s="37">
        <f>SUM(E18:G18)</f>
        <v>758930.8</v>
      </c>
      <c r="I18" s="37">
        <v>0</v>
      </c>
      <c r="J18" s="37">
        <f>+H18+I18</f>
        <v>758930.8</v>
      </c>
      <c r="K18" s="136">
        <v>1</v>
      </c>
      <c r="L18" s="37">
        <f>+J18*K18</f>
        <v>758930.8</v>
      </c>
      <c r="M18" s="37"/>
      <c r="N18" s="41" t="s">
        <v>358</v>
      </c>
      <c r="O18" s="37">
        <v>0</v>
      </c>
      <c r="P18" s="37">
        <v>0</v>
      </c>
      <c r="Q18" s="37">
        <v>0</v>
      </c>
      <c r="R18" s="37">
        <f>SUM(O18:Q18)</f>
        <v>0</v>
      </c>
      <c r="S18" s="37">
        <v>758930.8</v>
      </c>
      <c r="T18" s="37">
        <v>0</v>
      </c>
      <c r="U18" s="37">
        <f>SUM(S18:T18)</f>
        <v>758930.8</v>
      </c>
      <c r="V18" s="37">
        <v>0</v>
      </c>
      <c r="W18" s="37">
        <v>0</v>
      </c>
      <c r="X18" s="37">
        <f>+R18+U18+V18+W18</f>
        <v>758930.8</v>
      </c>
      <c r="Y18" s="27" t="b">
        <f t="shared" ref="Y18:Y31" si="2">+L18=X18</f>
        <v>1</v>
      </c>
      <c r="Z18" s="112">
        <f t="shared" ref="Z18:Z31" si="3">+L18-X18</f>
        <v>0</v>
      </c>
    </row>
    <row r="19" spans="1:26" s="27" customFormat="1">
      <c r="A19" s="41">
        <v>5</v>
      </c>
      <c r="B19" s="27" t="s">
        <v>191</v>
      </c>
      <c r="C19" s="27" t="s">
        <v>1074</v>
      </c>
      <c r="D19" s="41"/>
      <c r="E19" s="37">
        <v>1220691.1200000001</v>
      </c>
      <c r="F19" s="37">
        <v>0</v>
      </c>
      <c r="G19" s="37">
        <v>0</v>
      </c>
      <c r="H19" s="37">
        <f t="shared" ref="H19:H31" si="4">SUM(E19:G19)</f>
        <v>1220691.1200000001</v>
      </c>
      <c r="I19" s="37">
        <f>-H19</f>
        <v>-1220691.1200000001</v>
      </c>
      <c r="J19" s="37">
        <f t="shared" ref="J19:J21" si="5">+H19+I19</f>
        <v>0</v>
      </c>
      <c r="K19" s="136">
        <v>1</v>
      </c>
      <c r="L19" s="37">
        <f>+J19*K19</f>
        <v>0</v>
      </c>
      <c r="M19" s="37"/>
      <c r="N19" s="41" t="s">
        <v>358</v>
      </c>
      <c r="O19" s="37">
        <v>0</v>
      </c>
      <c r="P19" s="37">
        <v>0</v>
      </c>
      <c r="Q19" s="37">
        <v>0</v>
      </c>
      <c r="R19" s="37">
        <f t="shared" ref="R19:R31" si="6">SUM(O19:Q19)</f>
        <v>0</v>
      </c>
      <c r="S19" s="37">
        <v>0</v>
      </c>
      <c r="T19" s="37">
        <v>0</v>
      </c>
      <c r="U19" s="37">
        <f t="shared" ref="U19:U21" si="7">SUM(S19:T19)</f>
        <v>0</v>
      </c>
      <c r="V19" s="37">
        <v>0</v>
      </c>
      <c r="W19" s="37">
        <v>0</v>
      </c>
      <c r="X19" s="37">
        <f t="shared" ref="X19:X31" si="8">+R19+U19+V19+W19</f>
        <v>0</v>
      </c>
      <c r="Y19" s="27" t="b">
        <f t="shared" si="2"/>
        <v>1</v>
      </c>
      <c r="Z19" s="112">
        <f t="shared" si="3"/>
        <v>0</v>
      </c>
    </row>
    <row r="20" spans="1:26" s="27" customFormat="1">
      <c r="A20" s="41">
        <v>6</v>
      </c>
      <c r="B20" s="27" t="s">
        <v>192</v>
      </c>
      <c r="C20" s="27" t="s">
        <v>344</v>
      </c>
      <c r="D20" s="41"/>
      <c r="E20" s="37">
        <v>26594344.41</v>
      </c>
      <c r="F20" s="37">
        <v>0</v>
      </c>
      <c r="G20" s="37">
        <v>0</v>
      </c>
      <c r="H20" s="37">
        <f t="shared" si="4"/>
        <v>26594344.41</v>
      </c>
      <c r="I20" s="37">
        <f>+J20-H20</f>
        <v>1213350.5899999999</v>
      </c>
      <c r="J20" s="37">
        <v>27807695</v>
      </c>
      <c r="K20" s="136">
        <v>1</v>
      </c>
      <c r="L20" s="37">
        <f t="shared" ref="L20:L31" si="9">+J20*K20</f>
        <v>27807695</v>
      </c>
      <c r="M20" s="37"/>
      <c r="N20" s="41" t="s">
        <v>358</v>
      </c>
      <c r="O20" s="37">
        <v>0</v>
      </c>
      <c r="P20" s="37">
        <v>0</v>
      </c>
      <c r="Q20" s="37">
        <v>0</v>
      </c>
      <c r="R20" s="37">
        <f t="shared" si="6"/>
        <v>0</v>
      </c>
      <c r="S20" s="37">
        <f>+L20-O20-P20-Q20-T20-V20-W20</f>
        <v>13606322</v>
      </c>
      <c r="T20" s="37">
        <v>0</v>
      </c>
      <c r="U20" s="37">
        <f t="shared" si="7"/>
        <v>13606322</v>
      </c>
      <c r="V20" s="37">
        <v>14115591</v>
      </c>
      <c r="W20" s="37">
        <v>85782</v>
      </c>
      <c r="X20" s="37">
        <f t="shared" si="8"/>
        <v>27807695</v>
      </c>
      <c r="Y20" s="27" t="b">
        <f t="shared" si="2"/>
        <v>1</v>
      </c>
      <c r="Z20" s="112">
        <f t="shared" si="3"/>
        <v>0</v>
      </c>
    </row>
    <row r="21" spans="1:26" s="27" customFormat="1">
      <c r="A21" s="41">
        <v>7</v>
      </c>
      <c r="B21" s="27" t="s">
        <v>192</v>
      </c>
      <c r="C21" s="27" t="s">
        <v>273</v>
      </c>
      <c r="D21" s="41"/>
      <c r="E21" s="37">
        <v>107361.28</v>
      </c>
      <c r="F21" s="37">
        <v>0</v>
      </c>
      <c r="G21" s="37">
        <v>0</v>
      </c>
      <c r="H21" s="37">
        <f t="shared" si="4"/>
        <v>107361.28</v>
      </c>
      <c r="I21" s="37">
        <v>0</v>
      </c>
      <c r="J21" s="37">
        <f t="shared" si="5"/>
        <v>107361.28</v>
      </c>
      <c r="K21" s="136">
        <v>1</v>
      </c>
      <c r="L21" s="37">
        <f t="shared" si="9"/>
        <v>107361.28</v>
      </c>
      <c r="M21" s="37"/>
      <c r="N21" s="41" t="s">
        <v>358</v>
      </c>
      <c r="O21" s="37">
        <v>0</v>
      </c>
      <c r="P21" s="37">
        <v>0</v>
      </c>
      <c r="Q21" s="37">
        <v>0</v>
      </c>
      <c r="R21" s="37">
        <f t="shared" si="6"/>
        <v>0</v>
      </c>
      <c r="S21" s="37">
        <v>107361.28</v>
      </c>
      <c r="T21" s="37">
        <v>0</v>
      </c>
      <c r="U21" s="37">
        <f t="shared" si="7"/>
        <v>107361.28</v>
      </c>
      <c r="V21" s="37">
        <v>0</v>
      </c>
      <c r="W21" s="37">
        <v>0</v>
      </c>
      <c r="X21" s="37">
        <f t="shared" si="8"/>
        <v>107361.28</v>
      </c>
      <c r="Y21" s="27" t="b">
        <f t="shared" si="2"/>
        <v>1</v>
      </c>
      <c r="Z21" s="112">
        <f t="shared" si="3"/>
        <v>0</v>
      </c>
    </row>
    <row r="22" spans="1:26" s="27" customFormat="1">
      <c r="A22" s="41">
        <v>8</v>
      </c>
      <c r="B22" s="27" t="s">
        <v>190</v>
      </c>
      <c r="C22" s="27" t="s">
        <v>325</v>
      </c>
      <c r="D22" s="41"/>
      <c r="E22" s="37"/>
      <c r="F22" s="37"/>
      <c r="G22" s="37"/>
      <c r="H22" s="37"/>
      <c r="I22" s="37"/>
      <c r="J22" s="37"/>
      <c r="K22" s="136"/>
      <c r="L22" s="37"/>
      <c r="M22" s="37"/>
      <c r="N22" s="41"/>
      <c r="O22" s="37"/>
      <c r="P22" s="37"/>
      <c r="Q22" s="37"/>
      <c r="R22" s="37"/>
      <c r="S22" s="37"/>
      <c r="T22" s="37"/>
      <c r="U22" s="37"/>
      <c r="V22" s="37"/>
      <c r="W22" s="37"/>
      <c r="X22" s="37"/>
      <c r="Z22" s="112"/>
    </row>
    <row r="23" spans="1:26" s="27" customFormat="1">
      <c r="A23" s="41">
        <v>9</v>
      </c>
      <c r="C23" s="383" t="s">
        <v>326</v>
      </c>
      <c r="D23" s="41"/>
      <c r="E23" s="37">
        <v>10615770.26</v>
      </c>
      <c r="F23" s="37">
        <v>0</v>
      </c>
      <c r="G23" s="37">
        <v>0</v>
      </c>
      <c r="H23" s="37">
        <f t="shared" si="4"/>
        <v>10615770.26</v>
      </c>
      <c r="I23" s="37">
        <v>0</v>
      </c>
      <c r="J23" s="37">
        <f t="shared" ref="J23:J26" si="10">+H23+I23</f>
        <v>10615770.26</v>
      </c>
      <c r="K23" s="136">
        <v>1</v>
      </c>
      <c r="L23" s="37">
        <f t="shared" ref="L23:L26" si="11">+J23*K23</f>
        <v>10615770.26</v>
      </c>
      <c r="M23" s="37"/>
      <c r="N23" s="41" t="s">
        <v>358</v>
      </c>
      <c r="O23" s="37">
        <v>0</v>
      </c>
      <c r="P23" s="37">
        <v>0</v>
      </c>
      <c r="Q23" s="37">
        <v>0</v>
      </c>
      <c r="R23" s="37">
        <f t="shared" si="6"/>
        <v>0</v>
      </c>
      <c r="S23" s="37">
        <v>10615770.26</v>
      </c>
      <c r="T23" s="37">
        <v>0</v>
      </c>
      <c r="U23" s="37">
        <f t="shared" ref="U23:U31" si="12">SUM(S23:T23)</f>
        <v>10615770.26</v>
      </c>
      <c r="V23" s="37">
        <v>0</v>
      </c>
      <c r="W23" s="37">
        <v>0</v>
      </c>
      <c r="X23" s="37">
        <f t="shared" si="8"/>
        <v>10615770.26</v>
      </c>
      <c r="Y23" s="27" t="b">
        <f t="shared" si="2"/>
        <v>1</v>
      </c>
      <c r="Z23" s="112">
        <f t="shared" si="3"/>
        <v>0</v>
      </c>
    </row>
    <row r="24" spans="1:26" s="27" customFormat="1">
      <c r="A24" s="41">
        <v>10</v>
      </c>
      <c r="C24" s="383" t="s">
        <v>327</v>
      </c>
      <c r="D24" s="41"/>
      <c r="E24" s="37">
        <v>2244275.1799999997</v>
      </c>
      <c r="F24" s="37">
        <v>0</v>
      </c>
      <c r="G24" s="37">
        <v>0</v>
      </c>
      <c r="H24" s="37">
        <f t="shared" si="4"/>
        <v>2244275.1799999997</v>
      </c>
      <c r="I24" s="37">
        <v>0</v>
      </c>
      <c r="J24" s="37">
        <f t="shared" si="10"/>
        <v>2244275.1799999997</v>
      </c>
      <c r="K24" s="136">
        <v>1</v>
      </c>
      <c r="L24" s="37">
        <f t="shared" si="11"/>
        <v>2244275.1799999997</v>
      </c>
      <c r="M24" s="37"/>
      <c r="N24" s="41"/>
      <c r="O24" s="37">
        <v>961339</v>
      </c>
      <c r="P24" s="37">
        <v>0</v>
      </c>
      <c r="Q24" s="37">
        <v>0</v>
      </c>
      <c r="R24" s="37">
        <f t="shared" ref="R24:R26" si="13">SUM(O24:Q24)</f>
        <v>961339</v>
      </c>
      <c r="S24" s="37">
        <v>1282936.18</v>
      </c>
      <c r="T24" s="37">
        <v>0</v>
      </c>
      <c r="U24" s="37">
        <f t="shared" si="12"/>
        <v>1282936.18</v>
      </c>
      <c r="V24" s="37">
        <v>0</v>
      </c>
      <c r="W24" s="37">
        <v>0</v>
      </c>
      <c r="X24" s="37">
        <f t="shared" ref="X24:X26" si="14">+R24+U24+V24+W24</f>
        <v>2244275.1799999997</v>
      </c>
      <c r="Y24" s="27" t="b">
        <f t="shared" ref="Y24:Y26" si="15">+L24=X24</f>
        <v>1</v>
      </c>
      <c r="Z24" s="112">
        <f t="shared" ref="Z24:Z26" si="16">+L24-X24</f>
        <v>0</v>
      </c>
    </row>
    <row r="25" spans="1:26" s="27" customFormat="1">
      <c r="A25" s="41">
        <v>11</v>
      </c>
      <c r="C25" s="383" t="s">
        <v>328</v>
      </c>
      <c r="D25" s="41"/>
      <c r="E25" s="37">
        <v>11507204.149999999</v>
      </c>
      <c r="F25" s="37">
        <v>0</v>
      </c>
      <c r="G25" s="37">
        <v>0</v>
      </c>
      <c r="H25" s="37">
        <f t="shared" si="4"/>
        <v>11507204.149999999</v>
      </c>
      <c r="I25" s="37">
        <v>0</v>
      </c>
      <c r="J25" s="37">
        <f t="shared" si="10"/>
        <v>11507204.149999999</v>
      </c>
      <c r="K25" s="136">
        <v>1</v>
      </c>
      <c r="L25" s="37">
        <f t="shared" si="11"/>
        <v>11507204.149999999</v>
      </c>
      <c r="M25" s="37"/>
      <c r="N25" s="41"/>
      <c r="O25" s="37">
        <v>11507204.149999999</v>
      </c>
      <c r="P25" s="37">
        <v>0</v>
      </c>
      <c r="Q25" s="37">
        <v>0</v>
      </c>
      <c r="R25" s="37">
        <f t="shared" si="13"/>
        <v>11507204.149999999</v>
      </c>
      <c r="S25" s="37">
        <v>0</v>
      </c>
      <c r="T25" s="37">
        <v>0</v>
      </c>
      <c r="U25" s="37">
        <f t="shared" si="12"/>
        <v>0</v>
      </c>
      <c r="V25" s="37">
        <v>0</v>
      </c>
      <c r="W25" s="37">
        <v>0</v>
      </c>
      <c r="X25" s="37">
        <f t="shared" si="14"/>
        <v>11507204.149999999</v>
      </c>
      <c r="Y25" s="27" t="b">
        <f t="shared" si="15"/>
        <v>1</v>
      </c>
      <c r="Z25" s="112">
        <f t="shared" si="16"/>
        <v>0</v>
      </c>
    </row>
    <row r="26" spans="1:26" s="27" customFormat="1">
      <c r="A26" s="41">
        <v>12</v>
      </c>
      <c r="C26" s="383" t="s">
        <v>1075</v>
      </c>
      <c r="D26" s="41"/>
      <c r="E26" s="37">
        <v>1219190.1000000001</v>
      </c>
      <c r="F26" s="37">
        <v>0</v>
      </c>
      <c r="G26" s="37">
        <v>0</v>
      </c>
      <c r="H26" s="37">
        <f t="shared" si="4"/>
        <v>1219190.1000000001</v>
      </c>
      <c r="I26" s="37">
        <v>0</v>
      </c>
      <c r="J26" s="37">
        <f t="shared" si="10"/>
        <v>1219190.1000000001</v>
      </c>
      <c r="K26" s="136">
        <v>1</v>
      </c>
      <c r="L26" s="37">
        <f t="shared" si="11"/>
        <v>1219190.1000000001</v>
      </c>
      <c r="M26" s="37"/>
      <c r="N26" s="41"/>
      <c r="O26" s="37">
        <v>1182437.47</v>
      </c>
      <c r="P26" s="37">
        <v>0</v>
      </c>
      <c r="Q26" s="37">
        <v>0</v>
      </c>
      <c r="R26" s="37">
        <f t="shared" si="13"/>
        <v>1182437.47</v>
      </c>
      <c r="S26" s="37">
        <v>36752.630000000005</v>
      </c>
      <c r="T26" s="37">
        <v>0</v>
      </c>
      <c r="U26" s="37">
        <f t="shared" si="12"/>
        <v>36752.630000000005</v>
      </c>
      <c r="V26" s="37">
        <v>0</v>
      </c>
      <c r="W26" s="37">
        <v>0</v>
      </c>
      <c r="X26" s="37">
        <f t="shared" si="14"/>
        <v>1219190.1000000001</v>
      </c>
      <c r="Y26" s="27" t="b">
        <f t="shared" si="15"/>
        <v>1</v>
      </c>
      <c r="Z26" s="112">
        <f t="shared" si="16"/>
        <v>0</v>
      </c>
    </row>
    <row r="27" spans="1:26" s="27" customFormat="1">
      <c r="A27" s="41">
        <v>13</v>
      </c>
      <c r="C27" s="384" t="s">
        <v>1076</v>
      </c>
      <c r="D27" s="41"/>
      <c r="E27" s="37">
        <v>0</v>
      </c>
      <c r="F27" s="37">
        <v>122416.24000000002</v>
      </c>
      <c r="G27" s="37">
        <v>0</v>
      </c>
      <c r="H27" s="37">
        <f t="shared" si="4"/>
        <v>122416.24000000002</v>
      </c>
      <c r="I27" s="37">
        <v>246892.34</v>
      </c>
      <c r="J27" s="37">
        <f t="shared" ref="J27:J31" si="17">+H27+I27</f>
        <v>369308.58</v>
      </c>
      <c r="K27" s="136">
        <v>1</v>
      </c>
      <c r="L27" s="37">
        <f t="shared" si="9"/>
        <v>369308.58</v>
      </c>
      <c r="M27" s="37"/>
      <c r="N27" s="41" t="s">
        <v>358</v>
      </c>
      <c r="O27" s="37">
        <f>+L27</f>
        <v>369308.58</v>
      </c>
      <c r="P27" s="37">
        <v>0</v>
      </c>
      <c r="Q27" s="37">
        <v>0</v>
      </c>
      <c r="R27" s="37">
        <f t="shared" si="6"/>
        <v>369308.58</v>
      </c>
      <c r="S27" s="37">
        <v>0</v>
      </c>
      <c r="T27" s="37">
        <v>0</v>
      </c>
      <c r="U27" s="37">
        <f t="shared" si="12"/>
        <v>0</v>
      </c>
      <c r="V27" s="37">
        <v>0</v>
      </c>
      <c r="W27" s="37">
        <v>0</v>
      </c>
      <c r="X27" s="37">
        <f t="shared" si="8"/>
        <v>369308.58</v>
      </c>
      <c r="Y27" s="27" t="b">
        <f t="shared" si="2"/>
        <v>1</v>
      </c>
      <c r="Z27" s="112">
        <f t="shared" si="3"/>
        <v>0</v>
      </c>
    </row>
    <row r="28" spans="1:26" s="27" customFormat="1">
      <c r="A28" s="41">
        <v>14</v>
      </c>
      <c r="C28" s="384" t="s">
        <v>1077</v>
      </c>
      <c r="D28" s="41"/>
      <c r="E28" s="37">
        <v>260.98000000000013</v>
      </c>
      <c r="F28" s="37">
        <v>0</v>
      </c>
      <c r="G28" s="37">
        <v>0</v>
      </c>
      <c r="H28" s="37">
        <f t="shared" si="4"/>
        <v>260.98000000000013</v>
      </c>
      <c r="I28" s="37">
        <v>0</v>
      </c>
      <c r="J28" s="37">
        <f t="shared" si="17"/>
        <v>260.98000000000013</v>
      </c>
      <c r="K28" s="136">
        <v>1</v>
      </c>
      <c r="L28" s="37">
        <f t="shared" si="9"/>
        <v>260.98000000000013</v>
      </c>
      <c r="M28" s="37"/>
      <c r="N28" s="41" t="s">
        <v>358</v>
      </c>
      <c r="O28" s="37">
        <v>260.98000000000013</v>
      </c>
      <c r="P28" s="37">
        <v>0</v>
      </c>
      <c r="Q28" s="37">
        <v>0</v>
      </c>
      <c r="R28" s="37">
        <f t="shared" si="6"/>
        <v>260.98000000000013</v>
      </c>
      <c r="S28" s="37">
        <v>0</v>
      </c>
      <c r="T28" s="37">
        <v>0</v>
      </c>
      <c r="U28" s="37">
        <f t="shared" si="12"/>
        <v>0</v>
      </c>
      <c r="V28" s="37">
        <v>0</v>
      </c>
      <c r="W28" s="37">
        <v>0</v>
      </c>
      <c r="X28" s="37">
        <f t="shared" si="8"/>
        <v>260.98000000000013</v>
      </c>
      <c r="Y28" s="27" t="b">
        <f t="shared" si="2"/>
        <v>1</v>
      </c>
      <c r="Z28" s="112">
        <f t="shared" si="3"/>
        <v>0</v>
      </c>
    </row>
    <row r="29" spans="1:26" s="27" customFormat="1">
      <c r="A29" s="41">
        <v>15</v>
      </c>
      <c r="B29" s="27" t="s">
        <v>193</v>
      </c>
      <c r="C29" s="384" t="s">
        <v>274</v>
      </c>
      <c r="D29" s="41"/>
      <c r="E29" s="37">
        <v>29730870.580000006</v>
      </c>
      <c r="F29" s="37">
        <v>6707884.2400000002</v>
      </c>
      <c r="G29" s="37">
        <v>0</v>
      </c>
      <c r="H29" s="37">
        <f t="shared" si="4"/>
        <v>36438754.820000008</v>
      </c>
      <c r="I29" s="37">
        <f>258233.97-1913850.65</f>
        <v>-1655616.68</v>
      </c>
      <c r="J29" s="37">
        <f t="shared" si="17"/>
        <v>34783138.140000008</v>
      </c>
      <c r="K29" s="136">
        <v>1</v>
      </c>
      <c r="L29" s="37">
        <f t="shared" si="9"/>
        <v>34783138.140000008</v>
      </c>
      <c r="M29" s="37"/>
      <c r="N29" s="41" t="s">
        <v>358</v>
      </c>
      <c r="O29" s="37">
        <f>28641441.53+115352.61</f>
        <v>28756794.140000001</v>
      </c>
      <c r="P29" s="37">
        <v>0</v>
      </c>
      <c r="Q29" s="37">
        <v>0</v>
      </c>
      <c r="R29" s="37">
        <f t="shared" si="6"/>
        <v>28756794.140000001</v>
      </c>
      <c r="S29" s="37">
        <f>+L29-R29</f>
        <v>6026344.0000000075</v>
      </c>
      <c r="T29" s="37">
        <v>0</v>
      </c>
      <c r="U29" s="37">
        <f t="shared" si="12"/>
        <v>6026344.0000000075</v>
      </c>
      <c r="V29" s="37">
        <v>0</v>
      </c>
      <c r="W29" s="37">
        <v>0</v>
      </c>
      <c r="X29" s="37">
        <f t="shared" si="8"/>
        <v>34783138.140000008</v>
      </c>
      <c r="Y29" s="27" t="b">
        <f t="shared" si="2"/>
        <v>1</v>
      </c>
      <c r="Z29" s="112">
        <f t="shared" si="3"/>
        <v>0</v>
      </c>
    </row>
    <row r="30" spans="1:26" s="27" customFormat="1">
      <c r="A30" s="41">
        <v>16</v>
      </c>
      <c r="C30" s="384" t="s">
        <v>1078</v>
      </c>
      <c r="D30" s="41"/>
      <c r="E30" s="37">
        <v>1987707.08</v>
      </c>
      <c r="F30" s="37">
        <v>0</v>
      </c>
      <c r="G30" s="37">
        <v>0</v>
      </c>
      <c r="H30" s="37">
        <f t="shared" si="4"/>
        <v>1987707.08</v>
      </c>
      <c r="I30" s="37">
        <v>0</v>
      </c>
      <c r="J30" s="37">
        <f t="shared" si="17"/>
        <v>1987707.08</v>
      </c>
      <c r="K30" s="136">
        <v>1</v>
      </c>
      <c r="L30" s="37">
        <f t="shared" si="9"/>
        <v>1987707.08</v>
      </c>
      <c r="M30" s="37"/>
      <c r="N30" s="41" t="s">
        <v>358</v>
      </c>
      <c r="O30" s="37">
        <v>0</v>
      </c>
      <c r="P30" s="37">
        <v>232561.74</v>
      </c>
      <c r="Q30" s="37">
        <v>1755145.34</v>
      </c>
      <c r="R30" s="37">
        <f t="shared" si="6"/>
        <v>1987707.08</v>
      </c>
      <c r="S30" s="37">
        <v>0</v>
      </c>
      <c r="T30" s="37">
        <v>0</v>
      </c>
      <c r="U30" s="37">
        <f t="shared" si="12"/>
        <v>0</v>
      </c>
      <c r="V30" s="37">
        <v>0</v>
      </c>
      <c r="W30" s="37">
        <v>0</v>
      </c>
      <c r="X30" s="37">
        <f t="shared" si="8"/>
        <v>1987707.08</v>
      </c>
      <c r="Y30" s="27" t="b">
        <f t="shared" si="2"/>
        <v>1</v>
      </c>
      <c r="Z30" s="112">
        <f t="shared" si="3"/>
        <v>0</v>
      </c>
    </row>
    <row r="31" spans="1:26" s="27" customFormat="1">
      <c r="A31" s="41">
        <v>17</v>
      </c>
      <c r="C31" s="142" t="s">
        <v>1282</v>
      </c>
      <c r="D31" s="41"/>
      <c r="E31" s="37">
        <v>1366665.33</v>
      </c>
      <c r="F31" s="37">
        <v>0</v>
      </c>
      <c r="G31" s="37">
        <v>0</v>
      </c>
      <c r="H31" s="37">
        <f t="shared" si="4"/>
        <v>1366665.33</v>
      </c>
      <c r="I31" s="37">
        <v>0</v>
      </c>
      <c r="J31" s="37">
        <f t="shared" si="17"/>
        <v>1366665.33</v>
      </c>
      <c r="K31" s="136">
        <v>1</v>
      </c>
      <c r="L31" s="37">
        <f t="shared" si="9"/>
        <v>1366665.33</v>
      </c>
      <c r="M31" s="37"/>
      <c r="N31" s="41" t="s">
        <v>358</v>
      </c>
      <c r="O31" s="37">
        <f>+L31-P31</f>
        <v>1225898.8</v>
      </c>
      <c r="P31" s="37">
        <v>140766.53</v>
      </c>
      <c r="Q31" s="37">
        <v>0</v>
      </c>
      <c r="R31" s="37">
        <f t="shared" si="6"/>
        <v>1366665.33</v>
      </c>
      <c r="S31" s="37">
        <v>0</v>
      </c>
      <c r="T31" s="37">
        <v>0</v>
      </c>
      <c r="U31" s="37">
        <f t="shared" si="12"/>
        <v>0</v>
      </c>
      <c r="V31" s="37">
        <v>0</v>
      </c>
      <c r="W31" s="37">
        <v>0</v>
      </c>
      <c r="X31" s="37">
        <f t="shared" si="8"/>
        <v>1366665.33</v>
      </c>
      <c r="Y31" s="27" t="b">
        <f t="shared" si="2"/>
        <v>1</v>
      </c>
      <c r="Z31" s="112">
        <f t="shared" si="3"/>
        <v>0</v>
      </c>
    </row>
    <row r="32" spans="1:26" s="27" customFormat="1">
      <c r="A32" s="41">
        <v>18</v>
      </c>
      <c r="C32" s="54"/>
      <c r="D32" s="41"/>
      <c r="E32" s="118"/>
      <c r="F32" s="118"/>
      <c r="G32" s="118"/>
      <c r="H32" s="118"/>
      <c r="I32" s="118"/>
      <c r="J32" s="118"/>
      <c r="K32" s="90"/>
      <c r="L32" s="118"/>
      <c r="M32" s="37"/>
      <c r="N32" s="41"/>
      <c r="O32" s="118"/>
      <c r="P32" s="118"/>
      <c r="Q32" s="118"/>
      <c r="R32" s="118"/>
      <c r="S32" s="118"/>
      <c r="T32" s="118"/>
      <c r="U32" s="118"/>
      <c r="V32" s="118"/>
      <c r="W32" s="118"/>
      <c r="X32" s="118"/>
    </row>
    <row r="33" spans="1:26" s="31" customFormat="1">
      <c r="A33" s="41">
        <v>19</v>
      </c>
      <c r="B33" s="31" t="s">
        <v>217</v>
      </c>
      <c r="C33" s="42"/>
      <c r="D33" s="42" t="s">
        <v>225</v>
      </c>
      <c r="E33" s="386">
        <f t="shared" ref="E33:J33" si="18">SUM(E17:E31)</f>
        <v>87353271.270000011</v>
      </c>
      <c r="F33" s="386">
        <f t="shared" si="18"/>
        <v>6830300.4800000004</v>
      </c>
      <c r="G33" s="386">
        <f t="shared" si="18"/>
        <v>0</v>
      </c>
      <c r="H33" s="386">
        <f t="shared" si="18"/>
        <v>94183571.75</v>
      </c>
      <c r="I33" s="386">
        <f t="shared" si="18"/>
        <v>32962474.130000003</v>
      </c>
      <c r="J33" s="386">
        <f t="shared" si="18"/>
        <v>127146045.88000003</v>
      </c>
      <c r="K33" s="386"/>
      <c r="L33" s="386">
        <f>SUM(L17:L31)</f>
        <v>127146045.88000003</v>
      </c>
      <c r="M33" s="386"/>
      <c r="N33" s="386"/>
      <c r="O33" s="386">
        <f>SUM(O17:O31)</f>
        <v>44003243.119999997</v>
      </c>
      <c r="P33" s="386">
        <f t="shared" ref="P33:X33" si="19">SUM(P17:P31)</f>
        <v>373328.27</v>
      </c>
      <c r="Q33" s="386">
        <f t="shared" si="19"/>
        <v>1755145.34</v>
      </c>
      <c r="R33" s="386">
        <f t="shared" si="19"/>
        <v>46131716.729999997</v>
      </c>
      <c r="S33" s="386">
        <f t="shared" si="19"/>
        <v>66812956.150000006</v>
      </c>
      <c r="T33" s="386">
        <f t="shared" si="19"/>
        <v>0</v>
      </c>
      <c r="U33" s="386">
        <f t="shared" si="19"/>
        <v>66812956.150000006</v>
      </c>
      <c r="V33" s="386">
        <f t="shared" si="19"/>
        <v>14115591</v>
      </c>
      <c r="W33" s="386">
        <f t="shared" si="19"/>
        <v>85782</v>
      </c>
      <c r="X33" s="386">
        <f t="shared" si="19"/>
        <v>127146045.88000003</v>
      </c>
      <c r="Y33" s="27" t="b">
        <f>+L33=X33</f>
        <v>1</v>
      </c>
      <c r="Z33" s="112">
        <f>+L33-X33</f>
        <v>0</v>
      </c>
    </row>
    <row r="34" spans="1:26" s="27" customFormat="1">
      <c r="D34" s="41"/>
      <c r="E34" s="37"/>
      <c r="F34" s="37"/>
      <c r="G34" s="37"/>
      <c r="H34" s="37"/>
      <c r="I34" s="37"/>
      <c r="J34" s="37"/>
      <c r="K34" s="37"/>
      <c r="L34" s="41"/>
      <c r="M34" s="37"/>
      <c r="N34" s="41"/>
      <c r="O34" s="37"/>
      <c r="P34" s="37"/>
      <c r="Q34" s="37"/>
      <c r="R34" s="37"/>
      <c r="S34" s="37"/>
      <c r="T34" s="37"/>
      <c r="U34" s="37"/>
      <c r="V34" s="37"/>
      <c r="W34" s="37"/>
      <c r="X34" s="37"/>
    </row>
    <row r="35" spans="1:26" s="27" customFormat="1">
      <c r="D35" s="41"/>
      <c r="E35" s="37"/>
      <c r="F35" s="37"/>
      <c r="G35" s="37"/>
      <c r="H35" s="37"/>
      <c r="I35" s="37"/>
      <c r="J35" s="37"/>
      <c r="K35" s="37"/>
      <c r="L35" s="41"/>
      <c r="M35" s="37"/>
      <c r="N35" s="41"/>
      <c r="O35" s="37"/>
      <c r="P35" s="37"/>
      <c r="Q35" s="37"/>
      <c r="R35" s="37"/>
      <c r="S35" s="37"/>
      <c r="T35" s="37"/>
      <c r="U35" s="37"/>
      <c r="V35" s="37"/>
      <c r="W35" s="37"/>
      <c r="X35" s="37"/>
    </row>
    <row r="36" spans="1:26" s="31" customFormat="1">
      <c r="D36" s="42"/>
      <c r="E36" s="37"/>
      <c r="F36" s="37"/>
      <c r="G36" s="37"/>
      <c r="H36" s="37"/>
      <c r="I36" s="37"/>
      <c r="J36" s="37"/>
      <c r="K36" s="37"/>
      <c r="L36" s="42"/>
      <c r="M36" s="37"/>
      <c r="N36" s="42"/>
      <c r="O36" s="862"/>
      <c r="P36" s="37"/>
      <c r="Q36" s="37"/>
      <c r="R36" s="37"/>
      <c r="S36" s="37"/>
      <c r="T36" s="37"/>
      <c r="U36" s="37"/>
      <c r="V36" s="37"/>
      <c r="W36" s="37"/>
      <c r="X36" s="37"/>
    </row>
    <row r="37" spans="1:26" s="27" customFormat="1">
      <c r="D37" s="41"/>
      <c r="E37" s="37"/>
      <c r="F37" s="37"/>
      <c r="G37" s="37"/>
      <c r="H37" s="37"/>
      <c r="I37" s="37"/>
      <c r="J37" s="37"/>
      <c r="K37" s="37"/>
      <c r="L37" s="41"/>
      <c r="M37" s="37"/>
      <c r="N37" s="41"/>
      <c r="O37" s="37"/>
      <c r="P37" s="37"/>
      <c r="Q37" s="37"/>
      <c r="R37" s="37"/>
      <c r="S37" s="37"/>
      <c r="T37" s="37"/>
      <c r="U37" s="37"/>
      <c r="V37" s="37"/>
      <c r="W37" s="37"/>
      <c r="X37" s="37"/>
    </row>
    <row r="38" spans="1:26" s="27" customFormat="1">
      <c r="D38" s="41"/>
      <c r="E38" s="37"/>
      <c r="F38" s="37"/>
      <c r="G38" s="37"/>
      <c r="H38" s="37"/>
      <c r="I38" s="37"/>
      <c r="J38" s="37"/>
      <c r="K38" s="37"/>
      <c r="L38" s="41"/>
      <c r="M38" s="37"/>
      <c r="N38" s="41"/>
      <c r="O38" s="37"/>
      <c r="P38" s="37"/>
      <c r="Q38" s="37"/>
      <c r="R38" s="37"/>
      <c r="S38" s="37"/>
      <c r="T38" s="37"/>
      <c r="U38" s="37"/>
      <c r="V38" s="37"/>
      <c r="W38" s="37"/>
      <c r="X38" s="37"/>
    </row>
    <row r="39" spans="1:26" s="31" customFormat="1">
      <c r="D39" s="42"/>
      <c r="E39" s="43"/>
      <c r="F39" s="43"/>
      <c r="G39" s="43"/>
      <c r="H39" s="43"/>
      <c r="I39" s="43"/>
      <c r="J39" s="43"/>
      <c r="K39" s="43"/>
      <c r="L39" s="42"/>
      <c r="M39" s="43"/>
      <c r="N39" s="42"/>
      <c r="O39" s="43"/>
      <c r="P39" s="43"/>
      <c r="Q39" s="43"/>
      <c r="R39" s="43"/>
      <c r="S39" s="43"/>
      <c r="T39" s="43"/>
      <c r="U39" s="43"/>
      <c r="V39" s="43"/>
      <c r="W39" s="43"/>
      <c r="X39" s="43"/>
    </row>
    <row r="40" spans="1:26" s="27" customFormat="1">
      <c r="D40" s="41"/>
      <c r="H40" s="37"/>
      <c r="L40" s="41"/>
      <c r="N40" s="41"/>
      <c r="O40" s="44"/>
      <c r="P40" s="44"/>
      <c r="Q40" s="44"/>
      <c r="R40" s="44"/>
    </row>
    <row r="41" spans="1:26" s="27" customFormat="1">
      <c r="D41" s="41"/>
      <c r="L41" s="41"/>
      <c r="N41" s="41"/>
    </row>
    <row r="42" spans="1:26" s="27" customFormat="1">
      <c r="D42" s="41"/>
      <c r="L42" s="41"/>
      <c r="N42" s="41"/>
    </row>
    <row r="43" spans="1:26" s="27" customFormat="1">
      <c r="D43" s="41"/>
      <c r="L43" s="41"/>
      <c r="N43" s="41"/>
    </row>
    <row r="44" spans="1:26" s="27" customFormat="1">
      <c r="D44" s="41"/>
      <c r="L44" s="41"/>
      <c r="N44" s="41"/>
    </row>
    <row r="45" spans="1:26" s="27" customFormat="1">
      <c r="D45" s="41"/>
      <c r="L45" s="41"/>
      <c r="N45" s="41"/>
    </row>
    <row r="46" spans="1:26" s="27" customFormat="1">
      <c r="D46" s="41"/>
      <c r="L46" s="41"/>
      <c r="N46" s="41"/>
    </row>
    <row r="47" spans="1:26" s="27" customFormat="1">
      <c r="D47" s="41"/>
      <c r="L47" s="41"/>
      <c r="N47" s="41"/>
    </row>
    <row r="48" spans="1:26" s="27" customFormat="1">
      <c r="D48" s="41"/>
      <c r="L48" s="41"/>
      <c r="N48" s="41"/>
    </row>
    <row r="49" spans="4:14" s="27" customFormat="1">
      <c r="D49" s="41"/>
      <c r="L49" s="41"/>
      <c r="N49" s="41"/>
    </row>
    <row r="50" spans="4:14" s="27" customFormat="1">
      <c r="D50" s="41"/>
      <c r="L50" s="41"/>
      <c r="N50" s="41"/>
    </row>
    <row r="51" spans="4:14" s="27" customFormat="1">
      <c r="D51" s="41"/>
      <c r="L51" s="41"/>
      <c r="N51" s="41"/>
    </row>
    <row r="52" spans="4:14" s="27" customFormat="1">
      <c r="D52" s="41"/>
      <c r="L52" s="41"/>
      <c r="N52" s="41"/>
    </row>
    <row r="53" spans="4:14" s="27" customFormat="1">
      <c r="D53" s="41"/>
      <c r="L53" s="41"/>
      <c r="N53" s="41"/>
    </row>
    <row r="54" spans="4:14" s="27" customFormat="1">
      <c r="D54" s="41"/>
      <c r="L54" s="41"/>
      <c r="N54" s="41"/>
    </row>
    <row r="55" spans="4:14" s="27" customFormat="1">
      <c r="D55" s="41"/>
      <c r="L55" s="41"/>
      <c r="N55" s="41"/>
    </row>
    <row r="56" spans="4:14" s="27" customFormat="1">
      <c r="D56" s="41"/>
      <c r="L56" s="41"/>
      <c r="N56" s="41"/>
    </row>
    <row r="57" spans="4:14" s="27" customFormat="1">
      <c r="D57" s="41"/>
      <c r="L57" s="41"/>
      <c r="N57" s="41"/>
    </row>
    <row r="58" spans="4:14" s="27" customFormat="1">
      <c r="D58" s="41"/>
      <c r="L58" s="41"/>
      <c r="N58" s="41"/>
    </row>
    <row r="59" spans="4:14" s="27" customFormat="1">
      <c r="D59" s="41"/>
      <c r="L59" s="41"/>
      <c r="N59" s="41"/>
    </row>
    <row r="60" spans="4:14" s="27" customFormat="1">
      <c r="D60" s="41"/>
      <c r="L60" s="41"/>
      <c r="N60" s="41"/>
    </row>
    <row r="61" spans="4:14" s="27" customFormat="1">
      <c r="D61" s="41"/>
      <c r="L61" s="41"/>
      <c r="N61" s="41"/>
    </row>
    <row r="62" spans="4:14" s="27" customFormat="1">
      <c r="D62" s="41"/>
      <c r="L62" s="41"/>
      <c r="N62" s="41"/>
    </row>
    <row r="63" spans="4:14" s="27" customFormat="1">
      <c r="D63" s="41"/>
      <c r="L63" s="41"/>
      <c r="N63" s="41"/>
    </row>
    <row r="64" spans="4:14" s="27" customFormat="1">
      <c r="D64" s="41"/>
      <c r="L64" s="41"/>
      <c r="N64" s="41"/>
    </row>
    <row r="65" spans="4:14" s="27" customFormat="1">
      <c r="D65" s="41"/>
      <c r="L65" s="41"/>
      <c r="N65" s="41"/>
    </row>
    <row r="66" spans="4:14" s="27" customFormat="1">
      <c r="D66" s="41"/>
      <c r="L66" s="41"/>
      <c r="N66" s="41"/>
    </row>
    <row r="67" spans="4:14" s="27" customFormat="1">
      <c r="D67" s="41"/>
      <c r="L67" s="41"/>
      <c r="N67" s="41"/>
    </row>
    <row r="68" spans="4:14" s="27" customFormat="1">
      <c r="D68" s="41"/>
      <c r="L68" s="41"/>
      <c r="N68" s="41"/>
    </row>
    <row r="69" spans="4:14" s="27" customFormat="1">
      <c r="D69" s="41"/>
      <c r="L69" s="41"/>
      <c r="N69" s="41"/>
    </row>
    <row r="70" spans="4:14" s="27" customFormat="1">
      <c r="D70" s="41"/>
      <c r="L70" s="41"/>
      <c r="N70" s="41"/>
    </row>
    <row r="71" spans="4:14" s="27" customFormat="1">
      <c r="D71" s="41"/>
      <c r="L71" s="41"/>
      <c r="N71" s="41"/>
    </row>
    <row r="72" spans="4:14" s="27" customFormat="1">
      <c r="D72" s="41"/>
      <c r="L72" s="41"/>
      <c r="N72" s="41"/>
    </row>
    <row r="73" spans="4:14" s="27" customFormat="1">
      <c r="D73" s="41"/>
      <c r="L73" s="41"/>
      <c r="N73" s="41"/>
    </row>
    <row r="74" spans="4:14" s="27" customFormat="1">
      <c r="D74" s="41"/>
      <c r="L74" s="41"/>
      <c r="N74" s="41"/>
    </row>
    <row r="75" spans="4:14" s="27" customFormat="1">
      <c r="D75" s="41"/>
      <c r="L75" s="41"/>
      <c r="N75" s="41"/>
    </row>
    <row r="76" spans="4:14" s="27" customFormat="1">
      <c r="D76" s="41"/>
      <c r="L76" s="41"/>
      <c r="N76" s="41"/>
    </row>
    <row r="77" spans="4:14" s="27" customFormat="1">
      <c r="D77" s="41"/>
      <c r="L77" s="41"/>
      <c r="N77" s="41"/>
    </row>
  </sheetData>
  <phoneticPr fontId="10" type="noConversion"/>
  <printOptions horizontalCentered="1"/>
  <pageMargins left="0.1" right="0.1" top="2" bottom="0.2" header="1" footer="0.25"/>
  <pageSetup scale="53" fitToWidth="2" fitToHeight="0" pageOrder="overThenDown" orientation="landscape" useFirstPageNumber="1" horizontalDpi="300"/>
  <headerFooter alignWithMargins="0">
    <oddHeader>&amp;R&amp;"Arial,Bold"Schedule &amp;A
Page &amp;P of &amp;N&amp;C&amp;B
2025 RATE CASE
ONCOR ELECTRIC DELIVERY COMPANY LLC
II-E-5  OTHER REVENUE ITEMS (CREDIT)
TEST YEAR ENDING DECEMBER 31, 2024
SPONSOR: R. PRACHYL</oddHeader>
  </headerFooter>
  <colBreaks count="1" manualBreakCount="1">
    <brk id="12" min="9" max="28" man="1"/>
  </colBreaks>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Worksheets</vt:lpstr>
      </vt:variant>
      <vt:variant>
        <vt:i4>41</vt:i4>
      </vt:variant>
      <vt:variant>
        <vt:lpstr>Named Ranges</vt:lpstr>
      </vt:variant>
      <vt:variant>
        <vt:i4>57</vt:i4>
      </vt:variant>
    </vt:vector>
  </HeadingPairs>
  <TitlesOfParts>
    <vt:vector size="98" baseType="lpstr">
      <vt:lpstr>Link Sheet</vt:lpstr>
      <vt:lpstr>II-E-1</vt:lpstr>
      <vt:lpstr>II-E-2</vt:lpstr>
      <vt:lpstr>II-E-2.1</vt:lpstr>
      <vt:lpstr>II-E-3 Attachment</vt:lpstr>
      <vt:lpstr>II-E-3</vt:lpstr>
      <vt:lpstr>II-E-3.1</vt:lpstr>
      <vt:lpstr>II-E-3.2a</vt:lpstr>
      <vt:lpstr>II-E-3.2b</vt:lpstr>
      <vt:lpstr>II-E-3.3</vt:lpstr>
      <vt:lpstr>II-E-3.4</vt:lpstr>
      <vt:lpstr>II-E-3.5</vt:lpstr>
      <vt:lpstr>II-E-3.5a</vt:lpstr>
      <vt:lpstr>II-E-3.6</vt:lpstr>
      <vt:lpstr>II-E-3.7</vt:lpstr>
      <vt:lpstr>II-E-3.8</vt:lpstr>
      <vt:lpstr>II-E-3.9</vt:lpstr>
      <vt:lpstr>II-E-3.10</vt:lpstr>
      <vt:lpstr>II-E-3.11</vt:lpstr>
      <vt:lpstr>II-E-3.12</vt:lpstr>
      <vt:lpstr>II-E-3.13</vt:lpstr>
      <vt:lpstr>II-E-3.14</vt:lpstr>
      <vt:lpstr>II-E-3.15</vt:lpstr>
      <vt:lpstr>II-E-3.16</vt:lpstr>
      <vt:lpstr>II-E-3.17</vt:lpstr>
      <vt:lpstr>II-E-3.18</vt:lpstr>
      <vt:lpstr>II-E-3.19</vt:lpstr>
      <vt:lpstr>II-E-3.20</vt:lpstr>
      <vt:lpstr>II-E-3.21</vt:lpstr>
      <vt:lpstr>II-E-3.22</vt:lpstr>
      <vt:lpstr>II-E-3.23</vt:lpstr>
      <vt:lpstr>II-E-3.24</vt:lpstr>
      <vt:lpstr>II-E-4</vt:lpstr>
      <vt:lpstr>II-E-4.1</vt:lpstr>
      <vt:lpstr>II-E-4.1.1</vt:lpstr>
      <vt:lpstr>II-E-4.2</vt:lpstr>
      <vt:lpstr>II-E-4.3</vt:lpstr>
      <vt:lpstr>II-E-4.4</vt:lpstr>
      <vt:lpstr>II-E-4.5</vt:lpstr>
      <vt:lpstr>II-E-4.6</vt:lpstr>
      <vt:lpstr>II-E-5</vt:lpstr>
      <vt:lpstr>'II-E-1'!Print_Area</vt:lpstr>
      <vt:lpstr>'II-E-2'!Print_Area</vt:lpstr>
      <vt:lpstr>'II-E-2.1'!Print_Area</vt:lpstr>
      <vt:lpstr>'II-E-3'!Print_Area</vt:lpstr>
      <vt:lpstr>'II-E-3 Attachment'!Print_Area</vt:lpstr>
      <vt:lpstr>'II-E-3.1'!Print_Area</vt:lpstr>
      <vt:lpstr>'II-E-3.10'!Print_Area</vt:lpstr>
      <vt:lpstr>'II-E-3.11'!Print_Area</vt:lpstr>
      <vt:lpstr>'II-E-3.12'!Print_Area</vt:lpstr>
      <vt:lpstr>'II-E-3.13'!Print_Area</vt:lpstr>
      <vt:lpstr>'II-E-3.14'!Print_Area</vt:lpstr>
      <vt:lpstr>'II-E-3.15'!Print_Area</vt:lpstr>
      <vt:lpstr>'II-E-3.16'!Print_Area</vt:lpstr>
      <vt:lpstr>'II-E-3.17'!Print_Area</vt:lpstr>
      <vt:lpstr>'II-E-3.18'!Print_Area</vt:lpstr>
      <vt:lpstr>'II-E-3.19'!Print_Area</vt:lpstr>
      <vt:lpstr>'II-E-3.20'!Print_Area</vt:lpstr>
      <vt:lpstr>'II-E-3.21'!Print_Area</vt:lpstr>
      <vt:lpstr>'II-E-3.22'!Print_Area</vt:lpstr>
      <vt:lpstr>'II-E-3.23'!Print_Area</vt:lpstr>
      <vt:lpstr>'II-E-3.24'!Print_Area</vt:lpstr>
      <vt:lpstr>'II-E-3.2a'!Print_Area</vt:lpstr>
      <vt:lpstr>'II-E-3.2b'!Print_Area</vt:lpstr>
      <vt:lpstr>'II-E-3.3'!Print_Area</vt:lpstr>
      <vt:lpstr>'II-E-3.4'!Print_Area</vt:lpstr>
      <vt:lpstr>'II-E-3.5'!Print_Area</vt:lpstr>
      <vt:lpstr>'II-E-3.5a'!Print_Area</vt:lpstr>
      <vt:lpstr>'II-E-3.6'!Print_Area</vt:lpstr>
      <vt:lpstr>'II-E-3.7'!Print_Area</vt:lpstr>
      <vt:lpstr>'II-E-3.8'!Print_Area</vt:lpstr>
      <vt:lpstr>'II-E-3.9'!Print_Area</vt:lpstr>
      <vt:lpstr>'II-E-4'!Print_Area</vt:lpstr>
      <vt:lpstr>'II-E-4.1'!Print_Area</vt:lpstr>
      <vt:lpstr>'II-E-4.1.1'!Print_Area</vt:lpstr>
      <vt:lpstr>'II-E-4.2'!Print_Area</vt:lpstr>
      <vt:lpstr>'II-E-4.3'!Print_Area</vt:lpstr>
      <vt:lpstr>'II-E-4.4'!Print_Area</vt:lpstr>
      <vt:lpstr>'II-E-4.5'!Print_Area</vt:lpstr>
      <vt:lpstr>'II-E-4.6'!Print_Area</vt:lpstr>
      <vt:lpstr>'II-E-5'!Print_Area</vt:lpstr>
      <vt:lpstr>'II-E-1'!Print_Titles</vt:lpstr>
      <vt:lpstr>'II-E-2'!Print_Titles</vt:lpstr>
      <vt:lpstr>'II-E-3'!Print_Titles</vt:lpstr>
      <vt:lpstr>'II-E-3.1'!Print_Titles</vt:lpstr>
      <vt:lpstr>'II-E-3.14'!Print_Titles</vt:lpstr>
      <vt:lpstr>'II-E-3.15'!Print_Titles</vt:lpstr>
      <vt:lpstr>'II-E-3.18'!Print_Titles</vt:lpstr>
      <vt:lpstr>'II-E-3.19'!Print_Titles</vt:lpstr>
      <vt:lpstr>'II-E-3.3'!Print_Titles</vt:lpstr>
      <vt:lpstr>'II-E-3.5'!Print_Titles</vt:lpstr>
      <vt:lpstr>'II-E-3.5a'!Print_Titles</vt:lpstr>
      <vt:lpstr>'II-E-3.6'!Print_Titles</vt:lpstr>
      <vt:lpstr>'II-E-4'!Print_Titles</vt:lpstr>
      <vt:lpstr>'II-E-4.1'!Print_Titles</vt:lpstr>
      <vt:lpstr>'II-E-4.1.1'!Print_Titles</vt:lpstr>
      <vt:lpstr>'II-E-4.4'!Print_Titles</vt:lpstr>
      <vt:lpstr>'II-E-5'!Print_Titles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Tenorio, Stephanie</cp:lastModifiedBy>
  <cp:lastPrinted>1900-01-01T06:00:00Z</cp:lastPrinted>
  <dcterms:created xsi:type="dcterms:W3CDTF">1900-01-01T06:00:00Z</dcterms:created>
  <dcterms:modified xsi:type="dcterms:W3CDTF">2025-06-25T18:26:28Z</dcterms:modified>
</cp:coreProperties>
</file>