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11BFE453-B0C5-407E-8115-600659E4D280}" xr6:coauthVersionLast="47" xr6:coauthVersionMax="47" xr10:uidLastSave="{00000000-0000-0000-0000-000000000000}"/>
  <x:bookViews>
    <x:workbookView xWindow="28680" yWindow="1290" windowWidth="29040" windowHeight="15840" xr2:uid="{00000000-000D-0000-FFFF-FFFF00000000}"/>
  </x:bookViews>
  <x:sheets>
    <x:sheet name="WP II-E-3.18" sheetId="1" r:id="rId1"/>
  </x:sheets>
  <x:externalReferences>
    <x:externalReference r:id="rId2"/>
  </x:externalReferences>
  <x:definedNames>
    <x:definedName name="_xlnm.Print_Area" localSheetId="0">'WP II-E-3.18'!$A$1:$O$75</x:definedName>
  </x:definedNames>
  <x:calcPr calcId="191029" iterate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N59" i="1" l="1"/>
  <x:c r="P73" i="1" l="1"/>
  <x:c r="J46" i="1"/>
  <x:c r="L23" i="1"/>
  <x:c r="L24" i="1"/>
  <x:c r="L25" i="1"/>
  <x:c r="L26" i="1"/>
  <x:c r="L27" i="1"/>
  <x:c r="L28" i="1"/>
  <x:c r="L29" i="1"/>
  <x:c r="L30" i="1"/>
  <x:c r="L31" i="1"/>
  <x:c r="L33" i="1"/>
  <x:c r="L34" i="1"/>
  <x:c r="I23" i="1"/>
  <x:c r="I24" i="1"/>
  <x:c r="I25" i="1"/>
  <x:c r="I26" i="1"/>
  <x:c r="I27" i="1"/>
  <x:c r="I28" i="1"/>
  <x:c r="I29" i="1"/>
  <x:c r="I30" i="1"/>
  <x:c r="I31" i="1"/>
  <x:c r="I33" i="1"/>
  <x:c r="I34" i="1"/>
  <x:c r="F22" i="1"/>
  <x:c r="F32" i="1"/>
  <x:c r="I53" i="1" l="1"/>
  <x:c r="I54" i="1"/>
  <x:c r="L38" i="1"/>
  <x:c r="L53" i="1"/>
  <x:c r="L54" i="1"/>
  <x:c r="L56" i="1"/>
  <x:c r="L58" i="1"/>
  <x:c r="L59" i="1"/>
  <x:c r="L60" i="1"/>
  <x:c r="L61" i="1"/>
  <x:c r="L37" i="1"/>
  <x:c r="I38" i="1"/>
  <x:c r="I41" i="1"/>
  <x:c r="I42" i="1"/>
  <x:c r="I56" i="1"/>
  <x:c r="I57" i="1"/>
  <x:c r="I59" i="1"/>
  <x:c r="I60" i="1"/>
  <x:c r="I61" i="1"/>
  <x:c r="I63" i="1"/>
  <x:c r="I37" i="1"/>
  <x:c r="J63" i="1" l="1"/>
  <x:c r="L63" i="1" s="1"/>
  <x:c r="J61" i="1"/>
  <x:c r="J60" i="1"/>
  <x:c r="J57" i="1"/>
  <x:c r="L57" i="1" s="1"/>
  <x:c r="M56" i="1"/>
  <x:c r="L62" i="1"/>
  <x:c r="I62" i="1"/>
  <x:c r="I58" i="1"/>
  <x:c r="L55" i="1"/>
  <x:c r="I55" i="1"/>
  <x:c r="M54" i="1"/>
  <x:c r="I50" i="1"/>
  <x:c r="L50" i="1"/>
  <x:c r="I51" i="1"/>
  <x:c r="L51" i="1"/>
  <x:c r="I52" i="1"/>
  <x:c r="L52" i="1"/>
  <x:c r="I48" i="1"/>
  <x:c r="L48" i="1"/>
  <x:c r="L49" i="1"/>
  <x:c r="I49" i="1"/>
  <x:c r="L47" i="1"/>
  <x:c r="I47" i="1"/>
  <x:c r="L46" i="1"/>
  <x:c r="I46" i="1"/>
  <x:c r="L45" i="1"/>
  <x:c r="I45" i="1"/>
  <x:c r="I43" i="1"/>
  <x:c r="L43" i="1"/>
  <x:c r="I44" i="1"/>
  <x:c r="L44" i="1"/>
  <x:c r="J42" i="1"/>
  <x:c r="J41" i="1"/>
  <x:c r="O61" i="1"/>
  <x:c r="P61" i="1" s="1"/>
  <x:c r="O60" i="1"/>
  <x:c r="P60" i="1" s="1"/>
  <x:c r="O59" i="1"/>
  <x:c r="P59" i="1" s="1"/>
  <x:c r="O38" i="1"/>
  <x:c r="P38" i="1" s="1"/>
  <x:c r="L40" i="1"/>
  <x:c r="M38" i="1"/>
  <x:c r="J37" i="1"/>
  <x:c r="O34" i="1"/>
  <x:c r="P34" i="1" s="1"/>
  <x:c r="N69" i="1"/>
  <x:c r="M69" i="1"/>
  <x:c r="L69" i="1"/>
  <x:c r="K69" i="1"/>
  <x:c r="J69" i="1"/>
  <x:c r="I69" i="1"/>
  <x:c r="H69" i="1"/>
  <x:c r="G69" i="1"/>
  <x:c r="F69" i="1"/>
  <x:c r="L65" i="1"/>
  <x:c r="I65" i="1"/>
  <x:c r="L64" i="1"/>
  <x:c r="N32" i="1"/>
  <x:c r="M32" i="1"/>
  <x:c r="K32" i="1"/>
  <x:c r="J32" i="1"/>
  <x:c r="L32" i="1" s="1"/>
  <x:c r="H32" i="1"/>
  <x:c r="G32" i="1"/>
  <x:c r="G17" i="1"/>
  <x:c r="H17" i="1"/>
  <x:c r="I17" i="1"/>
  <x:c r="J17" i="1"/>
  <x:c r="K17" i="1"/>
  <x:c r="L17" i="1"/>
  <x:c r="M17" i="1"/>
  <x:c r="N17" i="1"/>
  <x:c r="G18" i="1"/>
  <x:c r="H18" i="1"/>
  <x:c r="I18" i="1"/>
  <x:c r="J18" i="1"/>
  <x:c r="K18" i="1"/>
  <x:c r="L18" i="1"/>
  <x:c r="M18" i="1"/>
  <x:c r="N18" i="1"/>
  <x:c r="F18" i="1"/>
  <x:c r="F17" i="1"/>
  <x:c r="N68" i="1"/>
  <x:c r="M68" i="1"/>
  <x:c r="L68" i="1"/>
  <x:c r="K68" i="1"/>
  <x:c r="J68" i="1"/>
  <x:c r="I68" i="1"/>
  <x:c r="H68" i="1"/>
  <x:c r="G68" i="1"/>
  <x:c r="F68" i="1"/>
  <x:c r="N22" i="1"/>
  <x:c r="M22" i="1"/>
  <x:c r="K22" i="1"/>
  <x:c r="J22" i="1"/>
  <x:c r="H22" i="1"/>
  <x:c r="G22" i="1"/>
  <x:c r="N16" i="1"/>
  <x:c r="M16" i="1"/>
  <x:c r="L16" i="1"/>
  <x:c r="K16" i="1"/>
  <x:c r="J16" i="1"/>
  <x:c r="I16" i="1"/>
  <x:c r="H16" i="1"/>
  <x:c r="G16" i="1"/>
  <x:c r="F16" i="1"/>
  <x:c r="G15" i="1"/>
  <x:c r="H15" i="1"/>
  <x:c r="I15" i="1"/>
  <x:c r="J15" i="1"/>
  <x:c r="K15" i="1"/>
  <x:c r="L15" i="1"/>
  <x:c r="M15" i="1"/>
  <x:c r="N15" i="1"/>
  <x:c r="F15" i="1"/>
  <x:c r="I22" i="1" l="1"/>
  <x:c r="I32" i="1"/>
  <x:c r="O32" i="1" s="1"/>
  <x:c r="P32" i="1" s="1"/>
  <x:c r="L22" i="1"/>
  <x:c r="L41" i="1"/>
  <x:c r="O41" i="1" s="1"/>
  <x:c r="P41" i="1" s="1"/>
  <x:c r="L42" i="1"/>
  <x:c r="O42" i="1" s="1"/>
  <x:c r="P42" i="1" s="1"/>
  <x:c r="I40" i="1"/>
  <x:c r="L39" i="1"/>
  <x:c r="I39" i="1"/>
  <x:c r="I64" i="1"/>
  <x:c r="O64" i="1" s="1"/>
  <x:c r="P64" i="1" s="1"/>
  <x:c r="O62" i="1"/>
  <x:c r="P62" i="1" s="1"/>
  <x:c r="O63" i="1"/>
  <x:c r="P63" i="1" s="1"/>
  <x:c r="O44" i="1"/>
  <x:c r="P44" i="1" s="1"/>
  <x:c r="O40" i="1"/>
  <x:c r="P40" i="1" s="1"/>
  <x:c r="O55" i="1"/>
  <x:c r="P55" i="1" s="1"/>
  <x:c r="O46" i="1"/>
  <x:c r="P46" i="1" s="1"/>
  <x:c r="O58" i="1"/>
  <x:c r="P58" i="1" s="1"/>
  <x:c r="O54" i="1"/>
  <x:c r="P54" i="1" s="1"/>
  <x:c r="O45" i="1"/>
  <x:c r="P45" i="1" s="1"/>
  <x:c r="O56" i="1"/>
  <x:c r="P56" i="1" s="1"/>
  <x:c r="O57" i="1"/>
  <x:c r="P57" i="1" s="1"/>
  <x:c r="O68" i="1"/>
  <x:c r="P68" i="1" s="1"/>
  <x:c r="O15" i="1"/>
  <x:c r="P15" i="1" s="1"/>
  <x:c r="O28" i="1"/>
  <x:c r="P28" i="1" s="1"/>
  <x:c r="O26" i="1"/>
  <x:c r="P26" i="1" s="1"/>
  <x:c r="O30" i="1"/>
  <x:c r="P30" i="1" s="1"/>
  <x:c r="O65" i="1"/>
  <x:c r="P65" i="1" s="1"/>
  <x:c r="O16" i="1"/>
  <x:c r="P16" i="1" s="1"/>
  <x:c r="O25" i="1"/>
  <x:c r="P25" i="1" s="1"/>
  <x:c r="O31" i="1"/>
  <x:c r="P31" i="1" s="1"/>
  <x:c r="O69" i="1"/>
  <x:c r="P69" i="1" s="1"/>
  <x:c r="O17" i="1"/>
  <x:c r="P17" i="1" s="1"/>
  <x:c r="O23" i="1"/>
  <x:c r="P23" i="1" s="1"/>
  <x:c r="O27" i="1"/>
  <x:c r="P27" i="1" s="1"/>
  <x:c r="O51" i="1"/>
  <x:c r="P51" i="1" s="1"/>
  <x:c r="O52" i="1"/>
  <x:c r="P52" i="1" s="1"/>
  <x:c r="O24" i="1"/>
  <x:c r="P24" i="1" s="1"/>
  <x:c r="O43" i="1"/>
  <x:c r="P43" i="1" s="1"/>
  <x:c r="O49" i="1"/>
  <x:c r="P49" i="1" s="1"/>
  <x:c r="O48" i="1"/>
  <x:c r="P48" i="1" s="1"/>
  <x:c r="O50" i="1"/>
  <x:c r="P50" i="1" s="1"/>
  <x:c r="O29" i="1"/>
  <x:c r="P29" i="1" s="1"/>
  <x:c r="O39" i="1"/>
  <x:c r="P39" i="1" s="1"/>
  <x:c r="O33" i="1"/>
  <x:c r="P33" i="1" s="1"/>
  <x:c r="O18" i="1"/>
  <x:c r="P18" i="1" s="1"/>
  <x:c r="O47" i="1"/>
  <x:c r="P47" i="1" s="1"/>
  <x:c r="O53" i="1"/>
  <x:c r="P53" i="1" s="1"/>
  <x:c r="O37" i="1"/>
  <x:c r="P37" i="1" s="1"/>
  <x:c r="O22" i="1" l="1"/>
  <x:c r="P22" i="1" s="1"/>
  <x:c r="O35" i="1"/>
  <x:c r="P35" i="1" s="1"/>
  <x:c r="N35" i="1"/>
  <x:c r="M35" i="1"/>
  <x:c r="L35" i="1"/>
  <x:c r="K35" i="1"/>
  <x:c r="J35" i="1"/>
  <x:c r="I35" i="1"/>
  <x:c r="H35" i="1"/>
  <x:c r="G35" i="1"/>
  <x:c r="F35" i="1"/>
  <x:c r="O66" i="1"/>
  <x:c r="P66" i="1" s="1"/>
  <x:c r="N66" i="1"/>
  <x:c r="M66" i="1"/>
  <x:c r="L66" i="1"/>
  <x:c r="K66" i="1"/>
  <x:c r="J66" i="1"/>
  <x:c r="I66" i="1"/>
  <x:c r="H66" i="1"/>
  <x:c r="G66" i="1"/>
  <x:c r="F66" i="1"/>
  <x:c r="O70" i="1"/>
  <x:c r="P70" i="1" s="1"/>
  <x:c r="N70" i="1"/>
  <x:c r="M70" i="1"/>
  <x:c r="L70" i="1"/>
  <x:c r="K70" i="1"/>
  <x:c r="J70" i="1"/>
  <x:c r="I70" i="1"/>
  <x:c r="H70" i="1"/>
  <x:c r="G70" i="1"/>
  <x:c r="F70" i="1"/>
  <x:c r="G19" i="1"/>
  <x:c r="H19" i="1"/>
  <x:c r="I19" i="1"/>
  <x:c r="J19" i="1"/>
  <x:c r="K19" i="1"/>
  <x:c r="L19" i="1"/>
  <x:c r="M19" i="1"/>
  <x:c r="N19" i="1"/>
  <x:c r="O19" i="1"/>
  <x:c r="P19" i="1" s="1"/>
  <x:c r="F19" i="1"/>
  <x:c r="D70" i="1"/>
  <x:c r="D66" i="1"/>
  <x:c r="D35" i="1"/>
  <x:c r="D19" i="1"/>
  <x:c r="A15" i="1"/>
  <x:c r="A16" i="1" s="1"/>
  <x:c r="A17" i="1" s="1"/>
  <x:c r="A18" i="1" s="1"/>
  <x:c r="A19" i="1" s="1"/>
  <x:c r="A20" i="1" s="1"/>
  <x:c r="A21" i="1" s="1"/>
  <x:c r="A22" i="1" s="1"/>
  <x:c r="A23" i="1" s="1"/>
  <x:c r="A24" i="1" s="1"/>
  <x:c r="A25" i="1" s="1"/>
  <x:c r="A26" i="1" s="1"/>
  <x:c r="A27" i="1" s="1"/>
  <x:c r="A28" i="1" s="1"/>
  <x:c r="A29" i="1" s="1"/>
  <x:c r="A30" i="1" s="1"/>
  <x:c r="A31" i="1" s="1"/>
  <x:c r="A32" i="1" s="1"/>
  <x:c r="A33" i="1" s="1"/>
  <x:c r="A34" i="1" s="1"/>
  <x:c r="A35" i="1" s="1"/>
  <x:c r="A36" i="1" s="1"/>
  <x:c r="A37" i="1" s="1"/>
  <x:c r="A38" i="1" s="1"/>
  <x:c r="A39" i="1" s="1"/>
  <x:c r="D72" i="1" l="1"/>
  <x:c r="O72" i="1"/>
  <x:c r="G72" i="1"/>
  <x:c r="G74" i="1" s="1"/>
  <x:c r="H72" i="1"/>
  <x:c r="H74" i="1" s="1"/>
  <x:c r="J72" i="1"/>
  <x:c r="J74" i="1" s="1"/>
  <x:c r="K72" i="1"/>
  <x:c r="K74" i="1" s="1"/>
  <x:c r="N72" i="1"/>
  <x:c r="N74" i="1" s="1"/>
  <x:c r="I72" i="1"/>
  <x:c r="I74" i="1" s="1"/>
  <x:c r="F72" i="1"/>
  <x:c r="F74" i="1" s="1"/>
  <x:c r="L72" i="1"/>
  <x:c r="L74" i="1" s="1"/>
  <x:c r="M72" i="1"/>
  <x:c r="M74" i="1" s="1"/>
  <x:c r="A40" i="1"/>
  <x:c r="A41" i="1" s="1"/>
  <x:c r="A42" i="1" s="1"/>
  <x:c r="A43" i="1" s="1"/>
  <x:c r="A44" i="1" s="1"/>
  <x:c r="A45" i="1" s="1"/>
  <x:c r="A46" i="1" s="1"/>
  <x:c r="A47" i="1" s="1"/>
  <x:c r="A48" i="1" s="1"/>
  <x:c r="A49" i="1" s="1"/>
  <x:c r="A50" i="1" s="1"/>
  <x:c r="A51" i="1" s="1"/>
  <x:c r="A52" i="1" s="1"/>
  <x:c r="A53" i="1" s="1"/>
  <x:c r="A54" i="1" s="1"/>
  <x:c r="A55" i="1" s="1"/>
  <x:c r="A56" i="1" s="1"/>
  <x:c r="A57" i="1" s="1"/>
  <x:c r="A58" i="1" s="1"/>
  <x:c r="O74" i="1" l="1"/>
  <x:c r="P74" i="1" s="1"/>
  <x:c r="P72" i="1"/>
  <x:c r="A59" i="1"/>
  <x:c r="A60" i="1" s="1"/>
  <x:c r="A61" i="1" s="1"/>
  <x:c r="A62" i="1" s="1"/>
  <x:c r="A63" i="1" s="1"/>
  <x:c r="A64" i="1" s="1"/>
  <x:c r="A65" i="1" s="1"/>
  <x:c r="A66" i="1" s="1"/>
  <x:c r="A67" i="1" s="1"/>
  <x:c r="A68" i="1" s="1"/>
  <x:c r="A69" i="1" s="1"/>
  <x:c r="A70" i="1" s="1"/>
  <x:c r="A71" i="1" s="1"/>
  <x:c r="A72" i="1" s="1"/>
  <x:c r="A73" i="1" s="1"/>
  <x:c r="A74" i="1" s="1"/>
  <x:c r="D74" i="1" l="1"/>
</x:calcChain>
</file>

<file path=xl/sharedStrings.xml><?xml version="1.0" encoding="utf-8"?>
<sst xmlns="http://schemas.openxmlformats.org/spreadsheetml/2006/main" count="125" uniqueCount="87">
  <si>
    <t>Liberalized Depreciation</t>
  </si>
  <si>
    <t>Contributions in Aid of Construction</t>
  </si>
  <si>
    <t>Test Year Amortization</t>
  </si>
  <si>
    <t>Sec 1031 LKE Basis Difference</t>
  </si>
  <si>
    <t>Audit Adjustments</t>
  </si>
  <si>
    <t>AFUDC Debt</t>
  </si>
  <si>
    <t>Casualty Losses</t>
  </si>
  <si>
    <t>Software</t>
  </si>
  <si>
    <t>Repair Expense</t>
  </si>
  <si>
    <t>Mixed Service Cost</t>
  </si>
  <si>
    <t>Tax Capitalized Interest</t>
  </si>
  <si>
    <t>Bad Debts</t>
  </si>
  <si>
    <t>Deferred Revenue - AMS - FBOS</t>
  </si>
  <si>
    <t>Vacation Pay Accrual</t>
  </si>
  <si>
    <t>Performance Enhancement Plan</t>
  </si>
  <si>
    <t>Deferred Unbilled TCRF/EECRF Reg Liability</t>
  </si>
  <si>
    <t>Reg Asset - TCRF</t>
  </si>
  <si>
    <t>IBNR - Medical/PIPD</t>
  </si>
  <si>
    <t>Supplemental Retirement Plan</t>
  </si>
  <si>
    <t>LTIP Amortization</t>
  </si>
  <si>
    <t>OPEB FAS 106</t>
  </si>
  <si>
    <t>OPEB FAS 112</t>
  </si>
  <si>
    <t>Amo of Organizational Expenditures</t>
  </si>
  <si>
    <t>Prepaid Insurance</t>
  </si>
  <si>
    <t>Provision for Self Insurance</t>
  </si>
  <si>
    <t>Deferred Revenue - AMS Fed</t>
  </si>
  <si>
    <t>Regulatory Asset for Employee Benefit</t>
  </si>
  <si>
    <t>Reg Asset Costs - AMS Meters</t>
  </si>
  <si>
    <t>Regulatory Asset for Deferred Depreciation</t>
  </si>
  <si>
    <t>Debt Recall Premium and Expense</t>
  </si>
  <si>
    <t>Reg Asset - Defaulted REPs</t>
  </si>
  <si>
    <t>Reg Asset - Local Gross Receipts Taxes</t>
  </si>
  <si>
    <t>Reg Asset - Sharyland Whlsle Dist Sub Tariff</t>
  </si>
  <si>
    <t>Reg Asset Workers Comp</t>
  </si>
  <si>
    <t>Rate Case Expense</t>
  </si>
  <si>
    <t>Non-plant-related</t>
  </si>
  <si>
    <t>Plant-related</t>
  </si>
  <si>
    <t>Page 1 of 1</t>
  </si>
  <si>
    <t>ONCOR ELECTRIC DELIVERY COMPANY LLC</t>
  </si>
  <si>
    <t>SPONSOR:  B. L. CLUTTER</t>
  </si>
  <si>
    <t>Other Basis Differences</t>
  </si>
  <si>
    <t>Non-protected</t>
  </si>
  <si>
    <t>Total Non-protected</t>
  </si>
  <si>
    <t>2025 RATE CASE</t>
  </si>
  <si>
    <t>TEST YEAR ENDING DECEMBER 31, 2024</t>
  </si>
  <si>
    <t>Salary Deferral Plan</t>
  </si>
  <si>
    <t>Pension Plan</t>
  </si>
  <si>
    <t>WP/II-E-3.18</t>
  </si>
  <si>
    <t>TRAN</t>
  </si>
  <si>
    <t>NTU
TRAN</t>
  </si>
  <si>
    <t>DC
TIE</t>
  </si>
  <si>
    <t>Consol
TRAN</t>
  </si>
  <si>
    <t>DIST</t>
  </si>
  <si>
    <t>NTU
DIST</t>
  </si>
  <si>
    <t>Consol
DIST</t>
  </si>
  <si>
    <t>MET</t>
  </si>
  <si>
    <t>TDCS</t>
  </si>
  <si>
    <t>Total</t>
  </si>
  <si>
    <t>Line No.</t>
  </si>
  <si>
    <t>Description</t>
  </si>
  <si>
    <t>AMORTIZATION OF PROTECTED AND UNPROTECTED EXCESS DEFERRED TAXES</t>
  </si>
  <si>
    <t>Functionalization Factor</t>
  </si>
  <si>
    <t>Protected Excess Deferred Taxes</t>
  </si>
  <si>
    <t>Total Protected Excess Deferred Taxes</t>
  </si>
  <si>
    <t>Cost of Removal - NTU</t>
  </si>
  <si>
    <t>Basis Differences In-service - NTU</t>
  </si>
  <si>
    <t>Basis Differences CWIP - NTU</t>
  </si>
  <si>
    <t>Cost of Removal - Oncor</t>
  </si>
  <si>
    <t>Capitalized Intangibles - NTU</t>
  </si>
  <si>
    <t>Transaction Costs - NTU</t>
  </si>
  <si>
    <t>Excess Reserve - Oncor</t>
  </si>
  <si>
    <t>Excess Reserve - NTU</t>
  </si>
  <si>
    <t>Eccess Reserve</t>
  </si>
  <si>
    <t>PLTSVC-ONC</t>
  </si>
  <si>
    <t>PLTSVC-NTU</t>
  </si>
  <si>
    <t>Direct Assignment</t>
  </si>
  <si>
    <t>Total Excess Deferrred Tax Amortization</t>
  </si>
  <si>
    <t>PAYXAG (Dkt 53601)</t>
  </si>
  <si>
    <t>A925 (Dkt 53601)</t>
  </si>
  <si>
    <t>A926 (Dkt 53601)</t>
  </si>
  <si>
    <t>A920 (Dkt 53601)</t>
  </si>
  <si>
    <t>TCS_ONC (Dkt 53601)</t>
  </si>
  <si>
    <t>Sync_Int (Dkt 53601)</t>
  </si>
  <si>
    <t>A165 (Dkt 53601)</t>
  </si>
  <si>
    <t>Gain/Loss on Derivatives</t>
  </si>
  <si>
    <t>PLTSVC-ONC (Dkt 53601)</t>
  </si>
  <si>
    <t>PLTSVC-NTU (Dkt 53601)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</si>
</sst>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3" fillId="0" borderId="0" xfId="0" applyFont="1"/>
    <xf numFmtId="0" fontId="2" fillId="0" borderId="0" xfId="0" applyFont="1"/>
    <xf numFmtId="164" fontId="2" fillId="0" borderId="0" xfId="1" applyNumberFormat="1" applyFont="1"/>
    <xf numFmtId="164" fontId="2" fillId="0" borderId="0" xfId="0" applyNumberFormat="1" applyFont="1"/>
    <xf numFmtId="0" fontId="2" fillId="0" borderId="0" xfId="0" applyFont="1" applyFill="1"/>
    <xf numFmtId="164" fontId="2" fillId="0" borderId="0" xfId="0" applyNumberFormat="1" applyFont="1" applyFill="1"/>
    <xf numFmtId="164" fontId="2" fillId="0" borderId="0" xfId="1" applyNumberFormat="1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2" fillId="0" borderId="1" xfId="0" applyFont="1" applyFill="1" applyBorder="1" applyAlignment="1">
      <alignment horizontal="center" wrapText="1"/>
    </xf>
    <xf numFmtId="164" fontId="4" fillId="0" borderId="2" xfId="1" applyNumberFormat="1" applyFont="1" applyFill="1" applyBorder="1"/>
    <xf numFmtId="164" fontId="2" fillId="0" borderId="2" xfId="1" applyNumberFormat="1" applyFont="1" applyFill="1" applyBorder="1"/>
    <xf numFmtId="164" fontId="2" fillId="0" borderId="2" xfId="0" applyNumberFormat="1" applyFont="1" applyFill="1" applyBorder="1"/>
    <xf numFmtId="164" fontId="4" fillId="0" borderId="2" xfId="0" applyNumberFormat="1" applyFont="1" applyFill="1" applyBorder="1"/>
    <xf numFmtId="164" fontId="4" fillId="0" borderId="3" xfId="0" applyNumberFormat="1" applyFont="1" applyFill="1" applyBorder="1"/>
    <xf numFmtId="0" fontId="2" fillId="0" borderId="0" xfId="2" applyFont="1" applyFill="1"/>
    <xf numFmtId="0" fontId="5" fillId="0" borderId="0" xfId="0" applyFont="1" applyAlignment="1"/>
    <xf numFmtId="0" fontId="7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0" xfId="1" applyNumberFormat="1" applyFont="1" applyFill="1" applyBorder="1"/>
    <xf numFmtId="164" fontId="2" fillId="0" borderId="0" xfId="0" applyNumberFormat="1" applyFont="1" applyFill="1" applyBorder="1"/>
    <xf numFmtId="41" fontId="7" fillId="0" borderId="0" xfId="1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3" fontId="8" fillId="0" borderId="0" xfId="0" applyNumberFormat="1" applyFont="1"/>
    <xf numFmtId="43" fontId="2" fillId="0" borderId="0" xfId="1" applyFont="1" applyFill="1"/>
    <xf numFmtId="43" fontId="2" fillId="0" borderId="0" xfId="1" applyFont="1"/>
    <xf numFmtId="0" fontId="7" fillId="0" borderId="0" xfId="0" applyFont="1" applyFill="1" applyAlignment="1">
      <alignment horizontal="center"/>
    </xf>
    <xf numFmtId="0" fontId="9" fillId="0" borderId="0" xfId="0" applyFont="1"/>
    <xf numFmtId="43" fontId="10" fillId="0" borderId="0" xfId="0" applyNumberFormat="1" applyFont="1" applyFill="1"/>
    <xf numFmtId="43" fontId="10" fillId="0" borderId="0" xfId="1" applyNumberFormat="1" applyFont="1" applyFill="1"/>
    <xf numFmtId="43" fontId="9" fillId="0" borderId="0" xfId="0" applyNumberFormat="1" applyFont="1"/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F%20(Functionalization%20Factors)/Schedule%20II-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F Alloc_Data"/>
      <sheetName val="II-F Alloc_Factor"/>
    </sheetNames>
    <sheetDataSet>
      <sheetData sheetId="0"/>
      <sheetData sheetId="1"/>
      <sheetData sheetId="2">
        <row r="38">
          <cell r="E38">
            <v>0.45458274033396245</v>
          </cell>
          <cell r="F38">
            <v>0</v>
          </cell>
          <cell r="G38">
            <v>3.9054368052814981E-4</v>
          </cell>
          <cell r="H38">
            <v>0.45497328401449061</v>
          </cell>
          <cell r="I38">
            <v>0.51917908223557052</v>
          </cell>
          <cell r="J38">
            <v>0</v>
          </cell>
          <cell r="K38">
            <v>0.51917908223557052</v>
          </cell>
          <cell r="L38">
            <v>1.5560787538446273E-2</v>
          </cell>
          <cell r="M38">
            <v>1.0286846211492508E-2</v>
          </cell>
        </row>
        <row r="39">
          <cell r="E39">
            <v>0</v>
          </cell>
          <cell r="F39">
            <v>0.92603381578170541</v>
          </cell>
          <cell r="G39">
            <v>0</v>
          </cell>
          <cell r="H39">
            <v>0.92603381578170541</v>
          </cell>
          <cell r="I39">
            <v>0</v>
          </cell>
          <cell r="J39">
            <v>7.3966184218294553E-2</v>
          </cell>
          <cell r="K39">
            <v>7.3966184218294553E-2</v>
          </cell>
          <cell r="L39">
            <v>0</v>
          </cell>
          <cell r="M3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V79"/>
  <x:sheetViews>
    <x:sheetView tabSelected="1" zoomScale="80" zoomScaleNormal="80" workbookViewId="0">
      <x:pane ySplit="13" topLeftCell="A14" activePane="bottomLeft" state="frozen"/>
      <x:selection pane="bottomLeft" activeCell="D22" sqref="D22"/>
    </x:sheetView>
  </x:sheetViews>
  <x:sheetFormatPr defaultColWidth="8.7265625" defaultRowHeight="12.5" x14ac:dyDescent="0.25"/>
  <x:cols>
    <x:col min="1" max="1" width="8.7265625" style="2"/>
    <x:col min="2" max="2" width="1.54296875" style="2" customWidth="1"/>
    <x:col min="3" max="3" width="40.81640625" style="2" customWidth="1"/>
    <x:col min="4" max="4" width="14.54296875" style="5" customWidth="1"/>
    <x:col min="5" max="5" width="23.81640625" style="2" bestFit="1" customWidth="1"/>
    <x:col min="6" max="6" width="13.453125" style="2" bestFit="1" customWidth="1"/>
    <x:col min="7" max="7" width="12.81640625" style="2" bestFit="1" customWidth="1"/>
    <x:col min="8" max="8" width="11.81640625" style="2" bestFit="1" customWidth="1"/>
    <x:col min="9" max="10" width="13.453125" style="2" bestFit="1" customWidth="1"/>
    <x:col min="11" max="11" width="12.453125" style="2" bestFit="1" customWidth="1"/>
    <x:col min="12" max="13" width="13.453125" style="2" bestFit="1" customWidth="1"/>
    <x:col min="14" max="14" width="11.81640625" style="2" bestFit="1" customWidth="1"/>
    <x:col min="15" max="15" width="14.453125" style="2" bestFit="1" customWidth="1"/>
    <x:col min="16" max="16" width="5.54296875" style="29" bestFit="1" customWidth="1"/>
    <x:col min="17" max="16384" width="8.7265625" style="2"/>
  </x:cols>
  <x:sheetData>
    <x:row r="1" spans="1:22" ht="14.5" x14ac:dyDescent="0.35">
      <x:c r="B1" s="9"/>
      <x:c r="C1"/>
      <x:c r="O1" s="10" t="s">
        <x:v>47</x:v>
      </x:c>
      <x:c r="U1" s="5"/>
      <x:c r="V1" s="5"/>
    </x:row>
    <x:row r="2" spans="1:22" ht="14.5" x14ac:dyDescent="0.35">
      <x:c r="B2" s="9"/>
      <x:c r="C2"/>
      <x:c r="O2" s="10" t="s">
        <x:v>37</x:v>
      </x:c>
    </x:row>
    <x:row r="3" spans="1:22" ht="14.5" x14ac:dyDescent="0.35">
      <x:c r="B3" s="9"/>
      <x:c r="C3"/>
    </x:row>
    <x:row r="4" spans="1:22" ht="14.5" customHeight="1" x14ac:dyDescent="0.3">
      <x:c r="A4" s="33" t="s">
        <x:v>43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</x:row>
    <x:row r="5" spans="1:22" ht="14.5" customHeight="1" x14ac:dyDescent="0.3">
      <x:c r="A5" s="33" t="s">
        <x:v>38</x:v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</x:row>
    <x:row r="6" spans="1:22" ht="14.5" customHeight="1" x14ac:dyDescent="0.3">
      <x:c r="A6" s="33" t="s">
        <x:v>60</x:v>
      </x:c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</x:row>
    <x:row r="7" spans="1:22" ht="14.5" customHeight="1" x14ac:dyDescent="0.3">
      <x:c r="A7" s="33" t="s">
        <x:v>44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</x:row>
    <x:row r="8" spans="1:22" ht="14.5" customHeight="1" x14ac:dyDescent="0.3">
      <x:c r="A8" s="33" t="s">
        <x:v>39</x:v>
      </x:c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</x:row>
    <x:row r="10" spans="1:22" ht="13" x14ac:dyDescent="0.3">
      <x:c r="D10" s="18"/>
      <x:c r="E10" s="18"/>
      <x:c r="F10" s="18"/>
      <x:c r="G10" s="18"/>
      <x:c r="H10" s="18"/>
      <x:c r="I10" s="18"/>
    </x:row>
    <x:row r="11" spans="1:22" x14ac:dyDescent="0.25"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</x:row>
    <x:row r="13" spans="1:22" ht="25" x14ac:dyDescent="0.25">
      <x:c r="A13" s="2" t="s">
        <x:v>58</x:v>
      </x:c>
      <x:c r="B13" s="1" t="s">
        <x:v>59</x:v>
      </x:c>
      <x:c r="D13" s="11" t="s">
        <x:v>2</x:v>
      </x:c>
      <x:c r="E13" s="20" t="s">
        <x:v>61</x:v>
      </x:c>
      <x:c r="F13" s="19" t="s">
        <x:v>48</x:v>
      </x:c>
      <x:c r="G13" s="19" t="s">
        <x:v>49</x:v>
      </x:c>
      <x:c r="H13" s="19" t="s">
        <x:v>50</x:v>
      </x:c>
      <x:c r="I13" s="19" t="s">
        <x:v>51</x:v>
      </x:c>
      <x:c r="J13" s="19" t="s">
        <x:v>52</x:v>
      </x:c>
      <x:c r="K13" s="19" t="s">
        <x:v>53</x:v>
      </x:c>
      <x:c r="L13" s="19" t="s">
        <x:v>54</x:v>
      </x:c>
      <x:c r="M13" s="19" t="s">
        <x:v>55</x:v>
      </x:c>
      <x:c r="N13" s="19" t="s">
        <x:v>56</x:v>
      </x:c>
      <x:c r="O13" s="19" t="s">
        <x:v>57</x:v>
      </x:c>
    </x:row>
    <x:row r="14" spans="1:22" x14ac:dyDescent="0.25">
      <x:c r="A14" s="8">
        <x:v>1</x:v>
      </x:c>
      <x:c r="B14" s="2" t="s">
        <x:v>62</x:v>
      </x:c>
    </x:row>
    <x:row r="15" spans="1:22" x14ac:dyDescent="0.25">
      <x:c r="A15" s="8">
        <x:f>+A14+1</x:f>
        <x:v>2</x:v>
      </x:c>
      <x:c r="C15" s="2" t="s">
        <x:v>0</x:v>
      </x:c>
      <x:c r="D15" s="6">
        <x:v>17461191.489999998</x:v>
      </x:c>
      <x:c r="E15" s="23" t="s">
        <x:v>73</x:v>
      </x:c>
      <x:c r="F15" s="4">
        <x:f>ROUND(+$D15*'[1]II-F Alloc_Factor'!E$38,2)</x:f>
        <x:v>7937556.2800000003</x:v>
      </x:c>
      <x:c r="G15" s="4">
        <x:f>ROUND(+$D15*'[1]II-F Alloc_Factor'!F$38,2)</x:f>
        <x:v>0</x:v>
      </x:c>
      <x:c r="H15" s="4">
        <x:f>ROUND(+$D15*'[1]II-F Alloc_Factor'!G$38,2)</x:f>
        <x:v>6819.36</x:v>
      </x:c>
      <x:c r="I15" s="4">
        <x:f>ROUND(+$D15*'[1]II-F Alloc_Factor'!H$38,2)</x:f>
        <x:v>7944375.6399999997</x:v>
      </x:c>
      <x:c r="J15" s="4">
        <x:f>ROUND(+$D15*'[1]II-F Alloc_Factor'!I$38,2)</x:f>
        <x:v>9065485.3699999992</x:v>
      </x:c>
      <x:c r="K15" s="4">
        <x:f>ROUND(+$D15*'[1]II-F Alloc_Factor'!J$38,2)</x:f>
        <x:v>0</x:v>
      </x:c>
      <x:c r="L15" s="4">
        <x:f>ROUND(+$D15*'[1]II-F Alloc_Factor'!K$38,2)</x:f>
        <x:v>9065485.3699999992</x:v>
      </x:c>
      <x:c r="M15" s="4">
        <x:f>ROUND(+$D15*'[1]II-F Alloc_Factor'!L$38,2)</x:f>
        <x:v>271709.89</x:v>
      </x:c>
      <x:c r="N15" s="4">
        <x:f>ROUND(+$D15*'[1]II-F Alloc_Factor'!M$38,2)</x:f>
        <x:v>179620.59</x:v>
      </x:c>
      <x:c r="O15" s="4">
        <x:f>+I15+L15+M15+N15</x:f>
        <x:v>17461191.489999998</x:v>
      </x:c>
      <x:c r="P15" s="30">
        <x:f t="shared" ref="P15:P19" si="0">+O15-D15</x:f>
        <x:v>0</x:v>
      </x:c>
    </x:row>
    <x:row r="16" spans="1:22" x14ac:dyDescent="0.25">
      <x:c r="A16" s="8">
        <x:f t="shared" ref="A16:A74" si="1">+A15+1</x:f>
        <x:v>3</x:v>
      </x:c>
      <x:c r="C16" s="2" t="s">
        <x:v>1</x:v>
      </x:c>
      <x:c r="D16" s="6">
        <x:v>-2175066.63</x:v>
      </x:c>
      <x:c r="E16" s="23" t="s">
        <x:v>73</x:v>
      </x:c>
      <x:c r="F16" s="4">
        <x:f>ROUND(+$D16*'[1]II-F Alloc_Factor'!E$38,2)</x:f>
        <x:v>-988747.75</x:v>
      </x:c>
      <x:c r="G16" s="4">
        <x:f>ROUND(+$D16*'[1]II-F Alloc_Factor'!F$38,2)</x:f>
        <x:v>0</x:v>
      </x:c>
      <x:c r="H16" s="4">
        <x:f>ROUND(+$D16*'[1]II-F Alloc_Factor'!G$38,2)</x:f>
        <x:v>-849.46</x:v>
      </x:c>
      <x:c r="I16" s="4">
        <x:f>ROUND(+$D16*'[1]II-F Alloc_Factor'!H$38,2)</x:f>
        <x:v>-989597.21</x:v>
      </x:c>
      <x:c r="J16" s="4">
        <x:f>ROUND(+$D16*'[1]II-F Alloc_Factor'!I$38,2)</x:f>
        <x:v>-1129249.1000000001</x:v>
      </x:c>
      <x:c r="K16" s="4">
        <x:f>ROUND(+$D16*'[1]II-F Alloc_Factor'!J$38,2)</x:f>
        <x:v>0</x:v>
      </x:c>
      <x:c r="L16" s="4">
        <x:f>ROUND(+$D16*'[1]II-F Alloc_Factor'!K$38,2)</x:f>
        <x:v>-1129249.1000000001</x:v>
      </x:c>
      <x:c r="M16" s="4">
        <x:f>ROUND(+$D16*'[1]II-F Alloc_Factor'!L$38,2)</x:f>
        <x:v>-33845.75</x:v>
      </x:c>
      <x:c r="N16" s="4">
        <x:f>ROUND(+$D16*'[1]II-F Alloc_Factor'!M$38,2)</x:f>
        <x:v>-22374.58</x:v>
      </x:c>
      <x:c r="O16" s="4">
        <x:f>+I16+L16+M16+N16</x:f>
        <x:v>-2175066.64</x:v>
      </x:c>
      <x:c r="P16" s="30">
        <x:f t="shared" si="0"/>
        <x:v>-1.0000000242143869E-2</x:v>
      </x:c>
    </x:row>
    <x:row r="17" spans="1:16" x14ac:dyDescent="0.25">
      <x:c r="A17" s="8">
        <x:f t="shared" si="1"/>
        <x:v>4</x:v>
      </x:c>
      <x:c r="C17" s="2" t="s">
        <x:v>0</x:v>
      </x:c>
      <x:c r="D17" s="6">
        <x:v>2087265.44</x:v>
      </x:c>
      <x:c r="E17" s="23" t="s">
        <x:v>74</x:v>
      </x:c>
      <x:c r="F17" s="4">
        <x:f>ROUND(+$D17*'[1]II-F Alloc_Factor'!E$39,2)</x:f>
        <x:v>0</x:v>
      </x:c>
      <x:c r="G17" s="4">
        <x:f>ROUND(+$D17*'[1]II-F Alloc_Factor'!F$39,2)</x:f>
        <x:v>1932878.38</x:v>
      </x:c>
      <x:c r="H17" s="4">
        <x:f>ROUND(+$D17*'[1]II-F Alloc_Factor'!G$39,2)</x:f>
        <x:v>0</x:v>
      </x:c>
      <x:c r="I17" s="4">
        <x:f>ROUND(+$D17*'[1]II-F Alloc_Factor'!H$39,2)</x:f>
        <x:v>1932878.38</x:v>
      </x:c>
      <x:c r="J17" s="4">
        <x:f>ROUND(+$D17*'[1]II-F Alloc_Factor'!I$39,2)</x:f>
        <x:v>0</x:v>
      </x:c>
      <x:c r="K17" s="4">
        <x:f>ROUND(+$D17*'[1]II-F Alloc_Factor'!J$39,2)</x:f>
        <x:v>154387.06</x:v>
      </x:c>
      <x:c r="L17" s="4">
        <x:f>ROUND(+$D17*'[1]II-F Alloc_Factor'!K$39,2)</x:f>
        <x:v>154387.06</x:v>
      </x:c>
      <x:c r="M17" s="4">
        <x:f>ROUND(+$D17*'[1]II-F Alloc_Factor'!L$39,2)</x:f>
        <x:v>0</x:v>
      </x:c>
      <x:c r="N17" s="4">
        <x:f>ROUND(+$D17*'[1]II-F Alloc_Factor'!M$39,2)</x:f>
        <x:v>0</x:v>
      </x:c>
      <x:c r="O17" s="4">
        <x:f t="shared" ref="O17:O18" si="2">+I17+L17+M17+N17</x:f>
        <x:v>2087265.44</x:v>
      </x:c>
      <x:c r="P17" s="30">
        <x:f t="shared" si="0"/>
        <x:v>0</x:v>
      </x:c>
    </x:row>
    <x:row r="18" spans="1:16" x14ac:dyDescent="0.25">
      <x:c r="A18" s="8">
        <x:f t="shared" si="1"/>
        <x:v>5</x:v>
      </x:c>
      <x:c r="C18" s="2" t="s">
        <x:v>1</x:v>
      </x:c>
      <x:c r="D18" s="6">
        <x:v>-101650.18</x:v>
      </x:c>
      <x:c r="E18" s="23" t="s">
        <x:v>74</x:v>
      </x:c>
      <x:c r="F18" s="4">
        <x:f>ROUND(+$D18*'[1]II-F Alloc_Factor'!E$39,2)</x:f>
        <x:v>0</x:v>
      </x:c>
      <x:c r="G18" s="4">
        <x:f>ROUND(+$D18*'[1]II-F Alloc_Factor'!F$39,2)</x:f>
        <x:v>-94131.5</x:v>
      </x:c>
      <x:c r="H18" s="4">
        <x:f>ROUND(+$D18*'[1]II-F Alloc_Factor'!G$39,2)</x:f>
        <x:v>0</x:v>
      </x:c>
      <x:c r="I18" s="4">
        <x:f>ROUND(+$D18*'[1]II-F Alloc_Factor'!H$39,2)</x:f>
        <x:v>-94131.5</x:v>
      </x:c>
      <x:c r="J18" s="4">
        <x:f>ROUND(+$D18*'[1]II-F Alloc_Factor'!I$39,2)</x:f>
        <x:v>0</x:v>
      </x:c>
      <x:c r="K18" s="4">
        <x:f>ROUND(+$D18*'[1]II-F Alloc_Factor'!J$39,2)</x:f>
        <x:v>-7518.68</x:v>
      </x:c>
      <x:c r="L18" s="4">
        <x:f>ROUND(+$D18*'[1]II-F Alloc_Factor'!K$39,2)</x:f>
        <x:v>-7518.68</x:v>
      </x:c>
      <x:c r="M18" s="4">
        <x:f>ROUND(+$D18*'[1]II-F Alloc_Factor'!L$39,2)</x:f>
        <x:v>0</x:v>
      </x:c>
      <x:c r="N18" s="4">
        <x:f>ROUND(+$D18*'[1]II-F Alloc_Factor'!M$39,2)</x:f>
        <x:v>0</x:v>
      </x:c>
      <x:c r="O18" s="4">
        <x:f t="shared" si="2"/>
        <x:v>-101650.18</x:v>
      </x:c>
      <x:c r="P18" s="30">
        <x:f t="shared" si="0"/>
        <x:v>0</x:v>
      </x:c>
    </x:row>
    <x:row r="19" spans="1:16" ht="13" x14ac:dyDescent="0.3">
      <x:c r="A19" s="8">
        <x:f t="shared" si="1"/>
        <x:v>6</x:v>
      </x:c>
      <x:c r="B19" s="2" t="s">
        <x:v>63</x:v>
      </x:c>
      <x:c r="D19" s="12">
        <x:f>SUM(D15:D18)</x:f>
        <x:v>17271740.120000001</x:v>
      </x:c>
      <x:c r="F19" s="12">
        <x:f>SUM(F15:F18)</x:f>
        <x:v>6948808.5300000003</x:v>
      </x:c>
      <x:c r="G19" s="12">
        <x:f t="shared" ref="G19:O19" si="3">SUM(G15:G18)</x:f>
        <x:v>1838746.88</x:v>
      </x:c>
      <x:c r="H19" s="12">
        <x:f t="shared" si="3"/>
        <x:v>5969.9</x:v>
      </x:c>
      <x:c r="I19" s="12">
        <x:f t="shared" si="3"/>
        <x:v>8793525.3099999987</x:v>
      </x:c>
      <x:c r="J19" s="12">
        <x:f t="shared" si="3"/>
        <x:v>7936236.2699999996</x:v>
      </x:c>
      <x:c r="K19" s="12">
        <x:f t="shared" si="3"/>
        <x:v>146868.38</x:v>
      </x:c>
      <x:c r="L19" s="12">
        <x:f t="shared" si="3"/>
        <x:v>8083104.6499999994</x:v>
      </x:c>
      <x:c r="M19" s="12">
        <x:f t="shared" si="3"/>
        <x:v>237864.14</x:v>
      </x:c>
      <x:c r="N19" s="12">
        <x:f t="shared" si="3"/>
        <x:v>157246.01</x:v>
      </x:c>
      <x:c r="O19" s="12">
        <x:f t="shared" si="3"/>
        <x:v>17271740.109999999</x:v>
      </x:c>
      <x:c r="P19" s="30">
        <x:f t="shared" si="0"/>
        <x:v>-1.0000001639127731E-2</x:v>
      </x:c>
    </x:row>
    <x:row r="20" spans="1:16" x14ac:dyDescent="0.25">
      <x:c r="A20" s="8">
        <x:f t="shared" si="1"/>
        <x:v>7</x:v>
      </x:c>
      <x:c r="F20" s="5"/>
      <x:c r="G20" s="5"/>
      <x:c r="H20" s="5"/>
      <x:c r="I20" s="5"/>
      <x:c r="J20" s="5"/>
    </x:row>
    <x:row r="21" spans="1:16" x14ac:dyDescent="0.25">
      <x:c r="A21" s="8">
        <x:f t="shared" si="1"/>
        <x:v>8</x:v>
      </x:c>
      <x:c r="B21" s="2" t="s">
        <x:v>41</x:v>
      </x:c>
      <x:c r="F21" s="5"/>
      <x:c r="G21" s="5"/>
      <x:c r="H21" s="5"/>
      <x:c r="I21" s="5"/>
      <x:c r="J21" s="5"/>
    </x:row>
    <x:row r="22" spans="1:16" x14ac:dyDescent="0.25">
      <x:c r="A22" s="8">
        <x:f t="shared" si="1"/>
        <x:v>9</x:v>
      </x:c>
      <x:c r="C22" s="2" t="s">
        <x:v>67</x:v>
      </x:c>
      <x:c r="D22" s="6">
        <x:v>-3354497.06</x:v>
      </x:c>
      <x:c r="E22" s="23" t="s">
        <x:v>73</x:v>
      </x:c>
      <x:c r="F22" s="4">
        <x:f>ROUND(+$D22*'[1]II-F Alloc_Factor'!E$38,2)</x:f>
        <x:v>-1524896.47</x:v>
      </x:c>
      <x:c r="G22" s="4">
        <x:f>ROUND(+$D22*'[1]II-F Alloc_Factor'!F$38,2)</x:f>
        <x:v>0</x:v>
      </x:c>
      <x:c r="H22" s="4">
        <x:f>ROUND(+$D22*'[1]II-F Alloc_Factor'!G$38,2)</x:f>
        <x:v>-1310.08</x:v>
      </x:c>
      <x:c r="I22" s="4">
        <x:f>SUM(F22:H22)</x:f>
        <x:v>-1526206.55</x:v>
      </x:c>
      <x:c r="J22" s="4">
        <x:f>ROUND(+$D22*'[1]II-F Alloc_Factor'!I$38,2)</x:f>
        <x:v>-1741584.7</x:v>
      </x:c>
      <x:c r="K22" s="4">
        <x:f>ROUND(+$D22*'[1]II-F Alloc_Factor'!J$38,2)</x:f>
        <x:v>0</x:v>
      </x:c>
      <x:c r="L22" s="4">
        <x:f>SUM(J22:K22)</x:f>
        <x:v>-1741584.7</x:v>
      </x:c>
      <x:c r="M22" s="4">
        <x:f>ROUND(+$D22*'[1]II-F Alloc_Factor'!L$38,2)</x:f>
        <x:v>-52198.62</x:v>
      </x:c>
      <x:c r="N22" s="4">
        <x:f>ROUND(+$D22*'[1]II-F Alloc_Factor'!M$38,2)</x:f>
        <x:v>-34507.199999999997</x:v>
      </x:c>
      <x:c r="O22" s="4">
        <x:f t="shared" ref="O22:O34" si="4">+I22+L22+M22+N22</x:f>
        <x:v>-3354497.0700000003</x:v>
      </x:c>
      <x:c r="P22" s="30">
        <x:f>+O22-D22</x:f>
        <x:v>-1.0000000242143869E-2</x:v>
      </x:c>
    </x:row>
    <x:row r="23" spans="1:16" x14ac:dyDescent="0.25">
      <x:c r="A23" s="8">
        <x:f t="shared" si="1"/>
        <x:v>10</x:v>
      </x:c>
      <x:c r="C23" s="2" t="s">
        <x:v>3</x:v>
      </x:c>
      <x:c r="D23" s="6">
        <x:v>3701806</x:v>
      </x:c>
      <x:c r="E23" s="23" t="s">
        <x:v>85</x:v>
      </x:c>
      <x:c r="F23" s="4">
        <x:v>1718498.45</x:v>
      </x:c>
      <x:c r="G23" s="4">
        <x:v>0</x:v>
      </x:c>
      <x:c r="H23" s="4">
        <x:v>2192.4299999999998</x:v>
      </x:c>
      <x:c r="I23" s="4">
        <x:f t="shared" ref="I23:I34" si="5">SUM(F23:H23)</x:f>
        <x:v>1720690.88</x:v>
      </x:c>
      <x:c r="J23" s="4">
        <x:v>1863684.91</x:v>
      </x:c>
      <x:c r="K23" s="4">
        <x:v>0</x:v>
      </x:c>
      <x:c r="L23" s="4">
        <x:f t="shared" ref="L23:L34" si="6">SUM(J23:K23)</x:f>
        <x:v>1863684.91</x:v>
      </x:c>
      <x:c r="M23" s="4">
        <x:v>63381.599999999999</x:v>
      </x:c>
      <x:c r="N23" s="4">
        <x:v>54048.61</x:v>
      </x:c>
      <x:c r="O23" s="4">
        <x:f t="shared" si="4"/>
        <x:v>3701806</x:v>
      </x:c>
      <x:c r="P23" s="30">
        <x:f t="shared" ref="P23:P35" si="7">+O23-D23</x:f>
        <x:v>0</x:v>
      </x:c>
    </x:row>
    <x:row r="24" spans="1:16" x14ac:dyDescent="0.25">
      <x:c r="A24" s="8">
        <x:f t="shared" si="1"/>
        <x:v>11</x:v>
      </x:c>
      <x:c r="C24" s="2" t="s">
        <x:v>4</x:v>
      </x:c>
      <x:c r="D24" s="6">
        <x:v>1984777.6</x:v>
      </x:c>
      <x:c r="E24" s="23" t="s">
        <x:v>85</x:v>
      </x:c>
      <x:c r="F24" s="4">
        <x:v>921398.16</x:v>
      </x:c>
      <x:c r="G24" s="4">
        <x:v>0</x:v>
      </x:c>
      <x:c r="H24" s="4">
        <x:v>1175.5</x:v>
      </x:c>
      <x:c r="I24" s="4">
        <x:f t="shared" si="5"/>
        <x:v>922573.66</x:v>
      </x:c>
      <x:c r="J24" s="4">
        <x:v>999242.01</x:v>
      </x:c>
      <x:c r="K24" s="4">
        <x:v>0</x:v>
      </x:c>
      <x:c r="L24" s="4">
        <x:f t="shared" si="6"/>
        <x:v>999242.01</x:v>
      </x:c>
      <x:c r="M24" s="4">
        <x:v>33982.97</x:v>
      </x:c>
      <x:c r="N24" s="4">
        <x:v>28978.959999999999</x:v>
      </x:c>
      <x:c r="O24" s="4">
        <x:f t="shared" si="4"/>
        <x:v>1984777.5999999999</x:v>
      </x:c>
      <x:c r="P24" s="30">
        <x:f t="shared" si="7"/>
        <x:v>0</x:v>
      </x:c>
    </x:row>
    <x:row r="25" spans="1:16" x14ac:dyDescent="0.25">
      <x:c r="A25" s="8">
        <x:f t="shared" si="1"/>
        <x:v>12</x:v>
      </x:c>
      <x:c r="C25" s="2" t="s">
        <x:v>5</x:v>
      </x:c>
      <x:c r="D25" s="6">
        <x:v>2351357.6</x:v>
      </x:c>
      <x:c r="E25" s="23" t="s">
        <x:v>85</x:v>
      </x:c>
      <x:c r="F25" s="4">
        <x:v>1091576.49</x:v>
      </x:c>
      <x:c r="G25" s="4">
        <x:v>0</x:v>
      </x:c>
      <x:c r="H25" s="4">
        <x:v>1392.61</x:v>
      </x:c>
      <x:c r="I25" s="4">
        <x:f t="shared" si="5"/>
        <x:v>1092969.1000000001</x:v>
      </x:c>
      <x:c r="J25" s="4">
        <x:v>1183797.76</x:v>
      </x:c>
      <x:c r="K25" s="4">
        <x:v>0</x:v>
      </x:c>
      <x:c r="L25" s="4">
        <x:f t="shared" si="6"/>
        <x:v>1183797.76</x:v>
      </x:c>
      <x:c r="M25" s="4">
        <x:v>40259.49</x:v>
      </x:c>
      <x:c r="N25" s="4">
        <x:v>34331.25</x:v>
      </x:c>
      <x:c r="O25" s="4">
        <x:f t="shared" si="4"/>
        <x:v>2351357.6000000006</x:v>
      </x:c>
      <x:c r="P25" s="30">
        <x:f t="shared" si="7"/>
        <x:v>0</x:v>
      </x:c>
    </x:row>
    <x:row r="26" spans="1:16" x14ac:dyDescent="0.25">
      <x:c r="A26" s="8">
        <x:f t="shared" si="1"/>
        <x:v>13</x:v>
      </x:c>
      <x:c r="C26" s="2" t="s">
        <x:v>6</x:v>
      </x:c>
      <x:c r="D26" s="6">
        <x:v>1385041.7999999998</x:v>
      </x:c>
      <x:c r="E26" s="23" t="s">
        <x:v>85</x:v>
      </x:c>
      <x:c r="F26" s="4">
        <x:v>642981.34</x:v>
      </x:c>
      <x:c r="G26" s="4">
        <x:v>0</x:v>
      </x:c>
      <x:c r="H26" s="4">
        <x:v>820.3</x:v>
      </x:c>
      <x:c r="I26" s="4">
        <x:f t="shared" si="5"/>
        <x:v>643801.64</x:v>
      </x:c>
      <x:c r="J26" s="4">
        <x:v>697303.29</x:v>
      </x:c>
      <x:c r="K26" s="4">
        <x:v>0</x:v>
      </x:c>
      <x:c r="L26" s="4">
        <x:f t="shared" si="6"/>
        <x:v>697303.29</x:v>
      </x:c>
      <x:c r="M26" s="4">
        <x:v>23714.42</x:v>
      </x:c>
      <x:c r="N26" s="4">
        <x:v>20222.450000000015</x:v>
      </x:c>
      <x:c r="O26" s="4">
        <x:f t="shared" si="4"/>
        <x:v>1385041.8</x:v>
      </x:c>
      <x:c r="P26" s="30">
        <x:f t="shared" si="7"/>
        <x:v>0</x:v>
      </x:c>
    </x:row>
    <x:row r="27" spans="1:16" x14ac:dyDescent="0.25">
      <x:c r="A27" s="8">
        <x:f t="shared" si="1"/>
        <x:v>14</x:v>
      </x:c>
      <x:c r="C27" s="2" t="s">
        <x:v>7</x:v>
      </x:c>
      <x:c r="D27" s="6">
        <x:v>6074333</x:v>
      </x:c>
      <x:c r="E27" s="23" t="s">
        <x:v>85</x:v>
      </x:c>
      <x:c r="F27" s="4">
        <x:v>2819902.46</x:v>
      </x:c>
      <x:c r="G27" s="4">
        <x:v>0</x:v>
      </x:c>
      <x:c r="H27" s="4">
        <x:v>3597.58</x:v>
      </x:c>
      <x:c r="I27" s="4">
        <x:f t="shared" si="5"/>
        <x:v>2823500.04</x:v>
      </x:c>
      <x:c r="J27" s="4">
        <x:v>3058140.47</x:v>
      </x:c>
      <x:c r="K27" s="4">
        <x:v>0</x:v>
      </x:c>
      <x:c r="L27" s="4">
        <x:f t="shared" si="6"/>
        <x:v>3058140.47</x:v>
      </x:c>
      <x:c r="M27" s="4">
        <x:v>104003.54</x:v>
      </x:c>
      <x:c r="N27" s="4">
        <x:v>88688.95</x:v>
      </x:c>
      <x:c r="O27" s="4">
        <x:f t="shared" si="4"/>
        <x:v>6074333</x:v>
      </x:c>
      <x:c r="P27" s="30">
        <x:f t="shared" si="7"/>
        <x:v>0</x:v>
      </x:c>
    </x:row>
    <x:row r="28" spans="1:16" x14ac:dyDescent="0.25">
      <x:c r="A28" s="8">
        <x:f t="shared" si="1"/>
        <x:v>15</x:v>
      </x:c>
      <x:c r="C28" s="2" t="s">
        <x:v>8</x:v>
      </x:c>
      <x:c r="D28" s="6">
        <x:v>16482281.6</x:v>
      </x:c>
      <x:c r="E28" s="23" t="s">
        <x:v>85</x:v>
      </x:c>
      <x:c r="F28" s="4">
        <x:v>7651609.8899999997</x:v>
      </x:c>
      <x:c r="G28" s="4">
        <x:v>0</x:v>
      </x:c>
      <x:c r="H28" s="4">
        <x:v>9761.7900000000009</x:v>
      </x:c>
      <x:c r="I28" s="4">
        <x:f t="shared" si="5"/>
        <x:v>7661371.6799999997</x:v>
      </x:c>
      <x:c r="J28" s="4">
        <x:v>8298052.2000000002</x:v>
      </x:c>
      <x:c r="K28" s="4">
        <x:v>0</x:v>
      </x:c>
      <x:c r="L28" s="4">
        <x:f t="shared" si="6"/>
        <x:v>8298052.2000000002</x:v>
      </x:c>
      <x:c r="M28" s="4">
        <x:v>282206.40999999997</x:v>
      </x:c>
      <x:c r="N28" s="4">
        <x:v>240651.31</x:v>
      </x:c>
      <x:c r="O28" s="4">
        <x:f t="shared" si="4"/>
        <x:v>16482281.6</x:v>
      </x:c>
      <x:c r="P28" s="31">
        <x:f t="shared" si="7"/>
        <x:v>0</x:v>
      </x:c>
    </x:row>
    <x:row r="29" spans="1:16" x14ac:dyDescent="0.25">
      <x:c r="A29" s="8">
        <x:f t="shared" si="1"/>
        <x:v>16</x:v>
      </x:c>
      <x:c r="C29" s="2" t="s">
        <x:v>9</x:v>
      </x:c>
      <x:c r="D29" s="6">
        <x:v>6865815.4000000004</x:v>
      </x:c>
      <x:c r="E29" s="23" t="s">
        <x:v>85</x:v>
      </x:c>
      <x:c r="F29" s="4">
        <x:v>3187334.27</x:v>
      </x:c>
      <x:c r="G29" s="4">
        <x:v>0</x:v>
      </x:c>
      <x:c r="H29" s="4">
        <x:v>4066.34</x:v>
      </x:c>
      <x:c r="I29" s="4">
        <x:f t="shared" si="5"/>
        <x:v>3191400.61</x:v>
      </x:c>
      <x:c r="J29" s="4">
        <x:v>3456614.57</x:v>
      </x:c>
      <x:c r="K29" s="4">
        <x:v>0</x:v>
      </x:c>
      <x:c r="L29" s="4">
        <x:f t="shared" si="6"/>
        <x:v>3456614.57</x:v>
      </x:c>
      <x:c r="M29" s="4">
        <x:v>117555.15000000001</x:v>
      </x:c>
      <x:c r="N29" s="4">
        <x:v>100245.07</x:v>
      </x:c>
      <x:c r="O29" s="4">
        <x:f t="shared" si="4"/>
        <x:v>6865815.4000000004</x:v>
      </x:c>
      <x:c r="P29" s="31">
        <x:f t="shared" si="7"/>
        <x:v>0</x:v>
      </x:c>
    </x:row>
    <x:row r="30" spans="1:16" x14ac:dyDescent="0.25">
      <x:c r="A30" s="8">
        <x:f t="shared" si="1"/>
        <x:v>17</x:v>
      </x:c>
      <x:c r="C30" s="2" t="s">
        <x:v>10</x:v>
      </x:c>
      <x:c r="D30" s="6">
        <x:v>-2613994.4</x:v>
      </x:c>
      <x:c r="E30" s="23" t="s">
        <x:v>85</x:v>
      </x:c>
      <x:c r="F30" s="4">
        <x:v>-1213501.01</x:v>
      </x:c>
      <x:c r="G30" s="4">
        <x:v>0</x:v>
      </x:c>
      <x:c r="H30" s="4">
        <x:v>-1548.16</x:v>
      </x:c>
      <x:c r="I30" s="4">
        <x:f t="shared" si="5"/>
        <x:v>-1215049.17</x:v>
      </x:c>
      <x:c r="J30" s="4">
        <x:v>-1316023.03</x:v>
      </x:c>
      <x:c r="K30" s="4">
        <x:v>0</x:v>
      </x:c>
      <x:c r="L30" s="4">
        <x:f t="shared" si="6"/>
        <x:v>-1316023.03</x:v>
      </x:c>
      <x:c r="M30" s="4">
        <x:v>-44756.3</x:v>
      </x:c>
      <x:c r="N30" s="4">
        <x:v>-38165.9</x:v>
      </x:c>
      <x:c r="O30" s="4">
        <x:f t="shared" si="4"/>
        <x:v>-2613994.4</x:v>
      </x:c>
      <x:c r="P30" s="30">
        <x:f t="shared" si="7"/>
        <x:v>0</x:v>
      </x:c>
    </x:row>
    <x:row r="31" spans="1:16" x14ac:dyDescent="0.25">
      <x:c r="A31" s="8">
        <x:f t="shared" si="1"/>
        <x:v>18</x:v>
      </x:c>
      <x:c r="C31" s="2" t="s">
        <x:v>40</x:v>
      </x:c>
      <x:c r="D31" s="6">
        <x:v>303491.60000000009</x:v>
      </x:c>
      <x:c r="E31" s="23" t="s">
        <x:v>85</x:v>
      </x:c>
      <x:c r="F31" s="4">
        <x:v>140890.65</x:v>
      </x:c>
      <x:c r="G31" s="4">
        <x:v>0</x:v>
      </x:c>
      <x:c r="H31" s="4">
        <x:v>179.75</x:v>
      </x:c>
      <x:c r="I31" s="4">
        <x:f t="shared" si="5"/>
        <x:v>141070.39999999999</x:v>
      </x:c>
      <x:c r="J31" s="4">
        <x:v>152793.72</x:v>
      </x:c>
      <x:c r="K31" s="4">
        <x:v>0</x:v>
      </x:c>
      <x:c r="L31" s="4">
        <x:f t="shared" si="6"/>
        <x:v>152793.72</x:v>
      </x:c>
      <x:c r="M31" s="4">
        <x:v>5196.32</x:v>
      </x:c>
      <x:c r="N31" s="4">
        <x:v>4431.16</x:v>
      </x:c>
      <x:c r="O31" s="4">
        <x:f t="shared" si="4"/>
        <x:v>303491.59999999998</x:v>
      </x:c>
      <x:c r="P31" s="30">
        <x:f t="shared" si="7"/>
        <x:v>0</x:v>
      </x:c>
    </x:row>
    <x:row r="32" spans="1:16" x14ac:dyDescent="0.25">
      <x:c r="A32" s="8">
        <x:f t="shared" si="1"/>
        <x:v>19</x:v>
      </x:c>
      <x:c r="C32" s="2" t="s">
        <x:v>64</x:v>
      </x:c>
      <x:c r="D32" s="6">
        <x:v>-147140.66000000015</x:v>
      </x:c>
      <x:c r="E32" s="23" t="s">
        <x:v>74</x:v>
      </x:c>
      <x:c r="F32" s="4">
        <x:f>ROUND(+$D32*'[1]II-F Alloc_Factor'!E$39,2)</x:f>
        <x:v>0</x:v>
      </x:c>
      <x:c r="G32" s="4">
        <x:f>ROUND(+$D32*'[1]II-F Alloc_Factor'!F$39,2)</x:f>
        <x:v>-136257.23000000001</x:v>
      </x:c>
      <x:c r="H32" s="4">
        <x:f>ROUND(+$D32*'[1]II-F Alloc_Factor'!G$39,2)</x:f>
        <x:v>0</x:v>
      </x:c>
      <x:c r="I32" s="4">
        <x:f t="shared" si="5"/>
        <x:v>-136257.23000000001</x:v>
      </x:c>
      <x:c r="J32" s="4">
        <x:f>ROUND(+$D32*'[1]II-F Alloc_Factor'!I$39,2)</x:f>
        <x:v>0</x:v>
      </x:c>
      <x:c r="K32" s="4">
        <x:f>ROUND(+$D32*'[1]II-F Alloc_Factor'!J$39,2)</x:f>
        <x:v>-10883.43</x:v>
      </x:c>
      <x:c r="L32" s="4">
        <x:f t="shared" si="6"/>
        <x:v>-10883.43</x:v>
      </x:c>
      <x:c r="M32" s="4">
        <x:f>ROUND(+$D32*'[1]II-F Alloc_Factor'!L$39,2)</x:f>
        <x:v>0</x:v>
      </x:c>
      <x:c r="N32" s="4">
        <x:f>ROUND(+$D32*'[1]II-F Alloc_Factor'!M$39,2)</x:f>
        <x:v>0</x:v>
      </x:c>
      <x:c r="O32" s="4">
        <x:f t="shared" si="4"/>
        <x:v>-147140.66</x:v>
      </x:c>
      <x:c r="P32" s="30">
        <x:f t="shared" si="7"/>
        <x:v>0</x:v>
      </x:c>
    </x:row>
    <x:row r="33" spans="1:16" x14ac:dyDescent="0.25">
      <x:c r="A33" s="8">
        <x:f t="shared" si="1"/>
        <x:v>20</x:v>
      </x:c>
      <x:c r="C33" s="2" t="s">
        <x:v>65</x:v>
      </x:c>
      <x:c r="D33" s="7">
        <x:v>80939</x:v>
      </x:c>
      <x:c r="E33" s="23" t="s">
        <x:v>86</x:v>
      </x:c>
      <x:c r="F33" s="4">
        <x:v>0</x:v>
      </x:c>
      <x:c r="G33" s="4">
        <x:v>74820.509999999995</x:v>
      </x:c>
      <x:c r="H33" s="4">
        <x:v>0</x:v>
      </x:c>
      <x:c r="I33" s="4">
        <x:f t="shared" si="5"/>
        <x:v>74820.509999999995</x:v>
      </x:c>
      <x:c r="J33" s="4">
        <x:v>0</x:v>
      </x:c>
      <x:c r="K33" s="4">
        <x:v>6118.49</x:v>
      </x:c>
      <x:c r="L33" s="4">
        <x:f t="shared" si="6"/>
        <x:v>6118.49</x:v>
      </x:c>
      <x:c r="M33" s="4">
        <x:v>0</x:v>
      </x:c>
      <x:c r="N33" s="4">
        <x:v>0</x:v>
      </x:c>
      <x:c r="O33" s="4">
        <x:f t="shared" si="4"/>
        <x:v>80939</x:v>
      </x:c>
      <x:c r="P33" s="30">
        <x:f t="shared" si="7"/>
        <x:v>0</x:v>
      </x:c>
    </x:row>
    <x:row r="34" spans="1:16" x14ac:dyDescent="0.25">
      <x:c r="A34" s="8">
        <x:f t="shared" si="1"/>
        <x:v>21</x:v>
      </x:c>
      <x:c r="C34" s="2" t="s">
        <x:v>66</x:v>
      </x:c>
      <x:c r="D34" s="7">
        <x:v>-44297.599999999999</x:v>
      </x:c>
      <x:c r="E34" s="23" t="s">
        <x:v>86</x:v>
      </x:c>
      <x:c r="F34" s="6">
        <x:v>0</x:v>
      </x:c>
      <x:c r="G34" s="7">
        <x:v>-40948.97</x:v>
      </x:c>
      <x:c r="H34" s="7">
        <x:v>0</x:v>
      </x:c>
      <x:c r="I34" s="4">
        <x:f t="shared" si="5"/>
        <x:v>-40948.97</x:v>
      </x:c>
      <x:c r="J34" s="26">
        <x:v>0</x:v>
      </x:c>
      <x:c r="K34" s="27">
        <x:v>-3348.63</x:v>
      </x:c>
      <x:c r="L34" s="4">
        <x:f t="shared" si="6"/>
        <x:v>-3348.63</x:v>
      </x:c>
      <x:c r="M34" s="27">
        <x:v>0</x:v>
      </x:c>
      <x:c r="N34" s="27">
        <x:v>0</x:v>
      </x:c>
      <x:c r="O34" s="4">
        <x:f t="shared" si="4"/>
        <x:v>-44297.599999999999</x:v>
      </x:c>
      <x:c r="P34" s="30">
        <x:f t="shared" si="7"/>
        <x:v>0</x:v>
      </x:c>
    </x:row>
    <x:row r="35" spans="1:16" x14ac:dyDescent="0.25">
      <x:c r="A35" s="8">
        <x:f t="shared" si="1"/>
        <x:v>22</x:v>
      </x:c>
      <x:c r="C35" s="2" t="s">
        <x:v>36</x:v>
      </x:c>
      <x:c r="D35" s="13">
        <x:f>SUM(D22:D34)</x:f>
        <x:v>33069913.879999999</x:v>
      </x:c>
      <x:c r="F35" s="13">
        <x:f t="shared" ref="F35:O35" si="8">SUM(F22:F34)</x:f>
        <x:v>15435794.23</x:v>
      </x:c>
      <x:c r="G35" s="13">
        <x:f t="shared" si="8"/>
        <x:v>-102385.69000000002</x:v>
      </x:c>
      <x:c r="H35" s="13">
        <x:f t="shared" si="8"/>
        <x:v>20328.060000000001</x:v>
      </x:c>
      <x:c r="I35" s="13">
        <x:f t="shared" si="8"/>
        <x:v>15353736.599999998</x:v>
      </x:c>
      <x:c r="J35" s="13">
        <x:f t="shared" si="8"/>
        <x:v>16652021.200000003</x:v>
      </x:c>
      <x:c r="K35" s="13">
        <x:f t="shared" si="8"/>
        <x:v>-8113.5700000000006</x:v>
      </x:c>
      <x:c r="L35" s="13">
        <x:f t="shared" si="8"/>
        <x:v>16643907.630000003</x:v>
      </x:c>
      <x:c r="M35" s="13">
        <x:f t="shared" si="8"/>
        <x:v>573344.97999999986</x:v>
      </x:c>
      <x:c r="N35" s="13">
        <x:f t="shared" si="8"/>
        <x:v>498924.66</x:v>
      </x:c>
      <x:c r="O35" s="13">
        <x:f t="shared" si="8"/>
        <x:v>33069913.870000001</x:v>
      </x:c>
      <x:c r="P35" s="30">
        <x:f t="shared" si="7"/>
        <x:v>-9.9999979138374329E-3</x:v>
      </x:c>
    </x:row>
    <x:row r="36" spans="1:16" x14ac:dyDescent="0.25">
      <x:c r="A36" s="8">
        <x:f t="shared" si="1"/>
        <x:v>23</x:v>
      </x:c>
      <x:c r="D36" s="21"/>
      <x:c r="F36" s="5"/>
      <x:c r="G36" s="5"/>
      <x:c r="H36" s="5"/>
      <x:c r="I36" s="5"/>
      <x:c r="J36" s="6"/>
      <x:c r="P36" s="32"/>
    </x:row>
    <x:row r="37" spans="1:16" s="5" customFormat="1" x14ac:dyDescent="0.25">
      <x:c r="A37" s="8">
        <x:f t="shared" si="1"/>
        <x:v>24</x:v>
      </x:c>
      <x:c r="C37" s="17" t="s">
        <x:v>11</x:v>
      </x:c>
      <x:c r="D37" s="6">
        <x:v>-65965.399999999994</x:v>
      </x:c>
      <x:c r="E37" s="24" t="s">
        <x:v>75</x:v>
      </x:c>
      <x:c r="F37" s="7">
        <x:v>0</x:v>
      </x:c>
      <x:c r="G37" s="7">
        <x:v>0</x:v>
      </x:c>
      <x:c r="H37" s="7">
        <x:v>0</x:v>
      </x:c>
      <x:c r="I37" s="7">
        <x:f>SUM(F37:H37)</x:f>
        <x:v>0</x:v>
      </x:c>
      <x:c r="J37" s="7">
        <x:f>+D37</x:f>
        <x:v>-65965.399999999994</x:v>
      </x:c>
      <x:c r="K37" s="7">
        <x:v>0</x:v>
      </x:c>
      <x:c r="L37" s="7">
        <x:f>SUM(J37:K37)</x:f>
        <x:v>-65965.399999999994</x:v>
      </x:c>
      <x:c r="M37" s="7">
        <x:v>0</x:v>
      </x:c>
      <x:c r="N37" s="7">
        <x:v>0</x:v>
      </x:c>
      <x:c r="O37" s="3">
        <x:f t="shared" ref="O37:O63" si="9">+I37+L37+M37+N37</x:f>
        <x:v>-65965.399999999994</x:v>
      </x:c>
      <x:c r="P37" s="30">
        <x:f>+O37-D37</x:f>
        <x:v>0</x:v>
      </x:c>
    </x:row>
    <x:row r="38" spans="1:16" s="5" customFormat="1" x14ac:dyDescent="0.25">
      <x:c r="A38" s="8">
        <x:f t="shared" si="1"/>
        <x:v>25</x:v>
      </x:c>
      <x:c r="C38" s="17" t="s">
        <x:v>12</x:v>
      </x:c>
      <x:c r="D38" s="6">
        <x:v>-20818.400000000001</x:v>
      </x:c>
      <x:c r="E38" s="24" t="s">
        <x:v>75</x:v>
      </x:c>
      <x:c r="F38" s="7"/>
      <x:c r="G38" s="7">
        <x:v>0</x:v>
      </x:c>
      <x:c r="H38" s="7">
        <x:v>0</x:v>
      </x:c>
      <x:c r="I38" s="7">
        <x:f t="shared" ref="I38:I65" si="10">SUM(F38:H38)</x:f>
        <x:v>0</x:v>
      </x:c>
      <x:c r="J38" s="7"/>
      <x:c r="K38" s="7">
        <x:v>0</x:v>
      </x:c>
      <x:c r="L38" s="7">
        <x:f t="shared" ref="L38:L65" si="11">SUM(J38:K38)</x:f>
        <x:v>0</x:v>
      </x:c>
      <x:c r="M38" s="7">
        <x:f>+D38</x:f>
        <x:v>-20818.400000000001</x:v>
      </x:c>
      <x:c r="N38" s="7">
        <x:v>0</x:v>
      </x:c>
      <x:c r="O38" s="3">
        <x:f t="shared" si="9"/>
        <x:v>-20818.400000000001</x:v>
      </x:c>
      <x:c r="P38" s="30">
        <x:f t="shared" ref="P38:P74" si="12">+O38-D38</x:f>
        <x:v>0</x:v>
      </x:c>
    </x:row>
    <x:row r="39" spans="1:16" s="5" customFormat="1" x14ac:dyDescent="0.25">
      <x:c r="A39" s="8">
        <x:f t="shared" si="1"/>
        <x:v>26</x:v>
      </x:c>
      <x:c r="C39" s="17" t="s">
        <x:v>13</x:v>
      </x:c>
      <x:c r="D39" s="6">
        <x:v>-54707.200000000004</x:v>
      </x:c>
      <x:c r="E39" s="24" t="s">
        <x:v>77</x:v>
      </x:c>
      <x:c r="F39" s="3">
        <x:v>-12046.61</x:v>
      </x:c>
      <x:c r="G39" s="7">
        <x:v>0</x:v>
      </x:c>
      <x:c r="H39" s="7">
        <x:v>0</x:v>
      </x:c>
      <x:c r="I39" s="7">
        <x:f t="shared" si="10"/>
        <x:v>-12046.61</x:v>
      </x:c>
      <x:c r="J39" s="3">
        <x:v>-33234.6</x:v>
      </x:c>
      <x:c r="K39" s="7">
        <x:v>0</x:v>
      </x:c>
      <x:c r="L39" s="7">
        <x:f t="shared" si="11"/>
        <x:v>-33234.6</x:v>
      </x:c>
      <x:c r="M39" s="3">
        <x:v>-9061.35</x:v>
      </x:c>
      <x:c r="N39" s="3">
        <x:v>-364.64</x:v>
      </x:c>
      <x:c r="O39" s="3">
        <x:f t="shared" si="9"/>
        <x:v>-54707.199999999997</x:v>
      </x:c>
      <x:c r="P39" s="30">
        <x:f t="shared" si="12"/>
        <x:v>0</x:v>
      </x:c>
    </x:row>
    <x:row r="40" spans="1:16" s="5" customFormat="1" x14ac:dyDescent="0.25">
      <x:c r="A40" s="8">
        <x:f t="shared" si="1"/>
        <x:v>27</x:v>
      </x:c>
      <x:c r="C40" s="17" t="s">
        <x:v>14</x:v>
      </x:c>
      <x:c r="D40" s="6">
        <x:v>-587500.40000000014</x:v>
      </x:c>
      <x:c r="E40" s="24" t="s">
        <x:v>77</x:v>
      </x:c>
      <x:c r="F40" s="3">
        <x:v>-129368.51</x:v>
      </x:c>
      <x:c r="G40" s="7">
        <x:v>0</x:v>
      </x:c>
      <x:c r="H40" s="7">
        <x:v>0</x:v>
      </x:c>
      <x:c r="I40" s="7">
        <x:f t="shared" si="10"/>
        <x:v>-129368.51</x:v>
      </x:c>
      <x:c r="J40" s="3">
        <x:v>-356906.21</x:v>
      </x:c>
      <x:c r="K40" s="7">
        <x:v>0</x:v>
      </x:c>
      <x:c r="L40" s="7">
        <x:f t="shared" si="11"/>
        <x:v>-356906.21</x:v>
      </x:c>
      <x:c r="M40" s="3">
        <x:v>-97309.81</x:v>
      </x:c>
      <x:c r="N40" s="3">
        <x:v>-3915.87</x:v>
      </x:c>
      <x:c r="O40" s="3">
        <x:f t="shared" si="9"/>
        <x:v>-587500.4</x:v>
      </x:c>
      <x:c r="P40" s="30">
        <x:f t="shared" si="12"/>
        <x:v>0</x:v>
      </x:c>
    </x:row>
    <x:row r="41" spans="1:16" s="5" customFormat="1" x14ac:dyDescent="0.25">
      <x:c r="A41" s="8">
        <x:f t="shared" si="1"/>
        <x:v>28</x:v>
      </x:c>
      <x:c r="C41" s="17" t="s">
        <x:v>15</x:v>
      </x:c>
      <x:c r="D41" s="6">
        <x:v>-1197930.2</x:v>
      </x:c>
      <x:c r="E41" s="24" t="s">
        <x:v>75</x:v>
      </x:c>
      <x:c r="F41" s="7">
        <x:v>0</x:v>
      </x:c>
      <x:c r="G41" s="7">
        <x:v>0</x:v>
      </x:c>
      <x:c r="H41" s="7">
        <x:v>0</x:v>
      </x:c>
      <x:c r="I41" s="7">
        <x:f t="shared" si="10"/>
        <x:v>0</x:v>
      </x:c>
      <x:c r="J41" s="7">
        <x:f>+D41</x:f>
        <x:v>-1197930.2</x:v>
      </x:c>
      <x:c r="K41" s="7">
        <x:v>0</x:v>
      </x:c>
      <x:c r="L41" s="7">
        <x:f t="shared" si="11"/>
        <x:v>-1197930.2</x:v>
      </x:c>
      <x:c r="M41" s="7">
        <x:v>0</x:v>
      </x:c>
      <x:c r="N41" s="7"/>
      <x:c r="O41" s="3">
        <x:f t="shared" si="9"/>
        <x:v>-1197930.2</x:v>
      </x:c>
      <x:c r="P41" s="30">
        <x:f t="shared" si="12"/>
        <x:v>0</x:v>
      </x:c>
    </x:row>
    <x:row r="42" spans="1:16" s="5" customFormat="1" x14ac:dyDescent="0.25">
      <x:c r="A42" s="8">
        <x:f t="shared" si="1"/>
        <x:v>29</x:v>
      </x:c>
      <x:c r="C42" s="17" t="s">
        <x:v>16</x:v>
      </x:c>
      <x:c r="D42" s="6">
        <x:v>148307.6</x:v>
      </x:c>
      <x:c r="E42" s="24" t="s">
        <x:v>75</x:v>
      </x:c>
      <x:c r="F42" s="7">
        <x:v>0</x:v>
      </x:c>
      <x:c r="G42" s="7">
        <x:v>0</x:v>
      </x:c>
      <x:c r="H42" s="7">
        <x:v>0</x:v>
      </x:c>
      <x:c r="I42" s="7">
        <x:f t="shared" si="10"/>
        <x:v>0</x:v>
      </x:c>
      <x:c r="J42" s="7">
        <x:f>+D42</x:f>
        <x:v>148307.6</x:v>
      </x:c>
      <x:c r="K42" s="7">
        <x:v>0</x:v>
      </x:c>
      <x:c r="L42" s="7">
        <x:f t="shared" si="11"/>
        <x:v>148307.6</x:v>
      </x:c>
      <x:c r="M42" s="7">
        <x:v>0</x:v>
      </x:c>
      <x:c r="N42" s="7">
        <x:v>0</x:v>
      </x:c>
      <x:c r="O42" s="3">
        <x:f t="shared" si="9"/>
        <x:v>148307.6</x:v>
      </x:c>
      <x:c r="P42" s="30">
        <x:f t="shared" si="12"/>
        <x:v>0</x:v>
      </x:c>
    </x:row>
    <x:row r="43" spans="1:16" s="5" customFormat="1" x14ac:dyDescent="0.25">
      <x:c r="A43" s="8">
        <x:f t="shared" si="1"/>
        <x:v>30</x:v>
      </x:c>
      <x:c r="C43" s="17" t="s">
        <x:v>17</x:v>
      </x:c>
      <x:c r="D43" s="6">
        <x:v>-102953.2</x:v>
      </x:c>
      <x:c r="E43" s="24" t="s">
        <x:v>78</x:v>
      </x:c>
      <x:c r="F43" s="3">
        <x:v>-22254.68</x:v>
      </x:c>
      <x:c r="G43" s="7">
        <x:v>0</x:v>
      </x:c>
      <x:c r="H43" s="7">
        <x:v>0</x:v>
      </x:c>
      <x:c r="I43" s="7">
        <x:f t="shared" si="10"/>
        <x:v>-22254.68</x:v>
      </x:c>
      <x:c r="J43" s="3">
        <x:v>-80698.52</x:v>
      </x:c>
      <x:c r="K43" s="7">
        <x:v>0</x:v>
      </x:c>
      <x:c r="L43" s="7">
        <x:f t="shared" si="11"/>
        <x:v>-80698.52</x:v>
      </x:c>
      <x:c r="M43" s="3">
        <x:v>0</x:v>
      </x:c>
      <x:c r="N43" s="3">
        <x:v>0</x:v>
      </x:c>
      <x:c r="O43" s="3">
        <x:f t="shared" si="9"/>
        <x:v>-102953.20000000001</x:v>
      </x:c>
      <x:c r="P43" s="30">
        <x:f t="shared" si="12"/>
        <x:v>0</x:v>
      </x:c>
    </x:row>
    <x:row r="44" spans="1:16" s="5" customFormat="1" x14ac:dyDescent="0.25">
      <x:c r="A44" s="8">
        <x:f t="shared" si="1"/>
        <x:v>31</x:v>
      </x:c>
      <x:c r="C44" s="17" t="s">
        <x:v>18</x:v>
      </x:c>
      <x:c r="D44" s="6">
        <x:v>-777280.6</x:v>
      </x:c>
      <x:c r="E44" s="24" t="s">
        <x:v>79</x:v>
      </x:c>
      <x:c r="F44" s="3">
        <x:v>-223108.47</x:v>
      </x:c>
      <x:c r="G44" s="7">
        <x:v>0</x:v>
      </x:c>
      <x:c r="H44" s="7">
        <x:v>0</x:v>
      </x:c>
      <x:c r="I44" s="7">
        <x:f t="shared" si="10"/>
        <x:v>-223108.47</x:v>
      </x:c>
      <x:c r="J44" s="3">
        <x:v>-384828.33</x:v>
      </x:c>
      <x:c r="K44" s="7">
        <x:v>0</x:v>
      </x:c>
      <x:c r="L44" s="7">
        <x:f t="shared" si="11"/>
        <x:v>-384828.33</x:v>
      </x:c>
      <x:c r="M44" s="3">
        <x:v>-127472.03</x:v>
      </x:c>
      <x:c r="N44" s="3">
        <x:v>-41871.769999999997</x:v>
      </x:c>
      <x:c r="O44" s="3">
        <x:f t="shared" si="9"/>
        <x:v>-777280.60000000009</x:v>
      </x:c>
      <x:c r="P44" s="30">
        <x:f t="shared" si="12"/>
        <x:v>0</x:v>
      </x:c>
    </x:row>
    <x:row r="45" spans="1:16" s="5" customFormat="1" x14ac:dyDescent="0.25">
      <x:c r="A45" s="8">
        <x:f t="shared" si="1"/>
        <x:v>32</x:v>
      </x:c>
      <x:c r="C45" s="17" t="s">
        <x:v>19</x:v>
      </x:c>
      <x:c r="D45" s="6">
        <x:v>-521852.8</x:v>
      </x:c>
      <x:c r="E45" s="24" t="s">
        <x:v>79</x:v>
      </x:c>
      <x:c r="F45" s="3">
        <x:v>-149791.18</x:v>
      </x:c>
      <x:c r="G45" s="7">
        <x:v>0</x:v>
      </x:c>
      <x:c r="H45" s="7">
        <x:v>0</x:v>
      </x:c>
      <x:c r="I45" s="7">
        <x:f t="shared" si="10"/>
        <x:v>-149791.18</x:v>
      </x:c>
      <x:c r="J45" s="3">
        <x:v>-258367.12</x:v>
      </x:c>
      <x:c r="K45" s="7">
        <x:v>0</x:v>
      </x:c>
      <x:c r="L45" s="7">
        <x:f t="shared" si="11"/>
        <x:v>-258367.12</x:v>
      </x:c>
      <x:c r="M45" s="3">
        <x:v>-85582.52</x:v>
      </x:c>
      <x:c r="N45" s="3">
        <x:v>-28111.98</x:v>
      </x:c>
      <x:c r="O45" s="3">
        <x:f t="shared" ref="O45:O47" si="13">+I45+L45+M45+N45</x:f>
        <x:v>-521852.8</x:v>
      </x:c>
      <x:c r="P45" s="30">
        <x:f t="shared" si="12"/>
        <x:v>0</x:v>
      </x:c>
    </x:row>
    <x:row r="46" spans="1:16" s="5" customFormat="1" x14ac:dyDescent="0.25">
      <x:c r="A46" s="8">
        <x:f t="shared" si="1"/>
        <x:v>33</x:v>
      </x:c>
      <x:c r="C46" s="17" t="s">
        <x:v>20</x:v>
      </x:c>
      <x:c r="D46" s="6">
        <x:v>-13631990.199999999</x:v>
      </x:c>
      <x:c r="E46" s="24" t="s">
        <x:v>79</x:v>
      </x:c>
      <x:c r="F46" s="3">
        <x:v>-3912890.63</x:v>
      </x:c>
      <x:c r="G46" s="7">
        <x:v>0</x:v>
      </x:c>
      <x:c r="H46" s="7">
        <x:v>0</x:v>
      </x:c>
      <x:c r="I46" s="7">
        <x:f t="shared" si="10"/>
        <x:v>-3912890.63</x:v>
      </x:c>
      <x:c r="J46" s="3">
        <x:f>-6749144.18+7</x:f>
        <x:v>-6749137.1799999997</x:v>
      </x:c>
      <x:c r="K46" s="7">
        <x:v>0</x:v>
      </x:c>
      <x:c r="L46" s="7">
        <x:f t="shared" si="11"/>
        <x:v>-6749137.1799999997</x:v>
      </x:c>
      <x:c r="M46" s="3">
        <x:v>-2235612.61</x:v>
      </x:c>
      <x:c r="N46" s="3">
        <x:v>-734349.78</x:v>
      </x:c>
      <x:c r="O46" s="3">
        <x:f t="shared" si="13"/>
        <x:v>-13631990.199999997</x:v>
      </x:c>
      <x:c r="P46" s="30">
        <x:f t="shared" si="12"/>
        <x:v>0</x:v>
      </x:c>
    </x:row>
    <x:row r="47" spans="1:16" s="5" customFormat="1" x14ac:dyDescent="0.25">
      <x:c r="A47" s="8">
        <x:f t="shared" si="1"/>
        <x:v>34</x:v>
      </x:c>
      <x:c r="C47" s="17" t="s">
        <x:v>21</x:v>
      </x:c>
      <x:c r="D47" s="6">
        <x:v>-355678.4</x:v>
      </x:c>
      <x:c r="E47" s="24" t="s">
        <x:v>79</x:v>
      </x:c>
      <x:c r="F47" s="3">
        <x:v>-102092.94000000002</x:v>
      </x:c>
      <x:c r="G47" s="7">
        <x:v>0</x:v>
      </x:c>
      <x:c r="H47" s="7">
        <x:v>0</x:v>
      </x:c>
      <x:c r="I47" s="7">
        <x:f t="shared" si="10"/>
        <x:v>-102092.94000000002</x:v>
      </x:c>
      <x:c r="J47" s="3">
        <x:v>-176094.87</x:v>
      </x:c>
      <x:c r="K47" s="7">
        <x:v>0</x:v>
      </x:c>
      <x:c r="L47" s="7">
        <x:f t="shared" si="11"/>
        <x:v>-176094.87</x:v>
      </x:c>
      <x:c r="M47" s="3">
        <x:v>-58330.35</x:v>
      </x:c>
      <x:c r="N47" s="3">
        <x:v>-19160.240000000002</x:v>
      </x:c>
      <x:c r="O47" s="3">
        <x:f t="shared" si="13"/>
        <x:v>-355678.39999999997</x:v>
      </x:c>
      <x:c r="P47" s="30">
        <x:f t="shared" si="12"/>
        <x:v>0</x:v>
      </x:c>
    </x:row>
    <x:row r="48" spans="1:16" s="5" customFormat="1" x14ac:dyDescent="0.25">
      <x:c r="A48" s="8">
        <x:f t="shared" si="1"/>
        <x:v>35</x:v>
      </x:c>
      <x:c r="C48" s="17" t="s">
        <x:v>45</x:v>
      </x:c>
      <x:c r="D48" s="6">
        <x:v>-743958.4</x:v>
      </x:c>
      <x:c r="E48" s="24" t="s">
        <x:v>80</x:v>
      </x:c>
      <x:c r="F48" s="3">
        <x:v>-146741.85</x:v>
      </x:c>
      <x:c r="G48" s="7">
        <x:v>0</x:v>
      </x:c>
      <x:c r="H48" s="7">
        <x:v>0</x:v>
      </x:c>
      <x:c r="I48" s="7">
        <x:f t="shared" si="10"/>
        <x:v>-146741.85</x:v>
      </x:c>
      <x:c r="J48" s="3">
        <x:v>-356017.3</x:v>
      </x:c>
      <x:c r="K48" s="7">
        <x:v>0</x:v>
      </x:c>
      <x:c r="L48" s="7">
        <x:f t="shared" si="11"/>
        <x:v>-356017.3</x:v>
      </x:c>
      <x:c r="M48" s="3">
        <x:v>-96241.62</x:v>
      </x:c>
      <x:c r="N48" s="3">
        <x:v>-144957.63</x:v>
      </x:c>
      <x:c r="O48" s="3">
        <x:f t="shared" si="9"/>
        <x:v>-743958.4</x:v>
      </x:c>
      <x:c r="P48" s="30">
        <x:f t="shared" si="12"/>
        <x:v>0</x:v>
      </x:c>
    </x:row>
    <x:row r="49" spans="1:16" s="5" customFormat="1" x14ac:dyDescent="0.25">
      <x:c r="A49" s="8">
        <x:f t="shared" si="1"/>
        <x:v>36</x:v>
      </x:c>
      <x:c r="C49" s="17" t="s">
        <x:v>46</x:v>
      </x:c>
      <x:c r="D49" s="6">
        <x:v>-3045680</x:v>
      </x:c>
      <x:c r="E49" s="24" t="s">
        <x:v>79</x:v>
      </x:c>
      <x:c r="F49" s="3">
        <x:v>-874223.53</x:v>
      </x:c>
      <x:c r="G49" s="7">
        <x:v>0</x:v>
      </x:c>
      <x:c r="H49" s="7">
        <x:v>0</x:v>
      </x:c>
      <x:c r="I49" s="7">
        <x:f t="shared" si="10"/>
        <x:v>-874223.53</x:v>
      </x:c>
      <x:c r="J49" s="3">
        <x:v>-1507903.29</x:v>
      </x:c>
      <x:c r="K49" s="7">
        <x:v>0</x:v>
      </x:c>
      <x:c r="L49" s="7">
        <x:f t="shared" si="11"/>
        <x:v>-1507903.29</x:v>
      </x:c>
      <x:c r="M49" s="3">
        <x:v>-499483.72</x:v>
      </x:c>
      <x:c r="N49" s="3">
        <x:v>-164069.46</x:v>
      </x:c>
      <x:c r="O49" s="3">
        <x:f t="shared" ref="O49" si="14">+I49+L49+M49+N49</x:f>
        <x:v>-3045680</x:v>
      </x:c>
      <x:c r="P49" s="30">
        <x:f t="shared" si="12"/>
        <x:v>0</x:v>
      </x:c>
    </x:row>
    <x:row r="50" spans="1:16" s="5" customFormat="1" x14ac:dyDescent="0.25">
      <x:c r="A50" s="8">
        <x:f t="shared" si="1"/>
        <x:v>37</x:v>
      </x:c>
      <x:c r="C50" s="17" t="s">
        <x:v>22</x:v>
      </x:c>
      <x:c r="D50" s="6">
        <x:v>-3147.4000000000005</x:v>
      </x:c>
      <x:c r="E50" s="24" t="s">
        <x:v>81</x:v>
      </x:c>
      <x:c r="F50" s="3">
        <x:v>-733.16</x:v>
      </x:c>
      <x:c r="G50" s="7">
        <x:v>0</x:v>
      </x:c>
      <x:c r="H50" s="7">
        <x:v>0</x:v>
      </x:c>
      <x:c r="I50" s="7">
        <x:f t="shared" si="10"/>
        <x:v>-733.16</x:v>
      </x:c>
      <x:c r="J50" s="3">
        <x:v>-2241.09</x:v>
      </x:c>
      <x:c r="K50" s="7">
        <x:v>0</x:v>
      </x:c>
      <x:c r="L50" s="7">
        <x:f t="shared" si="11"/>
        <x:v>-2241.09</x:v>
      </x:c>
      <x:c r="M50" s="3">
        <x:v>-114.74000000000002</x:v>
      </x:c>
      <x:c r="N50" s="3">
        <x:v>-58.41</x:v>
      </x:c>
      <x:c r="O50" s="3">
        <x:f t="shared" si="9"/>
        <x:v>-3147.4</x:v>
      </x:c>
      <x:c r="P50" s="30">
        <x:f t="shared" si="12"/>
        <x:v>0</x:v>
      </x:c>
    </x:row>
    <x:row r="51" spans="1:16" s="5" customFormat="1" x14ac:dyDescent="0.25">
      <x:c r="A51" s="8">
        <x:f t="shared" si="1"/>
        <x:v>38</x:v>
      </x:c>
      <x:c r="C51" s="17" t="s">
        <x:v>84</x:v>
      </x:c>
      <x:c r="D51" s="6">
        <x:v>-519827.19999999995</x:v>
      </x:c>
      <x:c r="E51" s="24" t="s">
        <x:v>82</x:v>
      </x:c>
      <x:c r="F51" s="3">
        <x:v>-232579.49</x:v>
      </x:c>
      <x:c r="G51" s="7">
        <x:v>0</x:v>
      </x:c>
      <x:c r="H51" s="7">
        <x:v>0</x:v>
      </x:c>
      <x:c r="I51" s="7">
        <x:f t="shared" si="10"/>
        <x:v>-232579.49</x:v>
      </x:c>
      <x:c r="J51" s="3">
        <x:v>-271448.18</x:v>
      </x:c>
      <x:c r="K51" s="7">
        <x:v>0</x:v>
      </x:c>
      <x:c r="L51" s="7">
        <x:f t="shared" si="11"/>
        <x:v>-271448.18</x:v>
      </x:c>
      <x:c r="M51" s="3">
        <x:v>-12621.07</x:v>
      </x:c>
      <x:c r="N51" s="3">
        <x:v>-3178.46</x:v>
      </x:c>
      <x:c r="O51" s="3">
        <x:f t="shared" si="9"/>
        <x:v>-519827.20000000001</x:v>
      </x:c>
      <x:c r="P51" s="30">
        <x:f t="shared" si="12"/>
        <x:v>0</x:v>
      </x:c>
    </x:row>
    <x:row r="52" spans="1:16" x14ac:dyDescent="0.25">
      <x:c r="A52" s="8">
        <x:f t="shared" si="1"/>
        <x:v>39</x:v>
      </x:c>
      <x:c r="C52" s="17" t="s">
        <x:v>23</x:v>
      </x:c>
      <x:c r="D52" s="6">
        <x:v>114451.8</x:v>
      </x:c>
      <x:c r="E52" s="24" t="s">
        <x:v>83</x:v>
      </x:c>
      <x:c r="F52" s="3">
        <x:v>10512.28</x:v>
      </x:c>
      <x:c r="G52" s="7">
        <x:v>0</x:v>
      </x:c>
      <x:c r="H52" s="7">
        <x:v>0</x:v>
      </x:c>
      <x:c r="I52" s="7">
        <x:f t="shared" si="10"/>
        <x:v>10512.28</x:v>
      </x:c>
      <x:c r="J52" s="3">
        <x:v>99511.67</x:v>
      </x:c>
      <x:c r="K52" s="7">
        <x:v>0</x:v>
      </x:c>
      <x:c r="L52" s="7">
        <x:f t="shared" si="11"/>
        <x:v>99511.67</x:v>
      </x:c>
      <x:c r="M52" s="3">
        <x:v>3503.33</x:v>
      </x:c>
      <x:c r="N52" s="3">
        <x:v>924.52</x:v>
      </x:c>
      <x:c r="O52" s="3">
        <x:f t="shared" si="9"/>
        <x:v>114451.8</x:v>
      </x:c>
      <x:c r="P52" s="30">
        <x:f t="shared" si="12"/>
        <x:v>0</x:v>
      </x:c>
    </x:row>
    <x:row r="53" spans="1:16" x14ac:dyDescent="0.25">
      <x:c r="A53" s="8">
        <x:f t="shared" si="1"/>
        <x:v>40</x:v>
      </x:c>
      <x:c r="C53" s="17" t="s">
        <x:v>24</x:v>
      </x:c>
      <x:c r="D53" s="6">
        <x:v>8316330.4000000004</x:v>
      </x:c>
      <x:c r="E53" s="28" t="s">
        <x:v>75</x:v>
      </x:c>
      <x:c r="F53" s="7">
        <x:v>26265.200000000001</x:v>
      </x:c>
      <x:c r="G53" s="7">
        <x:v>0</x:v>
      </x:c>
      <x:c r="H53" s="7">
        <x:v>0</x:v>
      </x:c>
      <x:c r="I53" s="7">
        <x:f t="shared" si="10"/>
        <x:v>26265.200000000001</x:v>
      </x:c>
      <x:c r="J53" s="3">
        <x:v>8290065.2000000002</x:v>
      </x:c>
      <x:c r="K53" s="7">
        <x:v>0</x:v>
      </x:c>
      <x:c r="L53" s="7">
        <x:f t="shared" si="11"/>
        <x:v>8290065.2000000002</x:v>
      </x:c>
      <x:c r="M53" s="3">
        <x:v>0</x:v>
      </x:c>
      <x:c r="N53" s="3">
        <x:v>0</x:v>
      </x:c>
      <x:c r="O53" s="3">
        <x:f t="shared" si="9"/>
        <x:v>8316330.4000000004</x:v>
      </x:c>
      <x:c r="P53" s="30">
        <x:f t="shared" si="12"/>
        <x:v>0</x:v>
      </x:c>
    </x:row>
    <x:row r="54" spans="1:16" x14ac:dyDescent="0.25">
      <x:c r="A54" s="8">
        <x:f t="shared" si="1"/>
        <x:v>41</x:v>
      </x:c>
      <x:c r="C54" s="17" t="s">
        <x:v>25</x:v>
      </x:c>
      <x:c r="D54" s="6">
        <x:v>3965398.8</x:v>
      </x:c>
      <x:c r="E54" s="24" t="s">
        <x:v>75</x:v>
      </x:c>
      <x:c r="F54" s="7">
        <x:v>0</x:v>
      </x:c>
      <x:c r="G54" s="7">
        <x:v>0</x:v>
      </x:c>
      <x:c r="H54" s="7">
        <x:v>0</x:v>
      </x:c>
      <x:c r="I54" s="7">
        <x:f t="shared" si="10"/>
        <x:v>0</x:v>
      </x:c>
      <x:c r="J54" s="3">
        <x:v>0</x:v>
      </x:c>
      <x:c r="K54" s="7">
        <x:v>0</x:v>
      </x:c>
      <x:c r="L54" s="7">
        <x:f t="shared" si="11"/>
        <x:v>0</x:v>
      </x:c>
      <x:c r="M54" s="3">
        <x:f>+D54</x:f>
        <x:v>3965398.8</x:v>
      </x:c>
      <x:c r="N54" s="3">
        <x:v>0</x:v>
      </x:c>
      <x:c r="O54" s="3">
        <x:f t="shared" si="9"/>
        <x:v>3965398.8</x:v>
      </x:c>
      <x:c r="P54" s="30">
        <x:f t="shared" si="12"/>
        <x:v>0</x:v>
      </x:c>
    </x:row>
    <x:row r="55" spans="1:16" x14ac:dyDescent="0.25">
      <x:c r="A55" s="8">
        <x:f t="shared" si="1"/>
        <x:v>42</x:v>
      </x:c>
      <x:c r="C55" s="17" t="s">
        <x:v>26</x:v>
      </x:c>
      <x:c r="D55" s="6">
        <x:v>6818660.2000000002</x:v>
      </x:c>
      <x:c r="E55" s="24" t="s">
        <x:v>79</x:v>
      </x:c>
      <x:c r="F55" s="3">
        <x:v>1957209.29</x:v>
      </x:c>
      <x:c r="G55" s="7">
        <x:v>0</x:v>
      </x:c>
      <x:c r="H55" s="7">
        <x:v>0</x:v>
      </x:c>
      <x:c r="I55" s="7">
        <x:f t="shared" si="10"/>
        <x:v>1957209.29</x:v>
      </x:c>
      <x:c r="J55" s="3">
        <x:v>3375889.84</x:v>
      </x:c>
      <x:c r="K55" s="7">
        <x:v>0</x:v>
      </x:c>
      <x:c r="L55" s="7">
        <x:f t="shared" si="11"/>
        <x:v>3375889.84</x:v>
      </x:c>
      <x:c r="M55" s="3">
        <x:v>1118242.8</x:v>
      </x:c>
      <x:c r="N55" s="3">
        <x:v>367318.27</x:v>
      </x:c>
      <x:c r="O55" s="3">
        <x:f t="shared" si="9"/>
        <x:v>6818660.1999999993</x:v>
      </x:c>
      <x:c r="P55" s="30">
        <x:f t="shared" si="12"/>
        <x:v>0</x:v>
      </x:c>
    </x:row>
    <x:row r="56" spans="1:16" x14ac:dyDescent="0.25">
      <x:c r="A56" s="8">
        <x:f t="shared" si="1"/>
        <x:v>43</x:v>
      </x:c>
      <x:c r="C56" s="17" t="s">
        <x:v>27</x:v>
      </x:c>
      <x:c r="D56" s="6">
        <x:v>59966.6</x:v>
      </x:c>
      <x:c r="E56" s="24" t="s">
        <x:v>75</x:v>
      </x:c>
      <x:c r="F56" s="7">
        <x:v>0</x:v>
      </x:c>
      <x:c r="G56" s="7">
        <x:v>0</x:v>
      </x:c>
      <x:c r="H56" s="7">
        <x:v>0</x:v>
      </x:c>
      <x:c r="I56" s="7">
        <x:f t="shared" si="10"/>
        <x:v>0</x:v>
      </x:c>
      <x:c r="J56" s="3"/>
      <x:c r="K56" s="7">
        <x:v>0</x:v>
      </x:c>
      <x:c r="L56" s="7">
        <x:f t="shared" si="11"/>
        <x:v>0</x:v>
      </x:c>
      <x:c r="M56" s="3">
        <x:f>+D56</x:f>
        <x:v>59966.6</x:v>
      </x:c>
      <x:c r="N56" s="3">
        <x:v>0</x:v>
      </x:c>
      <x:c r="O56" s="3">
        <x:f t="shared" si="9"/>
        <x:v>59966.6</x:v>
      </x:c>
      <x:c r="P56" s="30">
        <x:f t="shared" si="12"/>
        <x:v>0</x:v>
      </x:c>
    </x:row>
    <x:row r="57" spans="1:16" x14ac:dyDescent="0.25">
      <x:c r="A57" s="8">
        <x:f t="shared" si="1"/>
        <x:v>44</x:v>
      </x:c>
      <x:c r="C57" s="17" t="s">
        <x:v>28</x:v>
      </x:c>
      <x:c r="D57" s="6">
        <x:v>1083141.6000000001</x:v>
      </x:c>
      <x:c r="E57" s="24" t="s">
        <x:v>75</x:v>
      </x:c>
      <x:c r="F57" s="7">
        <x:v>0</x:v>
      </x:c>
      <x:c r="G57" s="7">
        <x:v>0</x:v>
      </x:c>
      <x:c r="H57" s="7">
        <x:v>0</x:v>
      </x:c>
      <x:c r="I57" s="7">
        <x:f t="shared" si="10"/>
        <x:v>0</x:v>
      </x:c>
      <x:c r="J57" s="3">
        <x:f>+D57</x:f>
        <x:v>1083141.6000000001</x:v>
      </x:c>
      <x:c r="K57" s="7">
        <x:v>0</x:v>
      </x:c>
      <x:c r="L57" s="7">
        <x:f t="shared" si="11"/>
        <x:v>1083141.6000000001</x:v>
      </x:c>
      <x:c r="M57" s="3">
        <x:v>0</x:v>
      </x:c>
      <x:c r="N57" s="3">
        <x:v>0</x:v>
      </x:c>
      <x:c r="O57" s="3">
        <x:f t="shared" si="9"/>
        <x:v>1083141.6000000001</x:v>
      </x:c>
      <x:c r="P57" s="30">
        <x:f t="shared" si="12"/>
        <x:v>0</x:v>
      </x:c>
    </x:row>
    <x:row r="58" spans="1:16" x14ac:dyDescent="0.25">
      <x:c r="A58" s="8">
        <x:f t="shared" si="1"/>
        <x:v>45</x:v>
      </x:c>
      <x:c r="C58" s="17" t="s">
        <x:v>29</x:v>
      </x:c>
      <x:c r="D58" s="6">
        <x:v>214993.2</x:v>
      </x:c>
      <x:c r="E58" s="24" t="s">
        <x:v>82</x:v>
      </x:c>
      <x:c r="F58" s="3">
        <x:v>96191.6</x:v>
      </x:c>
      <x:c r="G58" s="7">
        <x:v>0</x:v>
      </x:c>
      <x:c r="H58" s="7">
        <x:v>0</x:v>
      </x:c>
      <x:c r="I58" s="7">
        <x:f t="shared" si="10"/>
        <x:v>96191.6</x:v>
      </x:c>
      <x:c r="J58" s="3">
        <x:v>112267.13</x:v>
      </x:c>
      <x:c r="K58" s="7">
        <x:v>0</x:v>
      </x:c>
      <x:c r="L58" s="7">
        <x:f t="shared" si="11"/>
        <x:v>112267.13</x:v>
      </x:c>
      <x:c r="M58" s="3">
        <x:v>5219.8999999999996</x:v>
      </x:c>
      <x:c r="N58" s="3">
        <x:v>1314.57</x:v>
      </x:c>
      <x:c r="O58" s="3">
        <x:f t="shared" si="9"/>
        <x:v>214993.2</x:v>
      </x:c>
      <x:c r="P58" s="30">
        <x:f t="shared" si="12"/>
        <x:v>0</x:v>
      </x:c>
    </x:row>
    <x:row r="59" spans="1:16" x14ac:dyDescent="0.25">
      <x:c r="A59" s="8">
        <x:f t="shared" si="1"/>
        <x:v>46</x:v>
      </x:c>
      <x:c r="C59" s="17" t="s">
        <x:v>30</x:v>
      </x:c>
      <x:c r="D59" s="6">
        <x:v>14755.8</x:v>
      </x:c>
      <x:c r="E59" s="24" t="s">
        <x:v>75</x:v>
      </x:c>
      <x:c r="F59" s="7">
        <x:v>0</x:v>
      </x:c>
      <x:c r="G59" s="7">
        <x:v>0</x:v>
      </x:c>
      <x:c r="H59" s="7">
        <x:v>0</x:v>
      </x:c>
      <x:c r="I59" s="7">
        <x:f t="shared" si="10"/>
        <x:v>0</x:v>
      </x:c>
      <x:c r="J59" s="3">
        <x:v>0</x:v>
      </x:c>
      <x:c r="K59" s="7">
        <x:v>0</x:v>
      </x:c>
      <x:c r="L59" s="7">
        <x:f t="shared" si="11"/>
        <x:v>0</x:v>
      </x:c>
      <x:c r="M59" s="3">
        <x:v>0</x:v>
      </x:c>
      <x:c r="N59" s="3">
        <x:f>D59</x:f>
        <x:v>14755.8</x:v>
      </x:c>
      <x:c r="O59" s="3">
        <x:f t="shared" si="9"/>
        <x:v>14755.8</x:v>
      </x:c>
      <x:c r="P59" s="30">
        <x:f t="shared" si="12"/>
        <x:v>0</x:v>
      </x:c>
    </x:row>
    <x:row r="60" spans="1:16" x14ac:dyDescent="0.25">
      <x:c r="A60" s="8">
        <x:f t="shared" si="1"/>
        <x:v>47</x:v>
      </x:c>
      <x:c r="C60" s="17" t="s">
        <x:v>31</x:v>
      </x:c>
      <x:c r="D60" s="6">
        <x:v>373978</x:v>
      </x:c>
      <x:c r="E60" s="24" t="s">
        <x:v>75</x:v>
      </x:c>
      <x:c r="F60" s="7">
        <x:v>0</x:v>
      </x:c>
      <x:c r="G60" s="7">
        <x:v>0</x:v>
      </x:c>
      <x:c r="H60" s="7">
        <x:v>0</x:v>
      </x:c>
      <x:c r="I60" s="7">
        <x:f t="shared" si="10"/>
        <x:v>0</x:v>
      </x:c>
      <x:c r="J60" s="3">
        <x:f>+D60</x:f>
        <x:v>373978</x:v>
      </x:c>
      <x:c r="K60" s="7">
        <x:v>0</x:v>
      </x:c>
      <x:c r="L60" s="7">
        <x:f t="shared" si="11"/>
        <x:v>373978</x:v>
      </x:c>
      <x:c r="M60" s="3">
        <x:v>0</x:v>
      </x:c>
      <x:c r="N60" s="3">
        <x:v>0</x:v>
      </x:c>
      <x:c r="O60" s="3">
        <x:f t="shared" si="9"/>
        <x:v>373978</x:v>
      </x:c>
      <x:c r="P60" s="30">
        <x:f t="shared" si="12"/>
        <x:v>0</x:v>
      </x:c>
    </x:row>
    <x:row r="61" spans="1:16" x14ac:dyDescent="0.25">
      <x:c r="A61" s="8">
        <x:f t="shared" si="1"/>
        <x:v>48</x:v>
      </x:c>
      <x:c r="C61" s="17" t="s">
        <x:v>32</x:v>
      </x:c>
      <x:c r="D61" s="6">
        <x:v>28586</x:v>
      </x:c>
      <x:c r="E61" s="24" t="s">
        <x:v>75</x:v>
      </x:c>
      <x:c r="F61" s="7">
        <x:v>0</x:v>
      </x:c>
      <x:c r="G61" s="7">
        <x:v>0</x:v>
      </x:c>
      <x:c r="H61" s="7">
        <x:v>0</x:v>
      </x:c>
      <x:c r="I61" s="7">
        <x:f t="shared" si="10"/>
        <x:v>0</x:v>
      </x:c>
      <x:c r="J61" s="3">
        <x:f>+D61</x:f>
        <x:v>28586</x:v>
      </x:c>
      <x:c r="K61" s="7">
        <x:v>0</x:v>
      </x:c>
      <x:c r="L61" s="7">
        <x:f t="shared" si="11"/>
        <x:v>28586</x:v>
      </x:c>
      <x:c r="M61" s="3">
        <x:v>0</x:v>
      </x:c>
      <x:c r="N61" s="3">
        <x:v>0</x:v>
      </x:c>
      <x:c r="O61" s="3">
        <x:f t="shared" si="9"/>
        <x:v>28586</x:v>
      </x:c>
      <x:c r="P61" s="30">
        <x:f t="shared" si="12"/>
        <x:v>0</x:v>
      </x:c>
    </x:row>
    <x:row r="62" spans="1:16" x14ac:dyDescent="0.25">
      <x:c r="A62" s="8">
        <x:f t="shared" si="1"/>
        <x:v>49</x:v>
      </x:c>
      <x:c r="C62" s="17" t="s">
        <x:v>33</x:v>
      </x:c>
      <x:c r="D62" s="6">
        <x:v>87234.8</x:v>
      </x:c>
      <x:c r="E62" s="24" t="s">
        <x:v>79</x:v>
      </x:c>
      <x:c r="F62" s="3">
        <x:v>25039.63</x:v>
      </x:c>
      <x:c r="G62" s="7">
        <x:v>0</x:v>
      </x:c>
      <x:c r="H62" s="7">
        <x:v>0</x:v>
      </x:c>
      <x:c r="I62" s="7">
        <x:f t="shared" si="10"/>
        <x:v>25039.63</x:v>
      </x:c>
      <x:c r="J62" s="3">
        <x:v>43189.59</x:v>
      </x:c>
      <x:c r="K62" s="7">
        <x:v>0</x:v>
      </x:c>
      <x:c r="L62" s="7">
        <x:f t="shared" si="11"/>
        <x:v>43189.59</x:v>
      </x:c>
      <x:c r="M62" s="3">
        <x:v>14306.28</x:v>
      </x:c>
      <x:c r="N62" s="3">
        <x:v>4699.3</x:v>
      </x:c>
      <x:c r="O62" s="3">
        <x:f t="shared" si="9"/>
        <x:v>87234.8</x:v>
      </x:c>
      <x:c r="P62" s="30">
        <x:f t="shared" si="12"/>
        <x:v>0</x:v>
      </x:c>
    </x:row>
    <x:row r="63" spans="1:16" x14ac:dyDescent="0.25">
      <x:c r="A63" s="8">
        <x:f t="shared" si="1"/>
        <x:v>50</x:v>
      </x:c>
      <x:c r="C63" s="17" t="s">
        <x:v>34</x:v>
      </x:c>
      <x:c r="D63" s="6">
        <x:v>96496.8</x:v>
      </x:c>
      <x:c r="E63" s="8" t="s">
        <x:v>75</x:v>
      </x:c>
      <x:c r="F63" s="7">
        <x:v>0</x:v>
      </x:c>
      <x:c r="G63" s="7">
        <x:v>0</x:v>
      </x:c>
      <x:c r="H63" s="7">
        <x:v>0</x:v>
      </x:c>
      <x:c r="I63" s="7">
        <x:f t="shared" si="10"/>
        <x:v>0</x:v>
      </x:c>
      <x:c r="J63" s="3">
        <x:f>+D63</x:f>
        <x:v>96496.8</x:v>
      </x:c>
      <x:c r="K63" s="7">
        <x:v>0</x:v>
      </x:c>
      <x:c r="L63" s="7">
        <x:f t="shared" si="11"/>
        <x:v>96496.8</x:v>
      </x:c>
      <x:c r="M63" s="3">
        <x:v>0</x:v>
      </x:c>
      <x:c r="N63" s="3">
        <x:v>0</x:v>
      </x:c>
      <x:c r="O63" s="3">
        <x:f t="shared" si="9"/>
        <x:v>96496.8</x:v>
      </x:c>
      <x:c r="P63" s="30">
        <x:f t="shared" si="12"/>
        <x:v>0</x:v>
      </x:c>
    </x:row>
    <x:row r="64" spans="1:16" x14ac:dyDescent="0.25">
      <x:c r="A64" s="8">
        <x:f t="shared" si="1"/>
        <x:v>51</x:v>
      </x:c>
      <x:c r="C64" s="2" t="s">
        <x:v>68</x:v>
      </x:c>
      <x:c r="D64" s="7">
        <x:v>-172424.6</x:v>
      </x:c>
      <x:c r="E64" s="8" t="s">
        <x:v>86</x:v>
      </x:c>
      <x:c r="F64" s="3">
        <x:v>0</x:v>
      </x:c>
      <x:c r="G64" s="3">
        <x:v>-159390.35</x:v>
      </x:c>
      <x:c r="H64" s="3">
        <x:v>0</x:v>
      </x:c>
      <x:c r="I64" s="7">
        <x:f t="shared" si="10"/>
        <x:v>-159390.35</x:v>
      </x:c>
      <x:c r="J64" s="3">
        <x:v>0</x:v>
      </x:c>
      <x:c r="K64" s="3">
        <x:v>-13034.25</x:v>
      </x:c>
      <x:c r="L64" s="7">
        <x:f t="shared" si="11"/>
        <x:v>-13034.25</x:v>
      </x:c>
      <x:c r="M64" s="3">
        <x:v>0</x:v>
      </x:c>
      <x:c r="N64" s="3">
        <x:v>0</x:v>
      </x:c>
      <x:c r="O64" s="3">
        <x:f t="shared" ref="O64:O65" si="15">+I64+L64+M64+N64</x:f>
        <x:v>-172424.6</x:v>
      </x:c>
      <x:c r="P64" s="30">
        <x:f t="shared" si="12"/>
        <x:v>0</x:v>
      </x:c>
    </x:row>
    <x:row r="65" spans="1:16" x14ac:dyDescent="0.25">
      <x:c r="A65" s="8">
        <x:f t="shared" si="1"/>
        <x:v>52</x:v>
      </x:c>
      <x:c r="C65" s="2" t="s">
        <x:v>69</x:v>
      </x:c>
      <x:c r="D65" s="7">
        <x:v>-2325</x:v>
      </x:c>
      <x:c r="E65" s="8" t="s">
        <x:v>86</x:v>
      </x:c>
      <x:c r="F65" s="3">
        <x:v>0</x:v>
      </x:c>
      <x:c r="G65" s="3">
        <x:v>-2149.2399999999998</x:v>
      </x:c>
      <x:c r="H65" s="3">
        <x:v>0</x:v>
      </x:c>
      <x:c r="I65" s="7">
        <x:f t="shared" si="10"/>
        <x:v>-2149.2399999999998</x:v>
      </x:c>
      <x:c r="J65" s="3">
        <x:v>0</x:v>
      </x:c>
      <x:c r="K65" s="3">
        <x:v>-175.76</x:v>
      </x:c>
      <x:c r="L65" s="7">
        <x:f t="shared" si="11"/>
        <x:v>-175.76</x:v>
      </x:c>
      <x:c r="M65" s="3">
        <x:v>0</x:v>
      </x:c>
      <x:c r="N65" s="3">
        <x:v>0</x:v>
      </x:c>
      <x:c r="O65" s="3">
        <x:f t="shared" si="15"/>
        <x:v>-2325</x:v>
      </x:c>
      <x:c r="P65" s="30">
        <x:f t="shared" si="12"/>
        <x:v>0</x:v>
      </x:c>
    </x:row>
    <x:row r="66" spans="1:16" x14ac:dyDescent="0.25">
      <x:c r="A66" s="8">
        <x:f t="shared" si="1"/>
        <x:v>53</x:v>
      </x:c>
      <x:c r="C66" s="2" t="s">
        <x:v>35</x:v>
      </x:c>
      <x:c r="D66" s="14">
        <x:f>SUM(D37:D65)</x:f>
        <x:v>-481737.79999999143</x:v>
      </x:c>
      <x:c r="F66" s="14">
        <x:f t="shared" ref="F66:O66" si="16">SUM(F37:F65)</x:f>
        <x:v>-3690613.0500000003</x:v>
      </x:c>
      <x:c r="G66" s="14">
        <x:f t="shared" si="16"/>
        <x:v>-161539.59</x:v>
      </x:c>
      <x:c r="H66" s="14">
        <x:f t="shared" si="16"/>
        <x:v>0</x:v>
      </x:c>
      <x:c r="I66" s="14">
        <x:f t="shared" si="16"/>
        <x:v>-3852152.6400000006</x:v>
      </x:c>
      <x:c r="J66" s="14">
        <x:f t="shared" si="16"/>
        <x:v>2210661.140000002</x:v>
      </x:c>
      <x:c r="K66" s="14">
        <x:f t="shared" si="16"/>
        <x:v>-13210.01</x:v>
      </x:c>
      <x:c r="L66" s="14">
        <x:f t="shared" si="16"/>
        <x:v>2197451.1300000022</x:v>
      </x:c>
      <x:c r="M66" s="14">
        <x:f t="shared" si="16"/>
        <x:v>1923989.4899999998</x:v>
      </x:c>
      <x:c r="N66" s="14">
        <x:f t="shared" si="16"/>
        <x:v>-751025.77999999991</x:v>
      </x:c>
      <x:c r="O66" s="14">
        <x:f t="shared" si="16"/>
        <x:v>-481737.79999999236</x:v>
      </x:c>
      <x:c r="P66" s="30">
        <x:f t="shared" si="12"/>
        <x:v>-9.3132257461547852E-10</x:v>
      </x:c>
    </x:row>
    <x:row r="67" spans="1:16" x14ac:dyDescent="0.25">
      <x:c r="A67" s="8">
        <x:f t="shared" si="1"/>
        <x:v>54</x:v>
      </x:c>
      <x:c r="H67" s="4"/>
      <x:c r="P67" s="30"/>
    </x:row>
    <x:row r="68" spans="1:16" x14ac:dyDescent="0.25">
      <x:c r="A68" s="8">
        <x:f t="shared" si="1"/>
        <x:v>55</x:v>
      </x:c>
      <x:c r="C68" s="2" t="s">
        <x:v>70</x:v>
      </x:c>
      <x:c r="D68" s="22">
        <x:v>-6098180.1299999999</x:v>
      </x:c>
      <x:c r="E68" s="23" t="s">
        <x:v>73</x:v>
      </x:c>
      <x:c r="F68" s="4">
        <x:f>ROUND(+$D68*'[1]II-F Alloc_Factor'!E$38,2)</x:f>
        <x:v>-2772127.43</x:v>
      </x:c>
      <x:c r="G68" s="4">
        <x:f>ROUND(+$D68*'[1]II-F Alloc_Factor'!F$38,2)</x:f>
        <x:v>0</x:v>
      </x:c>
      <x:c r="H68" s="4">
        <x:f>ROUND(+$D68*'[1]II-F Alloc_Factor'!G$38,2)</x:f>
        <x:v>-2381.61</x:v>
      </x:c>
      <x:c r="I68" s="4">
        <x:f>ROUND(+$D68*'[1]II-F Alloc_Factor'!H$38,2)</x:f>
        <x:v>-2774509.04</x:v>
      </x:c>
      <x:c r="J68" s="4">
        <x:f>ROUND(+$D68*'[1]II-F Alloc_Factor'!I$38,2)</x:f>
        <x:v>-3166047.56</x:v>
      </x:c>
      <x:c r="K68" s="4">
        <x:f>ROUND(+$D68*'[1]II-F Alloc_Factor'!J$38,2)</x:f>
        <x:v>0</x:v>
      </x:c>
      <x:c r="L68" s="4">
        <x:f>ROUND(+$D68*'[1]II-F Alloc_Factor'!K$38,2)</x:f>
        <x:v>-3166047.56</x:v>
      </x:c>
      <x:c r="M68" s="4">
        <x:f>ROUND(+$D68*'[1]II-F Alloc_Factor'!L$38,2)</x:f>
        <x:v>-94892.49</x:v>
      </x:c>
      <x:c r="N68" s="4">
        <x:f>ROUND(+$D68*'[1]II-F Alloc_Factor'!M$38,2)</x:f>
        <x:v>-62731.040000000001</x:v>
      </x:c>
      <x:c r="O68" s="4">
        <x:f>+I68+L68+M68+N68</x:f>
        <x:v>-6098180.1299999999</x:v>
      </x:c>
      <x:c r="P68" s="30">
        <x:f t="shared" si="12"/>
        <x:v>0</x:v>
      </x:c>
    </x:row>
    <x:row r="69" spans="1:16" x14ac:dyDescent="0.25">
      <x:c r="A69" s="8">
        <x:f t="shared" si="1"/>
        <x:v>56</x:v>
      </x:c>
      <x:c r="C69" s="2" t="s">
        <x:v>71</x:v>
      </x:c>
      <x:c r="D69" s="22">
        <x:v>2150781.75</x:v>
      </x:c>
      <x:c r="E69" s="8" t="s">
        <x:v>74</x:v>
      </x:c>
      <x:c r="F69" s="4">
        <x:f>ROUND(+$D69*'[1]II-F Alloc_Factor'!E$39,2)</x:f>
        <x:v>0</x:v>
      </x:c>
      <x:c r="G69" s="4">
        <x:f>ROUND(+$D69*'[1]II-F Alloc_Factor'!F$39,2)</x:f>
        <x:v>1991696.63</x:v>
      </x:c>
      <x:c r="H69" s="4">
        <x:f>ROUND(+$D69*'[1]II-F Alloc_Factor'!G$39,2)</x:f>
        <x:v>0</x:v>
      </x:c>
      <x:c r="I69" s="4">
        <x:f>ROUND(+$D69*'[1]II-F Alloc_Factor'!H$39,2)</x:f>
        <x:v>1991696.63</x:v>
      </x:c>
      <x:c r="J69" s="4">
        <x:f>ROUND(+$D69*'[1]II-F Alloc_Factor'!I$39,2)</x:f>
        <x:v>0</x:v>
      </x:c>
      <x:c r="K69" s="4">
        <x:f>ROUND(+$D69*'[1]II-F Alloc_Factor'!J$39,2)</x:f>
        <x:v>159085.12</x:v>
      </x:c>
      <x:c r="L69" s="4">
        <x:f>ROUND(+$D69*'[1]II-F Alloc_Factor'!K$39,2)</x:f>
        <x:v>159085.12</x:v>
      </x:c>
      <x:c r="M69" s="4">
        <x:f>ROUND(+$D69*'[1]II-F Alloc_Factor'!L$39,2)</x:f>
        <x:v>0</x:v>
      </x:c>
      <x:c r="N69" s="4">
        <x:f>ROUND(+$D69*'[1]II-F Alloc_Factor'!M$39,2)</x:f>
        <x:v>0</x:v>
      </x:c>
      <x:c r="O69" s="4">
        <x:f t="shared" ref="O69" si="17">+I69+L69+M69+N69</x:f>
        <x:v>2150781.75</x:v>
      </x:c>
      <x:c r="P69" s="30">
        <x:f t="shared" si="12"/>
        <x:v>0</x:v>
      </x:c>
    </x:row>
    <x:row r="70" spans="1:16" x14ac:dyDescent="0.25">
      <x:c r="A70" s="8">
        <x:f t="shared" si="1"/>
        <x:v>57</x:v>
      </x:c>
      <x:c r="C70" s="2" t="s">
        <x:v>72</x:v>
      </x:c>
      <x:c r="D70" s="14">
        <x:f>SUM(D68:D69)</x:f>
        <x:v>-3947398.38</x:v>
      </x:c>
      <x:c r="F70" s="14">
        <x:f t="shared" ref="F70:O70" si="18">SUM(F68:F69)</x:f>
        <x:v>-2772127.43</x:v>
      </x:c>
      <x:c r="G70" s="14">
        <x:f t="shared" si="18"/>
        <x:v>1991696.63</x:v>
      </x:c>
      <x:c r="H70" s="14">
        <x:f t="shared" si="18"/>
        <x:v>-2381.61</x:v>
      </x:c>
      <x:c r="I70" s="14">
        <x:f t="shared" si="18"/>
        <x:v>-782812.41000000015</x:v>
      </x:c>
      <x:c r="J70" s="14">
        <x:f t="shared" si="18"/>
        <x:v>-3166047.56</x:v>
      </x:c>
      <x:c r="K70" s="14">
        <x:f t="shared" si="18"/>
        <x:v>159085.12</x:v>
      </x:c>
      <x:c r="L70" s="14">
        <x:f t="shared" si="18"/>
        <x:v>-3006962.44</x:v>
      </x:c>
      <x:c r="M70" s="14">
        <x:f t="shared" si="18"/>
        <x:v>-94892.49</x:v>
      </x:c>
      <x:c r="N70" s="14">
        <x:f t="shared" si="18"/>
        <x:v>-62731.040000000001</x:v>
      </x:c>
      <x:c r="O70" s="14">
        <x:f t="shared" si="18"/>
        <x:v>-3947398.38</x:v>
      </x:c>
      <x:c r="P70" s="30">
        <x:f t="shared" si="12"/>
        <x:v>0</x:v>
      </x:c>
    </x:row>
    <x:row r="71" spans="1:16" x14ac:dyDescent="0.25">
      <x:c r="A71" s="8">
        <x:f t="shared" si="1"/>
        <x:v>58</x:v>
      </x:c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30"/>
    </x:row>
    <x:row r="72" spans="1:16" ht="13" x14ac:dyDescent="0.3">
      <x:c r="A72" s="8">
        <x:f t="shared" si="1"/>
        <x:v>59</x:v>
      </x:c>
      <x:c r="B72" s="2" t="s">
        <x:v>42</x:v>
      </x:c>
      <x:c r="D72" s="15">
        <x:f>+D35+D66+D70</x:f>
        <x:v>28640777.700000007</x:v>
      </x:c>
      <x:c r="F72" s="15">
        <x:f t="shared" ref="F72:O72" si="19">+F35+F66+F70</x:f>
        <x:v>8973053.75</x:v>
      </x:c>
      <x:c r="G72" s="15">
        <x:f t="shared" si="19"/>
        <x:v>1727771.3499999999</x:v>
      </x:c>
      <x:c r="H72" s="15">
        <x:f t="shared" si="19"/>
        <x:v>17946.45</x:v>
      </x:c>
      <x:c r="I72" s="15">
        <x:f t="shared" si="19"/>
        <x:v>10718771.549999997</x:v>
      </x:c>
      <x:c r="J72" s="15">
        <x:f t="shared" si="19"/>
        <x:v>15696634.780000003</x:v>
      </x:c>
      <x:c r="K72" s="15">
        <x:f t="shared" si="19"/>
        <x:v>137761.53999999998</x:v>
      </x:c>
      <x:c r="L72" s="15">
        <x:f t="shared" si="19"/>
        <x:v>15834396.320000006</x:v>
      </x:c>
      <x:c r="M72" s="15">
        <x:f t="shared" si="19"/>
        <x:v>2402441.9799999995</x:v>
      </x:c>
      <x:c r="N72" s="15">
        <x:f t="shared" si="19"/>
        <x:v>-314832.15999999992</x:v>
      </x:c>
      <x:c r="O72" s="15">
        <x:f t="shared" si="19"/>
        <x:v>28640777.690000009</x:v>
      </x:c>
      <x:c r="P72" s="30">
        <x:f t="shared" si="12"/>
        <x:v>-9.9999979138374329E-3</x:v>
      </x:c>
    </x:row>
    <x:row r="73" spans="1:16" x14ac:dyDescent="0.25">
      <x:c r="A73" s="8">
        <x:f t="shared" si="1"/>
        <x:v>60</x:v>
      </x:c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30">
        <x:f t="shared" si="12"/>
        <x:v>0</x:v>
      </x:c>
    </x:row>
    <x:row r="74" spans="1:16" ht="13.5" thickBot="1" x14ac:dyDescent="0.35">
      <x:c r="A74" s="8">
        <x:f t="shared" si="1"/>
        <x:v>61</x:v>
      </x:c>
      <x:c r="B74" s="2" t="s">
        <x:v>76</x:v>
      </x:c>
      <x:c r="D74" s="16">
        <x:f>+D19+D72</x:f>
        <x:v>45912517.820000008</x:v>
      </x:c>
      <x:c r="F74" s="16">
        <x:f t="shared" ref="F74:O74" si="20">+F19+F72</x:f>
        <x:v>15921862.280000001</x:v>
      </x:c>
      <x:c r="G74" s="16">
        <x:f t="shared" si="20"/>
        <x:v>3566518.2299999995</x:v>
      </x:c>
      <x:c r="H74" s="16">
        <x:f t="shared" si="20"/>
        <x:v>23916.35</x:v>
      </x:c>
      <x:c r="I74" s="16">
        <x:f t="shared" si="20"/>
        <x:v>19512296.859999996</x:v>
      </x:c>
      <x:c r="J74" s="16">
        <x:f t="shared" si="20"/>
        <x:v>23632871.050000004</x:v>
      </x:c>
      <x:c r="K74" s="16">
        <x:f t="shared" si="20"/>
        <x:v>284629.92</x:v>
      </x:c>
      <x:c r="L74" s="16">
        <x:f t="shared" si="20"/>
        <x:v>23917500.970000006</x:v>
      </x:c>
      <x:c r="M74" s="16">
        <x:f t="shared" si="20"/>
        <x:v>2640306.1199999996</x:v>
      </x:c>
      <x:c r="N74" s="16">
        <x:f t="shared" si="20"/>
        <x:v>-157586.14999999991</x:v>
      </x:c>
      <x:c r="O74" s="16">
        <x:f t="shared" si="20"/>
        <x:v>45912517.800000012</x:v>
      </x:c>
      <x:c r="P74" s="30">
        <x:f t="shared" si="12"/>
        <x:v>-1.9999995827674866E-2</x:v>
      </x:c>
    </x:row>
    <x:row r="75" spans="1:16" ht="13" thickTop="1" x14ac:dyDescent="0.25">
      <x:c r="A75" s="8"/>
    </x:row>
    <x:row r="76" spans="1:16" x14ac:dyDescent="0.25">
      <x:c r="D76" s="6"/>
    </x:row>
    <x:row r="77" spans="1:16" x14ac:dyDescent="0.25">
      <x:c r="D77" s="6"/>
    </x:row>
    <x:row r="79" spans="1:16" x14ac:dyDescent="0.25">
      <x:c r="D79" s="6"/>
    </x:row>
  </x:sheetData>
  <x:mergeCells count="5">
    <x:mergeCell ref="A4:O4"/>
    <x:mergeCell ref="A5:O5"/>
    <x:mergeCell ref="A6:O6"/>
    <x:mergeCell ref="A7:O7"/>
    <x:mergeCell ref="A8:O8"/>
  </x:mergeCells>
  <x:phoneticPr fontId="6" type="noConversion"/>
  <x:pageMargins left="0.75" right="0.7" top="1.2" bottom="0.1" header="0.3" footer="0.3"/>
  <x:pageSetup scale="53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2025-04-04T18:42:06.0000000Z</dcterms:modified>
</coreProperties>
</file>