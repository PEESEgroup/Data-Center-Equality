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66925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E (Other Items)\Schedule II-E Workpapers\"/>
    </mc:Choice>
  </mc:AlternateContent>
  <xr:revisionPtr revIDLastSave="0" documentId="13_ncr:1_{05269D53-1DD5-4888-B8C9-EE68AFF7DD35}" xr6:coauthVersionLast="47" xr6:coauthVersionMax="47" xr10:uidLastSave="{00000000-0000-0000-0000-000000000000}"/>
  <x:bookViews>
    <x:workbookView xWindow="25974" yWindow="-109" windowWidth="26301" windowHeight="14169" xr2:uid="{7FEF2495-B2E6-4CF5-989F-52A737019F6A}"/>
  </x:bookViews>
  <x:sheets>
    <x:sheet name="II-E-1_01" sheetId="1" r:id="rId1"/>
  </x:sheets>
  <x:definedNames>
    <x:definedName name="_xlnm.Print_Area" localSheetId="0">'II-E-1_01'!$A$9:$J$120</x:definedName>
    <x:definedName name="_xlnm.Print_Titles" localSheetId="0">'II-E-1_01'!$1:$8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H74" i="1" l="1"/>
  <x:c r="H28" i="1"/>
  <x:c r="F111" i="1" l="1"/>
  <x:c r="F83" i="1"/>
  <x:c r="F68" i="1"/>
  <x:c r="F60" i="1"/>
  <x:c r="F53" i="1"/>
  <x:c r="F47" i="1"/>
  <x:c r="F31" i="1"/>
  <x:c r="G110" i="1"/>
  <x:c r="G90" i="1"/>
  <x:c r="G86" i="1"/>
  <x:c r="G85" i="1"/>
  <x:c r="G84" i="1"/>
  <x:c r="G72" i="1"/>
  <x:c r="G71" i="1"/>
  <x:c r="G70" i="1"/>
  <x:c r="G69" i="1"/>
  <x:c r="G64" i="1"/>
  <x:c r="G63" i="1"/>
  <x:c r="G62" i="1"/>
  <x:c r="G61" i="1"/>
  <x:c r="G30" i="1"/>
  <x:c r="G21" i="1"/>
  <x:c r="G20" i="1"/>
  <x:c r="G14" i="1"/>
  <x:c r="C111" i="1"/>
  <x:c r="E94" i="1"/>
  <x:c r="G94" i="1" s="1"/>
  <x:c r="I120" i="1" l="1"/>
  <x:c r="E104" i="1"/>
  <x:c r="G104" i="1" s="1"/>
  <x:c r="C83" i="1" l="1"/>
  <x:c r="C60" i="1" l="1"/>
  <x:c r="C53" i="1"/>
  <x:c r="C47" i="1" l="1"/>
  <x:c r="E103" i="1"/>
  <x:c r="G103" i="1" s="1"/>
  <x:c r="E102" i="1"/>
  <x:c r="G102" i="1" s="1"/>
  <x:c r="E101" i="1"/>
  <x:c r="G101" i="1" s="1"/>
  <x:c r="E100" i="1"/>
  <x:c r="G100" i="1" s="1"/>
  <x:c r="E99" i="1"/>
  <x:c r="G99" i="1" s="1"/>
  <x:c r="E98" i="1"/>
  <x:c r="G98" i="1" s="1"/>
  <x:c r="E97" i="1"/>
  <x:c r="G97" i="1" s="1"/>
  <x:c r="E107" i="1"/>
  <x:c r="G107" i="1" s="1"/>
  <x:c r="E106" i="1"/>
  <x:c r="G106" i="1" s="1"/>
  <x:c r="E105" i="1"/>
  <x:c r="G105" i="1" s="1"/>
  <x:c r="E96" i="1"/>
  <x:c r="G96" i="1" s="1"/>
  <x:c r="E95" i="1"/>
  <x:c r="G95" i="1" s="1"/>
  <x:c r="E93" i="1"/>
  <x:c r="E82" i="1"/>
  <x:c r="G82" i="1" s="1"/>
  <x:c r="E81" i="1"/>
  <x:c r="G81" i="1" s="1"/>
  <x:c r="E87" i="1"/>
  <x:c r="G87" i="1" s="1"/>
  <x:c r="E80" i="1"/>
  <x:c r="G80" i="1" s="1"/>
  <x:c r="E79" i="1"/>
  <x:c r="G79" i="1" s="1"/>
  <x:c r="E78" i="1"/>
  <x:c r="G78" i="1" s="1"/>
  <x:c r="E77" i="1"/>
  <x:c r="G77" i="1" s="1"/>
  <x:c r="E76" i="1"/>
  <x:c r="G76" i="1" s="1"/>
  <x:c r="E75" i="1"/>
  <x:c r="G75" i="1" s="1"/>
  <x:c r="E74" i="1"/>
  <x:c r="G74" i="1" s="1"/>
  <x:c r="E73" i="1"/>
  <x:c r="E67" i="1"/>
  <x:c r="G67" i="1" s="1"/>
  <x:c r="E66" i="1"/>
  <x:c r="G66" i="1" s="1"/>
  <x:c r="E65" i="1"/>
  <x:c r="G65" i="1" s="1"/>
  <x:c r="G68" i="1" s="1"/>
  <x:c r="E59" i="1"/>
  <x:c r="G59" i="1" s="1"/>
  <x:c r="E58" i="1"/>
  <x:c r="G58" i="1" s="1"/>
  <x:c r="G60" i="1" s="1"/>
  <x:c r="E52" i="1"/>
  <x:c r="G52" i="1" s="1"/>
  <x:c r="E51" i="1"/>
  <x:c r="G51" i="1" s="1"/>
  <x:c r="G53" i="1" s="1"/>
  <x:c r="E50" i="1"/>
  <x:c r="E46" i="1"/>
  <x:c r="G46" i="1" s="1"/>
  <x:c r="E45" i="1"/>
  <x:c r="G45" i="1" s="1"/>
  <x:c r="E44" i="1"/>
  <x:c r="G44" i="1" s="1"/>
  <x:c r="E43" i="1"/>
  <x:c r="G43" i="1" s="1"/>
  <x:c r="E42" i="1"/>
  <x:c r="G42" i="1" s="1"/>
  <x:c r="E41" i="1"/>
  <x:c r="G41" i="1" s="1"/>
  <x:c r="E40" i="1"/>
  <x:c r="G40" i="1" s="1"/>
  <x:c r="E39" i="1"/>
  <x:c r="G39" i="1" s="1"/>
  <x:c r="G47" i="1" s="1"/>
  <x:c r="C31" i="1"/>
  <x:c r="E29" i="1"/>
  <x:c r="G29" i="1" s="1"/>
  <x:c r="E28" i="1"/>
  <x:c r="G28" i="1" s="1"/>
  <x:c r="E27" i="1"/>
  <x:c r="G27" i="1" s="1"/>
  <x:c r="E26" i="1"/>
  <x:c r="G26" i="1" s="1"/>
  <x:c r="E25" i="1"/>
  <x:c r="G25" i="1" s="1"/>
  <x:c r="E24" i="1"/>
  <x:c r="G24" i="1" s="1"/>
  <x:c r="E23" i="1"/>
  <x:c r="G23" i="1" s="1"/>
  <x:c r="E22" i="1"/>
  <x:c r="G22" i="1" s="1"/>
  <x:c r="E19" i="1"/>
  <x:c r="G19" i="1" s="1"/>
  <x:c r="E18" i="1"/>
  <x:c r="G18" i="1" s="1"/>
  <x:c r="E17" i="1"/>
  <x:c r="G17" i="1" s="1"/>
  <x:c r="E16" i="1"/>
  <x:c r="G16" i="1" s="1"/>
  <x:c r="E15" i="1"/>
  <x:c r="G15" i="1" s="1"/>
  <x:c r="E13" i="1"/>
  <x:c r="G13" i="1" s="1"/>
  <x:c r="G31" i="1" s="1"/>
  <x:c r="C68" i="1"/>
  <x:c r="E83" i="1" l="1"/>
  <x:c r="G73" i="1"/>
  <x:c r="G83" i="1" s="1"/>
  <x:c r="E111" i="1"/>
  <x:c r="G93" i="1"/>
  <x:c r="G111" i="1" s="1"/>
  <x:c r="H73" i="1"/>
  <x:c r="H75" i="1"/>
  <x:c r="H76" i="1"/>
  <x:c r="H77" i="1"/>
  <x:c r="H78" i="1"/>
  <x:c r="H79" i="1"/>
  <x:c r="H80" i="1"/>
  <x:c r="H81" i="1"/>
  <x:c r="H82" i="1"/>
  <x:c r="E68" i="1"/>
  <x:c r="H65" i="1"/>
  <x:c r="H66" i="1"/>
  <x:c r="H67" i="1"/>
  <x:c r="E60" i="1"/>
  <x:c r="H58" i="1" s="1"/>
  <x:c r="H59" i="1"/>
  <x:c r="E53" i="1"/>
  <x:c r="H51" i="1"/>
  <x:c r="H52" i="1"/>
  <x:c r="E47" i="1"/>
  <x:c r="H39" i="1" s="1"/>
  <x:c r="H40" i="1"/>
  <x:c r="H41" i="1"/>
  <x:c r="H42" i="1"/>
  <x:c r="H43" i="1"/>
  <x:c r="H44" i="1"/>
  <x:c r="H45" i="1"/>
  <x:c r="H46" i="1"/>
  <x:c r="E31" i="1"/>
  <x:c r="H16" i="1"/>
  <x:c r="H17" i="1"/>
  <x:c r="H18" i="1"/>
  <x:c r="H19" i="1"/>
  <x:c r="H22" i="1"/>
  <x:c r="H23" i="1"/>
  <x:c r="H24" i="1"/>
  <x:c r="H26" i="1"/>
  <x:c r="H27" i="1"/>
  <x:c r="H29" i="1"/>
  <x:c r="H107" i="1" l="1"/>
  <x:c r="H106" i="1"/>
  <x:c r="H105" i="1"/>
  <x:c r="H104" i="1"/>
  <x:c r="H103" i="1"/>
  <x:c r="H102" i="1"/>
  <x:c r="H101" i="1"/>
  <x:c r="H100" i="1"/>
  <x:c r="H99" i="1"/>
  <x:c r="H98" i="1"/>
  <x:c r="H97" i="1"/>
  <x:c r="H96" i="1"/>
  <x:c r="H95" i="1"/>
  <x:c r="H94" i="1"/>
  <x:c r="H93" i="1"/>
  <x:c r="H83" i="1"/>
  <x:c r="H68" i="1"/>
  <x:c r="H60" i="1"/>
  <x:c r="H53" i="1"/>
  <x:c r="H47" i="1"/>
  <x:c r="H21" i="1"/>
  <x:c r="H13" i="1"/>
  <x:c r="H111" i="1" l="1"/>
  <x:c r="H31" i="1"/>
  <x:c r="H120" i="1"/>
</x:calcChain>
</file>

<file path=xl/sharedStrings.xml><?xml version="1.0" encoding="utf-8"?>
<sst xmlns="http://schemas.openxmlformats.org/spreadsheetml/2006/main" count="143" uniqueCount="114">
  <si>
    <t>350</t>
  </si>
  <si>
    <t>Land and Land Rights</t>
  </si>
  <si>
    <t>Structures and Improvements</t>
  </si>
  <si>
    <t>Station Equipment</t>
  </si>
  <si>
    <t>354</t>
  </si>
  <si>
    <t>Towers and Fixtures</t>
  </si>
  <si>
    <t>355</t>
  </si>
  <si>
    <t>Poles and Fixtures</t>
  </si>
  <si>
    <t>356</t>
  </si>
  <si>
    <t>Overhead Conductor</t>
  </si>
  <si>
    <t>357</t>
  </si>
  <si>
    <t>Underground Conduit</t>
  </si>
  <si>
    <t>358</t>
  </si>
  <si>
    <t>Underground Conductor and Devices</t>
  </si>
  <si>
    <t>DC Tie</t>
  </si>
  <si>
    <t xml:space="preserve">SVC </t>
  </si>
  <si>
    <t>Total Transmission</t>
  </si>
  <si>
    <t>360</t>
  </si>
  <si>
    <t>Total Distribution Substation</t>
  </si>
  <si>
    <t xml:space="preserve"> </t>
  </si>
  <si>
    <t>364</t>
  </si>
  <si>
    <t>Poles, Towers, and Fixtures</t>
  </si>
  <si>
    <t>365</t>
  </si>
  <si>
    <t>Overhead Conductor and Devices</t>
  </si>
  <si>
    <t>366</t>
  </si>
  <si>
    <t>367</t>
  </si>
  <si>
    <t>368</t>
  </si>
  <si>
    <t>Line Transformers</t>
  </si>
  <si>
    <t>369</t>
  </si>
  <si>
    <t>Services</t>
  </si>
  <si>
    <t>Meters (Post AMS)</t>
  </si>
  <si>
    <t>IDR Meters</t>
  </si>
  <si>
    <t>371</t>
  </si>
  <si>
    <t>Installation on Customer Premises</t>
  </si>
  <si>
    <t>373</t>
  </si>
  <si>
    <t>Street Lighting</t>
  </si>
  <si>
    <t>Total Distribution</t>
  </si>
  <si>
    <t>389</t>
  </si>
  <si>
    <t>390</t>
  </si>
  <si>
    <t>397</t>
  </si>
  <si>
    <t>Communication Equipment</t>
  </si>
  <si>
    <t>Computer Equipment</t>
  </si>
  <si>
    <t>Small Tools</t>
  </si>
  <si>
    <t>396</t>
  </si>
  <si>
    <t>Power Operated Equipment</t>
  </si>
  <si>
    <t>391</t>
  </si>
  <si>
    <t>Office Furniture and Equipment</t>
  </si>
  <si>
    <t>393</t>
  </si>
  <si>
    <t>Stores Equipment</t>
  </si>
  <si>
    <t>394</t>
  </si>
  <si>
    <t>Large Tools</t>
  </si>
  <si>
    <t>395</t>
  </si>
  <si>
    <t>Laboratory Equipment</t>
  </si>
  <si>
    <t>398</t>
  </si>
  <si>
    <t>Miscellaneous Equipment</t>
  </si>
  <si>
    <t>AMS Meters</t>
  </si>
  <si>
    <t>AMR Meters</t>
  </si>
  <si>
    <t>Description</t>
  </si>
  <si>
    <t>IMS</t>
  </si>
  <si>
    <t>Total Plant</t>
  </si>
  <si>
    <t xml:space="preserve">at 12/31/2024 </t>
  </si>
  <si>
    <t>Heavy Trucks</t>
  </si>
  <si>
    <t>Auto/Light Trucks</t>
  </si>
  <si>
    <t>Trailer</t>
  </si>
  <si>
    <t>Intangible 15 year</t>
  </si>
  <si>
    <t>Transmission Software 3 yr</t>
  </si>
  <si>
    <t>Transmission Software 5 yr</t>
  </si>
  <si>
    <t>Transmission Software 8 yr</t>
  </si>
  <si>
    <t>Transmission Software 15 yr</t>
  </si>
  <si>
    <t>Distrtibution Software 5 Yr</t>
  </si>
  <si>
    <t>Distrtibution Software 8 yr</t>
  </si>
  <si>
    <t>Distrtibution Software 15 Yr</t>
  </si>
  <si>
    <t>General Software 3 yr</t>
  </si>
  <si>
    <t>General Software 5 yr</t>
  </si>
  <si>
    <t>General Software 8 yr</t>
  </si>
  <si>
    <t>General Software 15 yr</t>
  </si>
  <si>
    <t>Plant x Rate</t>
  </si>
  <si>
    <t>Per Book Intangible</t>
  </si>
  <si>
    <t>Allocated</t>
  </si>
  <si>
    <t>2024 Expense</t>
  </si>
  <si>
    <t>Per Book Transmission</t>
  </si>
  <si>
    <t>Total DC Tie</t>
  </si>
  <si>
    <t>Per Book DC Ties</t>
  </si>
  <si>
    <t>Total SVC</t>
  </si>
  <si>
    <t xml:space="preserve">Per Book SVC </t>
  </si>
  <si>
    <t>Per Book Dist Subs</t>
  </si>
  <si>
    <t>Per Book Distribution</t>
  </si>
  <si>
    <t>Disallowance 53601 applied to Acct 397</t>
  </si>
  <si>
    <t>Other</t>
  </si>
  <si>
    <t>Intangible Per Book</t>
  </si>
  <si>
    <t>Transmission Per Book</t>
  </si>
  <si>
    <t>Distribution Sub Per Book</t>
  </si>
  <si>
    <t>SVC Per Book</t>
  </si>
  <si>
    <t>DC Tie Per Book</t>
  </si>
  <si>
    <t>Distribution Per Book</t>
  </si>
  <si>
    <t>IDR Per Book</t>
  </si>
  <si>
    <t>Leasehold</t>
  </si>
  <si>
    <t>General</t>
  </si>
  <si>
    <t>Plant Amortization</t>
  </si>
  <si>
    <t xml:space="preserve">Total </t>
  </si>
  <si>
    <t>Calculated Expense</t>
  </si>
  <si>
    <t xml:space="preserve">Per Book </t>
  </si>
  <si>
    <t>Per Book General</t>
  </si>
  <si>
    <t>2025 RATE CASE</t>
  </si>
  <si>
    <t>ONCOR ELECTRIC DELIVERY LLC</t>
  </si>
  <si>
    <t>WP/II-E1_01 PER BOOK DEPRECIATION EXPENSE</t>
  </si>
  <si>
    <t>FOR THE TEST YEAR ENDING DECEMBER 31, 2024</t>
  </si>
  <si>
    <t>Communication Depreciable</t>
  </si>
  <si>
    <t>Total</t>
  </si>
  <si>
    <t>Total General Excl 397 Depreciated</t>
  </si>
  <si>
    <t xml:space="preserve"> Rate</t>
  </si>
  <si>
    <t xml:space="preserve">Approved </t>
  </si>
  <si>
    <t>Acct</t>
  </si>
  <si>
    <t>SPONSOR: D. A. WATSON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</si>
</sst>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Fill="1"/>
    <xf numFmtId="39" fontId="2" fillId="0" borderId="0" xfId="0" applyNumberFormat="1" applyFont="1" applyFill="1"/>
    <xf numFmtId="0" fontId="2" fillId="0" borderId="0" xfId="0" applyFont="1" applyFill="1" applyAlignment="1">
      <alignment horizontal="left"/>
    </xf>
    <xf numFmtId="43" fontId="2" fillId="0" borderId="0" xfId="1" applyFont="1" applyFill="1"/>
    <xf numFmtId="0" fontId="3" fillId="0" borderId="0" xfId="0" applyFont="1" applyFill="1" applyAlignment="1">
      <alignment horizontal="left"/>
    </xf>
    <xf numFmtId="0" fontId="3" fillId="0" borderId="0" xfId="0" applyFont="1" applyFill="1"/>
    <xf numFmtId="43" fontId="2" fillId="0" borderId="0" xfId="0" applyNumberFormat="1" applyFont="1" applyFill="1"/>
    <xf numFmtId="10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right"/>
    </xf>
    <xf numFmtId="43" fontId="2" fillId="0" borderId="0" xfId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43" fontId="2" fillId="0" borderId="1" xfId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43" fontId="2" fillId="0" borderId="1" xfId="1" applyFont="1" applyFill="1" applyBorder="1"/>
    <xf numFmtId="10" fontId="2" fillId="0" borderId="1" xfId="0" applyNumberFormat="1" applyFont="1" applyBorder="1" applyAlignment="1">
      <alignment horizontal="center"/>
    </xf>
    <xf numFmtId="0" fontId="2" fillId="0" borderId="1" xfId="0" applyFont="1" applyFill="1" applyBorder="1"/>
    <xf numFmtId="43" fontId="2" fillId="0" borderId="1" xfId="0" applyNumberFormat="1" applyFont="1" applyFill="1" applyBorder="1"/>
    <xf numFmtId="43" fontId="5" fillId="0" borderId="0" xfId="2" applyFont="1" applyFill="1"/>
    <xf numFmtId="0" fontId="3" fillId="0" borderId="0" xfId="0" applyFont="1" applyFill="1" applyAlignment="1">
      <alignment horizontal="center"/>
    </xf>
    <xf numFmtId="43" fontId="2" fillId="0" borderId="3" xfId="1" applyFont="1" applyFill="1" applyBorder="1"/>
    <xf numFmtId="39" fontId="2" fillId="0" borderId="3" xfId="0" applyNumberFormat="1" applyFont="1" applyFill="1" applyBorder="1"/>
    <xf numFmtId="0" fontId="3" fillId="0" borderId="2" xfId="0" applyFont="1" applyFill="1" applyBorder="1" applyAlignment="1">
      <alignment horizontal="center"/>
    </xf>
    <xf numFmtId="43" fontId="3" fillId="0" borderId="2" xfId="1" applyFont="1" applyFill="1" applyBorder="1" applyAlignment="1">
      <alignment horizontal="center"/>
    </xf>
    <xf numFmtId="0" fontId="3" fillId="0" borderId="0" xfId="0" applyFont="1" applyFill="1" applyAlignment="1">
      <alignment horizontal="center"/>
    </xf>
  </cellXfs>
  <cellStyles count="3">
    <cellStyle name="Comma" xfId="1" builtinId="3"/>
    <cellStyle name="Comma 2" xfId="2" xr:uid="{E8D70157-1A03-46CA-982B-B9ADB7E52E4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5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9E0E832-584D-432F-835C-6CCBC8847CF0}" mc:Ignorable="x14ac xr xr2 xr3">
  <x:dimension ref="A1:J126"/>
  <x:sheetViews>
    <x:sheetView tabSelected="1" workbookViewId="0">
      <x:pane ySplit="8" topLeftCell="A9" activePane="bottomLeft" state="frozen"/>
      <x:selection pane="bottomLeft" activeCell="A6" sqref="A6"/>
    </x:sheetView>
  </x:sheetViews>
  <x:sheetFormatPr defaultColWidth="9.125" defaultRowHeight="15.65" x14ac:dyDescent="0.25"/>
  <x:cols>
    <x:col min="1" max="1" width="9.375" style="3" bestFit="1" customWidth="1"/>
    <x:col min="2" max="2" width="40.25" style="1" customWidth="1"/>
    <x:col min="3" max="3" width="27.375" style="1" customWidth="1"/>
    <x:col min="4" max="4" width="14.75" style="1" customWidth="1"/>
    <x:col min="5" max="7" width="22.375" style="1" customWidth="1"/>
    <x:col min="8" max="8" width="21.625" style="1" customWidth="1"/>
    <x:col min="9" max="9" width="20.75" style="1" customWidth="1"/>
    <x:col min="10" max="10" width="28" style="1" customWidth="1"/>
    <x:col min="11" max="16384" width="9.125" style="1"/>
  </x:cols>
  <x:sheetData>
    <x:row r="1" spans="1:10" x14ac:dyDescent="0.25">
      <x:c r="A1" s="24" t="s">
        <x:v>103</x:v>
      </x:c>
      <x:c r="B1" s="24"/>
      <x:c r="C1" s="24"/>
      <x:c r="D1" s="24"/>
      <x:c r="E1" s="24"/>
      <x:c r="F1" s="24"/>
      <x:c r="G1" s="24"/>
      <x:c r="H1" s="24"/>
      <x:c r="I1" s="24"/>
      <x:c r="J1" s="24"/>
    </x:row>
    <x:row r="2" spans="1:10" x14ac:dyDescent="0.25">
      <x:c r="A2" s="24" t="s">
        <x:v>104</x:v>
      </x:c>
      <x:c r="B2" s="24"/>
      <x:c r="C2" s="24"/>
      <x:c r="D2" s="24"/>
      <x:c r="E2" s="24"/>
      <x:c r="F2" s="24"/>
      <x:c r="G2" s="24"/>
      <x:c r="H2" s="24"/>
      <x:c r="I2" s="24"/>
      <x:c r="J2" s="24"/>
    </x:row>
    <x:row r="3" spans="1:10" x14ac:dyDescent="0.25">
      <x:c r="A3" s="24" t="s">
        <x:v>105</x:v>
      </x:c>
      <x:c r="B3" s="24"/>
      <x:c r="C3" s="24"/>
      <x:c r="D3" s="24"/>
      <x:c r="E3" s="24"/>
      <x:c r="F3" s="24"/>
      <x:c r="G3" s="24"/>
      <x:c r="H3" s="24"/>
      <x:c r="I3" s="24"/>
      <x:c r="J3" s="24"/>
    </x:row>
    <x:row r="4" spans="1:10" x14ac:dyDescent="0.25">
      <x:c r="A4" s="24" t="s">
        <x:v>106</x:v>
      </x:c>
      <x:c r="B4" s="24"/>
      <x:c r="C4" s="24"/>
      <x:c r="D4" s="24"/>
      <x:c r="E4" s="24"/>
      <x:c r="F4" s="24"/>
      <x:c r="G4" s="24"/>
      <x:c r="H4" s="24"/>
      <x:c r="I4" s="24"/>
      <x:c r="J4" s="24"/>
    </x:row>
    <x:row r="5" spans="1:10" x14ac:dyDescent="0.25">
      <x:c r="A5" s="24" t="s">
        <x:v>113</x:v>
      </x:c>
      <x:c r="B5" s="24"/>
      <x:c r="C5" s="24"/>
      <x:c r="D5" s="24"/>
      <x:c r="E5" s="24"/>
      <x:c r="F5" s="24"/>
      <x:c r="G5" s="24"/>
      <x:c r="H5" s="24"/>
      <x:c r="I5" s="24"/>
      <x:c r="J5" s="24"/>
    </x:row>
    <x:row r="6" spans="1:10" x14ac:dyDescent="0.25">
      <x:c r="A6" s="5"/>
      <x:c r="B6" s="6"/>
      <x:c r="C6" s="6"/>
      <x:c r="D6" s="6"/>
      <x:c r="E6" s="6"/>
      <x:c r="F6" s="6"/>
      <x:c r="G6" s="6"/>
      <x:c r="I6" s="4"/>
    </x:row>
    <x:row r="7" spans="1:10" x14ac:dyDescent="0.25">
      <x:c r="A7" s="19"/>
      <x:c r="B7" s="19"/>
      <x:c r="C7" s="19" t="s">
        <x:v>59</x:v>
      </x:c>
      <x:c r="D7" s="19" t="s">
        <x:v>111</x:v>
      </x:c>
      <x:c r="E7" s="19"/>
      <x:c r="F7" s="19" t="s">
        <x:v>97</x:v>
      </x:c>
      <x:c r="G7" s="19" t="s">
        <x:v>99</x:v>
      </x:c>
      <x:c r="H7" s="19" t="s">
        <x:v>78</x:v>
      </x:c>
      <x:c r="I7" s="10"/>
      <x:c r="J7" s="11"/>
    </x:row>
    <x:row r="8" spans="1:10" s="6" customFormat="1" x14ac:dyDescent="0.25">
      <x:c r="A8" s="19" t="s">
        <x:v>112</x:v>
      </x:c>
      <x:c r="B8" s="19" t="s">
        <x:v>57</x:v>
      </x:c>
      <x:c r="C8" s="22" t="s">
        <x:v>60</x:v>
      </x:c>
      <x:c r="D8" s="22" t="s">
        <x:v>110</x:v>
      </x:c>
      <x:c r="E8" s="22" t="s">
        <x:v>76</x:v>
      </x:c>
      <x:c r="F8" s="22" t="s">
        <x:v>98</x:v>
      </x:c>
      <x:c r="G8" s="22" t="s">
        <x:v>100</x:v>
      </x:c>
      <x:c r="H8" s="22" t="s">
        <x:v>79</x:v>
      </x:c>
      <x:c r="I8" s="23" t="s">
        <x:v>101</x:v>
      </x:c>
      <x:c r="J8" s="22" t="s">
        <x:v>57</x:v>
      </x:c>
    </x:row>
    <x:row r="9" spans="1:10" x14ac:dyDescent="0.25">
      <x:c r="E9" s="4"/>
      <x:c r="F9" s="4"/>
      <x:c r="G9" s="4"/>
      <x:c r="I9" s="4"/>
    </x:row>
    <x:row r="10" spans="1:10" x14ac:dyDescent="0.25">
      <x:c r="C10" s="1" t="s">
        <x:v>19</x:v>
      </x:c>
      <x:c r="D10" s="1" t="s">
        <x:v>19</x:v>
      </x:c>
      <x:c r="E10" s="4" t="s">
        <x:v>19</x:v>
      </x:c>
      <x:c r="F10" s="4"/>
      <x:c r="G10" s="4"/>
      <x:c r="I10" s="4"/>
    </x:row>
    <x:row r="11" spans="1:10" x14ac:dyDescent="0.25">
      <x:c r="A11" s="3" t="s">
        <x:v>19</x:v>
      </x:c>
      <x:c r="B11" s="1" t="s">
        <x:v>19</x:v>
      </x:c>
      <x:c r="C11" s="4" t="s">
        <x:v>19</x:v>
      </x:c>
      <x:c r="E11" s="4"/>
      <x:c r="F11" s="4"/>
      <x:c r="G11" s="4"/>
      <x:c r="I11" s="4"/>
    </x:row>
    <x:row r="12" spans="1:10" x14ac:dyDescent="0.25">
      <x:c r="C12" s="4"/>
      <x:c r="E12" s="4"/>
      <x:c r="F12" s="4"/>
      <x:c r="G12" s="4"/>
      <x:c r="I12" s="4"/>
    </x:row>
    <x:row r="13" spans="1:10" x14ac:dyDescent="0.25">
      <x:c r="A13" s="1">
        <x:v>303</x:v>
      </x:c>
      <x:c r="B13" s="4" t="s">
        <x:v>64</x:v>
      </x:c>
      <x:c r="C13" s="4">
        <x:v>15900000</x:v>
      </x:c>
      <x:c r="D13" s="8">
        <x:v>6.4612331000034495E-2</x:v>
      </x:c>
      <x:c r="E13" s="4">
        <x:f>+C13*D13</x:f>
        <x:v>1027336.0629005485</x:v>
      </x:c>
      <x:c r="F13" s="4"/>
      <x:c r="G13" s="4">
        <x:f>+E13+F13</x:f>
        <x:v>1027336.0629005485</x:v>
      </x:c>
      <x:c r="H13" s="4">
        <x:f>ROUND(+E13/E$31*I$31,2)</x:f>
        <x:v>894348.16</x:v>
      </x:c>
      <x:c r="I13" s="4"/>
    </x:row>
    <x:row r="14" spans="1:10" x14ac:dyDescent="0.25">
      <x:c r="A14" s="1"/>
      <x:c r="B14" s="4"/>
      <x:c r="C14" s="4"/>
      <x:c r="D14" s="8"/>
      <x:c r="E14" s="4"/>
      <x:c r="F14" s="4"/>
      <x:c r="G14" s="4">
        <x:f t="shared" ref="G14:G77" si="0">+E14+F14</x:f>
        <x:v>0</x:v>
      </x:c>
      <x:c r="H14" s="4"/>
      <x:c r="I14" s="4"/>
    </x:row>
    <x:row r="15" spans="1:10" x14ac:dyDescent="0.25">
      <x:c r="A15" s="1"/>
      <x:c r="B15" s="4"/>
      <x:c r="C15" s="4"/>
      <x:c r="D15" s="8"/>
      <x:c r="E15" s="4">
        <x:f>+C15*D15</x:f>
        <x:v>0</x:v>
      </x:c>
      <x:c r="F15" s="4"/>
      <x:c r="G15" s="4">
        <x:f t="shared" si="0"/>
        <x:v>0</x:v>
      </x:c>
      <x:c r="I15" s="4"/>
    </x:row>
    <x:row r="16" spans="1:10" x14ac:dyDescent="0.25">
      <x:c r="A16" s="1">
        <x:v>351</x:v>
      </x:c>
      <x:c r="B16" s="4" t="s">
        <x:v>65</x:v>
      </x:c>
      <x:c r="C16" s="4">
        <x:v>286851.3</x:v>
      </x:c>
      <x:c r="D16" s="8">
        <x:v>0.31650035036150465</x:v>
      </x:c>
      <x:c r="E16" s="4">
        <x:f>+C16*D16</x:f>
        <x:v>90788.536951653077</x:v>
      </x:c>
      <x:c r="F16" s="4"/>
      <x:c r="G16" s="4">
        <x:f t="shared" si="0"/>
        <x:v>90788.536951653077</x:v>
      </x:c>
      <x:c r="H16" s="4">
        <x:f>ROUND(+E16/E$31*I$31,2)</x:f>
        <x:v>79036.03</x:v>
      </x:c>
      <x:c r="I16" s="4"/>
    </x:row>
    <x:row r="17" spans="1:10" x14ac:dyDescent="0.25">
      <x:c r="A17" s="1">
        <x:v>351</x:v>
      </x:c>
      <x:c r="B17" s="4" t="s">
        <x:v>66</x:v>
      </x:c>
      <x:c r="C17" s="4">
        <x:v>3554348.9499999997</x:v>
      </x:c>
      <x:c r="D17" s="8">
        <x:v>0.19177857938244289</x:v>
      </x:c>
      <x:c r="E17" s="4">
        <x:f>+C17*D17</x:f>
        <x:v>681647.99226047751</x:v>
      </x:c>
      <x:c r="F17" s="4"/>
      <x:c r="G17" s="4">
        <x:f t="shared" si="0"/>
        <x:v>681647.99226047751</x:v>
      </x:c>
      <x:c r="H17" s="4">
        <x:f>ROUND(+E17/E$31*I$31,2)</x:f>
        <x:v>593409.16</x:v>
      </x:c>
      <x:c r="I17" s="4"/>
    </x:row>
    <x:row r="18" spans="1:10" x14ac:dyDescent="0.25">
      <x:c r="A18" s="1">
        <x:v>351</x:v>
      </x:c>
      <x:c r="B18" s="4" t="s">
        <x:v>67</x:v>
      </x:c>
      <x:c r="C18" s="4">
        <x:v>73971237.159999996</x:v>
      </x:c>
      <x:c r="D18" s="8">
        <x:v>0.11264278401378452</x:v>
      </x:c>
      <x:c r="E18" s="4">
        <x:f>+C18*D18</x:f>
        <x:v>8332326.0906463116</x:v>
      </x:c>
      <x:c r="F18" s="4"/>
      <x:c r="G18" s="4">
        <x:f t="shared" si="0"/>
        <x:v>8332326.0906463116</x:v>
      </x:c>
      <x:c r="H18" s="4">
        <x:f>ROUND(+E18/E$31*I$31,2)</x:f>
        <x:v>7253712.5899999999</x:v>
      </x:c>
      <x:c r="I18" s="4"/>
    </x:row>
    <x:row r="19" spans="1:10" x14ac:dyDescent="0.25">
      <x:c r="A19" s="1">
        <x:v>351</x:v>
      </x:c>
      <x:c r="B19" s="4" t="s">
        <x:v>68</x:v>
      </x:c>
      <x:c r="C19" s="4">
        <x:v>73013308.689999998</x:v>
      </x:c>
      <x:c r="D19" s="8">
        <x:v>6.4612331000034495E-2</x:v>
      </x:c>
      <x:c r="E19" s="4">
        <x:f>+C19*D19</x:f>
        <x:v>4717560.0684859753</x:v>
      </x:c>
      <x:c r="F19" s="4"/>
      <x:c r="G19" s="4">
        <x:f t="shared" si="0"/>
        <x:v>4717560.0684859753</x:v>
      </x:c>
      <x:c r="H19" s="4">
        <x:f>ROUND(+E19/E$31*I$31,2)</x:f>
        <x:v>4106875.38</x:v>
      </x:c>
      <x:c r="I19" s="4"/>
    </x:row>
    <x:row r="20" spans="1:10" x14ac:dyDescent="0.25">
      <x:c r="A20" s="1"/>
      <x:c r="B20" s="4"/>
      <x:c r="C20" s="4"/>
      <x:c r="D20" s="8"/>
      <x:c r="E20" s="4"/>
      <x:c r="F20" s="4"/>
      <x:c r="G20" s="4">
        <x:f t="shared" si="0"/>
        <x:v>0</x:v>
      </x:c>
      <x:c r="I20" s="4"/>
    </x:row>
    <x:row r="21" spans="1:10" x14ac:dyDescent="0.25">
      <x:c r="A21" s="1"/>
      <x:c r="B21" s="4"/>
      <x:c r="C21" s="4"/>
      <x:c r="D21" s="8"/>
      <x:c r="E21" s="4"/>
      <x:c r="F21" s="4"/>
      <x:c r="G21" s="4">
        <x:f t="shared" si="0"/>
        <x:v>0</x:v>
      </x:c>
      <x:c r="H21" s="4">
        <x:f>ROUND(+E21/E$31*I$31,2)</x:f>
        <x:v>0</x:v>
      </x:c>
      <x:c r="I21" s="4"/>
    </x:row>
    <x:row r="22" spans="1:10" x14ac:dyDescent="0.25">
      <x:c r="A22" s="1">
        <x:v>363</x:v>
      </x:c>
      <x:c r="B22" s="4" t="s">
        <x:v>69</x:v>
      </x:c>
      <x:c r="C22" s="4">
        <x:v>37915895.120000005</x:v>
      </x:c>
      <x:c r="D22" s="8">
        <x:v>0.19177857938244289</x:v>
      </x:c>
      <x:c r="E22" s="4">
        <x:f t="shared" ref="E22:E29" si="1">+C22*D22</x:f>
        <x:v>7271456.5021273</x:v>
      </x:c>
      <x:c r="F22" s="4"/>
      <x:c r="G22" s="4">
        <x:f t="shared" si="0"/>
        <x:v>7271456.5021273</x:v>
      </x:c>
      <x:c r="H22" s="4">
        <x:f>ROUND(+E22/E$31*I$31,2)</x:f>
        <x:v>6330171.79</x:v>
      </x:c>
      <x:c r="I22" s="4"/>
    </x:row>
    <x:row r="23" spans="1:10" x14ac:dyDescent="0.25">
      <x:c r="A23" s="1">
        <x:v>363</x:v>
      </x:c>
      <x:c r="B23" s="4" t="s">
        <x:v>70</x:v>
      </x:c>
      <x:c r="C23" s="4">
        <x:v>108503171.66999999</x:v>
      </x:c>
      <x:c r="D23" s="8">
        <x:v>0.11264278401378452</x:v>
      </x:c>
      <x:c r="E23" s="4">
        <x:f t="shared" si="1"/>
        <x:v>12222099.331234392</x:v>
      </x:c>
      <x:c r="F23" s="4"/>
      <x:c r="G23" s="4">
        <x:f t="shared" si="0"/>
        <x:v>12222099.331234392</x:v>
      </x:c>
      <x:c r="H23" s="4">
        <x:f>ROUND(+E23/E$31*I$31,2)</x:f>
        <x:v>10639957.529999999</x:v>
      </x:c>
      <x:c r="I23" s="4"/>
    </x:row>
    <x:row r="24" spans="1:10" x14ac:dyDescent="0.25">
      <x:c r="A24" s="1">
        <x:v>363</x:v>
      </x:c>
      <x:c r="B24" s="4" t="s">
        <x:v>71</x:v>
      </x:c>
      <x:c r="C24" s="4">
        <x:v>556095085.77999997</x:v>
      </x:c>
      <x:c r="D24" s="8">
        <x:v>6.4612331000034495E-2</x:v>
      </x:c>
      <x:c r="E24" s="4">
        <x:f t="shared" si="1"/>
        <x:v>35930599.749909937</x:v>
      </x:c>
      <x:c r="F24" s="4"/>
      <x:c r="G24" s="4">
        <x:f t="shared" si="0"/>
        <x:v>35930599.749909937</x:v>
      </x:c>
      <x:c r="H24" s="4">
        <x:f>ROUND(+E24/E$31*I$31,2)</x:f>
        <x:v>31279409.949999999</x:v>
      </x:c>
      <x:c r="I24" s="4"/>
    </x:row>
    <x:row r="25" spans="1:10" x14ac:dyDescent="0.25">
      <x:c r="A25" s="1"/>
      <x:c r="B25" s="4"/>
      <x:c r="C25" s="4"/>
      <x:c r="D25" s="8"/>
      <x:c r="E25" s="4">
        <x:f t="shared" si="1"/>
        <x:v>0</x:v>
      </x:c>
      <x:c r="F25" s="4"/>
      <x:c r="G25" s="4">
        <x:f t="shared" si="0"/>
        <x:v>0</x:v>
      </x:c>
      <x:c r="H25" s="4" t="s">
        <x:v>19</x:v>
      </x:c>
      <x:c r="I25" s="4"/>
    </x:row>
    <x:row r="26" spans="1:10" x14ac:dyDescent="0.25">
      <x:c r="A26" s="1">
        <x:v>397</x:v>
      </x:c>
      <x:c r="B26" s="4" t="s">
        <x:v>72</x:v>
      </x:c>
      <x:c r="C26" s="4">
        <x:v>16648263.5</x:v>
      </x:c>
      <x:c r="D26" s="8">
        <x:v>0.31650035036150465</x:v>
      </x:c>
      <x:c r="E26" s="4">
        <x:f t="shared" si="1"/>
        <x:v>5269181.2306606499</x:v>
      </x:c>
      <x:c r="F26" s="4"/>
      <x:c r="G26" s="4">
        <x:f t="shared" si="0"/>
        <x:v>5269181.2306606499</x:v>
      </x:c>
      <x:c r="H26" s="4">
        <x:f>ROUND(+E26/E$31*I$31,2)</x:f>
        <x:v>4587089.58</x:v>
      </x:c>
      <x:c r="I26" s="4"/>
    </x:row>
    <x:row r="27" spans="1:10" x14ac:dyDescent="0.25">
      <x:c r="A27" s="1">
        <x:v>397</x:v>
      </x:c>
      <x:c r="B27" s="4" t="s">
        <x:v>73</x:v>
      </x:c>
      <x:c r="C27" s="4">
        <x:v>115931922.07999998</x:v>
      </x:c>
      <x:c r="D27" s="8">
        <x:v>0.19177857938244289</x:v>
      </x:c>
      <x:c r="E27" s="4">
        <x:f t="shared" si="1"/>
        <x:v>22233259.321578462</x:v>
      </x:c>
      <x:c r="F27" s="4"/>
      <x:c r="G27" s="4">
        <x:f t="shared" si="0"/>
        <x:v>22233259.321578462</x:v>
      </x:c>
      <x:c r="H27" s="4">
        <x:f>ROUND(+E27/E$31*I$31,2)</x:f>
        <x:v>19355180.199999999</x:v>
      </x:c>
      <x:c r="I27" s="4"/>
    </x:row>
    <x:row r="28" spans="1:10" x14ac:dyDescent="0.25">
      <x:c r="A28" s="1">
        <x:v>397</x:v>
      </x:c>
      <x:c r="B28" s="4" t="s">
        <x:v>74</x:v>
      </x:c>
      <x:c r="C28" s="4">
        <x:v>227214960.10000005</x:v>
      </x:c>
      <x:c r="D28" s="8">
        <x:v>0.11264278401378452</x:v>
      </x:c>
      <x:c r="E28" s="4">
        <x:f t="shared" si="1"/>
        <x:v>25594125.675244976</x:v>
      </x:c>
      <x:c r="F28" s="4"/>
      <x:c r="G28" s="4">
        <x:f t="shared" si="0"/>
        <x:v>25594125.675244976</x:v>
      </x:c>
      <x:c r="H28" s="4">
        <x:f>ROUND(+E28/E$31*I$31,2)</x:f>
        <x:v>22280984.870000001</x:v>
      </x:c>
      <x:c r="I28" s="4"/>
    </x:row>
    <x:row r="29" spans="1:10" x14ac:dyDescent="0.25">
      <x:c r="A29" s="1">
        <x:v>397</x:v>
      </x:c>
      <x:c r="B29" s="4" t="s">
        <x:v>75</x:v>
      </x:c>
      <x:c r="C29" s="4">
        <x:v>603153.64</x:v>
      </x:c>
      <x:c r="D29" s="8">
        <x:v>6.4612331000034495E-2</x:v>
      </x:c>
      <x:c r="E29" s="4">
        <x:f t="shared" si="1"/>
        <x:v>38971.16263155565</x:v>
      </x:c>
      <x:c r="F29" s="4"/>
      <x:c r="G29" s="4">
        <x:f t="shared" si="0"/>
        <x:v>38971.16263155565</x:v>
      </x:c>
      <x:c r="H29" s="4">
        <x:f>ROUND(+E29/E$31*I$31,2)</x:f>
        <x:v>33926.370000000003</x:v>
      </x:c>
      <x:c r="I29" s="4"/>
    </x:row>
    <x:row r="30" spans="1:10" x14ac:dyDescent="0.25">
      <x:c r="A30" s="1"/>
      <x:c r="B30" s="4"/>
      <x:c r="C30" s="10"/>
      <x:c r="D30" s="11"/>
      <x:c r="E30" s="10"/>
      <x:c r="F30" s="10"/>
      <x:c r="G30" s="4">
        <x:f t="shared" si="0"/>
        <x:v>0</x:v>
      </x:c>
      <x:c r="I30" s="4"/>
    </x:row>
    <x:row r="31" spans="1:10" x14ac:dyDescent="0.25">
      <x:c r="A31" s="1"/>
      <x:c r="B31" s="4"/>
      <x:c r="C31" s="12">
        <x:f>SUM(C12:C30)</x:f>
        <x:v>1229638197.9900002</x:v>
      </x:c>
      <x:c r="D31" s="13"/>
      <x:c r="E31" s="12">
        <x:f>SUM(E13:E29)</x:f>
        <x:v>123409351.72463223</x:v>
      </x:c>
      <x:c r="F31" s="12">
        <x:f t="shared" ref="F31:G31" si="2">SUM(F13:F29)</x:f>
        <x:v>0</x:v>
      </x:c>
      <x:c r="G31" s="12">
        <x:f t="shared" si="2"/>
        <x:v>123409351.72463223</x:v>
      </x:c>
      <x:c r="H31" s="12">
        <x:f>SUM(H13:H29)</x:f>
        <x:v>107434101.61000001</x:v>
      </x:c>
      <x:c r="I31" s="4">
        <x:v>107434101.61</x:v>
      </x:c>
      <x:c r="J31" s="1" t="s">
        <x:v>89</x:v>
      </x:c>
    </x:row>
    <x:row r="32" spans="1:10" x14ac:dyDescent="0.25">
      <x:c r="A32" s="1"/>
      <x:c r="B32" s="4"/>
      <x:c r="C32" s="4"/>
      <x:c r="E32" s="4"/>
      <x:c r="F32" s="4"/>
      <x:c r="G32" s="4"/>
      <x:c r="I32" s="4"/>
    </x:row>
    <x:row r="33" spans="1:10" x14ac:dyDescent="0.25">
      <x:c r="A33" s="1"/>
      <x:c r="B33" s="4" t="s">
        <x:v>77</x:v>
      </x:c>
      <x:c r="C33" s="4"/>
      <x:c r="G33" s="4"/>
      <x:c r="I33" s="4"/>
    </x:row>
    <x:row r="34" spans="1:10" x14ac:dyDescent="0.25">
      <x:c r="A34" s="1"/>
      <x:c r="B34" s="4"/>
      <x:c r="C34" s="4"/>
      <x:c r="E34" s="4"/>
      <x:c r="F34" s="4"/>
      <x:c r="G34" s="4"/>
      <x:c r="I34" s="4"/>
    </x:row>
    <x:row r="35" spans="1:10" x14ac:dyDescent="0.25">
      <x:c r="A35" s="3">
        <x:v>303</x:v>
      </x:c>
      <x:c r="B35" s="1" t="s">
        <x:v>58</x:v>
      </x:c>
      <x:c r="C35" s="4">
        <x:v>81013398.079999998</x:v>
      </x:c>
      <x:c r="E35" s="4"/>
      <x:c r="F35" s="4"/>
      <x:c r="G35" s="4"/>
      <x:c r="H35" s="1">
        <x:v>0</x:v>
      </x:c>
      <x:c r="I35" s="4">
        <x:v>0</x:v>
      </x:c>
    </x:row>
    <x:row r="36" spans="1:10" x14ac:dyDescent="0.25">
      <x:c r="A36" s="1"/>
      <x:c r="E36" s="4"/>
      <x:c r="F36" s="4"/>
      <x:c r="G36" s="4"/>
      <x:c r="I36" s="4"/>
    </x:row>
    <x:row r="37" spans="1:10" x14ac:dyDescent="0.25">
      <x:c r="C37" s="4" t="s">
        <x:v>19</x:v>
      </x:c>
      <x:c r="E37" s="4"/>
      <x:c r="F37" s="4"/>
      <x:c r="G37" s="4"/>
      <x:c r="I37" s="4"/>
    </x:row>
    <x:row r="38" spans="1:10" x14ac:dyDescent="0.25">
      <x:c r="C38" s="4"/>
      <x:c r="G38" s="4"/>
      <x:c r="I38" s="4"/>
    </x:row>
    <x:row r="39" spans="1:10" x14ac:dyDescent="0.25">
      <x:c r="A39" s="3" t="s">
        <x:v>0</x:v>
      </x:c>
      <x:c r="B39" s="1" t="s">
        <x:v>1</x:v>
      </x:c>
      <x:c r="C39" s="4">
        <x:v>675723772.93000007</x:v>
      </x:c>
      <x:c r="D39" s="8">
        <x:v>9.6633295376782283E-3</x:v>
      </x:c>
      <x:c r="E39" s="4">
        <x:f t="shared" ref="E39:E46" si="3">+C39*D39</x:f>
        <x:v>6529741.494265846</x:v>
      </x:c>
      <x:c r="F39" s="4"/>
      <x:c r="G39" s="4">
        <x:f t="shared" si="0"/>
        <x:v>6529741.494265846</x:v>
      </x:c>
      <x:c r="H39" s="4">
        <x:f>ROUND(+E39/E$47*I$47,2)</x:f>
        <x:v>6059977.29</x:v>
      </x:c>
      <x:c r="I39" s="4"/>
    </x:row>
    <x:row r="40" spans="1:10" x14ac:dyDescent="0.25">
      <x:c r="A40" s="3">
        <x:v>352</x:v>
      </x:c>
      <x:c r="B40" s="1" t="s">
        <x:v>2</x:v>
      </x:c>
      <x:c r="C40" s="4">
        <x:v>632667015.4000001</x:v>
      </x:c>
      <x:c r="D40" s="8">
        <x:v>2.6159789186046258E-2</x:v>
      </x:c>
      <x:c r="E40" s="4">
        <x:f t="shared" si="3"/>
        <x:v>16550435.747829083</x:v>
      </x:c>
      <x:c r="F40" s="4"/>
      <x:c r="G40" s="4">
        <x:f t="shared" si="0"/>
        <x:v>16550435.747829083</x:v>
      </x:c>
      <x:c r="H40" s="4">
        <x:f>ROUND(+E40/E$47*I$47,2)</x:f>
        <x:v>15359760.4</x:v>
      </x:c>
      <x:c r="I40" s="4"/>
    </x:row>
    <x:row r="41" spans="1:10" x14ac:dyDescent="0.25">
      <x:c r="A41" s="3">
        <x:v>353</x:v>
      </x:c>
      <x:c r="B41" s="1" t="s">
        <x:v>3</x:v>
      </x:c>
      <x:c r="C41" s="4">
        <x:v>4642012346.0100002</x:v>
      </x:c>
      <x:c r="D41" s="8">
        <x:v>2.1418591292575888E-2</x:v>
      </x:c>
      <x:c r="E41" s="4">
        <x:f t="shared" si="3"/>
        <x:v>99425365.214279562</x:v>
      </x:c>
      <x:c r="F41" s="4"/>
      <x:c r="G41" s="4">
        <x:f t="shared" si="0"/>
        <x:v>99425365.214279562</x:v>
      </x:c>
      <x:c r="H41" s="4">
        <x:f>ROUND(+E41/E$47*I$47,2)</x:f>
        <x:v>92272482.150000006</x:v>
      </x:c>
      <x:c r="I41" s="4"/>
    </x:row>
    <x:row r="42" spans="1:10" x14ac:dyDescent="0.25">
      <x:c r="A42" s="3" t="s">
        <x:v>4</x:v>
      </x:c>
      <x:c r="B42" s="1" t="s">
        <x:v>5</x:v>
      </x:c>
      <x:c r="C42" s="4">
        <x:v>2153423296.3500004</x:v>
      </x:c>
      <x:c r="D42" s="8">
        <x:v>1.9325470168929215E-2</x:v>
      </x:c>
      <x:c r="E42" s="4">
        <x:f t="shared" si="3"/>
        <x:v>41615917.674689151</x:v>
      </x:c>
      <x:c r="F42" s="4"/>
      <x:c r="G42" s="4">
        <x:f t="shared" si="0"/>
        <x:v>41615917.674689151</x:v>
      </x:c>
      <x:c r="H42" s="4">
        <x:f>ROUND(+E42/E$47*I$47,2)</x:f>
        <x:v>38621975.509999998</x:v>
      </x:c>
      <x:c r="I42" s="4"/>
    </x:row>
    <x:row r="43" spans="1:10" x14ac:dyDescent="0.25">
      <x:c r="A43" s="3" t="s">
        <x:v>6</x:v>
      </x:c>
      <x:c r="B43" s="1" t="s">
        <x:v>7</x:v>
      </x:c>
      <x:c r="C43" s="4">
        <x:v>4073573578.29</x:v>
      </x:c>
      <x:c r="D43" s="8">
        <x:v>3.1031884004121643E-2</x:v>
      </x:c>
      <x:c r="E43" s="4">
        <x:f t="shared" si="3"/>
        <x:v>126410662.76375002</x:v>
      </x:c>
      <x:c r="F43" s="4"/>
      <x:c r="G43" s="4">
        <x:f t="shared" si="0"/>
        <x:v>126410662.76375002</x:v>
      </x:c>
      <x:c r="H43" s="4">
        <x:f>ROUND(+E43/E$47*I$47,2)-0.01</x:f>
        <x:v>117316397.05</x:v>
      </x:c>
      <x:c r="I43" s="4"/>
    </x:row>
    <x:row r="44" spans="1:10" x14ac:dyDescent="0.25">
      <x:c r="A44" s="3" t="s">
        <x:v>8</x:v>
      </x:c>
      <x:c r="B44" s="1" t="s">
        <x:v>9</x:v>
      </x:c>
      <x:c r="C44" s="4">
        <x:v>3734793370.8099995</x:v>
      </x:c>
      <x:c r="D44" s="8">
        <x:v>2.2454111445583215E-2</x:v>
      </x:c>
      <x:c r="E44" s="4">
        <x:f t="shared" si="3"/>
        <x:v>83861466.574393123</x:v>
      </x:c>
      <x:c r="F44" s="4"/>
      <x:c r="G44" s="4">
        <x:f t="shared" si="0"/>
        <x:v>83861466.574393123</x:v>
      </x:c>
      <x:c r="H44" s="4">
        <x:f>ROUND(+E44/E$47*I$47,2)</x:f>
        <x:v>77828285.170000002</x:v>
      </x:c>
      <x:c r="I44" s="4"/>
    </x:row>
    <x:row r="45" spans="1:10" x14ac:dyDescent="0.25">
      <x:c r="A45" s="3" t="s">
        <x:v>10</x:v>
      </x:c>
      <x:c r="B45" s="1" t="s">
        <x:v>11</x:v>
      </x:c>
      <x:c r="C45" s="4">
        <x:v>61796401.400000006</x:v>
      </x:c>
      <x:c r="D45" s="8">
        <x:v>1.7140623288791082E-2</x:v>
      </x:c>
      <x:c r="E45" s="4">
        <x:f t="shared" si="3"/>
        <x:v>1059228.8370003218</x:v>
      </x:c>
      <x:c r="F45" s="4"/>
      <x:c r="G45" s="4">
        <x:f t="shared" si="0"/>
        <x:v>1059228.8370003218</x:v>
      </x:c>
      <x:c r="H45" s="4">
        <x:f>ROUND(+E45/E$47*I$47,2)</x:f>
        <x:v>983025.55</x:v>
      </x:c>
      <x:c r="I45" s="4"/>
    </x:row>
    <x:row r="46" spans="1:10" x14ac:dyDescent="0.25">
      <x:c r="A46" s="3" t="s">
        <x:v>12</x:v>
      </x:c>
      <x:c r="B46" s="1" t="s">
        <x:v>13</x:v>
      </x:c>
      <x:c r="C46" s="4">
        <x:v>96633109.49000001</x:v>
      </x:c>
      <x:c r="D46" s="8">
        <x:v>2.2137987937718543E-2</x:v>
      </x:c>
      <x:c r="E46" s="4">
        <x:f t="shared" si="3"/>
        <x:v>2139262.6122738556</x:v>
      </x:c>
      <x:c r="F46" s="4"/>
      <x:c r="G46" s="4">
        <x:f t="shared" si="0"/>
        <x:v>2139262.6122738556</x:v>
      </x:c>
      <x:c r="H46" s="4">
        <x:f>ROUND(+E46/E$47*I$47,2)</x:f>
        <x:v>1985359.28</x:v>
      </x:c>
      <x:c r="I46" s="4"/>
    </x:row>
    <x:row r="47" spans="1:10" x14ac:dyDescent="0.25">
      <x:c r="B47" s="1" t="s">
        <x:v>16</x:v>
      </x:c>
      <x:c r="C47" s="14">
        <x:f>SUM(C39:C46)</x:f>
        <x:v>16070622890.679998</x:v>
      </x:c>
      <x:c r="D47" s="15"/>
      <x:c r="E47" s="14">
        <x:f t="shared" ref="E47:H47" si="4">SUM(E39:E46)</x:f>
        <x:v>377592080.91848099</x:v>
      </x:c>
      <x:c r="F47" s="14">
        <x:f t="shared" si="4"/>
        <x:v>0</x:v>
      </x:c>
      <x:c r="G47" s="14">
        <x:f t="shared" si="4"/>
        <x:v>377592080.91848099</x:v>
      </x:c>
      <x:c r="H47" s="14">
        <x:f t="shared" si="4"/>
        <x:v>350427262.39999998</x:v>
      </x:c>
      <x:c r="I47" s="4">
        <x:v>350427262.39999998</x:v>
      </x:c>
      <x:c r="J47" s="1" t="s">
        <x:v>90</x:v>
      </x:c>
    </x:row>
    <x:row r="48" spans="1:10" x14ac:dyDescent="0.25">
      <x:c r="C48" s="4"/>
      <x:c r="D48" s="8"/>
      <x:c r="E48" s="4" t="s">
        <x:v>19</x:v>
      </x:c>
      <x:c r="F48" s="4"/>
      <x:c r="G48" s="4"/>
      <x:c r="I48" s="4"/>
    </x:row>
    <x:row r="49" spans="1:10" x14ac:dyDescent="0.25">
      <x:c r="B49" s="1" t="s">
        <x:v>80</x:v>
      </x:c>
      <x:c r="C49" s="4"/>
      <x:c r="D49" s="8"/>
      <x:c r="G49" s="4"/>
      <x:c r="I49" s="4"/>
    </x:row>
    <x:row r="50" spans="1:10" x14ac:dyDescent="0.25">
      <x:c r="C50" s="4"/>
      <x:c r="D50" s="8"/>
      <x:c r="E50" s="4">
        <x:f>+C50*D50</x:f>
        <x:v>0</x:v>
      </x:c>
      <x:c r="F50" s="4"/>
      <x:c r="G50" s="4"/>
      <x:c r="I50" s="4"/>
    </x:row>
    <x:row r="51" spans="1:10" x14ac:dyDescent="0.25">
      <x:c r="A51" s="3">
        <x:v>352</x:v>
      </x:c>
      <x:c r="B51" s="1" t="s">
        <x:v>14</x:v>
      </x:c>
      <x:c r="C51" s="4">
        <x:v>1693652.7500000002</x:v>
      </x:c>
      <x:c r="D51" s="8">
        <x:v>2.4509794235877888E-2</x:v>
      </x:c>
      <x:c r="E51" s="4">
        <x:f>+C51*D51</x:f>
        <x:v>41511.080409528739</x:v>
      </x:c>
      <x:c r="F51" s="4"/>
      <x:c r="G51" s="4">
        <x:f t="shared" si="0"/>
        <x:v>41511.080409528739</x:v>
      </x:c>
      <x:c r="H51" s="4">
        <x:f>ROUND(+E51/E$53*I$53,2)</x:f>
        <x:v>44782.73</x:v>
      </x:c>
      <x:c r="I51" s="4"/>
    </x:row>
    <x:row r="52" spans="1:10" x14ac:dyDescent="0.25">
      <x:c r="A52" s="3">
        <x:v>353</x:v>
      </x:c>
      <x:c r="B52" s="1" t="s">
        <x:v>14</x:v>
      </x:c>
      <x:c r="C52" s="4">
        <x:v>31506721.779999997</x:v>
      </x:c>
      <x:c r="D52" s="8">
        <x:v>2.6000213381450969E-2</x:v>
      </x:c>
      <x:c r="E52" s="4">
        <x:f>+C52*D52</x:f>
        <x:v>819181.48923000868</x:v>
      </x:c>
      <x:c r="F52" s="4"/>
      <x:c r="G52" s="4">
        <x:f t="shared" si="0"/>
        <x:v>819181.48923000868</x:v>
      </x:c>
      <x:c r="H52" s="4">
        <x:f>ROUND(+E52/E$53*I$53,2)</x:f>
        <x:v>883744.27</x:v>
      </x:c>
      <x:c r="I52" s="4"/>
    </x:row>
    <x:row r="53" spans="1:10" x14ac:dyDescent="0.25">
      <x:c r="B53" s="16" t="s">
        <x:v>81</x:v>
      </x:c>
      <x:c r="C53" s="14">
        <x:f>SUM(C51:C52)</x:f>
        <x:v>33200374.529999997</x:v>
      </x:c>
      <x:c r="D53" s="14" t="s">
        <x:v>19</x:v>
      </x:c>
      <x:c r="E53" s="14">
        <x:f t="shared" ref="E53:G53" si="5">SUM(E51:E52)</x:f>
        <x:v>860692.56963953737</x:v>
      </x:c>
      <x:c r="F53" s="14">
        <x:f t="shared" si="5"/>
        <x:v>0</x:v>
      </x:c>
      <x:c r="G53" s="14">
        <x:f t="shared" si="5"/>
        <x:v>860692.56963953737</x:v>
      </x:c>
      <x:c r="H53" s="14">
        <x:f>SUM(H51:H52)</x:f>
        <x:v>928527</x:v>
      </x:c>
      <x:c r="I53" s="4">
        <x:v>928527</x:v>
      </x:c>
      <x:c r="J53" s="1" t="s">
        <x:v>93</x:v>
      </x:c>
    </x:row>
    <x:row r="54" spans="1:10" x14ac:dyDescent="0.25">
      <x:c r="C54" s="4"/>
      <x:c r="D54" s="8"/>
      <x:c r="E54" s="4"/>
      <x:c r="F54" s="4"/>
      <x:c r="G54" s="4"/>
      <x:c r="I54" s="4"/>
    </x:row>
    <x:row r="55" spans="1:10" x14ac:dyDescent="0.25">
      <x:c r="B55" s="1" t="s">
        <x:v>82</x:v>
      </x:c>
      <x:c r="C55" s="4"/>
      <x:c r="D55" s="8"/>
      <x:c r="G55" s="4"/>
      <x:c r="I55" s="4"/>
    </x:row>
    <x:row r="56" spans="1:10" x14ac:dyDescent="0.25">
      <x:c r="C56" s="4"/>
      <x:c r="D56" s="8"/>
      <x:c r="E56" s="4"/>
      <x:c r="F56" s="4"/>
      <x:c r="G56" s="4"/>
      <x:c r="I56" s="4"/>
      <x:c r="J56" s="7" t="s">
        <x:v>19</x:v>
      </x:c>
    </x:row>
    <x:row r="57" spans="1:10" x14ac:dyDescent="0.25">
      <x:c r="C57" s="4"/>
      <x:c r="D57" s="8"/>
      <x:c r="E57" s="4"/>
      <x:c r="F57" s="4"/>
      <x:c r="G57" s="4"/>
      <x:c r="I57" s="4"/>
    </x:row>
    <x:row r="58" spans="1:10" x14ac:dyDescent="0.25">
      <x:c r="A58" s="3">
        <x:v>352</x:v>
      </x:c>
      <x:c r="B58" s="1" t="s">
        <x:v>15</x:v>
      </x:c>
      <x:c r="C58" s="4">
        <x:v>20424706.279999997</x:v>
      </x:c>
      <x:c r="D58" s="8">
        <x:v>5.3826537301673555E-2</x:v>
      </x:c>
      <x:c r="E58" s="4">
        <x:f>+C58*D58</x:f>
        <x:v>1099391.2144561459</x:v>
      </x:c>
      <x:c r="F58" s="4"/>
      <x:c r="G58" s="4">
        <x:f t="shared" si="0"/>
        <x:v>1099391.2144561459</x:v>
      </x:c>
      <x:c r="H58" s="4">
        <x:f>ROUND(+E58/E$60*I$60,2)</x:f>
        <x:v>1107041.22</x:v>
      </x:c>
      <x:c r="I58" s="4"/>
    </x:row>
    <x:row r="59" spans="1:10" x14ac:dyDescent="0.25">
      <x:c r="A59" s="3">
        <x:v>353</x:v>
      </x:c>
      <x:c r="B59" s="1" t="s">
        <x:v>15</x:v>
      </x:c>
      <x:c r="C59" s="4">
        <x:v>345903382</x:v>
      </x:c>
      <x:c r="D59" s="8">
        <x:v>3.649091494488417E-2</x:v>
      </x:c>
      <x:c r="E59" s="4">
        <x:f>+C59*D59</x:f>
        <x:v>12622330.891709778</x:v>
      </x:c>
      <x:c r="F59" s="4"/>
      <x:c r="G59" s="4">
        <x:f t="shared" si="0"/>
        <x:v>12622330.891709778</x:v>
      </x:c>
      <x:c r="H59" s="4">
        <x:f>ROUND(+E59/E$60*I$60,2)</x:f>
        <x:v>12710162.130000001</x:v>
      </x:c>
      <x:c r="I59" s="4"/>
    </x:row>
    <x:row r="60" spans="1:10" x14ac:dyDescent="0.25">
      <x:c r="B60" s="1" t="s">
        <x:v>83</x:v>
      </x:c>
      <x:c r="C60" s="14">
        <x:f>SUM(C58:C59)</x:f>
        <x:v>366328088.27999997</x:v>
      </x:c>
      <x:c r="D60" s="15"/>
      <x:c r="E60" s="14">
        <x:f t="shared" ref="E60:H60" si="6">SUM(E58:E59)</x:f>
        <x:v>13721722.106165925</x:v>
      </x:c>
      <x:c r="F60" s="14">
        <x:f t="shared" si="6"/>
        <x:v>0</x:v>
      </x:c>
      <x:c r="G60" s="14">
        <x:f t="shared" si="6"/>
        <x:v>13721722.106165925</x:v>
      </x:c>
      <x:c r="H60" s="14">
        <x:f t="shared" si="6"/>
        <x:v>13817203.350000001</x:v>
      </x:c>
      <x:c r="I60" s="4">
        <x:v>13817203.35</x:v>
      </x:c>
      <x:c r="J60" s="1" t="s">
        <x:v>92</x:v>
      </x:c>
    </x:row>
    <x:row r="61" spans="1:10" x14ac:dyDescent="0.25">
      <x:c r="C61" s="4"/>
      <x:c r="D61" s="8"/>
      <x:c r="E61" s="4"/>
      <x:c r="F61" s="4"/>
      <x:c r="G61" s="4">
        <x:f t="shared" si="0"/>
        <x:v>0</x:v>
      </x:c>
      <x:c r="I61" s="4"/>
    </x:row>
    <x:row r="62" spans="1:10" x14ac:dyDescent="0.25">
      <x:c r="B62" s="1" t="s">
        <x:v>84</x:v>
      </x:c>
      <x:c r="C62" s="4"/>
      <x:c r="D62" s="8"/>
      <x:c r="G62" s="4">
        <x:f t="shared" si="0"/>
        <x:v>0</x:v>
      </x:c>
      <x:c r="H62" s="4" t="s">
        <x:v>19</x:v>
      </x:c>
      <x:c r="I62" s="4"/>
    </x:row>
    <x:row r="63" spans="1:10" x14ac:dyDescent="0.25">
      <x:c r="A63" s="1"/>
      <x:c r="G63" s="4">
        <x:f t="shared" si="0"/>
        <x:v>0</x:v>
      </x:c>
      <x:c r="I63" s="4"/>
    </x:row>
    <x:row r="64" spans="1:10" x14ac:dyDescent="0.25">
      <x:c r="C64" s="4"/>
      <x:c r="E64" s="4"/>
      <x:c r="F64" s="4"/>
      <x:c r="G64" s="4">
        <x:f t="shared" si="0"/>
        <x:v>0</x:v>
      </x:c>
      <x:c r="H64" s="4"/>
      <x:c r="I64" s="4"/>
    </x:row>
    <x:row r="65" spans="1:10" x14ac:dyDescent="0.25">
      <x:c r="A65" s="3" t="s">
        <x:v>17</x:v>
      </x:c>
      <x:c r="B65" s="1" t="s">
        <x:v>1</x:v>
      </x:c>
      <x:c r="C65" s="4">
        <x:v>10515297.759999998</x:v>
      </x:c>
      <x:c r="D65" s="8">
        <x:v>1.383356833169031E-2</x:v>
      </x:c>
      <x:c r="E65" s="4">
        <x:f>+C65*D65</x:f>
        <x:v>145464.09009103003</x:v>
      </x:c>
      <x:c r="F65" s="4"/>
      <x:c r="G65" s="4">
        <x:f t="shared" si="0"/>
        <x:v>145464.09009103003</x:v>
      </x:c>
      <x:c r="H65" s="4">
        <x:f>ROUND(+E65/E$68*I$68,2)</x:f>
        <x:v>130448.6</x:v>
      </x:c>
      <x:c r="I65" s="4"/>
    </x:row>
    <x:row r="66" spans="1:10" x14ac:dyDescent="0.25">
      <x:c r="A66" s="3">
        <x:v>361</x:v>
      </x:c>
      <x:c r="B66" s="1" t="s">
        <x:v>2</x:v>
      </x:c>
      <x:c r="C66" s="4">
        <x:v>419427572.88000005</x:v>
      </x:c>
      <x:c r="D66" s="8">
        <x:v>2.0844453715744247E-2</x:v>
      </x:c>
      <x:c r="E66" s="4">
        <x:f>+C66*D66</x:f>
        <x:v>8742738.630004108</x:v>
      </x:c>
      <x:c r="F66" s="4"/>
      <x:c r="G66" s="4">
        <x:f t="shared" si="0"/>
        <x:v>8742738.630004108</x:v>
      </x:c>
      <x:c r="H66" s="4">
        <x:f>ROUND(+E66/E$68*I$68,2)</x:f>
        <x:v>7840271.6299999999</x:v>
      </x:c>
      <x:c r="I66" s="4"/>
    </x:row>
    <x:row r="67" spans="1:10" x14ac:dyDescent="0.25">
      <x:c r="A67" s="3">
        <x:v>362</x:v>
      </x:c>
      <x:c r="B67" s="1" t="s">
        <x:v>3</x:v>
      </x:c>
      <x:c r="C67" s="4">
        <x:v>3451405587.0699997</x:v>
      </x:c>
      <x:c r="D67" s="8">
        <x:v>2.0878062565686337E-2</x:v>
      </x:c>
      <x:c r="E67" s="4">
        <x:f>+C67*D67</x:f>
        <x:v>72058661.78640683</x:v>
      </x:c>
      <x:c r="F67" s="4"/>
      <x:c r="G67" s="4">
        <x:f t="shared" si="0"/>
        <x:v>72058661.78640683</x:v>
      </x:c>
      <x:c r="H67" s="4">
        <x:f>ROUND(+E67/E$68*I$68,2)</x:f>
        <x:v>64620424.520000003</x:v>
      </x:c>
      <x:c r="I67" s="4"/>
    </x:row>
    <x:row r="68" spans="1:10" x14ac:dyDescent="0.25">
      <x:c r="B68" s="1" t="s">
        <x:v>18</x:v>
      </x:c>
      <x:c r="C68" s="14">
        <x:f>SUM(C65:C67)</x:f>
        <x:v>3881348457.7099996</x:v>
      </x:c>
      <x:c r="D68" s="16"/>
      <x:c r="E68" s="14">
        <x:f>SUM(E65:E67)</x:f>
        <x:v>80946864.506501973</x:v>
      </x:c>
      <x:c r="F68" s="14">
        <x:f t="shared" ref="F68:G68" si="7">SUM(F65:F67)</x:f>
        <x:v>0</x:v>
      </x:c>
      <x:c r="G68" s="14">
        <x:f t="shared" si="7"/>
        <x:v>80946864.506501973</x:v>
      </x:c>
      <x:c r="H68" s="14">
        <x:f>SUM(H65:H67)</x:f>
        <x:v>72591144.75</x:v>
      </x:c>
      <x:c r="I68" s="4">
        <x:v>72591144.75</x:v>
      </x:c>
      <x:c r="J68" s="1" t="s">
        <x:v>91</x:v>
      </x:c>
    </x:row>
    <x:row r="69" spans="1:10" x14ac:dyDescent="0.25">
      <x:c r="C69" s="4"/>
      <x:c r="E69" s="4"/>
      <x:c r="F69" s="4"/>
      <x:c r="G69" s="4">
        <x:f t="shared" si="0"/>
        <x:v>0</x:v>
      </x:c>
      <x:c r="H69" s="4"/>
      <x:c r="I69" s="4"/>
    </x:row>
    <x:row r="70" spans="1:10" x14ac:dyDescent="0.25">
      <x:c r="B70" s="1" t="s">
        <x:v>85</x:v>
      </x:c>
      <x:c r="C70" s="4"/>
      <x:c r="G70" s="4">
        <x:f t="shared" si="0"/>
        <x:v>0</x:v>
      </x:c>
      <x:c r="H70" s="4"/>
      <x:c r="I70" s="4"/>
    </x:row>
    <x:row r="71" spans="1:10" x14ac:dyDescent="0.25">
      <x:c r="C71" s="4"/>
      <x:c r="E71" s="4"/>
      <x:c r="F71" s="4"/>
      <x:c r="G71" s="4">
        <x:f t="shared" si="0"/>
        <x:v>0</x:v>
      </x:c>
      <x:c r="H71" s="4"/>
      <x:c r="I71" s="4"/>
    </x:row>
    <x:row r="72" spans="1:10" x14ac:dyDescent="0.25">
      <x:c r="C72" s="4"/>
      <x:c r="E72" s="4"/>
      <x:c r="F72" s="4"/>
      <x:c r="G72" s="4">
        <x:f t="shared" si="0"/>
        <x:v>0</x:v>
      </x:c>
      <x:c r="H72" s="4"/>
      <x:c r="I72" s="4"/>
    </x:row>
    <x:row r="73" spans="1:10" x14ac:dyDescent="0.25">
      <x:c r="A73" s="3">
        <x:v>360</x:v>
      </x:c>
      <x:c r="B73" s="1" t="s">
        <x:v>1</x:v>
      </x:c>
      <x:c r="C73" s="4">
        <x:v>18356455.270000003</x:v>
      </x:c>
      <x:c r="D73" s="8">
        <x:v>1.2425925375489727E-2</x:v>
      </x:c>
      <x:c r="E73" s="4">
        <x:f t="shared" ref="E73:E82" si="8">+C73*D73</x:f>
        <x:v>228095.94334353518</x:v>
      </x:c>
      <x:c r="F73" s="4"/>
      <x:c r="G73" s="4">
        <x:f t="shared" si="0"/>
        <x:v>228095.94334353518</x:v>
      </x:c>
      <x:c r="H73" s="4">
        <x:f t="shared" ref="H73:H82" si="9">ROUND(+E73/E$83*I$83,2)</x:f>
        <x:v>217672.52</x:v>
      </x:c>
      <x:c r="I73" s="4"/>
    </x:row>
    <x:row r="74" spans="1:10" x14ac:dyDescent="0.25">
      <x:c r="A74" s="3" t="s">
        <x:v>20</x:v>
      </x:c>
      <x:c r="B74" s="1" t="s">
        <x:v>21</x:v>
      </x:c>
      <x:c r="C74" s="4">
        <x:v>3524060185.8499999</x:v>
      </x:c>
      <x:c r="D74" s="8">
        <x:v>3.5493252415808425E-2</x:v>
      </x:c>
      <x:c r="E74" s="4">
        <x:f t="shared" si="8"/>
        <x:v>125080357.7048748</x:v>
      </x:c>
      <x:c r="F74" s="4"/>
      <x:c r="G74" s="4">
        <x:f t="shared" si="0"/>
        <x:v>125080357.7048748</x:v>
      </x:c>
      <x:c r="H74" s="4">
        <x:f>ROUND(+E74/E$83*I$83,2)+0.01</x:f>
        <x:v>119364492.43000001</x:v>
      </x:c>
      <x:c r="I74" s="4"/>
    </x:row>
    <x:row r="75" spans="1:10" x14ac:dyDescent="0.25">
      <x:c r="A75" s="3" t="s">
        <x:v>22</x:v>
      </x:c>
      <x:c r="B75" s="1" t="s">
        <x:v>23</x:v>
      </x:c>
      <x:c r="C75" s="4">
        <x:v>2183722786.6199999</x:v>
      </x:c>
      <x:c r="D75" s="8">
        <x:v>3.1845547958609589E-2</x:v>
      </x:c>
      <x:c r="E75" s="4">
        <x:f t="shared" si="8"/>
        <x:v>69541848.729615778</x:v>
      </x:c>
      <x:c r="F75" s="4"/>
      <x:c r="G75" s="4">
        <x:f t="shared" si="0"/>
        <x:v>69541848.729615778</x:v>
      </x:c>
      <x:c r="H75" s="4">
        <x:f t="shared" si="9"/>
        <x:v>66363956.960000001</x:v>
      </x:c>
      <x:c r="I75" s="4"/>
    </x:row>
    <x:row r="76" spans="1:10" x14ac:dyDescent="0.25">
      <x:c r="A76" s="3" t="s">
        <x:v>24</x:v>
      </x:c>
      <x:c r="B76" s="1" t="s">
        <x:v>11</x:v>
      </x:c>
      <x:c r="C76" s="4">
        <x:v>1637866655.7699993</x:v>
      </x:c>
      <x:c r="D76" s="8">
        <x:v>2.1789530688838904E-2</x:v>
      </x:c>
      <x:c r="E76" s="4">
        <x:f t="shared" si="8"/>
        <x:v>35688345.760126345</x:v>
      </x:c>
      <x:c r="F76" s="4"/>
      <x:c r="G76" s="4">
        <x:f t="shared" si="0"/>
        <x:v>35688345.760126345</x:v>
      </x:c>
      <x:c r="H76" s="4">
        <x:f t="shared" si="9"/>
        <x:v>34057475.969999999</x:v>
      </x:c>
      <x:c r="I76" s="4"/>
    </x:row>
    <x:row r="77" spans="1:10" x14ac:dyDescent="0.25">
      <x:c r="A77" s="3" t="s">
        <x:v>25</x:v>
      </x:c>
      <x:c r="B77" s="1" t="s">
        <x:v>13</x:v>
      </x:c>
      <x:c r="C77" s="4">
        <x:v>3178763430.8700013</x:v>
      </x:c>
      <x:c r="D77" s="8">
        <x:v>2.2215209110265786E-2</x:v>
      </x:c>
      <x:c r="E77" s="4">
        <x:f t="shared" si="8"/>
        <x:v>70616894.328842983</x:v>
      </x:c>
      <x:c r="F77" s="4"/>
      <x:c r="G77" s="4">
        <x:f t="shared" si="0"/>
        <x:v>70616894.328842983</x:v>
      </x:c>
      <x:c r="H77" s="4">
        <x:f t="shared" si="9"/>
        <x:v>67389875.620000005</x:v>
      </x:c>
      <x:c r="I77" s="4"/>
    </x:row>
    <x:row r="78" spans="1:10" x14ac:dyDescent="0.25">
      <x:c r="A78" s="3" t="s">
        <x:v>26</x:v>
      </x:c>
      <x:c r="B78" s="1" t="s">
        <x:v>27</x:v>
      </x:c>
      <x:c r="C78" s="4">
        <x:v>3167670969.6899991</x:v>
      </x:c>
      <x:c r="D78" s="8">
        <x:v>2.2744433006524685E-2</x:v>
      </x:c>
      <x:c r="E78" s="4">
        <x:f t="shared" si="8"/>
        <x:v>72046880.156827271</x:v>
      </x:c>
      <x:c r="F78" s="4"/>
      <x:c r="G78" s="4">
        <x:f t="shared" ref="G78:G110" si="10">+E78+F78</x:f>
        <x:v>72046880.156827271</x:v>
      </x:c>
      <x:c r="H78" s="4">
        <x:f t="shared" si="9"/>
        <x:v>68754514.599999994</x:v>
      </x:c>
      <x:c r="I78" s="4"/>
    </x:row>
    <x:row r="79" spans="1:10" x14ac:dyDescent="0.25">
      <x:c r="A79" s="3" t="s">
        <x:v>28</x:v>
      </x:c>
      <x:c r="B79" s="1" t="s">
        <x:v>29</x:v>
      </x:c>
      <x:c r="C79" s="4">
        <x:v>1970343942.5800002</x:v>
      </x:c>
      <x:c r="D79" s="8">
        <x:v>3.0411290722688125E-2</x:v>
      </x:c>
      <x:c r="E79" s="4">
        <x:f t="shared" si="8"/>
        <x:v>59920702.461487904</x:v>
      </x:c>
      <x:c r="F79" s="4"/>
      <x:c r="G79" s="4">
        <x:f t="shared" si="10"/>
        <x:v>59920702.461487904</x:v>
      </x:c>
      <x:c r="H79" s="4">
        <x:f t="shared" si="9"/>
        <x:v>57182473.460000001</x:v>
      </x:c>
      <x:c r="I79" s="4"/>
    </x:row>
    <x:row r="80" spans="1:10" x14ac:dyDescent="0.25">
      <x:c r="A80" s="3">
        <x:v>370</x:v>
      </x:c>
      <x:c r="B80" s="1" t="s">
        <x:v>30</x:v>
      </x:c>
      <x:c r="C80" s="4">
        <x:v>275390488.44999993</x:v>
      </x:c>
      <x:c r="D80" s="8">
        <x:v>5.2341806193099694E-2</x:v>
      </x:c>
      <x:c r="E80" s="4">
        <x:f t="shared" si="8"/>
        <x:v>14414435.573872956</x:v>
      </x:c>
      <x:c r="F80" s="4"/>
      <x:c r="G80" s="4">
        <x:f t="shared" si="10"/>
        <x:v>14414435.573872956</x:v>
      </x:c>
      <x:c r="H80" s="4">
        <x:f t="shared" si="9"/>
        <x:v>13755731.25</x:v>
      </x:c>
      <x:c r="I80" s="4"/>
    </x:row>
    <x:row r="81" spans="1:10" x14ac:dyDescent="0.25">
      <x:c r="A81" s="3" t="s">
        <x:v>32</x:v>
      </x:c>
      <x:c r="B81" s="1" t="s">
        <x:v>33</x:v>
      </x:c>
      <x:c r="C81" s="4">
        <x:v>56332960.560000017</x:v>
      </x:c>
      <x:c r="D81" s="8">
        <x:v>4.3750602668013741E-2</x:v>
      </x:c>
      <x:c r="E81" s="4">
        <x:f t="shared" si="8"/>
        <x:v>2464600.9745734497</x:v>
      </x:c>
      <x:c r="F81" s="4"/>
      <x:c r="G81" s="4">
        <x:f t="shared" si="10"/>
        <x:v>2464600.9745734497</x:v>
      </x:c>
      <x:c r="H81" s="4">
        <x:f t="shared" si="9"/>
        <x:v>2351974.7599999998</x:v>
      </x:c>
      <x:c r="I81" s="4"/>
    </x:row>
    <x:row r="82" spans="1:10" x14ac:dyDescent="0.25">
      <x:c r="A82" s="3" t="s">
        <x:v>34</x:v>
      </x:c>
      <x:c r="B82" s="1" t="s">
        <x:v>35</x:v>
      </x:c>
      <x:c r="C82" s="4">
        <x:v>543775337.38</x:v>
      </x:c>
      <x:c r="D82" s="8">
        <x:v>4.8041845356583152E-2</x:v>
      </x:c>
      <x:c r="E82" s="4">
        <x:f t="shared" si="8"/>
        <x:v>26123970.66713379</x:v>
      </x:c>
      <x:c r="F82" s="4"/>
      <x:c r="G82" s="4">
        <x:f t="shared" si="10"/>
        <x:v>26123970.66713379</x:v>
      </x:c>
      <x:c r="H82" s="4">
        <x:f t="shared" si="9"/>
        <x:v>24930169.34</x:v>
      </x:c>
      <x:c r="I82" s="4"/>
    </x:row>
    <x:row r="83" spans="1:10" x14ac:dyDescent="0.25">
      <x:c r="B83" s="1" t="s">
        <x:v>36</x:v>
      </x:c>
      <x:c r="C83" s="14">
        <x:f>SUM(C73:C82)</x:f>
        <x:v>16556283213.039999</x:v>
      </x:c>
      <x:c r="D83" s="17"/>
      <x:c r="E83" s="14">
        <x:f>SUM(E73:E82)</x:f>
        <x:v>476126132.30069882</x:v>
      </x:c>
      <x:c r="F83" s="14">
        <x:f t="shared" ref="F83:G83" si="11">SUM(F73:F82)</x:f>
        <x:v>0</x:v>
      </x:c>
      <x:c r="G83" s="14">
        <x:f t="shared" si="11"/>
        <x:v>476126132.30069882</x:v>
      </x:c>
      <x:c r="H83" s="14">
        <x:f>SUM(H73:H82)</x:f>
        <x:v>454368336.90999997</x:v>
      </x:c>
      <x:c r="I83" s="4">
        <x:v>454368336.90999997</x:v>
      </x:c>
      <x:c r="J83" s="1" t="s">
        <x:v>94</x:v>
      </x:c>
    </x:row>
    <x:row r="84" spans="1:10" x14ac:dyDescent="0.25">
      <x:c r="C84" s="4"/>
      <x:c r="E84" s="4"/>
      <x:c r="F84" s="4"/>
      <x:c r="G84" s="4">
        <x:f t="shared" si="10"/>
        <x:v>0</x:v>
      </x:c>
      <x:c r="H84" s="4"/>
      <x:c r="I84" s="4"/>
    </x:row>
    <x:row r="85" spans="1:10" x14ac:dyDescent="0.25">
      <x:c r="B85" s="1" t="s">
        <x:v>86</x:v>
      </x:c>
      <x:c r="C85" s="4"/>
      <x:c r="G85" s="4">
        <x:f t="shared" si="10"/>
        <x:v>0</x:v>
      </x:c>
      <x:c r="H85" s="4"/>
      <x:c r="I85" s="4"/>
    </x:row>
    <x:row r="86" spans="1:10" x14ac:dyDescent="0.25">
      <x:c r="C86" s="4"/>
      <x:c r="E86" s="4"/>
      <x:c r="F86" s="4"/>
      <x:c r="G86" s="4">
        <x:f t="shared" si="10"/>
        <x:v>0</x:v>
      </x:c>
      <x:c r="H86" s="4"/>
      <x:c r="I86" s="4"/>
    </x:row>
    <x:row r="87" spans="1:10" x14ac:dyDescent="0.25">
      <x:c r="A87" s="3">
        <x:v>370</x:v>
      </x:c>
      <x:c r="B87" s="1" t="s">
        <x:v>31</x:v>
      </x:c>
      <x:c r="C87" s="4">
        <x:v>203833650.73000011</x:v>
      </x:c>
      <x:c r="D87" s="8">
        <x:v>4.1284757250437773E-2</x:v>
      </x:c>
      <x:c r="E87" s="4">
        <x:f>+C87*D87</x:f>
        <x:v>8415222.7898585722</x:v>
      </x:c>
      <x:c r="F87" s="4"/>
      <x:c r="G87" s="4">
        <x:f t="shared" si="10"/>
        <x:v>8415222.7898585722</x:v>
      </x:c>
      <x:c r="H87" s="4">
        <x:v>7958030.709999999</x:v>
      </x:c>
      <x:c r="I87" s="4">
        <x:v>7958030.709999999</x:v>
      </x:c>
      <x:c r="J87" s="1" t="s">
        <x:v>95</x:v>
      </x:c>
    </x:row>
    <x:row r="88" spans="1:10" x14ac:dyDescent="0.25">
      <x:c r="C88" s="4"/>
      <x:c r="E88" s="4" t="s">
        <x:v>19</x:v>
      </x:c>
      <x:c r="F88" s="4"/>
      <x:c r="G88" s="4"/>
      <x:c r="H88" s="4" t="s">
        <x:v>19</x:v>
      </x:c>
      <x:c r="I88" s="4"/>
    </x:row>
    <x:row r="89" spans="1:10" x14ac:dyDescent="0.25">
      <x:c r="A89" s="3">
        <x:v>370</x:v>
      </x:c>
      <x:c r="B89" s="1" t="s">
        <x:v>55</x:v>
      </x:c>
      <x:c r="C89" s="4">
        <x:v>146470777.38999999</x:v>
      </x:c>
      <x:c r="D89" s="7"/>
      <x:c r="E89" s="4">
        <x:v>0</x:v>
      </x:c>
      <x:c r="F89" s="4"/>
      <x:c r="G89" s="4"/>
      <x:c r="H89" s="4" t="s">
        <x:v>19</x:v>
      </x:c>
      <x:c r="I89" s="4">
        <x:v>0</x:v>
      </x:c>
    </x:row>
    <x:row r="90" spans="1:10" x14ac:dyDescent="0.25">
      <x:c r="A90" s="3">
        <x:v>370</x:v>
      </x:c>
      <x:c r="B90" s="1" t="s">
        <x:v>56</x:v>
      </x:c>
      <x:c r="C90" s="4">
        <x:v>23433.739999999998</x:v>
      </x:c>
      <x:c r="E90" s="4">
        <x:v>6905.22</x:v>
      </x:c>
      <x:c r="F90" s="4"/>
      <x:c r="G90" s="4">
        <x:f t="shared" si="10"/>
        <x:v>6905.22</x:v>
      </x:c>
      <x:c r="H90" s="4">
        <x:v>6905.22</x:v>
      </x:c>
      <x:c r="I90" s="4">
        <x:v>6905.22</x:v>
      </x:c>
    </x:row>
    <x:row r="91" spans="1:10" x14ac:dyDescent="0.25">
      <x:c r="C91" s="4"/>
      <x:c r="E91" s="4" t="s">
        <x:v>19</x:v>
      </x:c>
      <x:c r="F91" s="4"/>
      <x:c r="G91" s="4"/>
      <x:c r="H91" s="4" t="s">
        <x:v>19</x:v>
      </x:c>
      <x:c r="I91" s="4"/>
    </x:row>
    <x:row r="92" spans="1:10" x14ac:dyDescent="0.25">
      <x:c r="C92" s="4"/>
      <x:c r="D92" s="9"/>
      <x:c r="E92" s="4" t="s">
        <x:v>19</x:v>
      </x:c>
      <x:c r="F92" s="4"/>
      <x:c r="G92" s="4"/>
      <x:c r="H92" s="1" t="s">
        <x:v>19</x:v>
      </x:c>
      <x:c r="I92" s="4"/>
    </x:row>
    <x:row r="93" spans="1:10" x14ac:dyDescent="0.25">
      <x:c r="A93" s="3" t="s">
        <x:v>37</x:v>
      </x:c>
      <x:c r="B93" s="1" t="s">
        <x:v>1</x:v>
      </x:c>
      <x:c r="C93" s="4">
        <x:v>142598.20000000001</x:v>
      </x:c>
      <x:c r="D93" s="9">
        <x:v>2.0451500064002721E-2</x:v>
      </x:c>
      <x:c r="E93" s="4">
        <x:f t="shared" ref="E93:E107" si="12">+C93*D93</x:f>
        <x:v>2916.347096426673</x:v>
      </x:c>
      <x:c r="F93" s="4"/>
      <x:c r="G93" s="4">
        <x:f t="shared" si="10"/>
        <x:v>2916.347096426673</x:v>
      </x:c>
      <x:c r="H93" s="4">
        <x:f>ROUND(+$I$111/$G$111*G93,2)</x:f>
        <x:v>2761.04</x:v>
      </x:c>
      <x:c r="I93" s="4"/>
    </x:row>
    <x:row r="94" spans="1:10" x14ac:dyDescent="0.25">
      <x:c r="A94" s="3" t="s">
        <x:v>38</x:v>
      </x:c>
      <x:c r="B94" s="1" t="s">
        <x:v>2</x:v>
      </x:c>
      <x:c r="C94" s="4">
        <x:v>377010696.58000004</x:v>
      </x:c>
      <x:c r="D94" s="9">
        <x:v>1.9615166184429621E-2</x:v>
      </x:c>
      <x:c r="E94" s="4">
        <x:f t="shared" si="12"/>
        <x:v>7395127.4667242728</x:v>
      </x:c>
      <x:c r="F94" s="4"/>
      <x:c r="G94" s="4">
        <x:f t="shared" si="10"/>
        <x:v>7395127.4667242728</x:v>
      </x:c>
      <x:c r="H94" s="4">
        <x:f>ROUND(+$I$111/$G$111*G94,2)</x:f>
        <x:v>7001307.4800000004</x:v>
      </x:c>
      <x:c r="I94" s="4"/>
    </x:row>
    <x:row r="95" spans="1:10" x14ac:dyDescent="0.25">
      <x:c r="A95" s="3" t="s">
        <x:v>45</x:v>
      </x:c>
      <x:c r="B95" s="1" t="s">
        <x:v>46</x:v>
      </x:c>
      <x:c r="C95" s="4">
        <x:v>28353060.27</x:v>
      </x:c>
      <x:c r="D95" s="9">
        <x:v>0.05</x:v>
      </x:c>
      <x:c r="E95" s="4">
        <x:f t="shared" si="12"/>
        <x:v>1417653.0135000001</x:v>
      </x:c>
      <x:c r="F95" s="4">
        <x:v>334158.44759533292</x:v>
      </x:c>
      <x:c r="G95" s="4">
        <x:f t="shared" si="10"/>
        <x:v>1751811.4610953331</x:v>
      </x:c>
      <x:c r="H95" s="4">
        <x:f t="shared" ref="H95:H107" si="13">ROUND(+$I$111/$G$111*G95,2)</x:f>
        <x:v>1658520.52</x:v>
      </x:c>
      <x:c r="I95" s="4"/>
    </x:row>
    <x:row r="96" spans="1:10" x14ac:dyDescent="0.25">
      <x:c r="A96" s="3">
        <x:v>391</x:v>
      </x:c>
      <x:c r="B96" s="1" t="s">
        <x:v>41</x:v>
      </x:c>
      <x:c r="C96" s="4">
        <x:v>170037957.93000019</x:v>
      </x:c>
      <x:c r="D96" s="9">
        <x:v>0.14285714285714285</x:v>
      </x:c>
      <x:c r="E96" s="4">
        <x:f t="shared" si="12"/>
        <x:v>24291136.847142883</x:v>
      </x:c>
      <x:c r="F96" s="4">
        <x:v>7455224.0585072003</x:v>
      </x:c>
      <x:c r="G96" s="4">
        <x:f t="shared" si="10"/>
        <x:v>31746360.905650083</x:v>
      </x:c>
      <x:c r="H96" s="4">
        <x:f t="shared" si="13"/>
        <x:v>30055740.75</x:v>
      </x:c>
    </x:row>
    <x:row r="97" spans="1:10" x14ac:dyDescent="0.25">
      <x:c r="A97" s="3" t="s">
        <x:v>47</x:v>
      </x:c>
      <x:c r="B97" s="1" t="s">
        <x:v>48</x:v>
      </x:c>
      <x:c r="C97" s="4">
        <x:v>10046104.890000001</x:v>
      </x:c>
      <x:c r="D97" s="9">
        <x:v>2.5000000000000001E-2</x:v>
      </x:c>
      <x:c r="E97" s="4">
        <x:f t="shared" si="12"/>
        <x:v>251152.62225000001</x:v>
      </x:c>
      <x:c r="F97" s="4">
        <x:v>153520.64230299651</x:v>
      </x:c>
      <x:c r="G97" s="4">
        <x:f t="shared" si="10"/>
        <x:v>404673.26455299649</x:v>
      </x:c>
      <x:c r="H97" s="4">
        <x:f t="shared" si="13"/>
        <x:v>383122.8</x:v>
      </x:c>
      <x:c r="I97" s="4"/>
    </x:row>
    <x:row r="98" spans="1:10" x14ac:dyDescent="0.25">
      <x:c r="A98" s="3" t="s">
        <x:v>49</x:v>
      </x:c>
      <x:c r="B98" s="1" t="s">
        <x:v>50</x:v>
      </x:c>
      <x:c r="C98" s="4">
        <x:v>18610668.340000022</x:v>
      </x:c>
      <x:c r="D98" s="9">
        <x:v>2.8571428571428571E-2</x:v>
      </x:c>
      <x:c r="E98" s="4">
        <x:f t="shared" si="12"/>
        <x:v>531733.38114285772</x:v>
      </x:c>
      <x:c r="F98" s="4">
        <x:v>523610.7485147586</x:v>
      </x:c>
      <x:c r="G98" s="4">
        <x:f t="shared" si="10"/>
        <x:v>1055344.1296576164</x:v>
      </x:c>
      <x:c r="H98" s="4">
        <x:f t="shared" si="13"/>
        <x:v>999142.85</x:v>
      </x:c>
      <x:c r="I98" s="4"/>
    </x:row>
    <x:row r="99" spans="1:10" x14ac:dyDescent="0.25">
      <x:c r="A99" s="3">
        <x:v>394</x:v>
      </x:c>
      <x:c r="B99" s="1" t="s">
        <x:v>42</x:v>
      </x:c>
      <x:c r="C99" s="4">
        <x:v>18439190.889999993</x:v>
      </x:c>
      <x:c r="D99" s="9">
        <x:v>0.1</x:v>
      </x:c>
      <x:c r="E99" s="4">
        <x:f t="shared" si="12"/>
        <x:v>1843919.0889999995</x:v>
      </x:c>
      <x:c r="F99" s="4">
        <x:v>334597.85827468149</x:v>
      </x:c>
      <x:c r="G99" s="4">
        <x:f t="shared" si="10"/>
        <x:v>2178516.9472746812</x:v>
      </x:c>
      <x:c r="H99" s="4">
        <x:f t="shared" si="13"/>
        <x:v>2062502.24</x:v>
      </x:c>
      <x:c r="I99" s="4">
        <x:v>0</x:v>
      </x:c>
      <x:c r="J99" s="7"/>
    </x:row>
    <x:row r="100" spans="1:10" x14ac:dyDescent="0.25">
      <x:c r="A100" s="3" t="s">
        <x:v>51</x:v>
      </x:c>
      <x:c r="B100" s="1" t="s">
        <x:v>52</x:v>
      </x:c>
      <x:c r="C100" s="4">
        <x:v>61540831.119999997</x:v>
      </x:c>
      <x:c r="D100" s="9">
        <x:v>0.04</x:v>
      </x:c>
      <x:c r="E100" s="4">
        <x:f t="shared" si="12"/>
        <x:v>2461633.2448</x:v>
      </x:c>
      <x:c r="F100" s="4">
        <x:v>1293486.3830186413</x:v>
      </x:c>
      <x:c r="G100" s="4">
        <x:f t="shared" si="10"/>
        <x:v>3755119.6278186413</x:v>
      </x:c>
      <x:c r="H100" s="4">
        <x:f t="shared" si="13"/>
        <x:v>3555144.55</x:v>
      </x:c>
      <x:c r="I100" s="4"/>
    </x:row>
    <x:row r="101" spans="1:10" x14ac:dyDescent="0.25">
      <x:c r="A101" s="3" t="s">
        <x:v>43</x:v>
      </x:c>
      <x:c r="B101" s="1" t="s">
        <x:v>44</x:v>
      </x:c>
      <x:c r="C101" s="4">
        <x:v>11753613.710000003</x:v>
      </x:c>
      <x:c r="D101" s="9">
        <x:v>5.3333333333333337E-2</x:v>
      </x:c>
      <x:c r="E101" s="4">
        <x:f t="shared" si="12"/>
        <x:v>626859.3978666669</x:v>
      </x:c>
      <x:c r="F101" s="4">
        <x:v>220013.02903603413</x:v>
      </x:c>
      <x:c r="G101" s="4">
        <x:f t="shared" si="10"/>
        <x:v>846872.42690270103</x:v>
      </x:c>
      <x:c r="H101" s="4">
        <x:f t="shared" si="13"/>
        <x:v>801773.1</x:v>
      </x:c>
      <x:c r="I101" s="4"/>
    </x:row>
    <x:row r="102" spans="1:10" x14ac:dyDescent="0.25">
      <x:c r="A102" s="3" t="s">
        <x:v>39</x:v>
      </x:c>
      <x:c r="B102" s="1" t="s">
        <x:v>40</x:v>
      </x:c>
      <x:c r="C102" s="4">
        <x:v>101136947.1299994</x:v>
      </x:c>
      <x:c r="D102" s="9">
        <x:v>6.6666666666666666E-2</x:v>
      </x:c>
      <x:c r="E102" s="4">
        <x:f t="shared" si="12"/>
        <x:v>6742463.1419999599</x:v>
      </x:c>
      <x:c r="F102" s="4">
        <x:v>1515156.4410486126</x:v>
      </x:c>
      <x:c r="G102" s="4">
        <x:f t="shared" si="10"/>
        <x:v>8257619.5830485728</x:v>
      </x:c>
      <x:c r="H102" s="4">
        <x:f t="shared" si="13"/>
        <x:v>7817868.4500000002</x:v>
      </x:c>
      <x:c r="I102" s="4"/>
    </x:row>
    <x:row r="103" spans="1:10" x14ac:dyDescent="0.25">
      <x:c r="A103" s="3" t="s">
        <x:v>53</x:v>
      </x:c>
      <x:c r="B103" s="1" t="s">
        <x:v>54</x:v>
      </x:c>
      <x:c r="C103" s="4">
        <x:v>17670571.620000001</x:v>
      </x:c>
      <x:c r="D103" s="9">
        <x:v>4.5454545454545456E-2</x:v>
      </x:c>
      <x:c r="E103" s="4">
        <x:f t="shared" si="12"/>
        <x:v>803207.80090909102</x:v>
      </x:c>
      <x:c r="F103" s="4">
        <x:v>193836.2932728806</x:v>
      </x:c>
      <x:c r="G103" s="4">
        <x:f t="shared" si="10"/>
        <x:v>997044.09418197162</x:v>
      </x:c>
      <x:c r="H103" s="4">
        <x:f t="shared" si="13"/>
        <x:v>943947.53</x:v>
      </x:c>
      <x:c r="I103" s="4"/>
    </x:row>
    <x:row r="104" spans="1:10" x14ac:dyDescent="0.25">
      <x:c r="A104" s="3">
        <x:v>392</x:v>
      </x:c>
      <x:c r="B104" s="1" t="s">
        <x:v>88</x:v>
      </x:c>
      <x:c r="C104" s="4">
        <x:v>9788889.6899999976</x:v>
      </x:c>
      <x:c r="D104" s="9">
        <x:v>9.1999999999999998E-2</x:v>
      </x:c>
      <x:c r="E104" s="4">
        <x:f t="shared" si="12"/>
        <x:v>900577.85147999972</x:v>
      </x:c>
      <x:c r="F104" s="4"/>
      <x:c r="G104" s="4">
        <x:f t="shared" si="10"/>
        <x:v>900577.85147999972</x:v>
      </x:c>
      <x:c r="H104" s="4">
        <x:f t="shared" si="13"/>
        <x:v>852618.49</x:v>
      </x:c>
      <x:c r="I104" s="4"/>
    </x:row>
    <x:row r="105" spans="1:10" x14ac:dyDescent="0.25">
      <x:c r="A105" s="3">
        <x:v>392</x:v>
      </x:c>
      <x:c r="B105" s="1" t="s">
        <x:v>61</x:v>
      </x:c>
      <x:c r="C105" s="4">
        <x:v>973936.51</x:v>
      </x:c>
      <x:c r="D105" s="9">
        <x:v>0.08</x:v>
      </x:c>
      <x:c r="E105" s="4">
        <x:f t="shared" si="12"/>
        <x:v>77914.920800000007</x:v>
      </x:c>
      <x:c r="F105" s="4">
        <x:v>38338.216490437604</x:v>
      </x:c>
      <x:c r="G105" s="4">
        <x:f t="shared" si="10"/>
        <x:v>116253.13729043762</x:v>
      </x:c>
      <x:c r="H105" s="4">
        <x:f t="shared" si="13"/>
        <x:v>110062.19</x:v>
      </x:c>
      <x:c r="I105" s="4"/>
      <x:c r="J105" s="7"/>
    </x:row>
    <x:row r="106" spans="1:10" x14ac:dyDescent="0.25">
      <x:c r="A106" s="3">
        <x:v>392</x:v>
      </x:c>
      <x:c r="B106" s="1" t="s">
        <x:v>62</x:v>
      </x:c>
      <x:c r="C106" s="4">
        <x:v>1117276.05</x:v>
      </x:c>
      <x:c r="D106" s="9">
        <x:v>0.1142857142857143</x:v>
      </x:c>
      <x:c r="E106" s="4">
        <x:f t="shared" si="12"/>
        <x:v>127688.69142857144</x:v>
      </x:c>
      <x:c r="F106" s="1">
        <x:v>125676.38509858761</x:v>
      </x:c>
      <x:c r="G106" s="4">
        <x:f t="shared" si="10"/>
        <x:v>253365.07652715905</x:v>
      </x:c>
      <x:c r="H106" s="4">
        <x:f t="shared" si="13"/>
        <x:v>239872.38</x:v>
      </x:c>
      <x:c r="I106" s="4"/>
    </x:row>
    <x:row r="107" spans="1:10" x14ac:dyDescent="0.25">
      <x:c r="A107" s="3">
        <x:v>392</x:v>
      </x:c>
      <x:c r="B107" s="1" t="s">
        <x:v>63</x:v>
      </x:c>
      <x:c r="C107" s="4">
        <x:v>8319185.5800000019</x:v>
      </x:c>
      <x:c r="D107" s="9">
        <x:v>5.3333333333333337E-2</x:v>
      </x:c>
      <x:c r="E107" s="4">
        <x:f t="shared" si="12"/>
        <x:v>443689.89760000014</x:v>
      </x:c>
      <x:c r="F107" s="4">
        <x:v>287491.17607068887</x:v>
      </x:c>
      <x:c r="G107" s="4">
        <x:f t="shared" si="10"/>
        <x:v>731181.07367068902</x:v>
      </x:c>
      <x:c r="H107" s="4">
        <x:f t="shared" si="13"/>
        <x:v>692242.77</x:v>
      </x:c>
      <x:c r="I107" s="4"/>
    </x:row>
    <x:row r="108" spans="1:10" x14ac:dyDescent="0.25">
      <x:c r="A108" s="1"/>
      <x:c r="I108" s="4"/>
    </x:row>
    <x:row r="109" spans="1:10" x14ac:dyDescent="0.25">
      <x:c r="C109" s="4"/>
      <x:c r="D109" s="9"/>
      <x:c r="E109" s="4"/>
      <x:c r="F109" s="4"/>
      <x:c r="G109" s="4"/>
      <x:c r="H109" s="4"/>
      <x:c r="I109" s="4"/>
    </x:row>
    <x:row r="110" spans="1:10" x14ac:dyDescent="0.25">
      <x:c r="C110" s="4"/>
      <x:c r="D110" s="9"/>
      <x:c r="E110" s="4"/>
      <x:c r="F110" s="4"/>
      <x:c r="G110" s="4">
        <x:f t="shared" si="10"/>
        <x:v>0</x:v>
      </x:c>
      <x:c r="H110" s="4"/>
      <x:c r="I110" s="4"/>
      <x:c r="J110" s="7"/>
    </x:row>
    <x:row r="111" spans="1:10" x14ac:dyDescent="0.25">
      <x:c r="B111" s="1" t="s">
        <x:v>109</x:v>
      </x:c>
      <x:c r="C111" s="14">
        <x:f>SUM(C93:C107)</x:f>
        <x:v>834941528.50999963</x:v>
      </x:c>
      <x:c r="D111" s="16"/>
      <x:c r="E111" s="14">
        <x:f>SUM(E93:E107)</x:f>
        <x:v>47917673.713740736</x:v>
      </x:c>
      <x:c r="F111" s="14">
        <x:f>SUM(F93:F107)</x:f>
        <x:v>12475109.679230852</x:v>
      </x:c>
      <x:c r="G111" s="14">
        <x:f>SUM(G93:G107)</x:f>
        <x:v>60392783.39297159</x:v>
      </x:c>
      <x:c r="H111" s="14">
        <x:f>SUM(H93:H107)</x:f>
        <x:v>57176627.140000008</x:v>
      </x:c>
      <x:c r="I111" s="4">
        <x:v>57176627.139999986</x:v>
      </x:c>
      <x:c r="J111" s="7" t="s">
        <x:v>102</x:v>
      </x:c>
    </x:row>
    <x:row r="112" spans="1:10" x14ac:dyDescent="0.25">
      <x:c r="C112" s="4"/>
      <x:c r="E112" s="4"/>
      <x:c r="F112" s="4"/>
      <x:c r="G112" s="4"/>
      <x:c r="H112" s="2"/>
      <x:c r="I112" s="4"/>
    </x:row>
    <x:row r="113" spans="1:10" x14ac:dyDescent="0.25">
      <x:c r="A113" s="3">
        <x:v>390</x:v>
      </x:c>
      <x:c r="B113" s="1" t="s">
        <x:v>96</x:v>
      </x:c>
      <x:c r="C113" s="4"/>
      <x:c r="E113" s="4"/>
      <x:c r="F113" s="4"/>
      <x:c r="G113" s="4"/>
      <x:c r="H113" s="2">
        <x:v>441789.11999999994</x:v>
      </x:c>
      <x:c r="I113" s="4">
        <x:v>441789.11999999994</x:v>
      </x:c>
      <x:c r="J113" s="7"/>
    </x:row>
    <x:row r="114" spans="1:10" x14ac:dyDescent="0.25">
      <x:c r="C114" s="4"/>
      <x:c r="D114" s="4"/>
      <x:c r="E114" s="4"/>
      <x:c r="F114" s="4"/>
      <x:c r="G114" s="4"/>
      <x:c r="H114" s="4"/>
      <x:c r="I114" s="4"/>
      <x:c r="J114" s="7"/>
    </x:row>
    <x:row r="115" spans="1:10" x14ac:dyDescent="0.25">
      <x:c r="A115" s="3">
        <x:v>397.3</x:v>
      </x:c>
      <x:c r="B115" s="1" t="s">
        <x:v>107</x:v>
      </x:c>
      <x:c r="C115" s="4">
        <x:v>87957287.180000335</x:v>
      </x:c>
      <x:c r="D115" s="9">
        <x:v>4.6699999999999998E-2</x:v>
      </x:c>
      <x:c r="E115" s="4"/>
      <x:c r="F115" s="4"/>
      <x:c r="G115" s="4"/>
      <x:c r="H115" s="4">
        <x:v>4146514.5399999991</x:v>
      </x:c>
      <x:c r="I115" s="4">
        <x:v>4146514.5399999991</x:v>
      </x:c>
    </x:row>
    <x:row r="116" spans="1:10" x14ac:dyDescent="0.25">
      <x:c r="I116" s="4"/>
    </x:row>
    <x:row r="117" spans="1:10" x14ac:dyDescent="0.25">
      <x:c r="C117" s="4"/>
      <x:c r="E117" s="4"/>
      <x:c r="F117" s="4"/>
      <x:c r="G117" s="4"/>
      <x:c r="H117" s="2">
        <x:v>-4666334.92</x:v>
      </x:c>
      <x:c r="I117" s="4">
        <x:v>-4666334.92</x:v>
      </x:c>
      <x:c r="J117" s="18"/>
    </x:row>
    <x:row r="118" spans="1:10" x14ac:dyDescent="0.25">
      <x:c r="B118" s="1" t="s">
        <x:v>87</x:v>
      </x:c>
      <x:c r="C118" s="4"/>
      <x:c r="E118" s="4"/>
      <x:c r="F118" s="4"/>
      <x:c r="G118" s="4"/>
      <x:c r="H118" s="2"/>
      <x:c r="J118" s="18"/>
    </x:row>
    <x:row r="119" spans="1:10" x14ac:dyDescent="0.25">
      <x:c r="C119" s="4"/>
      <x:c r="E119" s="4"/>
      <x:c r="F119" s="4"/>
      <x:c r="G119" s="4"/>
      <x:c r="H119" s="2"/>
    </x:row>
    <x:row r="120" spans="1:10" ht="16.3" thickBot="1" x14ac:dyDescent="0.3">
      <x:c r="B120" s="1" t="s">
        <x:v>108</x:v>
      </x:c>
      <x:c r="C120" s="4"/>
      <x:c r="E120" s="4"/>
      <x:c r="F120" s="4"/>
      <x:c r="G120" s="4"/>
      <x:c r="H120" s="20">
        <x:f>+H113+H115+H117+H111+H90+H87+H83+H68+H60+H53+H47+H31</x:f>
        <x:v>1064630107.83</x:v>
      </x:c>
      <x:c r="I120" s="21">
        <x:f>SUM(I11:I117)</x:f>
        <x:v>1064630107.83</x:v>
      </x:c>
    </x:row>
    <x:row r="121" spans="1:10" ht="16.3" thickTop="1" x14ac:dyDescent="0.25">
      <x:c r="A121" s="1"/>
    </x:row>
    <x:row r="122" spans="1:10" x14ac:dyDescent="0.25">
      <x:c r="A122" s="1"/>
    </x:row>
    <x:row r="123" spans="1:10" x14ac:dyDescent="0.25">
      <x:c r="C123" s="4"/>
      <x:c r="E123" s="4"/>
      <x:c r="F123" s="4"/>
      <x:c r="G123" s="4"/>
    </x:row>
    <x:row r="124" spans="1:10" x14ac:dyDescent="0.25">
      <x:c r="C124" s="4"/>
      <x:c r="E124" s="4"/>
      <x:c r="F124" s="4"/>
      <x:c r="G124" s="4"/>
    </x:row>
    <x:row r="125" spans="1:10" x14ac:dyDescent="0.25">
      <x:c r="E125" s="4"/>
      <x:c r="F125" s="4"/>
      <x:c r="G125" s="4"/>
    </x:row>
    <x:row r="126" spans="1:10" x14ac:dyDescent="0.25">
      <x:c r="E126" s="4"/>
      <x:c r="F126" s="4"/>
      <x:c r="G126" s="4"/>
    </x:row>
  </x:sheetData>
  <x:mergeCells count="5">
    <x:mergeCell ref="A5:J5"/>
    <x:mergeCell ref="A1:J1"/>
    <x:mergeCell ref="A2:J2"/>
    <x:mergeCell ref="A3:J3"/>
    <x:mergeCell ref="A4:J4"/>
  </x:mergeCells>
  <x:pageMargins left="0.75" right="0.75" top="2" bottom="1" header="0.75" footer="0.5"/>
  <x:pageSetup scale="50" fitToHeight="16" orientation="landscape" r:id="rId1"/>
  <x:headerFooter>
    <x:oddHeader>&amp;RWP/II-E-1/01
Page 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2025-05-19T15:46:20.0000000Z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