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chedules &amp; Schedule Workpapers\Section II (Test Year Data)\Schedule E (Other Items)\Schedule II-E Workpapers\"/>
    </mc:Choice>
  </mc:AlternateContent>
  <xr:revisionPtr revIDLastSave="0" documentId="13_ncr:1_{97430263-B5F1-4340-B779-3E907979B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p Tax Estimate (WP1)" sheetId="1" r:id="rId1"/>
    <sheet name="Book Plant Bals (WP1)" sheetId="2" r:id="rId2"/>
    <sheet name="Ad Valorem Exp by Month (WP2)" sheetId="3" r:id="rId3"/>
  </sheets>
  <externalReferences>
    <externalReference r:id="rId4"/>
  </externalReferences>
  <definedNames>
    <definedName name="_xlnm.Print_Area" localSheetId="1">'Book Plant Bals (WP1)'!$A$1:$E$42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22" i="1"/>
  <c r="D25" i="1"/>
  <c r="D21" i="1"/>
  <c r="C11" i="1"/>
  <c r="B18" i="2" l="1"/>
  <c r="B19" i="2" s="1"/>
  <c r="B13" i="2"/>
  <c r="E35" i="2" l="1"/>
  <c r="E22" i="2" l="1"/>
  <c r="D22" i="2"/>
  <c r="C22" i="2"/>
  <c r="C37" i="1" l="1"/>
  <c r="C31" i="1"/>
  <c r="C30" i="1"/>
  <c r="E18" i="2" l="1"/>
  <c r="E19" i="2" s="1"/>
  <c r="E13" i="2"/>
  <c r="C26" i="3" l="1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C13" i="2" l="1"/>
  <c r="D13" i="2"/>
  <c r="C18" i="2"/>
  <c r="C19" i="2" s="1"/>
  <c r="D18" i="2"/>
  <c r="D19" i="2" s="1"/>
  <c r="C16" i="1" l="1"/>
  <c r="C44" i="1" l="1"/>
  <c r="D26" i="1" l="1"/>
  <c r="D11" i="1" s="1"/>
  <c r="F11" i="1" s="1"/>
  <c r="B25" i="2"/>
  <c r="C25" i="2"/>
  <c r="D25" i="2"/>
  <c r="E25" i="2"/>
  <c r="B28" i="2"/>
  <c r="C28" i="2"/>
  <c r="D28" i="2"/>
  <c r="E28" i="2"/>
  <c r="B29" i="2"/>
  <c r="C29" i="2"/>
  <c r="D29" i="2"/>
  <c r="E29" i="2"/>
  <c r="B30" i="2"/>
  <c r="C30" i="2"/>
  <c r="D30" i="2"/>
  <c r="E30" i="2"/>
  <c r="B32" i="2"/>
  <c r="C32" i="2"/>
  <c r="D32" i="2"/>
  <c r="E32" i="2"/>
  <c r="B37" i="2"/>
  <c r="C37" i="2"/>
  <c r="D37" i="2"/>
  <c r="E37" i="2"/>
  <c r="B38" i="2"/>
  <c r="C38" i="2"/>
  <c r="D38" i="2"/>
  <c r="E38" i="2"/>
  <c r="B39" i="2"/>
  <c r="C39" i="2"/>
  <c r="D39" i="2"/>
  <c r="E39" i="2"/>
  <c r="B41" i="2"/>
  <c r="C41" i="2"/>
  <c r="D41" i="2"/>
  <c r="E41" i="2"/>
  <c r="G11" i="1"/>
  <c r="H11" i="1"/>
  <c r="C13" i="1"/>
  <c r="D13" i="1"/>
  <c r="C14" i="1"/>
  <c r="D14" i="1"/>
  <c r="C15" i="1"/>
  <c r="D15" i="1"/>
  <c r="D16" i="1"/>
  <c r="C17" i="1"/>
  <c r="D17" i="1"/>
  <c r="J17" i="1"/>
  <c r="C33" i="1"/>
  <c r="C34" i="1"/>
  <c r="C35" i="1"/>
  <c r="C38" i="1"/>
  <c r="C39" i="1"/>
  <c r="C45" i="1"/>
</calcChain>
</file>

<file path=xl/sharedStrings.xml><?xml version="1.0" encoding="utf-8"?>
<sst xmlns="http://schemas.openxmlformats.org/spreadsheetml/2006/main" count="111" uniqueCount="96">
  <si>
    <t>Percentage of Total Taxable Value</t>
  </si>
  <si>
    <t>To Adjust Discount</t>
  </si>
  <si>
    <t>Tax Expense, excl PPA</t>
  </si>
  <si>
    <t>At Market Value</t>
  </si>
  <si>
    <t>Acct 121</t>
  </si>
  <si>
    <t>Non-Utility Plant</t>
  </si>
  <si>
    <t>Total Taxable Value (owned)</t>
  </si>
  <si>
    <t>Net Tax Expense</t>
  </si>
  <si>
    <t>Discount</t>
  </si>
  <si>
    <t>Tax, before discount</t>
  </si>
  <si>
    <t>Effective Tax Rate</t>
  </si>
  <si>
    <t>Taxable Value (owned)</t>
  </si>
  <si>
    <t>Increase</t>
  </si>
  <si>
    <t>Value Factor</t>
  </si>
  <si>
    <t>Source</t>
  </si>
  <si>
    <t>Taxable Value</t>
  </si>
  <si>
    <t>Taxable</t>
  </si>
  <si>
    <t>Net Plant</t>
  </si>
  <si>
    <t>Less:  Non-utility Plant</t>
  </si>
  <si>
    <t>Less:  Prior Period Adjustments</t>
  </si>
  <si>
    <t>Total Ad Valorem Tax Expense (4082602)</t>
  </si>
  <si>
    <t>Total Taxable Value, excl NUP</t>
  </si>
  <si>
    <t>Taxable Value (leased)</t>
  </si>
  <si>
    <t>Book to Taxable Value % (owned)</t>
  </si>
  <si>
    <t>Non-utility Plant (excluded)</t>
  </si>
  <si>
    <t>Net plant subject to ad valorem taxes</t>
  </si>
  <si>
    <t>Gross plant subject to ad valorem taxes</t>
  </si>
  <si>
    <t>Materials &amp; Supplies</t>
  </si>
  <si>
    <t>New CWIP (exclude replacements)</t>
  </si>
  <si>
    <t xml:space="preserve">Utility plant, less accumulated depreciation  </t>
  </si>
  <si>
    <t xml:space="preserve">Less accumulated depreciation  </t>
  </si>
  <si>
    <t>Property, plant and equipment</t>
  </si>
  <si>
    <t>Beginning Balance for</t>
  </si>
  <si>
    <t>Total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</si>
  <si>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</si>
  <si>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</si>
  <si>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</si>
  <si>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</si>
  <si>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</si>
  <si>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</si>
  <si>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</si>
  <si>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</si>
  <si>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</si>
  <si>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</si>
  <si>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</si>
  <si>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</si>
  <si>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(c)</t>
  </si>
  <si>
    <t>(b)</t>
  </si>
  <si>
    <t>(a)</t>
  </si>
  <si>
    <t>FERC Account</t>
  </si>
  <si>
    <t>Expense</t>
  </si>
  <si>
    <t>Month</t>
  </si>
  <si>
    <t>Line No</t>
  </si>
  <si>
    <t>SPONSOR: B. L. CLUTTER</t>
  </si>
  <si>
    <t>AD VALOREM TAX EXPENSE BY MONTH</t>
  </si>
  <si>
    <t>ONCOR ELECTRIC DELIVERY COMPANY LLC</t>
  </si>
  <si>
    <t>ESTIMATED AD VALOREM TAX EXPENSE ON TEST YEAR NET UTILITY PLANT</t>
  </si>
  <si>
    <t>Tax Expense</t>
  </si>
  <si>
    <t>REQUESTED AD VALOREM TAX EXPENSE ON TEST YEAR NET UTILITY PLANT</t>
  </si>
  <si>
    <t>Ad Valorem Tax Expense (owned)</t>
  </si>
  <si>
    <t>TPT</t>
  </si>
  <si>
    <t>Tax Year 2022</t>
  </si>
  <si>
    <t>2025 RATE CASE</t>
  </si>
  <si>
    <t>TEST YEAR ENDING DECEMBER 31, 2024</t>
  </si>
  <si>
    <t>Discount on 2024 taxes paid</t>
  </si>
  <si>
    <t>Discount on 2025 tax due</t>
  </si>
  <si>
    <t>Tax Year 2023</t>
  </si>
  <si>
    <t>Tax Year 2024</t>
  </si>
  <si>
    <t>YE2023</t>
  </si>
  <si>
    <t>YE2024</t>
  </si>
  <si>
    <t>Tax Year 2025</t>
  </si>
  <si>
    <t>Disallowed Plant</t>
  </si>
  <si>
    <t>Taxable Value (owned), excl NUP, Disallowance</t>
  </si>
  <si>
    <t>NUP, Disallowance % of total</t>
  </si>
  <si>
    <t>Tax Expense on NUP, Disallowance</t>
  </si>
  <si>
    <t>Tax Expense, excl NUP, Disallowance</t>
  </si>
  <si>
    <t>Taxable Value (owned), excl NUP, Acq Adj</t>
  </si>
  <si>
    <t>Less: SPS Acquisition Adjustment</t>
  </si>
  <si>
    <t>Less: Non-utility plant</t>
  </si>
  <si>
    <t>Less:  SPS Acquisition Adjustment</t>
  </si>
  <si>
    <t>II-B-5</t>
  </si>
  <si>
    <t>Plant in Service Net (excl. Intangibles)</t>
  </si>
  <si>
    <t>Plant Held for Future Use</t>
  </si>
  <si>
    <t>II-B-6</t>
  </si>
  <si>
    <t>Acquisition Adjustment</t>
  </si>
  <si>
    <t>II-B-11</t>
  </si>
  <si>
    <t>Less:  Computer Software</t>
  </si>
  <si>
    <t>II-B-1,3,5</t>
  </si>
  <si>
    <t>To Remove NUP, Disallowed Plant from 2024 Taxable Value and Tax Expense</t>
  </si>
  <si>
    <t>Tax Year 2021</t>
  </si>
  <si>
    <t>SPS Acquisition Adjustment (excluded)</t>
  </si>
  <si>
    <t>Adjusted Taxable Value (owned)</t>
  </si>
  <si>
    <t>*Values above do not include non-utility plant, SPS acquisition adj, or computer software</t>
  </si>
  <si>
    <t>II-B-8</t>
  </si>
  <si>
    <t>II-B-5,6,8,11</t>
  </si>
  <si>
    <t>Net Utility Plant Subject to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</si>
</sst>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,_);[Red]\(#,##0,\)"/>
    <numFmt numFmtId="166" formatCode="[Blue]#,##0,_);[Red]\(#,##0,\)"/>
    <numFmt numFmtId="167" formatCode="0.0000%"/>
    <numFmt numFmtId="168" formatCode="_(* #,##0.0000_);_(* \(#,##0.0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2"/>
      <color indexed="62"/>
      <name val="Arial"/>
      <family val="2"/>
    </font>
    <font>
      <sz val="10"/>
      <name val="Arial"/>
      <family val="2"/>
    </font>
    <font>
      <sz val="8"/>
      <color indexed="62"/>
      <name val="Arial"/>
      <family val="2"/>
    </font>
    <font>
      <sz val="8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8"/>
      <color indexed="12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mediumGray">
        <fgColor indexed="22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/>
      <bottom style="medium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2" borderId="0" applyFill="0" applyBorder="0" applyProtection="0">
      <alignment horizontal="right"/>
    </xf>
    <xf numFmtId="44" fontId="7" fillId="0" borderId="0" applyNumberFormat="0" applyFill="0" applyBorder="0" applyAlignment="0" applyProtection="0"/>
    <xf numFmtId="0" fontId="7" fillId="0" borderId="0"/>
    <xf numFmtId="43" fontId="8" fillId="0" borderId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12" fillId="0" borderId="0"/>
    <xf numFmtId="0" fontId="13" fillId="0" borderId="5" applyNumberFormat="0" applyAlignment="0" applyProtection="0"/>
    <xf numFmtId="0" fontId="14" fillId="3" borderId="0" applyNumberFormat="0" applyFont="0" applyBorder="0" applyAlignment="0" applyProtection="0"/>
    <xf numFmtId="0" fontId="9" fillId="4" borderId="6" applyNumberFormat="0" applyFont="0" applyBorder="0" applyAlignment="0" applyProtection="0">
      <alignment horizontal="center"/>
    </xf>
    <xf numFmtId="0" fontId="9" fillId="5" borderId="6" applyNumberFormat="0" applyFont="0" applyBorder="0" applyAlignment="0" applyProtection="0">
      <alignment horizontal="center"/>
    </xf>
    <xf numFmtId="0" fontId="14" fillId="0" borderId="7" applyNumberFormat="0" applyAlignment="0" applyProtection="0"/>
    <xf numFmtId="0" fontId="14" fillId="0" borderId="8" applyNumberFormat="0" applyAlignment="0" applyProtection="0"/>
    <xf numFmtId="0" fontId="13" fillId="0" borderId="9" applyNumberFormat="0" applyAlignment="0" applyProtection="0"/>
    <xf numFmtId="9" fontId="7" fillId="0" borderId="0" applyFont="0" applyFill="0" applyBorder="0" applyAlignment="0" applyProtection="0"/>
    <xf numFmtId="0" fontId="15" fillId="0" borderId="0" applyNumberFormat="0" applyFont="0" applyFill="0" applyBorder="0" applyAlignment="0" applyProtection="0">
      <alignment horizontal="left"/>
    </xf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6" fillId="0" borderId="10">
      <alignment horizontal="center"/>
    </xf>
    <xf numFmtId="3" fontId="15" fillId="0" borderId="0" applyFont="0" applyFill="0" applyBorder="0" applyAlignment="0" applyProtection="0"/>
    <xf numFmtId="0" fontId="15" fillId="6" borderId="0" applyNumberFormat="0" applyFont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0" fontId="0" fillId="0" borderId="1" xfId="0" applyFill="1" applyBorder="1"/>
    <xf numFmtId="0" fontId="3" fillId="0" borderId="2" xfId="0" applyFont="1" applyFill="1" applyBorder="1"/>
    <xf numFmtId="0" fontId="2" fillId="0" borderId="3" xfId="0" applyFont="1" applyFill="1" applyBorder="1"/>
    <xf numFmtId="164" fontId="0" fillId="0" borderId="0" xfId="1" applyNumberFormat="1" applyFont="1"/>
    <xf numFmtId="164" fontId="0" fillId="0" borderId="0" xfId="1" applyNumberFormat="1" applyFont="1" applyFill="1"/>
    <xf numFmtId="0" fontId="2" fillId="0" borderId="1" xfId="0" applyFont="1" applyFill="1" applyBorder="1"/>
    <xf numFmtId="0" fontId="4" fillId="0" borderId="2" xfId="0" applyFont="1" applyFill="1" applyBorder="1"/>
    <xf numFmtId="0" fontId="5" fillId="0" borderId="0" xfId="0" applyFont="1"/>
    <xf numFmtId="10" fontId="0" fillId="0" borderId="0" xfId="2" applyNumberFormat="1" applyFont="1"/>
    <xf numFmtId="9" fontId="0" fillId="0" borderId="0" xfId="2" applyFont="1" applyFill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43" fontId="0" fillId="0" borderId="0" xfId="0" applyNumberFormat="1"/>
    <xf numFmtId="43" fontId="0" fillId="0" borderId="0" xfId="1" applyFont="1"/>
    <xf numFmtId="10" fontId="2" fillId="0" borderId="0" xfId="2" applyNumberFormat="1" applyFont="1"/>
    <xf numFmtId="164" fontId="0" fillId="0" borderId="0" xfId="1" applyNumberFormat="1" applyFont="1" applyFill="1" applyBorder="1"/>
    <xf numFmtId="164" fontId="0" fillId="0" borderId="0" xfId="1" applyNumberFormat="1" applyFont="1" applyBorder="1"/>
    <xf numFmtId="0" fontId="0" fillId="0" borderId="0" xfId="0" applyFont="1"/>
    <xf numFmtId="164" fontId="0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64" fontId="2" fillId="0" borderId="0" xfId="0" applyNumberFormat="1" applyFont="1" applyFill="1"/>
    <xf numFmtId="164" fontId="2" fillId="0" borderId="0" xfId="1" applyNumberFormat="1" applyFont="1" applyFill="1"/>
    <xf numFmtId="0" fontId="7" fillId="0" borderId="0" xfId="5" applyFont="1"/>
    <xf numFmtId="164" fontId="7" fillId="0" borderId="0" xfId="5" applyNumberFormat="1" applyFont="1"/>
    <xf numFmtId="0" fontId="7" fillId="0" borderId="0" xfId="5" applyFont="1" applyAlignment="1">
      <alignment horizontal="center"/>
    </xf>
    <xf numFmtId="164" fontId="7" fillId="0" borderId="0" xfId="8" applyNumberFormat="1" applyFont="1"/>
    <xf numFmtId="0" fontId="7" fillId="0" borderId="0" xfId="5" applyFont="1" applyBorder="1" applyAlignment="1">
      <alignment horizontal="center"/>
    </xf>
    <xf numFmtId="0" fontId="11" fillId="0" borderId="0" xfId="5" applyFont="1" applyBorder="1" applyAlignment="1">
      <alignment horizontal="center"/>
    </xf>
    <xf numFmtId="0" fontId="11" fillId="0" borderId="4" xfId="5" applyFont="1" applyBorder="1" applyAlignment="1">
      <alignment horizontal="center"/>
    </xf>
    <xf numFmtId="0" fontId="11" fillId="0" borderId="0" xfId="5" applyFont="1" applyAlignment="1"/>
    <xf numFmtId="164" fontId="0" fillId="0" borderId="0" xfId="0" applyNumberFormat="1" applyFill="1" applyBorder="1"/>
    <xf numFmtId="0" fontId="10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41" fontId="0" fillId="0" borderId="0" xfId="25" applyFont="1"/>
    <xf numFmtId="9" fontId="0" fillId="0" borderId="0" xfId="2" applyNumberFormat="1" applyFont="1" applyFill="1" applyAlignment="1">
      <alignment horizontal="center"/>
    </xf>
    <xf numFmtId="9" fontId="3" fillId="0" borderId="0" xfId="2" applyFont="1"/>
    <xf numFmtId="167" fontId="0" fillId="0" borderId="0" xfId="2" applyNumberFormat="1" applyFont="1"/>
    <xf numFmtId="0" fontId="0" fillId="0" borderId="4" xfId="0" applyFill="1" applyBorder="1" applyAlignment="1">
      <alignment horizontal="center"/>
    </xf>
    <xf numFmtId="167" fontId="0" fillId="0" borderId="0" xfId="2" applyNumberFormat="1" applyFont="1" applyFill="1"/>
    <xf numFmtId="0" fontId="17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164" fontId="0" fillId="0" borderId="0" xfId="0" applyNumberFormat="1" applyFill="1"/>
    <xf numFmtId="164" fontId="0" fillId="0" borderId="4" xfId="0" applyNumberFormat="1" applyFill="1" applyBorder="1"/>
    <xf numFmtId="0" fontId="0" fillId="0" borderId="0" xfId="0" applyFill="1"/>
    <xf numFmtId="164" fontId="0" fillId="0" borderId="0" xfId="0" applyNumberFormat="1" applyFont="1" applyFill="1"/>
    <xf numFmtId="164" fontId="0" fillId="0" borderId="4" xfId="1" applyNumberFormat="1" applyFont="1" applyFill="1" applyBorder="1"/>
    <xf numFmtId="164" fontId="0" fillId="0" borderId="2" xfId="0" applyNumberFormat="1" applyFont="1" applyFill="1" applyBorder="1"/>
    <xf numFmtId="43" fontId="0" fillId="0" borderId="0" xfId="1" applyFont="1" applyFill="1"/>
    <xf numFmtId="10" fontId="2" fillId="0" borderId="0" xfId="2" applyNumberFormat="1" applyFont="1" applyFill="1"/>
    <xf numFmtId="3" fontId="0" fillId="0" borderId="0" xfId="0" applyNumberFormat="1" applyFill="1"/>
    <xf numFmtId="164" fontId="0" fillId="0" borderId="0" xfId="2" applyNumberFormat="1" applyFont="1"/>
    <xf numFmtId="168" fontId="0" fillId="0" borderId="0" xfId="0" applyNumberFormat="1"/>
    <xf numFmtId="9" fontId="17" fillId="0" borderId="0" xfId="2" applyFont="1" applyAlignment="1">
      <alignment horizontal="center"/>
    </xf>
    <xf numFmtId="0" fontId="0" fillId="0" borderId="0" xfId="0" applyAlignment="1">
      <alignment wrapText="1"/>
    </xf>
    <xf numFmtId="42" fontId="0" fillId="0" borderId="0" xfId="0" applyNumberFormat="1"/>
    <xf numFmtId="41" fontId="0" fillId="0" borderId="4" xfId="25" applyFont="1" applyBorder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42" fontId="0" fillId="0" borderId="0" xfId="26" applyFont="1"/>
    <xf numFmtId="42" fontId="0" fillId="0" borderId="0" xfId="26" applyFont="1" applyFill="1"/>
    <xf numFmtId="42" fontId="0" fillId="0" borderId="0" xfId="26" applyNumberFormat="1" applyFont="1"/>
    <xf numFmtId="164" fontId="0" fillId="0" borderId="4" xfId="0" applyNumberFormat="1" applyBorder="1"/>
    <xf numFmtId="164" fontId="2" fillId="0" borderId="0" xfId="0" applyNumberFormat="1" applyFont="1"/>
    <xf numFmtId="164" fontId="0" fillId="0" borderId="2" xfId="0" applyNumberFormat="1" applyBorder="1"/>
    <xf numFmtId="44" fontId="0" fillId="0" borderId="0" xfId="0" applyNumberFormat="1"/>
    <xf numFmtId="41" fontId="0" fillId="0" borderId="0" xfId="25" applyFont="1" applyBorder="1"/>
    <xf numFmtId="0" fontId="0" fillId="0" borderId="0" xfId="0" applyBorder="1"/>
    <xf numFmtId="42" fontId="0" fillId="0" borderId="0" xfId="0" applyNumberFormat="1" applyBorder="1"/>
    <xf numFmtId="42" fontId="0" fillId="0" borderId="0" xfId="26" applyFont="1" applyBorder="1"/>
    <xf numFmtId="41" fontId="0" fillId="0" borderId="0" xfId="25" applyFont="1" applyFill="1"/>
    <xf numFmtId="0" fontId="11" fillId="0" borderId="0" xfId="5" applyFont="1" applyAlignment="1">
      <alignment horizontal="center"/>
    </xf>
  </cellXfs>
  <cellStyles count="27">
    <cellStyle name="Comma" xfId="1" builtinId="3"/>
    <cellStyle name="Comma [0]" xfId="25" builtinId="6"/>
    <cellStyle name="Comma 2" xfId="3" xr:uid="{00000000-0005-0000-0000-000002000000}"/>
    <cellStyle name="Comma 3" xfId="8" xr:uid="{00000000-0005-0000-0000-000003000000}"/>
    <cellStyle name="CommaRounded" xfId="9" xr:uid="{00000000-0005-0000-0000-000004000000}"/>
    <cellStyle name="Currency [0]" xfId="26" builtinId="7"/>
    <cellStyle name="Currency 2" xfId="4" xr:uid="{00000000-0005-0000-0000-000005000000}"/>
    <cellStyle name="Normal" xfId="0" builtinId="0"/>
    <cellStyle name="Normal 2" xfId="5" xr:uid="{00000000-0005-0000-0000-000007000000}"/>
    <cellStyle name="nPlosion" xfId="6" xr:uid="{00000000-0005-0000-0000-000008000000}"/>
    <cellStyle name="nvision" xfId="10" xr:uid="{00000000-0005-0000-0000-000009000000}"/>
    <cellStyle name="PB Table Heading" xfId="11" xr:uid="{00000000-0005-0000-0000-00000A000000}"/>
    <cellStyle name="PB Table Highlight1" xfId="12" xr:uid="{00000000-0005-0000-0000-00000B000000}"/>
    <cellStyle name="PB Table Highlight2" xfId="13" xr:uid="{00000000-0005-0000-0000-00000C000000}"/>
    <cellStyle name="PB Table Highlight3" xfId="14" xr:uid="{00000000-0005-0000-0000-00000D000000}"/>
    <cellStyle name="PB Table Standard Row" xfId="15" xr:uid="{00000000-0005-0000-0000-00000E000000}"/>
    <cellStyle name="PB Table Subtotal Row" xfId="16" xr:uid="{00000000-0005-0000-0000-00000F000000}"/>
    <cellStyle name="PB Table Total Row" xfId="17" xr:uid="{00000000-0005-0000-0000-000010000000}"/>
    <cellStyle name="Percent" xfId="2" builtinId="5"/>
    <cellStyle name="Percent 2" xfId="18" xr:uid="{00000000-0005-0000-0000-000012000000}"/>
    <cellStyle name="PSChar" xfId="19" xr:uid="{00000000-0005-0000-0000-000013000000}"/>
    <cellStyle name="PSDate" xfId="20" xr:uid="{00000000-0005-0000-0000-000014000000}"/>
    <cellStyle name="PSDec" xfId="21" xr:uid="{00000000-0005-0000-0000-000015000000}"/>
    <cellStyle name="PSHeading" xfId="22" xr:uid="{00000000-0005-0000-0000-000016000000}"/>
    <cellStyle name="PSInt" xfId="23" xr:uid="{00000000-0005-0000-0000-000017000000}"/>
    <cellStyle name="PSSpacer" xfId="24" xr:uid="{00000000-0005-0000-0000-000018000000}"/>
    <cellStyle name="Report" xfId="7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B%20(Rate%20Base)/Schedule%20II-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B"/>
      <sheetName val="II-B-1"/>
      <sheetName val="II-B-1a"/>
      <sheetName val="II-B-2"/>
      <sheetName val="II-B-3"/>
      <sheetName val="II-B-4"/>
      <sheetName val="II-B-5"/>
      <sheetName val="II-B-6"/>
      <sheetName val="II-B-7"/>
      <sheetName val="II-B-8"/>
      <sheetName val="II-B-9"/>
      <sheetName val="II-B-10"/>
      <sheetName val="II-B-11"/>
      <sheetName val="II-B-12"/>
      <sheetName val="II-B-13"/>
      <sheetName val="II-B-14"/>
      <sheetName val="II-B-14 Attachment 1"/>
      <sheetName val="II-B-15A"/>
      <sheetName val="II-B-15B"/>
    </sheetNames>
    <sheetDataSet>
      <sheetData sheetId="0"/>
      <sheetData sheetId="1"/>
      <sheetData sheetId="2">
        <row r="26">
          <cell r="I26">
            <v>150825746.09999999</v>
          </cell>
        </row>
        <row r="44">
          <cell r="I44">
            <v>783527550.65000021</v>
          </cell>
        </row>
      </sheetData>
      <sheetData sheetId="3"/>
      <sheetData sheetId="4"/>
      <sheetData sheetId="5">
        <row r="17">
          <cell r="I17">
            <v>360398299.31999999</v>
          </cell>
        </row>
      </sheetData>
      <sheetData sheetId="6"/>
      <sheetData sheetId="7">
        <row r="28">
          <cell r="H28">
            <v>56291412.899999999</v>
          </cell>
        </row>
        <row r="47">
          <cell r="H47">
            <v>288603718.38999999</v>
          </cell>
        </row>
        <row r="83">
          <cell r="H83">
            <v>99231944.370000005</v>
          </cell>
        </row>
        <row r="95">
          <cell r="I95">
            <v>28469314175.869999</v>
          </cell>
        </row>
      </sheetData>
      <sheetData sheetId="8">
        <row r="20">
          <cell r="I20">
            <v>68155806.339999989</v>
          </cell>
        </row>
      </sheetData>
      <sheetData sheetId="9"/>
      <sheetData sheetId="10">
        <row r="60">
          <cell r="I60">
            <v>378328572.74000001</v>
          </cell>
        </row>
      </sheetData>
      <sheetData sheetId="11"/>
      <sheetData sheetId="12"/>
      <sheetData sheetId="13">
        <row r="17">
          <cell r="I17">
            <v>517979.78</v>
          </cell>
        </row>
        <row r="18">
          <cell r="I18">
            <v>-1971551.9399999953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Normal="100" workbookViewId="0">
      <selection activeCell="F25" sqref="F25"/>
    </sheetView>
  </sheetViews>
  <sheetFormatPr defaultRowHeight="15" x14ac:dyDescent="0.25"/>
  <cols>
    <col min="1" max="1" width="34.28515625" customWidth="1"/>
    <col min="2" max="2" width="16.28515625" style="1" customWidth="1"/>
    <col min="3" max="4" width="19.140625" bestFit="1" customWidth="1"/>
    <col min="5" max="5" width="3.7109375" customWidth="1"/>
    <col min="6" max="6" width="17.140625" bestFit="1" customWidth="1"/>
    <col min="7" max="8" width="18.140625" bestFit="1" customWidth="1"/>
    <col min="9" max="9" width="3.7109375" customWidth="1"/>
    <col min="10" max="10" width="17.7109375" bestFit="1" customWidth="1"/>
    <col min="12" max="12" width="15.5703125" bestFit="1" customWidth="1"/>
  </cols>
  <sheetData>
    <row r="1" spans="1:12" x14ac:dyDescent="0.25">
      <c r="A1" s="81" t="s">
        <v>62</v>
      </c>
      <c r="B1" s="81"/>
      <c r="C1" s="81"/>
      <c r="D1" s="81"/>
      <c r="E1" s="81"/>
      <c r="F1" s="81"/>
      <c r="G1" s="81"/>
      <c r="H1" s="81"/>
      <c r="I1" s="81"/>
      <c r="J1" s="81"/>
    </row>
    <row r="2" spans="1:12" x14ac:dyDescent="0.25">
      <c r="A2" s="81" t="s">
        <v>55</v>
      </c>
      <c r="B2" s="81"/>
      <c r="C2" s="81"/>
      <c r="D2" s="81"/>
      <c r="E2" s="81"/>
      <c r="F2" s="81"/>
      <c r="G2" s="81"/>
      <c r="H2" s="81"/>
      <c r="I2" s="81"/>
      <c r="J2" s="81"/>
    </row>
    <row r="3" spans="1:12" x14ac:dyDescent="0.25">
      <c r="A3" s="81" t="s">
        <v>58</v>
      </c>
      <c r="B3" s="81"/>
      <c r="C3" s="81"/>
      <c r="D3" s="81"/>
      <c r="E3" s="81"/>
      <c r="F3" s="81"/>
      <c r="G3" s="81"/>
      <c r="H3" s="81"/>
      <c r="I3" s="81"/>
      <c r="J3" s="81"/>
    </row>
    <row r="4" spans="1:12" x14ac:dyDescent="0.25">
      <c r="A4" s="81" t="s">
        <v>63</v>
      </c>
      <c r="B4" s="81"/>
      <c r="C4" s="81"/>
      <c r="D4" s="81"/>
      <c r="E4" s="81"/>
      <c r="F4" s="81"/>
      <c r="G4" s="81"/>
      <c r="H4" s="81"/>
      <c r="I4" s="81"/>
      <c r="J4" s="81"/>
    </row>
    <row r="5" spans="1:12" x14ac:dyDescent="0.25">
      <c r="A5" s="81" t="s">
        <v>53</v>
      </c>
      <c r="B5" s="81"/>
      <c r="C5" s="81"/>
      <c r="D5" s="81"/>
      <c r="E5" s="81"/>
      <c r="F5" s="81"/>
      <c r="G5" s="81"/>
      <c r="H5" s="81"/>
      <c r="I5" s="81"/>
      <c r="J5" s="81"/>
    </row>
    <row r="8" spans="1:12" x14ac:dyDescent="0.25">
      <c r="D8" s="20"/>
    </row>
    <row r="9" spans="1:12" x14ac:dyDescent="0.25">
      <c r="C9" s="18" t="s">
        <v>68</v>
      </c>
      <c r="D9" s="18" t="s">
        <v>69</v>
      </c>
      <c r="F9" s="17" t="s">
        <v>17</v>
      </c>
      <c r="G9" s="17" t="s">
        <v>16</v>
      </c>
      <c r="H9" s="17" t="s">
        <v>15</v>
      </c>
      <c r="J9" s="17" t="s">
        <v>57</v>
      </c>
    </row>
    <row r="10" spans="1:12" x14ac:dyDescent="0.25">
      <c r="B10" s="16" t="s">
        <v>14</v>
      </c>
      <c r="C10" s="15" t="s">
        <v>67</v>
      </c>
      <c r="D10" s="15" t="s">
        <v>70</v>
      </c>
      <c r="F10" s="14" t="s">
        <v>12</v>
      </c>
      <c r="G10" s="14" t="s">
        <v>13</v>
      </c>
      <c r="H10" s="14" t="s">
        <v>12</v>
      </c>
      <c r="J10" s="47" t="s">
        <v>12</v>
      </c>
    </row>
    <row r="11" spans="1:12" x14ac:dyDescent="0.25">
      <c r="A11" t="s">
        <v>95</v>
      </c>
      <c r="B11" s="3" t="s">
        <v>94</v>
      </c>
      <c r="C11" s="69">
        <f>+'Book Plant Bals (WP1)'!E19</f>
        <v>25155277398.140007</v>
      </c>
      <c r="D11" s="70">
        <f>+D26</f>
        <v>28063720462.380001</v>
      </c>
      <c r="E11" s="69"/>
      <c r="F11" s="69">
        <f>+D11-C11</f>
        <v>2908443064.239994</v>
      </c>
      <c r="G11" s="44">
        <f ca="1">+'Book Plant Bals (WP1)'!E25</f>
        <v>0.55299204773725819</v>
      </c>
      <c r="H11" s="69">
        <f ca="1">ROUND(F11*G11,2)</f>
        <v>1608345885.8199999</v>
      </c>
      <c r="L11" s="53"/>
    </row>
    <row r="12" spans="1:12" x14ac:dyDescent="0.25">
      <c r="C12" s="61"/>
      <c r="D12" s="61"/>
      <c r="F12" s="20"/>
    </row>
    <row r="13" spans="1:12" x14ac:dyDescent="0.25">
      <c r="A13" t="s">
        <v>91</v>
      </c>
      <c r="B13" s="3" t="s">
        <v>60</v>
      </c>
      <c r="C13" s="7">
        <f ca="1">+C34</f>
        <v>13910668359.799999</v>
      </c>
      <c r="D13" s="7">
        <f ca="1">+C13+H11</f>
        <v>15519014245.619999</v>
      </c>
      <c r="F13" s="20"/>
      <c r="H13" s="75"/>
    </row>
    <row r="14" spans="1:12" x14ac:dyDescent="0.25">
      <c r="A14" t="s">
        <v>10</v>
      </c>
      <c r="C14" s="12">
        <f ca="1">+C15/C13</f>
        <v>1.8297440165819575E-2</v>
      </c>
      <c r="D14" s="12">
        <f ca="1">+C14</f>
        <v>1.8297440165819575E-2</v>
      </c>
      <c r="F14" s="46"/>
      <c r="H14" s="2"/>
    </row>
    <row r="15" spans="1:12" x14ac:dyDescent="0.25">
      <c r="A15" t="s">
        <v>9</v>
      </c>
      <c r="B15" s="3" t="s">
        <v>60</v>
      </c>
      <c r="C15" s="7">
        <f ca="1">+C39+C43</f>
        <v>254529621.97999999</v>
      </c>
      <c r="D15" s="7">
        <f ca="1">+ROUND(D13*D14,2)</f>
        <v>283958234.58999997</v>
      </c>
    </row>
    <row r="16" spans="1:12" x14ac:dyDescent="0.25">
      <c r="A16" t="s">
        <v>8</v>
      </c>
      <c r="C16" s="2">
        <f>+C43</f>
        <v>363157</v>
      </c>
      <c r="D16" s="2">
        <f ca="1">+C45</f>
        <v>404497.65</v>
      </c>
      <c r="G16" s="75"/>
    </row>
    <row r="17" spans="1:12" x14ac:dyDescent="0.25">
      <c r="A17" t="s">
        <v>7</v>
      </c>
      <c r="C17" s="2">
        <f ca="1">+C15-C16</f>
        <v>254166464.97999999</v>
      </c>
      <c r="D17" s="51">
        <f ca="1">+D15-D16</f>
        <v>283553736.94</v>
      </c>
      <c r="G17" s="20"/>
      <c r="J17" s="71">
        <f ca="1">+D17-C17</f>
        <v>29387271.960000008</v>
      </c>
      <c r="L17" s="77"/>
    </row>
    <row r="18" spans="1:12" x14ac:dyDescent="0.25">
      <c r="A18" s="11" t="s">
        <v>92</v>
      </c>
      <c r="C18" s="48"/>
      <c r="D18" s="80"/>
      <c r="G18" s="43"/>
      <c r="L18" s="77"/>
    </row>
    <row r="19" spans="1:12" x14ac:dyDescent="0.25">
      <c r="B19" s="45"/>
      <c r="C19" s="12"/>
      <c r="D19" s="12"/>
      <c r="L19" s="77"/>
    </row>
    <row r="20" spans="1:12" x14ac:dyDescent="0.25">
      <c r="C20" s="12"/>
      <c r="D20" s="12"/>
      <c r="F20" s="20"/>
      <c r="G20" s="20"/>
      <c r="L20" s="77"/>
    </row>
    <row r="21" spans="1:12" ht="30" x14ac:dyDescent="0.25">
      <c r="A21" s="63" t="s">
        <v>81</v>
      </c>
      <c r="B21" s="3" t="s">
        <v>80</v>
      </c>
      <c r="D21" s="64">
        <f>+'[1]II-B-5'!$I$95</f>
        <v>28469314175.869999</v>
      </c>
      <c r="H21" s="66"/>
      <c r="L21" s="78"/>
    </row>
    <row r="22" spans="1:12" x14ac:dyDescent="0.25">
      <c r="A22" t="s">
        <v>82</v>
      </c>
      <c r="B22" s="3" t="s">
        <v>83</v>
      </c>
      <c r="D22" s="43">
        <f>+'[1]II-B-6'!$I$20</f>
        <v>68155806.339999989</v>
      </c>
      <c r="G22" s="21"/>
      <c r="H22" s="21"/>
      <c r="L22" s="76"/>
    </row>
    <row r="23" spans="1:12" x14ac:dyDescent="0.25">
      <c r="A23" t="s">
        <v>84</v>
      </c>
      <c r="B23" s="3" t="s">
        <v>85</v>
      </c>
      <c r="D23" s="43">
        <f>+'[1]II-B-11'!$I$17+'[1]II-B-11'!$I$18</f>
        <v>-1453572.1599999953</v>
      </c>
      <c r="G23" s="21"/>
      <c r="H23" s="21"/>
      <c r="L23" s="76"/>
    </row>
    <row r="24" spans="1:12" x14ac:dyDescent="0.25">
      <c r="A24" t="s">
        <v>27</v>
      </c>
      <c r="B24" s="3" t="s">
        <v>93</v>
      </c>
      <c r="D24" s="43">
        <f>+'[1]II-B-8'!$I$60</f>
        <v>378328572.74000001</v>
      </c>
      <c r="G24" s="21"/>
      <c r="H24" s="21"/>
      <c r="L24" s="76"/>
    </row>
    <row r="25" spans="1:12" x14ac:dyDescent="0.25">
      <c r="A25" t="s">
        <v>86</v>
      </c>
      <c r="B25" s="3" t="s">
        <v>87</v>
      </c>
      <c r="D25" s="65">
        <f>+'[1]II-B-1'!$I$26+'[1]II-B-1'!$I$44+'[1]II-B-3'!$I$17-'[1]II-B-5'!$H$28-'[1]II-B-5'!$H$47-'[1]II-B-5'!$H$83</f>
        <v>850624520.41000009</v>
      </c>
      <c r="L25" s="76"/>
    </row>
    <row r="26" spans="1:12" x14ac:dyDescent="0.25">
      <c r="D26" s="69">
        <f>+D21+D22+D23+D24-D25</f>
        <v>28063720462.380001</v>
      </c>
      <c r="L26" s="79"/>
    </row>
    <row r="27" spans="1:12" x14ac:dyDescent="0.25">
      <c r="D27" s="2"/>
      <c r="L27" s="77"/>
    </row>
    <row r="28" spans="1:12" x14ac:dyDescent="0.25">
      <c r="L28" s="77"/>
    </row>
    <row r="29" spans="1:12" x14ac:dyDescent="0.25">
      <c r="A29" s="6" t="s">
        <v>88</v>
      </c>
      <c r="B29" s="10"/>
      <c r="C29" s="9"/>
    </row>
    <row r="30" spans="1:12" x14ac:dyDescent="0.25">
      <c r="A30" t="s">
        <v>6</v>
      </c>
      <c r="C30" s="8">
        <f>+'Book Plant Bals (WP1)'!E27</f>
        <v>13932932940</v>
      </c>
    </row>
    <row r="31" spans="1:12" x14ac:dyDescent="0.25">
      <c r="A31" t="s">
        <v>5</v>
      </c>
      <c r="B31" s="3" t="s">
        <v>4</v>
      </c>
      <c r="C31" s="2">
        <f>+'Book Plant Bals (WP1)'!E23</f>
        <v>18675707.780000001</v>
      </c>
    </row>
    <row r="32" spans="1:12" x14ac:dyDescent="0.25">
      <c r="A32" t="s">
        <v>71</v>
      </c>
      <c r="B32" s="3"/>
      <c r="C32" s="2">
        <v>21586318.219999999</v>
      </c>
    </row>
    <row r="33" spans="1:3" x14ac:dyDescent="0.25">
      <c r="A33" t="s">
        <v>3</v>
      </c>
      <c r="C33" s="7">
        <f ca="1">+ROUND((C31+C32)*'Book Plant Bals (WP1)'!E25,2)</f>
        <v>22264580.199999999</v>
      </c>
    </row>
    <row r="34" spans="1:3" x14ac:dyDescent="0.25">
      <c r="A34" t="s">
        <v>72</v>
      </c>
      <c r="C34" s="2">
        <f ca="1">+C30-C33</f>
        <v>13910668359.799999</v>
      </c>
    </row>
    <row r="35" spans="1:3" x14ac:dyDescent="0.25">
      <c r="A35" t="s">
        <v>73</v>
      </c>
      <c r="C35" s="46">
        <f ca="1">+C33/C30</f>
        <v>1.5979822981908359E-3</v>
      </c>
    </row>
    <row r="37" spans="1:3" x14ac:dyDescent="0.25">
      <c r="A37" t="s">
        <v>2</v>
      </c>
      <c r="C37" s="8">
        <f>+'Book Plant Bals (WP1)'!E35-'Book Plant Bals (WP1)'!E36</f>
        <v>254573268.56</v>
      </c>
    </row>
    <row r="38" spans="1:3" x14ac:dyDescent="0.25">
      <c r="A38" t="s">
        <v>74</v>
      </c>
      <c r="C38" s="7">
        <f ca="1">+ROUND(C35*C37,2)</f>
        <v>406803.58</v>
      </c>
    </row>
    <row r="39" spans="1:3" x14ac:dyDescent="0.25">
      <c r="A39" t="s">
        <v>75</v>
      </c>
      <c r="C39" s="7">
        <f ca="1">+C37-C38</f>
        <v>254166464.97999999</v>
      </c>
    </row>
    <row r="42" spans="1:3" x14ac:dyDescent="0.25">
      <c r="A42" s="6" t="s">
        <v>1</v>
      </c>
      <c r="B42" s="5"/>
      <c r="C42" s="4"/>
    </row>
    <row r="43" spans="1:3" x14ac:dyDescent="0.25">
      <c r="A43" t="s">
        <v>64</v>
      </c>
      <c r="B43" s="3" t="s">
        <v>60</v>
      </c>
      <c r="C43" s="59">
        <v>363157</v>
      </c>
    </row>
    <row r="44" spans="1:3" x14ac:dyDescent="0.25">
      <c r="A44" t="s">
        <v>0</v>
      </c>
      <c r="C44" s="46">
        <f>+C43/C30</f>
        <v>2.6064648524749161E-5</v>
      </c>
    </row>
    <row r="45" spans="1:3" x14ac:dyDescent="0.25">
      <c r="A45" t="s">
        <v>65</v>
      </c>
      <c r="C45" s="2">
        <f ca="1">ROUND(C44*D13,2)</f>
        <v>404497.65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5" right="0.7" top="1.5" bottom="0.75" header="1.25" footer="0.3"/>
  <pageSetup scale="65" orientation="landscape"/>
  <headerFooter>
    <oddHeader>&amp;R&amp;"-,Bold"WP/II-E-2.1/1
Page 1 of 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53"/>
  <sheetViews>
    <sheetView zoomScaleNormal="100" workbookViewId="0">
      <selection activeCell="B30" sqref="B30"/>
    </sheetView>
  </sheetViews>
  <sheetFormatPr defaultRowHeight="15" x14ac:dyDescent="0.25"/>
  <cols>
    <col min="1" max="1" width="41.140625" bestFit="1" customWidth="1"/>
    <col min="2" max="2" width="20.140625" customWidth="1"/>
    <col min="3" max="6" width="18" bestFit="1" customWidth="1"/>
    <col min="7" max="7" width="12" bestFit="1" customWidth="1"/>
    <col min="9" max="9" width="11" customWidth="1"/>
  </cols>
  <sheetData>
    <row r="1" spans="1:8" x14ac:dyDescent="0.25">
      <c r="A1" s="81" t="s">
        <v>62</v>
      </c>
      <c r="B1" s="81"/>
      <c r="C1" s="81"/>
      <c r="D1" s="81"/>
      <c r="E1" s="81"/>
      <c r="F1" s="38"/>
      <c r="G1" s="38"/>
      <c r="H1" s="38"/>
    </row>
    <row r="2" spans="1:8" x14ac:dyDescent="0.25">
      <c r="A2" s="81" t="s">
        <v>55</v>
      </c>
      <c r="B2" s="81"/>
      <c r="C2" s="81"/>
      <c r="D2" s="81"/>
      <c r="E2" s="81"/>
      <c r="F2" s="38"/>
      <c r="G2" s="38"/>
      <c r="H2" s="38"/>
    </row>
    <row r="3" spans="1:8" x14ac:dyDescent="0.25">
      <c r="A3" s="81" t="s">
        <v>56</v>
      </c>
      <c r="B3" s="81"/>
      <c r="C3" s="81"/>
      <c r="D3" s="81"/>
      <c r="E3" s="81"/>
      <c r="F3" s="38"/>
      <c r="G3" s="38"/>
      <c r="H3" s="38"/>
    </row>
    <row r="4" spans="1:8" x14ac:dyDescent="0.25">
      <c r="A4" s="81" t="s">
        <v>63</v>
      </c>
      <c r="B4" s="81"/>
      <c r="C4" s="81"/>
      <c r="D4" s="81"/>
      <c r="E4" s="81"/>
      <c r="F4" s="38"/>
      <c r="G4" s="38"/>
      <c r="H4" s="38"/>
    </row>
    <row r="5" spans="1:8" x14ac:dyDescent="0.25">
      <c r="A5" s="81" t="s">
        <v>53</v>
      </c>
      <c r="B5" s="81"/>
      <c r="C5" s="81"/>
      <c r="D5" s="81"/>
      <c r="E5" s="81"/>
      <c r="F5" s="38"/>
      <c r="G5" s="38"/>
      <c r="H5" s="38"/>
    </row>
    <row r="6" spans="1:8" x14ac:dyDescent="0.25">
      <c r="A6" s="19"/>
      <c r="B6" s="19"/>
    </row>
    <row r="7" spans="1:8" x14ac:dyDescent="0.25">
      <c r="A7" s="19"/>
      <c r="B7" s="19"/>
    </row>
    <row r="9" spans="1:8" x14ac:dyDescent="0.25">
      <c r="C9" s="49"/>
      <c r="D9" s="62"/>
      <c r="E9" s="62"/>
      <c r="F9" s="40"/>
    </row>
    <row r="10" spans="1:8" x14ac:dyDescent="0.25">
      <c r="A10" s="19" t="s">
        <v>32</v>
      </c>
      <c r="B10" s="27" t="s">
        <v>89</v>
      </c>
      <c r="C10" s="27" t="s">
        <v>61</v>
      </c>
      <c r="D10" s="27" t="s">
        <v>66</v>
      </c>
      <c r="E10" s="50" t="s">
        <v>67</v>
      </c>
      <c r="F10" s="41"/>
    </row>
    <row r="11" spans="1:8" x14ac:dyDescent="0.25">
      <c r="A11" t="s">
        <v>31</v>
      </c>
      <c r="B11" s="2">
        <v>28006359969.690002</v>
      </c>
      <c r="C11" s="8">
        <v>30079014395.019993</v>
      </c>
      <c r="D11" s="51">
        <v>32226783018.009998</v>
      </c>
      <c r="E11" s="51">
        <v>34871792265.090004</v>
      </c>
      <c r="F11" s="39"/>
    </row>
    <row r="12" spans="1:8" x14ac:dyDescent="0.25">
      <c r="A12" t="s">
        <v>30</v>
      </c>
      <c r="B12" s="72">
        <v>9118323522.2199993</v>
      </c>
      <c r="C12" s="55">
        <v>9561525616.2900009</v>
      </c>
      <c r="D12" s="52">
        <v>10051835778.850002</v>
      </c>
      <c r="E12" s="52">
        <v>10414018296.49</v>
      </c>
      <c r="F12" s="39"/>
    </row>
    <row r="13" spans="1:8" x14ac:dyDescent="0.25">
      <c r="A13" t="s">
        <v>29</v>
      </c>
      <c r="B13" s="2">
        <f>+B11-B12</f>
        <v>18888036447.470001</v>
      </c>
      <c r="C13" s="51">
        <f>+C11-C12</f>
        <v>20517488778.729992</v>
      </c>
      <c r="D13" s="51">
        <f>+D11-D12</f>
        <v>22174947239.159996</v>
      </c>
      <c r="E13" s="51">
        <f>+E11-E12</f>
        <v>24457773968.600006</v>
      </c>
      <c r="F13" s="39"/>
    </row>
    <row r="14" spans="1:8" x14ac:dyDescent="0.25">
      <c r="B14" s="2"/>
      <c r="C14" s="51"/>
      <c r="D14" s="51"/>
      <c r="E14" s="51"/>
      <c r="F14" s="42"/>
      <c r="G14" s="2"/>
    </row>
    <row r="15" spans="1:8" x14ac:dyDescent="0.25">
      <c r="A15" t="s">
        <v>28</v>
      </c>
      <c r="B15" s="8">
        <v>199734843</v>
      </c>
      <c r="C15" s="59">
        <v>242323424</v>
      </c>
      <c r="D15" s="8">
        <v>363433325</v>
      </c>
      <c r="E15" s="8">
        <v>356305067</v>
      </c>
      <c r="F15" s="39"/>
    </row>
    <row r="16" spans="1:8" x14ac:dyDescent="0.25">
      <c r="A16" t="s">
        <v>27</v>
      </c>
      <c r="B16" s="2">
        <v>144211766.66999999</v>
      </c>
      <c r="C16" s="8">
        <v>171490305.66</v>
      </c>
      <c r="D16" s="51">
        <v>203625960.63000003</v>
      </c>
      <c r="E16" s="51">
        <v>341198362.54000002</v>
      </c>
      <c r="F16" s="39"/>
    </row>
    <row r="17" spans="1:9" x14ac:dyDescent="0.25">
      <c r="C17" s="53"/>
      <c r="D17" s="53"/>
      <c r="E17" s="53"/>
      <c r="F17" s="42"/>
    </row>
    <row r="18" spans="1:9" x14ac:dyDescent="0.25">
      <c r="A18" s="25" t="s">
        <v>26</v>
      </c>
      <c r="B18" s="2">
        <f>+B11+B15+B16</f>
        <v>28350306579.360001</v>
      </c>
      <c r="C18" s="54">
        <f>+C11+C15+C16</f>
        <v>30492828124.679993</v>
      </c>
      <c r="D18" s="54">
        <f>+D11+D15+D16</f>
        <v>32793842303.639999</v>
      </c>
      <c r="E18" s="54">
        <f>+E11+E15+E16</f>
        <v>35569295694.630005</v>
      </c>
      <c r="F18" s="26"/>
    </row>
    <row r="19" spans="1:9" x14ac:dyDescent="0.25">
      <c r="A19" s="28" t="s">
        <v>25</v>
      </c>
      <c r="B19" s="73">
        <f>+B18-B12</f>
        <v>19231983057.139999</v>
      </c>
      <c r="C19" s="29">
        <f>+C18-C12</f>
        <v>20931302508.389992</v>
      </c>
      <c r="D19" s="29">
        <f>+D18-D12</f>
        <v>22742006524.789997</v>
      </c>
      <c r="E19" s="29">
        <f>+E18-E12</f>
        <v>25155277398.140007</v>
      </c>
      <c r="F19" s="26"/>
    </row>
    <row r="20" spans="1:9" x14ac:dyDescent="0.25">
      <c r="C20" s="53"/>
      <c r="D20" s="53"/>
      <c r="E20" s="53"/>
    </row>
    <row r="21" spans="1:9" x14ac:dyDescent="0.25">
      <c r="C21" s="53"/>
      <c r="D21" s="53"/>
      <c r="E21" s="53"/>
    </row>
    <row r="22" spans="1:9" x14ac:dyDescent="0.25">
      <c r="A22" t="s">
        <v>90</v>
      </c>
      <c r="B22" s="43">
        <v>24430546.739999998</v>
      </c>
      <c r="C22" s="8">
        <f>23452667.34</f>
        <v>23452667.34</v>
      </c>
      <c r="D22" s="8">
        <f>22474787.94</f>
        <v>22474787.940000001</v>
      </c>
      <c r="E22" s="8">
        <f>21586318.22</f>
        <v>21586318.219999999</v>
      </c>
    </row>
    <row r="23" spans="1:9" x14ac:dyDescent="0.25">
      <c r="A23" t="s">
        <v>24</v>
      </c>
      <c r="B23" s="8">
        <v>16610526.51</v>
      </c>
      <c r="C23" s="8">
        <v>20285171.460000001</v>
      </c>
      <c r="D23" s="8">
        <v>11912224.66</v>
      </c>
      <c r="E23" s="8">
        <v>18675707.780000001</v>
      </c>
      <c r="F23" s="7"/>
    </row>
    <row r="24" spans="1:9" x14ac:dyDescent="0.25">
      <c r="C24" s="53"/>
      <c r="D24" s="53"/>
      <c r="E24" s="53"/>
    </row>
    <row r="25" spans="1:9" x14ac:dyDescent="0.25">
      <c r="A25" t="s">
        <v>23</v>
      </c>
      <c r="B25" s="13">
        <f ca="1">+B30/B19</f>
        <v>0.62655069833898691</v>
      </c>
      <c r="C25" s="13">
        <f t="shared" ref="C25:E25" ca="1" si="0">+C30/C19</f>
        <v>0.60298496973782434</v>
      </c>
      <c r="D25" s="13">
        <f t="shared" ca="1" si="0"/>
        <v>0.59162296694949612</v>
      </c>
      <c r="E25" s="13">
        <f t="shared" ca="1" si="0"/>
        <v>0.55299204773725819</v>
      </c>
      <c r="F25" s="13"/>
      <c r="G25" s="67"/>
      <c r="H25" s="68"/>
      <c r="I25" s="68"/>
    </row>
    <row r="26" spans="1:9" x14ac:dyDescent="0.25">
      <c r="C26" s="53"/>
      <c r="D26" s="62"/>
      <c r="E26" s="62"/>
      <c r="G26" s="12"/>
    </row>
    <row r="27" spans="1:9" x14ac:dyDescent="0.25">
      <c r="A27" t="s">
        <v>11</v>
      </c>
      <c r="B27" s="8">
        <v>12075526728</v>
      </c>
      <c r="C27" s="8">
        <v>12647634069</v>
      </c>
      <c r="D27" s="8">
        <v>13475037521</v>
      </c>
      <c r="E27" s="8">
        <v>13932932940</v>
      </c>
      <c r="G27" s="67"/>
    </row>
    <row r="28" spans="1:9" x14ac:dyDescent="0.25">
      <c r="A28" t="s">
        <v>77</v>
      </c>
      <c r="B28" s="8">
        <f ca="1">+B22*B25</f>
        <v>15306976.12075026</v>
      </c>
      <c r="C28" s="8">
        <f ca="1">+C22*C25</f>
        <v>14141605.906281162</v>
      </c>
      <c r="D28" s="8">
        <f t="shared" ref="D28:E28" ca="1" si="1">+D22*D25</f>
        <v>13296600.722623555</v>
      </c>
      <c r="E28" s="8">
        <f t="shared" ca="1" si="1"/>
        <v>11937062.315585885</v>
      </c>
    </row>
    <row r="29" spans="1:9" x14ac:dyDescent="0.25">
      <c r="A29" t="s">
        <v>78</v>
      </c>
      <c r="B29" s="55">
        <f ca="1">+B23*B25</f>
        <v>10407336.984618755</v>
      </c>
      <c r="C29" s="55">
        <f ca="1">+C23*C25</f>
        <v>12231653.498934679</v>
      </c>
      <c r="D29" s="55">
        <f ca="1">+D23*D25</f>
        <v>7047545.6963181524</v>
      </c>
      <c r="E29" s="55">
        <f ca="1">+E23*E25</f>
        <v>10327517.888204845</v>
      </c>
    </row>
    <row r="30" spans="1:9" s="25" customFormat="1" x14ac:dyDescent="0.25">
      <c r="A30" s="28" t="s">
        <v>76</v>
      </c>
      <c r="B30" s="29">
        <f ca="1">+B27-B28-B29</f>
        <v>12049812414.89463</v>
      </c>
      <c r="C30" s="29">
        <f ca="1">+C27-C28-C29</f>
        <v>12621260809.594786</v>
      </c>
      <c r="D30" s="29">
        <f ca="1">+D27-D28-D29</f>
        <v>13454693374.581059</v>
      </c>
      <c r="E30" s="29">
        <f ca="1">+E27-E28-E29</f>
        <v>13910668359.796209</v>
      </c>
    </row>
    <row r="31" spans="1:9" x14ac:dyDescent="0.25">
      <c r="A31" s="25" t="s">
        <v>22</v>
      </c>
      <c r="B31" s="8">
        <v>85223140</v>
      </c>
      <c r="C31" s="8">
        <v>99937425</v>
      </c>
      <c r="D31" s="8">
        <v>115020101</v>
      </c>
      <c r="E31" s="8">
        <v>109718055</v>
      </c>
      <c r="G31" s="67"/>
    </row>
    <row r="32" spans="1:9" x14ac:dyDescent="0.25">
      <c r="A32" s="25" t="s">
        <v>21</v>
      </c>
      <c r="B32" s="74">
        <f ca="1">+B30+B31</f>
        <v>12135035554.89463</v>
      </c>
      <c r="C32" s="56">
        <f ca="1">+C30+C31</f>
        <v>12721198234.594786</v>
      </c>
      <c r="D32" s="56">
        <f ca="1">+D30+D31</f>
        <v>13569713475.581059</v>
      </c>
      <c r="E32" s="56">
        <f ca="1">+E30+E31</f>
        <v>14020386414.796209</v>
      </c>
    </row>
    <row r="33" spans="1:7" x14ac:dyDescent="0.25">
      <c r="E33" s="53"/>
    </row>
    <row r="34" spans="1:7" x14ac:dyDescent="0.25">
      <c r="E34" s="53"/>
    </row>
    <row r="35" spans="1:7" x14ac:dyDescent="0.25">
      <c r="A35" t="s">
        <v>20</v>
      </c>
      <c r="B35" s="8">
        <v>261783170.5</v>
      </c>
      <c r="C35" s="7">
        <v>257880809.44</v>
      </c>
      <c r="D35" s="8">
        <v>241036117.01999998</v>
      </c>
      <c r="E35" s="8">
        <f>254333384.25</f>
        <v>254333384.25</v>
      </c>
      <c r="F35" s="2"/>
    </row>
    <row r="36" spans="1:7" x14ac:dyDescent="0.25">
      <c r="A36" t="s">
        <v>19</v>
      </c>
      <c r="B36" s="23">
        <v>5972.9499999999971</v>
      </c>
      <c r="C36" s="24">
        <v>-36086.780000001192</v>
      </c>
      <c r="D36" s="23">
        <v>-3324919.2700000107</v>
      </c>
      <c r="E36" s="23">
        <v>-239884.31000000238</v>
      </c>
    </row>
    <row r="37" spans="1:7" x14ac:dyDescent="0.25">
      <c r="A37" t="s">
        <v>79</v>
      </c>
      <c r="B37" s="23">
        <f t="shared" ref="B37:D37" ca="1" si="2">ROUND(+(B28/B27)*(B35-B36),2)</f>
        <v>331829.61</v>
      </c>
      <c r="C37" s="23">
        <f t="shared" ca="1" si="2"/>
        <v>288382.71999999997</v>
      </c>
      <c r="D37" s="23">
        <f t="shared" ca="1" si="2"/>
        <v>241125.2</v>
      </c>
      <c r="E37" s="23">
        <f ca="1">ROUND(+(E28/E27)*(E35-E36),2)</f>
        <v>218106.05</v>
      </c>
      <c r="F37" s="12"/>
      <c r="G37" s="2"/>
    </row>
    <row r="38" spans="1:7" x14ac:dyDescent="0.25">
      <c r="A38" t="s">
        <v>18</v>
      </c>
      <c r="B38" s="55">
        <f ca="1">ROUND(+(B29/B27)*(B35-B36-B37),2)</f>
        <v>225327.65</v>
      </c>
      <c r="C38" s="55">
        <f ca="1">ROUND(+(C29/C27)*(C35-C36),2)</f>
        <v>249434.01</v>
      </c>
      <c r="D38" s="55">
        <f t="shared" ref="D38:E38" ca="1" si="3">ROUND(+(D29/D27)*(D35-D36),2)</f>
        <v>127802.65</v>
      </c>
      <c r="E38" s="55">
        <f t="shared" ca="1" si="3"/>
        <v>188697.53</v>
      </c>
      <c r="F38" s="12"/>
      <c r="G38" s="2"/>
    </row>
    <row r="39" spans="1:7" x14ac:dyDescent="0.25">
      <c r="A39" s="28" t="s">
        <v>59</v>
      </c>
      <c r="B39" s="30">
        <f t="shared" ref="B39" ca="1" si="4">+B35-B36-B37-B38</f>
        <v>261220040.28999999</v>
      </c>
      <c r="C39" s="30">
        <f ca="1">+C35-C36-C37-C38</f>
        <v>257379079.49000001</v>
      </c>
      <c r="D39" s="30">
        <f t="shared" ref="D39:E39" ca="1" si="5">+D35-D36-D37-D38</f>
        <v>243992108.44</v>
      </c>
      <c r="E39" s="30">
        <f t="shared" ca="1" si="5"/>
        <v>254166464.97999999</v>
      </c>
    </row>
    <row r="40" spans="1:7" x14ac:dyDescent="0.25">
      <c r="B40" s="57"/>
      <c r="C40" s="21"/>
      <c r="D40" s="21"/>
      <c r="E40" s="57"/>
    </row>
    <row r="41" spans="1:7" x14ac:dyDescent="0.25">
      <c r="A41" s="19" t="s">
        <v>10</v>
      </c>
      <c r="B41" s="58">
        <f t="shared" ref="B41" ca="1" si="6">+B39/B30</f>
        <v>2.1678349114141311E-2</v>
      </c>
      <c r="C41" s="22">
        <f ca="1">+C39/C30</f>
        <v>2.039250146026127E-2</v>
      </c>
      <c r="D41" s="22">
        <f ca="1">+D39/D30</f>
        <v>1.8134349230206612E-2</v>
      </c>
      <c r="E41" s="58">
        <f ca="1">+E39/E30</f>
        <v>1.8271333799789007E-2</v>
      </c>
    </row>
    <row r="42" spans="1:7" x14ac:dyDescent="0.25">
      <c r="C42" s="12"/>
      <c r="D42" s="12"/>
      <c r="E42" s="12"/>
    </row>
    <row r="43" spans="1:7" x14ac:dyDescent="0.25">
      <c r="B43" s="19"/>
      <c r="C43" s="60"/>
      <c r="D43" s="12"/>
      <c r="E43" s="12"/>
    </row>
    <row r="44" spans="1:7" x14ac:dyDescent="0.25">
      <c r="A44" s="25"/>
      <c r="C44" s="43"/>
      <c r="D44" s="43"/>
      <c r="E44" s="43"/>
    </row>
    <row r="45" spans="1:7" x14ac:dyDescent="0.25">
      <c r="C45" s="43"/>
      <c r="D45" s="43"/>
      <c r="E45" s="43"/>
    </row>
    <row r="46" spans="1:7" x14ac:dyDescent="0.25">
      <c r="B46" s="25"/>
      <c r="C46" s="12"/>
      <c r="D46" s="12"/>
      <c r="E46" s="12"/>
    </row>
    <row r="47" spans="1:7" x14ac:dyDescent="0.25">
      <c r="C47" s="12"/>
      <c r="D47" s="12"/>
      <c r="E47" s="12"/>
      <c r="F47" s="20"/>
    </row>
    <row r="48" spans="1:7" x14ac:dyDescent="0.25">
      <c r="D48" s="43"/>
      <c r="E48" s="43"/>
      <c r="F48" s="12"/>
    </row>
    <row r="49" spans="3:5" x14ac:dyDescent="0.25">
      <c r="C49" s="12"/>
      <c r="D49" s="12"/>
      <c r="E49" s="12"/>
    </row>
    <row r="50" spans="3:5" x14ac:dyDescent="0.25">
      <c r="C50" s="12"/>
      <c r="D50" s="12"/>
      <c r="E50" s="12"/>
    </row>
    <row r="53" spans="3:5" x14ac:dyDescent="0.25">
      <c r="D53" s="20"/>
      <c r="E53" s="20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5" right="0.7" top="1.5" bottom="0.75" header="1.25" footer="0.3"/>
  <pageSetup scale="73" orientation="landscape"/>
  <headerFooter>
    <oddHeader>&amp;R&amp;"-,Bold"WP/II-E-2.1/1
Page 2 of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G26"/>
  <sheetViews>
    <sheetView workbookViewId="0">
      <selection activeCell="G29" sqref="G29"/>
    </sheetView>
  </sheetViews>
  <sheetFormatPr defaultColWidth="9.140625" defaultRowHeight="12.75" x14ac:dyDescent="0.2"/>
  <cols>
    <col min="1" max="1" width="9.140625" style="31"/>
    <col min="2" max="2" width="16.42578125" style="31" customWidth="1"/>
    <col min="3" max="4" width="15.5703125" style="31" customWidth="1"/>
    <col min="5" max="16384" width="9.140625" style="31"/>
  </cols>
  <sheetData>
    <row r="1" spans="1:7" x14ac:dyDescent="0.2">
      <c r="A1" s="81" t="s">
        <v>62</v>
      </c>
      <c r="B1" s="81"/>
      <c r="C1" s="81"/>
      <c r="D1" s="81"/>
      <c r="E1" s="38"/>
      <c r="F1" s="38"/>
      <c r="G1" s="38"/>
    </row>
    <row r="2" spans="1:7" x14ac:dyDescent="0.2">
      <c r="A2" s="81" t="s">
        <v>55</v>
      </c>
      <c r="B2" s="81"/>
      <c r="C2" s="81"/>
      <c r="D2" s="81"/>
      <c r="E2" s="38"/>
      <c r="F2" s="38"/>
      <c r="G2" s="38"/>
    </row>
    <row r="3" spans="1:7" x14ac:dyDescent="0.2">
      <c r="A3" s="81" t="s">
        <v>54</v>
      </c>
      <c r="B3" s="81"/>
      <c r="C3" s="81"/>
      <c r="D3" s="81"/>
      <c r="E3" s="38"/>
      <c r="F3" s="38"/>
      <c r="G3" s="38"/>
    </row>
    <row r="4" spans="1:7" x14ac:dyDescent="0.2">
      <c r="A4" s="81" t="s">
        <v>63</v>
      </c>
      <c r="B4" s="81"/>
      <c r="C4" s="81"/>
      <c r="D4" s="81"/>
      <c r="E4" s="38"/>
      <c r="F4" s="38"/>
      <c r="G4" s="38"/>
    </row>
    <row r="5" spans="1:7" x14ac:dyDescent="0.2">
      <c r="A5" s="81" t="s">
        <v>53</v>
      </c>
      <c r="B5" s="81"/>
      <c r="C5" s="81"/>
      <c r="D5" s="81"/>
      <c r="E5" s="38"/>
      <c r="F5" s="38"/>
      <c r="G5" s="38"/>
    </row>
    <row r="10" spans="1:7" x14ac:dyDescent="0.2">
      <c r="A10" s="37" t="s">
        <v>52</v>
      </c>
      <c r="B10" s="37" t="s">
        <v>51</v>
      </c>
      <c r="C10" s="37" t="s">
        <v>50</v>
      </c>
      <c r="D10" s="37" t="s">
        <v>49</v>
      </c>
    </row>
    <row r="11" spans="1:7" x14ac:dyDescent="0.2">
      <c r="A11" s="36"/>
      <c r="B11" s="35" t="s">
        <v>48</v>
      </c>
      <c r="C11" s="35" t="s">
        <v>47</v>
      </c>
      <c r="D11" s="35" t="s">
        <v>46</v>
      </c>
    </row>
    <row r="12" spans="1:7" x14ac:dyDescent="0.2">
      <c r="A12" s="36"/>
      <c r="B12" s="35"/>
      <c r="C12" s="35"/>
      <c r="D12" s="35"/>
    </row>
    <row r="13" spans="1:7" x14ac:dyDescent="0.2">
      <c r="A13" s="33">
        <v>1</v>
      </c>
      <c r="B13" s="31" t="s">
        <v>45</v>
      </c>
      <c r="C13" s="34">
        <v>22514218.960000001</v>
      </c>
      <c r="D13" s="33">
        <v>408</v>
      </c>
    </row>
    <row r="14" spans="1:7" x14ac:dyDescent="0.2">
      <c r="A14" s="33">
        <f t="shared" ref="A14:A26" si="0">+A13+1</f>
        <v>2</v>
      </c>
      <c r="B14" s="31" t="s">
        <v>44</v>
      </c>
      <c r="C14" s="34">
        <v>22439110.43</v>
      </c>
      <c r="D14" s="33">
        <v>408</v>
      </c>
    </row>
    <row r="15" spans="1:7" x14ac:dyDescent="0.2">
      <c r="A15" s="33">
        <f t="shared" si="0"/>
        <v>3</v>
      </c>
      <c r="B15" s="31" t="s">
        <v>43</v>
      </c>
      <c r="C15" s="34">
        <v>22538584.739999998</v>
      </c>
      <c r="D15" s="33">
        <v>408</v>
      </c>
    </row>
    <row r="16" spans="1:7" x14ac:dyDescent="0.2">
      <c r="A16" s="33">
        <f t="shared" si="0"/>
        <v>4</v>
      </c>
      <c r="B16" s="31" t="s">
        <v>42</v>
      </c>
      <c r="C16" s="34">
        <v>22564078.879999999</v>
      </c>
      <c r="D16" s="33">
        <v>408</v>
      </c>
    </row>
    <row r="17" spans="1:4" x14ac:dyDescent="0.2">
      <c r="A17" s="33">
        <f t="shared" si="0"/>
        <v>5</v>
      </c>
      <c r="B17" s="31" t="s">
        <v>41</v>
      </c>
      <c r="C17" s="34">
        <v>22526652.229999997</v>
      </c>
      <c r="D17" s="33">
        <v>408</v>
      </c>
    </row>
    <row r="18" spans="1:4" x14ac:dyDescent="0.2">
      <c r="A18" s="33">
        <f t="shared" si="0"/>
        <v>6</v>
      </c>
      <c r="B18" s="31" t="s">
        <v>40</v>
      </c>
      <c r="C18" s="34">
        <v>21135507.460000001</v>
      </c>
      <c r="D18" s="33">
        <v>408</v>
      </c>
    </row>
    <row r="19" spans="1:4" x14ac:dyDescent="0.2">
      <c r="A19" s="33">
        <f t="shared" si="0"/>
        <v>7</v>
      </c>
      <c r="B19" s="31" t="s">
        <v>39</v>
      </c>
      <c r="C19" s="34">
        <v>21137159.059999999</v>
      </c>
      <c r="D19" s="33">
        <v>408</v>
      </c>
    </row>
    <row r="20" spans="1:4" x14ac:dyDescent="0.2">
      <c r="A20" s="33">
        <f t="shared" si="0"/>
        <v>8</v>
      </c>
      <c r="B20" s="31" t="s">
        <v>38</v>
      </c>
      <c r="C20" s="34">
        <v>21135507.449999999</v>
      </c>
      <c r="D20" s="33">
        <v>408</v>
      </c>
    </row>
    <row r="21" spans="1:4" x14ac:dyDescent="0.2">
      <c r="A21" s="33">
        <f t="shared" si="0"/>
        <v>9</v>
      </c>
      <c r="B21" s="31" t="s">
        <v>37</v>
      </c>
      <c r="C21" s="34">
        <v>21137578.349999998</v>
      </c>
      <c r="D21" s="33">
        <v>408</v>
      </c>
    </row>
    <row r="22" spans="1:4" x14ac:dyDescent="0.2">
      <c r="A22" s="33">
        <f t="shared" si="0"/>
        <v>10</v>
      </c>
      <c r="B22" s="31" t="s">
        <v>36</v>
      </c>
      <c r="C22" s="34">
        <v>21135658.82</v>
      </c>
      <c r="D22" s="33">
        <v>408</v>
      </c>
    </row>
    <row r="23" spans="1:4" x14ac:dyDescent="0.2">
      <c r="A23" s="33">
        <f t="shared" si="0"/>
        <v>11</v>
      </c>
      <c r="B23" s="31" t="s">
        <v>35</v>
      </c>
      <c r="C23" s="34">
        <v>21135507.449999999</v>
      </c>
      <c r="D23" s="33">
        <v>408</v>
      </c>
    </row>
    <row r="24" spans="1:4" x14ac:dyDescent="0.2">
      <c r="A24" s="33">
        <f t="shared" si="0"/>
        <v>12</v>
      </c>
      <c r="B24" s="31" t="s">
        <v>34</v>
      </c>
      <c r="C24" s="34">
        <v>14933820.420000002</v>
      </c>
      <c r="D24" s="33">
        <v>408</v>
      </c>
    </row>
    <row r="25" spans="1:4" x14ac:dyDescent="0.2">
      <c r="A25" s="33">
        <f t="shared" si="0"/>
        <v>13</v>
      </c>
    </row>
    <row r="26" spans="1:4" x14ac:dyDescent="0.2">
      <c r="A26" s="33">
        <f t="shared" si="0"/>
        <v>14</v>
      </c>
      <c r="B26" s="31" t="s">
        <v>33</v>
      </c>
      <c r="C26" s="32">
        <f>SUM(C13:C25)</f>
        <v>254333384.24999994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5" right="0.7" top="1.5" bottom="0.75" header="1.25" footer="0.3"/>
  <pageSetup orientation="landscape"/>
  <headerFooter>
    <oddHeader>&amp;R&amp;"-,Bold"WP/II-E-2.1/2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Prop Tax Estimate (WP1)</vt:lpstr>
      <vt:lpstr>Book Plant Bals (WP1)</vt:lpstr>
      <vt:lpstr>Ad Valorem Exp by Month (WP2)</vt:lpstr>
      <vt:lpstr>'Book Plant Bals (WP1)'!Print_Area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Tenorio, Stephanie</cp:lastModifiedBy>
  <cp:lastPrinted>1900-01-01T06:00:00Z</cp:lastPrinted>
  <dcterms:created xsi:type="dcterms:W3CDTF">1900-01-01T06:00:00Z</dcterms:created>
  <dcterms:modified xsi:type="dcterms:W3CDTF">2025-06-25T18:28:06Z</dcterms:modified>
</cp:coreProperties>
</file>