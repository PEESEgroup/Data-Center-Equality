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codeName="ThisWorkbook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FC882E0C-9CA4-49E6-A5AB-981C5C25E4EE}" xr6:coauthVersionLast="47" xr6:coauthVersionMax="47" xr10:uidLastSave="{00000000-0000-0000-0000-000000000000}"/>
  <x:bookViews>
    <x:workbookView xWindow="25974" yWindow="-109" windowWidth="26301" windowHeight="14169" xr2:uid="{00000000-000D-0000-FFFF-FFFF00000000}"/>
  </x:bookViews>
  <x:sheets>
    <x:sheet name="WP II-E-1_03" sheetId="1" r:id="rId1"/>
  </x:sheets>
  <x:definedNames>
    <x:definedName name="_xlnm.Print_Titles" localSheetId="0">'WP II-E-1_03'!$1:$8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F97" i="1" l="1"/>
  <x:c r="H30" i="1" l="1"/>
  <x:c r="H29" i="1"/>
  <x:c r="H28" i="1"/>
  <x:c r="H27" i="1"/>
  <x:c r="H26" i="1"/>
  <x:c r="H25" i="1"/>
  <x:c r="H73" i="1" l="1"/>
  <x:c r="H74" i="1"/>
  <x:c r="H75" i="1"/>
  <x:c r="H76" i="1"/>
  <x:c r="H77" i="1"/>
  <x:c r="H78" i="1"/>
  <x:c r="H79" i="1"/>
  <x:c r="H80" i="1"/>
  <x:c r="H81" i="1"/>
  <x:c r="H82" i="1"/>
  <x:c r="H83" i="1"/>
  <x:c r="H84" i="1"/>
  <x:c r="H85" i="1"/>
  <x:c r="H86" i="1"/>
  <x:c r="H87" i="1"/>
  <x:c r="H88" i="1"/>
  <x:c r="H89" i="1"/>
  <x:c r="H90" i="1"/>
  <x:c r="H91" i="1"/>
  <x:c r="H92" i="1"/>
  <x:c r="H93" i="1"/>
  <x:c r="H94" i="1"/>
  <x:c r="H95" i="1"/>
  <x:c r="H72" i="1"/>
  <x:c r="H96" i="1" l="1"/>
  <x:c r="H40" i="1" l="1"/>
  <x:c r="H39" i="1"/>
  <x:c r="H38" i="1"/>
  <x:c r="H37" i="1"/>
  <x:c r="H36" i="1"/>
  <x:c r="H35" i="1"/>
  <x:c r="H34" i="1"/>
  <x:c r="H33" i="1"/>
  <x:c r="H32" i="1"/>
  <x:c r="H31" i="1"/>
  <x:c r="H53" i="1"/>
  <x:c r="H54" i="1"/>
  <x:c r="H42" i="1" l="1"/>
  <x:c r="H43" i="1"/>
  <x:c r="H44" i="1"/>
  <x:c r="H45" i="1"/>
  <x:c r="H46" i="1"/>
  <x:c r="H47" i="1"/>
  <x:c r="H48" i="1"/>
  <x:c r="H49" i="1"/>
  <x:c r="H50" i="1"/>
  <x:c r="H51" i="1"/>
  <x:c r="H52" i="1"/>
  <x:c r="H41" i="1"/>
  <x:c r="H55" i="1" l="1"/>
  <x:c r="G103" i="1" s="1"/>
  <x:c r="G105" i="1" l="1"/>
  <x:c r="G104" i="1"/>
</x:calcChain>
</file>

<file path=xl/sharedStrings.xml><?xml version="1.0" encoding="utf-8"?>
<sst xmlns="http://schemas.openxmlformats.org/spreadsheetml/2006/main" count="366" uniqueCount="68">
  <si>
    <t>Amortization</t>
  </si>
  <si>
    <t>TRAN</t>
  </si>
  <si>
    <t>Line Description</t>
  </si>
  <si>
    <t>Amount</t>
  </si>
  <si>
    <t>Account</t>
  </si>
  <si>
    <t>Period</t>
  </si>
  <si>
    <t>Year</t>
  </si>
  <si>
    <t>Journal ID</t>
  </si>
  <si>
    <t>Unit</t>
  </si>
  <si>
    <t>Amortization Schedule</t>
  </si>
  <si>
    <t>Oncor Electric Delivery Company LLC</t>
  </si>
  <si>
    <t>As of December 31, 2024</t>
  </si>
  <si>
    <t>FAM0988099</t>
  </si>
  <si>
    <t>FAM0989376</t>
  </si>
  <si>
    <t>FAM0990683</t>
  </si>
  <si>
    <t>FAM0991822</t>
  </si>
  <si>
    <t>FAM0993235</t>
  </si>
  <si>
    <t>FAM0994344</t>
  </si>
  <si>
    <t>FAM0995671</t>
  </si>
  <si>
    <t>FAM0997087</t>
  </si>
  <si>
    <t>FAM0998225</t>
  </si>
  <si>
    <t>FAM0999360</t>
  </si>
  <si>
    <t>FAM1000650</t>
  </si>
  <si>
    <t>FAM1001817</t>
  </si>
  <si>
    <t>FAM1003394</t>
  </si>
  <si>
    <t>FAM1004687</t>
  </si>
  <si>
    <t>FAM1005958</t>
  </si>
  <si>
    <t>FAM1007087</t>
  </si>
  <si>
    <t>FAM1008411</t>
  </si>
  <si>
    <t>FAM1009560</t>
  </si>
  <si>
    <t>FAM1010741</t>
  </si>
  <si>
    <t>2024 Test Year amortization</t>
  </si>
  <si>
    <t>Unamortized Approved Balance at 12-31-2024</t>
  </si>
  <si>
    <t>Unamortized Approved Balance at 12-31-2021 in Docket No. 53601</t>
  </si>
  <si>
    <t>Approved amortization period in years</t>
  </si>
  <si>
    <t>Remaining approved amortization period in years</t>
  </si>
  <si>
    <t>FAM0988095</t>
  </si>
  <si>
    <t>1081730</t>
  </si>
  <si>
    <t>1081798</t>
  </si>
  <si>
    <t>FAM0989379</t>
  </si>
  <si>
    <t>FAM0990684</t>
  </si>
  <si>
    <t>FAM0991823</t>
  </si>
  <si>
    <t>FAM0993236</t>
  </si>
  <si>
    <t>FAM0994347</t>
  </si>
  <si>
    <t>FAM0995667</t>
  </si>
  <si>
    <t>FAM0997086</t>
  </si>
  <si>
    <t>FAM0998222</t>
  </si>
  <si>
    <t>FAM0999361</t>
  </si>
  <si>
    <t>FAM1000651</t>
  </si>
  <si>
    <t>FAM1001813</t>
  </si>
  <si>
    <t>FAM1003396</t>
  </si>
  <si>
    <t>FAM1004684</t>
  </si>
  <si>
    <t>FAM1005954</t>
  </si>
  <si>
    <t>FAM1007083</t>
  </si>
  <si>
    <t>FAM1008414</t>
  </si>
  <si>
    <t>FAM1009555</t>
  </si>
  <si>
    <t>FAM1010742</t>
  </si>
  <si>
    <t>DIST</t>
  </si>
  <si>
    <t>Account 403 for TRAN</t>
  </si>
  <si>
    <t>Account 403 for DIST</t>
  </si>
  <si>
    <t>0000997433</t>
  </si>
  <si>
    <t>Dkt 55525 GP Imb Adj</t>
  </si>
  <si>
    <t>Amortization and base-rate recovery was approved in Docket No. 53601 (2022 rate case).  Amortization expense is booked to account 403.</t>
  </si>
  <si>
    <t>Approved annual amortization in 2024 test year (Docket No. 53601)</t>
  </si>
  <si>
    <t>0000986996</t>
  </si>
  <si>
    <t>Amort of GP Imbalance</t>
  </si>
  <si>
    <t>Docket 53601 Approved General Plant Reserve Imbalance in 8 year Recovery</t>
  </si>
  <si>
    <t>Docket No 55525 Order approved amortizing the portion of the imbalance allocated to distribution reflected in Docket No. 53601 over 12.5 years. Reset to 8 years in Docket No. 56306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</si>
</sst>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&quot;$&quot;* #,##0_);_(&quot;$&quot;* \(#,##0\);_(&quot;$&quot;* &quot;-&quot;??_);_(@_)"/>
    <numFmt numFmtId="166" formatCode="0.0"/>
  </numFmts>
  <fonts count="4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Fill="1"/>
    <xf numFmtId="0" fontId="1" fillId="0" borderId="0" xfId="0" applyFont="1" applyFill="1"/>
    <xf numFmtId="39" fontId="1" fillId="0" borderId="0" xfId="0" applyNumberFormat="1" applyFont="1" applyFill="1"/>
    <xf numFmtId="0" fontId="2" fillId="0" borderId="0" xfId="0" applyFont="1" applyFill="1" applyAlignment="1">
      <alignment horizontal="center" wrapText="1"/>
    </xf>
    <xf numFmtId="39" fontId="2" fillId="0" borderId="0" xfId="0" applyNumberFormat="1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44" fontId="1" fillId="0" borderId="0" xfId="2" applyFont="1" applyFill="1"/>
    <xf numFmtId="39" fontId="1" fillId="0" borderId="1" xfId="0" applyNumberFormat="1" applyFont="1" applyFill="1" applyBorder="1"/>
    <xf numFmtId="164" fontId="1" fillId="0" borderId="0" xfId="1" applyNumberFormat="1" applyFont="1" applyFill="1"/>
    <xf numFmtId="0" fontId="1" fillId="0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39" fontId="1" fillId="2" borderId="0" xfId="0" applyNumberFormat="1" applyFont="1" applyFill="1"/>
    <xf numFmtId="39" fontId="1" fillId="2" borderId="1" xfId="0" applyNumberFormat="1" applyFont="1" applyFill="1" applyBorder="1"/>
    <xf numFmtId="44" fontId="1" fillId="2" borderId="0" xfId="2" applyFont="1" applyFill="1"/>
    <xf numFmtId="44" fontId="2" fillId="0" borderId="0" xfId="2" applyFont="1" applyFill="1"/>
    <xf numFmtId="165" fontId="1" fillId="0" borderId="0" xfId="2" applyNumberFormat="1" applyFont="1" applyFill="1"/>
    <xf numFmtId="165" fontId="2" fillId="0" borderId="0" xfId="2" applyNumberFormat="1" applyFont="1" applyFill="1"/>
    <xf numFmtId="39" fontId="1" fillId="2" borderId="2" xfId="0" applyNumberFormat="1" applyFont="1" applyFill="1" applyBorder="1"/>
    <xf numFmtId="165" fontId="1" fillId="0" borderId="0" xfId="0" applyNumberFormat="1" applyFont="1" applyFill="1"/>
    <xf numFmtId="165" fontId="1" fillId="0" borderId="0" xfId="0" applyNumberFormat="1" applyFont="1" applyFill="1" applyAlignment="1">
      <alignment horizontal="center"/>
    </xf>
    <xf numFmtId="39" fontId="1" fillId="0" borderId="0" xfId="0" applyNumberFormat="1" applyFont="1" applyFill="1" applyBorder="1"/>
    <xf numFmtId="44" fontId="1" fillId="0" borderId="0" xfId="2" applyFont="1" applyFill="1" applyAlignment="1">
      <alignment wrapText="1"/>
    </xf>
    <xf numFmtId="44" fontId="0" fillId="0" borderId="0" xfId="2" applyFont="1" applyAlignment="1">
      <alignment wrapText="1"/>
    </xf>
    <xf numFmtId="166" fontId="1" fillId="0" borderId="0" xfId="0" applyNumberFormat="1" applyFont="1" applyFill="1"/>
    <xf numFmtId="0" fontId="2" fillId="0" borderId="0" xfId="0" applyFont="1" applyFill="1" applyAlignment="1">
      <alignment horizontal="center"/>
    </xf>
    <xf numFmtId="44" fontId="1" fillId="0" borderId="0" xfId="2" applyFont="1" applyFill="1" applyAlignment="1">
      <alignment horizontal="center"/>
    </xf>
    <xf numFmtId="166" fontId="1" fillId="0" borderId="0" xfId="0" applyNumberFormat="1" applyFont="1" applyFill="1" applyAlignment="1">
      <alignment horizontal="center"/>
    </xf>
    <xf numFmtId="44" fontId="1" fillId="0" borderId="0" xfId="2" applyFont="1" applyFill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pageSetUpPr fitToPage="1"/>
  </x:sheetPr>
  <x:dimension ref="A1:J106"/>
  <x:sheetViews>
    <x:sheetView tabSelected="1" zoomScaleNormal="100" workbookViewId="0">
      <x:pane ySplit="8" topLeftCell="A87" activePane="bottomLeft" state="frozen"/>
      <x:selection pane="bottomLeft" activeCell="H99" sqref="H99"/>
    </x:sheetView>
  </x:sheetViews>
  <x:sheetFormatPr defaultColWidth="9.125" defaultRowHeight="15.65" x14ac:dyDescent="0.25"/>
  <x:cols>
    <x:col min="1" max="1" width="9.125" style="2"/>
    <x:col min="2" max="2" width="24" style="2" customWidth="1"/>
    <x:col min="3" max="3" width="16.125" style="2" customWidth="1"/>
    <x:col min="4" max="4" width="13.25" style="2" bestFit="1" customWidth="1"/>
    <x:col min="5" max="5" width="15.375" style="2" bestFit="1" customWidth="1"/>
    <x:col min="6" max="6" width="21.375" style="3" bestFit="1" customWidth="1"/>
    <x:col min="7" max="7" width="39.25" style="6" customWidth="1"/>
    <x:col min="8" max="8" width="40.625" style="2" customWidth="1"/>
    <x:col min="9" max="9" width="38" style="7" bestFit="1" customWidth="1"/>
    <x:col min="10" max="10" width="23.375" style="7" bestFit="1" customWidth="1"/>
    <x:col min="11" max="16384" width="9.125" style="2"/>
  </x:cols>
  <x:sheetData>
    <x:row r="1" spans="1:10" x14ac:dyDescent="0.25">
      <x:c r="A1" s="1" t="s">
        <x:v>10</x:v>
      </x:c>
    </x:row>
    <x:row r="2" spans="1:10" x14ac:dyDescent="0.25">
      <x:c r="A2" s="1" t="s">
        <x:v>66</x:v>
      </x:c>
    </x:row>
    <x:row r="3" spans="1:10" x14ac:dyDescent="0.25">
      <x:c r="A3" s="1" t="s">
        <x:v>11</x:v>
      </x:c>
    </x:row>
    <x:row r="5" spans="1:10" x14ac:dyDescent="0.25">
      <x:c r="A5" s="1" t="s">
        <x:v>9</x:v>
      </x:c>
    </x:row>
    <x:row r="6" spans="1:10" x14ac:dyDescent="0.25">
      <x:c r="I6" s="22"/>
      <x:c r="J6" s="22"/>
    </x:row>
    <x:row r="7" spans="1:10" x14ac:dyDescent="0.25">
      <x:c r="I7" s="22"/>
      <x:c r="J7" s="23"/>
    </x:row>
    <x:row r="8" spans="1:10" ht="15.65" customHeight="1" x14ac:dyDescent="0.25">
      <x:c r="A8" s="4" t="s">
        <x:v>8</x:v>
      </x:c>
      <x:c r="B8" s="4" t="s">
        <x:v>7</x:v>
      </x:c>
      <x:c r="C8" s="4" t="s">
        <x:v>6</x:v>
      </x:c>
      <x:c r="D8" s="4" t="s">
        <x:v>5</x:v>
      </x:c>
      <x:c r="E8" s="4" t="s">
        <x:v>4</x:v>
      </x:c>
      <x:c r="F8" s="5" t="s">
        <x:v>3</x:v>
      </x:c>
      <x:c r="G8" s="4" t="s">
        <x:v>2</x:v>
      </x:c>
      <x:c r="I8" s="23"/>
      <x:c r="J8" s="23"/>
    </x:row>
    <x:row r="9" spans="1:10" x14ac:dyDescent="0.25">
      <x:c r="A9" s="6" t="s">
        <x:v>57</x:v>
      </x:c>
      <x:c r="B9" s="6" t="s">
        <x:v>64</x:v>
      </x:c>
      <x:c r="C9" s="6">
        <x:v>2023</x:v>
      </x:c>
      <x:c r="D9" s="6">
        <x:v>5</x:v>
      </x:c>
      <x:c r="E9" s="6" t="s">
        <x:v>37</x:v>
      </x:c>
      <x:c r="F9" s="3">
        <x:v>-21014.54</x:v>
      </x:c>
      <x:c r="G9" s="6" t="s">
        <x:v>65</x:v>
      </x:c>
      <x:c r="I9" s="23"/>
    </x:row>
    <x:row r="10" spans="1:10" x14ac:dyDescent="0.25">
      <x:c r="A10" s="6" t="s">
        <x:v>57</x:v>
      </x:c>
      <x:c r="B10" s="6" t="s">
        <x:v>64</x:v>
      </x:c>
      <x:c r="C10" s="6">
        <x:v>2023</x:v>
      </x:c>
      <x:c r="D10" s="6">
        <x:v>5</x:v>
      </x:c>
      <x:c r="E10" s="6" t="s">
        <x:v>38</x:v>
      </x:c>
      <x:c r="F10" s="3">
        <x:v>-563907.78</x:v>
      </x:c>
      <x:c r="G10" s="6" t="s">
        <x:v>65</x:v>
      </x:c>
      <x:c r="I10" s="23"/>
    </x:row>
    <x:row r="11" spans="1:10" x14ac:dyDescent="0.25">
      <x:c r="A11" s="6" t="s">
        <x:v>57</x:v>
      </x:c>
      <x:c r="B11" s="6" t="s">
        <x:v>36</x:v>
      </x:c>
      <x:c r="C11" s="6">
        <x:v>2023</x:v>
      </x:c>
      <x:c r="D11" s="6">
        <x:v>6</x:v>
      </x:c>
      <x:c r="E11" s="6" t="s">
        <x:v>37</x:v>
      </x:c>
      <x:c r="F11" s="3">
        <x:v>-24546.400000000001</x:v>
      </x:c>
      <x:c r="G11" s="6" t="s">
        <x:v>0</x:v>
      </x:c>
    </x:row>
    <x:row r="12" spans="1:10" x14ac:dyDescent="0.25">
      <x:c r="A12" s="6" t="s">
        <x:v>57</x:v>
      </x:c>
      <x:c r="B12" s="6" t="s">
        <x:v>36</x:v>
      </x:c>
      <x:c r="C12" s="6">
        <x:v>2023</x:v>
      </x:c>
      <x:c r="D12" s="6">
        <x:v>6</x:v>
      </x:c>
      <x:c r="E12" s="6" t="s">
        <x:v>38</x:v>
      </x:c>
      <x:c r="F12" s="3">
        <x:v>-658682.32999999996</x:v>
      </x:c>
      <x:c r="G12" s="6" t="s">
        <x:v>0</x:v>
      </x:c>
    </x:row>
    <x:row r="13" spans="1:10" x14ac:dyDescent="0.25">
      <x:c r="A13" s="6" t="s">
        <x:v>57</x:v>
      </x:c>
      <x:c r="B13" s="6" t="s">
        <x:v>39</x:v>
      </x:c>
      <x:c r="C13" s="6">
        <x:v>2023</x:v>
      </x:c>
      <x:c r="D13" s="6">
        <x:v>7</x:v>
      </x:c>
      <x:c r="E13" s="6" t="s">
        <x:v>37</x:v>
      </x:c>
      <x:c r="F13" s="3">
        <x:v>-24546.400000000001</x:v>
      </x:c>
      <x:c r="G13" s="6" t="s">
        <x:v>0</x:v>
      </x:c>
    </x:row>
    <x:row r="14" spans="1:10" x14ac:dyDescent="0.25">
      <x:c r="A14" s="6" t="s">
        <x:v>57</x:v>
      </x:c>
      <x:c r="B14" s="6" t="s">
        <x:v>39</x:v>
      </x:c>
      <x:c r="C14" s="6">
        <x:v>2023</x:v>
      </x:c>
      <x:c r="D14" s="6">
        <x:v>7</x:v>
      </x:c>
      <x:c r="E14" s="6" t="s">
        <x:v>38</x:v>
      </x:c>
      <x:c r="F14" s="3">
        <x:v>-658682.32999999996</x:v>
      </x:c>
      <x:c r="G14" s="6" t="s">
        <x:v>0</x:v>
      </x:c>
    </x:row>
    <x:row r="15" spans="1:10" x14ac:dyDescent="0.25">
      <x:c r="A15" s="6" t="s">
        <x:v>57</x:v>
      </x:c>
      <x:c r="B15" s="6" t="s">
        <x:v>40</x:v>
      </x:c>
      <x:c r="C15" s="6">
        <x:v>2023</x:v>
      </x:c>
      <x:c r="D15" s="6">
        <x:v>8</x:v>
      </x:c>
      <x:c r="E15" s="6" t="s">
        <x:v>37</x:v>
      </x:c>
      <x:c r="F15" s="3">
        <x:v>-24546.400000000001</x:v>
      </x:c>
      <x:c r="G15" s="6" t="s">
        <x:v>0</x:v>
      </x:c>
    </x:row>
    <x:row r="16" spans="1:10" x14ac:dyDescent="0.25">
      <x:c r="A16" s="6" t="s">
        <x:v>57</x:v>
      </x:c>
      <x:c r="B16" s="6" t="s">
        <x:v>40</x:v>
      </x:c>
      <x:c r="C16" s="6">
        <x:v>2023</x:v>
      </x:c>
      <x:c r="D16" s="6">
        <x:v>8</x:v>
      </x:c>
      <x:c r="E16" s="6" t="s">
        <x:v>38</x:v>
      </x:c>
      <x:c r="F16" s="3">
        <x:v>-658682.32999999996</x:v>
      </x:c>
      <x:c r="G16" s="6" t="s">
        <x:v>0</x:v>
      </x:c>
    </x:row>
    <x:row r="17" spans="1:9" x14ac:dyDescent="0.25">
      <x:c r="A17" s="6" t="s">
        <x:v>57</x:v>
      </x:c>
      <x:c r="B17" s="6" t="s">
        <x:v>41</x:v>
      </x:c>
      <x:c r="C17" s="6">
        <x:v>2023</x:v>
      </x:c>
      <x:c r="D17" s="6">
        <x:v>9</x:v>
      </x:c>
      <x:c r="E17" s="6" t="s">
        <x:v>37</x:v>
      </x:c>
      <x:c r="F17" s="3">
        <x:v>-24546.400000000001</x:v>
      </x:c>
      <x:c r="G17" s="6" t="s">
        <x:v>0</x:v>
      </x:c>
    </x:row>
    <x:row r="18" spans="1:9" x14ac:dyDescent="0.25">
      <x:c r="A18" s="6" t="s">
        <x:v>57</x:v>
      </x:c>
      <x:c r="B18" s="6" t="s">
        <x:v>41</x:v>
      </x:c>
      <x:c r="C18" s="6">
        <x:v>2023</x:v>
      </x:c>
      <x:c r="D18" s="6">
        <x:v>9</x:v>
      </x:c>
      <x:c r="E18" s="6" t="s">
        <x:v>38</x:v>
      </x:c>
      <x:c r="F18" s="3">
        <x:v>-658682.32999999996</x:v>
      </x:c>
      <x:c r="G18" s="6" t="s">
        <x:v>0</x:v>
      </x:c>
    </x:row>
    <x:row r="19" spans="1:9" x14ac:dyDescent="0.25">
      <x:c r="A19" s="6" t="s">
        <x:v>57</x:v>
      </x:c>
      <x:c r="B19" s="6" t="s">
        <x:v>42</x:v>
      </x:c>
      <x:c r="C19" s="6">
        <x:v>2023</x:v>
      </x:c>
      <x:c r="D19" s="6">
        <x:v>10</x:v>
      </x:c>
      <x:c r="E19" s="6" t="s">
        <x:v>37</x:v>
      </x:c>
      <x:c r="F19" s="3">
        <x:v>-24546.400000000001</x:v>
      </x:c>
      <x:c r="G19" s="6" t="s">
        <x:v>0</x:v>
      </x:c>
    </x:row>
    <x:row r="20" spans="1:9" x14ac:dyDescent="0.25">
      <x:c r="A20" s="6" t="s">
        <x:v>57</x:v>
      </x:c>
      <x:c r="B20" s="6" t="s">
        <x:v>42</x:v>
      </x:c>
      <x:c r="C20" s="6">
        <x:v>2023</x:v>
      </x:c>
      <x:c r="D20" s="6">
        <x:v>10</x:v>
      </x:c>
      <x:c r="E20" s="6" t="s">
        <x:v>38</x:v>
      </x:c>
      <x:c r="F20" s="3">
        <x:v>-658682.32999999996</x:v>
      </x:c>
      <x:c r="G20" s="6" t="s">
        <x:v>0</x:v>
      </x:c>
    </x:row>
    <x:row r="21" spans="1:9" x14ac:dyDescent="0.25">
      <x:c r="A21" s="6" t="s">
        <x:v>57</x:v>
      </x:c>
      <x:c r="B21" s="6" t="s">
        <x:v>43</x:v>
      </x:c>
      <x:c r="C21" s="6">
        <x:v>2023</x:v>
      </x:c>
      <x:c r="D21" s="6">
        <x:v>11</x:v>
      </x:c>
      <x:c r="E21" s="6" t="s">
        <x:v>37</x:v>
      </x:c>
      <x:c r="F21" s="3">
        <x:v>-24546.400000000001</x:v>
      </x:c>
      <x:c r="G21" s="6" t="s">
        <x:v>0</x:v>
      </x:c>
    </x:row>
    <x:row r="22" spans="1:9" x14ac:dyDescent="0.25">
      <x:c r="A22" s="6" t="s">
        <x:v>57</x:v>
      </x:c>
      <x:c r="B22" s="6" t="s">
        <x:v>43</x:v>
      </x:c>
      <x:c r="C22" s="6">
        <x:v>2023</x:v>
      </x:c>
      <x:c r="D22" s="6">
        <x:v>11</x:v>
      </x:c>
      <x:c r="E22" s="6" t="s">
        <x:v>38</x:v>
      </x:c>
      <x:c r="F22" s="3">
        <x:v>-658682.32999999996</x:v>
      </x:c>
      <x:c r="G22" s="6" t="s">
        <x:v>0</x:v>
      </x:c>
    </x:row>
    <x:row r="23" spans="1:9" x14ac:dyDescent="0.25">
      <x:c r="A23" s="6" t="s">
        <x:v>57</x:v>
      </x:c>
      <x:c r="B23" s="6" t="s">
        <x:v>44</x:v>
      </x:c>
      <x:c r="C23" s="6">
        <x:v>2023</x:v>
      </x:c>
      <x:c r="D23" s="6">
        <x:v>12</x:v>
      </x:c>
      <x:c r="E23" s="6" t="s">
        <x:v>37</x:v>
      </x:c>
      <x:c r="F23" s="3">
        <x:v>-24546.400000000001</x:v>
      </x:c>
      <x:c r="G23" s="6" t="s">
        <x:v>0</x:v>
      </x:c>
      <x:c r="H23" s="6" t="s">
        <x:v>59</x:v>
      </x:c>
    </x:row>
    <x:row r="24" spans="1:9" x14ac:dyDescent="0.25">
      <x:c r="A24" s="6" t="s">
        <x:v>57</x:v>
      </x:c>
      <x:c r="B24" s="6" t="s">
        <x:v>44</x:v>
      </x:c>
      <x:c r="C24" s="6">
        <x:v>2023</x:v>
      </x:c>
      <x:c r="D24" s="6">
        <x:v>12</x:v>
      </x:c>
      <x:c r="E24" s="6" t="s">
        <x:v>38</x:v>
      </x:c>
      <x:c r="F24" s="3">
        <x:v>-658682.32999999996</x:v>
      </x:c>
      <x:c r="G24" s="6" t="s">
        <x:v>0</x:v>
      </x:c>
      <x:c r="H24" s="10" t="s">
        <x:v>31</x:v>
      </x:c>
    </x:row>
    <x:row r="25" spans="1:9" x14ac:dyDescent="0.25">
      <x:c r="A25" s="6" t="s">
        <x:v>57</x:v>
      </x:c>
      <x:c r="B25" s="6" t="s">
        <x:v>60</x:v>
      </x:c>
      <x:c r="C25" s="6">
        <x:v>2024</x:v>
      </x:c>
      <x:c r="D25" s="6">
        <x:v>1</x:v>
      </x:c>
      <x:c r="E25" s="6" t="s">
        <x:v>38</x:v>
      </x:c>
      <x:c r="F25" s="3">
        <x:v>186531.74</x:v>
      </x:c>
      <x:c r="G25" s="6" t="s">
        <x:v>61</x:v>
      </x:c>
      <x:c r="H25" s="3">
        <x:f t="shared" ref="H25:H30" si="0">-F25</x:f>
        <x:v>-186531.74</x:v>
      </x:c>
      <x:c r="I25" s="28" t="s">
        <x:v>67</x:v>
      </x:c>
    </x:row>
    <x:row r="26" spans="1:9" x14ac:dyDescent="0.25">
      <x:c r="A26" s="6" t="s">
        <x:v>57</x:v>
      </x:c>
      <x:c r="B26" s="6" t="s">
        <x:v>60</x:v>
      </x:c>
      <x:c r="C26" s="6">
        <x:v>2024</x:v>
      </x:c>
      <x:c r="D26" s="6">
        <x:v>2</x:v>
      </x:c>
      <x:c r="E26" s="6" t="s">
        <x:v>38</x:v>
      </x:c>
      <x:c r="F26" s="3">
        <x:v>186531.74</x:v>
      </x:c>
      <x:c r="G26" s="6" t="s">
        <x:v>61</x:v>
      </x:c>
      <x:c r="H26" s="3">
        <x:f t="shared" si="0"/>
        <x:v>-186531.74</x:v>
      </x:c>
      <x:c r="I26" s="28"/>
    </x:row>
    <x:row r="27" spans="1:9" x14ac:dyDescent="0.25">
      <x:c r="A27" s="6" t="s">
        <x:v>57</x:v>
      </x:c>
      <x:c r="B27" s="6" t="s">
        <x:v>60</x:v>
      </x:c>
      <x:c r="C27" s="6">
        <x:v>2024</x:v>
      </x:c>
      <x:c r="D27" s="6">
        <x:v>3</x:v>
      </x:c>
      <x:c r="E27" s="6" t="s">
        <x:v>38</x:v>
      </x:c>
      <x:c r="F27" s="3">
        <x:v>186531.74</x:v>
      </x:c>
      <x:c r="G27" s="6" t="s">
        <x:v>61</x:v>
      </x:c>
      <x:c r="H27" s="3">
        <x:f t="shared" si="0"/>
        <x:v>-186531.74</x:v>
      </x:c>
      <x:c r="I27" s="28"/>
    </x:row>
    <x:row r="28" spans="1:9" x14ac:dyDescent="0.25">
      <x:c r="A28" s="6" t="s">
        <x:v>57</x:v>
      </x:c>
      <x:c r="B28" s="6" t="s">
        <x:v>60</x:v>
      </x:c>
      <x:c r="C28" s="6">
        <x:v>2024</x:v>
      </x:c>
      <x:c r="D28" s="6">
        <x:v>4</x:v>
      </x:c>
      <x:c r="E28" s="6" t="s">
        <x:v>38</x:v>
      </x:c>
      <x:c r="F28" s="3">
        <x:v>186531.74</x:v>
      </x:c>
      <x:c r="G28" s="6" t="s">
        <x:v>61</x:v>
      </x:c>
      <x:c r="H28" s="3">
        <x:f t="shared" si="0"/>
        <x:v>-186531.74</x:v>
      </x:c>
      <x:c r="I28" s="28"/>
    </x:row>
    <x:row r="29" spans="1:9" x14ac:dyDescent="0.25">
      <x:c r="A29" s="6" t="s">
        <x:v>57</x:v>
      </x:c>
      <x:c r="B29" s="6" t="s">
        <x:v>60</x:v>
      </x:c>
      <x:c r="C29" s="6">
        <x:v>2024</x:v>
      </x:c>
      <x:c r="D29" s="6">
        <x:v>5</x:v>
      </x:c>
      <x:c r="E29" s="6" t="s">
        <x:v>38</x:v>
      </x:c>
      <x:c r="F29" s="3">
        <x:v>186531.74</x:v>
      </x:c>
      <x:c r="G29" s="6" t="s">
        <x:v>61</x:v>
      </x:c>
      <x:c r="H29" s="3">
        <x:f t="shared" si="0"/>
        <x:v>-186531.74</x:v>
      </x:c>
      <x:c r="I29" s="28"/>
    </x:row>
    <x:row r="30" spans="1:9" x14ac:dyDescent="0.25">
      <x:c r="A30" s="6" t="s">
        <x:v>57</x:v>
      </x:c>
      <x:c r="B30" s="6" t="s">
        <x:v>60</x:v>
      </x:c>
      <x:c r="C30" s="6">
        <x:v>2024</x:v>
      </x:c>
      <x:c r="D30" s="6">
        <x:v>6</x:v>
      </x:c>
      <x:c r="E30" s="6" t="s">
        <x:v>38</x:v>
      </x:c>
      <x:c r="F30" s="3">
        <x:v>186531.74</x:v>
      </x:c>
      <x:c r="G30" s="6" t="s">
        <x:v>61</x:v>
      </x:c>
      <x:c r="H30" s="3">
        <x:f t="shared" si="0"/>
        <x:v>-186531.74</x:v>
      </x:c>
      <x:c r="I30" s="28"/>
    </x:row>
    <x:row r="31" spans="1:9" x14ac:dyDescent="0.25">
      <x:c r="A31" s="11" t="s">
        <x:v>57</x:v>
      </x:c>
      <x:c r="B31" s="11" t="s">
        <x:v>45</x:v>
      </x:c>
      <x:c r="C31" s="11">
        <x:v>2024</x:v>
      </x:c>
      <x:c r="D31" s="11">
        <x:v>1</x:v>
      </x:c>
      <x:c r="E31" s="11" t="s">
        <x:v>37</x:v>
      </x:c>
      <x:c r="F31" s="12">
        <x:v>-24546.400000000001</x:v>
      </x:c>
      <x:c r="G31" s="11" t="s">
        <x:v>0</x:v>
      </x:c>
      <x:c r="H31" s="12">
        <x:f t="shared" ref="H31:H40" si="1">-F31</x:f>
        <x:v>24546.400000000001</x:v>
      </x:c>
    </x:row>
    <x:row r="32" spans="1:9" x14ac:dyDescent="0.25">
      <x:c r="A32" s="11" t="s">
        <x:v>57</x:v>
      </x:c>
      <x:c r="B32" s="11" t="s">
        <x:v>45</x:v>
      </x:c>
      <x:c r="C32" s="11">
        <x:v>2024</x:v>
      </x:c>
      <x:c r="D32" s="11">
        <x:v>1</x:v>
      </x:c>
      <x:c r="E32" s="11" t="s">
        <x:v>38</x:v>
      </x:c>
      <x:c r="F32" s="12">
        <x:v>-658682.32999999996</x:v>
      </x:c>
      <x:c r="G32" s="11" t="s">
        <x:v>0</x:v>
      </x:c>
      <x:c r="H32" s="12">
        <x:f t="shared" si="1"/>
        <x:v>658682.32999999996</x:v>
      </x:c>
    </x:row>
    <x:row r="33" spans="1:8" x14ac:dyDescent="0.25">
      <x:c r="A33" s="11" t="s">
        <x:v>57</x:v>
      </x:c>
      <x:c r="B33" s="11" t="s">
        <x:v>46</x:v>
      </x:c>
      <x:c r="C33" s="11">
        <x:v>2024</x:v>
      </x:c>
      <x:c r="D33" s="11">
        <x:v>2</x:v>
      </x:c>
      <x:c r="E33" s="11" t="s">
        <x:v>37</x:v>
      </x:c>
      <x:c r="F33" s="12">
        <x:v>-24546.400000000001</x:v>
      </x:c>
      <x:c r="G33" s="11" t="s">
        <x:v>0</x:v>
      </x:c>
      <x:c r="H33" s="12">
        <x:f t="shared" si="1"/>
        <x:v>24546.400000000001</x:v>
      </x:c>
    </x:row>
    <x:row r="34" spans="1:8" x14ac:dyDescent="0.25">
      <x:c r="A34" s="11" t="s">
        <x:v>57</x:v>
      </x:c>
      <x:c r="B34" s="11" t="s">
        <x:v>46</x:v>
      </x:c>
      <x:c r="C34" s="11">
        <x:v>2024</x:v>
      </x:c>
      <x:c r="D34" s="11">
        <x:v>2</x:v>
      </x:c>
      <x:c r="E34" s="11" t="s">
        <x:v>38</x:v>
      </x:c>
      <x:c r="F34" s="12">
        <x:v>-658682.32999999996</x:v>
      </x:c>
      <x:c r="G34" s="11" t="s">
        <x:v>0</x:v>
      </x:c>
      <x:c r="H34" s="12">
        <x:f t="shared" si="1"/>
        <x:v>658682.32999999996</x:v>
      </x:c>
    </x:row>
    <x:row r="35" spans="1:8" x14ac:dyDescent="0.25">
      <x:c r="A35" s="11" t="s">
        <x:v>57</x:v>
      </x:c>
      <x:c r="B35" s="11" t="s">
        <x:v>47</x:v>
      </x:c>
      <x:c r="C35" s="11">
        <x:v>2024</x:v>
      </x:c>
      <x:c r="D35" s="11">
        <x:v>3</x:v>
      </x:c>
      <x:c r="E35" s="11" t="s">
        <x:v>37</x:v>
      </x:c>
      <x:c r="F35" s="12">
        <x:v>-24546.400000000001</x:v>
      </x:c>
      <x:c r="G35" s="11" t="s">
        <x:v>0</x:v>
      </x:c>
      <x:c r="H35" s="12">
        <x:f t="shared" si="1"/>
        <x:v>24546.400000000001</x:v>
      </x:c>
    </x:row>
    <x:row r="36" spans="1:8" x14ac:dyDescent="0.25">
      <x:c r="A36" s="11" t="s">
        <x:v>57</x:v>
      </x:c>
      <x:c r="B36" s="11" t="s">
        <x:v>47</x:v>
      </x:c>
      <x:c r="C36" s="11">
        <x:v>2024</x:v>
      </x:c>
      <x:c r="D36" s="11">
        <x:v>3</x:v>
      </x:c>
      <x:c r="E36" s="11" t="s">
        <x:v>38</x:v>
      </x:c>
      <x:c r="F36" s="12">
        <x:v>-658682.32999999996</x:v>
      </x:c>
      <x:c r="G36" s="11" t="s">
        <x:v>0</x:v>
      </x:c>
      <x:c r="H36" s="12">
        <x:f t="shared" si="1"/>
        <x:v>658682.32999999996</x:v>
      </x:c>
    </x:row>
    <x:row r="37" spans="1:8" x14ac:dyDescent="0.25">
      <x:c r="A37" s="11" t="s">
        <x:v>57</x:v>
      </x:c>
      <x:c r="B37" s="11" t="s">
        <x:v>48</x:v>
      </x:c>
      <x:c r="C37" s="11">
        <x:v>2024</x:v>
      </x:c>
      <x:c r="D37" s="11">
        <x:v>4</x:v>
      </x:c>
      <x:c r="E37" s="11" t="s">
        <x:v>37</x:v>
      </x:c>
      <x:c r="F37" s="12">
        <x:v>-24546.400000000001</x:v>
      </x:c>
      <x:c r="G37" s="11" t="s">
        <x:v>0</x:v>
      </x:c>
      <x:c r="H37" s="12">
        <x:f t="shared" si="1"/>
        <x:v>24546.400000000001</x:v>
      </x:c>
    </x:row>
    <x:row r="38" spans="1:8" x14ac:dyDescent="0.25">
      <x:c r="A38" s="11" t="s">
        <x:v>57</x:v>
      </x:c>
      <x:c r="B38" s="11" t="s">
        <x:v>48</x:v>
      </x:c>
      <x:c r="C38" s="11">
        <x:v>2024</x:v>
      </x:c>
      <x:c r="D38" s="11">
        <x:v>4</x:v>
      </x:c>
      <x:c r="E38" s="11" t="s">
        <x:v>38</x:v>
      </x:c>
      <x:c r="F38" s="12">
        <x:v>-658682.32999999996</x:v>
      </x:c>
      <x:c r="G38" s="11" t="s">
        <x:v>0</x:v>
      </x:c>
      <x:c r="H38" s="12">
        <x:f t="shared" si="1"/>
        <x:v>658682.32999999996</x:v>
      </x:c>
    </x:row>
    <x:row r="39" spans="1:8" x14ac:dyDescent="0.25">
      <x:c r="A39" s="11" t="s">
        <x:v>57</x:v>
      </x:c>
      <x:c r="B39" s="11" t="s">
        <x:v>49</x:v>
      </x:c>
      <x:c r="C39" s="11">
        <x:v>2024</x:v>
      </x:c>
      <x:c r="D39" s="11">
        <x:v>5</x:v>
      </x:c>
      <x:c r="E39" s="11" t="s">
        <x:v>37</x:v>
      </x:c>
      <x:c r="F39" s="12">
        <x:v>-24546.400000000001</x:v>
      </x:c>
      <x:c r="G39" s="11" t="s">
        <x:v>0</x:v>
      </x:c>
      <x:c r="H39" s="12">
        <x:f t="shared" si="1"/>
        <x:v>24546.400000000001</x:v>
      </x:c>
    </x:row>
    <x:row r="40" spans="1:8" x14ac:dyDescent="0.25">
      <x:c r="A40" s="11" t="s">
        <x:v>57</x:v>
      </x:c>
      <x:c r="B40" s="11" t="s">
        <x:v>49</x:v>
      </x:c>
      <x:c r="C40" s="11">
        <x:v>2024</x:v>
      </x:c>
      <x:c r="D40" s="11">
        <x:v>5</x:v>
      </x:c>
      <x:c r="E40" s="11" t="s">
        <x:v>38</x:v>
      </x:c>
      <x:c r="F40" s="12">
        <x:v>-658682.32999999996</x:v>
      </x:c>
      <x:c r="G40" s="11" t="s">
        <x:v>0</x:v>
      </x:c>
      <x:c r="H40" s="12">
        <x:f t="shared" si="1"/>
        <x:v>658682.32999999996</x:v>
      </x:c>
    </x:row>
    <x:row r="41" spans="1:8" x14ac:dyDescent="0.25">
      <x:c r="A41" s="11" t="s">
        <x:v>57</x:v>
      </x:c>
      <x:c r="B41" s="11" t="s">
        <x:v>50</x:v>
      </x:c>
      <x:c r="C41" s="11">
        <x:v>2024</x:v>
      </x:c>
      <x:c r="D41" s="11">
        <x:v>6</x:v>
      </x:c>
      <x:c r="E41" s="11" t="s">
        <x:v>37</x:v>
      </x:c>
      <x:c r="F41" s="12">
        <x:v>-24546.400000000001</x:v>
      </x:c>
      <x:c r="G41" s="11" t="s">
        <x:v>0</x:v>
      </x:c>
      <x:c r="H41" s="12">
        <x:f>-F41</x:f>
        <x:v>24546.400000000001</x:v>
      </x:c>
    </x:row>
    <x:row r="42" spans="1:8" x14ac:dyDescent="0.25">
      <x:c r="A42" s="11" t="s">
        <x:v>57</x:v>
      </x:c>
      <x:c r="B42" s="11" t="s">
        <x:v>50</x:v>
      </x:c>
      <x:c r="C42" s="11">
        <x:v>2024</x:v>
      </x:c>
      <x:c r="D42" s="11">
        <x:v>6</x:v>
      </x:c>
      <x:c r="E42" s="11" t="s">
        <x:v>38</x:v>
      </x:c>
      <x:c r="F42" s="12">
        <x:v>-658682.32999999996</x:v>
      </x:c>
      <x:c r="G42" s="11" t="s">
        <x:v>0</x:v>
      </x:c>
      <x:c r="H42" s="12">
        <x:f t="shared" ref="H42:H54" si="2">-F42</x:f>
        <x:v>658682.32999999996</x:v>
      </x:c>
    </x:row>
    <x:row r="43" spans="1:8" x14ac:dyDescent="0.25">
      <x:c r="A43" s="11" t="s">
        <x:v>57</x:v>
      </x:c>
      <x:c r="B43" s="11" t="s">
        <x:v>51</x:v>
      </x:c>
      <x:c r="C43" s="11">
        <x:v>2024</x:v>
      </x:c>
      <x:c r="D43" s="11">
        <x:v>7</x:v>
      </x:c>
      <x:c r="E43" s="11" t="s">
        <x:v>37</x:v>
      </x:c>
      <x:c r="F43" s="12">
        <x:v>-24546.400000000001</x:v>
      </x:c>
      <x:c r="G43" s="11" t="s">
        <x:v>0</x:v>
      </x:c>
      <x:c r="H43" s="12">
        <x:f t="shared" si="2"/>
        <x:v>24546.400000000001</x:v>
      </x:c>
    </x:row>
    <x:row r="44" spans="1:8" x14ac:dyDescent="0.25">
      <x:c r="A44" s="11" t="s">
        <x:v>57</x:v>
      </x:c>
      <x:c r="B44" s="11" t="s">
        <x:v>51</x:v>
      </x:c>
      <x:c r="C44" s="11">
        <x:v>2024</x:v>
      </x:c>
      <x:c r="D44" s="11">
        <x:v>7</x:v>
      </x:c>
      <x:c r="E44" s="11" t="s">
        <x:v>38</x:v>
      </x:c>
      <x:c r="F44" s="12">
        <x:v>-658682.32999999996</x:v>
      </x:c>
      <x:c r="G44" s="11" t="s">
        <x:v>0</x:v>
      </x:c>
      <x:c r="H44" s="12">
        <x:f t="shared" si="2"/>
        <x:v>658682.32999999996</x:v>
      </x:c>
    </x:row>
    <x:row r="45" spans="1:8" x14ac:dyDescent="0.25">
      <x:c r="A45" s="11" t="s">
        <x:v>57</x:v>
      </x:c>
      <x:c r="B45" s="11" t="s">
        <x:v>52</x:v>
      </x:c>
      <x:c r="C45" s="11">
        <x:v>2024</x:v>
      </x:c>
      <x:c r="D45" s="11">
        <x:v>8</x:v>
      </x:c>
      <x:c r="E45" s="11" t="s">
        <x:v>37</x:v>
      </x:c>
      <x:c r="F45" s="12">
        <x:v>-24546.400000000001</x:v>
      </x:c>
      <x:c r="G45" s="11" t="s">
        <x:v>0</x:v>
      </x:c>
      <x:c r="H45" s="12">
        <x:f t="shared" si="2"/>
        <x:v>24546.400000000001</x:v>
      </x:c>
    </x:row>
    <x:row r="46" spans="1:8" x14ac:dyDescent="0.25">
      <x:c r="A46" s="11" t="s">
        <x:v>57</x:v>
      </x:c>
      <x:c r="B46" s="11" t="s">
        <x:v>52</x:v>
      </x:c>
      <x:c r="C46" s="11">
        <x:v>2024</x:v>
      </x:c>
      <x:c r="D46" s="11">
        <x:v>8</x:v>
      </x:c>
      <x:c r="E46" s="11" t="s">
        <x:v>38</x:v>
      </x:c>
      <x:c r="F46" s="12">
        <x:v>-658682.32999999996</x:v>
      </x:c>
      <x:c r="G46" s="11" t="s">
        <x:v>0</x:v>
      </x:c>
      <x:c r="H46" s="12">
        <x:f t="shared" si="2"/>
        <x:v>658682.32999999996</x:v>
      </x:c>
    </x:row>
    <x:row r="47" spans="1:8" x14ac:dyDescent="0.25">
      <x:c r="A47" s="11" t="s">
        <x:v>57</x:v>
      </x:c>
      <x:c r="B47" s="11" t="s">
        <x:v>53</x:v>
      </x:c>
      <x:c r="C47" s="11">
        <x:v>2024</x:v>
      </x:c>
      <x:c r="D47" s="11">
        <x:v>9</x:v>
      </x:c>
      <x:c r="E47" s="11" t="s">
        <x:v>37</x:v>
      </x:c>
      <x:c r="F47" s="12">
        <x:v>-24546.400000000001</x:v>
      </x:c>
      <x:c r="G47" s="11" t="s">
        <x:v>0</x:v>
      </x:c>
      <x:c r="H47" s="12">
        <x:f t="shared" si="2"/>
        <x:v>24546.400000000001</x:v>
      </x:c>
    </x:row>
    <x:row r="48" spans="1:8" x14ac:dyDescent="0.25">
      <x:c r="A48" s="11" t="s">
        <x:v>57</x:v>
      </x:c>
      <x:c r="B48" s="11" t="s">
        <x:v>53</x:v>
      </x:c>
      <x:c r="C48" s="11">
        <x:v>2024</x:v>
      </x:c>
      <x:c r="D48" s="11">
        <x:v>9</x:v>
      </x:c>
      <x:c r="E48" s="11" t="s">
        <x:v>38</x:v>
      </x:c>
      <x:c r="F48" s="12">
        <x:v>-658682.32999999996</x:v>
      </x:c>
      <x:c r="G48" s="11" t="s">
        <x:v>0</x:v>
      </x:c>
      <x:c r="H48" s="12">
        <x:f t="shared" si="2"/>
        <x:v>658682.32999999996</x:v>
      </x:c>
    </x:row>
    <x:row r="49" spans="1:8" x14ac:dyDescent="0.25">
      <x:c r="A49" s="11" t="s">
        <x:v>57</x:v>
      </x:c>
      <x:c r="B49" s="11" t="s">
        <x:v>54</x:v>
      </x:c>
      <x:c r="C49" s="11">
        <x:v>2024</x:v>
      </x:c>
      <x:c r="D49" s="11">
        <x:v>10</x:v>
      </x:c>
      <x:c r="E49" s="11" t="s">
        <x:v>37</x:v>
      </x:c>
      <x:c r="F49" s="12">
        <x:v>-24546.400000000001</x:v>
      </x:c>
      <x:c r="G49" s="11" t="s">
        <x:v>0</x:v>
      </x:c>
      <x:c r="H49" s="12">
        <x:f t="shared" si="2"/>
        <x:v>24546.400000000001</x:v>
      </x:c>
    </x:row>
    <x:row r="50" spans="1:8" x14ac:dyDescent="0.25">
      <x:c r="A50" s="11" t="s">
        <x:v>57</x:v>
      </x:c>
      <x:c r="B50" s="11" t="s">
        <x:v>54</x:v>
      </x:c>
      <x:c r="C50" s="11">
        <x:v>2024</x:v>
      </x:c>
      <x:c r="D50" s="11">
        <x:v>10</x:v>
      </x:c>
      <x:c r="E50" s="11" t="s">
        <x:v>38</x:v>
      </x:c>
      <x:c r="F50" s="12">
        <x:v>-658682.32999999996</x:v>
      </x:c>
      <x:c r="G50" s="11" t="s">
        <x:v>0</x:v>
      </x:c>
      <x:c r="H50" s="12">
        <x:f t="shared" si="2"/>
        <x:v>658682.32999999996</x:v>
      </x:c>
    </x:row>
    <x:row r="51" spans="1:8" x14ac:dyDescent="0.25">
      <x:c r="A51" s="11" t="s">
        <x:v>57</x:v>
      </x:c>
      <x:c r="B51" s="11" t="s">
        <x:v>55</x:v>
      </x:c>
      <x:c r="C51" s="11">
        <x:v>2024</x:v>
      </x:c>
      <x:c r="D51" s="11">
        <x:v>11</x:v>
      </x:c>
      <x:c r="E51" s="11" t="s">
        <x:v>37</x:v>
      </x:c>
      <x:c r="F51" s="12">
        <x:v>-24546.400000000001</x:v>
      </x:c>
      <x:c r="G51" s="11" t="s">
        <x:v>0</x:v>
      </x:c>
      <x:c r="H51" s="12">
        <x:f t="shared" si="2"/>
        <x:v>24546.400000000001</x:v>
      </x:c>
    </x:row>
    <x:row r="52" spans="1:8" x14ac:dyDescent="0.25">
      <x:c r="A52" s="11" t="s">
        <x:v>57</x:v>
      </x:c>
      <x:c r="B52" s="11" t="s">
        <x:v>55</x:v>
      </x:c>
      <x:c r="C52" s="11">
        <x:v>2024</x:v>
      </x:c>
      <x:c r="D52" s="11">
        <x:v>11</x:v>
      </x:c>
      <x:c r="E52" s="11" t="s">
        <x:v>38</x:v>
      </x:c>
      <x:c r="F52" s="12">
        <x:v>-658682.32999999996</x:v>
      </x:c>
      <x:c r="G52" s="11" t="s">
        <x:v>0</x:v>
      </x:c>
      <x:c r="H52" s="12">
        <x:f t="shared" si="2"/>
        <x:v>658682.32999999996</x:v>
      </x:c>
    </x:row>
    <x:row r="53" spans="1:8" x14ac:dyDescent="0.25">
      <x:c r="A53" s="11" t="s">
        <x:v>57</x:v>
      </x:c>
      <x:c r="B53" s="11" t="s">
        <x:v>56</x:v>
      </x:c>
      <x:c r="C53" s="11">
        <x:v>2024</x:v>
      </x:c>
      <x:c r="D53" s="11">
        <x:v>12</x:v>
      </x:c>
      <x:c r="E53" s="11" t="s">
        <x:v>37</x:v>
      </x:c>
      <x:c r="F53" s="12">
        <x:v>-24546.400000000001</x:v>
      </x:c>
      <x:c r="G53" s="11" t="s">
        <x:v>0</x:v>
      </x:c>
      <x:c r="H53" s="12">
        <x:f t="shared" si="2"/>
        <x:v>24546.400000000001</x:v>
      </x:c>
    </x:row>
    <x:row r="54" spans="1:8" x14ac:dyDescent="0.25">
      <x:c r="A54" s="11" t="s">
        <x:v>57</x:v>
      </x:c>
      <x:c r="B54" s="11" t="s">
        <x:v>56</x:v>
      </x:c>
      <x:c r="C54" s="11">
        <x:v>2024</x:v>
      </x:c>
      <x:c r="D54" s="11">
        <x:v>12</x:v>
      </x:c>
      <x:c r="E54" s="11" t="s">
        <x:v>38</x:v>
      </x:c>
      <x:c r="F54" s="12">
        <x:v>-658682.32999999996</x:v>
      </x:c>
      <x:c r="G54" s="11" t="s">
        <x:v>0</x:v>
      </x:c>
      <x:c r="H54" s="13">
        <x:f t="shared" si="2"/>
        <x:v>658682.32999999996</x:v>
      </x:c>
    </x:row>
    <x:row r="55" spans="1:8" x14ac:dyDescent="0.25">
      <x:c r="A55" s="11"/>
      <x:c r="B55" s="11"/>
      <x:c r="C55" s="11"/>
      <x:c r="D55" s="11"/>
      <x:c r="E55" s="11"/>
      <x:c r="F55" s="12"/>
      <x:c r="G55" s="11"/>
      <x:c r="H55" s="18">
        <x:f>SUM(H31:H54)</x:f>
        <x:v>8198744.7600000016</x:v>
      </x:c>
    </x:row>
    <x:row r="56" spans="1:8" x14ac:dyDescent="0.25">
      <x:c r="A56" s="6" t="s">
        <x:v>1</x:v>
      </x:c>
      <x:c r="B56" s="6" t="s">
        <x:v>64</x:v>
      </x:c>
      <x:c r="C56" s="6">
        <x:v>2023</x:v>
      </x:c>
      <x:c r="D56" s="6">
        <x:v>5</x:v>
      </x:c>
      <x:c r="E56" s="6" t="s">
        <x:v>37</x:v>
      </x:c>
      <x:c r="F56" s="3">
        <x:v>-13115.87</x:v>
      </x:c>
      <x:c r="G56" s="6" t="s">
        <x:v>65</x:v>
      </x:c>
      <x:c r="H56" s="21"/>
    </x:row>
    <x:row r="57" spans="1:8" x14ac:dyDescent="0.25">
      <x:c r="A57" s="6" t="s">
        <x:v>1</x:v>
      </x:c>
      <x:c r="B57" s="6" t="s">
        <x:v>64</x:v>
      </x:c>
      <x:c r="C57" s="6">
        <x:v>2023</x:v>
      </x:c>
      <x:c r="D57" s="6">
        <x:v>5</x:v>
      </x:c>
      <x:c r="E57" s="6" t="s">
        <x:v>38</x:v>
      </x:c>
      <x:c r="F57" s="3">
        <x:v>-344271.89</x:v>
      </x:c>
      <x:c r="G57" s="6" t="s">
        <x:v>65</x:v>
      </x:c>
      <x:c r="H57" s="21"/>
    </x:row>
    <x:row r="58" spans="1:8" x14ac:dyDescent="0.25">
      <x:c r="A58" s="6" t="s">
        <x:v>1</x:v>
      </x:c>
      <x:c r="B58" s="6" t="s">
        <x:v>12</x:v>
      </x:c>
      <x:c r="C58" s="6">
        <x:v>2023</x:v>
      </x:c>
      <x:c r="D58" s="6">
        <x:v>6</x:v>
      </x:c>
      <x:c r="E58" s="6" t="s">
        <x:v>37</x:v>
      </x:c>
      <x:c r="F58" s="3">
        <x:v>-13115.87</x:v>
      </x:c>
      <x:c r="G58" s="6" t="s">
        <x:v>0</x:v>
      </x:c>
      <x:c r="H58" s="21"/>
    </x:row>
    <x:row r="59" spans="1:8" x14ac:dyDescent="0.25">
      <x:c r="A59" s="6" t="s">
        <x:v>1</x:v>
      </x:c>
      <x:c r="B59" s="6" t="s">
        <x:v>12</x:v>
      </x:c>
      <x:c r="C59" s="6">
        <x:v>2023</x:v>
      </x:c>
      <x:c r="D59" s="6">
        <x:v>6</x:v>
      </x:c>
      <x:c r="E59" s="6" t="s">
        <x:v>38</x:v>
      </x:c>
      <x:c r="F59" s="3">
        <x:v>-344271.89</x:v>
      </x:c>
      <x:c r="G59" s="6" t="s">
        <x:v>0</x:v>
      </x:c>
      <x:c r="H59" s="6"/>
    </x:row>
    <x:row r="60" spans="1:8" x14ac:dyDescent="0.25">
      <x:c r="A60" s="6" t="s">
        <x:v>1</x:v>
      </x:c>
      <x:c r="B60" s="6" t="s">
        <x:v>13</x:v>
      </x:c>
      <x:c r="C60" s="6">
        <x:v>2023</x:v>
      </x:c>
      <x:c r="D60" s="6">
        <x:v>7</x:v>
      </x:c>
      <x:c r="E60" s="6" t="s">
        <x:v>37</x:v>
      </x:c>
      <x:c r="F60" s="3">
        <x:v>-13115.87</x:v>
      </x:c>
      <x:c r="G60" s="6" t="s">
        <x:v>0</x:v>
      </x:c>
      <x:c r="H60" s="6"/>
    </x:row>
    <x:row r="61" spans="1:8" x14ac:dyDescent="0.25">
      <x:c r="A61" s="6" t="s">
        <x:v>1</x:v>
      </x:c>
      <x:c r="B61" s="6" t="s">
        <x:v>13</x:v>
      </x:c>
      <x:c r="C61" s="6">
        <x:v>2023</x:v>
      </x:c>
      <x:c r="D61" s="6">
        <x:v>7</x:v>
      </x:c>
      <x:c r="E61" s="6" t="s">
        <x:v>38</x:v>
      </x:c>
      <x:c r="F61" s="3">
        <x:v>-344271.89</x:v>
      </x:c>
      <x:c r="G61" s="6" t="s">
        <x:v>0</x:v>
      </x:c>
      <x:c r="H61" s="6"/>
    </x:row>
    <x:row r="62" spans="1:8" x14ac:dyDescent="0.25">
      <x:c r="A62" s="6" t="s">
        <x:v>1</x:v>
      </x:c>
      <x:c r="B62" s="6" t="s">
        <x:v>14</x:v>
      </x:c>
      <x:c r="C62" s="6">
        <x:v>2023</x:v>
      </x:c>
      <x:c r="D62" s="6">
        <x:v>8</x:v>
      </x:c>
      <x:c r="E62" s="6" t="s">
        <x:v>37</x:v>
      </x:c>
      <x:c r="F62" s="3">
        <x:v>-13115.87</x:v>
      </x:c>
      <x:c r="G62" s="6" t="s">
        <x:v>0</x:v>
      </x:c>
      <x:c r="H62" s="6"/>
    </x:row>
    <x:row r="63" spans="1:8" x14ac:dyDescent="0.25">
      <x:c r="A63" s="6" t="s">
        <x:v>1</x:v>
      </x:c>
      <x:c r="B63" s="6" t="s">
        <x:v>14</x:v>
      </x:c>
      <x:c r="C63" s="6">
        <x:v>2023</x:v>
      </x:c>
      <x:c r="D63" s="6">
        <x:v>8</x:v>
      </x:c>
      <x:c r="E63" s="6" t="s">
        <x:v>38</x:v>
      </x:c>
      <x:c r="F63" s="3">
        <x:v>-344271.89</x:v>
      </x:c>
      <x:c r="G63" s="6" t="s">
        <x:v>0</x:v>
      </x:c>
      <x:c r="H63" s="6"/>
    </x:row>
    <x:row r="64" spans="1:8" x14ac:dyDescent="0.25">
      <x:c r="A64" s="6" t="s">
        <x:v>1</x:v>
      </x:c>
      <x:c r="B64" s="6" t="s">
        <x:v>15</x:v>
      </x:c>
      <x:c r="C64" s="6">
        <x:v>2023</x:v>
      </x:c>
      <x:c r="D64" s="6">
        <x:v>9</x:v>
      </x:c>
      <x:c r="E64" s="6" t="s">
        <x:v>37</x:v>
      </x:c>
      <x:c r="F64" s="3">
        <x:v>-13115.87</x:v>
      </x:c>
      <x:c r="G64" s="6" t="s">
        <x:v>0</x:v>
      </x:c>
      <x:c r="H64" s="6"/>
    </x:row>
    <x:row r="65" spans="1:8" x14ac:dyDescent="0.25">
      <x:c r="A65" s="6" t="s">
        <x:v>1</x:v>
      </x:c>
      <x:c r="B65" s="6" t="s">
        <x:v>15</x:v>
      </x:c>
      <x:c r="C65" s="6">
        <x:v>2023</x:v>
      </x:c>
      <x:c r="D65" s="6">
        <x:v>9</x:v>
      </x:c>
      <x:c r="E65" s="6" t="s">
        <x:v>38</x:v>
      </x:c>
      <x:c r="F65" s="3">
        <x:v>-344271.89</x:v>
      </x:c>
      <x:c r="G65" s="6" t="s">
        <x:v>0</x:v>
      </x:c>
      <x:c r="H65" s="6"/>
    </x:row>
    <x:row r="66" spans="1:8" x14ac:dyDescent="0.25">
      <x:c r="A66" s="6" t="s">
        <x:v>1</x:v>
      </x:c>
      <x:c r="B66" s="6" t="s">
        <x:v>16</x:v>
      </x:c>
      <x:c r="C66" s="6">
        <x:v>2023</x:v>
      </x:c>
      <x:c r="D66" s="6">
        <x:v>10</x:v>
      </x:c>
      <x:c r="E66" s="6" t="s">
        <x:v>37</x:v>
      </x:c>
      <x:c r="F66" s="3">
        <x:v>-13115.87</x:v>
      </x:c>
      <x:c r="G66" s="6" t="s">
        <x:v>0</x:v>
      </x:c>
      <x:c r="H66" s="6"/>
    </x:row>
    <x:row r="67" spans="1:8" x14ac:dyDescent="0.25">
      <x:c r="A67" s="6" t="s">
        <x:v>1</x:v>
      </x:c>
      <x:c r="B67" s="6" t="s">
        <x:v>16</x:v>
      </x:c>
      <x:c r="C67" s="6">
        <x:v>2023</x:v>
      </x:c>
      <x:c r="D67" s="6">
        <x:v>10</x:v>
      </x:c>
      <x:c r="E67" s="6" t="s">
        <x:v>38</x:v>
      </x:c>
      <x:c r="F67" s="3">
        <x:v>-344271.89</x:v>
      </x:c>
      <x:c r="G67" s="6" t="s">
        <x:v>0</x:v>
      </x:c>
      <x:c r="H67" s="6"/>
    </x:row>
    <x:row r="68" spans="1:8" x14ac:dyDescent="0.25">
      <x:c r="A68" s="6" t="s">
        <x:v>1</x:v>
      </x:c>
      <x:c r="B68" s="6" t="s">
        <x:v>17</x:v>
      </x:c>
      <x:c r="C68" s="6">
        <x:v>2023</x:v>
      </x:c>
      <x:c r="D68" s="6">
        <x:v>11</x:v>
      </x:c>
      <x:c r="E68" s="6" t="s">
        <x:v>37</x:v>
      </x:c>
      <x:c r="F68" s="3">
        <x:v>-13115.87</x:v>
      </x:c>
      <x:c r="G68" s="6" t="s">
        <x:v>0</x:v>
      </x:c>
      <x:c r="H68" s="6"/>
    </x:row>
    <x:row r="69" spans="1:8" x14ac:dyDescent="0.25">
      <x:c r="A69" s="6" t="s">
        <x:v>1</x:v>
      </x:c>
      <x:c r="B69" s="6" t="s">
        <x:v>17</x:v>
      </x:c>
      <x:c r="C69" s="6">
        <x:v>2023</x:v>
      </x:c>
      <x:c r="D69" s="6">
        <x:v>11</x:v>
      </x:c>
      <x:c r="E69" s="6" t="s">
        <x:v>38</x:v>
      </x:c>
      <x:c r="F69" s="3">
        <x:v>-344271.89</x:v>
      </x:c>
      <x:c r="G69" s="6" t="s">
        <x:v>0</x:v>
      </x:c>
      <x:c r="H69" s="6"/>
    </x:row>
    <x:row r="70" spans="1:8" x14ac:dyDescent="0.25">
      <x:c r="A70" s="6" t="s">
        <x:v>1</x:v>
      </x:c>
      <x:c r="B70" s="6" t="s">
        <x:v>18</x:v>
      </x:c>
      <x:c r="C70" s="6">
        <x:v>2023</x:v>
      </x:c>
      <x:c r="D70" s="6">
        <x:v>12</x:v>
      </x:c>
      <x:c r="E70" s="6" t="s">
        <x:v>37</x:v>
      </x:c>
      <x:c r="F70" s="3">
        <x:v>-13115.87</x:v>
      </x:c>
      <x:c r="G70" s="6" t="s">
        <x:v>0</x:v>
      </x:c>
      <x:c r="H70" s="6" t="s">
        <x:v>58</x:v>
      </x:c>
    </x:row>
    <x:row r="71" spans="1:8" x14ac:dyDescent="0.25">
      <x:c r="A71" s="6" t="s">
        <x:v>1</x:v>
      </x:c>
      <x:c r="B71" s="6" t="s">
        <x:v>18</x:v>
      </x:c>
      <x:c r="C71" s="6">
        <x:v>2023</x:v>
      </x:c>
      <x:c r="D71" s="6">
        <x:v>12</x:v>
      </x:c>
      <x:c r="E71" s="6" t="s">
        <x:v>38</x:v>
      </x:c>
      <x:c r="F71" s="3">
        <x:v>-344271.89</x:v>
      </x:c>
      <x:c r="G71" s="6" t="s">
        <x:v>0</x:v>
      </x:c>
      <x:c r="H71" s="10" t="s">
        <x:v>31</x:v>
      </x:c>
    </x:row>
    <x:row r="72" spans="1:8" x14ac:dyDescent="0.25">
      <x:c r="A72" s="11" t="s">
        <x:v>1</x:v>
      </x:c>
      <x:c r="B72" s="11" t="s">
        <x:v>19</x:v>
      </x:c>
      <x:c r="C72" s="11">
        <x:v>2024</x:v>
      </x:c>
      <x:c r="D72" s="11">
        <x:v>1</x:v>
      </x:c>
      <x:c r="E72" s="11" t="s">
        <x:v>37</x:v>
      </x:c>
      <x:c r="F72" s="12">
        <x:v>-13115.87</x:v>
      </x:c>
      <x:c r="G72" s="11" t="s">
        <x:v>0</x:v>
      </x:c>
      <x:c r="H72" s="12">
        <x:f t="shared" ref="H72:H95" si="3">-F72</x:f>
        <x:v>13115.87</x:v>
      </x:c>
    </x:row>
    <x:row r="73" spans="1:8" x14ac:dyDescent="0.25">
      <x:c r="A73" s="11" t="s">
        <x:v>1</x:v>
      </x:c>
      <x:c r="B73" s="11" t="s">
        <x:v>19</x:v>
      </x:c>
      <x:c r="C73" s="11">
        <x:v>2024</x:v>
      </x:c>
      <x:c r="D73" s="11">
        <x:v>1</x:v>
      </x:c>
      <x:c r="E73" s="11" t="s">
        <x:v>38</x:v>
      </x:c>
      <x:c r="F73" s="12">
        <x:v>-344271.89</x:v>
      </x:c>
      <x:c r="G73" s="11" t="s">
        <x:v>0</x:v>
      </x:c>
      <x:c r="H73" s="12">
        <x:f t="shared" si="3"/>
        <x:v>344271.89</x:v>
      </x:c>
    </x:row>
    <x:row r="74" spans="1:8" x14ac:dyDescent="0.25">
      <x:c r="A74" s="11" t="s">
        <x:v>1</x:v>
      </x:c>
      <x:c r="B74" s="11" t="s">
        <x:v>20</x:v>
      </x:c>
      <x:c r="C74" s="11">
        <x:v>2024</x:v>
      </x:c>
      <x:c r="D74" s="11">
        <x:v>2</x:v>
      </x:c>
      <x:c r="E74" s="11" t="s">
        <x:v>37</x:v>
      </x:c>
      <x:c r="F74" s="12">
        <x:v>-13115.87</x:v>
      </x:c>
      <x:c r="G74" s="11" t="s">
        <x:v>0</x:v>
      </x:c>
      <x:c r="H74" s="12">
        <x:f t="shared" si="3"/>
        <x:v>13115.87</x:v>
      </x:c>
    </x:row>
    <x:row r="75" spans="1:8" x14ac:dyDescent="0.25">
      <x:c r="A75" s="11" t="s">
        <x:v>1</x:v>
      </x:c>
      <x:c r="B75" s="11" t="s">
        <x:v>20</x:v>
      </x:c>
      <x:c r="C75" s="11">
        <x:v>2024</x:v>
      </x:c>
      <x:c r="D75" s="11">
        <x:v>2</x:v>
      </x:c>
      <x:c r="E75" s="11" t="s">
        <x:v>38</x:v>
      </x:c>
      <x:c r="F75" s="12">
        <x:v>-344271.89</x:v>
      </x:c>
      <x:c r="G75" s="11" t="s">
        <x:v>0</x:v>
      </x:c>
      <x:c r="H75" s="12">
        <x:f t="shared" si="3"/>
        <x:v>344271.89</x:v>
      </x:c>
    </x:row>
    <x:row r="76" spans="1:8" x14ac:dyDescent="0.25">
      <x:c r="A76" s="11" t="s">
        <x:v>1</x:v>
      </x:c>
      <x:c r="B76" s="11" t="s">
        <x:v>21</x:v>
      </x:c>
      <x:c r="C76" s="11">
        <x:v>2024</x:v>
      </x:c>
      <x:c r="D76" s="11">
        <x:v>3</x:v>
      </x:c>
      <x:c r="E76" s="11" t="s">
        <x:v>37</x:v>
      </x:c>
      <x:c r="F76" s="12">
        <x:v>-13115.87</x:v>
      </x:c>
      <x:c r="G76" s="11" t="s">
        <x:v>0</x:v>
      </x:c>
      <x:c r="H76" s="12">
        <x:f t="shared" si="3"/>
        <x:v>13115.87</x:v>
      </x:c>
    </x:row>
    <x:row r="77" spans="1:8" x14ac:dyDescent="0.25">
      <x:c r="A77" s="11" t="s">
        <x:v>1</x:v>
      </x:c>
      <x:c r="B77" s="11" t="s">
        <x:v>21</x:v>
      </x:c>
      <x:c r="C77" s="11">
        <x:v>2024</x:v>
      </x:c>
      <x:c r="D77" s="11">
        <x:v>3</x:v>
      </x:c>
      <x:c r="E77" s="11" t="s">
        <x:v>38</x:v>
      </x:c>
      <x:c r="F77" s="12">
        <x:v>-344271.89</x:v>
      </x:c>
      <x:c r="G77" s="11" t="s">
        <x:v>0</x:v>
      </x:c>
      <x:c r="H77" s="12">
        <x:f t="shared" si="3"/>
        <x:v>344271.89</x:v>
      </x:c>
    </x:row>
    <x:row r="78" spans="1:8" x14ac:dyDescent="0.25">
      <x:c r="A78" s="11" t="s">
        <x:v>1</x:v>
      </x:c>
      <x:c r="B78" s="11" t="s">
        <x:v>22</x:v>
      </x:c>
      <x:c r="C78" s="11">
        <x:v>2024</x:v>
      </x:c>
      <x:c r="D78" s="11">
        <x:v>4</x:v>
      </x:c>
      <x:c r="E78" s="11" t="s">
        <x:v>37</x:v>
      </x:c>
      <x:c r="F78" s="12">
        <x:v>-13115.87</x:v>
      </x:c>
      <x:c r="G78" s="11" t="s">
        <x:v>0</x:v>
      </x:c>
      <x:c r="H78" s="12">
        <x:f t="shared" si="3"/>
        <x:v>13115.87</x:v>
      </x:c>
    </x:row>
    <x:row r="79" spans="1:8" x14ac:dyDescent="0.25">
      <x:c r="A79" s="11" t="s">
        <x:v>1</x:v>
      </x:c>
      <x:c r="B79" s="11" t="s">
        <x:v>22</x:v>
      </x:c>
      <x:c r="C79" s="11">
        <x:v>2024</x:v>
      </x:c>
      <x:c r="D79" s="11">
        <x:v>4</x:v>
      </x:c>
      <x:c r="E79" s="11" t="s">
        <x:v>38</x:v>
      </x:c>
      <x:c r="F79" s="12">
        <x:v>-344271.89</x:v>
      </x:c>
      <x:c r="G79" s="11" t="s">
        <x:v>0</x:v>
      </x:c>
      <x:c r="H79" s="12">
        <x:f t="shared" si="3"/>
        <x:v>344271.89</x:v>
      </x:c>
    </x:row>
    <x:row r="80" spans="1:8" x14ac:dyDescent="0.25">
      <x:c r="A80" s="11" t="s">
        <x:v>1</x:v>
      </x:c>
      <x:c r="B80" s="11" t="s">
        <x:v>23</x:v>
      </x:c>
      <x:c r="C80" s="11">
        <x:v>2024</x:v>
      </x:c>
      <x:c r="D80" s="11">
        <x:v>5</x:v>
      </x:c>
      <x:c r="E80" s="11" t="s">
        <x:v>37</x:v>
      </x:c>
      <x:c r="F80" s="12">
        <x:v>-13115.87</x:v>
      </x:c>
      <x:c r="G80" s="11" t="s">
        <x:v>0</x:v>
      </x:c>
      <x:c r="H80" s="12">
        <x:f t="shared" si="3"/>
        <x:v>13115.87</x:v>
      </x:c>
    </x:row>
    <x:row r="81" spans="1:9" x14ac:dyDescent="0.25">
      <x:c r="A81" s="11" t="s">
        <x:v>1</x:v>
      </x:c>
      <x:c r="B81" s="11" t="s">
        <x:v>23</x:v>
      </x:c>
      <x:c r="C81" s="11">
        <x:v>2024</x:v>
      </x:c>
      <x:c r="D81" s="11">
        <x:v>5</x:v>
      </x:c>
      <x:c r="E81" s="11" t="s">
        <x:v>38</x:v>
      </x:c>
      <x:c r="F81" s="12">
        <x:v>-344271.89</x:v>
      </x:c>
      <x:c r="G81" s="11" t="s">
        <x:v>0</x:v>
      </x:c>
      <x:c r="H81" s="12">
        <x:f t="shared" si="3"/>
        <x:v>344271.89</x:v>
      </x:c>
    </x:row>
    <x:row r="82" spans="1:9" x14ac:dyDescent="0.25">
      <x:c r="A82" s="11" t="s">
        <x:v>1</x:v>
      </x:c>
      <x:c r="B82" s="11" t="s">
        <x:v>24</x:v>
      </x:c>
      <x:c r="C82" s="11">
        <x:v>2024</x:v>
      </x:c>
      <x:c r="D82" s="11">
        <x:v>6</x:v>
      </x:c>
      <x:c r="E82" s="11" t="s">
        <x:v>37</x:v>
      </x:c>
      <x:c r="F82" s="12">
        <x:v>-13115.87</x:v>
      </x:c>
      <x:c r="G82" s="11" t="s">
        <x:v>0</x:v>
      </x:c>
      <x:c r="H82" s="12">
        <x:f t="shared" si="3"/>
        <x:v>13115.87</x:v>
      </x:c>
    </x:row>
    <x:row r="83" spans="1:9" x14ac:dyDescent="0.25">
      <x:c r="A83" s="11" t="s">
        <x:v>1</x:v>
      </x:c>
      <x:c r="B83" s="11" t="s">
        <x:v>24</x:v>
      </x:c>
      <x:c r="C83" s="11">
        <x:v>2024</x:v>
      </x:c>
      <x:c r="D83" s="11">
        <x:v>6</x:v>
      </x:c>
      <x:c r="E83" s="11" t="s">
        <x:v>38</x:v>
      </x:c>
      <x:c r="F83" s="12">
        <x:v>-344271.89</x:v>
      </x:c>
      <x:c r="G83" s="11" t="s">
        <x:v>0</x:v>
      </x:c>
      <x:c r="H83" s="12">
        <x:f t="shared" si="3"/>
        <x:v>344271.89</x:v>
      </x:c>
    </x:row>
    <x:row r="84" spans="1:9" x14ac:dyDescent="0.25">
      <x:c r="A84" s="11" t="s">
        <x:v>1</x:v>
      </x:c>
      <x:c r="B84" s="11" t="s">
        <x:v>25</x:v>
      </x:c>
      <x:c r="C84" s="11">
        <x:v>2024</x:v>
      </x:c>
      <x:c r="D84" s="11">
        <x:v>7</x:v>
      </x:c>
      <x:c r="E84" s="11" t="s">
        <x:v>37</x:v>
      </x:c>
      <x:c r="F84" s="12">
        <x:v>-13115.87</x:v>
      </x:c>
      <x:c r="G84" s="11" t="s">
        <x:v>0</x:v>
      </x:c>
      <x:c r="H84" s="12">
        <x:f t="shared" si="3"/>
        <x:v>13115.87</x:v>
      </x:c>
    </x:row>
    <x:row r="85" spans="1:9" x14ac:dyDescent="0.25">
      <x:c r="A85" s="11" t="s">
        <x:v>1</x:v>
      </x:c>
      <x:c r="B85" s="11" t="s">
        <x:v>25</x:v>
      </x:c>
      <x:c r="C85" s="11">
        <x:v>2024</x:v>
      </x:c>
      <x:c r="D85" s="11">
        <x:v>7</x:v>
      </x:c>
      <x:c r="E85" s="11" t="s">
        <x:v>38</x:v>
      </x:c>
      <x:c r="F85" s="12">
        <x:v>-344271.89</x:v>
      </x:c>
      <x:c r="G85" s="11" t="s">
        <x:v>0</x:v>
      </x:c>
      <x:c r="H85" s="12">
        <x:f t="shared" si="3"/>
        <x:v>344271.89</x:v>
      </x:c>
    </x:row>
    <x:row r="86" spans="1:9" x14ac:dyDescent="0.25">
      <x:c r="A86" s="11" t="s">
        <x:v>1</x:v>
      </x:c>
      <x:c r="B86" s="11" t="s">
        <x:v>26</x:v>
      </x:c>
      <x:c r="C86" s="11">
        <x:v>2024</x:v>
      </x:c>
      <x:c r="D86" s="11">
        <x:v>8</x:v>
      </x:c>
      <x:c r="E86" s="11" t="s">
        <x:v>37</x:v>
      </x:c>
      <x:c r="F86" s="12">
        <x:v>-13115.87</x:v>
      </x:c>
      <x:c r="G86" s="11" t="s">
        <x:v>0</x:v>
      </x:c>
      <x:c r="H86" s="12">
        <x:f t="shared" si="3"/>
        <x:v>13115.87</x:v>
      </x:c>
    </x:row>
    <x:row r="87" spans="1:9" x14ac:dyDescent="0.25">
      <x:c r="A87" s="11" t="s">
        <x:v>1</x:v>
      </x:c>
      <x:c r="B87" s="11" t="s">
        <x:v>26</x:v>
      </x:c>
      <x:c r="C87" s="11">
        <x:v>2024</x:v>
      </x:c>
      <x:c r="D87" s="11">
        <x:v>8</x:v>
      </x:c>
      <x:c r="E87" s="11" t="s">
        <x:v>38</x:v>
      </x:c>
      <x:c r="F87" s="12">
        <x:v>-344271.89</x:v>
      </x:c>
      <x:c r="G87" s="11" t="s">
        <x:v>0</x:v>
      </x:c>
      <x:c r="H87" s="12">
        <x:f t="shared" si="3"/>
        <x:v>344271.89</x:v>
      </x:c>
    </x:row>
    <x:row r="88" spans="1:9" x14ac:dyDescent="0.25">
      <x:c r="A88" s="11" t="s">
        <x:v>1</x:v>
      </x:c>
      <x:c r="B88" s="11" t="s">
        <x:v>27</x:v>
      </x:c>
      <x:c r="C88" s="11">
        <x:v>2024</x:v>
      </x:c>
      <x:c r="D88" s="11">
        <x:v>9</x:v>
      </x:c>
      <x:c r="E88" s="11" t="s">
        <x:v>37</x:v>
      </x:c>
      <x:c r="F88" s="12">
        <x:v>-13115.87</x:v>
      </x:c>
      <x:c r="G88" s="11" t="s">
        <x:v>0</x:v>
      </x:c>
      <x:c r="H88" s="12">
        <x:f t="shared" si="3"/>
        <x:v>13115.87</x:v>
      </x:c>
    </x:row>
    <x:row r="89" spans="1:9" x14ac:dyDescent="0.25">
      <x:c r="A89" s="11" t="s">
        <x:v>1</x:v>
      </x:c>
      <x:c r="B89" s="11" t="s">
        <x:v>27</x:v>
      </x:c>
      <x:c r="C89" s="11">
        <x:v>2024</x:v>
      </x:c>
      <x:c r="D89" s="11">
        <x:v>9</x:v>
      </x:c>
      <x:c r="E89" s="11" t="s">
        <x:v>38</x:v>
      </x:c>
      <x:c r="F89" s="12">
        <x:v>-344271.89</x:v>
      </x:c>
      <x:c r="G89" s="11" t="s">
        <x:v>0</x:v>
      </x:c>
      <x:c r="H89" s="12">
        <x:f t="shared" si="3"/>
        <x:v>344271.89</x:v>
      </x:c>
    </x:row>
    <x:row r="90" spans="1:9" x14ac:dyDescent="0.25">
      <x:c r="A90" s="11" t="s">
        <x:v>1</x:v>
      </x:c>
      <x:c r="B90" s="11" t="s">
        <x:v>28</x:v>
      </x:c>
      <x:c r="C90" s="11">
        <x:v>2024</x:v>
      </x:c>
      <x:c r="D90" s="11">
        <x:v>10</x:v>
      </x:c>
      <x:c r="E90" s="11" t="s">
        <x:v>37</x:v>
      </x:c>
      <x:c r="F90" s="12">
        <x:v>-13115.87</x:v>
      </x:c>
      <x:c r="G90" s="11" t="s">
        <x:v>0</x:v>
      </x:c>
      <x:c r="H90" s="12">
        <x:f t="shared" si="3"/>
        <x:v>13115.87</x:v>
      </x:c>
    </x:row>
    <x:row r="91" spans="1:9" x14ac:dyDescent="0.25">
      <x:c r="A91" s="11" t="s">
        <x:v>1</x:v>
      </x:c>
      <x:c r="B91" s="11" t="s">
        <x:v>28</x:v>
      </x:c>
      <x:c r="C91" s="11">
        <x:v>2024</x:v>
      </x:c>
      <x:c r="D91" s="11">
        <x:v>10</x:v>
      </x:c>
      <x:c r="E91" s="11" t="s">
        <x:v>38</x:v>
      </x:c>
      <x:c r="F91" s="12">
        <x:v>-344271.89</x:v>
      </x:c>
      <x:c r="G91" s="11" t="s">
        <x:v>0</x:v>
      </x:c>
      <x:c r="H91" s="12">
        <x:f t="shared" si="3"/>
        <x:v>344271.89</x:v>
      </x:c>
    </x:row>
    <x:row r="92" spans="1:9" x14ac:dyDescent="0.25">
      <x:c r="A92" s="11" t="s">
        <x:v>1</x:v>
      </x:c>
      <x:c r="B92" s="11" t="s">
        <x:v>29</x:v>
      </x:c>
      <x:c r="C92" s="11">
        <x:v>2024</x:v>
      </x:c>
      <x:c r="D92" s="11">
        <x:v>11</x:v>
      </x:c>
      <x:c r="E92" s="11" t="s">
        <x:v>37</x:v>
      </x:c>
      <x:c r="F92" s="12">
        <x:v>-13115.87</x:v>
      </x:c>
      <x:c r="G92" s="11" t="s">
        <x:v>0</x:v>
      </x:c>
      <x:c r="H92" s="12">
        <x:f t="shared" si="3"/>
        <x:v>13115.87</x:v>
      </x:c>
    </x:row>
    <x:row r="93" spans="1:9" x14ac:dyDescent="0.25">
      <x:c r="A93" s="11" t="s">
        <x:v>1</x:v>
      </x:c>
      <x:c r="B93" s="11" t="s">
        <x:v>29</x:v>
      </x:c>
      <x:c r="C93" s="11">
        <x:v>2024</x:v>
      </x:c>
      <x:c r="D93" s="11">
        <x:v>11</x:v>
      </x:c>
      <x:c r="E93" s="11" t="s">
        <x:v>38</x:v>
      </x:c>
      <x:c r="F93" s="12">
        <x:v>-344271.89</x:v>
      </x:c>
      <x:c r="G93" s="11" t="s">
        <x:v>0</x:v>
      </x:c>
      <x:c r="H93" s="12">
        <x:f t="shared" si="3"/>
        <x:v>344271.89</x:v>
      </x:c>
    </x:row>
    <x:row r="94" spans="1:9" x14ac:dyDescent="0.25">
      <x:c r="A94" s="11" t="s">
        <x:v>1</x:v>
      </x:c>
      <x:c r="B94" s="11" t="s">
        <x:v>30</x:v>
      </x:c>
      <x:c r="C94" s="11">
        <x:v>2024</x:v>
      </x:c>
      <x:c r="D94" s="11">
        <x:v>12</x:v>
      </x:c>
      <x:c r="E94" s="11" t="s">
        <x:v>37</x:v>
      </x:c>
      <x:c r="F94" s="12">
        <x:v>-13115.87</x:v>
      </x:c>
      <x:c r="G94" s="11" t="s">
        <x:v>0</x:v>
      </x:c>
      <x:c r="H94" s="12">
        <x:f t="shared" si="3"/>
        <x:v>13115.87</x:v>
      </x:c>
    </x:row>
    <x:row r="95" spans="1:9" x14ac:dyDescent="0.25">
      <x:c r="A95" s="11" t="s">
        <x:v>1</x:v>
      </x:c>
      <x:c r="B95" s="11" t="s">
        <x:v>30</x:v>
      </x:c>
      <x:c r="C95" s="11">
        <x:v>2024</x:v>
      </x:c>
      <x:c r="D95" s="11">
        <x:v>12</x:v>
      </x:c>
      <x:c r="E95" s="11" t="s">
        <x:v>38</x:v>
      </x:c>
      <x:c r="F95" s="12">
        <x:v>-344271.89</x:v>
      </x:c>
      <x:c r="G95" s="11" t="s">
        <x:v>0</x:v>
      </x:c>
      <x:c r="H95" s="13">
        <x:f t="shared" si="3"/>
        <x:v>344271.89</x:v>
      </x:c>
    </x:row>
    <x:row r="96" spans="1:9" x14ac:dyDescent="0.25">
      <x:c r="F96" s="8"/>
      <x:c r="H96" s="12">
        <x:f>SUM(H72:H95)</x:f>
        <x:v>4288653.120000002</x:v>
      </x:c>
      <x:c r="I96" s="15"/>
    </x:row>
    <x:row r="97" spans="1:8" x14ac:dyDescent="0.25">
      <x:c r="B97" s="1" t="s">
        <x:v>32</x:v>
      </x:c>
      <x:c r="C97" s="1"/>
      <x:c r="D97" s="1"/>
      <x:c r="E97" s="1"/>
      <x:c r="F97" s="17">
        <x:f>F99+SUM(F9:F95)</x:f>
        <x:v>80206044.049999982</x:v>
      </x:c>
      <x:c r="G97" s="20"/>
    </x:row>
    <x:row r="98" spans="1:8" x14ac:dyDescent="0.25">
      <x:c r="F98" s="7"/>
      <x:c r="G98" s="20"/>
    </x:row>
    <x:row r="99" spans="1:8" x14ac:dyDescent="0.25">
      <x:c r="A99" s="2" t="s">
        <x:v>33</x:v>
      </x:c>
      <x:c r="F99" s="16">
        <x:v>99800877</x:v>
      </x:c>
      <x:c r="G99" s="20"/>
      <x:c r="H99" s="19"/>
    </x:row>
    <x:row r="101" spans="1:8" x14ac:dyDescent="0.25">
      <x:c r="H101" s="25"/>
    </x:row>
    <x:row r="102" spans="1:8" x14ac:dyDescent="0.25">
      <x:c r="A102" s="2" t="s">
        <x:v>62</x:v>
      </x:c>
      <x:c r="H102" s="6"/>
    </x:row>
    <x:row r="103" spans="1:8" x14ac:dyDescent="0.25">
      <x:c r="A103" s="2" t="s">
        <x:v>63</x:v>
      </x:c>
      <x:c r="F103" s="2"/>
      <x:c r="G103" s="14">
        <x:f>H96+H55</x:f>
        <x:v>12487397.880000003</x:v>
      </x:c>
      <x:c r="H103" s="26"/>
    </x:row>
    <x:row r="104" spans="1:8" x14ac:dyDescent="0.25">
      <x:c r="A104" s="2" t="s">
        <x:v>34</x:v>
      </x:c>
      <x:c r="F104" s="2"/>
      <x:c r="G104" s="9">
        <x:f>F99/G103</x:f>
        <x:v>7.9921275800655422</x:v>
      </x:c>
      <x:c r="H104" s="26"/>
    </x:row>
    <x:row r="105" spans="1:8" x14ac:dyDescent="0.25">
      <x:c r="A105" s="2" t="s">
        <x:v>35</x:v>
      </x:c>
      <x:c r="F105" s="2"/>
      <x:c r="G105" s="9">
        <x:f>F97/G103</x:f>
        <x:v>6.4229589559614455</x:v>
      </x:c>
      <x:c r="H105" s="27"/>
    </x:row>
    <x:row r="106" spans="1:8" x14ac:dyDescent="0.25">
      <x:c r="H106" s="24"/>
    </x:row>
  </x:sheetData>
  <x:mergeCells count="1">
    <x:mergeCell ref="I25:I30"/>
  </x:mergeCells>
  <x:printOptions horizontalCentered="1"/>
  <x:pageMargins left="0.75" right="0.75" top="2" bottom="1" header="0.75" footer="0.5"/>
  <x:pageSetup scale="56" fitToHeight="0" orientation="landscape" r:id="rId1"/>
  <x:headerFooter>
    <x:oddHeader>&amp;C&amp;"Arial,Bold"&amp;12
2025 RATE CASE
ONCOR ELECTRIC DELIVERY COMPANY LLC
RECOVERY OF THE GENERAL PLANT RESERVE IMBALANCE
FOR THE TEST YEAR ENDING DECEMBER 31, 2024
SPONSOR: W. A. LEDBETTER&amp;R&amp;"Arial,Bold"&amp;12WP/II-E-1/03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2025-04-07T16:30:14.0000000Z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