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V:\2025 Rate Case\Section II (Test Year Data)\Schedule E (Other Items)\Schedule II-E Workpapers\"/>
    </mc:Choice>
  </mc:AlternateContent>
  <xr:revisionPtr revIDLastSave="0" documentId="13_ncr:1_{4535A4D2-C143-49A0-A500-4B46B71A4482}" xr6:coauthVersionLast="47" xr6:coauthVersionMax="47" xr10:uidLastSave="{00000000-0000-0000-0000-000000000000}"/>
  <x:bookViews>
    <x:workbookView xWindow="28635" yWindow="-165" windowWidth="29130" windowHeight="15810" xr2:uid="{0E79AEF4-74BE-4D85-A9A2-5B22F2E395CC}"/>
  </x:bookViews>
  <x:sheets>
    <x:sheet name="WP_II-E-5 Other Revenues page 1" sheetId="1" r:id="rId1"/>
    <x:sheet name="WP_II-E-5 Other Revenues page 2" sheetId="2" r:id="rId2"/>
  </x:sheets>
  <x:externalReferences>
    <x:externalReference r:id="rId3"/>
    <x:externalReference r:id="rId4"/>
  </x:externalReferences>
  <x:definedNames>
    <x:definedName name="_NP1">#REF!</x:definedName>
    <x:definedName name="_NP10">#REF!</x:definedName>
    <x:definedName name="_NP11">#REF!</x:definedName>
    <x:definedName name="_NP12">#REF!</x:definedName>
    <x:definedName name="_NP13">#REF!</x:definedName>
    <x:definedName name="_NP14">#REF!</x:definedName>
    <x:definedName name="_NP15">#REF!</x:definedName>
    <x:definedName name="_NP16">#REF!</x:definedName>
    <x:definedName name="_NP17">#REF!</x:definedName>
    <x:definedName name="_NP18">#REF!</x:definedName>
    <x:definedName name="_NP19">#REF!</x:definedName>
    <x:definedName name="_NP2">#REF!</x:definedName>
    <x:definedName name="_NP20">#REF!</x:definedName>
    <x:definedName name="_NP3">#REF!</x:definedName>
    <x:definedName name="_NP4">#REF!</x:definedName>
    <x:definedName name="_NP5">#REF!</x:definedName>
    <x:definedName name="_NP6">#REF!</x:definedName>
    <x:definedName name="_NP7">#REF!</x:definedName>
    <x:definedName name="_NP8">#REF!</x:definedName>
    <x:definedName name="_NP9">#REF!</x:definedName>
    <x:definedName name="ASD">#REF!</x:definedName>
    <x:definedName name="NvsAnswerCol">"'[DR_1152821_1161812_TRN Trial Balance Dec 2017.xls]Sheet1'!$A$7:$A$312"</x:definedName>
    <x:definedName name="NvsASD">"V2017-12-31"</x:definedName>
    <x:definedName name="NvsAutoDrillOk">"VN"</x:definedName>
    <x:definedName name="NvsElapsedTime">0.000370370369637385</x:definedName>
    <x:definedName name="NvsEndTime">42027.2527314815</x:definedName>
    <x:definedName name="NvsInstLang">"VENG"</x:definedName>
    <x:definedName name="NvsInstSpec">"%,LTU_SUM01,SBAL,FACCOUNT,V4549000"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"%,X,RZF..,CZF.."</x:definedName>
    <x:definedName name="NvsPanelBusUnit">"V"</x:definedName>
    <x:definedName name="NvsPanelEffdt">"V3000-01-01"</x:definedName>
    <x:definedName name="NvsPanelSetid">"VSHARE"</x:definedName>
    <x:definedName name="NvsParentRef">"'[TRN Trial Balance Dec 2017.xls]Sheet1'!$T$227"</x:definedName>
    <x:definedName name="NvsReqBU">"VTRN"</x:definedName>
    <x:definedName name="NvsReqBUOnly">"VY"</x:definedName>
    <x:definedName name="NvsTranslateLedger">#REF!</x:definedName>
    <x:definedName name="NvsTransLed">"VY"</x:definedName>
    <x:definedName name="NvsTree.F_ACNT_D_NONRG">"YSNYN"</x:definedName>
    <x:definedName name="NvsTree.F_BU_D_BASE_FCR">"YSNNN"</x:definedName>
    <x:definedName name="NvsTreeASD">"V2017-12-31"</x:definedName>
    <x:definedName name="NvsValTbl.ACCOUNT">"GL_ACCOUNT_TBL"</x:definedName>
    <x:definedName name="NvsValTbl.AFFILIATE">"AFFILIATE_VW"</x:definedName>
    <x:definedName name="NvsValTbl.BUSINESS_UNIT">"BUS_UNIT_TBL_GL"</x:definedName>
    <x:definedName name="NvsValTbl.CURRENCY_CD">"CURRENCY_CD_VW"</x:definedName>
    <x:definedName name="NvsValTbl.PF_SCENARIO_ID">"PF_SCENARIO_VW"</x:definedName>
    <x:definedName name="NvsValTbl.PROJECT_ID">"PROJECT"</x:definedName>
    <x:definedName name="NvsValTbl.SCENARIO">"SCENARIO_ALL_VW"</x:definedName>
    <x:definedName name="_xlnm.Print_Area" localSheetId="0">'WP_II-E-5 Other Revenues page 1'!$A$1:$N$92</x:definedName>
  </x:definedNames>
  <x:calcPr calcId="191029" iterate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P86" i="1" l="1"/>
  <x:c r="I84" i="1" l="1"/>
  <x:c r="M84" i="1"/>
  <x:c r="G78" i="1" l="1"/>
  <x:c r="I80" i="1" l="1"/>
  <x:c r="G80" i="1"/>
  <x:c r="M80" i="1" l="1"/>
  <x:c r="J97" i="1"/>
  <x:c r="L97" i="1"/>
  <x:c r="K96" i="1"/>
  <x:c r="I96" i="1"/>
  <x:c r="I35" i="1"/>
  <x:c r="I82" i="1"/>
  <x:c r="G82" i="1"/>
  <x:c r="D24" i="2"/>
  <x:c r="C24" i="2"/>
  <x:c r="B24" i="2"/>
  <x:c r="C26" i="2" s="1"/>
  <x:c r="G23" i="2"/>
  <x:c r="F23" i="2"/>
  <x:c r="G22" i="2"/>
  <x:c r="F22" i="2"/>
  <x:c r="G21" i="2"/>
  <x:c r="F21" i="2"/>
  <x:c r="G20" i="2"/>
  <x:c r="F20" i="2"/>
  <x:c r="G19" i="2"/>
  <x:c r="F19" i="2"/>
  <x:c r="G18" i="2"/>
  <x:c r="F18" i="2"/>
  <x:c r="G17" i="2"/>
  <x:c r="F17" i="2"/>
  <x:c r="G16" i="2"/>
  <x:c r="F16" i="2"/>
  <x:c r="G15" i="2"/>
  <x:c r="F15" i="2"/>
  <x:c r="G14" i="2"/>
  <x:c r="F14" i="2"/>
  <x:c r="G13" i="2"/>
  <x:c r="F13" i="2"/>
  <x:c r="G12" i="2"/>
  <x:c r="F12" i="2"/>
  <x:c r="G11" i="2"/>
  <x:c r="F11" i="2"/>
  <x:c r="G10" i="2"/>
  <x:c r="F10" i="2"/>
  <x:c r="G9" i="2"/>
  <x:c r="F9" i="2"/>
  <x:c r="E8" i="2"/>
  <x:c r="E24" i="2" s="1"/>
  <x:c r="D8" i="2"/>
  <x:c r="F8" i="2" s="1"/>
  <x:c r="F24" i="2" s="1"/>
  <x:c r="E26" i="2" l="1"/>
  <x:c r="G8" i="2"/>
  <x:c r="G24" i="2" s="1"/>
  <x:c r="G26" i="2" s="1"/>
  <x:c r="I79" i="1"/>
  <x:c r="M78" i="1"/>
  <x:c r="I83" i="1" l="1"/>
  <x:c r="M83" i="1" s="1"/>
  <x:c r="G81" i="1"/>
  <x:c r="G96" i="1" s="1"/>
  <x:c r="M96" i="1" s="1"/>
  <x:c r="M82" i="1" l="1"/>
  <x:c r="M81" i="1"/>
  <x:c r="M79" i="1"/>
  <x:c r="M85" i="1" l="1"/>
  <x:c r="K69" i="1"/>
  <x:c r="I69" i="1"/>
  <x:c r="M68" i="1"/>
  <x:c r="G69" i="1"/>
  <x:c r="M61" i="1"/>
  <x:c r="M60" i="1"/>
  <x:c r="G63" i="1"/>
  <x:c r="M63" i="1" s="1"/>
  <x:c r="M58" i="1"/>
  <x:c r="M57" i="1"/>
  <x:c r="M56" i="1"/>
  <x:c r="M55" i="1"/>
  <x:c r="M54" i="1"/>
  <x:c r="M53" i="1"/>
  <x:c r="K62" i="1"/>
  <x:c r="K64" i="1" s="1"/>
  <x:c r="I62" i="1"/>
  <x:c r="G62" i="1"/>
  <x:c r="K45" i="1"/>
  <x:c r="M44" i="1"/>
  <x:c r="G46" i="1"/>
  <x:c r="M46" i="1" s="1"/>
  <x:c r="M42" i="1"/>
  <x:c r="M41" i="1"/>
  <x:c r="M39" i="1"/>
  <x:c r="M38" i="1"/>
  <x:c r="M36" i="1"/>
  <x:c r="M35" i="1"/>
  <x:c r="M34" i="1"/>
  <x:c r="M33" i="1"/>
  <x:c r="M26" i="1"/>
  <x:c r="K71" i="1" l="1"/>
  <x:c r="K73" i="1" s="1"/>
  <x:c r="K87" i="1" s="1"/>
  <x:c r="K95" i="1" s="1"/>
  <x:c r="K97" i="1" s="1"/>
  <x:c r="G64" i="1"/>
  <x:c r="G71" i="1" s="1"/>
  <x:c r="M62" i="1"/>
  <x:c r="M64" i="1" s="1"/>
  <x:c r="M59" i="1"/>
  <x:c r="M43" i="1"/>
  <x:c r="M67" i="1"/>
  <x:c r="M52" i="1"/>
  <x:c r="G45" i="1"/>
  <x:c r="G47" i="1" s="1"/>
  <x:c r="I45" i="1"/>
  <x:c r="I47" i="1" s="1"/>
  <x:c r="M69" i="1"/>
  <x:c r="I64" i="1"/>
  <x:c r="I71" i="1" s="1"/>
  <x:c r="M47" i="1" l="1"/>
  <x:c r="G73" i="1"/>
  <x:c r="G87" i="1" s="1"/>
  <x:c r="G95" i="1" s="1"/>
  <x:c r="G97" i="1" s="1"/>
  <x:c r="M45" i="1"/>
  <x:c r="I73" i="1"/>
  <x:c r="I87" i="1" s="1"/>
  <x:c r="I95" i="1" s="1"/>
  <x:c r="M71" i="1"/>
  <x:c r="M73" i="1" l="1"/>
  <x:c r="M87" i="1" s="1"/>
  <x:c r="Q86" i="1" s="1"/>
  <x:c r="M95" i="1"/>
  <x:c r="M97" i="1" s="1"/>
  <x:c r="I97" i="1"/>
  <x:c r="Q76" i="1" l="1"/>
</x:calcChain>
</file>

<file path=xl/sharedStrings.xml><?xml version="1.0" encoding="utf-8"?>
<sst xmlns="http://schemas.openxmlformats.org/spreadsheetml/2006/main" count="146" uniqueCount="129">
  <si>
    <t xml:space="preserve">Total Consolidated Test Year Operating Revenue </t>
  </si>
  <si>
    <t>Less:  Retail T&amp;D Wires Revenue (CC,MC, DSC, DCRF)</t>
  </si>
  <si>
    <t>Less:  TCRF &amp; TSC Revenue (TCRF, TSC)</t>
  </si>
  <si>
    <t>Less:  TCRF - Over/Under Calculation (Billed)</t>
  </si>
  <si>
    <t>Less:  Advanced Meter Service</t>
  </si>
  <si>
    <t>Less:  Energy Efficiency Cost Recovery Factor</t>
  </si>
  <si>
    <t>Less:  Rate Case Expense Recovery Factor</t>
  </si>
  <si>
    <t>Less:  Remand</t>
  </si>
  <si>
    <t>Less: Mobile Generation</t>
  </si>
  <si>
    <t xml:space="preserve">Less:  Wholesale Rate NTS - Third Parties and Wholesale </t>
  </si>
  <si>
    <t>Wholesale Rate NTS - Oncor Legacy</t>
  </si>
  <si>
    <t>Less:  Wholesale Rate NTS - NTUSU</t>
  </si>
  <si>
    <t xml:space="preserve">Less:  </t>
  </si>
  <si>
    <t>Wholesale Rate (XFMR/DLS/Mobile Generation)</t>
  </si>
  <si>
    <t>Less:  WDSS _NTUSU</t>
  </si>
  <si>
    <t xml:space="preserve">Less: </t>
  </si>
  <si>
    <t>Unbilled Revenue DSC/DCRF/Discretionary</t>
  </si>
  <si>
    <t>Unbilled TCRF, EECRF, AMCRF, RCE</t>
  </si>
  <si>
    <t xml:space="preserve">Less:  Deferred Unbilled EECRF, TCRF, AMCRF, RCE &amp; Remand </t>
  </si>
  <si>
    <t>Deferred Unbilled TCRF, EECRF, AMCRF</t>
  </si>
  <si>
    <t>Total Consolidated Other Revenue Items</t>
  </si>
  <si>
    <t xml:space="preserve"> </t>
  </si>
  <si>
    <t>Distribution</t>
  </si>
  <si>
    <t>NTUSU</t>
  </si>
  <si>
    <t>Account</t>
  </si>
  <si>
    <t>Detail of Other Revenue Items</t>
  </si>
  <si>
    <t>Rev Credit</t>
  </si>
  <si>
    <t>Grand Totals</t>
  </si>
  <si>
    <t>Forfeited Discounts (Penalties for late payment)</t>
  </si>
  <si>
    <t>System Resiliency Plan</t>
  </si>
  <si>
    <t>Retail T&amp;D Discretionary Revenues</t>
  </si>
  <si>
    <t xml:space="preserve">Miscellaneous Service Revenue </t>
  </si>
  <si>
    <t>Rents from Pole Contacts</t>
  </si>
  <si>
    <t>Rents from Fiber Optics</t>
  </si>
  <si>
    <t>Rents from Other:</t>
  </si>
  <si>
    <t xml:space="preserve">  Antennna Lease</t>
  </si>
  <si>
    <t xml:space="preserve">  Rent from Property - ROW/Misc Bldg rentals</t>
  </si>
  <si>
    <t xml:space="preserve">  Total Cost of Ownership - NTU</t>
  </si>
  <si>
    <t xml:space="preserve">  Total Cost of Ownership - STU</t>
  </si>
  <si>
    <t>Sub-total Rents from Other</t>
  </si>
  <si>
    <t>Rents from Affiliate (NTUSU)</t>
  </si>
  <si>
    <t>Sub-total Rents - Account 454 (Consolidated)</t>
  </si>
  <si>
    <t>Check</t>
  </si>
  <si>
    <t>Other Revenue-Other</t>
  </si>
  <si>
    <t xml:space="preserve">  Miscellaneous Billings</t>
  </si>
  <si>
    <t xml:space="preserve">  Mutual Assistance</t>
  </si>
  <si>
    <t xml:space="preserve">  CIAC Gross Up</t>
  </si>
  <si>
    <t xml:space="preserve">  To, From &amp; Over - original DC tie</t>
  </si>
  <si>
    <t xml:space="preserve">  To, From &amp; Over - original DC tie - SMGPM</t>
  </si>
  <si>
    <t xml:space="preserve">  To, From &amp; Over - Mexico tie</t>
  </si>
  <si>
    <t xml:space="preserve">  Pro Rata/Dual Feed </t>
  </si>
  <si>
    <t xml:space="preserve">  Services provided to NTUSU (elim)</t>
  </si>
  <si>
    <t xml:space="preserve">  Services provided to SU</t>
  </si>
  <si>
    <t xml:space="preserve">  Tampering - TDSP energy portion of tampering</t>
  </si>
  <si>
    <t>Sub-total Other Revenue</t>
  </si>
  <si>
    <t xml:space="preserve">  TRN Services for NTUSU (elim)</t>
  </si>
  <si>
    <t>Other Revenue - Engineering and Operations</t>
  </si>
  <si>
    <t xml:space="preserve">  High Voltage maintenance - third parties</t>
  </si>
  <si>
    <t xml:space="preserve">  Facilities studies, interconnection studies, DG studies</t>
  </si>
  <si>
    <t>Sub-total Other Revenues - Engineering and Operations</t>
  </si>
  <si>
    <t>Sub-total Other Revenue - Account 456</t>
  </si>
  <si>
    <t>Oncor Electric Delivery Company LLC</t>
  </si>
  <si>
    <t>Other Revenues</t>
  </si>
  <si>
    <t>WDSS - NTUSU (eliminated for consolidation)</t>
  </si>
  <si>
    <t>Adjustments: Known and Measurable Changes</t>
  </si>
  <si>
    <t>Totals</t>
  </si>
  <si>
    <t>(1)</t>
  </si>
  <si>
    <t>(2)</t>
  </si>
  <si>
    <t>Power Factor</t>
  </si>
  <si>
    <t>(3)</t>
  </si>
  <si>
    <t>(4)</t>
  </si>
  <si>
    <t>Total K&amp;M changes</t>
  </si>
  <si>
    <t>Total Other Revenues</t>
  </si>
  <si>
    <t>Note</t>
  </si>
  <si>
    <t>See WP/IV-J-2/1, Page 2 of 2</t>
  </si>
  <si>
    <t>(a)</t>
  </si>
  <si>
    <t>Unadjusted 2024 Other Revenues - Regulated T&amp;D</t>
  </si>
  <si>
    <t>Transmission</t>
  </si>
  <si>
    <t>NTU TRAN</t>
  </si>
  <si>
    <t>detailed above</t>
  </si>
  <si>
    <t>Total Cost of Ownership &amp; Services to NTUSU T&amp;D</t>
  </si>
  <si>
    <t>2025 Rate Case</t>
  </si>
  <si>
    <t>For the Test Year Ending December 31, 2024</t>
  </si>
  <si>
    <t>Sponsor:  R. Prachyl</t>
  </si>
  <si>
    <t>Test Year</t>
  </si>
  <si>
    <t>K&amp;M Adjustment</t>
  </si>
  <si>
    <t>Adjusted Test Year</t>
  </si>
  <si>
    <t>TRAN</t>
  </si>
  <si>
    <t>DIST</t>
  </si>
  <si>
    <t>2009 CIAC gross-up amort</t>
  </si>
  <si>
    <t>Fully amortized in 2024</t>
  </si>
  <si>
    <t>2010 CIAC gross-up amort</t>
  </si>
  <si>
    <t>2011 CIAC gross-up amort</t>
  </si>
  <si>
    <t>2012 CIAC gross-up amort</t>
  </si>
  <si>
    <t>2013 CIAC gross-up amort</t>
  </si>
  <si>
    <t>2014 CIAC gross-up amort</t>
  </si>
  <si>
    <t>2015 CIAC gross-up amort</t>
  </si>
  <si>
    <t>2016 CIAC gross-up amort</t>
  </si>
  <si>
    <t>2017 CIAC gross-up amort</t>
  </si>
  <si>
    <t>2018 CIAC gross-up amort</t>
  </si>
  <si>
    <t>2019 CIAC gross-up amort</t>
  </si>
  <si>
    <t>2020 CIAC gross-up amort</t>
  </si>
  <si>
    <t>2021 CIAC gross-up amort</t>
  </si>
  <si>
    <t>2022 CIAC gross-up amort</t>
  </si>
  <si>
    <t>2023 CIAC gross-up amort</t>
  </si>
  <si>
    <t>2024 CIAC gross-up amort</t>
  </si>
  <si>
    <t>Total T&amp;D</t>
  </si>
  <si>
    <t>CIAC gross-up amortization recorded to revenue account 456.9000 based on the MACRS life of 15 years (offset to account 2539050).</t>
  </si>
  <si>
    <t xml:space="preserve">As a result of the Tax Reform Act of 1986, Contribution in Aid of Construction (CIAC) is defined as taxable income when received.  </t>
  </si>
  <si>
    <t xml:space="preserve">In order to avoid having other ratepayers bear a portion of the cost associated with CIAC, the amount of contribution received from the </t>
  </si>
  <si>
    <t xml:space="preserve">customer must be grossed up.  The percentage to gross up CIAC should be calculated to recover the time value of money difference between </t>
  </si>
  <si>
    <t>the current tax liability and the recovery of this expense through rates over the tax life of the asset.</t>
  </si>
  <si>
    <t>WP/II-E-5 Other Revenues</t>
  </si>
  <si>
    <t>Page 2 of 2</t>
  </si>
  <si>
    <t>K&amp;M adjustment for amortization of CIAC gross-up. See WP/II-E-5 Other Revenues page 2.</t>
  </si>
  <si>
    <t>Other Revenues - K&amp;M Adjustment - CIAC Gross-up Amortization (Account 456)</t>
  </si>
  <si>
    <t>Third-party</t>
  </si>
  <si>
    <t>Affiliate eliminated for consolidation</t>
  </si>
  <si>
    <t>Total Other Revenues incl. affiliate before eliminations</t>
  </si>
  <si>
    <t>K&amp;M adjustment for June 2024 TRAN affiliate billing (revenue). See WP/II-D ADJUSTMENT/35 for details.</t>
  </si>
  <si>
    <t>ROW and Miscellaneous</t>
  </si>
  <si>
    <t>Other Electric Revenues</t>
  </si>
  <si>
    <t>Discretionary Revenues</t>
  </si>
  <si>
    <t>Transmission (TRN)</t>
  </si>
  <si>
    <t>Distribution (ESD)</t>
  </si>
  <si>
    <t>Remove System Resiliency Plan deferred revenues</t>
  </si>
  <si>
    <t>Amortization for 2024 CIAC gross-up begins in 2025</t>
  </si>
  <si>
    <t>Remove 2024 Mutual Assistance</t>
  </si>
  <si>
    <t>See WP/IV-J-7/1, Page 11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</si>
</sst>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2" x14ac:knownFonts="1">
    <font>
      <sz val="10"/>
      <name val="Arial Unicode M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Unicode MS"/>
      <family val="2"/>
    </font>
    <font>
      <b/>
      <sz val="10"/>
      <name val="Arial"/>
      <family val="2"/>
    </font>
    <font>
      <b/>
      <sz val="10"/>
      <name val="Arial Unicode MS"/>
      <family val="2"/>
    </font>
    <font>
      <b/>
      <sz val="10"/>
      <name val="Arial Unicode MS"/>
      <family val="2"/>
    </font>
    <font>
      <sz val="10"/>
      <color rgb="FFFF0000"/>
      <name val="Arial Unicode MS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/>
      <top/>
      <bottom/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/>
    <xf numFmtId="0" fontId="2" fillId="0" borderId="0"/>
    <xf numFmtId="43" fontId="2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3"/>
    <xf numFmtId="0" fontId="4" fillId="0" borderId="0" xfId="3" applyFont="1" applyAlignment="1">
      <alignment horizontal="left"/>
    </xf>
    <xf numFmtId="0" fontId="3" fillId="0" borderId="0" xfId="0" applyFont="1"/>
    <xf numFmtId="43" fontId="0" fillId="0" borderId="0" xfId="4" applyFont="1" applyFill="1" applyBorder="1"/>
    <xf numFmtId="39" fontId="3" fillId="0" borderId="0" xfId="3" applyNumberFormat="1"/>
    <xf numFmtId="43" fontId="3" fillId="0" borderId="0" xfId="1" applyFont="1"/>
    <xf numFmtId="43" fontId="3" fillId="0" borderId="0" xfId="3" applyNumberFormat="1"/>
    <xf numFmtId="164" fontId="3" fillId="0" borderId="0" xfId="1" applyNumberFormat="1" applyFont="1"/>
    <xf numFmtId="7" fontId="3" fillId="0" borderId="0" xfId="3" applyNumberFormat="1"/>
    <xf numFmtId="7" fontId="3" fillId="0" borderId="0" xfId="1" applyNumberFormat="1" applyFont="1"/>
    <xf numFmtId="44" fontId="3" fillId="0" borderId="0" xfId="3" applyNumberFormat="1"/>
    <xf numFmtId="44" fontId="3" fillId="0" borderId="0" xfId="2"/>
    <xf numFmtId="0" fontId="3" fillId="0" borderId="0" xfId="3" applyAlignment="1">
      <alignment horizontal="center"/>
    </xf>
    <xf numFmtId="0" fontId="3" fillId="0" borderId="2" xfId="3" applyBorder="1"/>
    <xf numFmtId="0" fontId="3" fillId="0" borderId="2" xfId="3" applyBorder="1" applyAlignment="1">
      <alignment horizontal="center"/>
    </xf>
    <xf numFmtId="44" fontId="0" fillId="0" borderId="0" xfId="2" applyFont="1" applyFill="1"/>
    <xf numFmtId="164" fontId="3" fillId="0" borderId="0" xfId="3" applyNumberFormat="1"/>
    <xf numFmtId="44" fontId="3" fillId="0" borderId="0" xfId="2" applyFont="1" applyFill="1"/>
    <xf numFmtId="44" fontId="3" fillId="0" borderId="0" xfId="2" applyFill="1"/>
    <xf numFmtId="43" fontId="3" fillId="0" borderId="0" xfId="1" applyFont="1" applyFill="1"/>
    <xf numFmtId="44" fontId="0" fillId="0" borderId="0" xfId="2" applyFont="1"/>
    <xf numFmtId="44" fontId="0" fillId="0" borderId="0" xfId="2" applyFont="1" applyFill="1" applyBorder="1"/>
    <xf numFmtId="44" fontId="0" fillId="0" borderId="1" xfId="2" applyFont="1" applyFill="1" applyBorder="1"/>
    <xf numFmtId="44" fontId="0" fillId="0" borderId="1" xfId="2" applyFont="1" applyBorder="1"/>
    <xf numFmtId="44" fontId="3" fillId="0" borderId="1" xfId="2" applyFont="1" applyFill="1" applyBorder="1"/>
    <xf numFmtId="0" fontId="7" fillId="0" borderId="0" xfId="3" applyFont="1"/>
    <xf numFmtId="7" fontId="0" fillId="0" borderId="0" xfId="2" applyNumberFormat="1" applyFont="1" applyFill="1"/>
    <xf numFmtId="44" fontId="0" fillId="0" borderId="0" xfId="2" applyFont="1" applyBorder="1"/>
    <xf numFmtId="44" fontId="3" fillId="0" borderId="3" xfId="3" applyNumberFormat="1" applyBorder="1"/>
    <xf numFmtId="164" fontId="3" fillId="0" borderId="0" xfId="3" applyNumberFormat="1" applyAlignment="1">
      <alignment horizontal="left"/>
    </xf>
    <xf numFmtId="164" fontId="3" fillId="0" borderId="0" xfId="3" applyNumberFormat="1" applyFill="1"/>
    <xf numFmtId="0" fontId="3" fillId="0" borderId="0" xfId="3" applyFill="1"/>
    <xf numFmtId="43" fontId="3" fillId="0" borderId="0" xfId="3" applyNumberFormat="1" applyFill="1"/>
    <xf numFmtId="7" fontId="3" fillId="0" borderId="1" xfId="3" applyNumberForma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0" applyFont="1"/>
    <xf numFmtId="49" fontId="3" fillId="0" borderId="0" xfId="4" applyNumberFormat="1" applyFont="1" applyFill="1" applyAlignment="1">
      <alignment horizontal="center"/>
    </xf>
    <xf numFmtId="42" fontId="5" fillId="0" borderId="3" xfId="3" applyNumberFormat="1" applyFont="1" applyBorder="1"/>
    <xf numFmtId="0" fontId="5" fillId="0" borderId="0" xfId="3" applyFont="1"/>
    <xf numFmtId="0" fontId="4" fillId="0" borderId="0" xfId="0" applyFont="1"/>
    <xf numFmtId="42" fontId="5" fillId="0" borderId="0" xfId="3" applyNumberFormat="1" applyFont="1"/>
    <xf numFmtId="49" fontId="5" fillId="0" borderId="0" xfId="4" applyNumberFormat="1" applyFont="1" applyFill="1" applyAlignment="1">
      <alignment horizontal="center"/>
    </xf>
    <xf numFmtId="0" fontId="3" fillId="0" borderId="0" xfId="3" quotePrefix="1" applyFont="1"/>
    <xf numFmtId="0" fontId="3" fillId="0" borderId="0" xfId="3" applyFont="1"/>
    <xf numFmtId="0" fontId="3" fillId="0" borderId="0" xfId="0" applyFont="1" applyAlignment="1">
      <alignment horizontal="center"/>
    </xf>
    <xf numFmtId="0" fontId="3" fillId="0" borderId="0" xfId="3" applyFont="1" applyAlignment="1">
      <alignment horizontal="center"/>
    </xf>
    <xf numFmtId="44" fontId="3" fillId="0" borderId="0" xfId="2" applyFont="1" applyAlignment="1">
      <alignment horizontal="center"/>
    </xf>
    <xf numFmtId="44" fontId="3" fillId="0" borderId="0" xfId="2" applyFont="1"/>
    <xf numFmtId="44" fontId="0" fillId="0" borderId="2" xfId="2" applyFont="1" applyFill="1" applyBorder="1"/>
    <xf numFmtId="0" fontId="4" fillId="0" borderId="0" xfId="6" applyFont="1" applyAlignment="1">
      <alignment horizontal="left"/>
    </xf>
    <xf numFmtId="0" fontId="2" fillId="0" borderId="0" xfId="7"/>
    <xf numFmtId="14" fontId="4" fillId="0" borderId="0" xfId="6" applyNumberFormat="1" applyFont="1" applyAlignment="1">
      <alignment horizontal="left"/>
    </xf>
    <xf numFmtId="0" fontId="2" fillId="0" borderId="2" xfId="7" applyBorder="1" applyAlignment="1">
      <alignment horizontal="center"/>
    </xf>
    <xf numFmtId="0" fontId="10" fillId="0" borderId="4" xfId="7" applyFont="1" applyBorder="1"/>
    <xf numFmtId="43" fontId="0" fillId="0" borderId="0" xfId="8" applyFont="1"/>
    <xf numFmtId="43" fontId="2" fillId="0" borderId="0" xfId="7" applyNumberFormat="1"/>
    <xf numFmtId="0" fontId="4" fillId="0" borderId="0" xfId="6" applyFont="1" applyAlignment="1">
      <alignment horizontal="center"/>
    </xf>
    <xf numFmtId="14" fontId="4" fillId="0" borderId="0" xfId="6" applyNumberFormat="1" applyFont="1" applyAlignment="1">
      <alignment horizontal="center"/>
    </xf>
    <xf numFmtId="43" fontId="0" fillId="0" borderId="2" xfId="8" applyFont="1" applyBorder="1"/>
    <xf numFmtId="43" fontId="2" fillId="0" borderId="2" xfId="7" applyNumberFormat="1" applyBorder="1"/>
    <xf numFmtId="0" fontId="10" fillId="0" borderId="0" xfId="7" applyFont="1" applyAlignment="1">
      <alignment horizontal="left" indent="1"/>
    </xf>
    <xf numFmtId="0" fontId="11" fillId="0" borderId="0" xfId="6" applyFont="1"/>
    <xf numFmtId="0" fontId="2" fillId="0" borderId="0" xfId="7" applyAlignment="1">
      <alignment horizontal="right"/>
    </xf>
    <xf numFmtId="44" fontId="3" fillId="0" borderId="2" xfId="2" applyFont="1" applyFill="1" applyBorder="1"/>
    <xf numFmtId="44" fontId="3" fillId="0" borderId="2" xfId="3" applyNumberFormat="1" applyBorder="1"/>
    <xf numFmtId="0" fontId="3" fillId="0" borderId="0" xfId="3" applyAlignment="1">
      <alignment horizontal="left" indent="1"/>
    </xf>
    <xf numFmtId="42" fontId="3" fillId="0" borderId="0" xfId="3" applyNumberFormat="1"/>
    <xf numFmtId="3" fontId="3" fillId="0" borderId="0" xfId="3" applyNumberFormat="1" applyFont="1" applyAlignment="1">
      <alignment horizontal="center"/>
    </xf>
    <xf numFmtId="0" fontId="8" fillId="0" borderId="0" xfId="0" applyFont="1" applyAlignment="1">
      <alignment horizontal="left" indent="1"/>
    </xf>
    <xf numFmtId="37" fontId="3" fillId="0" borderId="0" xfId="3" applyNumberFormat="1"/>
    <xf numFmtId="0" fontId="3" fillId="0" borderId="0" xfId="3" applyFont="1" applyFill="1" applyAlignment="1">
      <alignment horizontal="center"/>
    </xf>
    <xf numFmtId="0" fontId="1" fillId="0" borderId="0" xfId="7" applyFont="1"/>
    <xf numFmtId="0" fontId="3" fillId="0" borderId="0" xfId="3" applyFill="1" applyAlignment="1">
      <alignment horizontal="left" wrapText="1"/>
    </xf>
    <xf numFmtId="0" fontId="0" fillId="0" borderId="0" xfId="0" applyFill="1" applyAlignment="1">
      <alignment wrapText="1"/>
    </xf>
    <xf numFmtId="0" fontId="4" fillId="0" borderId="0" xfId="3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9" fillId="0" borderId="0" xfId="7" applyFont="1" applyAlignment="1">
      <alignment horizontal="center" wrapText="1"/>
    </xf>
  </cellXfs>
  <cellStyles count="9">
    <cellStyle name="Comma" xfId="1" builtinId="3"/>
    <cellStyle name="Comma 2" xfId="4" xr:uid="{A83E0A13-B3D4-4F8A-A4A0-7635521C6940}"/>
    <cellStyle name="Comma 3" xfId="8" xr:uid="{4C96FBBE-72C0-44EF-91E7-59BF621F745A}"/>
    <cellStyle name="Currency" xfId="2" builtinId="4"/>
    <cellStyle name="Currency 2" xfId="5" xr:uid="{C19701C0-C624-4330-B608-ADC75D9B2A01}"/>
    <cellStyle name="Normal" xfId="0" builtinId="0"/>
    <cellStyle name="Normal 2" xfId="3" xr:uid="{7963C2CB-13A6-4EF4-B5E7-F0C6E2B2979F}"/>
    <cellStyle name="Normal 2 2" xfId="6" xr:uid="{F743F96F-432B-43B8-A3C2-ABA61E638D1C}"/>
    <cellStyle name="Normal 3" xfId="7" xr:uid="{0D1C32B1-F486-4107-B86F-D8F0BA9A00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24%20Rate%20Case%20Support\K&amp;M%20Adjustments\K&amp;M%20Adjmts%20-%20First%20Draft\KM%20Adj%20-%20Remove%20Affiliate%20Billing%20Correction%20for%202023%20in%202024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E%20(Other%20Items)/Schedule%20II-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JOURNAL"/>
      <sheetName val="Purpose"/>
      <sheetName val="JE"/>
      <sheetName val="MAR"/>
      <sheetName val="APR"/>
      <sheetName val="MAY"/>
      <sheetName val="NTUSU Correction - TRN Entries"/>
      <sheetName val="NTUSU Corrections - Entries"/>
      <sheetName val="Setup"/>
    </sheetNames>
    <sheetDataSet>
      <sheetData sheetId="0"/>
      <sheetData sheetId="1">
        <row r="48">
          <cell r="J48">
            <v>246892.34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E-1"/>
      <sheetName val="II-E-2"/>
      <sheetName val="II-E-2.1"/>
      <sheetName val="II-E-3 Attachment"/>
      <sheetName val="II-E-3"/>
      <sheetName val="II-E-3.1"/>
      <sheetName val="II-E-3.2a"/>
      <sheetName val="II-E-3.2b"/>
      <sheetName val="II-E-3.3"/>
      <sheetName val="II-E-3.4"/>
      <sheetName val="II-E-3.5"/>
      <sheetName val="II-E-3.5a"/>
      <sheetName val="II-E-3.6"/>
      <sheetName val="II-E-3.7"/>
      <sheetName val="II-E-3.8"/>
      <sheetName val="II-E-3.9"/>
      <sheetName val="II-E-3.10"/>
      <sheetName val="II-E-3.11"/>
      <sheetName val="II-E-3.12"/>
      <sheetName val="II-E-3.13"/>
      <sheetName val="II-E-3.14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"/>
      <sheetName val="II-E-3.24"/>
      <sheetName val="II-E-4"/>
      <sheetName val="II-E-4.1"/>
      <sheetName val="II-E-4.1.1"/>
      <sheetName val="II-E-4.2"/>
      <sheetName val="II-E-4.3"/>
      <sheetName val="II-E-4.4"/>
      <sheetName val="II-E-4.5"/>
      <sheetName val="II-E-4.6"/>
      <sheetName val="II-E-5"/>
    </sheetNames>
    <sheetDataSet>
      <sheetData sheetId="0">
        <row r="2">
          <cell r="B2">
            <v>2551880640.0300002</v>
          </cell>
        </row>
      </sheetData>
      <sheetData sheetId="1">
        <row r="20">
          <cell r="G20">
            <v>107434101.61</v>
          </cell>
        </row>
      </sheetData>
      <sheetData sheetId="2">
        <row r="18">
          <cell r="G18">
            <v>20953312.190000001</v>
          </cell>
        </row>
      </sheetData>
      <sheetData sheetId="3" refreshError="1"/>
      <sheetData sheetId="4" refreshError="1"/>
      <sheetData sheetId="5">
        <row r="17">
          <cell r="C17" t="str">
            <v>Return on Rate Base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8">
          <cell r="G18">
            <v>44229087.270000003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9">
          <cell r="H19">
            <v>-460177703.21999997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8">
          <cell r="G18">
            <v>7817075</v>
          </cell>
        </row>
      </sheetData>
      <sheetData sheetId="33">
        <row r="19">
          <cell r="G19">
            <v>-30673.559999999998</v>
          </cell>
        </row>
      </sheetData>
      <sheetData sheetId="34">
        <row r="53">
          <cell r="P53">
            <v>693539.00399999996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7">
          <cell r="B17" t="str">
            <v>A442</v>
          </cell>
          <cell r="I17">
            <v>34378539</v>
          </cell>
        </row>
        <row r="33">
          <cell r="L33">
            <v>127146045.88000003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9A7AA65-65A1-4FC5-97D4-222A15DA1F11}" mc:Ignorable="x14ac xr xr2 xr3">
  <x:sheetPr>
    <x:pageSetUpPr fitToPage="1"/>
  </x:sheetPr>
  <x:dimension ref="A1:X97"/>
  <x:sheetViews>
    <x:sheetView tabSelected="1" zoomScaleNormal="100" workbookViewId="0">
      <x:selection activeCell="E20" sqref="E20"/>
    </x:sheetView>
  </x:sheetViews>
  <x:sheetFormatPr defaultColWidth="9.140625" defaultRowHeight="15" x14ac:dyDescent="0.3"/>
  <x:cols>
    <x:col min="1" max="1" width="8.140625" style="1" customWidth="1"/>
    <x:col min="2" max="2" width="2.85546875" style="1" customWidth="1"/>
    <x:col min="3" max="3" width="5.5703125" style="1" customWidth="1"/>
    <x:col min="4" max="4" width="3.42578125" style="1" customWidth="1"/>
    <x:col min="5" max="5" width="45.85546875" style="1" customWidth="1"/>
    <x:col min="6" max="6" width="3.42578125" style="1" customWidth="1"/>
    <x:col min="7" max="7" width="17.85546875" style="1" customWidth="1"/>
    <x:col min="8" max="8" width="3.5703125" style="1" customWidth="1"/>
    <x:col min="9" max="9" width="17.85546875" style="1" bestFit="1" customWidth="1"/>
    <x:col min="10" max="10" width="3.140625" style="1" customWidth="1"/>
    <x:col min="11" max="11" width="17.85546875" style="1" customWidth="1"/>
    <x:col min="12" max="12" width="7" style="1" customWidth="1"/>
    <x:col min="13" max="13" width="19.42578125" style="1" bestFit="1" customWidth="1"/>
    <x:col min="14" max="14" width="13.42578125" style="1" bestFit="1" customWidth="1"/>
    <x:col min="15" max="15" width="19.140625" style="1" hidden="1" customWidth="1"/>
    <x:col min="16" max="16" width="25.42578125" style="1" customWidth="1"/>
    <x:col min="17" max="17" width="15.85546875" style="1" bestFit="1" customWidth="1"/>
    <x:col min="18" max="18" width="16.140625" style="1" bestFit="1" customWidth="1"/>
    <x:col min="19" max="20" width="9.140625" style="1"/>
    <x:col min="21" max="21" width="16.42578125" style="1" bestFit="1" customWidth="1"/>
    <x:col min="22" max="22" width="11.28515625" style="1" bestFit="1" customWidth="1"/>
    <x:col min="23" max="23" width="9.140625" style="1"/>
    <x:col min="24" max="24" width="15.85546875" style="1" bestFit="1" customWidth="1"/>
    <x:col min="25" max="256" width="9.140625" style="1"/>
    <x:col min="257" max="257" width="8.140625" style="1" customWidth="1"/>
    <x:col min="258" max="258" width="2.85546875" style="1" customWidth="1"/>
    <x:col min="259" max="259" width="5.5703125" style="1" customWidth="1"/>
    <x:col min="260" max="260" width="3.42578125" style="1" customWidth="1"/>
    <x:col min="261" max="261" width="45.85546875" style="1" customWidth="1"/>
    <x:col min="262" max="262" width="3.42578125" style="1" customWidth="1"/>
    <x:col min="263" max="263" width="17.85546875" style="1" customWidth="1"/>
    <x:col min="264" max="264" width="3.5703125" style="1" customWidth="1"/>
    <x:col min="265" max="265" width="17.85546875" style="1" bestFit="1" customWidth="1"/>
    <x:col min="266" max="266" width="3.140625" style="1" customWidth="1"/>
    <x:col min="267" max="267" width="17.85546875" style="1" customWidth="1"/>
    <x:col min="268" max="268" width="7" style="1" customWidth="1"/>
    <x:col min="269" max="269" width="19.42578125" style="1" bestFit="1" customWidth="1"/>
    <x:col min="270" max="270" width="21.85546875" style="1" customWidth="1"/>
    <x:col min="271" max="271" width="0" style="1" hidden="1" customWidth="1"/>
    <x:col min="272" max="272" width="25.42578125" style="1" customWidth="1"/>
    <x:col min="273" max="273" width="15.85546875" style="1" bestFit="1" customWidth="1"/>
    <x:col min="274" max="274" width="12.140625" style="1" bestFit="1" customWidth="1"/>
    <x:col min="275" max="512" width="9.140625" style="1"/>
    <x:col min="513" max="513" width="8.140625" style="1" customWidth="1"/>
    <x:col min="514" max="514" width="2.85546875" style="1" customWidth="1"/>
    <x:col min="515" max="515" width="5.5703125" style="1" customWidth="1"/>
    <x:col min="516" max="516" width="3.42578125" style="1" customWidth="1"/>
    <x:col min="517" max="517" width="45.85546875" style="1" customWidth="1"/>
    <x:col min="518" max="518" width="3.42578125" style="1" customWidth="1"/>
    <x:col min="519" max="519" width="17.85546875" style="1" customWidth="1"/>
    <x:col min="520" max="520" width="3.5703125" style="1" customWidth="1"/>
    <x:col min="521" max="521" width="17.85546875" style="1" bestFit="1" customWidth="1"/>
    <x:col min="522" max="522" width="3.140625" style="1" customWidth="1"/>
    <x:col min="523" max="523" width="17.85546875" style="1" customWidth="1"/>
    <x:col min="524" max="524" width="7" style="1" customWidth="1"/>
    <x:col min="525" max="525" width="19.42578125" style="1" bestFit="1" customWidth="1"/>
    <x:col min="526" max="526" width="21.85546875" style="1" customWidth="1"/>
    <x:col min="527" max="527" width="0" style="1" hidden="1" customWidth="1"/>
    <x:col min="528" max="528" width="25.42578125" style="1" customWidth="1"/>
    <x:col min="529" max="529" width="15.85546875" style="1" bestFit="1" customWidth="1"/>
    <x:col min="530" max="530" width="12.140625" style="1" bestFit="1" customWidth="1"/>
    <x:col min="531" max="768" width="9.140625" style="1"/>
    <x:col min="769" max="769" width="8.140625" style="1" customWidth="1"/>
    <x:col min="770" max="770" width="2.85546875" style="1" customWidth="1"/>
    <x:col min="771" max="771" width="5.5703125" style="1" customWidth="1"/>
    <x:col min="772" max="772" width="3.42578125" style="1" customWidth="1"/>
    <x:col min="773" max="773" width="45.85546875" style="1" customWidth="1"/>
    <x:col min="774" max="774" width="3.42578125" style="1" customWidth="1"/>
    <x:col min="775" max="775" width="17.85546875" style="1" customWidth="1"/>
    <x:col min="776" max="776" width="3.5703125" style="1" customWidth="1"/>
    <x:col min="777" max="777" width="17.85546875" style="1" bestFit="1" customWidth="1"/>
    <x:col min="778" max="778" width="3.140625" style="1" customWidth="1"/>
    <x:col min="779" max="779" width="17.85546875" style="1" customWidth="1"/>
    <x:col min="780" max="780" width="7" style="1" customWidth="1"/>
    <x:col min="781" max="781" width="19.42578125" style="1" bestFit="1" customWidth="1"/>
    <x:col min="782" max="782" width="21.85546875" style="1" customWidth="1"/>
    <x:col min="783" max="783" width="0" style="1" hidden="1" customWidth="1"/>
    <x:col min="784" max="784" width="25.42578125" style="1" customWidth="1"/>
    <x:col min="785" max="785" width="15.85546875" style="1" bestFit="1" customWidth="1"/>
    <x:col min="786" max="786" width="12.140625" style="1" bestFit="1" customWidth="1"/>
    <x:col min="787" max="1024" width="9.140625" style="1"/>
    <x:col min="1025" max="1025" width="8.140625" style="1" customWidth="1"/>
    <x:col min="1026" max="1026" width="2.85546875" style="1" customWidth="1"/>
    <x:col min="1027" max="1027" width="5.5703125" style="1" customWidth="1"/>
    <x:col min="1028" max="1028" width="3.42578125" style="1" customWidth="1"/>
    <x:col min="1029" max="1029" width="45.85546875" style="1" customWidth="1"/>
    <x:col min="1030" max="1030" width="3.42578125" style="1" customWidth="1"/>
    <x:col min="1031" max="1031" width="17.85546875" style="1" customWidth="1"/>
    <x:col min="1032" max="1032" width="3.5703125" style="1" customWidth="1"/>
    <x:col min="1033" max="1033" width="17.85546875" style="1" bestFit="1" customWidth="1"/>
    <x:col min="1034" max="1034" width="3.140625" style="1" customWidth="1"/>
    <x:col min="1035" max="1035" width="17.85546875" style="1" customWidth="1"/>
    <x:col min="1036" max="1036" width="7" style="1" customWidth="1"/>
    <x:col min="1037" max="1037" width="19.42578125" style="1" bestFit="1" customWidth="1"/>
    <x:col min="1038" max="1038" width="21.85546875" style="1" customWidth="1"/>
    <x:col min="1039" max="1039" width="0" style="1" hidden="1" customWidth="1"/>
    <x:col min="1040" max="1040" width="25.42578125" style="1" customWidth="1"/>
    <x:col min="1041" max="1041" width="15.85546875" style="1" bestFit="1" customWidth="1"/>
    <x:col min="1042" max="1042" width="12.140625" style="1" bestFit="1" customWidth="1"/>
    <x:col min="1043" max="1280" width="9.140625" style="1"/>
    <x:col min="1281" max="1281" width="8.140625" style="1" customWidth="1"/>
    <x:col min="1282" max="1282" width="2.85546875" style="1" customWidth="1"/>
    <x:col min="1283" max="1283" width="5.5703125" style="1" customWidth="1"/>
    <x:col min="1284" max="1284" width="3.42578125" style="1" customWidth="1"/>
    <x:col min="1285" max="1285" width="45.85546875" style="1" customWidth="1"/>
    <x:col min="1286" max="1286" width="3.42578125" style="1" customWidth="1"/>
    <x:col min="1287" max="1287" width="17.85546875" style="1" customWidth="1"/>
    <x:col min="1288" max="1288" width="3.5703125" style="1" customWidth="1"/>
    <x:col min="1289" max="1289" width="17.85546875" style="1" bestFit="1" customWidth="1"/>
    <x:col min="1290" max="1290" width="3.140625" style="1" customWidth="1"/>
    <x:col min="1291" max="1291" width="17.85546875" style="1" customWidth="1"/>
    <x:col min="1292" max="1292" width="7" style="1" customWidth="1"/>
    <x:col min="1293" max="1293" width="19.42578125" style="1" bestFit="1" customWidth="1"/>
    <x:col min="1294" max="1294" width="21.85546875" style="1" customWidth="1"/>
    <x:col min="1295" max="1295" width="0" style="1" hidden="1" customWidth="1"/>
    <x:col min="1296" max="1296" width="25.42578125" style="1" customWidth="1"/>
    <x:col min="1297" max="1297" width="15.85546875" style="1" bestFit="1" customWidth="1"/>
    <x:col min="1298" max="1298" width="12.140625" style="1" bestFit="1" customWidth="1"/>
    <x:col min="1299" max="1536" width="9.140625" style="1"/>
    <x:col min="1537" max="1537" width="8.140625" style="1" customWidth="1"/>
    <x:col min="1538" max="1538" width="2.85546875" style="1" customWidth="1"/>
    <x:col min="1539" max="1539" width="5.5703125" style="1" customWidth="1"/>
    <x:col min="1540" max="1540" width="3.42578125" style="1" customWidth="1"/>
    <x:col min="1541" max="1541" width="45.85546875" style="1" customWidth="1"/>
    <x:col min="1542" max="1542" width="3.42578125" style="1" customWidth="1"/>
    <x:col min="1543" max="1543" width="17.85546875" style="1" customWidth="1"/>
    <x:col min="1544" max="1544" width="3.5703125" style="1" customWidth="1"/>
    <x:col min="1545" max="1545" width="17.85546875" style="1" bestFit="1" customWidth="1"/>
    <x:col min="1546" max="1546" width="3.140625" style="1" customWidth="1"/>
    <x:col min="1547" max="1547" width="17.85546875" style="1" customWidth="1"/>
    <x:col min="1548" max="1548" width="7" style="1" customWidth="1"/>
    <x:col min="1549" max="1549" width="19.42578125" style="1" bestFit="1" customWidth="1"/>
    <x:col min="1550" max="1550" width="21.85546875" style="1" customWidth="1"/>
    <x:col min="1551" max="1551" width="0" style="1" hidden="1" customWidth="1"/>
    <x:col min="1552" max="1552" width="25.42578125" style="1" customWidth="1"/>
    <x:col min="1553" max="1553" width="15.85546875" style="1" bestFit="1" customWidth="1"/>
    <x:col min="1554" max="1554" width="12.140625" style="1" bestFit="1" customWidth="1"/>
    <x:col min="1555" max="1792" width="9.140625" style="1"/>
    <x:col min="1793" max="1793" width="8.140625" style="1" customWidth="1"/>
    <x:col min="1794" max="1794" width="2.85546875" style="1" customWidth="1"/>
    <x:col min="1795" max="1795" width="5.5703125" style="1" customWidth="1"/>
    <x:col min="1796" max="1796" width="3.42578125" style="1" customWidth="1"/>
    <x:col min="1797" max="1797" width="45.85546875" style="1" customWidth="1"/>
    <x:col min="1798" max="1798" width="3.42578125" style="1" customWidth="1"/>
    <x:col min="1799" max="1799" width="17.85546875" style="1" customWidth="1"/>
    <x:col min="1800" max="1800" width="3.5703125" style="1" customWidth="1"/>
    <x:col min="1801" max="1801" width="17.85546875" style="1" bestFit="1" customWidth="1"/>
    <x:col min="1802" max="1802" width="3.140625" style="1" customWidth="1"/>
    <x:col min="1803" max="1803" width="17.85546875" style="1" customWidth="1"/>
    <x:col min="1804" max="1804" width="7" style="1" customWidth="1"/>
    <x:col min="1805" max="1805" width="19.42578125" style="1" bestFit="1" customWidth="1"/>
    <x:col min="1806" max="1806" width="21.85546875" style="1" customWidth="1"/>
    <x:col min="1807" max="1807" width="0" style="1" hidden="1" customWidth="1"/>
    <x:col min="1808" max="1808" width="25.42578125" style="1" customWidth="1"/>
    <x:col min="1809" max="1809" width="15.85546875" style="1" bestFit="1" customWidth="1"/>
    <x:col min="1810" max="1810" width="12.140625" style="1" bestFit="1" customWidth="1"/>
    <x:col min="1811" max="2048" width="9.140625" style="1"/>
    <x:col min="2049" max="2049" width="8.140625" style="1" customWidth="1"/>
    <x:col min="2050" max="2050" width="2.85546875" style="1" customWidth="1"/>
    <x:col min="2051" max="2051" width="5.5703125" style="1" customWidth="1"/>
    <x:col min="2052" max="2052" width="3.42578125" style="1" customWidth="1"/>
    <x:col min="2053" max="2053" width="45.85546875" style="1" customWidth="1"/>
    <x:col min="2054" max="2054" width="3.42578125" style="1" customWidth="1"/>
    <x:col min="2055" max="2055" width="17.85546875" style="1" customWidth="1"/>
    <x:col min="2056" max="2056" width="3.5703125" style="1" customWidth="1"/>
    <x:col min="2057" max="2057" width="17.85546875" style="1" bestFit="1" customWidth="1"/>
    <x:col min="2058" max="2058" width="3.140625" style="1" customWidth="1"/>
    <x:col min="2059" max="2059" width="17.85546875" style="1" customWidth="1"/>
    <x:col min="2060" max="2060" width="7" style="1" customWidth="1"/>
    <x:col min="2061" max="2061" width="19.42578125" style="1" bestFit="1" customWidth="1"/>
    <x:col min="2062" max="2062" width="21.85546875" style="1" customWidth="1"/>
    <x:col min="2063" max="2063" width="0" style="1" hidden="1" customWidth="1"/>
    <x:col min="2064" max="2064" width="25.42578125" style="1" customWidth="1"/>
    <x:col min="2065" max="2065" width="15.85546875" style="1" bestFit="1" customWidth="1"/>
    <x:col min="2066" max="2066" width="12.140625" style="1" bestFit="1" customWidth="1"/>
    <x:col min="2067" max="2304" width="9.140625" style="1"/>
    <x:col min="2305" max="2305" width="8.140625" style="1" customWidth="1"/>
    <x:col min="2306" max="2306" width="2.85546875" style="1" customWidth="1"/>
    <x:col min="2307" max="2307" width="5.5703125" style="1" customWidth="1"/>
    <x:col min="2308" max="2308" width="3.42578125" style="1" customWidth="1"/>
    <x:col min="2309" max="2309" width="45.85546875" style="1" customWidth="1"/>
    <x:col min="2310" max="2310" width="3.42578125" style="1" customWidth="1"/>
    <x:col min="2311" max="2311" width="17.85546875" style="1" customWidth="1"/>
    <x:col min="2312" max="2312" width="3.5703125" style="1" customWidth="1"/>
    <x:col min="2313" max="2313" width="17.85546875" style="1" bestFit="1" customWidth="1"/>
    <x:col min="2314" max="2314" width="3.140625" style="1" customWidth="1"/>
    <x:col min="2315" max="2315" width="17.85546875" style="1" customWidth="1"/>
    <x:col min="2316" max="2316" width="7" style="1" customWidth="1"/>
    <x:col min="2317" max="2317" width="19.42578125" style="1" bestFit="1" customWidth="1"/>
    <x:col min="2318" max="2318" width="21.85546875" style="1" customWidth="1"/>
    <x:col min="2319" max="2319" width="0" style="1" hidden="1" customWidth="1"/>
    <x:col min="2320" max="2320" width="25.42578125" style="1" customWidth="1"/>
    <x:col min="2321" max="2321" width="15.85546875" style="1" bestFit="1" customWidth="1"/>
    <x:col min="2322" max="2322" width="12.140625" style="1" bestFit="1" customWidth="1"/>
    <x:col min="2323" max="2560" width="9.140625" style="1"/>
    <x:col min="2561" max="2561" width="8.140625" style="1" customWidth="1"/>
    <x:col min="2562" max="2562" width="2.85546875" style="1" customWidth="1"/>
    <x:col min="2563" max="2563" width="5.5703125" style="1" customWidth="1"/>
    <x:col min="2564" max="2564" width="3.42578125" style="1" customWidth="1"/>
    <x:col min="2565" max="2565" width="45.85546875" style="1" customWidth="1"/>
    <x:col min="2566" max="2566" width="3.42578125" style="1" customWidth="1"/>
    <x:col min="2567" max="2567" width="17.85546875" style="1" customWidth="1"/>
    <x:col min="2568" max="2568" width="3.5703125" style="1" customWidth="1"/>
    <x:col min="2569" max="2569" width="17.85546875" style="1" bestFit="1" customWidth="1"/>
    <x:col min="2570" max="2570" width="3.140625" style="1" customWidth="1"/>
    <x:col min="2571" max="2571" width="17.85546875" style="1" customWidth="1"/>
    <x:col min="2572" max="2572" width="7" style="1" customWidth="1"/>
    <x:col min="2573" max="2573" width="19.42578125" style="1" bestFit="1" customWidth="1"/>
    <x:col min="2574" max="2574" width="21.85546875" style="1" customWidth="1"/>
    <x:col min="2575" max="2575" width="0" style="1" hidden="1" customWidth="1"/>
    <x:col min="2576" max="2576" width="25.42578125" style="1" customWidth="1"/>
    <x:col min="2577" max="2577" width="15.85546875" style="1" bestFit="1" customWidth="1"/>
    <x:col min="2578" max="2578" width="12.140625" style="1" bestFit="1" customWidth="1"/>
    <x:col min="2579" max="2816" width="9.140625" style="1"/>
    <x:col min="2817" max="2817" width="8.140625" style="1" customWidth="1"/>
    <x:col min="2818" max="2818" width="2.85546875" style="1" customWidth="1"/>
    <x:col min="2819" max="2819" width="5.5703125" style="1" customWidth="1"/>
    <x:col min="2820" max="2820" width="3.42578125" style="1" customWidth="1"/>
    <x:col min="2821" max="2821" width="45.85546875" style="1" customWidth="1"/>
    <x:col min="2822" max="2822" width="3.42578125" style="1" customWidth="1"/>
    <x:col min="2823" max="2823" width="17.85546875" style="1" customWidth="1"/>
    <x:col min="2824" max="2824" width="3.5703125" style="1" customWidth="1"/>
    <x:col min="2825" max="2825" width="17.85546875" style="1" bestFit="1" customWidth="1"/>
    <x:col min="2826" max="2826" width="3.140625" style="1" customWidth="1"/>
    <x:col min="2827" max="2827" width="17.85546875" style="1" customWidth="1"/>
    <x:col min="2828" max="2828" width="7" style="1" customWidth="1"/>
    <x:col min="2829" max="2829" width="19.42578125" style="1" bestFit="1" customWidth="1"/>
    <x:col min="2830" max="2830" width="21.85546875" style="1" customWidth="1"/>
    <x:col min="2831" max="2831" width="0" style="1" hidden="1" customWidth="1"/>
    <x:col min="2832" max="2832" width="25.42578125" style="1" customWidth="1"/>
    <x:col min="2833" max="2833" width="15.85546875" style="1" bestFit="1" customWidth="1"/>
    <x:col min="2834" max="2834" width="12.140625" style="1" bestFit="1" customWidth="1"/>
    <x:col min="2835" max="3072" width="9.140625" style="1"/>
    <x:col min="3073" max="3073" width="8.140625" style="1" customWidth="1"/>
    <x:col min="3074" max="3074" width="2.85546875" style="1" customWidth="1"/>
    <x:col min="3075" max="3075" width="5.5703125" style="1" customWidth="1"/>
    <x:col min="3076" max="3076" width="3.42578125" style="1" customWidth="1"/>
    <x:col min="3077" max="3077" width="45.85546875" style="1" customWidth="1"/>
    <x:col min="3078" max="3078" width="3.42578125" style="1" customWidth="1"/>
    <x:col min="3079" max="3079" width="17.85546875" style="1" customWidth="1"/>
    <x:col min="3080" max="3080" width="3.5703125" style="1" customWidth="1"/>
    <x:col min="3081" max="3081" width="17.85546875" style="1" bestFit="1" customWidth="1"/>
    <x:col min="3082" max="3082" width="3.140625" style="1" customWidth="1"/>
    <x:col min="3083" max="3083" width="17.85546875" style="1" customWidth="1"/>
    <x:col min="3084" max="3084" width="7" style="1" customWidth="1"/>
    <x:col min="3085" max="3085" width="19.42578125" style="1" bestFit="1" customWidth="1"/>
    <x:col min="3086" max="3086" width="21.85546875" style="1" customWidth="1"/>
    <x:col min="3087" max="3087" width="0" style="1" hidden="1" customWidth="1"/>
    <x:col min="3088" max="3088" width="25.42578125" style="1" customWidth="1"/>
    <x:col min="3089" max="3089" width="15.85546875" style="1" bestFit="1" customWidth="1"/>
    <x:col min="3090" max="3090" width="12.140625" style="1" bestFit="1" customWidth="1"/>
    <x:col min="3091" max="3328" width="9.140625" style="1"/>
    <x:col min="3329" max="3329" width="8.140625" style="1" customWidth="1"/>
    <x:col min="3330" max="3330" width="2.85546875" style="1" customWidth="1"/>
    <x:col min="3331" max="3331" width="5.5703125" style="1" customWidth="1"/>
    <x:col min="3332" max="3332" width="3.42578125" style="1" customWidth="1"/>
    <x:col min="3333" max="3333" width="45.85546875" style="1" customWidth="1"/>
    <x:col min="3334" max="3334" width="3.42578125" style="1" customWidth="1"/>
    <x:col min="3335" max="3335" width="17.85546875" style="1" customWidth="1"/>
    <x:col min="3336" max="3336" width="3.5703125" style="1" customWidth="1"/>
    <x:col min="3337" max="3337" width="17.85546875" style="1" bestFit="1" customWidth="1"/>
    <x:col min="3338" max="3338" width="3.140625" style="1" customWidth="1"/>
    <x:col min="3339" max="3339" width="17.85546875" style="1" customWidth="1"/>
    <x:col min="3340" max="3340" width="7" style="1" customWidth="1"/>
    <x:col min="3341" max="3341" width="19.42578125" style="1" bestFit="1" customWidth="1"/>
    <x:col min="3342" max="3342" width="21.85546875" style="1" customWidth="1"/>
    <x:col min="3343" max="3343" width="0" style="1" hidden="1" customWidth="1"/>
    <x:col min="3344" max="3344" width="25.42578125" style="1" customWidth="1"/>
    <x:col min="3345" max="3345" width="15.85546875" style="1" bestFit="1" customWidth="1"/>
    <x:col min="3346" max="3346" width="12.140625" style="1" bestFit="1" customWidth="1"/>
    <x:col min="3347" max="3584" width="9.140625" style="1"/>
    <x:col min="3585" max="3585" width="8.140625" style="1" customWidth="1"/>
    <x:col min="3586" max="3586" width="2.85546875" style="1" customWidth="1"/>
    <x:col min="3587" max="3587" width="5.5703125" style="1" customWidth="1"/>
    <x:col min="3588" max="3588" width="3.42578125" style="1" customWidth="1"/>
    <x:col min="3589" max="3589" width="45.85546875" style="1" customWidth="1"/>
    <x:col min="3590" max="3590" width="3.42578125" style="1" customWidth="1"/>
    <x:col min="3591" max="3591" width="17.85546875" style="1" customWidth="1"/>
    <x:col min="3592" max="3592" width="3.5703125" style="1" customWidth="1"/>
    <x:col min="3593" max="3593" width="17.85546875" style="1" bestFit="1" customWidth="1"/>
    <x:col min="3594" max="3594" width="3.140625" style="1" customWidth="1"/>
    <x:col min="3595" max="3595" width="17.85546875" style="1" customWidth="1"/>
    <x:col min="3596" max="3596" width="7" style="1" customWidth="1"/>
    <x:col min="3597" max="3597" width="19.42578125" style="1" bestFit="1" customWidth="1"/>
    <x:col min="3598" max="3598" width="21.85546875" style="1" customWidth="1"/>
    <x:col min="3599" max="3599" width="0" style="1" hidden="1" customWidth="1"/>
    <x:col min="3600" max="3600" width="25.42578125" style="1" customWidth="1"/>
    <x:col min="3601" max="3601" width="15.85546875" style="1" bestFit="1" customWidth="1"/>
    <x:col min="3602" max="3602" width="12.140625" style="1" bestFit="1" customWidth="1"/>
    <x:col min="3603" max="3840" width="9.140625" style="1"/>
    <x:col min="3841" max="3841" width="8.140625" style="1" customWidth="1"/>
    <x:col min="3842" max="3842" width="2.85546875" style="1" customWidth="1"/>
    <x:col min="3843" max="3843" width="5.5703125" style="1" customWidth="1"/>
    <x:col min="3844" max="3844" width="3.42578125" style="1" customWidth="1"/>
    <x:col min="3845" max="3845" width="45.85546875" style="1" customWidth="1"/>
    <x:col min="3846" max="3846" width="3.42578125" style="1" customWidth="1"/>
    <x:col min="3847" max="3847" width="17.85546875" style="1" customWidth="1"/>
    <x:col min="3848" max="3848" width="3.5703125" style="1" customWidth="1"/>
    <x:col min="3849" max="3849" width="17.85546875" style="1" bestFit="1" customWidth="1"/>
    <x:col min="3850" max="3850" width="3.140625" style="1" customWidth="1"/>
    <x:col min="3851" max="3851" width="17.85546875" style="1" customWidth="1"/>
    <x:col min="3852" max="3852" width="7" style="1" customWidth="1"/>
    <x:col min="3853" max="3853" width="19.42578125" style="1" bestFit="1" customWidth="1"/>
    <x:col min="3854" max="3854" width="21.85546875" style="1" customWidth="1"/>
    <x:col min="3855" max="3855" width="0" style="1" hidden="1" customWidth="1"/>
    <x:col min="3856" max="3856" width="25.42578125" style="1" customWidth="1"/>
    <x:col min="3857" max="3857" width="15.85546875" style="1" bestFit="1" customWidth="1"/>
    <x:col min="3858" max="3858" width="12.140625" style="1" bestFit="1" customWidth="1"/>
    <x:col min="3859" max="4096" width="9.140625" style="1"/>
    <x:col min="4097" max="4097" width="8.140625" style="1" customWidth="1"/>
    <x:col min="4098" max="4098" width="2.85546875" style="1" customWidth="1"/>
    <x:col min="4099" max="4099" width="5.5703125" style="1" customWidth="1"/>
    <x:col min="4100" max="4100" width="3.42578125" style="1" customWidth="1"/>
    <x:col min="4101" max="4101" width="45.85546875" style="1" customWidth="1"/>
    <x:col min="4102" max="4102" width="3.42578125" style="1" customWidth="1"/>
    <x:col min="4103" max="4103" width="17.85546875" style="1" customWidth="1"/>
    <x:col min="4104" max="4104" width="3.5703125" style="1" customWidth="1"/>
    <x:col min="4105" max="4105" width="17.85546875" style="1" bestFit="1" customWidth="1"/>
    <x:col min="4106" max="4106" width="3.140625" style="1" customWidth="1"/>
    <x:col min="4107" max="4107" width="17.85546875" style="1" customWidth="1"/>
    <x:col min="4108" max="4108" width="7" style="1" customWidth="1"/>
    <x:col min="4109" max="4109" width="19.42578125" style="1" bestFit="1" customWidth="1"/>
    <x:col min="4110" max="4110" width="21.85546875" style="1" customWidth="1"/>
    <x:col min="4111" max="4111" width="0" style="1" hidden="1" customWidth="1"/>
    <x:col min="4112" max="4112" width="25.42578125" style="1" customWidth="1"/>
    <x:col min="4113" max="4113" width="15.85546875" style="1" bestFit="1" customWidth="1"/>
    <x:col min="4114" max="4114" width="12.140625" style="1" bestFit="1" customWidth="1"/>
    <x:col min="4115" max="4352" width="9.140625" style="1"/>
    <x:col min="4353" max="4353" width="8.140625" style="1" customWidth="1"/>
    <x:col min="4354" max="4354" width="2.85546875" style="1" customWidth="1"/>
    <x:col min="4355" max="4355" width="5.5703125" style="1" customWidth="1"/>
    <x:col min="4356" max="4356" width="3.42578125" style="1" customWidth="1"/>
    <x:col min="4357" max="4357" width="45.85546875" style="1" customWidth="1"/>
    <x:col min="4358" max="4358" width="3.42578125" style="1" customWidth="1"/>
    <x:col min="4359" max="4359" width="17.85546875" style="1" customWidth="1"/>
    <x:col min="4360" max="4360" width="3.5703125" style="1" customWidth="1"/>
    <x:col min="4361" max="4361" width="17.85546875" style="1" bestFit="1" customWidth="1"/>
    <x:col min="4362" max="4362" width="3.140625" style="1" customWidth="1"/>
    <x:col min="4363" max="4363" width="17.85546875" style="1" customWidth="1"/>
    <x:col min="4364" max="4364" width="7" style="1" customWidth="1"/>
    <x:col min="4365" max="4365" width="19.42578125" style="1" bestFit="1" customWidth="1"/>
    <x:col min="4366" max="4366" width="21.85546875" style="1" customWidth="1"/>
    <x:col min="4367" max="4367" width="0" style="1" hidden="1" customWidth="1"/>
    <x:col min="4368" max="4368" width="25.42578125" style="1" customWidth="1"/>
    <x:col min="4369" max="4369" width="15.85546875" style="1" bestFit="1" customWidth="1"/>
    <x:col min="4370" max="4370" width="12.140625" style="1" bestFit="1" customWidth="1"/>
    <x:col min="4371" max="4608" width="9.140625" style="1"/>
    <x:col min="4609" max="4609" width="8.140625" style="1" customWidth="1"/>
    <x:col min="4610" max="4610" width="2.85546875" style="1" customWidth="1"/>
    <x:col min="4611" max="4611" width="5.5703125" style="1" customWidth="1"/>
    <x:col min="4612" max="4612" width="3.42578125" style="1" customWidth="1"/>
    <x:col min="4613" max="4613" width="45.85546875" style="1" customWidth="1"/>
    <x:col min="4614" max="4614" width="3.42578125" style="1" customWidth="1"/>
    <x:col min="4615" max="4615" width="17.85546875" style="1" customWidth="1"/>
    <x:col min="4616" max="4616" width="3.5703125" style="1" customWidth="1"/>
    <x:col min="4617" max="4617" width="17.85546875" style="1" bestFit="1" customWidth="1"/>
    <x:col min="4618" max="4618" width="3.140625" style="1" customWidth="1"/>
    <x:col min="4619" max="4619" width="17.85546875" style="1" customWidth="1"/>
    <x:col min="4620" max="4620" width="7" style="1" customWidth="1"/>
    <x:col min="4621" max="4621" width="19.42578125" style="1" bestFit="1" customWidth="1"/>
    <x:col min="4622" max="4622" width="21.85546875" style="1" customWidth="1"/>
    <x:col min="4623" max="4623" width="0" style="1" hidden="1" customWidth="1"/>
    <x:col min="4624" max="4624" width="25.42578125" style="1" customWidth="1"/>
    <x:col min="4625" max="4625" width="15.85546875" style="1" bestFit="1" customWidth="1"/>
    <x:col min="4626" max="4626" width="12.140625" style="1" bestFit="1" customWidth="1"/>
    <x:col min="4627" max="4864" width="9.140625" style="1"/>
    <x:col min="4865" max="4865" width="8.140625" style="1" customWidth="1"/>
    <x:col min="4866" max="4866" width="2.85546875" style="1" customWidth="1"/>
    <x:col min="4867" max="4867" width="5.5703125" style="1" customWidth="1"/>
    <x:col min="4868" max="4868" width="3.42578125" style="1" customWidth="1"/>
    <x:col min="4869" max="4869" width="45.85546875" style="1" customWidth="1"/>
    <x:col min="4870" max="4870" width="3.42578125" style="1" customWidth="1"/>
    <x:col min="4871" max="4871" width="17.85546875" style="1" customWidth="1"/>
    <x:col min="4872" max="4872" width="3.5703125" style="1" customWidth="1"/>
    <x:col min="4873" max="4873" width="17.85546875" style="1" bestFit="1" customWidth="1"/>
    <x:col min="4874" max="4874" width="3.140625" style="1" customWidth="1"/>
    <x:col min="4875" max="4875" width="17.85546875" style="1" customWidth="1"/>
    <x:col min="4876" max="4876" width="7" style="1" customWidth="1"/>
    <x:col min="4877" max="4877" width="19.42578125" style="1" bestFit="1" customWidth="1"/>
    <x:col min="4878" max="4878" width="21.85546875" style="1" customWidth="1"/>
    <x:col min="4879" max="4879" width="0" style="1" hidden="1" customWidth="1"/>
    <x:col min="4880" max="4880" width="25.42578125" style="1" customWidth="1"/>
    <x:col min="4881" max="4881" width="15.85546875" style="1" bestFit="1" customWidth="1"/>
    <x:col min="4882" max="4882" width="12.140625" style="1" bestFit="1" customWidth="1"/>
    <x:col min="4883" max="5120" width="9.140625" style="1"/>
    <x:col min="5121" max="5121" width="8.140625" style="1" customWidth="1"/>
    <x:col min="5122" max="5122" width="2.85546875" style="1" customWidth="1"/>
    <x:col min="5123" max="5123" width="5.5703125" style="1" customWidth="1"/>
    <x:col min="5124" max="5124" width="3.42578125" style="1" customWidth="1"/>
    <x:col min="5125" max="5125" width="45.85546875" style="1" customWidth="1"/>
    <x:col min="5126" max="5126" width="3.42578125" style="1" customWidth="1"/>
    <x:col min="5127" max="5127" width="17.85546875" style="1" customWidth="1"/>
    <x:col min="5128" max="5128" width="3.5703125" style="1" customWidth="1"/>
    <x:col min="5129" max="5129" width="17.85546875" style="1" bestFit="1" customWidth="1"/>
    <x:col min="5130" max="5130" width="3.140625" style="1" customWidth="1"/>
    <x:col min="5131" max="5131" width="17.85546875" style="1" customWidth="1"/>
    <x:col min="5132" max="5132" width="7" style="1" customWidth="1"/>
    <x:col min="5133" max="5133" width="19.42578125" style="1" bestFit="1" customWidth="1"/>
    <x:col min="5134" max="5134" width="21.85546875" style="1" customWidth="1"/>
    <x:col min="5135" max="5135" width="0" style="1" hidden="1" customWidth="1"/>
    <x:col min="5136" max="5136" width="25.42578125" style="1" customWidth="1"/>
    <x:col min="5137" max="5137" width="15.85546875" style="1" bestFit="1" customWidth="1"/>
    <x:col min="5138" max="5138" width="12.140625" style="1" bestFit="1" customWidth="1"/>
    <x:col min="5139" max="5376" width="9.140625" style="1"/>
    <x:col min="5377" max="5377" width="8.140625" style="1" customWidth="1"/>
    <x:col min="5378" max="5378" width="2.85546875" style="1" customWidth="1"/>
    <x:col min="5379" max="5379" width="5.5703125" style="1" customWidth="1"/>
    <x:col min="5380" max="5380" width="3.42578125" style="1" customWidth="1"/>
    <x:col min="5381" max="5381" width="45.85546875" style="1" customWidth="1"/>
    <x:col min="5382" max="5382" width="3.42578125" style="1" customWidth="1"/>
    <x:col min="5383" max="5383" width="17.85546875" style="1" customWidth="1"/>
    <x:col min="5384" max="5384" width="3.5703125" style="1" customWidth="1"/>
    <x:col min="5385" max="5385" width="17.85546875" style="1" bestFit="1" customWidth="1"/>
    <x:col min="5386" max="5386" width="3.140625" style="1" customWidth="1"/>
    <x:col min="5387" max="5387" width="17.85546875" style="1" customWidth="1"/>
    <x:col min="5388" max="5388" width="7" style="1" customWidth="1"/>
    <x:col min="5389" max="5389" width="19.42578125" style="1" bestFit="1" customWidth="1"/>
    <x:col min="5390" max="5390" width="21.85546875" style="1" customWidth="1"/>
    <x:col min="5391" max="5391" width="0" style="1" hidden="1" customWidth="1"/>
    <x:col min="5392" max="5392" width="25.42578125" style="1" customWidth="1"/>
    <x:col min="5393" max="5393" width="15.85546875" style="1" bestFit="1" customWidth="1"/>
    <x:col min="5394" max="5394" width="12.140625" style="1" bestFit="1" customWidth="1"/>
    <x:col min="5395" max="5632" width="9.140625" style="1"/>
    <x:col min="5633" max="5633" width="8.140625" style="1" customWidth="1"/>
    <x:col min="5634" max="5634" width="2.85546875" style="1" customWidth="1"/>
    <x:col min="5635" max="5635" width="5.5703125" style="1" customWidth="1"/>
    <x:col min="5636" max="5636" width="3.42578125" style="1" customWidth="1"/>
    <x:col min="5637" max="5637" width="45.85546875" style="1" customWidth="1"/>
    <x:col min="5638" max="5638" width="3.42578125" style="1" customWidth="1"/>
    <x:col min="5639" max="5639" width="17.85546875" style="1" customWidth="1"/>
    <x:col min="5640" max="5640" width="3.5703125" style="1" customWidth="1"/>
    <x:col min="5641" max="5641" width="17.85546875" style="1" bestFit="1" customWidth="1"/>
    <x:col min="5642" max="5642" width="3.140625" style="1" customWidth="1"/>
    <x:col min="5643" max="5643" width="17.85546875" style="1" customWidth="1"/>
    <x:col min="5644" max="5644" width="7" style="1" customWidth="1"/>
    <x:col min="5645" max="5645" width="19.42578125" style="1" bestFit="1" customWidth="1"/>
    <x:col min="5646" max="5646" width="21.85546875" style="1" customWidth="1"/>
    <x:col min="5647" max="5647" width="0" style="1" hidden="1" customWidth="1"/>
    <x:col min="5648" max="5648" width="25.42578125" style="1" customWidth="1"/>
    <x:col min="5649" max="5649" width="15.85546875" style="1" bestFit="1" customWidth="1"/>
    <x:col min="5650" max="5650" width="12.140625" style="1" bestFit="1" customWidth="1"/>
    <x:col min="5651" max="5888" width="9.140625" style="1"/>
    <x:col min="5889" max="5889" width="8.140625" style="1" customWidth="1"/>
    <x:col min="5890" max="5890" width="2.85546875" style="1" customWidth="1"/>
    <x:col min="5891" max="5891" width="5.5703125" style="1" customWidth="1"/>
    <x:col min="5892" max="5892" width="3.42578125" style="1" customWidth="1"/>
    <x:col min="5893" max="5893" width="45.85546875" style="1" customWidth="1"/>
    <x:col min="5894" max="5894" width="3.42578125" style="1" customWidth="1"/>
    <x:col min="5895" max="5895" width="17.85546875" style="1" customWidth="1"/>
    <x:col min="5896" max="5896" width="3.5703125" style="1" customWidth="1"/>
    <x:col min="5897" max="5897" width="17.85546875" style="1" bestFit="1" customWidth="1"/>
    <x:col min="5898" max="5898" width="3.140625" style="1" customWidth="1"/>
    <x:col min="5899" max="5899" width="17.85546875" style="1" customWidth="1"/>
    <x:col min="5900" max="5900" width="7" style="1" customWidth="1"/>
    <x:col min="5901" max="5901" width="19.42578125" style="1" bestFit="1" customWidth="1"/>
    <x:col min="5902" max="5902" width="21.85546875" style="1" customWidth="1"/>
    <x:col min="5903" max="5903" width="0" style="1" hidden="1" customWidth="1"/>
    <x:col min="5904" max="5904" width="25.42578125" style="1" customWidth="1"/>
    <x:col min="5905" max="5905" width="15.85546875" style="1" bestFit="1" customWidth="1"/>
    <x:col min="5906" max="5906" width="12.140625" style="1" bestFit="1" customWidth="1"/>
    <x:col min="5907" max="6144" width="9.140625" style="1"/>
    <x:col min="6145" max="6145" width="8.140625" style="1" customWidth="1"/>
    <x:col min="6146" max="6146" width="2.85546875" style="1" customWidth="1"/>
    <x:col min="6147" max="6147" width="5.5703125" style="1" customWidth="1"/>
    <x:col min="6148" max="6148" width="3.42578125" style="1" customWidth="1"/>
    <x:col min="6149" max="6149" width="45.85546875" style="1" customWidth="1"/>
    <x:col min="6150" max="6150" width="3.42578125" style="1" customWidth="1"/>
    <x:col min="6151" max="6151" width="17.85546875" style="1" customWidth="1"/>
    <x:col min="6152" max="6152" width="3.5703125" style="1" customWidth="1"/>
    <x:col min="6153" max="6153" width="17.85546875" style="1" bestFit="1" customWidth="1"/>
    <x:col min="6154" max="6154" width="3.140625" style="1" customWidth="1"/>
    <x:col min="6155" max="6155" width="17.85546875" style="1" customWidth="1"/>
    <x:col min="6156" max="6156" width="7" style="1" customWidth="1"/>
    <x:col min="6157" max="6157" width="19.42578125" style="1" bestFit="1" customWidth="1"/>
    <x:col min="6158" max="6158" width="21.85546875" style="1" customWidth="1"/>
    <x:col min="6159" max="6159" width="0" style="1" hidden="1" customWidth="1"/>
    <x:col min="6160" max="6160" width="25.42578125" style="1" customWidth="1"/>
    <x:col min="6161" max="6161" width="15.85546875" style="1" bestFit="1" customWidth="1"/>
    <x:col min="6162" max="6162" width="12.140625" style="1" bestFit="1" customWidth="1"/>
    <x:col min="6163" max="6400" width="9.140625" style="1"/>
    <x:col min="6401" max="6401" width="8.140625" style="1" customWidth="1"/>
    <x:col min="6402" max="6402" width="2.85546875" style="1" customWidth="1"/>
    <x:col min="6403" max="6403" width="5.5703125" style="1" customWidth="1"/>
    <x:col min="6404" max="6404" width="3.42578125" style="1" customWidth="1"/>
    <x:col min="6405" max="6405" width="45.85546875" style="1" customWidth="1"/>
    <x:col min="6406" max="6406" width="3.42578125" style="1" customWidth="1"/>
    <x:col min="6407" max="6407" width="17.85546875" style="1" customWidth="1"/>
    <x:col min="6408" max="6408" width="3.5703125" style="1" customWidth="1"/>
    <x:col min="6409" max="6409" width="17.85546875" style="1" bestFit="1" customWidth="1"/>
    <x:col min="6410" max="6410" width="3.140625" style="1" customWidth="1"/>
    <x:col min="6411" max="6411" width="17.85546875" style="1" customWidth="1"/>
    <x:col min="6412" max="6412" width="7" style="1" customWidth="1"/>
    <x:col min="6413" max="6413" width="19.42578125" style="1" bestFit="1" customWidth="1"/>
    <x:col min="6414" max="6414" width="21.85546875" style="1" customWidth="1"/>
    <x:col min="6415" max="6415" width="0" style="1" hidden="1" customWidth="1"/>
    <x:col min="6416" max="6416" width="25.42578125" style="1" customWidth="1"/>
    <x:col min="6417" max="6417" width="15.85546875" style="1" bestFit="1" customWidth="1"/>
    <x:col min="6418" max="6418" width="12.140625" style="1" bestFit="1" customWidth="1"/>
    <x:col min="6419" max="6656" width="9.140625" style="1"/>
    <x:col min="6657" max="6657" width="8.140625" style="1" customWidth="1"/>
    <x:col min="6658" max="6658" width="2.85546875" style="1" customWidth="1"/>
    <x:col min="6659" max="6659" width="5.5703125" style="1" customWidth="1"/>
    <x:col min="6660" max="6660" width="3.42578125" style="1" customWidth="1"/>
    <x:col min="6661" max="6661" width="45.85546875" style="1" customWidth="1"/>
    <x:col min="6662" max="6662" width="3.42578125" style="1" customWidth="1"/>
    <x:col min="6663" max="6663" width="17.85546875" style="1" customWidth="1"/>
    <x:col min="6664" max="6664" width="3.5703125" style="1" customWidth="1"/>
    <x:col min="6665" max="6665" width="17.85546875" style="1" bestFit="1" customWidth="1"/>
    <x:col min="6666" max="6666" width="3.140625" style="1" customWidth="1"/>
    <x:col min="6667" max="6667" width="17.85546875" style="1" customWidth="1"/>
    <x:col min="6668" max="6668" width="7" style="1" customWidth="1"/>
    <x:col min="6669" max="6669" width="19.42578125" style="1" bestFit="1" customWidth="1"/>
    <x:col min="6670" max="6670" width="21.85546875" style="1" customWidth="1"/>
    <x:col min="6671" max="6671" width="0" style="1" hidden="1" customWidth="1"/>
    <x:col min="6672" max="6672" width="25.42578125" style="1" customWidth="1"/>
    <x:col min="6673" max="6673" width="15.85546875" style="1" bestFit="1" customWidth="1"/>
    <x:col min="6674" max="6674" width="12.140625" style="1" bestFit="1" customWidth="1"/>
    <x:col min="6675" max="6912" width="9.140625" style="1"/>
    <x:col min="6913" max="6913" width="8.140625" style="1" customWidth="1"/>
    <x:col min="6914" max="6914" width="2.85546875" style="1" customWidth="1"/>
    <x:col min="6915" max="6915" width="5.5703125" style="1" customWidth="1"/>
    <x:col min="6916" max="6916" width="3.42578125" style="1" customWidth="1"/>
    <x:col min="6917" max="6917" width="45.85546875" style="1" customWidth="1"/>
    <x:col min="6918" max="6918" width="3.42578125" style="1" customWidth="1"/>
    <x:col min="6919" max="6919" width="17.85546875" style="1" customWidth="1"/>
    <x:col min="6920" max="6920" width="3.5703125" style="1" customWidth="1"/>
    <x:col min="6921" max="6921" width="17.85546875" style="1" bestFit="1" customWidth="1"/>
    <x:col min="6922" max="6922" width="3.140625" style="1" customWidth="1"/>
    <x:col min="6923" max="6923" width="17.85546875" style="1" customWidth="1"/>
    <x:col min="6924" max="6924" width="7" style="1" customWidth="1"/>
    <x:col min="6925" max="6925" width="19.42578125" style="1" bestFit="1" customWidth="1"/>
    <x:col min="6926" max="6926" width="21.85546875" style="1" customWidth="1"/>
    <x:col min="6927" max="6927" width="0" style="1" hidden="1" customWidth="1"/>
    <x:col min="6928" max="6928" width="25.42578125" style="1" customWidth="1"/>
    <x:col min="6929" max="6929" width="15.85546875" style="1" bestFit="1" customWidth="1"/>
    <x:col min="6930" max="6930" width="12.140625" style="1" bestFit="1" customWidth="1"/>
    <x:col min="6931" max="7168" width="9.140625" style="1"/>
    <x:col min="7169" max="7169" width="8.140625" style="1" customWidth="1"/>
    <x:col min="7170" max="7170" width="2.85546875" style="1" customWidth="1"/>
    <x:col min="7171" max="7171" width="5.5703125" style="1" customWidth="1"/>
    <x:col min="7172" max="7172" width="3.42578125" style="1" customWidth="1"/>
    <x:col min="7173" max="7173" width="45.85546875" style="1" customWidth="1"/>
    <x:col min="7174" max="7174" width="3.42578125" style="1" customWidth="1"/>
    <x:col min="7175" max="7175" width="17.85546875" style="1" customWidth="1"/>
    <x:col min="7176" max="7176" width="3.5703125" style="1" customWidth="1"/>
    <x:col min="7177" max="7177" width="17.85546875" style="1" bestFit="1" customWidth="1"/>
    <x:col min="7178" max="7178" width="3.140625" style="1" customWidth="1"/>
    <x:col min="7179" max="7179" width="17.85546875" style="1" customWidth="1"/>
    <x:col min="7180" max="7180" width="7" style="1" customWidth="1"/>
    <x:col min="7181" max="7181" width="19.42578125" style="1" bestFit="1" customWidth="1"/>
    <x:col min="7182" max="7182" width="21.85546875" style="1" customWidth="1"/>
    <x:col min="7183" max="7183" width="0" style="1" hidden="1" customWidth="1"/>
    <x:col min="7184" max="7184" width="25.42578125" style="1" customWidth="1"/>
    <x:col min="7185" max="7185" width="15.85546875" style="1" bestFit="1" customWidth="1"/>
    <x:col min="7186" max="7186" width="12.140625" style="1" bestFit="1" customWidth="1"/>
    <x:col min="7187" max="7424" width="9.140625" style="1"/>
    <x:col min="7425" max="7425" width="8.140625" style="1" customWidth="1"/>
    <x:col min="7426" max="7426" width="2.85546875" style="1" customWidth="1"/>
    <x:col min="7427" max="7427" width="5.5703125" style="1" customWidth="1"/>
    <x:col min="7428" max="7428" width="3.42578125" style="1" customWidth="1"/>
    <x:col min="7429" max="7429" width="45.85546875" style="1" customWidth="1"/>
    <x:col min="7430" max="7430" width="3.42578125" style="1" customWidth="1"/>
    <x:col min="7431" max="7431" width="17.85546875" style="1" customWidth="1"/>
    <x:col min="7432" max="7432" width="3.5703125" style="1" customWidth="1"/>
    <x:col min="7433" max="7433" width="17.85546875" style="1" bestFit="1" customWidth="1"/>
    <x:col min="7434" max="7434" width="3.140625" style="1" customWidth="1"/>
    <x:col min="7435" max="7435" width="17.85546875" style="1" customWidth="1"/>
    <x:col min="7436" max="7436" width="7" style="1" customWidth="1"/>
    <x:col min="7437" max="7437" width="19.42578125" style="1" bestFit="1" customWidth="1"/>
    <x:col min="7438" max="7438" width="21.85546875" style="1" customWidth="1"/>
    <x:col min="7439" max="7439" width="0" style="1" hidden="1" customWidth="1"/>
    <x:col min="7440" max="7440" width="25.42578125" style="1" customWidth="1"/>
    <x:col min="7441" max="7441" width="15.85546875" style="1" bestFit="1" customWidth="1"/>
    <x:col min="7442" max="7442" width="12.140625" style="1" bestFit="1" customWidth="1"/>
    <x:col min="7443" max="7680" width="9.140625" style="1"/>
    <x:col min="7681" max="7681" width="8.140625" style="1" customWidth="1"/>
    <x:col min="7682" max="7682" width="2.85546875" style="1" customWidth="1"/>
    <x:col min="7683" max="7683" width="5.5703125" style="1" customWidth="1"/>
    <x:col min="7684" max="7684" width="3.42578125" style="1" customWidth="1"/>
    <x:col min="7685" max="7685" width="45.85546875" style="1" customWidth="1"/>
    <x:col min="7686" max="7686" width="3.42578125" style="1" customWidth="1"/>
    <x:col min="7687" max="7687" width="17.85546875" style="1" customWidth="1"/>
    <x:col min="7688" max="7688" width="3.5703125" style="1" customWidth="1"/>
    <x:col min="7689" max="7689" width="17.85546875" style="1" bestFit="1" customWidth="1"/>
    <x:col min="7690" max="7690" width="3.140625" style="1" customWidth="1"/>
    <x:col min="7691" max="7691" width="17.85546875" style="1" customWidth="1"/>
    <x:col min="7692" max="7692" width="7" style="1" customWidth="1"/>
    <x:col min="7693" max="7693" width="19.42578125" style="1" bestFit="1" customWidth="1"/>
    <x:col min="7694" max="7694" width="21.85546875" style="1" customWidth="1"/>
    <x:col min="7695" max="7695" width="0" style="1" hidden="1" customWidth="1"/>
    <x:col min="7696" max="7696" width="25.42578125" style="1" customWidth="1"/>
    <x:col min="7697" max="7697" width="15.85546875" style="1" bestFit="1" customWidth="1"/>
    <x:col min="7698" max="7698" width="12.140625" style="1" bestFit="1" customWidth="1"/>
    <x:col min="7699" max="7936" width="9.140625" style="1"/>
    <x:col min="7937" max="7937" width="8.140625" style="1" customWidth="1"/>
    <x:col min="7938" max="7938" width="2.85546875" style="1" customWidth="1"/>
    <x:col min="7939" max="7939" width="5.5703125" style="1" customWidth="1"/>
    <x:col min="7940" max="7940" width="3.42578125" style="1" customWidth="1"/>
    <x:col min="7941" max="7941" width="45.85546875" style="1" customWidth="1"/>
    <x:col min="7942" max="7942" width="3.42578125" style="1" customWidth="1"/>
    <x:col min="7943" max="7943" width="17.85546875" style="1" customWidth="1"/>
    <x:col min="7944" max="7944" width="3.5703125" style="1" customWidth="1"/>
    <x:col min="7945" max="7945" width="17.85546875" style="1" bestFit="1" customWidth="1"/>
    <x:col min="7946" max="7946" width="3.140625" style="1" customWidth="1"/>
    <x:col min="7947" max="7947" width="17.85546875" style="1" customWidth="1"/>
    <x:col min="7948" max="7948" width="7" style="1" customWidth="1"/>
    <x:col min="7949" max="7949" width="19.42578125" style="1" bestFit="1" customWidth="1"/>
    <x:col min="7950" max="7950" width="21.85546875" style="1" customWidth="1"/>
    <x:col min="7951" max="7951" width="0" style="1" hidden="1" customWidth="1"/>
    <x:col min="7952" max="7952" width="25.42578125" style="1" customWidth="1"/>
    <x:col min="7953" max="7953" width="15.85546875" style="1" bestFit="1" customWidth="1"/>
    <x:col min="7954" max="7954" width="12.140625" style="1" bestFit="1" customWidth="1"/>
    <x:col min="7955" max="8192" width="9.140625" style="1"/>
    <x:col min="8193" max="8193" width="8.140625" style="1" customWidth="1"/>
    <x:col min="8194" max="8194" width="2.85546875" style="1" customWidth="1"/>
    <x:col min="8195" max="8195" width="5.5703125" style="1" customWidth="1"/>
    <x:col min="8196" max="8196" width="3.42578125" style="1" customWidth="1"/>
    <x:col min="8197" max="8197" width="45.85546875" style="1" customWidth="1"/>
    <x:col min="8198" max="8198" width="3.42578125" style="1" customWidth="1"/>
    <x:col min="8199" max="8199" width="17.85546875" style="1" customWidth="1"/>
    <x:col min="8200" max="8200" width="3.5703125" style="1" customWidth="1"/>
    <x:col min="8201" max="8201" width="17.85546875" style="1" bestFit="1" customWidth="1"/>
    <x:col min="8202" max="8202" width="3.140625" style="1" customWidth="1"/>
    <x:col min="8203" max="8203" width="17.85546875" style="1" customWidth="1"/>
    <x:col min="8204" max="8204" width="7" style="1" customWidth="1"/>
    <x:col min="8205" max="8205" width="19.42578125" style="1" bestFit="1" customWidth="1"/>
    <x:col min="8206" max="8206" width="21.85546875" style="1" customWidth="1"/>
    <x:col min="8207" max="8207" width="0" style="1" hidden="1" customWidth="1"/>
    <x:col min="8208" max="8208" width="25.42578125" style="1" customWidth="1"/>
    <x:col min="8209" max="8209" width="15.85546875" style="1" bestFit="1" customWidth="1"/>
    <x:col min="8210" max="8210" width="12.140625" style="1" bestFit="1" customWidth="1"/>
    <x:col min="8211" max="8448" width="9.140625" style="1"/>
    <x:col min="8449" max="8449" width="8.140625" style="1" customWidth="1"/>
    <x:col min="8450" max="8450" width="2.85546875" style="1" customWidth="1"/>
    <x:col min="8451" max="8451" width="5.5703125" style="1" customWidth="1"/>
    <x:col min="8452" max="8452" width="3.42578125" style="1" customWidth="1"/>
    <x:col min="8453" max="8453" width="45.85546875" style="1" customWidth="1"/>
    <x:col min="8454" max="8454" width="3.42578125" style="1" customWidth="1"/>
    <x:col min="8455" max="8455" width="17.85546875" style="1" customWidth="1"/>
    <x:col min="8456" max="8456" width="3.5703125" style="1" customWidth="1"/>
    <x:col min="8457" max="8457" width="17.85546875" style="1" bestFit="1" customWidth="1"/>
    <x:col min="8458" max="8458" width="3.140625" style="1" customWidth="1"/>
    <x:col min="8459" max="8459" width="17.85546875" style="1" customWidth="1"/>
    <x:col min="8460" max="8460" width="7" style="1" customWidth="1"/>
    <x:col min="8461" max="8461" width="19.42578125" style="1" bestFit="1" customWidth="1"/>
    <x:col min="8462" max="8462" width="21.85546875" style="1" customWidth="1"/>
    <x:col min="8463" max="8463" width="0" style="1" hidden="1" customWidth="1"/>
    <x:col min="8464" max="8464" width="25.42578125" style="1" customWidth="1"/>
    <x:col min="8465" max="8465" width="15.85546875" style="1" bestFit="1" customWidth="1"/>
    <x:col min="8466" max="8466" width="12.140625" style="1" bestFit="1" customWidth="1"/>
    <x:col min="8467" max="8704" width="9.140625" style="1"/>
    <x:col min="8705" max="8705" width="8.140625" style="1" customWidth="1"/>
    <x:col min="8706" max="8706" width="2.85546875" style="1" customWidth="1"/>
    <x:col min="8707" max="8707" width="5.5703125" style="1" customWidth="1"/>
    <x:col min="8708" max="8708" width="3.42578125" style="1" customWidth="1"/>
    <x:col min="8709" max="8709" width="45.85546875" style="1" customWidth="1"/>
    <x:col min="8710" max="8710" width="3.42578125" style="1" customWidth="1"/>
    <x:col min="8711" max="8711" width="17.85546875" style="1" customWidth="1"/>
    <x:col min="8712" max="8712" width="3.5703125" style="1" customWidth="1"/>
    <x:col min="8713" max="8713" width="17.85546875" style="1" bestFit="1" customWidth="1"/>
    <x:col min="8714" max="8714" width="3.140625" style="1" customWidth="1"/>
    <x:col min="8715" max="8715" width="17.85546875" style="1" customWidth="1"/>
    <x:col min="8716" max="8716" width="7" style="1" customWidth="1"/>
    <x:col min="8717" max="8717" width="19.42578125" style="1" bestFit="1" customWidth="1"/>
    <x:col min="8718" max="8718" width="21.85546875" style="1" customWidth="1"/>
    <x:col min="8719" max="8719" width="0" style="1" hidden="1" customWidth="1"/>
    <x:col min="8720" max="8720" width="25.42578125" style="1" customWidth="1"/>
    <x:col min="8721" max="8721" width="15.85546875" style="1" bestFit="1" customWidth="1"/>
    <x:col min="8722" max="8722" width="12.140625" style="1" bestFit="1" customWidth="1"/>
    <x:col min="8723" max="8960" width="9.140625" style="1"/>
    <x:col min="8961" max="8961" width="8.140625" style="1" customWidth="1"/>
    <x:col min="8962" max="8962" width="2.85546875" style="1" customWidth="1"/>
    <x:col min="8963" max="8963" width="5.5703125" style="1" customWidth="1"/>
    <x:col min="8964" max="8964" width="3.42578125" style="1" customWidth="1"/>
    <x:col min="8965" max="8965" width="45.85546875" style="1" customWidth="1"/>
    <x:col min="8966" max="8966" width="3.42578125" style="1" customWidth="1"/>
    <x:col min="8967" max="8967" width="17.85546875" style="1" customWidth="1"/>
    <x:col min="8968" max="8968" width="3.5703125" style="1" customWidth="1"/>
    <x:col min="8969" max="8969" width="17.85546875" style="1" bestFit="1" customWidth="1"/>
    <x:col min="8970" max="8970" width="3.140625" style="1" customWidth="1"/>
    <x:col min="8971" max="8971" width="17.85546875" style="1" customWidth="1"/>
    <x:col min="8972" max="8972" width="7" style="1" customWidth="1"/>
    <x:col min="8973" max="8973" width="19.42578125" style="1" bestFit="1" customWidth="1"/>
    <x:col min="8974" max="8974" width="21.85546875" style="1" customWidth="1"/>
    <x:col min="8975" max="8975" width="0" style="1" hidden="1" customWidth="1"/>
    <x:col min="8976" max="8976" width="25.42578125" style="1" customWidth="1"/>
    <x:col min="8977" max="8977" width="15.85546875" style="1" bestFit="1" customWidth="1"/>
    <x:col min="8978" max="8978" width="12.140625" style="1" bestFit="1" customWidth="1"/>
    <x:col min="8979" max="9216" width="9.140625" style="1"/>
    <x:col min="9217" max="9217" width="8.140625" style="1" customWidth="1"/>
    <x:col min="9218" max="9218" width="2.85546875" style="1" customWidth="1"/>
    <x:col min="9219" max="9219" width="5.5703125" style="1" customWidth="1"/>
    <x:col min="9220" max="9220" width="3.42578125" style="1" customWidth="1"/>
    <x:col min="9221" max="9221" width="45.85546875" style="1" customWidth="1"/>
    <x:col min="9222" max="9222" width="3.42578125" style="1" customWidth="1"/>
    <x:col min="9223" max="9223" width="17.85546875" style="1" customWidth="1"/>
    <x:col min="9224" max="9224" width="3.5703125" style="1" customWidth="1"/>
    <x:col min="9225" max="9225" width="17.85546875" style="1" bestFit="1" customWidth="1"/>
    <x:col min="9226" max="9226" width="3.140625" style="1" customWidth="1"/>
    <x:col min="9227" max="9227" width="17.85546875" style="1" customWidth="1"/>
    <x:col min="9228" max="9228" width="7" style="1" customWidth="1"/>
    <x:col min="9229" max="9229" width="19.42578125" style="1" bestFit="1" customWidth="1"/>
    <x:col min="9230" max="9230" width="21.85546875" style="1" customWidth="1"/>
    <x:col min="9231" max="9231" width="0" style="1" hidden="1" customWidth="1"/>
    <x:col min="9232" max="9232" width="25.42578125" style="1" customWidth="1"/>
    <x:col min="9233" max="9233" width="15.85546875" style="1" bestFit="1" customWidth="1"/>
    <x:col min="9234" max="9234" width="12.140625" style="1" bestFit="1" customWidth="1"/>
    <x:col min="9235" max="9472" width="9.140625" style="1"/>
    <x:col min="9473" max="9473" width="8.140625" style="1" customWidth="1"/>
    <x:col min="9474" max="9474" width="2.85546875" style="1" customWidth="1"/>
    <x:col min="9475" max="9475" width="5.5703125" style="1" customWidth="1"/>
    <x:col min="9476" max="9476" width="3.42578125" style="1" customWidth="1"/>
    <x:col min="9477" max="9477" width="45.85546875" style="1" customWidth="1"/>
    <x:col min="9478" max="9478" width="3.42578125" style="1" customWidth="1"/>
    <x:col min="9479" max="9479" width="17.85546875" style="1" customWidth="1"/>
    <x:col min="9480" max="9480" width="3.5703125" style="1" customWidth="1"/>
    <x:col min="9481" max="9481" width="17.85546875" style="1" bestFit="1" customWidth="1"/>
    <x:col min="9482" max="9482" width="3.140625" style="1" customWidth="1"/>
    <x:col min="9483" max="9483" width="17.85546875" style="1" customWidth="1"/>
    <x:col min="9484" max="9484" width="7" style="1" customWidth="1"/>
    <x:col min="9485" max="9485" width="19.42578125" style="1" bestFit="1" customWidth="1"/>
    <x:col min="9486" max="9486" width="21.85546875" style="1" customWidth="1"/>
    <x:col min="9487" max="9487" width="0" style="1" hidden="1" customWidth="1"/>
    <x:col min="9488" max="9488" width="25.42578125" style="1" customWidth="1"/>
    <x:col min="9489" max="9489" width="15.85546875" style="1" bestFit="1" customWidth="1"/>
    <x:col min="9490" max="9490" width="12.140625" style="1" bestFit="1" customWidth="1"/>
    <x:col min="9491" max="9728" width="9.140625" style="1"/>
    <x:col min="9729" max="9729" width="8.140625" style="1" customWidth="1"/>
    <x:col min="9730" max="9730" width="2.85546875" style="1" customWidth="1"/>
    <x:col min="9731" max="9731" width="5.5703125" style="1" customWidth="1"/>
    <x:col min="9732" max="9732" width="3.42578125" style="1" customWidth="1"/>
    <x:col min="9733" max="9733" width="45.85546875" style="1" customWidth="1"/>
    <x:col min="9734" max="9734" width="3.42578125" style="1" customWidth="1"/>
    <x:col min="9735" max="9735" width="17.85546875" style="1" customWidth="1"/>
    <x:col min="9736" max="9736" width="3.5703125" style="1" customWidth="1"/>
    <x:col min="9737" max="9737" width="17.85546875" style="1" bestFit="1" customWidth="1"/>
    <x:col min="9738" max="9738" width="3.140625" style="1" customWidth="1"/>
    <x:col min="9739" max="9739" width="17.85546875" style="1" customWidth="1"/>
    <x:col min="9740" max="9740" width="7" style="1" customWidth="1"/>
    <x:col min="9741" max="9741" width="19.42578125" style="1" bestFit="1" customWidth="1"/>
    <x:col min="9742" max="9742" width="21.85546875" style="1" customWidth="1"/>
    <x:col min="9743" max="9743" width="0" style="1" hidden="1" customWidth="1"/>
    <x:col min="9744" max="9744" width="25.42578125" style="1" customWidth="1"/>
    <x:col min="9745" max="9745" width="15.85546875" style="1" bestFit="1" customWidth="1"/>
    <x:col min="9746" max="9746" width="12.140625" style="1" bestFit="1" customWidth="1"/>
    <x:col min="9747" max="9984" width="9.140625" style="1"/>
    <x:col min="9985" max="9985" width="8.140625" style="1" customWidth="1"/>
    <x:col min="9986" max="9986" width="2.85546875" style="1" customWidth="1"/>
    <x:col min="9987" max="9987" width="5.5703125" style="1" customWidth="1"/>
    <x:col min="9988" max="9988" width="3.42578125" style="1" customWidth="1"/>
    <x:col min="9989" max="9989" width="45.85546875" style="1" customWidth="1"/>
    <x:col min="9990" max="9990" width="3.42578125" style="1" customWidth="1"/>
    <x:col min="9991" max="9991" width="17.85546875" style="1" customWidth="1"/>
    <x:col min="9992" max="9992" width="3.5703125" style="1" customWidth="1"/>
    <x:col min="9993" max="9993" width="17.85546875" style="1" bestFit="1" customWidth="1"/>
    <x:col min="9994" max="9994" width="3.140625" style="1" customWidth="1"/>
    <x:col min="9995" max="9995" width="17.85546875" style="1" customWidth="1"/>
    <x:col min="9996" max="9996" width="7" style="1" customWidth="1"/>
    <x:col min="9997" max="9997" width="19.42578125" style="1" bestFit="1" customWidth="1"/>
    <x:col min="9998" max="9998" width="21.85546875" style="1" customWidth="1"/>
    <x:col min="9999" max="9999" width="0" style="1" hidden="1" customWidth="1"/>
    <x:col min="10000" max="10000" width="25.42578125" style="1" customWidth="1"/>
    <x:col min="10001" max="10001" width="15.85546875" style="1" bestFit="1" customWidth="1"/>
    <x:col min="10002" max="10002" width="12.140625" style="1" bestFit="1" customWidth="1"/>
    <x:col min="10003" max="10240" width="9.140625" style="1"/>
    <x:col min="10241" max="10241" width="8.140625" style="1" customWidth="1"/>
    <x:col min="10242" max="10242" width="2.85546875" style="1" customWidth="1"/>
    <x:col min="10243" max="10243" width="5.5703125" style="1" customWidth="1"/>
    <x:col min="10244" max="10244" width="3.42578125" style="1" customWidth="1"/>
    <x:col min="10245" max="10245" width="45.85546875" style="1" customWidth="1"/>
    <x:col min="10246" max="10246" width="3.42578125" style="1" customWidth="1"/>
    <x:col min="10247" max="10247" width="17.85546875" style="1" customWidth="1"/>
    <x:col min="10248" max="10248" width="3.5703125" style="1" customWidth="1"/>
    <x:col min="10249" max="10249" width="17.85546875" style="1" bestFit="1" customWidth="1"/>
    <x:col min="10250" max="10250" width="3.140625" style="1" customWidth="1"/>
    <x:col min="10251" max="10251" width="17.85546875" style="1" customWidth="1"/>
    <x:col min="10252" max="10252" width="7" style="1" customWidth="1"/>
    <x:col min="10253" max="10253" width="19.42578125" style="1" bestFit="1" customWidth="1"/>
    <x:col min="10254" max="10254" width="21.85546875" style="1" customWidth="1"/>
    <x:col min="10255" max="10255" width="0" style="1" hidden="1" customWidth="1"/>
    <x:col min="10256" max="10256" width="25.42578125" style="1" customWidth="1"/>
    <x:col min="10257" max="10257" width="15.85546875" style="1" bestFit="1" customWidth="1"/>
    <x:col min="10258" max="10258" width="12.140625" style="1" bestFit="1" customWidth="1"/>
    <x:col min="10259" max="10496" width="9.140625" style="1"/>
    <x:col min="10497" max="10497" width="8.140625" style="1" customWidth="1"/>
    <x:col min="10498" max="10498" width="2.85546875" style="1" customWidth="1"/>
    <x:col min="10499" max="10499" width="5.5703125" style="1" customWidth="1"/>
    <x:col min="10500" max="10500" width="3.42578125" style="1" customWidth="1"/>
    <x:col min="10501" max="10501" width="45.85546875" style="1" customWidth="1"/>
    <x:col min="10502" max="10502" width="3.42578125" style="1" customWidth="1"/>
    <x:col min="10503" max="10503" width="17.85546875" style="1" customWidth="1"/>
    <x:col min="10504" max="10504" width="3.5703125" style="1" customWidth="1"/>
    <x:col min="10505" max="10505" width="17.85546875" style="1" bestFit="1" customWidth="1"/>
    <x:col min="10506" max="10506" width="3.140625" style="1" customWidth="1"/>
    <x:col min="10507" max="10507" width="17.85546875" style="1" customWidth="1"/>
    <x:col min="10508" max="10508" width="7" style="1" customWidth="1"/>
    <x:col min="10509" max="10509" width="19.42578125" style="1" bestFit="1" customWidth="1"/>
    <x:col min="10510" max="10510" width="21.85546875" style="1" customWidth="1"/>
    <x:col min="10511" max="10511" width="0" style="1" hidden="1" customWidth="1"/>
    <x:col min="10512" max="10512" width="25.42578125" style="1" customWidth="1"/>
    <x:col min="10513" max="10513" width="15.85546875" style="1" bestFit="1" customWidth="1"/>
    <x:col min="10514" max="10514" width="12.140625" style="1" bestFit="1" customWidth="1"/>
    <x:col min="10515" max="10752" width="9.140625" style="1"/>
    <x:col min="10753" max="10753" width="8.140625" style="1" customWidth="1"/>
    <x:col min="10754" max="10754" width="2.85546875" style="1" customWidth="1"/>
    <x:col min="10755" max="10755" width="5.5703125" style="1" customWidth="1"/>
    <x:col min="10756" max="10756" width="3.42578125" style="1" customWidth="1"/>
    <x:col min="10757" max="10757" width="45.85546875" style="1" customWidth="1"/>
    <x:col min="10758" max="10758" width="3.42578125" style="1" customWidth="1"/>
    <x:col min="10759" max="10759" width="17.85546875" style="1" customWidth="1"/>
    <x:col min="10760" max="10760" width="3.5703125" style="1" customWidth="1"/>
    <x:col min="10761" max="10761" width="17.85546875" style="1" bestFit="1" customWidth="1"/>
    <x:col min="10762" max="10762" width="3.140625" style="1" customWidth="1"/>
    <x:col min="10763" max="10763" width="17.85546875" style="1" customWidth="1"/>
    <x:col min="10764" max="10764" width="7" style="1" customWidth="1"/>
    <x:col min="10765" max="10765" width="19.42578125" style="1" bestFit="1" customWidth="1"/>
    <x:col min="10766" max="10766" width="21.85546875" style="1" customWidth="1"/>
    <x:col min="10767" max="10767" width="0" style="1" hidden="1" customWidth="1"/>
    <x:col min="10768" max="10768" width="25.42578125" style="1" customWidth="1"/>
    <x:col min="10769" max="10769" width="15.85546875" style="1" bestFit="1" customWidth="1"/>
    <x:col min="10770" max="10770" width="12.140625" style="1" bestFit="1" customWidth="1"/>
    <x:col min="10771" max="11008" width="9.140625" style="1"/>
    <x:col min="11009" max="11009" width="8.140625" style="1" customWidth="1"/>
    <x:col min="11010" max="11010" width="2.85546875" style="1" customWidth="1"/>
    <x:col min="11011" max="11011" width="5.5703125" style="1" customWidth="1"/>
    <x:col min="11012" max="11012" width="3.42578125" style="1" customWidth="1"/>
    <x:col min="11013" max="11013" width="45.85546875" style="1" customWidth="1"/>
    <x:col min="11014" max="11014" width="3.42578125" style="1" customWidth="1"/>
    <x:col min="11015" max="11015" width="17.85546875" style="1" customWidth="1"/>
    <x:col min="11016" max="11016" width="3.5703125" style="1" customWidth="1"/>
    <x:col min="11017" max="11017" width="17.85546875" style="1" bestFit="1" customWidth="1"/>
    <x:col min="11018" max="11018" width="3.140625" style="1" customWidth="1"/>
    <x:col min="11019" max="11019" width="17.85546875" style="1" customWidth="1"/>
    <x:col min="11020" max="11020" width="7" style="1" customWidth="1"/>
    <x:col min="11021" max="11021" width="19.42578125" style="1" bestFit="1" customWidth="1"/>
    <x:col min="11022" max="11022" width="21.85546875" style="1" customWidth="1"/>
    <x:col min="11023" max="11023" width="0" style="1" hidden="1" customWidth="1"/>
    <x:col min="11024" max="11024" width="25.42578125" style="1" customWidth="1"/>
    <x:col min="11025" max="11025" width="15.85546875" style="1" bestFit="1" customWidth="1"/>
    <x:col min="11026" max="11026" width="12.140625" style="1" bestFit="1" customWidth="1"/>
    <x:col min="11027" max="11264" width="9.140625" style="1"/>
    <x:col min="11265" max="11265" width="8.140625" style="1" customWidth="1"/>
    <x:col min="11266" max="11266" width="2.85546875" style="1" customWidth="1"/>
    <x:col min="11267" max="11267" width="5.5703125" style="1" customWidth="1"/>
    <x:col min="11268" max="11268" width="3.42578125" style="1" customWidth="1"/>
    <x:col min="11269" max="11269" width="45.85546875" style="1" customWidth="1"/>
    <x:col min="11270" max="11270" width="3.42578125" style="1" customWidth="1"/>
    <x:col min="11271" max="11271" width="17.85546875" style="1" customWidth="1"/>
    <x:col min="11272" max="11272" width="3.5703125" style="1" customWidth="1"/>
    <x:col min="11273" max="11273" width="17.85546875" style="1" bestFit="1" customWidth="1"/>
    <x:col min="11274" max="11274" width="3.140625" style="1" customWidth="1"/>
    <x:col min="11275" max="11275" width="17.85546875" style="1" customWidth="1"/>
    <x:col min="11276" max="11276" width="7" style="1" customWidth="1"/>
    <x:col min="11277" max="11277" width="19.42578125" style="1" bestFit="1" customWidth="1"/>
    <x:col min="11278" max="11278" width="21.85546875" style="1" customWidth="1"/>
    <x:col min="11279" max="11279" width="0" style="1" hidden="1" customWidth="1"/>
    <x:col min="11280" max="11280" width="25.42578125" style="1" customWidth="1"/>
    <x:col min="11281" max="11281" width="15.85546875" style="1" bestFit="1" customWidth="1"/>
    <x:col min="11282" max="11282" width="12.140625" style="1" bestFit="1" customWidth="1"/>
    <x:col min="11283" max="11520" width="9.140625" style="1"/>
    <x:col min="11521" max="11521" width="8.140625" style="1" customWidth="1"/>
    <x:col min="11522" max="11522" width="2.85546875" style="1" customWidth="1"/>
    <x:col min="11523" max="11523" width="5.5703125" style="1" customWidth="1"/>
    <x:col min="11524" max="11524" width="3.42578125" style="1" customWidth="1"/>
    <x:col min="11525" max="11525" width="45.85546875" style="1" customWidth="1"/>
    <x:col min="11526" max="11526" width="3.42578125" style="1" customWidth="1"/>
    <x:col min="11527" max="11527" width="17.85546875" style="1" customWidth="1"/>
    <x:col min="11528" max="11528" width="3.5703125" style="1" customWidth="1"/>
    <x:col min="11529" max="11529" width="17.85546875" style="1" bestFit="1" customWidth="1"/>
    <x:col min="11530" max="11530" width="3.140625" style="1" customWidth="1"/>
    <x:col min="11531" max="11531" width="17.85546875" style="1" customWidth="1"/>
    <x:col min="11532" max="11532" width="7" style="1" customWidth="1"/>
    <x:col min="11533" max="11533" width="19.42578125" style="1" bestFit="1" customWidth="1"/>
    <x:col min="11534" max="11534" width="21.85546875" style="1" customWidth="1"/>
    <x:col min="11535" max="11535" width="0" style="1" hidden="1" customWidth="1"/>
    <x:col min="11536" max="11536" width="25.42578125" style="1" customWidth="1"/>
    <x:col min="11537" max="11537" width="15.85546875" style="1" bestFit="1" customWidth="1"/>
    <x:col min="11538" max="11538" width="12.140625" style="1" bestFit="1" customWidth="1"/>
    <x:col min="11539" max="11776" width="9.140625" style="1"/>
    <x:col min="11777" max="11777" width="8.140625" style="1" customWidth="1"/>
    <x:col min="11778" max="11778" width="2.85546875" style="1" customWidth="1"/>
    <x:col min="11779" max="11779" width="5.5703125" style="1" customWidth="1"/>
    <x:col min="11780" max="11780" width="3.42578125" style="1" customWidth="1"/>
    <x:col min="11781" max="11781" width="45.85546875" style="1" customWidth="1"/>
    <x:col min="11782" max="11782" width="3.42578125" style="1" customWidth="1"/>
    <x:col min="11783" max="11783" width="17.85546875" style="1" customWidth="1"/>
    <x:col min="11784" max="11784" width="3.5703125" style="1" customWidth="1"/>
    <x:col min="11785" max="11785" width="17.85546875" style="1" bestFit="1" customWidth="1"/>
    <x:col min="11786" max="11786" width="3.140625" style="1" customWidth="1"/>
    <x:col min="11787" max="11787" width="17.85546875" style="1" customWidth="1"/>
    <x:col min="11788" max="11788" width="7" style="1" customWidth="1"/>
    <x:col min="11789" max="11789" width="19.42578125" style="1" bestFit="1" customWidth="1"/>
    <x:col min="11790" max="11790" width="21.85546875" style="1" customWidth="1"/>
    <x:col min="11791" max="11791" width="0" style="1" hidden="1" customWidth="1"/>
    <x:col min="11792" max="11792" width="25.42578125" style="1" customWidth="1"/>
    <x:col min="11793" max="11793" width="15.85546875" style="1" bestFit="1" customWidth="1"/>
    <x:col min="11794" max="11794" width="12.140625" style="1" bestFit="1" customWidth="1"/>
    <x:col min="11795" max="12032" width="9.140625" style="1"/>
    <x:col min="12033" max="12033" width="8.140625" style="1" customWidth="1"/>
    <x:col min="12034" max="12034" width="2.85546875" style="1" customWidth="1"/>
    <x:col min="12035" max="12035" width="5.5703125" style="1" customWidth="1"/>
    <x:col min="12036" max="12036" width="3.42578125" style="1" customWidth="1"/>
    <x:col min="12037" max="12037" width="45.85546875" style="1" customWidth="1"/>
    <x:col min="12038" max="12038" width="3.42578125" style="1" customWidth="1"/>
    <x:col min="12039" max="12039" width="17.85546875" style="1" customWidth="1"/>
    <x:col min="12040" max="12040" width="3.5703125" style="1" customWidth="1"/>
    <x:col min="12041" max="12041" width="17.85546875" style="1" bestFit="1" customWidth="1"/>
    <x:col min="12042" max="12042" width="3.140625" style="1" customWidth="1"/>
    <x:col min="12043" max="12043" width="17.85546875" style="1" customWidth="1"/>
    <x:col min="12044" max="12044" width="7" style="1" customWidth="1"/>
    <x:col min="12045" max="12045" width="19.42578125" style="1" bestFit="1" customWidth="1"/>
    <x:col min="12046" max="12046" width="21.85546875" style="1" customWidth="1"/>
    <x:col min="12047" max="12047" width="0" style="1" hidden="1" customWidth="1"/>
    <x:col min="12048" max="12048" width="25.42578125" style="1" customWidth="1"/>
    <x:col min="12049" max="12049" width="15.85546875" style="1" bestFit="1" customWidth="1"/>
    <x:col min="12050" max="12050" width="12.140625" style="1" bestFit="1" customWidth="1"/>
    <x:col min="12051" max="12288" width="9.140625" style="1"/>
    <x:col min="12289" max="12289" width="8.140625" style="1" customWidth="1"/>
    <x:col min="12290" max="12290" width="2.85546875" style="1" customWidth="1"/>
    <x:col min="12291" max="12291" width="5.5703125" style="1" customWidth="1"/>
    <x:col min="12292" max="12292" width="3.42578125" style="1" customWidth="1"/>
    <x:col min="12293" max="12293" width="45.85546875" style="1" customWidth="1"/>
    <x:col min="12294" max="12294" width="3.42578125" style="1" customWidth="1"/>
    <x:col min="12295" max="12295" width="17.85546875" style="1" customWidth="1"/>
    <x:col min="12296" max="12296" width="3.5703125" style="1" customWidth="1"/>
    <x:col min="12297" max="12297" width="17.85546875" style="1" bestFit="1" customWidth="1"/>
    <x:col min="12298" max="12298" width="3.140625" style="1" customWidth="1"/>
    <x:col min="12299" max="12299" width="17.85546875" style="1" customWidth="1"/>
    <x:col min="12300" max="12300" width="7" style="1" customWidth="1"/>
    <x:col min="12301" max="12301" width="19.42578125" style="1" bestFit="1" customWidth="1"/>
    <x:col min="12302" max="12302" width="21.85546875" style="1" customWidth="1"/>
    <x:col min="12303" max="12303" width="0" style="1" hidden="1" customWidth="1"/>
    <x:col min="12304" max="12304" width="25.42578125" style="1" customWidth="1"/>
    <x:col min="12305" max="12305" width="15.85546875" style="1" bestFit="1" customWidth="1"/>
    <x:col min="12306" max="12306" width="12.140625" style="1" bestFit="1" customWidth="1"/>
    <x:col min="12307" max="12544" width="9.140625" style="1"/>
    <x:col min="12545" max="12545" width="8.140625" style="1" customWidth="1"/>
    <x:col min="12546" max="12546" width="2.85546875" style="1" customWidth="1"/>
    <x:col min="12547" max="12547" width="5.5703125" style="1" customWidth="1"/>
    <x:col min="12548" max="12548" width="3.42578125" style="1" customWidth="1"/>
    <x:col min="12549" max="12549" width="45.85546875" style="1" customWidth="1"/>
    <x:col min="12550" max="12550" width="3.42578125" style="1" customWidth="1"/>
    <x:col min="12551" max="12551" width="17.85546875" style="1" customWidth="1"/>
    <x:col min="12552" max="12552" width="3.5703125" style="1" customWidth="1"/>
    <x:col min="12553" max="12553" width="17.85546875" style="1" bestFit="1" customWidth="1"/>
    <x:col min="12554" max="12554" width="3.140625" style="1" customWidth="1"/>
    <x:col min="12555" max="12555" width="17.85546875" style="1" customWidth="1"/>
    <x:col min="12556" max="12556" width="7" style="1" customWidth="1"/>
    <x:col min="12557" max="12557" width="19.42578125" style="1" bestFit="1" customWidth="1"/>
    <x:col min="12558" max="12558" width="21.85546875" style="1" customWidth="1"/>
    <x:col min="12559" max="12559" width="0" style="1" hidden="1" customWidth="1"/>
    <x:col min="12560" max="12560" width="25.42578125" style="1" customWidth="1"/>
    <x:col min="12561" max="12561" width="15.85546875" style="1" bestFit="1" customWidth="1"/>
    <x:col min="12562" max="12562" width="12.140625" style="1" bestFit="1" customWidth="1"/>
    <x:col min="12563" max="12800" width="9.140625" style="1"/>
    <x:col min="12801" max="12801" width="8.140625" style="1" customWidth="1"/>
    <x:col min="12802" max="12802" width="2.85546875" style="1" customWidth="1"/>
    <x:col min="12803" max="12803" width="5.5703125" style="1" customWidth="1"/>
    <x:col min="12804" max="12804" width="3.42578125" style="1" customWidth="1"/>
    <x:col min="12805" max="12805" width="45.85546875" style="1" customWidth="1"/>
    <x:col min="12806" max="12806" width="3.42578125" style="1" customWidth="1"/>
    <x:col min="12807" max="12807" width="17.85546875" style="1" customWidth="1"/>
    <x:col min="12808" max="12808" width="3.5703125" style="1" customWidth="1"/>
    <x:col min="12809" max="12809" width="17.85546875" style="1" bestFit="1" customWidth="1"/>
    <x:col min="12810" max="12810" width="3.140625" style="1" customWidth="1"/>
    <x:col min="12811" max="12811" width="17.85546875" style="1" customWidth="1"/>
    <x:col min="12812" max="12812" width="7" style="1" customWidth="1"/>
    <x:col min="12813" max="12813" width="19.42578125" style="1" bestFit="1" customWidth="1"/>
    <x:col min="12814" max="12814" width="21.85546875" style="1" customWidth="1"/>
    <x:col min="12815" max="12815" width="0" style="1" hidden="1" customWidth="1"/>
    <x:col min="12816" max="12816" width="25.42578125" style="1" customWidth="1"/>
    <x:col min="12817" max="12817" width="15.85546875" style="1" bestFit="1" customWidth="1"/>
    <x:col min="12818" max="12818" width="12.140625" style="1" bestFit="1" customWidth="1"/>
    <x:col min="12819" max="13056" width="9.140625" style="1"/>
    <x:col min="13057" max="13057" width="8.140625" style="1" customWidth="1"/>
    <x:col min="13058" max="13058" width="2.85546875" style="1" customWidth="1"/>
    <x:col min="13059" max="13059" width="5.5703125" style="1" customWidth="1"/>
    <x:col min="13060" max="13060" width="3.42578125" style="1" customWidth="1"/>
    <x:col min="13061" max="13061" width="45.85546875" style="1" customWidth="1"/>
    <x:col min="13062" max="13062" width="3.42578125" style="1" customWidth="1"/>
    <x:col min="13063" max="13063" width="17.85546875" style="1" customWidth="1"/>
    <x:col min="13064" max="13064" width="3.5703125" style="1" customWidth="1"/>
    <x:col min="13065" max="13065" width="17.85546875" style="1" bestFit="1" customWidth="1"/>
    <x:col min="13066" max="13066" width="3.140625" style="1" customWidth="1"/>
    <x:col min="13067" max="13067" width="17.85546875" style="1" customWidth="1"/>
    <x:col min="13068" max="13068" width="7" style="1" customWidth="1"/>
    <x:col min="13069" max="13069" width="19.42578125" style="1" bestFit="1" customWidth="1"/>
    <x:col min="13070" max="13070" width="21.85546875" style="1" customWidth="1"/>
    <x:col min="13071" max="13071" width="0" style="1" hidden="1" customWidth="1"/>
    <x:col min="13072" max="13072" width="25.42578125" style="1" customWidth="1"/>
    <x:col min="13073" max="13073" width="15.85546875" style="1" bestFit="1" customWidth="1"/>
    <x:col min="13074" max="13074" width="12.140625" style="1" bestFit="1" customWidth="1"/>
    <x:col min="13075" max="13312" width="9.140625" style="1"/>
    <x:col min="13313" max="13313" width="8.140625" style="1" customWidth="1"/>
    <x:col min="13314" max="13314" width="2.85546875" style="1" customWidth="1"/>
    <x:col min="13315" max="13315" width="5.5703125" style="1" customWidth="1"/>
    <x:col min="13316" max="13316" width="3.42578125" style="1" customWidth="1"/>
    <x:col min="13317" max="13317" width="45.85546875" style="1" customWidth="1"/>
    <x:col min="13318" max="13318" width="3.42578125" style="1" customWidth="1"/>
    <x:col min="13319" max="13319" width="17.85546875" style="1" customWidth="1"/>
    <x:col min="13320" max="13320" width="3.5703125" style="1" customWidth="1"/>
    <x:col min="13321" max="13321" width="17.85546875" style="1" bestFit="1" customWidth="1"/>
    <x:col min="13322" max="13322" width="3.140625" style="1" customWidth="1"/>
    <x:col min="13323" max="13323" width="17.85546875" style="1" customWidth="1"/>
    <x:col min="13324" max="13324" width="7" style="1" customWidth="1"/>
    <x:col min="13325" max="13325" width="19.42578125" style="1" bestFit="1" customWidth="1"/>
    <x:col min="13326" max="13326" width="21.85546875" style="1" customWidth="1"/>
    <x:col min="13327" max="13327" width="0" style="1" hidden="1" customWidth="1"/>
    <x:col min="13328" max="13328" width="25.42578125" style="1" customWidth="1"/>
    <x:col min="13329" max="13329" width="15.85546875" style="1" bestFit="1" customWidth="1"/>
    <x:col min="13330" max="13330" width="12.140625" style="1" bestFit="1" customWidth="1"/>
    <x:col min="13331" max="13568" width="9.140625" style="1"/>
    <x:col min="13569" max="13569" width="8.140625" style="1" customWidth="1"/>
    <x:col min="13570" max="13570" width="2.85546875" style="1" customWidth="1"/>
    <x:col min="13571" max="13571" width="5.5703125" style="1" customWidth="1"/>
    <x:col min="13572" max="13572" width="3.42578125" style="1" customWidth="1"/>
    <x:col min="13573" max="13573" width="45.85546875" style="1" customWidth="1"/>
    <x:col min="13574" max="13574" width="3.42578125" style="1" customWidth="1"/>
    <x:col min="13575" max="13575" width="17.85546875" style="1" customWidth="1"/>
    <x:col min="13576" max="13576" width="3.5703125" style="1" customWidth="1"/>
    <x:col min="13577" max="13577" width="17.85546875" style="1" bestFit="1" customWidth="1"/>
    <x:col min="13578" max="13578" width="3.140625" style="1" customWidth="1"/>
    <x:col min="13579" max="13579" width="17.85546875" style="1" customWidth="1"/>
    <x:col min="13580" max="13580" width="7" style="1" customWidth="1"/>
    <x:col min="13581" max="13581" width="19.42578125" style="1" bestFit="1" customWidth="1"/>
    <x:col min="13582" max="13582" width="21.85546875" style="1" customWidth="1"/>
    <x:col min="13583" max="13583" width="0" style="1" hidden="1" customWidth="1"/>
    <x:col min="13584" max="13584" width="25.42578125" style="1" customWidth="1"/>
    <x:col min="13585" max="13585" width="15.85546875" style="1" bestFit="1" customWidth="1"/>
    <x:col min="13586" max="13586" width="12.140625" style="1" bestFit="1" customWidth="1"/>
    <x:col min="13587" max="13824" width="9.140625" style="1"/>
    <x:col min="13825" max="13825" width="8.140625" style="1" customWidth="1"/>
    <x:col min="13826" max="13826" width="2.85546875" style="1" customWidth="1"/>
    <x:col min="13827" max="13827" width="5.5703125" style="1" customWidth="1"/>
    <x:col min="13828" max="13828" width="3.42578125" style="1" customWidth="1"/>
    <x:col min="13829" max="13829" width="45.85546875" style="1" customWidth="1"/>
    <x:col min="13830" max="13830" width="3.42578125" style="1" customWidth="1"/>
    <x:col min="13831" max="13831" width="17.85546875" style="1" customWidth="1"/>
    <x:col min="13832" max="13832" width="3.5703125" style="1" customWidth="1"/>
    <x:col min="13833" max="13833" width="17.85546875" style="1" bestFit="1" customWidth="1"/>
    <x:col min="13834" max="13834" width="3.140625" style="1" customWidth="1"/>
    <x:col min="13835" max="13835" width="17.85546875" style="1" customWidth="1"/>
    <x:col min="13836" max="13836" width="7" style="1" customWidth="1"/>
    <x:col min="13837" max="13837" width="19.42578125" style="1" bestFit="1" customWidth="1"/>
    <x:col min="13838" max="13838" width="21.85546875" style="1" customWidth="1"/>
    <x:col min="13839" max="13839" width="0" style="1" hidden="1" customWidth="1"/>
    <x:col min="13840" max="13840" width="25.42578125" style="1" customWidth="1"/>
    <x:col min="13841" max="13841" width="15.85546875" style="1" bestFit="1" customWidth="1"/>
    <x:col min="13842" max="13842" width="12.140625" style="1" bestFit="1" customWidth="1"/>
    <x:col min="13843" max="14080" width="9.140625" style="1"/>
    <x:col min="14081" max="14081" width="8.140625" style="1" customWidth="1"/>
    <x:col min="14082" max="14082" width="2.85546875" style="1" customWidth="1"/>
    <x:col min="14083" max="14083" width="5.5703125" style="1" customWidth="1"/>
    <x:col min="14084" max="14084" width="3.42578125" style="1" customWidth="1"/>
    <x:col min="14085" max="14085" width="45.85546875" style="1" customWidth="1"/>
    <x:col min="14086" max="14086" width="3.42578125" style="1" customWidth="1"/>
    <x:col min="14087" max="14087" width="17.85546875" style="1" customWidth="1"/>
    <x:col min="14088" max="14088" width="3.5703125" style="1" customWidth="1"/>
    <x:col min="14089" max="14089" width="17.85546875" style="1" bestFit="1" customWidth="1"/>
    <x:col min="14090" max="14090" width="3.140625" style="1" customWidth="1"/>
    <x:col min="14091" max="14091" width="17.85546875" style="1" customWidth="1"/>
    <x:col min="14092" max="14092" width="7" style="1" customWidth="1"/>
    <x:col min="14093" max="14093" width="19.42578125" style="1" bestFit="1" customWidth="1"/>
    <x:col min="14094" max="14094" width="21.85546875" style="1" customWidth="1"/>
    <x:col min="14095" max="14095" width="0" style="1" hidden="1" customWidth="1"/>
    <x:col min="14096" max="14096" width="25.42578125" style="1" customWidth="1"/>
    <x:col min="14097" max="14097" width="15.85546875" style="1" bestFit="1" customWidth="1"/>
    <x:col min="14098" max="14098" width="12.140625" style="1" bestFit="1" customWidth="1"/>
    <x:col min="14099" max="14336" width="9.140625" style="1"/>
    <x:col min="14337" max="14337" width="8.140625" style="1" customWidth="1"/>
    <x:col min="14338" max="14338" width="2.85546875" style="1" customWidth="1"/>
    <x:col min="14339" max="14339" width="5.5703125" style="1" customWidth="1"/>
    <x:col min="14340" max="14340" width="3.42578125" style="1" customWidth="1"/>
    <x:col min="14341" max="14341" width="45.85546875" style="1" customWidth="1"/>
    <x:col min="14342" max="14342" width="3.42578125" style="1" customWidth="1"/>
    <x:col min="14343" max="14343" width="17.85546875" style="1" customWidth="1"/>
    <x:col min="14344" max="14344" width="3.5703125" style="1" customWidth="1"/>
    <x:col min="14345" max="14345" width="17.85546875" style="1" bestFit="1" customWidth="1"/>
    <x:col min="14346" max="14346" width="3.140625" style="1" customWidth="1"/>
    <x:col min="14347" max="14347" width="17.85546875" style="1" customWidth="1"/>
    <x:col min="14348" max="14348" width="7" style="1" customWidth="1"/>
    <x:col min="14349" max="14349" width="19.42578125" style="1" bestFit="1" customWidth="1"/>
    <x:col min="14350" max="14350" width="21.85546875" style="1" customWidth="1"/>
    <x:col min="14351" max="14351" width="0" style="1" hidden="1" customWidth="1"/>
    <x:col min="14352" max="14352" width="25.42578125" style="1" customWidth="1"/>
    <x:col min="14353" max="14353" width="15.85546875" style="1" bestFit="1" customWidth="1"/>
    <x:col min="14354" max="14354" width="12.140625" style="1" bestFit="1" customWidth="1"/>
    <x:col min="14355" max="14592" width="9.140625" style="1"/>
    <x:col min="14593" max="14593" width="8.140625" style="1" customWidth="1"/>
    <x:col min="14594" max="14594" width="2.85546875" style="1" customWidth="1"/>
    <x:col min="14595" max="14595" width="5.5703125" style="1" customWidth="1"/>
    <x:col min="14596" max="14596" width="3.42578125" style="1" customWidth="1"/>
    <x:col min="14597" max="14597" width="45.85546875" style="1" customWidth="1"/>
    <x:col min="14598" max="14598" width="3.42578125" style="1" customWidth="1"/>
    <x:col min="14599" max="14599" width="17.85546875" style="1" customWidth="1"/>
    <x:col min="14600" max="14600" width="3.5703125" style="1" customWidth="1"/>
    <x:col min="14601" max="14601" width="17.85546875" style="1" bestFit="1" customWidth="1"/>
    <x:col min="14602" max="14602" width="3.140625" style="1" customWidth="1"/>
    <x:col min="14603" max="14603" width="17.85546875" style="1" customWidth="1"/>
    <x:col min="14604" max="14604" width="7" style="1" customWidth="1"/>
    <x:col min="14605" max="14605" width="19.42578125" style="1" bestFit="1" customWidth="1"/>
    <x:col min="14606" max="14606" width="21.85546875" style="1" customWidth="1"/>
    <x:col min="14607" max="14607" width="0" style="1" hidden="1" customWidth="1"/>
    <x:col min="14608" max="14608" width="25.42578125" style="1" customWidth="1"/>
    <x:col min="14609" max="14609" width="15.85546875" style="1" bestFit="1" customWidth="1"/>
    <x:col min="14610" max="14610" width="12.140625" style="1" bestFit="1" customWidth="1"/>
    <x:col min="14611" max="14848" width="9.140625" style="1"/>
    <x:col min="14849" max="14849" width="8.140625" style="1" customWidth="1"/>
    <x:col min="14850" max="14850" width="2.85546875" style="1" customWidth="1"/>
    <x:col min="14851" max="14851" width="5.5703125" style="1" customWidth="1"/>
    <x:col min="14852" max="14852" width="3.42578125" style="1" customWidth="1"/>
    <x:col min="14853" max="14853" width="45.85546875" style="1" customWidth="1"/>
    <x:col min="14854" max="14854" width="3.42578125" style="1" customWidth="1"/>
    <x:col min="14855" max="14855" width="17.85546875" style="1" customWidth="1"/>
    <x:col min="14856" max="14856" width="3.5703125" style="1" customWidth="1"/>
    <x:col min="14857" max="14857" width="17.85546875" style="1" bestFit="1" customWidth="1"/>
    <x:col min="14858" max="14858" width="3.140625" style="1" customWidth="1"/>
    <x:col min="14859" max="14859" width="17.85546875" style="1" customWidth="1"/>
    <x:col min="14860" max="14860" width="7" style="1" customWidth="1"/>
    <x:col min="14861" max="14861" width="19.42578125" style="1" bestFit="1" customWidth="1"/>
    <x:col min="14862" max="14862" width="21.85546875" style="1" customWidth="1"/>
    <x:col min="14863" max="14863" width="0" style="1" hidden="1" customWidth="1"/>
    <x:col min="14864" max="14864" width="25.42578125" style="1" customWidth="1"/>
    <x:col min="14865" max="14865" width="15.85546875" style="1" bestFit="1" customWidth="1"/>
    <x:col min="14866" max="14866" width="12.140625" style="1" bestFit="1" customWidth="1"/>
    <x:col min="14867" max="15104" width="9.140625" style="1"/>
    <x:col min="15105" max="15105" width="8.140625" style="1" customWidth="1"/>
    <x:col min="15106" max="15106" width="2.85546875" style="1" customWidth="1"/>
    <x:col min="15107" max="15107" width="5.5703125" style="1" customWidth="1"/>
    <x:col min="15108" max="15108" width="3.42578125" style="1" customWidth="1"/>
    <x:col min="15109" max="15109" width="45.85546875" style="1" customWidth="1"/>
    <x:col min="15110" max="15110" width="3.42578125" style="1" customWidth="1"/>
    <x:col min="15111" max="15111" width="17.85546875" style="1" customWidth="1"/>
    <x:col min="15112" max="15112" width="3.5703125" style="1" customWidth="1"/>
    <x:col min="15113" max="15113" width="17.85546875" style="1" bestFit="1" customWidth="1"/>
    <x:col min="15114" max="15114" width="3.140625" style="1" customWidth="1"/>
    <x:col min="15115" max="15115" width="17.85546875" style="1" customWidth="1"/>
    <x:col min="15116" max="15116" width="7" style="1" customWidth="1"/>
    <x:col min="15117" max="15117" width="19.42578125" style="1" bestFit="1" customWidth="1"/>
    <x:col min="15118" max="15118" width="21.85546875" style="1" customWidth="1"/>
    <x:col min="15119" max="15119" width="0" style="1" hidden="1" customWidth="1"/>
    <x:col min="15120" max="15120" width="25.42578125" style="1" customWidth="1"/>
    <x:col min="15121" max="15121" width="15.85546875" style="1" bestFit="1" customWidth="1"/>
    <x:col min="15122" max="15122" width="12.140625" style="1" bestFit="1" customWidth="1"/>
    <x:col min="15123" max="15360" width="9.140625" style="1"/>
    <x:col min="15361" max="15361" width="8.140625" style="1" customWidth="1"/>
    <x:col min="15362" max="15362" width="2.85546875" style="1" customWidth="1"/>
    <x:col min="15363" max="15363" width="5.5703125" style="1" customWidth="1"/>
    <x:col min="15364" max="15364" width="3.42578125" style="1" customWidth="1"/>
    <x:col min="15365" max="15365" width="45.85546875" style="1" customWidth="1"/>
    <x:col min="15366" max="15366" width="3.42578125" style="1" customWidth="1"/>
    <x:col min="15367" max="15367" width="17.85546875" style="1" customWidth="1"/>
    <x:col min="15368" max="15368" width="3.5703125" style="1" customWidth="1"/>
    <x:col min="15369" max="15369" width="17.85546875" style="1" bestFit="1" customWidth="1"/>
    <x:col min="15370" max="15370" width="3.140625" style="1" customWidth="1"/>
    <x:col min="15371" max="15371" width="17.85546875" style="1" customWidth="1"/>
    <x:col min="15372" max="15372" width="7" style="1" customWidth="1"/>
    <x:col min="15373" max="15373" width="19.42578125" style="1" bestFit="1" customWidth="1"/>
    <x:col min="15374" max="15374" width="21.85546875" style="1" customWidth="1"/>
    <x:col min="15375" max="15375" width="0" style="1" hidden="1" customWidth="1"/>
    <x:col min="15376" max="15376" width="25.42578125" style="1" customWidth="1"/>
    <x:col min="15377" max="15377" width="15.85546875" style="1" bestFit="1" customWidth="1"/>
    <x:col min="15378" max="15378" width="12.140625" style="1" bestFit="1" customWidth="1"/>
    <x:col min="15379" max="15616" width="9.140625" style="1"/>
    <x:col min="15617" max="15617" width="8.140625" style="1" customWidth="1"/>
    <x:col min="15618" max="15618" width="2.85546875" style="1" customWidth="1"/>
    <x:col min="15619" max="15619" width="5.5703125" style="1" customWidth="1"/>
    <x:col min="15620" max="15620" width="3.42578125" style="1" customWidth="1"/>
    <x:col min="15621" max="15621" width="45.85546875" style="1" customWidth="1"/>
    <x:col min="15622" max="15622" width="3.42578125" style="1" customWidth="1"/>
    <x:col min="15623" max="15623" width="17.85546875" style="1" customWidth="1"/>
    <x:col min="15624" max="15624" width="3.5703125" style="1" customWidth="1"/>
    <x:col min="15625" max="15625" width="17.85546875" style="1" bestFit="1" customWidth="1"/>
    <x:col min="15626" max="15626" width="3.140625" style="1" customWidth="1"/>
    <x:col min="15627" max="15627" width="17.85546875" style="1" customWidth="1"/>
    <x:col min="15628" max="15628" width="7" style="1" customWidth="1"/>
    <x:col min="15629" max="15629" width="19.42578125" style="1" bestFit="1" customWidth="1"/>
    <x:col min="15630" max="15630" width="21.85546875" style="1" customWidth="1"/>
    <x:col min="15631" max="15631" width="0" style="1" hidden="1" customWidth="1"/>
    <x:col min="15632" max="15632" width="25.42578125" style="1" customWidth="1"/>
    <x:col min="15633" max="15633" width="15.85546875" style="1" bestFit="1" customWidth="1"/>
    <x:col min="15634" max="15634" width="12.140625" style="1" bestFit="1" customWidth="1"/>
    <x:col min="15635" max="15872" width="9.140625" style="1"/>
    <x:col min="15873" max="15873" width="8.140625" style="1" customWidth="1"/>
    <x:col min="15874" max="15874" width="2.85546875" style="1" customWidth="1"/>
    <x:col min="15875" max="15875" width="5.5703125" style="1" customWidth="1"/>
    <x:col min="15876" max="15876" width="3.42578125" style="1" customWidth="1"/>
    <x:col min="15877" max="15877" width="45.85546875" style="1" customWidth="1"/>
    <x:col min="15878" max="15878" width="3.42578125" style="1" customWidth="1"/>
    <x:col min="15879" max="15879" width="17.85546875" style="1" customWidth="1"/>
    <x:col min="15880" max="15880" width="3.5703125" style="1" customWidth="1"/>
    <x:col min="15881" max="15881" width="17.85546875" style="1" bestFit="1" customWidth="1"/>
    <x:col min="15882" max="15882" width="3.140625" style="1" customWidth="1"/>
    <x:col min="15883" max="15883" width="17.85546875" style="1" customWidth="1"/>
    <x:col min="15884" max="15884" width="7" style="1" customWidth="1"/>
    <x:col min="15885" max="15885" width="19.42578125" style="1" bestFit="1" customWidth="1"/>
    <x:col min="15886" max="15886" width="21.85546875" style="1" customWidth="1"/>
    <x:col min="15887" max="15887" width="0" style="1" hidden="1" customWidth="1"/>
    <x:col min="15888" max="15888" width="25.42578125" style="1" customWidth="1"/>
    <x:col min="15889" max="15889" width="15.85546875" style="1" bestFit="1" customWidth="1"/>
    <x:col min="15890" max="15890" width="12.140625" style="1" bestFit="1" customWidth="1"/>
    <x:col min="15891" max="16128" width="9.140625" style="1"/>
    <x:col min="16129" max="16129" width="8.140625" style="1" customWidth="1"/>
    <x:col min="16130" max="16130" width="2.85546875" style="1" customWidth="1"/>
    <x:col min="16131" max="16131" width="5.5703125" style="1" customWidth="1"/>
    <x:col min="16132" max="16132" width="3.42578125" style="1" customWidth="1"/>
    <x:col min="16133" max="16133" width="45.85546875" style="1" customWidth="1"/>
    <x:col min="16134" max="16134" width="3.42578125" style="1" customWidth="1"/>
    <x:col min="16135" max="16135" width="17.85546875" style="1" customWidth="1"/>
    <x:col min="16136" max="16136" width="3.5703125" style="1" customWidth="1"/>
    <x:col min="16137" max="16137" width="17.85546875" style="1" bestFit="1" customWidth="1"/>
    <x:col min="16138" max="16138" width="3.140625" style="1" customWidth="1"/>
    <x:col min="16139" max="16139" width="17.85546875" style="1" customWidth="1"/>
    <x:col min="16140" max="16140" width="7" style="1" customWidth="1"/>
    <x:col min="16141" max="16141" width="19.42578125" style="1" bestFit="1" customWidth="1"/>
    <x:col min="16142" max="16142" width="21.85546875" style="1" customWidth="1"/>
    <x:col min="16143" max="16143" width="0" style="1" hidden="1" customWidth="1"/>
    <x:col min="16144" max="16144" width="25.42578125" style="1" customWidth="1"/>
    <x:col min="16145" max="16145" width="15.85546875" style="1" bestFit="1" customWidth="1"/>
    <x:col min="16146" max="16146" width="12.140625" style="1" bestFit="1" customWidth="1"/>
    <x:col min="16147" max="16384" width="9.140625" style="1"/>
  </x:cols>
  <x:sheetData>
    <x:row r="1" spans="3:17" x14ac:dyDescent="0.3">
      <x:c r="C1" s="76" t="s">
        <x:v>81</x:v>
      </x:c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</x:row>
    <x:row r="2" spans="3:17" x14ac:dyDescent="0.3">
      <x:c r="C2" s="76" t="s">
        <x:v>61</x:v>
      </x:c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</x:row>
    <x:row r="3" spans="3:17" x14ac:dyDescent="0.3">
      <x:c r="C3" s="76" t="s">
        <x:v>62</x:v>
      </x:c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</x:row>
    <x:row r="4" spans="3:17" x14ac:dyDescent="0.3">
      <x:c r="C4" s="77" t="s">
        <x:v>82</x:v>
      </x:c>
      <x:c r="D4" s="77"/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</x:row>
    <x:row r="5" spans="3:17" x14ac:dyDescent="0.3">
      <x:c r="C5" s="77" t="s">
        <x:v>83</x:v>
      </x:c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</x:row>
    <x:row r="6" spans="3:17" x14ac:dyDescent="0.3">
      <x:c r="C6" s="2"/>
    </x:row>
    <x:row r="7" spans="3:17" x14ac:dyDescent="0.3">
      <x:c r="C7" s="2"/>
    </x:row>
    <x:row r="8" spans="3:17" x14ac:dyDescent="0.3">
      <x:c r="C8" s="2"/>
    </x:row>
    <x:row r="9" spans="3:17" x14ac:dyDescent="0.3">
      <x:c r="C9" s="3" t="s">
        <x:v>0</x:v>
      </x:c>
      <x:c r="I9" s="4"/>
      <x:c r="J9" s="4"/>
      <x:c r="K9" s="4"/>
      <x:c r="M9" s="31">
        <x:v>6081835516.5099993</x:v>
      </x:c>
      <x:c r="N9" s="32"/>
    </x:row>
    <x:row r="10" spans="3:17" x14ac:dyDescent="0.3">
      <x:c r="C10" t="s">
        <x:v>1</x:v>
      </x:c>
      <x:c r="I10" s="5"/>
      <x:c r="J10" s="5"/>
      <x:c r="K10" s="5"/>
      <x:c r="M10" s="33">
        <x:v>2898798550.6799994</x:v>
      </x:c>
      <x:c r="N10" s="32"/>
      <x:c r="P10" s="6"/>
      <x:c r="Q10" s="7"/>
    </x:row>
    <x:row r="11" spans="3:17" x14ac:dyDescent="0.3">
      <x:c r="C11" t="s">
        <x:v>2</x:v>
      </x:c>
      <x:c r="I11" s="5"/>
      <x:c r="J11" s="5"/>
      <x:c r="K11" s="5"/>
      <x:c r="M11" s="33">
        <x:v>1946842054.8699999</x:v>
      </x:c>
      <x:c r="N11" s="32"/>
      <x:c r="P11" s="6"/>
      <x:c r="Q11" s="7"/>
    </x:row>
    <x:row r="12" spans="3:17" x14ac:dyDescent="0.3">
      <x:c r="C12" s="3" t="s">
        <x:v>3</x:v>
      </x:c>
      <x:c r="I12" s="5"/>
      <x:c r="J12" s="5"/>
      <x:c r="K12" s="5"/>
      <x:c r="M12" s="33">
        <x:v>20975043.129999999</x:v>
      </x:c>
      <x:c r="N12" s="32"/>
      <x:c r="P12" s="6"/>
      <x:c r="Q12" s="7"/>
    </x:row>
    <x:row r="13" spans="3:17" x14ac:dyDescent="0.3">
      <x:c r="C13" t="s">
        <x:v>4</x:v>
      </x:c>
      <x:c r="I13" s="5"/>
      <x:c r="J13" s="5"/>
      <x:c r="K13" s="5"/>
      <x:c r="M13" s="33">
        <x:v>-25434498.359999999</x:v>
      </x:c>
      <x:c r="N13" s="32"/>
      <x:c r="P13" s="6"/>
      <x:c r="Q13" s="7"/>
    </x:row>
    <x:row r="14" spans="3:17" x14ac:dyDescent="0.3">
      <x:c r="C14" t="s">
        <x:v>5</x:v>
      </x:c>
      <x:c r="I14" s="5"/>
      <x:c r="J14" s="5"/>
      <x:c r="K14" s="5"/>
      <x:c r="M14" s="33">
        <x:v>70936883.25</x:v>
      </x:c>
      <x:c r="N14" s="32"/>
      <x:c r="P14" s="6"/>
      <x:c r="Q14" s="7"/>
    </x:row>
    <x:row r="15" spans="3:17" x14ac:dyDescent="0.3">
      <x:c r="C15" t="s">
        <x:v>6</x:v>
      </x:c>
      <x:c r="I15" s="5"/>
      <x:c r="J15" s="5"/>
      <x:c r="K15" s="5"/>
      <x:c r="M15" s="33">
        <x:v>5537033.5300000012</x:v>
      </x:c>
      <x:c r="N15" s="32"/>
      <x:c r="P15" s="6"/>
      <x:c r="Q15" s="7"/>
    </x:row>
    <x:row r="16" spans="3:17" x14ac:dyDescent="0.3">
      <x:c r="C16" t="s">
        <x:v>7</x:v>
      </x:c>
      <x:c r="I16" s="5"/>
      <x:c r="J16" s="5"/>
      <x:c r="K16" s="5"/>
      <x:c r="M16" s="33">
        <x:v>1.98</x:v>
      </x:c>
      <x:c r="N16" s="32"/>
      <x:c r="P16" s="6"/>
      <x:c r="Q16" s="7"/>
    </x:row>
    <x:row r="17" spans="1:17" x14ac:dyDescent="0.3">
      <x:c r="C17" s="3" t="s">
        <x:v>8</x:v>
      </x:c>
      <x:c r="I17" s="5"/>
      <x:c r="J17" s="5"/>
      <x:c r="K17" s="5"/>
      <x:c r="M17" s="33">
        <x:v>6326924.1800000006</x:v>
      </x:c>
      <x:c r="N17" s="32"/>
      <x:c r="P17" s="8"/>
      <x:c r="Q17" s="7"/>
    </x:row>
    <x:row r="18" spans="1:17" x14ac:dyDescent="0.3">
      <x:c r="C18" t="s">
        <x:v>9</x:v>
      </x:c>
      <x:c r="D18" s="1" t="s">
        <x:v>10</x:v>
      </x:c>
      <x:c r="I18" s="5"/>
      <x:c r="J18" s="5"/>
      <x:c r="K18" s="5"/>
      <x:c r="M18" s="33">
        <x:v>944312139.03999996</x:v>
      </x:c>
      <x:c r="N18" s="32"/>
      <x:c r="P18" s="6"/>
      <x:c r="Q18" s="7"/>
    </x:row>
    <x:row r="19" spans="1:17" x14ac:dyDescent="0.3">
      <x:c r="C19" t="s">
        <x:v>11</x:v>
      </x:c>
      <x:c r="I19" s="5"/>
      <x:c r="J19" s="5"/>
      <x:c r="K19" s="5"/>
      <x:c r="M19" s="33">
        <x:v>105269390.3</x:v>
      </x:c>
      <x:c r="N19" s="32"/>
      <x:c r="P19" s="6"/>
      <x:c r="Q19" s="7"/>
    </x:row>
    <x:row r="20" spans="1:17" x14ac:dyDescent="0.3">
      <x:c r="C20" t="s">
        <x:v>12</x:v>
      </x:c>
      <x:c r="D20" s="1" t="s">
        <x:v>13</x:v>
      </x:c>
      <x:c r="I20" s="5"/>
      <x:c r="J20" s="5"/>
      <x:c r="K20" s="5"/>
      <x:c r="M20" s="33">
        <x:v>9215278.5600000005</x:v>
      </x:c>
      <x:c r="N20" s="32"/>
      <x:c r="P20" s="6"/>
      <x:c r="Q20" s="7"/>
    </x:row>
    <x:row r="21" spans="1:17" x14ac:dyDescent="0.3">
      <x:c r="C21" t="s">
        <x:v>14</x:v>
      </x:c>
      <x:c r="D21" s="1" t="s">
        <x:v>63</x:v>
      </x:c>
      <x:c r="I21" s="5"/>
      <x:c r="J21" s="5"/>
      <x:c r="K21" s="5"/>
      <x:c r="M21" s="33">
        <x:v>0</x:v>
      </x:c>
      <x:c r="N21" s="32"/>
      <x:c r="P21" s="6"/>
      <x:c r="Q21" s="7"/>
    </x:row>
    <x:row r="22" spans="1:17" x14ac:dyDescent="0.3">
      <x:c r="C22" s="3" t="s">
        <x:v>15</x:v>
      </x:c>
      <x:c r="D22" s="1" t="s">
        <x:v>16</x:v>
      </x:c>
      <x:c r="I22" s="5"/>
      <x:c r="J22" s="5"/>
      <x:c r="K22" s="5"/>
      <x:c r="M22" s="33">
        <x:v>11703444.08</x:v>
      </x:c>
      <x:c r="N22" s="32"/>
      <x:c r="P22" s="6"/>
      <x:c r="Q22" s="7"/>
    </x:row>
    <x:row r="23" spans="1:17" x14ac:dyDescent="0.3">
      <x:c r="C23" s="3" t="s">
        <x:v>15</x:v>
      </x:c>
      <x:c r="D23" s="1" t="s">
        <x:v>17</x:v>
      </x:c>
      <x:c r="I23" s="5"/>
      <x:c r="J23" s="5"/>
      <x:c r="K23" s="5"/>
      <x:c r="M23" s="33">
        <x:v>760513.41</x:v>
      </x:c>
      <x:c r="N23" s="32"/>
      <x:c r="P23" s="6"/>
      <x:c r="Q23" s="7"/>
    </x:row>
    <x:row r="24" spans="1:17" x14ac:dyDescent="0.3">
      <x:c r="C24" s="3" t="s">
        <x:v>18</x:v>
      </x:c>
      <x:c r="D24" s="1" t="s">
        <x:v>19</x:v>
      </x:c>
      <x:c r="I24" s="5"/>
      <x:c r="J24" s="5"/>
      <x:c r="K24" s="5"/>
      <x:c r="M24" s="33">
        <x:v>-760513.41</x:v>
      </x:c>
      <x:c r="N24" s="32"/>
      <x:c r="P24" s="6"/>
      <x:c r="Q24" s="7"/>
    </x:row>
    <x:row r="25" spans="1:17" x14ac:dyDescent="0.3">
      <x:c r="C25" s="3"/>
      <x:c r="I25" s="5"/>
      <x:c r="J25" s="5"/>
      <x:c r="K25" s="5"/>
      <x:c r="M25" s="33"/>
      <x:c r="N25" s="32"/>
      <x:c r="P25" s="6"/>
      <x:c r="Q25" s="7"/>
    </x:row>
    <x:row r="26" spans="1:17" x14ac:dyDescent="0.3">
      <x:c r="C26" s="1" t="s">
        <x:v>20</x:v>
      </x:c>
      <x:c r="I26" s="5"/>
      <x:c r="J26" s="5"/>
      <x:c r="K26" s="5"/>
      <x:c r="M26" s="34">
        <x:f>M9-SUM(M10:M25)</x:f>
        <x:v>87353271.269999504</x:v>
      </x:c>
      <x:c r="N26" s="44" t="s">
        <x:v>75</x:v>
      </x:c>
    </x:row>
    <x:row r="27" spans="1:17" x14ac:dyDescent="0.3">
      <x:c r="I27" s="5"/>
      <x:c r="J27" s="5"/>
      <x:c r="K27" s="5"/>
      <x:c r="M27" s="9"/>
      <x:c r="P27" s="10"/>
    </x:row>
    <x:row r="28" spans="1:17" x14ac:dyDescent="0.3">
      <x:c r="I28" s="1" t="s">
        <x:v>21</x:v>
      </x:c>
      <x:c r="M28" s="11"/>
      <x:c r="N28" s="9"/>
      <x:c r="P28" s="9"/>
    </x:row>
    <x:row r="29" spans="1:17" x14ac:dyDescent="0.3">
      <x:c r="M29" s="9"/>
      <x:c r="N29" s="12"/>
    </x:row>
    <x:row r="30" spans="1:17" x14ac:dyDescent="0.3">
      <x:c r="G30" s="13" t="s">
        <x:v>123</x:v>
      </x:c>
      <x:c r="H30" s="13"/>
      <x:c r="I30" s="13" t="s">
        <x:v>124</x:v>
      </x:c>
      <x:c r="J30" s="13"/>
      <x:c r="K30" s="13" t="s">
        <x:v>23</x:v>
      </x:c>
      <x:c r="L30" s="13"/>
      <x:c r="M30" s="13"/>
      <x:c r="N30" s="13"/>
    </x:row>
    <x:row r="31" spans="1:17" x14ac:dyDescent="0.3">
      <x:c r="A31" s="14" t="s">
        <x:v>24</x:v>
      </x:c>
      <x:c r="C31" s="14" t="s">
        <x:v>25</x:v>
      </x:c>
      <x:c r="D31" s="14"/>
      <x:c r="E31" s="14"/>
      <x:c r="G31" s="15" t="s">
        <x:v>26</x:v>
      </x:c>
      <x:c r="H31" s="13"/>
      <x:c r="I31" s="15" t="s">
        <x:v>26</x:v>
      </x:c>
      <x:c r="J31" s="15"/>
      <x:c r="K31" s="15" t="s">
        <x:v>26</x:v>
      </x:c>
      <x:c r="L31" s="13"/>
      <x:c r="M31" s="15" t="s">
        <x:v>27</x:v>
      </x:c>
      <x:c r="N31" s="13"/>
    </x:row>
    <x:row r="32" spans="1:17" x14ac:dyDescent="0.3">
      <x:c r="G32" s="13"/>
      <x:c r="H32" s="13"/>
      <x:c r="I32" s="13"/>
      <x:c r="J32" s="13"/>
      <x:c r="K32" s="13"/>
      <x:c r="L32" s="13"/>
      <x:c r="M32" s="13"/>
      <x:c r="N32" s="13"/>
    </x:row>
    <x:row r="33" spans="1:18" x14ac:dyDescent="0.3">
      <x:c r="A33" s="13">
        <x:v>450</x:v>
      </x:c>
      <x:c r="C33" s="1" t="s">
        <x:v>28</x:v>
      </x:c>
      <x:c r="I33" s="16">
        <x:v>758930.8</x:v>
      </x:c>
      <x:c r="J33" s="16"/>
      <x:c r="K33" s="16">
        <x:v>0</x:v>
      </x:c>
      <x:c r="L33" s="17"/>
      <x:c r="M33" s="18">
        <x:f>G33+I33+K33</x:f>
        <x:v>758930.8</x:v>
      </x:c>
      <x:c r="P33" s="6"/>
      <x:c r="Q33" s="11"/>
    </x:row>
    <x:row r="34" spans="1:18" x14ac:dyDescent="0.3">
      <x:c r="A34" s="13"/>
      <x:c r="C34" s="1" t="s">
        <x:v>29</x:v>
      </x:c>
      <x:c r="I34" s="16">
        <x:v>1220691.1200000001</x:v>
      </x:c>
      <x:c r="J34" s="16"/>
      <x:c r="K34" s="16">
        <x:v>0</x:v>
      </x:c>
      <x:c r="L34" s="17"/>
      <x:c r="M34" s="18">
        <x:f>G34+I34+K34</x:f>
        <x:v>1220691.1200000001</x:v>
      </x:c>
      <x:c r="P34" s="6"/>
      <x:c r="Q34" s="11"/>
    </x:row>
    <x:row r="35" spans="1:18" x14ac:dyDescent="0.3">
      <x:c r="A35" s="13">
        <x:v>451</x:v>
      </x:c>
      <x:c r="C35" s="1" t="s">
        <x:v>30</x:v>
      </x:c>
      <x:c r="G35" s="19">
        <x:v>5000</x:v>
      </x:c>
      <x:c r="I35" s="16">
        <x:f>26589344.41</x:f>
        <x:v>26589344.41</x:v>
      </x:c>
      <x:c r="J35" s="16"/>
      <x:c r="K35" s="16">
        <x:v>0</x:v>
      </x:c>
      <x:c r="L35" s="17"/>
      <x:c r="M35" s="18">
        <x:f>G35+I35+K35</x:f>
        <x:v>26594344.41</x:v>
      </x:c>
      <x:c r="P35" s="6"/>
      <x:c r="Q35" s="11"/>
    </x:row>
    <x:row r="36" spans="1:18" x14ac:dyDescent="0.3">
      <x:c r="A36" s="13">
        <x:v>451</x:v>
      </x:c>
      <x:c r="C36" s="1" t="s">
        <x:v>31</x:v>
      </x:c>
      <x:c r="I36" s="16">
        <x:v>107361.28</x:v>
      </x:c>
      <x:c r="J36" s="16"/>
      <x:c r="K36" s="16">
        <x:v>0</x:v>
      </x:c>
      <x:c r="L36" s="17"/>
      <x:c r="M36" s="18">
        <x:f>G36+I36+K36</x:f>
        <x:v>107361.28</x:v>
      </x:c>
      <x:c r="P36" s="6"/>
      <x:c r="Q36" s="11"/>
    </x:row>
    <x:row r="37" spans="1:18" ht="6.75" customHeight="1" x14ac:dyDescent="0.3">
      <x:c r="A37" s="13"/>
      <x:c r="I37" s="16"/>
      <x:c r="J37" s="16"/>
      <x:c r="K37" s="16"/>
      <x:c r="L37" s="17"/>
      <x:c r="M37" s="16"/>
      <x:c r="P37" s="20"/>
    </x:row>
    <x:row r="38" spans="1:18" x14ac:dyDescent="0.3">
      <x:c r="A38" s="13">
        <x:v>454</x:v>
      </x:c>
      <x:c r="C38" s="1" t="s">
        <x:v>32</x:v>
      </x:c>
      <x:c r="I38" s="16">
        <x:v>10615770.26</x:v>
      </x:c>
      <x:c r="J38" s="16"/>
      <x:c r="K38" s="16">
        <x:v>0</x:v>
      </x:c>
      <x:c r="L38" s="17"/>
      <x:c r="M38" s="21">
        <x:f>G38+I38+K38</x:f>
        <x:v>10615770.26</x:v>
      </x:c>
      <x:c r="P38" s="6"/>
      <x:c r="Q38" s="11"/>
    </x:row>
    <x:row r="39" spans="1:18" x14ac:dyDescent="0.3">
      <x:c r="A39" s="13"/>
      <x:c r="C39" s="1" t="s">
        <x:v>33</x:v>
      </x:c>
      <x:c r="G39" s="16">
        <x:v>961339</x:v>
      </x:c>
      <x:c r="I39" s="16">
        <x:v>1282936.18</x:v>
      </x:c>
      <x:c r="J39" s="16"/>
      <x:c r="K39" s="16">
        <x:v>0</x:v>
      </x:c>
      <x:c r="L39" s="17"/>
      <x:c r="M39" s="21">
        <x:f>G39+I39+K39</x:f>
        <x:v>2244275.1799999997</x:v>
      </x:c>
      <x:c r="P39" s="6"/>
      <x:c r="Q39" s="11"/>
    </x:row>
    <x:row r="40" spans="1:18" x14ac:dyDescent="0.3">
      <x:c r="A40" s="13"/>
      <x:c r="C40" s="1" t="s">
        <x:v>34</x:v>
      </x:c>
      <x:c r="G40" s="16"/>
      <x:c r="I40" s="16"/>
      <x:c r="J40" s="16"/>
      <x:c r="K40" s="16"/>
      <x:c r="L40" s="17"/>
      <x:c r="M40" s="21"/>
      <x:c r="P40" s="6"/>
    </x:row>
    <x:row r="41" spans="1:18" x14ac:dyDescent="0.3">
      <x:c r="A41" s="13"/>
      <x:c r="C41" s="1" t="s">
        <x:v>35</x:v>
      </x:c>
      <x:c r="G41" s="18">
        <x:v>11507204.149999999</x:v>
      </x:c>
      <x:c r="I41" s="22">
        <x:v>0</x:v>
      </x:c>
      <x:c r="J41" s="22"/>
      <x:c r="K41" s="22">
        <x:v>0</x:v>
      </x:c>
      <x:c r="L41" s="17"/>
      <x:c r="M41" s="18">
        <x:f t="shared" ref="M41:M47" si="0">G41+I41+K41</x:f>
        <x:v>11507204.149999999</x:v>
      </x:c>
      <x:c r="P41" s="6"/>
    </x:row>
    <x:row r="42" spans="1:18" x14ac:dyDescent="0.3">
      <x:c r="A42" s="13"/>
      <x:c r="C42" s="1" t="s">
        <x:v>36</x:v>
      </x:c>
      <x:c r="G42" s="18">
        <x:v>1182437.47</x:v>
      </x:c>
      <x:c r="I42" s="18">
        <x:v>36752.630000000005</x:v>
      </x:c>
      <x:c r="J42" s="18"/>
      <x:c r="K42" s="18">
        <x:v>0</x:v>
      </x:c>
      <x:c r="L42" s="17"/>
      <x:c r="M42" s="18">
        <x:f t="shared" si="0"/>
        <x:v>1219190.1000000001</x:v>
      </x:c>
      <x:c r="N42" s="11"/>
      <x:c r="P42" s="11"/>
    </x:row>
    <x:row r="43" spans="1:18" x14ac:dyDescent="0.3">
      <x:c r="A43" s="13"/>
      <x:c r="C43" s="1" t="s">
        <x:v>37</x:v>
      </x:c>
      <x:c r="G43" s="18">
        <x:v>122416.24000000002</x:v>
      </x:c>
      <x:c r="I43" s="19">
        <x:v>0</x:v>
      </x:c>
      <x:c r="J43" s="19"/>
      <x:c r="K43" s="18">
        <x:v>0</x:v>
      </x:c>
      <x:c r="L43" s="17"/>
      <x:c r="M43" s="18">
        <x:f t="shared" si="0"/>
        <x:v>122416.24000000002</x:v>
      </x:c>
      <x:c r="P43" s="11"/>
    </x:row>
    <x:row r="44" spans="1:18" x14ac:dyDescent="0.3">
      <x:c r="A44" s="13"/>
      <x:c r="C44" s="1" t="s">
        <x:v>38</x:v>
      </x:c>
      <x:c r="G44" s="18">
        <x:v>260.98000000000013</x:v>
      </x:c>
      <x:c r="I44" s="19">
        <x:v>0</x:v>
      </x:c>
      <x:c r="J44" s="19"/>
      <x:c r="K44" s="18">
        <x:v>0</x:v>
      </x:c>
      <x:c r="L44" s="17"/>
      <x:c r="M44" s="18">
        <x:f t="shared" si="0"/>
        <x:v>260.98000000000013</x:v>
      </x:c>
      <x:c r="P44" s="11"/>
    </x:row>
    <x:row r="45" spans="1:18" x14ac:dyDescent="0.3">
      <x:c r="A45" s="13"/>
      <x:c r="D45" s="1" t="s">
        <x:v>39</x:v>
      </x:c>
      <x:c r="G45" s="23">
        <x:f>SUM(G41:G44)</x:f>
        <x:v>12812318.84</x:v>
      </x:c>
      <x:c r="I45" s="23">
        <x:f>SUM(I41:I44)</x:f>
        <x:v>36752.630000000005</x:v>
      </x:c>
      <x:c r="J45" s="23"/>
      <x:c r="K45" s="23">
        <x:f>SUM(K41:K44)</x:f>
        <x:v>0</x:v>
      </x:c>
      <x:c r="L45" s="17"/>
      <x:c r="M45" s="24">
        <x:f t="shared" si="0"/>
        <x:v>12849071.470000001</x:v>
      </x:c>
      <x:c r="P45" s="7"/>
      <x:c r="Q45" s="11"/>
      <x:c r="R45" s="7"/>
    </x:row>
    <x:row r="46" spans="1:18" x14ac:dyDescent="0.3">
      <x:c r="A46" s="13">
        <x:v>454</x:v>
      </x:c>
      <x:c r="C46" s="1" t="s">
        <x:v>40</x:v>
      </x:c>
      <x:c r="G46" s="23">
        <x:f>G43</x:f>
        <x:v>122416.24000000002</x:v>
      </x:c>
      <x:c r="I46" s="23">
        <x:v>0</x:v>
      </x:c>
      <x:c r="J46" s="23"/>
      <x:c r="K46" s="23">
        <x:v>0</x:v>
      </x:c>
      <x:c r="L46" s="17"/>
      <x:c r="M46" s="24">
        <x:f t="shared" si="0"/>
        <x:v>122416.24000000002</x:v>
      </x:c>
      <x:c r="P46" s="7"/>
      <x:c r="Q46" s="11"/>
    </x:row>
    <x:row r="47" spans="1:18" x14ac:dyDescent="0.3">
      <x:c r="A47" s="13"/>
      <x:c r="D47" s="1" t="s">
        <x:v>41</x:v>
      </x:c>
      <x:c r="G47" s="23">
        <x:f>G38+G39+G45-G46</x:f>
        <x:v>13651241.6</x:v>
      </x:c>
      <x:c r="I47" s="23">
        <x:f>I45+I39+I38</x:f>
        <x:v>11935459.07</x:v>
      </x:c>
      <x:c r="J47" s="23"/>
      <x:c r="K47" s="23">
        <x:v>0</x:v>
      </x:c>
      <x:c r="L47" s="17"/>
      <x:c r="M47" s="25">
        <x:f t="shared" si="0"/>
        <x:v>25586700.670000002</x:v>
      </x:c>
      <x:c r="P47" s="7"/>
      <x:c r="Q47" s="7"/>
    </x:row>
    <x:row r="48" spans="1:18" ht="6.75" customHeight="1" x14ac:dyDescent="0.3">
      <x:c r="A48" s="13"/>
      <x:c r="I48" s="16"/>
      <x:c r="J48" s="16"/>
      <x:c r="K48" s="16"/>
      <x:c r="L48" s="17"/>
      <x:c r="M48" s="16"/>
    </x:row>
    <x:row r="49" spans="1:18" x14ac:dyDescent="0.3">
      <x:c r="A49" s="13"/>
      <x:c r="G49" s="16"/>
      <x:c r="I49" s="16"/>
      <x:c r="J49" s="16"/>
      <x:c r="K49" s="16"/>
      <x:c r="L49" s="17"/>
      <x:c r="M49" s="21"/>
      <x:c r="N49" s="26"/>
      <x:c r="O49" s="26" t="s">
        <x:v>42</x:v>
      </x:c>
      <x:c r="P49" s="26"/>
      <x:c r="Q49" s="11"/>
    </x:row>
    <x:row r="50" spans="1:18" x14ac:dyDescent="0.3">
      <x:c r="A50" s="13"/>
      <x:c r="G50" s="11"/>
      <x:c r="I50" s="16"/>
      <x:c r="J50" s="16"/>
      <x:c r="K50" s="16"/>
      <x:c r="L50" s="17"/>
      <x:c r="M50" s="21"/>
    </x:row>
    <x:row r="51" spans="1:18" x14ac:dyDescent="0.3">
      <x:c r="A51" s="13">
        <x:v>456</x:v>
      </x:c>
      <x:c r="C51" s="1" t="s">
        <x:v>43</x:v>
      </x:c>
      <x:c r="G51" s="27"/>
      <x:c r="I51" s="16"/>
      <x:c r="J51" s="16"/>
      <x:c r="K51" s="16"/>
      <x:c r="L51" s="17"/>
      <x:c r="M51" s="21"/>
    </x:row>
    <x:row r="52" spans="1:18" x14ac:dyDescent="0.3">
      <x:c r="A52" s="13"/>
      <x:c r="C52" s="1" t="s">
        <x:v>44</x:v>
      </x:c>
      <x:c r="G52" s="16">
        <x:v>773074.20000000007</x:v>
      </x:c>
      <x:c r="I52" s="16">
        <x:v>-455</x:v>
      </x:c>
      <x:c r="J52" s="16"/>
      <x:c r="K52" s="16">
        <x:v>0</x:v>
      </x:c>
      <x:c r="L52" s="17"/>
      <x:c r="M52" s="18">
        <x:f t="shared" ref="M52:M62" si="1">G52+I52+K52</x:f>
        <x:v>772619.20000000007</x:v>
      </x:c>
    </x:row>
    <x:row r="53" spans="1:18" x14ac:dyDescent="0.3">
      <x:c r="A53" s="13"/>
      <x:c r="C53" s="1" t="s">
        <x:v>45</x:v>
      </x:c>
      <x:c r="G53" s="16">
        <x:v>-115352.61</x:v>
      </x:c>
      <x:c r="I53" s="16">
        <x:v>2029203.26</x:v>
      </x:c>
      <x:c r="J53" s="16"/>
      <x:c r="K53" s="16">
        <x:v>0</x:v>
      </x:c>
      <x:c r="L53" s="17"/>
      <x:c r="M53" s="18">
        <x:f t="shared" si="1"/>
        <x:v>1913850.65</x:v>
      </x:c>
    </x:row>
    <x:row r="54" spans="1:18" x14ac:dyDescent="0.3">
      <x:c r="A54" s="13"/>
      <x:c r="C54" s="1" t="s">
        <x:v>46</x:v>
      </x:c>
      <x:c r="G54" s="16">
        <x:v>1069277.8400000001</x:v>
      </x:c>
      <x:c r="I54" s="16">
        <x:v>4646861.4000000004</x:v>
      </x:c>
      <x:c r="J54" s="16"/>
      <x:c r="K54" s="16">
        <x:v>0</x:v>
      </x:c>
      <x:c r="L54" s="17"/>
      <x:c r="M54" s="18">
        <x:f t="shared" si="1"/>
        <x:v>5716139.2400000002</x:v>
      </x:c>
    </x:row>
    <x:row r="55" spans="1:18" x14ac:dyDescent="0.3">
      <x:c r="A55" s="13"/>
      <x:c r="C55" s="1" t="s">
        <x:v>47</x:v>
      </x:c>
      <x:c r="G55" s="16">
        <x:v>1722607.1300000001</x:v>
      </x:c>
      <x:c r="I55" s="16">
        <x:v>0</x:v>
      </x:c>
      <x:c r="J55" s="16"/>
      <x:c r="K55" s="16">
        <x:v>228250.33</x:v>
      </x:c>
      <x:c r="L55" s="17"/>
      <x:c r="M55" s="18">
        <x:f t="shared" si="1"/>
        <x:v>1950857.4600000002</x:v>
      </x:c>
    </x:row>
    <x:row r="56" spans="1:18" x14ac:dyDescent="0.3">
      <x:c r="A56" s="13"/>
      <x:c r="C56" s="1" t="s">
        <x:v>48</x:v>
      </x:c>
      <x:c r="G56" s="16">
        <x:v>32538.21</x:v>
      </x:c>
      <x:c r="I56" s="16">
        <x:v>0</x:v>
      </x:c>
      <x:c r="J56" s="16"/>
      <x:c r="K56" s="16">
        <x:v>4311.41</x:v>
      </x:c>
      <x:c r="L56" s="17"/>
      <x:c r="M56" s="18">
        <x:f t="shared" si="1"/>
        <x:v>36849.619999999995</x:v>
      </x:c>
      <x:c r="P56" s="11"/>
    </x:row>
    <x:row r="57" spans="1:18" x14ac:dyDescent="0.3">
      <x:c r="A57" s="13"/>
      <x:c r="C57" s="1" t="s">
        <x:v>49</x:v>
      </x:c>
      <x:c r="G57" s="16">
        <x:v>1225898.8</x:v>
      </x:c>
      <x:c r="I57" s="16">
        <x:v>0</x:v>
      </x:c>
      <x:c r="J57" s="16"/>
      <x:c r="K57" s="16">
        <x:v>140766.52999999997</x:v>
      </x:c>
      <x:c r="L57" s="17"/>
      <x:c r="M57" s="18">
        <x:f t="shared" si="1"/>
        <x:v>1366665.33</x:v>
      </x:c>
      <x:c r="P57" s="19"/>
    </x:row>
    <x:row r="58" spans="1:18" x14ac:dyDescent="0.3">
      <x:c r="A58" s="13"/>
      <x:c r="C58" s="1" t="s">
        <x:v>50</x:v>
      </x:c>
      <x:c r="G58" s="16">
        <x:v>1193515.0400000003</x:v>
      </x:c>
      <x:c r="I58" s="16">
        <x:v>474548.20999999973</x:v>
      </x:c>
      <x:c r="J58" s="16"/>
      <x:c r="K58" s="16">
        <x:v>0</x:v>
      </x:c>
      <x:c r="L58" s="17"/>
      <x:c r="M58" s="18">
        <x:f t="shared" si="1"/>
        <x:v>1668063.25</x:v>
      </x:c>
      <x:c r="P58" s="11"/>
    </x:row>
    <x:row r="59" spans="1:18" x14ac:dyDescent="0.3">
      <x:c r="A59" s="13"/>
      <x:c r="C59" s="1" t="s">
        <x:v>51</x:v>
      </x:c>
      <x:c r="G59" s="16">
        <x:v>6707884.2400000012</x:v>
      </x:c>
      <x:c r="I59" s="16">
        <x:v>0</x:v>
      </x:c>
      <x:c r="J59" s="16"/>
      <x:c r="K59" s="16">
        <x:v>0</x:v>
      </x:c>
      <x:c r="L59" s="17"/>
      <x:c r="M59" s="18">
        <x:f t="shared" si="1"/>
        <x:v>6707884.2400000012</x:v>
      </x:c>
      <x:c r="P59" s="11"/>
    </x:row>
    <x:row r="60" spans="1:18" x14ac:dyDescent="0.3">
      <x:c r="A60" s="13"/>
      <x:c r="C60" s="1" t="s">
        <x:v>52</x:v>
      </x:c>
      <x:c r="G60" s="16">
        <x:v>535725.07000000007</x:v>
      </x:c>
      <x:c r="I60" s="16">
        <x:v>0</x:v>
      </x:c>
      <x:c r="J60" s="16"/>
      <x:c r="K60" s="16">
        <x:v>0</x:v>
      </x:c>
      <x:c r="L60" s="17"/>
      <x:c r="M60" s="18">
        <x:f t="shared" si="1"/>
        <x:v>535725.07000000007</x:v>
      </x:c>
    </x:row>
    <x:row r="61" spans="1:18" x14ac:dyDescent="0.3">
      <x:c r="A61" s="13"/>
      <x:c r="C61" s="1" t="s">
        <x:v>53</x:v>
      </x:c>
      <x:c r="G61" s="16">
        <x:v>0</x:v>
      </x:c>
      <x:c r="I61" s="16">
        <x:v>27644.37</x:v>
      </x:c>
      <x:c r="J61" s="16"/>
      <x:c r="K61" s="16">
        <x:v>0</x:v>
      </x:c>
      <x:c r="L61" s="17"/>
      <x:c r="M61" s="18">
        <x:f t="shared" si="1"/>
        <x:v>27644.37</x:v>
      </x:c>
      <x:c r="P61" s="11"/>
    </x:row>
    <x:row r="62" spans="1:18" x14ac:dyDescent="0.3">
      <x:c r="A62" s="13"/>
      <x:c r="D62" s="1" t="s">
        <x:v>54</x:v>
      </x:c>
      <x:c r="G62" s="23">
        <x:f>SUM(G52:G61)</x:f>
        <x:v>13145167.920000002</x:v>
      </x:c>
      <x:c r="I62" s="23">
        <x:f>SUM(I52:I61)</x:f>
        <x:v>7177802.2400000002</x:v>
      </x:c>
      <x:c r="J62" s="23"/>
      <x:c r="K62" s="23">
        <x:f>SUM(K52:K61)</x:f>
        <x:v>373328.26999999996</x:v>
      </x:c>
      <x:c r="L62" s="17"/>
      <x:c r="M62" s="24">
        <x:f t="shared" si="1"/>
        <x:v>20696298.430000003</x:v>
      </x:c>
      <x:c r="P62" s="7"/>
      <x:c r="Q62" s="11"/>
    </x:row>
    <x:row r="63" spans="1:18" x14ac:dyDescent="0.3">
      <x:c r="A63" s="13">
        <x:v>456</x:v>
      </x:c>
      <x:c r="C63" s="1" t="s">
        <x:v>55</x:v>
      </x:c>
      <x:c r="G63" s="22">
        <x:f>G59</x:f>
        <x:v>6707884.2400000012</x:v>
      </x:c>
      <x:c r="I63" s="22">
        <x:v>0</x:v>
      </x:c>
      <x:c r="J63" s="22"/>
      <x:c r="K63" s="23">
        <x:v>0</x:v>
      </x:c>
      <x:c r="L63" s="17"/>
      <x:c r="M63" s="28">
        <x:f>SUM(G63:I63)</x:f>
        <x:v>6707884.2400000012</x:v>
      </x:c>
      <x:c r="Q63" s="11"/>
      <x:c r="R63" s="11"/>
    </x:row>
    <x:row r="64" spans="1:18" x14ac:dyDescent="0.3">
      <x:c r="A64" s="13"/>
      <x:c r="G64" s="23">
        <x:f>G62-G63</x:f>
        <x:v>6437283.6800000006</x:v>
      </x:c>
      <x:c r="I64" s="23">
        <x:f>I62-I63</x:f>
        <x:v>7177802.2400000002</x:v>
      </x:c>
      <x:c r="J64" s="23"/>
      <x:c r="K64" s="23">
        <x:f>K62-K63</x:f>
        <x:v>373328.26999999996</x:v>
      </x:c>
      <x:c r="L64" s="17"/>
      <x:c r="M64" s="23">
        <x:f>M62-M63</x:f>
        <x:v>13988414.190000001</x:v>
      </x:c>
      <x:c r="P64" s="20"/>
      <x:c r="Q64" s="11"/>
    </x:row>
    <x:row r="65" spans="1:24" ht="6.75" customHeight="1" x14ac:dyDescent="0.3">
      <x:c r="A65" s="13"/>
      <x:c r="G65" s="22"/>
      <x:c r="I65" s="16"/>
      <x:c r="J65" s="16"/>
      <x:c r="K65" s="16"/>
      <x:c r="L65" s="17"/>
      <x:c r="M65" s="21"/>
    </x:row>
    <x:row r="66" spans="1:24" x14ac:dyDescent="0.3">
      <x:c r="A66" s="13"/>
      <x:c r="C66" s="1" t="s">
        <x:v>56</x:v>
      </x:c>
      <x:c r="G66" s="22"/>
      <x:c r="I66" s="22"/>
      <x:c r="J66" s="22"/>
      <x:c r="K66" s="22"/>
      <x:c r="L66" s="17"/>
      <x:c r="M66" s="21"/>
    </x:row>
    <x:row r="67" spans="1:24" x14ac:dyDescent="0.3">
      <x:c r="A67" s="13"/>
      <x:c r="C67" s="1" t="s">
        <x:v>57</x:v>
      </x:c>
      <x:c r="G67" s="22">
        <x:v>3116942.9800000004</x:v>
      </x:c>
      <x:c r="I67" s="22">
        <x:v>0</x:v>
      </x:c>
      <x:c r="J67" s="22"/>
      <x:c r="K67" s="22">
        <x:v>0</x:v>
      </x:c>
      <x:c r="L67" s="17"/>
      <x:c r="M67" s="18">
        <x:f>G67+I67</x:f>
        <x:v>3116942.9800000004</x:v>
      </x:c>
    </x:row>
    <x:row r="68" spans="1:24" x14ac:dyDescent="0.3">
      <x:c r="A68" s="13"/>
      <x:c r="C68" s="1" t="s">
        <x:v>58</x:v>
      </x:c>
      <x:c r="G68" s="22">
        <x:v>15852385.82</x:v>
      </x:c>
      <x:c r="I68" s="22">
        <x:v>127500</x:v>
      </x:c>
      <x:c r="J68" s="22"/>
      <x:c r="K68" s="22">
        <x:v>0</x:v>
      </x:c>
      <x:c r="L68" s="17"/>
      <x:c r="M68" s="18">
        <x:f>G68+I68</x:f>
        <x:v>15979885.82</x:v>
      </x:c>
      <x:c r="U68" s="11"/>
      <x:c r="V68" s="71"/>
      <x:c r="X68" s="11"/>
    </x:row>
    <x:row r="69" spans="1:24" x14ac:dyDescent="0.3">
      <x:c r="A69" s="13"/>
      <x:c r="D69" s="1" t="s">
        <x:v>59</x:v>
      </x:c>
      <x:c r="G69" s="23">
        <x:f>SUM(G67:G68)</x:f>
        <x:v>18969328.800000001</x:v>
      </x:c>
      <x:c r="I69" s="23">
        <x:f>SUM(I67:I68)</x:f>
        <x:v>127500</x:v>
      </x:c>
      <x:c r="J69" s="22"/>
      <x:c r="K69" s="23">
        <x:f>SUM(K67:K68)</x:f>
        <x:v>0</x:v>
      </x:c>
      <x:c r="L69" s="17"/>
      <x:c r="M69" s="24">
        <x:f>G69+I69</x:f>
        <x:v>19096828.800000001</x:v>
      </x:c>
      <x:c r="Q69" s="11"/>
    </x:row>
    <x:row r="70" spans="1:24" ht="3.75" customHeight="1" x14ac:dyDescent="0.3">
      <x:c r="A70" s="13"/>
      <x:c r="G70" s="23"/>
      <x:c r="I70" s="23"/>
      <x:c r="J70" s="22"/>
      <x:c r="K70" s="22"/>
      <x:c r="L70" s="17"/>
      <x:c r="M70" s="24"/>
    </x:row>
    <x:row r="71" spans="1:24" x14ac:dyDescent="0.3">
      <x:c r="A71" s="13"/>
      <x:c r="D71" s="1" t="s">
        <x:v>60</x:v>
      </x:c>
      <x:c r="G71" s="23">
        <x:f>G69+G64</x:f>
        <x:v>25406612.48</x:v>
      </x:c>
      <x:c r="I71" s="23">
        <x:f>I69+I64</x:f>
        <x:v>7305302.2400000002</x:v>
      </x:c>
      <x:c r="J71" s="22"/>
      <x:c r="K71" s="23">
        <x:f>K69+K64</x:f>
        <x:v>373328.26999999996</x:v>
      </x:c>
      <x:c r="L71" s="17"/>
      <x:c r="M71" s="25">
        <x:f>G71+I71+K71</x:f>
        <x:v>33085242.989999998</x:v>
      </x:c>
    </x:row>
    <x:row r="72" spans="1:24" ht="6.75" customHeight="1" x14ac:dyDescent="0.3">
      <x:c r="I72" s="21"/>
      <x:c r="J72" s="21"/>
      <x:c r="K72" s="21"/>
      <x:c r="M72" s="21"/>
    </x:row>
    <x:row r="73" spans="1:24" ht="15.75" thickBot="1" x14ac:dyDescent="0.35">
      <x:c r="D73" s="1" t="s">
        <x:v>76</x:v>
      </x:c>
      <x:c r="G73" s="29">
        <x:f>G33+G34+G35+G36+G47+G71</x:f>
        <x:v>39062854.079999998</x:v>
      </x:c>
      <x:c r="I73" s="29">
        <x:f>I33+I34+I35+I36+I47+I71</x:f>
        <x:v>47917088.920000009</x:v>
      </x:c>
      <x:c r="J73" s="11"/>
      <x:c r="K73" s="29">
        <x:f>K33+K35+K36+K47+K71</x:f>
        <x:v>373328.26999999996</x:v>
      </x:c>
      <x:c r="M73" s="29">
        <x:f>M33+M34+M35+M36+M47+M71</x:f>
        <x:v>87353271.269999996</x:v>
      </x:c>
      <x:c r="N73" s="44" t="s">
        <x:v>75</x:v>
      </x:c>
      <x:c r="O73" s="30"/>
      <x:c r="P73" s="11"/>
    </x:row>
    <x:row r="74" spans="1:24" ht="4.5" customHeight="1" thickTop="1" x14ac:dyDescent="0.3">
      <x:c r="G74" s="11"/>
      <x:c r="I74" s="22"/>
      <x:c r="J74" s="22"/>
      <x:c r="K74" s="22"/>
      <x:c r="M74" s="11"/>
      <x:c r="O74" s="30"/>
    </x:row>
    <x:row r="75" spans="1:24" x14ac:dyDescent="0.3">
      <x:c r="I75" s="16"/>
      <x:c r="J75" s="16"/>
      <x:c r="K75" s="16"/>
      <x:c r="M75" s="9"/>
      <x:c r="O75" s="30"/>
    </x:row>
    <x:row r="76" spans="1:24" x14ac:dyDescent="0.3">
      <x:c r="I76" s="16"/>
      <x:c r="J76" s="16"/>
      <x:c r="K76" s="16"/>
      <x:c r="N76" s="26"/>
      <x:c r="O76" s="30"/>
      <x:c r="P76" s="26" t="s">
        <x:v>42</x:v>
      </x:c>
      <x:c r="Q76" s="9">
        <x:f>M26-M73</x:f>
        <x:v>-4.9173831939697266E-7</x:v>
      </x:c>
    </x:row>
    <x:row r="77" spans="1:24" x14ac:dyDescent="0.3">
      <x:c r="C77" s="35" t="s">
        <x:v>64</x:v>
      </x:c>
      <x:c r="D77" s="35"/>
      <x:c r="E77" s="35"/>
      <x:c r="G77" s="36" t="s">
        <x:v>77</x:v>
      </x:c>
      <x:c r="H77" s="36"/>
      <x:c r="I77" s="36" t="s">
        <x:v>22</x:v>
      </x:c>
      <x:c r="J77" s="36"/>
      <x:c r="K77" s="36" t="s">
        <x:v>78</x:v>
      </x:c>
      <x:c r="M77" s="36" t="s">
        <x:v>65</x:v>
      </x:c>
    </x:row>
    <x:row r="78" spans="1:24" s="45" customFormat="1" x14ac:dyDescent="0.3">
      <x:c r="A78" s="69">
        <x:v>454456</x:v>
      </x:c>
      <x:c r="C78" s="3"/>
      <x:c r="D78" s="3"/>
      <x:c r="E78" s="3" t="s">
        <x:v>80</x:v>
      </x:c>
      <x:c r="G78" s="48">
        <x:f>G43+G59-I78</x:f>
        <x:v>6153444.1300000018</x:v>
      </x:c>
      <x:c r="H78" s="48"/>
      <x:c r="I78" s="48">
        <x:v>676856.35</x:v>
      </x:c>
      <x:c r="J78" s="48"/>
      <x:c r="K78" s="48"/>
      <x:c r="L78" s="49"/>
      <x:c r="M78" s="16">
        <x:f>G78+I78+K78</x:f>
        <x:v>6830300.4800000014</x:v>
      </x:c>
      <x:c r="N78" s="47" t="s">
        <x:v>79</x:v>
      </x:c>
    </x:row>
    <x:row r="79" spans="1:24" x14ac:dyDescent="0.3">
      <x:c r="A79" s="13">
        <x:v>450</x:v>
      </x:c>
      <x:c r="E79" s="37" t="s">
        <x:v>125</x:v>
      </x:c>
      <x:c r="G79" s="16"/>
      <x:c r="H79" s="16"/>
      <x:c r="I79" s="16">
        <x:f>-I34</x:f>
        <x:v>-1220691.1200000001</x:v>
      </x:c>
      <x:c r="J79" s="16"/>
      <x:c r="K79" s="16"/>
      <x:c r="L79" s="16"/>
      <x:c r="M79" s="16">
        <x:f>G79+I79+K79</x:f>
        <x:v>-1220691.1200000001</x:v>
      </x:c>
      <x:c r="N79" s="72" t="s">
        <x:v>79</x:v>
      </x:c>
      <x:c r="P79" s="9"/>
      <x:c r="U79" s="11"/>
    </x:row>
    <x:row r="80" spans="1:24" x14ac:dyDescent="0.3">
      <x:c r="A80" s="13">
        <x:v>456</x:v>
      </x:c>
      <x:c r="E80" s="37" t="s">
        <x:v>127</x:v>
      </x:c>
      <x:c r="G80" s="16">
        <x:f>-G53</x:f>
        <x:v>115352.61</x:v>
      </x:c>
      <x:c r="H80" s="16"/>
      <x:c r="I80" s="16">
        <x:f>-I53</x:f>
        <x:v>-2029203.26</x:v>
      </x:c>
      <x:c r="J80" s="16"/>
      <x:c r="K80" s="16"/>
      <x:c r="L80" s="16"/>
      <x:c r="M80" s="16">
        <x:f>G80+I80+K80</x:f>
        <x:v>-1913850.65</x:v>
      </x:c>
      <x:c r="N80" s="47" t="s">
        <x:v>79</x:v>
      </x:c>
      <x:c r="P80" s="9"/>
      <x:c r="U80" s="11"/>
    </x:row>
    <x:row r="81" spans="1:17" x14ac:dyDescent="0.3">
      <x:c r="A81" s="13">
        <x:v>454</x:v>
      </x:c>
      <x:c r="E81" s="1" t="s">
        <x:v>120</x:v>
      </x:c>
      <x:c r="G81" s="16">
        <x:f>[1]JOURNAL!$J$48</x:f>
        <x:v>246892.34</x:v>
      </x:c>
      <x:c r="H81" s="16"/>
      <x:c r="I81" s="16"/>
      <x:c r="J81" s="16"/>
      <x:c r="K81" s="16"/>
      <x:c r="L81" s="16"/>
      <x:c r="M81" s="16">
        <x:f>K81+I81+G81</x:f>
        <x:v>246892.34</x:v>
      </x:c>
      <x:c r="N81" s="38" t="s">
        <x:v>66</x:v>
      </x:c>
    </x:row>
    <x:row r="82" spans="1:17" x14ac:dyDescent="0.3">
      <x:c r="A82" s="13">
        <x:v>456</x:v>
      </x:c>
      <x:c r="E82" s="37" t="s">
        <x:v>121</x:v>
      </x:c>
      <x:c r="G82" s="16">
        <x:f>'WP_II-E-5 Other Revenues page 2'!D24</x:f>
        <x:v>184845.30000000002</x:v>
      </x:c>
      <x:c r="H82" s="16"/>
      <x:c r="I82" s="16">
        <x:f>'WP_II-E-5 Other Revenues page 2'!E24</x:f>
        <x:v>73388.669999999984</x:v>
      </x:c>
      <x:c r="J82" s="16"/>
      <x:c r="K82" s="16"/>
      <x:c r="L82" s="16"/>
      <x:c r="M82" s="16">
        <x:f>K82+I82+G82</x:f>
        <x:v>258233.97</x:v>
      </x:c>
      <x:c r="N82" s="38" t="s">
        <x:v>67</x:v>
      </x:c>
    </x:row>
    <x:row r="83" spans="1:17" x14ac:dyDescent="0.3">
      <x:c r="A83" s="13">
        <x:v>442</x:v>
      </x:c>
      <x:c r="E83" s="37" t="s">
        <x:v>68</x:v>
      </x:c>
      <x:c r="G83" s="16"/>
      <x:c r="H83" s="16"/>
      <x:c r="I83" s="16">
        <x:f>'[2]II-E-5'!$I$17</x:f>
        <x:v>34378539</x:v>
      </x:c>
      <x:c r="J83" s="16"/>
      <x:c r="K83" s="16"/>
      <x:c r="L83" s="16"/>
      <x:c r="M83" s="16">
        <x:f>K83+I83+G83</x:f>
        <x:v>34378539</x:v>
      </x:c>
      <x:c r="N83" s="38" t="s">
        <x:v>69</x:v>
      </x:c>
    </x:row>
    <x:row r="84" spans="1:17" x14ac:dyDescent="0.3">
      <x:c r="A84" s="13">
        <x:v>451</x:v>
      </x:c>
      <x:c r="E84" s="37" t="s">
        <x:v>122</x:v>
      </x:c>
      <x:c r="G84" s="50">
        <x:v>-5000</x:v>
      </x:c>
      <x:c r="H84" s="16"/>
      <x:c r="I84" s="65">
        <x:f>27807694.64-I35-G35-G84</x:f>
        <x:v>1218350.2300000004</x:v>
      </x:c>
      <x:c r="J84" s="16"/>
      <x:c r="K84" s="50"/>
      <x:c r="L84" s="16"/>
      <x:c r="M84" s="16">
        <x:f>K84+I84+G84</x:f>
        <x:v>1213350.2300000004</x:v>
      </x:c>
      <x:c r="N84" s="38" t="s">
        <x:v>70</x:v>
      </x:c>
    </x:row>
    <x:row r="85" spans="1:17" ht="15.75" thickBot="1" x14ac:dyDescent="0.35">
      <x:c r="E85" s="70" t="s">
        <x:v>71</x:v>
      </x:c>
      <x:c r="G85" s="20"/>
      <x:c r="H85" s="20"/>
      <x:c r="I85" s="20"/>
      <x:c r="J85" s="20"/>
      <x:c r="K85" s="20"/>
      <x:c r="L85" s="20"/>
      <x:c r="M85" s="39">
        <x:f>SUM(M78:M84)</x:f>
        <x:v>39792774.25</x:v>
      </x:c>
      <x:c r="N85" s="38"/>
    </x:row>
    <x:row r="86" spans="1:17" ht="15.75" thickTop="1" x14ac:dyDescent="0.3">
      <x:c r="E86" s="37"/>
      <x:c r="G86" s="20"/>
      <x:c r="H86" s="20"/>
      <x:c r="I86" s="20"/>
      <x:c r="J86" s="20"/>
      <x:c r="K86" s="20"/>
      <x:c r="L86" s="20"/>
      <x:c r="M86" s="20"/>
      <x:c r="N86" s="38"/>
      <x:c r="P86" s="68">
        <x:f>'[2]II-E-5'!$L$33</x:f>
        <x:v>127146045.88000003</x:v>
      </x:c>
      <x:c r="Q86" s="68">
        <x:f>M87-P86</x:f>
        <x:v>-0.36000002920627594</x:v>
      </x:c>
    </x:row>
    <x:row r="87" spans="1:17" s="40" customFormat="1" x14ac:dyDescent="0.3">
      <x:c r="C87" s="41" t="s">
        <x:v>72</x:v>
      </x:c>
      <x:c r="D87" s="41"/>
      <x:c r="E87" s="41"/>
      <x:c r="G87" s="42">
        <x:f>G70+G73+SUM(G78:G84)</x:f>
        <x:v>45758388.460000001</x:v>
      </x:c>
      <x:c r="H87" s="42"/>
      <x:c r="I87" s="42">
        <x:f>I70+I73+SUM(I78:I84)</x:f>
        <x:v>81014328.790000007</x:v>
      </x:c>
      <x:c r="J87" s="42"/>
      <x:c r="K87" s="42">
        <x:f>K70+K73+SUM(K78:K84)</x:f>
        <x:v>373328.26999999996</x:v>
      </x:c>
      <x:c r="L87" s="42"/>
      <x:c r="M87" s="42">
        <x:f>M73+M85</x:f>
        <x:v>127146045.52</x:v>
      </x:c>
      <x:c r="N87" s="43"/>
    </x:row>
    <x:row r="88" spans="1:17" x14ac:dyDescent="0.3">
      <x:c r="E88" s="46" t="s">
        <x:v>73</x:v>
      </x:c>
    </x:row>
    <x:row r="89" spans="1:17" ht="15" customHeight="1" x14ac:dyDescent="0.3">
      <x:c r="E89" s="38" t="s">
        <x:v>66</x:v>
      </x:c>
      <x:c r="F89" s="74" t="s">
        <x:v>119</x:v>
      </x:c>
      <x:c r="G89" s="74"/>
      <x:c r="H89" s="74"/>
      <x:c r="I89" s="74"/>
      <x:c r="J89" s="75"/>
      <x:c r="K89" s="75"/>
      <x:c r="L89" s="75"/>
      <x:c r="M89" s="75"/>
    </x:row>
    <x:row r="90" spans="1:17" x14ac:dyDescent="0.3">
      <x:c r="E90" s="38" t="s">
        <x:v>67</x:v>
      </x:c>
      <x:c r="F90" s="32" t="s">
        <x:v>114</x:v>
      </x:c>
      <x:c r="G90" s="32"/>
      <x:c r="H90" s="32"/>
      <x:c r="I90" s="32"/>
    </x:row>
    <x:row r="91" spans="1:17" x14ac:dyDescent="0.3">
      <x:c r="E91" s="38" t="s">
        <x:v>69</x:v>
      </x:c>
      <x:c r="F91" s="32" t="s">
        <x:v>128</x:v>
      </x:c>
      <x:c r="G91" s="32"/>
      <x:c r="H91" s="32"/>
      <x:c r="I91" s="32"/>
    </x:row>
    <x:row r="92" spans="1:17" x14ac:dyDescent="0.3">
      <x:c r="E92" s="38" t="s">
        <x:v>70</x:v>
      </x:c>
      <x:c r="F92" s="32" t="s">
        <x:v>74</x:v>
      </x:c>
      <x:c r="G92" s="32"/>
      <x:c r="H92" s="32"/>
      <x:c r="I92" s="32"/>
    </x:row>
    <x:row r="95" spans="1:17" x14ac:dyDescent="0.3">
      <x:c r="C95" s="1" t="s">
        <x:v>116</x:v>
      </x:c>
      <x:c r="G95" s="11">
        <x:f>G87-G96</x:f>
        <x:v>39358051.990000002</x:v>
      </x:c>
      <x:c r="I95" s="11">
        <x:f>I87-I96</x:f>
        <x:v>80337472.440000013</x:v>
      </x:c>
      <x:c r="K95" s="11">
        <x:f>K87-K96</x:f>
        <x:v>373328.26999999996</x:v>
      </x:c>
      <x:c r="M95" s="11">
        <x:f>SUM(G95:K95)</x:f>
        <x:v>120068852.7</x:v>
      </x:c>
    </x:row>
    <x:row r="96" spans="1:17" x14ac:dyDescent="0.3">
      <x:c r="C96" s="1" t="s">
        <x:v>117</x:v>
      </x:c>
      <x:c r="G96" s="66">
        <x:f>G81+G78</x:f>
        <x:v>6400336.4700000016</x:v>
      </x:c>
      <x:c r="I96" s="66">
        <x:f>I81+I78</x:f>
        <x:v>676856.35</x:v>
      </x:c>
      <x:c r="K96" s="66">
        <x:f>K81+K78</x:f>
        <x:v>0</x:v>
      </x:c>
      <x:c r="M96" s="66">
        <x:f>SUM(G96:K96)</x:f>
        <x:v>7077192.8200000012</x:v>
      </x:c>
    </x:row>
    <x:row r="97" spans="3:13" x14ac:dyDescent="0.3">
      <x:c r="C97" s="67" t="s">
        <x:v>118</x:v>
      </x:c>
      <x:c r="G97" s="11">
        <x:f t="shared" ref="G97:L97" si="2">SUM(G95:G96)</x:f>
        <x:v>45758388.460000001</x:v>
      </x:c>
      <x:c r="H97" s="11"/>
      <x:c r="I97" s="11">
        <x:f t="shared" si="2"/>
        <x:v>81014328.790000007</x:v>
      </x:c>
      <x:c r="J97" s="11">
        <x:f t="shared" si="2"/>
        <x:v>0</x:v>
      </x:c>
      <x:c r="K97" s="11">
        <x:f t="shared" si="2"/>
        <x:v>373328.26999999996</x:v>
      </x:c>
      <x:c r="L97" s="11">
        <x:f t="shared" si="2"/>
        <x:v>0</x:v>
      </x:c>
      <x:c r="M97" s="11">
        <x:f>SUM(M95:M96)</x:f>
        <x:v>127146045.52000001</x:v>
      </x:c>
    </x:row>
  </x:sheetData>
  <x:mergeCells count="6">
    <x:mergeCell ref="F89:M89"/>
    <x:mergeCell ref="C1:O1"/>
    <x:mergeCell ref="C2:O2"/>
    <x:mergeCell ref="C3:O3"/>
    <x:mergeCell ref="C4:O4"/>
    <x:mergeCell ref="C5:O5"/>
  </x:mergeCells>
  <x:pageMargins left="0.7" right="0.45" top="1" bottom="0.5" header="0.3" footer="0.3"/>
  <x:pageSetup scale="51" orientation="portrait" r:id="rId1"/>
  <x:headerFooter>
    <x:oddHeader>&amp;RWP/II-E-5 Other Revenues
Page 1 of 2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8B0D227-92D8-4986-99B9-F3EE712B6261}" mc:Ignorable="x14ac xr xr2 xr3">
  <x:sheetPr>
    <x:pageSetUpPr fitToPage="1"/>
  </x:sheetPr>
  <x:dimension ref="A1:Z33"/>
  <x:sheetViews>
    <x:sheetView view="pageBreakPreview" zoomScaleNormal="100" zoomScaleSheetLayoutView="100" workbookViewId="0">
      <x:selection activeCell="E26" sqref="E26"/>
    </x:sheetView>
  </x:sheetViews>
  <x:sheetFormatPr defaultColWidth="8.7109375" defaultRowHeight="15" x14ac:dyDescent="0.25"/>
  <x:cols>
    <x:col min="1" max="1" width="21.42578125" style="52" bestFit="1" customWidth="1"/>
    <x:col min="2" max="3" width="14" style="52" bestFit="1" customWidth="1"/>
    <x:col min="4" max="4" width="12.5703125" style="52" bestFit="1" customWidth="1"/>
    <x:col min="5" max="5" width="13.42578125" style="52" bestFit="1" customWidth="1"/>
    <x:col min="6" max="6" width="16.85546875" style="52" bestFit="1" customWidth="1"/>
    <x:col min="7" max="7" width="14.42578125" style="52" bestFit="1" customWidth="1"/>
    <x:col min="8" max="8" width="3.28515625" style="52" customWidth="1"/>
    <x:col min="9" max="9" width="51.85546875" style="52" bestFit="1" customWidth="1"/>
    <x:col min="10" max="16384" width="8.7109375" style="52"/>
  </x:cols>
  <x:sheetData>
    <x:row r="1" spans="1:26" x14ac:dyDescent="0.25">
      <x:c r="A1" s="51" t="s">
        <x:v>61</x:v>
      </x:c>
      <x:c r="I1" s="64" t="s">
        <x:v>112</x:v>
      </x:c>
    </x:row>
    <x:row r="2" spans="1:26" x14ac:dyDescent="0.25">
      <x:c r="A2" s="51" t="s">
        <x:v>115</x:v>
      </x:c>
      <x:c r="I2" s="64" t="s">
        <x:v>113</x:v>
      </x:c>
    </x:row>
    <x:row r="3" spans="1:26" x14ac:dyDescent="0.25">
      <x:c r="A3" s="53" t="s">
        <x:v>82</x:v>
      </x:c>
    </x:row>
    <x:row r="6" spans="1:26" ht="14.45" customHeight="1" x14ac:dyDescent="0.25">
      <x:c r="B6" s="78" t="s">
        <x:v>84</x:v>
      </x:c>
      <x:c r="C6" s="78"/>
      <x:c r="D6" s="78" t="s">
        <x:v>85</x:v>
      </x:c>
      <x:c r="E6" s="78"/>
      <x:c r="F6" s="78" t="s">
        <x:v>86</x:v>
      </x:c>
      <x:c r="G6" s="78"/>
    </x:row>
    <x:row r="7" spans="1:26" x14ac:dyDescent="0.25">
      <x:c r="B7" s="54" t="s">
        <x:v>87</x:v>
      </x:c>
      <x:c r="C7" s="54" t="s">
        <x:v>88</x:v>
      </x:c>
      <x:c r="D7" s="54" t="s">
        <x:v>87</x:v>
      </x:c>
      <x:c r="E7" s="54" t="s">
        <x:v>88</x:v>
      </x:c>
      <x:c r="F7" s="54" t="s">
        <x:v>87</x:v>
      </x:c>
      <x:c r="G7" s="54" t="s">
        <x:v>88</x:v>
      </x:c>
    </x:row>
    <x:row r="8" spans="1:26" ht="15.75" x14ac:dyDescent="0.3">
      <x:c r="A8" s="55" t="s">
        <x:v>89</x:v>
      </x:c>
      <x:c r="B8" s="56">
        <x:v>40798.519999999997</x:v>
      </x:c>
      <x:c r="C8" s="56">
        <x:v>304939.88</x:v>
      </x:c>
      <x:c r="D8" s="56">
        <x:f>-B8</x:f>
        <x:v>-40798.519999999997</x:v>
      </x:c>
      <x:c r="E8" s="56">
        <x:f>-C8</x:f>
        <x:v>-304939.88</x:v>
      </x:c>
      <x:c r="F8" s="57">
        <x:f>B8+D8</x:f>
        <x:v>0</x:v>
      </x:c>
      <x:c r="G8" s="57">
        <x:f>C8+E8</x:f>
        <x:v>0</x:v>
      </x:c>
      <x:c r="I8" s="52" t="s">
        <x:v>90</x:v>
      </x:c>
    </x:row>
    <x:row r="9" spans="1:26" ht="15.75" x14ac:dyDescent="0.3">
      <x:c r="A9" s="55" t="s">
        <x:v>91</x:v>
      </x:c>
      <x:c r="B9" s="56">
        <x:v>30855.08</x:v>
      </x:c>
      <x:c r="C9" s="56">
        <x:v>190424.48</x:v>
      </x:c>
      <x:c r="D9" s="56"/>
      <x:c r="E9" s="56"/>
      <x:c r="F9" s="57">
        <x:f t="shared" ref="F9:G23" si="0">B9+D9</x:f>
        <x:v>30855.08</x:v>
      </x:c>
      <x:c r="G9" s="57">
        <x:f t="shared" si="0"/>
        <x:v>190424.48</x:v>
      </x:c>
    </x:row>
    <x:row r="10" spans="1:26" ht="15.75" x14ac:dyDescent="0.3">
      <x:c r="A10" s="55" t="s">
        <x:v>92</x:v>
      </x:c>
      <x:c r="B10" s="56">
        <x:v>29551.4</x:v>
      </x:c>
      <x:c r="C10" s="56">
        <x:v>46719.68</x:v>
      </x:c>
      <x:c r="D10" s="56"/>
      <x:c r="E10" s="56"/>
      <x:c r="F10" s="57">
        <x:f t="shared" si="0"/>
        <x:v>29551.4</x:v>
      </x:c>
      <x:c r="G10" s="57">
        <x:f t="shared" si="0"/>
        <x:v>46719.68</x:v>
      </x:c>
      <x:c r="O10" s="58"/>
      <x:c r="P10" s="58"/>
      <x:c r="Q10" s="58"/>
      <x:c r="R10" s="58"/>
      <x:c r="S10" s="58"/>
      <x:c r="T10" s="58"/>
      <x:c r="U10" s="58"/>
      <x:c r="V10" s="58"/>
      <x:c r="W10" s="58"/>
      <x:c r="X10" s="58"/>
      <x:c r="Y10" s="58"/>
      <x:c r="Z10" s="58"/>
    </x:row>
    <x:row r="11" spans="1:26" ht="15.75" x14ac:dyDescent="0.3">
      <x:c r="A11" s="55" t="s">
        <x:v>93</x:v>
      </x:c>
      <x:c r="B11" s="56">
        <x:v>59180.08</x:v>
      </x:c>
      <x:c r="C11" s="56">
        <x:v>167863.4</x:v>
      </x:c>
      <x:c r="D11" s="56"/>
      <x:c r="E11" s="56"/>
      <x:c r="F11" s="57">
        <x:f t="shared" si="0"/>
        <x:v>59180.08</x:v>
      </x:c>
      <x:c r="G11" s="57">
        <x:f t="shared" si="0"/>
        <x:v>167863.4</x:v>
      </x:c>
      <x:c r="O11" s="58"/>
      <x:c r="P11" s="58"/>
      <x:c r="Q11" s="58"/>
      <x:c r="R11" s="58"/>
      <x:c r="S11" s="58"/>
      <x:c r="T11" s="58"/>
      <x:c r="U11" s="58"/>
      <x:c r="V11" s="58"/>
      <x:c r="W11" s="58"/>
      <x:c r="X11" s="58"/>
      <x:c r="Y11" s="58"/>
      <x:c r="Z11" s="58"/>
    </x:row>
    <x:row r="12" spans="1:26" ht="15.75" x14ac:dyDescent="0.3">
      <x:c r="A12" s="55" t="s">
        <x:v>94</x:v>
      </x:c>
      <x:c r="B12" s="56">
        <x:v>27521.200000000001</x:v>
      </x:c>
      <x:c r="C12" s="56">
        <x:v>287847.71999999997</x:v>
      </x:c>
      <x:c r="D12" s="56"/>
      <x:c r="E12" s="56"/>
      <x:c r="F12" s="57">
        <x:f t="shared" si="0"/>
        <x:v>27521.200000000001</x:v>
      </x:c>
      <x:c r="G12" s="57">
        <x:f t="shared" si="0"/>
        <x:v>287847.71999999997</x:v>
      </x:c>
      <x:c r="O12" s="58"/>
      <x:c r="P12" s="58"/>
      <x:c r="Q12" s="58"/>
      <x:c r="R12" s="58"/>
      <x:c r="S12" s="58"/>
      <x:c r="T12" s="58"/>
      <x:c r="U12" s="58"/>
      <x:c r="V12" s="58"/>
      <x:c r="W12" s="58"/>
      <x:c r="X12" s="58"/>
      <x:c r="Y12" s="58"/>
      <x:c r="Z12" s="58"/>
    </x:row>
    <x:row r="13" spans="1:26" ht="15.75" x14ac:dyDescent="0.3">
      <x:c r="A13" s="55" t="s">
        <x:v>95</x:v>
      </x:c>
      <x:c r="B13" s="56">
        <x:v>18668.080000000002</x:v>
      </x:c>
      <x:c r="C13" s="56">
        <x:v>576728.72</x:v>
      </x:c>
      <x:c r="D13" s="56"/>
      <x:c r="E13" s="56"/>
      <x:c r="F13" s="57">
        <x:f t="shared" si="0"/>
        <x:v>18668.080000000002</x:v>
      </x:c>
      <x:c r="G13" s="57">
        <x:f t="shared" si="0"/>
        <x:v>576728.72</x:v>
      </x:c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 spans="1:26" ht="15.75" x14ac:dyDescent="0.3">
      <x:c r="A14" s="55" t="s">
        <x:v>96</x:v>
      </x:c>
      <x:c r="B14" s="56">
        <x:v>128578.76</x:v>
      </x:c>
      <x:c r="C14" s="56">
        <x:v>558763.88</x:v>
      </x:c>
      <x:c r="D14" s="56"/>
      <x:c r="E14" s="56"/>
      <x:c r="F14" s="57">
        <x:f t="shared" si="0"/>
        <x:v>128578.76</x:v>
      </x:c>
      <x:c r="G14" s="57">
        <x:f t="shared" si="0"/>
        <x:v>558763.88</x:v>
      </x:c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 spans="1:26" ht="15.75" x14ac:dyDescent="0.3">
      <x:c r="A15" s="55" t="s">
        <x:v>97</x:v>
      </x:c>
      <x:c r="B15" s="56">
        <x:v>22582.2</x:v>
      </x:c>
      <x:c r="C15" s="56">
        <x:v>373754.04</x:v>
      </x:c>
      <x:c r="D15" s="56"/>
      <x:c r="E15" s="56"/>
      <x:c r="F15" s="57">
        <x:f t="shared" si="0"/>
        <x:v>22582.2</x:v>
      </x:c>
      <x:c r="G15" s="57">
        <x:f t="shared" si="0"/>
        <x:v>373754.04</x:v>
      </x:c>
    </x:row>
    <x:row r="16" spans="1:26" ht="15.75" x14ac:dyDescent="0.3">
      <x:c r="A16" s="55" t="s">
        <x:v>98</x:v>
      </x:c>
      <x:c r="B16" s="56">
        <x:v>39214.720000000001</x:v>
      </x:c>
      <x:c r="C16" s="56">
        <x:v>351471.52</x:v>
      </x:c>
      <x:c r="D16" s="56"/>
      <x:c r="E16" s="56"/>
      <x:c r="F16" s="57">
        <x:f t="shared" si="0"/>
        <x:v>39214.720000000001</x:v>
      </x:c>
      <x:c r="G16" s="57">
        <x:f t="shared" si="0"/>
        <x:v>351471.52</x:v>
      </x:c>
    </x:row>
    <x:row r="17" spans="1:9" ht="15.75" x14ac:dyDescent="0.3">
      <x:c r="A17" s="55" t="s">
        <x:v>99</x:v>
      </x:c>
      <x:c r="B17" s="56">
        <x:v>96840.88</x:v>
      </x:c>
      <x:c r="C17" s="56">
        <x:v>336884.76</x:v>
      </x:c>
      <x:c r="D17" s="56"/>
      <x:c r="E17" s="56"/>
      <x:c r="F17" s="57">
        <x:f t="shared" si="0"/>
        <x:v>96840.88</x:v>
      </x:c>
      <x:c r="G17" s="57">
        <x:f t="shared" si="0"/>
        <x:v>336884.76</x:v>
      </x:c>
    </x:row>
    <x:row r="18" spans="1:9" ht="15.75" x14ac:dyDescent="0.3">
      <x:c r="A18" s="55" t="s">
        <x:v>100</x:v>
      </x:c>
      <x:c r="B18" s="56">
        <x:v>55729.440000000002</x:v>
      </x:c>
      <x:c r="C18" s="56">
        <x:v>313292.03999999998</x:v>
      </x:c>
      <x:c r="D18" s="56"/>
      <x:c r="E18" s="56"/>
      <x:c r="F18" s="57">
        <x:f t="shared" si="0"/>
        <x:v>55729.440000000002</x:v>
      </x:c>
      <x:c r="G18" s="57">
        <x:f t="shared" si="0"/>
        <x:v>313292.03999999998</x:v>
      </x:c>
    </x:row>
    <x:row r="19" spans="1:9" ht="15.75" x14ac:dyDescent="0.3">
      <x:c r="A19" s="55" t="s">
        <x:v>101</x:v>
      </x:c>
      <x:c r="B19" s="56">
        <x:v>111391.44</x:v>
      </x:c>
      <x:c r="C19" s="56">
        <x:v>202716.76</x:v>
      </x:c>
      <x:c r="D19" s="56"/>
      <x:c r="E19" s="56"/>
      <x:c r="F19" s="57">
        <x:f t="shared" si="0"/>
        <x:v>111391.44</x:v>
      </x:c>
      <x:c r="G19" s="57">
        <x:f t="shared" si="0"/>
        <x:v>202716.76</x:v>
      </x:c>
    </x:row>
    <x:row r="20" spans="1:9" ht="15.75" x14ac:dyDescent="0.3">
      <x:c r="A20" s="55" t="s">
        <x:v>102</x:v>
      </x:c>
      <x:c r="B20" s="56">
        <x:v>1489.48</x:v>
      </x:c>
      <x:c r="C20" s="56">
        <x:v>223875.04</x:v>
      </x:c>
      <x:c r="D20" s="56"/>
      <x:c r="E20" s="56"/>
      <x:c r="F20" s="57">
        <x:f t="shared" si="0"/>
        <x:v>1489.48</x:v>
      </x:c>
      <x:c r="G20" s="57">
        <x:f t="shared" si="0"/>
        <x:v>223875.04</x:v>
      </x:c>
    </x:row>
    <x:row r="21" spans="1:9" ht="15.75" x14ac:dyDescent="0.3">
      <x:c r="A21" s="55" t="s">
        <x:v>103</x:v>
      </x:c>
      <x:c r="B21" s="56">
        <x:v>314585.24</x:v>
      </x:c>
      <x:c r="C21" s="56">
        <x:v>330589.24</x:v>
      </x:c>
      <x:c r="D21" s="56"/>
      <x:c r="E21" s="56"/>
      <x:c r="F21" s="57">
        <x:f t="shared" si="0"/>
        <x:v>314585.24</x:v>
      </x:c>
      <x:c r="G21" s="57">
        <x:f t="shared" si="0"/>
        <x:v>330589.24</x:v>
      </x:c>
    </x:row>
    <x:row r="22" spans="1:9" ht="15.75" x14ac:dyDescent="0.3">
      <x:c r="A22" s="55" t="s">
        <x:v>104</x:v>
      </x:c>
      <x:c r="B22" s="56">
        <x:v>92291.32</x:v>
      </x:c>
      <x:c r="C22" s="56">
        <x:v>380990.24</x:v>
      </x:c>
      <x:c r="D22" s="56"/>
      <x:c r="E22" s="56"/>
      <x:c r="F22" s="57">
        <x:f t="shared" si="0"/>
        <x:v>92291.32</x:v>
      </x:c>
      <x:c r="G22" s="57">
        <x:f t="shared" si="0"/>
        <x:v>380990.24</x:v>
      </x:c>
    </x:row>
    <x:row r="23" spans="1:9" ht="15.75" x14ac:dyDescent="0.3">
      <x:c r="A23" s="55" t="s">
        <x:v>105</x:v>
      </x:c>
      <x:c r="B23" s="60"/>
      <x:c r="C23" s="60"/>
      <x:c r="D23" s="60">
        <x:v>225643.82</x:v>
      </x:c>
      <x:c r="E23" s="60">
        <x:v>378328.55</x:v>
      </x:c>
      <x:c r="F23" s="61">
        <x:f t="shared" si="0"/>
        <x:v>225643.82</x:v>
      </x:c>
      <x:c r="G23" s="61">
        <x:f t="shared" si="0"/>
        <x:v>378328.55</x:v>
      </x:c>
      <x:c r="I23" s="73" t="s">
        <x:v>126</x:v>
      </x:c>
    </x:row>
    <x:row r="24" spans="1:9" x14ac:dyDescent="0.25">
      <x:c r="B24" s="57">
        <x:f t="shared" ref="B24:C24" si="1">SUM(B8:B23)</x:f>
        <x:v>1069277.8400000001</x:v>
      </x:c>
      <x:c r="C24" s="57">
        <x:f t="shared" si="1"/>
        <x:v>4646861.4000000004</x:v>
      </x:c>
      <x:c r="D24" s="57">
        <x:f>SUM(D8:D23)</x:f>
        <x:v>184845.30000000002</x:v>
      </x:c>
      <x:c r="E24" s="57">
        <x:f>SUM(E8:E23)</x:f>
        <x:v>73388.669999999984</x:v>
      </x:c>
      <x:c r="F24" s="57">
        <x:f t="shared" ref="F24:G24" si="2">SUM(F8:F23)</x:f>
        <x:v>1254123.1400000001</x:v>
      </x:c>
      <x:c r="G24" s="57">
        <x:f t="shared" si="2"/>
        <x:v>4720250.07</x:v>
      </x:c>
    </x:row>
    <x:row r="25" spans="1:9" x14ac:dyDescent="0.25">
      <x:c r="B25" s="57"/>
      <x:c r="C25" s="57"/>
      <x:c r="D25" s="57"/>
      <x:c r="E25" s="57"/>
      <x:c r="F25" s="57"/>
      <x:c r="G25" s="57"/>
    </x:row>
    <x:row r="26" spans="1:9" x14ac:dyDescent="0.25">
      <x:c r="A26" s="62" t="s">
        <x:v>106</x:v>
      </x:c>
      <x:c r="C26" s="57">
        <x:f>SUM(B24:C24)</x:f>
        <x:v>5716139.2400000002</x:v>
      </x:c>
      <x:c r="E26" s="57">
        <x:f>SUM(D24:E24)</x:f>
        <x:v>258233.97</x:v>
      </x:c>
      <x:c r="G26" s="57">
        <x:f>SUM(F24:G24)</x:f>
        <x:v>5974373.2100000009</x:v>
      </x:c>
    </x:row>
    <x:row r="28" spans="1:9" x14ac:dyDescent="0.25">
      <x:c r="A28" s="63" t="s">
        <x:v>107</x:v>
      </x:c>
    </x:row>
    <x:row r="29" spans="1:9" x14ac:dyDescent="0.25">
      <x:c r="A29" s="63"/>
    </x:row>
    <x:row r="30" spans="1:9" x14ac:dyDescent="0.25">
      <x:c r="A30" s="63" t="s">
        <x:v>108</x:v>
      </x:c>
    </x:row>
    <x:row r="31" spans="1:9" x14ac:dyDescent="0.25">
      <x:c r="A31" s="63" t="s">
        <x:v>109</x:v>
      </x:c>
    </x:row>
    <x:row r="32" spans="1:9" x14ac:dyDescent="0.25">
      <x:c r="A32" s="63" t="s">
        <x:v>110</x:v>
      </x:c>
    </x:row>
    <x:row r="33" spans="1:1" x14ac:dyDescent="0.25">
      <x:c r="A33" s="63" t="s">
        <x:v>111</x:v>
      </x:c>
    </x:row>
  </x:sheetData>
  <x:mergeCells count="3">
    <x:mergeCell ref="B6:C6"/>
    <x:mergeCell ref="D6:E6"/>
    <x:mergeCell ref="F6:G6"/>
  </x:mergeCells>
  <x:pageMargins left="0.7" right="0.7" top="0.75" bottom="0.75" header="0.3" footer="0.3"/>
  <x:pageSetup scale="77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2025-05-09T21:21:47.0000000Z</dcterms:modified>
</coreProperties>
</file>