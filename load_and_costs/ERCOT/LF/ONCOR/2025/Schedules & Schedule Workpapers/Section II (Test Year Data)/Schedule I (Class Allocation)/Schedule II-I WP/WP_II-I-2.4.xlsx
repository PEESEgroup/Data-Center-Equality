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Q:\2024 Test Year\WP\"/>
    </mc:Choice>
  </mc:AlternateContent>
  <xr:revisionPtr revIDLastSave="0" documentId="13_ncr:1_{59E5DBE4-918B-4550-AE7E-E2A6A16694FD}" xr6:coauthVersionLast="47" xr6:coauthVersionMax="47" xr10:uidLastSave="{00000000-0000-0000-0000-000000000000}"/>
  <x:bookViews>
    <x:workbookView xWindow="32955" yWindow="2400" windowWidth="21600" windowHeight="11325" activeTab="2" xr2:uid="{00000000-000D-0000-FFFF-FFFF00000000}"/>
  </x:bookViews>
  <x:sheets>
    <x:sheet name="Summary" sheetId="2" r:id="rId1"/>
    <x:sheet name="Poles" sheetId="4" r:id="rId2"/>
    <x:sheet name="Conductors" sheetId="3" r:id="rId3"/>
    <x:sheet name="Other 365-368" sheetId="5" r:id="rId4"/>
  </x:sheets>
  <x:definedNames>
    <x:definedName name="_xlnm.Print_Area" localSheetId="2">Conductors!$A$1:$F$21</x:definedName>
    <x:definedName name="_xlnm.Print_Area" localSheetId="3">'Other 365-368'!$A$1:$J$44</x:definedName>
    <x:definedName name="_xlnm.Print_Area" localSheetId="1">Poles!$A$1:$F$18</x:definedName>
    <x:definedName name="_xlnm.Print_Area" localSheetId="0">Summary!$A$1:$H$59</x:definedName>
    <x:definedName name="_xlnm.Print_Titles" localSheetId="0">Summary!$1:$9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48" i="2" l="1"/>
  <x:c r="C47" i="2"/>
  <x:c r="C46" i="2"/>
  <x:c r="C45" i="2"/>
  <x:c r="C42" i="2"/>
  <x:c r="C32" i="2"/>
  <x:c r="C34" i="2" l="1"/>
  <x:c r="C35" i="2"/>
  <x:c r="D19" i="5" l="1"/>
  <x:c r="D15" i="5" l="1"/>
  <x:c r="D24" i="5"/>
  <x:c r="C33" i="2" l="1"/>
  <x:c r="D32" i="2"/>
  <x:c r="D33" i="2" s="1"/>
  <x:c r="E31" i="2"/>
  <x:c r="E32" i="2" l="1"/>
  <x:c r="E33" i="2" s="1"/>
  <x:c r="F20" i="3"/>
  <x:c r="F19" i="3"/>
  <x:c r="F18" i="3"/>
  <x:c r="F17" i="3"/>
  <x:c r="F16" i="3"/>
  <x:c r="F15" i="3"/>
  <x:c r="F14" i="3"/>
  <x:c r="E14" i="2" l="1"/>
  <x:c r="C14" i="2" s="1"/>
  <x:c r="C15" i="2"/>
  <x:c r="C18" i="4" l="1"/>
  <x:c r="C54" i="2" l="1"/>
  <x:c r="D46" i="2" l="1"/>
  <x:c r="E47" i="2"/>
  <x:c r="D37" i="5" l="1"/>
  <x:c r="D30" i="5"/>
  <x:c r="F5" i="5" l="1"/>
  <x:c r="B5" i="5"/>
  <x:c r="F4" i="5"/>
  <x:c r="B4" i="5"/>
  <x:c r="F3" i="5"/>
  <x:c r="B3" i="5"/>
  <x:c r="F2" i="5"/>
  <x:c r="B2" i="5"/>
  <x:c r="F1" i="5"/>
  <x:c r="B1" i="5"/>
  <x:c r="B5" i="3"/>
  <x:c r="B4" i="3"/>
  <x:c r="B3" i="3"/>
  <x:c r="B2" i="3"/>
  <x:c r="B1" i="3"/>
  <x:c r="B5" i="4"/>
  <x:c r="B4" i="4"/>
  <x:c r="B3" i="4"/>
  <x:c r="B2" i="4"/>
  <x:c r="B1" i="4"/>
  <x:c r="E21" i="3" l="1"/>
  <x:c r="D21" i="3"/>
  <x:c r="C21" i="3"/>
  <x:c r="F21" i="3" l="1"/>
  <x:c r="C43" i="2"/>
  <x:c r="C23" i="2" l="1"/>
  <x:c r="C22" i="2"/>
  <x:c r="F13" i="3"/>
  <x:c r="C44" i="2"/>
  <x:c r="C31" i="2"/>
  <x:c r="C30" i="2"/>
  <x:c r="C24" i="2"/>
  <x:c r="C21" i="2"/>
  <x:c r="H21" i="3" l="1"/>
  <x:c r="C20" i="4"/>
  <x:c r="D18" i="4"/>
  <x:c r="D20" i="4" s="1"/>
  <x:c r="C57" i="2" l="1"/>
  <x:c r="C55" i="2"/>
  <x:c r="C56" i="2"/>
  <x:c r="C58" i="2" l="1"/>
  <x:c r="A14" i="2" l="1"/>
  <x:c r="A15" i="2" s="1"/>
  <x:c r="A16" i="2" s="1"/>
  <x:c r="A17" i="2" s="1"/>
  <x:c r="A18" i="2" s="1"/>
  <x:c r="A19" i="2" s="1"/>
  <x:c r="A20" i="2" s="1"/>
  <x:c r="A21" i="2" s="1"/>
  <x:c r="A22" i="2" s="1"/>
  <x:c r="A23" i="2" s="1"/>
  <x:c r="A24" i="2" s="1"/>
  <x:c r="A25" i="2" s="1"/>
  <x:c r="A26" i="2" s="1"/>
  <x:c r="A27" i="2" s="1"/>
  <x:c r="A28" i="2" s="1"/>
  <x:c r="A29" i="2" s="1"/>
  <x:c r="A30" i="2" s="1"/>
  <x:c r="A31" i="2" s="1"/>
  <x:c r="A33" i="2" s="1"/>
  <x:c r="A34" i="2" s="1"/>
  <x:c r="A35" i="2" s="1"/>
  <x:c r="A36" i="2" s="1"/>
  <x:c r="A37" i="2" s="1"/>
  <x:c r="A38" i="2" s="1"/>
  <x:c r="A39" i="2" s="1"/>
  <x:c r="A40" i="2" s="1"/>
  <x:c r="A41" i="2" s="1"/>
  <x:c r="A42" i="2" s="1"/>
  <x:c r="A43" i="2" s="1"/>
  <x:c r="A44" i="2" s="1"/>
  <x:c r="A45" i="2" s="1"/>
  <x:c r="A46" i="2" s="1"/>
  <x:c r="A47" i="2" s="1"/>
  <x:c r="A48" i="2" s="1"/>
  <x:c r="A49" i="2" s="1"/>
  <x:c r="A50" i="2" s="1"/>
  <x:c r="A51" i="2" s="1"/>
  <x:c r="A52" i="2" s="1"/>
  <x:c r="A53" i="2" s="1"/>
  <x:c r="A54" i="2" s="1"/>
  <x:c r="A55" i="2" s="1"/>
  <x:c r="A56" i="2" s="1"/>
  <x:c r="A57" i="2" s="1"/>
  <x:c r="A58" i="2" s="1"/>
  <x:c r="A59" i="2" s="1"/>
  <x:c r="C13" i="2"/>
  <x:c r="E45" i="2"/>
  <x:c r="E43" i="2"/>
  <x:c r="E35" i="2"/>
  <x:c r="D55" i="2"/>
  <x:c r="D44" i="2"/>
  <x:c r="D23" i="2"/>
  <x:c r="D21" i="2"/>
  <x:c r="E13" i="4"/>
  <x:c r="E14" i="4"/>
  <x:c r="E15" i="4"/>
  <x:c r="E16" i="4"/>
  <x:c r="D24" i="2"/>
  <x:c r="D34" i="2"/>
  <x:c r="D54" i="2"/>
  <x:c r="F56" i="2"/>
  <x:c r="F58" i="2" s="1"/>
  <x:c r="E57" i="2"/>
  <x:c r="E58" i="2" s="1"/>
  <x:c r="E18" i="4" l="1"/>
  <x:c r="E20" i="4" s="1"/>
  <x:c r="D58" i="2"/>
  <x:c r="D59" i="2" s="1"/>
  <x:c r="F59" i="2"/>
  <x:c r="E59" i="2"/>
  <x:c r="E23" i="2"/>
  <x:c r="D25" i="2"/>
  <x:c r="D15" i="2"/>
  <x:c r="E15" i="2" s="1"/>
  <x:c r="E16" i="2" s="1"/>
  <x:c r="E36" i="2"/>
  <x:c r="D30" i="2"/>
  <x:c r="C16" i="2"/>
  <x:c r="E22" i="2"/>
  <x:c r="C25" i="2"/>
  <x:c r="D13" i="2"/>
  <x:c r="E17" i="2" l="1"/>
  <x:c r="C59" i="2"/>
  <x:c r="D16" i="2"/>
  <x:c r="D17" i="2" s="1"/>
  <x:c r="E25" i="2"/>
  <x:c r="E26" i="2" s="1"/>
  <x:c r="D26" i="2"/>
  <x:c r="D36" i="2"/>
  <x:c r="C36" i="2" l="1"/>
  <x:c r="D38" i="2" s="1"/>
  <x:c r="C17" i="2"/>
  <x:c r="C26" i="2"/>
  <x:c r="E37" i="2"/>
  <x:c r="E42" i="2" s="1"/>
  <x:c r="D37" i="2"/>
  <x:c r="D42" i="2" s="1"/>
  <x:c r="E38" i="2" l="1"/>
  <x:c r="D48" i="2"/>
  <x:c r="D49" i="2" s="1"/>
  <x:c r="C37" i="2"/>
  <x:c r="E48" i="2" l="1"/>
  <x:c r="E49" i="2" s="1"/>
  <x:c r="C38" i="2"/>
  <x:c r="C49" i="2"/>
  <x:c r="D50" i="2" s="1"/>
  <x:c r="E50" i="2" l="1"/>
  <x:c r="C50" i="2" l="1"/>
</x:calcChain>
</file>

<file path=xl/sharedStrings.xml><?xml version="1.0" encoding="utf-8"?>
<sst xmlns="http://schemas.openxmlformats.org/spreadsheetml/2006/main" count="180" uniqueCount="93">
  <si>
    <t>line</t>
  </si>
  <si>
    <t>Account 364</t>
  </si>
  <si>
    <t>Total</t>
  </si>
  <si>
    <t>Primary</t>
  </si>
  <si>
    <t>Secondary</t>
  </si>
  <si>
    <t>Other</t>
  </si>
  <si>
    <t>Comment</t>
  </si>
  <si>
    <t>(a)</t>
  </si>
  <si>
    <t>(b)</t>
  </si>
  <si>
    <t>(c)</t>
  </si>
  <si>
    <t>(d)</t>
  </si>
  <si>
    <t>(e)</t>
  </si>
  <si>
    <t>Primary Only</t>
  </si>
  <si>
    <t>Secondary Only</t>
  </si>
  <si>
    <t>Primary and Secondary</t>
  </si>
  <si>
    <t>Total Percentage</t>
  </si>
  <si>
    <t>Description</t>
  </si>
  <si>
    <t>Account 365</t>
  </si>
  <si>
    <t>Neutral</t>
  </si>
  <si>
    <t>Devices</t>
  </si>
  <si>
    <t>Total Account</t>
  </si>
  <si>
    <t>Account 367</t>
  </si>
  <si>
    <t>Devices such as switchgear are generally primary</t>
  </si>
  <si>
    <t>Network</t>
  </si>
  <si>
    <t>Account 366</t>
  </si>
  <si>
    <t>Conduit</t>
  </si>
  <si>
    <t>Split on the basis of account 367</t>
  </si>
  <si>
    <t>Pads</t>
  </si>
  <si>
    <t>Primary Box</t>
  </si>
  <si>
    <t>Secondary Box</t>
  </si>
  <si>
    <t>Account 368</t>
  </si>
  <si>
    <t>Capacitors</t>
  </si>
  <si>
    <t>Other transformers are related to secondary</t>
  </si>
  <si>
    <t>Primary Poles</t>
  </si>
  <si>
    <t>Secondary Poles</t>
  </si>
  <si>
    <t>Primary &amp; Secondary Poles</t>
  </si>
  <si>
    <t>Guardlights</t>
  </si>
  <si>
    <t>Network Manholes</t>
  </si>
  <si>
    <t>Other Manholes</t>
  </si>
  <si>
    <t>Auto Transformers</t>
  </si>
  <si>
    <t>Regulators</t>
  </si>
  <si>
    <t>Auto Transformers are related to Primary</t>
  </si>
  <si>
    <t>Regulators are related to Primary</t>
  </si>
  <si>
    <t>Vaults</t>
  </si>
  <si>
    <t>Conductor subtotal</t>
  </si>
  <si>
    <t>Conductor Percentage</t>
  </si>
  <si>
    <t>Primary Conductor Only</t>
  </si>
  <si>
    <t>Secondary Conductor Only</t>
  </si>
  <si>
    <t>Non-Network manholes are usually primary</t>
  </si>
  <si>
    <t>Pads are usually secondary</t>
  </si>
  <si>
    <t>Split proportionately between primary and secondary</t>
  </si>
  <si>
    <t>Primary OH Conductor</t>
  </si>
  <si>
    <t>Primary UG Conductor</t>
  </si>
  <si>
    <t>Neutral Conductor</t>
  </si>
  <si>
    <t>Secondary OH Conductor</t>
  </si>
  <si>
    <t>Secondary UG Conductor</t>
  </si>
  <si>
    <t>Street Light OH Conductor</t>
  </si>
  <si>
    <t>Street Light UG Conductor</t>
  </si>
  <si>
    <t>Plant Acct</t>
  </si>
  <si>
    <t>ONCOR ELECTRIC DELIVERY COMPANY LLC</t>
  </si>
  <si>
    <t>&lt;&lt;&lt;   &lt;&lt;&lt;   &lt;&lt;&lt;</t>
  </si>
  <si>
    <t>Neutral is split equally between primary and secondary</t>
  </si>
  <si>
    <t>Network customers are secondary</t>
  </si>
  <si>
    <t>Conduit is split on the basis of account 367 Conductor</t>
  </si>
  <si>
    <t>WORKPAPER - PRIMARY / SECONDARY SPLIT</t>
  </si>
  <si>
    <t>WORKPAPER - Summary of Poles</t>
  </si>
  <si>
    <t>WORKPAPER - Summary of Conductors</t>
  </si>
  <si>
    <t>Account</t>
  </si>
  <si>
    <t>Investment</t>
  </si>
  <si>
    <t>Key</t>
  </si>
  <si>
    <t>Device</t>
  </si>
  <si>
    <t xml:space="preserve">Wire </t>
  </si>
  <si>
    <t>Grand Total</t>
  </si>
  <si>
    <t>Manhole</t>
  </si>
  <si>
    <t>Pad</t>
  </si>
  <si>
    <t>Vault</t>
  </si>
  <si>
    <t>Cable</t>
  </si>
  <si>
    <t>Auto Transformer</t>
  </si>
  <si>
    <t>Capacitor Total</t>
  </si>
  <si>
    <t>Other Total</t>
  </si>
  <si>
    <t>Regulator Total</t>
  </si>
  <si>
    <t>check:</t>
  </si>
  <si>
    <t>365</t>
  </si>
  <si>
    <t>367</t>
  </si>
  <si>
    <t>Devices such as switches are generally primary</t>
  </si>
  <si>
    <t>Network Manholes:</t>
  </si>
  <si>
    <t>Non-Network Manholes:</t>
  </si>
  <si>
    <t>WORKPAPER - SUMMARY OF KEY ACCOUNTS</t>
  </si>
  <si>
    <t>CLASS ALLOCATION FACTORS</t>
  </si>
  <si>
    <t>PUC DOCKET NO.</t>
  </si>
  <si>
    <t>FOR THE TEST YEAR ENDING 12/31/2024</t>
  </si>
  <si>
    <t>SPONSOR:  MATTHEW A. TROXLE</t>
  </si>
  <si>
    <t>note:  do not include 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</si>
</sst>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0.0000%"/>
    <numFmt numFmtId="167" formatCode="&quot;$&quot;#,##0"/>
    <numFmt numFmtId="168" formatCode="_(* #,##0_);_(* \(#,##0\);_(* &quot;-&quot;??_);_(@_)"/>
    <numFmt numFmtId="169" formatCode="_(* #,##0.00000_);_(* \(#,##0.0000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 Unicode MS"/>
      <family val="2"/>
    </font>
    <font>
      <sz val="11"/>
      <name val="Calibri"/>
      <family val="2"/>
      <scheme val="minor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0"/>
      <color theme="3" tint="0.39997558519241921"/>
      <name val="Arial"/>
      <family val="2"/>
    </font>
    <font>
      <sz val="11"/>
      <color theme="3" tint="0.39997558519241921"/>
      <name val="Arial"/>
      <family val="2"/>
    </font>
    <font>
      <sz val="9"/>
      <color theme="4" tint="-0.499984740745262"/>
      <name val="Arial"/>
      <family val="2"/>
    </font>
    <font>
      <sz val="12"/>
      <color theme="3" tint="0.39997558519241921"/>
      <name val="Arial"/>
      <family val="2"/>
    </font>
    <font>
      <u/>
      <sz val="11"/>
      <name val="Arial"/>
      <family val="2"/>
    </font>
    <font>
      <b/>
      <sz val="11"/>
      <color theme="7" tint="-0.249977111117893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1" fillId="0" borderId="0"/>
  </cellStyleXfs>
  <cellXfs count="151">
    <xf numFmtId="0" fontId="0" fillId="0" borderId="0" xfId="0"/>
    <xf numFmtId="0" fontId="7" fillId="0" borderId="0" xfId="0" applyFont="1" applyFill="1"/>
    <xf numFmtId="40" fontId="7" fillId="0" borderId="0" xfId="0" applyNumberFormat="1" applyFont="1" applyFill="1"/>
    <xf numFmtId="40" fontId="8" fillId="0" borderId="0" xfId="3" applyNumberFormat="1"/>
    <xf numFmtId="0" fontId="8" fillId="0" borderId="0" xfId="3"/>
    <xf numFmtId="40" fontId="8" fillId="0" borderId="0" xfId="4" applyNumberFormat="1"/>
    <xf numFmtId="0" fontId="8" fillId="0" borderId="0" xfId="4"/>
    <xf numFmtId="0" fontId="9" fillId="0" borderId="0" xfId="3" applyFont="1"/>
    <xf numFmtId="40" fontId="9" fillId="0" borderId="0" xfId="3" applyNumberFormat="1" applyFont="1"/>
    <xf numFmtId="0" fontId="10" fillId="0" borderId="0" xfId="0" applyFont="1" applyFill="1"/>
    <xf numFmtId="40" fontId="10" fillId="0" borderId="0" xfId="0" applyNumberFormat="1" applyFont="1" applyFill="1"/>
    <xf numFmtId="0" fontId="11" fillId="0" borderId="0" xfId="0" applyFont="1" applyAlignment="1">
      <alignment horizontal="center"/>
    </xf>
    <xf numFmtId="40" fontId="11" fillId="0" borderId="1" xfId="0" applyNumberFormat="1" applyFont="1" applyFill="1" applyBorder="1" applyAlignment="1">
      <alignment horizontal="center"/>
    </xf>
    <xf numFmtId="40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165" fontId="10" fillId="0" borderId="0" xfId="2" applyNumberFormat="1" applyFont="1" applyFill="1"/>
    <xf numFmtId="38" fontId="10" fillId="0" borderId="0" xfId="0" applyNumberFormat="1" applyFont="1" applyFill="1" applyBorder="1"/>
    <xf numFmtId="40" fontId="10" fillId="0" borderId="0" xfId="0" applyNumberFormat="1" applyFont="1" applyFill="1" applyAlignment="1">
      <alignment horizontal="left" indent="2"/>
    </xf>
    <xf numFmtId="38" fontId="10" fillId="0" borderId="0" xfId="0" applyNumberFormat="1" applyFont="1" applyFill="1"/>
    <xf numFmtId="164" fontId="11" fillId="0" borderId="0" xfId="5" applyNumberFormat="1" applyFont="1" applyFill="1"/>
    <xf numFmtId="164" fontId="11" fillId="0" borderId="0" xfId="5" applyNumberFormat="1" applyFont="1" applyFill="1" applyBorder="1"/>
    <xf numFmtId="40" fontId="10" fillId="0" borderId="0" xfId="0" applyNumberFormat="1" applyFont="1" applyFill="1" applyAlignment="1">
      <alignment horizontal="left"/>
    </xf>
    <xf numFmtId="49" fontId="10" fillId="0" borderId="0" xfId="0" applyNumberFormat="1" applyFont="1" applyFill="1" applyAlignment="1">
      <alignment horizontal="left" indent="2"/>
    </xf>
    <xf numFmtId="164" fontId="10" fillId="0" borderId="0" xfId="5" applyNumberFormat="1" applyFont="1" applyFill="1"/>
    <xf numFmtId="164" fontId="10" fillId="0" borderId="0" xfId="5" applyNumberFormat="1" applyFont="1" applyFill="1" applyBorder="1"/>
    <xf numFmtId="0" fontId="10" fillId="0" borderId="0" xfId="0" applyFont="1" applyFill="1" applyBorder="1"/>
    <xf numFmtId="165" fontId="10" fillId="0" borderId="0" xfId="2" applyNumberFormat="1" applyFont="1" applyFill="1" applyAlignment="1">
      <alignment horizontal="right"/>
    </xf>
    <xf numFmtId="0" fontId="10" fillId="0" borderId="0" xfId="4" applyFont="1"/>
    <xf numFmtId="40" fontId="10" fillId="0" borderId="0" xfId="4" applyNumberFormat="1" applyFont="1"/>
    <xf numFmtId="0" fontId="11" fillId="0" borderId="0" xfId="4" applyFont="1"/>
    <xf numFmtId="40" fontId="11" fillId="0" borderId="0" xfId="4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0" fillId="0" borderId="0" xfId="3" applyFont="1"/>
    <xf numFmtId="40" fontId="10" fillId="0" borderId="0" xfId="3" applyNumberFormat="1" applyFont="1"/>
    <xf numFmtId="0" fontId="11" fillId="0" borderId="0" xfId="3" applyFont="1"/>
    <xf numFmtId="40" fontId="11" fillId="0" borderId="0" xfId="3" applyNumberFormat="1" applyFont="1" applyAlignment="1">
      <alignment horizontal="center"/>
    </xf>
    <xf numFmtId="0" fontId="11" fillId="0" borderId="0" xfId="3" applyFont="1" applyAlignment="1">
      <alignment horizontal="center"/>
    </xf>
    <xf numFmtId="0" fontId="11" fillId="0" borderId="0" xfId="3" applyFont="1" applyBorder="1" applyAlignment="1">
      <alignment horizontal="center"/>
    </xf>
    <xf numFmtId="40" fontId="12" fillId="0" borderId="0" xfId="3" applyNumberFormat="1" applyFont="1" applyBorder="1" applyAlignment="1">
      <alignment horizontal="center"/>
    </xf>
    <xf numFmtId="0" fontId="15" fillId="0" borderId="0" xfId="0" applyFont="1"/>
    <xf numFmtId="0" fontId="5" fillId="0" borderId="0" xfId="0" applyFont="1"/>
    <xf numFmtId="168" fontId="8" fillId="0" borderId="0" xfId="3" applyNumberFormat="1"/>
    <xf numFmtId="168" fontId="13" fillId="0" borderId="0" xfId="7" applyNumberFormat="1" applyFont="1" applyFill="1" applyBorder="1"/>
    <xf numFmtId="168" fontId="14" fillId="0" borderId="0" xfId="3" applyNumberFormat="1" applyFont="1" applyFill="1" applyBorder="1"/>
    <xf numFmtId="0" fontId="14" fillId="0" borderId="0" xfId="3" applyFont="1" applyFill="1" applyBorder="1"/>
    <xf numFmtId="0" fontId="17" fillId="0" borderId="0" xfId="3" applyFont="1"/>
    <xf numFmtId="0" fontId="19" fillId="0" borderId="0" xfId="11" applyFont="1"/>
    <xf numFmtId="0" fontId="20" fillId="0" borderId="0" xfId="11" applyFont="1"/>
    <xf numFmtId="0" fontId="18" fillId="0" borderId="0" xfId="11" applyFont="1"/>
    <xf numFmtId="40" fontId="18" fillId="0" borderId="0" xfId="11" applyNumberFormat="1" applyFont="1"/>
    <xf numFmtId="3" fontId="18" fillId="0" borderId="0" xfId="11" applyNumberFormat="1" applyFont="1"/>
    <xf numFmtId="40" fontId="5" fillId="0" borderId="0" xfId="0" applyNumberFormat="1" applyFont="1"/>
    <xf numFmtId="0" fontId="19" fillId="0" borderId="0" xfId="11" applyFont="1" applyBorder="1"/>
    <xf numFmtId="40" fontId="18" fillId="0" borderId="0" xfId="11" applyNumberFormat="1" applyFont="1" applyBorder="1"/>
    <xf numFmtId="0" fontId="15" fillId="0" borderId="0" xfId="0" applyFont="1" applyBorder="1"/>
    <xf numFmtId="0" fontId="18" fillId="0" borderId="0" xfId="11" applyFont="1" applyBorder="1"/>
    <xf numFmtId="0" fontId="11" fillId="0" borderId="0" xfId="0" applyFont="1" applyFill="1" applyBorder="1" applyAlignment="1">
      <alignment horizontal="centerContinuous"/>
    </xf>
    <xf numFmtId="0" fontId="23" fillId="0" borderId="0" xfId="0" applyFont="1"/>
    <xf numFmtId="0" fontId="24" fillId="0" borderId="0" xfId="11" applyFont="1"/>
    <xf numFmtId="40" fontId="25" fillId="0" borderId="0" xfId="11" applyNumberFormat="1" applyFont="1"/>
    <xf numFmtId="0" fontId="25" fillId="0" borderId="0" xfId="11" applyFont="1"/>
    <xf numFmtId="3" fontId="25" fillId="0" borderId="0" xfId="11" applyNumberFormat="1" applyFont="1"/>
    <xf numFmtId="40" fontId="11" fillId="0" borderId="0" xfId="0" applyNumberFormat="1" applyFont="1" applyFill="1" applyAlignment="1">
      <alignment horizontal="center"/>
    </xf>
    <xf numFmtId="0" fontId="26" fillId="0" borderId="0" xfId="11" applyFont="1"/>
    <xf numFmtId="0" fontId="5" fillId="0" borderId="0" xfId="0" applyFont="1" applyBorder="1"/>
    <xf numFmtId="0" fontId="26" fillId="0" borderId="0" xfId="11" applyFont="1" applyBorder="1"/>
    <xf numFmtId="0" fontId="5" fillId="0" borderId="0" xfId="0" applyFont="1" applyFill="1"/>
    <xf numFmtId="40" fontId="15" fillId="0" borderId="0" xfId="0" applyNumberFormat="1" applyFont="1" applyFill="1" applyAlignment="1">
      <alignment horizontal="center"/>
    </xf>
    <xf numFmtId="40" fontId="5" fillId="0" borderId="0" xfId="0" applyNumberFormat="1" applyFont="1" applyFill="1"/>
    <xf numFmtId="40" fontId="8" fillId="0" borderId="0" xfId="3" applyNumberFormat="1" applyAlignment="1">
      <alignment horizontal="center"/>
    </xf>
    <xf numFmtId="40" fontId="10" fillId="0" borderId="0" xfId="3" applyNumberFormat="1" applyFont="1" applyAlignment="1">
      <alignment horizontal="center"/>
    </xf>
    <xf numFmtId="40" fontId="9" fillId="0" borderId="0" xfId="3" applyNumberFormat="1" applyFont="1" applyAlignment="1">
      <alignment horizontal="center"/>
    </xf>
    <xf numFmtId="0" fontId="12" fillId="0" borderId="0" xfId="3" applyNumberFormat="1" applyFont="1" applyBorder="1" applyAlignment="1">
      <alignment horizontal="right"/>
    </xf>
    <xf numFmtId="0" fontId="30" fillId="0" borderId="0" xfId="4" applyFont="1"/>
    <xf numFmtId="168" fontId="30" fillId="0" borderId="0" xfId="4" applyNumberFormat="1" applyFont="1"/>
    <xf numFmtId="42" fontId="30" fillId="0" borderId="0" xfId="4" applyNumberFormat="1" applyFont="1"/>
    <xf numFmtId="38" fontId="31" fillId="0" borderId="0" xfId="0" applyNumberFormat="1" applyFont="1" applyFill="1" applyBorder="1"/>
    <xf numFmtId="40" fontId="31" fillId="0" borderId="0" xfId="0" applyNumberFormat="1" applyFont="1" applyFill="1"/>
    <xf numFmtId="0" fontId="31" fillId="0" borderId="0" xfId="0" applyFont="1" applyFill="1"/>
    <xf numFmtId="40" fontId="29" fillId="0" borderId="0" xfId="0" quotePrefix="1" applyNumberFormat="1" applyFont="1" applyFill="1"/>
    <xf numFmtId="0" fontId="11" fillId="0" borderId="0" xfId="3" applyFont="1" applyFill="1"/>
    <xf numFmtId="168" fontId="5" fillId="0" borderId="0" xfId="1" applyNumberFormat="1" applyFont="1" applyFill="1" applyBorder="1"/>
    <xf numFmtId="43" fontId="5" fillId="0" borderId="0" xfId="1" applyFont="1" applyFill="1"/>
    <xf numFmtId="42" fontId="10" fillId="0" borderId="0" xfId="4" applyNumberFormat="1" applyFont="1" applyFill="1"/>
    <xf numFmtId="0" fontId="12" fillId="0" borderId="0" xfId="3" applyNumberFormat="1" applyFont="1" applyFill="1" applyBorder="1" applyAlignment="1">
      <alignment horizontal="right"/>
    </xf>
    <xf numFmtId="168" fontId="22" fillId="0" borderId="0" xfId="7" applyNumberFormat="1" applyFont="1" applyFill="1" applyBorder="1" applyAlignment="1">
      <alignment horizontal="right"/>
    </xf>
    <xf numFmtId="38" fontId="8" fillId="0" borderId="0" xfId="3" applyNumberFormat="1" applyFont="1" applyFill="1" applyAlignment="1">
      <alignment horizontal="right"/>
    </xf>
    <xf numFmtId="0" fontId="12" fillId="0" borderId="0" xfId="3" applyNumberFormat="1" applyFont="1" applyFill="1" applyBorder="1" applyAlignment="1">
      <alignment horizontal="center"/>
    </xf>
    <xf numFmtId="168" fontId="22" fillId="0" borderId="0" xfId="1" applyNumberFormat="1" applyFont="1" applyFill="1" applyBorder="1"/>
    <xf numFmtId="168" fontId="22" fillId="0" borderId="0" xfId="1" applyNumberFormat="1" applyFont="1" applyFill="1" applyBorder="1" applyAlignment="1">
      <alignment horizontal="right"/>
    </xf>
    <xf numFmtId="42" fontId="22" fillId="0" borderId="0" xfId="3" applyNumberFormat="1" applyFont="1" applyFill="1" applyBorder="1" applyAlignment="1">
      <alignment horizontal="right"/>
    </xf>
    <xf numFmtId="169" fontId="13" fillId="0" borderId="0" xfId="7" applyNumberFormat="1" applyFont="1" applyFill="1" applyBorder="1"/>
    <xf numFmtId="169" fontId="14" fillId="0" borderId="0" xfId="3" applyNumberFormat="1" applyFont="1" applyFill="1" applyBorder="1"/>
    <xf numFmtId="42" fontId="16" fillId="0" borderId="0" xfId="3" applyNumberFormat="1" applyFont="1" applyFill="1" applyBorder="1" applyAlignment="1">
      <alignment horizontal="right"/>
    </xf>
    <xf numFmtId="0" fontId="16" fillId="0" borderId="0" xfId="3" applyFont="1" applyFill="1" applyBorder="1" applyAlignment="1">
      <alignment horizontal="right"/>
    </xf>
    <xf numFmtId="168" fontId="27" fillId="0" borderId="0" xfId="1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166" fontId="7" fillId="0" borderId="0" xfId="0" applyNumberFormat="1" applyFont="1" applyFill="1"/>
    <xf numFmtId="167" fontId="10" fillId="0" borderId="0" xfId="2" applyNumberFormat="1" applyFont="1" applyFill="1"/>
    <xf numFmtId="167" fontId="10" fillId="0" borderId="0" xfId="0" applyNumberFormat="1" applyFont="1" applyFill="1" applyBorder="1"/>
    <xf numFmtId="167" fontId="32" fillId="0" borderId="0" xfId="0" applyNumberFormat="1" applyFont="1" applyFill="1" applyBorder="1"/>
    <xf numFmtId="167" fontId="10" fillId="0" borderId="0" xfId="0" applyNumberFormat="1" applyFont="1" applyFill="1"/>
    <xf numFmtId="164" fontId="11" fillId="0" borderId="0" xfId="5" applyNumberFormat="1" applyFont="1" applyFill="1" applyAlignment="1">
      <alignment horizontal="center"/>
    </xf>
    <xf numFmtId="166" fontId="11" fillId="0" borderId="0" xfId="5" applyNumberFormat="1" applyFont="1" applyFill="1" applyAlignment="1">
      <alignment horizontal="center"/>
    </xf>
    <xf numFmtId="167" fontId="10" fillId="0" borderId="0" xfId="0" applyNumberFormat="1" applyFont="1" applyFill="1" applyAlignment="1">
      <alignment horizontal="right"/>
    </xf>
    <xf numFmtId="167" fontId="32" fillId="0" borderId="0" xfId="0" applyNumberFormat="1" applyFont="1" applyFill="1" applyBorder="1" applyAlignment="1">
      <alignment horizontal="right"/>
    </xf>
    <xf numFmtId="167" fontId="12" fillId="0" borderId="1" xfId="0" applyNumberFormat="1" applyFont="1" applyFill="1" applyBorder="1" applyAlignment="1">
      <alignment horizontal="center"/>
    </xf>
    <xf numFmtId="42" fontId="10" fillId="0" borderId="0" xfId="2" applyNumberFormat="1" applyFont="1" applyFill="1"/>
    <xf numFmtId="42" fontId="10" fillId="0" borderId="0" xfId="0" applyNumberFormat="1" applyFont="1" applyFill="1" applyBorder="1"/>
    <xf numFmtId="42" fontId="32" fillId="0" borderId="0" xfId="0" applyNumberFormat="1" applyFont="1" applyFill="1" applyBorder="1"/>
    <xf numFmtId="42" fontId="32" fillId="0" borderId="1" xfId="0" applyNumberFormat="1" applyFont="1" applyFill="1" applyBorder="1"/>
    <xf numFmtId="42" fontId="10" fillId="0" borderId="0" xfId="0" applyNumberFormat="1" applyFont="1" applyFill="1"/>
    <xf numFmtId="42" fontId="10" fillId="0" borderId="0" xfId="1" applyNumberFormat="1" applyFont="1" applyFill="1"/>
    <xf numFmtId="42" fontId="32" fillId="0" borderId="0" xfId="1" applyNumberFormat="1" applyFont="1" applyFill="1" applyBorder="1"/>
    <xf numFmtId="0" fontId="10" fillId="0" borderId="0" xfId="0" applyFont="1" applyFill="1" applyAlignment="1">
      <alignment horizontal="left"/>
    </xf>
    <xf numFmtId="42" fontId="10" fillId="0" borderId="0" xfId="2" applyNumberFormat="1" applyFont="1" applyFill="1" applyAlignment="1">
      <alignment horizontal="right"/>
    </xf>
    <xf numFmtId="42" fontId="10" fillId="0" borderId="0" xfId="2" applyNumberFormat="1" applyFont="1" applyFill="1" applyBorder="1"/>
    <xf numFmtId="42" fontId="32" fillId="0" borderId="0" xfId="0" applyNumberFormat="1" applyFont="1" applyFill="1" applyBorder="1" applyAlignment="1">
      <alignment horizontal="right"/>
    </xf>
    <xf numFmtId="42" fontId="10" fillId="0" borderId="1" xfId="0" applyNumberFormat="1" applyFont="1" applyFill="1" applyBorder="1"/>
    <xf numFmtId="0" fontId="8" fillId="0" borderId="0" xfId="4" applyFill="1"/>
    <xf numFmtId="40" fontId="8" fillId="0" borderId="0" xfId="4" applyNumberFormat="1" applyFill="1"/>
    <xf numFmtId="40" fontId="10" fillId="0" borderId="0" xfId="4" applyNumberFormat="1" applyFont="1" applyFill="1"/>
    <xf numFmtId="0" fontId="10" fillId="0" borderId="0" xfId="4" applyFont="1" applyFill="1"/>
    <xf numFmtId="40" fontId="11" fillId="0" borderId="0" xfId="4" applyNumberFormat="1" applyFont="1" applyFill="1" applyAlignment="1">
      <alignment horizontal="center"/>
    </xf>
    <xf numFmtId="0" fontId="11" fillId="0" borderId="0" xfId="4" applyFont="1" applyFill="1" applyAlignment="1">
      <alignment horizontal="center"/>
    </xf>
    <xf numFmtId="0" fontId="12" fillId="0" borderId="0" xfId="4" applyNumberFormat="1" applyFont="1" applyFill="1" applyAlignment="1">
      <alignment horizontal="center"/>
    </xf>
    <xf numFmtId="0" fontId="11" fillId="0" borderId="0" xfId="4" applyFont="1" applyFill="1"/>
    <xf numFmtId="168" fontId="22" fillId="0" borderId="0" xfId="10" applyNumberFormat="1" applyFont="1" applyFill="1"/>
    <xf numFmtId="168" fontId="28" fillId="0" borderId="0" xfId="7" applyNumberFormat="1" applyFont="1" applyFill="1"/>
    <xf numFmtId="168" fontId="5" fillId="0" borderId="0" xfId="7" applyNumberFormat="1" applyFont="1" applyFill="1"/>
    <xf numFmtId="168" fontId="34" fillId="0" borderId="0" xfId="1" applyNumberFormat="1" applyFont="1" applyFill="1"/>
    <xf numFmtId="40" fontId="10" fillId="0" borderId="0" xfId="3" applyNumberFormat="1" applyFont="1" applyFill="1" applyAlignment="1">
      <alignment horizontal="center"/>
    </xf>
    <xf numFmtId="40" fontId="11" fillId="0" borderId="0" xfId="3" applyNumberFormat="1" applyFont="1" applyFill="1" applyAlignment="1">
      <alignment horizontal="center"/>
    </xf>
    <xf numFmtId="168" fontId="22" fillId="0" borderId="0" xfId="1" applyNumberFormat="1" applyFont="1" applyFill="1" applyAlignment="1">
      <alignment horizontal="center"/>
    </xf>
    <xf numFmtId="168" fontId="22" fillId="0" borderId="0" xfId="1" applyNumberFormat="1" applyFont="1" applyFill="1"/>
    <xf numFmtId="168" fontId="22" fillId="0" borderId="0" xfId="1" applyNumberFormat="1" applyFont="1" applyFill="1" applyAlignment="1">
      <alignment horizontal="right"/>
    </xf>
    <xf numFmtId="168" fontId="1" fillId="0" borderId="0" xfId="1" applyNumberFormat="1" applyFont="1" applyFill="1"/>
    <xf numFmtId="0" fontId="15" fillId="0" borderId="0" xfId="0" applyFont="1" applyFill="1"/>
    <xf numFmtId="38" fontId="5" fillId="0" borderId="0" xfId="13" applyNumberFormat="1" applyFont="1" applyFill="1" applyBorder="1"/>
    <xf numFmtId="168" fontId="0" fillId="0" borderId="0" xfId="1" applyNumberFormat="1" applyFont="1" applyFill="1"/>
    <xf numFmtId="38" fontId="0" fillId="0" borderId="0" xfId="0" applyNumberFormat="1" applyFill="1"/>
    <xf numFmtId="38" fontId="5" fillId="0" borderId="0" xfId="0" applyNumberFormat="1" applyFont="1" applyFill="1"/>
    <xf numFmtId="40" fontId="0" fillId="0" borderId="0" xfId="0" applyNumberFormat="1" applyFill="1"/>
    <xf numFmtId="0" fontId="23" fillId="0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3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Fill="1" applyAlignment="1">
      <alignment horizontal="center"/>
    </xf>
  </cellXfs>
  <cellStyles count="14">
    <cellStyle name="Comma" xfId="1" builtinId="3"/>
    <cellStyle name="Comma 2" xfId="7" xr:uid="{00000000-0005-0000-0000-000001000000}"/>
    <cellStyle name="Comma 3" xfId="10" xr:uid="{00000000-0005-0000-0000-000002000000}"/>
    <cellStyle name="Comma 4" xfId="12" xr:uid="{00000000-0005-0000-0000-000003000000}"/>
    <cellStyle name="Currency" xfId="2" builtinId="4"/>
    <cellStyle name="Normal" xfId="0" builtinId="0"/>
    <cellStyle name="Normal 2" xfId="6" xr:uid="{00000000-0005-0000-0000-000006000000}"/>
    <cellStyle name="Normal 3" xfId="8" xr:uid="{00000000-0005-0000-0000-000007000000}"/>
    <cellStyle name="Normal 4" xfId="9" xr:uid="{00000000-0005-0000-0000-000008000000}"/>
    <cellStyle name="Normal 5" xfId="11" xr:uid="{00000000-0005-0000-0000-000009000000}"/>
    <cellStyle name="Normal 6" xfId="13" xr:uid="{00000000-0005-0000-0000-00000A000000}"/>
    <cellStyle name="Normal_Conductor Priced 12-31-06" xfId="3" xr:uid="{00000000-0005-0000-0000-00000B000000}"/>
    <cellStyle name="Normal_Poles Priced 12-31-06" xfId="4" xr:uid="{00000000-0005-0000-0000-00000C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L60"/>
  <x:sheetViews>
    <x:sheetView view="pageBreakPreview" zoomScaleNormal="100" zoomScaleSheetLayoutView="100" workbookViewId="0">
      <x:selection activeCell="C6" sqref="C6"/>
    </x:sheetView>
  </x:sheetViews>
  <x:sheetFormatPr defaultColWidth="9.140625" defaultRowHeight="15" x14ac:dyDescent="0.2"/>
  <x:cols>
    <x:col min="1" max="1" width="5.140625" style="1" bestFit="1" customWidth="1"/>
    <x:col min="2" max="2" width="27" style="2" bestFit="1" customWidth="1"/>
    <x:col min="3" max="3" width="17.42578125" style="2" bestFit="1" customWidth="1"/>
    <x:col min="4" max="4" width="17.42578125" style="2" customWidth="1"/>
    <x:col min="5" max="5" width="17.42578125" style="2" bestFit="1" customWidth="1"/>
    <x:col min="6" max="6" width="15.5703125" style="1" bestFit="1" customWidth="1"/>
    <x:col min="7" max="7" width="2.7109375" style="1" customWidth="1"/>
    <x:col min="8" max="8" width="53.85546875" style="1" bestFit="1" customWidth="1"/>
    <x:col min="9" max="9" width="9.140625" style="1"/>
    <x:col min="10" max="10" width="28.28515625" style="2" customWidth="1"/>
    <x:col min="11" max="11" width="23.85546875" style="97" customWidth="1"/>
    <x:col min="12" max="12" width="11.5703125" style="97" bestFit="1" customWidth="1"/>
    <x:col min="13" max="16384" width="9.140625" style="1"/>
  </x:cols>
  <x:sheetData>
    <x:row r="1" spans="1:8" ht="15.75" customHeight="1" x14ac:dyDescent="0.25">
      <x:c r="A1" s="96"/>
      <x:c r="B1" s="145" t="s">
        <x:v>89</x:v>
      </x:c>
      <x:c r="C1" s="145"/>
      <x:c r="D1" s="145"/>
      <x:c r="E1" s="145"/>
      <x:c r="F1" s="145"/>
      <x:c r="G1" s="145"/>
      <x:c r="H1" s="145"/>
    </x:row>
    <x:row r="2" spans="1:8" ht="15.75" customHeight="1" x14ac:dyDescent="0.25">
      <x:c r="A2" s="56"/>
      <x:c r="B2" s="144" t="s">
        <x:v>59</x:v>
      </x:c>
      <x:c r="C2" s="144"/>
      <x:c r="D2" s="144"/>
      <x:c r="E2" s="144"/>
      <x:c r="F2" s="144"/>
      <x:c r="G2" s="144"/>
      <x:c r="H2" s="144"/>
    </x:row>
    <x:row r="3" spans="1:8" ht="15" customHeight="1" x14ac:dyDescent="0.25">
      <x:c r="A3" s="9"/>
      <x:c r="B3" s="144" t="s">
        <x:v>88</x:v>
      </x:c>
      <x:c r="C3" s="144"/>
      <x:c r="D3" s="144"/>
      <x:c r="E3" s="144"/>
      <x:c r="F3" s="144"/>
      <x:c r="G3" s="144"/>
      <x:c r="H3" s="144"/>
    </x:row>
    <x:row r="4" spans="1:8" ht="15" customHeight="1" x14ac:dyDescent="0.25">
      <x:c r="A4" s="9"/>
      <x:c r="B4" s="145" t="s">
        <x:v>90</x:v>
      </x:c>
      <x:c r="C4" s="145"/>
      <x:c r="D4" s="145"/>
      <x:c r="E4" s="145"/>
      <x:c r="F4" s="145"/>
      <x:c r="G4" s="145"/>
      <x:c r="H4" s="145"/>
    </x:row>
    <x:row r="5" spans="1:8" ht="15" customHeight="1" x14ac:dyDescent="0.25">
      <x:c r="A5" s="9"/>
      <x:c r="B5" s="146" t="s">
        <x:v>91</x:v>
      </x:c>
      <x:c r="C5" s="146"/>
      <x:c r="D5" s="146"/>
      <x:c r="E5" s="146"/>
      <x:c r="F5" s="146"/>
      <x:c r="G5" s="146"/>
      <x:c r="H5" s="146"/>
    </x:row>
    <x:row r="6" spans="1:8" ht="15.75" x14ac:dyDescent="0.25">
      <x:c r="A6" s="9"/>
      <x:c r="B6" s="10"/>
      <x:c r="C6" s="10"/>
      <x:c r="D6" s="10"/>
      <x:c r="E6" s="11"/>
      <x:c r="F6" s="9"/>
      <x:c r="H6" s="9"/>
    </x:row>
    <x:row r="7" spans="1:8" ht="15.75" x14ac:dyDescent="0.25">
      <x:c r="A7" s="9"/>
      <x:c r="B7" s="10"/>
      <x:c r="C7" s="79"/>
      <x:c r="D7" s="10"/>
      <x:c r="E7" s="11"/>
      <x:c r="F7" s="9"/>
      <x:c r="H7" s="9"/>
    </x:row>
    <x:row r="8" spans="1:8" ht="15" customHeight="1" x14ac:dyDescent="0.25">
      <x:c r="A8" s="9"/>
      <x:c r="B8" s="144" t="s">
        <x:v>64</x:v>
      </x:c>
      <x:c r="C8" s="144"/>
      <x:c r="D8" s="144"/>
      <x:c r="E8" s="144"/>
      <x:c r="F8" s="144"/>
      <x:c r="G8" s="144"/>
      <x:c r="H8" s="144"/>
    </x:row>
    <x:row r="9" spans="1:8" x14ac:dyDescent="0.2">
      <x:c r="A9" s="9"/>
      <x:c r="B9" s="10"/>
      <x:c r="C9" s="10"/>
      <x:c r="D9" s="10"/>
      <x:c r="E9" s="10"/>
      <x:c r="F9" s="9"/>
      <x:c r="G9" s="9"/>
      <x:c r="H9" s="9"/>
    </x:row>
    <x:row r="10" spans="1:8" x14ac:dyDescent="0.2">
      <x:c r="A10" s="9"/>
      <x:c r="B10" s="10"/>
      <x:c r="C10" s="10"/>
      <x:c r="D10" s="10"/>
      <x:c r="E10" s="10"/>
      <x:c r="F10" s="9"/>
      <x:c r="G10" s="9"/>
      <x:c r="H10" s="9"/>
    </x:row>
    <x:row r="11" spans="1:8" ht="15.75" x14ac:dyDescent="0.25">
      <x:c r="A11" s="12" t="s">
        <x:v>0</x:v>
      </x:c>
      <x:c r="B11" s="12" t="s">
        <x:v>1</x:v>
      </x:c>
      <x:c r="C11" s="12" t="s">
        <x:v>2</x:v>
      </x:c>
      <x:c r="D11" s="12" t="s">
        <x:v>3</x:v>
      </x:c>
      <x:c r="E11" s="12" t="s">
        <x:v>4</x:v>
      </x:c>
      <x:c r="F11" s="9"/>
      <x:c r="G11" s="12"/>
      <x:c r="H11" s="12" t="s">
        <x:v>6</x:v>
      </x:c>
    </x:row>
    <x:row r="12" spans="1:8" x14ac:dyDescent="0.2">
      <x:c r="A12" s="9"/>
      <x:c r="B12" s="13" t="s">
        <x:v>7</x:v>
      </x:c>
      <x:c r="C12" s="13" t="s">
        <x:v>8</x:v>
      </x:c>
      <x:c r="D12" s="13" t="s">
        <x:v>9</x:v>
      </x:c>
      <x:c r="E12" s="13" t="s">
        <x:v>10</x:v>
      </x:c>
      <x:c r="F12" s="9"/>
      <x:c r="G12" s="13"/>
      <x:c r="H12" s="13"/>
    </x:row>
    <x:row r="13" spans="1:8" x14ac:dyDescent="0.2">
      <x:c r="A13" s="14">
        <x:v>1</x:v>
      </x:c>
      <x:c r="B13" s="10" t="s">
        <x:v>12</x:v>
      </x:c>
      <x:c r="C13" s="98">
        <x:f>Poles!C13</x:f>
        <x:v>1704470115.1097882</x:v>
      </x:c>
      <x:c r="D13" s="98">
        <x:f>C13</x:f>
        <x:v>1704470115.1097882</x:v>
      </x:c>
      <x:c r="E13" s="98"/>
      <x:c r="F13" s="9"/>
      <x:c r="G13" s="15"/>
      <x:c r="H13" s="9"/>
    </x:row>
    <x:row r="14" spans="1:8" x14ac:dyDescent="0.2">
      <x:c r="A14" s="14">
        <x:f>A13+1</x:f>
        <x:v>2</x:v>
      </x:c>
      <x:c r="B14" s="10" t="s">
        <x:v>13</x:v>
      </x:c>
      <x:c r="C14" s="98">
        <x:f>D14+E14</x:f>
        <x:v>315650779.90998143</x:v>
      </x:c>
      <x:c r="D14" s="99"/>
      <x:c r="E14" s="99">
        <x:f>Poles!$C$14</x:f>
        <x:v>315650779.90998143</x:v>
      </x:c>
      <x:c r="F14" s="9"/>
      <x:c r="G14" s="16"/>
      <x:c r="H14" s="9"/>
    </x:row>
    <x:row r="15" spans="1:8" x14ac:dyDescent="0.2">
      <x:c r="A15" s="14">
        <x:f t="shared" ref="A15:A59" si="0">A14+1</x:f>
        <x:v>3</x:v>
      </x:c>
      <x:c r="B15" s="10" t="s">
        <x:v>14</x:v>
      </x:c>
      <x:c r="C15" s="98">
        <x:f>Poles!$C$15</x:f>
        <x:v>636076935.20992267</x:v>
      </x:c>
      <x:c r="D15" s="100">
        <x:f>C15*C13/(C13+C14)</x:f>
        <x:v>536687744.60418028</x:v>
      </x:c>
      <x:c r="E15" s="100">
        <x:f>C15-D15</x:f>
        <x:v>99389190.605742395</x:v>
      </x:c>
      <x:c r="F15" s="14" t="s">
        <x:v>60</x:v>
      </x:c>
      <x:c r="G15" s="16"/>
      <x:c r="H15" s="9" t="s">
        <x:v>50</x:v>
      </x:c>
    </x:row>
    <x:row r="16" spans="1:8" x14ac:dyDescent="0.2">
      <x:c r="A16" s="14">
        <x:f t="shared" si="0"/>
        <x:v>4</x:v>
      </x:c>
      <x:c r="B16" s="17" t="s">
        <x:v>2</x:v>
      </x:c>
      <x:c r="C16" s="101">
        <x:f>SUM(C13:C15)</x:f>
        <x:v>2656197830.2296925</x:v>
      </x:c>
      <x:c r="D16" s="101">
        <x:f>SUM(D13:D15)</x:f>
        <x:v>2241157859.7139683</x:v>
      </x:c>
      <x:c r="E16" s="101">
        <x:f>SUM(E13:E15)</x:f>
        <x:v>415039970.51572382</x:v>
      </x:c>
      <x:c r="F16" s="9"/>
      <x:c r="G16" s="18"/>
      <x:c r="H16" s="9"/>
    </x:row>
    <x:row r="17" spans="1:8" ht="15.75" x14ac:dyDescent="0.25">
      <x:c r="A17" s="14">
        <x:f t="shared" si="0"/>
        <x:v>5</x:v>
      </x:c>
      <x:c r="B17" s="17" t="s">
        <x:v>15</x:v>
      </x:c>
      <x:c r="C17" s="102">
        <x:f>SUM(D17:F17)</x:f>
        <x:v>0.99999999999999978</x:v>
      </x:c>
      <x:c r="D17" s="103">
        <x:f>D16/$C$16</x:f>
        <x:v>0.84374658928178026</x:v>
      </x:c>
      <x:c r="E17" s="103">
        <x:f>E16/$C$16</x:f>
        <x:v>0.15625341071821958</x:v>
      </x:c>
      <x:c r="F17" s="9"/>
      <x:c r="G17" s="19"/>
      <x:c r="H17" s="9"/>
    </x:row>
    <x:row r="18" spans="1:8" ht="15.75" x14ac:dyDescent="0.25">
      <x:c r="A18" s="14">
        <x:f t="shared" si="0"/>
        <x:v>6</x:v>
      </x:c>
      <x:c r="B18" s="10"/>
      <x:c r="C18" s="18"/>
      <x:c r="D18" s="19"/>
      <x:c r="E18" s="19"/>
      <x:c r="F18" s="9"/>
      <x:c r="G18" s="20"/>
      <x:c r="H18" s="9"/>
    </x:row>
    <x:row r="19" spans="1:8" ht="15.75" x14ac:dyDescent="0.25">
      <x:c r="A19" s="14">
        <x:f t="shared" si="0"/>
        <x:v>7</x:v>
      </x:c>
      <x:c r="B19" s="12" t="s">
        <x:v>17</x:v>
      </x:c>
      <x:c r="C19" s="12" t="s">
        <x:v>2</x:v>
      </x:c>
      <x:c r="D19" s="12" t="s">
        <x:v>3</x:v>
      </x:c>
      <x:c r="E19" s="12" t="s">
        <x:v>4</x:v>
      </x:c>
      <x:c r="F19" s="9"/>
      <x:c r="G19" s="12"/>
      <x:c r="H19" s="12" t="s">
        <x:v>6</x:v>
      </x:c>
    </x:row>
    <x:row r="20" spans="1:8" x14ac:dyDescent="0.2">
      <x:c r="A20" s="14">
        <x:f t="shared" si="0"/>
        <x:v>8</x:v>
      </x:c>
      <x:c r="B20" s="13" t="s">
        <x:v>7</x:v>
      </x:c>
      <x:c r="C20" s="13" t="s">
        <x:v>8</x:v>
      </x:c>
      <x:c r="D20" s="13" t="s">
        <x:v>9</x:v>
      </x:c>
      <x:c r="E20" s="13" t="s">
        <x:v>10</x:v>
      </x:c>
      <x:c r="F20" s="9"/>
      <x:c r="G20" s="13"/>
      <x:c r="H20" s="13"/>
    </x:row>
    <x:row r="21" spans="1:8" x14ac:dyDescent="0.2">
      <x:c r="A21" s="14">
        <x:f t="shared" si="0"/>
        <x:v>9</x:v>
      </x:c>
      <x:c r="B21" s="10" t="s">
        <x:v>12</x:v>
      </x:c>
      <x:c r="C21" s="98">
        <x:f>Conductors!C13</x:f>
        <x:v>1179997573.2799814</x:v>
      </x:c>
      <x:c r="D21" s="98">
        <x:f>C21</x:f>
        <x:v>1179997573.2799814</x:v>
      </x:c>
      <x:c r="E21" s="98"/>
      <x:c r="F21" s="9"/>
      <x:c r="G21" s="16"/>
      <x:c r="H21" s="9"/>
    </x:row>
    <x:row r="22" spans="1:8" x14ac:dyDescent="0.2">
      <x:c r="A22" s="14">
        <x:f t="shared" si="0"/>
        <x:v>10</x:v>
      </x:c>
      <x:c r="B22" s="10" t="s">
        <x:v>13</x:v>
      </x:c>
      <x:c r="C22" s="101">
        <x:f>Conductors!C16</x:f>
        <x:v>94309247.600000307</x:v>
      </x:c>
      <x:c r="D22" s="101"/>
      <x:c r="E22" s="104">
        <x:f>C22</x:f>
        <x:v>94309247.600000307</x:v>
      </x:c>
      <x:c r="F22" s="9"/>
      <x:c r="G22" s="16"/>
      <x:c r="H22" s="9"/>
    </x:row>
    <x:row r="23" spans="1:8" x14ac:dyDescent="0.2">
      <x:c r="A23" s="14">
        <x:f t="shared" si="0"/>
        <x:v>11</x:v>
      </x:c>
      <x:c r="B23" s="10" t="s">
        <x:v>18</x:v>
      </x:c>
      <x:c r="C23" s="101">
        <x:f>Conductors!C15</x:f>
        <x:v>400747780.88999689</x:v>
      </x:c>
      <x:c r="D23" s="101">
        <x:f>$C$23/2</x:f>
        <x:v>200373890.44499844</x:v>
      </x:c>
      <x:c r="E23" s="101">
        <x:f>$C$23/2</x:f>
        <x:v>200373890.44499844</x:v>
      </x:c>
      <x:c r="F23" s="14" t="s">
        <x:v>60</x:v>
      </x:c>
      <x:c r="G23" s="16"/>
      <x:c r="H23" s="9" t="s">
        <x:v>61</x:v>
      </x:c>
    </x:row>
    <x:row r="24" spans="1:8" ht="15.75" x14ac:dyDescent="0.25">
      <x:c r="A24" s="14">
        <x:f t="shared" si="0"/>
        <x:v>12</x:v>
      </x:c>
      <x:c r="B24" s="21" t="s">
        <x:v>19</x:v>
      </x:c>
      <x:c r="C24" s="105">
        <x:f>'Other 365-368'!$D$13</x:f>
        <x:v>649488386.43999994</x:v>
      </x:c>
      <x:c r="D24" s="105">
        <x:f>C24</x:f>
        <x:v>649488386.43999994</x:v>
      </x:c>
      <x:c r="E24" s="106"/>
      <x:c r="F24" s="14" t="s">
        <x:v>60</x:v>
      </x:c>
      <x:c r="G24" s="16"/>
      <x:c r="H24" s="9" t="s">
        <x:v>84</x:v>
      </x:c>
    </x:row>
    <x:row r="25" spans="1:8" x14ac:dyDescent="0.2">
      <x:c r="A25" s="14">
        <x:f t="shared" si="0"/>
        <x:v>13</x:v>
      </x:c>
      <x:c r="B25" s="22" t="s">
        <x:v>20</x:v>
      </x:c>
      <x:c r="C25" s="98">
        <x:f>SUM(C21:C24)</x:f>
        <x:v>2324542988.2099786</x:v>
      </x:c>
      <x:c r="D25" s="98">
        <x:f>SUM(D21:D24)</x:f>
        <x:v>2029859850.1649799</x:v>
      </x:c>
      <x:c r="E25" s="98">
        <x:f>SUM(E21:E24)</x:f>
        <x:v>294683138.04499876</x:v>
      </x:c>
      <x:c r="F25" s="9"/>
      <x:c r="G25" s="16"/>
      <x:c r="H25" s="9"/>
    </x:row>
    <x:row r="26" spans="1:8" ht="15.75" x14ac:dyDescent="0.25">
      <x:c r="A26" s="14">
        <x:f t="shared" si="0"/>
        <x:v>14</x:v>
      </x:c>
      <x:c r="B26" s="22" t="s">
        <x:v>15</x:v>
      </x:c>
      <x:c r="C26" s="102">
        <x:f>SUM(D26:E26)</x:f>
        <x:v>1</x:v>
      </x:c>
      <x:c r="D26" s="103">
        <x:f>D25/$C$25</x:f>
        <x:v>0.87322964576709317</x:v>
      </x:c>
      <x:c r="E26" s="103">
        <x:f>E25/$C$25</x:f>
        <x:v>0.12677035423290683</x:v>
      </x:c>
      <x:c r="F26" s="9"/>
      <x:c r="G26" s="23"/>
      <x:c r="H26" s="9"/>
    </x:row>
    <x:row r="27" spans="1:8" x14ac:dyDescent="0.2">
      <x:c r="A27" s="14">
        <x:f t="shared" si="0"/>
        <x:v>15</x:v>
      </x:c>
      <x:c r="B27" s="10"/>
      <x:c r="C27" s="10"/>
      <x:c r="D27" s="23"/>
      <x:c r="E27" s="23"/>
      <x:c r="F27" s="9"/>
      <x:c r="G27" s="24"/>
      <x:c r="H27" s="9"/>
    </x:row>
    <x:row r="28" spans="1:8" ht="15.75" x14ac:dyDescent="0.25">
      <x:c r="A28" s="14">
        <x:f t="shared" si="0"/>
        <x:v>16</x:v>
      </x:c>
      <x:c r="B28" s="12" t="s">
        <x:v>21</x:v>
      </x:c>
      <x:c r="C28" s="12" t="s">
        <x:v>2</x:v>
      </x:c>
      <x:c r="D28" s="12" t="s">
        <x:v>3</x:v>
      </x:c>
      <x:c r="E28" s="12" t="s">
        <x:v>4</x:v>
      </x:c>
      <x:c r="F28" s="9"/>
      <x:c r="G28" s="12"/>
      <x:c r="H28" s="12" t="s">
        <x:v>6</x:v>
      </x:c>
    </x:row>
    <x:row r="29" spans="1:8" x14ac:dyDescent="0.2">
      <x:c r="A29" s="14">
        <x:f t="shared" si="0"/>
        <x:v>17</x:v>
      </x:c>
      <x:c r="B29" s="13" t="s">
        <x:v>7</x:v>
      </x:c>
      <x:c r="C29" s="13" t="s">
        <x:v>8</x:v>
      </x:c>
      <x:c r="D29" s="13" t="s">
        <x:v>9</x:v>
      </x:c>
      <x:c r="E29" s="13" t="s">
        <x:v>10</x:v>
      </x:c>
      <x:c r="F29" s="9"/>
      <x:c r="G29" s="13"/>
      <x:c r="H29" s="13"/>
    </x:row>
    <x:row r="30" spans="1:8" x14ac:dyDescent="0.2">
      <x:c r="A30" s="14">
        <x:f t="shared" si="0"/>
        <x:v>18</x:v>
      </x:c>
      <x:c r="B30" s="10" t="s">
        <x:v>46</x:v>
      </x:c>
      <x:c r="C30" s="107">
        <x:f>Conductors!$D$14</x:f>
        <x:v>1642127196.0900185</x:v>
      </x:c>
      <x:c r="D30" s="107">
        <x:f>C30</x:f>
        <x:v>1642127196.0900185</x:v>
      </x:c>
      <x:c r="E30" s="107"/>
      <x:c r="F30" s="9"/>
      <x:c r="G30" s="16"/>
      <x:c r="H30" s="9"/>
    </x:row>
    <x:row r="31" spans="1:8" x14ac:dyDescent="0.2">
      <x:c r="A31" s="14">
        <x:f t="shared" si="0"/>
        <x:v>19</x:v>
      </x:c>
      <x:c r="B31" s="10" t="s">
        <x:v>47</x:v>
      </x:c>
      <x:c r="C31" s="108">
        <x:f>Conductors!$D$17</x:f>
        <x:v>409419272.60613638</x:v>
      </x:c>
      <x:c r="D31" s="108"/>
      <x:c r="E31" s="108">
        <x:f>C31</x:f>
        <x:v>409419272.60613638</x:v>
      </x:c>
      <x:c r="F31" s="9"/>
      <x:c r="G31" s="16"/>
      <x:c r="H31" s="9"/>
    </x:row>
    <x:row r="32" spans="1:8" x14ac:dyDescent="0.2">
      <x:c r="A32" s="14"/>
      <x:c r="B32" s="10" t="s">
        <x:v>53</x:v>
      </x:c>
      <x:c r="C32" s="108">
        <x:f>Conductors!$D$15</x:f>
        <x:v>15527417</x:v>
      </x:c>
      <x:c r="D32" s="109">
        <x:f>C32/2</x:f>
        <x:v>7763708.5</x:v>
      </x:c>
      <x:c r="E32" s="109">
        <x:f>D32</x:f>
        <x:v>7763708.5</x:v>
      </x:c>
      <x:c r="F32" s="14" t="s">
        <x:v>60</x:v>
      </x:c>
      <x:c r="G32" s="16"/>
      <x:c r="H32" s="9" t="s">
        <x:v>61</x:v>
      </x:c>
    </x:row>
    <x:row r="33" spans="1:8" x14ac:dyDescent="0.2">
      <x:c r="A33" s="14">
        <x:f>A31+1</x:f>
        <x:v>20</x:v>
      </x:c>
      <x:c r="B33" s="17" t="s">
        <x:v>44</x:v>
      </x:c>
      <x:c r="C33" s="108">
        <x:f>SUM(C30:C32)</x:f>
        <x:v>2067073885.6961548</x:v>
      </x:c>
      <x:c r="D33" s="108">
        <x:f>SUM(D30:D32)</x:f>
        <x:v>1649890904.5900185</x:v>
      </x:c>
      <x:c r="E33" s="108">
        <x:f>SUM(E30:E32)</x:f>
        <x:v>417182981.10613638</x:v>
      </x:c>
      <x:c r="F33" s="9"/>
      <x:c r="G33" s="16"/>
      <x:c r="H33" s="9"/>
    </x:row>
    <x:row r="34" spans="1:8" x14ac:dyDescent="0.2">
      <x:c r="A34" s="14">
        <x:f t="shared" si="0"/>
        <x:v>21</x:v>
      </x:c>
      <x:c r="B34" s="21" t="s">
        <x:v>19</x:v>
      </x:c>
      <x:c r="C34" s="108">
        <x:f>'Other 365-368'!$D$28</x:f>
        <x:v>536038238.17000002</x:v>
      </x:c>
      <x:c r="D34" s="108">
        <x:f>C34</x:f>
        <x:v>536038238.17000002</x:v>
      </x:c>
      <x:c r="E34" s="108"/>
      <x:c r="F34" s="14" t="s">
        <x:v>60</x:v>
      </x:c>
      <x:c r="G34" s="16"/>
      <x:c r="H34" s="9" t="s">
        <x:v>22</x:v>
      </x:c>
    </x:row>
    <x:row r="35" spans="1:8" x14ac:dyDescent="0.2">
      <x:c r="A35" s="14">
        <x:f t="shared" si="0"/>
        <x:v>22</x:v>
      </x:c>
      <x:c r="B35" s="10" t="s">
        <x:v>23</x:v>
      </x:c>
      <x:c r="C35" s="109">
        <x:f>'Other 365-368'!$D$29</x:f>
        <x:v>1492.68</x:v>
      </x:c>
      <x:c r="D35" s="110"/>
      <x:c r="E35" s="109">
        <x:f>C35</x:f>
        <x:v>1492.68</x:v>
      </x:c>
      <x:c r="F35" s="14" t="s">
        <x:v>60</x:v>
      </x:c>
      <x:c r="G35" s="16"/>
      <x:c r="H35" s="9" t="s">
        <x:v>62</x:v>
      </x:c>
    </x:row>
    <x:row r="36" spans="1:8" ht="15.75" customHeight="1" x14ac:dyDescent="0.2">
      <x:c r="A36" s="14">
        <x:f t="shared" si="0"/>
        <x:v>23</x:v>
      </x:c>
      <x:c r="B36" s="17" t="s">
        <x:v>20</x:v>
      </x:c>
      <x:c r="C36" s="107">
        <x:f>SUM(C33:C35)</x:f>
        <x:v>2603113616.5461545</x:v>
      </x:c>
      <x:c r="D36" s="107">
        <x:f>SUM(D33:D35)</x:f>
        <x:v>2185929142.7600183</x:v>
      </x:c>
      <x:c r="E36" s="107">
        <x:f>SUM(E33:E35)</x:f>
        <x:v>417184473.78613639</x:v>
      </x:c>
      <x:c r="F36" s="9"/>
      <x:c r="G36" s="16"/>
      <x:c r="H36" s="9"/>
    </x:row>
    <x:row r="37" spans="1:8" ht="15.75" customHeight="1" x14ac:dyDescent="0.25">
      <x:c r="A37" s="14">
        <x:f t="shared" si="0"/>
        <x:v>24</x:v>
      </x:c>
      <x:c r="B37" s="17" t="s">
        <x:v>45</x:v>
      </x:c>
      <x:c r="C37" s="102">
        <x:f>SUM(D37:E37)</x:f>
        <x:v>1</x:v>
      </x:c>
      <x:c r="D37" s="103">
        <x:f>D33/$C$33</x:f>
        <x:v>0.79817703469963952</x:v>
      </x:c>
      <x:c r="E37" s="103">
        <x:f>E33/$C$33</x:f>
        <x:v>0.20182296530036048</x:v>
      </x:c>
      <x:c r="F37" s="9"/>
      <x:c r="G37" s="16"/>
      <x:c r="H37" s="9"/>
    </x:row>
    <x:row r="38" spans="1:8" ht="15.75" x14ac:dyDescent="0.25">
      <x:c r="A38" s="14">
        <x:f t="shared" si="0"/>
        <x:v>25</x:v>
      </x:c>
      <x:c r="B38" s="17" t="s">
        <x:v>15</x:v>
      </x:c>
      <x:c r="C38" s="102">
        <x:f>SUM(D38:E38)</x:f>
        <x:v>1</x:v>
      </x:c>
      <x:c r="D38" s="103">
        <x:f>D36/$C$36</x:f>
        <x:v>0.8397363560566895</x:v>
      </x:c>
      <x:c r="E38" s="103">
        <x:f>E36/$C$36</x:f>
        <x:v>0.16026364394331058</x:v>
      </x:c>
      <x:c r="F38" s="9"/>
      <x:c r="G38" s="24"/>
      <x:c r="H38" s="9"/>
    </x:row>
    <x:row r="39" spans="1:8" x14ac:dyDescent="0.2">
      <x:c r="A39" s="14">
        <x:f t="shared" si="0"/>
        <x:v>26</x:v>
      </x:c>
      <x:c r="B39" s="10"/>
      <x:c r="C39" s="10"/>
      <x:c r="D39" s="10"/>
      <x:c r="E39" s="10"/>
      <x:c r="F39" s="9"/>
      <x:c r="G39" s="9"/>
      <x:c r="H39" s="9"/>
    </x:row>
    <x:row r="40" spans="1:8" ht="15.75" x14ac:dyDescent="0.25">
      <x:c r="A40" s="14">
        <x:f t="shared" si="0"/>
        <x:v>27</x:v>
      </x:c>
      <x:c r="B40" s="12" t="s">
        <x:v>24</x:v>
      </x:c>
      <x:c r="C40" s="12" t="s">
        <x:v>2</x:v>
      </x:c>
      <x:c r="D40" s="12" t="s">
        <x:v>3</x:v>
      </x:c>
      <x:c r="E40" s="12" t="s">
        <x:v>4</x:v>
      </x:c>
      <x:c r="F40" s="9"/>
      <x:c r="G40" s="12"/>
      <x:c r="H40" s="12" t="s">
        <x:v>6</x:v>
      </x:c>
    </x:row>
    <x:row r="41" spans="1:8" x14ac:dyDescent="0.2">
      <x:c r="A41" s="14">
        <x:f t="shared" si="0"/>
        <x:v>28</x:v>
      </x:c>
      <x:c r="B41" s="13" t="s">
        <x:v>7</x:v>
      </x:c>
      <x:c r="C41" s="13" t="s">
        <x:v>8</x:v>
      </x:c>
      <x:c r="D41" s="13" t="s">
        <x:v>9</x:v>
      </x:c>
      <x:c r="E41" s="13" t="s">
        <x:v>10</x:v>
      </x:c>
      <x:c r="F41" s="9"/>
      <x:c r="G41" s="13"/>
      <x:c r="H41" s="13"/>
    </x:row>
    <x:row r="42" spans="1:8" x14ac:dyDescent="0.2">
      <x:c r="A42" s="14">
        <x:f t="shared" si="0"/>
        <x:v>29</x:v>
      </x:c>
      <x:c r="B42" s="10" t="s">
        <x:v>25</x:v>
      </x:c>
      <x:c r="C42" s="111">
        <x:f>'Other 365-368'!$D$18</x:f>
        <x:v>965336520.25999999</x:v>
      </x:c>
      <x:c r="D42" s="107">
        <x:f>$C42*D$37</x:f>
        <x:v>770509441.22839522</x:v>
      </x:c>
      <x:c r="E42" s="107">
        <x:f>$C42*E$37</x:f>
        <x:v>194827079.03160471</x:v>
      </x:c>
      <x:c r="F42" s="14" t="s">
        <x:v>60</x:v>
      </x:c>
      <x:c r="G42" s="16"/>
      <x:c r="H42" s="9" t="s">
        <x:v>63</x:v>
      </x:c>
    </x:row>
    <x:row r="43" spans="1:8" x14ac:dyDescent="0.2">
      <x:c r="A43" s="14">
        <x:f t="shared" si="0"/>
        <x:v>30</x:v>
      </x:c>
      <x:c r="B43" s="10" t="s">
        <x:v>37</x:v>
      </x:c>
      <x:c r="C43" s="111">
        <x:f>'Other 365-368'!$G$19</x:f>
        <x:v>0</x:v>
      </x:c>
      <x:c r="D43" s="111">
        <x:v>0</x:v>
      </x:c>
      <x:c r="E43" s="112">
        <x:f>$C43</x:f>
        <x:v>0</x:v>
      </x:c>
      <x:c r="F43" s="14" t="s">
        <x:v>60</x:v>
      </x:c>
      <x:c r="G43" s="16"/>
      <x:c r="H43" s="9" t="s">
        <x:v>62</x:v>
      </x:c>
    </x:row>
    <x:row r="44" spans="1:8" x14ac:dyDescent="0.2">
      <x:c r="A44" s="14">
        <x:f t="shared" si="0"/>
        <x:v>31</x:v>
      </x:c>
      <x:c r="B44" s="10" t="s">
        <x:v>38</x:v>
      </x:c>
      <x:c r="C44" s="111">
        <x:f>'Other 365-368'!$I$19</x:f>
        <x:v>211086139</x:v>
      </x:c>
      <x:c r="D44" s="112">
        <x:f>$C$44</x:f>
        <x:v>211086139</x:v>
      </x:c>
      <x:c r="E44" s="112"/>
      <x:c r="F44" s="14" t="s">
        <x:v>60</x:v>
      </x:c>
      <x:c r="G44" s="16"/>
      <x:c r="H44" s="9" t="s">
        <x:v>48</x:v>
      </x:c>
    </x:row>
    <x:row r="45" spans="1:8" x14ac:dyDescent="0.2">
      <x:c r="A45" s="14">
        <x:f t="shared" si="0"/>
        <x:v>32</x:v>
      </x:c>
      <x:c r="B45" s="10" t="s">
        <x:v>27</x:v>
      </x:c>
      <x:c r="C45" s="111">
        <x:f>'Other 365-368'!$D$20</x:f>
        <x:v>155610360.49000001</x:v>
      </x:c>
      <x:c r="D45" s="112"/>
      <x:c r="E45" s="112">
        <x:f>$C45</x:f>
        <x:v>155610360.49000001</x:v>
      </x:c>
      <x:c r="F45" s="14" t="s">
        <x:v>60</x:v>
      </x:c>
      <x:c r="G45" s="16"/>
      <x:c r="H45" s="9" t="s">
        <x:v>49</x:v>
      </x:c>
    </x:row>
    <x:row r="46" spans="1:8" x14ac:dyDescent="0.2">
      <x:c r="A46" s="14">
        <x:f t="shared" si="0"/>
        <x:v>33</x:v>
      </x:c>
      <x:c r="B46" s="10" t="s">
        <x:v>28</x:v>
      </x:c>
      <x:c r="C46" s="111">
        <x:f>'Other 365-368'!$D$21</x:f>
        <x:v>80346607.569999993</x:v>
      </x:c>
      <x:c r="D46" s="112">
        <x:f>'Other 365-368'!$D$21</x:f>
        <x:v>80346607.569999993</x:v>
      </x:c>
      <x:c r="E46" s="112"/>
      <x:c r="F46" s="16"/>
      <x:c r="G46" s="16"/>
      <x:c r="H46" s="9"/>
    </x:row>
    <x:row r="47" spans="1:8" x14ac:dyDescent="0.2">
      <x:c r="A47" s="14">
        <x:f t="shared" si="0"/>
        <x:v>34</x:v>
      </x:c>
      <x:c r="B47" s="10" t="s">
        <x:v>29</x:v>
      </x:c>
      <x:c r="C47" s="111">
        <x:f>'Other 365-368'!$D$22</x:f>
        <x:v>203515312.96000001</x:v>
      </x:c>
      <x:c r="D47" s="112"/>
      <x:c r="E47" s="112">
        <x:f>'Other 365-368'!$D$22</x:f>
        <x:v>203515312.96000001</x:v>
      </x:c>
      <x:c r="F47" s="16"/>
      <x:c r="G47" s="16"/>
      <x:c r="H47" s="9"/>
    </x:row>
    <x:row r="48" spans="1:8" x14ac:dyDescent="0.2">
      <x:c r="A48" s="14">
        <x:f t="shared" si="0"/>
        <x:v>35</x:v>
      </x:c>
      <x:c r="B48" s="10" t="s">
        <x:v>43</x:v>
      </x:c>
      <x:c r="C48" s="109">
        <x:f>'Other 365-368'!$D$23</x:f>
        <x:v>21427897.040000003</x:v>
      </x:c>
      <x:c r="D48" s="113">
        <x:f>$C$48*D38</x:f>
        <x:v>17993784.178327527</x:v>
      </x:c>
      <x:c r="E48" s="113">
        <x:f>$C$48*E38</x:f>
        <x:v>3434112.8616724792</x:v>
      </x:c>
      <x:c r="F48" s="14" t="s">
        <x:v>60</x:v>
      </x:c>
      <x:c r="G48" s="16"/>
      <x:c r="H48" s="9" t="s">
        <x:v>26</x:v>
      </x:c>
    </x:row>
    <x:row r="49" spans="1:8" x14ac:dyDescent="0.2">
      <x:c r="A49" s="14">
        <x:f t="shared" si="0"/>
        <x:v>36</x:v>
      </x:c>
      <x:c r="B49" s="17" t="s">
        <x:v>20</x:v>
      </x:c>
      <x:c r="C49" s="107">
        <x:f>SUM(C42:C48)</x:f>
        <x:v>1637322837.3199999</x:v>
      </x:c>
      <x:c r="D49" s="107">
        <x:f>SUM(D42:D48)</x:f>
        <x:v>1079935971.9767227</x:v>
      </x:c>
      <x:c r="E49" s="107">
        <x:f>SUM(E42:E48)</x:f>
        <x:v>557386865.34327722</x:v>
      </x:c>
      <x:c r="F49" s="16"/>
      <x:c r="G49" s="16"/>
      <x:c r="H49" s="9"/>
    </x:row>
    <x:row r="50" spans="1:8" ht="15.75" x14ac:dyDescent="0.25">
      <x:c r="A50" s="14">
        <x:f t="shared" si="0"/>
        <x:v>37</x:v>
      </x:c>
      <x:c r="B50" s="17" t="s">
        <x:v>15</x:v>
      </x:c>
      <x:c r="C50" s="102">
        <x:f>SUM(D50:E50)</x:f>
        <x:v>1</x:v>
      </x:c>
      <x:c r="D50" s="103">
        <x:f>D49/$C$49</x:f>
        <x:v>0.65957424361366734</x:v>
      </x:c>
      <x:c r="E50" s="103">
        <x:f>E49/$C$49</x:f>
        <x:v>0.3404257563863326</x:v>
      </x:c>
      <x:c r="F50" s="24"/>
      <x:c r="G50" s="24"/>
      <x:c r="H50" s="9"/>
    </x:row>
    <x:row r="51" spans="1:8" x14ac:dyDescent="0.2">
      <x:c r="A51" s="14">
        <x:f t="shared" si="0"/>
        <x:v>38</x:v>
      </x:c>
      <x:c r="B51" s="10"/>
      <x:c r="C51" s="10"/>
      <x:c r="D51" s="10"/>
      <x:c r="E51" s="10"/>
      <x:c r="F51" s="25"/>
      <x:c r="G51" s="25"/>
      <x:c r="H51" s="9"/>
    </x:row>
    <x:row r="52" spans="1:8" ht="15.75" x14ac:dyDescent="0.25">
      <x:c r="A52" s="14">
        <x:f t="shared" si="0"/>
        <x:v>39</x:v>
      </x:c>
      <x:c r="B52" s="12" t="s">
        <x:v>30</x:v>
      </x:c>
      <x:c r="C52" s="12" t="s">
        <x:v>2</x:v>
      </x:c>
      <x:c r="D52" s="12" t="s">
        <x:v>3</x:v>
      </x:c>
      <x:c r="E52" s="12" t="s">
        <x:v>4</x:v>
      </x:c>
      <x:c r="F52" s="12" t="s">
        <x:v>31</x:v>
      </x:c>
      <x:c r="G52" s="12"/>
      <x:c r="H52" s="12" t="s">
        <x:v>6</x:v>
      </x:c>
    </x:row>
    <x:row r="53" spans="1:8" x14ac:dyDescent="0.2">
      <x:c r="A53" s="14">
        <x:f t="shared" si="0"/>
        <x:v>40</x:v>
      </x:c>
      <x:c r="B53" s="13" t="s">
        <x:v>7</x:v>
      </x:c>
      <x:c r="C53" s="13" t="s">
        <x:v>8</x:v>
      </x:c>
      <x:c r="D53" s="13" t="s">
        <x:v>9</x:v>
      </x:c>
      <x:c r="E53" s="13" t="s">
        <x:v>10</x:v>
      </x:c>
      <x:c r="F53" s="13" t="s">
        <x:v>11</x:v>
      </x:c>
      <x:c r="G53" s="13"/>
      <x:c r="H53" s="13"/>
    </x:row>
    <x:row r="54" spans="1:8" x14ac:dyDescent="0.2">
      <x:c r="A54" s="14">
        <x:f t="shared" si="0"/>
        <x:v>41</x:v>
      </x:c>
      <x:c r="B54" s="114" t="s">
        <x:v>39</x:v>
      </x:c>
      <x:c r="C54" s="115">
        <x:f>'Other 365-368'!$D$33</x:f>
        <x:v>97829881.13000001</x:v>
      </x:c>
      <x:c r="D54" s="116">
        <x:f>C54</x:f>
        <x:v>97829881.13000001</x:v>
      </x:c>
      <x:c r="E54" s="107"/>
      <x:c r="F54" s="108"/>
      <x:c r="G54" s="16"/>
      <x:c r="H54" s="9" t="s">
        <x:v>41</x:v>
      </x:c>
    </x:row>
    <x:row r="55" spans="1:8" x14ac:dyDescent="0.2">
      <x:c r="A55" s="14">
        <x:f t="shared" si="0"/>
        <x:v>42</x:v>
      </x:c>
      <x:c r="B55" s="114" t="s">
        <x:v>40</x:v>
      </x:c>
      <x:c r="C55" s="111">
        <x:f>'Other 365-368'!$D$36</x:f>
        <x:v>120747756.31999999</x:v>
      </x:c>
      <x:c r="D55" s="116">
        <x:f>C55</x:f>
        <x:v>120747756.31999999</x:v>
      </x:c>
      <x:c r="E55" s="107"/>
      <x:c r="F55" s="108"/>
      <x:c r="G55" s="16"/>
      <x:c r="H55" s="9" t="s">
        <x:v>42</x:v>
      </x:c>
    </x:row>
    <x:row r="56" spans="1:8" x14ac:dyDescent="0.2">
      <x:c r="A56" s="14">
        <x:f t="shared" si="0"/>
        <x:v>43</x:v>
      </x:c>
      <x:c r="B56" s="114" t="s">
        <x:v>31</x:v>
      </x:c>
      <x:c r="C56" s="111">
        <x:f>'Other 365-368'!$D$34</x:f>
        <x:v>167948847.31999999</x:v>
      </x:c>
      <x:c r="D56" s="107"/>
      <x:c r="E56" s="107"/>
      <x:c r="F56" s="108">
        <x:f>C56</x:f>
        <x:v>167948847.31999999</x:v>
      </x:c>
      <x:c r="G56" s="16"/>
      <x:c r="H56" s="9"/>
    </x:row>
    <x:row r="57" spans="1:8" x14ac:dyDescent="0.2">
      <x:c r="A57" s="14">
        <x:f t="shared" si="0"/>
        <x:v>44</x:v>
      </x:c>
      <x:c r="B57" s="114" t="s">
        <x:v>5</x:v>
      </x:c>
      <x:c r="C57" s="117">
        <x:f>'Other 365-368'!$D$35</x:f>
        <x:v>2781139440.8000002</x:v>
      </x:c>
      <x:c r="D57" s="118"/>
      <x:c r="E57" s="109">
        <x:f>C57</x:f>
        <x:v>2781139440.8000002</x:v>
      </x:c>
      <x:c r="F57" s="110"/>
      <x:c r="G57" s="16"/>
      <x:c r="H57" s="9" t="s">
        <x:v>32</x:v>
      </x:c>
    </x:row>
    <x:row r="58" spans="1:8" x14ac:dyDescent="0.2">
      <x:c r="A58" s="14">
        <x:f t="shared" si="0"/>
        <x:v>45</x:v>
      </x:c>
      <x:c r="B58" s="17" t="s">
        <x:v>20</x:v>
      </x:c>
      <x:c r="C58" s="115">
        <x:f>SUM(C54:C57)</x:f>
        <x:v>3167665925.5700002</x:v>
      </x:c>
      <x:c r="D58" s="115">
        <x:f>SUM(D54:D57)</x:f>
        <x:v>218577637.44999999</x:v>
      </x:c>
      <x:c r="E58" s="115">
        <x:f>SUM(E54:E57)</x:f>
        <x:v>2781139440.8000002</x:v>
      </x:c>
      <x:c r="F58" s="115">
        <x:f>SUM(F54:F57)</x:f>
        <x:v>167948847.31999999</x:v>
      </x:c>
      <x:c r="G58" s="26"/>
      <x:c r="H58" s="9"/>
    </x:row>
    <x:row r="59" spans="1:8" ht="15.75" x14ac:dyDescent="0.25">
      <x:c r="A59" s="14">
        <x:f t="shared" si="0"/>
        <x:v>46</x:v>
      </x:c>
      <x:c r="B59" s="17" t="s">
        <x:v>15</x:v>
      </x:c>
      <x:c r="C59" s="102">
        <x:f>SUM(D59:F59)</x:f>
        <x:v>1</x:v>
      </x:c>
      <x:c r="D59" s="103">
        <x:f>D58/$C$58</x:f>
        <x:v>6.9002742898359268E-2</x:v>
      </x:c>
      <x:c r="E59" s="103">
        <x:f>E58/$C$58</x:f>
        <x:v>0.87797750967048482</x:v>
      </x:c>
      <x:c r="F59" s="103">
        <x:f>F58/$C$58</x:f>
        <x:v>5.3019747431155867E-2</x:v>
      </x:c>
      <x:c r="G59" s="19"/>
      <x:c r="H59" s="9"/>
    </x:row>
    <x:row r="60" spans="1:8" x14ac:dyDescent="0.2">
      <x:c r="C60" s="76"/>
      <x:c r="D60" s="77"/>
      <x:c r="E60" s="77"/>
      <x:c r="F60" s="78"/>
    </x:row>
  </x:sheetData>
  <x:mergeCells count="6">
    <x:mergeCell ref="B8:H8"/>
    <x:mergeCell ref="B1:H1"/>
    <x:mergeCell ref="B2:H2"/>
    <x:mergeCell ref="B3:H3"/>
    <x:mergeCell ref="B4:H4"/>
    <x:mergeCell ref="B5:H5"/>
  </x:mergeCells>
  <x:phoneticPr fontId="6" type="noConversion"/>
  <x:printOptions horizontalCentered="1"/>
  <x:pageMargins left="1.5" right="0.5" top="1.5" bottom="0.5" header="1" footer="0.5"/>
  <x:pageSetup scale="53" orientation="portrait" r:id="rId1"/>
  <x:headerFooter alignWithMargins="0">
    <x:oddHeader>&amp;C                              &amp;RWP/II-I-2.4
Page &amp;P of 4</x:oddHeader>
  </x:headerFooter>
  <x:rowBreaks count="1" manualBreakCount="1">
    <x:brk id="27" max="7" man="1"/>
  </x:rowBreak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K20"/>
  <x:sheetViews>
    <x:sheetView view="pageBreakPreview" topLeftCell="A6" zoomScaleNormal="100" workbookViewId="0">
      <x:selection activeCell="B7" sqref="B7"/>
    </x:sheetView>
  </x:sheetViews>
  <x:sheetFormatPr defaultColWidth="9.140625" defaultRowHeight="12" x14ac:dyDescent="0.2"/>
  <x:cols>
    <x:col min="1" max="1" width="9.140625" style="6"/>
    <x:col min="2" max="2" width="29.42578125" style="6" customWidth="1"/>
    <x:col min="3" max="3" width="16.85546875" style="5" bestFit="1" customWidth="1"/>
    <x:col min="4" max="4" width="18" style="5" customWidth="1"/>
    <x:col min="5" max="5" width="16.85546875" style="5" bestFit="1" customWidth="1"/>
    <x:col min="6" max="6" width="15.28515625" style="6" customWidth="1"/>
    <x:col min="7" max="7" width="9.140625" style="6"/>
    <x:col min="8" max="8" width="15.85546875" style="6" customWidth="1"/>
    <x:col min="9" max="10" width="9.85546875" style="6" bestFit="1" customWidth="1"/>
    <x:col min="11" max="11" width="13.5703125" style="6" bestFit="1" customWidth="1"/>
    <x:col min="12" max="16384" width="9.140625" style="6"/>
  </x:cols>
  <x:sheetData>
    <x:row r="1" spans="1:11" ht="15" customHeight="1" x14ac:dyDescent="0.25">
      <x:c r="A1" s="45"/>
      <x:c r="B1" s="147" t="str">
        <x:f>Summary!$B$1</x:f>
        <x:v>PUC DOCKET NO.</x:v>
      </x:c>
      <x:c r="C1" s="147"/>
      <x:c r="D1" s="147"/>
      <x:c r="E1" s="147"/>
    </x:row>
    <x:row r="2" spans="1:11" ht="15" customHeight="1" x14ac:dyDescent="0.25">
      <x:c r="A2" s="32"/>
      <x:c r="B2" s="147" t="str">
        <x:f>Summary!$B$2</x:f>
        <x:v>ONCOR ELECTRIC DELIVERY COMPANY LLC</x:v>
      </x:c>
      <x:c r="C2" s="147"/>
      <x:c r="D2" s="147"/>
      <x:c r="E2" s="147"/>
    </x:row>
    <x:row r="3" spans="1:11" ht="15" customHeight="1" x14ac:dyDescent="0.25">
      <x:c r="A3" s="27"/>
      <x:c r="B3" s="147" t="str">
        <x:f>Summary!$B$3</x:f>
        <x:v>CLASS ALLOCATION FACTORS</x:v>
      </x:c>
      <x:c r="C3" s="147"/>
      <x:c r="D3" s="147"/>
      <x:c r="E3" s="147"/>
    </x:row>
    <x:row r="4" spans="1:11" ht="15" customHeight="1" x14ac:dyDescent="0.25">
      <x:c r="A4" s="27"/>
      <x:c r="B4" s="147" t="str">
        <x:f>Summary!$B$4</x:f>
        <x:v>FOR THE TEST YEAR ENDING 12/31/2024</x:v>
      </x:c>
      <x:c r="C4" s="147"/>
      <x:c r="D4" s="147"/>
      <x:c r="E4" s="147"/>
    </x:row>
    <x:row r="5" spans="1:11" ht="15" customHeight="1" x14ac:dyDescent="0.25">
      <x:c r="A5" s="27"/>
      <x:c r="B5" s="147" t="str">
        <x:f>Summary!$B$5</x:f>
        <x:v>SPONSOR:  MATTHEW A. TROXLE</x:v>
      </x:c>
      <x:c r="C5" s="147"/>
      <x:c r="D5" s="147"/>
      <x:c r="E5" s="147"/>
    </x:row>
    <x:row r="6" spans="1:11" ht="15" x14ac:dyDescent="0.25">
      <x:c r="A6" s="27"/>
      <x:c r="B6" s="27"/>
      <x:c r="C6" s="62"/>
      <x:c r="D6" s="28"/>
      <x:c r="E6" s="28"/>
    </x:row>
    <x:row r="7" spans="1:11" ht="14.25" x14ac:dyDescent="0.2">
      <x:c r="A7" s="27"/>
      <x:c r="B7" s="27"/>
      <x:c r="C7" s="28"/>
      <x:c r="D7" s="28"/>
      <x:c r="E7" s="28"/>
    </x:row>
    <x:row r="8" spans="1:11" ht="15" x14ac:dyDescent="0.25">
      <x:c r="A8" s="27"/>
      <x:c r="B8" s="27"/>
      <x:c r="C8" s="31" t="s">
        <x:v>65</x:v>
      </x:c>
      <x:c r="D8" s="28"/>
      <x:c r="E8" s="28"/>
    </x:row>
    <x:row r="9" spans="1:11" ht="14.25" x14ac:dyDescent="0.2">
      <x:c r="A9" s="27"/>
      <x:c r="B9" s="119"/>
      <x:c r="C9" s="120"/>
      <x:c r="D9" s="121"/>
      <x:c r="E9" s="28"/>
    </x:row>
    <x:row r="10" spans="1:11" ht="14.25" x14ac:dyDescent="0.2">
      <x:c r="A10" s="27"/>
      <x:c r="B10" s="122"/>
      <x:c r="C10" s="121"/>
      <x:c r="D10" s="121"/>
      <x:c r="E10" s="28"/>
    </x:row>
    <x:row r="11" spans="1:11" ht="15" x14ac:dyDescent="0.25">
      <x:c r="A11" s="27"/>
      <x:c r="B11" s="122"/>
      <x:c r="C11" s="123" t="s">
        <x:v>58</x:v>
      </x:c>
      <x:c r="D11" s="123" t="s">
        <x:v>58</x:v>
      </x:c>
      <x:c r="E11" s="28"/>
      <x:c r="H11" s="73"/>
      <x:c r="I11" s="73"/>
      <x:c r="J11" s="73"/>
      <x:c r="K11" s="73"/>
    </x:row>
    <x:row r="12" spans="1:11" ht="15" x14ac:dyDescent="0.25">
      <x:c r="A12" s="27"/>
      <x:c r="B12" s="124" t="s">
        <x:v>16</x:v>
      </x:c>
      <x:c r="C12" s="125">
        <x:v>364</x:v>
      </x:c>
      <x:c r="D12" s="125">
        <x:v>371</x:v>
      </x:c>
      <x:c r="E12" s="30" t="s">
        <x:v>2</x:v>
      </x:c>
      <x:c r="H12" s="73"/>
      <x:c r="I12" s="73"/>
      <x:c r="J12" s="73"/>
      <x:c r="K12" s="73"/>
    </x:row>
    <x:row r="13" spans="1:11" ht="15" x14ac:dyDescent="0.25">
      <x:c r="A13" s="27"/>
      <x:c r="B13" s="126" t="s">
        <x:v>33</x:v>
      </x:c>
      <x:c r="C13" s="127">
        <x:v>1704470115.1097882</x:v>
      </x:c>
      <x:c r="D13" s="128"/>
      <x:c r="E13" s="83">
        <x:f>SUM(C13:D13)</x:f>
        <x:v>1704470115.1097882</x:v>
      </x:c>
      <x:c r="H13" s="73"/>
      <x:c r="I13" s="73"/>
      <x:c r="J13" s="73"/>
      <x:c r="K13" s="73"/>
    </x:row>
    <x:row r="14" spans="1:11" ht="15" x14ac:dyDescent="0.25">
      <x:c r="A14" s="27"/>
      <x:c r="B14" s="126" t="s">
        <x:v>34</x:v>
      </x:c>
      <x:c r="C14" s="127">
        <x:v>315650779.90998143</x:v>
      </x:c>
      <x:c r="D14" s="129">
        <x:v>1392348.9</x:v>
      </x:c>
      <x:c r="E14" s="83">
        <x:f>SUM(C14:D14)</x:f>
        <x:v>317043128.80998141</x:v>
      </x:c>
      <x:c r="H14" s="73"/>
      <x:c r="I14" s="73"/>
      <x:c r="J14" s="73"/>
      <x:c r="K14" s="73"/>
    </x:row>
    <x:row r="15" spans="1:11" ht="15" x14ac:dyDescent="0.25">
      <x:c r="A15" s="27"/>
      <x:c r="B15" s="126" t="s">
        <x:v>35</x:v>
      </x:c>
      <x:c r="C15" s="127">
        <x:v>636076935.20992267</x:v>
      </x:c>
      <x:c r="D15" s="83">
        <x:v>11099.170000000002</x:v>
      </x:c>
      <x:c r="E15" s="83">
        <x:f>SUM(C15:D15)</x:f>
        <x:v>636088034.37992263</x:v>
      </x:c>
      <x:c r="H15" s="73"/>
      <x:c r="I15" s="73"/>
      <x:c r="J15" s="73"/>
      <x:c r="K15" s="74"/>
    </x:row>
    <x:row r="16" spans="1:11" ht="15.75" x14ac:dyDescent="0.25">
      <x:c r="A16" s="27"/>
      <x:c r="B16" s="126" t="s">
        <x:v>36</x:v>
      </x:c>
      <x:c r="C16" s="130">
        <x:v>113148718.84999992</x:v>
      </x:c>
      <x:c r="D16" s="130">
        <x:v>1308590.6000000013</x:v>
      </x:c>
      <x:c r="E16" s="83">
        <x:f>SUM(C16:D16)</x:f>
        <x:v>114457309.44999991</x:v>
      </x:c>
      <x:c r="H16" s="73"/>
      <x:c r="I16" s="73"/>
      <x:c r="J16" s="73"/>
      <x:c r="K16" s="73"/>
    </x:row>
    <x:row r="17" spans="1:11" ht="15" x14ac:dyDescent="0.25">
      <x:c r="A17" s="27"/>
      <x:c r="B17" s="29"/>
      <x:c r="C17" s="83"/>
      <x:c r="D17" s="83"/>
      <x:c r="E17" s="83"/>
      <x:c r="H17" s="73"/>
      <x:c r="I17" s="73"/>
      <x:c r="J17" s="73"/>
      <x:c r="K17" s="73"/>
    </x:row>
    <x:row r="18" spans="1:11" ht="15" x14ac:dyDescent="0.25">
      <x:c r="A18" s="27"/>
      <x:c r="B18" s="31" t="s">
        <x:v>2</x:v>
      </x:c>
      <x:c r="C18" s="83">
        <x:f>SUM(C13:C17)</x:f>
        <x:v>2769346549.0796924</x:v>
      </x:c>
      <x:c r="D18" s="83">
        <x:f>SUM(D13:D17)</x:f>
        <x:v>2712038.6700000009</x:v>
      </x:c>
      <x:c r="E18" s="83">
        <x:f>SUM(E13:E17)</x:f>
        <x:v>2772058587.749692</x:v>
      </x:c>
      <x:c r="H18" s="75"/>
      <x:c r="I18" s="73"/>
      <x:c r="J18" s="73"/>
      <x:c r="K18" s="73"/>
    </x:row>
    <x:row r="20" spans="1:11" x14ac:dyDescent="0.2">
      <x:c r="B20" s="6" t="s">
        <x:v>81</x:v>
      </x:c>
      <x:c r="C20" s="5" t="b">
        <x:f>(SUM(C13:C16)-C18)=0</x:f>
        <x:v>1</x:v>
      </x:c>
      <x:c r="D20" s="5" t="b">
        <x:f>(SUM(D13:D16)-D18)=0</x:f>
        <x:v>1</x:v>
      </x:c>
      <x:c r="E20" s="5" t="b">
        <x:f t="shared" ref="E20" si="0">(SUM(E13:E16)-E18)=0</x:f>
        <x:v>1</x:v>
      </x:c>
    </x:row>
  </x:sheetData>
  <x:mergeCells count="5">
    <x:mergeCell ref="B1:E1"/>
    <x:mergeCell ref="B2:E2"/>
    <x:mergeCell ref="B3:E3"/>
    <x:mergeCell ref="B4:E4"/>
    <x:mergeCell ref="B5:E5"/>
  </x:mergeCells>
  <x:phoneticPr fontId="6" type="noConversion"/>
  <x:printOptions horizontalCentered="1"/>
  <x:pageMargins left="1.5" right="0.5" top="1.5" bottom="1" header="1" footer="0.5"/>
  <x:pageSetup orientation="landscape" r:id="rId1"/>
  <x:headerFooter alignWithMargins="0">
    <x:oddHeader>&amp;RWP II-I-2.4
Page 2 of 4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fitToPage="1"/>
  </x:sheetPr>
  <x:dimension ref="A1:L27"/>
  <x:sheetViews>
    <x:sheetView tabSelected="1" view="pageBreakPreview" topLeftCell="A4" zoomScaleNormal="100" workbookViewId="0">
      <x:selection activeCell="I7" sqref="I7"/>
    </x:sheetView>
  </x:sheetViews>
  <x:sheetFormatPr defaultColWidth="9.140625" defaultRowHeight="12" x14ac:dyDescent="0.2"/>
  <x:cols>
    <x:col min="1" max="1" width="3" style="4" customWidth="1"/>
    <x:col min="2" max="2" width="28.7109375" style="4" bestFit="1" customWidth="1"/>
    <x:col min="3" max="3" width="20.42578125" style="69" bestFit="1" customWidth="1"/>
    <x:col min="4" max="4" width="22.85546875" style="69" bestFit="1" customWidth="1"/>
    <x:col min="5" max="5" width="17.5703125" style="69" customWidth="1"/>
    <x:col min="6" max="6" width="19.28515625" style="3" customWidth="1"/>
    <x:col min="7" max="8" width="14.85546875" style="4" customWidth="1"/>
    <x:col min="9" max="9" width="16.140625" style="4" customWidth="1"/>
    <x:col min="10" max="10" width="15.140625" style="4" customWidth="1"/>
    <x:col min="11" max="16384" width="9.140625" style="4"/>
  </x:cols>
  <x:sheetData>
    <x:row r="1" spans="1:12" ht="15" customHeight="1" x14ac:dyDescent="0.25">
      <x:c r="A1" s="32"/>
      <x:c r="B1" s="148" t="str">
        <x:f>Summary!$B$1</x:f>
        <x:v>PUC DOCKET NO.</x:v>
      </x:c>
      <x:c r="C1" s="148"/>
      <x:c r="D1" s="148"/>
      <x:c r="E1" s="148"/>
      <x:c r="F1" s="148"/>
      <x:c r="L1" s="4" t="s">
        <x:v>81</x:v>
      </x:c>
    </x:row>
    <x:row r="2" spans="1:12" ht="15" customHeight="1" x14ac:dyDescent="0.25">
      <x:c r="A2" s="32"/>
      <x:c r="B2" s="148" t="str">
        <x:f>Summary!$B$2</x:f>
        <x:v>ONCOR ELECTRIC DELIVERY COMPANY LLC</x:v>
      </x:c>
      <x:c r="C2" s="148"/>
      <x:c r="D2" s="148"/>
      <x:c r="E2" s="148"/>
      <x:c r="F2" s="148"/>
    </x:row>
    <x:row r="3" spans="1:12" ht="15" customHeight="1" x14ac:dyDescent="0.25">
      <x:c r="A3" s="32"/>
      <x:c r="B3" s="148" t="str">
        <x:f>Summary!$B$3</x:f>
        <x:v>CLASS ALLOCATION FACTORS</x:v>
      </x:c>
      <x:c r="C3" s="148"/>
      <x:c r="D3" s="148"/>
      <x:c r="E3" s="148"/>
      <x:c r="F3" s="148"/>
    </x:row>
    <x:row r="4" spans="1:12" ht="15" customHeight="1" x14ac:dyDescent="0.25">
      <x:c r="A4" s="32"/>
      <x:c r="B4" s="148" t="str">
        <x:f>Summary!$B$4</x:f>
        <x:v>FOR THE TEST YEAR ENDING 12/31/2024</x:v>
      </x:c>
      <x:c r="C4" s="148"/>
      <x:c r="D4" s="148"/>
      <x:c r="E4" s="148"/>
      <x:c r="F4" s="148"/>
    </x:row>
    <x:row r="5" spans="1:12" ht="15" customHeight="1" x14ac:dyDescent="0.25">
      <x:c r="A5" s="32"/>
      <x:c r="B5" s="148" t="str">
        <x:f>Summary!$B$5</x:f>
        <x:v>SPONSOR:  MATTHEW A. TROXLE</x:v>
      </x:c>
      <x:c r="C5" s="148"/>
      <x:c r="D5" s="148"/>
      <x:c r="E5" s="148"/>
      <x:c r="F5" s="148"/>
    </x:row>
    <x:row r="6" spans="1:12" ht="15" x14ac:dyDescent="0.25">
      <x:c r="A6" s="32"/>
      <x:c r="B6" s="32"/>
      <x:c r="D6" s="62"/>
      <x:c r="F6" s="33"/>
    </x:row>
    <x:row r="7" spans="1:12" ht="14.25" x14ac:dyDescent="0.2">
      <x:c r="A7" s="32"/>
      <x:c r="B7" s="32"/>
      <x:c r="D7" s="70"/>
      <x:c r="F7" s="33"/>
    </x:row>
    <x:row r="8" spans="1:12" ht="15" x14ac:dyDescent="0.25">
      <x:c r="A8" s="32"/>
      <x:c r="B8" s="32"/>
      <x:c r="D8" s="36" t="s">
        <x:v>66</x:v>
      </x:c>
      <x:c r="F8" s="33"/>
    </x:row>
    <x:row r="9" spans="1:12" ht="14.25" x14ac:dyDescent="0.2">
      <x:c r="A9" s="32"/>
      <x:c r="C9" s="70"/>
      <x:c r="D9" s="70"/>
      <x:c r="E9" s="70"/>
      <x:c r="F9" s="33"/>
    </x:row>
    <x:row r="10" spans="1:12" ht="14.25" x14ac:dyDescent="0.2">
      <x:c r="A10" s="32"/>
      <x:c r="B10" s="32"/>
      <x:c r="C10" s="131"/>
      <x:c r="D10" s="131"/>
      <x:c r="E10" s="131"/>
      <x:c r="F10" s="33"/>
    </x:row>
    <x:row r="11" spans="1:12" ht="15" x14ac:dyDescent="0.25">
      <x:c r="A11" s="32"/>
      <x:c r="B11" s="32"/>
      <x:c r="C11" s="132" t="s">
        <x:v>67</x:v>
      </x:c>
      <x:c r="D11" s="132" t="s">
        <x:v>67</x:v>
      </x:c>
      <x:c r="E11" s="132" t="s">
        <x:v>67</x:v>
      </x:c>
      <x:c r="F11" s="35"/>
      <x:c r="G11" s="35"/>
      <x:c r="I11" s="35"/>
      <x:c r="J11" s="33"/>
    </x:row>
    <x:row r="12" spans="1:12" ht="15" x14ac:dyDescent="0.25">
      <x:c r="A12" s="32"/>
      <x:c r="B12" s="36" t="s">
        <x:v>16</x:v>
      </x:c>
      <x:c r="C12" s="84" t="s">
        <x:v>82</x:v>
      </x:c>
      <x:c r="D12" s="84" t="s">
        <x:v>83</x:v>
      </x:c>
      <x:c r="E12" s="84">
        <x:v>373</x:v>
      </x:c>
      <x:c r="F12" s="87" t="s">
        <x:v>72</x:v>
      </x:c>
      <x:c r="G12" s="37"/>
      <x:c r="J12" s="38"/>
    </x:row>
    <x:row r="13" spans="1:12" ht="15" x14ac:dyDescent="0.25">
      <x:c r="A13" s="32"/>
      <x:c r="B13" s="34" t="s">
        <x:v>51</x:v>
      </x:c>
      <x:c r="C13" s="89">
        <x:v>1179997573.2799814</x:v>
      </x:c>
      <x:c r="D13" s="89"/>
      <x:c r="E13" s="133">
        <x:v>236.16</x:v>
      </x:c>
      <x:c r="F13" s="88">
        <x:f>SUM(C13:E13)</x:f>
        <x:v>1179997809.4399815</x:v>
      </x:c>
      <x:c r="G13" s="42"/>
      <x:c r="J13" s="43"/>
    </x:row>
    <x:row r="14" spans="1:12" ht="15" x14ac:dyDescent="0.25">
      <x:c r="A14" s="32"/>
      <x:c r="B14" s="80" t="s">
        <x:v>52</x:v>
      </x:c>
      <x:c r="C14" s="89"/>
      <x:c r="D14" s="89">
        <x:v>1642127196.0900185</x:v>
      </x:c>
      <x:c r="E14" s="134">
        <x:v>622.27261720417698</x:v>
      </x:c>
      <x:c r="F14" s="88">
        <x:f t="shared" ref="F14:F21" si="0">SUM(C14:E14)</x:f>
        <x:v>1642127818.3626356</x:v>
      </x:c>
      <x:c r="G14" s="42"/>
      <x:c r="J14" s="43"/>
    </x:row>
    <x:row r="15" spans="1:12" ht="15" x14ac:dyDescent="0.25">
      <x:c r="A15" s="32"/>
      <x:c r="B15" s="80" t="s">
        <x:v>53</x:v>
      </x:c>
      <x:c r="C15" s="89">
        <x:v>400747780.88999689</x:v>
      </x:c>
      <x:c r="D15" s="89">
        <x:v>15527417</x:v>
      </x:c>
      <x:c r="E15" s="135">
        <x:v>235.96246240624961</x:v>
      </x:c>
      <x:c r="F15" s="88">
        <x:f t="shared" si="0"/>
        <x:v>416275433.85245931</x:v>
      </x:c>
      <x:c r="G15" s="44"/>
      <x:c r="J15" s="43"/>
    </x:row>
    <x:row r="16" spans="1:12" ht="15" x14ac:dyDescent="0.25">
      <x:c r="A16" s="32"/>
      <x:c r="B16" s="80" t="s">
        <x:v>54</x:v>
      </x:c>
      <x:c r="C16" s="89">
        <x:v>94309247.600000307</x:v>
      </x:c>
      <x:c r="D16" s="89"/>
      <x:c r="E16" s="135">
        <x:v>6153430.9800000042</x:v>
      </x:c>
      <x:c r="F16" s="88">
        <x:f t="shared" si="0"/>
        <x:v>100462678.58000031</x:v>
      </x:c>
      <x:c r="G16" s="91"/>
      <x:c r="H16" s="91"/>
      <x:c r="I16" s="91"/>
      <x:c r="J16" s="92"/>
    </x:row>
    <x:row r="17" spans="1:12" ht="15" x14ac:dyDescent="0.25">
      <x:c r="A17" s="32"/>
      <x:c r="B17" s="80" t="s">
        <x:v>55</x:v>
      </x:c>
      <x:c r="C17" s="95"/>
      <x:c r="D17" s="89">
        <x:v>409419272.60613638</x:v>
      </x:c>
      <x:c r="E17" s="135">
        <x:v>4762493.9999999991</x:v>
      </x:c>
      <x:c r="F17" s="88">
        <x:f t="shared" si="0"/>
        <x:v>414181766.60613638</x:v>
      </x:c>
      <x:c r="G17" s="42"/>
      <x:c r="J17" s="43"/>
    </x:row>
    <x:row r="18" spans="1:12" ht="15" x14ac:dyDescent="0.25">
      <x:c r="A18" s="32"/>
      <x:c r="B18" s="80" t="s">
        <x:v>56</x:v>
      </x:c>
      <x:c r="C18" s="89">
        <x:v>1631.2000000000003</x:v>
      </x:c>
      <x:c r="D18" s="95"/>
      <x:c r="E18" s="135">
        <x:v>18774956.449999973</x:v>
      </x:c>
      <x:c r="F18" s="88">
        <x:f t="shared" si="0"/>
        <x:v>18776587.649999972</x:v>
      </x:c>
      <x:c r="G18" s="42"/>
      <x:c r="J18" s="43"/>
    </x:row>
    <x:row r="19" spans="1:12" ht="15" x14ac:dyDescent="0.25">
      <x:c r="A19" s="32"/>
      <x:c r="B19" s="80" t="s">
        <x:v>57</x:v>
      </x:c>
      <x:c r="C19" s="134">
        <x:v>629.85</x:v>
      </x:c>
      <x:c r="D19" s="136">
        <x:v>39122.29</x:v>
      </x:c>
      <x:c r="E19" s="135">
        <x:v>43899748.470000029</x:v>
      </x:c>
      <x:c r="F19" s="88">
        <x:f t="shared" si="0"/>
        <x:v>43939500.610000029</x:v>
      </x:c>
      <x:c r="G19" s="42"/>
      <x:c r="J19" s="43"/>
    </x:row>
    <x:row r="20" spans="1:12" ht="15" x14ac:dyDescent="0.25">
      <x:c r="A20" s="32"/>
      <x:c r="B20" s="34"/>
      <x:c r="C20" s="93"/>
      <x:c r="D20" s="93"/>
      <x:c r="E20" s="94"/>
      <x:c r="F20" s="88">
        <x:f t="shared" si="0"/>
        <x:v>0</x:v>
      </x:c>
      <x:c r="G20" s="44"/>
      <x:c r="H20" s="4" t="s">
        <x:v>81</x:v>
      </x:c>
      <x:c r="J20" s="44"/>
    </x:row>
    <x:row r="21" spans="1:12" ht="15" x14ac:dyDescent="0.25">
      <x:c r="A21" s="32"/>
      <x:c r="B21" s="36" t="s">
        <x:v>2</x:v>
      </x:c>
      <x:c r="C21" s="85">
        <x:f>SUM(C13:C20)</x:f>
        <x:v>1675056862.8199785</x:v>
      </x:c>
      <x:c r="D21" s="90">
        <x:f>SUM(D13:D20)</x:f>
        <x:v>2067113007.9861548</x:v>
      </x:c>
      <x:c r="E21" s="86">
        <x:f>SUM(E14:E20)</x:f>
        <x:v>73591488.135079622</x:v>
      </x:c>
      <x:c r="F21" s="88">
        <x:f t="shared" si="0"/>
        <x:v>3815761358.9412127</x:v>
      </x:c>
      <x:c r="G21" s="42"/>
      <x:c r="H21" s="4" t="str">
        <x:f>IF((C21+D21+E21)-SUM(F13:F19)=0,TRUE,"check math")</x:f>
        <x:v>check math</x:v>
      </x:c>
      <x:c r="J21" s="43"/>
      <x:c r="L21" s="41"/>
    </x:row>
    <x:row r="22" spans="1:12" ht="15" x14ac:dyDescent="0.25">
      <x:c r="A22" s="7"/>
      <x:c r="B22" s="7"/>
      <x:c r="C22" s="71"/>
      <x:c r="D22" s="71"/>
      <x:c r="E22" s="71"/>
      <x:c r="F22" s="8"/>
    </x:row>
    <x:row r="23" spans="1:12" ht="15" x14ac:dyDescent="0.25">
      <x:c r="A23" s="7"/>
      <x:c r="B23" s="7"/>
      <x:c r="C23" s="71"/>
      <x:c r="D23" s="71"/>
      <x:c r="E23" s="71"/>
      <x:c r="F23" s="8"/>
    </x:row>
    <x:row r="27" spans="1:12" ht="15" x14ac:dyDescent="0.25">
      <x:c r="C27" s="72" t="s">
        <x:v>82</x:v>
      </x:c>
      <x:c r="D27" s="72" t="s">
        <x:v>83</x:v>
      </x:c>
      <x:c r="E27" s="72">
        <x:v>373</x:v>
      </x:c>
    </x:row>
  </x:sheetData>
  <x:mergeCells count="5">
    <x:mergeCell ref="B1:F1"/>
    <x:mergeCell ref="B2:F2"/>
    <x:mergeCell ref="B3:F3"/>
    <x:mergeCell ref="B4:F4"/>
    <x:mergeCell ref="B5:F5"/>
  </x:mergeCells>
  <x:phoneticPr fontId="6" type="noConversion"/>
  <x:printOptions horizontalCentered="1"/>
  <x:pageMargins left="0.75" right="0.75" top="1.5" bottom="1" header="1" footer="0.5"/>
  <x:pageSetup orientation="landscape" r:id="rId1"/>
  <x:headerFooter alignWithMargins="0">
    <x:oddHeader>&amp;RWP II-I-2.4
Page 3 of 4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B1:N46"/>
  <x:sheetViews>
    <x:sheetView view="pageBreakPreview" topLeftCell="A26" zoomScale="150" zoomScaleNormal="100" zoomScaleSheetLayoutView="150" workbookViewId="0">
      <x:selection activeCell="G32" sqref="G32"/>
    </x:sheetView>
  </x:sheetViews>
  <x:sheetFormatPr defaultColWidth="9.140625" defaultRowHeight="21.75" customHeight="1" x14ac:dyDescent="0.3"/>
  <x:cols>
    <x:col min="1" max="1" width="1.42578125" style="57" customWidth="1"/>
    <x:col min="2" max="2" width="9.140625" style="57"/>
    <x:col min="3" max="3" width="9.140625" style="143"/>
    <x:col min="4" max="4" width="26.28515625" style="143" customWidth="1"/>
    <x:col min="5" max="5" width="9.140625" style="57"/>
    <x:col min="6" max="6" width="18.5703125" style="57" customWidth="1"/>
    <x:col min="7" max="7" width="25.7109375" style="57" customWidth="1"/>
    <x:col min="8" max="8" width="1.85546875" style="57" customWidth="1"/>
    <x:col min="9" max="9" width="28.85546875" style="57" customWidth="1"/>
    <x:col min="10" max="10" width="1.28515625" style="57" customWidth="1"/>
    <x:col min="11" max="11" width="19" style="57" customWidth="1"/>
    <x:col min="12" max="12" width="18.7109375" style="57" customWidth="1"/>
    <x:col min="13" max="16384" width="9.140625" style="57"/>
  </x:cols>
  <x:sheetData>
    <x:row r="1" spans="2:13" s="66" customFormat="1" ht="21.75" customHeight="1" x14ac:dyDescent="0.2">
      <x:c r="B1" s="150" t="str">
        <x:f>Summary!$B$1</x:f>
        <x:v>PUC DOCKET NO.</x:v>
      </x:c>
      <x:c r="C1" s="150"/>
      <x:c r="D1" s="150"/>
      <x:c r="E1" s="150"/>
      <x:c r="F1" s="150" t="str">
        <x:f>Summary!$B$1</x:f>
        <x:v>PUC DOCKET NO.</x:v>
      </x:c>
      <x:c r="G1" s="150"/>
      <x:c r="H1" s="150"/>
      <x:c r="I1" s="150"/>
      <x:c r="M1" s="68"/>
    </x:row>
    <x:row r="2" spans="2:13" s="66" customFormat="1" ht="21.75" customHeight="1" x14ac:dyDescent="0.2">
      <x:c r="B2" s="150" t="str">
        <x:f>Summary!$B$2</x:f>
        <x:v>ONCOR ELECTRIC DELIVERY COMPANY LLC</x:v>
      </x:c>
      <x:c r="C2" s="150"/>
      <x:c r="D2" s="150"/>
      <x:c r="E2" s="150"/>
      <x:c r="F2" s="150" t="str">
        <x:f>Summary!$B$2</x:f>
        <x:v>ONCOR ELECTRIC DELIVERY COMPANY LLC</x:v>
      </x:c>
      <x:c r="G2" s="150"/>
      <x:c r="H2" s="150"/>
      <x:c r="I2" s="150"/>
      <x:c r="M2" s="68"/>
    </x:row>
    <x:row r="3" spans="2:13" s="66" customFormat="1" ht="21.75" customHeight="1" x14ac:dyDescent="0.2">
      <x:c r="B3" s="150" t="str">
        <x:f>Summary!$B$3</x:f>
        <x:v>CLASS ALLOCATION FACTORS</x:v>
      </x:c>
      <x:c r="C3" s="150"/>
      <x:c r="D3" s="150"/>
      <x:c r="E3" s="150"/>
      <x:c r="F3" s="150" t="str">
        <x:f>Summary!$B$3</x:f>
        <x:v>CLASS ALLOCATION FACTORS</x:v>
      </x:c>
      <x:c r="G3" s="150"/>
      <x:c r="H3" s="150"/>
      <x:c r="I3" s="150"/>
      <x:c r="M3" s="68"/>
    </x:row>
    <x:row r="4" spans="2:13" s="66" customFormat="1" ht="21.75" customHeight="1" x14ac:dyDescent="0.2">
      <x:c r="B4" s="150" t="str">
        <x:f>Summary!$B$4</x:f>
        <x:v>FOR THE TEST YEAR ENDING 12/31/2024</x:v>
      </x:c>
      <x:c r="C4" s="150"/>
      <x:c r="D4" s="150"/>
      <x:c r="E4" s="150"/>
      <x:c r="F4" s="150" t="str">
        <x:f>Summary!$B$4</x:f>
        <x:v>FOR THE TEST YEAR ENDING 12/31/2024</x:v>
      </x:c>
      <x:c r="G4" s="150"/>
      <x:c r="H4" s="150"/>
      <x:c r="I4" s="150"/>
      <x:c r="M4" s="68"/>
    </x:row>
    <x:row r="5" spans="2:13" s="66" customFormat="1" ht="21.75" customHeight="1" x14ac:dyDescent="0.2">
      <x:c r="B5" s="150" t="str">
        <x:f>Summary!$B$5</x:f>
        <x:v>SPONSOR:  MATTHEW A. TROXLE</x:v>
      </x:c>
      <x:c r="C5" s="150"/>
      <x:c r="D5" s="150"/>
      <x:c r="E5" s="150"/>
      <x:c r="F5" s="150" t="str">
        <x:f>Summary!$B$5</x:f>
        <x:v>SPONSOR:  MATTHEW A. TROXLE</x:v>
      </x:c>
      <x:c r="G5" s="150"/>
      <x:c r="H5" s="150"/>
      <x:c r="I5" s="150"/>
      <x:c r="M5" s="68"/>
    </x:row>
    <x:row r="6" spans="2:13" s="66" customFormat="1" ht="21.75" customHeight="1" x14ac:dyDescent="0.2">
      <x:c r="D6" s="67"/>
      <x:c r="E6" s="68"/>
      <x:c r="F6" s="68"/>
      <x:c r="G6" s="68"/>
      <x:c r="M6" s="68"/>
    </x:row>
    <x:row r="7" spans="2:13" s="40" customFormat="1" ht="21.75" customHeight="1" x14ac:dyDescent="0.2">
      <x:c r="C7" s="66"/>
      <x:c r="D7" s="66"/>
    </x:row>
    <x:row r="8" spans="2:13" s="40" customFormat="1" ht="21.75" customHeight="1" x14ac:dyDescent="0.2">
      <x:c r="B8" s="149" t="s">
        <x:v>87</x:v>
      </x:c>
      <x:c r="C8" s="149"/>
      <x:c r="D8" s="149"/>
      <x:c r="E8" s="149"/>
      <x:c r="F8" s="149"/>
      <x:c r="G8" s="149"/>
      <x:c r="H8" s="149"/>
      <x:c r="I8" s="149"/>
    </x:row>
    <x:row r="9" spans="2:13" s="40" customFormat="1" ht="21.75" customHeight="1" x14ac:dyDescent="0.2">
      <x:c r="C9" s="66"/>
      <x:c r="D9" s="66"/>
    </x:row>
    <x:row r="10" spans="2:13" s="40" customFormat="1" ht="21.75" customHeight="1" x14ac:dyDescent="0.2">
      <x:c r="C10" s="66"/>
      <x:c r="D10" s="66"/>
    </x:row>
    <x:row r="11" spans="2:13" s="40" customFormat="1" ht="21.75" customHeight="1" x14ac:dyDescent="0.2">
      <x:c r="C11" s="66"/>
      <x:c r="D11" s="66"/>
    </x:row>
    <x:row r="12" spans="2:13" s="40" customFormat="1" ht="21.75" customHeight="1" x14ac:dyDescent="0.2">
      <x:c r="C12" s="137" t="s">
        <x:v>67</x:v>
      </x:c>
      <x:c r="D12" s="137" t="s">
        <x:v>68</x:v>
      </x:c>
      <x:c r="E12" s="39" t="s">
        <x:v>69</x:v>
      </x:c>
      <x:c r="F12" s="39"/>
    </x:row>
    <x:row r="13" spans="2:13" s="40" customFormat="1" ht="21.75" customHeight="1" x14ac:dyDescent="0.2">
      <x:c r="C13" s="66">
        <x:v>365</x:v>
      </x:c>
      <x:c r="D13" s="138">
        <x:v>649488386.43999994</x:v>
      </x:c>
      <x:c r="E13" s="40" t="s">
        <x:v>70</x:v>
      </x:c>
      <x:c r="F13" s="66"/>
    </x:row>
    <x:row r="14" spans="2:13" s="40" customFormat="1" ht="21.75" customHeight="1" x14ac:dyDescent="0.2">
      <x:c r="C14" s="66">
        <x:v>365</x:v>
      </x:c>
      <x:c r="D14" s="138">
        <x:v>1534234400.1800001</x:v>
      </x:c>
      <x:c r="E14" s="40" t="s">
        <x:v>71</x:v>
      </x:c>
    </x:row>
    <x:row r="15" spans="2:13" s="40" customFormat="1" ht="21.75" customHeight="1" x14ac:dyDescent="0.2">
      <x:c r="C15" s="66">
        <x:v>365</x:v>
      </x:c>
      <x:c r="D15" s="138">
        <x:f>SUM(D13:D14)</x:f>
        <x:v>2183722786.6199999</x:v>
      </x:c>
      <x:c r="E15" s="40" t="s">
        <x:v>72</x:v>
      </x:c>
    </x:row>
    <x:row r="16" spans="2:13" s="40" customFormat="1" ht="21.75" customHeight="1" x14ac:dyDescent="0.2">
      <x:c r="C16" s="66"/>
      <x:c r="D16" s="66"/>
    </x:row>
    <x:row r="17" spans="3:13" s="39" customFormat="1" ht="21.75" customHeight="1" x14ac:dyDescent="0.2">
      <x:c r="C17" s="137" t="s">
        <x:v>67</x:v>
      </x:c>
      <x:c r="D17" s="137" t="s">
        <x:v>68</x:v>
      </x:c>
      <x:c r="E17" s="39" t="s">
        <x:v>69</x:v>
      </x:c>
    </x:row>
    <x:row r="18" spans="3:13" s="40" customFormat="1" ht="21.75" customHeight="1" x14ac:dyDescent="0.2">
      <x:c r="C18" s="66">
        <x:v>366</x:v>
      </x:c>
      <x:c r="D18" s="139">
        <x:v>965336520.25999999</x:v>
      </x:c>
      <x:c r="E18" s="40" t="s">
        <x:v>25</x:v>
      </x:c>
      <x:c r="G18" s="40" t="s">
        <x:v>85</x:v>
      </x:c>
      <x:c r="I18" s="40" t="s">
        <x:v>86</x:v>
      </x:c>
    </x:row>
    <x:row r="19" spans="3:13" s="40" customFormat="1" ht="21.75" customHeight="1" x14ac:dyDescent="0.2">
      <x:c r="C19" s="66">
        <x:v>366</x:v>
      </x:c>
      <x:c r="D19" s="81">
        <x:f>G19+I19</x:f>
        <x:v>211086139</x:v>
      </x:c>
      <x:c r="E19" s="66" t="s">
        <x:v>73</x:v>
      </x:c>
      <x:c r="F19" s="66"/>
      <x:c r="G19" s="82">
        <x:v>0</x:v>
      </x:c>
      <x:c r="H19" s="66"/>
      <x:c r="I19" s="81">
        <x:v>211086139</x:v>
      </x:c>
      <x:c r="K19" s="51"/>
    </x:row>
    <x:row r="20" spans="3:13" s="40" customFormat="1" ht="21.75" customHeight="1" x14ac:dyDescent="0.2">
      <x:c r="C20" s="66">
        <x:v>366</x:v>
      </x:c>
      <x:c r="D20" s="81">
        <x:v>155610360.49000001</x:v>
      </x:c>
      <x:c r="E20" s="40" t="s">
        <x:v>74</x:v>
      </x:c>
    </x:row>
    <x:row r="21" spans="3:13" s="40" customFormat="1" ht="21.75" customHeight="1" x14ac:dyDescent="0.2">
      <x:c r="C21" s="66">
        <x:v>366</x:v>
      </x:c>
      <x:c r="D21" s="81">
        <x:v>80346607.569999993</x:v>
      </x:c>
      <x:c r="E21" s="40" t="s">
        <x:v>3</x:v>
      </x:c>
    </x:row>
    <x:row r="22" spans="3:13" s="40" customFormat="1" ht="21.75" customHeight="1" x14ac:dyDescent="0.2">
      <x:c r="C22" s="66">
        <x:v>366</x:v>
      </x:c>
      <x:c r="D22" s="81">
        <x:v>203515312.96000001</x:v>
      </x:c>
      <x:c r="E22" s="40" t="s">
        <x:v>4</x:v>
      </x:c>
    </x:row>
    <x:row r="23" spans="3:13" s="40" customFormat="1" ht="21.75" customHeight="1" x14ac:dyDescent="0.2">
      <x:c r="C23" s="66">
        <x:v>366</x:v>
      </x:c>
      <x:c r="D23" s="140">
        <x:v>21427897.040000003</x:v>
      </x:c>
      <x:c r="E23" s="40" t="s">
        <x:v>75</x:v>
      </x:c>
      <x:c r="K23" s="47"/>
      <x:c r="L23" s="63"/>
    </x:row>
    <x:row r="24" spans="3:13" s="40" customFormat="1" ht="21.75" customHeight="1" x14ac:dyDescent="0.2">
      <x:c r="C24" s="66">
        <x:v>366</x:v>
      </x:c>
      <x:c r="D24" s="81">
        <x:f>SUM(D18:D23)</x:f>
        <x:v>1637322837.3199999</x:v>
      </x:c>
      <x:c r="E24" s="40" t="s">
        <x:v>72</x:v>
      </x:c>
    </x:row>
    <x:row r="25" spans="3:13" s="40" customFormat="1" ht="21.75" customHeight="1" x14ac:dyDescent="0.2">
      <x:c r="C25" s="66"/>
      <x:c r="D25" s="66"/>
      <x:c r="K25" s="46"/>
      <x:c r="L25" s="49"/>
    </x:row>
    <x:row r="26" spans="3:13" s="39" customFormat="1" ht="21.75" customHeight="1" x14ac:dyDescent="0.2">
      <x:c r="C26" s="137" t="s">
        <x:v>67</x:v>
      </x:c>
      <x:c r="D26" s="137" t="s">
        <x:v>68</x:v>
      </x:c>
      <x:c r="E26" s="39" t="s">
        <x:v>69</x:v>
      </x:c>
      <x:c r="K26" s="46"/>
      <x:c r="L26" s="49"/>
    </x:row>
    <x:row r="27" spans="3:13" s="40" customFormat="1" ht="21.75" customHeight="1" x14ac:dyDescent="0.2">
      <x:c r="C27" s="66">
        <x:v>367</x:v>
      </x:c>
      <x:c r="D27" s="139">
        <x:v>2640883587.9599996</x:v>
      </x:c>
      <x:c r="E27" s="40" t="s">
        <x:v>76</x:v>
      </x:c>
      <x:c r="K27" s="46"/>
      <x:c r="L27" s="49"/>
    </x:row>
    <x:row r="28" spans="3:13" s="40" customFormat="1" ht="21.75" customHeight="1" x14ac:dyDescent="0.2">
      <x:c r="C28" s="66">
        <x:v>367</x:v>
      </x:c>
      <x:c r="D28" s="138">
        <x:v>536038238.17000002</x:v>
      </x:c>
      <x:c r="E28" s="40" t="s">
        <x:v>70</x:v>
      </x:c>
      <x:c r="H28" s="51"/>
      <x:c r="K28" s="52"/>
      <x:c r="L28" s="53"/>
      <x:c r="M28" s="64"/>
    </x:row>
    <x:row r="29" spans="3:13" s="40" customFormat="1" ht="21.75" customHeight="1" x14ac:dyDescent="0.2">
      <x:c r="C29" s="66">
        <x:v>367</x:v>
      </x:c>
      <x:c r="D29" s="141">
        <x:v>1492.68</x:v>
      </x:c>
      <x:c r="E29" s="40" t="s">
        <x:v>23</x:v>
      </x:c>
      <x:c r="K29" s="52"/>
      <x:c r="L29" s="53"/>
      <x:c r="M29" s="64"/>
    </x:row>
    <x:row r="30" spans="3:13" s="40" customFormat="1" ht="21.75" customHeight="1" x14ac:dyDescent="0.2">
      <x:c r="C30" s="66">
        <x:v>367</x:v>
      </x:c>
      <x:c r="D30" s="141">
        <x:f>SUM(D27:D29)</x:f>
        <x:v>3176923318.8099995</x:v>
      </x:c>
      <x:c r="E30" s="40" t="s">
        <x:v>72</x:v>
      </x:c>
      <x:c r="F30" s="40" t="s">
        <x:v>92</x:v>
      </x:c>
      <x:c r="K30" s="52"/>
      <x:c r="L30" s="53"/>
      <x:c r="M30" s="64"/>
    </x:row>
    <x:row r="31" spans="3:13" s="40" customFormat="1" ht="21.75" customHeight="1" x14ac:dyDescent="0.2">
      <x:c r="C31" s="66"/>
      <x:c r="D31" s="66"/>
      <x:c r="K31" s="52"/>
      <x:c r="L31" s="53"/>
      <x:c r="M31" s="64"/>
    </x:row>
    <x:row r="32" spans="3:13" s="39" customFormat="1" ht="21.75" customHeight="1" x14ac:dyDescent="0.2">
      <x:c r="C32" s="137" t="s">
        <x:v>67</x:v>
      </x:c>
      <x:c r="D32" s="137" t="s">
        <x:v>68</x:v>
      </x:c>
      <x:c r="E32" s="39" t="s">
        <x:v>69</x:v>
      </x:c>
      <x:c r="K32" s="54"/>
      <x:c r="L32" s="54"/>
      <x:c r="M32" s="54"/>
    </x:row>
    <x:row r="33" spans="3:14" s="40" customFormat="1" ht="21.75" customHeight="1" x14ac:dyDescent="0.2">
      <x:c r="C33" s="66">
        <x:v>368</x:v>
      </x:c>
      <x:c r="D33" s="141">
        <x:v>97829881.13000001</x:v>
      </x:c>
      <x:c r="E33" s="40" t="s">
        <x:v>77</x:v>
      </x:c>
      <x:c r="K33" s="65"/>
      <x:c r="L33" s="53"/>
      <x:c r="M33" s="64"/>
    </x:row>
    <x:row r="34" spans="3:14" s="40" customFormat="1" ht="21.75" customHeight="1" x14ac:dyDescent="0.2">
      <x:c r="C34" s="66">
        <x:v>368</x:v>
      </x:c>
      <x:c r="D34" s="141">
        <x:v>167948847.31999999</x:v>
      </x:c>
      <x:c r="E34" s="40" t="s">
        <x:v>78</x:v>
      </x:c>
      <x:c r="K34" s="64"/>
      <x:c r="L34" s="64"/>
      <x:c r="M34" s="64"/>
    </x:row>
    <x:row r="35" spans="3:14" s="40" customFormat="1" ht="21.75" customHeight="1" x14ac:dyDescent="0.2">
      <x:c r="C35" s="66">
        <x:v>368</x:v>
      </x:c>
      <x:c r="D35" s="141">
        <x:v>2781139440.8000002</x:v>
      </x:c>
      <x:c r="E35" s="40" t="s">
        <x:v>79</x:v>
      </x:c>
      <x:c r="K35" s="64"/>
      <x:c r="L35" s="64"/>
      <x:c r="M35" s="64"/>
    </x:row>
    <x:row r="36" spans="3:14" s="40" customFormat="1" ht="21.75" customHeight="1" x14ac:dyDescent="0.2">
      <x:c r="C36" s="66">
        <x:v>368</x:v>
      </x:c>
      <x:c r="D36" s="142">
        <x:v>120747756.31999999</x:v>
      </x:c>
      <x:c r="E36" s="40" t="s">
        <x:v>80</x:v>
      </x:c>
      <x:c r="K36" s="55"/>
      <x:c r="L36" s="65"/>
      <x:c r="M36" s="65"/>
      <x:c r="N36" s="48"/>
    </x:row>
    <x:row r="37" spans="3:14" s="40" customFormat="1" ht="21.75" customHeight="1" x14ac:dyDescent="0.2">
      <x:c r="C37" s="66">
        <x:v>368</x:v>
      </x:c>
      <x:c r="D37" s="141">
        <x:f>SUM(D33:D36)</x:f>
        <x:v>3167665925.5700002</x:v>
      </x:c>
      <x:c r="E37" s="40" t="s">
        <x:v>72</x:v>
      </x:c>
      <x:c r="K37" s="63"/>
      <x:c r="L37" s="48"/>
      <x:c r="M37" s="50"/>
      <x:c r="N37" s="49"/>
    </x:row>
    <x:row r="38" spans="3:14" ht="21.75" customHeight="1" x14ac:dyDescent="0.35">
      <x:c r="K38" s="58"/>
      <x:c r="L38" s="60"/>
      <x:c r="M38" s="61"/>
      <x:c r="N38" s="59"/>
    </x:row>
    <x:row r="39" spans="3:14" ht="21.75" customHeight="1" x14ac:dyDescent="0.35">
      <x:c r="K39" s="58"/>
      <x:c r="L39" s="60"/>
      <x:c r="M39" s="61"/>
      <x:c r="N39" s="59"/>
    </x:row>
    <x:row r="40" spans="3:14" ht="21.75" customHeight="1" x14ac:dyDescent="0.35">
      <x:c r="K40" s="58"/>
      <x:c r="L40" s="58"/>
      <x:c r="M40" s="58"/>
      <x:c r="N40" s="59"/>
    </x:row>
    <x:row r="41" spans="3:14" ht="21.75" customHeight="1" x14ac:dyDescent="0.35">
      <x:c r="K41" s="58"/>
      <x:c r="L41" s="58"/>
      <x:c r="M41" s="61"/>
      <x:c r="N41" s="59"/>
    </x:row>
    <x:row r="42" spans="3:14" ht="21.75" customHeight="1" x14ac:dyDescent="0.35">
      <x:c r="K42" s="58"/>
      <x:c r="L42" s="58"/>
      <x:c r="M42" s="58"/>
      <x:c r="N42" s="59"/>
    </x:row>
    <x:row r="43" spans="3:14" ht="21.75" customHeight="1" x14ac:dyDescent="0.35">
      <x:c r="K43" s="60"/>
      <x:c r="L43" s="58"/>
      <x:c r="M43" s="58"/>
      <x:c r="N43" s="59"/>
    </x:row>
    <x:row r="44" spans="3:14" ht="21.75" customHeight="1" x14ac:dyDescent="0.35">
      <x:c r="K44" s="58"/>
      <x:c r="L44" s="58"/>
      <x:c r="M44" s="61"/>
      <x:c r="N44" s="59"/>
    </x:row>
    <x:row r="45" spans="3:14" ht="21.75" customHeight="1" x14ac:dyDescent="0.35">
      <x:c r="K45" s="58"/>
      <x:c r="L45" s="58"/>
      <x:c r="M45" s="61"/>
      <x:c r="N45" s="59"/>
    </x:row>
    <x:row r="46" spans="3:14" ht="21.75" customHeight="1" x14ac:dyDescent="0.35">
      <x:c r="K46" s="60"/>
      <x:c r="L46" s="58"/>
      <x:c r="M46" s="61"/>
      <x:c r="N46" s="59"/>
    </x:row>
  </x:sheetData>
  <x:mergeCells count="6">
    <x:mergeCell ref="B8:I8"/>
    <x:mergeCell ref="B1:I1"/>
    <x:mergeCell ref="B2:I2"/>
    <x:mergeCell ref="B3:I3"/>
    <x:mergeCell ref="B4:I4"/>
    <x:mergeCell ref="B5:I5"/>
  </x:mergeCells>
  <x:pageMargins left="1.5" right="0.5" top="1.5" bottom="0.75" header="1" footer="0.3"/>
  <x:pageSetup scale="64" orientation="portrait" r:id="rId1"/>
  <x:headerFooter>
    <x:oddHeader>&amp;RWP II-I-2.4
Page 4 of 4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2025-03-19T19:15:09.0000000Z</dcterms:modified>
</coreProperties>
</file>