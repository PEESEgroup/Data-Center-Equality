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I (Class Allocation)\Schedule II-I WP\"/>
    </mc:Choice>
  </mc:AlternateContent>
  <xr:revisionPtr revIDLastSave="0" documentId="13_ncr:1_{B41EDC38-E9CA-428D-A4DB-7FD887F8E703}" xr6:coauthVersionLast="47" xr6:coauthVersionMax="47" xr10:uidLastSave="{00000000-0000-0000-0000-000000000000}"/>
  <x:bookViews>
    <x:workbookView xWindow="-120" yWindow="-120" windowWidth="29040" windowHeight="15720" xr2:uid="{00000000-000D-0000-FFFF-FFFF00000000}"/>
  </x:bookViews>
  <x:sheets>
    <x:sheet name="Sheet1" sheetId="1" r:id="rId1"/>
  </x:sheets>
  <x:externalReferences>
    <x:externalReference r:id="rId2"/>
  </x:externalReferences>
  <x:definedNames>
    <x:definedName name="_xlnm.Print_Area" localSheetId="0">Sheet1!$B$2:$O$28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N22" i="1" l="1"/>
  <x:c r="E20" i="1"/>
  <x:c r="E22" i="1"/>
  <x:c r="E23" i="1"/>
  <x:c r="N20" i="1"/>
  <x:c r="B27" i="1"/>
  <x:c r="E16" i="1"/>
  <x:c r="L19" i="1"/>
  <x:c r="K19" i="1"/>
  <x:c r="J19" i="1"/>
  <x:c r="I19" i="1"/>
  <x:c r="H19" i="1"/>
  <x:c r="G19" i="1"/>
  <x:c r="F19" i="1"/>
  <x:c r="E19" i="1"/>
  <x:c r="L18" i="1"/>
  <x:c r="K18" i="1"/>
  <x:c r="J18" i="1"/>
  <x:c r="I18" i="1"/>
  <x:c r="H18" i="1"/>
  <x:c r="G18" i="1"/>
  <x:c r="F18" i="1"/>
  <x:c r="E18" i="1"/>
  <x:c r="L17" i="1"/>
  <x:c r="K17" i="1"/>
  <x:c r="J17" i="1"/>
  <x:c r="I17" i="1"/>
  <x:c r="H17" i="1"/>
  <x:c r="G17" i="1"/>
  <x:c r="F17" i="1"/>
  <x:c r="E17" i="1"/>
  <x:c r="L16" i="1"/>
  <x:c r="K16" i="1"/>
  <x:c r="J16" i="1"/>
  <x:c r="I16" i="1"/>
  <x:c r="H16" i="1"/>
  <x:c r="G16" i="1"/>
  <x:c r="F16" i="1"/>
  <x:c r="B24" i="1" l="1"/>
  <x:c r="B25" i="1" s="1"/>
  <x:c r="B26" i="1" s="1"/>
  <x:c r="P16" i="1" l="1"/>
  <x:c r="P19" i="1"/>
  <x:c r="P18" i="1"/>
  <x:c r="P17" i="1"/>
  <x:c r="L20" i="1"/>
  <x:c r="L22" i="1" s="1"/>
  <x:c r="K20" i="1"/>
  <x:c r="K22" i="1" s="1"/>
  <x:c r="I20" i="1"/>
  <x:c r="I22" i="1" s="1"/>
  <x:c r="J20" i="1"/>
  <x:c r="J22" i="1" s="1"/>
  <x:c r="H20" i="1"/>
  <x:c r="H22" i="1" s="1"/>
  <x:c r="G20" i="1"/>
  <x:c r="G22" i="1" s="1"/>
  <x:c r="F20" i="1"/>
  <x:c r="F22" i="1" s="1"/>
  <x:c r="B16" i="1"/>
  <x:c r="B17" i="1" s="1"/>
  <x:c r="B18" i="1" s="1"/>
  <x:c r="B19" i="1" s="1"/>
  <x:c r="B20" i="1" s="1"/>
  <x:c r="B21" i="1" s="1"/>
  <x:c r="B22" i="1" s="1"/>
  <x:c r="B23" i="1" s="1"/>
  <x:c r="P22" i="1" l="1"/>
  <x:c r="P20" i="1"/>
  <x:c r="J23" i="1" l="1"/>
  <x:c r="K23" i="1"/>
  <x:c r="G23" i="1"/>
  <x:c r="H23" i="1"/>
  <x:c r="F23" i="1"/>
  <x:c r="I23" i="1"/>
</x:calcChain>
</file>

<file path=xl/sharedStrings.xml><?xml version="1.0" encoding="utf-8"?>
<sst xmlns="http://schemas.openxmlformats.org/spreadsheetml/2006/main" count="40" uniqueCount="40">
  <si>
    <t xml:space="preserve"> </t>
  </si>
  <si>
    <t>Line</t>
  </si>
  <si>
    <t>RES</t>
  </si>
  <si>
    <t>SEC &lt;10</t>
  </si>
  <si>
    <t>SEC &gt; 10</t>
  </si>
  <si>
    <t>PRI &lt;10</t>
  </si>
  <si>
    <t>Pri Subst</t>
  </si>
  <si>
    <t>PRI &gt;10 DLS</t>
  </si>
  <si>
    <t>TRAN</t>
  </si>
  <si>
    <t>LIGHT</t>
  </si>
  <si>
    <t>TOTAL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</si>
  <si>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</si>
  <si>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</si>
  <si>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</si>
  <si>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</si>
  <si>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</si>
  <si>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</si>
  <si>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</si>
  <si>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</si>
  <si>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</si>
  <si>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AVERAGE</t>
  </si>
  <si>
    <t>Class kW at Source</t>
  </si>
  <si>
    <t>Total</t>
  </si>
  <si>
    <t>%</t>
  </si>
  <si>
    <t>ONCOR ELECTRIC DELIVERY COMPANY LLC</t>
  </si>
  <si>
    <t>II-I-2:  CLASS ALLOCATION FACTORS</t>
  </si>
  <si>
    <t>Class % at Source</t>
  </si>
  <si>
    <t>WP_II-H-1.3_3</t>
  </si>
  <si>
    <t>Oncor Electric</t>
  </si>
  <si>
    <t>JUN 2024</t>
  </si>
  <si>
    <t>JUL 2024</t>
  </si>
  <si>
    <t>AUG 2024</t>
  </si>
  <si>
    <t>SEP 2024</t>
  </si>
  <si>
    <t>TEST YEAR ENDING 12/31/2024</t>
  </si>
  <si>
    <t>SPONSOR:  MATTHEW A. TROXLE</t>
  </si>
  <si>
    <t>Oncor Load Ratio Share %</t>
  </si>
  <si>
    <t>2024 ERCOT 4CP Average Total:</t>
  </si>
  <si>
    <r>
      <t>Delivery per Docket 57491</t>
    </r>
    <r>
      <rPr>
        <b/>
        <sz val="11"/>
        <rFont val="Arial"/>
        <family val="2"/>
      </rPr>
      <t>*</t>
    </r>
  </si>
  <si>
    <t>WORKPAPER - RETAIL 2024 4CP DEMAND COINCIDENT WITH ERCOT PEAK from ERCOT Docket No. 57491</t>
  </si>
  <si>
    <t>*2024 Oncor 4CP data filed by ERCOT in Docket No. 57491 and is found on the Interchange Item # 29 submitted on 1/8/25.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</si>
</sst>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0%"/>
    <numFmt numFmtId="166" formatCode="0.0000000"/>
    <numFmt numFmtId="167" formatCode="0.00000000%"/>
    <numFmt numFmtId="168" formatCode="0.00000%"/>
    <numFmt numFmtId="169" formatCode="_(* #,##0.000_);_(* \(#,##0.000\);_(* &quot;-&quot;??_);_(@_)"/>
  </numFmts>
  <fonts count="11" x14ac:knownFonts="1">
    <font>
      <sz val="11"/>
      <name val="Arial"/>
    </font>
    <font>
      <sz val="11"/>
      <name val="Arial"/>
      <family val="2"/>
    </font>
    <font>
      <sz val="12"/>
      <name val="Arial"/>
      <family val="2"/>
    </font>
    <font>
      <sz val="9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Times New Roman"/>
      <family val="1"/>
    </font>
    <font>
      <sz val="11"/>
      <name val="Arial"/>
      <family val="2"/>
    </font>
    <font>
      <u val="singleAccounting"/>
      <sz val="11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 applyFill="1" applyBorder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49" fontId="5" fillId="0" borderId="0" xfId="0" applyNumberFormat="1" applyFont="1" applyAlignment="1">
      <alignment horizontal="centerContinuous"/>
    </xf>
    <xf numFmtId="49" fontId="6" fillId="0" borderId="0" xfId="0" applyNumberFormat="1" applyFont="1" applyAlignment="1">
      <alignment horizontal="centerContinuous"/>
    </xf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0" fontId="7" fillId="0" borderId="0" xfId="0" quotePrefix="1" applyFont="1" applyBorder="1" applyAlignment="1">
      <alignment horizontal="right" indent="1"/>
    </xf>
    <xf numFmtId="0" fontId="7" fillId="0" borderId="0" xfId="0" applyFont="1" applyAlignment="1">
      <alignment horizontal="left" indent="1"/>
    </xf>
    <xf numFmtId="165" fontId="7" fillId="0" borderId="0" xfId="2" applyNumberFormat="1" applyFont="1"/>
    <xf numFmtId="9" fontId="4" fillId="0" borderId="0" xfId="2" applyFont="1" applyFill="1" applyBorder="1" applyAlignment="1">
      <alignment horizontal="center"/>
    </xf>
    <xf numFmtId="17" fontId="7" fillId="0" borderId="0" xfId="0" quotePrefix="1" applyNumberFormat="1" applyFont="1" applyBorder="1" applyAlignment="1">
      <alignment horizontal="right" indent="1"/>
    </xf>
    <xf numFmtId="0" fontId="7" fillId="0" borderId="0" xfId="0" applyFont="1" applyFill="1" applyBorder="1" applyAlignment="1">
      <alignment horizontal="right" indent="1"/>
    </xf>
    <xf numFmtId="0" fontId="7" fillId="0" borderId="0" xfId="0" applyFont="1" applyBorder="1"/>
    <xf numFmtId="166" fontId="7" fillId="0" borderId="0" xfId="0" applyNumberFormat="1" applyFont="1" applyBorder="1"/>
    <xf numFmtId="0" fontId="4" fillId="0" borderId="0" xfId="0" applyFont="1" applyFill="1" applyBorder="1" applyAlignment="1">
      <alignment horizontal="right" indent="1"/>
    </xf>
    <xf numFmtId="0" fontId="0" fillId="0" borderId="0" xfId="0" applyBorder="1"/>
    <xf numFmtId="0" fontId="8" fillId="0" borderId="0" xfId="0" applyFont="1" applyBorder="1" applyAlignment="1">
      <alignment horizontal="center"/>
    </xf>
    <xf numFmtId="164" fontId="7" fillId="0" borderId="0" xfId="1" applyNumberFormat="1" applyFont="1" applyBorder="1"/>
    <xf numFmtId="0" fontId="4" fillId="0" borderId="0" xfId="0" applyFont="1" applyBorder="1" applyAlignment="1">
      <alignment horizontal="left" indent="1"/>
    </xf>
    <xf numFmtId="164" fontId="4" fillId="0" borderId="0" xfId="1" applyNumberFormat="1" applyFont="1" applyFill="1" applyBorder="1"/>
    <xf numFmtId="0" fontId="1" fillId="0" borderId="0" xfId="0" applyFont="1"/>
    <xf numFmtId="167" fontId="0" fillId="0" borderId="0" xfId="0" applyNumberFormat="1"/>
    <xf numFmtId="0" fontId="4" fillId="0" borderId="0" xfId="0" applyFont="1" applyFill="1" applyBorder="1" applyAlignment="1">
      <alignment horizontal="centerContinuous"/>
    </xf>
    <xf numFmtId="164" fontId="1" fillId="0" borderId="0" xfId="1" applyNumberFormat="1" applyFont="1" applyFill="1" applyBorder="1"/>
    <xf numFmtId="0" fontId="1" fillId="0" borderId="0" xfId="0" applyFont="1" applyAlignment="1"/>
    <xf numFmtId="0" fontId="1" fillId="0" borderId="0" xfId="0" applyFont="1" applyFill="1" applyBorder="1" applyAlignment="1">
      <alignment horizontal="center"/>
    </xf>
    <xf numFmtId="9" fontId="1" fillId="0" borderId="0" xfId="2" applyFont="1" applyFill="1" applyBorder="1" applyAlignment="1">
      <alignment horizontal="center"/>
    </xf>
    <xf numFmtId="164" fontId="0" fillId="0" borderId="0" xfId="0" applyNumberFormat="1"/>
    <xf numFmtId="0" fontId="1" fillId="0" borderId="0" xfId="0" quotePrefix="1" applyFont="1" applyFill="1" applyBorder="1" applyAlignment="1">
      <alignment horizontal="right" indent="1"/>
    </xf>
    <xf numFmtId="43" fontId="4" fillId="0" borderId="0" xfId="1" applyFont="1" applyFill="1" applyBorder="1"/>
    <xf numFmtId="0" fontId="4" fillId="0" borderId="0" xfId="0" applyFont="1" applyAlignment="1">
      <alignment horizontal="centerContinuous"/>
    </xf>
    <xf numFmtId="0" fontId="4" fillId="0" borderId="0" xfId="0" applyFont="1"/>
    <xf numFmtId="168" fontId="4" fillId="0" borderId="0" xfId="0" applyNumberFormat="1" applyFont="1"/>
    <xf numFmtId="43" fontId="4" fillId="0" borderId="0" xfId="0" applyNumberFormat="1" applyFont="1"/>
    <xf numFmtId="169" fontId="4" fillId="0" borderId="0" xfId="1" applyNumberFormat="1" applyFont="1"/>
    <xf numFmtId="49" fontId="4" fillId="0" borderId="0" xfId="0" applyNumberFormat="1" applyFont="1" applyFill="1" applyBorder="1" applyAlignment="1">
      <alignment horizontal="center"/>
    </xf>
    <xf numFmtId="0" fontId="10" fillId="0" borderId="0" xfId="0" applyFont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H%20(Historic%20Billing%20Determinants)/II-H-1.3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I-H-1.3_3"/>
    </sheetNames>
    <sheetDataSet>
      <sheetData sheetId="0">
        <row r="25">
          <cell r="E25">
            <v>0.45390508716516609</v>
          </cell>
          <cell r="F25">
            <v>7.8338353406129171E-3</v>
          </cell>
          <cell r="G25">
            <v>0.26668262050374963</v>
          </cell>
          <cell r="H25">
            <v>9.5865016495325536E-5</v>
          </cell>
          <cell r="I25">
            <v>9.2560636108286728E-2</v>
          </cell>
          <cell r="J25">
            <v>4.1049316204451111E-2</v>
          </cell>
          <cell r="K25">
            <v>0.13787263966123819</v>
          </cell>
          <cell r="L25">
            <v>0</v>
          </cell>
        </row>
        <row r="26">
          <cell r="E26">
            <v>0.44083732951549082</v>
          </cell>
          <cell r="F26">
            <v>9.0799663603140755E-3</v>
          </cell>
          <cell r="G26">
            <v>0.31199512863167966</v>
          </cell>
          <cell r="H26">
            <v>9.8596509876477928E-5</v>
          </cell>
          <cell r="I26">
            <v>9.5570347643275239E-2</v>
          </cell>
          <cell r="J26">
            <v>3.1399583382256707E-2</v>
          </cell>
          <cell r="K26">
            <v>0.1110190479571071</v>
          </cell>
          <cell r="L26">
            <v>0</v>
          </cell>
        </row>
        <row r="27">
          <cell r="E27">
            <v>0.44561797836456102</v>
          </cell>
          <cell r="F27">
            <v>9.0838332529539472E-3</v>
          </cell>
          <cell r="G27">
            <v>0.31671937635767333</v>
          </cell>
          <cell r="H27">
            <v>8.9344784922224199E-5</v>
          </cell>
          <cell r="I27">
            <v>9.2658058452556105E-2</v>
          </cell>
          <cell r="J27">
            <v>3.121788974218339E-2</v>
          </cell>
          <cell r="K27">
            <v>0.10461351904515</v>
          </cell>
          <cell r="L27">
            <v>0</v>
          </cell>
        </row>
        <row r="28">
          <cell r="E28">
            <v>0.41279953247751894</v>
          </cell>
          <cell r="F28">
            <v>9.375173097350387E-3</v>
          </cell>
          <cell r="G28">
            <v>0.3260940500699836</v>
          </cell>
          <cell r="H28">
            <v>1.0312961230258168E-4</v>
          </cell>
          <cell r="I28">
            <v>9.9212246888334465E-2</v>
          </cell>
          <cell r="J28">
            <v>3.434925886553282E-2</v>
          </cell>
          <cell r="K28">
            <v>0.11806660898897715</v>
          </cell>
          <cell r="L28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P27"/>
  <x:sheetViews>
    <x:sheetView tabSelected="1" view="pageLayout" topLeftCell="A4" zoomScaleNormal="75" zoomScaleSheetLayoutView="75" workbookViewId="0">
      <x:selection activeCell="H26" sqref="H26"/>
    </x:sheetView>
  </x:sheetViews>
  <x:sheetFormatPr defaultRowHeight="14" x14ac:dyDescent="0.3"/>
  <x:cols>
    <x:col min="1" max="1" width="1.5" customWidth="1"/>
    <x:col min="2" max="2" width="5.25" customWidth="1"/>
    <x:col min="3" max="3" width="20.58203125" bestFit="1" customWidth="1"/>
    <x:col min="4" max="4" width="1.5" customWidth="1"/>
    <x:col min="5" max="5" width="14" customWidth="1"/>
    <x:col min="6" max="6" width="15.33203125" customWidth="1"/>
    <x:col min="7" max="7" width="16.75" customWidth="1"/>
    <x:col min="8" max="8" width="15.33203125" customWidth="1"/>
    <x:col min="9" max="9" width="14.08203125" customWidth="1"/>
    <x:col min="10" max="10" width="14.83203125" customWidth="1"/>
    <x:col min="11" max="11" width="15.83203125" customWidth="1"/>
    <x:col min="12" max="12" width="22.08203125" customWidth="1"/>
    <x:col min="13" max="13" width="1.5" customWidth="1"/>
    <x:col min="14" max="14" width="25.75" customWidth="1"/>
    <x:col min="15" max="15" width="1.5" customWidth="1"/>
    <x:col min="16" max="16" width="11.5" bestFit="1" customWidth="1"/>
  </x:cols>
  <x:sheetData>
    <x:row r="1" spans="1:16" ht="15.5" x14ac:dyDescent="0.3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6" ht="15.5" x14ac:dyDescent="0.35">
      <x:c r="A2" s="1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47"/>
      <x:c r="O2" s="2"/>
    </x:row>
    <x:row r="3" spans="1:16" ht="15.5" x14ac:dyDescent="0.35">
      <x:c r="A3" s="1"/>
      <x:c r="B3" s="33"/>
      <x:c r="C3" s="4"/>
      <x:c r="D3" s="4"/>
      <x:c r="E3" s="4"/>
      <x:c r="F3" s="4"/>
      <x:c r="G3" s="5"/>
      <x:c r="H3" s="4"/>
      <x:c r="I3" s="4"/>
      <x:c r="J3" s="4"/>
      <x:c r="K3" s="4"/>
      <x:c r="L3" s="4"/>
      <x:c r="M3" s="4"/>
      <x:c r="N3" s="4"/>
      <x:c r="O3" s="4"/>
    </x:row>
    <x:row r="4" spans="1:16" ht="15.5" x14ac:dyDescent="0.35">
      <x:c r="A4" s="1"/>
      <x:c r="B4" s="33" t="s">
        <x:v>24</x:v>
      </x:c>
      <x:c r="C4" s="4"/>
      <x:c r="D4" s="4"/>
      <x:c r="E4" s="4"/>
      <x:c r="F4" s="4"/>
      <x:c r="G4" s="5"/>
      <x:c r="H4" s="4"/>
      <x:c r="I4" s="4"/>
      <x:c r="J4" s="4"/>
      <x:c r="K4" s="4"/>
      <x:c r="L4" s="4"/>
      <x:c r="M4" s="4"/>
      <x:c r="N4" s="4"/>
      <x:c r="O4" s="4"/>
    </x:row>
    <x:row r="5" spans="1:16" ht="15.5" x14ac:dyDescent="0.35">
      <x:c r="A5" s="1"/>
      <x:c r="B5" s="33" t="s">
        <x:v>25</x:v>
      </x:c>
      <x:c r="C5" s="4"/>
      <x:c r="D5" s="4"/>
      <x:c r="E5" s="4"/>
      <x:c r="F5" s="4"/>
      <x:c r="G5" s="5"/>
      <x:c r="H5" s="4"/>
      <x:c r="I5" s="4"/>
      <x:c r="J5" s="4"/>
      <x:c r="K5" s="4"/>
      <x:c r="L5" s="4"/>
      <x:c r="M5" s="4"/>
      <x:c r="N5" s="4"/>
      <x:c r="O5" s="4"/>
    </x:row>
    <x:row r="6" spans="1:16" ht="15.5" x14ac:dyDescent="0.35">
      <x:c r="A6" s="1"/>
      <x:c r="B6" s="33" t="s">
        <x:v>33</x:v>
      </x:c>
      <x:c r="C6" s="4"/>
      <x:c r="D6" s="4"/>
      <x:c r="E6" s="4"/>
      <x:c r="F6" s="4"/>
      <x:c r="G6" s="5"/>
      <x:c r="H6" s="4"/>
      <x:c r="I6" s="4"/>
      <x:c r="J6" s="4"/>
      <x:c r="K6" s="4"/>
      <x:c r="L6" s="4"/>
      <x:c r="M6" s="4"/>
      <x:c r="N6" s="4"/>
      <x:c r="O6" s="4"/>
    </x:row>
    <x:row r="7" spans="1:16" ht="15.5" x14ac:dyDescent="0.35">
      <x:c r="A7" s="1"/>
      <x:c r="B7" s="41" t="s">
        <x:v>34</x:v>
      </x:c>
      <x:c r="C7" s="4"/>
      <x:c r="D7" s="4"/>
      <x:c r="E7" s="4"/>
      <x:c r="F7" s="4"/>
      <x:c r="G7" s="3"/>
      <x:c r="H7" s="4"/>
      <x:c r="I7" s="4"/>
      <x:c r="J7" s="4"/>
      <x:c r="K7" s="4"/>
      <x:c r="L7" s="4"/>
      <x:c r="M7" s="4"/>
      <x:c r="N7" s="4"/>
      <x:c r="O7" s="4"/>
    </x:row>
    <x:row r="8" spans="1:16" ht="15.5" x14ac:dyDescent="0.35">
      <x:c r="A8" s="1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</x:row>
    <x:row r="9" spans="1:16" ht="15.5" x14ac:dyDescent="0.35">
      <x:c r="A9" s="1"/>
      <x:c r="B9" s="4"/>
      <x:c r="C9" s="4"/>
      <x:c r="D9" s="4"/>
      <x:c r="E9" s="4"/>
      <x:c r="F9" s="4"/>
      <x:c r="G9" s="6"/>
      <x:c r="H9" s="4"/>
      <x:c r="I9" s="4"/>
      <x:c r="J9" s="4"/>
      <x:c r="K9" s="4"/>
      <x:c r="L9" s="4"/>
      <x:c r="M9" s="4"/>
      <x:c r="N9" s="4"/>
      <x:c r="O9" s="4"/>
    </x:row>
    <x:row r="10" spans="1:16" ht="15.5" x14ac:dyDescent="0.35">
      <x:c r="A10" s="1"/>
      <x:c r="B10" s="3" t="s">
        <x:v>38</x:v>
      </x:c>
      <x:c r="C10" s="4"/>
      <x:c r="D10" s="4"/>
      <x:c r="E10" s="4"/>
      <x:c r="F10" s="4"/>
      <x:c r="G10" s="5"/>
      <x:c r="H10" s="4"/>
      <x:c r="I10" s="4"/>
      <x:c r="J10" s="4"/>
      <x:c r="K10" s="4"/>
      <x:c r="L10" s="4"/>
      <x:c r="M10" s="4"/>
      <x:c r="N10" s="4"/>
      <x:c r="O10" s="4"/>
    </x:row>
    <x:row r="11" spans="1:16" ht="15.5" x14ac:dyDescent="0.35">
      <x:c r="A11" s="1"/>
      <x:c r="B11" s="7"/>
      <x:c r="C11" s="7"/>
      <x:c r="D11" s="7"/>
      <x:c r="E11" s="7"/>
      <x:c r="F11" s="7"/>
      <x:c r="G11" s="8"/>
      <x:c r="H11" s="7"/>
      <x:c r="I11" s="7"/>
      <x:c r="J11" s="7"/>
      <x:c r="K11" s="7"/>
      <x:c r="L11" s="7"/>
      <x:c r="M11" s="7"/>
      <x:c r="N11" s="7"/>
      <x:c r="O11" s="7"/>
    </x:row>
    <x:row r="12" spans="1:16" ht="15.5" x14ac:dyDescent="0.35">
      <x:c r="A12" s="1"/>
      <x:c r="B12" s="9" t="s">
        <x:v>1</x:v>
      </x:c>
      <x:c r="C12" s="10"/>
      <x:c r="D12" s="10"/>
      <x:c r="E12" s="11" t="s">
        <x:v>2</x:v>
      </x:c>
      <x:c r="F12" s="11" t="s">
        <x:v>3</x:v>
      </x:c>
      <x:c r="G12" s="11" t="s">
        <x:v>4</x:v>
      </x:c>
      <x:c r="H12" s="11" t="s">
        <x:v>5</x:v>
      </x:c>
      <x:c r="I12" s="11" t="s">
        <x:v>7</x:v>
      </x:c>
      <x:c r="J12" s="11" t="s">
        <x:v>6</x:v>
      </x:c>
      <x:c r="K12" s="11" t="s">
        <x:v>8</x:v>
      </x:c>
      <x:c r="L12" s="11" t="s">
        <x:v>9</x:v>
      </x:c>
      <x:c r="M12" s="11"/>
      <x:c r="N12" s="11" t="s">
        <x:v>10</x:v>
      </x:c>
      <x:c r="O12" s="11"/>
    </x:row>
    <x:row r="13" spans="1:16" ht="15.5" x14ac:dyDescent="0.35">
      <x:c r="A13" s="1"/>
      <x:c r="B13" s="12"/>
      <x:c r="C13" s="35" t="s">
        <x:v>26</x:v>
      </x:c>
      <x:c r="D13" s="13"/>
      <x:c r="E13" s="14" t="s">
        <x:v>11</x:v>
      </x:c>
      <x:c r="F13" s="14" t="s">
        <x:v>12</x:v>
      </x:c>
      <x:c r="G13" s="14" t="s">
        <x:v>13</x:v>
      </x:c>
      <x:c r="H13" s="14" t="s">
        <x:v>14</x:v>
      </x:c>
      <x:c r="I13" s="14" t="s">
        <x:v>15</x:v>
      </x:c>
      <x:c r="J13" s="14" t="s">
        <x:v>16</x:v>
      </x:c>
      <x:c r="K13" s="14" t="s">
        <x:v>17</x:v>
      </x:c>
      <x:c r="L13" s="14" t="s">
        <x:v>18</x:v>
      </x:c>
      <x:c r="N13" s="14" t="s">
        <x:v>19</x:v>
      </x:c>
      <x:c r="O13" s="13"/>
    </x:row>
    <x:row r="14" spans="1:16" ht="15.5" x14ac:dyDescent="0.35">
      <x:c r="A14" s="1"/>
      <x:c r="B14" s="15"/>
      <x:c r="C14" s="35" t="s">
        <x:v>27</x:v>
      </x:c>
      <x:c r="D14" s="18"/>
      <x:c r="E14" s="19"/>
      <x:c r="F14" s="19"/>
      <x:c r="G14" s="19"/>
      <x:c r="H14" s="19"/>
      <x:c r="I14" s="19"/>
      <x:c r="J14" s="19"/>
      <x:c r="K14" s="19"/>
      <x:c r="L14" s="19"/>
      <x:c r="M14" s="19"/>
      <x:c r="N14" s="37" t="s">
        <x:v>28</x:v>
      </x:c>
      <x:c r="O14" s="20"/>
    </x:row>
    <x:row r="15" spans="1:16" ht="15.5" x14ac:dyDescent="0.35">
      <x:c r="A15" s="1"/>
      <x:c r="B15" s="15">
        <x:v>1</x:v>
      </x:c>
      <x:c r="C15" s="29" t="s">
        <x:v>21</x:v>
      </x:c>
      <x:c r="D15" s="29"/>
      <x:c r="E15" s="11"/>
      <x:c r="F15" s="11"/>
      <x:c r="G15" s="11"/>
      <x:c r="H15" s="11"/>
      <x:c r="I15" s="11"/>
      <x:c r="J15" s="11"/>
      <x:c r="K15" s="11"/>
      <x:c r="L15" s="11"/>
      <x:c r="M15" s="10"/>
      <x:c r="N15" s="36" t="s">
        <x:v>37</x:v>
      </x:c>
      <x:c r="O15" s="10"/>
    </x:row>
    <x:row r="16" spans="1:16" ht="15.5" x14ac:dyDescent="0.35">
      <x:c r="A16" s="1"/>
      <x:c r="B16" s="15">
        <x:f t="shared" ref="B16:B27" si="0">B15+1</x:f>
        <x:v>2</x:v>
      </x:c>
      <x:c r="C16" s="39" t="s">
        <x:v>29</x:v>
      </x:c>
      <x:c r="D16" s="21"/>
      <x:c r="E16" s="34">
        <x:f>[1]Sheet1!$E$25*$N$16</x:f>
        <x:v>13074977.840110643</x:v>
      </x:c>
      <x:c r="F16" s="34">
        <x:f>[1]Sheet1!F$25*$N$16</x:f>
        <x:v>225657.80022711772</x:v>
      </x:c>
      <x:c r="G16" s="34">
        <x:f>[1]Sheet1!G$25*$N$16</x:f>
        <x:v>7681934.950776103</x:v>
      </x:c>
      <x:c r="H16" s="34">
        <x:f>[1]Sheet1!H$25*$N$16</x:f>
        <x:v>2761.4428693594396</x:v>
      </x:c>
      <x:c r="I16" s="34">
        <x:f>[1]Sheet1!I$25*$N$16</x:f>
        <x:v>2666258.4320012666</x:v>
      </x:c>
      <x:c r="J16" s="34">
        <x:f>[1]Sheet1!J$25*$N$16</x:f>
        <x:v>1182447.4210609426</x:v>
      </x:c>
      <x:c r="K16" s="34">
        <x:f>[1]Sheet1!K$25*$N$16</x:f>
        <x:v>3971494.8329545665</x:v>
      </x:c>
      <x:c r="L16" s="34">
        <x:f>[1]Sheet1!L$25*$N$16</x:f>
        <x:v>0</x:v>
      </x:c>
      <x:c r="M16" s="15"/>
      <x:c r="N16" s="40">
        <x:v>28805532.719999999</x:v>
      </x:c>
      <x:c r="O16" s="16"/>
      <x:c r="P16" s="38">
        <x:f>SUM(E16:L16)-N16</x:f>
        <x:v>0</x:v>
      </x:c>
    </x:row>
    <x:row r="17" spans="1:16" ht="15.5" x14ac:dyDescent="0.35">
      <x:c r="A17" s="1"/>
      <x:c r="B17" s="15">
        <x:f t="shared" si="0"/>
        <x:v>3</x:v>
      </x:c>
      <x:c r="C17" s="39" t="s">
        <x:v>30</x:v>
      </x:c>
      <x:c r="D17" s="17"/>
      <x:c r="E17" s="34">
        <x:f>[1]Sheet1!E$26*$N$17</x:f>
        <x:v>12706774.76590923</x:v>
      </x:c>
      <x:c r="F17" s="34">
        <x:f>[1]Sheet1!F$26*$N$17</x:f>
        <x:v>261722.58948522026</x:v>
      </x:c>
      <x:c r="G17" s="34">
        <x:f>[1]Sheet1!G$26*$N$17</x:f>
        <x:v>8993003.9090401549</x:v>
      </x:c>
      <x:c r="H17" s="34">
        <x:f>[1]Sheet1!H$26*$N$17</x:f>
        <x:v>2841.9635993215625</x:v>
      </x:c>
      <x:c r="I17" s="34">
        <x:f>[1]Sheet1!I$26*$N$17</x:f>
        <x:v>2754736.9528289218</x:v>
      </x:c>
      <x:c r="J17" s="34">
        <x:f>[1]Sheet1!J$26*$N$17</x:f>
        <x:v>905067.25966295949</x:v>
      </x:c>
      <x:c r="K17" s="34">
        <x:f>[1]Sheet1!K$26*$N$17</x:f>
        <x:v>3200033.0794741921</x:v>
      </x:c>
      <x:c r="L17" s="34">
        <x:f>[1]Sheet1!L$26*$N$17</x:f>
        <x:v>0</x:v>
      </x:c>
      <x:c r="M17" s="15"/>
      <x:c r="N17" s="40">
        <x:v>28824180.52</x:v>
      </x:c>
      <x:c r="O17" s="16"/>
      <x:c r="P17" s="38">
        <x:f t="shared" ref="P17:P20" si="1">SUM(E17:L17)-N17</x:f>
        <x:v>0</x:v>
      </x:c>
    </x:row>
    <x:row r="18" spans="1:16" ht="15.5" x14ac:dyDescent="0.35">
      <x:c r="A18" s="1"/>
      <x:c r="B18" s="15">
        <x:f t="shared" si="0"/>
        <x:v>4</x:v>
      </x:c>
      <x:c r="C18" s="39" t="s">
        <x:v>31</x:v>
      </x:c>
      <x:c r="D18" s="17"/>
      <x:c r="E18" s="34">
        <x:f>[1]Sheet1!E$27*$N$18</x:f>
        <x:v>13440988.327371702</x:v>
      </x:c>
      <x:c r="F18" s="34">
        <x:f>[1]Sheet1!F$27*$N$18</x:f>
        <x:v>273991.85546517192</x:v>
      </x:c>
      <x:c r="G18" s="34">
        <x:f>[1]Sheet1!G$27*$N$18</x:f>
        <x:v>9553073.8151530623</x:v>
      </x:c>
      <x:c r="H18" s="34">
        <x:f>[1]Sheet1!H$27*$N$18</x:f>
        <x:v>2694.8693041031356</x:v>
      </x:c>
      <x:c r="I18" s="34">
        <x:f>[1]Sheet1!I$27*$N$18</x:f>
        <x:v>2794806.1850387328</x:v>
      </x:c>
      <x:c r="J18" s="34">
        <x:f>[1]Sheet1!J$27*$N$18</x:f>
        <x:v>941612.12518806558</x:v>
      </x:c>
      <x:c r="K18" s="34">
        <x:f>[1]Sheet1!K$27*$N$18</x:f>
        <x:v>3155413.7324791625</x:v>
      </x:c>
      <x:c r="L18" s="34">
        <x:f>[1]Sheet1!L$27*$N$18</x:f>
        <x:v>0</x:v>
      </x:c>
      <x:c r="M18" s="15"/>
      <x:c r="N18" s="40">
        <x:v>30162580.91</x:v>
      </x:c>
      <x:c r="O18" s="16"/>
      <x:c r="P18" s="38">
        <x:f t="shared" si="1"/>
        <x:v>0</x:v>
      </x:c>
    </x:row>
    <x:row r="19" spans="1:16" ht="18" x14ac:dyDescent="0.6">
      <x:c r="A19" s="1"/>
      <x:c r="B19" s="15">
        <x:f t="shared" si="0"/>
        <x:v>5</x:v>
      </x:c>
      <x:c r="C19" s="39" t="s">
        <x:v>32</x:v>
      </x:c>
      <x:c r="D19" s="17"/>
      <x:c r="E19" s="34">
        <x:f>[1]Sheet1!E$28*$N$19</x:f>
        <x:v>11493639.026125744</x:v>
      </x:c>
      <x:c r="F19" s="34">
        <x:f>[1]Sheet1!F$28*$N$19</x:f>
        <x:v>261034.34454412543</x:v>
      </x:c>
      <x:c r="G19" s="34">
        <x:f>[1]Sheet1!G$28*$N$19</x:f>
        <x:v>9079485.3317230493</x:v>
      </x:c>
      <x:c r="H19" s="34">
        <x:f>[1]Sheet1!H$28*$N$19</x:f>
        <x:v>2871.4531956857868</x:v>
      </x:c>
      <x:c r="I19" s="34">
        <x:f>[1]Sheet1!I$28*$N$19</x:f>
        <x:v>2762381.4054767243</x:v>
      </x:c>
      <x:c r="J19" s="34">
        <x:f>[1]Sheet1!J$28*$N$19</x:f>
        <x:v>956391.54396785668</x:v>
      </x:c>
      <x:c r="K19" s="34">
        <x:f>[1]Sheet1!K$28*$N$19</x:f>
        <x:v>3287346.224966811</x:v>
      </x:c>
      <x:c r="L19" s="34">
        <x:f>[1]Sheet1!L$28*$N$19</x:f>
        <x:v>0</x:v>
      </x:c>
      <x:c r="M19" s="27"/>
      <x:c r="N19" s="40">
        <x:v>27843149.329999998</x:v>
      </x:c>
      <x:c r="O19" s="16"/>
      <x:c r="P19" s="38">
        <x:f t="shared" si="1"/>
        <x:v>0</x:v>
      </x:c>
    </x:row>
    <x:row r="20" spans="1:16" ht="15.5" x14ac:dyDescent="0.35">
      <x:c r="A20" s="1"/>
      <x:c r="B20" s="15">
        <x:f t="shared" si="0"/>
        <x:v>6</x:v>
      </x:c>
      <x:c r="C20" s="22" t="s">
        <x:v>22</x:v>
      </x:c>
      <x:c r="D20" s="22"/>
      <x:c r="E20" s="28">
        <x:f>SUM(E16:E19)</x:f>
        <x:v>50716379.959517315</x:v>
      </x:c>
      <x:c r="F20" s="28">
        <x:f t="shared" ref="F20:L20" si="2">SUM(F16:F19)</x:f>
        <x:v>1022406.5897216354</x:v>
      </x:c>
      <x:c r="G20" s="28">
        <x:f t="shared" si="2"/>
        <x:v>35307498.006692365</x:v>
      </x:c>
      <x:c r="H20" s="28">
        <x:f t="shared" si="2"/>
        <x:v>11169.728968469924</x:v>
      </x:c>
      <x:c r="I20" s="28">
        <x:f t="shared" si="2"/>
        <x:v>10978182.975345645</x:v>
      </x:c>
      <x:c r="J20" s="28">
        <x:f>SUM(J16:J19)</x:f>
        <x:v>3985518.3498798241</x:v>
      </x:c>
      <x:c r="K20" s="28">
        <x:f t="shared" si="2"/>
        <x:v>13614287.869874733</x:v>
      </x:c>
      <x:c r="L20" s="28">
        <x:f t="shared" si="2"/>
        <x:v>0</x:v>
      </x:c>
      <x:c r="M20" s="23"/>
      <x:c r="N20" s="40">
        <x:f>SUM(N16:N19)</x:f>
        <x:v>115635443.47999999</x:v>
      </x:c>
      <x:c r="O20" s="10"/>
      <x:c r="P20" s="38">
        <x:f t="shared" si="1"/>
        <x:v>0</x:v>
      </x:c>
    </x:row>
    <x:row r="21" spans="1:16" ht="15.5" x14ac:dyDescent="0.35">
      <x:c r="A21" s="1"/>
      <x:c r="B21" s="15">
        <x:f t="shared" si="0"/>
        <x:v>7</x:v>
      </x:c>
      <x:c r="C21" s="22"/>
      <x:c r="D21" s="22"/>
      <x:c r="E21" s="24"/>
      <x:c r="F21" s="24"/>
      <x:c r="G21" s="24"/>
      <x:c r="H21" s="24"/>
      <x:c r="I21" s="24"/>
      <x:c r="J21" s="10"/>
      <x:c r="K21" s="24"/>
      <x:c r="L21" s="24"/>
      <x:c r="M21" s="23"/>
      <x:c r="N21" s="40"/>
      <x:c r="O21" s="10"/>
    </x:row>
    <x:row r="22" spans="1:16" ht="15.5" x14ac:dyDescent="0.35">
      <x:c r="A22" s="1"/>
      <x:c r="B22" s="15">
        <x:f t="shared" si="0"/>
        <x:v>8</x:v>
      </x:c>
      <x:c r="C22" s="25" t="s">
        <x:v>20</x:v>
      </x:c>
      <x:c r="D22" s="25"/>
      <x:c r="E22" s="30">
        <x:f>E20/4</x:f>
        <x:v>12679094.989879329</x:v>
      </x:c>
      <x:c r="F22" s="30">
        <x:f t="shared" ref="F22:L22" si="3">F20/4</x:f>
        <x:v>255601.64743040886</x:v>
      </x:c>
      <x:c r="G22" s="30">
        <x:f t="shared" si="3"/>
        <x:v>8826874.5016730912</x:v>
      </x:c>
      <x:c r="H22" s="30">
        <x:f t="shared" si="3"/>
        <x:v>2792.4322421174811</x:v>
      </x:c>
      <x:c r="I22" s="30">
        <x:f t="shared" si="3"/>
        <x:v>2744545.7438364113</x:v>
      </x:c>
      <x:c r="J22" s="30">
        <x:f t="shared" si="3"/>
        <x:v>996379.58746995602</x:v>
      </x:c>
      <x:c r="K22" s="30">
        <x:f t="shared" si="3"/>
        <x:v>3403571.9674686831</x:v>
      </x:c>
      <x:c r="L22" s="30">
        <x:f t="shared" si="3"/>
        <x:v>0</x:v>
      </x:c>
      <x:c r="M22" s="26"/>
      <x:c r="N22" s="40">
        <x:f>AVERAGE(N16:N19)</x:f>
        <x:v>28908860.869999997</x:v>
      </x:c>
      <x:c r="O22" s="16"/>
      <x:c r="P22" s="38">
        <x:f t="shared" ref="P22" si="4">SUM(E22:L22)-N22</x:f>
        <x:v>0</x:v>
      </x:c>
    </x:row>
    <x:row r="23" spans="1:16" x14ac:dyDescent="0.3">
      <x:c r="B23" s="15">
        <x:f t="shared" si="0"/>
        <x:v>9</x:v>
      </x:c>
      <x:c r="C23" s="31" t="s">
        <x:v>23</x:v>
      </x:c>
      <x:c r="E23" s="32">
        <x:f>E22/$N$22</x:f>
        <x:v>0.43858853681215043</x:v>
      </x:c>
      <x:c r="F23" s="32">
        <x:f t="shared" ref="F23:K23" si="5">F22/$N$22</x:f>
        <x:v>8.8416367763441694E-3</x:v>
      </x:c>
      <x:c r="G23" s="32">
        <x:f t="shared" si="5"/>
        <x:v>0.30533456649733054</x:v>
      </x:c>
      <x:c r="H23" s="32">
        <x:f t="shared" si="5"/>
        <x:v>9.6594336756288847E-5</x:v>
      </x:c>
      <x:c r="I23" s="32">
        <x:f t="shared" si="5"/>
        <x:v>9.4937872376858259E-2</x:v>
      </x:c>
      <x:c r="J23" s="32">
        <x:f t="shared" si="5"/>
        <x:v>3.446623483196265E-2</x:v>
      </x:c>
      <x:c r="K23" s="32">
        <x:f t="shared" si="5"/>
        <x:v>0.11773455836859764</x:v>
      </x:c>
    </x:row>
    <x:row r="24" spans="1:16" x14ac:dyDescent="0.3">
      <x:c r="B24" s="15">
        <x:f t="shared" si="0"/>
        <x:v>10</x:v>
      </x:c>
      <x:c r="M24" s="42"/>
    </x:row>
    <x:row r="25" spans="1:16" x14ac:dyDescent="0.3">
      <x:c r="B25" s="15">
        <x:f t="shared" si="0"/>
        <x:v>11</x:v>
      </x:c>
      <x:c r="E25" s="42" t="s">
        <x:v>36</x:v>
      </x:c>
      <x:c r="G25" s="45">
        <x:v>81042656.555999994</x:v>
      </x:c>
      <x:c r="M25" s="42"/>
    </x:row>
    <x:row r="26" spans="1:16" x14ac:dyDescent="0.3">
      <x:c r="B26" s="15">
        <x:f t="shared" si="0"/>
        <x:v>12</x:v>
      </x:c>
      <x:c r="E26" s="42" t="s">
        <x:v>35</x:v>
      </x:c>
      <x:c r="G26" s="43">
        <x:v>0.35671170000000002</x:v>
      </x:c>
      <x:c r="L26" s="42"/>
      <x:c r="M26" s="42"/>
      <x:c r="N26" s="44"/>
    </x:row>
    <x:row r="27" spans="1:16" x14ac:dyDescent="0.3">
      <x:c r="B27" s="15">
        <x:f t="shared" si="0"/>
        <x:v>13</x:v>
      </x:c>
      <x:c r="E27" s="42" t="s">
        <x:v>39</x:v>
      </x:c>
    </x:row>
  </x:sheetData>
  <x:mergeCells count="1">
    <x:mergeCell ref="B8:O8"/>
  </x:mergeCells>
  <x:phoneticPr fontId="9" type="noConversion"/>
  <x:printOptions horizontalCentered="1"/>
  <x:pageMargins left="0.5" right="0.5" top="1.5" bottom="0.75" header="1.5" footer="0.5"/>
  <x:pageSetup scale="59" orientation="landscape" r:id="rId1"/>
  <x:headerFooter alignWithMargins="0">
    <x:oddHeader>&amp;RWP/ II-I-2.8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2025-04-28T16:28:47.0000000Z</dcterms:modified>
</coreProperties>
</file>