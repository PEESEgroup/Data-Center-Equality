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fileSharing readOnlyRecommended="1" userName="Logi, Jason" algorithmName="SHA-512" hashValue="tGHIiQvya5Vum7dV//MgvhmUnJs0MmRXhuGwgth1ruEcZQDJwKlXAeSTsCKBmYVSQJ0+NJA7SyRXdkEBE1NHXw==" saltValue="LpLMd9xqOJcmWSrIu2QcJg==" spinCount="100000"/>
  <workbookPr codeName="ThisWorkbook" defaultThemeVersion="124226"/>
  <mc:AlternateContent xmlns:mc="http://schemas.openxmlformats.org/markup-compatibility/2006">
    <mc:Choice Requires="x15">
      <x15ac:absPath xmlns:x15ac="http://schemas.microsoft.com/office/spreadsheetml/2010/11/ac" url="D:\Schedules &amp; Schedule Workpapers\Section II (Test Year Data)\Schedule C (Rate of Return)\"/>
    </mc:Choice>
  </mc:AlternateContent>
  <xr:revisionPtr revIDLastSave="0" documentId="13_ncr:10001_{E4941EE5-3A0B-4125-BEAC-78A8016FE579}" xr6:coauthVersionLast="47" xr6:coauthVersionMax="47" xr10:uidLastSave="{00000000-0000-0000-0000-000000000000}"/>
  <bookViews>
    <workbookView xWindow="-120" yWindow="-120" windowWidth="29040" windowHeight="15720" tabRatio="921" firstSheet="3" activeTab="3" xr2:uid="{00000000-000D-0000-FFFF-FFFF00000000}"/>
  </bookViews>
  <sheets>
    <sheet name="Link Sheet" sheetId="138" r:id="rId1"/>
    <sheet name="II-C-1" sheetId="77" r:id="rId2"/>
    <sheet name="II-C-1.1" sheetId="78" r:id="rId3"/>
    <sheet name="II-C-2.1" sheetId="39" r:id="rId4"/>
    <sheet name="II-C-2.2" sheetId="41" r:id="rId5"/>
    <sheet name="II-C-2.2a" sheetId="42" r:id="rId6"/>
    <sheet name="II-C-2.3" sheetId="43" r:id="rId7"/>
    <sheet name="II-C-2.3a" sheetId="44" r:id="rId8"/>
    <sheet name="II-C-2.4" sheetId="140" r:id="rId9"/>
    <sheet name="II-C-2.4.1" sheetId="161" r:id="rId10"/>
    <sheet name="II-C-2.4a" sheetId="139" r:id="rId11"/>
    <sheet name="II-C-2.4a.1" sheetId="162" r:id="rId12"/>
    <sheet name="II-C-2.5" sheetId="47" r:id="rId13"/>
    <sheet name="II-C-2.5a" sheetId="146" r:id="rId14"/>
    <sheet name="II-C-2.5b" sheetId="147" r:id="rId15"/>
    <sheet name="II-C-2.5c" sheetId="148" r:id="rId16"/>
    <sheet name="II-C-2.5d" sheetId="149" r:id="rId17"/>
    <sheet name="II-C-2.5e" sheetId="150" r:id="rId18"/>
    <sheet name="II-C-2.5f" sheetId="151" r:id="rId19"/>
    <sheet name="II-C-2.5g" sheetId="152" r:id="rId20"/>
    <sheet name="II-C-2.5h" sheetId="153" r:id="rId21"/>
    <sheet name="II-C-2.5i" sheetId="154" r:id="rId22"/>
    <sheet name="II-C-2.5j" sheetId="155" r:id="rId23"/>
    <sheet name="II-C-2.5k" sheetId="156" r:id="rId24"/>
    <sheet name="II-C-2.5l" sheetId="157" r:id="rId25"/>
    <sheet name="II-C-2.6" sheetId="80" r:id="rId26"/>
    <sheet name="II-C-2.7" sheetId="48" r:id="rId27"/>
    <sheet name="II-C-2.8" sheetId="49" r:id="rId28"/>
    <sheet name="II-C-2.9" sheetId="50" r:id="rId29"/>
    <sheet name="II-C-2.10 Attachment 1" sheetId="160" r:id="rId30"/>
    <sheet name="II-C-3" sheetId="144" r:id="rId31"/>
    <sheet name="II-C-4" sheetId="145" r:id="rId32"/>
    <sheet name="II-C-4 Attachment 1" sheetId="158" r:id="rId33"/>
  </sheets>
  <externalReferences>
    <externalReference r:id="rId34"/>
  </externalReferences>
  <definedNames>
    <definedName name="_xlnm.Print_Area" localSheetId="1">'II-C-1'!$A$9:$K$17</definedName>
    <definedName name="_xlnm.Print_Area" localSheetId="2">'II-C-1.1'!$A$9:$D$17</definedName>
    <definedName name="_xlnm.Print_Area" localSheetId="3">'II-C-2.1'!$A$13:$K$19</definedName>
    <definedName name="_xlnm.Print_Area" localSheetId="29">'II-C-2.10 Attachment 1'!$A$10:$L$20</definedName>
    <definedName name="_xlnm.Print_Area" localSheetId="4">'II-C-2.2'!$A$17:$Q$25</definedName>
    <definedName name="_xlnm.Print_Area" localSheetId="5">'II-C-2.2a'!$A$15:$H$46</definedName>
    <definedName name="_xlnm.Print_Area" localSheetId="6">'II-C-2.3'!$A$17:$P$25</definedName>
    <definedName name="_xlnm.Print_Area" localSheetId="7">'II-C-2.3a'!$A$15:$H$46</definedName>
    <definedName name="_xlnm.Print_Area" localSheetId="8">'II-C-2.4'!$A$17:$P$69</definedName>
    <definedName name="_xlnm.Print_Area" localSheetId="9">'II-C-2.4.1'!$A$17:$P$74</definedName>
    <definedName name="_xlnm.Print_Area" localSheetId="10">'II-C-2.4a'!$A$15:$H$46</definedName>
    <definedName name="_xlnm.Print_Area" localSheetId="11">'II-C-2.4a.1'!$A$15:$H$46</definedName>
    <definedName name="_xlnm.Print_Area" localSheetId="12">'II-C-2.5'!$A$19:$J$29</definedName>
    <definedName name="_xlnm.Print_Area" localSheetId="13">'II-C-2.5a'!$A$19:$D$51</definedName>
    <definedName name="_xlnm.Print_Area" localSheetId="14">'II-C-2.5b'!$A$19:$D$51</definedName>
    <definedName name="_xlnm.Print_Area" localSheetId="15">'II-C-2.5c'!$A$19:$D$51</definedName>
    <definedName name="_xlnm.Print_Area" localSheetId="16">'II-C-2.5d'!$A$19:$D$51</definedName>
    <definedName name="_xlnm.Print_Area" localSheetId="17">'II-C-2.5e'!$A$19:$D$51</definedName>
    <definedName name="_xlnm.Print_Area" localSheetId="18">'II-C-2.5f'!$A$19:$D$50</definedName>
    <definedName name="_xlnm.Print_Area" localSheetId="19">'II-C-2.5g'!$A$19:$D$50</definedName>
    <definedName name="_xlnm.Print_Area" localSheetId="20">'II-C-2.5h'!$A$19:$D$50</definedName>
    <definedName name="_xlnm.Print_Area" localSheetId="21">'II-C-2.5i'!$A$19:$D$50</definedName>
    <definedName name="_xlnm.Print_Area" localSheetId="22">'II-C-2.5j'!$A$19:$D$50</definedName>
    <definedName name="_xlnm.Print_Area" localSheetId="23">'II-C-2.5k'!$A$19:$D$50</definedName>
    <definedName name="_xlnm.Print_Area" localSheetId="24">'II-C-2.5l'!$A$19:$D$50</definedName>
    <definedName name="_xlnm.Print_Area" localSheetId="25">'II-C-2.6'!$A$10:$N$173</definedName>
    <definedName name="_xlnm.Print_Area" localSheetId="26">'II-C-2.7'!$A$10:$M$69</definedName>
    <definedName name="_xlnm.Print_Area" localSheetId="27">'II-C-2.8'!$A$11:$L$26</definedName>
    <definedName name="_xlnm.Print_Area" localSheetId="28">'II-C-2.9'!$A$9:$V$27</definedName>
    <definedName name="_xlnm.Print_Area" localSheetId="30">'II-C-3'!$A$13:$E$16</definedName>
    <definedName name="_xlnm.Print_Area" localSheetId="31">'II-C-4'!$A$8:$C$31</definedName>
    <definedName name="_xlnm.Print_Area" localSheetId="32">'II-C-4 Attachment 1'!$A$7:$N$10</definedName>
    <definedName name="_xlnm.Print_Titles" localSheetId="3">'II-C-2.1'!$9:$12</definedName>
    <definedName name="_xlnm.Print_Titles" localSheetId="4">'II-C-2.2'!$10:$16</definedName>
    <definedName name="_xlnm.Print_Titles" localSheetId="5">'II-C-2.2a'!$11:$14</definedName>
    <definedName name="_xlnm.Print_Titles" localSheetId="6">'II-C-2.3'!$10:$16</definedName>
    <definedName name="_xlnm.Print_Titles" localSheetId="7">'II-C-2.3a'!$11:$14</definedName>
    <definedName name="_xlnm.Print_Titles" localSheetId="8">'II-C-2.4'!$10:$15</definedName>
    <definedName name="_xlnm.Print_Titles" localSheetId="9">'II-C-2.4.1'!$10:$15</definedName>
    <definedName name="_xlnm.Print_Titles" localSheetId="10">'II-C-2.4a'!$11:$14</definedName>
    <definedName name="_xlnm.Print_Titles" localSheetId="11">'II-C-2.4a.1'!$11:$14</definedName>
    <definedName name="_xlnm.Print_Titles" localSheetId="12">'II-C-2.5'!$10:$18</definedName>
    <definedName name="_xlnm.Print_Titles" localSheetId="13">'II-C-2.5a'!$10:$18</definedName>
    <definedName name="_xlnm.Print_Titles" localSheetId="14">'II-C-2.5b'!$10:$18</definedName>
    <definedName name="_xlnm.Print_Titles" localSheetId="15">'II-C-2.5c'!$10:$18</definedName>
    <definedName name="_xlnm.Print_Titles" localSheetId="16">'II-C-2.5d'!$10:$18</definedName>
    <definedName name="_xlnm.Print_Titles" localSheetId="17">'II-C-2.5e'!$10:$18</definedName>
    <definedName name="_xlnm.Print_Titles" localSheetId="18">'II-C-2.5f'!$10:$18</definedName>
    <definedName name="_xlnm.Print_Titles" localSheetId="19">'II-C-2.5g'!$10:$18</definedName>
    <definedName name="_xlnm.Print_Titles" localSheetId="20">'II-C-2.5h'!$10:$18</definedName>
    <definedName name="_xlnm.Print_Titles" localSheetId="21">'II-C-2.5i'!$10:$18</definedName>
    <definedName name="_xlnm.Print_Titles" localSheetId="22">'II-C-2.5j'!$10:$18</definedName>
    <definedName name="_xlnm.Print_Titles" localSheetId="23">'II-C-2.5k'!$10:$18</definedName>
    <definedName name="_xlnm.Print_Titles" localSheetId="24">'II-C-2.5l'!$10:$18</definedName>
    <definedName name="_xlnm.Print_Titles" localSheetId="30">'II-C-3'!$9:$12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158" l="1"/>
  <c r="A3" i="158"/>
  <c r="A5" i="145"/>
  <c r="A3" i="145"/>
  <c r="A5" i="144"/>
  <c r="A3" i="144"/>
  <c r="A5" i="160"/>
  <c r="A3" i="160"/>
  <c r="A5" i="50"/>
  <c r="A3" i="50"/>
  <c r="A5" i="49"/>
  <c r="A3" i="49"/>
  <c r="A5" i="48"/>
  <c r="A3" i="48"/>
  <c r="A5" i="80"/>
  <c r="A3" i="80"/>
  <c r="A5" i="157"/>
  <c r="A5" i="156"/>
  <c r="A5" i="155"/>
  <c r="A5" i="154"/>
  <c r="A5" i="153"/>
  <c r="A5" i="152"/>
  <c r="A5" i="151"/>
  <c r="A5" i="150"/>
  <c r="A5" i="149"/>
  <c r="A5" i="148"/>
  <c r="A5" i="147"/>
  <c r="A5" i="146"/>
  <c r="A5" i="47"/>
  <c r="A3" i="47"/>
  <c r="A5" i="162"/>
  <c r="A5" i="139"/>
  <c r="A3" i="139"/>
  <c r="A5" i="161"/>
  <c r="A5" i="140"/>
  <c r="A3" i="140"/>
  <c r="A5" i="44"/>
  <c r="A3" i="44"/>
  <c r="A5" i="43"/>
  <c r="A3" i="43"/>
  <c r="A5" i="42"/>
  <c r="A3" i="42"/>
  <c r="A5" i="41"/>
  <c r="A3" i="41"/>
  <c r="A5" i="39"/>
  <c r="A3" i="39"/>
  <c r="A5" i="78"/>
  <c r="A3" i="78"/>
  <c r="A5" i="77"/>
  <c r="A3" i="77"/>
  <c r="A4" i="158"/>
  <c r="A2" i="158"/>
  <c r="A1" i="158"/>
  <c r="A4" i="145"/>
  <c r="A2" i="145"/>
  <c r="A1" i="145"/>
  <c r="A4" i="144"/>
  <c r="A2" i="144"/>
  <c r="A1" i="144"/>
  <c r="A2" i="160"/>
  <c r="A1" i="160"/>
  <c r="A4" i="50"/>
  <c r="A2" i="50"/>
  <c r="A1" i="50"/>
  <c r="A4" i="49"/>
  <c r="A2" i="49"/>
  <c r="A1" i="49"/>
  <c r="A4" i="48"/>
  <c r="A2" i="48"/>
  <c r="A1" i="48"/>
  <c r="A4" i="80"/>
  <c r="A2" i="80"/>
  <c r="A1" i="80"/>
  <c r="A4" i="157"/>
  <c r="A2" i="157"/>
  <c r="A1" i="157"/>
  <c r="A4" i="156"/>
  <c r="A2" i="156"/>
  <c r="A1" i="156"/>
  <c r="A4" i="155"/>
  <c r="A2" i="155"/>
  <c r="A1" i="155"/>
  <c r="A4" i="154"/>
  <c r="A2" i="154"/>
  <c r="A1" i="154"/>
  <c r="A4" i="153"/>
  <c r="A2" i="153"/>
  <c r="A1" i="153"/>
  <c r="A4" i="152"/>
  <c r="A2" i="152"/>
  <c r="A1" i="152"/>
  <c r="A4" i="151"/>
  <c r="A2" i="151"/>
  <c r="A1" i="151"/>
  <c r="A4" i="150"/>
  <c r="A2" i="150"/>
  <c r="A1" i="150"/>
  <c r="A4" i="149"/>
  <c r="A2" i="149"/>
  <c r="A1" i="149"/>
  <c r="A4" i="148"/>
  <c r="A2" i="148"/>
  <c r="A1" i="148"/>
  <c r="A4" i="147"/>
  <c r="A2" i="147"/>
  <c r="A1" i="147"/>
  <c r="A4" i="146"/>
  <c r="A2" i="146"/>
  <c r="A1" i="146"/>
  <c r="A4" i="47"/>
  <c r="A2" i="47"/>
  <c r="A1" i="47"/>
  <c r="A4" i="162"/>
  <c r="A2" i="162"/>
  <c r="A1" i="162"/>
  <c r="A4" i="139"/>
  <c r="A2" i="139"/>
  <c r="A1" i="139"/>
  <c r="A4" i="161"/>
  <c r="A2" i="161"/>
  <c r="A1" i="161"/>
  <c r="A4" i="140"/>
  <c r="A2" i="140"/>
  <c r="A1" i="140"/>
  <c r="A4" i="44"/>
  <c r="A2" i="44"/>
  <c r="A1" i="44"/>
  <c r="A4" i="43"/>
  <c r="A2" i="43"/>
  <c r="A1" i="43"/>
  <c r="A4" i="42"/>
  <c r="A2" i="42"/>
  <c r="A1" i="42"/>
  <c r="A4" i="41"/>
  <c r="A2" i="41"/>
  <c r="A1" i="41"/>
  <c r="A4" i="39"/>
  <c r="A2" i="39"/>
  <c r="A1" i="39"/>
  <c r="A4" i="78"/>
  <c r="A2" i="78"/>
  <c r="A1" i="78"/>
  <c r="A4" i="77"/>
  <c r="A2" i="77"/>
  <c r="A1" i="77"/>
  <c r="E173" i="80"/>
  <c r="E141" i="80"/>
  <c r="E135" i="80"/>
  <c r="E103" i="80" s="1"/>
  <c r="G43" i="48" l="1"/>
  <c r="I43" i="48"/>
  <c r="K43" i="48"/>
  <c r="F16" i="50"/>
  <c r="H16" i="50"/>
  <c r="I16" i="50"/>
  <c r="J16" i="50"/>
  <c r="K16" i="50"/>
  <c r="U16" i="50"/>
  <c r="H15" i="162" l="1"/>
  <c r="H29" i="162" l="1"/>
  <c r="H42" i="162" s="1"/>
  <c r="H20" i="162"/>
  <c r="H34" i="162" s="1"/>
  <c r="L63" i="161"/>
  <c r="L68" i="161" s="1"/>
  <c r="L74" i="161" s="1"/>
  <c r="H33" i="162" s="1"/>
  <c r="J59" i="161"/>
  <c r="K59" i="161" s="1"/>
  <c r="M59" i="161" s="1"/>
  <c r="J58" i="161"/>
  <c r="K58" i="161" s="1"/>
  <c r="M58" i="161" s="1"/>
  <c r="J57" i="161"/>
  <c r="K57" i="161" s="1"/>
  <c r="M57" i="161" s="1"/>
  <c r="J56" i="161"/>
  <c r="K56" i="161" s="1"/>
  <c r="M56" i="161" s="1"/>
  <c r="J55" i="161"/>
  <c r="K55" i="161" s="1"/>
  <c r="M55" i="161" s="1"/>
  <c r="J54" i="161"/>
  <c r="K54" i="161" s="1"/>
  <c r="M54" i="161" s="1"/>
  <c r="J53" i="161"/>
  <c r="K53" i="161" s="1"/>
  <c r="M53" i="161" s="1"/>
  <c r="J52" i="161"/>
  <c r="K52" i="161" s="1"/>
  <c r="M52" i="161" s="1"/>
  <c r="J51" i="161"/>
  <c r="K51" i="161" s="1"/>
  <c r="M51" i="161" s="1"/>
  <c r="J50" i="161"/>
  <c r="K50" i="161" s="1"/>
  <c r="M50" i="161" s="1"/>
  <c r="J49" i="161"/>
  <c r="K49" i="161" s="1"/>
  <c r="M49" i="161" s="1"/>
  <c r="J48" i="161"/>
  <c r="K48" i="161" s="1"/>
  <c r="M48" i="161" s="1"/>
  <c r="J47" i="161"/>
  <c r="K47" i="161" s="1"/>
  <c r="M47" i="161" s="1"/>
  <c r="J46" i="161"/>
  <c r="K46" i="161" s="1"/>
  <c r="M46" i="161" s="1"/>
  <c r="J45" i="161"/>
  <c r="K45" i="161" s="1"/>
  <c r="M45" i="161" s="1"/>
  <c r="J44" i="161"/>
  <c r="K44" i="161" s="1"/>
  <c r="M44" i="161" s="1"/>
  <c r="J43" i="161"/>
  <c r="K43" i="161" s="1"/>
  <c r="M43" i="161" s="1"/>
  <c r="J42" i="161"/>
  <c r="K42" i="161" s="1"/>
  <c r="M42" i="161" s="1"/>
  <c r="J41" i="161"/>
  <c r="K41" i="161" s="1"/>
  <c r="M41" i="161" s="1"/>
  <c r="J40" i="161"/>
  <c r="K40" i="161" s="1"/>
  <c r="M40" i="161" s="1"/>
  <c r="J39" i="161"/>
  <c r="K39" i="161" s="1"/>
  <c r="M39" i="161" s="1"/>
  <c r="J38" i="161"/>
  <c r="K38" i="161" s="1"/>
  <c r="M38" i="161" s="1"/>
  <c r="J37" i="161"/>
  <c r="K37" i="161" s="1"/>
  <c r="M37" i="161" s="1"/>
  <c r="J36" i="161"/>
  <c r="K36" i="161" s="1"/>
  <c r="M36" i="161" s="1"/>
  <c r="J35" i="161"/>
  <c r="K35" i="161" s="1"/>
  <c r="M35" i="161" s="1"/>
  <c r="J34" i="161"/>
  <c r="K34" i="161" s="1"/>
  <c r="M34" i="161" s="1"/>
  <c r="J33" i="161"/>
  <c r="K33" i="161" s="1"/>
  <c r="M33" i="161" s="1"/>
  <c r="J32" i="161"/>
  <c r="K32" i="161" s="1"/>
  <c r="M32" i="161" s="1"/>
  <c r="J31" i="161"/>
  <c r="K31" i="161" s="1"/>
  <c r="M31" i="161" s="1"/>
  <c r="J30" i="161"/>
  <c r="K30" i="161" s="1"/>
  <c r="M30" i="161" s="1"/>
  <c r="J29" i="161"/>
  <c r="K29" i="161" s="1"/>
  <c r="M29" i="161" s="1"/>
  <c r="J28" i="161"/>
  <c r="K28" i="161" s="1"/>
  <c r="M28" i="161" s="1"/>
  <c r="J27" i="161"/>
  <c r="K27" i="161" s="1"/>
  <c r="M27" i="161" s="1"/>
  <c r="J26" i="161"/>
  <c r="K26" i="161" s="1"/>
  <c r="M26" i="161" s="1"/>
  <c r="J25" i="161"/>
  <c r="K25" i="161" s="1"/>
  <c r="M25" i="161" s="1"/>
  <c r="J24" i="161"/>
  <c r="K24" i="161" s="1"/>
  <c r="M24" i="161" s="1"/>
  <c r="J23" i="161"/>
  <c r="K23" i="161" s="1"/>
  <c r="M23" i="161" s="1"/>
  <c r="J22" i="161"/>
  <c r="K22" i="161" s="1"/>
  <c r="M22" i="161" s="1"/>
  <c r="J21" i="161"/>
  <c r="K21" i="161" s="1"/>
  <c r="M21" i="161" s="1"/>
  <c r="J20" i="161"/>
  <c r="K20" i="161" s="1"/>
  <c r="M20" i="161" s="1"/>
  <c r="J19" i="161"/>
  <c r="K19" i="161" s="1"/>
  <c r="M19" i="161" s="1"/>
  <c r="J18" i="161"/>
  <c r="K18" i="161" s="1"/>
  <c r="M18" i="161" s="1"/>
  <c r="J17" i="161"/>
  <c r="K17" i="161" s="1"/>
  <c r="M17" i="161" s="1"/>
  <c r="H36" i="162" l="1"/>
  <c r="O47" i="161"/>
  <c r="O31" i="161"/>
  <c r="O23" i="161"/>
  <c r="O39" i="161"/>
  <c r="O55" i="161"/>
  <c r="O24" i="161"/>
  <c r="O38" i="161"/>
  <c r="O50" i="161"/>
  <c r="O49" i="161"/>
  <c r="O25" i="161"/>
  <c r="O51" i="161"/>
  <c r="O26" i="161"/>
  <c r="O52" i="161"/>
  <c r="O53" i="161"/>
  <c r="O35" i="161"/>
  <c r="O36" i="161"/>
  <c r="O28" i="161"/>
  <c r="O40" i="161"/>
  <c r="O54" i="161"/>
  <c r="O29" i="161"/>
  <c r="O41" i="161"/>
  <c r="O37" i="161"/>
  <c r="O30" i="161"/>
  <c r="O42" i="161"/>
  <c r="O44" i="161"/>
  <c r="O56" i="161"/>
  <c r="O27" i="161"/>
  <c r="O43" i="161"/>
  <c r="O18" i="161"/>
  <c r="O19" i="161"/>
  <c r="O57" i="161"/>
  <c r="O20" i="161"/>
  <c r="O32" i="161"/>
  <c r="O46" i="161"/>
  <c r="O58" i="161"/>
  <c r="O48" i="161"/>
  <c r="O17" i="161"/>
  <c r="O45" i="161"/>
  <c r="O21" i="161"/>
  <c r="O33" i="161"/>
  <c r="O59" i="161"/>
  <c r="O22" i="161"/>
  <c r="O34" i="161"/>
  <c r="M63" i="161" l="1"/>
  <c r="N25" i="161" s="1"/>
  <c r="P25" i="161" s="1"/>
  <c r="N42" i="161" l="1"/>
  <c r="P42" i="161" s="1"/>
  <c r="N27" i="161"/>
  <c r="P27" i="161" s="1"/>
  <c r="N18" i="161"/>
  <c r="P18" i="161" s="1"/>
  <c r="N45" i="161"/>
  <c r="P45" i="161" s="1"/>
  <c r="N56" i="161"/>
  <c r="P56" i="161" s="1"/>
  <c r="N30" i="161"/>
  <c r="P30" i="161" s="1"/>
  <c r="N48" i="161"/>
  <c r="P48" i="161" s="1"/>
  <c r="N37" i="161"/>
  <c r="P37" i="161" s="1"/>
  <c r="N44" i="161"/>
  <c r="P44" i="161" s="1"/>
  <c r="N24" i="161"/>
  <c r="P24" i="161" s="1"/>
  <c r="N52" i="161"/>
  <c r="P52" i="161" s="1"/>
  <c r="N33" i="161"/>
  <c r="P33" i="161" s="1"/>
  <c r="N28" i="161"/>
  <c r="P28" i="161" s="1"/>
  <c r="N49" i="161"/>
  <c r="P49" i="161" s="1"/>
  <c r="N57" i="161"/>
  <c r="P57" i="161" s="1"/>
  <c r="N19" i="161"/>
  <c r="P19" i="161" s="1"/>
  <c r="N34" i="161"/>
  <c r="P34" i="161" s="1"/>
  <c r="N53" i="161"/>
  <c r="P53" i="161" s="1"/>
  <c r="N29" i="161"/>
  <c r="P29" i="161" s="1"/>
  <c r="N21" i="161"/>
  <c r="P21" i="161" s="1"/>
  <c r="N43" i="161"/>
  <c r="P43" i="161" s="1"/>
  <c r="N50" i="161"/>
  <c r="P50" i="161" s="1"/>
  <c r="N46" i="161"/>
  <c r="P46" i="161" s="1"/>
  <c r="N26" i="161"/>
  <c r="P26" i="161" s="1"/>
  <c r="N51" i="161"/>
  <c r="P51" i="161" s="1"/>
  <c r="N40" i="161"/>
  <c r="P40" i="161" s="1"/>
  <c r="N36" i="161"/>
  <c r="P36" i="161" s="1"/>
  <c r="N39" i="161"/>
  <c r="P39" i="161" s="1"/>
  <c r="N23" i="161"/>
  <c r="P23" i="161" s="1"/>
  <c r="N55" i="161"/>
  <c r="P55" i="161" s="1"/>
  <c r="N47" i="161"/>
  <c r="P47" i="161" s="1"/>
  <c r="N31" i="161"/>
  <c r="P31" i="161" s="1"/>
  <c r="N22" i="161"/>
  <c r="P22" i="161" s="1"/>
  <c r="N54" i="161"/>
  <c r="P54" i="161" s="1"/>
  <c r="N20" i="161"/>
  <c r="P20" i="161" s="1"/>
  <c r="N59" i="161"/>
  <c r="P59" i="161" s="1"/>
  <c r="N35" i="161"/>
  <c r="P35" i="161" s="1"/>
  <c r="N38" i="161"/>
  <c r="P38" i="161" s="1"/>
  <c r="N17" i="161"/>
  <c r="N41" i="161"/>
  <c r="P41" i="161" s="1"/>
  <c r="N32" i="161"/>
  <c r="P32" i="161" s="1"/>
  <c r="N58" i="161"/>
  <c r="P58" i="161" s="1"/>
  <c r="N63" i="161" l="1"/>
  <c r="P17" i="161"/>
  <c r="P63" i="161" s="1"/>
  <c r="H38" i="162" s="1"/>
  <c r="H40" i="162" s="1"/>
  <c r="H44" i="162" s="1"/>
  <c r="H46" i="162" s="1"/>
  <c r="J16" i="39" s="1"/>
  <c r="U25" i="50" l="1"/>
  <c r="J25" i="50"/>
  <c r="H25" i="50"/>
  <c r="I25" i="50" s="1"/>
  <c r="F25" i="50"/>
  <c r="U22" i="50"/>
  <c r="J22" i="50"/>
  <c r="H22" i="50"/>
  <c r="I22" i="50" s="1"/>
  <c r="K22" i="50" s="1"/>
  <c r="F22" i="50"/>
  <c r="U19" i="50"/>
  <c r="J19" i="50"/>
  <c r="H19" i="50"/>
  <c r="I19" i="50" s="1"/>
  <c r="F19" i="50"/>
  <c r="E66" i="48"/>
  <c r="E65" i="48"/>
  <c r="E67" i="48" s="1"/>
  <c r="E64" i="48"/>
  <c r="E63" i="48"/>
  <c r="E62" i="48"/>
  <c r="E61" i="48"/>
  <c r="E58" i="48"/>
  <c r="E52" i="48"/>
  <c r="E51" i="48"/>
  <c r="E50" i="48"/>
  <c r="E49" i="48"/>
  <c r="E48" i="48"/>
  <c r="E47" i="48"/>
  <c r="E46" i="48"/>
  <c r="E45" i="48"/>
  <c r="E53" i="48" s="1"/>
  <c r="E39" i="48"/>
  <c r="E40" i="48" s="1"/>
  <c r="E26" i="48"/>
  <c r="E75" i="80"/>
  <c r="E78" i="80" s="1"/>
  <c r="E92" i="80" s="1"/>
  <c r="E37" i="80"/>
  <c r="E40" i="80" s="1"/>
  <c r="E54" i="80" s="1"/>
  <c r="L63" i="140"/>
  <c r="L69" i="140" s="1"/>
  <c r="C16" i="39" s="1"/>
  <c r="L58" i="140"/>
  <c r="M54" i="140"/>
  <c r="M53" i="140"/>
  <c r="M52" i="140"/>
  <c r="M51" i="140"/>
  <c r="J42" i="140"/>
  <c r="K42" i="140" s="1"/>
  <c r="M42" i="140" s="1"/>
  <c r="J43" i="140"/>
  <c r="K43" i="140" s="1"/>
  <c r="M43" i="140" s="1"/>
  <c r="J44" i="140"/>
  <c r="K44" i="140"/>
  <c r="M44" i="140" s="1"/>
  <c r="J45" i="140"/>
  <c r="K45" i="140" s="1"/>
  <c r="M45" i="140" s="1"/>
  <c r="J46" i="140"/>
  <c r="K46" i="140"/>
  <c r="M46" i="140" s="1"/>
  <c r="J47" i="140"/>
  <c r="K47" i="140" s="1"/>
  <c r="M47" i="140" s="1"/>
  <c r="J48" i="140"/>
  <c r="K48" i="140" s="1"/>
  <c r="M48" i="140" s="1"/>
  <c r="J49" i="140"/>
  <c r="K49" i="140"/>
  <c r="M49" i="140" s="1"/>
  <c r="J50" i="140"/>
  <c r="K50" i="140"/>
  <c r="M50" i="140" s="1"/>
  <c r="J51" i="140"/>
  <c r="K51" i="140" s="1"/>
  <c r="J52" i="140"/>
  <c r="K52" i="140"/>
  <c r="J53" i="140"/>
  <c r="K53" i="140"/>
  <c r="J54" i="140"/>
  <c r="K54" i="140"/>
  <c r="J55" i="140"/>
  <c r="K55" i="140" s="1"/>
  <c r="M55" i="140" s="1"/>
  <c r="J56" i="140"/>
  <c r="K56" i="140" s="1"/>
  <c r="M56" i="140" s="1"/>
  <c r="J17" i="140"/>
  <c r="E60" i="80" l="1"/>
  <c r="E22" i="80"/>
  <c r="H33" i="139"/>
  <c r="K19" i="50"/>
  <c r="K25" i="50"/>
  <c r="I22" i="47" l="1"/>
  <c r="C22" i="47"/>
  <c r="J41" i="140"/>
  <c r="K41" i="140" s="1"/>
  <c r="M41" i="140" s="1"/>
  <c r="J40" i="140"/>
  <c r="K40" i="140" s="1"/>
  <c r="M40" i="140" s="1"/>
  <c r="J39" i="140"/>
  <c r="K39" i="140" s="1"/>
  <c r="M39" i="140" s="1"/>
  <c r="J38" i="140"/>
  <c r="K38" i="140" s="1"/>
  <c r="M38" i="140" s="1"/>
  <c r="J37" i="140"/>
  <c r="K37" i="140" s="1"/>
  <c r="M37" i="140" s="1"/>
  <c r="J36" i="140"/>
  <c r="K36" i="140" s="1"/>
  <c r="M36" i="140" s="1"/>
  <c r="J35" i="140"/>
  <c r="K35" i="140" s="1"/>
  <c r="M35" i="140" s="1"/>
  <c r="J34" i="140"/>
  <c r="K34" i="140" s="1"/>
  <c r="M34" i="140" s="1"/>
  <c r="J33" i="140"/>
  <c r="K33" i="140" s="1"/>
  <c r="M33" i="140" s="1"/>
  <c r="J32" i="140"/>
  <c r="K32" i="140" s="1"/>
  <c r="M32" i="140" s="1"/>
  <c r="J31" i="140"/>
  <c r="K31" i="140" s="1"/>
  <c r="M31" i="140" s="1"/>
  <c r="J30" i="140"/>
  <c r="K30" i="140" s="1"/>
  <c r="M30" i="140" s="1"/>
  <c r="J29" i="140"/>
  <c r="K29" i="140" s="1"/>
  <c r="M29" i="140" s="1"/>
  <c r="J28" i="140"/>
  <c r="K28" i="140" s="1"/>
  <c r="M28" i="140" s="1"/>
  <c r="J27" i="140"/>
  <c r="K27" i="140" s="1"/>
  <c r="M27" i="140" s="1"/>
  <c r="J26" i="140"/>
  <c r="K26" i="140" s="1"/>
  <c r="M26" i="140" s="1"/>
  <c r="J25" i="140"/>
  <c r="K25" i="140" s="1"/>
  <c r="M25" i="140" s="1"/>
  <c r="J24" i="140"/>
  <c r="K24" i="140" s="1"/>
  <c r="M24" i="140" s="1"/>
  <c r="J23" i="140"/>
  <c r="K23" i="140" s="1"/>
  <c r="M23" i="140" s="1"/>
  <c r="J22" i="140"/>
  <c r="K22" i="140" s="1"/>
  <c r="M22" i="140" s="1"/>
  <c r="J21" i="140"/>
  <c r="K21" i="140" s="1"/>
  <c r="M21" i="140" s="1"/>
  <c r="J20" i="140"/>
  <c r="K20" i="140" s="1"/>
  <c r="M20" i="140" s="1"/>
  <c r="J19" i="140"/>
  <c r="K19" i="140" s="1"/>
  <c r="M19" i="140" s="1"/>
  <c r="J18" i="140"/>
  <c r="K18" i="140" s="1"/>
  <c r="M18" i="140" s="1"/>
  <c r="K17" i="140"/>
  <c r="M17" i="140" s="1"/>
  <c r="N31" i="140" l="1"/>
  <c r="N37" i="140"/>
  <c r="N33" i="140"/>
  <c r="N36" i="140"/>
  <c r="N24" i="140"/>
  <c r="N28" i="140"/>
  <c r="N18" i="140"/>
  <c r="N20" i="140"/>
  <c r="N25" i="140"/>
  <c r="N32" i="140"/>
  <c r="N34" i="140"/>
  <c r="N35" i="140"/>
  <c r="N22" i="140"/>
  <c r="N23" i="140"/>
  <c r="M58" i="140"/>
  <c r="N17" i="140"/>
  <c r="N19" i="140"/>
  <c r="N21" i="140"/>
  <c r="N38" i="140"/>
  <c r="N39" i="140"/>
  <c r="N40" i="140"/>
  <c r="N41" i="140"/>
  <c r="N27" i="140"/>
  <c r="P40" i="140"/>
  <c r="P38" i="140"/>
  <c r="P39" i="140"/>
  <c r="P41" i="140"/>
  <c r="N54" i="140" l="1"/>
  <c r="P54" i="140" s="1"/>
  <c r="N50" i="140"/>
  <c r="P50" i="140" s="1"/>
  <c r="N46" i="140"/>
  <c r="P46" i="140" s="1"/>
  <c r="N43" i="140"/>
  <c r="P43" i="140" s="1"/>
  <c r="N48" i="140"/>
  <c r="P48" i="140" s="1"/>
  <c r="N45" i="140"/>
  <c r="P45" i="140" s="1"/>
  <c r="N52" i="140"/>
  <c r="P52" i="140" s="1"/>
  <c r="N49" i="140"/>
  <c r="P49" i="140" s="1"/>
  <c r="N56" i="140"/>
  <c r="P56" i="140" s="1"/>
  <c r="N55" i="140"/>
  <c r="P55" i="140" s="1"/>
  <c r="N51" i="140"/>
  <c r="P51" i="140" s="1"/>
  <c r="N53" i="140"/>
  <c r="P53" i="140" s="1"/>
  <c r="N47" i="140"/>
  <c r="P47" i="140" s="1"/>
  <c r="N44" i="140"/>
  <c r="P44" i="140" s="1"/>
  <c r="N42" i="140"/>
  <c r="P42" i="140" s="1"/>
  <c r="N29" i="140"/>
  <c r="N26" i="140"/>
  <c r="N58" i="140" s="1"/>
  <c r="N30" i="140"/>
  <c r="K13" i="39"/>
  <c r="K16" i="39" l="1"/>
  <c r="E43" i="48" l="1"/>
  <c r="K58" i="80"/>
  <c r="K101" i="80" s="1"/>
  <c r="I58" i="80"/>
  <c r="I101" i="80" s="1"/>
  <c r="G58" i="80"/>
  <c r="G101" i="80" s="1"/>
  <c r="P31" i="140" l="1"/>
  <c r="P32" i="140"/>
  <c r="P33" i="140"/>
  <c r="P34" i="140"/>
  <c r="P35" i="140"/>
  <c r="P36" i="140"/>
  <c r="P37" i="140"/>
  <c r="K17" i="39" l="1"/>
  <c r="K15" i="39"/>
  <c r="K14" i="39"/>
  <c r="E17" i="39" l="1"/>
  <c r="E16" i="39"/>
  <c r="E15" i="39"/>
  <c r="E14" i="39"/>
  <c r="E13" i="39"/>
  <c r="H29" i="139" l="1"/>
  <c r="H42" i="139" s="1"/>
  <c r="D14" i="78"/>
  <c r="H20" i="139"/>
  <c r="H34" i="139" s="1"/>
  <c r="I19" i="39"/>
  <c r="D19" i="39"/>
  <c r="G22" i="47"/>
  <c r="H20" i="47" s="1"/>
  <c r="J20" i="47" s="1"/>
  <c r="D22" i="47"/>
  <c r="H20" i="44"/>
  <c r="H34" i="44" s="1"/>
  <c r="H36" i="44" s="1"/>
  <c r="H40" i="44" s="1"/>
  <c r="H29" i="44"/>
  <c r="H42" i="44" s="1"/>
  <c r="H20" i="42"/>
  <c r="H34" i="42" s="1"/>
  <c r="H36" i="42" s="1"/>
  <c r="H40" i="42" s="1"/>
  <c r="H29" i="42"/>
  <c r="H42" i="42" s="1"/>
  <c r="C19" i="39"/>
  <c r="M19" i="41"/>
  <c r="M25" i="41" s="1"/>
  <c r="K17" i="41"/>
  <c r="L17" i="41" s="1"/>
  <c r="N17" i="41" s="1"/>
  <c r="N19" i="41" s="1"/>
  <c r="A16" i="42"/>
  <c r="A17" i="42" s="1"/>
  <c r="A18" i="42" s="1"/>
  <c r="A19" i="42" s="1"/>
  <c r="A20" i="42" s="1"/>
  <c r="A21" i="42" s="1"/>
  <c r="A22" i="42" s="1"/>
  <c r="A23" i="42" s="1"/>
  <c r="A24" i="42" s="1"/>
  <c r="A25" i="42" s="1"/>
  <c r="A26" i="42" s="1"/>
  <c r="A27" i="42" s="1"/>
  <c r="A28" i="42" s="1"/>
  <c r="A29" i="42" s="1"/>
  <c r="A30" i="42" s="1"/>
  <c r="A31" i="42" s="1"/>
  <c r="A32" i="42" s="1"/>
  <c r="A33" i="42" s="1"/>
  <c r="A34" i="42" s="1"/>
  <c r="A35" i="42" s="1"/>
  <c r="A36" i="42" s="1"/>
  <c r="A37" i="42" s="1"/>
  <c r="A38" i="42" s="1"/>
  <c r="A39" i="42" s="1"/>
  <c r="A40" i="42" s="1"/>
  <c r="A41" i="42" s="1"/>
  <c r="A42" i="42" s="1"/>
  <c r="A43" i="42" s="1"/>
  <c r="A44" i="42" s="1"/>
  <c r="A45" i="42" s="1"/>
  <c r="A46" i="42" s="1"/>
  <c r="L19" i="43"/>
  <c r="L25" i="43" s="1"/>
  <c r="J17" i="43"/>
  <c r="K17" i="43" s="1"/>
  <c r="M17" i="43" s="1"/>
  <c r="M19" i="43" s="1"/>
  <c r="A16" i="44"/>
  <c r="A17" i="44" s="1"/>
  <c r="A18" i="44" s="1"/>
  <c r="A19" i="44" s="1"/>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F22" i="47"/>
  <c r="E22" i="47"/>
  <c r="H36" i="139" l="1"/>
  <c r="E19" i="39"/>
  <c r="F13" i="39" s="1"/>
  <c r="H13" i="39" s="1"/>
  <c r="B10" i="138"/>
  <c r="N17" i="43"/>
  <c r="N19" i="43" s="1"/>
  <c r="H44" i="44"/>
  <c r="H19" i="47"/>
  <c r="B9" i="138"/>
  <c r="O17" i="41"/>
  <c r="D4" i="138"/>
  <c r="H44" i="42"/>
  <c r="P17" i="43" l="1"/>
  <c r="P19" i="43" s="1"/>
  <c r="F17" i="39"/>
  <c r="H17" i="39" s="1"/>
  <c r="F16" i="39"/>
  <c r="F15" i="39"/>
  <c r="H15" i="39" s="1"/>
  <c r="P17" i="140"/>
  <c r="P18" i="140"/>
  <c r="P19" i="140"/>
  <c r="P20" i="140"/>
  <c r="P21" i="140"/>
  <c r="P22" i="140"/>
  <c r="P23" i="140"/>
  <c r="P24" i="140"/>
  <c r="P25" i="140"/>
  <c r="P26" i="140"/>
  <c r="P27" i="140"/>
  <c r="P28" i="140"/>
  <c r="P29" i="140"/>
  <c r="P30" i="140"/>
  <c r="F14" i="39"/>
  <c r="H14" i="39" s="1"/>
  <c r="J19" i="47"/>
  <c r="J22" i="47" s="1"/>
  <c r="H22" i="47"/>
  <c r="O19" i="41"/>
  <c r="Q17" i="41"/>
  <c r="Q19" i="41" s="1"/>
  <c r="P58" i="140" l="1"/>
  <c r="H38" i="139" s="1"/>
  <c r="H40" i="139" s="1"/>
  <c r="H44" i="139" s="1"/>
  <c r="H46" i="139" s="1"/>
  <c r="F19" i="39"/>
  <c r="C14" i="78"/>
  <c r="G16" i="39" l="1"/>
  <c r="H16" i="39" s="1"/>
  <c r="B4" i="138"/>
  <c r="H19" i="39" l="1"/>
  <c r="C15" i="78"/>
  <c r="B5" i="138" s="1"/>
  <c r="B7" i="138"/>
  <c r="C17" i="78"/>
  <c r="D15" i="78"/>
  <c r="K19" i="39"/>
  <c r="D5" i="138" l="1"/>
  <c r="D17" i="78"/>
  <c r="D7" i="138" l="1"/>
</calcChain>
</file>

<file path=xl/sharedStrings.xml><?xml version="1.0" encoding="utf-8"?>
<sst xmlns="http://schemas.openxmlformats.org/spreadsheetml/2006/main" count="1103" uniqueCount="330">
  <si>
    <t xml:space="preserve">    Redeemed Stock (Sched.II-C-2.2)</t>
  </si>
  <si>
    <t xml:space="preserve">    in Col.(h) of Schedule II-C-2.2</t>
  </si>
  <si>
    <t xml:space="preserve">    Accounted for in Col.(h) of Schedule II-C-2.2</t>
  </si>
  <si>
    <t xml:space="preserve">    Identified in Col.(h) of Schedule II-C-2.2</t>
  </si>
  <si>
    <t>Net Balance of Preferred Stock (Sched.II-C-2.2)</t>
  </si>
  <si>
    <t>Weighted Average Cost of Preferred Stock (Sched.II-C-2.2)</t>
  </si>
  <si>
    <t xml:space="preserve">    Redeemed Securities (Sched.II-C-2.3)</t>
  </si>
  <si>
    <t xml:space="preserve">    in Col.(h) of Schedule II-C-2.3</t>
  </si>
  <si>
    <t xml:space="preserve">    Accounted for in Col.(h) of Schedule II-C-2.3</t>
  </si>
  <si>
    <t xml:space="preserve">    Identified in Col.(h) of Schedule II-C-2.3</t>
  </si>
  <si>
    <t>Net Balance of Preferred Trust Securities (Sched.II-C-2.3)</t>
  </si>
  <si>
    <t>Weighted Average Cost of Preferred Trust Securities (Sched.II-C-2.3)</t>
  </si>
  <si>
    <t xml:space="preserve">    Reacquired Debt (Sched.II-C-2.4)</t>
  </si>
  <si>
    <t xml:space="preserve">    in Col.(h) of Schedule II-C-2.4</t>
  </si>
  <si>
    <t xml:space="preserve">    Accounted for in Col.(h) of Schedule II-C-2.4</t>
  </si>
  <si>
    <t>Net Balance of Debt (Sched.II-C-2.4)</t>
  </si>
  <si>
    <t>Weighted Average Cost of Debt (Sched.II-C-2.4)</t>
  </si>
  <si>
    <t>Description</t>
  </si>
  <si>
    <t xml:space="preserve"> </t>
  </si>
  <si>
    <t>Total</t>
  </si>
  <si>
    <t>No.</t>
  </si>
  <si>
    <t>Proforma</t>
  </si>
  <si>
    <t>End of Monitoring Period</t>
  </si>
  <si>
    <t>Net Income</t>
  </si>
  <si>
    <t>Ending</t>
  </si>
  <si>
    <t>Common</t>
  </si>
  <si>
    <t>Equity</t>
  </si>
  <si>
    <t>Implied</t>
  </si>
  <si>
    <t>Wtd. Avg.</t>
  </si>
  <si>
    <t>Year End</t>
  </si>
  <si>
    <t>Dividends</t>
  </si>
  <si>
    <t>(Net)</t>
  </si>
  <si>
    <t>Retained</t>
  </si>
  <si>
    <t>Growth</t>
  </si>
  <si>
    <t>Shares</t>
  </si>
  <si>
    <t>(p)</t>
  </si>
  <si>
    <t>Adjustments</t>
  </si>
  <si>
    <t>Amount</t>
  </si>
  <si>
    <t>(a)</t>
  </si>
  <si>
    <t>(b)</t>
  </si>
  <si>
    <t>(c)</t>
  </si>
  <si>
    <t>(d)</t>
  </si>
  <si>
    <t>Weighted</t>
  </si>
  <si>
    <t>Balance</t>
  </si>
  <si>
    <t>Cost</t>
  </si>
  <si>
    <t>Common Equity</t>
  </si>
  <si>
    <t>Preferred Stock</t>
  </si>
  <si>
    <t>Preferred Trust Securities</t>
  </si>
  <si>
    <t>Long-Term Debt</t>
  </si>
  <si>
    <t>Short-Term Debt</t>
  </si>
  <si>
    <t xml:space="preserve">    Total</t>
  </si>
  <si>
    <t>(e)</t>
  </si>
  <si>
    <t>(f)</t>
  </si>
  <si>
    <t>(g)</t>
  </si>
  <si>
    <t>(h)</t>
  </si>
  <si>
    <t>(i)</t>
  </si>
  <si>
    <t>(j)</t>
  </si>
  <si>
    <t>(k)</t>
  </si>
  <si>
    <t>(l)</t>
  </si>
  <si>
    <t>(m)</t>
  </si>
  <si>
    <t>(n)</t>
  </si>
  <si>
    <t>(o)</t>
  </si>
  <si>
    <t>Underwriting</t>
  </si>
  <si>
    <t>Gain or</t>
  </si>
  <si>
    <t>Net</t>
  </si>
  <si>
    <t>Issue</t>
  </si>
  <si>
    <t>Mandatory</t>
  </si>
  <si>
    <t>Premium</t>
  </si>
  <si>
    <t>Fees and</t>
  </si>
  <si>
    <t>(Loss) on</t>
  </si>
  <si>
    <t>Original</t>
  </si>
  <si>
    <t>Proceeds</t>
  </si>
  <si>
    <t>Par Value</t>
  </si>
  <si>
    <t>Current</t>
  </si>
  <si>
    <t>As % of</t>
  </si>
  <si>
    <t>Issuance</t>
  </si>
  <si>
    <t>Redemption</t>
  </si>
  <si>
    <t>Dividend</t>
  </si>
  <si>
    <t>or</t>
  </si>
  <si>
    <t>Redeemed</t>
  </si>
  <si>
    <t>Currently</t>
  </si>
  <si>
    <t>Total Net</t>
  </si>
  <si>
    <t>of</t>
  </si>
  <si>
    <t>Average</t>
  </si>
  <si>
    <t>Line</t>
  </si>
  <si>
    <t>Date</t>
  </si>
  <si>
    <t>(Y/N)</t>
  </si>
  <si>
    <t>Rate</t>
  </si>
  <si>
    <t>at Issuance</t>
  </si>
  <si>
    <t>(Discount)</t>
  </si>
  <si>
    <t>Expenses</t>
  </si>
  <si>
    <t>Stock</t>
  </si>
  <si>
    <t>Par</t>
  </si>
  <si>
    <t>Outstanding</t>
  </si>
  <si>
    <t>Money</t>
  </si>
  <si>
    <t>Plus:</t>
  </si>
  <si>
    <t>Unamortized Premium (Discount)</t>
  </si>
  <si>
    <t>Less:</t>
  </si>
  <si>
    <t>Unamortized Fees and Issuance Expenses</t>
  </si>
  <si>
    <t>Unamort. Gains (Losses) on Redeemed Stock</t>
  </si>
  <si>
    <t>Net Balance of Preferred Stock</t>
  </si>
  <si>
    <t>Balance of Unamortized Gains (Losses) on</t>
  </si>
  <si>
    <t>-</t>
  </si>
  <si>
    <t xml:space="preserve">Balance Related to Gains (Losses) Identified </t>
  </si>
  <si>
    <t>Net Balance of Unamortized Gains (Losses) Not</t>
  </si>
  <si>
    <t>Annual Amortization of Gains (Losses) on</t>
  </si>
  <si>
    <t xml:space="preserve">    Redeemed Stock</t>
  </si>
  <si>
    <t>Annual Amortization Related to Gains (Losses)</t>
  </si>
  <si>
    <t>Net Annual Amortization of Gains (Losses) Not</t>
  </si>
  <si>
    <t>Net Balance of Unamortized Gains (Losses) from Line 6</t>
  </si>
  <si>
    <t>Preferred Stock Balance Excluding Net Gains (Losses)</t>
  </si>
  <si>
    <t>x</t>
  </si>
  <si>
    <t>Annual Preferred Stock Requirement</t>
  </si>
  <si>
    <t>Net Amortization of Gains (Losses) from Line 15</t>
  </si>
  <si>
    <t>Adjusted Annual Preferred Stock Requirement</t>
  </si>
  <si>
    <t>Adjusted Cost of Preferred Stock (Line 30/Line 19)</t>
  </si>
  <si>
    <t>Maturity</t>
  </si>
  <si>
    <t>Interest</t>
  </si>
  <si>
    <t>(see note)</t>
  </si>
  <si>
    <t>Unamort. Gains (Losses) on Redeemed Securities</t>
  </si>
  <si>
    <t>Net Balance of Preferred Trust Securities</t>
  </si>
  <si>
    <t xml:space="preserve">    Redeemed Securities</t>
  </si>
  <si>
    <t>Preferred Trust Securities Balance Excluding Net Gains (Losses)</t>
  </si>
  <si>
    <t>Annual Preferred Trust Securities Requirement</t>
  </si>
  <si>
    <t>Adjusted Annual Preferred Trust Securities Requirement</t>
  </si>
  <si>
    <t>Adjusted Cost of Preferred Trust Securities (Line 30/Line 19)</t>
  </si>
  <si>
    <t>Principal</t>
  </si>
  <si>
    <t>Reacquired</t>
  </si>
  <si>
    <t>Debt</t>
  </si>
  <si>
    <t>of Debt</t>
  </si>
  <si>
    <t>Unamortized Gains (Losses) on Reacq. Debt</t>
  </si>
  <si>
    <t>Net Balance of Debt</t>
  </si>
  <si>
    <t>Debt Balance Excluding Net Gains (Losses)</t>
  </si>
  <si>
    <t>Annual Debt Requirement</t>
  </si>
  <si>
    <t>Adjusted Annual Debt Requirement</t>
  </si>
  <si>
    <t>Balance at end of</t>
  </si>
  <si>
    <t>As a %</t>
  </si>
  <si>
    <t>of Total</t>
  </si>
  <si>
    <t>Bank Loans</t>
  </si>
  <si>
    <t>Total Notes Payable</t>
  </si>
  <si>
    <t>Year</t>
  </si>
  <si>
    <t>Pre-Tax Interest Coverage</t>
  </si>
  <si>
    <t>Funds From Operations / Total Debt</t>
  </si>
  <si>
    <t>Net Cash Flow / Capital Outlays</t>
  </si>
  <si>
    <t>Cash Coverage of Common Dividends</t>
  </si>
  <si>
    <t>Return on Average Common Equity</t>
  </si>
  <si>
    <t>EPS</t>
  </si>
  <si>
    <t>DPS</t>
  </si>
  <si>
    <t>BVPS</t>
  </si>
  <si>
    <t>C/G</t>
  </si>
  <si>
    <t>C/K</t>
  </si>
  <si>
    <t>D/L</t>
  </si>
  <si>
    <t>F/M</t>
  </si>
  <si>
    <t>Earnings</t>
  </si>
  <si>
    <t>No</t>
  </si>
  <si>
    <t>Weighted Cost of Capital</t>
  </si>
  <si>
    <t>Percentages</t>
  </si>
  <si>
    <t>None</t>
  </si>
  <si>
    <t>Sub Total</t>
  </si>
  <si>
    <t>Adjustments:</t>
  </si>
  <si>
    <t>Total Less Adjustments</t>
  </si>
  <si>
    <t xml:space="preserve">Beginning </t>
  </si>
  <si>
    <t xml:space="preserve">Addtl. </t>
  </si>
  <si>
    <t xml:space="preserve">Average  </t>
  </si>
  <si>
    <t>Percent</t>
  </si>
  <si>
    <t>Market</t>
  </si>
  <si>
    <t xml:space="preserve">Non-Recurring </t>
  </si>
  <si>
    <t>for</t>
  </si>
  <si>
    <t>to</t>
  </si>
  <si>
    <t>Gains/(Losses)</t>
  </si>
  <si>
    <t>for Common</t>
  </si>
  <si>
    <t>Description of</t>
  </si>
  <si>
    <t>ROE</t>
  </si>
  <si>
    <t>(for EPS)</t>
  </si>
  <si>
    <t>(for DPS)</t>
  </si>
  <si>
    <t>(for BVPS)</t>
  </si>
  <si>
    <t>Price</t>
  </si>
  <si>
    <t>Book</t>
  </si>
  <si>
    <t>(Net of Tax)</t>
  </si>
  <si>
    <t>(Adjusted)</t>
  </si>
  <si>
    <t>Non- Recurring Item</t>
  </si>
  <si>
    <t>F - (B+C-D)</t>
  </si>
  <si>
    <t>(B+F)/2</t>
  </si>
  <si>
    <t>(C-D)/C</t>
  </si>
  <si>
    <t>H*I</t>
  </si>
  <si>
    <t>Diluted</t>
  </si>
  <si>
    <t>Q/P</t>
  </si>
  <si>
    <t>C-S</t>
  </si>
  <si>
    <t>(q)</t>
  </si>
  <si>
    <t>(r)</t>
  </si>
  <si>
    <t>(s)</t>
  </si>
  <si>
    <t>(t)</t>
  </si>
  <si>
    <t>(u)</t>
  </si>
  <si>
    <t>Total Debt as a Percent of Total Capital</t>
  </si>
  <si>
    <t>Construction Expenditures as a Percent of Average Total Capital</t>
  </si>
  <si>
    <t>Funds From Operations Interest Coverage Ratio</t>
  </si>
  <si>
    <t>Preferred Stock Adjusted</t>
  </si>
  <si>
    <t>Common Equity Adjusted</t>
  </si>
  <si>
    <t>Other - CP &amp; Adv from Affiliates</t>
  </si>
  <si>
    <t>(Dollars in Millions)</t>
  </si>
  <si>
    <t xml:space="preserve">  ----------------- ESTIMATED ------------------</t>
  </si>
  <si>
    <t>Debt to Total Capitalization Ratio (0.65 - 1.00)</t>
  </si>
  <si>
    <t>Numerator:</t>
  </si>
  <si>
    <t>Consolidated Senior Debt</t>
  </si>
  <si>
    <t xml:space="preserve">Borrowed Money Evidenced by Bonds, Indentures, Notes, or Other </t>
  </si>
  <si>
    <t>Include Deferred Purchase Price of Property or Services</t>
  </si>
  <si>
    <t>Include Capital Leases ( not included in borrowed money above)</t>
  </si>
  <si>
    <t>Direct and Indirect Guaranties</t>
  </si>
  <si>
    <t>Less Qualified Transition Bonds and related swaps</t>
  </si>
  <si>
    <t>Include Equity Credit  - Preferred Securities not included in the definition of</t>
  </si>
  <si>
    <t>Consolidated Shareholder Equity</t>
  </si>
  <si>
    <t xml:space="preserve">  Total</t>
  </si>
  <si>
    <t>Denominator:</t>
  </si>
  <si>
    <t>Consolidated Total Capitalization</t>
  </si>
  <si>
    <t>Common Stock or Common Members' Interest</t>
  </si>
  <si>
    <t xml:space="preserve">plus to extent the following  decreased common stk./common member interest.:      </t>
  </si>
  <si>
    <t>A.  Cash &amp; non cash charges up to $750mm aggregate basis regarding:</t>
  </si>
  <si>
    <t>1.  State &amp; Federal Regulatory bodies</t>
  </si>
  <si>
    <t xml:space="preserve">2.  Cash charges on early retirement, repurchase or termination of debt </t>
  </si>
  <si>
    <t xml:space="preserve">                  relating to liability management</t>
  </si>
  <si>
    <t>B.  Loss from Preferred Membership Interest Repurchases</t>
  </si>
  <si>
    <t>Preferred Stock or Preferred Members' Interest Not Subject to Mandatory Redemption</t>
  </si>
  <si>
    <t>Equity-Credit Preferred Securities (Not to exceed $850 million)</t>
  </si>
  <si>
    <t>Preferred Membership Interests</t>
  </si>
  <si>
    <t>CAPITAL REQUIREMENTS</t>
  </si>
  <si>
    <t>TOTAL CAPITAL REQUIREMENTS</t>
  </si>
  <si>
    <t>SOURCES OF CAPITAL</t>
  </si>
  <si>
    <t>External:</t>
  </si>
  <si>
    <t>TOTAL CAPITAL SOURCES</t>
  </si>
  <si>
    <t>n/a</t>
  </si>
  <si>
    <t xml:space="preserve">    Reacquired Debt</t>
  </si>
  <si>
    <t xml:space="preserve">    Identified in Col.(h) of Schedule II-C-2.4</t>
  </si>
  <si>
    <t>Requested</t>
  </si>
  <si>
    <t xml:space="preserve">Requested </t>
  </si>
  <si>
    <t>Structure</t>
  </si>
  <si>
    <t>Actual</t>
  </si>
  <si>
    <t>Weighted Cost</t>
  </si>
  <si>
    <t>of Capital Category</t>
  </si>
  <si>
    <t>Adjusted Cost of Debt (Line 30/Line 19)</t>
  </si>
  <si>
    <t>Include unreimbursed Letters of Credit</t>
  </si>
  <si>
    <t>Exclude Defeased Indebtednes</t>
  </si>
  <si>
    <t>Highly Sensitive
Confidential Information</t>
  </si>
  <si>
    <t>Debt repayments</t>
  </si>
  <si>
    <t>Dividends to parent</t>
  </si>
  <si>
    <t>Working capital requirements</t>
  </si>
  <si>
    <t>Increase in cash</t>
  </si>
  <si>
    <t xml:space="preserve">  </t>
  </si>
  <si>
    <t>Cash flow from operations before working capital</t>
  </si>
  <si>
    <t>Short and long-term debt issued</t>
  </si>
  <si>
    <t>Decrease in cash</t>
  </si>
  <si>
    <t>Decrease in tax notes receivable</t>
  </si>
  <si>
    <t>Preferred stock issued</t>
  </si>
  <si>
    <t>Common stock issued</t>
  </si>
  <si>
    <t>Other</t>
  </si>
  <si>
    <t>Capital expenditures- Transmission</t>
  </si>
  <si>
    <t>Capital expenditures- Distribution</t>
  </si>
  <si>
    <t>Capital expenditures- AMS</t>
  </si>
  <si>
    <t>Other Investing Activity</t>
  </si>
  <si>
    <t>--------------------------- ESTIMATED --------------------------------</t>
  </si>
  <si>
    <t>Cost at</t>
  </si>
  <si>
    <t>3.  Initiatives implemented for performance improvement programs</t>
  </si>
  <si>
    <t>* Totals may not match due to rounding differences</t>
  </si>
  <si>
    <t xml:space="preserve">Portions of the information are highly sensitive confidential and will be made available only after execution of a certification </t>
  </si>
  <si>
    <t>Total CWIP as a Percent of Net Plant</t>
  </si>
  <si>
    <t>Note:  Amounts presented have been rounded to the nearest million</t>
  </si>
  <si>
    <t>Average Daily</t>
  </si>
  <si>
    <t>Balance Outstanding</t>
  </si>
  <si>
    <t>Without Rate Relief</t>
  </si>
  <si>
    <t>With Rate Relief</t>
  </si>
  <si>
    <t>Fixed Charge Coverage</t>
  </si>
  <si>
    <t>Fixed Charge Coverage (including distributions on preferred trust securities)</t>
  </si>
  <si>
    <t xml:space="preserve">to be bound by the draft protective order set forth in Section VII of this Rate Filing  Package or a protective order issued in this docket. </t>
  </si>
  <si>
    <t>to be bound by the draft protective order set forth in Section VII of this Rate Filing Package or a protective order issued in this docket.</t>
  </si>
  <si>
    <t xml:space="preserve">Board of Director meeting agendas are highly sensitive confidential and will be made available only after execution of a certification </t>
  </si>
  <si>
    <t xml:space="preserve">Portions of the information are highly sensitive confidential and will be made available only after execution of a certification to be bound by the draft protective order set forth in </t>
  </si>
  <si>
    <t xml:space="preserve">Section VII of this Rate Filing  Package or a protective order issued in this docket. </t>
  </si>
  <si>
    <t>12 Months Ending</t>
  </si>
  <si>
    <t xml:space="preserve">12  Months Ending </t>
  </si>
  <si>
    <t>Business</t>
  </si>
  <si>
    <t>Audit Number</t>
  </si>
  <si>
    <t>Audit Title</t>
  </si>
  <si>
    <t>Status</t>
  </si>
  <si>
    <t xml:space="preserve">The determination of final revenue requirements for Oncor Electric Delivery Company LLC is based on the </t>
  </si>
  <si>
    <t>rate of return method.</t>
  </si>
  <si>
    <t>in electronic format in accordance with RFP General Instruction No. 15, only after execution of a certification to be bound by the draft</t>
  </si>
  <si>
    <t>protective order set forth in Section VII of this Rate Filing Package or a protective order issued in this docket.</t>
  </si>
  <si>
    <t xml:space="preserve">The information requested in support of this Rate Filing Package schedule is confidential and will be made available </t>
  </si>
  <si>
    <t>Sr Secured Notes</t>
  </si>
  <si>
    <t>Sr Sec (SDTS A)</t>
  </si>
  <si>
    <t>Sr Sec (SDTS B)</t>
  </si>
  <si>
    <t>HB 2483 Mob Gen Leases (#1) - units 1-7</t>
  </si>
  <si>
    <t>HB 2483 Mob Gen Leases (#2) - units 8-10</t>
  </si>
  <si>
    <t>HB 2483 Mob Gen Leases (#3) - units 11-15</t>
  </si>
  <si>
    <t>LT23200C</t>
  </si>
  <si>
    <t>LT23100D</t>
  </si>
  <si>
    <t>LT23100E</t>
  </si>
  <si>
    <t>Receivables Financing Agreement</t>
  </si>
  <si>
    <t>Revolving Credit Facility</t>
  </si>
  <si>
    <t>LT24100F</t>
  </si>
  <si>
    <t>LT2450MG</t>
  </si>
  <si>
    <t>Sr Secured Notes (Euro)</t>
  </si>
  <si>
    <t>For the Test Year Ending December 31, 2024</t>
  </si>
  <si>
    <t>II-C-2.5a  AVERAGE DAILY BALANCES AND COST OF BANK BORROWINGS - JANUARY 2024</t>
  </si>
  <si>
    <t>II-C-2.5b  AVERAGE DAILY BALANCES AND COST OF BANK BORROWINGS - FEBRUARY 2024</t>
  </si>
  <si>
    <t>II-C-2.5c  AVERAGE DAILY BALANCES AND COST OF BANK BORROWINGS - MARCH 2024</t>
  </si>
  <si>
    <t>II-C-2.5d  AVERAGE DAILY BALANCES AND COST OF BANK BORROWINGS - APRIL 2024</t>
  </si>
  <si>
    <t>II-C-2.5e  AVERAGE DAILY BALANCES AND COST OF BANK BORROWINGS - MAY 2024</t>
  </si>
  <si>
    <t>II-C-2.5f  AVERAGE DAILY BALANCES AND COST OF BANK BORROWINGS - JUNE 2024</t>
  </si>
  <si>
    <t>II-C-2.5g  AVERAGE DAILY BALANCES AND COST OF BANK BORROWINGS - JULY 2024</t>
  </si>
  <si>
    <t>II-C-2.5h  AVERAGE DAILY BALANCES AND COST OF BANK BORROWINGS - AUGUST 2024</t>
  </si>
  <si>
    <t>II-C-2.5i  AVERAGE DAILY BALANCES AND COST OF BANK BORROWINGS - SEPTEMBER 2024</t>
  </si>
  <si>
    <t>II-C-2.5j  AVERAGE DAILY BALANCES AND COST OF BANK BORROWINGS - OCTOBER 2024</t>
  </si>
  <si>
    <t>II-C-2.5k  AVERAGE DAILY BALANCES AND COST OF BANK BORROWINGS - NOVEMBER 2024</t>
  </si>
  <si>
    <t>II-C-2.5l  AVERAGE DAILY BALANCES AND COST OF BANK BORROWINGS - DECEMBER 2024</t>
  </si>
  <si>
    <t>December 31, 2024</t>
  </si>
  <si>
    <t>II-C-2.4  WEIGHTED AVERAGE COST OF LONG-TERM DEBT (ADJUSTED)</t>
  </si>
  <si>
    <t>II-C-2.4a  ADJUSTED COST OF LONG-TERM DEBT ADJUSTED</t>
  </si>
  <si>
    <t>FOR THE TWELVE MONTH PERIOD ENDING DECEMBER 31, 2024</t>
  </si>
  <si>
    <t xml:space="preserve">Restrictions upon the issuance of additional long-term debt by the Company are contained in its credit facilities, accounts receivables facility, and note purchase agreements. </t>
  </si>
  <si>
    <t>The agreements require a debt to total capitalization ratio of 0.65 to 1.0. See attachment for the language used in each agreement to describe the ratio calculation.</t>
  </si>
  <si>
    <t xml:space="preserve">(a) Credit Facilities, accounts receivable facility, and note purchase agreements entered into beginning in 2023. </t>
  </si>
  <si>
    <t xml:space="preserve">(b) Note purchase agreement entered into in May 2019, with notes payable in December 2025 and January 2026. Since the agreement will not be in effect after January 2026, data for 2026 and 2027 is not included.  </t>
  </si>
  <si>
    <t>2024 Board of Directors Meetings</t>
  </si>
  <si>
    <t>Agenda*</t>
  </si>
  <si>
    <t>Oncor Electric Delivery Company</t>
  </si>
  <si>
    <t>Yes</t>
  </si>
  <si>
    <t>Oncor Electric Delivery Holdings Company</t>
  </si>
  <si>
    <t>2025 Board of Directors Meetings</t>
  </si>
  <si>
    <t>Agenda</t>
  </si>
  <si>
    <t>*Board of Director meeting agendas are provided in Attachment 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</si>
</sst>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 #,##0.0_);_(* \(#,##0.0\);_(* &quot;-&quot;??_);_(@_)"/>
    <numFmt numFmtId="166" formatCode="_(&quot;$&quot;* #,##0_);_(&quot;$&quot;* \(#,##0\);_(&quot;$&quot;* &quot;-&quot;??_);_(@_)"/>
    <numFmt numFmtId="167" formatCode="0.000%"/>
    <numFmt numFmtId="168" formatCode="mm/dd/yy_)"/>
    <numFmt numFmtId="169" formatCode="0.00_)"/>
    <numFmt numFmtId="170" formatCode="0_);\(0\)"/>
    <numFmt numFmtId="171" formatCode="0.00_);\(0.00\)"/>
    <numFmt numFmtId="172" formatCode="0.0000%"/>
    <numFmt numFmtId="173" formatCode="mm/dd/yyyy"/>
  </numFmts>
  <fonts count="42" x14ac:knownFonts="1">
    <font>
      <sz val="10"/>
      <name val="Arial"/>
    </font>
    <font>
      <b/>
      <sz val="10"/>
      <name val="Arial"/>
      <family val="2"/>
    </font>
    <font>
      <i/>
      <sz val="10"/>
      <name val="Arial"/>
      <family val="2"/>
    </font>
    <font>
      <sz val="10"/>
      <name val="Arial"/>
      <family val="2"/>
    </font>
    <font>
      <sz val="8"/>
      <name val="Arial"/>
      <family val="2"/>
    </font>
    <font>
      <sz val="12"/>
      <name val="Arial"/>
      <family val="2"/>
    </font>
    <font>
      <sz val="10"/>
      <name val="Arial"/>
      <family val="2"/>
    </font>
    <font>
      <u/>
      <sz val="10"/>
      <color indexed="12"/>
      <name val="Arial"/>
      <family val="2"/>
    </font>
    <font>
      <b/>
      <sz val="10"/>
      <name val="Arial"/>
      <family val="2"/>
    </font>
    <font>
      <b/>
      <sz val="10"/>
      <color indexed="12"/>
      <name val="Arial"/>
      <family val="2"/>
    </font>
    <font>
      <sz val="10"/>
      <name val="Arial"/>
      <family val="2"/>
    </font>
    <font>
      <sz val="10"/>
      <color indexed="12"/>
      <name val="Arial"/>
      <family val="2"/>
    </font>
    <font>
      <sz val="10"/>
      <name val="Arial"/>
      <family val="2"/>
    </font>
    <font>
      <sz val="10"/>
      <color indexed="8"/>
      <name val="Arial"/>
      <family val="2"/>
    </font>
    <font>
      <sz val="10"/>
      <name val="Arial"/>
      <family val="2"/>
    </font>
    <font>
      <b/>
      <sz val="10"/>
      <color indexed="8"/>
      <name val="Arial"/>
      <family val="2"/>
    </font>
    <font>
      <sz val="9"/>
      <name val="Arial"/>
      <family val="2"/>
    </font>
    <font>
      <i/>
      <sz val="10"/>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name val="Arial"/>
      <family val="2"/>
    </font>
    <font>
      <sz val="10"/>
      <color rgb="FF000000"/>
      <name val="Arial"/>
      <family val="2"/>
    </font>
    <font>
      <sz val="11"/>
      <color indexed="8"/>
      <name val="Arial"/>
      <family val="2"/>
    </font>
    <font>
      <sz val="12"/>
      <name val="Courier"/>
      <family val="3"/>
    </font>
    <font>
      <sz val="10"/>
      <color theme="1"/>
      <name val="Arial"/>
      <family val="2"/>
    </font>
    <font>
      <b/>
      <sz val="12"/>
      <color theme="1"/>
      <name val="Calibri"/>
      <family val="2"/>
      <scheme val="minor"/>
    </font>
    <font>
      <b/>
      <sz val="11"/>
      <color theme="1"/>
      <name val="Calibri"/>
      <family val="2"/>
      <scheme val="minor"/>
    </font>
  </fonts>
  <fills count="2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3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8"/>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auto="1"/>
      </bottom>
      <diagonal/>
    </border>
    <border>
      <left style="medium">
        <color auto="1"/>
      </left>
      <right style="medium">
        <color auto="1"/>
      </right>
      <top style="medium">
        <color auto="1"/>
      </top>
      <bottom style="medium">
        <color auto="1"/>
      </bottom>
      <diagonal/>
    </border>
  </borders>
  <cellStyleXfs count="60">
    <xf numFmtId="0" fontId="0" fillId="0" borderId="0"/>
    <xf numFmtId="0" fontId="3" fillId="0" borderId="0"/>
    <xf numFmtId="0" fontId="18" fillId="2" borderId="0" applyNumberFormat="0" applyBorder="0" applyAlignment="0" applyProtection="0"/>
    <xf numFmtId="0" fontId="18" fillId="3" borderId="0" applyNumberFormat="0" applyBorder="0" applyAlignment="0" applyProtection="0"/>
    <xf numFmtId="0" fontId="18" fillId="4"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7"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5" borderId="0" applyNumberFormat="0" applyBorder="0" applyAlignment="0" applyProtection="0"/>
    <xf numFmtId="0" fontId="18" fillId="8" borderId="0" applyNumberFormat="0" applyBorder="0" applyAlignment="0" applyProtection="0"/>
    <xf numFmtId="0" fontId="18" fillId="11" borderId="0" applyNumberFormat="0" applyBorder="0" applyAlignment="0" applyProtection="0"/>
    <xf numFmtId="0" fontId="19" fillId="12"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9" borderId="0" applyNumberFormat="0" applyBorder="0" applyAlignment="0" applyProtection="0"/>
    <xf numFmtId="0" fontId="20" fillId="3" borderId="0" applyNumberFormat="0" applyBorder="0" applyAlignment="0" applyProtection="0"/>
    <xf numFmtId="0" fontId="21" fillId="20" borderId="1" applyNumberFormat="0" applyAlignment="0" applyProtection="0"/>
    <xf numFmtId="0" fontId="22" fillId="21" borderId="2" applyNumberFormat="0" applyAlignment="0" applyProtection="0"/>
    <xf numFmtId="43" fontId="3" fillId="0" borderId="0" applyFont="0" applyFill="0" applyBorder="0" applyAlignment="0" applyProtection="0"/>
    <xf numFmtId="44" fontId="3" fillId="0" borderId="0" applyFont="0" applyFill="0" applyBorder="0" applyAlignment="0" applyProtection="0"/>
    <xf numFmtId="0" fontId="23" fillId="0" borderId="0" applyNumberFormat="0" applyFill="0" applyBorder="0" applyAlignment="0" applyProtection="0"/>
    <xf numFmtId="0" fontId="24" fillId="4" borderId="0" applyNumberFormat="0" applyBorder="0" applyAlignment="0" applyProtection="0"/>
    <xf numFmtId="0" fontId="25" fillId="0" borderId="3" applyNumberFormat="0" applyFill="0" applyAlignment="0" applyProtection="0"/>
    <xf numFmtId="0" fontId="26" fillId="0" borderId="4" applyNumberFormat="0" applyFill="0" applyAlignment="0" applyProtection="0"/>
    <xf numFmtId="0" fontId="27" fillId="0" borderId="5" applyNumberFormat="0" applyFill="0" applyAlignment="0" applyProtection="0"/>
    <xf numFmtId="0" fontId="27" fillId="0" borderId="0" applyNumberFormat="0" applyFill="0" applyBorder="0" applyAlignment="0" applyProtection="0"/>
    <xf numFmtId="0" fontId="7" fillId="0" borderId="0" applyNumberFormat="0" applyFill="0" applyBorder="0" applyAlignment="0" applyProtection="0">
      <alignment vertical="top"/>
      <protection locked="0"/>
    </xf>
    <xf numFmtId="0" fontId="28" fillId="7" borderId="1" applyNumberFormat="0" applyAlignment="0" applyProtection="0"/>
    <xf numFmtId="0" fontId="29" fillId="0" borderId="6" applyNumberFormat="0" applyFill="0" applyAlignment="0" applyProtection="0"/>
    <xf numFmtId="0" fontId="30" fillId="22" borderId="0" applyNumberFormat="0" applyBorder="0" applyAlignment="0" applyProtection="0"/>
    <xf numFmtId="0" fontId="6" fillId="0" borderId="0"/>
    <xf numFmtId="0" fontId="3" fillId="0" borderId="0"/>
    <xf numFmtId="0" fontId="4" fillId="0" borderId="0"/>
    <xf numFmtId="0" fontId="5" fillId="0" borderId="0"/>
    <xf numFmtId="0" fontId="5" fillId="0" borderId="0"/>
    <xf numFmtId="0" fontId="16" fillId="0" borderId="0"/>
    <xf numFmtId="0" fontId="18" fillId="23" borderId="7" applyNumberFormat="0" applyFont="0" applyAlignment="0" applyProtection="0"/>
    <xf numFmtId="0" fontId="31" fillId="20" borderId="8" applyNumberFormat="0" applyAlignment="0" applyProtection="0"/>
    <xf numFmtId="9" fontId="3" fillId="0" borderId="0" applyFont="0" applyFill="0" applyBorder="0" applyAlignment="0" applyProtection="0"/>
    <xf numFmtId="0" fontId="32" fillId="0" borderId="0" applyNumberFormat="0" applyFill="0" applyBorder="0" applyAlignment="0" applyProtection="0"/>
    <xf numFmtId="0" fontId="33" fillId="0" borderId="9" applyNumberFormat="0" applyFill="0" applyAlignment="0" applyProtection="0"/>
    <xf numFmtId="0" fontId="34" fillId="0" borderId="0" applyNumberForma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4" fontId="3" fillId="0" borderId="0" applyFont="0" applyFill="0" applyBorder="0" applyAlignment="0" applyProtection="0"/>
  </cellStyleXfs>
  <cellXfs count="500">
    <xf numFmtId="0" fontId="0" fillId="0" borderId="0" xfId="0"/>
    <xf numFmtId="0" fontId="3" fillId="0" borderId="0" xfId="44" applyFont="1"/>
    <xf numFmtId="0" fontId="3" fillId="0" borderId="0" xfId="1" applyFont="1"/>
    <xf numFmtId="0" fontId="3" fillId="0" borderId="0" xfId="1" applyFont="1" applyBorder="1"/>
    <xf numFmtId="0" fontId="8" fillId="0" borderId="0" xfId="1" applyFont="1" applyBorder="1"/>
    <xf numFmtId="0" fontId="8" fillId="0" borderId="0" xfId="1" applyFont="1"/>
    <xf numFmtId="0" fontId="6" fillId="0" borderId="0" xfId="1" applyFont="1" applyBorder="1"/>
    <xf numFmtId="0" fontId="10" fillId="0" borderId="0" xfId="1" applyFont="1"/>
    <xf numFmtId="0" fontId="10" fillId="0" borderId="0" xfId="1" applyFont="1" applyBorder="1"/>
    <xf numFmtId="0" fontId="7" fillId="0" borderId="0" xfId="37" applyFont="1" applyAlignment="1" applyProtection="1"/>
    <xf numFmtId="0" fontId="3" fillId="0" borderId="0" xfId="44" applyFont="1" applyProtection="1"/>
    <xf numFmtId="0" fontId="10" fillId="0" borderId="0" xfId="44" applyFont="1" applyProtection="1"/>
    <xf numFmtId="0" fontId="10" fillId="0" borderId="0" xfId="44" applyFont="1"/>
    <xf numFmtId="0" fontId="10" fillId="0" borderId="0" xfId="44" applyFont="1" applyAlignment="1" applyProtection="1">
      <alignment horizontal="right"/>
    </xf>
    <xf numFmtId="0" fontId="10" fillId="0" borderId="0" xfId="44" applyFont="1" applyAlignment="1" applyProtection="1"/>
    <xf numFmtId="168" fontId="10" fillId="0" borderId="0" xfId="44" applyNumberFormat="1" applyFont="1" applyAlignment="1" applyProtection="1"/>
    <xf numFmtId="0" fontId="10" fillId="0" borderId="0" xfId="44" applyFont="1" applyAlignment="1" applyProtection="1">
      <alignment horizontal="center"/>
    </xf>
    <xf numFmtId="0" fontId="11" fillId="0" borderId="0" xfId="44" applyFont="1" applyProtection="1">
      <protection locked="0"/>
    </xf>
    <xf numFmtId="0" fontId="12" fillId="0" borderId="0" xfId="44" applyFont="1" applyAlignment="1" applyProtection="1">
      <alignment horizontal="center"/>
    </xf>
    <xf numFmtId="0" fontId="12" fillId="0" borderId="0" xfId="44" applyFont="1" applyProtection="1"/>
    <xf numFmtId="0" fontId="12" fillId="0" borderId="0" xfId="1" applyFont="1"/>
    <xf numFmtId="0" fontId="12" fillId="0" borderId="0" xfId="44" applyFont="1" applyBorder="1" applyProtection="1"/>
    <xf numFmtId="0" fontId="12" fillId="0" borderId="0" xfId="1" applyFont="1" applyAlignment="1">
      <alignment horizontal="center"/>
    </xf>
    <xf numFmtId="10" fontId="12" fillId="0" borderId="0" xfId="44" applyNumberFormat="1" applyFont="1" applyProtection="1"/>
    <xf numFmtId="164" fontId="11" fillId="0" borderId="0" xfId="29" applyNumberFormat="1" applyFont="1" applyProtection="1">
      <protection locked="0"/>
    </xf>
    <xf numFmtId="0" fontId="12" fillId="0" borderId="0" xfId="44" applyFont="1"/>
    <xf numFmtId="167" fontId="11" fillId="0" borderId="0" xfId="44" applyNumberFormat="1" applyFont="1" applyProtection="1">
      <protection locked="0"/>
    </xf>
    <xf numFmtId="167" fontId="12" fillId="0" borderId="0" xfId="44" applyNumberFormat="1" applyFont="1" applyProtection="1"/>
    <xf numFmtId="0" fontId="12" fillId="0" borderId="0" xfId="44" applyFont="1" applyAlignment="1" applyProtection="1">
      <alignment horizontal="right"/>
    </xf>
    <xf numFmtId="5" fontId="12" fillId="0" borderId="0" xfId="44" applyNumberFormat="1" applyFont="1" applyAlignment="1" applyProtection="1">
      <alignment horizontal="left"/>
    </xf>
    <xf numFmtId="0" fontId="12" fillId="0" borderId="0" xfId="44" applyFont="1" applyAlignment="1" applyProtection="1">
      <alignment horizontal="left"/>
    </xf>
    <xf numFmtId="0" fontId="3" fillId="0" borderId="0" xfId="44" applyFont="1" applyAlignment="1" applyProtection="1">
      <alignment horizontal="right"/>
    </xf>
    <xf numFmtId="0" fontId="3" fillId="0" borderId="0" xfId="44" applyFont="1" applyAlignment="1" applyProtection="1">
      <alignment horizontal="center"/>
    </xf>
    <xf numFmtId="164" fontId="12" fillId="0" borderId="0" xfId="29" applyNumberFormat="1" applyFont="1" applyProtection="1"/>
    <xf numFmtId="168" fontId="10" fillId="0" borderId="0" xfId="44" applyNumberFormat="1" applyFont="1" applyAlignment="1" applyProtection="1">
      <alignment horizontal="right"/>
    </xf>
    <xf numFmtId="0" fontId="3" fillId="0" borderId="0" xfId="1" applyFont="1" applyProtection="1"/>
    <xf numFmtId="0" fontId="10" fillId="0" borderId="0" xfId="1" applyFont="1" applyProtection="1"/>
    <xf numFmtId="0" fontId="10" fillId="0" borderId="0" xfId="1" applyFont="1" applyAlignment="1" applyProtection="1">
      <alignment horizontal="right"/>
    </xf>
    <xf numFmtId="0" fontId="10" fillId="0" borderId="0" xfId="1" applyFont="1" applyAlignment="1" applyProtection="1"/>
    <xf numFmtId="0" fontId="3" fillId="0" borderId="0" xfId="1" applyFont="1" applyAlignment="1" applyProtection="1">
      <alignment horizontal="right"/>
    </xf>
    <xf numFmtId="0" fontId="3" fillId="0" borderId="0" xfId="1" applyFont="1" applyAlignment="1" applyProtection="1">
      <alignment horizontal="center"/>
    </xf>
    <xf numFmtId="0" fontId="12" fillId="0" borderId="0" xfId="1" applyFont="1" applyAlignment="1" applyProtection="1">
      <alignment horizontal="center"/>
    </xf>
    <xf numFmtId="0" fontId="12" fillId="0" borderId="0" xfId="1" applyFont="1" applyProtection="1"/>
    <xf numFmtId="5" fontId="12" fillId="0" borderId="10" xfId="1" applyNumberFormat="1" applyFont="1" applyBorder="1" applyProtection="1"/>
    <xf numFmtId="0" fontId="12" fillId="0" borderId="0" xfId="1" applyFont="1" applyAlignment="1" applyProtection="1">
      <alignment horizontal="right"/>
    </xf>
    <xf numFmtId="10" fontId="12" fillId="0" borderId="0" xfId="1" applyNumberFormat="1" applyFont="1" applyProtection="1"/>
    <xf numFmtId="0" fontId="11" fillId="0" borderId="0" xfId="1" applyFont="1" applyAlignment="1" applyProtection="1">
      <alignment horizontal="right"/>
      <protection locked="0"/>
    </xf>
    <xf numFmtId="0" fontId="10" fillId="0" borderId="0" xfId="44" applyFont="1" applyAlignment="1"/>
    <xf numFmtId="0" fontId="10" fillId="0" borderId="0" xfId="44" applyFont="1" applyBorder="1" applyProtection="1"/>
    <xf numFmtId="0" fontId="10" fillId="0" borderId="11" xfId="1" applyFont="1" applyBorder="1"/>
    <xf numFmtId="0" fontId="10" fillId="0" borderId="12" xfId="1" applyFont="1" applyBorder="1" applyAlignment="1">
      <alignment horizontal="center"/>
    </xf>
    <xf numFmtId="0" fontId="10" fillId="0" borderId="13" xfId="44" applyFont="1" applyBorder="1" applyAlignment="1" applyProtection="1">
      <alignment horizontal="center"/>
    </xf>
    <xf numFmtId="0" fontId="8" fillId="0" borderId="14" xfId="44" applyFont="1" applyBorder="1" applyAlignment="1" applyProtection="1">
      <alignment horizontal="center"/>
    </xf>
    <xf numFmtId="0" fontId="8" fillId="0" borderId="15" xfId="44" applyFont="1" applyBorder="1" applyProtection="1"/>
    <xf numFmtId="0" fontId="9" fillId="0" borderId="15" xfId="44" applyFont="1" applyBorder="1" applyProtection="1">
      <protection locked="0"/>
    </xf>
    <xf numFmtId="0" fontId="8" fillId="0" borderId="15" xfId="44" applyFont="1" applyBorder="1" applyAlignment="1" applyProtection="1">
      <alignment horizontal="center"/>
    </xf>
    <xf numFmtId="0" fontId="8" fillId="0" borderId="16" xfId="44" applyFont="1" applyBorder="1" applyAlignment="1" applyProtection="1">
      <alignment horizontal="center"/>
    </xf>
    <xf numFmtId="0" fontId="8" fillId="0" borderId="17" xfId="44" applyFont="1" applyBorder="1" applyAlignment="1" applyProtection="1">
      <alignment horizontal="center"/>
    </xf>
    <xf numFmtId="0" fontId="8" fillId="0" borderId="18" xfId="44" applyFont="1" applyBorder="1" applyAlignment="1" applyProtection="1">
      <alignment horizontal="center"/>
    </xf>
    <xf numFmtId="0" fontId="8" fillId="0" borderId="18" xfId="44" applyFont="1" applyBorder="1" applyProtection="1"/>
    <xf numFmtId="0" fontId="8" fillId="0" borderId="19" xfId="44" applyFont="1" applyBorder="1" applyAlignment="1" applyProtection="1">
      <alignment horizontal="center"/>
    </xf>
    <xf numFmtId="0" fontId="8" fillId="0" borderId="0" xfId="44" applyFont="1" applyAlignment="1" applyProtection="1"/>
    <xf numFmtId="168" fontId="8" fillId="0" borderId="0" xfId="44" applyNumberFormat="1" applyFont="1" applyAlignment="1" applyProtection="1"/>
    <xf numFmtId="0" fontId="10" fillId="0" borderId="13" xfId="44" applyFont="1" applyBorder="1" applyProtection="1"/>
    <xf numFmtId="164" fontId="12" fillId="0" borderId="10" xfId="29" applyNumberFormat="1" applyFont="1" applyBorder="1" applyProtection="1"/>
    <xf numFmtId="164" fontId="12" fillId="0" borderId="0" xfId="29" applyNumberFormat="1" applyFont="1"/>
    <xf numFmtId="0" fontId="1" fillId="0" borderId="0" xfId="44" applyFont="1" applyBorder="1" applyAlignment="1" applyProtection="1">
      <alignment horizontal="center"/>
    </xf>
    <xf numFmtId="0" fontId="1" fillId="0" borderId="20" xfId="44" applyFont="1" applyBorder="1" applyAlignment="1" applyProtection="1">
      <alignment horizontal="center"/>
    </xf>
    <xf numFmtId="0" fontId="1" fillId="0" borderId="21" xfId="44" applyFont="1" applyBorder="1" applyAlignment="1" applyProtection="1">
      <alignment horizontal="center"/>
    </xf>
    <xf numFmtId="0" fontId="1" fillId="0" borderId="15" xfId="44" applyFont="1" applyBorder="1" applyAlignment="1" applyProtection="1">
      <alignment horizontal="center"/>
    </xf>
    <xf numFmtId="0" fontId="1" fillId="0" borderId="18" xfId="44" applyFont="1" applyBorder="1" applyAlignment="1" applyProtection="1">
      <alignment horizontal="center"/>
    </xf>
    <xf numFmtId="0" fontId="6" fillId="0" borderId="13" xfId="44" applyFont="1" applyBorder="1" applyAlignment="1" applyProtection="1">
      <alignment horizontal="center"/>
    </xf>
    <xf numFmtId="0" fontId="1" fillId="0" borderId="13" xfId="44" applyFont="1" applyBorder="1" applyAlignment="1" applyProtection="1">
      <alignment horizontal="center"/>
    </xf>
    <xf numFmtId="164" fontId="3" fillId="0" borderId="0" xfId="29" applyNumberFormat="1" applyFont="1" applyProtection="1"/>
    <xf numFmtId="0" fontId="1" fillId="0" borderId="0" xfId="1" applyFont="1" applyBorder="1" applyAlignment="1" applyProtection="1">
      <alignment horizontal="center"/>
    </xf>
    <xf numFmtId="0" fontId="1" fillId="0" borderId="20" xfId="1" applyFont="1" applyBorder="1" applyAlignment="1" applyProtection="1">
      <alignment horizontal="center"/>
    </xf>
    <xf numFmtId="0" fontId="6" fillId="0" borderId="21" xfId="1" applyFont="1" applyBorder="1" applyAlignment="1" applyProtection="1">
      <alignment horizontal="center"/>
    </xf>
    <xf numFmtId="0" fontId="1" fillId="0" borderId="15" xfId="1" applyFont="1" applyBorder="1" applyAlignment="1" applyProtection="1">
      <alignment horizontal="center"/>
    </xf>
    <xf numFmtId="0" fontId="1" fillId="0" borderId="18" xfId="1" applyFont="1" applyBorder="1" applyAlignment="1" applyProtection="1">
      <alignment horizontal="center"/>
    </xf>
    <xf numFmtId="0" fontId="6" fillId="0" borderId="13" xfId="1" applyFont="1" applyBorder="1" applyAlignment="1" applyProtection="1">
      <alignment horizontal="center"/>
    </xf>
    <xf numFmtId="0" fontId="8" fillId="0" borderId="0" xfId="44" applyFont="1" applyProtection="1"/>
    <xf numFmtId="0" fontId="8" fillId="0" borderId="0" xfId="44" applyFont="1" applyAlignment="1" applyProtection="1">
      <alignment horizontal="center"/>
    </xf>
    <xf numFmtId="0" fontId="8" fillId="0" borderId="0" xfId="44" applyFont="1" applyBorder="1" applyProtection="1"/>
    <xf numFmtId="0" fontId="8" fillId="0" borderId="15" xfId="1" applyFont="1" applyBorder="1"/>
    <xf numFmtId="0" fontId="8" fillId="0" borderId="0" xfId="44" applyFont="1"/>
    <xf numFmtId="0" fontId="8" fillId="0" borderId="0" xfId="1" applyFont="1" applyAlignment="1">
      <alignment horizontal="center"/>
    </xf>
    <xf numFmtId="0" fontId="0" fillId="0" borderId="0" xfId="1" applyFont="1" applyAlignment="1">
      <alignment horizontal="center"/>
    </xf>
    <xf numFmtId="10" fontId="0" fillId="0" borderId="0" xfId="1" applyNumberFormat="1" applyFont="1"/>
    <xf numFmtId="0" fontId="3" fillId="0" borderId="0" xfId="44" applyFont="1" applyProtection="1">
      <protection locked="0"/>
    </xf>
    <xf numFmtId="167" fontId="3" fillId="0" borderId="0" xfId="44" applyNumberFormat="1" applyFont="1" applyProtection="1">
      <protection locked="0"/>
    </xf>
    <xf numFmtId="0" fontId="3" fillId="0" borderId="0" xfId="44" applyFont="1" applyAlignment="1" applyProtection="1">
      <alignment horizontal="center"/>
      <protection locked="0"/>
    </xf>
    <xf numFmtId="0" fontId="8" fillId="0" borderId="22" xfId="1" applyFont="1" applyBorder="1" applyAlignment="1">
      <alignment horizontal="center"/>
    </xf>
    <xf numFmtId="164" fontId="3" fillId="0" borderId="0" xfId="29" applyNumberFormat="1" applyFont="1" applyProtection="1">
      <protection locked="0"/>
    </xf>
    <xf numFmtId="164" fontId="3" fillId="0" borderId="10" xfId="29" applyNumberFormat="1" applyFont="1" applyBorder="1" applyProtection="1"/>
    <xf numFmtId="167" fontId="3" fillId="0" borderId="0" xfId="44" applyNumberFormat="1" applyFont="1" applyProtection="1"/>
    <xf numFmtId="0" fontId="3" fillId="0" borderId="0" xfId="44" applyFont="1" applyBorder="1" applyProtection="1"/>
    <xf numFmtId="164" fontId="3" fillId="0" borderId="0" xfId="29" applyNumberFormat="1" applyFont="1" applyBorder="1" applyProtection="1"/>
    <xf numFmtId="5" fontId="3" fillId="0" borderId="10" xfId="44" applyNumberFormat="1" applyFont="1" applyBorder="1" applyProtection="1"/>
    <xf numFmtId="0" fontId="3" fillId="0" borderId="0" xfId="1" applyFont="1" applyAlignment="1">
      <alignment horizontal="center"/>
    </xf>
    <xf numFmtId="10" fontId="3" fillId="0" borderId="0" xfId="44" applyNumberFormat="1" applyFont="1" applyProtection="1"/>
    <xf numFmtId="10" fontId="3" fillId="0" borderId="0" xfId="44" applyNumberFormat="1" applyFont="1" applyProtection="1">
      <protection locked="0"/>
    </xf>
    <xf numFmtId="0" fontId="13" fillId="0" borderId="0" xfId="1" applyFont="1" applyBorder="1"/>
    <xf numFmtId="0" fontId="3" fillId="0" borderId="0" xfId="44" applyFont="1" applyAlignment="1" applyProtection="1"/>
    <xf numFmtId="0" fontId="3" fillId="0" borderId="13" xfId="44" applyFont="1" applyBorder="1" applyAlignment="1" applyProtection="1">
      <alignment horizontal="center"/>
    </xf>
    <xf numFmtId="10" fontId="3" fillId="0" borderId="0" xfId="49" applyNumberFormat="1" applyFont="1" applyProtection="1"/>
    <xf numFmtId="0" fontId="14" fillId="0" borderId="0" xfId="1" applyFont="1" applyFill="1"/>
    <xf numFmtId="0" fontId="8" fillId="0" borderId="0" xfId="44" applyFont="1" applyFill="1" applyAlignment="1" applyProtection="1"/>
    <xf numFmtId="0" fontId="0" fillId="0" borderId="0" xfId="1" applyFont="1" applyFill="1"/>
    <xf numFmtId="168" fontId="8" fillId="0" borderId="0" xfId="44" applyNumberFormat="1" applyFont="1" applyFill="1" applyAlignment="1" applyProtection="1"/>
    <xf numFmtId="0" fontId="8" fillId="0" borderId="0" xfId="1" applyFont="1" applyFill="1"/>
    <xf numFmtId="0" fontId="10" fillId="0" borderId="0" xfId="1" applyFont="1" applyFill="1"/>
    <xf numFmtId="0" fontId="12" fillId="0" borderId="0" xfId="1" applyFont="1" applyFill="1"/>
    <xf numFmtId="43" fontId="0" fillId="0" borderId="0" xfId="29" applyFont="1"/>
    <xf numFmtId="166" fontId="3" fillId="0" borderId="0" xfId="30" applyNumberFormat="1" applyFont="1" applyProtection="1"/>
    <xf numFmtId="10" fontId="0" fillId="0" borderId="0" xfId="1" applyNumberFormat="1" applyFont="1" applyFill="1"/>
    <xf numFmtId="164" fontId="3" fillId="0" borderId="23" xfId="29" applyNumberFormat="1" applyFont="1" applyBorder="1" applyAlignment="1" applyProtection="1">
      <alignment horizontal="right"/>
      <protection locked="0"/>
    </xf>
    <xf numFmtId="164" fontId="3" fillId="0" borderId="23" xfId="29" applyNumberFormat="1" applyFont="1" applyBorder="1" applyProtection="1">
      <protection locked="0"/>
    </xf>
    <xf numFmtId="10" fontId="3" fillId="0" borderId="23" xfId="44" applyNumberFormat="1" applyFont="1" applyBorder="1" applyProtection="1"/>
    <xf numFmtId="0" fontId="13" fillId="0" borderId="0" xfId="42" applyFont="1" applyFill="1" applyAlignment="1">
      <alignment horizontal="center" vertical="top"/>
    </xf>
    <xf numFmtId="0" fontId="3" fillId="0" borderId="0" xfId="42" applyFont="1" applyFill="1" applyAlignment="1">
      <alignment vertical="top"/>
    </xf>
    <xf numFmtId="0" fontId="3" fillId="0" borderId="0" xfId="1" applyFont="1" applyFill="1" applyAlignment="1" applyProtection="1">
      <alignment horizontal="left" vertical="top"/>
    </xf>
    <xf numFmtId="10" fontId="3" fillId="0" borderId="0" xfId="42" applyNumberFormat="1" applyFont="1" applyFill="1" applyBorder="1" applyAlignment="1">
      <alignment vertical="top"/>
    </xf>
    <xf numFmtId="10" fontId="3" fillId="0" borderId="0" xfId="42" applyNumberFormat="1" applyFont="1" applyFill="1" applyBorder="1" applyAlignment="1">
      <alignment horizontal="center" vertical="top"/>
    </xf>
    <xf numFmtId="0" fontId="12" fillId="0" borderId="23" xfId="1" applyFont="1" applyBorder="1"/>
    <xf numFmtId="0" fontId="12" fillId="0" borderId="23" xfId="44" applyFont="1" applyBorder="1" applyProtection="1"/>
    <xf numFmtId="0" fontId="10" fillId="0" borderId="0" xfId="1" applyFont="1" applyFill="1" applyBorder="1"/>
    <xf numFmtId="166" fontId="12" fillId="0" borderId="0" xfId="30" applyNumberFormat="1" applyFont="1" applyBorder="1" applyProtection="1"/>
    <xf numFmtId="10" fontId="3" fillId="0" borderId="0" xfId="1" applyNumberFormat="1" applyFont="1"/>
    <xf numFmtId="10" fontId="3" fillId="0" borderId="0" xfId="1" applyNumberFormat="1" applyFont="1" applyFill="1"/>
    <xf numFmtId="0" fontId="0" fillId="0" borderId="23" xfId="1" applyFont="1" applyBorder="1"/>
    <xf numFmtId="164" fontId="12" fillId="0" borderId="0" xfId="29" applyNumberFormat="1" applyFont="1" applyBorder="1" applyProtection="1"/>
    <xf numFmtId="167" fontId="12" fillId="0" borderId="0" xfId="44" applyNumberFormat="1" applyFont="1" applyBorder="1" applyProtection="1"/>
    <xf numFmtId="0" fontId="3" fillId="0" borderId="0" xfId="1" applyFont="1" applyFill="1"/>
    <xf numFmtId="37" fontId="12" fillId="0" borderId="23" xfId="44" applyNumberFormat="1" applyFont="1" applyBorder="1" applyProtection="1"/>
    <xf numFmtId="169" fontId="12" fillId="0" borderId="23" xfId="44" applyNumberFormat="1" applyFont="1" applyBorder="1" applyProtection="1"/>
    <xf numFmtId="0" fontId="3" fillId="0" borderId="22" xfId="1" applyFont="1" applyBorder="1"/>
    <xf numFmtId="164" fontId="3" fillId="0" borderId="0" xfId="44" applyNumberFormat="1" applyFont="1" applyProtection="1"/>
    <xf numFmtId="10" fontId="3" fillId="0" borderId="22" xfId="1" applyNumberFormat="1" applyFont="1" applyBorder="1"/>
    <xf numFmtId="10" fontId="0" fillId="0" borderId="22" xfId="1" applyNumberFormat="1" applyFont="1" applyBorder="1"/>
    <xf numFmtId="14" fontId="8" fillId="0" borderId="18" xfId="44" quotePrefix="1" applyNumberFormat="1" applyFont="1" applyBorder="1" applyAlignment="1" applyProtection="1">
      <alignment horizontal="center"/>
    </xf>
    <xf numFmtId="166" fontId="3" fillId="0" borderId="0" xfId="30" applyNumberFormat="1" applyFont="1" applyProtection="1">
      <protection locked="0"/>
    </xf>
    <xf numFmtId="166" fontId="3" fillId="0" borderId="0" xfId="30" applyNumberFormat="1" applyFont="1" applyProtection="1">
      <protection locked="0"/>
    </xf>
    <xf numFmtId="0" fontId="3" fillId="0" borderId="0" xfId="1" applyFont="1"/>
    <xf numFmtId="0" fontId="3" fillId="0" borderId="0" xfId="44" applyFont="1" applyAlignment="1" applyProtection="1">
      <alignment horizontal="center"/>
    </xf>
    <xf numFmtId="164" fontId="3" fillId="0" borderId="0" xfId="29" applyNumberFormat="1" applyFont="1" applyProtection="1">
      <protection locked="0"/>
    </xf>
    <xf numFmtId="167" fontId="3" fillId="0" borderId="0" xfId="49" applyNumberFormat="1" applyFont="1" applyFill="1" applyAlignment="1" applyProtection="1">
      <protection locked="0"/>
    </xf>
    <xf numFmtId="41" fontId="3" fillId="0" borderId="0" xfId="29" applyNumberFormat="1" applyFont="1" applyProtection="1">
      <protection locked="0"/>
    </xf>
    <xf numFmtId="167" fontId="3" fillId="0" borderId="0" xfId="44" applyNumberFormat="1" applyFont="1" applyProtection="1"/>
    <xf numFmtId="164" fontId="3" fillId="0" borderId="0" xfId="29" applyNumberFormat="1" applyFont="1" applyProtection="1"/>
    <xf numFmtId="42" fontId="3" fillId="0" borderId="0" xfId="29" applyNumberFormat="1" applyFont="1" applyProtection="1">
      <protection locked="0"/>
    </xf>
    <xf numFmtId="167" fontId="3" fillId="0" borderId="0" xfId="44" applyNumberFormat="1" applyFont="1" applyAlignment="1" applyProtection="1">
      <alignment vertical="center"/>
    </xf>
    <xf numFmtId="167" fontId="3" fillId="0" borderId="0" xfId="44" applyNumberFormat="1" applyFont="1" applyBorder="1" applyAlignment="1" applyProtection="1">
      <alignment vertical="center"/>
    </xf>
    <xf numFmtId="0" fontId="3" fillId="0" borderId="0" xfId="44" applyFont="1" applyProtection="1"/>
    <xf numFmtId="164" fontId="3" fillId="0" borderId="0" xfId="29" applyNumberFormat="1" applyFont="1" applyProtection="1"/>
    <xf numFmtId="164" fontId="3" fillId="0" borderId="0" xfId="29" applyNumberFormat="1" applyFont="1" applyProtection="1">
      <protection locked="0"/>
    </xf>
    <xf numFmtId="166" fontId="3" fillId="0" borderId="0" xfId="30" applyNumberFormat="1" applyFont="1" applyAlignment="1" applyProtection="1">
      <alignment horizontal="right"/>
      <protection locked="0"/>
    </xf>
    <xf numFmtId="166" fontId="3" fillId="0" borderId="0" xfId="30" applyNumberFormat="1" applyFont="1" applyProtection="1">
      <protection locked="0"/>
    </xf>
    <xf numFmtId="10" fontId="3" fillId="0" borderId="0" xfId="44" applyNumberFormat="1" applyFont="1" applyProtection="1">
      <protection locked="0"/>
    </xf>
    <xf numFmtId="166" fontId="13" fillId="0" borderId="0" xfId="30" applyNumberFormat="1" applyFont="1" applyFill="1"/>
    <xf numFmtId="0" fontId="13" fillId="0" borderId="0" xfId="45" applyFont="1" applyFill="1" applyAlignment="1">
      <alignment wrapText="1"/>
    </xf>
    <xf numFmtId="0" fontId="13" fillId="0" borderId="0" xfId="1" applyFont="1" applyProtection="1"/>
    <xf numFmtId="0" fontId="13" fillId="0" borderId="0" xfId="1" applyFont="1"/>
    <xf numFmtId="170" fontId="13" fillId="0" borderId="0" xfId="1" applyNumberFormat="1" applyFont="1" applyBorder="1" applyProtection="1"/>
    <xf numFmtId="0" fontId="13" fillId="0" borderId="0" xfId="1" applyFont="1" applyBorder="1" applyAlignment="1" applyProtection="1">
      <alignment horizontal="right"/>
    </xf>
    <xf numFmtId="170" fontId="13" fillId="0" borderId="0" xfId="1" applyNumberFormat="1" applyFont="1" applyAlignment="1">
      <alignment horizontal="center"/>
    </xf>
    <xf numFmtId="170" fontId="13" fillId="0" borderId="0" xfId="1" applyNumberFormat="1" applyFont="1" applyProtection="1"/>
    <xf numFmtId="170" fontId="13" fillId="0" borderId="0" xfId="1" applyNumberFormat="1" applyFont="1"/>
    <xf numFmtId="170" fontId="13" fillId="0" borderId="0" xfId="1" applyNumberFormat="1" applyFont="1" applyFill="1" applyBorder="1" applyProtection="1"/>
    <xf numFmtId="170" fontId="13" fillId="0" borderId="24" xfId="1" applyNumberFormat="1" applyFont="1" applyFill="1" applyBorder="1"/>
    <xf numFmtId="170" fontId="13" fillId="0" borderId="0" xfId="1" applyNumberFormat="1" applyFont="1" applyFill="1"/>
    <xf numFmtId="0" fontId="13" fillId="0" borderId="0" xfId="1" applyFont="1" applyFill="1" applyBorder="1" applyAlignment="1" applyProtection="1">
      <alignment horizontal="left" indent="1"/>
    </xf>
    <xf numFmtId="0" fontId="13" fillId="0" borderId="0" xfId="1" applyFont="1" applyFill="1" applyAlignment="1">
      <alignment vertical="top"/>
    </xf>
    <xf numFmtId="5" fontId="13" fillId="0" borderId="0" xfId="1" applyNumberFormat="1" applyFont="1" applyFill="1"/>
    <xf numFmtId="170" fontId="3" fillId="0" borderId="0" xfId="1" applyNumberFormat="1" applyFont="1" applyAlignment="1" applyProtection="1">
      <alignment horizontal="center"/>
    </xf>
    <xf numFmtId="170" fontId="3" fillId="0" borderId="0" xfId="1" applyNumberFormat="1" applyFont="1" applyAlignment="1">
      <alignment horizontal="center"/>
    </xf>
    <xf numFmtId="10" fontId="3" fillId="0" borderId="0" xfId="30" applyNumberFormat="1" applyFont="1" applyFill="1"/>
    <xf numFmtId="166" fontId="3" fillId="0" borderId="0" xfId="30" applyNumberFormat="1" applyFont="1" applyFill="1"/>
    <xf numFmtId="6" fontId="3" fillId="0" borderId="0" xfId="30" applyNumberFormat="1" applyFont="1" applyFill="1"/>
    <xf numFmtId="38" fontId="3" fillId="0" borderId="0" xfId="30" applyNumberFormat="1" applyFont="1" applyFill="1"/>
    <xf numFmtId="38" fontId="3" fillId="0" borderId="0" xfId="29" applyNumberFormat="1" applyFont="1" applyFill="1" applyAlignment="1" applyProtection="1"/>
    <xf numFmtId="38" fontId="3" fillId="0" borderId="0" xfId="29" applyNumberFormat="1" applyFont="1" applyFill="1" applyAlignment="1" applyProtection="1">
      <alignment vertical="top"/>
    </xf>
    <xf numFmtId="38" fontId="3" fillId="0" borderId="0" xfId="29" applyNumberFormat="1" applyFont="1" applyFill="1" applyBorder="1" applyAlignment="1" applyProtection="1">
      <alignment vertical="top"/>
    </xf>
    <xf numFmtId="5" fontId="3" fillId="0" borderId="0" xfId="1" applyNumberFormat="1" applyFont="1" applyFill="1"/>
    <xf numFmtId="38" fontId="3" fillId="0" borderId="0" xfId="29" applyNumberFormat="1" applyFont="1" applyFill="1" applyBorder="1" applyAlignment="1" applyProtection="1"/>
    <xf numFmtId="6" fontId="3" fillId="0" borderId="0" xfId="1" applyNumberFormat="1" applyFont="1" applyFill="1"/>
    <xf numFmtId="6" fontId="3" fillId="0" borderId="0" xfId="29" applyNumberFormat="1" applyFont="1" applyFill="1" applyAlignment="1" applyProtection="1"/>
    <xf numFmtId="0" fontId="3" fillId="0" borderId="0" xfId="42" applyFont="1" applyFill="1"/>
    <xf numFmtId="0" fontId="3" fillId="0" borderId="0" xfId="42" applyFont="1" applyFill="1" applyProtection="1"/>
    <xf numFmtId="0" fontId="13" fillId="0" borderId="0" xfId="1" applyFont="1" applyFill="1"/>
    <xf numFmtId="0" fontId="13" fillId="0" borderId="0" xfId="1" applyFont="1" applyFill="1" applyBorder="1"/>
    <xf numFmtId="6" fontId="13" fillId="0" borderId="0" xfId="29" applyNumberFormat="1" applyFont="1" applyFill="1" applyProtection="1"/>
    <xf numFmtId="6" fontId="13" fillId="0" borderId="0" xfId="29" applyNumberFormat="1" applyFont="1" applyFill="1" applyBorder="1" applyProtection="1"/>
    <xf numFmtId="170" fontId="3" fillId="0" borderId="0" xfId="43" applyNumberFormat="1" applyFont="1" applyFill="1" applyAlignment="1">
      <alignment horizontal="left" vertical="center"/>
    </xf>
    <xf numFmtId="0" fontId="13" fillId="0" borderId="0" xfId="1" applyFont="1" applyFill="1" applyAlignment="1">
      <alignment horizontal="left"/>
    </xf>
    <xf numFmtId="0" fontId="13" fillId="0" borderId="0" xfId="1" applyFont="1" applyFill="1" applyAlignment="1" applyProtection="1">
      <alignment horizontal="left" indent="1"/>
    </xf>
    <xf numFmtId="0" fontId="3" fillId="0" borderId="0" xfId="1" applyFont="1" applyFill="1" applyProtection="1"/>
    <xf numFmtId="0" fontId="15" fillId="0" borderId="0" xfId="1" applyFont="1" applyFill="1" applyProtection="1"/>
    <xf numFmtId="0" fontId="13" fillId="0" borderId="0" xfId="1" applyFont="1" applyFill="1" applyAlignment="1" applyProtection="1"/>
    <xf numFmtId="0" fontId="15" fillId="0" borderId="0" xfId="1" applyFont="1" applyFill="1" applyAlignment="1" applyProtection="1">
      <alignment horizontal="right"/>
    </xf>
    <xf numFmtId="0" fontId="15" fillId="0" borderId="0" xfId="1" applyFont="1" applyFill="1" applyAlignment="1">
      <alignment horizontal="right"/>
    </xf>
    <xf numFmtId="0" fontId="15" fillId="0" borderId="0" xfId="1" applyFont="1" applyFill="1" applyAlignment="1">
      <alignment horizontal="left"/>
    </xf>
    <xf numFmtId="6" fontId="13" fillId="0" borderId="0" xfId="1" applyNumberFormat="1" applyFont="1" applyFill="1" applyProtection="1"/>
    <xf numFmtId="0" fontId="3" fillId="0" borderId="0" xfId="1" applyFont="1" applyFill="1" applyAlignment="1" applyProtection="1">
      <alignment horizontal="left" indent="1"/>
    </xf>
    <xf numFmtId="6" fontId="13" fillId="0" borderId="0" xfId="1" applyNumberFormat="1" applyFont="1" applyFill="1" applyBorder="1" applyProtection="1"/>
    <xf numFmtId="0" fontId="13" fillId="0" borderId="0" xfId="42" applyFont="1" applyFill="1" applyAlignment="1">
      <alignment horizontal="center" vertical="top"/>
    </xf>
    <xf numFmtId="0" fontId="13" fillId="0" borderId="23" xfId="42" applyFont="1" applyFill="1" applyBorder="1" applyAlignment="1" applyProtection="1">
      <alignment horizontal="center"/>
    </xf>
    <xf numFmtId="37" fontId="3" fillId="0" borderId="23" xfId="46" quotePrefix="1" applyNumberFormat="1" applyFont="1" applyFill="1" applyBorder="1" applyAlignment="1">
      <alignment horizontal="center"/>
    </xf>
    <xf numFmtId="170" fontId="3" fillId="0" borderId="23" xfId="42" applyNumberFormat="1" applyFont="1" applyFill="1" applyBorder="1" applyProtection="1"/>
    <xf numFmtId="170" fontId="3" fillId="0" borderId="23" xfId="46" applyNumberFormat="1" applyFont="1" applyFill="1" applyBorder="1" applyAlignment="1">
      <alignment horizontal="center" vertical="center"/>
    </xf>
    <xf numFmtId="10" fontId="3" fillId="0" borderId="0" xfId="42" applyNumberFormat="1" applyFont="1" applyFill="1" applyBorder="1" applyAlignment="1">
      <alignment vertical="top"/>
    </xf>
    <xf numFmtId="0" fontId="3" fillId="0" borderId="0" xfId="42" applyFont="1" applyFill="1" applyBorder="1" applyAlignment="1">
      <alignment vertical="top"/>
    </xf>
    <xf numFmtId="0" fontId="3" fillId="0" borderId="0" xfId="42" applyFont="1" applyFill="1" applyBorder="1" applyAlignment="1">
      <alignment horizontal="right" vertical="top"/>
    </xf>
    <xf numFmtId="0" fontId="1" fillId="0" borderId="0" xfId="42" applyFont="1" applyFill="1"/>
    <xf numFmtId="0" fontId="1" fillId="0" borderId="0" xfId="42" applyFont="1" applyFill="1" applyProtection="1"/>
    <xf numFmtId="37" fontId="1" fillId="0" borderId="0" xfId="46" applyNumberFormat="1" applyFont="1" applyFill="1" applyBorder="1" applyAlignment="1">
      <alignment horizontal="centerContinuous"/>
    </xf>
    <xf numFmtId="0" fontId="15" fillId="0" borderId="0" xfId="42" applyFont="1" applyFill="1" applyBorder="1" applyAlignment="1" applyProtection="1">
      <alignment horizontal="center"/>
    </xf>
    <xf numFmtId="170" fontId="1" fillId="0" borderId="0" xfId="42" applyNumberFormat="1" applyFont="1" applyFill="1" applyBorder="1" applyAlignment="1" applyProtection="1">
      <alignment horizontal="center"/>
    </xf>
    <xf numFmtId="170" fontId="1" fillId="0" borderId="0" xfId="46" applyNumberFormat="1" applyFont="1" applyFill="1" applyBorder="1" applyAlignment="1">
      <alignment horizontal="center" vertical="center"/>
    </xf>
    <xf numFmtId="170" fontId="1" fillId="0" borderId="0" xfId="46" quotePrefix="1" applyNumberFormat="1" applyFont="1" applyFill="1" applyBorder="1" applyAlignment="1">
      <alignment horizontal="center" vertical="center"/>
    </xf>
    <xf numFmtId="0" fontId="1" fillId="0" borderId="0" xfId="42" applyFont="1" applyFill="1" applyAlignment="1">
      <alignment horizontal="center"/>
    </xf>
    <xf numFmtId="0" fontId="15" fillId="0" borderId="22" xfId="1" applyFont="1" applyFill="1" applyBorder="1" applyAlignment="1">
      <alignment horizontal="center"/>
    </xf>
    <xf numFmtId="0" fontId="15" fillId="0" borderId="0" xfId="1" applyFont="1" applyBorder="1" applyAlignment="1" applyProtection="1">
      <alignment horizontal="center"/>
    </xf>
    <xf numFmtId="0" fontId="15" fillId="0" borderId="22" xfId="1" applyFont="1" applyBorder="1" applyAlignment="1" applyProtection="1">
      <alignment horizontal="center"/>
    </xf>
    <xf numFmtId="0" fontId="13" fillId="0" borderId="0" xfId="1" applyFont="1" applyBorder="1" applyAlignment="1">
      <alignment horizontal="center"/>
    </xf>
    <xf numFmtId="0" fontId="13" fillId="0" borderId="0" xfId="1" applyFont="1" applyFill="1" applyBorder="1" applyAlignment="1" applyProtection="1">
      <alignment horizontal="center"/>
    </xf>
    <xf numFmtId="0" fontId="13" fillId="0" borderId="0" xfId="1" applyFont="1" applyFill="1" applyBorder="1" applyAlignment="1">
      <alignment horizontal="center"/>
    </xf>
    <xf numFmtId="5" fontId="13" fillId="0" borderId="0" xfId="1" applyNumberFormat="1" applyFont="1" applyBorder="1" applyAlignment="1" applyProtection="1">
      <alignment horizontal="center"/>
      <protection locked="0"/>
    </xf>
    <xf numFmtId="6" fontId="13" fillId="0" borderId="0" xfId="30" applyNumberFormat="1" applyFont="1" applyBorder="1" applyAlignment="1" applyProtection="1">
      <alignment vertical="top"/>
    </xf>
    <xf numFmtId="37" fontId="13" fillId="0" borderId="0" xfId="30" applyNumberFormat="1" applyFont="1" applyFill="1" applyBorder="1" applyAlignment="1">
      <alignment vertical="top"/>
    </xf>
    <xf numFmtId="171" fontId="13" fillId="0" borderId="0" xfId="30" applyNumberFormat="1" applyFont="1" applyBorder="1" applyAlignment="1">
      <alignment vertical="top"/>
    </xf>
    <xf numFmtId="0" fontId="15" fillId="0" borderId="0" xfId="1" applyFont="1" applyFill="1" applyBorder="1" applyAlignment="1" applyProtection="1">
      <alignment horizontal="center"/>
    </xf>
    <xf numFmtId="5" fontId="15" fillId="0" borderId="0" xfId="1" applyNumberFormat="1" applyFont="1" applyFill="1" applyBorder="1" applyAlignment="1" applyProtection="1">
      <alignment horizontal="center"/>
      <protection locked="0"/>
    </xf>
    <xf numFmtId="0" fontId="15" fillId="0" borderId="0" xfId="1" applyFont="1" applyFill="1" applyBorder="1" applyAlignment="1">
      <alignment horizontal="center"/>
    </xf>
    <xf numFmtId="0" fontId="15" fillId="0" borderId="0" xfId="1" applyFont="1" applyBorder="1" applyAlignment="1">
      <alignment horizontal="center"/>
    </xf>
    <xf numFmtId="5" fontId="15" fillId="0" borderId="0" xfId="1" applyNumberFormat="1" applyFont="1" applyBorder="1" applyAlignment="1" applyProtection="1">
      <alignment horizontal="center"/>
      <protection locked="0"/>
    </xf>
    <xf numFmtId="0" fontId="15" fillId="0" borderId="22" xfId="1" applyFont="1" applyBorder="1" applyAlignment="1">
      <alignment horizontal="center"/>
    </xf>
    <xf numFmtId="0" fontId="15" fillId="0" borderId="22" xfId="1" applyFont="1" applyFill="1" applyBorder="1" applyAlignment="1" applyProtection="1">
      <alignment horizontal="center"/>
    </xf>
    <xf numFmtId="44" fontId="13" fillId="0" borderId="0" xfId="30" applyFont="1" applyBorder="1" applyAlignment="1">
      <alignment vertical="top"/>
    </xf>
    <xf numFmtId="44" fontId="13" fillId="0" borderId="0" xfId="30" applyFont="1" applyBorder="1" applyAlignment="1">
      <alignment horizontal="center" vertical="top"/>
    </xf>
    <xf numFmtId="0" fontId="0" fillId="0" borderId="0" xfId="0"/>
    <xf numFmtId="0" fontId="3" fillId="0" borderId="0" xfId="44" applyFont="1"/>
    <xf numFmtId="0" fontId="3" fillId="0" borderId="0" xfId="1" applyFont="1"/>
    <xf numFmtId="0" fontId="3" fillId="0" borderId="0" xfId="1" applyFont="1" applyBorder="1"/>
    <xf numFmtId="0" fontId="1" fillId="0" borderId="0" xfId="1" applyFont="1" applyBorder="1"/>
    <xf numFmtId="0" fontId="1" fillId="0" borderId="0" xfId="1" applyFont="1"/>
    <xf numFmtId="0" fontId="3" fillId="0" borderId="0" xfId="44" applyFont="1" applyProtection="1"/>
    <xf numFmtId="0" fontId="3" fillId="0" borderId="0" xfId="44" applyFont="1" applyAlignment="1" applyProtection="1"/>
    <xf numFmtId="0" fontId="3" fillId="0" borderId="0" xfId="44" applyFont="1" applyBorder="1" applyProtection="1"/>
    <xf numFmtId="0" fontId="3" fillId="0" borderId="0" xfId="1" applyFont="1" applyAlignment="1">
      <alignment horizontal="center"/>
    </xf>
    <xf numFmtId="10" fontId="3" fillId="0" borderId="0" xfId="44" applyNumberFormat="1" applyFont="1" applyProtection="1"/>
    <xf numFmtId="0" fontId="3" fillId="0" borderId="13" xfId="44" applyFont="1" applyBorder="1" applyAlignment="1" applyProtection="1">
      <alignment horizontal="center"/>
    </xf>
    <xf numFmtId="0" fontId="1" fillId="0" borderId="15" xfId="44" applyFont="1" applyBorder="1" applyAlignment="1" applyProtection="1">
      <alignment horizontal="center"/>
    </xf>
    <xf numFmtId="0" fontId="1" fillId="0" borderId="18" xfId="44" applyFont="1" applyBorder="1" applyAlignment="1" applyProtection="1">
      <alignment horizontal="center"/>
    </xf>
    <xf numFmtId="0" fontId="1" fillId="0" borderId="0" xfId="44" applyFont="1" applyAlignment="1" applyProtection="1"/>
    <xf numFmtId="168" fontId="1" fillId="0" borderId="0" xfId="44" applyNumberFormat="1" applyFont="1" applyAlignment="1" applyProtection="1"/>
    <xf numFmtId="0" fontId="1" fillId="0" borderId="0" xfId="44" applyFont="1" applyBorder="1" applyAlignment="1" applyProtection="1">
      <alignment horizontal="center"/>
    </xf>
    <xf numFmtId="0" fontId="1" fillId="0" borderId="0" xfId="44" applyFont="1" applyProtection="1"/>
    <xf numFmtId="0" fontId="1" fillId="0" borderId="0" xfId="44" applyFont="1" applyAlignment="1" applyProtection="1">
      <alignment horizontal="center"/>
    </xf>
    <xf numFmtId="0" fontId="1" fillId="0" borderId="0" xfId="44" applyFont="1" applyBorder="1" applyProtection="1"/>
    <xf numFmtId="0" fontId="1" fillId="0" borderId="15" xfId="1" applyFont="1" applyBorder="1"/>
    <xf numFmtId="10" fontId="3" fillId="0" borderId="0" xfId="44" applyNumberFormat="1" applyFont="1" applyProtection="1">
      <protection locked="0"/>
    </xf>
    <xf numFmtId="0" fontId="13" fillId="0" borderId="0" xfId="1" applyFont="1" applyBorder="1" applyAlignment="1" applyProtection="1">
      <alignment horizontal="center"/>
    </xf>
    <xf numFmtId="0" fontId="13" fillId="0" borderId="0" xfId="1" applyFont="1" applyBorder="1" applyAlignment="1" applyProtection="1">
      <alignment horizontal="center" vertical="top"/>
    </xf>
    <xf numFmtId="6" fontId="13" fillId="0" borderId="0" xfId="30" applyNumberFormat="1" applyFont="1" applyFill="1" applyBorder="1" applyAlignment="1" applyProtection="1">
      <alignment vertical="top"/>
    </xf>
    <xf numFmtId="5" fontId="13" fillId="0" borderId="0" xfId="30" applyNumberFormat="1" applyFont="1" applyFill="1" applyBorder="1" applyAlignment="1" applyProtection="1">
      <alignment vertical="top"/>
    </xf>
    <xf numFmtId="37" fontId="13" fillId="0" borderId="0" xfId="30" applyNumberFormat="1" applyFont="1" applyFill="1" applyBorder="1" applyAlignment="1">
      <alignment horizontal="center" vertical="top"/>
    </xf>
    <xf numFmtId="6" fontId="13" fillId="0" borderId="0" xfId="30" applyNumberFormat="1" applyFont="1" applyFill="1" applyBorder="1" applyAlignment="1">
      <alignment vertical="top"/>
    </xf>
    <xf numFmtId="6" fontId="13" fillId="0" borderId="0" xfId="30" applyNumberFormat="1" applyFont="1" applyBorder="1"/>
    <xf numFmtId="0" fontId="3" fillId="0" borderId="0" xfId="1" applyFont="1" applyFill="1"/>
    <xf numFmtId="164" fontId="13" fillId="0" borderId="0" xfId="29" applyNumberFormat="1" applyFont="1" applyFill="1" applyBorder="1" applyAlignment="1">
      <alignment vertical="top"/>
    </xf>
    <xf numFmtId="0" fontId="3" fillId="0" borderId="0" xfId="42" applyFont="1" applyFill="1" applyAlignment="1">
      <alignment vertical="top"/>
    </xf>
    <xf numFmtId="10" fontId="3" fillId="0" borderId="0" xfId="49" applyNumberFormat="1" applyFont="1" applyBorder="1" applyProtection="1">
      <protection locked="0"/>
    </xf>
    <xf numFmtId="10" fontId="3" fillId="0" borderId="0" xfId="1" applyNumberFormat="1" applyFont="1"/>
    <xf numFmtId="0" fontId="13" fillId="0" borderId="0" xfId="1" applyFont="1" applyFill="1" applyProtection="1"/>
    <xf numFmtId="0" fontId="13" fillId="0" borderId="0" xfId="1" applyFont="1" applyFill="1" applyAlignment="1">
      <alignment horizontal="center"/>
    </xf>
    <xf numFmtId="0" fontId="3" fillId="0" borderId="0" xfId="1" applyFont="1" applyFill="1" applyAlignment="1">
      <alignment horizontal="center"/>
    </xf>
    <xf numFmtId="6" fontId="3" fillId="0" borderId="0" xfId="1" applyNumberFormat="1" applyFont="1" applyFill="1" applyAlignment="1">
      <alignment horizontal="center"/>
    </xf>
    <xf numFmtId="170" fontId="3" fillId="0" borderId="0" xfId="1" quotePrefix="1" applyNumberFormat="1" applyFont="1" applyAlignment="1" applyProtection="1">
      <alignment horizontal="center"/>
    </xf>
    <xf numFmtId="166" fontId="3" fillId="0" borderId="0" xfId="30" applyNumberFormat="1" applyFont="1" applyFill="1" applyAlignment="1">
      <alignment horizontal="center"/>
    </xf>
    <xf numFmtId="38" fontId="3" fillId="0" borderId="0" xfId="29" applyNumberFormat="1" applyFont="1" applyFill="1" applyAlignment="1" applyProtection="1">
      <alignment horizontal="center"/>
    </xf>
    <xf numFmtId="38" fontId="3" fillId="0" borderId="22" xfId="29" applyNumberFormat="1" applyFont="1" applyFill="1" applyBorder="1" applyAlignment="1" applyProtection="1">
      <alignment horizontal="center" vertical="top"/>
    </xf>
    <xf numFmtId="5" fontId="3" fillId="0" borderId="0" xfId="1" applyNumberFormat="1" applyFont="1" applyFill="1" applyAlignment="1">
      <alignment horizontal="center"/>
    </xf>
    <xf numFmtId="38" fontId="3" fillId="0" borderId="22" xfId="29" applyNumberFormat="1" applyFont="1" applyFill="1" applyBorder="1" applyAlignment="1" applyProtection="1">
      <alignment horizontal="center"/>
    </xf>
    <xf numFmtId="170" fontId="3" fillId="0" borderId="0" xfId="1" applyNumberFormat="1" applyFont="1" applyFill="1" applyBorder="1" applyAlignment="1" applyProtection="1">
      <alignment horizontal="center"/>
    </xf>
    <xf numFmtId="0" fontId="13" fillId="0" borderId="0" xfId="1" applyFont="1" applyFill="1" applyAlignment="1" applyProtection="1">
      <alignment horizontal="center"/>
    </xf>
    <xf numFmtId="0" fontId="3" fillId="0" borderId="0" xfId="0" applyFont="1"/>
    <xf numFmtId="167" fontId="3" fillId="0" borderId="0" xfId="44" applyNumberFormat="1" applyFont="1" applyAlignment="1" applyProtection="1">
      <alignment vertical="center"/>
    </xf>
    <xf numFmtId="167" fontId="3" fillId="0" borderId="0" xfId="44" applyNumberFormat="1" applyFont="1" applyBorder="1" applyAlignment="1" applyProtection="1">
      <alignment vertical="center"/>
    </xf>
    <xf numFmtId="10" fontId="3" fillId="0" borderId="0" xfId="49" applyNumberFormat="1" applyFont="1" applyFill="1"/>
    <xf numFmtId="10" fontId="3" fillId="0" borderId="0" xfId="44" applyNumberFormat="1" applyFont="1" applyFill="1" applyProtection="1">
      <protection locked="0"/>
    </xf>
    <xf numFmtId="0" fontId="3" fillId="0" borderId="13" xfId="1" applyFont="1" applyBorder="1" applyAlignment="1">
      <alignment horizontal="center"/>
    </xf>
    <xf numFmtId="0" fontId="3" fillId="0" borderId="13" xfId="44" applyFont="1" applyFill="1" applyBorder="1" applyAlignment="1">
      <alignment horizontal="center"/>
    </xf>
    <xf numFmtId="6" fontId="3" fillId="0" borderId="0" xfId="30" applyNumberFormat="1" applyFont="1" applyFill="1" applyBorder="1" applyAlignment="1">
      <alignment horizontal="center"/>
    </xf>
    <xf numFmtId="38" fontId="3" fillId="0" borderId="0" xfId="30" applyNumberFormat="1" applyFont="1" applyFill="1" applyBorder="1" applyAlignment="1">
      <alignment horizontal="center"/>
    </xf>
    <xf numFmtId="38" fontId="3" fillId="0" borderId="0" xfId="29" applyNumberFormat="1" applyFont="1" applyFill="1" applyAlignment="1" applyProtection="1">
      <alignment horizontal="center" vertical="top"/>
    </xf>
    <xf numFmtId="38" fontId="3" fillId="0" borderId="0" xfId="29" applyNumberFormat="1" applyFont="1" applyFill="1" applyBorder="1" applyAlignment="1" applyProtection="1">
      <alignment horizontal="center" vertical="top"/>
    </xf>
    <xf numFmtId="6" fontId="3" fillId="0" borderId="0" xfId="30" applyNumberFormat="1" applyFont="1" applyFill="1" applyAlignment="1">
      <alignment horizontal="center"/>
    </xf>
    <xf numFmtId="38" fontId="3" fillId="0" borderId="0" xfId="30" applyNumberFormat="1" applyFont="1" applyFill="1" applyAlignment="1">
      <alignment horizontal="center"/>
    </xf>
    <xf numFmtId="10" fontId="13" fillId="0" borderId="0" xfId="30" applyNumberFormat="1" applyFont="1" applyFill="1" applyBorder="1" applyAlignment="1" applyProtection="1">
      <alignment vertical="top"/>
    </xf>
    <xf numFmtId="10" fontId="13" fillId="0" borderId="0" xfId="30" applyNumberFormat="1" applyFont="1" applyFill="1" applyBorder="1" applyAlignment="1">
      <alignment vertical="top"/>
    </xf>
    <xf numFmtId="42" fontId="3" fillId="0" borderId="0" xfId="1" applyNumberFormat="1" applyFont="1" applyAlignment="1">
      <alignment horizontal="center"/>
    </xf>
    <xf numFmtId="172" fontId="3" fillId="0" borderId="0" xfId="44" applyNumberFormat="1" applyFont="1" applyProtection="1">
      <protection locked="0"/>
    </xf>
    <xf numFmtId="172" fontId="3" fillId="0" borderId="0" xfId="1" applyNumberFormat="1" applyFont="1"/>
    <xf numFmtId="42" fontId="3" fillId="0" borderId="0" xfId="1" applyNumberFormat="1" applyFont="1"/>
    <xf numFmtId="172" fontId="3" fillId="0" borderId="0" xfId="54" applyNumberFormat="1" applyFill="1" applyBorder="1"/>
    <xf numFmtId="41" fontId="3" fillId="0" borderId="0" xfId="29" applyNumberFormat="1" applyFont="1" applyFill="1" applyProtection="1">
      <protection locked="0"/>
    </xf>
    <xf numFmtId="41" fontId="3" fillId="0" borderId="0" xfId="29" applyNumberFormat="1" applyFont="1" applyProtection="1"/>
    <xf numFmtId="41" fontId="3" fillId="0" borderId="0" xfId="29" applyNumberFormat="1" applyFont="1" applyBorder="1" applyProtection="1"/>
    <xf numFmtId="41" fontId="3" fillId="0" borderId="0" xfId="30" applyNumberFormat="1" applyFont="1" applyProtection="1"/>
    <xf numFmtId="41" fontId="3" fillId="0" borderId="0" xfId="29" applyNumberFormat="1" applyFont="1" applyBorder="1" applyProtection="1">
      <protection locked="0"/>
    </xf>
    <xf numFmtId="41" fontId="3" fillId="0" borderId="0" xfId="44" applyNumberFormat="1" applyFont="1" applyProtection="1"/>
    <xf numFmtId="0" fontId="13" fillId="0" borderId="0" xfId="1" quotePrefix="1" applyFont="1" applyFill="1" applyAlignment="1" applyProtection="1">
      <alignment horizontal="center"/>
    </xf>
    <xf numFmtId="173" fontId="3" fillId="0" borderId="0" xfId="1" applyNumberFormat="1" applyFont="1"/>
    <xf numFmtId="173" fontId="3" fillId="0" borderId="0" xfId="1" applyNumberFormat="1" applyFont="1" applyAlignment="1">
      <alignment horizontal="center"/>
    </xf>
    <xf numFmtId="9" fontId="3" fillId="0" borderId="0" xfId="30" applyNumberFormat="1" applyFont="1" applyFill="1" applyAlignment="1">
      <alignment horizontal="center"/>
    </xf>
    <xf numFmtId="165" fontId="13" fillId="0" borderId="0" xfId="29" applyNumberFormat="1" applyFont="1" applyFill="1" applyAlignment="1" applyProtection="1"/>
    <xf numFmtId="10" fontId="0" fillId="0" borderId="0" xfId="49" applyNumberFormat="1" applyFont="1"/>
    <xf numFmtId="0" fontId="8" fillId="0" borderId="0" xfId="1" applyFont="1" applyAlignment="1"/>
    <xf numFmtId="0" fontId="8" fillId="0" borderId="0" xfId="44" applyFont="1" applyAlignment="1"/>
    <xf numFmtId="0" fontId="35" fillId="0" borderId="0" xfId="0" applyFont="1"/>
    <xf numFmtId="0" fontId="37" fillId="0" borderId="0" xfId="1" applyFont="1" applyFill="1" applyProtection="1"/>
    <xf numFmtId="0" fontId="38" fillId="0" borderId="0" xfId="0" applyFont="1" applyAlignment="1">
      <alignment vertical="center"/>
    </xf>
    <xf numFmtId="6" fontId="13" fillId="0" borderId="0" xfId="29" applyNumberFormat="1" applyFont="1" applyFill="1" applyBorder="1" applyAlignment="1" applyProtection="1">
      <alignment horizontal="center" vertical="center"/>
    </xf>
    <xf numFmtId="15" fontId="13" fillId="0" borderId="0" xfId="1" quotePrefix="1" applyNumberFormat="1" applyFont="1" applyFill="1" applyAlignment="1" applyProtection="1">
      <alignment horizontal="center"/>
    </xf>
    <xf numFmtId="38" fontId="13" fillId="0" borderId="0" xfId="29" applyNumberFormat="1" applyFont="1" applyFill="1" applyProtection="1"/>
    <xf numFmtId="37" fontId="13" fillId="0" borderId="0" xfId="29" applyNumberFormat="1" applyFont="1" applyFill="1" applyProtection="1"/>
    <xf numFmtId="37" fontId="13" fillId="0" borderId="22" xfId="29" applyNumberFormat="1" applyFont="1" applyFill="1" applyBorder="1" applyProtection="1"/>
    <xf numFmtId="0" fontId="1" fillId="0" borderId="0" xfId="0" applyFont="1" applyAlignment="1">
      <alignment horizontal="center"/>
    </xf>
    <xf numFmtId="0" fontId="1" fillId="0" borderId="15" xfId="0" applyFont="1" applyBorder="1" applyAlignment="1">
      <alignment horizontal="center"/>
    </xf>
    <xf numFmtId="0" fontId="0" fillId="0" borderId="15" xfId="0" applyBorder="1"/>
    <xf numFmtId="0" fontId="1" fillId="0" borderId="33" xfId="0" applyFont="1" applyBorder="1" applyAlignment="1">
      <alignment horizontal="center"/>
    </xf>
    <xf numFmtId="0" fontId="3" fillId="0" borderId="0" xfId="0" applyFont="1" applyAlignment="1">
      <alignment horizontal="center"/>
    </xf>
    <xf numFmtId="0" fontId="0" fillId="0" borderId="0" xfId="0" applyAlignment="1">
      <alignment horizontal="center"/>
    </xf>
    <xf numFmtId="41" fontId="3" fillId="0" borderId="0" xfId="44" applyNumberFormat="1" applyFont="1" applyAlignment="1">
      <alignment horizontal="center"/>
    </xf>
    <xf numFmtId="42" fontId="3" fillId="0" borderId="0" xfId="30" applyNumberFormat="1" applyFont="1" applyAlignment="1" applyProtection="1">
      <alignment vertical="center"/>
      <protection locked="0"/>
    </xf>
    <xf numFmtId="167" fontId="3" fillId="0" borderId="0" xfId="44" applyNumberFormat="1" applyFont="1" applyFill="1" applyBorder="1" applyAlignment="1" applyProtection="1">
      <alignment vertical="center"/>
    </xf>
    <xf numFmtId="42" fontId="3" fillId="0" borderId="0" xfId="29" applyNumberFormat="1" applyFont="1" applyBorder="1" applyProtection="1">
      <protection locked="0"/>
    </xf>
    <xf numFmtId="42" fontId="3" fillId="0" borderId="0" xfId="29" applyNumberFormat="1" applyFont="1" applyProtection="1"/>
    <xf numFmtId="10" fontId="3" fillId="0" borderId="22" xfId="44" applyNumberFormat="1" applyFont="1" applyFill="1" applyBorder="1" applyProtection="1"/>
    <xf numFmtId="172" fontId="3" fillId="0" borderId="0" xfId="44" applyNumberFormat="1" applyFont="1" applyAlignment="1" applyProtection="1">
      <alignment horizontal="right"/>
      <protection locked="0"/>
    </xf>
    <xf numFmtId="5" fontId="3" fillId="0" borderId="0" xfId="30" applyNumberFormat="1" applyFont="1" applyFill="1" applyBorder="1" applyAlignment="1">
      <alignment horizontal="center"/>
    </xf>
    <xf numFmtId="0" fontId="12" fillId="0" borderId="23" xfId="1" applyFont="1" applyFill="1" applyBorder="1"/>
    <xf numFmtId="10" fontId="12" fillId="0" borderId="0" xfId="44" applyNumberFormat="1" applyFont="1" applyFill="1" applyProtection="1"/>
    <xf numFmtId="0" fontId="3" fillId="0" borderId="0" xfId="56" applyProtection="1">
      <protection locked="0"/>
    </xf>
    <xf numFmtId="173" fontId="3" fillId="0" borderId="0" xfId="56" applyNumberFormat="1" applyProtection="1">
      <protection locked="0"/>
    </xf>
    <xf numFmtId="167" fontId="3" fillId="0" borderId="0" xfId="44" applyNumberFormat="1" applyFont="1" applyAlignment="1">
      <alignment vertical="center"/>
    </xf>
    <xf numFmtId="0" fontId="3" fillId="0" borderId="0" xfId="1"/>
    <xf numFmtId="42" fontId="3" fillId="0" borderId="0" xfId="1" applyNumberFormat="1"/>
    <xf numFmtId="10" fontId="3" fillId="0" borderId="0" xfId="1" applyNumberFormat="1"/>
    <xf numFmtId="167" fontId="3" fillId="0" borderId="0" xfId="49" applyNumberFormat="1" applyFont="1"/>
    <xf numFmtId="0" fontId="3" fillId="0" borderId="0" xfId="44" applyFont="1" applyAlignment="1">
      <alignment horizontal="right"/>
    </xf>
    <xf numFmtId="5" fontId="3" fillId="0" borderId="0" xfId="44" applyNumberFormat="1" applyFont="1" applyAlignment="1">
      <alignment horizontal="left"/>
    </xf>
    <xf numFmtId="0" fontId="3" fillId="0" borderId="0" xfId="44" applyFont="1" applyAlignment="1">
      <alignment horizontal="center"/>
    </xf>
    <xf numFmtId="41" fontId="3" fillId="0" borderId="23" xfId="44" applyNumberFormat="1" applyFont="1" applyBorder="1"/>
    <xf numFmtId="173" fontId="3" fillId="0" borderId="0" xfId="1" applyNumberFormat="1" applyAlignment="1">
      <alignment horizontal="center"/>
    </xf>
    <xf numFmtId="42" fontId="3" fillId="0" borderId="0" xfId="44" applyNumberFormat="1" applyFont="1" applyAlignment="1">
      <alignment horizontal="center"/>
    </xf>
    <xf numFmtId="41" fontId="3" fillId="0" borderId="0" xfId="1" applyNumberFormat="1" applyAlignment="1">
      <alignment horizontal="center"/>
    </xf>
    <xf numFmtId="172" fontId="3" fillId="0" borderId="0" xfId="1" applyNumberFormat="1"/>
    <xf numFmtId="172" fontId="3" fillId="0" borderId="0" xfId="44" applyNumberFormat="1" applyFont="1"/>
    <xf numFmtId="41" fontId="3" fillId="0" borderId="0" xfId="44" applyNumberFormat="1" applyFont="1" applyAlignment="1">
      <alignment horizontal="right"/>
    </xf>
    <xf numFmtId="41" fontId="3" fillId="0" borderId="0" xfId="1" applyNumberFormat="1"/>
    <xf numFmtId="0" fontId="37" fillId="0" borderId="0" xfId="1" applyFont="1"/>
    <xf numFmtId="5" fontId="3" fillId="0" borderId="0" xfId="1" applyNumberFormat="1" applyAlignment="1">
      <alignment horizontal="center"/>
    </xf>
    <xf numFmtId="6" fontId="3" fillId="0" borderId="0" xfId="1" applyNumberFormat="1" applyAlignment="1">
      <alignment horizontal="center"/>
    </xf>
    <xf numFmtId="0" fontId="13" fillId="0" borderId="0" xfId="1" applyFont="1" applyAlignment="1">
      <alignment horizontal="left"/>
    </xf>
    <xf numFmtId="0" fontId="17" fillId="0" borderId="0" xfId="1" applyFont="1"/>
    <xf numFmtId="0" fontId="13" fillId="0" borderId="0" xfId="45" applyFont="1" applyAlignment="1">
      <alignment wrapText="1"/>
    </xf>
    <xf numFmtId="0" fontId="13" fillId="0" borderId="0" xfId="45" applyFont="1" applyAlignment="1">
      <alignment horizontal="left" wrapText="1" indent="1"/>
    </xf>
    <xf numFmtId="0" fontId="13" fillId="0" borderId="0" xfId="1" applyFont="1" applyAlignment="1">
      <alignment horizontal="left" vertical="top"/>
    </xf>
    <xf numFmtId="0" fontId="13" fillId="0" borderId="0" xfId="45" applyFont="1" applyAlignment="1">
      <alignment horizontal="left" vertical="top" wrapText="1" indent="1"/>
    </xf>
    <xf numFmtId="0" fontId="13" fillId="0" borderId="0" xfId="45" applyFont="1" applyAlignment="1">
      <alignment horizontal="left" wrapText="1" indent="2"/>
    </xf>
    <xf numFmtId="0" fontId="13" fillId="0" borderId="0" xfId="45" applyFont="1" applyAlignment="1">
      <alignment horizontal="left" wrapText="1" indent="4"/>
    </xf>
    <xf numFmtId="0" fontId="13" fillId="0" borderId="0" xfId="1" applyFont="1" applyAlignment="1">
      <alignment horizontal="left" indent="1"/>
    </xf>
    <xf numFmtId="0" fontId="2" fillId="0" borderId="0" xfId="1" applyFont="1"/>
    <xf numFmtId="0" fontId="3" fillId="0" borderId="0" xfId="1" applyFont="1" applyFill="1" applyBorder="1" applyAlignment="1">
      <alignment vertical="center" wrapText="1"/>
    </xf>
    <xf numFmtId="0" fontId="3" fillId="0" borderId="0" xfId="1" applyBorder="1"/>
    <xf numFmtId="0" fontId="3" fillId="0" borderId="0" xfId="1" applyFont="1" applyFill="1" applyBorder="1"/>
    <xf numFmtId="5" fontId="3" fillId="0" borderId="0" xfId="1" applyNumberFormat="1" applyBorder="1" applyAlignment="1">
      <alignment horizontal="center"/>
    </xf>
    <xf numFmtId="6" fontId="3" fillId="0" borderId="0" xfId="1" applyNumberFormat="1" applyBorder="1" applyAlignment="1">
      <alignment horizontal="center"/>
    </xf>
    <xf numFmtId="166" fontId="3" fillId="0" borderId="0" xfId="30" applyNumberFormat="1" applyFont="1" applyFill="1" applyBorder="1" applyAlignment="1">
      <alignment horizontal="center"/>
    </xf>
    <xf numFmtId="166" fontId="3" fillId="0" borderId="0" xfId="30" applyNumberFormat="1" applyFont="1" applyFill="1" applyBorder="1"/>
    <xf numFmtId="6" fontId="3" fillId="0" borderId="0" xfId="30" applyNumberFormat="1" applyFont="1" applyFill="1" applyBorder="1"/>
    <xf numFmtId="38" fontId="3" fillId="0" borderId="0" xfId="29" applyNumberFormat="1" applyFont="1" applyFill="1" applyBorder="1" applyAlignment="1" applyProtection="1">
      <alignment horizontal="center"/>
    </xf>
    <xf numFmtId="38" fontId="3" fillId="0" borderId="0" xfId="30" applyNumberFormat="1" applyFont="1" applyFill="1" applyBorder="1"/>
    <xf numFmtId="5" fontId="3" fillId="0" borderId="0" xfId="1" applyNumberFormat="1" applyBorder="1"/>
    <xf numFmtId="6" fontId="3" fillId="0" borderId="0" xfId="1" applyNumberFormat="1" applyBorder="1"/>
    <xf numFmtId="0" fontId="15" fillId="0" borderId="0" xfId="1" applyFont="1" applyAlignment="1">
      <alignment horizontal="left"/>
    </xf>
    <xf numFmtId="6" fontId="13" fillId="0" borderId="0" xfId="1" applyNumberFormat="1" applyFont="1"/>
    <xf numFmtId="0" fontId="3" fillId="0" borderId="0" xfId="42"/>
    <xf numFmtId="38" fontId="13" fillId="0" borderId="22" xfId="29" applyNumberFormat="1" applyFont="1" applyFill="1" applyBorder="1" applyProtection="1"/>
    <xf numFmtId="0" fontId="3" fillId="0" borderId="0" xfId="1" applyAlignment="1">
      <alignment horizontal="left" vertical="top"/>
    </xf>
    <xf numFmtId="0" fontId="3" fillId="0" borderId="0" xfId="1" applyAlignment="1">
      <alignment horizontal="left" vertical="top" wrapText="1"/>
    </xf>
    <xf numFmtId="10" fontId="3" fillId="0" borderId="0" xfId="42" applyNumberFormat="1" applyAlignment="1">
      <alignment vertical="top"/>
    </xf>
    <xf numFmtId="0" fontId="3" fillId="0" borderId="0" xfId="42" applyAlignment="1">
      <alignment vertical="top"/>
    </xf>
    <xf numFmtId="39" fontId="3" fillId="0" borderId="0" xfId="42" applyNumberFormat="1" applyAlignment="1">
      <alignment vertical="top"/>
    </xf>
    <xf numFmtId="4" fontId="3" fillId="0" borderId="0" xfId="42" applyNumberFormat="1" applyAlignment="1">
      <alignment horizontal="right" vertical="top"/>
    </xf>
    <xf numFmtId="0" fontId="13" fillId="0" borderId="0" xfId="1" applyFont="1" applyAlignment="1">
      <alignment horizontal="center" vertical="top"/>
    </xf>
    <xf numFmtId="42" fontId="13" fillId="0" borderId="0" xfId="30" applyNumberFormat="1" applyFont="1" applyFill="1" applyAlignment="1">
      <alignment vertical="top"/>
    </xf>
    <xf numFmtId="0" fontId="0" fillId="0" borderId="0" xfId="0" applyAlignment="1">
      <alignment horizontal="left"/>
    </xf>
    <xf numFmtId="0" fontId="39" fillId="0" borderId="0" xfId="0" applyFont="1" applyAlignment="1">
      <alignment vertical="center"/>
    </xf>
    <xf numFmtId="167" fontId="3" fillId="0" borderId="0" xfId="44" applyNumberFormat="1" applyFont="1"/>
    <xf numFmtId="5" fontId="3" fillId="0" borderId="10" xfId="44" applyNumberFormat="1" applyFont="1" applyBorder="1"/>
    <xf numFmtId="0" fontId="3" fillId="0" borderId="22" xfId="1" applyBorder="1"/>
    <xf numFmtId="164" fontId="3" fillId="0" borderId="0" xfId="44" applyNumberFormat="1" applyFont="1"/>
    <xf numFmtId="0" fontId="1" fillId="0" borderId="0" xfId="44" applyFont="1" applyBorder="1" applyAlignment="1" applyProtection="1">
      <alignment horizontal="center"/>
    </xf>
    <xf numFmtId="0" fontId="1" fillId="0" borderId="21" xfId="44" applyFont="1" applyBorder="1" applyAlignment="1" applyProtection="1">
      <alignment horizontal="center"/>
    </xf>
    <xf numFmtId="0" fontId="3" fillId="0" borderId="0" xfId="56" applyFill="1" applyProtection="1">
      <protection locked="0"/>
    </xf>
    <xf numFmtId="173" fontId="3" fillId="0" borderId="0" xfId="56" applyNumberFormat="1" applyFill="1" applyProtection="1">
      <protection locked="0"/>
    </xf>
    <xf numFmtId="41" fontId="3" fillId="0" borderId="0" xfId="29" applyNumberFormat="1" applyFont="1" applyFill="1" applyProtection="1"/>
    <xf numFmtId="167" fontId="3" fillId="0" borderId="0" xfId="44" applyNumberFormat="1" applyFont="1" applyFill="1" applyAlignment="1">
      <alignment vertical="center"/>
    </xf>
    <xf numFmtId="42" fontId="3" fillId="0" borderId="0" xfId="29" applyNumberFormat="1" applyFont="1" applyFill="1" applyProtection="1">
      <protection locked="0"/>
    </xf>
    <xf numFmtId="167" fontId="3" fillId="0" borderId="0" xfId="44" applyNumberFormat="1" applyFont="1" applyFill="1"/>
    <xf numFmtId="0" fontId="3" fillId="0" borderId="0" xfId="44" applyFont="1" applyFill="1"/>
    <xf numFmtId="41" fontId="3" fillId="0" borderId="0" xfId="30" applyNumberFormat="1" applyFont="1" applyFill="1" applyProtection="1"/>
    <xf numFmtId="6" fontId="13" fillId="0" borderId="0" xfId="29" applyNumberFormat="1" applyFont="1" applyFill="1" applyBorder="1" applyAlignment="1" applyProtection="1">
      <alignment horizontal="center" vertical="center"/>
    </xf>
    <xf numFmtId="42" fontId="13" fillId="0" borderId="0" xfId="30" applyNumberFormat="1" applyFont="1" applyFill="1"/>
    <xf numFmtId="42" fontId="13" fillId="0" borderId="0" xfId="29" applyNumberFormat="1" applyFont="1" applyFill="1" applyBorder="1" applyAlignment="1">
      <alignment vertical="top"/>
    </xf>
    <xf numFmtId="166" fontId="13" fillId="0" borderId="0" xfId="30" applyNumberFormat="1" applyFont="1" applyFill="1" applyAlignment="1" applyProtection="1">
      <alignment vertical="top"/>
    </xf>
    <xf numFmtId="166" fontId="13" fillId="0" borderId="0" xfId="30" applyNumberFormat="1" applyFont="1" applyFill="1" applyProtection="1"/>
    <xf numFmtId="166" fontId="13" fillId="0" borderId="0" xfId="30" applyNumberFormat="1" applyFont="1" applyFill="1" applyBorder="1" applyProtection="1"/>
    <xf numFmtId="166" fontId="13" fillId="0" borderId="0" xfId="30" applyNumberFormat="1" applyFont="1" applyFill="1" applyBorder="1" applyAlignment="1" applyProtection="1">
      <alignment vertical="top"/>
    </xf>
    <xf numFmtId="166" fontId="13" fillId="0" borderId="0" xfId="30" applyNumberFormat="1" applyFont="1" applyBorder="1" applyAlignment="1" applyProtection="1">
      <alignment vertical="top"/>
    </xf>
    <xf numFmtId="0" fontId="37" fillId="0" borderId="0" xfId="1" applyFont="1" applyAlignment="1" applyProtection="1"/>
    <xf numFmtId="0" fontId="35" fillId="0" borderId="0" xfId="0" applyFont="1" applyAlignment="1"/>
    <xf numFmtId="0" fontId="13" fillId="0" borderId="0" xfId="1" quotePrefix="1" applyFont="1" applyFill="1" applyAlignment="1" applyProtection="1">
      <alignment horizontal="center"/>
    </xf>
    <xf numFmtId="170" fontId="3" fillId="0" borderId="23" xfId="1" applyNumberFormat="1" applyFont="1" applyFill="1" applyBorder="1" applyAlignment="1" applyProtection="1">
      <alignment horizontal="center"/>
    </xf>
    <xf numFmtId="170" fontId="3" fillId="0" borderId="27" xfId="1" applyNumberFormat="1" applyFont="1" applyFill="1" applyBorder="1" applyAlignment="1" applyProtection="1">
      <alignment horizontal="center"/>
    </xf>
    <xf numFmtId="170" fontId="3" fillId="0" borderId="0" xfId="1" applyNumberFormat="1" applyFont="1" applyBorder="1" applyAlignment="1" applyProtection="1">
      <alignment horizontal="center"/>
    </xf>
    <xf numFmtId="170" fontId="3" fillId="0" borderId="0" xfId="1" applyNumberFormat="1" applyFont="1" applyFill="1" applyBorder="1" applyAlignment="1" applyProtection="1"/>
    <xf numFmtId="166" fontId="3" fillId="0" borderId="23" xfId="30" applyNumberFormat="1" applyFont="1" applyFill="1" applyBorder="1" applyAlignment="1">
      <alignment horizontal="center"/>
    </xf>
    <xf numFmtId="5" fontId="3" fillId="0" borderId="23" xfId="1" applyNumberFormat="1" applyBorder="1" applyAlignment="1">
      <alignment horizontal="center"/>
    </xf>
    <xf numFmtId="0" fontId="3" fillId="0" borderId="24" xfId="1" applyFont="1" applyFill="1" applyBorder="1" applyAlignment="1">
      <alignment vertical="center" wrapText="1"/>
    </xf>
    <xf numFmtId="0" fontId="3" fillId="0" borderId="22" xfId="1" applyFont="1" applyFill="1" applyBorder="1" applyAlignment="1">
      <alignment vertical="center" wrapText="1"/>
    </xf>
    <xf numFmtId="0" fontId="13" fillId="0" borderId="0" xfId="1" quotePrefix="1" applyFont="1" applyAlignment="1">
      <alignment horizontal="center"/>
    </xf>
    <xf numFmtId="0" fontId="3" fillId="0" borderId="0" xfId="1" applyAlignment="1">
      <alignment horizontal="center"/>
    </xf>
    <xf numFmtId="170" fontId="3" fillId="0" borderId="0" xfId="1" quotePrefix="1" applyNumberFormat="1" applyAlignment="1">
      <alignment horizontal="center"/>
    </xf>
    <xf numFmtId="170" fontId="3" fillId="0" borderId="0" xfId="1" applyNumberFormat="1" applyAlignment="1">
      <alignment horizontal="center"/>
    </xf>
    <xf numFmtId="0" fontId="13" fillId="0" borderId="0" xfId="1" applyFont="1" applyAlignment="1">
      <alignment vertical="top"/>
    </xf>
    <xf numFmtId="0" fontId="0" fillId="0" borderId="0" xfId="0"/>
    <xf numFmtId="0" fontId="40" fillId="0" borderId="0" xfId="0" applyFont="1"/>
    <xf numFmtId="0" fontId="0" fillId="0" borderId="34" xfId="0" applyBorder="1"/>
    <xf numFmtId="0" fontId="41" fillId="0" borderId="34" xfId="0" applyFont="1" applyBorder="1" applyAlignment="1">
      <alignment horizontal="center"/>
    </xf>
    <xf numFmtId="14" fontId="0" fillId="0" borderId="34" xfId="0" applyNumberFormat="1" applyBorder="1" applyAlignment="1">
      <alignment horizontal="center"/>
    </xf>
    <xf numFmtId="0" fontId="0" fillId="0" borderId="34" xfId="0" applyBorder="1" applyAlignment="1">
      <alignment horizontal="center"/>
    </xf>
    <xf numFmtId="14" fontId="0" fillId="0" borderId="0" xfId="0" applyNumberFormat="1" applyAlignment="1">
      <alignment horizontal="center"/>
    </xf>
    <xf numFmtId="14" fontId="0" fillId="0" borderId="0" xfId="0" applyNumberFormat="1"/>
    <xf numFmtId="0" fontId="1" fillId="0" borderId="0" xfId="44" applyFont="1" applyBorder="1" applyAlignment="1" applyProtection="1">
      <alignment horizontal="center"/>
    </xf>
    <xf numFmtId="0" fontId="6" fillId="0" borderId="21" xfId="44" applyFont="1" applyBorder="1" applyAlignment="1" applyProtection="1">
      <alignment horizontal="center"/>
    </xf>
    <xf numFmtId="0" fontId="1" fillId="0" borderId="0" xfId="1" applyFont="1" applyBorder="1" applyAlignment="1" applyProtection="1">
      <alignment horizontal="center"/>
    </xf>
    <xf numFmtId="0" fontId="6" fillId="0" borderId="21" xfId="1" applyFont="1" applyBorder="1" applyAlignment="1" applyProtection="1">
      <alignment horizontal="center"/>
    </xf>
    <xf numFmtId="0" fontId="1" fillId="0" borderId="21" xfId="44" applyFont="1" applyBorder="1" applyAlignment="1" applyProtection="1">
      <alignment horizontal="center"/>
    </xf>
    <xf numFmtId="0" fontId="8" fillId="0" borderId="21" xfId="44" applyFont="1" applyBorder="1" applyAlignment="1" applyProtection="1">
      <alignment horizontal="center"/>
    </xf>
    <xf numFmtId="0" fontId="8" fillId="0" borderId="0" xfId="44" applyFont="1" applyAlignment="1" applyProtection="1">
      <alignment horizontal="center"/>
    </xf>
    <xf numFmtId="0" fontId="35" fillId="0" borderId="0" xfId="0" applyFont="1"/>
    <xf numFmtId="0" fontId="0" fillId="0" borderId="0" xfId="0"/>
    <xf numFmtId="0" fontId="17" fillId="0" borderId="0" xfId="1" applyFont="1" applyFill="1" applyAlignment="1" applyProtection="1">
      <alignment horizontal="center"/>
    </xf>
    <xf numFmtId="0" fontId="3" fillId="0" borderId="0" xfId="1" quotePrefix="1" applyFont="1" applyAlignment="1">
      <alignment horizontal="center"/>
    </xf>
    <xf numFmtId="0" fontId="3" fillId="0" borderId="29" xfId="1" applyFont="1" applyFill="1" applyBorder="1" applyAlignment="1">
      <alignment horizontal="center" vertical="center" wrapText="1"/>
    </xf>
    <xf numFmtId="0" fontId="3" fillId="0" borderId="23" xfId="1" applyFont="1" applyFill="1" applyBorder="1" applyAlignment="1">
      <alignment horizontal="center" vertical="center" wrapText="1"/>
    </xf>
    <xf numFmtId="0" fontId="3" fillId="0" borderId="27" xfId="1" applyFont="1" applyFill="1" applyBorder="1" applyAlignment="1">
      <alignment horizontal="center" vertical="center" wrapText="1"/>
    </xf>
    <xf numFmtId="0" fontId="3" fillId="0" borderId="28" xfId="1" applyFont="1" applyFill="1" applyBorder="1" applyAlignment="1">
      <alignment horizontal="center" vertical="center" wrapText="1"/>
    </xf>
    <xf numFmtId="0" fontId="3" fillId="0" borderId="0" xfId="1" applyFont="1" applyFill="1" applyBorder="1" applyAlignment="1">
      <alignment horizontal="center" vertical="center" wrapText="1"/>
    </xf>
    <xf numFmtId="0" fontId="3" fillId="0" borderId="24" xfId="1" applyFont="1" applyFill="1" applyBorder="1" applyAlignment="1">
      <alignment horizontal="center" vertical="center" wrapText="1"/>
    </xf>
    <xf numFmtId="0" fontId="3" fillId="0" borderId="30" xfId="1" applyFont="1" applyFill="1" applyBorder="1" applyAlignment="1">
      <alignment horizontal="center" vertical="center" wrapText="1"/>
    </xf>
    <xf numFmtId="0" fontId="3" fillId="0" borderId="22" xfId="1" applyFont="1" applyFill="1" applyBorder="1" applyAlignment="1">
      <alignment horizontal="center" vertical="center" wrapText="1"/>
    </xf>
    <xf numFmtId="0" fontId="3" fillId="0" borderId="31" xfId="1" applyFont="1" applyFill="1" applyBorder="1" applyAlignment="1">
      <alignment horizontal="center" vertical="center" wrapText="1"/>
    </xf>
    <xf numFmtId="170" fontId="3" fillId="0" borderId="25" xfId="1" applyNumberFormat="1" applyFont="1" applyFill="1" applyBorder="1" applyAlignment="1" applyProtection="1">
      <alignment horizontal="center"/>
    </xf>
    <xf numFmtId="170" fontId="3" fillId="0" borderId="26" xfId="1" applyNumberFormat="1" applyFont="1" applyFill="1" applyBorder="1" applyAlignment="1" applyProtection="1">
      <alignment horizontal="center"/>
    </xf>
    <xf numFmtId="0" fontId="3" fillId="0" borderId="0" xfId="1" quotePrefix="1" applyFont="1" applyFill="1" applyAlignment="1">
      <alignment horizontal="center"/>
    </xf>
    <xf numFmtId="9" fontId="3" fillId="0" borderId="29" xfId="30" applyNumberFormat="1" applyFont="1" applyFill="1" applyBorder="1" applyAlignment="1">
      <alignment horizontal="center" vertical="center" wrapText="1"/>
    </xf>
    <xf numFmtId="9" fontId="3" fillId="0" borderId="23" xfId="30" applyNumberFormat="1" applyFont="1" applyFill="1" applyBorder="1" applyAlignment="1">
      <alignment horizontal="center" vertical="center"/>
    </xf>
    <xf numFmtId="9" fontId="3" fillId="0" borderId="27" xfId="30" applyNumberFormat="1" applyFont="1" applyFill="1" applyBorder="1" applyAlignment="1">
      <alignment horizontal="center" vertical="center"/>
    </xf>
    <xf numFmtId="9" fontId="3" fillId="0" borderId="28" xfId="30" applyNumberFormat="1" applyFont="1" applyFill="1" applyBorder="1" applyAlignment="1">
      <alignment horizontal="center" vertical="center"/>
    </xf>
    <xf numFmtId="9" fontId="3" fillId="0" borderId="0" xfId="30" applyNumberFormat="1" applyFont="1" applyFill="1" applyBorder="1" applyAlignment="1">
      <alignment horizontal="center" vertical="center"/>
    </xf>
    <xf numFmtId="9" fontId="3" fillId="0" borderId="24" xfId="30" applyNumberFormat="1" applyFont="1" applyFill="1" applyBorder="1" applyAlignment="1">
      <alignment horizontal="center" vertical="center"/>
    </xf>
    <xf numFmtId="9" fontId="3" fillId="0" borderId="30" xfId="30" applyNumberFormat="1" applyFont="1" applyFill="1" applyBorder="1" applyAlignment="1">
      <alignment horizontal="center" vertical="center"/>
    </xf>
    <xf numFmtId="9" fontId="3" fillId="0" borderId="22" xfId="30" applyNumberFormat="1" applyFont="1" applyFill="1" applyBorder="1" applyAlignment="1">
      <alignment horizontal="center" vertical="center"/>
    </xf>
    <xf numFmtId="9" fontId="3" fillId="0" borderId="31" xfId="30" applyNumberFormat="1" applyFont="1" applyFill="1" applyBorder="1" applyAlignment="1">
      <alignment horizontal="center" vertical="center"/>
    </xf>
    <xf numFmtId="170" fontId="3" fillId="0" borderId="32" xfId="1" applyNumberFormat="1" applyFont="1" applyFill="1" applyBorder="1" applyAlignment="1" applyProtection="1">
      <alignment horizontal="center"/>
    </xf>
    <xf numFmtId="6" fontId="3" fillId="0" borderId="29" xfId="30" applyNumberFormat="1" applyFont="1" applyFill="1" applyBorder="1" applyAlignment="1">
      <alignment horizontal="center" vertical="center" wrapText="1"/>
    </xf>
    <xf numFmtId="6" fontId="3" fillId="0" borderId="23" xfId="30" applyNumberFormat="1" applyFont="1" applyFill="1" applyBorder="1" applyAlignment="1">
      <alignment horizontal="center" vertical="center"/>
    </xf>
    <xf numFmtId="6" fontId="3" fillId="0" borderId="27" xfId="30" applyNumberFormat="1" applyFont="1" applyFill="1" applyBorder="1" applyAlignment="1">
      <alignment horizontal="center" vertical="center"/>
    </xf>
    <xf numFmtId="6" fontId="3" fillId="0" borderId="28" xfId="30" applyNumberFormat="1" applyFont="1" applyFill="1" applyBorder="1" applyAlignment="1">
      <alignment horizontal="center" vertical="center"/>
    </xf>
    <xf numFmtId="6" fontId="3" fillId="0" borderId="0" xfId="30" applyNumberFormat="1" applyFont="1" applyFill="1" applyBorder="1" applyAlignment="1">
      <alignment horizontal="center" vertical="center"/>
    </xf>
    <xf numFmtId="6" fontId="3" fillId="0" borderId="24" xfId="30" applyNumberFormat="1" applyFont="1" applyFill="1" applyBorder="1" applyAlignment="1">
      <alignment horizontal="center" vertical="center"/>
    </xf>
    <xf numFmtId="6" fontId="3" fillId="0" borderId="30" xfId="30" applyNumberFormat="1" applyFont="1" applyFill="1" applyBorder="1" applyAlignment="1">
      <alignment horizontal="center" vertical="center"/>
    </xf>
    <xf numFmtId="6" fontId="3" fillId="0" borderId="22" xfId="30" applyNumberFormat="1" applyFont="1" applyFill="1" applyBorder="1" applyAlignment="1">
      <alignment horizontal="center" vertical="center"/>
    </xf>
    <xf numFmtId="6" fontId="3" fillId="0" borderId="31" xfId="30" applyNumberFormat="1" applyFont="1" applyFill="1" applyBorder="1" applyAlignment="1">
      <alignment horizontal="center" vertical="center"/>
    </xf>
    <xf numFmtId="0" fontId="3" fillId="0" borderId="0" xfId="1" quotePrefix="1" applyAlignment="1">
      <alignment horizontal="center"/>
    </xf>
    <xf numFmtId="170" fontId="3" fillId="0" borderId="32" xfId="1" applyNumberFormat="1" applyBorder="1" applyAlignment="1">
      <alignment horizontal="center"/>
    </xf>
    <xf numFmtId="170" fontId="3" fillId="0" borderId="25" xfId="1" applyNumberFormat="1" applyBorder="1" applyAlignment="1">
      <alignment horizontal="center"/>
    </xf>
    <xf numFmtId="170" fontId="3" fillId="0" borderId="26" xfId="1" applyNumberFormat="1" applyBorder="1" applyAlignment="1">
      <alignment horizontal="center"/>
    </xf>
    <xf numFmtId="0" fontId="13" fillId="0" borderId="0" xfId="1" quotePrefix="1" applyFont="1" applyFill="1" applyAlignment="1" applyProtection="1">
      <alignment horizontal="center"/>
    </xf>
    <xf numFmtId="6" fontId="13" fillId="0" borderId="28" xfId="29" applyNumberFormat="1" applyFont="1" applyFill="1" applyBorder="1" applyAlignment="1" applyProtection="1">
      <alignment horizontal="center" vertical="center" wrapText="1"/>
    </xf>
    <xf numFmtId="6" fontId="13" fillId="0" borderId="0" xfId="29" applyNumberFormat="1" applyFont="1" applyFill="1" applyBorder="1" applyAlignment="1" applyProtection="1">
      <alignment horizontal="center" vertical="center"/>
    </xf>
    <xf numFmtId="6" fontId="13" fillId="0" borderId="24" xfId="29" applyNumberFormat="1" applyFont="1" applyFill="1" applyBorder="1" applyAlignment="1" applyProtection="1">
      <alignment horizontal="center" vertical="center"/>
    </xf>
    <xf numFmtId="6" fontId="13" fillId="0" borderId="28" xfId="29" applyNumberFormat="1" applyFont="1" applyFill="1" applyBorder="1" applyAlignment="1" applyProtection="1">
      <alignment horizontal="center" vertical="center"/>
    </xf>
    <xf numFmtId="6" fontId="13" fillId="0" borderId="30" xfId="29" applyNumberFormat="1" applyFont="1" applyFill="1" applyBorder="1" applyAlignment="1" applyProtection="1">
      <alignment horizontal="center" vertical="center"/>
    </xf>
    <xf numFmtId="6" fontId="13" fillId="0" borderId="22" xfId="29" applyNumberFormat="1" applyFont="1" applyFill="1" applyBorder="1" applyAlignment="1" applyProtection="1">
      <alignment horizontal="center" vertical="center"/>
    </xf>
    <xf numFmtId="6" fontId="13" fillId="0" borderId="31" xfId="29" applyNumberFormat="1" applyFont="1" applyFill="1" applyBorder="1" applyAlignment="1" applyProtection="1">
      <alignment horizontal="center" vertical="center"/>
    </xf>
  </cellXfs>
  <cellStyles count="60">
    <cellStyle name="=C:\WINNT35\SYSTEM32\COMMAND.COM" xfId="1" xr:uid="{00000000-0005-0000-0000-000000000000}"/>
    <cellStyle name="20% - Accent1" xfId="2" builtinId="30" customBuiltin="1"/>
    <cellStyle name="20% - Accent2" xfId="3" builtinId="34" customBuiltin="1"/>
    <cellStyle name="20% - Accent3" xfId="4" builtinId="38" customBuiltin="1"/>
    <cellStyle name="20% - Accent4" xfId="5" builtinId="42" customBuiltin="1"/>
    <cellStyle name="20% - Accent5" xfId="6" builtinId="46" customBuiltin="1"/>
    <cellStyle name="20% - Accent6" xfId="7" builtinId="50" customBuiltin="1"/>
    <cellStyle name="40% - Accent1" xfId="8" builtinId="31" customBuiltin="1"/>
    <cellStyle name="40% - Accent2" xfId="9" builtinId="35" customBuiltin="1"/>
    <cellStyle name="40% - Accent3" xfId="10" builtinId="39" customBuiltin="1"/>
    <cellStyle name="40% - Accent4" xfId="11" builtinId="43" customBuiltin="1"/>
    <cellStyle name="40% - Accent5" xfId="12" builtinId="47" customBuiltin="1"/>
    <cellStyle name="40% - Accent6" xfId="13" builtinId="51" customBuiltin="1"/>
    <cellStyle name="60% - Accent1" xfId="14" builtinId="32" customBuiltin="1"/>
    <cellStyle name="60% - Accent2" xfId="15" builtinId="36" customBuiltin="1"/>
    <cellStyle name="60% - Accent3" xfId="16" builtinId="40" customBuiltin="1"/>
    <cellStyle name="60% - Accent4" xfId="17" builtinId="44" customBuiltin="1"/>
    <cellStyle name="60% - Accent5" xfId="18" builtinId="48" customBuiltin="1"/>
    <cellStyle name="60% - Accent6" xfId="19" builtinId="52" customBuiltin="1"/>
    <cellStyle name="Accent1" xfId="20" builtinId="29" customBuiltin="1"/>
    <cellStyle name="Accent2" xfId="21" builtinId="33" customBuiltin="1"/>
    <cellStyle name="Accent3" xfId="22" builtinId="37" customBuiltin="1"/>
    <cellStyle name="Accent4" xfId="23" builtinId="41" customBuiltin="1"/>
    <cellStyle name="Accent5" xfId="24" builtinId="45" customBuiltin="1"/>
    <cellStyle name="Accent6" xfId="25" builtinId="49" customBuiltin="1"/>
    <cellStyle name="Bad" xfId="26" builtinId="27" customBuiltin="1"/>
    <cellStyle name="Calculation" xfId="27" builtinId="22" customBuiltin="1"/>
    <cellStyle name="Check Cell" xfId="28" builtinId="23" customBuiltin="1"/>
    <cellStyle name="Comma" xfId="29" builtinId="3"/>
    <cellStyle name="Comma 10" xfId="57" xr:uid="{00000000-0005-0000-0000-00001D000000}"/>
    <cellStyle name="Currency" xfId="30" builtinId="4"/>
    <cellStyle name="Currency 2" xfId="59" xr:uid="{00000000-0005-0000-0000-00001F000000}"/>
    <cellStyle name="Explanatory Text" xfId="31" builtinId="53" customBuiltin="1"/>
    <cellStyle name="Good" xfId="32" builtinId="26" customBuiltin="1"/>
    <cellStyle name="Heading 1" xfId="33" builtinId="16" customBuiltin="1"/>
    <cellStyle name="Heading 2" xfId="34" builtinId="17" customBuiltin="1"/>
    <cellStyle name="Heading 3" xfId="35" builtinId="18" customBuiltin="1"/>
    <cellStyle name="Heading 4" xfId="36" builtinId="19" customBuiltin="1"/>
    <cellStyle name="Hyperlink" xfId="37" builtinId="8"/>
    <cellStyle name="Input" xfId="38" builtinId="20" customBuiltin="1"/>
    <cellStyle name="Linked Cell" xfId="39" builtinId="24" customBuiltin="1"/>
    <cellStyle name="Neutral" xfId="40" builtinId="28" customBuiltin="1"/>
    <cellStyle name="Normal" xfId="0" builtinId="0"/>
    <cellStyle name="Normal - Style2" xfId="41" xr:uid="{00000000-0005-0000-0000-00002B000000}"/>
    <cellStyle name="Normal - Style2 2" xfId="53" xr:uid="{00000000-0005-0000-0000-00002C000000}"/>
    <cellStyle name="Normal 10" xfId="56" xr:uid="{00000000-0005-0000-0000-00002D000000}"/>
    <cellStyle name="Normal 2" xfId="58" xr:uid="{00000000-0005-0000-0000-00002E000000}"/>
    <cellStyle name="Normal_2004 Electric Delivery_Schedule II-C-2.6" xfId="42" xr:uid="{00000000-0005-0000-0000-00002F000000}"/>
    <cellStyle name="Normal_Draft (13Jan04) II-C-2 6 and II-C-2 7" xfId="43" xr:uid="{00000000-0005-0000-0000-000030000000}"/>
    <cellStyle name="Normal_IOU TCOS RFP Financial Schedules" xfId="44" xr:uid="{00000000-0005-0000-0000-000031000000}"/>
    <cellStyle name="Normal_Sheet1" xfId="45" xr:uid="{00000000-0005-0000-0000-000032000000}"/>
    <cellStyle name="Normal_TXU Gas Plan" xfId="46" xr:uid="{00000000-0005-0000-0000-000033000000}"/>
    <cellStyle name="Note" xfId="47" builtinId="10" customBuiltin="1"/>
    <cellStyle name="Output" xfId="48" builtinId="21" customBuiltin="1"/>
    <cellStyle name="Percent" xfId="49" builtinId="5"/>
    <cellStyle name="Percent 10 2" xfId="55" xr:uid="{00000000-0005-0000-0000-000037000000}"/>
    <cellStyle name="Percent 2 2" xfId="54" xr:uid="{00000000-0005-0000-0000-000038000000}"/>
    <cellStyle name="Title" xfId="50" builtinId="15" customBuiltin="1"/>
    <cellStyle name="Total" xfId="51" builtinId="25" customBuiltin="1"/>
    <cellStyle name="Warning Text" xfId="5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4</xdr:row>
          <xdr:rowOff>104775</xdr:rowOff>
        </xdr:from>
        <xdr:to>
          <xdr:col>8</xdr:col>
          <xdr:colOff>152400</xdr:colOff>
          <xdr:row>7</xdr:row>
          <xdr:rowOff>19050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26A92E21-172F-4379-A67C-9191EC968F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Schedules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0</xdr:colOff>
      <xdr:row>8</xdr:row>
      <xdr:rowOff>0</xdr:rowOff>
    </xdr:to>
    <xdr:sp macro="" textlink="">
      <xdr:nvSpPr>
        <xdr:cNvPr id="1027" name="Rectangle 3">
          <a:extLst>
            <a:ext uri="{FF2B5EF4-FFF2-40B4-BE49-F238E27FC236}">
              <a16:creationId xmlns:a16="http://schemas.microsoft.com/office/drawing/2014/main" id="{00000000-0008-0000-1900-000003040000}"/>
            </a:ext>
          </a:extLst>
        </xdr:cNvPr>
        <xdr:cNvSpPr>
          <a:spLocks noChangeArrowheads="1"/>
        </xdr:cNvSpPr>
      </xdr:nvSpPr>
      <xdr:spPr bwMode="auto">
        <a:xfrm>
          <a:off x="609600" y="1295400"/>
          <a:ext cx="0" cy="0"/>
        </a:xfrm>
        <a:prstGeom prst="rect">
          <a:avLst/>
        </a:prstGeom>
        <a:solidFill>
          <a:srgbClr val="FFFFFF"/>
        </a:solidFill>
        <a:ln w="9525">
          <a:noFill/>
          <a:miter lim="800000"/>
          <a:headEnd/>
          <a:tailEnd/>
        </a:ln>
      </xdr:spPr>
      <xdr:txBody>
        <a:bodyPr vertOverflow="clip" wrap="square" lIns="36576" tIns="22860" rIns="36576" bIns="0" anchor="t" upright="1"/>
        <a:lstStyle/>
        <a:p>
          <a:pPr algn="ctr" rtl="1">
            <a:defRPr sz="1000"/>
          </a:pPr>
          <a:endParaRPr lang="en-US" sz="1200" b="0" i="0" strike="noStrike">
            <a:solidFill>
              <a:srgbClr val="000000"/>
            </a:solidFill>
            <a:latin typeface="Arial"/>
            <a:cs typeface="Arial"/>
          </a:endParaRPr>
        </a:p>
        <a:p>
          <a:pPr algn="ctr" rtl="1">
            <a:defRPr sz="1000"/>
          </a:pPr>
          <a:r>
            <a:rPr lang="en-US" sz="1200" b="0" i="0" strike="noStrike">
              <a:solidFill>
                <a:srgbClr val="000000"/>
              </a:solidFill>
              <a:latin typeface="Arial"/>
              <a:cs typeface="Arial"/>
            </a:rPr>
            <a:t>Confidential Information</a:t>
          </a:r>
        </a:p>
      </xdr:txBody>
    </xdr:sp>
    <xdr:clientData/>
  </xdr:twoCellAnchor>
  <xdr:twoCellAnchor>
    <xdr:from>
      <xdr:col>1</xdr:col>
      <xdr:colOff>0</xdr:colOff>
      <xdr:row>8</xdr:row>
      <xdr:rowOff>0</xdr:rowOff>
    </xdr:from>
    <xdr:to>
      <xdr:col>1</xdr:col>
      <xdr:colOff>0</xdr:colOff>
      <xdr:row>8</xdr:row>
      <xdr:rowOff>0</xdr:rowOff>
    </xdr:to>
    <xdr:sp macro="" textlink="">
      <xdr:nvSpPr>
        <xdr:cNvPr id="1028" name="Rectangle 4">
          <a:extLst>
            <a:ext uri="{FF2B5EF4-FFF2-40B4-BE49-F238E27FC236}">
              <a16:creationId xmlns:a16="http://schemas.microsoft.com/office/drawing/2014/main" id="{00000000-0008-0000-1900-000004040000}"/>
            </a:ext>
          </a:extLst>
        </xdr:cNvPr>
        <xdr:cNvSpPr>
          <a:spLocks noChangeArrowheads="1"/>
        </xdr:cNvSpPr>
      </xdr:nvSpPr>
      <xdr:spPr bwMode="auto">
        <a:xfrm>
          <a:off x="609600" y="1295400"/>
          <a:ext cx="0" cy="0"/>
        </a:xfrm>
        <a:prstGeom prst="rect">
          <a:avLst/>
        </a:prstGeom>
        <a:solidFill>
          <a:srgbClr val="FFFFFF"/>
        </a:solidFill>
        <a:ln w="9525">
          <a:noFill/>
          <a:miter lim="800000"/>
          <a:headEnd/>
          <a:tailEnd/>
        </a:ln>
      </xdr:spPr>
      <xdr:txBody>
        <a:bodyPr vertOverflow="clip" wrap="square" lIns="36576" tIns="22860" rIns="36576" bIns="0" anchor="t" upright="1"/>
        <a:lstStyle/>
        <a:p>
          <a:pPr algn="ctr" rtl="1">
            <a:defRPr sz="1000"/>
          </a:pPr>
          <a:endParaRPr lang="en-US" sz="1200" b="0" i="0" strike="noStrike">
            <a:solidFill>
              <a:srgbClr val="000000"/>
            </a:solidFill>
            <a:latin typeface="Arial"/>
            <a:cs typeface="Arial"/>
          </a:endParaRPr>
        </a:p>
        <a:p>
          <a:pPr algn="ctr" rtl="1">
            <a:defRPr sz="1000"/>
          </a:pPr>
          <a:r>
            <a:rPr lang="en-US" sz="1200" b="0" i="0" strike="noStrike">
              <a:solidFill>
                <a:srgbClr val="000000"/>
              </a:solidFill>
              <a:latin typeface="Arial"/>
              <a:cs typeface="Arial"/>
            </a:rPr>
            <a:t>Confidential Information</a:t>
          </a:r>
        </a:p>
      </xdr:txBody>
    </xdr:sp>
    <xdr:clientData/>
  </xdr:twoCellAnchor>
  <xdr:twoCellAnchor>
    <xdr:from>
      <xdr:col>1</xdr:col>
      <xdr:colOff>0</xdr:colOff>
      <xdr:row>8</xdr:row>
      <xdr:rowOff>0</xdr:rowOff>
    </xdr:from>
    <xdr:to>
      <xdr:col>1</xdr:col>
      <xdr:colOff>0</xdr:colOff>
      <xdr:row>8</xdr:row>
      <xdr:rowOff>0</xdr:rowOff>
    </xdr:to>
    <xdr:sp macro="" textlink="">
      <xdr:nvSpPr>
        <xdr:cNvPr id="1029" name="Rectangle 5">
          <a:extLst>
            <a:ext uri="{FF2B5EF4-FFF2-40B4-BE49-F238E27FC236}">
              <a16:creationId xmlns:a16="http://schemas.microsoft.com/office/drawing/2014/main" id="{00000000-0008-0000-1900-000005040000}"/>
            </a:ext>
          </a:extLst>
        </xdr:cNvPr>
        <xdr:cNvSpPr>
          <a:spLocks noChangeArrowheads="1"/>
        </xdr:cNvSpPr>
      </xdr:nvSpPr>
      <xdr:spPr bwMode="auto">
        <a:xfrm>
          <a:off x="609600" y="1295400"/>
          <a:ext cx="0" cy="0"/>
        </a:xfrm>
        <a:prstGeom prst="rect">
          <a:avLst/>
        </a:prstGeom>
        <a:solidFill>
          <a:srgbClr val="FFFFFF"/>
        </a:solidFill>
        <a:ln w="9525">
          <a:noFill/>
          <a:miter lim="800000"/>
          <a:headEnd/>
          <a:tailEnd/>
        </a:ln>
      </xdr:spPr>
      <xdr:txBody>
        <a:bodyPr vertOverflow="clip" wrap="square" lIns="36576" tIns="22860" rIns="36576" bIns="0" anchor="t" upright="1"/>
        <a:lstStyle/>
        <a:p>
          <a:pPr algn="ctr" rtl="1">
            <a:defRPr sz="1000"/>
          </a:pPr>
          <a:endParaRPr lang="en-US" sz="1200" b="0" i="0" strike="noStrike">
            <a:solidFill>
              <a:srgbClr val="000000"/>
            </a:solidFill>
            <a:latin typeface="Arial"/>
            <a:cs typeface="Arial"/>
          </a:endParaRPr>
        </a:p>
        <a:p>
          <a:pPr algn="ctr" rtl="1">
            <a:defRPr sz="1000"/>
          </a:pPr>
          <a:r>
            <a:rPr lang="en-US" sz="1200" b="0" i="0" strike="noStrike">
              <a:solidFill>
                <a:srgbClr val="000000"/>
              </a:solidFill>
              <a:latin typeface="Arial"/>
              <a:cs typeface="Arial"/>
            </a:rPr>
            <a:t>Confidential Information</a:t>
          </a:r>
        </a:p>
      </xdr:txBody>
    </xdr:sp>
    <xdr:clientData/>
  </xdr:twoCellAnchor>
  <xdr:twoCellAnchor>
    <xdr:from>
      <xdr:col>1</xdr:col>
      <xdr:colOff>0</xdr:colOff>
      <xdr:row>9</xdr:row>
      <xdr:rowOff>0</xdr:rowOff>
    </xdr:from>
    <xdr:to>
      <xdr:col>1</xdr:col>
      <xdr:colOff>0</xdr:colOff>
      <xdr:row>9</xdr:row>
      <xdr:rowOff>0</xdr:rowOff>
    </xdr:to>
    <xdr:sp macro="" textlink="">
      <xdr:nvSpPr>
        <xdr:cNvPr id="1030" name="Text Box 6">
          <a:extLst>
            <a:ext uri="{FF2B5EF4-FFF2-40B4-BE49-F238E27FC236}">
              <a16:creationId xmlns:a16="http://schemas.microsoft.com/office/drawing/2014/main" id="{00000000-0008-0000-1900-000006040000}"/>
            </a:ext>
          </a:extLst>
        </xdr:cNvPr>
        <xdr:cNvSpPr txBox="1">
          <a:spLocks noChangeArrowheads="1"/>
        </xdr:cNvSpPr>
      </xdr:nvSpPr>
      <xdr:spPr bwMode="auto">
        <a:xfrm>
          <a:off x="609600" y="1457325"/>
          <a:ext cx="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1</xdr:col>
      <xdr:colOff>0</xdr:colOff>
      <xdr:row>9</xdr:row>
      <xdr:rowOff>0</xdr:rowOff>
    </xdr:from>
    <xdr:to>
      <xdr:col>1</xdr:col>
      <xdr:colOff>0</xdr:colOff>
      <xdr:row>9</xdr:row>
      <xdr:rowOff>0</xdr:rowOff>
    </xdr:to>
    <xdr:sp macro="" textlink="">
      <xdr:nvSpPr>
        <xdr:cNvPr id="1031" name="Text Box 7">
          <a:extLst>
            <a:ext uri="{FF2B5EF4-FFF2-40B4-BE49-F238E27FC236}">
              <a16:creationId xmlns:a16="http://schemas.microsoft.com/office/drawing/2014/main" id="{00000000-0008-0000-1900-000007040000}"/>
            </a:ext>
          </a:extLst>
        </xdr:cNvPr>
        <xdr:cNvSpPr txBox="1">
          <a:spLocks noChangeArrowheads="1"/>
        </xdr:cNvSpPr>
      </xdr:nvSpPr>
      <xdr:spPr bwMode="auto">
        <a:xfrm>
          <a:off x="609600" y="1457325"/>
          <a:ext cx="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1</xdr:col>
      <xdr:colOff>0</xdr:colOff>
      <xdr:row>9</xdr:row>
      <xdr:rowOff>0</xdr:rowOff>
    </xdr:from>
    <xdr:to>
      <xdr:col>1</xdr:col>
      <xdr:colOff>0</xdr:colOff>
      <xdr:row>9</xdr:row>
      <xdr:rowOff>0</xdr:rowOff>
    </xdr:to>
    <xdr:sp macro="" textlink="">
      <xdr:nvSpPr>
        <xdr:cNvPr id="1035" name="Text Box 11">
          <a:extLst>
            <a:ext uri="{FF2B5EF4-FFF2-40B4-BE49-F238E27FC236}">
              <a16:creationId xmlns:a16="http://schemas.microsoft.com/office/drawing/2014/main" id="{00000000-0008-0000-1900-00000B040000}"/>
            </a:ext>
          </a:extLst>
        </xdr:cNvPr>
        <xdr:cNvSpPr txBox="1">
          <a:spLocks noChangeArrowheads="1"/>
        </xdr:cNvSpPr>
      </xdr:nvSpPr>
      <xdr:spPr bwMode="auto">
        <a:xfrm>
          <a:off x="609600" y="1457325"/>
          <a:ext cx="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1</xdr:col>
      <xdr:colOff>0</xdr:colOff>
      <xdr:row>9</xdr:row>
      <xdr:rowOff>0</xdr:rowOff>
    </xdr:from>
    <xdr:to>
      <xdr:col>1</xdr:col>
      <xdr:colOff>0</xdr:colOff>
      <xdr:row>9</xdr:row>
      <xdr:rowOff>0</xdr:rowOff>
    </xdr:to>
    <xdr:sp macro="" textlink="">
      <xdr:nvSpPr>
        <xdr:cNvPr id="1036" name="Text Box 12">
          <a:extLst>
            <a:ext uri="{FF2B5EF4-FFF2-40B4-BE49-F238E27FC236}">
              <a16:creationId xmlns:a16="http://schemas.microsoft.com/office/drawing/2014/main" id="{00000000-0008-0000-1900-00000C040000}"/>
            </a:ext>
          </a:extLst>
        </xdr:cNvPr>
        <xdr:cNvSpPr txBox="1">
          <a:spLocks noChangeArrowheads="1"/>
        </xdr:cNvSpPr>
      </xdr:nvSpPr>
      <xdr:spPr bwMode="auto">
        <a:xfrm>
          <a:off x="609600" y="1457325"/>
          <a:ext cx="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1</xdr:col>
      <xdr:colOff>0</xdr:colOff>
      <xdr:row>9</xdr:row>
      <xdr:rowOff>0</xdr:rowOff>
    </xdr:from>
    <xdr:to>
      <xdr:col>1</xdr:col>
      <xdr:colOff>0</xdr:colOff>
      <xdr:row>9</xdr:row>
      <xdr:rowOff>0</xdr:rowOff>
    </xdr:to>
    <xdr:sp macro="" textlink="">
      <xdr:nvSpPr>
        <xdr:cNvPr id="1038" name="WordArt 14">
          <a:extLst>
            <a:ext uri="{FF2B5EF4-FFF2-40B4-BE49-F238E27FC236}">
              <a16:creationId xmlns:a16="http://schemas.microsoft.com/office/drawing/2014/main" id="{00000000-0008-0000-1900-00000E040000}"/>
            </a:ext>
          </a:extLst>
        </xdr:cNvPr>
        <xdr:cNvSpPr>
          <a:spLocks noChangeArrowheads="1" noChangeShapeType="1" noTextEdit="1"/>
        </xdr:cNvSpPr>
      </xdr:nvSpPr>
      <xdr:spPr bwMode="auto">
        <a:xfrm>
          <a:off x="609600" y="1457325"/>
          <a:ext cx="0" cy="0"/>
        </a:xfrm>
        <a:prstGeom prst="rect">
          <a:avLst/>
        </a:prstGeom>
      </xdr:spPr>
      <xdr:txBody>
        <a:bodyPr wrap="none" fromWordArt="1">
          <a:prstTxWarp prst="textSlantUp">
            <a:avLst>
              <a:gd name="adj" fmla="val 55556"/>
            </a:avLst>
          </a:prstTxWarp>
        </a:bodyPr>
        <a:lstStyle/>
        <a:p>
          <a:pPr algn="ctr" rtl="0"/>
          <a:r>
            <a:rPr lang="en-US" sz="9600" kern="10" spc="0">
              <a:ln w="9525">
                <a:solidFill>
                  <a:srgbClr val="000000"/>
                </a:solidFill>
                <a:round/>
                <a:headEnd/>
                <a:tailEnd/>
              </a:ln>
              <a:solidFill>
                <a:srgbClr val="000000"/>
              </a:solidFill>
              <a:effectLst/>
              <a:latin typeface="Arial Black"/>
            </a:rPr>
            <a:t>DRAFT</a:t>
          </a:r>
        </a:p>
      </xdr:txBody>
    </xdr:sp>
    <xdr:clientData/>
  </xdr:twoCellAnchor>
  <xdr:twoCellAnchor>
    <xdr:from>
      <xdr:col>1</xdr:col>
      <xdr:colOff>0</xdr:colOff>
      <xdr:row>9</xdr:row>
      <xdr:rowOff>0</xdr:rowOff>
    </xdr:from>
    <xdr:to>
      <xdr:col>1</xdr:col>
      <xdr:colOff>0</xdr:colOff>
      <xdr:row>9</xdr:row>
      <xdr:rowOff>0</xdr:rowOff>
    </xdr:to>
    <xdr:sp macro="" textlink="">
      <xdr:nvSpPr>
        <xdr:cNvPr id="1039" name="WordArt 15">
          <a:extLst>
            <a:ext uri="{FF2B5EF4-FFF2-40B4-BE49-F238E27FC236}">
              <a16:creationId xmlns:a16="http://schemas.microsoft.com/office/drawing/2014/main" id="{00000000-0008-0000-1900-00000F040000}"/>
            </a:ext>
          </a:extLst>
        </xdr:cNvPr>
        <xdr:cNvSpPr>
          <a:spLocks noChangeArrowheads="1" noChangeShapeType="1" noTextEdit="1"/>
        </xdr:cNvSpPr>
      </xdr:nvSpPr>
      <xdr:spPr bwMode="auto">
        <a:xfrm>
          <a:off x="609600" y="1457325"/>
          <a:ext cx="0" cy="0"/>
        </a:xfrm>
        <a:prstGeom prst="rect">
          <a:avLst/>
        </a:prstGeom>
      </xdr:spPr>
      <xdr:txBody>
        <a:bodyPr wrap="none" fromWordArt="1">
          <a:prstTxWarp prst="textSlantUp">
            <a:avLst>
              <a:gd name="adj" fmla="val 55556"/>
            </a:avLst>
          </a:prstTxWarp>
        </a:bodyPr>
        <a:lstStyle/>
        <a:p>
          <a:pPr algn="ctr" rtl="0"/>
          <a:r>
            <a:rPr lang="en-US" sz="9600" kern="10" spc="0">
              <a:ln w="9525">
                <a:solidFill>
                  <a:srgbClr val="000000"/>
                </a:solidFill>
                <a:round/>
                <a:headEnd/>
                <a:tailEnd/>
              </a:ln>
              <a:solidFill>
                <a:srgbClr val="000000"/>
              </a:solidFill>
              <a:effectLst/>
              <a:latin typeface="Arial Black"/>
            </a:rPr>
            <a:t>DRAFT</a:t>
          </a:r>
        </a:p>
      </xdr:txBody>
    </xdr:sp>
    <xdr:clientData/>
  </xdr:twoCellAnchor>
  <xdr:twoCellAnchor>
    <xdr:from>
      <xdr:col>1</xdr:col>
      <xdr:colOff>0</xdr:colOff>
      <xdr:row>9</xdr:row>
      <xdr:rowOff>0</xdr:rowOff>
    </xdr:from>
    <xdr:to>
      <xdr:col>1</xdr:col>
      <xdr:colOff>0</xdr:colOff>
      <xdr:row>9</xdr:row>
      <xdr:rowOff>0</xdr:rowOff>
    </xdr:to>
    <xdr:sp macro="" textlink="">
      <xdr:nvSpPr>
        <xdr:cNvPr id="1040" name="WordArt 16">
          <a:extLst>
            <a:ext uri="{FF2B5EF4-FFF2-40B4-BE49-F238E27FC236}">
              <a16:creationId xmlns:a16="http://schemas.microsoft.com/office/drawing/2014/main" id="{00000000-0008-0000-1900-000010040000}"/>
            </a:ext>
          </a:extLst>
        </xdr:cNvPr>
        <xdr:cNvSpPr>
          <a:spLocks noChangeArrowheads="1" noChangeShapeType="1" noTextEdit="1"/>
        </xdr:cNvSpPr>
      </xdr:nvSpPr>
      <xdr:spPr bwMode="auto">
        <a:xfrm>
          <a:off x="609600" y="1457325"/>
          <a:ext cx="0" cy="0"/>
        </a:xfrm>
        <a:prstGeom prst="rect">
          <a:avLst/>
        </a:prstGeom>
      </xdr:spPr>
      <xdr:txBody>
        <a:bodyPr wrap="none" fromWordArt="1">
          <a:prstTxWarp prst="textSlantUp">
            <a:avLst>
              <a:gd name="adj" fmla="val 55556"/>
            </a:avLst>
          </a:prstTxWarp>
        </a:bodyPr>
        <a:lstStyle/>
        <a:p>
          <a:pPr algn="ctr" rtl="0"/>
          <a:r>
            <a:rPr lang="en-US" sz="9600" kern="10" spc="0">
              <a:ln w="9525">
                <a:solidFill>
                  <a:srgbClr val="000000"/>
                </a:solidFill>
                <a:round/>
                <a:headEnd/>
                <a:tailEnd/>
              </a:ln>
              <a:solidFill>
                <a:srgbClr val="000000"/>
              </a:solidFill>
              <a:effectLst/>
              <a:latin typeface="Arial Black"/>
            </a:rPr>
            <a:t>DRAFT</a:t>
          </a:r>
        </a:p>
      </xdr:txBody>
    </xdr:sp>
    <xdr:clientData/>
  </xdr:twoCellAnchor>
  <xdr:twoCellAnchor>
    <xdr:from>
      <xdr:col>1</xdr:col>
      <xdr:colOff>0</xdr:colOff>
      <xdr:row>9</xdr:row>
      <xdr:rowOff>0</xdr:rowOff>
    </xdr:from>
    <xdr:to>
      <xdr:col>1</xdr:col>
      <xdr:colOff>0</xdr:colOff>
      <xdr:row>9</xdr:row>
      <xdr:rowOff>0</xdr:rowOff>
    </xdr:to>
    <xdr:sp macro="" textlink="">
      <xdr:nvSpPr>
        <xdr:cNvPr id="1041" name="WordArt 17">
          <a:extLst>
            <a:ext uri="{FF2B5EF4-FFF2-40B4-BE49-F238E27FC236}">
              <a16:creationId xmlns:a16="http://schemas.microsoft.com/office/drawing/2014/main" id="{00000000-0008-0000-1900-000011040000}"/>
            </a:ext>
          </a:extLst>
        </xdr:cNvPr>
        <xdr:cNvSpPr>
          <a:spLocks noChangeArrowheads="1" noChangeShapeType="1" noTextEdit="1"/>
        </xdr:cNvSpPr>
      </xdr:nvSpPr>
      <xdr:spPr bwMode="auto">
        <a:xfrm>
          <a:off x="609600" y="1457325"/>
          <a:ext cx="0" cy="0"/>
        </a:xfrm>
        <a:prstGeom prst="rect">
          <a:avLst/>
        </a:prstGeom>
      </xdr:spPr>
      <xdr:txBody>
        <a:bodyPr wrap="none" fromWordArt="1">
          <a:prstTxWarp prst="textSlantUp">
            <a:avLst>
              <a:gd name="adj" fmla="val 55556"/>
            </a:avLst>
          </a:prstTxWarp>
        </a:bodyPr>
        <a:lstStyle/>
        <a:p>
          <a:pPr algn="ctr" rtl="0"/>
          <a:r>
            <a:rPr lang="en-US" sz="9600" kern="10" spc="0">
              <a:ln w="9525">
                <a:solidFill>
                  <a:srgbClr val="000000"/>
                </a:solidFill>
                <a:round/>
                <a:headEnd/>
                <a:tailEnd/>
              </a:ln>
              <a:solidFill>
                <a:srgbClr val="000000"/>
              </a:solidFill>
              <a:effectLst/>
              <a:latin typeface="Arial Black"/>
            </a:rPr>
            <a:t>DRAFT</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42" name="Text Box 18">
          <a:extLst>
            <a:ext uri="{FF2B5EF4-FFF2-40B4-BE49-F238E27FC236}">
              <a16:creationId xmlns:a16="http://schemas.microsoft.com/office/drawing/2014/main" id="{00000000-0008-0000-1900-000012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43" name="Text Box 19">
          <a:extLst>
            <a:ext uri="{FF2B5EF4-FFF2-40B4-BE49-F238E27FC236}">
              <a16:creationId xmlns:a16="http://schemas.microsoft.com/office/drawing/2014/main" id="{00000000-0008-0000-1900-000013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50" name="Text Box 26">
          <a:extLst>
            <a:ext uri="{FF2B5EF4-FFF2-40B4-BE49-F238E27FC236}">
              <a16:creationId xmlns:a16="http://schemas.microsoft.com/office/drawing/2014/main" id="{00000000-0008-0000-1900-00001A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51" name="Text Box 27">
          <a:extLst>
            <a:ext uri="{FF2B5EF4-FFF2-40B4-BE49-F238E27FC236}">
              <a16:creationId xmlns:a16="http://schemas.microsoft.com/office/drawing/2014/main" id="{00000000-0008-0000-1900-00001B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58" name="Text Box 34">
          <a:extLst>
            <a:ext uri="{FF2B5EF4-FFF2-40B4-BE49-F238E27FC236}">
              <a16:creationId xmlns:a16="http://schemas.microsoft.com/office/drawing/2014/main" id="{00000000-0008-0000-1900-000022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59" name="Text Box 35">
          <a:extLst>
            <a:ext uri="{FF2B5EF4-FFF2-40B4-BE49-F238E27FC236}">
              <a16:creationId xmlns:a16="http://schemas.microsoft.com/office/drawing/2014/main" id="{00000000-0008-0000-1900-000023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64" name="Text Box 40">
          <a:extLst>
            <a:ext uri="{FF2B5EF4-FFF2-40B4-BE49-F238E27FC236}">
              <a16:creationId xmlns:a16="http://schemas.microsoft.com/office/drawing/2014/main" id="{00000000-0008-0000-1900-000028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65" name="Text Box 41">
          <a:extLst>
            <a:ext uri="{FF2B5EF4-FFF2-40B4-BE49-F238E27FC236}">
              <a16:creationId xmlns:a16="http://schemas.microsoft.com/office/drawing/2014/main" id="{00000000-0008-0000-1900-000029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66" name="Text Box 42">
          <a:extLst>
            <a:ext uri="{FF2B5EF4-FFF2-40B4-BE49-F238E27FC236}">
              <a16:creationId xmlns:a16="http://schemas.microsoft.com/office/drawing/2014/main" id="{00000000-0008-0000-1900-00002A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67" name="Text Box 43">
          <a:extLst>
            <a:ext uri="{FF2B5EF4-FFF2-40B4-BE49-F238E27FC236}">
              <a16:creationId xmlns:a16="http://schemas.microsoft.com/office/drawing/2014/main" id="{00000000-0008-0000-1900-00002B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68" name="Text Box 44">
          <a:extLst>
            <a:ext uri="{FF2B5EF4-FFF2-40B4-BE49-F238E27FC236}">
              <a16:creationId xmlns:a16="http://schemas.microsoft.com/office/drawing/2014/main" id="{00000000-0008-0000-1900-00002C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69" name="Text Box 45">
          <a:extLst>
            <a:ext uri="{FF2B5EF4-FFF2-40B4-BE49-F238E27FC236}">
              <a16:creationId xmlns:a16="http://schemas.microsoft.com/office/drawing/2014/main" id="{00000000-0008-0000-1900-00002D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70" name="Text Box 46">
          <a:extLst>
            <a:ext uri="{FF2B5EF4-FFF2-40B4-BE49-F238E27FC236}">
              <a16:creationId xmlns:a16="http://schemas.microsoft.com/office/drawing/2014/main" id="{00000000-0008-0000-1900-00002E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71" name="Text Box 47">
          <a:extLst>
            <a:ext uri="{FF2B5EF4-FFF2-40B4-BE49-F238E27FC236}">
              <a16:creationId xmlns:a16="http://schemas.microsoft.com/office/drawing/2014/main" id="{00000000-0008-0000-1900-00002F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72" name="Text Box 48">
          <a:extLst>
            <a:ext uri="{FF2B5EF4-FFF2-40B4-BE49-F238E27FC236}">
              <a16:creationId xmlns:a16="http://schemas.microsoft.com/office/drawing/2014/main" id="{00000000-0008-0000-1900-000030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73" name="Text Box 49">
          <a:extLst>
            <a:ext uri="{FF2B5EF4-FFF2-40B4-BE49-F238E27FC236}">
              <a16:creationId xmlns:a16="http://schemas.microsoft.com/office/drawing/2014/main" id="{00000000-0008-0000-1900-000031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1074" name="Text Box 50">
          <a:extLst>
            <a:ext uri="{FF2B5EF4-FFF2-40B4-BE49-F238E27FC236}">
              <a16:creationId xmlns:a16="http://schemas.microsoft.com/office/drawing/2014/main" id="{00000000-0008-0000-1900-00003204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1075" name="Text Box 51">
          <a:extLst>
            <a:ext uri="{FF2B5EF4-FFF2-40B4-BE49-F238E27FC236}">
              <a16:creationId xmlns:a16="http://schemas.microsoft.com/office/drawing/2014/main" id="{00000000-0008-0000-1900-00003304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2" name="Text Box 18">
          <a:extLst>
            <a:ext uri="{FF2B5EF4-FFF2-40B4-BE49-F238E27FC236}">
              <a16:creationId xmlns:a16="http://schemas.microsoft.com/office/drawing/2014/main" id="{00000000-0008-0000-1900-00000200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3" name="Text Box 19">
          <a:extLst>
            <a:ext uri="{FF2B5EF4-FFF2-40B4-BE49-F238E27FC236}">
              <a16:creationId xmlns:a16="http://schemas.microsoft.com/office/drawing/2014/main" id="{00000000-0008-0000-1900-00000300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4" name="Text Box 26">
          <a:extLst>
            <a:ext uri="{FF2B5EF4-FFF2-40B4-BE49-F238E27FC236}">
              <a16:creationId xmlns:a16="http://schemas.microsoft.com/office/drawing/2014/main" id="{00000000-0008-0000-1900-00000400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5" name="Text Box 27">
          <a:extLst>
            <a:ext uri="{FF2B5EF4-FFF2-40B4-BE49-F238E27FC236}">
              <a16:creationId xmlns:a16="http://schemas.microsoft.com/office/drawing/2014/main" id="{00000000-0008-0000-1900-00000500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6" name="Text Box 34">
          <a:extLst>
            <a:ext uri="{FF2B5EF4-FFF2-40B4-BE49-F238E27FC236}">
              <a16:creationId xmlns:a16="http://schemas.microsoft.com/office/drawing/2014/main" id="{00000000-0008-0000-1900-000006000000}"/>
            </a:ext>
          </a:extLst>
        </xdr:cNvPr>
        <xdr:cNvSpPr txBox="1">
          <a:spLocks noChangeArrowheads="1"/>
        </xdr:cNvSpPr>
      </xdr:nvSpPr>
      <xdr:spPr bwMode="auto">
        <a:xfrm>
          <a:off x="7172325" y="3838575"/>
          <a:ext cx="4343400" cy="0"/>
        </a:xfrm>
        <a:prstGeom prst="rect">
          <a:avLst/>
        </a:prstGeom>
        <a:noFill/>
        <a:ln w="9525">
          <a:no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7" name="Text Box 35">
          <a:extLst>
            <a:ext uri="{FF2B5EF4-FFF2-40B4-BE49-F238E27FC236}">
              <a16:creationId xmlns:a16="http://schemas.microsoft.com/office/drawing/2014/main" id="{00000000-0008-0000-1900-000007000000}"/>
            </a:ext>
          </a:extLst>
        </xdr:cNvPr>
        <xdr:cNvSpPr txBox="1">
          <a:spLocks noChangeArrowheads="1"/>
        </xdr:cNvSpPr>
      </xdr:nvSpPr>
      <xdr:spPr bwMode="auto">
        <a:xfrm>
          <a:off x="7286625" y="3838575"/>
          <a:ext cx="4381500" cy="0"/>
        </a:xfrm>
        <a:prstGeom prst="rect">
          <a:avLst/>
        </a:prstGeom>
        <a:noFill/>
        <a:ln w="9525">
          <a:no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37" name="Text Box 18">
          <a:extLst>
            <a:ext uri="{FF2B5EF4-FFF2-40B4-BE49-F238E27FC236}">
              <a16:creationId xmlns:a16="http://schemas.microsoft.com/office/drawing/2014/main" id="{00000000-0008-0000-1900-000025000000}"/>
            </a:ext>
          </a:extLst>
        </xdr:cNvPr>
        <xdr:cNvSpPr txBox="1">
          <a:spLocks noChangeArrowheads="1"/>
        </xdr:cNvSpPr>
      </xdr:nvSpPr>
      <xdr:spPr bwMode="auto">
        <a:xfrm>
          <a:off x="7172325" y="3838575"/>
          <a:ext cx="36766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38" name="Text Box 19">
          <a:extLst>
            <a:ext uri="{FF2B5EF4-FFF2-40B4-BE49-F238E27FC236}">
              <a16:creationId xmlns:a16="http://schemas.microsoft.com/office/drawing/2014/main" id="{00000000-0008-0000-1900-000026000000}"/>
            </a:ext>
          </a:extLst>
        </xdr:cNvPr>
        <xdr:cNvSpPr txBox="1">
          <a:spLocks noChangeArrowheads="1"/>
        </xdr:cNvSpPr>
      </xdr:nvSpPr>
      <xdr:spPr bwMode="auto">
        <a:xfrm>
          <a:off x="7172325" y="3838575"/>
          <a:ext cx="38290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39" name="Text Box 26">
          <a:extLst>
            <a:ext uri="{FF2B5EF4-FFF2-40B4-BE49-F238E27FC236}">
              <a16:creationId xmlns:a16="http://schemas.microsoft.com/office/drawing/2014/main" id="{00000000-0008-0000-1900-000027000000}"/>
            </a:ext>
          </a:extLst>
        </xdr:cNvPr>
        <xdr:cNvSpPr txBox="1">
          <a:spLocks noChangeArrowheads="1"/>
        </xdr:cNvSpPr>
      </xdr:nvSpPr>
      <xdr:spPr bwMode="auto">
        <a:xfrm>
          <a:off x="7172325" y="3838575"/>
          <a:ext cx="36766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40" name="Text Box 27">
          <a:extLst>
            <a:ext uri="{FF2B5EF4-FFF2-40B4-BE49-F238E27FC236}">
              <a16:creationId xmlns:a16="http://schemas.microsoft.com/office/drawing/2014/main" id="{00000000-0008-0000-1900-000028000000}"/>
            </a:ext>
          </a:extLst>
        </xdr:cNvPr>
        <xdr:cNvSpPr txBox="1">
          <a:spLocks noChangeArrowheads="1"/>
        </xdr:cNvSpPr>
      </xdr:nvSpPr>
      <xdr:spPr bwMode="auto">
        <a:xfrm>
          <a:off x="7172325" y="3838575"/>
          <a:ext cx="38290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41" name="Text Box 34">
          <a:extLst>
            <a:ext uri="{FF2B5EF4-FFF2-40B4-BE49-F238E27FC236}">
              <a16:creationId xmlns:a16="http://schemas.microsoft.com/office/drawing/2014/main" id="{00000000-0008-0000-1900-000029000000}"/>
            </a:ext>
          </a:extLst>
        </xdr:cNvPr>
        <xdr:cNvSpPr txBox="1">
          <a:spLocks noChangeArrowheads="1"/>
        </xdr:cNvSpPr>
      </xdr:nvSpPr>
      <xdr:spPr bwMode="auto">
        <a:xfrm>
          <a:off x="7172325" y="3838575"/>
          <a:ext cx="36766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42" name="Text Box 35">
          <a:extLst>
            <a:ext uri="{FF2B5EF4-FFF2-40B4-BE49-F238E27FC236}">
              <a16:creationId xmlns:a16="http://schemas.microsoft.com/office/drawing/2014/main" id="{00000000-0008-0000-1900-00002A000000}"/>
            </a:ext>
          </a:extLst>
        </xdr:cNvPr>
        <xdr:cNvSpPr txBox="1">
          <a:spLocks noChangeArrowheads="1"/>
        </xdr:cNvSpPr>
      </xdr:nvSpPr>
      <xdr:spPr bwMode="auto">
        <a:xfrm>
          <a:off x="7172325" y="3838575"/>
          <a:ext cx="38290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43" name="Text Box 40">
          <a:extLst>
            <a:ext uri="{FF2B5EF4-FFF2-40B4-BE49-F238E27FC236}">
              <a16:creationId xmlns:a16="http://schemas.microsoft.com/office/drawing/2014/main" id="{00000000-0008-0000-1900-00002B000000}"/>
            </a:ext>
          </a:extLst>
        </xdr:cNvPr>
        <xdr:cNvSpPr txBox="1">
          <a:spLocks noChangeArrowheads="1"/>
        </xdr:cNvSpPr>
      </xdr:nvSpPr>
      <xdr:spPr bwMode="auto">
        <a:xfrm>
          <a:off x="7172325" y="3838575"/>
          <a:ext cx="36766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44" name="Text Box 41">
          <a:extLst>
            <a:ext uri="{FF2B5EF4-FFF2-40B4-BE49-F238E27FC236}">
              <a16:creationId xmlns:a16="http://schemas.microsoft.com/office/drawing/2014/main" id="{00000000-0008-0000-1900-00002C000000}"/>
            </a:ext>
          </a:extLst>
        </xdr:cNvPr>
        <xdr:cNvSpPr txBox="1">
          <a:spLocks noChangeArrowheads="1"/>
        </xdr:cNvSpPr>
      </xdr:nvSpPr>
      <xdr:spPr bwMode="auto">
        <a:xfrm>
          <a:off x="7172325" y="3838575"/>
          <a:ext cx="38290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45" name="Text Box 42">
          <a:extLst>
            <a:ext uri="{FF2B5EF4-FFF2-40B4-BE49-F238E27FC236}">
              <a16:creationId xmlns:a16="http://schemas.microsoft.com/office/drawing/2014/main" id="{00000000-0008-0000-1900-00002D000000}"/>
            </a:ext>
          </a:extLst>
        </xdr:cNvPr>
        <xdr:cNvSpPr txBox="1">
          <a:spLocks noChangeArrowheads="1"/>
        </xdr:cNvSpPr>
      </xdr:nvSpPr>
      <xdr:spPr bwMode="auto">
        <a:xfrm>
          <a:off x="7172325" y="3838575"/>
          <a:ext cx="36766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46" name="Text Box 43">
          <a:extLst>
            <a:ext uri="{FF2B5EF4-FFF2-40B4-BE49-F238E27FC236}">
              <a16:creationId xmlns:a16="http://schemas.microsoft.com/office/drawing/2014/main" id="{00000000-0008-0000-1900-00002E000000}"/>
            </a:ext>
          </a:extLst>
        </xdr:cNvPr>
        <xdr:cNvSpPr txBox="1">
          <a:spLocks noChangeArrowheads="1"/>
        </xdr:cNvSpPr>
      </xdr:nvSpPr>
      <xdr:spPr bwMode="auto">
        <a:xfrm>
          <a:off x="7172325" y="3838575"/>
          <a:ext cx="38290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47" name="Text Box 44">
          <a:extLst>
            <a:ext uri="{FF2B5EF4-FFF2-40B4-BE49-F238E27FC236}">
              <a16:creationId xmlns:a16="http://schemas.microsoft.com/office/drawing/2014/main" id="{00000000-0008-0000-1900-00002F000000}"/>
            </a:ext>
          </a:extLst>
        </xdr:cNvPr>
        <xdr:cNvSpPr txBox="1">
          <a:spLocks noChangeArrowheads="1"/>
        </xdr:cNvSpPr>
      </xdr:nvSpPr>
      <xdr:spPr bwMode="auto">
        <a:xfrm>
          <a:off x="7172325" y="3838575"/>
          <a:ext cx="36766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48" name="Text Box 45">
          <a:extLst>
            <a:ext uri="{FF2B5EF4-FFF2-40B4-BE49-F238E27FC236}">
              <a16:creationId xmlns:a16="http://schemas.microsoft.com/office/drawing/2014/main" id="{00000000-0008-0000-1900-000030000000}"/>
            </a:ext>
          </a:extLst>
        </xdr:cNvPr>
        <xdr:cNvSpPr txBox="1">
          <a:spLocks noChangeArrowheads="1"/>
        </xdr:cNvSpPr>
      </xdr:nvSpPr>
      <xdr:spPr bwMode="auto">
        <a:xfrm>
          <a:off x="7172325" y="3838575"/>
          <a:ext cx="38290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3</xdr:col>
      <xdr:colOff>114300</xdr:colOff>
      <xdr:row>21</xdr:row>
      <xdr:rowOff>0</xdr:rowOff>
    </xdr:from>
    <xdr:to>
      <xdr:col>10</xdr:col>
      <xdr:colOff>752475</xdr:colOff>
      <xdr:row>21</xdr:row>
      <xdr:rowOff>0</xdr:rowOff>
    </xdr:to>
    <xdr:sp macro="" textlink="">
      <xdr:nvSpPr>
        <xdr:cNvPr id="49" name="Text Box 46">
          <a:extLst>
            <a:ext uri="{FF2B5EF4-FFF2-40B4-BE49-F238E27FC236}">
              <a16:creationId xmlns:a16="http://schemas.microsoft.com/office/drawing/2014/main" id="{00000000-0008-0000-1900-000031000000}"/>
            </a:ext>
          </a:extLst>
        </xdr:cNvPr>
        <xdr:cNvSpPr txBox="1">
          <a:spLocks noChangeArrowheads="1"/>
        </xdr:cNvSpPr>
      </xdr:nvSpPr>
      <xdr:spPr bwMode="auto">
        <a:xfrm>
          <a:off x="7172325" y="3838575"/>
          <a:ext cx="36766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4</xdr:col>
      <xdr:colOff>0</xdr:colOff>
      <xdr:row>21</xdr:row>
      <xdr:rowOff>0</xdr:rowOff>
    </xdr:from>
    <xdr:to>
      <xdr:col>11</xdr:col>
      <xdr:colOff>152400</xdr:colOff>
      <xdr:row>21</xdr:row>
      <xdr:rowOff>0</xdr:rowOff>
    </xdr:to>
    <xdr:sp macro="" textlink="">
      <xdr:nvSpPr>
        <xdr:cNvPr id="50" name="Text Box 47">
          <a:extLst>
            <a:ext uri="{FF2B5EF4-FFF2-40B4-BE49-F238E27FC236}">
              <a16:creationId xmlns:a16="http://schemas.microsoft.com/office/drawing/2014/main" id="{00000000-0008-0000-1900-000032000000}"/>
            </a:ext>
          </a:extLst>
        </xdr:cNvPr>
        <xdr:cNvSpPr txBox="1">
          <a:spLocks noChangeArrowheads="1"/>
        </xdr:cNvSpPr>
      </xdr:nvSpPr>
      <xdr:spPr bwMode="auto">
        <a:xfrm>
          <a:off x="7172325" y="3838575"/>
          <a:ext cx="382905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1</xdr:col>
      <xdr:colOff>0</xdr:colOff>
      <xdr:row>7</xdr:row>
      <xdr:rowOff>0</xdr:rowOff>
    </xdr:to>
    <xdr:sp macro="" textlink="">
      <xdr:nvSpPr>
        <xdr:cNvPr id="2051" name="Rectangle 3">
          <a:extLst>
            <a:ext uri="{FF2B5EF4-FFF2-40B4-BE49-F238E27FC236}">
              <a16:creationId xmlns:a16="http://schemas.microsoft.com/office/drawing/2014/main" id="{00000000-0008-0000-1A00-000003080000}"/>
            </a:ext>
          </a:extLst>
        </xdr:cNvPr>
        <xdr:cNvSpPr>
          <a:spLocks noChangeArrowheads="1"/>
        </xdr:cNvSpPr>
      </xdr:nvSpPr>
      <xdr:spPr bwMode="auto">
        <a:xfrm>
          <a:off x="419100" y="1133475"/>
          <a:ext cx="0" cy="0"/>
        </a:xfrm>
        <a:prstGeom prst="rect">
          <a:avLst/>
        </a:prstGeom>
        <a:solidFill>
          <a:srgbClr val="FFFFFF"/>
        </a:solidFill>
        <a:ln w="9525">
          <a:noFill/>
          <a:miter lim="800000"/>
          <a:headEnd/>
          <a:tailEnd/>
        </a:ln>
      </xdr:spPr>
      <xdr:txBody>
        <a:bodyPr vertOverflow="clip" wrap="square" lIns="36576" tIns="22860" rIns="36576" bIns="0" anchor="t" upright="1"/>
        <a:lstStyle/>
        <a:p>
          <a:pPr algn="ctr" rtl="1">
            <a:defRPr sz="1000"/>
          </a:pPr>
          <a:endParaRPr lang="en-US" sz="1200" b="0" i="0" strike="noStrike">
            <a:solidFill>
              <a:srgbClr val="000000"/>
            </a:solidFill>
            <a:latin typeface="Arial"/>
            <a:cs typeface="Arial"/>
          </a:endParaRPr>
        </a:p>
        <a:p>
          <a:pPr algn="ctr" rtl="1">
            <a:defRPr sz="1000"/>
          </a:pPr>
          <a:r>
            <a:rPr lang="en-US" sz="1200" b="0" i="0" strike="noStrike">
              <a:solidFill>
                <a:srgbClr val="000000"/>
              </a:solidFill>
              <a:latin typeface="Arial"/>
              <a:cs typeface="Arial"/>
            </a:rPr>
            <a:t>Confidential Information</a:t>
          </a:r>
        </a:p>
      </xdr:txBody>
    </xdr:sp>
    <xdr:clientData/>
  </xdr:twoCellAnchor>
  <xdr:twoCellAnchor>
    <xdr:from>
      <xdr:col>1</xdr:col>
      <xdr:colOff>0</xdr:colOff>
      <xdr:row>7</xdr:row>
      <xdr:rowOff>0</xdr:rowOff>
    </xdr:from>
    <xdr:to>
      <xdr:col>1</xdr:col>
      <xdr:colOff>0</xdr:colOff>
      <xdr:row>7</xdr:row>
      <xdr:rowOff>0</xdr:rowOff>
    </xdr:to>
    <xdr:sp macro="" textlink="">
      <xdr:nvSpPr>
        <xdr:cNvPr id="2052" name="Text Box 4">
          <a:extLst>
            <a:ext uri="{FF2B5EF4-FFF2-40B4-BE49-F238E27FC236}">
              <a16:creationId xmlns:a16="http://schemas.microsoft.com/office/drawing/2014/main" id="{00000000-0008-0000-1A00-000004080000}"/>
            </a:ext>
          </a:extLst>
        </xdr:cNvPr>
        <xdr:cNvSpPr txBox="1">
          <a:spLocks noChangeArrowheads="1"/>
        </xdr:cNvSpPr>
      </xdr:nvSpPr>
      <xdr:spPr bwMode="auto">
        <a:xfrm>
          <a:off x="419100" y="1133475"/>
          <a:ext cx="0" cy="0"/>
        </a:xfrm>
        <a:prstGeom prst="rect">
          <a:avLst/>
        </a:prstGeom>
        <a:noFill/>
        <a:ln w="9525">
          <a:noFill/>
          <a:miter lim="800000"/>
          <a:headEnd/>
          <a:tailEnd/>
        </a:ln>
      </xdr:spPr>
      <xdr:txBody>
        <a:bodyPr vertOverflow="clip" wrap="square" lIns="36576" tIns="32004" rIns="36576" bIns="0" anchor="t" upright="1"/>
        <a:lstStyle/>
        <a:p>
          <a:pPr algn="ctr" rtl="1">
            <a:defRPr sz="1000"/>
          </a:pPr>
          <a:r>
            <a:rPr lang="en-US" sz="1600" b="1" i="0" strike="noStrike">
              <a:solidFill>
                <a:srgbClr val="969696"/>
              </a:solidFill>
              <a:latin typeface="Arial"/>
              <a:cs typeface="Arial"/>
            </a:rPr>
            <a:t>PENDING COMPLETION OF REVENUE REQUIREMENT ESTIMATE</a:t>
          </a:r>
        </a:p>
      </xdr:txBody>
    </xdr:sp>
    <xdr:clientData/>
  </xdr:twoCellAnchor>
  <xdr:twoCellAnchor>
    <xdr:from>
      <xdr:col>1</xdr:col>
      <xdr:colOff>0</xdr:colOff>
      <xdr:row>7</xdr:row>
      <xdr:rowOff>0</xdr:rowOff>
    </xdr:from>
    <xdr:to>
      <xdr:col>1</xdr:col>
      <xdr:colOff>0</xdr:colOff>
      <xdr:row>7</xdr:row>
      <xdr:rowOff>0</xdr:rowOff>
    </xdr:to>
    <xdr:sp macro="" textlink="">
      <xdr:nvSpPr>
        <xdr:cNvPr id="2053" name="WordArt 5">
          <a:extLst>
            <a:ext uri="{FF2B5EF4-FFF2-40B4-BE49-F238E27FC236}">
              <a16:creationId xmlns:a16="http://schemas.microsoft.com/office/drawing/2014/main" id="{00000000-0008-0000-1A00-000005080000}"/>
            </a:ext>
          </a:extLst>
        </xdr:cNvPr>
        <xdr:cNvSpPr>
          <a:spLocks noChangeArrowheads="1" noChangeShapeType="1" noTextEdit="1"/>
        </xdr:cNvSpPr>
      </xdr:nvSpPr>
      <xdr:spPr bwMode="auto">
        <a:xfrm>
          <a:off x="419100" y="1133475"/>
          <a:ext cx="0" cy="0"/>
        </a:xfrm>
        <a:prstGeom prst="rect">
          <a:avLst/>
        </a:prstGeom>
      </xdr:spPr>
      <xdr:txBody>
        <a:bodyPr wrap="none" fromWordArt="1">
          <a:prstTxWarp prst="textSlantUp">
            <a:avLst>
              <a:gd name="adj" fmla="val 55556"/>
            </a:avLst>
          </a:prstTxWarp>
        </a:bodyPr>
        <a:lstStyle/>
        <a:p>
          <a:pPr algn="ctr" rtl="0"/>
          <a:r>
            <a:rPr lang="en-US" sz="9600" kern="10" spc="0">
              <a:ln w="9525">
                <a:solidFill>
                  <a:srgbClr val="000000"/>
                </a:solidFill>
                <a:round/>
                <a:headEnd/>
                <a:tailEnd/>
              </a:ln>
              <a:solidFill>
                <a:srgbClr val="000000"/>
              </a:solidFill>
              <a:effectLst/>
              <a:latin typeface="Arial Black"/>
            </a:rPr>
            <a:t>DRAFT</a:t>
          </a:r>
        </a:p>
      </xdr:txBody>
    </xdr:sp>
    <xdr:clientData/>
  </xdr:twoCellAnchor>
  <xdr:twoCellAnchor>
    <xdr:from>
      <xdr:col>1</xdr:col>
      <xdr:colOff>0</xdr:colOff>
      <xdr:row>7</xdr:row>
      <xdr:rowOff>0</xdr:rowOff>
    </xdr:from>
    <xdr:to>
      <xdr:col>1</xdr:col>
      <xdr:colOff>0</xdr:colOff>
      <xdr:row>7</xdr:row>
      <xdr:rowOff>0</xdr:rowOff>
    </xdr:to>
    <xdr:sp macro="" textlink="">
      <xdr:nvSpPr>
        <xdr:cNvPr id="2054" name="WordArt 6">
          <a:extLst>
            <a:ext uri="{FF2B5EF4-FFF2-40B4-BE49-F238E27FC236}">
              <a16:creationId xmlns:a16="http://schemas.microsoft.com/office/drawing/2014/main" id="{00000000-0008-0000-1A00-000006080000}"/>
            </a:ext>
          </a:extLst>
        </xdr:cNvPr>
        <xdr:cNvSpPr>
          <a:spLocks noChangeArrowheads="1" noChangeShapeType="1" noTextEdit="1"/>
        </xdr:cNvSpPr>
      </xdr:nvSpPr>
      <xdr:spPr bwMode="auto">
        <a:xfrm>
          <a:off x="419100" y="1133475"/>
          <a:ext cx="0" cy="0"/>
        </a:xfrm>
        <a:prstGeom prst="rect">
          <a:avLst/>
        </a:prstGeom>
      </xdr:spPr>
      <xdr:txBody>
        <a:bodyPr wrap="none" fromWordArt="1">
          <a:prstTxWarp prst="textSlantUp">
            <a:avLst>
              <a:gd name="adj" fmla="val 55556"/>
            </a:avLst>
          </a:prstTxWarp>
        </a:bodyPr>
        <a:lstStyle/>
        <a:p>
          <a:pPr algn="ctr" rtl="0"/>
          <a:r>
            <a:rPr lang="en-US" sz="9600" kern="10" spc="0">
              <a:ln w="9525">
                <a:solidFill>
                  <a:srgbClr val="000000"/>
                </a:solidFill>
                <a:round/>
                <a:headEnd/>
                <a:tailEnd/>
              </a:ln>
              <a:solidFill>
                <a:srgbClr val="000000"/>
              </a:solidFill>
              <a:effectLst/>
              <a:latin typeface="Arial Black"/>
            </a:rPr>
            <a:t>DRAFT</a:t>
          </a:r>
        </a:p>
      </xdr:txBody>
    </xdr:sp>
    <xdr:clientData/>
  </xdr:twoCellAnchor>
  <xdr:twoCellAnchor>
    <xdr:from>
      <xdr:col>10</xdr:col>
      <xdr:colOff>57150</xdr:colOff>
      <xdr:row>10</xdr:row>
      <xdr:rowOff>0</xdr:rowOff>
    </xdr:from>
    <xdr:to>
      <xdr:col>18</xdr:col>
      <xdr:colOff>66675</xdr:colOff>
      <xdr:row>10</xdr:row>
      <xdr:rowOff>0</xdr:rowOff>
    </xdr:to>
    <xdr:sp macro="" textlink="">
      <xdr:nvSpPr>
        <xdr:cNvPr id="2055" name="Rectangle 7">
          <a:extLst>
            <a:ext uri="{FF2B5EF4-FFF2-40B4-BE49-F238E27FC236}">
              <a16:creationId xmlns:a16="http://schemas.microsoft.com/office/drawing/2014/main" id="{00000000-0008-0000-1A00-000007080000}"/>
            </a:ext>
          </a:extLst>
        </xdr:cNvPr>
        <xdr:cNvSpPr>
          <a:spLocks noChangeArrowheads="1"/>
        </xdr:cNvSpPr>
      </xdr:nvSpPr>
      <xdr:spPr bwMode="auto">
        <a:xfrm>
          <a:off x="7381875" y="1619250"/>
          <a:ext cx="5324475" cy="0"/>
        </a:xfrm>
        <a:prstGeom prst="rect">
          <a:avLst/>
        </a:prstGeom>
        <a:solidFill>
          <a:srgbClr val="FFFFFF"/>
        </a:solidFill>
        <a:ln w="9525">
          <a:noFill/>
          <a:miter lim="800000"/>
          <a:headEnd/>
          <a:tailEnd/>
        </a:ln>
      </xdr:spPr>
      <xdr:txBody>
        <a:bodyPr vertOverflow="clip" wrap="square" lIns="36576" tIns="22860" rIns="36576" bIns="0" anchor="t" upright="1"/>
        <a:lstStyle/>
        <a:p>
          <a:pPr algn="ctr" rtl="1">
            <a:defRPr sz="1000"/>
          </a:pPr>
          <a:endParaRPr lang="en-US" sz="1200" b="0" i="0" strike="noStrike">
            <a:solidFill>
              <a:srgbClr val="000000"/>
            </a:solidFill>
            <a:latin typeface="Arial"/>
            <a:cs typeface="Arial"/>
          </a:endParaRPr>
        </a:p>
        <a:p>
          <a:pPr algn="ctr" rtl="1">
            <a:defRPr sz="1000"/>
          </a:pPr>
          <a:r>
            <a:rPr lang="en-US" sz="1200" b="0" i="0" strike="noStrike">
              <a:solidFill>
                <a:srgbClr val="000000"/>
              </a:solidFill>
              <a:latin typeface="Arial"/>
              <a:cs typeface="Arial"/>
            </a:rPr>
            <a:t>Confidential Information</a:t>
          </a:r>
        </a:p>
      </xdr:txBody>
    </xdr:sp>
    <xdr:clientData/>
  </xdr:twoCellAnchor>
  <xdr:twoCellAnchor>
    <xdr:from>
      <xdr:col>10</xdr:col>
      <xdr:colOff>57150</xdr:colOff>
      <xdr:row>10</xdr:row>
      <xdr:rowOff>0</xdr:rowOff>
    </xdr:from>
    <xdr:to>
      <xdr:col>18</xdr:col>
      <xdr:colOff>66675</xdr:colOff>
      <xdr:row>10</xdr:row>
      <xdr:rowOff>0</xdr:rowOff>
    </xdr:to>
    <xdr:sp macro="" textlink="">
      <xdr:nvSpPr>
        <xdr:cNvPr id="2059" name="Rectangle 11">
          <a:extLst>
            <a:ext uri="{FF2B5EF4-FFF2-40B4-BE49-F238E27FC236}">
              <a16:creationId xmlns:a16="http://schemas.microsoft.com/office/drawing/2014/main" id="{00000000-0008-0000-1A00-00000B080000}"/>
            </a:ext>
          </a:extLst>
        </xdr:cNvPr>
        <xdr:cNvSpPr>
          <a:spLocks noChangeArrowheads="1"/>
        </xdr:cNvSpPr>
      </xdr:nvSpPr>
      <xdr:spPr bwMode="auto">
        <a:xfrm>
          <a:off x="7381875" y="1619250"/>
          <a:ext cx="5324475" cy="0"/>
        </a:xfrm>
        <a:prstGeom prst="rect">
          <a:avLst/>
        </a:prstGeom>
        <a:solidFill>
          <a:srgbClr val="FFFFFF"/>
        </a:solidFill>
        <a:ln w="9525">
          <a:noFill/>
          <a:miter lim="800000"/>
          <a:headEnd/>
          <a:tailEnd/>
        </a:ln>
      </xdr:spPr>
      <xdr:txBody>
        <a:bodyPr vertOverflow="clip" wrap="square" lIns="36576" tIns="22860" rIns="36576" bIns="0" anchor="t" upright="1"/>
        <a:lstStyle/>
        <a:p>
          <a:pPr algn="ctr" rtl="1">
            <a:defRPr sz="1000"/>
          </a:pPr>
          <a:endParaRPr lang="en-US" sz="1200" b="0" i="0" strike="noStrike">
            <a:solidFill>
              <a:srgbClr val="000000"/>
            </a:solidFill>
            <a:latin typeface="Arial"/>
            <a:cs typeface="Arial"/>
          </a:endParaRPr>
        </a:p>
        <a:p>
          <a:pPr algn="ctr" rtl="1">
            <a:defRPr sz="1000"/>
          </a:pPr>
          <a:r>
            <a:rPr lang="en-US" sz="1200" b="0" i="0" strike="noStrike">
              <a:solidFill>
                <a:srgbClr val="000000"/>
              </a:solidFill>
              <a:latin typeface="Arial"/>
              <a:cs typeface="Arial"/>
            </a:rPr>
            <a:t>Confidential Information</a:t>
          </a:r>
        </a:p>
      </xdr:txBody>
    </xdr:sp>
    <xdr:clientData/>
  </xdr:twoCellAnchor>
  <xdr:twoCellAnchor>
    <xdr:from>
      <xdr:col>10</xdr:col>
      <xdr:colOff>57150</xdr:colOff>
      <xdr:row>10</xdr:row>
      <xdr:rowOff>0</xdr:rowOff>
    </xdr:from>
    <xdr:to>
      <xdr:col>18</xdr:col>
      <xdr:colOff>66675</xdr:colOff>
      <xdr:row>10</xdr:row>
      <xdr:rowOff>0</xdr:rowOff>
    </xdr:to>
    <xdr:sp macro="" textlink="">
      <xdr:nvSpPr>
        <xdr:cNvPr id="8" name="Rectangle 7">
          <a:extLst>
            <a:ext uri="{FF2B5EF4-FFF2-40B4-BE49-F238E27FC236}">
              <a16:creationId xmlns:a16="http://schemas.microsoft.com/office/drawing/2014/main" id="{00000000-0008-0000-1A00-000008000000}"/>
            </a:ext>
          </a:extLst>
        </xdr:cNvPr>
        <xdr:cNvSpPr>
          <a:spLocks noChangeArrowheads="1"/>
        </xdr:cNvSpPr>
      </xdr:nvSpPr>
      <xdr:spPr bwMode="auto">
        <a:xfrm>
          <a:off x="7381875" y="1619250"/>
          <a:ext cx="5324475" cy="0"/>
        </a:xfrm>
        <a:prstGeom prst="rect">
          <a:avLst/>
        </a:prstGeom>
        <a:solidFill>
          <a:srgbClr val="FFFFFF"/>
        </a:solidFill>
        <a:ln w="9525">
          <a:noFill/>
          <a:miter lim="800000"/>
          <a:headEnd/>
          <a:tailEnd/>
        </a:ln>
      </xdr:spPr>
      <xdr:txBody>
        <a:bodyPr vertOverflow="clip" wrap="square" lIns="36576" tIns="22860" rIns="36576" bIns="0" anchor="t" upright="1"/>
        <a:lstStyle/>
        <a:p>
          <a:pPr algn="ctr" rtl="1">
            <a:defRPr sz="1000"/>
          </a:pPr>
          <a:endParaRPr lang="en-US" sz="1200" b="0" i="0" strike="noStrike">
            <a:solidFill>
              <a:srgbClr val="000000"/>
            </a:solidFill>
            <a:latin typeface="Arial"/>
            <a:cs typeface="Arial"/>
          </a:endParaRPr>
        </a:p>
        <a:p>
          <a:pPr algn="ctr" rtl="1">
            <a:defRPr sz="1000"/>
          </a:pPr>
          <a:r>
            <a:rPr lang="en-US" sz="1200" b="0" i="0" strike="noStrike">
              <a:solidFill>
                <a:srgbClr val="000000"/>
              </a:solidFill>
              <a:latin typeface="Arial"/>
              <a:cs typeface="Arial"/>
            </a:rPr>
            <a:t>Confidential Information</a:t>
          </a:r>
        </a:p>
      </xdr:txBody>
    </xdr:sp>
    <xdr:clientData/>
  </xdr:twoCellAnchor>
  <xdr:twoCellAnchor>
    <xdr:from>
      <xdr:col>10</xdr:col>
      <xdr:colOff>57150</xdr:colOff>
      <xdr:row>10</xdr:row>
      <xdr:rowOff>0</xdr:rowOff>
    </xdr:from>
    <xdr:to>
      <xdr:col>18</xdr:col>
      <xdr:colOff>66675</xdr:colOff>
      <xdr:row>10</xdr:row>
      <xdr:rowOff>0</xdr:rowOff>
    </xdr:to>
    <xdr:sp macro="" textlink="">
      <xdr:nvSpPr>
        <xdr:cNvPr id="9" name="Rectangle 11">
          <a:extLst>
            <a:ext uri="{FF2B5EF4-FFF2-40B4-BE49-F238E27FC236}">
              <a16:creationId xmlns:a16="http://schemas.microsoft.com/office/drawing/2014/main" id="{00000000-0008-0000-1A00-000009000000}"/>
            </a:ext>
          </a:extLst>
        </xdr:cNvPr>
        <xdr:cNvSpPr>
          <a:spLocks noChangeArrowheads="1"/>
        </xdr:cNvSpPr>
      </xdr:nvSpPr>
      <xdr:spPr bwMode="auto">
        <a:xfrm>
          <a:off x="7381875" y="1619250"/>
          <a:ext cx="5324475" cy="0"/>
        </a:xfrm>
        <a:prstGeom prst="rect">
          <a:avLst/>
        </a:prstGeom>
        <a:solidFill>
          <a:srgbClr val="FFFFFF"/>
        </a:solidFill>
        <a:ln w="9525">
          <a:noFill/>
          <a:miter lim="800000"/>
          <a:headEnd/>
          <a:tailEnd/>
        </a:ln>
      </xdr:spPr>
      <xdr:txBody>
        <a:bodyPr vertOverflow="clip" wrap="square" lIns="36576" tIns="22860" rIns="36576" bIns="0" anchor="t" upright="1"/>
        <a:lstStyle/>
        <a:p>
          <a:pPr algn="ctr" rtl="1">
            <a:defRPr sz="1000"/>
          </a:pPr>
          <a:endParaRPr lang="en-US" sz="1200" b="0" i="0" strike="noStrike">
            <a:solidFill>
              <a:srgbClr val="000000"/>
            </a:solidFill>
            <a:latin typeface="Arial"/>
            <a:cs typeface="Arial"/>
          </a:endParaRPr>
        </a:p>
        <a:p>
          <a:pPr algn="ctr" rtl="1">
            <a:defRPr sz="1000"/>
          </a:pPr>
          <a:r>
            <a:rPr lang="en-US" sz="1200" b="0" i="0" strike="noStrike">
              <a:solidFill>
                <a:srgbClr val="000000"/>
              </a:solidFill>
              <a:latin typeface="Arial"/>
              <a:cs typeface="Arial"/>
            </a:rPr>
            <a:t>Confidential Information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hedules%20&amp;%20Schedule%20Workpapers/Schedule%20Heading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Data"/>
      <sheetName val="Schedule Sponsors"/>
    </sheetNames>
    <sheetDataSet>
      <sheetData sheetId="0">
        <row r="2">
          <cell r="A2" t="str">
            <v>ONCOR ELECTRIC DELIVERY COMPANY LLC</v>
          </cell>
        </row>
        <row r="4">
          <cell r="A4" t="str">
            <v>TEST YEAR ENDING DECEMBER 31, 2024</v>
          </cell>
        </row>
        <row r="9">
          <cell r="A9" t="str">
            <v>2025 RATE CASE</v>
          </cell>
        </row>
      </sheetData>
      <sheetData sheetId="1">
        <row r="31">
          <cell r="A31" t="str">
            <v xml:space="preserve">II-C-1  </v>
          </cell>
          <cell r="B31" t="str">
            <v>RATE OF RETURN CALCULATION</v>
          </cell>
          <cell r="D31" t="str">
            <v>K. FEASE</v>
          </cell>
        </row>
        <row r="32">
          <cell r="A32" t="str">
            <v xml:space="preserve">II-C-1.1  </v>
          </cell>
          <cell r="B32" t="str">
            <v>RATE OF RETURN METHOD</v>
          </cell>
          <cell r="D32" t="str">
            <v>K. FEASE</v>
          </cell>
        </row>
        <row r="34">
          <cell r="A34" t="str">
            <v xml:space="preserve">II-C-2.1  </v>
          </cell>
          <cell r="B34" t="str">
            <v>WEIGHTED AVERAGE COST OF CAPITAL</v>
          </cell>
          <cell r="D34" t="str">
            <v>K. FEASE &amp;&amp; W. ALAN LEDBETTER</v>
          </cell>
        </row>
        <row r="35">
          <cell r="A35" t="str">
            <v xml:space="preserve">II-C-2.2  </v>
          </cell>
          <cell r="B35" t="str">
            <v>WEIGHTED AVERAGE COST OF PREFERRED STOCK</v>
          </cell>
          <cell r="D35" t="str">
            <v>K. FEASE</v>
          </cell>
        </row>
        <row r="36">
          <cell r="A36" t="str">
            <v xml:space="preserve">II-C-2.2a  </v>
          </cell>
          <cell r="B36" t="str">
            <v>ADJUSTED COST OF PREFERRED STOCK</v>
          </cell>
          <cell r="D36" t="str">
            <v>K. FEASE</v>
          </cell>
        </row>
        <row r="37">
          <cell r="A37" t="str">
            <v xml:space="preserve">II-C-2.3  </v>
          </cell>
          <cell r="B37" t="str">
            <v>WEIGHTED AVERAGE COST OF PREFERRED TRUST SECURITIES</v>
          </cell>
          <cell r="D37" t="str">
            <v>K. FEASE</v>
          </cell>
        </row>
        <row r="38">
          <cell r="A38" t="str">
            <v xml:space="preserve">II-C-2.3a  </v>
          </cell>
          <cell r="B38" t="str">
            <v>ADJUSTED COST OF PREFERRED TRUST SECURITIES</v>
          </cell>
          <cell r="D38" t="str">
            <v>K. FEASE</v>
          </cell>
        </row>
        <row r="39">
          <cell r="A39" t="str">
            <v xml:space="preserve">II-C-2.4  </v>
          </cell>
          <cell r="B39" t="str">
            <v>WEIGHTED AVERAGE COST OF LONG-TERM DEBT</v>
          </cell>
          <cell r="D39" t="str">
            <v>K. FEASE &amp;&amp; W. ALAN LEDBETTER</v>
          </cell>
        </row>
        <row r="40">
          <cell r="A40" t="str">
            <v xml:space="preserve">II-C-2.4a  </v>
          </cell>
          <cell r="B40" t="str">
            <v>ADJUSTED COST OF LONG-TERM DEBT</v>
          </cell>
          <cell r="D40" t="str">
            <v>K. FEASE &amp;&amp; W. ALAN LEDBETTER</v>
          </cell>
        </row>
        <row r="41">
          <cell r="A41" t="str">
            <v xml:space="preserve">II-C-2.5  </v>
          </cell>
          <cell r="B41" t="str">
            <v>WEIGHTED AVERAGE COST OF SHORT-TERM DEBT</v>
          </cell>
          <cell r="D41" t="str">
            <v>K. FEASE</v>
          </cell>
        </row>
        <row r="42">
          <cell r="A42" t="str">
            <v xml:space="preserve">II-C-2.6  </v>
          </cell>
          <cell r="B42" t="str">
            <v>SECURITY ISSUANCE RESTRICTIONS</v>
          </cell>
          <cell r="D42" t="str">
            <v>K. FEASE</v>
          </cell>
        </row>
        <row r="43">
          <cell r="A43" t="str">
            <v xml:space="preserve">II-C-2.7  </v>
          </cell>
          <cell r="B43" t="str">
            <v>CAPITAL REQUIREMENTS AND ACQUISITION PLAN</v>
          </cell>
          <cell r="D43" t="str">
            <v>K. FEASE &amp;&amp; E. BUCK</v>
          </cell>
        </row>
        <row r="44">
          <cell r="A44" t="str">
            <v xml:space="preserve">II-C-2.8  </v>
          </cell>
          <cell r="B44" t="str">
            <v>FINANCIAL RATIOS</v>
          </cell>
          <cell r="D44" t="str">
            <v>K. FEASE &amp;&amp; W. ALAN LEDBETTER</v>
          </cell>
        </row>
        <row r="45">
          <cell r="A45" t="str">
            <v xml:space="preserve">II-C-2.9  </v>
          </cell>
          <cell r="B45" t="str">
            <v>HISTORICAL GROWTH IN EARNINGS, DIVIDENDS AND BOOK VALUE</v>
          </cell>
          <cell r="D45" t="str">
            <v>K. FEASE &amp;&amp; W. ALAN LEDBETTER</v>
          </cell>
        </row>
        <row r="46">
          <cell r="A46" t="str">
            <v xml:space="preserve">II-C-2.10  </v>
          </cell>
          <cell r="B46" t="str">
            <v>RATING AGENCY REPORTS</v>
          </cell>
          <cell r="D46" t="str">
            <v>K. FEASE</v>
          </cell>
        </row>
        <row r="47">
          <cell r="A47" t="str">
            <v xml:space="preserve">II-C-3  </v>
          </cell>
          <cell r="B47" t="str">
            <v>INTERNAL/EXTERNAL AUDITS</v>
          </cell>
          <cell r="D47" t="str">
            <v>W. ALAN LEDBETTER &amp;&amp; M. ROUNDS &amp;&amp; V. SNOW &amp;&amp; BONNIE L. CLUTTER</v>
          </cell>
        </row>
        <row r="48">
          <cell r="A48" t="str">
            <v xml:space="preserve">II-C-4  </v>
          </cell>
          <cell r="B48" t="str">
            <v>BOARD OF DIRECTOR MEETINGS</v>
          </cell>
          <cell r="D48" t="str">
            <v>E. BUCK</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0"/>
  </sheetPr>
  <dimension ref="A1:D10"/>
  <sheetViews>
    <sheetView workbookViewId="0"/>
  </sheetViews>
  <sheetFormatPr defaultRowHeight="12.75" x14ac:dyDescent="0.2"/>
  <cols>
    <col min="1" max="1" width="23.85546875" bestFit="1" customWidth="1"/>
    <col min="2" max="2" width="16.5703125" bestFit="1" customWidth="1"/>
    <col min="4" max="4" width="23.7109375" bestFit="1" customWidth="1"/>
  </cols>
  <sheetData>
    <row r="1" spans="1:4" x14ac:dyDescent="0.2">
      <c r="B1" s="85" t="s">
        <v>235</v>
      </c>
      <c r="D1" s="85" t="s">
        <v>232</v>
      </c>
    </row>
    <row r="2" spans="1:4" x14ac:dyDescent="0.2">
      <c r="A2" s="85" t="s">
        <v>155</v>
      </c>
      <c r="B2" s="91" t="s">
        <v>156</v>
      </c>
      <c r="D2" s="91" t="s">
        <v>156</v>
      </c>
    </row>
    <row r="4" spans="1:4" x14ac:dyDescent="0.2">
      <c r="A4" t="s">
        <v>45</v>
      </c>
      <c r="B4" s="87">
        <f>+'II-C-1.1'!C14</f>
        <v>4.1200000000000001E-2</v>
      </c>
      <c r="D4" s="87">
        <f>+'II-C-1.1'!D14</f>
        <v>4.7500000000000001E-2</v>
      </c>
    </row>
    <row r="5" spans="1:4" x14ac:dyDescent="0.2">
      <c r="A5" t="s">
        <v>48</v>
      </c>
      <c r="B5" s="137">
        <f>+'II-C-1.1'!C15</f>
        <v>2.7E-2</v>
      </c>
      <c r="D5" s="138">
        <f>+'II-C-1.1'!D15</f>
        <v>2.7199999999999998E-2</v>
      </c>
    </row>
    <row r="7" spans="1:4" x14ac:dyDescent="0.2">
      <c r="A7" t="s">
        <v>19</v>
      </c>
      <c r="B7" s="87">
        <f>SUM(B4:B5)</f>
        <v>6.8199999999999997E-2</v>
      </c>
      <c r="D7" s="316">
        <f>SUM(D4:D5)</f>
        <v>7.4700000000000003E-2</v>
      </c>
    </row>
    <row r="9" spans="1:4" x14ac:dyDescent="0.2">
      <c r="A9" t="s">
        <v>197</v>
      </c>
      <c r="B9" s="112">
        <f>'II-C-2.1'!E13</f>
        <v>11304062300.100002</v>
      </c>
      <c r="D9" s="112"/>
    </row>
    <row r="10" spans="1:4" x14ac:dyDescent="0.2">
      <c r="A10" t="s">
        <v>196</v>
      </c>
      <c r="B10" s="112">
        <f>'II-C-2.1'!E14</f>
        <v>0</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_Schedules">
                <anchor moveWithCells="1" sizeWithCells="1">
                  <from>
                    <xdr:col>5</xdr:col>
                    <xdr:colOff>581025</xdr:colOff>
                    <xdr:row>4</xdr:row>
                    <xdr:rowOff>104775</xdr:rowOff>
                  </from>
                  <to>
                    <xdr:col>8</xdr:col>
                    <xdr:colOff>152400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tabColor rgb="FF00B050"/>
    <pageSetUpPr fitToPage="1"/>
  </sheetPr>
  <dimension ref="A1:A14"/>
  <sheetViews>
    <sheetView zoomScaleNormal="100" workbookViewId="0">
      <pane ySplit="6" topLeftCell="A7" activePane="bottomLeft" state="frozen"/>
      <selection activeCell="P34" sqref="P34"/>
      <selection pane="bottomLeft" activeCell="I31" sqref="I31"/>
    </sheetView>
  </sheetViews>
  <sheetFormatPr defaultRowHeight="12.75" x14ac:dyDescent="0.2"/>
  <sheetData>
    <row r="1" spans="1:1" x14ac:dyDescent="0.2">
      <c r="A1" s="5" t="str">
        <f>+'[1]Input Data'!$A$9</f>
        <v>2025 RATE CASE</v>
      </c>
    </row>
    <row r="2" spans="1:1" x14ac:dyDescent="0.2">
      <c r="A2" s="61" t="str">
        <f>+'[1]Input Data'!$A$2</f>
        <v>ONCOR ELECTRIC DELIVERY COMPANY LLC</v>
      </c>
    </row>
    <row r="3" spans="1:1" x14ac:dyDescent="0.2">
      <c r="A3" s="61" t="str">
        <f>CONCATENATE('[1]Schedule Sponsors'!$A$31,'[1]Schedule Sponsors'!$B$31)</f>
        <v>II-C-1  RATE OF RETURN CALCULATION</v>
      </c>
    </row>
    <row r="4" spans="1:1" x14ac:dyDescent="0.2">
      <c r="A4" s="62" t="str">
        <f>+'[1]Input Data'!$A$4</f>
        <v>TEST YEAR ENDING DECEMBER 31, 2024</v>
      </c>
    </row>
    <row r="5" spans="1:1" x14ac:dyDescent="0.2">
      <c r="A5" s="5" t="str">
        <f>CONCATENATE("SPONSOR: ",'[1]Schedule Sponsors'!$D$31)</f>
        <v>SPONSOR: K. FEASE</v>
      </c>
    </row>
    <row r="13" spans="1:1" ht="14.25" x14ac:dyDescent="0.2">
      <c r="A13" s="319" t="s">
        <v>282</v>
      </c>
    </row>
    <row r="14" spans="1:1" ht="14.25" x14ac:dyDescent="0.2">
      <c r="A14" s="319" t="s">
        <v>283</v>
      </c>
    </row>
  </sheetData>
  <phoneticPr fontId="4" type="noConversion"/>
  <printOptions horizontalCentered="1"/>
  <pageMargins left="0.5" right="0.5" top="2.5" bottom="0.5" header="1.5" footer="0.5"/>
  <pageSetup orientation="landscape"/>
  <headerFooter alignWithMargins="0">
    <oddHeader>&amp;R&amp;"Arial,Bold"Schedule &amp;A
Page &amp;P of &amp;N&amp;C&amp;B
2025 RATE CASE
ONCOR ELECTRIC DELIVERY COMPANY LLC
II-C-1  RATE OF RETURN CALCULATION
TEST YEAR ENDING DECEMBER 31, 2024
SPONSOR: K. FEASE</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2">
    <tabColor rgb="FF00B050"/>
    <pageSetUpPr fitToPage="1"/>
  </sheetPr>
  <dimension ref="A1:E17"/>
  <sheetViews>
    <sheetView workbookViewId="0">
      <selection activeCell="K29" sqref="K29"/>
    </sheetView>
  </sheetViews>
  <sheetFormatPr defaultRowHeight="12.75" x14ac:dyDescent="0.2"/>
  <cols>
    <col min="2" max="2" width="23.85546875" bestFit="1" customWidth="1"/>
    <col min="3" max="4" width="14.7109375" customWidth="1"/>
  </cols>
  <sheetData>
    <row r="1" spans="1:5" x14ac:dyDescent="0.2">
      <c r="A1" s="5" t="str">
        <f>+'[1]Input Data'!$A$9</f>
        <v>2025 RATE CASE</v>
      </c>
    </row>
    <row r="2" spans="1:5" x14ac:dyDescent="0.2">
      <c r="A2" s="61" t="str">
        <f>+'[1]Input Data'!$A$2</f>
        <v>ONCOR ELECTRIC DELIVERY COMPANY LLC</v>
      </c>
    </row>
    <row r="3" spans="1:5" x14ac:dyDescent="0.2">
      <c r="A3" s="61" t="str">
        <f>CONCATENATE('[1]Schedule Sponsors'!$A$32,'[1]Schedule Sponsors'!$B$32)</f>
        <v>II-C-1.1  RATE OF RETURN METHOD</v>
      </c>
    </row>
    <row r="4" spans="1:5" x14ac:dyDescent="0.2">
      <c r="A4" s="62" t="str">
        <f>+'[1]Input Data'!$A$4</f>
        <v>TEST YEAR ENDING DECEMBER 31, 2024</v>
      </c>
    </row>
    <row r="5" spans="1:5" x14ac:dyDescent="0.2">
      <c r="A5" s="5" t="str">
        <f>CONCATENATE("SPONSOR: ",'[1]Schedule Sponsors'!$D$32)</f>
        <v>SPONSOR: K. FEASE</v>
      </c>
    </row>
    <row r="9" spans="1:5" x14ac:dyDescent="0.2">
      <c r="A9" s="85" t="s">
        <v>84</v>
      </c>
      <c r="B9" s="85" t="s">
        <v>236</v>
      </c>
      <c r="C9" s="85" t="s">
        <v>235</v>
      </c>
      <c r="D9" s="85" t="s">
        <v>232</v>
      </c>
      <c r="E9" s="85"/>
    </row>
    <row r="10" spans="1:5" x14ac:dyDescent="0.2">
      <c r="A10" s="91" t="s">
        <v>20</v>
      </c>
      <c r="B10" s="91" t="s">
        <v>237</v>
      </c>
      <c r="C10" s="91" t="s">
        <v>156</v>
      </c>
      <c r="D10" s="91" t="s">
        <v>156</v>
      </c>
      <c r="E10" s="85"/>
    </row>
    <row r="11" spans="1:5" x14ac:dyDescent="0.2">
      <c r="B11" s="86" t="s">
        <v>38</v>
      </c>
      <c r="C11" s="86" t="s">
        <v>39</v>
      </c>
      <c r="D11" s="86" t="s">
        <v>40</v>
      </c>
    </row>
    <row r="13" spans="1:5" x14ac:dyDescent="0.2">
      <c r="B13" s="5"/>
    </row>
    <row r="14" spans="1:5" x14ac:dyDescent="0.2">
      <c r="A14" s="86">
        <v>1</v>
      </c>
      <c r="B14" t="s">
        <v>45</v>
      </c>
      <c r="C14" s="87">
        <f>+'II-C-2.1'!H13</f>
        <v>4.1200000000000001E-2</v>
      </c>
      <c r="D14" s="114">
        <f>+'II-C-2.1'!K13</f>
        <v>4.7500000000000001E-2</v>
      </c>
    </row>
    <row r="15" spans="1:5" x14ac:dyDescent="0.2">
      <c r="A15" s="86">
        <v>2</v>
      </c>
      <c r="B15" t="s">
        <v>48</v>
      </c>
      <c r="C15" s="127">
        <f>+'II-C-2.1'!H16</f>
        <v>2.7E-2</v>
      </c>
      <c r="D15" s="128">
        <f>+'II-C-2.1'!K16</f>
        <v>2.7199999999999998E-2</v>
      </c>
    </row>
    <row r="16" spans="1:5" x14ac:dyDescent="0.2">
      <c r="A16" s="86">
        <v>3</v>
      </c>
      <c r="C16" s="129"/>
      <c r="D16" s="129"/>
    </row>
    <row r="17" spans="1:4" x14ac:dyDescent="0.2">
      <c r="A17" s="86">
        <v>4</v>
      </c>
      <c r="B17" t="s">
        <v>19</v>
      </c>
      <c r="C17" s="87">
        <f>SUM(C14:C15)</f>
        <v>6.8199999999999997E-2</v>
      </c>
      <c r="D17" s="87">
        <f>SUM(D14:D15)</f>
        <v>7.4700000000000003E-2</v>
      </c>
    </row>
  </sheetData>
  <phoneticPr fontId="4" type="noConversion"/>
  <printOptions horizontalCentered="1"/>
  <pageMargins left="0.5" right="0.5" top="3" bottom="0.5" header="1.5" footer="0.5"/>
  <pageSetup orientation="landscape"/>
  <headerFooter alignWithMargins="0">
    <oddHeader>&amp;R&amp;"Arial,Bold"Schedule &amp;A
Page &amp;P of &amp;N&amp;C&amp;B
2025 RATE CASE
ONCOR ELECTRIC DELIVERY COMPANY LLC
II-C-1.1  RATE OF RETURN METHOD
TEST YEAR ENDING DECEMBER 31, 2024
SPONSOR: K. FEASE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rgb="FF00B050"/>
    <pageSetUpPr fitToPage="1"/>
  </sheetPr>
  <dimension ref="A1:K19"/>
  <sheetViews>
    <sheetView tabSelected="1" zoomScaleNormal="100" workbookViewId="0">
      <pane ySplit="11" topLeftCell="A12" activePane="bottomLeft" state="frozen"/>
      <selection activeCell="K29" sqref="K29"/>
      <selection pane="bottomLeft" activeCell="H23" sqref="H23"/>
    </sheetView>
  </sheetViews>
  <sheetFormatPr defaultColWidth="9.140625" defaultRowHeight="12.75" x14ac:dyDescent="0.2"/>
  <cols>
    <col min="1" max="1" width="6" style="20" bestFit="1" customWidth="1"/>
    <col min="2" max="2" width="22.42578125" style="20" bestFit="1" customWidth="1"/>
    <col min="3" max="3" width="16.140625" style="20" bestFit="1" customWidth="1"/>
    <col min="4" max="4" width="15.7109375" style="20" customWidth="1"/>
    <col min="5" max="5" width="16.140625" style="20" bestFit="1" customWidth="1"/>
    <col min="6" max="6" width="8.7109375" style="20" bestFit="1" customWidth="1"/>
    <col min="7" max="7" width="10.140625" style="20" bestFit="1" customWidth="1"/>
    <col min="8" max="8" width="10.7109375" style="20" customWidth="1"/>
    <col min="9" max="9" width="11.28515625" style="20" bestFit="1" customWidth="1"/>
    <col min="10" max="10" width="11.28515625" style="20" customWidth="1"/>
    <col min="11" max="11" width="15.7109375" style="20" customWidth="1"/>
    <col min="12" max="16384" width="9.140625" style="20"/>
  </cols>
  <sheetData>
    <row r="1" spans="1:11" x14ac:dyDescent="0.2">
      <c r="A1" s="5" t="str">
        <f>+'[1]Input Data'!$A$9</f>
        <v>2025 RATE CASE</v>
      </c>
    </row>
    <row r="2" spans="1:11" s="7" customFormat="1" x14ac:dyDescent="0.2">
      <c r="A2" s="61" t="str">
        <f>+'[1]Input Data'!$A$2</f>
        <v>ONCOR ELECTRIC DELIVERY COMPANY LLC</v>
      </c>
      <c r="B2" s="10"/>
      <c r="C2" s="10"/>
      <c r="D2" s="10"/>
      <c r="E2" s="10"/>
      <c r="F2" s="9"/>
      <c r="G2" s="11"/>
      <c r="H2" s="13"/>
    </row>
    <row r="3" spans="1:11" s="7" customFormat="1" x14ac:dyDescent="0.2">
      <c r="A3" s="61" t="str">
        <f>CONCATENATE('[1]Schedule Sponsors'!$A$34,'[1]Schedule Sponsors'!$B$34)</f>
        <v>II-C-2.1  WEIGHTED AVERAGE COST OF CAPITAL</v>
      </c>
      <c r="B3" s="11"/>
      <c r="C3" s="11"/>
      <c r="D3" s="11"/>
      <c r="E3" s="11"/>
      <c r="F3" s="11"/>
      <c r="G3" s="11"/>
      <c r="H3" s="12"/>
    </row>
    <row r="4" spans="1:11" s="7" customFormat="1" x14ac:dyDescent="0.2">
      <c r="A4" s="62" t="str">
        <f>+'[1]Input Data'!$A$4</f>
        <v>TEST YEAR ENDING DECEMBER 31, 2024</v>
      </c>
      <c r="B4" s="11"/>
      <c r="C4" s="11"/>
      <c r="D4" s="11"/>
      <c r="E4" s="11"/>
      <c r="F4" s="11"/>
      <c r="G4" s="11"/>
      <c r="H4" s="11"/>
    </row>
    <row r="5" spans="1:11" s="7" customFormat="1" x14ac:dyDescent="0.2">
      <c r="A5" s="5" t="str">
        <f>CONCATENATE("SPONSORS: ",'[1]Schedule Sponsors'!$D$34)</f>
        <v>SPONSORS: K. FEASE &amp;&amp; W. ALAN LEDBETTER</v>
      </c>
      <c r="C5" s="14"/>
      <c r="D5" s="14"/>
      <c r="E5" s="14"/>
      <c r="F5" s="14"/>
      <c r="G5" s="14"/>
      <c r="H5" s="14"/>
    </row>
    <row r="6" spans="1:11" s="7" customFormat="1" x14ac:dyDescent="0.2">
      <c r="C6" s="14"/>
      <c r="D6" s="14"/>
      <c r="E6" s="14"/>
      <c r="F6" s="14"/>
      <c r="G6" s="14"/>
      <c r="H6" s="14"/>
    </row>
    <row r="7" spans="1:11" s="7" customFormat="1" x14ac:dyDescent="0.2">
      <c r="C7" s="15"/>
      <c r="D7" s="15"/>
      <c r="E7" s="15"/>
      <c r="F7" s="15"/>
      <c r="G7" s="15"/>
      <c r="H7" s="15"/>
    </row>
    <row r="8" spans="1:11" s="7" customFormat="1" ht="13.5" thickBot="1" x14ac:dyDescent="0.25">
      <c r="A8" s="5"/>
      <c r="B8" s="11"/>
      <c r="C8" s="11"/>
      <c r="D8" s="11"/>
      <c r="E8" s="11"/>
      <c r="F8" s="11"/>
      <c r="G8" s="11"/>
      <c r="H8" s="11"/>
    </row>
    <row r="9" spans="1:11" s="7" customFormat="1" x14ac:dyDescent="0.2">
      <c r="A9" s="52" t="s">
        <v>84</v>
      </c>
      <c r="B9" s="53"/>
      <c r="C9" s="54"/>
      <c r="D9" s="55" t="s">
        <v>21</v>
      </c>
      <c r="E9" s="55" t="s">
        <v>21</v>
      </c>
      <c r="F9" s="55" t="s">
        <v>164</v>
      </c>
      <c r="G9" s="55" t="s">
        <v>259</v>
      </c>
      <c r="H9" s="56" t="s">
        <v>42</v>
      </c>
      <c r="I9" s="56" t="s">
        <v>233</v>
      </c>
      <c r="J9" s="56" t="s">
        <v>232</v>
      </c>
      <c r="K9" s="56" t="s">
        <v>232</v>
      </c>
    </row>
    <row r="10" spans="1:11" s="7" customFormat="1" x14ac:dyDescent="0.2">
      <c r="A10" s="57" t="s">
        <v>20</v>
      </c>
      <c r="B10" s="58" t="s">
        <v>17</v>
      </c>
      <c r="C10" s="58" t="s">
        <v>43</v>
      </c>
      <c r="D10" s="58" t="s">
        <v>36</v>
      </c>
      <c r="E10" s="58" t="s">
        <v>43</v>
      </c>
      <c r="F10" s="58" t="s">
        <v>137</v>
      </c>
      <c r="G10" s="139">
        <v>45657</v>
      </c>
      <c r="H10" s="60" t="s">
        <v>44</v>
      </c>
      <c r="I10" s="60" t="s">
        <v>234</v>
      </c>
      <c r="J10" s="60" t="s">
        <v>44</v>
      </c>
      <c r="K10" s="60" t="s">
        <v>44</v>
      </c>
    </row>
    <row r="11" spans="1:11" s="7" customFormat="1" ht="13.5" thickBot="1" x14ac:dyDescent="0.25">
      <c r="A11" s="49"/>
      <c r="B11" s="51" t="s">
        <v>38</v>
      </c>
      <c r="C11" s="51" t="s">
        <v>39</v>
      </c>
      <c r="D11" s="51" t="s">
        <v>40</v>
      </c>
      <c r="E11" s="51" t="s">
        <v>41</v>
      </c>
      <c r="F11" s="51" t="s">
        <v>51</v>
      </c>
      <c r="G11" s="51" t="s">
        <v>52</v>
      </c>
      <c r="H11" s="50" t="s">
        <v>53</v>
      </c>
      <c r="I11" s="291" t="s">
        <v>54</v>
      </c>
      <c r="J11" s="291" t="s">
        <v>55</v>
      </c>
      <c r="K11" s="290" t="s">
        <v>56</v>
      </c>
    </row>
    <row r="12" spans="1:11" x14ac:dyDescent="0.2">
      <c r="K12" s="125"/>
    </row>
    <row r="13" spans="1:11" x14ac:dyDescent="0.2">
      <c r="A13" s="22">
        <v>1</v>
      </c>
      <c r="B13" s="19" t="s">
        <v>45</v>
      </c>
      <c r="C13" s="140">
        <v>15629079788.030003</v>
      </c>
      <c r="D13" s="141">
        <v>-4325017487.9300003</v>
      </c>
      <c r="E13" s="156">
        <f>+C13+D13</f>
        <v>11304062300.100002</v>
      </c>
      <c r="F13" s="249">
        <f>ROUND(+E13/$E$19,4)</f>
        <v>0.42520000000000002</v>
      </c>
      <c r="G13" s="289">
        <v>9.7000000000000003E-2</v>
      </c>
      <c r="H13" s="249">
        <f>ROUND(+F13*G13,4)</f>
        <v>4.1200000000000001E-2</v>
      </c>
      <c r="I13" s="288">
        <v>0.45</v>
      </c>
      <c r="J13" s="288">
        <v>0.1055</v>
      </c>
      <c r="K13" s="288">
        <f>ROUND(J13*I13,4)</f>
        <v>4.7500000000000001E-2</v>
      </c>
    </row>
    <row r="14" spans="1:11" x14ac:dyDescent="0.2">
      <c r="A14" s="22">
        <v>2</v>
      </c>
      <c r="B14" s="19" t="s">
        <v>46</v>
      </c>
      <c r="C14" s="92">
        <v>0</v>
      </c>
      <c r="D14" s="92">
        <v>0</v>
      </c>
      <c r="E14" s="154">
        <f>+C14+D14</f>
        <v>0</v>
      </c>
      <c r="F14" s="249">
        <f>+E14/$E$19</f>
        <v>0</v>
      </c>
      <c r="G14" s="260">
        <v>0</v>
      </c>
      <c r="H14" s="249">
        <f>ROUND(+F14*G14,4)</f>
        <v>0</v>
      </c>
      <c r="I14" s="288">
        <v>0</v>
      </c>
      <c r="J14" s="288">
        <v>0</v>
      </c>
      <c r="K14" s="288">
        <f t="shared" ref="K14:K17" si="0">J14*I14</f>
        <v>0</v>
      </c>
    </row>
    <row r="15" spans="1:11" x14ac:dyDescent="0.2">
      <c r="A15" s="22">
        <v>3</v>
      </c>
      <c r="B15" s="19" t="s">
        <v>47</v>
      </c>
      <c r="C15" s="92">
        <v>0</v>
      </c>
      <c r="D15" s="92">
        <v>0</v>
      </c>
      <c r="E15" s="154">
        <f>+C15+D15</f>
        <v>0</v>
      </c>
      <c r="F15" s="249">
        <f>+E15/$E$19</f>
        <v>0</v>
      </c>
      <c r="G15" s="260">
        <v>0</v>
      </c>
      <c r="H15" s="249">
        <f>ROUND(+F15*G15,4)</f>
        <v>0</v>
      </c>
      <c r="I15" s="288">
        <v>0</v>
      </c>
      <c r="J15" s="288">
        <v>0</v>
      </c>
      <c r="K15" s="288">
        <f t="shared" si="0"/>
        <v>0</v>
      </c>
    </row>
    <row r="16" spans="1:11" x14ac:dyDescent="0.2">
      <c r="A16" s="22">
        <v>4</v>
      </c>
      <c r="B16" s="19" t="s">
        <v>48</v>
      </c>
      <c r="C16" s="144">
        <f>+'II-C-2.4'!L69</f>
        <v>15279367021.830002</v>
      </c>
      <c r="D16" s="92">
        <v>0</v>
      </c>
      <c r="E16" s="154">
        <f>+C16+D16</f>
        <v>15279367021.830002</v>
      </c>
      <c r="F16" s="249">
        <f>ROUND(+E16/$E$19,4)</f>
        <v>0.57479999999999998</v>
      </c>
      <c r="G16" s="260">
        <f>+'II-C-2.4a'!H46</f>
        <v>4.7E-2</v>
      </c>
      <c r="H16" s="249">
        <f>ROUND(+F16*G16,4)</f>
        <v>2.7E-2</v>
      </c>
      <c r="I16" s="288">
        <v>0.55000000000000004</v>
      </c>
      <c r="J16" s="288">
        <f>+'II-C-2.4a.1'!H46</f>
        <v>4.9399999999999999E-2</v>
      </c>
      <c r="K16" s="288">
        <f>ROUND(J16*I16,4)</f>
        <v>2.7199999999999998E-2</v>
      </c>
    </row>
    <row r="17" spans="1:11" x14ac:dyDescent="0.2">
      <c r="A17" s="22">
        <v>5</v>
      </c>
      <c r="B17" s="19" t="s">
        <v>49</v>
      </c>
      <c r="C17" s="92">
        <v>0</v>
      </c>
      <c r="D17" s="92">
        <v>0</v>
      </c>
      <c r="E17" s="154">
        <f>+C17+D17</f>
        <v>0</v>
      </c>
      <c r="F17" s="271">
        <f>+E17/$E$19</f>
        <v>0</v>
      </c>
      <c r="G17" s="271">
        <v>0</v>
      </c>
      <c r="H17" s="271">
        <f>ROUND(+F17*G17,4)</f>
        <v>0</v>
      </c>
      <c r="I17" s="288">
        <v>0</v>
      </c>
      <c r="J17" s="288">
        <v>0</v>
      </c>
      <c r="K17" s="288">
        <f t="shared" si="0"/>
        <v>0</v>
      </c>
    </row>
    <row r="18" spans="1:11" x14ac:dyDescent="0.2">
      <c r="A18" s="22">
        <v>6</v>
      </c>
      <c r="B18" s="19"/>
      <c r="C18" s="133"/>
      <c r="D18" s="133"/>
      <c r="E18" s="133"/>
      <c r="F18" s="134"/>
      <c r="G18" s="124"/>
      <c r="H18" s="124"/>
      <c r="I18" s="123"/>
      <c r="J18" s="341"/>
      <c r="K18" s="341"/>
    </row>
    <row r="19" spans="1:11" x14ac:dyDescent="0.2">
      <c r="A19" s="22">
        <v>7</v>
      </c>
      <c r="B19" s="19" t="s">
        <v>50</v>
      </c>
      <c r="C19" s="126">
        <f>SUM(C13:C17)</f>
        <v>30908446809.860004</v>
      </c>
      <c r="D19" s="126">
        <f>SUM(D13:D17)</f>
        <v>-4325017487.9300003</v>
      </c>
      <c r="E19" s="126">
        <f>SUM(E13:E17)</f>
        <v>26583429321.930004</v>
      </c>
      <c r="F19" s="23">
        <f>SUM(F13:F17)</f>
        <v>1</v>
      </c>
      <c r="G19" s="19"/>
      <c r="H19" s="23">
        <f>SUM(H13:H17)</f>
        <v>6.8199999999999997E-2</v>
      </c>
      <c r="I19" s="23">
        <f>SUM(I13:I17)</f>
        <v>1</v>
      </c>
      <c r="J19" s="342"/>
      <c r="K19" s="342">
        <f>SUM(K13:K17)</f>
        <v>7.4700000000000003E-2</v>
      </c>
    </row>
  </sheetData>
  <phoneticPr fontId="4" type="noConversion"/>
  <dataValidations count="1">
    <dataValidation type="decimal" allowBlank="1" showInputMessage="1" showErrorMessage="1" sqref="G13" xr:uid="{00000000-0002-0000-0300-000000000000}">
      <formula1>0.05</formula1>
      <formula2>0.2</formula2>
    </dataValidation>
  </dataValidations>
  <printOptions horizontalCentered="1"/>
  <pageMargins left="0.5" right="0.5" top="3" bottom="0.5" header="1.5" footer="0.5"/>
  <pageSetup scale="90" orientation="landscape"/>
  <headerFooter alignWithMargins="0">
    <oddHeader>&amp;R&amp;"Arial,Bold"Schedule &amp;A
Page &amp;P of &amp;N&amp;C&amp;B
2025 RATE CASE
ONCOR ELECTRIC DELIVERY COMPANY LLC
II-C-2.1  WEIGHTED AVERAGE COST OF CAPITAL
TEST YEAR ENDING DECEMBER 31, 2024
SPONSORS: K. FEASE &amp;&amp; W. ALAN LEDBETTER</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0">
    <tabColor rgb="FF00B050"/>
    <pageSetUpPr fitToPage="1"/>
  </sheetPr>
  <dimension ref="A1:Q156"/>
  <sheetViews>
    <sheetView zoomScaleNormal="100" workbookViewId="0">
      <selection activeCell="K29" sqref="K29"/>
    </sheetView>
  </sheetViews>
  <sheetFormatPr defaultColWidth="13.42578125" defaultRowHeight="12.75" x14ac:dyDescent="0.2"/>
  <cols>
    <col min="1" max="1" width="6.5703125" style="20" customWidth="1"/>
    <col min="2" max="2" width="13.42578125" style="20" hidden="1" customWidth="1"/>
    <col min="3" max="4" width="13.42578125" style="20" customWidth="1"/>
    <col min="5" max="5" width="13.5703125" style="20" customWidth="1"/>
    <col min="6" max="8" width="13.42578125" style="20" customWidth="1"/>
    <col min="9" max="9" width="14.5703125" style="20" bestFit="1" customWidth="1"/>
    <col min="10" max="16384" width="13.42578125" style="20"/>
  </cols>
  <sheetData>
    <row r="1" spans="1:17" x14ac:dyDescent="0.2">
      <c r="A1" s="5" t="str">
        <f>+'[1]Input Data'!$A$9</f>
        <v>2025 RATE CASE</v>
      </c>
    </row>
    <row r="2" spans="1:17" s="7" customFormat="1" x14ac:dyDescent="0.2">
      <c r="A2" s="61" t="str">
        <f>+'[1]Input Data'!$A$2</f>
        <v>ONCOR ELECTRIC DELIVERY COMPANY LLC</v>
      </c>
      <c r="B2" s="10"/>
      <c r="C2" s="10"/>
      <c r="D2" s="10"/>
      <c r="E2" s="11"/>
      <c r="F2" s="11"/>
      <c r="G2" s="11"/>
      <c r="H2" s="11"/>
      <c r="I2" s="11"/>
      <c r="J2" s="11"/>
      <c r="K2" s="11"/>
      <c r="L2" s="11"/>
      <c r="M2" s="11"/>
      <c r="N2" s="11"/>
      <c r="O2" s="11"/>
      <c r="P2" s="12"/>
      <c r="Q2" s="13"/>
    </row>
    <row r="3" spans="1:17" s="7" customFormat="1" x14ac:dyDescent="0.2">
      <c r="A3" s="61" t="str">
        <f>CONCATENATE('[1]Schedule Sponsors'!$A$35,'[1]Schedule Sponsors'!$B$35)</f>
        <v>II-C-2.2  WEIGHTED AVERAGE COST OF PREFERRED STOCK</v>
      </c>
      <c r="B3" s="11"/>
      <c r="C3" s="11"/>
      <c r="D3" s="11"/>
      <c r="E3" s="11"/>
      <c r="F3" s="11"/>
      <c r="G3" s="11"/>
      <c r="H3" s="11"/>
      <c r="I3" s="11"/>
      <c r="J3" s="11"/>
      <c r="K3" s="11"/>
      <c r="L3" s="11"/>
      <c r="M3" s="11"/>
      <c r="N3" s="11"/>
      <c r="O3" s="11"/>
      <c r="P3" s="12"/>
      <c r="Q3" s="13"/>
    </row>
    <row r="4" spans="1:17" s="7" customFormat="1" x14ac:dyDescent="0.2">
      <c r="A4" s="62" t="str">
        <f>+'[1]Input Data'!$A$4</f>
        <v>TEST YEAR ENDING DECEMBER 31, 2024</v>
      </c>
      <c r="B4" s="11"/>
      <c r="C4" s="11"/>
      <c r="D4" s="11"/>
      <c r="E4" s="11"/>
      <c r="F4" s="11"/>
      <c r="G4" s="11"/>
      <c r="H4" s="11"/>
      <c r="I4" s="11"/>
      <c r="J4" s="11"/>
      <c r="K4" s="11"/>
      <c r="L4" s="11"/>
      <c r="M4" s="11"/>
      <c r="N4" s="11"/>
      <c r="O4" s="11"/>
      <c r="P4" s="12"/>
      <c r="Q4" s="13"/>
    </row>
    <row r="5" spans="1:17" s="7" customFormat="1" x14ac:dyDescent="0.2">
      <c r="A5" s="5" t="str">
        <f>CONCATENATE("SPONSOR: ",'[1]Schedule Sponsors'!$D$35)</f>
        <v>SPONSOR: K. FEASE</v>
      </c>
      <c r="B5" s="14"/>
      <c r="C5" s="14"/>
      <c r="D5" s="14"/>
      <c r="E5" s="14"/>
      <c r="F5" s="14"/>
      <c r="G5" s="14"/>
      <c r="H5" s="14"/>
      <c r="I5" s="14"/>
      <c r="J5" s="14"/>
      <c r="K5" s="14"/>
      <c r="L5" s="14"/>
      <c r="M5" s="14"/>
      <c r="N5" s="14"/>
      <c r="O5" s="14"/>
      <c r="P5" s="14"/>
      <c r="Q5" s="14"/>
    </row>
    <row r="6" spans="1:17" s="7" customFormat="1" x14ac:dyDescent="0.2">
      <c r="B6" s="14"/>
      <c r="C6" s="14"/>
      <c r="D6" s="14"/>
      <c r="E6" s="14"/>
      <c r="F6" s="14"/>
      <c r="G6" s="14"/>
      <c r="H6" s="14"/>
      <c r="I6" s="14"/>
      <c r="J6" s="14"/>
      <c r="K6" s="14"/>
      <c r="L6" s="14"/>
      <c r="M6" s="14"/>
      <c r="N6" s="14"/>
      <c r="O6" s="14"/>
      <c r="P6" s="14"/>
      <c r="Q6" s="14"/>
    </row>
    <row r="7" spans="1:17" s="7" customFormat="1" x14ac:dyDescent="0.2">
      <c r="B7" s="14"/>
      <c r="C7" s="14"/>
      <c r="D7" s="14"/>
      <c r="E7" s="14"/>
      <c r="F7" s="14"/>
      <c r="G7" s="14"/>
      <c r="H7" s="14"/>
      <c r="I7" s="14"/>
      <c r="J7" s="14"/>
      <c r="K7" s="14"/>
      <c r="L7" s="14"/>
      <c r="M7" s="14"/>
      <c r="N7" s="14"/>
      <c r="O7" s="14"/>
      <c r="P7" s="14"/>
      <c r="Q7" s="14"/>
    </row>
    <row r="8" spans="1:17" s="7" customFormat="1" x14ac:dyDescent="0.2">
      <c r="A8" s="11"/>
      <c r="B8" s="11"/>
      <c r="C8" s="11"/>
      <c r="D8" s="11"/>
      <c r="E8" s="11"/>
      <c r="F8" s="11"/>
      <c r="G8" s="11"/>
      <c r="H8" s="11"/>
      <c r="I8" s="11"/>
      <c r="J8" s="11"/>
      <c r="K8" s="11"/>
      <c r="L8" s="11"/>
      <c r="M8" s="11"/>
      <c r="N8" s="11"/>
      <c r="O8" s="11"/>
      <c r="P8" s="11"/>
      <c r="Q8" s="11"/>
    </row>
    <row r="9" spans="1:17" s="7" customFormat="1" x14ac:dyDescent="0.2">
      <c r="A9" s="11"/>
      <c r="B9" s="11"/>
      <c r="C9" s="11"/>
      <c r="D9" s="11"/>
      <c r="E9" s="11"/>
      <c r="F9" s="11"/>
      <c r="G9" s="11"/>
      <c r="H9" s="11"/>
      <c r="I9" s="11"/>
      <c r="J9" s="11"/>
      <c r="K9" s="11"/>
      <c r="L9" s="11"/>
      <c r="M9" s="11"/>
      <c r="N9" s="11"/>
      <c r="O9" s="11"/>
      <c r="P9" s="11"/>
      <c r="Q9" s="11"/>
    </row>
    <row r="10" spans="1:17" s="7" customFormat="1" ht="13.5" thickBot="1" x14ac:dyDescent="0.25">
      <c r="A10" s="11"/>
      <c r="B10" s="11"/>
    </row>
    <row r="11" spans="1:17" s="5" customFormat="1" x14ac:dyDescent="0.2">
      <c r="A11" s="53"/>
      <c r="B11" s="53"/>
      <c r="C11" s="53"/>
      <c r="D11" s="53"/>
      <c r="E11" s="53"/>
      <c r="F11" s="53"/>
      <c r="G11" s="53"/>
      <c r="H11" s="53"/>
      <c r="I11" s="55" t="s">
        <v>62</v>
      </c>
      <c r="J11" s="55" t="s">
        <v>63</v>
      </c>
      <c r="K11" s="53"/>
      <c r="L11" s="55" t="s">
        <v>64</v>
      </c>
      <c r="M11" s="53"/>
      <c r="N11" s="53"/>
      <c r="O11" s="55" t="s">
        <v>65</v>
      </c>
      <c r="P11" s="53"/>
      <c r="Q11" s="53"/>
    </row>
    <row r="12" spans="1:17" s="5" customFormat="1" x14ac:dyDescent="0.2">
      <c r="A12" s="59"/>
      <c r="B12" s="59"/>
      <c r="C12" s="59"/>
      <c r="D12" s="59"/>
      <c r="E12" s="58" t="s">
        <v>66</v>
      </c>
      <c r="F12" s="59"/>
      <c r="G12" s="59"/>
      <c r="H12" s="58" t="s">
        <v>67</v>
      </c>
      <c r="I12" s="58" t="s">
        <v>68</v>
      </c>
      <c r="J12" s="58" t="s">
        <v>69</v>
      </c>
      <c r="K12" s="58" t="s">
        <v>70</v>
      </c>
      <c r="L12" s="58" t="s">
        <v>71</v>
      </c>
      <c r="M12" s="58" t="s">
        <v>72</v>
      </c>
      <c r="N12" s="58" t="s">
        <v>73</v>
      </c>
      <c r="O12" s="58" t="s">
        <v>74</v>
      </c>
      <c r="P12" s="58" t="s">
        <v>44</v>
      </c>
      <c r="Q12" s="58" t="s">
        <v>42</v>
      </c>
    </row>
    <row r="13" spans="1:17" s="5" customFormat="1" x14ac:dyDescent="0.2">
      <c r="A13" s="58" t="s">
        <v>84</v>
      </c>
      <c r="B13" s="59"/>
      <c r="C13" s="59"/>
      <c r="D13" s="58" t="s">
        <v>75</v>
      </c>
      <c r="E13" s="58" t="s">
        <v>76</v>
      </c>
      <c r="F13" s="58" t="s">
        <v>77</v>
      </c>
      <c r="G13" s="58" t="s">
        <v>72</v>
      </c>
      <c r="H13" s="58" t="s">
        <v>78</v>
      </c>
      <c r="I13" s="58" t="s">
        <v>75</v>
      </c>
      <c r="J13" s="58" t="s">
        <v>79</v>
      </c>
      <c r="K13" s="58" t="s">
        <v>64</v>
      </c>
      <c r="L13" s="58" t="s">
        <v>74</v>
      </c>
      <c r="M13" s="58" t="s">
        <v>80</v>
      </c>
      <c r="N13" s="58" t="s">
        <v>64</v>
      </c>
      <c r="O13" s="58" t="s">
        <v>81</v>
      </c>
      <c r="P13" s="58" t="s">
        <v>82</v>
      </c>
      <c r="Q13" s="58" t="s">
        <v>83</v>
      </c>
    </row>
    <row r="14" spans="1:17" s="5" customFormat="1" x14ac:dyDescent="0.2">
      <c r="A14" s="58" t="s">
        <v>154</v>
      </c>
      <c r="B14" s="59"/>
      <c r="C14" s="58" t="s">
        <v>17</v>
      </c>
      <c r="D14" s="58" t="s">
        <v>85</v>
      </c>
      <c r="E14" s="58" t="s">
        <v>86</v>
      </c>
      <c r="F14" s="58" t="s">
        <v>87</v>
      </c>
      <c r="G14" s="58" t="s">
        <v>88</v>
      </c>
      <c r="H14" s="58" t="s">
        <v>89</v>
      </c>
      <c r="I14" s="58" t="s">
        <v>90</v>
      </c>
      <c r="J14" s="58" t="s">
        <v>91</v>
      </c>
      <c r="K14" s="58" t="s">
        <v>71</v>
      </c>
      <c r="L14" s="58" t="s">
        <v>92</v>
      </c>
      <c r="M14" s="58" t="s">
        <v>93</v>
      </c>
      <c r="N14" s="58" t="s">
        <v>71</v>
      </c>
      <c r="O14" s="58" t="s">
        <v>71</v>
      </c>
      <c r="P14" s="58" t="s">
        <v>94</v>
      </c>
      <c r="Q14" s="58" t="s">
        <v>44</v>
      </c>
    </row>
    <row r="15" spans="1:17" s="8" customFormat="1" ht="13.5" thickBot="1" x14ac:dyDescent="0.25">
      <c r="A15" s="51"/>
      <c r="B15" s="63"/>
      <c r="C15" s="51" t="s">
        <v>38</v>
      </c>
      <c r="D15" s="51" t="s">
        <v>39</v>
      </c>
      <c r="E15" s="51" t="s">
        <v>40</v>
      </c>
      <c r="F15" s="51" t="s">
        <v>41</v>
      </c>
      <c r="G15" s="51" t="s">
        <v>51</v>
      </c>
      <c r="H15" s="51" t="s">
        <v>52</v>
      </c>
      <c r="I15" s="51" t="s">
        <v>53</v>
      </c>
      <c r="J15" s="51" t="s">
        <v>54</v>
      </c>
      <c r="K15" s="51" t="s">
        <v>55</v>
      </c>
      <c r="L15" s="51" t="s">
        <v>56</v>
      </c>
      <c r="M15" s="51" t="s">
        <v>57</v>
      </c>
      <c r="N15" s="51" t="s">
        <v>58</v>
      </c>
      <c r="O15" s="51" t="s">
        <v>59</v>
      </c>
      <c r="P15" s="51" t="s">
        <v>60</v>
      </c>
      <c r="Q15" s="51" t="s">
        <v>61</v>
      </c>
    </row>
    <row r="16" spans="1:17" s="7" customFormat="1" x14ac:dyDescent="0.2">
      <c r="A16" s="48"/>
      <c r="B16" s="11"/>
      <c r="C16" s="48"/>
      <c r="D16" s="48"/>
      <c r="E16" s="48"/>
      <c r="F16" s="48"/>
      <c r="G16" s="48"/>
      <c r="H16" s="48"/>
      <c r="I16" s="48"/>
      <c r="J16" s="48"/>
      <c r="K16" s="48"/>
      <c r="L16" s="48"/>
      <c r="M16" s="48"/>
      <c r="N16" s="48"/>
      <c r="O16" s="48"/>
      <c r="P16" s="48"/>
      <c r="Q16" s="48"/>
    </row>
    <row r="17" spans="1:17" x14ac:dyDescent="0.2">
      <c r="A17" s="16">
        <v>1</v>
      </c>
      <c r="B17" s="11"/>
      <c r="C17" s="90" t="s">
        <v>157</v>
      </c>
      <c r="D17" s="17"/>
      <c r="E17" s="17"/>
      <c r="F17" s="26"/>
      <c r="G17" s="24"/>
      <c r="H17" s="24"/>
      <c r="I17" s="24"/>
      <c r="J17" s="24"/>
      <c r="K17" s="33">
        <f>G17+H17-I17+J17</f>
        <v>0</v>
      </c>
      <c r="L17" s="27">
        <f>IF(ISERR(K17/G17),0,K17/G17)</f>
        <v>0</v>
      </c>
      <c r="M17" s="24">
        <v>0</v>
      </c>
      <c r="N17" s="33">
        <f>L17*M17</f>
        <v>0</v>
      </c>
      <c r="O17" s="27">
        <f>IF(ISERR(N17/$N$19),0,N17/$N$19)</f>
        <v>0</v>
      </c>
      <c r="P17" s="89">
        <v>0</v>
      </c>
      <c r="Q17" s="27">
        <f>O17*P17</f>
        <v>0</v>
      </c>
    </row>
    <row r="18" spans="1:17" x14ac:dyDescent="0.2">
      <c r="A18" s="18">
        <v>2</v>
      </c>
      <c r="B18" s="19"/>
      <c r="C18" s="19"/>
      <c r="D18" s="19"/>
      <c r="E18" s="19"/>
      <c r="F18" s="19"/>
      <c r="G18" s="19"/>
      <c r="H18" s="19"/>
      <c r="I18" s="19"/>
      <c r="J18" s="19"/>
      <c r="K18" s="19"/>
      <c r="L18" s="19"/>
      <c r="M18" s="130"/>
      <c r="N18" s="130"/>
      <c r="O18" s="131"/>
      <c r="P18" s="19"/>
      <c r="Q18" s="131"/>
    </row>
    <row r="19" spans="1:17" x14ac:dyDescent="0.2">
      <c r="A19" s="18">
        <v>3</v>
      </c>
      <c r="B19" s="19"/>
      <c r="C19" s="19"/>
      <c r="D19" s="19"/>
      <c r="E19" s="19"/>
      <c r="F19" s="19"/>
      <c r="G19" s="19"/>
      <c r="H19" s="19"/>
      <c r="I19" s="19"/>
      <c r="J19" s="19" t="s">
        <v>19</v>
      </c>
      <c r="K19" s="19"/>
      <c r="L19" s="19"/>
      <c r="M19" s="33">
        <f>SUM(M17:M17)</f>
        <v>0</v>
      </c>
      <c r="N19" s="33">
        <f>SUM(N17:N17)</f>
        <v>0</v>
      </c>
      <c r="O19" s="27">
        <f>SUM(O17:O17)</f>
        <v>0</v>
      </c>
      <c r="P19" s="19"/>
      <c r="Q19" s="27">
        <f>SUM(Q17:Q17)</f>
        <v>0</v>
      </c>
    </row>
    <row r="20" spans="1:17" x14ac:dyDescent="0.2">
      <c r="A20" s="18">
        <v>4</v>
      </c>
      <c r="B20" s="19"/>
      <c r="C20" s="19"/>
      <c r="D20" s="19"/>
      <c r="E20" s="19"/>
      <c r="F20" s="19"/>
      <c r="G20" s="19"/>
      <c r="H20" s="19"/>
      <c r="I20" s="19"/>
      <c r="J20" s="19"/>
      <c r="K20" s="19"/>
      <c r="L20" s="19"/>
      <c r="M20" s="33"/>
      <c r="N20" s="33"/>
      <c r="O20" s="19"/>
      <c r="P20" s="19"/>
      <c r="Q20" s="27"/>
    </row>
    <row r="21" spans="1:17" x14ac:dyDescent="0.2">
      <c r="A21" s="18">
        <v>5</v>
      </c>
      <c r="B21" s="19"/>
      <c r="C21" s="19"/>
      <c r="D21" s="19"/>
      <c r="E21" s="19"/>
      <c r="F21" s="19"/>
      <c r="G21" s="19"/>
      <c r="H21" s="19"/>
      <c r="I21" s="28" t="s">
        <v>95</v>
      </c>
      <c r="J21" s="29" t="s">
        <v>96</v>
      </c>
      <c r="K21" s="19"/>
      <c r="L21" s="19"/>
      <c r="M21" s="24">
        <v>0</v>
      </c>
      <c r="N21" s="33"/>
      <c r="O21" s="19"/>
      <c r="P21" s="19"/>
      <c r="Q21" s="19"/>
    </row>
    <row r="22" spans="1:17" x14ac:dyDescent="0.2">
      <c r="A22" s="18">
        <v>6</v>
      </c>
      <c r="B22" s="19"/>
      <c r="C22" s="19"/>
      <c r="D22" s="19"/>
      <c r="E22" s="19"/>
      <c r="F22" s="19"/>
      <c r="G22" s="19"/>
      <c r="H22" s="19"/>
      <c r="I22" s="28" t="s">
        <v>97</v>
      </c>
      <c r="J22" s="30" t="s">
        <v>98</v>
      </c>
      <c r="K22" s="19"/>
      <c r="L22" s="19"/>
      <c r="M22" s="24">
        <v>0</v>
      </c>
      <c r="N22" s="33"/>
      <c r="O22" s="19"/>
      <c r="P22" s="19"/>
      <c r="Q22" s="19"/>
    </row>
    <row r="23" spans="1:17" x14ac:dyDescent="0.2">
      <c r="A23" s="18">
        <v>7</v>
      </c>
      <c r="B23" s="19"/>
      <c r="C23" s="19"/>
      <c r="D23" s="19"/>
      <c r="E23" s="19"/>
      <c r="F23" s="19"/>
      <c r="G23" s="19"/>
      <c r="H23" s="19"/>
      <c r="I23" s="28" t="s">
        <v>95</v>
      </c>
      <c r="J23" s="30" t="s">
        <v>99</v>
      </c>
      <c r="K23" s="19"/>
      <c r="L23" s="19"/>
      <c r="M23" s="24">
        <v>0</v>
      </c>
      <c r="N23" s="33"/>
      <c r="O23" s="19"/>
      <c r="P23" s="19"/>
      <c r="Q23" s="19"/>
    </row>
    <row r="24" spans="1:17" x14ac:dyDescent="0.2">
      <c r="A24" s="18">
        <v>8</v>
      </c>
      <c r="B24" s="19"/>
      <c r="C24" s="19"/>
      <c r="D24" s="19"/>
      <c r="E24" s="19"/>
      <c r="F24" s="19"/>
      <c r="G24" s="19"/>
      <c r="H24" s="19"/>
      <c r="I24" s="19"/>
      <c r="J24" s="19"/>
      <c r="K24" s="19"/>
      <c r="L24" s="19"/>
      <c r="M24" s="64"/>
      <c r="N24" s="33"/>
      <c r="O24" s="19"/>
      <c r="P24" s="19"/>
      <c r="Q24" s="19"/>
    </row>
    <row r="25" spans="1:17" x14ac:dyDescent="0.2">
      <c r="A25" s="18">
        <v>9</v>
      </c>
      <c r="B25" s="19"/>
      <c r="C25" s="19"/>
      <c r="D25" s="19"/>
      <c r="E25" s="19"/>
      <c r="F25" s="19"/>
      <c r="G25" s="19"/>
      <c r="H25" s="19"/>
      <c r="I25" s="19"/>
      <c r="J25" s="18" t="s">
        <v>100</v>
      </c>
      <c r="K25" s="19"/>
      <c r="L25" s="19"/>
      <c r="M25" s="33">
        <f>M19+M21-M22+M23</f>
        <v>0</v>
      </c>
      <c r="N25" s="33"/>
      <c r="O25" s="19"/>
      <c r="P25" s="19"/>
      <c r="Q25" s="19"/>
    </row>
    <row r="26" spans="1:17" x14ac:dyDescent="0.2">
      <c r="A26" s="25"/>
      <c r="B26" s="25"/>
      <c r="C26" s="25"/>
      <c r="D26" s="25"/>
      <c r="E26" s="25"/>
      <c r="F26" s="25"/>
      <c r="G26" s="25"/>
      <c r="H26" s="25"/>
      <c r="I26" s="25"/>
      <c r="J26" s="25"/>
      <c r="K26" s="25"/>
      <c r="L26" s="25"/>
      <c r="M26" s="65"/>
      <c r="N26" s="65"/>
      <c r="O26" s="25"/>
      <c r="P26" s="25"/>
      <c r="Q26" s="25"/>
    </row>
    <row r="27" spans="1:17" x14ac:dyDescent="0.2">
      <c r="A27" s="25"/>
      <c r="B27" s="25"/>
      <c r="C27" s="25"/>
      <c r="D27" s="25"/>
      <c r="E27" s="25"/>
      <c r="F27" s="25"/>
      <c r="G27" s="25"/>
      <c r="H27" s="25"/>
      <c r="I27" s="25"/>
      <c r="J27" s="25"/>
      <c r="K27" s="25"/>
      <c r="L27" s="25"/>
      <c r="M27" s="25"/>
      <c r="N27" s="25"/>
      <c r="O27" s="25"/>
      <c r="P27" s="25"/>
      <c r="Q27" s="25"/>
    </row>
    <row r="28" spans="1:17" x14ac:dyDescent="0.2">
      <c r="A28" s="25"/>
      <c r="B28" s="25"/>
      <c r="C28" s="25"/>
      <c r="D28" s="25"/>
      <c r="E28" s="25"/>
      <c r="F28" s="25"/>
      <c r="G28" s="25"/>
      <c r="H28" s="25"/>
      <c r="I28" s="25"/>
      <c r="J28" s="25"/>
      <c r="K28" s="25"/>
      <c r="L28" s="25"/>
      <c r="M28" s="25"/>
      <c r="N28" s="25"/>
      <c r="O28" s="25"/>
      <c r="P28" s="25"/>
      <c r="Q28" s="25"/>
    </row>
    <row r="29" spans="1:17" x14ac:dyDescent="0.2">
      <c r="A29" s="25"/>
      <c r="B29" s="25"/>
      <c r="C29" s="25"/>
      <c r="D29" s="25"/>
      <c r="E29" s="25"/>
      <c r="F29" s="25"/>
      <c r="G29" s="25"/>
      <c r="H29" s="25"/>
      <c r="I29" s="25"/>
      <c r="J29" s="25"/>
      <c r="K29" s="25"/>
      <c r="L29" s="25"/>
      <c r="M29" s="25"/>
      <c r="N29" s="25"/>
      <c r="O29" s="25"/>
      <c r="P29" s="25"/>
      <c r="Q29" s="25"/>
    </row>
    <row r="30" spans="1:17" x14ac:dyDescent="0.2">
      <c r="A30" s="25"/>
      <c r="B30" s="25"/>
      <c r="C30" s="25"/>
      <c r="D30" s="25"/>
      <c r="E30" s="25"/>
      <c r="F30" s="25"/>
      <c r="G30" s="25"/>
      <c r="H30" s="25"/>
      <c r="I30" s="25"/>
      <c r="J30" s="25"/>
      <c r="K30" s="25"/>
      <c r="L30" s="25"/>
      <c r="M30" s="25"/>
      <c r="N30" s="25"/>
      <c r="O30" s="25"/>
      <c r="P30" s="25"/>
      <c r="Q30" s="25"/>
    </row>
    <row r="31" spans="1:17" x14ac:dyDescent="0.2">
      <c r="A31" s="25"/>
      <c r="B31" s="25"/>
      <c r="C31" s="25"/>
      <c r="D31" s="25"/>
      <c r="E31" s="25"/>
      <c r="F31" s="25"/>
      <c r="G31" s="25"/>
      <c r="H31" s="25"/>
      <c r="I31" s="25"/>
      <c r="J31" s="25"/>
      <c r="K31" s="25"/>
      <c r="L31" s="25"/>
      <c r="M31" s="25"/>
      <c r="N31" s="25"/>
      <c r="O31" s="25"/>
      <c r="P31" s="25"/>
      <c r="Q31" s="25"/>
    </row>
    <row r="32" spans="1:17" x14ac:dyDescent="0.2">
      <c r="A32" s="25"/>
      <c r="B32" s="25"/>
      <c r="C32" s="25"/>
      <c r="D32" s="25"/>
      <c r="E32" s="25"/>
      <c r="F32" s="25"/>
      <c r="G32" s="25"/>
      <c r="H32" s="25"/>
      <c r="I32" s="25"/>
      <c r="J32" s="25"/>
      <c r="K32" s="25"/>
      <c r="L32" s="25"/>
      <c r="M32" s="25"/>
      <c r="N32" s="25"/>
      <c r="O32" s="25"/>
      <c r="P32" s="25"/>
      <c r="Q32" s="25"/>
    </row>
    <row r="33" spans="1:17" x14ac:dyDescent="0.2">
      <c r="A33" s="25"/>
      <c r="B33" s="25"/>
      <c r="C33" s="25"/>
      <c r="D33" s="25"/>
      <c r="E33" s="25"/>
      <c r="F33" s="25"/>
      <c r="G33" s="25"/>
      <c r="H33" s="25"/>
      <c r="I33" s="25"/>
      <c r="J33" s="25"/>
      <c r="K33" s="25"/>
      <c r="L33" s="25"/>
      <c r="M33" s="25"/>
      <c r="N33" s="25"/>
      <c r="O33" s="25"/>
      <c r="P33" s="25"/>
      <c r="Q33" s="25"/>
    </row>
    <row r="34" spans="1:17" x14ac:dyDescent="0.2">
      <c r="A34" s="25"/>
      <c r="B34" s="25"/>
      <c r="C34" s="25"/>
      <c r="D34" s="25"/>
      <c r="E34" s="25"/>
      <c r="F34" s="25"/>
      <c r="G34" s="25"/>
      <c r="H34" s="25"/>
      <c r="I34" s="25"/>
      <c r="J34" s="25"/>
      <c r="K34" s="25"/>
      <c r="L34" s="25"/>
      <c r="M34" s="25"/>
      <c r="N34" s="25"/>
      <c r="O34" s="25"/>
      <c r="P34" s="25"/>
      <c r="Q34" s="25"/>
    </row>
    <row r="35" spans="1:17" x14ac:dyDescent="0.2">
      <c r="A35" s="25"/>
      <c r="B35" s="25"/>
      <c r="C35" s="25"/>
      <c r="D35" s="25"/>
      <c r="E35" s="25"/>
      <c r="F35" s="25"/>
      <c r="G35" s="25"/>
      <c r="H35" s="25"/>
      <c r="I35" s="25"/>
      <c r="J35" s="25"/>
      <c r="K35" s="25"/>
      <c r="L35" s="25"/>
      <c r="M35" s="25"/>
      <c r="N35" s="25"/>
      <c r="O35" s="25"/>
      <c r="P35" s="25"/>
      <c r="Q35" s="25"/>
    </row>
    <row r="36" spans="1:17" x14ac:dyDescent="0.2">
      <c r="A36" s="25"/>
      <c r="B36" s="25"/>
      <c r="C36" s="25"/>
      <c r="D36" s="25"/>
      <c r="E36" s="25"/>
      <c r="F36" s="25"/>
      <c r="G36" s="25"/>
      <c r="H36" s="25"/>
      <c r="I36" s="25"/>
      <c r="J36" s="25"/>
      <c r="K36" s="25"/>
      <c r="L36" s="25"/>
      <c r="M36" s="25"/>
      <c r="N36" s="25"/>
      <c r="O36" s="25"/>
      <c r="P36" s="25"/>
      <c r="Q36" s="25"/>
    </row>
    <row r="37" spans="1:17" x14ac:dyDescent="0.2">
      <c r="A37" s="25"/>
      <c r="B37" s="25"/>
      <c r="C37" s="25"/>
      <c r="D37" s="25"/>
      <c r="E37" s="25"/>
      <c r="F37" s="25"/>
      <c r="G37" s="25"/>
      <c r="H37" s="25"/>
      <c r="I37" s="25"/>
      <c r="J37" s="25"/>
      <c r="K37" s="25"/>
      <c r="L37" s="25"/>
      <c r="M37" s="25"/>
      <c r="N37" s="25"/>
      <c r="O37" s="25"/>
      <c r="P37" s="25"/>
      <c r="Q37" s="25"/>
    </row>
    <row r="38" spans="1:17" x14ac:dyDescent="0.2">
      <c r="A38" s="25"/>
      <c r="B38" s="25"/>
      <c r="C38" s="25"/>
      <c r="D38" s="25"/>
      <c r="E38" s="25"/>
      <c r="F38" s="25"/>
      <c r="G38" s="25"/>
      <c r="H38" s="25"/>
      <c r="I38" s="25"/>
      <c r="J38" s="25"/>
      <c r="K38" s="25"/>
      <c r="L38" s="25"/>
      <c r="M38" s="25"/>
      <c r="N38" s="25"/>
      <c r="O38" s="25"/>
      <c r="P38" s="25"/>
      <c r="Q38" s="25"/>
    </row>
    <row r="39" spans="1:17" x14ac:dyDescent="0.2">
      <c r="A39" s="25"/>
      <c r="B39" s="25"/>
      <c r="C39" s="25"/>
      <c r="D39" s="25"/>
      <c r="E39" s="25"/>
      <c r="F39" s="25"/>
      <c r="G39" s="25"/>
      <c r="H39" s="25"/>
      <c r="I39" s="25"/>
      <c r="J39" s="25"/>
      <c r="K39" s="25"/>
      <c r="L39" s="25"/>
      <c r="M39" s="25"/>
      <c r="N39" s="25"/>
      <c r="O39" s="25"/>
      <c r="P39" s="25"/>
      <c r="Q39" s="25"/>
    </row>
    <row r="40" spans="1:17" x14ac:dyDescent="0.2">
      <c r="A40" s="25"/>
      <c r="B40" s="25"/>
      <c r="C40" s="25"/>
      <c r="D40" s="25"/>
      <c r="E40" s="25"/>
      <c r="F40" s="25"/>
      <c r="G40" s="25"/>
      <c r="H40" s="25"/>
      <c r="I40" s="25"/>
      <c r="J40" s="25"/>
      <c r="K40" s="25"/>
      <c r="L40" s="25"/>
      <c r="M40" s="25"/>
      <c r="N40" s="25"/>
      <c r="O40" s="25"/>
      <c r="P40" s="25"/>
      <c r="Q40" s="25"/>
    </row>
    <row r="41" spans="1:17" x14ac:dyDescent="0.2">
      <c r="A41" s="25"/>
      <c r="B41" s="25"/>
      <c r="C41" s="25"/>
      <c r="D41" s="25"/>
      <c r="E41" s="25"/>
      <c r="F41" s="25"/>
      <c r="G41" s="25"/>
      <c r="H41" s="25"/>
      <c r="I41" s="25"/>
      <c r="J41" s="25"/>
      <c r="K41" s="25"/>
      <c r="L41" s="25"/>
      <c r="M41" s="25"/>
      <c r="N41" s="25"/>
      <c r="O41" s="25"/>
      <c r="P41" s="25"/>
      <c r="Q41" s="25"/>
    </row>
    <row r="42" spans="1:17" x14ac:dyDescent="0.2">
      <c r="A42" s="25"/>
      <c r="B42" s="25"/>
      <c r="C42" s="25"/>
      <c r="D42" s="25"/>
      <c r="E42" s="25"/>
      <c r="F42" s="25"/>
      <c r="G42" s="25"/>
      <c r="H42" s="25"/>
      <c r="I42" s="25"/>
      <c r="J42" s="25"/>
      <c r="K42" s="25"/>
      <c r="L42" s="25"/>
      <c r="M42" s="25"/>
      <c r="N42" s="25"/>
      <c r="O42" s="25"/>
      <c r="P42" s="25"/>
      <c r="Q42" s="25"/>
    </row>
    <row r="43" spans="1:17" x14ac:dyDescent="0.2">
      <c r="A43" s="25"/>
      <c r="B43" s="25"/>
      <c r="C43" s="25"/>
      <c r="D43" s="25"/>
      <c r="E43" s="25"/>
      <c r="F43" s="25"/>
      <c r="G43" s="25"/>
      <c r="H43" s="25"/>
      <c r="I43" s="25"/>
      <c r="J43" s="25"/>
      <c r="K43" s="25"/>
      <c r="L43" s="25"/>
      <c r="M43" s="25"/>
      <c r="N43" s="25"/>
      <c r="O43" s="25"/>
      <c r="P43" s="25"/>
      <c r="Q43" s="25"/>
    </row>
    <row r="44" spans="1:17" x14ac:dyDescent="0.2">
      <c r="A44" s="25"/>
      <c r="B44" s="25"/>
      <c r="C44" s="25"/>
      <c r="D44" s="25"/>
      <c r="E44" s="25"/>
      <c r="F44" s="25"/>
      <c r="G44" s="25"/>
      <c r="H44" s="25"/>
      <c r="I44" s="25"/>
      <c r="J44" s="25"/>
      <c r="K44" s="25"/>
      <c r="L44" s="25"/>
      <c r="M44" s="25"/>
      <c r="N44" s="25"/>
      <c r="O44" s="25"/>
      <c r="P44" s="25"/>
      <c r="Q44" s="25"/>
    </row>
    <row r="45" spans="1:17" x14ac:dyDescent="0.2">
      <c r="A45" s="25"/>
      <c r="B45" s="25"/>
      <c r="C45" s="25"/>
      <c r="D45" s="25"/>
      <c r="E45" s="25"/>
      <c r="F45" s="25"/>
      <c r="G45" s="25"/>
      <c r="H45" s="25"/>
      <c r="I45" s="25"/>
      <c r="J45" s="25"/>
      <c r="K45" s="25"/>
      <c r="L45" s="25"/>
      <c r="M45" s="25"/>
      <c r="N45" s="25"/>
      <c r="O45" s="25"/>
      <c r="P45" s="25"/>
      <c r="Q45" s="25"/>
    </row>
    <row r="46" spans="1:17" x14ac:dyDescent="0.2">
      <c r="A46" s="25"/>
      <c r="B46" s="25"/>
      <c r="C46" s="25"/>
      <c r="D46" s="25"/>
      <c r="E46" s="25"/>
      <c r="F46" s="25"/>
      <c r="G46" s="25"/>
      <c r="H46" s="25"/>
      <c r="I46" s="25"/>
      <c r="J46" s="25"/>
      <c r="K46" s="25"/>
      <c r="L46" s="25"/>
      <c r="M46" s="25"/>
      <c r="N46" s="25"/>
      <c r="O46" s="25"/>
      <c r="P46" s="25"/>
      <c r="Q46" s="25"/>
    </row>
    <row r="47" spans="1:17" x14ac:dyDescent="0.2">
      <c r="A47" s="25"/>
      <c r="B47" s="25"/>
      <c r="C47" s="25"/>
      <c r="D47" s="25"/>
      <c r="E47" s="25"/>
      <c r="F47" s="25"/>
      <c r="G47" s="25"/>
      <c r="H47" s="25"/>
      <c r="I47" s="25"/>
      <c r="J47" s="25"/>
      <c r="K47" s="25"/>
      <c r="L47" s="25"/>
      <c r="M47" s="25"/>
      <c r="N47" s="25"/>
      <c r="O47" s="25"/>
      <c r="P47" s="25"/>
      <c r="Q47" s="25"/>
    </row>
    <row r="48" spans="1:17" x14ac:dyDescent="0.2">
      <c r="A48" s="25"/>
      <c r="B48" s="25"/>
      <c r="C48" s="25"/>
      <c r="D48" s="25"/>
      <c r="E48" s="25"/>
      <c r="F48" s="25"/>
      <c r="G48" s="25"/>
      <c r="H48" s="25"/>
      <c r="I48" s="25"/>
      <c r="J48" s="25"/>
      <c r="K48" s="25"/>
      <c r="L48" s="25"/>
      <c r="M48" s="25"/>
      <c r="N48" s="25"/>
      <c r="O48" s="25"/>
      <c r="P48" s="25"/>
      <c r="Q48" s="25"/>
    </row>
    <row r="49" spans="1:17" x14ac:dyDescent="0.2">
      <c r="A49" s="25"/>
      <c r="B49" s="25"/>
      <c r="C49" s="25"/>
      <c r="D49" s="25"/>
      <c r="E49" s="25"/>
      <c r="F49" s="25"/>
      <c r="G49" s="25"/>
      <c r="H49" s="25"/>
      <c r="I49" s="25"/>
      <c r="J49" s="25"/>
      <c r="K49" s="25"/>
      <c r="L49" s="25"/>
      <c r="M49" s="25"/>
      <c r="N49" s="25"/>
      <c r="O49" s="25"/>
      <c r="P49" s="25"/>
      <c r="Q49" s="25"/>
    </row>
    <row r="50" spans="1:17" x14ac:dyDescent="0.2">
      <c r="A50" s="25"/>
      <c r="B50" s="25"/>
      <c r="C50" s="25"/>
      <c r="D50" s="25"/>
      <c r="E50" s="25"/>
      <c r="F50" s="25"/>
      <c r="G50" s="25"/>
      <c r="H50" s="25"/>
      <c r="I50" s="25"/>
      <c r="J50" s="25"/>
      <c r="K50" s="25"/>
      <c r="L50" s="25"/>
      <c r="M50" s="25"/>
      <c r="N50" s="25"/>
      <c r="O50" s="25"/>
      <c r="P50" s="25"/>
      <c r="Q50" s="25"/>
    </row>
    <row r="51" spans="1:17" x14ac:dyDescent="0.2">
      <c r="A51" s="25"/>
      <c r="B51" s="25"/>
      <c r="C51" s="25"/>
      <c r="D51" s="25"/>
      <c r="E51" s="25"/>
      <c r="F51" s="25"/>
      <c r="G51" s="25"/>
      <c r="H51" s="25"/>
      <c r="I51" s="25"/>
      <c r="J51" s="25"/>
      <c r="K51" s="25"/>
      <c r="L51" s="25"/>
      <c r="M51" s="25"/>
      <c r="N51" s="25"/>
      <c r="O51" s="25"/>
      <c r="P51" s="25"/>
      <c r="Q51" s="25"/>
    </row>
    <row r="52" spans="1:17" x14ac:dyDescent="0.2">
      <c r="A52" s="25"/>
      <c r="B52" s="25"/>
      <c r="C52" s="25"/>
      <c r="D52" s="25"/>
      <c r="E52" s="25"/>
      <c r="F52" s="25"/>
      <c r="G52" s="25"/>
      <c r="H52" s="25"/>
      <c r="I52" s="25"/>
      <c r="J52" s="25"/>
      <c r="K52" s="25"/>
      <c r="L52" s="25"/>
      <c r="M52" s="25"/>
      <c r="N52" s="25"/>
      <c r="O52" s="25"/>
      <c r="P52" s="25"/>
      <c r="Q52" s="25"/>
    </row>
    <row r="53" spans="1:17" x14ac:dyDescent="0.2">
      <c r="A53" s="25"/>
      <c r="B53" s="25"/>
      <c r="C53" s="25"/>
      <c r="D53" s="25"/>
      <c r="E53" s="25"/>
      <c r="F53" s="25"/>
      <c r="G53" s="25"/>
      <c r="H53" s="25"/>
      <c r="I53" s="25"/>
      <c r="J53" s="25"/>
      <c r="K53" s="25"/>
      <c r="L53" s="25"/>
      <c r="M53" s="25"/>
      <c r="N53" s="25"/>
      <c r="O53" s="25"/>
      <c r="P53" s="25"/>
      <c r="Q53" s="25"/>
    </row>
    <row r="54" spans="1:17" x14ac:dyDescent="0.2">
      <c r="A54" s="25"/>
      <c r="B54" s="25"/>
      <c r="C54" s="25"/>
      <c r="D54" s="25"/>
      <c r="E54" s="25"/>
      <c r="F54" s="25"/>
      <c r="G54" s="25"/>
      <c r="H54" s="25"/>
      <c r="I54" s="25"/>
      <c r="J54" s="25"/>
      <c r="K54" s="25"/>
      <c r="L54" s="25"/>
      <c r="M54" s="25"/>
      <c r="N54" s="25"/>
      <c r="O54" s="25"/>
      <c r="P54" s="25"/>
      <c r="Q54" s="25"/>
    </row>
    <row r="55" spans="1:17" x14ac:dyDescent="0.2">
      <c r="A55" s="25"/>
      <c r="B55" s="25"/>
      <c r="C55" s="25"/>
      <c r="D55" s="25"/>
      <c r="E55" s="25"/>
      <c r="F55" s="25"/>
      <c r="G55" s="25"/>
      <c r="H55" s="25"/>
      <c r="I55" s="25"/>
      <c r="J55" s="25"/>
      <c r="K55" s="25"/>
      <c r="L55" s="25"/>
      <c r="M55" s="25"/>
      <c r="N55" s="25"/>
      <c r="O55" s="25"/>
      <c r="P55" s="25"/>
      <c r="Q55" s="25"/>
    </row>
    <row r="56" spans="1:17" x14ac:dyDescent="0.2">
      <c r="A56" s="25"/>
      <c r="B56" s="25"/>
      <c r="C56" s="25"/>
      <c r="D56" s="25"/>
      <c r="E56" s="25"/>
      <c r="F56" s="25"/>
      <c r="G56" s="25"/>
      <c r="H56" s="25"/>
      <c r="I56" s="25"/>
      <c r="J56" s="25"/>
      <c r="K56" s="25"/>
      <c r="L56" s="25"/>
      <c r="M56" s="25"/>
      <c r="N56" s="25"/>
      <c r="O56" s="25"/>
      <c r="P56" s="25"/>
      <c r="Q56" s="25"/>
    </row>
    <row r="57" spans="1:17" x14ac:dyDescent="0.2">
      <c r="A57" s="25"/>
      <c r="B57" s="25"/>
      <c r="C57" s="25"/>
      <c r="D57" s="25"/>
      <c r="E57" s="25"/>
      <c r="F57" s="25"/>
      <c r="G57" s="25"/>
      <c r="H57" s="25"/>
      <c r="I57" s="25"/>
      <c r="J57" s="25"/>
      <c r="K57" s="25"/>
      <c r="L57" s="25"/>
      <c r="M57" s="25"/>
      <c r="N57" s="25"/>
      <c r="O57" s="25"/>
      <c r="P57" s="25"/>
      <c r="Q57" s="25"/>
    </row>
    <row r="58" spans="1:17" x14ac:dyDescent="0.2">
      <c r="A58" s="25"/>
      <c r="B58" s="25"/>
      <c r="C58" s="25"/>
      <c r="D58" s="25"/>
      <c r="E58" s="25"/>
      <c r="F58" s="25"/>
      <c r="G58" s="25"/>
      <c r="H58" s="25"/>
      <c r="I58" s="25"/>
      <c r="J58" s="25"/>
      <c r="K58" s="25"/>
      <c r="L58" s="25"/>
      <c r="M58" s="25"/>
      <c r="N58" s="25"/>
      <c r="O58" s="25"/>
      <c r="P58" s="25"/>
      <c r="Q58" s="25"/>
    </row>
    <row r="59" spans="1:17" x14ac:dyDescent="0.2">
      <c r="A59" s="25"/>
      <c r="B59" s="25"/>
      <c r="C59" s="25"/>
      <c r="D59" s="25"/>
      <c r="E59" s="25"/>
      <c r="F59" s="25"/>
      <c r="G59" s="25"/>
      <c r="H59" s="25"/>
      <c r="I59" s="25"/>
      <c r="J59" s="25"/>
      <c r="K59" s="25"/>
      <c r="L59" s="25"/>
      <c r="M59" s="25"/>
      <c r="N59" s="25"/>
      <c r="O59" s="25"/>
      <c r="P59" s="25"/>
      <c r="Q59" s="25"/>
    </row>
    <row r="60" spans="1:17" x14ac:dyDescent="0.2">
      <c r="A60" s="25"/>
      <c r="B60" s="25"/>
      <c r="C60" s="25"/>
      <c r="D60" s="25"/>
      <c r="E60" s="25"/>
      <c r="F60" s="25"/>
      <c r="G60" s="25"/>
      <c r="H60" s="25"/>
      <c r="I60" s="25"/>
      <c r="J60" s="25"/>
      <c r="K60" s="25"/>
      <c r="L60" s="25"/>
      <c r="M60" s="25"/>
      <c r="N60" s="25"/>
      <c r="O60" s="25"/>
      <c r="P60" s="25"/>
      <c r="Q60" s="25"/>
    </row>
    <row r="61" spans="1:17" x14ac:dyDescent="0.2">
      <c r="A61" s="25"/>
      <c r="B61" s="25"/>
      <c r="C61" s="25"/>
      <c r="D61" s="25"/>
      <c r="E61" s="25"/>
      <c r="F61" s="25"/>
      <c r="G61" s="25"/>
      <c r="H61" s="25"/>
      <c r="I61" s="25"/>
      <c r="J61" s="25"/>
      <c r="K61" s="25"/>
      <c r="L61" s="25"/>
      <c r="M61" s="25"/>
      <c r="N61" s="25"/>
      <c r="O61" s="25"/>
      <c r="P61" s="25"/>
      <c r="Q61" s="25"/>
    </row>
    <row r="62" spans="1:17" x14ac:dyDescent="0.2">
      <c r="A62" s="25"/>
      <c r="B62" s="25"/>
      <c r="C62" s="25"/>
      <c r="D62" s="25"/>
      <c r="E62" s="25"/>
      <c r="F62" s="25"/>
      <c r="G62" s="25"/>
      <c r="H62" s="25"/>
      <c r="I62" s="25"/>
      <c r="J62" s="25"/>
      <c r="K62" s="25"/>
      <c r="L62" s="25"/>
      <c r="M62" s="25"/>
      <c r="N62" s="25"/>
      <c r="O62" s="25"/>
      <c r="P62" s="25"/>
      <c r="Q62" s="25"/>
    </row>
    <row r="63" spans="1:17" x14ac:dyDescent="0.2">
      <c r="A63" s="25"/>
      <c r="B63" s="25"/>
      <c r="C63" s="25"/>
      <c r="D63" s="25"/>
      <c r="E63" s="25"/>
      <c r="F63" s="25"/>
      <c r="G63" s="25"/>
      <c r="H63" s="25"/>
      <c r="I63" s="25"/>
      <c r="J63" s="25"/>
      <c r="K63" s="25"/>
      <c r="L63" s="25"/>
      <c r="M63" s="25"/>
      <c r="N63" s="25"/>
      <c r="O63" s="25"/>
      <c r="P63" s="25"/>
      <c r="Q63" s="25"/>
    </row>
    <row r="64" spans="1:17" x14ac:dyDescent="0.2">
      <c r="A64" s="25"/>
      <c r="B64" s="25"/>
      <c r="C64" s="25"/>
      <c r="D64" s="25"/>
      <c r="E64" s="25"/>
      <c r="F64" s="25"/>
      <c r="G64" s="25"/>
      <c r="H64" s="25"/>
      <c r="I64" s="25"/>
      <c r="J64" s="25"/>
      <c r="K64" s="25"/>
      <c r="L64" s="25"/>
      <c r="M64" s="25"/>
      <c r="N64" s="25"/>
      <c r="O64" s="25"/>
      <c r="P64" s="25"/>
      <c r="Q64" s="25"/>
    </row>
    <row r="65" spans="1:17" x14ac:dyDescent="0.2">
      <c r="A65" s="25"/>
      <c r="B65" s="25"/>
      <c r="C65" s="25"/>
      <c r="D65" s="25"/>
      <c r="E65" s="25"/>
      <c r="F65" s="25"/>
      <c r="G65" s="25"/>
      <c r="H65" s="25"/>
      <c r="I65" s="25"/>
      <c r="J65" s="25"/>
      <c r="K65" s="25"/>
      <c r="L65" s="25"/>
      <c r="M65" s="25"/>
      <c r="N65" s="25"/>
      <c r="O65" s="25"/>
      <c r="P65" s="25"/>
      <c r="Q65" s="25"/>
    </row>
    <row r="66" spans="1:17" x14ac:dyDescent="0.2">
      <c r="A66" s="25"/>
      <c r="B66" s="25"/>
      <c r="C66" s="25"/>
      <c r="D66" s="25"/>
      <c r="E66" s="25"/>
      <c r="F66" s="25"/>
      <c r="G66" s="25"/>
      <c r="H66" s="25"/>
      <c r="I66" s="25"/>
      <c r="J66" s="25"/>
      <c r="K66" s="25"/>
      <c r="L66" s="25"/>
      <c r="M66" s="25"/>
      <c r="N66" s="25"/>
      <c r="O66" s="25"/>
      <c r="P66" s="25"/>
      <c r="Q66" s="25"/>
    </row>
    <row r="67" spans="1:17" x14ac:dyDescent="0.2">
      <c r="A67" s="25"/>
      <c r="B67" s="25"/>
      <c r="C67" s="25"/>
      <c r="D67" s="25"/>
      <c r="E67" s="25"/>
      <c r="F67" s="25"/>
      <c r="G67" s="25"/>
      <c r="H67" s="25"/>
      <c r="I67" s="25"/>
      <c r="J67" s="25"/>
      <c r="K67" s="25"/>
      <c r="L67" s="25"/>
      <c r="M67" s="25"/>
      <c r="N67" s="25"/>
      <c r="O67" s="25"/>
      <c r="P67" s="25"/>
      <c r="Q67" s="25"/>
    </row>
    <row r="68" spans="1:17" x14ac:dyDescent="0.2">
      <c r="A68" s="25"/>
      <c r="B68" s="25"/>
      <c r="C68" s="25"/>
      <c r="D68" s="25"/>
      <c r="E68" s="25"/>
      <c r="F68" s="25"/>
      <c r="G68" s="25"/>
      <c r="H68" s="25"/>
      <c r="I68" s="25"/>
      <c r="J68" s="25"/>
      <c r="K68" s="25"/>
      <c r="L68" s="25"/>
      <c r="M68" s="25"/>
      <c r="N68" s="25"/>
      <c r="O68" s="25"/>
      <c r="P68" s="25"/>
      <c r="Q68" s="25"/>
    </row>
    <row r="69" spans="1:17" x14ac:dyDescent="0.2">
      <c r="A69" s="25"/>
      <c r="B69" s="25"/>
      <c r="C69" s="25"/>
      <c r="D69" s="25"/>
      <c r="E69" s="25"/>
      <c r="F69" s="25"/>
      <c r="G69" s="25"/>
      <c r="H69" s="25"/>
      <c r="I69" s="25"/>
      <c r="J69" s="25"/>
      <c r="K69" s="25"/>
      <c r="L69" s="25"/>
      <c r="M69" s="25"/>
      <c r="N69" s="25"/>
      <c r="O69" s="25"/>
      <c r="P69" s="25"/>
      <c r="Q69" s="25"/>
    </row>
    <row r="70" spans="1:17" x14ac:dyDescent="0.2">
      <c r="A70" s="25"/>
      <c r="B70" s="25"/>
      <c r="C70" s="25"/>
      <c r="D70" s="25"/>
      <c r="E70" s="25"/>
      <c r="F70" s="25"/>
      <c r="G70" s="25"/>
      <c r="H70" s="25"/>
      <c r="I70" s="25"/>
      <c r="J70" s="25"/>
      <c r="K70" s="25"/>
      <c r="L70" s="25"/>
      <c r="M70" s="25"/>
      <c r="N70" s="25"/>
      <c r="O70" s="25"/>
      <c r="P70" s="25"/>
      <c r="Q70" s="25"/>
    </row>
    <row r="71" spans="1:17" x14ac:dyDescent="0.2">
      <c r="A71" s="25"/>
      <c r="B71" s="25"/>
      <c r="C71" s="25"/>
      <c r="D71" s="25"/>
      <c r="E71" s="25"/>
      <c r="F71" s="25"/>
      <c r="G71" s="25"/>
      <c r="H71" s="25"/>
      <c r="I71" s="25"/>
      <c r="J71" s="25"/>
      <c r="K71" s="25"/>
      <c r="L71" s="25"/>
      <c r="M71" s="25"/>
      <c r="N71" s="25"/>
      <c r="O71" s="25"/>
      <c r="P71" s="25"/>
      <c r="Q71" s="25"/>
    </row>
    <row r="72" spans="1:17" x14ac:dyDescent="0.2">
      <c r="A72" s="25"/>
      <c r="B72" s="25"/>
      <c r="C72" s="25"/>
      <c r="D72" s="25"/>
      <c r="E72" s="25"/>
      <c r="F72" s="25"/>
      <c r="G72" s="25"/>
      <c r="H72" s="25"/>
      <c r="I72" s="25"/>
      <c r="J72" s="25"/>
      <c r="K72" s="25"/>
      <c r="L72" s="25"/>
      <c r="M72" s="25"/>
      <c r="N72" s="25"/>
      <c r="O72" s="25"/>
      <c r="P72" s="25"/>
      <c r="Q72" s="25"/>
    </row>
    <row r="73" spans="1:17" x14ac:dyDescent="0.2">
      <c r="A73" s="25"/>
      <c r="B73" s="25"/>
      <c r="C73" s="25"/>
      <c r="D73" s="25"/>
      <c r="E73" s="25"/>
      <c r="F73" s="25"/>
      <c r="G73" s="25"/>
      <c r="H73" s="25"/>
      <c r="I73" s="25"/>
      <c r="J73" s="25"/>
      <c r="K73" s="25"/>
      <c r="L73" s="25"/>
      <c r="M73" s="25"/>
      <c r="N73" s="25"/>
      <c r="O73" s="25"/>
      <c r="P73" s="25"/>
      <c r="Q73" s="25"/>
    </row>
    <row r="74" spans="1:17" x14ac:dyDescent="0.2">
      <c r="A74" s="25"/>
      <c r="B74" s="25"/>
      <c r="C74" s="25"/>
      <c r="D74" s="25"/>
      <c r="E74" s="25"/>
      <c r="F74" s="25"/>
      <c r="G74" s="25"/>
      <c r="H74" s="25"/>
      <c r="I74" s="25"/>
      <c r="J74" s="25"/>
      <c r="K74" s="25"/>
      <c r="L74" s="25"/>
      <c r="M74" s="25"/>
      <c r="N74" s="25"/>
      <c r="O74" s="25"/>
      <c r="P74" s="25"/>
      <c r="Q74" s="25"/>
    </row>
    <row r="75" spans="1:17" x14ac:dyDescent="0.2">
      <c r="A75" s="25"/>
      <c r="B75" s="25"/>
      <c r="C75" s="25"/>
      <c r="D75" s="25"/>
      <c r="E75" s="25"/>
      <c r="F75" s="25"/>
      <c r="G75" s="25"/>
      <c r="H75" s="25"/>
      <c r="I75" s="25"/>
      <c r="J75" s="25"/>
      <c r="K75" s="25"/>
      <c r="L75" s="25"/>
      <c r="M75" s="25"/>
      <c r="N75" s="25"/>
      <c r="O75" s="25"/>
      <c r="P75" s="25"/>
      <c r="Q75" s="25"/>
    </row>
    <row r="76" spans="1:17" x14ac:dyDescent="0.2">
      <c r="A76" s="25"/>
      <c r="B76" s="25"/>
      <c r="C76" s="25"/>
      <c r="D76" s="25"/>
      <c r="E76" s="25"/>
      <c r="F76" s="25"/>
      <c r="G76" s="25"/>
      <c r="H76" s="25"/>
      <c r="I76" s="25"/>
      <c r="J76" s="25"/>
      <c r="K76" s="25"/>
      <c r="L76" s="25"/>
      <c r="M76" s="25"/>
      <c r="N76" s="25"/>
      <c r="O76" s="25"/>
      <c r="P76" s="25"/>
      <c r="Q76" s="25"/>
    </row>
    <row r="77" spans="1:17" x14ac:dyDescent="0.2">
      <c r="A77" s="25"/>
      <c r="B77" s="25"/>
      <c r="C77" s="25"/>
      <c r="D77" s="25"/>
      <c r="E77" s="25"/>
      <c r="F77" s="25"/>
      <c r="G77" s="25"/>
      <c r="H77" s="25"/>
      <c r="I77" s="25"/>
      <c r="J77" s="25"/>
      <c r="K77" s="25"/>
      <c r="L77" s="25"/>
      <c r="M77" s="25"/>
      <c r="N77" s="25"/>
      <c r="O77" s="25"/>
      <c r="P77" s="25"/>
      <c r="Q77" s="25"/>
    </row>
    <row r="78" spans="1:17" x14ac:dyDescent="0.2">
      <c r="A78" s="25"/>
      <c r="B78" s="25"/>
      <c r="C78" s="25"/>
      <c r="D78" s="25"/>
      <c r="E78" s="25"/>
      <c r="F78" s="25"/>
      <c r="G78" s="25"/>
      <c r="H78" s="25"/>
      <c r="I78" s="25"/>
      <c r="J78" s="25"/>
      <c r="K78" s="25"/>
      <c r="L78" s="25"/>
      <c r="M78" s="25"/>
      <c r="N78" s="25"/>
      <c r="O78" s="25"/>
      <c r="P78" s="25"/>
      <c r="Q78" s="25"/>
    </row>
    <row r="79" spans="1:17" x14ac:dyDescent="0.2">
      <c r="A79" s="25"/>
      <c r="B79" s="25"/>
      <c r="C79" s="25"/>
      <c r="D79" s="25"/>
      <c r="E79" s="25"/>
      <c r="F79" s="25"/>
      <c r="G79" s="25"/>
      <c r="H79" s="25"/>
      <c r="I79" s="25"/>
      <c r="J79" s="25"/>
      <c r="K79" s="25"/>
      <c r="L79" s="25"/>
      <c r="M79" s="25"/>
      <c r="N79" s="25"/>
      <c r="O79" s="25"/>
      <c r="P79" s="25"/>
      <c r="Q79" s="25"/>
    </row>
    <row r="80" spans="1:17" x14ac:dyDescent="0.2">
      <c r="A80" s="25"/>
      <c r="B80" s="25"/>
      <c r="C80" s="25"/>
      <c r="D80" s="25"/>
      <c r="E80" s="25"/>
      <c r="F80" s="25"/>
      <c r="G80" s="25"/>
      <c r="H80" s="25"/>
      <c r="I80" s="25"/>
      <c r="J80" s="25"/>
      <c r="K80" s="25"/>
      <c r="L80" s="25"/>
      <c r="M80" s="25"/>
      <c r="N80" s="25"/>
      <c r="O80" s="25"/>
      <c r="P80" s="25"/>
      <c r="Q80" s="25"/>
    </row>
    <row r="81" spans="1:17" x14ac:dyDescent="0.2">
      <c r="A81" s="25"/>
      <c r="B81" s="25"/>
      <c r="C81" s="25"/>
      <c r="D81" s="25"/>
      <c r="E81" s="25"/>
      <c r="F81" s="25"/>
      <c r="G81" s="25"/>
      <c r="H81" s="25"/>
      <c r="I81" s="25"/>
      <c r="J81" s="25"/>
      <c r="K81" s="25"/>
      <c r="L81" s="25"/>
      <c r="M81" s="25"/>
      <c r="N81" s="25"/>
      <c r="O81" s="25"/>
      <c r="P81" s="25"/>
      <c r="Q81" s="25"/>
    </row>
    <row r="82" spans="1:17" x14ac:dyDescent="0.2">
      <c r="A82" s="25"/>
      <c r="B82" s="25"/>
      <c r="C82" s="25"/>
      <c r="D82" s="25"/>
      <c r="E82" s="25"/>
      <c r="F82" s="25"/>
      <c r="G82" s="25"/>
      <c r="H82" s="25"/>
      <c r="I82" s="25"/>
      <c r="J82" s="25"/>
      <c r="K82" s="25"/>
      <c r="L82" s="25"/>
      <c r="M82" s="25"/>
      <c r="N82" s="25"/>
      <c r="O82" s="25"/>
      <c r="P82" s="25"/>
      <c r="Q82" s="25"/>
    </row>
    <row r="83" spans="1:17" x14ac:dyDescent="0.2">
      <c r="A83" s="25"/>
      <c r="B83" s="25"/>
      <c r="C83" s="25"/>
      <c r="D83" s="25"/>
      <c r="E83" s="25"/>
      <c r="F83" s="25"/>
      <c r="G83" s="25"/>
      <c r="H83" s="25"/>
      <c r="I83" s="25"/>
      <c r="J83" s="25"/>
      <c r="K83" s="25"/>
      <c r="L83" s="25"/>
      <c r="M83" s="25"/>
      <c r="N83" s="25"/>
      <c r="O83" s="25"/>
      <c r="P83" s="25"/>
      <c r="Q83" s="25"/>
    </row>
    <row r="84" spans="1:17" x14ac:dyDescent="0.2">
      <c r="A84" s="25"/>
      <c r="B84" s="25"/>
      <c r="C84" s="25"/>
      <c r="D84" s="25"/>
      <c r="E84" s="25"/>
      <c r="F84" s="25"/>
      <c r="G84" s="25"/>
      <c r="H84" s="25"/>
      <c r="I84" s="25"/>
      <c r="J84" s="25"/>
      <c r="K84" s="25"/>
      <c r="L84" s="25"/>
      <c r="M84" s="25"/>
      <c r="N84" s="25"/>
      <c r="O84" s="25"/>
      <c r="P84" s="25"/>
      <c r="Q84" s="25"/>
    </row>
    <row r="85" spans="1:17" x14ac:dyDescent="0.2">
      <c r="A85" s="25"/>
      <c r="B85" s="25"/>
      <c r="C85" s="25"/>
      <c r="D85" s="25"/>
      <c r="E85" s="25"/>
      <c r="F85" s="25"/>
      <c r="G85" s="25"/>
      <c r="H85" s="25"/>
      <c r="I85" s="25"/>
      <c r="J85" s="25"/>
      <c r="K85" s="25"/>
      <c r="L85" s="25"/>
      <c r="M85" s="25"/>
      <c r="N85" s="25"/>
      <c r="O85" s="25"/>
      <c r="P85" s="25"/>
      <c r="Q85" s="25"/>
    </row>
    <row r="86" spans="1:17" x14ac:dyDescent="0.2">
      <c r="A86" s="25"/>
      <c r="B86" s="25"/>
      <c r="C86" s="25"/>
      <c r="D86" s="25"/>
      <c r="E86" s="25"/>
      <c r="F86" s="25"/>
      <c r="G86" s="25"/>
      <c r="H86" s="25"/>
      <c r="I86" s="25"/>
      <c r="J86" s="25"/>
      <c r="K86" s="25"/>
      <c r="L86" s="25"/>
      <c r="M86" s="25"/>
      <c r="N86" s="25"/>
      <c r="O86" s="25"/>
      <c r="P86" s="25"/>
      <c r="Q86" s="25"/>
    </row>
    <row r="87" spans="1:17" x14ac:dyDescent="0.2">
      <c r="A87" s="25"/>
      <c r="B87" s="25"/>
      <c r="C87" s="25"/>
      <c r="D87" s="25"/>
      <c r="E87" s="25"/>
      <c r="F87" s="25"/>
      <c r="G87" s="25"/>
      <c r="H87" s="25"/>
      <c r="I87" s="25"/>
      <c r="J87" s="25"/>
      <c r="K87" s="25"/>
      <c r="L87" s="25"/>
      <c r="M87" s="25"/>
      <c r="N87" s="25"/>
      <c r="O87" s="25"/>
      <c r="P87" s="25"/>
      <c r="Q87" s="25"/>
    </row>
    <row r="88" spans="1:17" x14ac:dyDescent="0.2">
      <c r="A88" s="25"/>
      <c r="B88" s="25"/>
      <c r="C88" s="25"/>
      <c r="D88" s="25"/>
      <c r="E88" s="25"/>
      <c r="F88" s="25"/>
      <c r="G88" s="25"/>
      <c r="H88" s="25"/>
      <c r="I88" s="25"/>
      <c r="J88" s="25"/>
      <c r="K88" s="25"/>
      <c r="L88" s="25"/>
      <c r="M88" s="25"/>
      <c r="N88" s="25"/>
      <c r="O88" s="25"/>
      <c r="P88" s="25"/>
      <c r="Q88" s="25"/>
    </row>
    <row r="89" spans="1:17" x14ac:dyDescent="0.2">
      <c r="A89" s="25"/>
      <c r="B89" s="25"/>
      <c r="C89" s="25"/>
      <c r="D89" s="25"/>
      <c r="E89" s="25"/>
      <c r="F89" s="25"/>
      <c r="G89" s="25"/>
      <c r="H89" s="25"/>
      <c r="I89" s="25"/>
      <c r="J89" s="25"/>
      <c r="K89" s="25"/>
      <c r="L89" s="25"/>
      <c r="M89" s="25"/>
      <c r="N89" s="25"/>
      <c r="O89" s="25"/>
      <c r="P89" s="25"/>
      <c r="Q89" s="25"/>
    </row>
    <row r="90" spans="1:17" x14ac:dyDescent="0.2">
      <c r="A90" s="25"/>
      <c r="B90" s="25"/>
      <c r="C90" s="25"/>
      <c r="D90" s="25"/>
      <c r="E90" s="25"/>
      <c r="F90" s="25"/>
      <c r="G90" s="25"/>
      <c r="H90" s="25"/>
      <c r="I90" s="25"/>
      <c r="J90" s="25"/>
      <c r="K90" s="25"/>
      <c r="L90" s="25"/>
      <c r="M90" s="25"/>
      <c r="N90" s="25"/>
      <c r="O90" s="25"/>
      <c r="P90" s="25"/>
      <c r="Q90" s="25"/>
    </row>
    <row r="91" spans="1:17" x14ac:dyDescent="0.2">
      <c r="A91" s="25"/>
      <c r="B91" s="25"/>
      <c r="C91" s="25"/>
      <c r="D91" s="25"/>
      <c r="E91" s="25"/>
      <c r="F91" s="25"/>
      <c r="G91" s="25"/>
      <c r="H91" s="25"/>
      <c r="I91" s="25"/>
      <c r="J91" s="25"/>
      <c r="K91" s="25"/>
      <c r="L91" s="25"/>
      <c r="M91" s="25"/>
      <c r="N91" s="25"/>
      <c r="O91" s="25"/>
      <c r="P91" s="25"/>
      <c r="Q91" s="25"/>
    </row>
    <row r="92" spans="1:17" x14ac:dyDescent="0.2">
      <c r="A92" s="25"/>
      <c r="B92" s="25"/>
      <c r="C92" s="25"/>
      <c r="D92" s="25"/>
      <c r="E92" s="25"/>
      <c r="F92" s="25"/>
      <c r="G92" s="25"/>
      <c r="H92" s="25"/>
      <c r="I92" s="25"/>
      <c r="J92" s="25"/>
      <c r="K92" s="25"/>
      <c r="L92" s="25"/>
      <c r="M92" s="25"/>
      <c r="N92" s="25"/>
      <c r="O92" s="25"/>
      <c r="P92" s="25"/>
      <c r="Q92" s="25"/>
    </row>
    <row r="93" spans="1:17" x14ac:dyDescent="0.2">
      <c r="A93" s="25"/>
      <c r="B93" s="25"/>
      <c r="C93" s="25"/>
      <c r="D93" s="25"/>
      <c r="E93" s="25"/>
      <c r="F93" s="25"/>
      <c r="G93" s="25"/>
      <c r="H93" s="25"/>
      <c r="I93" s="25"/>
      <c r="J93" s="25"/>
      <c r="K93" s="25"/>
      <c r="L93" s="25"/>
      <c r="M93" s="25"/>
      <c r="N93" s="25"/>
      <c r="O93" s="25"/>
      <c r="P93" s="25"/>
      <c r="Q93" s="25"/>
    </row>
    <row r="94" spans="1:17" x14ac:dyDescent="0.2">
      <c r="A94" s="25"/>
      <c r="B94" s="25"/>
      <c r="C94" s="25"/>
      <c r="D94" s="25"/>
      <c r="E94" s="25"/>
      <c r="F94" s="25"/>
      <c r="G94" s="25"/>
      <c r="H94" s="25"/>
      <c r="I94" s="25"/>
      <c r="J94" s="25"/>
      <c r="K94" s="25"/>
      <c r="L94" s="25"/>
      <c r="M94" s="25"/>
      <c r="N94" s="25"/>
      <c r="O94" s="25"/>
      <c r="P94" s="25"/>
      <c r="Q94" s="25"/>
    </row>
    <row r="95" spans="1:17" x14ac:dyDescent="0.2">
      <c r="A95" s="25"/>
      <c r="B95" s="25"/>
      <c r="C95" s="25"/>
      <c r="D95" s="25"/>
      <c r="E95" s="25"/>
      <c r="F95" s="25"/>
      <c r="G95" s="25"/>
      <c r="H95" s="25"/>
      <c r="I95" s="25"/>
      <c r="J95" s="25"/>
      <c r="K95" s="25"/>
      <c r="L95" s="25"/>
      <c r="M95" s="25"/>
      <c r="N95" s="25"/>
      <c r="O95" s="25"/>
      <c r="P95" s="25"/>
      <c r="Q95" s="25"/>
    </row>
    <row r="96" spans="1:17" x14ac:dyDescent="0.2">
      <c r="A96" s="25"/>
      <c r="B96" s="25"/>
      <c r="C96" s="25"/>
      <c r="D96" s="25"/>
      <c r="E96" s="25"/>
      <c r="F96" s="25"/>
      <c r="G96" s="25"/>
      <c r="H96" s="25"/>
      <c r="I96" s="25"/>
      <c r="J96" s="25"/>
      <c r="K96" s="25"/>
      <c r="L96" s="25"/>
      <c r="M96" s="25"/>
      <c r="N96" s="25"/>
      <c r="O96" s="25"/>
      <c r="P96" s="25"/>
      <c r="Q96" s="25"/>
    </row>
    <row r="97" spans="1:17" x14ac:dyDescent="0.2">
      <c r="A97" s="25"/>
      <c r="B97" s="25"/>
      <c r="C97" s="25"/>
      <c r="D97" s="25"/>
      <c r="E97" s="25"/>
      <c r="F97" s="25"/>
      <c r="G97" s="25"/>
      <c r="H97" s="25"/>
      <c r="I97" s="25"/>
      <c r="J97" s="25"/>
      <c r="K97" s="25"/>
      <c r="L97" s="25"/>
      <c r="M97" s="25"/>
      <c r="N97" s="25"/>
      <c r="O97" s="25"/>
      <c r="P97" s="25"/>
      <c r="Q97" s="25"/>
    </row>
    <row r="98" spans="1:17" x14ac:dyDescent="0.2">
      <c r="A98" s="25"/>
      <c r="B98" s="25"/>
      <c r="C98" s="25"/>
      <c r="D98" s="25"/>
      <c r="E98" s="25"/>
      <c r="F98" s="25"/>
      <c r="G98" s="25"/>
      <c r="H98" s="25"/>
      <c r="I98" s="25"/>
      <c r="J98" s="25"/>
      <c r="K98" s="25"/>
      <c r="L98" s="25"/>
      <c r="M98" s="25"/>
      <c r="N98" s="25"/>
      <c r="O98" s="25"/>
      <c r="P98" s="25"/>
      <c r="Q98" s="25"/>
    </row>
    <row r="99" spans="1:17" x14ac:dyDescent="0.2">
      <c r="A99" s="25"/>
      <c r="B99" s="25"/>
      <c r="C99" s="25"/>
      <c r="D99" s="25"/>
      <c r="E99" s="25"/>
      <c r="F99" s="25"/>
      <c r="G99" s="25"/>
      <c r="H99" s="25"/>
      <c r="I99" s="25"/>
      <c r="J99" s="25"/>
      <c r="K99" s="25"/>
      <c r="L99" s="25"/>
      <c r="M99" s="25"/>
      <c r="N99" s="25"/>
      <c r="O99" s="25"/>
      <c r="P99" s="25"/>
      <c r="Q99" s="25"/>
    </row>
    <row r="100" spans="1:17" x14ac:dyDescent="0.2">
      <c r="A100" s="25"/>
      <c r="B100" s="25"/>
      <c r="C100" s="25"/>
      <c r="D100" s="25"/>
      <c r="E100" s="25"/>
      <c r="F100" s="25"/>
      <c r="G100" s="25"/>
      <c r="H100" s="25"/>
      <c r="I100" s="25"/>
      <c r="J100" s="25"/>
      <c r="K100" s="25"/>
      <c r="L100" s="25"/>
      <c r="M100" s="25"/>
      <c r="N100" s="25"/>
      <c r="O100" s="25"/>
      <c r="P100" s="25"/>
      <c r="Q100" s="25"/>
    </row>
    <row r="101" spans="1:17" x14ac:dyDescent="0.2">
      <c r="A101" s="25"/>
      <c r="B101" s="25"/>
      <c r="C101" s="25"/>
      <c r="D101" s="25"/>
      <c r="E101" s="25"/>
      <c r="F101" s="25"/>
      <c r="G101" s="25"/>
      <c r="H101" s="25"/>
      <c r="I101" s="25"/>
      <c r="J101" s="25"/>
      <c r="K101" s="25"/>
      <c r="L101" s="25"/>
      <c r="M101" s="25"/>
      <c r="N101" s="25"/>
      <c r="O101" s="25"/>
      <c r="P101" s="25"/>
      <c r="Q101" s="25"/>
    </row>
    <row r="102" spans="1:17" x14ac:dyDescent="0.2">
      <c r="A102" s="25"/>
      <c r="B102" s="25"/>
      <c r="C102" s="25"/>
      <c r="D102" s="25"/>
      <c r="E102" s="25"/>
      <c r="F102" s="25"/>
      <c r="G102" s="25"/>
      <c r="H102" s="25"/>
      <c r="I102" s="25"/>
      <c r="J102" s="25"/>
      <c r="K102" s="25"/>
      <c r="L102" s="25"/>
      <c r="M102" s="25"/>
      <c r="N102" s="25"/>
      <c r="O102" s="25"/>
      <c r="P102" s="25"/>
      <c r="Q102" s="25"/>
    </row>
    <row r="103" spans="1:17" x14ac:dyDescent="0.2">
      <c r="A103" s="25"/>
      <c r="B103" s="25"/>
      <c r="C103" s="25"/>
      <c r="D103" s="25"/>
      <c r="E103" s="25"/>
      <c r="F103" s="25"/>
      <c r="G103" s="25"/>
      <c r="H103" s="25"/>
      <c r="I103" s="25"/>
      <c r="J103" s="25"/>
      <c r="K103" s="25"/>
      <c r="L103" s="25"/>
      <c r="M103" s="25"/>
      <c r="N103" s="25"/>
      <c r="O103" s="25"/>
      <c r="P103" s="25"/>
      <c r="Q103" s="25"/>
    </row>
    <row r="104" spans="1:17" x14ac:dyDescent="0.2">
      <c r="A104" s="25"/>
      <c r="B104" s="25"/>
      <c r="C104" s="25"/>
      <c r="D104" s="25"/>
      <c r="E104" s="25"/>
      <c r="F104" s="25"/>
      <c r="G104" s="25"/>
      <c r="H104" s="25"/>
      <c r="I104" s="25"/>
      <c r="J104" s="25"/>
      <c r="K104" s="25"/>
      <c r="L104" s="25"/>
      <c r="M104" s="25"/>
      <c r="N104" s="25"/>
      <c r="O104" s="25"/>
      <c r="P104" s="25"/>
      <c r="Q104" s="25"/>
    </row>
    <row r="105" spans="1:17" x14ac:dyDescent="0.2">
      <c r="A105" s="25"/>
      <c r="B105" s="25"/>
      <c r="C105" s="25"/>
      <c r="D105" s="25"/>
      <c r="E105" s="25"/>
      <c r="F105" s="25"/>
      <c r="G105" s="25"/>
      <c r="H105" s="25"/>
      <c r="I105" s="25"/>
      <c r="J105" s="25"/>
      <c r="K105" s="25"/>
      <c r="L105" s="25"/>
      <c r="M105" s="25"/>
      <c r="N105" s="25"/>
      <c r="O105" s="25"/>
      <c r="P105" s="25"/>
      <c r="Q105" s="25"/>
    </row>
    <row r="106" spans="1:17" x14ac:dyDescent="0.2">
      <c r="A106" s="25"/>
      <c r="B106" s="25"/>
      <c r="C106" s="25"/>
      <c r="D106" s="25"/>
      <c r="E106" s="25"/>
      <c r="F106" s="25"/>
      <c r="G106" s="25"/>
      <c r="H106" s="25"/>
      <c r="I106" s="25"/>
      <c r="J106" s="25"/>
      <c r="K106" s="25"/>
      <c r="L106" s="25"/>
      <c r="M106" s="25"/>
      <c r="N106" s="25"/>
      <c r="O106" s="25"/>
      <c r="P106" s="25"/>
      <c r="Q106" s="25"/>
    </row>
    <row r="107" spans="1:17" x14ac:dyDescent="0.2">
      <c r="A107" s="25"/>
      <c r="B107" s="25"/>
      <c r="C107" s="25"/>
      <c r="D107" s="25"/>
      <c r="E107" s="25"/>
      <c r="F107" s="25"/>
      <c r="G107" s="25"/>
      <c r="H107" s="25"/>
      <c r="I107" s="25"/>
      <c r="J107" s="25"/>
      <c r="K107" s="25"/>
      <c r="L107" s="25"/>
      <c r="M107" s="25"/>
      <c r="N107" s="25"/>
      <c r="O107" s="25"/>
      <c r="P107" s="25"/>
      <c r="Q107" s="25"/>
    </row>
    <row r="108" spans="1:17" x14ac:dyDescent="0.2">
      <c r="A108" s="25"/>
      <c r="B108" s="25"/>
      <c r="C108" s="25"/>
      <c r="D108" s="25"/>
      <c r="E108" s="25"/>
      <c r="F108" s="25"/>
      <c r="G108" s="25"/>
      <c r="H108" s="25"/>
      <c r="I108" s="25"/>
      <c r="J108" s="25"/>
      <c r="K108" s="25"/>
      <c r="L108" s="25"/>
      <c r="M108" s="25"/>
      <c r="N108" s="25"/>
      <c r="O108" s="25"/>
      <c r="P108" s="25"/>
      <c r="Q108" s="25"/>
    </row>
    <row r="109" spans="1:17" x14ac:dyDescent="0.2">
      <c r="A109" s="25"/>
      <c r="B109" s="25"/>
      <c r="C109" s="25"/>
      <c r="D109" s="25"/>
      <c r="E109" s="25"/>
      <c r="F109" s="25"/>
      <c r="G109" s="25"/>
      <c r="H109" s="25"/>
      <c r="I109" s="25"/>
      <c r="J109" s="25"/>
      <c r="K109" s="25"/>
      <c r="L109" s="25"/>
      <c r="M109" s="25"/>
      <c r="N109" s="25"/>
      <c r="O109" s="25"/>
      <c r="P109" s="25"/>
      <c r="Q109" s="25"/>
    </row>
    <row r="110" spans="1:17" x14ac:dyDescent="0.2">
      <c r="A110" s="25"/>
      <c r="B110" s="25"/>
      <c r="C110" s="25"/>
      <c r="D110" s="25"/>
      <c r="E110" s="25"/>
      <c r="F110" s="25"/>
      <c r="G110" s="25"/>
      <c r="H110" s="25"/>
      <c r="I110" s="25"/>
      <c r="J110" s="25"/>
      <c r="K110" s="25"/>
      <c r="L110" s="25"/>
      <c r="M110" s="25"/>
      <c r="N110" s="25"/>
      <c r="O110" s="25"/>
      <c r="P110" s="25"/>
      <c r="Q110" s="25"/>
    </row>
    <row r="111" spans="1:17" x14ac:dyDescent="0.2">
      <c r="A111" s="25"/>
      <c r="B111" s="25"/>
      <c r="C111" s="25"/>
      <c r="D111" s="25"/>
      <c r="E111" s="25"/>
      <c r="F111" s="25"/>
      <c r="G111" s="25"/>
      <c r="H111" s="25"/>
      <c r="I111" s="25"/>
      <c r="J111" s="25"/>
      <c r="K111" s="25"/>
      <c r="L111" s="25"/>
      <c r="M111" s="25"/>
      <c r="N111" s="25"/>
      <c r="O111" s="25"/>
      <c r="P111" s="25"/>
      <c r="Q111" s="25"/>
    </row>
    <row r="112" spans="1:17" x14ac:dyDescent="0.2">
      <c r="A112" s="25"/>
      <c r="B112" s="25"/>
      <c r="C112" s="25"/>
      <c r="D112" s="25"/>
      <c r="E112" s="25"/>
      <c r="F112" s="25"/>
      <c r="G112" s="25"/>
      <c r="H112" s="25"/>
      <c r="I112" s="25"/>
      <c r="J112" s="25"/>
      <c r="K112" s="25"/>
      <c r="L112" s="25"/>
      <c r="M112" s="25"/>
      <c r="N112" s="25"/>
      <c r="O112" s="25"/>
      <c r="P112" s="25"/>
      <c r="Q112" s="25"/>
    </row>
    <row r="113" spans="1:17" x14ac:dyDescent="0.2">
      <c r="A113" s="25"/>
      <c r="B113" s="25"/>
      <c r="C113" s="25"/>
      <c r="D113" s="25"/>
      <c r="E113" s="25"/>
      <c r="F113" s="25"/>
      <c r="G113" s="25"/>
      <c r="H113" s="25"/>
      <c r="I113" s="25"/>
      <c r="J113" s="25"/>
      <c r="K113" s="25"/>
      <c r="L113" s="25"/>
      <c r="M113" s="25"/>
      <c r="N113" s="25"/>
      <c r="O113" s="25"/>
      <c r="P113" s="25"/>
      <c r="Q113" s="25"/>
    </row>
    <row r="114" spans="1:17" x14ac:dyDescent="0.2">
      <c r="A114" s="25"/>
      <c r="B114" s="25"/>
      <c r="C114" s="25"/>
      <c r="D114" s="25"/>
      <c r="E114" s="25"/>
      <c r="F114" s="25"/>
      <c r="G114" s="25"/>
      <c r="H114" s="25"/>
      <c r="I114" s="25"/>
      <c r="J114" s="25"/>
      <c r="K114" s="25"/>
      <c r="L114" s="25"/>
      <c r="M114" s="25"/>
      <c r="N114" s="25"/>
      <c r="O114" s="25"/>
      <c r="P114" s="25"/>
      <c r="Q114" s="25"/>
    </row>
    <row r="115" spans="1:17" x14ac:dyDescent="0.2">
      <c r="A115" s="25"/>
      <c r="B115" s="25"/>
      <c r="C115" s="25"/>
      <c r="D115" s="25"/>
      <c r="E115" s="25"/>
      <c r="F115" s="25"/>
      <c r="G115" s="25"/>
      <c r="H115" s="25"/>
      <c r="I115" s="25"/>
      <c r="J115" s="25"/>
      <c r="K115" s="25"/>
      <c r="L115" s="25"/>
      <c r="M115" s="25"/>
      <c r="N115" s="25"/>
      <c r="O115" s="25"/>
      <c r="P115" s="25"/>
      <c r="Q115" s="25"/>
    </row>
    <row r="116" spans="1:17" x14ac:dyDescent="0.2">
      <c r="A116" s="25"/>
      <c r="B116" s="25"/>
      <c r="C116" s="25"/>
      <c r="D116" s="25"/>
      <c r="E116" s="25"/>
      <c r="F116" s="25"/>
      <c r="G116" s="25"/>
      <c r="H116" s="25"/>
      <c r="I116" s="25"/>
      <c r="J116" s="25"/>
      <c r="K116" s="25"/>
      <c r="L116" s="25"/>
      <c r="M116" s="25"/>
      <c r="N116" s="25"/>
      <c r="O116" s="25"/>
      <c r="P116" s="25"/>
      <c r="Q116" s="25"/>
    </row>
    <row r="117" spans="1:17" x14ac:dyDescent="0.2">
      <c r="A117" s="25"/>
      <c r="B117" s="25"/>
      <c r="C117" s="25"/>
      <c r="D117" s="25"/>
      <c r="E117" s="25"/>
      <c r="F117" s="25"/>
      <c r="G117" s="25"/>
      <c r="H117" s="25"/>
      <c r="I117" s="25"/>
      <c r="J117" s="25"/>
      <c r="K117" s="25"/>
      <c r="L117" s="25"/>
      <c r="M117" s="25"/>
      <c r="N117" s="25"/>
      <c r="O117" s="25"/>
      <c r="P117" s="25"/>
      <c r="Q117" s="25"/>
    </row>
    <row r="118" spans="1:17" x14ac:dyDescent="0.2">
      <c r="A118" s="25"/>
      <c r="B118" s="25"/>
      <c r="C118" s="25"/>
      <c r="D118" s="25"/>
      <c r="E118" s="25"/>
      <c r="F118" s="25"/>
      <c r="G118" s="25"/>
      <c r="H118" s="25"/>
      <c r="I118" s="25"/>
      <c r="J118" s="25"/>
      <c r="K118" s="25"/>
      <c r="L118" s="25"/>
      <c r="M118" s="25"/>
      <c r="N118" s="25"/>
      <c r="O118" s="25"/>
      <c r="P118" s="25"/>
      <c r="Q118" s="25"/>
    </row>
    <row r="119" spans="1:17" x14ac:dyDescent="0.2">
      <c r="A119" s="25"/>
      <c r="B119" s="25"/>
      <c r="C119" s="25"/>
      <c r="D119" s="25"/>
      <c r="E119" s="25"/>
      <c r="F119" s="25"/>
      <c r="G119" s="25"/>
      <c r="H119" s="25"/>
      <c r="I119" s="25"/>
      <c r="J119" s="25"/>
      <c r="K119" s="25"/>
      <c r="L119" s="25"/>
      <c r="M119" s="25"/>
      <c r="N119" s="25"/>
      <c r="O119" s="25"/>
      <c r="P119" s="25"/>
      <c r="Q119" s="25"/>
    </row>
    <row r="120" spans="1:17" x14ac:dyDescent="0.2">
      <c r="A120" s="25"/>
      <c r="B120" s="25"/>
      <c r="C120" s="25"/>
      <c r="D120" s="25"/>
      <c r="E120" s="25"/>
      <c r="F120" s="25"/>
      <c r="G120" s="25"/>
      <c r="H120" s="25"/>
      <c r="I120" s="25"/>
      <c r="J120" s="25"/>
      <c r="K120" s="25"/>
      <c r="L120" s="25"/>
      <c r="M120" s="25"/>
      <c r="N120" s="25"/>
      <c r="O120" s="25"/>
      <c r="P120" s="25"/>
      <c r="Q120" s="25"/>
    </row>
    <row r="121" spans="1:17" x14ac:dyDescent="0.2">
      <c r="A121" s="25"/>
      <c r="B121" s="25"/>
      <c r="C121" s="25"/>
      <c r="D121" s="25"/>
      <c r="E121" s="25"/>
      <c r="F121" s="25"/>
      <c r="G121" s="25"/>
      <c r="H121" s="25"/>
      <c r="I121" s="25"/>
      <c r="J121" s="25"/>
      <c r="K121" s="25"/>
      <c r="L121" s="25"/>
      <c r="M121" s="25"/>
      <c r="N121" s="25"/>
      <c r="O121" s="25"/>
      <c r="P121" s="25"/>
      <c r="Q121" s="25"/>
    </row>
    <row r="122" spans="1:17" x14ac:dyDescent="0.2">
      <c r="A122" s="25"/>
      <c r="B122" s="25"/>
      <c r="C122" s="25"/>
      <c r="D122" s="25"/>
      <c r="E122" s="25"/>
      <c r="F122" s="25"/>
      <c r="G122" s="25"/>
      <c r="H122" s="25"/>
      <c r="I122" s="25"/>
      <c r="J122" s="25"/>
      <c r="K122" s="25"/>
      <c r="L122" s="25"/>
      <c r="M122" s="25"/>
      <c r="N122" s="25"/>
      <c r="O122" s="25"/>
      <c r="P122" s="25"/>
      <c r="Q122" s="25"/>
    </row>
    <row r="123" spans="1:17" x14ac:dyDescent="0.2">
      <c r="A123" s="25"/>
      <c r="B123" s="25"/>
      <c r="C123" s="25"/>
      <c r="D123" s="25"/>
      <c r="E123" s="25"/>
      <c r="F123" s="25"/>
      <c r="G123" s="25"/>
      <c r="H123" s="25"/>
      <c r="I123" s="25"/>
      <c r="J123" s="25"/>
      <c r="K123" s="25"/>
      <c r="L123" s="25"/>
      <c r="M123" s="25"/>
      <c r="N123" s="25"/>
      <c r="O123" s="25"/>
      <c r="P123" s="25"/>
      <c r="Q123" s="25"/>
    </row>
    <row r="124" spans="1:17" x14ac:dyDescent="0.2">
      <c r="A124" s="25"/>
      <c r="B124" s="25"/>
      <c r="C124" s="25"/>
      <c r="D124" s="25"/>
      <c r="E124" s="25"/>
      <c r="F124" s="25"/>
      <c r="G124" s="25"/>
      <c r="H124" s="25"/>
      <c r="I124" s="25"/>
      <c r="J124" s="25"/>
      <c r="K124" s="25"/>
      <c r="L124" s="25"/>
      <c r="M124" s="25"/>
      <c r="N124" s="25"/>
      <c r="O124" s="25"/>
      <c r="P124" s="25"/>
      <c r="Q124" s="25"/>
    </row>
    <row r="125" spans="1:17" x14ac:dyDescent="0.2">
      <c r="A125" s="25"/>
      <c r="B125" s="25"/>
      <c r="C125" s="25"/>
      <c r="D125" s="25"/>
      <c r="E125" s="25"/>
      <c r="F125" s="25"/>
      <c r="G125" s="25"/>
      <c r="H125" s="25"/>
      <c r="I125" s="25"/>
      <c r="J125" s="25"/>
      <c r="K125" s="25"/>
      <c r="L125" s="25"/>
      <c r="M125" s="25"/>
      <c r="N125" s="25"/>
      <c r="O125" s="25"/>
      <c r="P125" s="25"/>
      <c r="Q125" s="25"/>
    </row>
    <row r="126" spans="1:17" x14ac:dyDescent="0.2">
      <c r="A126" s="25"/>
      <c r="B126" s="25"/>
      <c r="C126" s="25"/>
      <c r="D126" s="25"/>
      <c r="E126" s="25"/>
      <c r="F126" s="25"/>
      <c r="G126" s="25"/>
      <c r="H126" s="25"/>
      <c r="I126" s="25"/>
      <c r="J126" s="25"/>
      <c r="K126" s="25"/>
      <c r="L126" s="25"/>
      <c r="M126" s="25"/>
      <c r="N126" s="25"/>
      <c r="O126" s="25"/>
      <c r="P126" s="25"/>
      <c r="Q126" s="25"/>
    </row>
    <row r="127" spans="1:17" x14ac:dyDescent="0.2">
      <c r="A127" s="25"/>
      <c r="B127" s="25"/>
      <c r="C127" s="25"/>
      <c r="D127" s="25"/>
      <c r="E127" s="25"/>
      <c r="F127" s="25"/>
      <c r="G127" s="25"/>
      <c r="H127" s="25"/>
      <c r="I127" s="25"/>
      <c r="J127" s="25"/>
      <c r="K127" s="25"/>
      <c r="L127" s="25"/>
      <c r="M127" s="25"/>
      <c r="N127" s="25"/>
      <c r="O127" s="25"/>
      <c r="P127" s="25"/>
      <c r="Q127" s="25"/>
    </row>
    <row r="128" spans="1:17" x14ac:dyDescent="0.2">
      <c r="A128" s="25"/>
      <c r="B128" s="25"/>
      <c r="C128" s="25"/>
      <c r="D128" s="25"/>
      <c r="E128" s="25"/>
      <c r="F128" s="25"/>
      <c r="G128" s="25"/>
      <c r="H128" s="25"/>
      <c r="I128" s="25"/>
      <c r="J128" s="25"/>
      <c r="K128" s="25"/>
      <c r="L128" s="25"/>
      <c r="M128" s="25"/>
      <c r="N128" s="25"/>
      <c r="O128" s="25"/>
      <c r="P128" s="25"/>
      <c r="Q128" s="25"/>
    </row>
    <row r="129" spans="1:17" x14ac:dyDescent="0.2">
      <c r="A129" s="25"/>
      <c r="B129" s="25"/>
      <c r="C129" s="25"/>
      <c r="D129" s="25"/>
      <c r="E129" s="25"/>
      <c r="F129" s="25"/>
      <c r="G129" s="25"/>
      <c r="H129" s="25"/>
      <c r="I129" s="25"/>
      <c r="J129" s="25"/>
      <c r="K129" s="25"/>
      <c r="L129" s="25"/>
      <c r="M129" s="25"/>
      <c r="N129" s="25"/>
      <c r="O129" s="25"/>
      <c r="P129" s="25"/>
      <c r="Q129" s="25"/>
    </row>
    <row r="130" spans="1:17" x14ac:dyDescent="0.2">
      <c r="A130" s="25"/>
      <c r="B130" s="25"/>
      <c r="C130" s="25"/>
      <c r="D130" s="25"/>
      <c r="E130" s="25"/>
      <c r="F130" s="25"/>
      <c r="G130" s="25"/>
      <c r="H130" s="25"/>
      <c r="I130" s="25"/>
      <c r="J130" s="25"/>
      <c r="K130" s="25"/>
      <c r="L130" s="25"/>
      <c r="M130" s="25"/>
      <c r="N130" s="25"/>
      <c r="O130" s="25"/>
      <c r="P130" s="25"/>
      <c r="Q130" s="25"/>
    </row>
    <row r="131" spans="1:17" x14ac:dyDescent="0.2">
      <c r="A131" s="25"/>
      <c r="B131" s="25"/>
      <c r="C131" s="25"/>
      <c r="D131" s="25"/>
      <c r="E131" s="25"/>
      <c r="F131" s="25"/>
      <c r="G131" s="25"/>
      <c r="H131" s="25"/>
      <c r="I131" s="25"/>
      <c r="J131" s="25"/>
      <c r="K131" s="25"/>
      <c r="L131" s="25"/>
      <c r="M131" s="25"/>
      <c r="N131" s="25"/>
      <c r="O131" s="25"/>
      <c r="P131" s="25"/>
      <c r="Q131" s="25"/>
    </row>
    <row r="132" spans="1:17" x14ac:dyDescent="0.2">
      <c r="A132" s="25"/>
      <c r="B132" s="25"/>
      <c r="C132" s="25"/>
      <c r="D132" s="25"/>
      <c r="E132" s="25"/>
      <c r="F132" s="25"/>
      <c r="G132" s="25"/>
      <c r="H132" s="25"/>
      <c r="I132" s="25"/>
      <c r="J132" s="25"/>
      <c r="K132" s="25"/>
      <c r="L132" s="25"/>
      <c r="M132" s="25"/>
      <c r="N132" s="25"/>
      <c r="O132" s="25"/>
      <c r="P132" s="25"/>
      <c r="Q132" s="25"/>
    </row>
    <row r="133" spans="1:17" x14ac:dyDescent="0.2">
      <c r="A133" s="25"/>
      <c r="B133" s="25"/>
      <c r="C133" s="25"/>
      <c r="D133" s="25"/>
      <c r="E133" s="25"/>
      <c r="F133" s="25"/>
      <c r="G133" s="25"/>
      <c r="H133" s="25"/>
      <c r="I133" s="25"/>
      <c r="J133" s="25"/>
      <c r="K133" s="25"/>
      <c r="L133" s="25"/>
      <c r="M133" s="25"/>
      <c r="N133" s="25"/>
      <c r="O133" s="25"/>
      <c r="P133" s="25"/>
      <c r="Q133" s="25"/>
    </row>
    <row r="134" spans="1:17" x14ac:dyDescent="0.2">
      <c r="A134" s="25"/>
      <c r="B134" s="25"/>
      <c r="C134" s="25"/>
      <c r="D134" s="25"/>
      <c r="E134" s="25"/>
      <c r="F134" s="25"/>
      <c r="G134" s="25"/>
      <c r="H134" s="25"/>
      <c r="I134" s="25"/>
      <c r="J134" s="25"/>
      <c r="K134" s="25"/>
      <c r="L134" s="25"/>
      <c r="M134" s="25"/>
      <c r="N134" s="25"/>
      <c r="O134" s="25"/>
      <c r="P134" s="25"/>
      <c r="Q134" s="25"/>
    </row>
    <row r="135" spans="1:17" x14ac:dyDescent="0.2">
      <c r="A135" s="25"/>
      <c r="B135" s="25"/>
      <c r="C135" s="25"/>
      <c r="D135" s="25"/>
      <c r="E135" s="25"/>
      <c r="F135" s="25"/>
      <c r="G135" s="25"/>
      <c r="H135" s="25"/>
      <c r="I135" s="25"/>
      <c r="J135" s="25"/>
      <c r="K135" s="25"/>
      <c r="L135" s="25"/>
      <c r="M135" s="25"/>
      <c r="N135" s="25"/>
      <c r="O135" s="25"/>
      <c r="P135" s="25"/>
      <c r="Q135" s="25"/>
    </row>
    <row r="136" spans="1:17" x14ac:dyDescent="0.2">
      <c r="A136" s="25"/>
      <c r="B136" s="25"/>
      <c r="C136" s="25"/>
      <c r="D136" s="25"/>
      <c r="E136" s="25"/>
      <c r="F136" s="25"/>
      <c r="G136" s="25"/>
      <c r="H136" s="25"/>
      <c r="I136" s="25"/>
      <c r="J136" s="25"/>
      <c r="K136" s="25"/>
      <c r="L136" s="25"/>
      <c r="M136" s="25"/>
      <c r="N136" s="25"/>
      <c r="O136" s="25"/>
      <c r="P136" s="25"/>
      <c r="Q136" s="25"/>
    </row>
    <row r="137" spans="1:17" x14ac:dyDescent="0.2">
      <c r="A137" s="25"/>
      <c r="B137" s="25"/>
      <c r="C137" s="25"/>
      <c r="D137" s="25"/>
      <c r="E137" s="25"/>
      <c r="F137" s="25"/>
      <c r="G137" s="25"/>
      <c r="H137" s="25"/>
      <c r="I137" s="25"/>
      <c r="J137" s="25"/>
      <c r="K137" s="25"/>
      <c r="L137" s="25"/>
      <c r="M137" s="25"/>
      <c r="N137" s="25"/>
      <c r="O137" s="25"/>
      <c r="P137" s="25"/>
      <c r="Q137" s="25"/>
    </row>
    <row r="138" spans="1:17" x14ac:dyDescent="0.2">
      <c r="A138" s="25"/>
      <c r="B138" s="25"/>
      <c r="C138" s="25"/>
      <c r="D138" s="25"/>
      <c r="E138" s="25"/>
      <c r="F138" s="25"/>
      <c r="G138" s="25"/>
      <c r="H138" s="25"/>
      <c r="I138" s="25"/>
      <c r="J138" s="25"/>
      <c r="K138" s="25"/>
      <c r="L138" s="25"/>
      <c r="M138" s="25"/>
      <c r="N138" s="25"/>
      <c r="O138" s="25"/>
      <c r="P138" s="25"/>
      <c r="Q138" s="25"/>
    </row>
    <row r="139" spans="1:17" x14ac:dyDescent="0.2">
      <c r="A139" s="25"/>
      <c r="B139" s="25"/>
      <c r="C139" s="25"/>
      <c r="D139" s="25"/>
      <c r="E139" s="25"/>
      <c r="F139" s="25"/>
      <c r="G139" s="25"/>
      <c r="H139" s="25"/>
      <c r="I139" s="25"/>
      <c r="J139" s="25"/>
      <c r="K139" s="25"/>
      <c r="L139" s="25"/>
      <c r="M139" s="25"/>
      <c r="N139" s="25"/>
      <c r="O139" s="25"/>
      <c r="P139" s="25"/>
      <c r="Q139" s="25"/>
    </row>
    <row r="140" spans="1:17" x14ac:dyDescent="0.2">
      <c r="A140" s="25"/>
      <c r="B140" s="25"/>
      <c r="C140" s="25"/>
      <c r="D140" s="25"/>
      <c r="E140" s="25"/>
      <c r="F140" s="25"/>
      <c r="G140" s="25"/>
      <c r="H140" s="25"/>
      <c r="I140" s="25"/>
      <c r="J140" s="25"/>
      <c r="K140" s="25"/>
      <c r="L140" s="25"/>
      <c r="M140" s="25"/>
      <c r="N140" s="25"/>
      <c r="O140" s="25"/>
      <c r="P140" s="25"/>
      <c r="Q140" s="25"/>
    </row>
    <row r="141" spans="1:17" x14ac:dyDescent="0.2">
      <c r="A141" s="25"/>
      <c r="B141" s="25"/>
      <c r="C141" s="25"/>
      <c r="D141" s="25"/>
      <c r="E141" s="25"/>
      <c r="F141" s="25"/>
      <c r="G141" s="25"/>
      <c r="H141" s="25"/>
      <c r="I141" s="25"/>
      <c r="J141" s="25"/>
      <c r="K141" s="25"/>
      <c r="L141" s="25"/>
      <c r="M141" s="25"/>
      <c r="N141" s="25"/>
      <c r="O141" s="25"/>
      <c r="P141" s="25"/>
      <c r="Q141" s="25"/>
    </row>
    <row r="142" spans="1:17" x14ac:dyDescent="0.2">
      <c r="A142" s="25"/>
      <c r="B142" s="25"/>
      <c r="C142" s="25"/>
      <c r="D142" s="25"/>
      <c r="E142" s="25"/>
      <c r="F142" s="25"/>
      <c r="G142" s="25"/>
      <c r="H142" s="25"/>
      <c r="I142" s="25"/>
      <c r="J142" s="25"/>
      <c r="K142" s="25"/>
      <c r="L142" s="25"/>
      <c r="M142" s="25"/>
      <c r="N142" s="25"/>
      <c r="O142" s="25"/>
      <c r="P142" s="25"/>
      <c r="Q142" s="25"/>
    </row>
    <row r="143" spans="1:17" x14ac:dyDescent="0.2">
      <c r="A143" s="25"/>
      <c r="B143" s="25"/>
      <c r="C143" s="25"/>
      <c r="D143" s="25"/>
      <c r="E143" s="25"/>
      <c r="F143" s="25"/>
      <c r="G143" s="25"/>
      <c r="H143" s="25"/>
      <c r="I143" s="25"/>
      <c r="J143" s="25"/>
      <c r="K143" s="25"/>
      <c r="L143" s="25"/>
      <c r="M143" s="25"/>
      <c r="N143" s="25"/>
      <c r="O143" s="25"/>
      <c r="P143" s="25"/>
      <c r="Q143" s="25"/>
    </row>
    <row r="144" spans="1:17" x14ac:dyDescent="0.2">
      <c r="A144" s="25"/>
      <c r="B144" s="25"/>
      <c r="C144" s="25"/>
      <c r="D144" s="25"/>
      <c r="E144" s="25"/>
      <c r="F144" s="25"/>
      <c r="G144" s="25"/>
      <c r="H144" s="25"/>
      <c r="I144" s="25"/>
      <c r="J144" s="25"/>
      <c r="K144" s="25"/>
      <c r="L144" s="25"/>
      <c r="M144" s="25"/>
      <c r="N144" s="25"/>
      <c r="O144" s="25"/>
      <c r="P144" s="25"/>
      <c r="Q144" s="25"/>
    </row>
    <row r="145" spans="1:17" x14ac:dyDescent="0.2">
      <c r="A145" s="25"/>
      <c r="B145" s="25"/>
      <c r="C145" s="25"/>
      <c r="D145" s="25"/>
      <c r="E145" s="25"/>
      <c r="F145" s="25"/>
      <c r="G145" s="25"/>
      <c r="H145" s="25"/>
      <c r="I145" s="25"/>
      <c r="J145" s="25"/>
      <c r="K145" s="25"/>
      <c r="L145" s="25"/>
      <c r="M145" s="25"/>
      <c r="N145" s="25"/>
      <c r="O145" s="25"/>
      <c r="P145" s="25"/>
      <c r="Q145" s="25"/>
    </row>
    <row r="146" spans="1:17" x14ac:dyDescent="0.2">
      <c r="A146" s="25"/>
      <c r="B146" s="25"/>
      <c r="C146" s="25"/>
      <c r="D146" s="25"/>
      <c r="E146" s="25"/>
      <c r="F146" s="25"/>
      <c r="G146" s="25"/>
      <c r="H146" s="25"/>
      <c r="I146" s="25"/>
      <c r="J146" s="25"/>
      <c r="K146" s="25"/>
      <c r="L146" s="25"/>
      <c r="M146" s="25"/>
      <c r="N146" s="25"/>
      <c r="O146" s="25"/>
      <c r="P146" s="25"/>
      <c r="Q146" s="25"/>
    </row>
    <row r="147" spans="1:17" x14ac:dyDescent="0.2">
      <c r="A147" s="25"/>
      <c r="B147" s="25"/>
      <c r="C147" s="25"/>
      <c r="D147" s="25"/>
      <c r="E147" s="25"/>
      <c r="F147" s="25"/>
      <c r="G147" s="25"/>
      <c r="H147" s="25"/>
      <c r="I147" s="25"/>
      <c r="J147" s="25"/>
      <c r="K147" s="25"/>
      <c r="L147" s="25"/>
      <c r="M147" s="25"/>
      <c r="N147" s="25"/>
      <c r="O147" s="25"/>
      <c r="P147" s="25"/>
      <c r="Q147" s="25"/>
    </row>
    <row r="148" spans="1:17" x14ac:dyDescent="0.2">
      <c r="A148" s="25"/>
      <c r="B148" s="25"/>
      <c r="C148" s="25"/>
      <c r="D148" s="25"/>
      <c r="E148" s="25"/>
      <c r="F148" s="25"/>
      <c r="G148" s="25"/>
      <c r="H148" s="25"/>
      <c r="I148" s="25"/>
      <c r="J148" s="25"/>
      <c r="K148" s="25"/>
      <c r="L148" s="25"/>
      <c r="M148" s="25"/>
      <c r="N148" s="25"/>
      <c r="O148" s="25"/>
      <c r="P148" s="25"/>
      <c r="Q148" s="25"/>
    </row>
    <row r="149" spans="1:17" x14ac:dyDescent="0.2">
      <c r="A149" s="25"/>
      <c r="B149" s="25"/>
      <c r="C149" s="25"/>
      <c r="D149" s="25"/>
      <c r="E149" s="25"/>
      <c r="F149" s="25"/>
      <c r="G149" s="25"/>
      <c r="H149" s="25"/>
      <c r="I149" s="25"/>
      <c r="J149" s="25"/>
      <c r="K149" s="25"/>
      <c r="L149" s="25"/>
      <c r="M149" s="25"/>
      <c r="N149" s="25"/>
      <c r="O149" s="25"/>
      <c r="P149" s="25"/>
      <c r="Q149" s="25"/>
    </row>
    <row r="150" spans="1:17" x14ac:dyDescent="0.2">
      <c r="A150" s="25"/>
      <c r="B150" s="25"/>
      <c r="C150" s="25"/>
      <c r="D150" s="25"/>
      <c r="E150" s="25"/>
      <c r="F150" s="25"/>
      <c r="G150" s="25"/>
      <c r="H150" s="25"/>
      <c r="I150" s="25"/>
      <c r="J150" s="25"/>
      <c r="K150" s="25"/>
      <c r="L150" s="25"/>
      <c r="M150" s="25"/>
      <c r="N150" s="25"/>
      <c r="O150" s="25"/>
      <c r="P150" s="25"/>
      <c r="Q150" s="25"/>
    </row>
    <row r="151" spans="1:17" x14ac:dyDescent="0.2">
      <c r="A151" s="25"/>
      <c r="B151" s="25"/>
      <c r="C151" s="25"/>
      <c r="D151" s="25"/>
      <c r="E151" s="25"/>
      <c r="F151" s="25"/>
      <c r="G151" s="25"/>
      <c r="H151" s="25"/>
      <c r="I151" s="25"/>
      <c r="J151" s="25"/>
      <c r="K151" s="25"/>
      <c r="L151" s="25"/>
      <c r="M151" s="25"/>
      <c r="N151" s="25"/>
      <c r="O151" s="25"/>
      <c r="P151" s="25"/>
      <c r="Q151" s="25"/>
    </row>
    <row r="152" spans="1:17" x14ac:dyDescent="0.2">
      <c r="A152" s="25"/>
      <c r="B152" s="25"/>
      <c r="C152" s="25"/>
      <c r="D152" s="25"/>
      <c r="E152" s="25"/>
      <c r="F152" s="25"/>
      <c r="G152" s="25"/>
      <c r="H152" s="25"/>
      <c r="I152" s="25"/>
      <c r="J152" s="25"/>
      <c r="K152" s="25"/>
      <c r="L152" s="25"/>
      <c r="M152" s="25"/>
      <c r="N152" s="25"/>
      <c r="O152" s="25"/>
      <c r="P152" s="25"/>
      <c r="Q152" s="25"/>
    </row>
    <row r="153" spans="1:17" x14ac:dyDescent="0.2">
      <c r="A153" s="25"/>
      <c r="B153" s="25"/>
      <c r="C153" s="25"/>
      <c r="D153" s="25"/>
      <c r="E153" s="25"/>
      <c r="F153" s="25"/>
      <c r="G153" s="25"/>
      <c r="H153" s="25"/>
      <c r="I153" s="25"/>
      <c r="J153" s="25"/>
      <c r="K153" s="25"/>
      <c r="L153" s="25"/>
      <c r="M153" s="25"/>
      <c r="N153" s="25"/>
      <c r="O153" s="25"/>
      <c r="P153" s="25"/>
      <c r="Q153" s="25"/>
    </row>
    <row r="154" spans="1:17" x14ac:dyDescent="0.2">
      <c r="A154" s="25"/>
      <c r="B154" s="25"/>
      <c r="C154" s="25"/>
      <c r="D154" s="25"/>
      <c r="E154" s="25"/>
      <c r="F154" s="25"/>
      <c r="G154" s="25"/>
      <c r="H154" s="25"/>
      <c r="I154" s="25"/>
      <c r="J154" s="25"/>
      <c r="K154" s="25"/>
      <c r="L154" s="25"/>
      <c r="M154" s="25"/>
      <c r="N154" s="25"/>
      <c r="O154" s="25"/>
      <c r="P154" s="25"/>
      <c r="Q154" s="25"/>
    </row>
    <row r="155" spans="1:17" x14ac:dyDescent="0.2">
      <c r="A155" s="25"/>
      <c r="B155" s="25"/>
      <c r="C155" s="25"/>
      <c r="D155" s="25"/>
      <c r="E155" s="25"/>
      <c r="F155" s="25"/>
      <c r="G155" s="25"/>
      <c r="H155" s="25"/>
      <c r="I155" s="25"/>
      <c r="J155" s="25"/>
      <c r="K155" s="25"/>
      <c r="L155" s="25"/>
      <c r="M155" s="25"/>
      <c r="N155" s="25"/>
      <c r="O155" s="25"/>
      <c r="P155" s="25"/>
      <c r="Q155" s="25"/>
    </row>
    <row r="156" spans="1:17" x14ac:dyDescent="0.2">
      <c r="A156" s="25"/>
      <c r="B156" s="25"/>
      <c r="C156" s="25"/>
      <c r="D156" s="25"/>
      <c r="E156" s="25"/>
      <c r="F156" s="25"/>
      <c r="G156" s="25"/>
      <c r="H156" s="25"/>
      <c r="I156" s="25"/>
      <c r="J156" s="25"/>
      <c r="K156" s="25"/>
      <c r="L156" s="25"/>
      <c r="M156" s="25"/>
      <c r="N156" s="25"/>
      <c r="O156" s="25"/>
      <c r="P156" s="25"/>
      <c r="Q156" s="25"/>
    </row>
  </sheetData>
  <phoneticPr fontId="4" type="noConversion"/>
  <printOptions horizontalCentered="1"/>
  <pageMargins left="0.5" right="0.5" top="3" bottom="0.5" header="1.5" footer="0.5"/>
  <pageSetup scale="62" orientation="landscape"/>
  <headerFooter alignWithMargins="0">
    <oddHeader>&amp;R&amp;"Arial,Bold"Schedule &amp;A
Page &amp;P of &amp;N&amp;C&amp;B
2025 RATE CASE
ONCOR ELECTRIC DELIVERY COMPANY LLC
II-C-2.2  WEIGHTED AVERAGE COST OF PREFERRED STOCK
TEST YEAR ENDING DECEMBER 31, 2024
SPONSOR: K. FEASE</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tabColor rgb="FF00B050"/>
    <pageSetUpPr fitToPage="1"/>
  </sheetPr>
  <dimension ref="A1:H48"/>
  <sheetViews>
    <sheetView workbookViewId="0">
      <selection activeCell="K29" sqref="K29"/>
    </sheetView>
  </sheetViews>
  <sheetFormatPr defaultColWidth="9.140625" defaultRowHeight="12.75" x14ac:dyDescent="0.2"/>
  <cols>
    <col min="1" max="1" width="6.140625" style="20" bestFit="1" customWidth="1"/>
    <col min="2" max="2" width="3.7109375" style="20" customWidth="1"/>
    <col min="3" max="3" width="4.85546875" style="20" customWidth="1"/>
    <col min="4" max="4" width="17.7109375" style="20" customWidth="1"/>
    <col min="5" max="7" width="12.5703125" style="20" customWidth="1"/>
    <col min="8" max="8" width="13.7109375" style="2" customWidth="1"/>
    <col min="9" max="16384" width="9.140625" style="20"/>
  </cols>
  <sheetData>
    <row r="1" spans="1:8" x14ac:dyDescent="0.2">
      <c r="A1" s="5" t="str">
        <f>+'[1]Input Data'!$A$9</f>
        <v>2025 RATE CASE</v>
      </c>
    </row>
    <row r="2" spans="1:8" s="7" customFormat="1" x14ac:dyDescent="0.2">
      <c r="A2" s="61" t="str">
        <f>+'[1]Input Data'!$A$2</f>
        <v>ONCOR ELECTRIC DELIVERY COMPANY LLC</v>
      </c>
      <c r="B2" s="10"/>
      <c r="C2" s="10"/>
      <c r="D2" s="1"/>
      <c r="E2" s="10"/>
      <c r="F2" s="9"/>
      <c r="G2" s="11"/>
      <c r="H2" s="31"/>
    </row>
    <row r="3" spans="1:8" s="7" customFormat="1" x14ac:dyDescent="0.2">
      <c r="A3" s="61" t="str">
        <f>CONCATENATE('[1]Schedule Sponsors'!$A$36,'[1]Schedule Sponsors'!$B$36)</f>
        <v>II-C-2.2a  ADJUSTED COST OF PREFERRED STOCK</v>
      </c>
      <c r="H3" s="2"/>
    </row>
    <row r="4" spans="1:8" s="7" customFormat="1" x14ac:dyDescent="0.2">
      <c r="A4" s="62" t="str">
        <f>+'[1]Input Data'!$A$4</f>
        <v>TEST YEAR ENDING DECEMBER 31, 2024</v>
      </c>
      <c r="B4" s="11"/>
      <c r="C4" s="11"/>
      <c r="D4" s="11"/>
      <c r="E4" s="11"/>
      <c r="F4" s="11"/>
      <c r="G4" s="11"/>
      <c r="H4" s="10"/>
    </row>
    <row r="5" spans="1:8" s="7" customFormat="1" x14ac:dyDescent="0.2">
      <c r="A5" s="5" t="str">
        <f>CONCATENATE("SPONSOR: ",'[1]Schedule Sponsors'!$D$36)</f>
        <v>SPONSOR: K. FEASE</v>
      </c>
      <c r="B5" s="14"/>
      <c r="C5" s="14"/>
      <c r="D5" s="14"/>
      <c r="E5" s="14"/>
      <c r="F5" s="14"/>
      <c r="G5" s="14"/>
      <c r="H5" s="102"/>
    </row>
    <row r="6" spans="1:8" s="7" customFormat="1" x14ac:dyDescent="0.2">
      <c r="B6" s="14"/>
      <c r="C6" s="14"/>
      <c r="D6" s="14"/>
      <c r="E6" s="14"/>
      <c r="F6" s="14"/>
      <c r="G6" s="14"/>
      <c r="H6" s="102"/>
    </row>
    <row r="7" spans="1:8" s="7" customFormat="1" x14ac:dyDescent="0.2">
      <c r="B7" s="14"/>
      <c r="C7" s="14"/>
      <c r="D7" s="14"/>
      <c r="E7" s="14"/>
      <c r="F7" s="14"/>
      <c r="G7" s="14"/>
      <c r="H7" s="102"/>
    </row>
    <row r="8" spans="1:8" s="7" customFormat="1" x14ac:dyDescent="0.2">
      <c r="A8" s="11"/>
      <c r="B8" s="11"/>
      <c r="C8" s="11"/>
      <c r="D8" s="11"/>
      <c r="E8" s="11"/>
      <c r="F8" s="11"/>
      <c r="G8" s="11"/>
      <c r="H8" s="10"/>
    </row>
    <row r="9" spans="1:8" s="7" customFormat="1" x14ac:dyDescent="0.2">
      <c r="A9" s="11"/>
      <c r="B9" s="11"/>
      <c r="C9" s="11"/>
      <c r="D9" s="11"/>
      <c r="E9" s="11"/>
      <c r="F9" s="11"/>
      <c r="G9" s="11"/>
      <c r="H9" s="10"/>
    </row>
    <row r="10" spans="1:8" s="7" customFormat="1" ht="13.5" thickBot="1" x14ac:dyDescent="0.25">
      <c r="A10" s="11"/>
      <c r="B10" s="11"/>
      <c r="C10" s="11"/>
      <c r="D10" s="11"/>
      <c r="E10" s="11"/>
      <c r="F10" s="11"/>
      <c r="G10" s="11"/>
      <c r="H10" s="10"/>
    </row>
    <row r="11" spans="1:8" s="2" customFormat="1" x14ac:dyDescent="0.2">
      <c r="A11" s="69" t="s">
        <v>84</v>
      </c>
      <c r="B11" s="67"/>
      <c r="C11" s="67"/>
      <c r="D11" s="67"/>
      <c r="E11" s="67"/>
      <c r="F11" s="67"/>
      <c r="G11" s="67"/>
      <c r="H11" s="69"/>
    </row>
    <row r="12" spans="1:8" s="3" customFormat="1" x14ac:dyDescent="0.2">
      <c r="A12" s="70" t="s">
        <v>20</v>
      </c>
      <c r="B12" s="66"/>
      <c r="C12" s="446" t="s">
        <v>17</v>
      </c>
      <c r="D12" s="446"/>
      <c r="E12" s="446"/>
      <c r="F12" s="446"/>
      <c r="G12" s="446"/>
      <c r="H12" s="70" t="s">
        <v>37</v>
      </c>
    </row>
    <row r="13" spans="1:8" s="2" customFormat="1" ht="13.5" thickBot="1" x14ac:dyDescent="0.25">
      <c r="A13" s="72"/>
      <c r="B13" s="68"/>
      <c r="C13" s="447" t="s">
        <v>38</v>
      </c>
      <c r="D13" s="447"/>
      <c r="E13" s="447"/>
      <c r="F13" s="447"/>
      <c r="G13" s="447"/>
      <c r="H13" s="103" t="s">
        <v>39</v>
      </c>
    </row>
    <row r="14" spans="1:8" s="2" customFormat="1" x14ac:dyDescent="0.2">
      <c r="A14" s="31"/>
      <c r="B14" s="10"/>
      <c r="C14" s="10"/>
      <c r="D14" s="10"/>
      <c r="E14" s="10"/>
      <c r="F14" s="10"/>
      <c r="G14" s="10"/>
      <c r="H14" s="10"/>
    </row>
    <row r="15" spans="1:8" s="2" customFormat="1" x14ac:dyDescent="0.2">
      <c r="A15" s="32">
        <v>1</v>
      </c>
      <c r="B15" s="10"/>
      <c r="C15" s="10" t="s">
        <v>101</v>
      </c>
      <c r="D15" s="10"/>
      <c r="E15" s="10"/>
      <c r="F15" s="10"/>
      <c r="G15" s="10"/>
      <c r="H15" s="73">
        <v>0</v>
      </c>
    </row>
    <row r="16" spans="1:8" s="2" customFormat="1" x14ac:dyDescent="0.2">
      <c r="A16" s="32">
        <f t="shared" ref="A16:A46" si="0">A15+1</f>
        <v>2</v>
      </c>
      <c r="B16" s="10"/>
      <c r="C16" s="10" t="s">
        <v>0</v>
      </c>
      <c r="D16" s="10"/>
      <c r="E16" s="10"/>
      <c r="F16" s="10"/>
      <c r="G16" s="10"/>
    </row>
    <row r="17" spans="1:8" x14ac:dyDescent="0.2">
      <c r="A17" s="32">
        <f t="shared" si="0"/>
        <v>3</v>
      </c>
      <c r="B17" s="31" t="s">
        <v>102</v>
      </c>
      <c r="C17" s="10" t="s">
        <v>103</v>
      </c>
      <c r="D17" s="10"/>
      <c r="E17" s="10"/>
      <c r="F17" s="10"/>
      <c r="G17" s="10"/>
      <c r="H17" s="92">
        <v>0</v>
      </c>
    </row>
    <row r="18" spans="1:8" x14ac:dyDescent="0.2">
      <c r="A18" s="18">
        <f t="shared" si="0"/>
        <v>4</v>
      </c>
      <c r="B18" s="19"/>
      <c r="C18" s="19" t="s">
        <v>1</v>
      </c>
      <c r="D18" s="19"/>
      <c r="E18" s="19"/>
      <c r="F18" s="19"/>
      <c r="G18" s="19"/>
      <c r="H18" s="73"/>
    </row>
    <row r="19" spans="1:8" x14ac:dyDescent="0.2">
      <c r="A19" s="18">
        <f t="shared" si="0"/>
        <v>5</v>
      </c>
      <c r="B19" s="19"/>
      <c r="C19" s="19"/>
      <c r="D19" s="19"/>
      <c r="E19" s="19"/>
      <c r="F19" s="19"/>
      <c r="G19" s="19"/>
      <c r="H19" s="97"/>
    </row>
    <row r="20" spans="1:8" x14ac:dyDescent="0.2">
      <c r="A20" s="18">
        <f t="shared" si="0"/>
        <v>6</v>
      </c>
      <c r="B20" s="19"/>
      <c r="C20" s="19" t="s">
        <v>104</v>
      </c>
      <c r="D20" s="19"/>
      <c r="E20" s="19"/>
      <c r="F20" s="19"/>
      <c r="G20" s="19"/>
      <c r="H20" s="73">
        <f>+H15-H18</f>
        <v>0</v>
      </c>
    </row>
    <row r="21" spans="1:8" x14ac:dyDescent="0.2">
      <c r="A21" s="18">
        <f t="shared" si="0"/>
        <v>7</v>
      </c>
      <c r="B21" s="19"/>
      <c r="C21" s="19" t="s">
        <v>2</v>
      </c>
      <c r="D21" s="19"/>
      <c r="E21" s="19"/>
      <c r="F21" s="19"/>
      <c r="G21" s="19"/>
      <c r="H21" s="10"/>
    </row>
    <row r="22" spans="1:8" x14ac:dyDescent="0.2">
      <c r="A22" s="18">
        <f t="shared" si="0"/>
        <v>8</v>
      </c>
      <c r="B22" s="19"/>
      <c r="C22" s="19"/>
      <c r="D22" s="19"/>
      <c r="E22" s="19"/>
      <c r="F22" s="19"/>
      <c r="G22" s="19"/>
      <c r="H22" s="10"/>
    </row>
    <row r="23" spans="1:8" x14ac:dyDescent="0.2">
      <c r="A23" s="18">
        <f t="shared" si="0"/>
        <v>9</v>
      </c>
      <c r="B23" s="19"/>
      <c r="C23" s="19"/>
      <c r="D23" s="19"/>
      <c r="E23" s="19"/>
      <c r="F23" s="19"/>
      <c r="G23" s="19"/>
      <c r="H23" s="10"/>
    </row>
    <row r="24" spans="1:8" x14ac:dyDescent="0.2">
      <c r="A24" s="18">
        <f t="shared" si="0"/>
        <v>10</v>
      </c>
      <c r="B24" s="19"/>
      <c r="C24" s="19" t="s">
        <v>105</v>
      </c>
      <c r="D24" s="19"/>
      <c r="E24" s="19"/>
      <c r="F24" s="19"/>
      <c r="G24" s="19"/>
      <c r="H24" s="73">
        <v>0</v>
      </c>
    </row>
    <row r="25" spans="1:8" x14ac:dyDescent="0.2">
      <c r="A25" s="18">
        <f t="shared" si="0"/>
        <v>11</v>
      </c>
      <c r="B25" s="19"/>
      <c r="C25" s="19" t="s">
        <v>106</v>
      </c>
      <c r="D25" s="19"/>
      <c r="E25" s="19"/>
      <c r="F25" s="19"/>
      <c r="G25" s="19"/>
    </row>
    <row r="26" spans="1:8" x14ac:dyDescent="0.2">
      <c r="A26" s="18">
        <f t="shared" si="0"/>
        <v>12</v>
      </c>
      <c r="B26" s="28" t="s">
        <v>102</v>
      </c>
      <c r="C26" s="19" t="s">
        <v>107</v>
      </c>
      <c r="D26" s="19"/>
      <c r="E26" s="19"/>
      <c r="F26" s="19"/>
      <c r="G26" s="19"/>
      <c r="H26" s="92">
        <v>0</v>
      </c>
    </row>
    <row r="27" spans="1:8" x14ac:dyDescent="0.2">
      <c r="A27" s="18">
        <f t="shared" si="0"/>
        <v>13</v>
      </c>
      <c r="B27" s="19"/>
      <c r="C27" s="19" t="s">
        <v>3</v>
      </c>
      <c r="D27" s="19"/>
      <c r="E27" s="19"/>
      <c r="F27" s="19"/>
      <c r="G27" s="19"/>
      <c r="H27" s="73"/>
    </row>
    <row r="28" spans="1:8" x14ac:dyDescent="0.2">
      <c r="A28" s="18">
        <f t="shared" si="0"/>
        <v>14</v>
      </c>
      <c r="B28" s="19"/>
      <c r="C28" s="19"/>
      <c r="D28" s="19"/>
      <c r="E28" s="19"/>
      <c r="F28" s="19"/>
      <c r="G28" s="19"/>
      <c r="H28" s="97"/>
    </row>
    <row r="29" spans="1:8" x14ac:dyDescent="0.2">
      <c r="A29" s="18">
        <f t="shared" si="0"/>
        <v>15</v>
      </c>
      <c r="B29" s="19"/>
      <c r="C29" s="19" t="s">
        <v>108</v>
      </c>
      <c r="D29" s="19"/>
      <c r="E29" s="19"/>
      <c r="F29" s="19"/>
      <c r="G29" s="19"/>
      <c r="H29" s="73">
        <f>+H24-H27</f>
        <v>0</v>
      </c>
    </row>
    <row r="30" spans="1:8" x14ac:dyDescent="0.2">
      <c r="A30" s="18">
        <f t="shared" si="0"/>
        <v>16</v>
      </c>
      <c r="B30" s="19"/>
      <c r="C30" s="19" t="s">
        <v>2</v>
      </c>
      <c r="D30" s="19"/>
      <c r="E30" s="19"/>
      <c r="F30" s="19"/>
      <c r="G30" s="19"/>
    </row>
    <row r="31" spans="1:8" x14ac:dyDescent="0.2">
      <c r="A31" s="18">
        <f t="shared" si="0"/>
        <v>17</v>
      </c>
      <c r="B31" s="19"/>
      <c r="C31" s="19"/>
      <c r="D31" s="19"/>
      <c r="E31" s="19"/>
      <c r="F31" s="19"/>
      <c r="G31" s="19"/>
      <c r="H31" s="10"/>
    </row>
    <row r="32" spans="1:8" x14ac:dyDescent="0.2">
      <c r="A32" s="18">
        <f t="shared" si="0"/>
        <v>18</v>
      </c>
      <c r="B32" s="19"/>
      <c r="C32" s="19"/>
      <c r="D32" s="19"/>
      <c r="E32" s="19"/>
      <c r="F32" s="19"/>
      <c r="G32" s="19"/>
      <c r="H32" s="10"/>
    </row>
    <row r="33" spans="1:8" x14ac:dyDescent="0.2">
      <c r="A33" s="18">
        <f t="shared" si="0"/>
        <v>19</v>
      </c>
      <c r="B33" s="19"/>
      <c r="C33" s="19" t="s">
        <v>4</v>
      </c>
      <c r="D33" s="19"/>
      <c r="E33" s="19"/>
      <c r="F33" s="19"/>
      <c r="G33" s="19"/>
      <c r="H33" s="73">
        <v>0</v>
      </c>
    </row>
    <row r="34" spans="1:8" x14ac:dyDescent="0.2">
      <c r="A34" s="18">
        <f t="shared" si="0"/>
        <v>20</v>
      </c>
      <c r="B34" s="28" t="s">
        <v>102</v>
      </c>
      <c r="C34" s="19" t="s">
        <v>109</v>
      </c>
      <c r="D34" s="19"/>
      <c r="E34" s="19"/>
      <c r="F34" s="19"/>
      <c r="G34" s="19"/>
      <c r="H34" s="73">
        <f>+H20</f>
        <v>0</v>
      </c>
    </row>
    <row r="35" spans="1:8" x14ac:dyDescent="0.2">
      <c r="A35" s="18">
        <f t="shared" si="0"/>
        <v>21</v>
      </c>
      <c r="B35" s="19"/>
      <c r="C35" s="19"/>
      <c r="D35" s="19"/>
      <c r="E35" s="19"/>
      <c r="F35" s="19"/>
      <c r="G35" s="19"/>
      <c r="H35" s="97"/>
    </row>
    <row r="36" spans="1:8" x14ac:dyDescent="0.2">
      <c r="A36" s="18">
        <f t="shared" si="0"/>
        <v>22</v>
      </c>
      <c r="B36" s="19"/>
      <c r="C36" s="19" t="s">
        <v>110</v>
      </c>
      <c r="D36" s="19"/>
      <c r="E36" s="19"/>
      <c r="F36" s="19"/>
      <c r="G36" s="19"/>
      <c r="H36" s="73">
        <f>+H33-H34</f>
        <v>0</v>
      </c>
    </row>
    <row r="37" spans="1:8" x14ac:dyDescent="0.2">
      <c r="A37" s="18">
        <f t="shared" si="0"/>
        <v>23</v>
      </c>
      <c r="B37" s="19"/>
      <c r="C37" s="19"/>
      <c r="D37" s="19"/>
      <c r="E37" s="19"/>
      <c r="F37" s="19"/>
      <c r="G37" s="19"/>
      <c r="H37" s="10"/>
    </row>
    <row r="38" spans="1:8" x14ac:dyDescent="0.2">
      <c r="A38" s="18">
        <f t="shared" si="0"/>
        <v>24</v>
      </c>
      <c r="B38" s="28" t="s">
        <v>111</v>
      </c>
      <c r="C38" s="19" t="s">
        <v>5</v>
      </c>
      <c r="D38" s="19"/>
      <c r="E38" s="19"/>
      <c r="F38" s="19"/>
      <c r="G38" s="19"/>
      <c r="H38" s="99">
        <v>0</v>
      </c>
    </row>
    <row r="39" spans="1:8" x14ac:dyDescent="0.2">
      <c r="A39" s="18">
        <f t="shared" si="0"/>
        <v>25</v>
      </c>
      <c r="B39" s="19"/>
      <c r="C39" s="19"/>
      <c r="D39" s="19"/>
      <c r="E39" s="19"/>
      <c r="F39" s="19"/>
      <c r="G39" s="19"/>
      <c r="H39" s="97"/>
    </row>
    <row r="40" spans="1:8" x14ac:dyDescent="0.2">
      <c r="A40" s="18">
        <f t="shared" si="0"/>
        <v>26</v>
      </c>
      <c r="B40" s="19"/>
      <c r="C40" s="19" t="s">
        <v>112</v>
      </c>
      <c r="D40" s="19"/>
      <c r="E40" s="19"/>
      <c r="F40" s="19"/>
      <c r="G40" s="19"/>
      <c r="H40" s="73">
        <f>+H36*H38</f>
        <v>0</v>
      </c>
    </row>
    <row r="41" spans="1:8" x14ac:dyDescent="0.2">
      <c r="A41" s="18">
        <f t="shared" si="0"/>
        <v>27</v>
      </c>
      <c r="B41" s="19"/>
      <c r="C41" s="19"/>
      <c r="D41" s="19"/>
      <c r="E41" s="19"/>
      <c r="F41" s="19"/>
      <c r="G41" s="19"/>
      <c r="H41" s="10"/>
    </row>
    <row r="42" spans="1:8" x14ac:dyDescent="0.2">
      <c r="A42" s="18">
        <f t="shared" si="0"/>
        <v>28</v>
      </c>
      <c r="B42" s="28" t="s">
        <v>102</v>
      </c>
      <c r="C42" s="19" t="s">
        <v>113</v>
      </c>
      <c r="D42" s="19"/>
      <c r="E42" s="19"/>
      <c r="F42" s="19"/>
      <c r="G42" s="19"/>
      <c r="H42" s="73">
        <f>+H29</f>
        <v>0</v>
      </c>
    </row>
    <row r="43" spans="1:8" x14ac:dyDescent="0.2">
      <c r="A43" s="18">
        <f t="shared" si="0"/>
        <v>29</v>
      </c>
      <c r="B43" s="19"/>
      <c r="C43" s="19"/>
      <c r="D43" s="19"/>
      <c r="E43" s="19"/>
      <c r="F43" s="19"/>
      <c r="G43" s="19"/>
      <c r="H43" s="97"/>
    </row>
    <row r="44" spans="1:8" x14ac:dyDescent="0.2">
      <c r="A44" s="18">
        <f t="shared" si="0"/>
        <v>30</v>
      </c>
      <c r="B44" s="19"/>
      <c r="C44" s="19" t="s">
        <v>114</v>
      </c>
      <c r="D44" s="19"/>
      <c r="E44" s="19"/>
      <c r="F44" s="19"/>
      <c r="G44" s="19"/>
      <c r="H44" s="73">
        <f>+H40-H42</f>
        <v>0</v>
      </c>
    </row>
    <row r="45" spans="1:8" x14ac:dyDescent="0.2">
      <c r="A45" s="18">
        <f t="shared" si="0"/>
        <v>31</v>
      </c>
      <c r="B45" s="19"/>
      <c r="C45" s="19"/>
      <c r="D45" s="19"/>
      <c r="E45" s="19"/>
      <c r="F45" s="19"/>
      <c r="G45" s="19"/>
      <c r="H45" s="10"/>
    </row>
    <row r="46" spans="1:8" x14ac:dyDescent="0.2">
      <c r="A46" s="18">
        <f t="shared" si="0"/>
        <v>32</v>
      </c>
      <c r="B46" s="19"/>
      <c r="C46" s="19" t="s">
        <v>115</v>
      </c>
      <c r="D46" s="19"/>
      <c r="E46" s="19"/>
      <c r="F46" s="19"/>
      <c r="G46" s="19"/>
      <c r="H46" s="104">
        <v>0</v>
      </c>
    </row>
    <row r="47" spans="1:8" x14ac:dyDescent="0.2">
      <c r="A47" s="19"/>
      <c r="B47" s="19"/>
      <c r="C47" s="19"/>
      <c r="D47" s="19"/>
      <c r="E47" s="19"/>
      <c r="F47" s="19"/>
      <c r="G47" s="19"/>
      <c r="H47" s="10"/>
    </row>
    <row r="48" spans="1:8" x14ac:dyDescent="0.2">
      <c r="A48" s="19"/>
      <c r="B48" s="19"/>
      <c r="C48" s="19"/>
      <c r="D48" s="19"/>
      <c r="E48" s="19"/>
      <c r="F48" s="19"/>
      <c r="G48" s="19"/>
      <c r="H48" s="10"/>
    </row>
  </sheetData>
  <mergeCells count="2">
    <mergeCell ref="C12:G12"/>
    <mergeCell ref="C13:G13"/>
  </mergeCells>
  <phoneticPr fontId="4" type="noConversion"/>
  <printOptions horizontalCentered="1"/>
  <pageMargins left="1.5" right="0.5" top="3" bottom="0.5" header="1.5" footer="0.5"/>
  <pageSetup orientation="portrait"/>
  <headerFooter alignWithMargins="0">
    <oddHeader>&amp;R&amp;"Arial,Bold"Schedule &amp;A
Page &amp;P of &amp;N
&amp;C&amp;B
2025 RATE CASE
ONCOR ELECTRIC DELIVERY COMPANY LLC
II-C-2.2a  ADJUSTED COST OF PREFERRED STOCK
TEST YEAR ENDING DECEMBER 31, 2024
SPONSOR: K. FEASE</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2">
    <tabColor rgb="FF00B050"/>
    <pageSetUpPr fitToPage="1"/>
  </sheetPr>
  <dimension ref="A1:P35"/>
  <sheetViews>
    <sheetView workbookViewId="0">
      <selection activeCell="K29" sqref="K29"/>
    </sheetView>
  </sheetViews>
  <sheetFormatPr defaultColWidth="9.140625" defaultRowHeight="12.75" x14ac:dyDescent="0.2"/>
  <cols>
    <col min="1" max="1" width="5.5703125" style="20" customWidth="1"/>
    <col min="2" max="2" width="11.7109375" style="20" customWidth="1"/>
    <col min="3" max="3" width="9.7109375" style="20" customWidth="1"/>
    <col min="4" max="5" width="8.7109375" style="20" customWidth="1"/>
    <col min="6" max="6" width="11.7109375" style="20" customWidth="1"/>
    <col min="7" max="7" width="10.7109375" style="20" customWidth="1"/>
    <col min="8" max="8" width="12.7109375" style="20" bestFit="1" customWidth="1"/>
    <col min="9" max="9" width="20.5703125" style="20" customWidth="1"/>
    <col min="10" max="10" width="9.7109375" style="20" customWidth="1"/>
    <col min="11" max="12" width="12.7109375" style="20" customWidth="1"/>
    <col min="13" max="14" width="9.7109375" style="20" customWidth="1"/>
    <col min="15" max="15" width="10.7109375" style="20" customWidth="1"/>
    <col min="16" max="16" width="9.7109375" style="20" bestFit="1" customWidth="1"/>
    <col min="17" max="16384" width="9.140625" style="20"/>
  </cols>
  <sheetData>
    <row r="1" spans="1:16" x14ac:dyDescent="0.2">
      <c r="A1" s="5" t="str">
        <f>+'[1]Input Data'!$A$9</f>
        <v>2025 RATE CASE</v>
      </c>
    </row>
    <row r="2" spans="1:16" s="7" customFormat="1" x14ac:dyDescent="0.2">
      <c r="A2" s="61" t="str">
        <f>+'[1]Input Data'!$A$2</f>
        <v>ONCOR ELECTRIC DELIVERY COMPANY LLC</v>
      </c>
      <c r="B2" s="10"/>
      <c r="C2" s="10"/>
      <c r="D2" s="11"/>
      <c r="E2" s="11"/>
      <c r="F2" s="11"/>
      <c r="G2" s="11"/>
      <c r="H2" s="11"/>
      <c r="I2" s="11"/>
      <c r="J2" s="11"/>
      <c r="K2" s="11"/>
      <c r="L2" s="11"/>
      <c r="M2" s="11"/>
      <c r="N2" s="11"/>
      <c r="O2" s="34"/>
      <c r="P2" s="13"/>
    </row>
    <row r="3" spans="1:16" s="7" customFormat="1" x14ac:dyDescent="0.2">
      <c r="A3" s="61" t="str">
        <f>CONCATENATE('[1]Schedule Sponsors'!$A$37,'[1]Schedule Sponsors'!$B$37)</f>
        <v>II-C-2.3  WEIGHTED AVERAGE COST OF PREFERRED TRUST SECURITIES</v>
      </c>
      <c r="B3" s="11"/>
      <c r="C3" s="11"/>
      <c r="D3" s="11"/>
      <c r="E3" s="11"/>
      <c r="F3" s="11"/>
      <c r="G3" s="11"/>
      <c r="H3" s="11"/>
      <c r="I3" s="11"/>
      <c r="J3" s="11"/>
      <c r="K3" s="11"/>
      <c r="L3" s="11"/>
      <c r="M3" s="11"/>
      <c r="N3" s="11"/>
      <c r="O3" s="34"/>
      <c r="P3" s="13"/>
    </row>
    <row r="4" spans="1:16" s="7" customFormat="1" x14ac:dyDescent="0.2">
      <c r="A4" s="62" t="str">
        <f>+'[1]Input Data'!$A$4</f>
        <v>TEST YEAR ENDING DECEMBER 31, 2024</v>
      </c>
      <c r="B4" s="11"/>
      <c r="C4" s="11"/>
      <c r="D4" s="11"/>
      <c r="E4" s="11"/>
      <c r="F4" s="11"/>
      <c r="G4" s="11"/>
      <c r="H4" s="11"/>
      <c r="I4" s="11"/>
      <c r="J4" s="11"/>
      <c r="K4" s="11"/>
      <c r="L4" s="11"/>
      <c r="M4" s="11"/>
      <c r="N4" s="11"/>
      <c r="O4" s="34"/>
      <c r="P4" s="13"/>
    </row>
    <row r="5" spans="1:16" s="7" customFormat="1" x14ac:dyDescent="0.2">
      <c r="A5" s="5" t="str">
        <f>CONCATENATE("SPONSOR: ",'[1]Schedule Sponsors'!$D$37)</f>
        <v>SPONSOR: K. FEASE</v>
      </c>
      <c r="B5" s="14"/>
      <c r="C5" s="14"/>
      <c r="D5" s="14"/>
      <c r="E5" s="14"/>
      <c r="F5" s="14"/>
      <c r="G5" s="14"/>
      <c r="H5" s="14"/>
      <c r="I5" s="14"/>
      <c r="J5" s="14"/>
      <c r="K5" s="14"/>
      <c r="L5" s="14"/>
      <c r="M5" s="14"/>
      <c r="N5" s="14"/>
      <c r="O5" s="14"/>
      <c r="P5" s="14"/>
    </row>
    <row r="6" spans="1:16" s="7" customFormat="1" x14ac:dyDescent="0.2">
      <c r="B6" s="14"/>
      <c r="C6" s="14"/>
      <c r="D6" s="14"/>
      <c r="E6" s="14"/>
      <c r="F6" s="14"/>
      <c r="G6" s="14"/>
      <c r="H6" s="14"/>
      <c r="I6" s="14"/>
      <c r="J6" s="14"/>
      <c r="K6" s="14"/>
      <c r="L6" s="14"/>
      <c r="M6" s="14"/>
      <c r="N6" s="14"/>
      <c r="O6" s="14"/>
      <c r="P6" s="14"/>
    </row>
    <row r="7" spans="1:16" s="7" customFormat="1" x14ac:dyDescent="0.2">
      <c r="B7" s="14"/>
      <c r="C7" s="14"/>
      <c r="D7" s="14"/>
      <c r="E7" s="14"/>
      <c r="F7" s="14"/>
      <c r="G7" s="14"/>
      <c r="H7" s="14"/>
      <c r="I7" s="14"/>
      <c r="J7" s="14"/>
      <c r="K7" s="14"/>
      <c r="L7" s="14"/>
      <c r="M7" s="14"/>
      <c r="N7" s="14"/>
      <c r="O7" s="14"/>
      <c r="P7" s="14"/>
    </row>
    <row r="8" spans="1:16" s="7" customFormat="1" x14ac:dyDescent="0.2">
      <c r="A8" s="11"/>
      <c r="B8" s="11"/>
      <c r="C8" s="11"/>
      <c r="D8" s="11"/>
      <c r="E8" s="11"/>
      <c r="F8" s="11"/>
      <c r="G8" s="11"/>
      <c r="H8" s="11"/>
      <c r="I8" s="11"/>
      <c r="J8" s="11"/>
      <c r="K8" s="11"/>
      <c r="L8" s="11"/>
      <c r="M8" s="11"/>
      <c r="N8" s="11"/>
      <c r="O8" s="11"/>
      <c r="P8" s="11"/>
    </row>
    <row r="9" spans="1:16" s="7" customFormat="1" x14ac:dyDescent="0.2">
      <c r="A9" s="11"/>
      <c r="B9" s="11"/>
      <c r="C9" s="11"/>
      <c r="D9" s="11"/>
      <c r="E9" s="11"/>
      <c r="F9" s="11"/>
      <c r="G9" s="11"/>
      <c r="H9" s="11"/>
      <c r="I9" s="11"/>
      <c r="J9" s="11"/>
      <c r="K9" s="11"/>
      <c r="L9" s="11"/>
      <c r="M9" s="11"/>
      <c r="N9" s="11"/>
      <c r="O9" s="11"/>
      <c r="P9" s="11"/>
    </row>
    <row r="10" spans="1:16" s="7" customFormat="1" ht="13.5" thickBot="1" x14ac:dyDescent="0.25">
      <c r="A10" s="11"/>
    </row>
    <row r="11" spans="1:16" s="5" customFormat="1" x14ac:dyDescent="0.2">
      <c r="A11" s="53"/>
      <c r="B11" s="53"/>
      <c r="C11" s="53"/>
      <c r="D11" s="53"/>
      <c r="E11" s="53"/>
      <c r="F11" s="53"/>
      <c r="G11" s="53"/>
      <c r="H11" s="55" t="s">
        <v>62</v>
      </c>
      <c r="I11" s="55" t="s">
        <v>63</v>
      </c>
      <c r="J11" s="53"/>
      <c r="K11" s="55" t="s">
        <v>64</v>
      </c>
      <c r="L11" s="53"/>
      <c r="M11" s="53"/>
      <c r="N11" s="55" t="s">
        <v>65</v>
      </c>
      <c r="O11" s="55" t="s">
        <v>44</v>
      </c>
      <c r="P11" s="53"/>
    </row>
    <row r="12" spans="1:16" s="5" customFormat="1" x14ac:dyDescent="0.2">
      <c r="A12" s="59"/>
      <c r="B12" s="59"/>
      <c r="C12" s="59"/>
      <c r="D12" s="59"/>
      <c r="E12" s="59"/>
      <c r="F12" s="59"/>
      <c r="G12" s="58" t="s">
        <v>67</v>
      </c>
      <c r="H12" s="58" t="s">
        <v>68</v>
      </c>
      <c r="I12" s="58" t="s">
        <v>69</v>
      </c>
      <c r="J12" s="58" t="s">
        <v>70</v>
      </c>
      <c r="K12" s="58" t="s">
        <v>71</v>
      </c>
      <c r="L12" s="58" t="s">
        <v>72</v>
      </c>
      <c r="M12" s="58" t="s">
        <v>73</v>
      </c>
      <c r="N12" s="58" t="s">
        <v>74</v>
      </c>
      <c r="O12" s="58" t="s">
        <v>82</v>
      </c>
      <c r="P12" s="58" t="s">
        <v>42</v>
      </c>
    </row>
    <row r="13" spans="1:16" s="5" customFormat="1" x14ac:dyDescent="0.2">
      <c r="A13" s="58" t="s">
        <v>84</v>
      </c>
      <c r="B13" s="59"/>
      <c r="C13" s="58" t="s">
        <v>75</v>
      </c>
      <c r="D13" s="58" t="s">
        <v>116</v>
      </c>
      <c r="E13" s="58" t="s">
        <v>117</v>
      </c>
      <c r="F13" s="58" t="s">
        <v>72</v>
      </c>
      <c r="G13" s="58" t="s">
        <v>78</v>
      </c>
      <c r="H13" s="58" t="s">
        <v>75</v>
      </c>
      <c r="I13" s="58" t="s">
        <v>79</v>
      </c>
      <c r="J13" s="58" t="s">
        <v>64</v>
      </c>
      <c r="K13" s="58" t="s">
        <v>74</v>
      </c>
      <c r="L13" s="58" t="s">
        <v>80</v>
      </c>
      <c r="M13" s="58" t="s">
        <v>64</v>
      </c>
      <c r="N13" s="58" t="s">
        <v>81</v>
      </c>
      <c r="O13" s="58" t="s">
        <v>94</v>
      </c>
      <c r="P13" s="58" t="s">
        <v>83</v>
      </c>
    </row>
    <row r="14" spans="1:16" s="5" customFormat="1" x14ac:dyDescent="0.2">
      <c r="A14" s="58" t="s">
        <v>20</v>
      </c>
      <c r="B14" s="58" t="s">
        <v>17</v>
      </c>
      <c r="C14" s="58" t="s">
        <v>85</v>
      </c>
      <c r="D14" s="58" t="s">
        <v>85</v>
      </c>
      <c r="E14" s="58" t="s">
        <v>87</v>
      </c>
      <c r="F14" s="58" t="s">
        <v>88</v>
      </c>
      <c r="G14" s="58" t="s">
        <v>89</v>
      </c>
      <c r="H14" s="58" t="s">
        <v>90</v>
      </c>
      <c r="I14" s="58" t="s">
        <v>91</v>
      </c>
      <c r="J14" s="58" t="s">
        <v>71</v>
      </c>
      <c r="K14" s="58" t="s">
        <v>92</v>
      </c>
      <c r="L14" s="58" t="s">
        <v>93</v>
      </c>
      <c r="M14" s="58" t="s">
        <v>71</v>
      </c>
      <c r="N14" s="58" t="s">
        <v>71</v>
      </c>
      <c r="O14" s="58" t="s">
        <v>118</v>
      </c>
      <c r="P14" s="58" t="s">
        <v>44</v>
      </c>
    </row>
    <row r="15" spans="1:16" s="8" customFormat="1" ht="13.5" thickBot="1" x14ac:dyDescent="0.25">
      <c r="A15" s="71"/>
      <c r="B15" s="71" t="s">
        <v>38</v>
      </c>
      <c r="C15" s="71" t="s">
        <v>39</v>
      </c>
      <c r="D15" s="71" t="s">
        <v>40</v>
      </c>
      <c r="E15" s="71" t="s">
        <v>41</v>
      </c>
      <c r="F15" s="71" t="s">
        <v>51</v>
      </c>
      <c r="G15" s="71" t="s">
        <v>52</v>
      </c>
      <c r="H15" s="71" t="s">
        <v>53</v>
      </c>
      <c r="I15" s="71" t="s">
        <v>54</v>
      </c>
      <c r="J15" s="71" t="s">
        <v>55</v>
      </c>
      <c r="K15" s="71" t="s">
        <v>56</v>
      </c>
      <c r="L15" s="71" t="s">
        <v>57</v>
      </c>
      <c r="M15" s="71" t="s">
        <v>58</v>
      </c>
      <c r="N15" s="71" t="s">
        <v>59</v>
      </c>
      <c r="O15" s="71" t="s">
        <v>60</v>
      </c>
      <c r="P15" s="71" t="s">
        <v>61</v>
      </c>
    </row>
    <row r="16" spans="1:16" s="7" customFormat="1" x14ac:dyDescent="0.2">
      <c r="A16" s="48"/>
      <c r="B16" s="48"/>
      <c r="C16" s="48"/>
      <c r="D16" s="48"/>
      <c r="E16" s="48"/>
      <c r="F16" s="48"/>
      <c r="G16" s="48"/>
      <c r="H16" s="48"/>
      <c r="I16" s="48"/>
      <c r="J16" s="48"/>
      <c r="K16" s="48"/>
      <c r="L16" s="48"/>
      <c r="M16" s="48"/>
      <c r="N16" s="48"/>
      <c r="O16" s="48"/>
      <c r="P16" s="48"/>
    </row>
    <row r="17" spans="1:16" x14ac:dyDescent="0.2">
      <c r="A17" s="16">
        <v>1</v>
      </c>
      <c r="B17" s="90" t="s">
        <v>157</v>
      </c>
      <c r="C17" s="17"/>
      <c r="D17" s="17"/>
      <c r="E17" s="26"/>
      <c r="F17" s="24"/>
      <c r="G17" s="24"/>
      <c r="H17" s="24"/>
      <c r="I17" s="24"/>
      <c r="J17" s="33">
        <f>F17+G17-H17+I17</f>
        <v>0</v>
      </c>
      <c r="K17" s="27">
        <f>IF(ISERR(J17/F17),0,J17/F17)</f>
        <v>0</v>
      </c>
      <c r="L17" s="92">
        <v>0</v>
      </c>
      <c r="M17" s="33">
        <f>K17*L17</f>
        <v>0</v>
      </c>
      <c r="N17" s="27">
        <f>IF(ISERR(M17/$M$19),0,M17/$M$19)</f>
        <v>0</v>
      </c>
      <c r="O17" s="89">
        <v>0</v>
      </c>
      <c r="P17" s="27">
        <f>N17*O17</f>
        <v>0</v>
      </c>
    </row>
    <row r="18" spans="1:16" x14ac:dyDescent="0.2">
      <c r="A18" s="18">
        <v>2</v>
      </c>
      <c r="B18" s="19"/>
      <c r="C18" s="19"/>
      <c r="D18" s="19"/>
      <c r="E18" s="19"/>
      <c r="F18" s="19"/>
      <c r="G18" s="19"/>
      <c r="H18" s="19"/>
      <c r="I18" s="19"/>
      <c r="J18" s="19"/>
      <c r="K18" s="19"/>
      <c r="L18" s="96"/>
      <c r="M18" s="130"/>
      <c r="N18" s="131"/>
      <c r="O18" s="21"/>
      <c r="P18" s="131"/>
    </row>
    <row r="19" spans="1:16" x14ac:dyDescent="0.2">
      <c r="A19" s="18">
        <v>3</v>
      </c>
      <c r="B19" s="19"/>
      <c r="C19" s="19"/>
      <c r="D19" s="19"/>
      <c r="E19" s="19"/>
      <c r="F19" s="19"/>
      <c r="G19" s="19"/>
      <c r="H19" s="19"/>
      <c r="I19" s="19" t="s">
        <v>19</v>
      </c>
      <c r="J19" s="19"/>
      <c r="K19" s="19"/>
      <c r="L19" s="73">
        <f>SUM(L17:L17)</f>
        <v>0</v>
      </c>
      <c r="M19" s="33">
        <f>SUM(M17:M17)</f>
        <v>0</v>
      </c>
      <c r="N19" s="27">
        <f>SUM(N17:N17)</f>
        <v>0</v>
      </c>
      <c r="O19" s="19"/>
      <c r="P19" s="27">
        <f>SUM(P17:P17)</f>
        <v>0</v>
      </c>
    </row>
    <row r="20" spans="1:16" x14ac:dyDescent="0.2">
      <c r="A20" s="18">
        <v>4</v>
      </c>
      <c r="B20" s="19"/>
      <c r="C20" s="19"/>
      <c r="D20" s="19"/>
      <c r="E20" s="19"/>
      <c r="F20" s="19"/>
      <c r="G20" s="19"/>
      <c r="H20" s="19"/>
      <c r="I20" s="19"/>
      <c r="J20" s="19"/>
      <c r="K20" s="19"/>
      <c r="L20" s="73"/>
      <c r="M20" s="33"/>
      <c r="N20" s="19"/>
      <c r="O20" s="19"/>
      <c r="P20" s="27"/>
    </row>
    <row r="21" spans="1:16" x14ac:dyDescent="0.2">
      <c r="A21" s="18">
        <v>5</v>
      </c>
      <c r="B21" s="19"/>
      <c r="C21" s="19"/>
      <c r="D21" s="19"/>
      <c r="E21" s="19"/>
      <c r="F21" s="19"/>
      <c r="G21" s="19"/>
      <c r="H21" s="28" t="s">
        <v>95</v>
      </c>
      <c r="I21" s="29" t="s">
        <v>96</v>
      </c>
      <c r="J21" s="19"/>
      <c r="K21" s="19"/>
      <c r="L21" s="92">
        <v>0</v>
      </c>
      <c r="M21" s="33"/>
      <c r="N21" s="19"/>
      <c r="O21" s="19"/>
      <c r="P21" s="19"/>
    </row>
    <row r="22" spans="1:16" x14ac:dyDescent="0.2">
      <c r="A22" s="18">
        <v>6</v>
      </c>
      <c r="B22" s="19"/>
      <c r="C22" s="19"/>
      <c r="D22" s="19"/>
      <c r="E22" s="19"/>
      <c r="F22" s="19"/>
      <c r="G22" s="19"/>
      <c r="H22" s="28" t="s">
        <v>97</v>
      </c>
      <c r="I22" s="30" t="s">
        <v>98</v>
      </c>
      <c r="J22" s="19"/>
      <c r="K22" s="19"/>
      <c r="L22" s="92">
        <v>0</v>
      </c>
      <c r="M22" s="33"/>
      <c r="N22" s="19"/>
      <c r="O22" s="19"/>
      <c r="P22" s="19"/>
    </row>
    <row r="23" spans="1:16" x14ac:dyDescent="0.2">
      <c r="A23" s="18">
        <v>7</v>
      </c>
      <c r="B23" s="19"/>
      <c r="C23" s="19"/>
      <c r="D23" s="19"/>
      <c r="E23" s="19"/>
      <c r="F23" s="19"/>
      <c r="G23" s="19"/>
      <c r="H23" s="28" t="s">
        <v>95</v>
      </c>
      <c r="I23" s="30" t="s">
        <v>119</v>
      </c>
      <c r="J23" s="19"/>
      <c r="K23" s="19"/>
      <c r="L23" s="92">
        <v>0</v>
      </c>
      <c r="M23" s="33"/>
      <c r="N23" s="19"/>
      <c r="O23" s="19"/>
      <c r="P23" s="19"/>
    </row>
    <row r="24" spans="1:16" x14ac:dyDescent="0.2">
      <c r="A24" s="18">
        <v>8</v>
      </c>
      <c r="B24" s="19"/>
      <c r="C24" s="19"/>
      <c r="D24" s="19"/>
      <c r="E24" s="19"/>
      <c r="F24" s="19"/>
      <c r="G24" s="19"/>
      <c r="H24" s="19"/>
      <c r="I24" s="30"/>
      <c r="J24" s="19"/>
      <c r="K24" s="19"/>
      <c r="L24" s="93"/>
      <c r="M24" s="33"/>
      <c r="N24" s="19"/>
      <c r="O24" s="19"/>
      <c r="P24" s="19"/>
    </row>
    <row r="25" spans="1:16" x14ac:dyDescent="0.2">
      <c r="A25" s="18">
        <v>9</v>
      </c>
      <c r="B25" s="19"/>
      <c r="C25" s="19"/>
      <c r="D25" s="19"/>
      <c r="E25" s="19"/>
      <c r="F25" s="19"/>
      <c r="G25" s="19"/>
      <c r="H25" s="19"/>
      <c r="I25" s="18" t="s">
        <v>120</v>
      </c>
      <c r="J25" s="19"/>
      <c r="K25" s="19"/>
      <c r="L25" s="73">
        <f>L19+L21-L22+L23</f>
        <v>0</v>
      </c>
      <c r="M25" s="33"/>
      <c r="N25" s="19"/>
      <c r="O25" s="19"/>
      <c r="P25" s="19"/>
    </row>
    <row r="26" spans="1:16" x14ac:dyDescent="0.2">
      <c r="A26" s="19"/>
      <c r="B26" s="19"/>
      <c r="C26" s="19"/>
      <c r="D26" s="19"/>
      <c r="E26" s="19"/>
      <c r="F26" s="19"/>
      <c r="G26" s="19"/>
      <c r="H26" s="19"/>
      <c r="I26" s="19"/>
      <c r="J26" s="19"/>
      <c r="K26" s="19"/>
      <c r="L26" s="33"/>
      <c r="M26" s="33"/>
      <c r="N26" s="19"/>
      <c r="O26" s="19"/>
      <c r="P26" s="19"/>
    </row>
    <row r="27" spans="1:16" x14ac:dyDescent="0.2">
      <c r="A27" s="19"/>
      <c r="B27" s="19"/>
      <c r="C27" s="19"/>
      <c r="D27" s="19"/>
      <c r="E27" s="19"/>
      <c r="F27" s="19"/>
      <c r="G27" s="19"/>
      <c r="H27" s="19"/>
      <c r="I27" s="19"/>
      <c r="J27" s="19"/>
      <c r="K27" s="19"/>
      <c r="L27" s="33"/>
      <c r="M27" s="33"/>
      <c r="N27" s="19"/>
      <c r="O27" s="19"/>
      <c r="P27" s="19"/>
    </row>
    <row r="28" spans="1:16" x14ac:dyDescent="0.2">
      <c r="A28" s="19"/>
      <c r="B28" s="19"/>
      <c r="C28" s="19"/>
      <c r="D28" s="19"/>
      <c r="E28" s="19"/>
      <c r="F28" s="19"/>
      <c r="G28" s="19"/>
      <c r="H28" s="19"/>
      <c r="I28" s="19"/>
      <c r="J28" s="19"/>
      <c r="K28" s="19"/>
      <c r="L28" s="33"/>
      <c r="M28" s="33"/>
      <c r="N28" s="19"/>
      <c r="O28" s="19"/>
      <c r="P28" s="19"/>
    </row>
    <row r="29" spans="1:16" x14ac:dyDescent="0.2">
      <c r="A29" s="19"/>
      <c r="B29" s="19"/>
      <c r="C29" s="19"/>
      <c r="D29" s="19"/>
      <c r="E29" s="19"/>
      <c r="F29" s="19"/>
      <c r="G29" s="19"/>
      <c r="H29" s="19"/>
      <c r="I29" s="19"/>
      <c r="J29" s="19"/>
      <c r="K29" s="19"/>
      <c r="L29" s="33"/>
      <c r="M29" s="33"/>
      <c r="N29" s="19"/>
      <c r="O29" s="19"/>
      <c r="P29" s="19"/>
    </row>
    <row r="30" spans="1:16" x14ac:dyDescent="0.2">
      <c r="A30" s="19"/>
      <c r="B30" s="19"/>
      <c r="C30" s="19"/>
      <c r="D30" s="19"/>
      <c r="E30" s="19"/>
      <c r="F30" s="19"/>
      <c r="G30" s="19"/>
      <c r="H30" s="19"/>
      <c r="I30" s="19"/>
      <c r="J30" s="19"/>
      <c r="K30" s="19"/>
      <c r="L30" s="19"/>
      <c r="M30" s="19"/>
      <c r="N30" s="19"/>
      <c r="O30" s="19"/>
      <c r="P30" s="19"/>
    </row>
    <row r="31" spans="1:16" x14ac:dyDescent="0.2">
      <c r="A31" s="19"/>
      <c r="B31" s="19"/>
      <c r="C31" s="19"/>
      <c r="D31" s="19"/>
      <c r="E31" s="19"/>
      <c r="F31" s="19"/>
      <c r="G31" s="19"/>
      <c r="H31" s="19"/>
      <c r="I31" s="19"/>
      <c r="J31" s="19"/>
      <c r="K31" s="19"/>
      <c r="L31" s="19"/>
      <c r="M31" s="19"/>
      <c r="N31" s="19"/>
      <c r="O31" s="19"/>
      <c r="P31" s="19"/>
    </row>
    <row r="32" spans="1:16" x14ac:dyDescent="0.2">
      <c r="A32" s="19"/>
      <c r="B32" s="19"/>
      <c r="C32" s="19"/>
      <c r="D32" s="19"/>
      <c r="E32" s="19"/>
      <c r="F32" s="19"/>
      <c r="G32" s="19"/>
      <c r="H32" s="19"/>
      <c r="I32" s="19"/>
      <c r="J32" s="19"/>
      <c r="K32" s="19"/>
      <c r="L32" s="19"/>
      <c r="M32" s="19"/>
      <c r="N32" s="19"/>
      <c r="O32" s="19"/>
      <c r="P32" s="19"/>
    </row>
    <row r="33" spans="1:16" x14ac:dyDescent="0.2">
      <c r="A33" s="19"/>
      <c r="B33" s="19"/>
      <c r="C33" s="19"/>
      <c r="D33" s="19"/>
      <c r="E33" s="19"/>
      <c r="F33" s="19"/>
      <c r="G33" s="19"/>
      <c r="H33" s="19"/>
      <c r="I33" s="19"/>
      <c r="J33" s="19"/>
      <c r="K33" s="19"/>
      <c r="L33" s="19"/>
      <c r="M33" s="19"/>
      <c r="N33" s="19"/>
      <c r="O33" s="19"/>
      <c r="P33" s="19"/>
    </row>
    <row r="34" spans="1:16" x14ac:dyDescent="0.2">
      <c r="A34" s="19"/>
      <c r="B34" s="19"/>
      <c r="C34" s="19"/>
      <c r="D34" s="19"/>
      <c r="E34" s="19"/>
      <c r="F34" s="19"/>
      <c r="G34" s="19"/>
      <c r="H34" s="19"/>
      <c r="I34" s="19"/>
      <c r="J34" s="19"/>
      <c r="K34" s="19"/>
      <c r="L34" s="19"/>
      <c r="M34" s="19"/>
      <c r="N34" s="19"/>
      <c r="O34" s="19"/>
      <c r="P34" s="19"/>
    </row>
    <row r="35" spans="1:16" x14ac:dyDescent="0.2">
      <c r="A35" s="19"/>
      <c r="B35" s="19"/>
      <c r="C35" s="19"/>
      <c r="D35" s="19"/>
      <c r="E35" s="19"/>
      <c r="F35" s="19"/>
      <c r="G35" s="19"/>
      <c r="H35" s="19"/>
      <c r="I35" s="19"/>
      <c r="J35" s="19"/>
      <c r="K35" s="19"/>
      <c r="L35" s="19"/>
      <c r="M35" s="19"/>
      <c r="N35" s="19"/>
      <c r="O35" s="19"/>
      <c r="P35" s="19"/>
    </row>
  </sheetData>
  <phoneticPr fontId="4" type="noConversion"/>
  <printOptions horizontalCentered="1"/>
  <pageMargins left="0.5" right="0.5" top="3" bottom="0.5" header="1.5" footer="0.5"/>
  <pageSetup scale="74" orientation="landscape"/>
  <headerFooter alignWithMargins="0">
    <oddHeader>&amp;R&amp;"Arial,Bold"Schedule &amp;A
Page &amp;P of &amp;N&amp;C&amp;B
2025 RATE CASE
ONCOR ELECTRIC DELIVERY COMPANY LLC
II-C-2.3  WEIGHTED AVERAGE COST OF PREFERRED TRUST SECURITIES
TEST YEAR ENDING DECEMBER 31, 2024
SPONSOR: K. FEASE</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tabColor rgb="FF00B050"/>
    <pageSetUpPr fitToPage="1"/>
  </sheetPr>
  <dimension ref="A1:H50"/>
  <sheetViews>
    <sheetView workbookViewId="0">
      <selection activeCell="K29" sqref="K29"/>
    </sheetView>
  </sheetViews>
  <sheetFormatPr defaultColWidth="9.140625" defaultRowHeight="12.75" x14ac:dyDescent="0.2"/>
  <cols>
    <col min="1" max="1" width="6" style="20" bestFit="1" customWidth="1"/>
    <col min="2" max="2" width="3.7109375" style="20" customWidth="1"/>
    <col min="3" max="3" width="4.85546875" style="20" customWidth="1"/>
    <col min="4" max="4" width="17.7109375" style="20" customWidth="1"/>
    <col min="5" max="7" width="12.5703125" style="20" customWidth="1"/>
    <col min="8" max="8" width="13.7109375" style="20" customWidth="1"/>
    <col min="9" max="9" width="12.5703125" style="20" customWidth="1"/>
    <col min="10" max="16384" width="9.140625" style="20"/>
  </cols>
  <sheetData>
    <row r="1" spans="1:8" x14ac:dyDescent="0.2">
      <c r="A1" s="5" t="str">
        <f>+'[1]Input Data'!$A$9</f>
        <v>2025 RATE CASE</v>
      </c>
    </row>
    <row r="2" spans="1:8" s="7" customFormat="1" x14ac:dyDescent="0.2">
      <c r="A2" s="61" t="str">
        <f>+'[1]Input Data'!$A$2</f>
        <v>ONCOR ELECTRIC DELIVERY COMPANY LLC</v>
      </c>
      <c r="B2" s="35"/>
      <c r="C2" s="35"/>
      <c r="D2" s="2"/>
      <c r="E2" s="35"/>
      <c r="F2" s="9"/>
      <c r="G2" s="36"/>
      <c r="H2" s="37"/>
    </row>
    <row r="3" spans="1:8" s="7" customFormat="1" x14ac:dyDescent="0.2">
      <c r="A3" s="61" t="str">
        <f>CONCATENATE('[1]Schedule Sponsors'!$A$38,'[1]Schedule Sponsors'!$B$38)</f>
        <v>II-C-2.3a  ADJUSTED COST OF PREFERRED TRUST SECURITIES</v>
      </c>
    </row>
    <row r="4" spans="1:8" s="7" customFormat="1" x14ac:dyDescent="0.2">
      <c r="A4" s="62" t="str">
        <f>+'[1]Input Data'!$A$4</f>
        <v>TEST YEAR ENDING DECEMBER 31, 2024</v>
      </c>
      <c r="B4" s="36"/>
      <c r="C4" s="36"/>
      <c r="D4" s="36"/>
      <c r="E4" s="36"/>
      <c r="F4" s="36"/>
      <c r="G4" s="36"/>
      <c r="H4" s="36"/>
    </row>
    <row r="5" spans="1:8" s="7" customFormat="1" x14ac:dyDescent="0.2">
      <c r="A5" s="5" t="str">
        <f>CONCATENATE("SPONSOR: ",'[1]Schedule Sponsors'!$D$38)</f>
        <v>SPONSOR: K. FEASE</v>
      </c>
      <c r="B5" s="38"/>
      <c r="C5" s="38"/>
      <c r="D5" s="38"/>
      <c r="E5" s="38"/>
      <c r="F5" s="38"/>
      <c r="G5" s="38"/>
      <c r="H5" s="38"/>
    </row>
    <row r="6" spans="1:8" s="7" customFormat="1" x14ac:dyDescent="0.2">
      <c r="B6" s="38"/>
      <c r="C6" s="38"/>
      <c r="D6" s="38"/>
      <c r="E6" s="38"/>
      <c r="F6" s="38"/>
      <c r="G6" s="38"/>
      <c r="H6" s="38"/>
    </row>
    <row r="7" spans="1:8" s="7" customFormat="1" x14ac:dyDescent="0.2">
      <c r="B7" s="38"/>
      <c r="C7" s="38"/>
      <c r="D7" s="38"/>
      <c r="E7" s="38"/>
      <c r="F7" s="38"/>
      <c r="G7" s="38"/>
      <c r="H7" s="38"/>
    </row>
    <row r="8" spans="1:8" s="7" customFormat="1" x14ac:dyDescent="0.2">
      <c r="A8" s="36"/>
      <c r="B8" s="36"/>
      <c r="C8" s="36"/>
      <c r="D8" s="36"/>
      <c r="E8" s="36"/>
      <c r="F8" s="36"/>
      <c r="G8" s="36"/>
      <c r="H8" s="36"/>
    </row>
    <row r="9" spans="1:8" s="7" customFormat="1" x14ac:dyDescent="0.2">
      <c r="A9" s="36"/>
      <c r="B9" s="36"/>
      <c r="C9" s="36"/>
      <c r="D9" s="36"/>
      <c r="E9" s="36"/>
      <c r="F9" s="36"/>
      <c r="G9" s="36"/>
      <c r="H9" s="36"/>
    </row>
    <row r="10" spans="1:8" s="7" customFormat="1" ht="13.5" thickBot="1" x14ac:dyDescent="0.25">
      <c r="A10" s="36"/>
      <c r="B10" s="36"/>
      <c r="C10" s="36"/>
      <c r="D10" s="36"/>
      <c r="E10" s="36"/>
      <c r="F10" s="36"/>
      <c r="G10" s="36"/>
      <c r="H10" s="36"/>
    </row>
    <row r="11" spans="1:8" s="2" customFormat="1" x14ac:dyDescent="0.2">
      <c r="A11" s="77" t="s">
        <v>84</v>
      </c>
      <c r="B11" s="75"/>
      <c r="C11" s="75"/>
      <c r="D11" s="75"/>
      <c r="E11" s="75"/>
      <c r="F11" s="75"/>
      <c r="G11" s="75"/>
      <c r="H11" s="77"/>
    </row>
    <row r="12" spans="1:8" s="3" customFormat="1" x14ac:dyDescent="0.2">
      <c r="A12" s="78" t="s">
        <v>20</v>
      </c>
      <c r="B12" s="74"/>
      <c r="C12" s="448" t="s">
        <v>17</v>
      </c>
      <c r="D12" s="448"/>
      <c r="E12" s="448"/>
      <c r="F12" s="448"/>
      <c r="G12" s="448"/>
      <c r="H12" s="78" t="s">
        <v>37</v>
      </c>
    </row>
    <row r="13" spans="1:8" s="2" customFormat="1" ht="13.5" thickBot="1" x14ac:dyDescent="0.25">
      <c r="A13" s="79"/>
      <c r="B13" s="76"/>
      <c r="C13" s="449" t="s">
        <v>38</v>
      </c>
      <c r="D13" s="449"/>
      <c r="E13" s="449"/>
      <c r="F13" s="449"/>
      <c r="G13" s="449"/>
      <c r="H13" s="79" t="s">
        <v>39</v>
      </c>
    </row>
    <row r="14" spans="1:8" s="2" customFormat="1" x14ac:dyDescent="0.2">
      <c r="A14" s="39"/>
      <c r="B14" s="35"/>
      <c r="C14" s="35"/>
      <c r="D14" s="35"/>
      <c r="E14" s="35"/>
      <c r="F14" s="35"/>
      <c r="G14" s="35"/>
      <c r="H14" s="35"/>
    </row>
    <row r="15" spans="1:8" s="2" customFormat="1" x14ac:dyDescent="0.2">
      <c r="A15" s="40">
        <v>1</v>
      </c>
      <c r="B15" s="35"/>
      <c r="C15" s="35" t="s">
        <v>101</v>
      </c>
      <c r="D15" s="35"/>
      <c r="E15" s="35"/>
      <c r="F15" s="35"/>
      <c r="G15" s="35"/>
      <c r="H15" s="73">
        <v>0</v>
      </c>
    </row>
    <row r="16" spans="1:8" s="2" customFormat="1" x14ac:dyDescent="0.2">
      <c r="A16" s="40">
        <f t="shared" ref="A16:A46" si="0">A15+1</f>
        <v>2</v>
      </c>
      <c r="B16" s="35"/>
      <c r="C16" s="35" t="s">
        <v>6</v>
      </c>
      <c r="D16" s="35"/>
      <c r="E16" s="35"/>
      <c r="F16" s="35"/>
      <c r="G16" s="35"/>
      <c r="H16" s="35"/>
    </row>
    <row r="17" spans="1:8" x14ac:dyDescent="0.2">
      <c r="A17" s="40">
        <f t="shared" si="0"/>
        <v>3</v>
      </c>
      <c r="B17" s="39" t="s">
        <v>102</v>
      </c>
      <c r="C17" s="35" t="s">
        <v>103</v>
      </c>
      <c r="D17" s="35"/>
      <c r="E17" s="35"/>
      <c r="F17" s="35"/>
      <c r="G17" s="35"/>
      <c r="H17" s="24">
        <v>0</v>
      </c>
    </row>
    <row r="18" spans="1:8" x14ac:dyDescent="0.2">
      <c r="A18" s="41">
        <f t="shared" si="0"/>
        <v>4</v>
      </c>
      <c r="B18" s="42"/>
      <c r="C18" s="42" t="s">
        <v>7</v>
      </c>
      <c r="D18" s="42"/>
      <c r="E18" s="42"/>
      <c r="F18" s="42"/>
      <c r="G18" s="42"/>
      <c r="H18" s="42"/>
    </row>
    <row r="19" spans="1:8" x14ac:dyDescent="0.2">
      <c r="A19" s="41">
        <f t="shared" si="0"/>
        <v>5</v>
      </c>
      <c r="B19" s="42"/>
      <c r="C19" s="42"/>
      <c r="D19" s="42"/>
      <c r="E19" s="42"/>
      <c r="F19" s="42"/>
      <c r="G19" s="42"/>
      <c r="H19" s="43"/>
    </row>
    <row r="20" spans="1:8" x14ac:dyDescent="0.2">
      <c r="A20" s="41">
        <f t="shared" si="0"/>
        <v>6</v>
      </c>
      <c r="B20" s="42"/>
      <c r="C20" s="42" t="s">
        <v>104</v>
      </c>
      <c r="D20" s="42"/>
      <c r="E20" s="42"/>
      <c r="F20" s="42"/>
      <c r="G20" s="42"/>
      <c r="H20" s="73">
        <f>+H15-H17</f>
        <v>0</v>
      </c>
    </row>
    <row r="21" spans="1:8" x14ac:dyDescent="0.2">
      <c r="A21" s="41">
        <f t="shared" si="0"/>
        <v>7</v>
      </c>
      <c r="B21" s="42"/>
      <c r="C21" s="42" t="s">
        <v>8</v>
      </c>
      <c r="D21" s="42"/>
      <c r="E21" s="42"/>
      <c r="F21" s="42"/>
      <c r="G21" s="42"/>
      <c r="H21" s="42"/>
    </row>
    <row r="22" spans="1:8" x14ac:dyDescent="0.2">
      <c r="A22" s="41">
        <f t="shared" si="0"/>
        <v>8</v>
      </c>
      <c r="B22" s="42"/>
      <c r="C22" s="42"/>
      <c r="D22" s="42"/>
      <c r="E22" s="42"/>
      <c r="F22" s="42"/>
      <c r="G22" s="42"/>
      <c r="H22" s="42"/>
    </row>
    <row r="23" spans="1:8" x14ac:dyDescent="0.2">
      <c r="A23" s="41">
        <f t="shared" si="0"/>
        <v>9</v>
      </c>
      <c r="B23" s="42"/>
      <c r="C23" s="42"/>
      <c r="D23" s="42"/>
      <c r="E23" s="42"/>
      <c r="F23" s="42"/>
      <c r="G23" s="42"/>
      <c r="H23" s="42"/>
    </row>
    <row r="24" spans="1:8" x14ac:dyDescent="0.2">
      <c r="A24" s="41">
        <f t="shared" si="0"/>
        <v>10</v>
      </c>
      <c r="B24" s="42"/>
      <c r="C24" s="42" t="s">
        <v>105</v>
      </c>
      <c r="D24" s="42"/>
      <c r="E24" s="42"/>
      <c r="F24" s="42"/>
      <c r="G24" s="42"/>
      <c r="H24" s="73">
        <v>0</v>
      </c>
    </row>
    <row r="25" spans="1:8" x14ac:dyDescent="0.2">
      <c r="A25" s="41">
        <f t="shared" si="0"/>
        <v>11</v>
      </c>
      <c r="B25" s="42"/>
      <c r="C25" s="42" t="s">
        <v>121</v>
      </c>
      <c r="D25" s="42"/>
      <c r="E25" s="42"/>
      <c r="F25" s="42"/>
      <c r="G25" s="42"/>
      <c r="H25" s="42"/>
    </row>
    <row r="26" spans="1:8" x14ac:dyDescent="0.2">
      <c r="A26" s="41">
        <f t="shared" si="0"/>
        <v>12</v>
      </c>
      <c r="B26" s="44" t="s">
        <v>102</v>
      </c>
      <c r="C26" s="42" t="s">
        <v>107</v>
      </c>
      <c r="D26" s="42"/>
      <c r="E26" s="42"/>
      <c r="F26" s="42"/>
      <c r="G26" s="42"/>
      <c r="H26" s="24">
        <v>0</v>
      </c>
    </row>
    <row r="27" spans="1:8" x14ac:dyDescent="0.2">
      <c r="A27" s="41">
        <f t="shared" si="0"/>
        <v>13</v>
      </c>
      <c r="B27" s="42"/>
      <c r="C27" s="42" t="s">
        <v>9</v>
      </c>
      <c r="D27" s="42"/>
      <c r="E27" s="42"/>
      <c r="F27" s="42"/>
      <c r="G27" s="42"/>
      <c r="H27" s="42"/>
    </row>
    <row r="28" spans="1:8" x14ac:dyDescent="0.2">
      <c r="A28" s="41">
        <f t="shared" si="0"/>
        <v>14</v>
      </c>
      <c r="B28" s="42"/>
      <c r="C28" s="42"/>
      <c r="D28" s="42"/>
      <c r="E28" s="42"/>
      <c r="F28" s="42"/>
      <c r="G28" s="42"/>
      <c r="H28" s="43"/>
    </row>
    <row r="29" spans="1:8" x14ac:dyDescent="0.2">
      <c r="A29" s="41">
        <f t="shared" si="0"/>
        <v>15</v>
      </c>
      <c r="B29" s="42"/>
      <c r="C29" s="42" t="s">
        <v>108</v>
      </c>
      <c r="D29" s="42"/>
      <c r="E29" s="42"/>
      <c r="F29" s="42"/>
      <c r="G29" s="42"/>
      <c r="H29" s="73">
        <f>+H24-H26</f>
        <v>0</v>
      </c>
    </row>
    <row r="30" spans="1:8" x14ac:dyDescent="0.2">
      <c r="A30" s="41">
        <f t="shared" si="0"/>
        <v>16</v>
      </c>
      <c r="B30" s="42"/>
      <c r="C30" s="42" t="s">
        <v>8</v>
      </c>
      <c r="D30" s="42"/>
      <c r="E30" s="42"/>
      <c r="F30" s="42"/>
      <c r="G30" s="42"/>
      <c r="H30" s="42"/>
    </row>
    <row r="31" spans="1:8" x14ac:dyDescent="0.2">
      <c r="A31" s="41">
        <f t="shared" si="0"/>
        <v>17</v>
      </c>
      <c r="B31" s="42"/>
      <c r="C31" s="42"/>
      <c r="D31" s="42"/>
      <c r="E31" s="42"/>
      <c r="F31" s="42"/>
      <c r="G31" s="42"/>
      <c r="H31" s="42"/>
    </row>
    <row r="32" spans="1:8" x14ac:dyDescent="0.2">
      <c r="A32" s="41">
        <f t="shared" si="0"/>
        <v>18</v>
      </c>
      <c r="B32" s="42"/>
      <c r="C32" s="42"/>
      <c r="D32" s="42"/>
      <c r="E32" s="42"/>
      <c r="F32" s="42"/>
      <c r="G32" s="42"/>
      <c r="H32" s="42"/>
    </row>
    <row r="33" spans="1:8" x14ac:dyDescent="0.2">
      <c r="A33" s="41">
        <f t="shared" si="0"/>
        <v>19</v>
      </c>
      <c r="B33" s="42"/>
      <c r="C33" s="42" t="s">
        <v>10</v>
      </c>
      <c r="D33" s="42"/>
      <c r="E33" s="42"/>
      <c r="F33" s="42"/>
      <c r="G33" s="42"/>
      <c r="H33" s="73">
        <v>0</v>
      </c>
    </row>
    <row r="34" spans="1:8" x14ac:dyDescent="0.2">
      <c r="A34" s="41">
        <f t="shared" si="0"/>
        <v>20</v>
      </c>
      <c r="B34" s="44" t="s">
        <v>102</v>
      </c>
      <c r="C34" s="42" t="s">
        <v>109</v>
      </c>
      <c r="D34" s="42"/>
      <c r="E34" s="42"/>
      <c r="F34" s="42"/>
      <c r="G34" s="42"/>
      <c r="H34" s="33">
        <f>+H20</f>
        <v>0</v>
      </c>
    </row>
    <row r="35" spans="1:8" x14ac:dyDescent="0.2">
      <c r="A35" s="41">
        <f t="shared" si="0"/>
        <v>21</v>
      </c>
      <c r="B35" s="42"/>
      <c r="C35" s="42"/>
      <c r="D35" s="42"/>
      <c r="E35" s="42"/>
      <c r="F35" s="42"/>
      <c r="G35" s="42"/>
      <c r="H35" s="43"/>
    </row>
    <row r="36" spans="1:8" x14ac:dyDescent="0.2">
      <c r="A36" s="41">
        <f t="shared" si="0"/>
        <v>22</v>
      </c>
      <c r="B36" s="42"/>
      <c r="C36" s="42" t="s">
        <v>122</v>
      </c>
      <c r="D36" s="42"/>
      <c r="E36" s="42"/>
      <c r="F36" s="42"/>
      <c r="G36" s="42"/>
      <c r="H36" s="73">
        <f>+H33-H34</f>
        <v>0</v>
      </c>
    </row>
    <row r="37" spans="1:8" x14ac:dyDescent="0.2">
      <c r="A37" s="41">
        <f t="shared" si="0"/>
        <v>23</v>
      </c>
      <c r="B37" s="42"/>
      <c r="C37" s="42"/>
      <c r="D37" s="42"/>
      <c r="E37" s="42"/>
      <c r="F37" s="42"/>
      <c r="G37" s="42"/>
      <c r="H37" s="42"/>
    </row>
    <row r="38" spans="1:8" x14ac:dyDescent="0.2">
      <c r="A38" s="41">
        <f t="shared" si="0"/>
        <v>24</v>
      </c>
      <c r="B38" s="44" t="s">
        <v>111</v>
      </c>
      <c r="C38" s="42" t="s">
        <v>11</v>
      </c>
      <c r="D38" s="42"/>
      <c r="E38" s="42"/>
      <c r="F38" s="42"/>
      <c r="G38" s="42"/>
      <c r="H38" s="45">
        <v>0</v>
      </c>
    </row>
    <row r="39" spans="1:8" x14ac:dyDescent="0.2">
      <c r="A39" s="41">
        <f t="shared" si="0"/>
        <v>25</v>
      </c>
      <c r="B39" s="42"/>
      <c r="C39" s="42"/>
      <c r="D39" s="42"/>
      <c r="E39" s="42"/>
      <c r="F39" s="42"/>
      <c r="G39" s="42"/>
      <c r="H39" s="43"/>
    </row>
    <row r="40" spans="1:8" x14ac:dyDescent="0.2">
      <c r="A40" s="41">
        <f t="shared" si="0"/>
        <v>26</v>
      </c>
      <c r="B40" s="42"/>
      <c r="C40" s="42" t="s">
        <v>123</v>
      </c>
      <c r="D40" s="42"/>
      <c r="E40" s="42"/>
      <c r="F40" s="42"/>
      <c r="G40" s="42"/>
      <c r="H40" s="73">
        <f>+H36*H38</f>
        <v>0</v>
      </c>
    </row>
    <row r="41" spans="1:8" x14ac:dyDescent="0.2">
      <c r="A41" s="41">
        <f t="shared" si="0"/>
        <v>27</v>
      </c>
      <c r="B41" s="42"/>
      <c r="C41" s="42"/>
      <c r="D41" s="42"/>
      <c r="E41" s="42"/>
      <c r="F41" s="42"/>
      <c r="G41" s="42"/>
      <c r="H41" s="42"/>
    </row>
    <row r="42" spans="1:8" x14ac:dyDescent="0.2">
      <c r="A42" s="41">
        <f t="shared" si="0"/>
        <v>28</v>
      </c>
      <c r="B42" s="44" t="s">
        <v>102</v>
      </c>
      <c r="C42" s="42" t="s">
        <v>113</v>
      </c>
      <c r="D42" s="42"/>
      <c r="E42" s="42"/>
      <c r="F42" s="42"/>
      <c r="G42" s="42"/>
      <c r="H42" s="33">
        <f>+H29</f>
        <v>0</v>
      </c>
    </row>
    <row r="43" spans="1:8" x14ac:dyDescent="0.2">
      <c r="A43" s="41">
        <f t="shared" si="0"/>
        <v>29</v>
      </c>
      <c r="B43" s="42"/>
      <c r="C43" s="42"/>
      <c r="D43" s="42"/>
      <c r="E43" s="42"/>
      <c r="F43" s="42"/>
      <c r="G43" s="42"/>
      <c r="H43" s="43"/>
    </row>
    <row r="44" spans="1:8" x14ac:dyDescent="0.2">
      <c r="A44" s="41">
        <f t="shared" si="0"/>
        <v>30</v>
      </c>
      <c r="B44" s="42"/>
      <c r="C44" s="42" t="s">
        <v>124</v>
      </c>
      <c r="D44" s="42"/>
      <c r="E44" s="42"/>
      <c r="F44" s="42"/>
      <c r="G44" s="42"/>
      <c r="H44" s="73">
        <f>+H40-H42</f>
        <v>0</v>
      </c>
    </row>
    <row r="45" spans="1:8" x14ac:dyDescent="0.2">
      <c r="A45" s="41">
        <f t="shared" si="0"/>
        <v>31</v>
      </c>
      <c r="B45" s="42"/>
      <c r="C45" s="42"/>
      <c r="D45" s="42"/>
      <c r="E45" s="42"/>
      <c r="F45" s="42"/>
      <c r="G45" s="42"/>
      <c r="H45" s="42"/>
    </row>
    <row r="46" spans="1:8" x14ac:dyDescent="0.2">
      <c r="A46" s="41">
        <f t="shared" si="0"/>
        <v>32</v>
      </c>
      <c r="B46" s="42"/>
      <c r="C46" s="42" t="s">
        <v>125</v>
      </c>
      <c r="D46" s="35"/>
      <c r="E46" s="35"/>
      <c r="F46" s="35"/>
      <c r="G46" s="35"/>
      <c r="H46" s="104">
        <v>0</v>
      </c>
    </row>
    <row r="47" spans="1:8" x14ac:dyDescent="0.2">
      <c r="A47" s="42"/>
      <c r="B47" s="42"/>
      <c r="C47" s="42"/>
      <c r="D47" s="42"/>
      <c r="E47" s="42"/>
      <c r="F47" s="42"/>
      <c r="G47" s="42"/>
      <c r="H47" s="42"/>
    </row>
    <row r="48" spans="1:8" x14ac:dyDescent="0.2">
      <c r="A48" s="42"/>
      <c r="B48" s="42"/>
      <c r="C48" s="42"/>
      <c r="D48" s="42"/>
      <c r="E48" s="42"/>
      <c r="F48" s="42"/>
      <c r="G48" s="42"/>
      <c r="H48" s="42"/>
    </row>
    <row r="49" spans="1:8" x14ac:dyDescent="0.2">
      <c r="A49" s="46"/>
      <c r="B49" s="42"/>
      <c r="C49" s="42"/>
      <c r="D49" s="42"/>
      <c r="E49" s="42"/>
      <c r="F49" s="42"/>
      <c r="G49" s="42"/>
      <c r="H49" s="42"/>
    </row>
    <row r="50" spans="1:8" x14ac:dyDescent="0.2">
      <c r="A50" s="42"/>
      <c r="B50" s="42"/>
      <c r="C50" s="42"/>
      <c r="D50" s="42"/>
      <c r="E50" s="42"/>
      <c r="F50" s="42"/>
      <c r="G50" s="42"/>
      <c r="H50" s="42"/>
    </row>
  </sheetData>
  <mergeCells count="2">
    <mergeCell ref="C12:G12"/>
    <mergeCell ref="C13:G13"/>
  </mergeCells>
  <phoneticPr fontId="4" type="noConversion"/>
  <printOptions horizontalCentered="1"/>
  <pageMargins left="1.5" right="0.5" top="2.5" bottom="0.5" header="1" footer="0.5"/>
  <pageSetup orientation="portrait"/>
  <headerFooter alignWithMargins="0">
    <oddHeader>&amp;R&amp;"Arial,Bold"Schedule &amp;A
Page &amp;P of &amp;N&amp;C&amp;B
2025 RATE CASE
ONCOR ELECTRIC DELIVERY COMPANY LLC
II-C-2.3a  ADJUSTED COST OF PREFERRED TRUST SECURITIES
TEST YEAR ENDING DECEMBER 31, 2024
SPONSOR: K. FEASE</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00B050"/>
  </sheetPr>
  <dimension ref="A1:P231"/>
  <sheetViews>
    <sheetView zoomScaleNormal="100" workbookViewId="0">
      <pane ySplit="15" topLeftCell="A46" activePane="bottomLeft" state="frozen"/>
      <selection activeCell="P34" sqref="P34"/>
      <selection pane="bottomLeft" activeCell="A16" sqref="A16"/>
    </sheetView>
  </sheetViews>
  <sheetFormatPr defaultColWidth="9.140625" defaultRowHeight="12.75" x14ac:dyDescent="0.2"/>
  <cols>
    <col min="1" max="1" width="5.140625" style="20" customWidth="1"/>
    <col min="2" max="2" width="16.42578125" style="20" customWidth="1"/>
    <col min="3" max="4" width="10.7109375" style="20" customWidth="1"/>
    <col min="5" max="5" width="7.85546875" style="20" bestFit="1" customWidth="1"/>
    <col min="6" max="6" width="16" style="20" bestFit="1" customWidth="1"/>
    <col min="7" max="7" width="14.7109375" style="20" bestFit="1" customWidth="1"/>
    <col min="8" max="8" width="15.140625" style="20" bestFit="1" customWidth="1"/>
    <col min="9" max="9" width="15" style="20" customWidth="1"/>
    <col min="10" max="10" width="14.7109375" style="20" bestFit="1" customWidth="1"/>
    <col min="11" max="11" width="9.7109375" style="20" bestFit="1" customWidth="1"/>
    <col min="12" max="13" width="17.85546875" style="20" bestFit="1" customWidth="1"/>
    <col min="14" max="14" width="9.85546875" style="20" bestFit="1" customWidth="1"/>
    <col min="15" max="15" width="8.42578125" style="20" bestFit="1" customWidth="1"/>
    <col min="16" max="16" width="11.7109375" style="20" customWidth="1"/>
    <col min="17" max="16384" width="9.140625" style="20"/>
  </cols>
  <sheetData>
    <row r="1" spans="1:16" x14ac:dyDescent="0.2">
      <c r="A1" s="5" t="str">
        <f>+'[1]Input Data'!$A$9</f>
        <v>2025 RATE CASE</v>
      </c>
    </row>
    <row r="2" spans="1:16" s="7" customFormat="1" x14ac:dyDescent="0.2">
      <c r="A2" s="61" t="str">
        <f>+'[1]Input Data'!$A$2</f>
        <v>ONCOR ELECTRIC DELIVERY COMPANY LLC</v>
      </c>
      <c r="B2" s="10"/>
      <c r="C2" s="10"/>
      <c r="D2" s="11"/>
      <c r="E2" s="11"/>
      <c r="F2" s="11"/>
      <c r="G2" s="11"/>
      <c r="H2" s="11"/>
      <c r="I2" s="11"/>
      <c r="J2" s="11"/>
      <c r="K2" s="11"/>
      <c r="L2" s="11"/>
      <c r="M2" s="11"/>
      <c r="N2" s="11"/>
      <c r="O2" s="12"/>
      <c r="P2" s="13"/>
    </row>
    <row r="3" spans="1:16" s="7" customFormat="1" x14ac:dyDescent="0.2">
      <c r="A3" s="61" t="str">
        <f>CONCATENATE('[1]Schedule Sponsors'!$A$39,'[1]Schedule Sponsors'!$B$39)</f>
        <v>II-C-2.4  WEIGHTED AVERAGE COST OF LONG-TERM DEBT</v>
      </c>
      <c r="B3" s="11"/>
      <c r="C3" s="11"/>
      <c r="D3" s="11"/>
      <c r="E3" s="11"/>
      <c r="F3" s="11"/>
      <c r="G3" s="11"/>
      <c r="H3" s="11"/>
      <c r="I3" s="11"/>
      <c r="J3" s="11"/>
      <c r="K3" s="11"/>
      <c r="L3" s="11"/>
      <c r="M3" s="11"/>
      <c r="N3" s="11"/>
      <c r="O3" s="12"/>
      <c r="P3" s="13"/>
    </row>
    <row r="4" spans="1:16" s="7" customFormat="1" x14ac:dyDescent="0.2">
      <c r="A4" s="62" t="str">
        <f>+'[1]Input Data'!$A$4</f>
        <v>TEST YEAR ENDING DECEMBER 31, 2024</v>
      </c>
      <c r="B4" s="11"/>
      <c r="C4" s="11"/>
      <c r="D4" s="11"/>
      <c r="E4" s="11"/>
      <c r="F4" s="11"/>
      <c r="G4" s="11"/>
      <c r="H4" s="11"/>
      <c r="I4" s="11"/>
      <c r="J4" s="11"/>
      <c r="K4" s="11"/>
      <c r="L4" s="11"/>
      <c r="M4" s="11"/>
      <c r="N4" s="11"/>
      <c r="O4" s="12"/>
      <c r="P4" s="13"/>
    </row>
    <row r="5" spans="1:16" s="7" customFormat="1" x14ac:dyDescent="0.2">
      <c r="A5" s="5" t="str">
        <f>CONCATENATE("SPONSORS: ",'[1]Schedule Sponsors'!$D$39)</f>
        <v>SPONSORS: K. FEASE &amp;&amp; W. ALAN LEDBETTER</v>
      </c>
      <c r="B5" s="14"/>
      <c r="C5" s="14"/>
      <c r="D5" s="14"/>
      <c r="E5" s="14"/>
      <c r="F5" s="14"/>
      <c r="G5" s="14"/>
      <c r="H5" s="14"/>
      <c r="I5" s="14"/>
      <c r="J5" s="14"/>
      <c r="K5" s="14"/>
      <c r="L5" s="14"/>
      <c r="M5" s="14"/>
      <c r="N5" s="14"/>
      <c r="O5" s="14"/>
      <c r="P5" s="14"/>
    </row>
    <row r="6" spans="1:16" s="7" customFormat="1" x14ac:dyDescent="0.2">
      <c r="B6" s="14"/>
      <c r="C6" s="14"/>
      <c r="D6" s="14"/>
      <c r="E6" s="14"/>
      <c r="F6" s="14"/>
      <c r="G6" s="14"/>
      <c r="H6" s="14"/>
      <c r="I6" s="14"/>
      <c r="J6" s="14"/>
      <c r="K6" s="14"/>
      <c r="L6" s="14"/>
      <c r="M6" s="14"/>
      <c r="N6" s="14"/>
      <c r="O6" s="14"/>
      <c r="P6" s="14"/>
    </row>
    <row r="7" spans="1:16" s="7" customFormat="1" x14ac:dyDescent="0.2">
      <c r="B7" s="14"/>
      <c r="C7" s="14"/>
      <c r="D7" s="14"/>
      <c r="E7" s="14"/>
      <c r="F7" s="14"/>
      <c r="G7" s="14"/>
      <c r="H7" s="14"/>
      <c r="I7" s="14"/>
      <c r="J7" s="14"/>
      <c r="K7" s="14"/>
      <c r="L7" s="14"/>
      <c r="M7" s="14"/>
      <c r="N7" s="14"/>
      <c r="O7" s="14"/>
      <c r="P7" s="14"/>
    </row>
    <row r="8" spans="1:16" s="7" customFormat="1" x14ac:dyDescent="0.2">
      <c r="A8" s="16"/>
      <c r="B8" s="16"/>
      <c r="C8" s="16"/>
      <c r="D8" s="16"/>
      <c r="E8" s="16"/>
      <c r="F8" s="16"/>
      <c r="G8" s="16"/>
      <c r="H8" s="16"/>
      <c r="I8" s="16"/>
      <c r="J8" s="16"/>
      <c r="K8" s="16"/>
      <c r="L8" s="16"/>
      <c r="M8" s="16"/>
      <c r="N8" s="16"/>
      <c r="O8" s="16"/>
      <c r="P8" s="16"/>
    </row>
    <row r="9" spans="1:16" s="7" customFormat="1" x14ac:dyDescent="0.2">
      <c r="A9" s="11" t="s">
        <v>18</v>
      </c>
      <c r="B9" s="11"/>
      <c r="C9" s="11"/>
      <c r="D9" s="11"/>
      <c r="E9" s="11"/>
      <c r="F9" s="11"/>
      <c r="G9" s="11"/>
      <c r="H9" s="11"/>
      <c r="I9" s="11"/>
      <c r="J9" s="11"/>
      <c r="K9" s="11"/>
      <c r="L9" s="11"/>
      <c r="M9" s="11"/>
      <c r="N9" s="11"/>
      <c r="O9" s="11"/>
      <c r="P9" s="11"/>
    </row>
    <row r="10" spans="1:16" s="7" customFormat="1" ht="13.5" thickBot="1" x14ac:dyDescent="0.25">
      <c r="A10" s="11"/>
    </row>
    <row r="11" spans="1:16" s="5" customFormat="1" x14ac:dyDescent="0.2">
      <c r="A11" s="53"/>
      <c r="B11" s="53"/>
      <c r="C11" s="53"/>
      <c r="D11" s="53"/>
      <c r="E11" s="53"/>
      <c r="F11" s="53"/>
      <c r="G11" s="53"/>
      <c r="H11" s="55" t="s">
        <v>62</v>
      </c>
      <c r="I11" s="55" t="s">
        <v>63</v>
      </c>
      <c r="J11" s="53"/>
      <c r="K11" s="55" t="s">
        <v>64</v>
      </c>
      <c r="L11" s="53"/>
      <c r="M11" s="53"/>
      <c r="N11" s="55" t="s">
        <v>65</v>
      </c>
      <c r="O11" s="53"/>
      <c r="P11" s="53"/>
    </row>
    <row r="12" spans="1:16" s="5" customFormat="1" x14ac:dyDescent="0.2">
      <c r="A12" s="59"/>
      <c r="B12" s="59"/>
      <c r="C12" s="59"/>
      <c r="D12" s="59"/>
      <c r="E12" s="59"/>
      <c r="F12" s="58" t="s">
        <v>126</v>
      </c>
      <c r="G12" s="58" t="s">
        <v>67</v>
      </c>
      <c r="H12" s="58" t="s">
        <v>68</v>
      </c>
      <c r="I12" s="58" t="s">
        <v>69</v>
      </c>
      <c r="J12" s="58" t="s">
        <v>70</v>
      </c>
      <c r="K12" s="58" t="s">
        <v>71</v>
      </c>
      <c r="L12" s="58" t="s">
        <v>126</v>
      </c>
      <c r="M12" s="58" t="s">
        <v>73</v>
      </c>
      <c r="N12" s="58" t="s">
        <v>74</v>
      </c>
      <c r="O12" s="59"/>
      <c r="P12" s="58" t="s">
        <v>42</v>
      </c>
    </row>
    <row r="13" spans="1:16" s="5" customFormat="1" x14ac:dyDescent="0.2">
      <c r="A13" s="58" t="s">
        <v>84</v>
      </c>
      <c r="B13" s="59"/>
      <c r="C13" s="58" t="s">
        <v>75</v>
      </c>
      <c r="D13" s="58" t="s">
        <v>116</v>
      </c>
      <c r="E13" s="58" t="s">
        <v>117</v>
      </c>
      <c r="F13" s="58" t="s">
        <v>37</v>
      </c>
      <c r="G13" s="58" t="s">
        <v>78</v>
      </c>
      <c r="H13" s="58" t="s">
        <v>75</v>
      </c>
      <c r="I13" s="58" t="s">
        <v>127</v>
      </c>
      <c r="J13" s="58" t="s">
        <v>64</v>
      </c>
      <c r="K13" s="58" t="s">
        <v>74</v>
      </c>
      <c r="L13" s="58" t="s">
        <v>80</v>
      </c>
      <c r="M13" s="58" t="s">
        <v>64</v>
      </c>
      <c r="N13" s="58" t="s">
        <v>81</v>
      </c>
      <c r="O13" s="58" t="s">
        <v>44</v>
      </c>
      <c r="P13" s="58" t="s">
        <v>83</v>
      </c>
    </row>
    <row r="14" spans="1:16" s="5" customFormat="1" x14ac:dyDescent="0.2">
      <c r="A14" s="58" t="s">
        <v>20</v>
      </c>
      <c r="B14" s="58" t="s">
        <v>17</v>
      </c>
      <c r="C14" s="58" t="s">
        <v>85</v>
      </c>
      <c r="D14" s="58" t="s">
        <v>85</v>
      </c>
      <c r="E14" s="58" t="s">
        <v>87</v>
      </c>
      <c r="F14" s="58" t="s">
        <v>88</v>
      </c>
      <c r="G14" s="58" t="s">
        <v>89</v>
      </c>
      <c r="H14" s="58" t="s">
        <v>90</v>
      </c>
      <c r="I14" s="58" t="s">
        <v>128</v>
      </c>
      <c r="J14" s="58" t="s">
        <v>71</v>
      </c>
      <c r="K14" s="58" t="s">
        <v>92</v>
      </c>
      <c r="L14" s="58" t="s">
        <v>93</v>
      </c>
      <c r="M14" s="58" t="s">
        <v>71</v>
      </c>
      <c r="N14" s="58" t="s">
        <v>71</v>
      </c>
      <c r="O14" s="58" t="s">
        <v>129</v>
      </c>
      <c r="P14" s="58" t="s">
        <v>44</v>
      </c>
    </row>
    <row r="15" spans="1:16" s="8" customFormat="1" ht="13.5" thickBot="1" x14ac:dyDescent="0.25">
      <c r="A15" s="63"/>
      <c r="B15" s="51" t="s">
        <v>38</v>
      </c>
      <c r="C15" s="51" t="s">
        <v>39</v>
      </c>
      <c r="D15" s="51" t="s">
        <v>40</v>
      </c>
      <c r="E15" s="51" t="s">
        <v>41</v>
      </c>
      <c r="F15" s="51" t="s">
        <v>51</v>
      </c>
      <c r="G15" s="51" t="s">
        <v>52</v>
      </c>
      <c r="H15" s="51" t="s">
        <v>53</v>
      </c>
      <c r="I15" s="51" t="s">
        <v>54</v>
      </c>
      <c r="J15" s="51" t="s">
        <v>55</v>
      </c>
      <c r="K15" s="51" t="s">
        <v>56</v>
      </c>
      <c r="L15" s="51" t="s">
        <v>57</v>
      </c>
      <c r="M15" s="51" t="s">
        <v>58</v>
      </c>
      <c r="N15" s="51" t="s">
        <v>59</v>
      </c>
      <c r="O15" s="51" t="s">
        <v>60</v>
      </c>
      <c r="P15" s="51" t="s">
        <v>61</v>
      </c>
    </row>
    <row r="16" spans="1:16" s="7" customFormat="1" x14ac:dyDescent="0.2">
      <c r="A16" s="48"/>
      <c r="B16" s="48"/>
      <c r="C16" s="48"/>
      <c r="D16" s="48"/>
      <c r="E16" s="48"/>
      <c r="F16" s="48"/>
      <c r="G16" s="48"/>
      <c r="H16" s="48"/>
      <c r="I16" s="48"/>
      <c r="J16" s="48"/>
      <c r="K16" s="48"/>
      <c r="L16" s="48"/>
      <c r="M16" s="48"/>
      <c r="N16" s="48"/>
      <c r="O16" s="48"/>
      <c r="P16" s="48"/>
    </row>
    <row r="17" spans="1:16" s="2" customFormat="1" x14ac:dyDescent="0.2">
      <c r="A17" s="32">
        <v>1</v>
      </c>
      <c r="B17" s="343" t="s">
        <v>287</v>
      </c>
      <c r="C17" s="344">
        <v>37382</v>
      </c>
      <c r="D17" s="344">
        <v>48335</v>
      </c>
      <c r="E17" s="145">
        <v>7.0000000000000007E-2</v>
      </c>
      <c r="F17" s="149">
        <v>500000000</v>
      </c>
      <c r="G17" s="149">
        <v>-7265000</v>
      </c>
      <c r="H17" s="149">
        <v>6327156.9800000004</v>
      </c>
      <c r="I17" s="334">
        <v>0</v>
      </c>
      <c r="J17" s="113">
        <f>+F17+G17-H17+I17</f>
        <v>486407843.01999998</v>
      </c>
      <c r="K17" s="335">
        <f t="shared" ref="K17:K41" si="0">IF(ISERR(J17/F17),0,J17/F17)</f>
        <v>0.97281568604000002</v>
      </c>
      <c r="L17" s="149">
        <v>493478000</v>
      </c>
      <c r="M17" s="149">
        <f>L17*K17</f>
        <v>480063139.11564714</v>
      </c>
      <c r="N17" s="94">
        <f>+M17/$M$58</f>
        <v>3.1762393374933494E-2</v>
      </c>
      <c r="O17" s="345">
        <v>7.2227617530911031E-2</v>
      </c>
      <c r="P17" s="286">
        <f>SUM(N17*O17)</f>
        <v>2.2941220005510388E-3</v>
      </c>
    </row>
    <row r="18" spans="1:16" s="2" customFormat="1" x14ac:dyDescent="0.2">
      <c r="A18" s="32">
        <v>2</v>
      </c>
      <c r="B18" s="343" t="s">
        <v>287</v>
      </c>
      <c r="C18" s="344">
        <v>37610</v>
      </c>
      <c r="D18" s="344">
        <v>48594</v>
      </c>
      <c r="E18" s="145">
        <v>7.2499999999999995E-2</v>
      </c>
      <c r="F18" s="146">
        <v>350000000</v>
      </c>
      <c r="G18" s="146">
        <v>-5005000</v>
      </c>
      <c r="H18" s="146">
        <v>3638899</v>
      </c>
      <c r="I18" s="146">
        <v>0</v>
      </c>
      <c r="J18" s="306">
        <f t="shared" ref="J18:J41" si="1">+F18+G18-H18+I18</f>
        <v>341356101</v>
      </c>
      <c r="K18" s="94">
        <f t="shared" si="0"/>
        <v>0.97530314571428567</v>
      </c>
      <c r="L18" s="146">
        <v>323467000</v>
      </c>
      <c r="M18" s="73">
        <f t="shared" ref="M18:M56" si="2">L18*K18</f>
        <v>315478382.63476282</v>
      </c>
      <c r="N18" s="147">
        <f t="shared" ref="N18:N56" si="3">+M18/$M$58</f>
        <v>2.087298039377113E-2</v>
      </c>
      <c r="O18" s="345">
        <v>7.4564180660545321E-2</v>
      </c>
      <c r="P18" s="150">
        <f t="shared" ref="P18:P41" si="4">SUM(N18*O18)</f>
        <v>1.5563766810051708E-3</v>
      </c>
    </row>
    <row r="19" spans="1:16" s="2" customFormat="1" x14ac:dyDescent="0.2">
      <c r="A19" s="32">
        <v>3</v>
      </c>
      <c r="B19" s="343" t="s">
        <v>287</v>
      </c>
      <c r="C19" s="344">
        <v>39699</v>
      </c>
      <c r="D19" s="344">
        <v>50649</v>
      </c>
      <c r="E19" s="145">
        <v>7.4999999999999997E-2</v>
      </c>
      <c r="F19" s="146">
        <v>300000000</v>
      </c>
      <c r="G19" s="146">
        <v>-915000</v>
      </c>
      <c r="H19" s="146">
        <v>3331688.04</v>
      </c>
      <c r="I19" s="146">
        <v>0</v>
      </c>
      <c r="J19" s="306">
        <f t="shared" si="1"/>
        <v>295753311.95999998</v>
      </c>
      <c r="K19" s="94">
        <f t="shared" si="0"/>
        <v>0.98584437319999996</v>
      </c>
      <c r="L19" s="146">
        <v>300000000</v>
      </c>
      <c r="M19" s="73">
        <f t="shared" si="2"/>
        <v>295753311.95999998</v>
      </c>
      <c r="N19" s="147">
        <f t="shared" si="3"/>
        <v>1.9567911532882697E-2</v>
      </c>
      <c r="O19" s="345">
        <v>7.6204734988955344E-2</v>
      </c>
      <c r="P19" s="150">
        <f t="shared" si="4"/>
        <v>1.4911675126506488E-3</v>
      </c>
    </row>
    <row r="20" spans="1:16" s="2" customFormat="1" x14ac:dyDescent="0.2">
      <c r="A20" s="143">
        <v>4</v>
      </c>
      <c r="B20" s="343" t="s">
        <v>287</v>
      </c>
      <c r="C20" s="344">
        <v>40434</v>
      </c>
      <c r="D20" s="344">
        <v>51409</v>
      </c>
      <c r="E20" s="145">
        <v>5.2499999999999998E-2</v>
      </c>
      <c r="F20" s="146">
        <v>475000000</v>
      </c>
      <c r="G20" s="146">
        <v>-3496000</v>
      </c>
      <c r="H20" s="146">
        <v>4881434.17</v>
      </c>
      <c r="I20" s="146">
        <v>0</v>
      </c>
      <c r="J20" s="306">
        <f t="shared" si="1"/>
        <v>466622565.82999998</v>
      </c>
      <c r="K20" s="94">
        <f t="shared" si="0"/>
        <v>0.9823632964842105</v>
      </c>
      <c r="L20" s="146">
        <v>475000000</v>
      </c>
      <c r="M20" s="73">
        <f t="shared" si="2"/>
        <v>466622565.82999998</v>
      </c>
      <c r="N20" s="147">
        <f t="shared" si="3"/>
        <v>3.0873125399329758E-2</v>
      </c>
      <c r="O20" s="345">
        <v>5.3686940861777895E-2</v>
      </c>
      <c r="P20" s="150">
        <f t="shared" si="4"/>
        <v>1.6574836575320698E-3</v>
      </c>
    </row>
    <row r="21" spans="1:16" s="2" customFormat="1" x14ac:dyDescent="0.2">
      <c r="A21" s="143">
        <v>5</v>
      </c>
      <c r="B21" s="343" t="s">
        <v>287</v>
      </c>
      <c r="C21" s="344">
        <v>40865</v>
      </c>
      <c r="D21" s="344">
        <v>51836</v>
      </c>
      <c r="E21" s="145">
        <v>4.5499999999999999E-2</v>
      </c>
      <c r="F21" s="146">
        <v>400000000</v>
      </c>
      <c r="G21" s="146">
        <v>5539000</v>
      </c>
      <c r="H21" s="146">
        <v>50427327.289999999</v>
      </c>
      <c r="I21" s="146">
        <v>0</v>
      </c>
      <c r="J21" s="306">
        <f t="shared" si="1"/>
        <v>355111672.70999998</v>
      </c>
      <c r="K21" s="94">
        <f t="shared" si="0"/>
        <v>0.88777918177499993</v>
      </c>
      <c r="L21" s="146">
        <v>400000000</v>
      </c>
      <c r="M21" s="73">
        <f t="shared" si="2"/>
        <v>355111672.70999998</v>
      </c>
      <c r="N21" s="147">
        <f t="shared" si="3"/>
        <v>2.3495235775493478E-2</v>
      </c>
      <c r="O21" s="345">
        <v>5.3007351159160956E-2</v>
      </c>
      <c r="P21" s="150">
        <f t="shared" si="4"/>
        <v>1.2454202133188642E-3</v>
      </c>
    </row>
    <row r="22" spans="1:16" s="2" customFormat="1" x14ac:dyDescent="0.2">
      <c r="A22" s="143">
        <v>6</v>
      </c>
      <c r="B22" s="343" t="s">
        <v>287</v>
      </c>
      <c r="C22" s="344">
        <v>41047</v>
      </c>
      <c r="D22" s="344">
        <v>52018</v>
      </c>
      <c r="E22" s="145">
        <v>5.2999999999999999E-2</v>
      </c>
      <c r="F22" s="146">
        <v>500000000</v>
      </c>
      <c r="G22" s="146">
        <v>-1205000</v>
      </c>
      <c r="H22" s="146">
        <v>5190875.09</v>
      </c>
      <c r="I22" s="146">
        <v>0</v>
      </c>
      <c r="J22" s="306">
        <f t="shared" si="1"/>
        <v>493604124.91000003</v>
      </c>
      <c r="K22" s="94">
        <f t="shared" si="0"/>
        <v>0.98720824982000011</v>
      </c>
      <c r="L22" s="146">
        <v>347859000</v>
      </c>
      <c r="M22" s="73">
        <f t="shared" si="2"/>
        <v>343409274.57413542</v>
      </c>
      <c r="N22" s="147">
        <f t="shared" si="3"/>
        <v>2.2720970595071291E-2</v>
      </c>
      <c r="O22" s="345">
        <v>5.3862429055905298E-2</v>
      </c>
      <c r="P22" s="150">
        <f t="shared" si="4"/>
        <v>1.2238066667583378E-3</v>
      </c>
    </row>
    <row r="23" spans="1:16" s="2" customFormat="1" x14ac:dyDescent="0.2">
      <c r="A23" s="143">
        <v>7</v>
      </c>
      <c r="B23" s="343" t="s">
        <v>287</v>
      </c>
      <c r="C23" s="344">
        <v>42087</v>
      </c>
      <c r="D23" s="344">
        <v>45748</v>
      </c>
      <c r="E23" s="145">
        <v>2.9499999999999998E-2</v>
      </c>
      <c r="F23" s="146">
        <v>350000000</v>
      </c>
      <c r="G23" s="146">
        <v>-966000</v>
      </c>
      <c r="H23" s="146">
        <v>3075857.46</v>
      </c>
      <c r="I23" s="146">
        <v>0</v>
      </c>
      <c r="J23" s="306">
        <f t="shared" si="1"/>
        <v>345958142.54000002</v>
      </c>
      <c r="K23" s="94">
        <f t="shared" si="0"/>
        <v>0.98845183582857143</v>
      </c>
      <c r="L23" s="146">
        <v>350000000</v>
      </c>
      <c r="M23" s="73">
        <f t="shared" si="2"/>
        <v>345958142.54000002</v>
      </c>
      <c r="N23" s="147">
        <f t="shared" si="3"/>
        <v>2.2889611218347837E-2</v>
      </c>
      <c r="O23" s="345">
        <v>3.0847620431772204E-2</v>
      </c>
      <c r="P23" s="150">
        <f t="shared" si="4"/>
        <v>7.0609003869442899E-4</v>
      </c>
    </row>
    <row r="24" spans="1:16" s="2" customFormat="1" x14ac:dyDescent="0.2">
      <c r="A24" s="143">
        <v>8</v>
      </c>
      <c r="B24" s="343" t="s">
        <v>287</v>
      </c>
      <c r="C24" s="344">
        <v>42087</v>
      </c>
      <c r="D24" s="344">
        <v>53053</v>
      </c>
      <c r="E24" s="145">
        <v>3.7499999999999999E-2</v>
      </c>
      <c r="F24" s="146">
        <v>550000000</v>
      </c>
      <c r="G24" s="146">
        <v>9339500</v>
      </c>
      <c r="H24" s="146">
        <v>6256252.5099999998</v>
      </c>
      <c r="I24" s="146">
        <v>0</v>
      </c>
      <c r="J24" s="306">
        <f t="shared" si="1"/>
        <v>553083247.49000001</v>
      </c>
      <c r="K24" s="94">
        <f t="shared" si="0"/>
        <v>1.0056059045272727</v>
      </c>
      <c r="L24" s="146">
        <v>550000000</v>
      </c>
      <c r="M24" s="73">
        <f t="shared" si="2"/>
        <v>553083247.49000001</v>
      </c>
      <c r="N24" s="147">
        <f t="shared" si="3"/>
        <v>3.6593619139817214E-2</v>
      </c>
      <c r="O24" s="345">
        <v>3.7188049404283947E-2</v>
      </c>
      <c r="P24" s="150">
        <f t="shared" si="4"/>
        <v>1.3608453164530732E-3</v>
      </c>
    </row>
    <row r="25" spans="1:16" s="2" customFormat="1" x14ac:dyDescent="0.2">
      <c r="A25" s="143">
        <v>9</v>
      </c>
      <c r="B25" s="343" t="s">
        <v>287</v>
      </c>
      <c r="C25" s="344">
        <v>42999</v>
      </c>
      <c r="D25" s="344">
        <v>53965</v>
      </c>
      <c r="E25" s="145">
        <v>3.7999999999999999E-2</v>
      </c>
      <c r="F25" s="146">
        <v>325000000</v>
      </c>
      <c r="G25" s="146">
        <v>-464750</v>
      </c>
      <c r="H25" s="146">
        <v>3770875</v>
      </c>
      <c r="I25" s="146">
        <v>0</v>
      </c>
      <c r="J25" s="306">
        <f t="shared" si="1"/>
        <v>320764375</v>
      </c>
      <c r="K25" s="147">
        <f t="shared" si="0"/>
        <v>0.98696730769230767</v>
      </c>
      <c r="L25" s="146">
        <v>325000000</v>
      </c>
      <c r="M25" s="148">
        <f t="shared" si="2"/>
        <v>320764375</v>
      </c>
      <c r="N25" s="147">
        <f t="shared" si="3"/>
        <v>2.1222717241284248E-2</v>
      </c>
      <c r="O25" s="345">
        <v>3.8737668444028435E-2</v>
      </c>
      <c r="P25" s="150">
        <f t="shared" si="4"/>
        <v>8.2211858397423501E-4</v>
      </c>
    </row>
    <row r="26" spans="1:16" s="142" customFormat="1" x14ac:dyDescent="0.2">
      <c r="A26" s="143">
        <v>10</v>
      </c>
      <c r="B26" s="343" t="s">
        <v>287</v>
      </c>
      <c r="C26" s="344">
        <v>43322</v>
      </c>
      <c r="D26" s="344">
        <v>47072</v>
      </c>
      <c r="E26" s="145">
        <v>3.6999999999999998E-2</v>
      </c>
      <c r="F26" s="146">
        <v>650000000</v>
      </c>
      <c r="G26" s="146">
        <v>11841500</v>
      </c>
      <c r="H26" s="146">
        <v>5921360</v>
      </c>
      <c r="I26" s="146">
        <v>0</v>
      </c>
      <c r="J26" s="306">
        <f t="shared" si="1"/>
        <v>655920140</v>
      </c>
      <c r="K26" s="147">
        <f t="shared" si="0"/>
        <v>1.0091079076923077</v>
      </c>
      <c r="L26" s="146">
        <v>650000000</v>
      </c>
      <c r="M26" s="148">
        <f t="shared" si="2"/>
        <v>655920140</v>
      </c>
      <c r="N26" s="147">
        <f t="shared" si="3"/>
        <v>4.3397611296714537E-2</v>
      </c>
      <c r="O26" s="345">
        <v>3.5926115415349839E-2</v>
      </c>
      <c r="P26" s="151">
        <f t="shared" si="4"/>
        <v>1.5591075921962566E-3</v>
      </c>
    </row>
    <row r="27" spans="1:16" s="142" customFormat="1" x14ac:dyDescent="0.2">
      <c r="A27" s="143">
        <v>11</v>
      </c>
      <c r="B27" s="343" t="s">
        <v>287</v>
      </c>
      <c r="C27" s="344">
        <v>43322</v>
      </c>
      <c r="D27" s="344">
        <v>54377</v>
      </c>
      <c r="E27" s="145">
        <v>4.1000000000000002E-2</v>
      </c>
      <c r="F27" s="146">
        <v>450000000</v>
      </c>
      <c r="G27" s="146">
        <v>-441000</v>
      </c>
      <c r="H27" s="146">
        <v>5222500</v>
      </c>
      <c r="I27" s="146">
        <v>0</v>
      </c>
      <c r="J27" s="306">
        <f t="shared" si="1"/>
        <v>444336500</v>
      </c>
      <c r="K27" s="147">
        <f t="shared" si="0"/>
        <v>0.98741444444444448</v>
      </c>
      <c r="L27" s="305">
        <v>450000000</v>
      </c>
      <c r="M27" s="148">
        <f t="shared" si="2"/>
        <v>444336500</v>
      </c>
      <c r="N27" s="147">
        <f t="shared" si="3"/>
        <v>2.9398613544543088E-2</v>
      </c>
      <c r="O27" s="345">
        <v>4.1733078954266006E-2</v>
      </c>
      <c r="P27" s="151">
        <f t="shared" si="4"/>
        <v>1.2268946602003708E-3</v>
      </c>
    </row>
    <row r="28" spans="1:16" s="142" customFormat="1" x14ac:dyDescent="0.2">
      <c r="A28" s="143">
        <v>12</v>
      </c>
      <c r="B28" s="343" t="s">
        <v>287</v>
      </c>
      <c r="C28" s="344">
        <v>43431</v>
      </c>
      <c r="D28" s="344">
        <v>47192</v>
      </c>
      <c r="E28" s="145">
        <v>5.7500000000000002E-2</v>
      </c>
      <c r="F28" s="146">
        <v>318328000</v>
      </c>
      <c r="G28" s="146">
        <v>0</v>
      </c>
      <c r="H28" s="146">
        <v>3137871.6</v>
      </c>
      <c r="I28" s="146">
        <v>0</v>
      </c>
      <c r="J28" s="306">
        <f t="shared" si="1"/>
        <v>315190128.39999998</v>
      </c>
      <c r="K28" s="147">
        <f t="shared" si="0"/>
        <v>0.99014264657837192</v>
      </c>
      <c r="L28" s="305">
        <v>318328000</v>
      </c>
      <c r="M28" s="148">
        <f t="shared" si="2"/>
        <v>315190128.39999998</v>
      </c>
      <c r="N28" s="147">
        <f t="shared" si="3"/>
        <v>2.0853908643306402E-2</v>
      </c>
      <c r="O28" s="345">
        <v>5.8776289541933778E-2</v>
      </c>
      <c r="P28" s="151">
        <f t="shared" si="4"/>
        <v>1.2257153725000124E-3</v>
      </c>
    </row>
    <row r="29" spans="1:16" s="142" customFormat="1" x14ac:dyDescent="0.2">
      <c r="A29" s="143">
        <v>13</v>
      </c>
      <c r="B29" s="343" t="s">
        <v>288</v>
      </c>
      <c r="C29" s="344">
        <v>43601</v>
      </c>
      <c r="D29" s="344">
        <v>45994</v>
      </c>
      <c r="E29" s="145">
        <v>3.8600000000000002E-2</v>
      </c>
      <c r="F29" s="146">
        <v>174000000</v>
      </c>
      <c r="G29" s="146">
        <v>0</v>
      </c>
      <c r="H29" s="146">
        <v>1419991</v>
      </c>
      <c r="I29" s="146">
        <v>0</v>
      </c>
      <c r="J29" s="306">
        <f t="shared" si="1"/>
        <v>172580009</v>
      </c>
      <c r="K29" s="147">
        <f t="shared" si="0"/>
        <v>0.99183913218390807</v>
      </c>
      <c r="L29" s="305">
        <v>174000000</v>
      </c>
      <c r="M29" s="153">
        <f t="shared" si="2"/>
        <v>172580009</v>
      </c>
      <c r="N29" s="147">
        <f t="shared" si="3"/>
        <v>1.1418402472236173E-2</v>
      </c>
      <c r="O29" s="345">
        <v>4.0025551487823365E-2</v>
      </c>
      <c r="P29" s="151">
        <f t="shared" si="4"/>
        <v>4.5702785606117853E-4</v>
      </c>
    </row>
    <row r="30" spans="1:16" s="142" customFormat="1" x14ac:dyDescent="0.2">
      <c r="A30" s="143">
        <v>14</v>
      </c>
      <c r="B30" s="343" t="s">
        <v>289</v>
      </c>
      <c r="C30" s="344">
        <v>43601</v>
      </c>
      <c r="D30" s="344">
        <v>46036</v>
      </c>
      <c r="E30" s="145">
        <v>3.8600000000000002E-2</v>
      </c>
      <c r="F30" s="146">
        <v>38000000</v>
      </c>
      <c r="G30" s="146">
        <v>0</v>
      </c>
      <c r="H30" s="146">
        <v>517529</v>
      </c>
      <c r="I30" s="146">
        <v>0</v>
      </c>
      <c r="J30" s="306">
        <f t="shared" si="1"/>
        <v>37482471</v>
      </c>
      <c r="K30" s="147">
        <f t="shared" si="0"/>
        <v>0.98638081578947368</v>
      </c>
      <c r="L30" s="305">
        <v>38000000</v>
      </c>
      <c r="M30" s="153">
        <f t="shared" si="2"/>
        <v>37482471</v>
      </c>
      <c r="N30" s="147">
        <f t="shared" si="3"/>
        <v>2.4799508472149903E-3</v>
      </c>
      <c r="O30" s="345">
        <v>4.0947877948000928E-2</v>
      </c>
      <c r="P30" s="151">
        <f t="shared" si="4"/>
        <v>1.0154872460880092E-4</v>
      </c>
    </row>
    <row r="31" spans="1:16" s="142" customFormat="1" x14ac:dyDescent="0.2">
      <c r="A31" s="143">
        <v>15</v>
      </c>
      <c r="B31" s="343" t="s">
        <v>287</v>
      </c>
      <c r="C31" s="344">
        <v>43608</v>
      </c>
      <c r="D31" s="344">
        <v>54575</v>
      </c>
      <c r="E31" s="145">
        <v>3.7999999999999999E-2</v>
      </c>
      <c r="F31" s="146">
        <v>500000000</v>
      </c>
      <c r="G31" s="146">
        <v>-3020000</v>
      </c>
      <c r="H31" s="146">
        <v>5591433</v>
      </c>
      <c r="I31" s="146">
        <v>0</v>
      </c>
      <c r="J31" s="306">
        <f t="shared" si="1"/>
        <v>491388567</v>
      </c>
      <c r="K31" s="147">
        <f t="shared" si="0"/>
        <v>0.982777134</v>
      </c>
      <c r="L31" s="305">
        <v>500000000</v>
      </c>
      <c r="M31" s="153">
        <f t="shared" si="2"/>
        <v>491388567</v>
      </c>
      <c r="N31" s="147">
        <f t="shared" si="3"/>
        <v>3.2511717091528197E-2</v>
      </c>
      <c r="O31" s="345">
        <v>3.8977743294624119E-2</v>
      </c>
      <c r="P31" s="287">
        <f t="shared" si="4"/>
        <v>1.2672333628610296E-3</v>
      </c>
    </row>
    <row r="32" spans="1:16" s="2" customFormat="1" x14ac:dyDescent="0.2">
      <c r="A32" s="143">
        <v>16</v>
      </c>
      <c r="B32" s="343" t="s">
        <v>287</v>
      </c>
      <c r="C32" s="344">
        <v>43720</v>
      </c>
      <c r="D32" s="344">
        <v>54681</v>
      </c>
      <c r="E32" s="145">
        <v>3.1E-2</v>
      </c>
      <c r="F32" s="146">
        <v>700000000</v>
      </c>
      <c r="G32" s="146">
        <v>-3528000</v>
      </c>
      <c r="H32" s="146">
        <v>8013615.8799999999</v>
      </c>
      <c r="I32" s="146">
        <v>0</v>
      </c>
      <c r="J32" s="306">
        <f t="shared" si="1"/>
        <v>688458384.12</v>
      </c>
      <c r="K32" s="147">
        <f t="shared" si="0"/>
        <v>0.98351197731428575</v>
      </c>
      <c r="L32" s="305">
        <v>700000000</v>
      </c>
      <c r="M32" s="153">
        <f t="shared" si="2"/>
        <v>688458384.12</v>
      </c>
      <c r="N32" s="147">
        <f t="shared" si="3"/>
        <v>4.5550437509060092E-2</v>
      </c>
      <c r="O32" s="345">
        <v>3.1857371815039427E-2</v>
      </c>
      <c r="P32" s="287">
        <f t="shared" si="4"/>
        <v>1.4511172240638456E-3</v>
      </c>
    </row>
    <row r="33" spans="1:16" s="241" customFormat="1" x14ac:dyDescent="0.2">
      <c r="A33" s="143">
        <v>17</v>
      </c>
      <c r="B33" s="343" t="s">
        <v>287</v>
      </c>
      <c r="C33" s="344">
        <v>43910</v>
      </c>
      <c r="D33" s="344">
        <v>47618</v>
      </c>
      <c r="E33" s="145">
        <v>2.75E-2</v>
      </c>
      <c r="F33" s="146">
        <v>700000000</v>
      </c>
      <c r="G33" s="146">
        <v>13661000</v>
      </c>
      <c r="H33" s="146">
        <v>7531765.0600000005</v>
      </c>
      <c r="I33" s="146">
        <v>0</v>
      </c>
      <c r="J33" s="306">
        <f t="shared" si="1"/>
        <v>706129234.94000006</v>
      </c>
      <c r="K33" s="147">
        <f t="shared" si="0"/>
        <v>1.0087560499142858</v>
      </c>
      <c r="L33" s="305">
        <v>700000000</v>
      </c>
      <c r="M33" s="153">
        <f t="shared" si="2"/>
        <v>706129234.94000006</v>
      </c>
      <c r="N33" s="147">
        <f t="shared" si="3"/>
        <v>4.6719593124816293E-2</v>
      </c>
      <c r="O33" s="345">
        <v>2.6508630886197742E-2</v>
      </c>
      <c r="P33" s="287">
        <f t="shared" si="4"/>
        <v>1.2384724492990969E-3</v>
      </c>
    </row>
    <row r="34" spans="1:16" s="241" customFormat="1" x14ac:dyDescent="0.2">
      <c r="A34" s="143">
        <v>18</v>
      </c>
      <c r="B34" s="343" t="s">
        <v>287</v>
      </c>
      <c r="C34" s="344">
        <v>43910</v>
      </c>
      <c r="D34" s="344">
        <v>54923</v>
      </c>
      <c r="E34" s="145">
        <v>3.6999999999999998E-2</v>
      </c>
      <c r="F34" s="146">
        <v>400000000</v>
      </c>
      <c r="G34" s="146">
        <v>-1180000</v>
      </c>
      <c r="H34" s="146">
        <v>33419903</v>
      </c>
      <c r="I34" s="146">
        <v>0</v>
      </c>
      <c r="J34" s="306">
        <f t="shared" si="1"/>
        <v>365400097</v>
      </c>
      <c r="K34" s="147">
        <f t="shared" si="0"/>
        <v>0.91350024249999995</v>
      </c>
      <c r="L34" s="305">
        <v>400000000</v>
      </c>
      <c r="M34" s="153">
        <f t="shared" si="2"/>
        <v>365400097</v>
      </c>
      <c r="N34" s="147">
        <f t="shared" si="3"/>
        <v>2.4175948275330879E-2</v>
      </c>
      <c r="O34" s="345">
        <v>4.2087856863981601E-2</v>
      </c>
      <c r="P34" s="287">
        <f t="shared" si="4"/>
        <v>1.0175138505631488E-3</v>
      </c>
    </row>
    <row r="35" spans="1:16" s="241" customFormat="1" x14ac:dyDescent="0.2">
      <c r="A35" s="143">
        <v>19</v>
      </c>
      <c r="B35" s="343" t="s">
        <v>287</v>
      </c>
      <c r="C35" s="344">
        <v>44097</v>
      </c>
      <c r="D35" s="344">
        <v>55793</v>
      </c>
      <c r="E35" s="145">
        <v>5.3499999999999999E-2</v>
      </c>
      <c r="F35" s="146">
        <v>300000000</v>
      </c>
      <c r="G35" s="146">
        <v>-27959583.27</v>
      </c>
      <c r="H35" s="146">
        <v>4248500</v>
      </c>
      <c r="I35" s="146">
        <v>27959583</v>
      </c>
      <c r="J35" s="306">
        <f t="shared" si="1"/>
        <v>295751499.73000002</v>
      </c>
      <c r="K35" s="147">
        <f t="shared" si="0"/>
        <v>0.98583833243333341</v>
      </c>
      <c r="L35" s="305">
        <v>300000000</v>
      </c>
      <c r="M35" s="153">
        <f t="shared" si="2"/>
        <v>295751499.73000002</v>
      </c>
      <c r="N35" s="147">
        <f t="shared" si="3"/>
        <v>1.9567791630400181E-2</v>
      </c>
      <c r="O35" s="345">
        <v>5.4438186210050393E-2</v>
      </c>
      <c r="P35" s="287">
        <f t="shared" si="4"/>
        <v>1.0652350844951907E-3</v>
      </c>
    </row>
    <row r="36" spans="1:16" s="241" customFormat="1" x14ac:dyDescent="0.2">
      <c r="A36" s="143">
        <v>20</v>
      </c>
      <c r="B36" s="343" t="s">
        <v>287</v>
      </c>
      <c r="C36" s="344">
        <v>44102</v>
      </c>
      <c r="D36" s="344">
        <v>45931</v>
      </c>
      <c r="E36" s="145">
        <v>5.4999999999999997E-3</v>
      </c>
      <c r="F36" s="146">
        <v>450000000</v>
      </c>
      <c r="G36" s="146">
        <v>-2677500</v>
      </c>
      <c r="H36" s="146">
        <v>4725135</v>
      </c>
      <c r="I36" s="146">
        <v>0</v>
      </c>
      <c r="J36" s="306">
        <f t="shared" si="1"/>
        <v>442597365</v>
      </c>
      <c r="K36" s="147">
        <f t="shared" si="0"/>
        <v>0.98354969999999997</v>
      </c>
      <c r="L36" s="305">
        <v>450000000</v>
      </c>
      <c r="M36" s="153">
        <f t="shared" si="2"/>
        <v>442597365</v>
      </c>
      <c r="N36" s="147">
        <f t="shared" si="3"/>
        <v>2.9283547242839787E-2</v>
      </c>
      <c r="O36" s="345">
        <v>8.8662845786927208E-3</v>
      </c>
      <c r="P36" s="287">
        <f t="shared" si="4"/>
        <v>2.5963626332861016E-4</v>
      </c>
    </row>
    <row r="37" spans="1:16" s="241" customFormat="1" x14ac:dyDescent="0.2">
      <c r="A37" s="143">
        <v>21</v>
      </c>
      <c r="B37" s="343" t="s">
        <v>287</v>
      </c>
      <c r="C37" s="344">
        <v>44515</v>
      </c>
      <c r="D37" s="344">
        <v>55472</v>
      </c>
      <c r="E37" s="145">
        <v>2.7E-2</v>
      </c>
      <c r="F37" s="146">
        <v>500000000</v>
      </c>
      <c r="G37" s="146">
        <v>-9605000</v>
      </c>
      <c r="H37" s="146">
        <v>5828000</v>
      </c>
      <c r="I37" s="146">
        <v>0</v>
      </c>
      <c r="J37" s="306">
        <f t="shared" si="1"/>
        <v>484567000</v>
      </c>
      <c r="K37" s="147">
        <f t="shared" si="0"/>
        <v>0.96913400000000005</v>
      </c>
      <c r="L37" s="305">
        <v>500000000</v>
      </c>
      <c r="M37" s="153">
        <f t="shared" si="2"/>
        <v>484567000</v>
      </c>
      <c r="N37" s="147">
        <f t="shared" si="3"/>
        <v>3.2060382096538574E-2</v>
      </c>
      <c r="O37" s="345">
        <v>2.8538283916321655E-2</v>
      </c>
      <c r="P37" s="287">
        <f t="shared" si="4"/>
        <v>9.1494828673677349E-4</v>
      </c>
    </row>
    <row r="38" spans="1:16" s="241" customFormat="1" x14ac:dyDescent="0.2">
      <c r="A38" s="143">
        <v>22</v>
      </c>
      <c r="B38" s="343" t="s">
        <v>290</v>
      </c>
      <c r="C38" s="344">
        <v>44539</v>
      </c>
      <c r="D38" s="344">
        <v>47119</v>
      </c>
      <c r="E38" s="145">
        <v>1.7999999999999999E-2</v>
      </c>
      <c r="F38" s="146">
        <v>3145941</v>
      </c>
      <c r="G38" s="146">
        <v>0</v>
      </c>
      <c r="H38" s="146">
        <v>0</v>
      </c>
      <c r="I38" s="146">
        <v>0</v>
      </c>
      <c r="J38" s="306">
        <f t="shared" si="1"/>
        <v>3145941</v>
      </c>
      <c r="K38" s="147">
        <f t="shared" si="0"/>
        <v>1</v>
      </c>
      <c r="L38" s="305">
        <v>2066539</v>
      </c>
      <c r="M38" s="153">
        <f t="shared" si="2"/>
        <v>2066539</v>
      </c>
      <c r="N38" s="147">
        <f t="shared" si="3"/>
        <v>1.3672831612016238E-4</v>
      </c>
      <c r="O38" s="345">
        <v>1.7999364502172356E-2</v>
      </c>
      <c r="P38" s="287">
        <f t="shared" si="4"/>
        <v>2.461022799615051E-6</v>
      </c>
    </row>
    <row r="39" spans="1:16" s="241" customFormat="1" x14ac:dyDescent="0.2">
      <c r="A39" s="143">
        <v>23</v>
      </c>
      <c r="B39" s="343" t="s">
        <v>291</v>
      </c>
      <c r="C39" s="344">
        <v>44571</v>
      </c>
      <c r="D39" s="344">
        <v>47119</v>
      </c>
      <c r="E39" s="145">
        <v>1.7999999999999999E-2</v>
      </c>
      <c r="F39" s="146">
        <v>834146</v>
      </c>
      <c r="G39" s="146">
        <v>0</v>
      </c>
      <c r="H39" s="146">
        <v>0</v>
      </c>
      <c r="I39" s="146">
        <v>0</v>
      </c>
      <c r="J39" s="306">
        <f t="shared" si="1"/>
        <v>834146</v>
      </c>
      <c r="K39" s="147">
        <f t="shared" si="0"/>
        <v>1</v>
      </c>
      <c r="L39" s="305">
        <v>551171</v>
      </c>
      <c r="M39" s="153">
        <f t="shared" si="2"/>
        <v>551171</v>
      </c>
      <c r="N39" s="147">
        <f t="shared" si="3"/>
        <v>3.6467099205128001E-5</v>
      </c>
      <c r="O39" s="345">
        <v>1.7999710816676607E-2</v>
      </c>
      <c r="P39" s="287">
        <f t="shared" si="4"/>
        <v>6.5639724001536139E-7</v>
      </c>
    </row>
    <row r="40" spans="1:16" s="241" customFormat="1" x14ac:dyDescent="0.2">
      <c r="A40" s="143">
        <v>24</v>
      </c>
      <c r="B40" s="343" t="s">
        <v>292</v>
      </c>
      <c r="C40" s="344">
        <v>44582</v>
      </c>
      <c r="D40" s="344">
        <v>47239</v>
      </c>
      <c r="E40" s="145">
        <v>2.1899999999999999E-2</v>
      </c>
      <c r="F40" s="146">
        <v>989614</v>
      </c>
      <c r="G40" s="146"/>
      <c r="H40" s="146"/>
      <c r="I40" s="146"/>
      <c r="J40" s="307">
        <f t="shared" si="1"/>
        <v>989614</v>
      </c>
      <c r="K40" s="147">
        <f t="shared" si="0"/>
        <v>1</v>
      </c>
      <c r="L40" s="305">
        <v>695958</v>
      </c>
      <c r="M40" s="153">
        <f t="shared" si="2"/>
        <v>695958</v>
      </c>
      <c r="N40" s="147">
        <f t="shared" si="3"/>
        <v>4.604663421806023E-5</v>
      </c>
      <c r="O40" s="345">
        <v>2.1897801927658254E-2</v>
      </c>
      <c r="P40" s="287">
        <f t="shared" si="4"/>
        <v>1.0083200755424139E-6</v>
      </c>
    </row>
    <row r="41" spans="1:16" s="2" customFormat="1" x14ac:dyDescent="0.2">
      <c r="A41" s="143">
        <v>25</v>
      </c>
      <c r="B41" s="343" t="s">
        <v>287</v>
      </c>
      <c r="C41" s="344">
        <v>44701</v>
      </c>
      <c r="D41" s="344">
        <v>48366</v>
      </c>
      <c r="E41" s="145">
        <v>4.1500000000000002E-2</v>
      </c>
      <c r="F41" s="146">
        <v>400000000</v>
      </c>
      <c r="G41" s="146">
        <v>-1468000</v>
      </c>
      <c r="H41" s="146">
        <v>3930000</v>
      </c>
      <c r="I41" s="146">
        <v>0</v>
      </c>
      <c r="J41" s="310">
        <f t="shared" si="1"/>
        <v>394602000</v>
      </c>
      <c r="K41" s="147">
        <f t="shared" si="0"/>
        <v>0.98650499999999997</v>
      </c>
      <c r="L41" s="305">
        <v>400000000</v>
      </c>
      <c r="M41" s="153">
        <f t="shared" si="2"/>
        <v>394602000</v>
      </c>
      <c r="N41" s="147">
        <f t="shared" si="3"/>
        <v>2.6108032317632677E-2</v>
      </c>
      <c r="O41" s="345">
        <v>4.3169630667363457E-2</v>
      </c>
      <c r="P41" s="287">
        <f t="shared" si="4"/>
        <v>1.1270741126037918E-3</v>
      </c>
    </row>
    <row r="42" spans="1:16" s="2" customFormat="1" x14ac:dyDescent="0.2">
      <c r="A42" s="143">
        <v>26</v>
      </c>
      <c r="B42" s="240" t="s">
        <v>287</v>
      </c>
      <c r="C42" s="344">
        <v>44701</v>
      </c>
      <c r="D42" s="344">
        <v>55671</v>
      </c>
      <c r="E42" s="145">
        <v>4.5999999999999999E-2</v>
      </c>
      <c r="F42" s="146">
        <v>400000000</v>
      </c>
      <c r="G42" s="146">
        <v>-3612000</v>
      </c>
      <c r="H42" s="146">
        <v>3930000</v>
      </c>
      <c r="I42" s="146">
        <v>0</v>
      </c>
      <c r="J42" s="310">
        <f t="shared" ref="J42:J56" si="5">+F42+G42-H42+I42</f>
        <v>392458000</v>
      </c>
      <c r="K42" s="147">
        <f t="shared" ref="K42:K56" si="6">IF(ISERR(J42/F42),0,J42/F42)</f>
        <v>0.98114500000000004</v>
      </c>
      <c r="L42" s="305">
        <v>400000000</v>
      </c>
      <c r="M42" s="153">
        <f t="shared" si="2"/>
        <v>392458000</v>
      </c>
      <c r="N42" s="147">
        <f t="shared" si="3"/>
        <v>2.5966178953257927E-2</v>
      </c>
      <c r="O42" s="345">
        <v>4.7179449010957143E-2</v>
      </c>
      <c r="P42" s="287">
        <f t="shared" ref="P42:P56" si="7">SUM(N42*O42)</f>
        <v>1.2250700159346208E-3</v>
      </c>
    </row>
    <row r="43" spans="1:16" s="2" customFormat="1" x14ac:dyDescent="0.2">
      <c r="A43" s="143">
        <v>27</v>
      </c>
      <c r="B43" s="240" t="s">
        <v>287</v>
      </c>
      <c r="C43" s="344">
        <v>44812</v>
      </c>
      <c r="D43" s="344">
        <v>48472</v>
      </c>
      <c r="E43" s="145">
        <v>4.5499999999999999E-2</v>
      </c>
      <c r="F43" s="146">
        <v>700000000</v>
      </c>
      <c r="G43" s="146">
        <v>-679000</v>
      </c>
      <c r="H43" s="146">
        <v>6403000</v>
      </c>
      <c r="I43" s="146">
        <v>0</v>
      </c>
      <c r="J43" s="310">
        <f t="shared" si="5"/>
        <v>692918000</v>
      </c>
      <c r="K43" s="147">
        <f t="shared" si="6"/>
        <v>0.98988285714285718</v>
      </c>
      <c r="L43" s="305">
        <v>700000000</v>
      </c>
      <c r="M43" s="153">
        <f t="shared" si="2"/>
        <v>692918000</v>
      </c>
      <c r="N43" s="147">
        <f t="shared" si="3"/>
        <v>4.5845498850663198E-2</v>
      </c>
      <c r="O43" s="345">
        <v>4.6775801754713291E-2</v>
      </c>
      <c r="P43" s="287">
        <f t="shared" si="7"/>
        <v>2.1444599655845577E-3</v>
      </c>
    </row>
    <row r="44" spans="1:16" s="2" customFormat="1" x14ac:dyDescent="0.2">
      <c r="A44" s="143">
        <v>28</v>
      </c>
      <c r="B44" s="240" t="s">
        <v>287</v>
      </c>
      <c r="C44" s="344">
        <v>44812</v>
      </c>
      <c r="D44" s="344">
        <v>55777</v>
      </c>
      <c r="E44" s="145">
        <v>4.9500000000000002E-2</v>
      </c>
      <c r="F44" s="146">
        <v>500000000</v>
      </c>
      <c r="G44" s="146">
        <v>-21482000</v>
      </c>
      <c r="H44" s="146">
        <v>10597250</v>
      </c>
      <c r="I44" s="146">
        <v>0</v>
      </c>
      <c r="J44" s="310">
        <f t="shared" si="5"/>
        <v>467920750</v>
      </c>
      <c r="K44" s="147">
        <f t="shared" si="6"/>
        <v>0.93584149999999999</v>
      </c>
      <c r="L44" s="305">
        <v>900000000</v>
      </c>
      <c r="M44" s="153">
        <f t="shared" si="2"/>
        <v>842257350</v>
      </c>
      <c r="N44" s="147">
        <f t="shared" si="3"/>
        <v>5.5726230768124989E-2</v>
      </c>
      <c r="O44" s="345">
        <v>5.3833029277044489E-2</v>
      </c>
      <c r="P44" s="287">
        <f t="shared" si="7"/>
        <v>2.9999118124398099E-3</v>
      </c>
    </row>
    <row r="45" spans="1:16" s="2" customFormat="1" x14ac:dyDescent="0.2">
      <c r="A45" s="143">
        <v>29</v>
      </c>
      <c r="B45" s="240" t="s">
        <v>293</v>
      </c>
      <c r="C45" s="344">
        <v>45014</v>
      </c>
      <c r="D45" s="344">
        <v>46143</v>
      </c>
      <c r="E45" s="145">
        <v>5.5E-2</v>
      </c>
      <c r="F45" s="146">
        <v>200000000</v>
      </c>
      <c r="G45" s="146"/>
      <c r="H45" s="146">
        <v>1271500</v>
      </c>
      <c r="I45" s="146"/>
      <c r="J45" s="310">
        <f t="shared" si="5"/>
        <v>198728500</v>
      </c>
      <c r="K45" s="147">
        <f t="shared" si="6"/>
        <v>0.99364249999999998</v>
      </c>
      <c r="L45" s="305">
        <v>200000000</v>
      </c>
      <c r="M45" s="153">
        <f t="shared" si="2"/>
        <v>198728500</v>
      </c>
      <c r="N45" s="147">
        <f t="shared" si="3"/>
        <v>1.3148463769658201E-2</v>
      </c>
      <c r="O45" s="345">
        <v>5.724966780407665E-2</v>
      </c>
      <c r="P45" s="287">
        <f t="shared" si="7"/>
        <v>7.5274518294686944E-4</v>
      </c>
    </row>
    <row r="46" spans="1:16" s="2" customFormat="1" x14ac:dyDescent="0.2">
      <c r="A46" s="143">
        <v>30</v>
      </c>
      <c r="B46" s="240" t="s">
        <v>294</v>
      </c>
      <c r="C46" s="344">
        <v>45014</v>
      </c>
      <c r="D46" s="344">
        <v>47969</v>
      </c>
      <c r="E46" s="145">
        <v>5.3400000000000003E-2</v>
      </c>
      <c r="F46" s="146">
        <v>100000000</v>
      </c>
      <c r="G46" s="146"/>
      <c r="H46" s="146">
        <v>635750</v>
      </c>
      <c r="I46" s="146"/>
      <c r="J46" s="310">
        <f t="shared" si="5"/>
        <v>99364250</v>
      </c>
      <c r="K46" s="147">
        <f t="shared" si="6"/>
        <v>0.99364249999999998</v>
      </c>
      <c r="L46" s="305">
        <v>100000000</v>
      </c>
      <c r="M46" s="153">
        <f t="shared" si="2"/>
        <v>99364250</v>
      </c>
      <c r="N46" s="147">
        <f t="shared" si="3"/>
        <v>6.5742318848291004E-3</v>
      </c>
      <c r="O46" s="345">
        <v>5.4372846416101281E-2</v>
      </c>
      <c r="P46" s="287">
        <f t="shared" si="7"/>
        <v>3.574597005776487E-4</v>
      </c>
    </row>
    <row r="47" spans="1:16" s="2" customFormat="1" x14ac:dyDescent="0.2">
      <c r="A47" s="143">
        <v>31</v>
      </c>
      <c r="B47" s="240" t="s">
        <v>295</v>
      </c>
      <c r="C47" s="344">
        <v>45014</v>
      </c>
      <c r="D47" s="344">
        <v>49796</v>
      </c>
      <c r="E47" s="145">
        <v>5.45E-2</v>
      </c>
      <c r="F47" s="146">
        <v>100000000</v>
      </c>
      <c r="G47" s="146"/>
      <c r="H47" s="146">
        <v>635750</v>
      </c>
      <c r="I47" s="146"/>
      <c r="J47" s="310">
        <f t="shared" si="5"/>
        <v>99364250</v>
      </c>
      <c r="K47" s="147">
        <f t="shared" si="6"/>
        <v>0.99364249999999998</v>
      </c>
      <c r="L47" s="305">
        <v>100000000</v>
      </c>
      <c r="M47" s="153">
        <f t="shared" si="2"/>
        <v>99364250</v>
      </c>
      <c r="N47" s="147">
        <f t="shared" si="3"/>
        <v>6.5742318848291004E-3</v>
      </c>
      <c r="O47" s="345">
        <v>5.5182078249004125E-2</v>
      </c>
      <c r="P47" s="287">
        <f t="shared" si="7"/>
        <v>3.627797782957373E-4</v>
      </c>
    </row>
    <row r="48" spans="1:16" s="2" customFormat="1" x14ac:dyDescent="0.2">
      <c r="A48" s="143">
        <v>32</v>
      </c>
      <c r="B48" s="240" t="s">
        <v>296</v>
      </c>
      <c r="C48" s="344">
        <v>45044</v>
      </c>
      <c r="D48" s="344">
        <v>46140</v>
      </c>
      <c r="E48" s="145">
        <v>5.4019999999999999E-2</v>
      </c>
      <c r="F48" s="146">
        <v>500000000</v>
      </c>
      <c r="G48" s="146"/>
      <c r="H48" s="146"/>
      <c r="I48" s="146"/>
      <c r="J48" s="310">
        <f t="shared" si="5"/>
        <v>500000000</v>
      </c>
      <c r="K48" s="147">
        <f t="shared" si="6"/>
        <v>1</v>
      </c>
      <c r="L48" s="305">
        <v>0</v>
      </c>
      <c r="M48" s="153">
        <f t="shared" si="2"/>
        <v>0</v>
      </c>
      <c r="N48" s="147">
        <f t="shared" si="3"/>
        <v>0</v>
      </c>
      <c r="O48" s="345">
        <v>5.4019999999999999E-2</v>
      </c>
      <c r="P48" s="287">
        <f t="shared" si="7"/>
        <v>0</v>
      </c>
    </row>
    <row r="49" spans="1:16" s="2" customFormat="1" x14ac:dyDescent="0.2">
      <c r="A49" s="143">
        <v>33</v>
      </c>
      <c r="B49" s="240" t="s">
        <v>287</v>
      </c>
      <c r="C49" s="344">
        <v>45057</v>
      </c>
      <c r="D49" s="344">
        <v>46888</v>
      </c>
      <c r="E49" s="145">
        <v>4.2999999999999997E-2</v>
      </c>
      <c r="F49" s="146">
        <v>600000000</v>
      </c>
      <c r="G49" s="146">
        <v>-1236000</v>
      </c>
      <c r="H49" s="146">
        <v>5369250</v>
      </c>
      <c r="I49" s="146"/>
      <c r="J49" s="310">
        <f t="shared" si="5"/>
        <v>593394750</v>
      </c>
      <c r="K49" s="147">
        <f t="shared" si="6"/>
        <v>0.98899124999999999</v>
      </c>
      <c r="L49" s="305">
        <v>600000000</v>
      </c>
      <c r="M49" s="153">
        <f t="shared" si="2"/>
        <v>593394750</v>
      </c>
      <c r="N49" s="147">
        <f t="shared" si="3"/>
        <v>3.9260747056815634E-2</v>
      </c>
      <c r="O49" s="345">
        <v>4.5478131417431823E-2</v>
      </c>
      <c r="P49" s="287">
        <f t="shared" si="7"/>
        <v>1.7855054141964111E-3</v>
      </c>
    </row>
    <row r="50" spans="1:16" s="2" customFormat="1" x14ac:dyDescent="0.2">
      <c r="A50" s="143">
        <v>34</v>
      </c>
      <c r="B50" s="240" t="s">
        <v>287</v>
      </c>
      <c r="C50" s="344">
        <v>45243</v>
      </c>
      <c r="D50" s="344">
        <v>48898</v>
      </c>
      <c r="E50" s="145">
        <v>5.6500000000000002E-2</v>
      </c>
      <c r="F50" s="146">
        <v>800000000</v>
      </c>
      <c r="G50" s="146">
        <v>-1392000</v>
      </c>
      <c r="H50" s="146">
        <v>11154321</v>
      </c>
      <c r="I50" s="146"/>
      <c r="J50" s="310">
        <f t="shared" si="5"/>
        <v>787453679</v>
      </c>
      <c r="K50" s="147">
        <f t="shared" si="6"/>
        <v>0.98431709874999995</v>
      </c>
      <c r="L50" s="305">
        <v>800000000</v>
      </c>
      <c r="M50" s="153">
        <f t="shared" si="2"/>
        <v>787453679</v>
      </c>
      <c r="N50" s="147">
        <f t="shared" si="3"/>
        <v>5.2100258234805574E-2</v>
      </c>
      <c r="O50" s="345">
        <v>5.8594236312355163E-2</v>
      </c>
      <c r="P50" s="287">
        <f t="shared" si="7"/>
        <v>3.052774842944926E-3</v>
      </c>
    </row>
    <row r="51" spans="1:16" s="2" customFormat="1" x14ac:dyDescent="0.2">
      <c r="A51" s="143">
        <v>35</v>
      </c>
      <c r="B51" s="240" t="s">
        <v>297</v>
      </c>
      <c r="C51" s="344">
        <v>45343</v>
      </c>
      <c r="D51" s="344">
        <v>46439</v>
      </c>
      <c r="E51" s="145">
        <v>5.4449999999999998E-2</v>
      </c>
      <c r="F51" s="146">
        <v>500000000</v>
      </c>
      <c r="G51" s="146"/>
      <c r="H51" s="146"/>
      <c r="I51" s="146"/>
      <c r="J51" s="310">
        <f t="shared" si="5"/>
        <v>500000000</v>
      </c>
      <c r="K51" s="147">
        <f t="shared" si="6"/>
        <v>1</v>
      </c>
      <c r="L51" s="305">
        <v>480000000</v>
      </c>
      <c r="M51" s="153">
        <f t="shared" si="2"/>
        <v>480000000</v>
      </c>
      <c r="N51" s="147">
        <f t="shared" si="3"/>
        <v>3.1758215904794412E-2</v>
      </c>
      <c r="O51" s="345">
        <v>5.4450000000000005E-2</v>
      </c>
      <c r="P51" s="287">
        <f t="shared" si="7"/>
        <v>1.7292348560160558E-3</v>
      </c>
    </row>
    <row r="52" spans="1:16" s="2" customFormat="1" x14ac:dyDescent="0.2">
      <c r="A52" s="143">
        <v>36</v>
      </c>
      <c r="B52" s="240" t="s">
        <v>298</v>
      </c>
      <c r="C52" s="344">
        <v>45378</v>
      </c>
      <c r="D52" s="344">
        <v>47239</v>
      </c>
      <c r="E52" s="145">
        <v>0.05</v>
      </c>
      <c r="F52" s="146">
        <v>100000000</v>
      </c>
      <c r="G52" s="146"/>
      <c r="H52" s="146">
        <v>873620.69</v>
      </c>
      <c r="I52" s="146"/>
      <c r="J52" s="310">
        <f t="shared" si="5"/>
        <v>99126379.310000002</v>
      </c>
      <c r="K52" s="147">
        <f t="shared" si="6"/>
        <v>0.99126379310000001</v>
      </c>
      <c r="L52" s="305">
        <v>100000000</v>
      </c>
      <c r="M52" s="153">
        <f t="shared" si="2"/>
        <v>99126379.310000002</v>
      </c>
      <c r="N52" s="147">
        <f t="shared" si="3"/>
        <v>6.5584936583073456E-3</v>
      </c>
      <c r="O52" s="345">
        <v>5.1961551074580024E-2</v>
      </c>
      <c r="P52" s="287">
        <f t="shared" si="7"/>
        <v>3.4078950319844632E-4</v>
      </c>
    </row>
    <row r="53" spans="1:16" s="2" customFormat="1" x14ac:dyDescent="0.2">
      <c r="A53" s="143">
        <v>37</v>
      </c>
      <c r="B53" s="240" t="s">
        <v>299</v>
      </c>
      <c r="C53" s="344">
        <v>45378</v>
      </c>
      <c r="D53" s="344">
        <v>56370</v>
      </c>
      <c r="E53" s="145">
        <v>5.4899999999999997E-2</v>
      </c>
      <c r="F53" s="146">
        <v>50000000</v>
      </c>
      <c r="G53" s="146"/>
      <c r="H53" s="146">
        <v>432156.46</v>
      </c>
      <c r="I53" s="146"/>
      <c r="J53" s="310">
        <f t="shared" si="5"/>
        <v>49567843.539999999</v>
      </c>
      <c r="K53" s="147">
        <f t="shared" si="6"/>
        <v>0.99135687080000001</v>
      </c>
      <c r="L53" s="305">
        <v>50000000</v>
      </c>
      <c r="M53" s="153">
        <f t="shared" si="2"/>
        <v>49567843.539999999</v>
      </c>
      <c r="N53" s="147">
        <f t="shared" si="3"/>
        <v>3.2795547439133104E-3</v>
      </c>
      <c r="O53" s="345">
        <v>5.5489928670487444E-2</v>
      </c>
      <c r="P53" s="287">
        <f t="shared" si="7"/>
        <v>1.8198225881070832E-4</v>
      </c>
    </row>
    <row r="54" spans="1:16" s="2" customFormat="1" x14ac:dyDescent="0.2">
      <c r="A54" s="143">
        <v>38</v>
      </c>
      <c r="B54" s="240" t="s">
        <v>300</v>
      </c>
      <c r="C54" s="344">
        <v>45433</v>
      </c>
      <c r="D54" s="344">
        <v>47983</v>
      </c>
      <c r="E54" s="145">
        <v>5.3710000000000001E-2</v>
      </c>
      <c r="F54" s="146">
        <v>542300000</v>
      </c>
      <c r="G54" s="146">
        <v>-986986</v>
      </c>
      <c r="H54" s="146">
        <v>4330709.43</v>
      </c>
      <c r="I54" s="146"/>
      <c r="J54" s="310">
        <f t="shared" si="5"/>
        <v>536982304.57000005</v>
      </c>
      <c r="K54" s="147">
        <f t="shared" si="6"/>
        <v>0.99019418139406246</v>
      </c>
      <c r="L54" s="305">
        <v>542300000</v>
      </c>
      <c r="M54" s="153">
        <f t="shared" si="2"/>
        <v>536982304.57000005</v>
      </c>
      <c r="N54" s="147">
        <f t="shared" si="3"/>
        <v>3.5528333261641946E-2</v>
      </c>
      <c r="O54" s="345">
        <v>5.5420433587533229E-2</v>
      </c>
      <c r="P54" s="287">
        <f t="shared" si="7"/>
        <v>1.9689956340025751E-3</v>
      </c>
    </row>
    <row r="55" spans="1:16" s="2" customFormat="1" x14ac:dyDescent="0.2">
      <c r="A55" s="143">
        <v>39</v>
      </c>
      <c r="B55" s="240" t="s">
        <v>287</v>
      </c>
      <c r="C55" s="344">
        <v>45464</v>
      </c>
      <c r="D55" s="344">
        <v>56415</v>
      </c>
      <c r="E55" s="145">
        <v>5.5500000000000001E-2</v>
      </c>
      <c r="F55" s="146">
        <v>750000000</v>
      </c>
      <c r="G55" s="146">
        <v>-315000</v>
      </c>
      <c r="H55" s="146">
        <v>25892190.23</v>
      </c>
      <c r="I55" s="146"/>
      <c r="J55" s="310">
        <f t="shared" si="5"/>
        <v>723792809.76999998</v>
      </c>
      <c r="K55" s="147">
        <f t="shared" si="6"/>
        <v>0.96505707969333332</v>
      </c>
      <c r="L55" s="305">
        <v>750000000</v>
      </c>
      <c r="M55" s="153">
        <f t="shared" si="2"/>
        <v>723792809.76999998</v>
      </c>
      <c r="N55" s="147">
        <f t="shared" si="3"/>
        <v>4.7888267339611358E-2</v>
      </c>
      <c r="O55" s="345">
        <v>5.797015155510863E-2</v>
      </c>
      <c r="P55" s="287">
        <f t="shared" si="7"/>
        <v>2.7760901153888293E-3</v>
      </c>
    </row>
    <row r="56" spans="1:16" s="2" customFormat="1" x14ac:dyDescent="0.2">
      <c r="A56" s="143">
        <v>40</v>
      </c>
      <c r="B56" s="240" t="s">
        <v>287</v>
      </c>
      <c r="C56" s="344">
        <v>45609</v>
      </c>
      <c r="D56" s="344">
        <v>47423</v>
      </c>
      <c r="E56" s="145">
        <v>4.65E-2</v>
      </c>
      <c r="F56" s="146">
        <v>550000000</v>
      </c>
      <c r="G56" s="146">
        <v>-1050500</v>
      </c>
      <c r="H56" s="146">
        <v>4119637</v>
      </c>
      <c r="I56" s="146"/>
      <c r="J56" s="310">
        <f t="shared" si="5"/>
        <v>544829863</v>
      </c>
      <c r="K56" s="147">
        <f t="shared" si="6"/>
        <v>0.99059975090909091</v>
      </c>
      <c r="L56" s="305">
        <v>550000000</v>
      </c>
      <c r="M56" s="153">
        <f t="shared" si="2"/>
        <v>544829863</v>
      </c>
      <c r="N56" s="147">
        <f t="shared" si="3"/>
        <v>3.6047550876111584E-2</v>
      </c>
      <c r="O56" s="345">
        <v>4.8649248645020168E-2</v>
      </c>
      <c r="P56" s="287">
        <f t="shared" si="7"/>
        <v>1.7536862656159671E-3</v>
      </c>
    </row>
    <row r="57" spans="1:16" s="2" customFormat="1" x14ac:dyDescent="0.2">
      <c r="A57" s="143">
        <v>41</v>
      </c>
    </row>
    <row r="58" spans="1:16" s="2" customFormat="1" x14ac:dyDescent="0.2">
      <c r="A58" s="143">
        <v>42</v>
      </c>
      <c r="I58" s="346" t="s">
        <v>158</v>
      </c>
      <c r="L58" s="347">
        <f>SUM(L17:L56)</f>
        <v>15420745668</v>
      </c>
      <c r="M58" s="347">
        <f>SUM(M17:M56)</f>
        <v>15114199155.234545</v>
      </c>
      <c r="N58" s="348">
        <f>SUM(N17:N56)</f>
        <v>0.99999999999999989</v>
      </c>
      <c r="O58" s="347"/>
      <c r="P58" s="349">
        <f t="shared" ref="P58" si="8">SUM(P17:P56)</f>
        <v>4.6704566596524305E-2</v>
      </c>
    </row>
    <row r="59" spans="1:16" s="2" customFormat="1" x14ac:dyDescent="0.2">
      <c r="A59" s="143">
        <v>43</v>
      </c>
    </row>
    <row r="60" spans="1:16" s="2" customFormat="1" x14ac:dyDescent="0.2">
      <c r="A60" s="143">
        <v>44</v>
      </c>
      <c r="H60" s="350"/>
      <c r="I60" s="351" t="s">
        <v>159</v>
      </c>
      <c r="J60" s="240"/>
      <c r="K60" s="240"/>
      <c r="L60" s="309"/>
    </row>
    <row r="61" spans="1:16" s="2" customFormat="1" x14ac:dyDescent="0.2">
      <c r="A61" s="143">
        <v>45</v>
      </c>
      <c r="H61" s="350"/>
      <c r="I61" s="88" t="s">
        <v>157</v>
      </c>
      <c r="J61" s="240"/>
      <c r="K61" s="240"/>
      <c r="L61" s="336">
        <v>0</v>
      </c>
    </row>
    <row r="62" spans="1:16" s="2" customFormat="1" x14ac:dyDescent="0.2">
      <c r="A62" s="143">
        <v>46</v>
      </c>
      <c r="H62" s="240"/>
      <c r="I62" s="352"/>
      <c r="J62" s="240"/>
      <c r="K62" s="240"/>
      <c r="L62" s="307"/>
    </row>
    <row r="63" spans="1:16" s="2" customFormat="1" x14ac:dyDescent="0.2">
      <c r="A63" s="143">
        <v>47</v>
      </c>
      <c r="H63" s="240"/>
      <c r="I63" s="240" t="s">
        <v>160</v>
      </c>
      <c r="J63" s="240"/>
      <c r="K63" s="240"/>
      <c r="L63" s="336">
        <f>+L58-L61</f>
        <v>15420745668</v>
      </c>
    </row>
    <row r="64" spans="1:16" s="2" customFormat="1" x14ac:dyDescent="0.2">
      <c r="A64" s="143">
        <v>48</v>
      </c>
      <c r="H64" s="240"/>
      <c r="I64" s="240"/>
      <c r="J64" s="240"/>
      <c r="K64" s="240"/>
      <c r="L64" s="306"/>
    </row>
    <row r="65" spans="1:12" s="2" customFormat="1" x14ac:dyDescent="0.2">
      <c r="A65" s="143">
        <v>49</v>
      </c>
      <c r="H65" s="350" t="s">
        <v>95</v>
      </c>
      <c r="I65" s="240" t="s">
        <v>96</v>
      </c>
      <c r="J65" s="240"/>
      <c r="K65" s="240"/>
      <c r="L65" s="308">
        <v>-51864995.729999997</v>
      </c>
    </row>
    <row r="66" spans="1:12" s="2" customFormat="1" x14ac:dyDescent="0.2">
      <c r="A66" s="143">
        <v>50</v>
      </c>
      <c r="H66" s="350" t="s">
        <v>97</v>
      </c>
      <c r="I66" s="240" t="s">
        <v>98</v>
      </c>
      <c r="J66" s="240"/>
      <c r="K66" s="240"/>
      <c r="L66" s="306">
        <v>107114421.3</v>
      </c>
    </row>
    <row r="67" spans="1:12" s="2" customFormat="1" x14ac:dyDescent="0.2">
      <c r="A67" s="143">
        <v>51</v>
      </c>
      <c r="H67" s="350" t="s">
        <v>95</v>
      </c>
      <c r="I67" s="240" t="s">
        <v>130</v>
      </c>
      <c r="J67" s="240"/>
      <c r="K67" s="240"/>
      <c r="L67" s="306">
        <v>17600770.859999999</v>
      </c>
    </row>
    <row r="68" spans="1:12" s="2" customFormat="1" x14ac:dyDescent="0.2">
      <c r="A68" s="143">
        <v>52</v>
      </c>
      <c r="H68" s="240"/>
      <c r="I68" s="240"/>
      <c r="J68" s="240"/>
      <c r="K68" s="240"/>
      <c r="L68" s="353"/>
    </row>
    <row r="69" spans="1:12" s="2" customFormat="1" x14ac:dyDescent="0.2">
      <c r="A69" s="143">
        <v>53</v>
      </c>
      <c r="H69" s="240"/>
      <c r="I69" s="240" t="s">
        <v>131</v>
      </c>
      <c r="J69" s="240"/>
      <c r="K69" s="240"/>
      <c r="L69" s="308">
        <f>+L63+L65-L66+L67</f>
        <v>15279367021.830002</v>
      </c>
    </row>
    <row r="70" spans="1:12" s="2" customFormat="1" x14ac:dyDescent="0.2"/>
    <row r="71" spans="1:12" s="2" customFormat="1" x14ac:dyDescent="0.2"/>
    <row r="72" spans="1:12" s="2" customFormat="1" x14ac:dyDescent="0.2"/>
    <row r="73" spans="1:12" s="2" customFormat="1" x14ac:dyDescent="0.2"/>
    <row r="74" spans="1:12" s="2" customFormat="1" x14ac:dyDescent="0.2"/>
    <row r="75" spans="1:12" s="2" customFormat="1" x14ac:dyDescent="0.2"/>
    <row r="76" spans="1:12" s="2" customFormat="1" x14ac:dyDescent="0.2"/>
    <row r="77" spans="1:12" s="2" customFormat="1" x14ac:dyDescent="0.2"/>
    <row r="78" spans="1:12" s="2" customFormat="1" x14ac:dyDescent="0.2"/>
    <row r="79" spans="1:12" s="2" customFormat="1" x14ac:dyDescent="0.2"/>
    <row r="80" spans="1:12" s="2" customFormat="1" x14ac:dyDescent="0.2"/>
    <row r="81" s="2" customFormat="1" x14ac:dyDescent="0.2"/>
    <row r="82" s="2" customFormat="1" x14ac:dyDescent="0.2"/>
    <row r="83" s="2" customFormat="1" x14ac:dyDescent="0.2"/>
    <row r="84" s="2" customFormat="1" x14ac:dyDescent="0.2"/>
    <row r="85" s="2" customFormat="1" x14ac:dyDescent="0.2"/>
    <row r="86" s="2" customFormat="1" x14ac:dyDescent="0.2"/>
    <row r="87" s="2" customFormat="1" x14ac:dyDescent="0.2"/>
    <row r="88" s="2" customFormat="1" x14ac:dyDescent="0.2"/>
    <row r="89" s="2" customFormat="1" x14ac:dyDescent="0.2"/>
    <row r="90" s="2" customFormat="1" x14ac:dyDescent="0.2"/>
    <row r="91" s="2" customFormat="1" x14ac:dyDescent="0.2"/>
    <row r="92" s="2" customFormat="1" x14ac:dyDescent="0.2"/>
    <row r="93" s="2" customFormat="1" x14ac:dyDescent="0.2"/>
    <row r="94" s="2" customFormat="1" x14ac:dyDescent="0.2"/>
    <row r="95" s="2" customFormat="1" x14ac:dyDescent="0.2"/>
    <row r="96" s="2" customFormat="1" x14ac:dyDescent="0.2"/>
    <row r="97" s="2" customFormat="1" x14ac:dyDescent="0.2"/>
    <row r="98" s="2" customFormat="1" x14ac:dyDescent="0.2"/>
    <row r="99" s="2" customFormat="1" x14ac:dyDescent="0.2"/>
    <row r="100" s="2" customFormat="1" x14ac:dyDescent="0.2"/>
    <row r="101" s="2" customFormat="1" x14ac:dyDescent="0.2"/>
    <row r="102" s="2" customFormat="1" x14ac:dyDescent="0.2"/>
    <row r="103" s="2" customFormat="1" x14ac:dyDescent="0.2"/>
    <row r="104" s="2" customFormat="1" x14ac:dyDescent="0.2"/>
    <row r="105" s="2" customFormat="1" x14ac:dyDescent="0.2"/>
    <row r="106" s="2" customFormat="1" x14ac:dyDescent="0.2"/>
    <row r="107" s="2" customFormat="1" x14ac:dyDescent="0.2"/>
    <row r="108" s="2" customFormat="1" x14ac:dyDescent="0.2"/>
    <row r="109" s="2" customFormat="1" x14ac:dyDescent="0.2"/>
    <row r="110" s="2" customFormat="1" x14ac:dyDescent="0.2"/>
    <row r="111" s="2" customFormat="1" x14ac:dyDescent="0.2"/>
    <row r="112" s="2" customFormat="1" x14ac:dyDescent="0.2"/>
    <row r="113" s="2" customFormat="1" x14ac:dyDescent="0.2"/>
    <row r="114" s="2" customFormat="1" x14ac:dyDescent="0.2"/>
    <row r="115" s="2" customFormat="1" x14ac:dyDescent="0.2"/>
    <row r="116" s="2" customFormat="1" x14ac:dyDescent="0.2"/>
    <row r="117" s="2" customFormat="1" x14ac:dyDescent="0.2"/>
    <row r="118" s="2" customFormat="1" x14ac:dyDescent="0.2"/>
    <row r="119" s="2" customFormat="1" x14ac:dyDescent="0.2"/>
    <row r="120" s="2" customFormat="1" x14ac:dyDescent="0.2"/>
    <row r="121" s="2" customFormat="1" x14ac:dyDescent="0.2"/>
    <row r="122" s="2" customFormat="1" x14ac:dyDescent="0.2"/>
    <row r="123" s="2" customFormat="1" x14ac:dyDescent="0.2"/>
    <row r="124" s="2" customFormat="1" x14ac:dyDescent="0.2"/>
    <row r="125" s="2" customFormat="1" x14ac:dyDescent="0.2"/>
    <row r="126" s="2" customFormat="1" x14ac:dyDescent="0.2"/>
    <row r="127" s="2" customFormat="1" x14ac:dyDescent="0.2"/>
    <row r="128" s="2" customFormat="1" x14ac:dyDescent="0.2"/>
    <row r="129" s="2" customFormat="1" x14ac:dyDescent="0.2"/>
    <row r="130" s="2" customFormat="1" x14ac:dyDescent="0.2"/>
    <row r="131" s="2" customFormat="1" x14ac:dyDescent="0.2"/>
    <row r="132" s="2" customFormat="1" x14ac:dyDescent="0.2"/>
    <row r="133" s="2" customFormat="1" x14ac:dyDescent="0.2"/>
    <row r="134" s="2" customFormat="1" x14ac:dyDescent="0.2"/>
    <row r="135" s="2" customFormat="1" x14ac:dyDescent="0.2"/>
    <row r="136" s="2" customFormat="1" x14ac:dyDescent="0.2"/>
    <row r="137" s="2" customFormat="1" x14ac:dyDescent="0.2"/>
    <row r="138" s="2" customFormat="1" x14ac:dyDescent="0.2"/>
    <row r="139" s="2" customFormat="1" x14ac:dyDescent="0.2"/>
    <row r="140" s="2" customFormat="1" x14ac:dyDescent="0.2"/>
    <row r="141" s="2" customFormat="1" x14ac:dyDescent="0.2"/>
    <row r="142" s="2" customFormat="1" x14ac:dyDescent="0.2"/>
    <row r="143" s="2" customFormat="1" x14ac:dyDescent="0.2"/>
    <row r="144" s="2" customFormat="1" x14ac:dyDescent="0.2"/>
    <row r="145" s="2" customFormat="1" x14ac:dyDescent="0.2"/>
    <row r="146" s="2" customFormat="1" x14ac:dyDescent="0.2"/>
    <row r="147" s="2" customFormat="1" x14ac:dyDescent="0.2"/>
    <row r="148" s="2" customFormat="1" x14ac:dyDescent="0.2"/>
    <row r="149" s="2" customFormat="1" x14ac:dyDescent="0.2"/>
    <row r="150" s="2" customFormat="1" x14ac:dyDescent="0.2"/>
    <row r="151" s="2" customFormat="1" x14ac:dyDescent="0.2"/>
    <row r="152" s="2" customFormat="1" x14ac:dyDescent="0.2"/>
    <row r="153" s="2" customFormat="1" x14ac:dyDescent="0.2"/>
    <row r="154" s="2" customFormat="1" x14ac:dyDescent="0.2"/>
    <row r="155" s="2" customFormat="1" x14ac:dyDescent="0.2"/>
    <row r="156" s="2" customFormat="1" x14ac:dyDescent="0.2"/>
    <row r="157" s="2" customFormat="1" x14ac:dyDescent="0.2"/>
    <row r="158" s="2" customFormat="1" x14ac:dyDescent="0.2"/>
    <row r="159" s="2" customFormat="1" x14ac:dyDescent="0.2"/>
    <row r="160" s="2" customFormat="1" x14ac:dyDescent="0.2"/>
    <row r="161" s="2" customFormat="1" x14ac:dyDescent="0.2"/>
    <row r="162" s="2" customFormat="1" x14ac:dyDescent="0.2"/>
    <row r="163" s="2" customFormat="1" x14ac:dyDescent="0.2"/>
    <row r="164" s="2" customFormat="1" x14ac:dyDescent="0.2"/>
    <row r="165" s="2" customFormat="1" x14ac:dyDescent="0.2"/>
    <row r="166" s="2" customFormat="1" x14ac:dyDescent="0.2"/>
    <row r="167" s="2" customFormat="1" x14ac:dyDescent="0.2"/>
    <row r="168" s="2" customFormat="1" x14ac:dyDescent="0.2"/>
    <row r="169" s="2" customFormat="1" x14ac:dyDescent="0.2"/>
    <row r="170" s="2" customFormat="1" x14ac:dyDescent="0.2"/>
    <row r="171" s="2" customFormat="1" x14ac:dyDescent="0.2"/>
    <row r="172" s="2" customFormat="1" x14ac:dyDescent="0.2"/>
    <row r="173" s="2" customFormat="1" x14ac:dyDescent="0.2"/>
    <row r="174" s="2" customFormat="1" x14ac:dyDescent="0.2"/>
    <row r="175" s="2" customFormat="1" x14ac:dyDescent="0.2"/>
    <row r="176" s="2" customFormat="1" x14ac:dyDescent="0.2"/>
    <row r="177" s="2" customFormat="1" x14ac:dyDescent="0.2"/>
    <row r="178" s="2" customFormat="1" x14ac:dyDescent="0.2"/>
    <row r="179" s="2" customFormat="1" x14ac:dyDescent="0.2"/>
    <row r="180" s="2" customFormat="1" x14ac:dyDescent="0.2"/>
    <row r="181" s="2" customFormat="1" x14ac:dyDescent="0.2"/>
    <row r="182" s="2" customFormat="1" x14ac:dyDescent="0.2"/>
    <row r="183" s="2" customFormat="1" x14ac:dyDescent="0.2"/>
    <row r="184" s="2" customFormat="1" x14ac:dyDescent="0.2"/>
    <row r="185" s="2" customFormat="1" x14ac:dyDescent="0.2"/>
    <row r="186" s="2" customFormat="1" x14ac:dyDescent="0.2"/>
    <row r="187" s="2" customFormat="1" x14ac:dyDescent="0.2"/>
    <row r="188" s="2" customFormat="1" x14ac:dyDescent="0.2"/>
    <row r="189" s="2" customFormat="1" x14ac:dyDescent="0.2"/>
    <row r="190" s="2" customFormat="1" x14ac:dyDescent="0.2"/>
    <row r="191" s="2" customFormat="1" x14ac:dyDescent="0.2"/>
    <row r="192" s="2" customFormat="1" x14ac:dyDescent="0.2"/>
    <row r="193" s="2" customFormat="1" x14ac:dyDescent="0.2"/>
    <row r="194" s="2" customFormat="1" x14ac:dyDescent="0.2"/>
    <row r="195" s="2" customFormat="1" x14ac:dyDescent="0.2"/>
    <row r="196" s="2" customFormat="1" x14ac:dyDescent="0.2"/>
    <row r="197" s="2" customFormat="1" x14ac:dyDescent="0.2"/>
    <row r="198" s="2" customFormat="1" x14ac:dyDescent="0.2"/>
    <row r="199" s="2" customFormat="1" x14ac:dyDescent="0.2"/>
    <row r="200" s="2" customFormat="1" x14ac:dyDescent="0.2"/>
    <row r="201" s="2" customFormat="1" x14ac:dyDescent="0.2"/>
    <row r="202" s="2" customFormat="1" x14ac:dyDescent="0.2"/>
    <row r="203" s="2" customFormat="1" x14ac:dyDescent="0.2"/>
    <row r="204" s="2" customFormat="1" x14ac:dyDescent="0.2"/>
    <row r="205" s="2" customFormat="1" x14ac:dyDescent="0.2"/>
    <row r="206" s="2" customFormat="1" x14ac:dyDescent="0.2"/>
    <row r="207" s="2" customFormat="1" x14ac:dyDescent="0.2"/>
    <row r="208" s="2" customFormat="1" x14ac:dyDescent="0.2"/>
    <row r="209" s="2" customFormat="1" x14ac:dyDescent="0.2"/>
    <row r="210" s="2" customFormat="1" x14ac:dyDescent="0.2"/>
    <row r="211" s="2" customFormat="1" x14ac:dyDescent="0.2"/>
    <row r="212" s="2" customFormat="1" x14ac:dyDescent="0.2"/>
    <row r="213" s="2" customFormat="1" x14ac:dyDescent="0.2"/>
    <row r="214" s="2" customFormat="1" x14ac:dyDescent="0.2"/>
    <row r="215" s="2" customFormat="1" x14ac:dyDescent="0.2"/>
    <row r="216" s="2" customFormat="1" x14ac:dyDescent="0.2"/>
    <row r="217" s="2" customFormat="1" x14ac:dyDescent="0.2"/>
    <row r="218" s="2" customFormat="1" x14ac:dyDescent="0.2"/>
    <row r="219" s="2" customFormat="1" x14ac:dyDescent="0.2"/>
    <row r="220" s="2" customFormat="1" x14ac:dyDescent="0.2"/>
    <row r="221" s="2" customFormat="1" x14ac:dyDescent="0.2"/>
    <row r="222" s="2" customFormat="1" x14ac:dyDescent="0.2"/>
    <row r="223" s="2" customFormat="1" x14ac:dyDescent="0.2"/>
    <row r="224" s="2" customFormat="1" x14ac:dyDescent="0.2"/>
    <row r="225" s="2" customFormat="1" x14ac:dyDescent="0.2"/>
    <row r="226" s="2" customFormat="1" x14ac:dyDescent="0.2"/>
    <row r="227" s="2" customFormat="1" x14ac:dyDescent="0.2"/>
    <row r="228" s="2" customFormat="1" x14ac:dyDescent="0.2"/>
    <row r="229" s="2" customFormat="1" x14ac:dyDescent="0.2"/>
    <row r="230" s="2" customFormat="1" x14ac:dyDescent="0.2"/>
    <row r="231" s="2" customFormat="1" x14ac:dyDescent="0.2"/>
  </sheetData>
  <phoneticPr fontId="4" type="noConversion"/>
  <printOptions horizontalCentered="1"/>
  <pageMargins left="0.1" right="0.1" top="2.25" bottom="0.2" header="1" footer="0.5"/>
  <pageSetup scale="53" fitToHeight="2" orientation="landscape"/>
  <headerFooter alignWithMargins="0">
    <oddHeader>&amp;R&amp;"Arial,Bold"Schedule &amp;A
Page &amp;P of &amp;N&amp;C&amp;B
2025 RATE CASE
ONCOR ELECTRIC DELIVERY COMPANY LLC
II-C-2.4  WEIGHTED AVERAGE COST OF LONG-TERM DEBT
TEST YEAR ENDING DECEMBER 31, 2024
SPONSORS: K. FEASE &amp;&amp; W. ALAN LEDBETTER</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FBB8A-1B3D-4307-A6FB-72FC750ABA65}">
  <sheetPr codeName="Sheet6">
    <tabColor rgb="FF00B050"/>
  </sheetPr>
  <dimension ref="A1:P235"/>
  <sheetViews>
    <sheetView zoomScaleNormal="100" workbookViewId="0">
      <pane ySplit="15" topLeftCell="A36" activePane="bottomLeft" state="frozen"/>
      <selection activeCell="P34" sqref="P34"/>
      <selection pane="bottomLeft" activeCell="L63" sqref="L63"/>
    </sheetView>
  </sheetViews>
  <sheetFormatPr defaultColWidth="9.140625" defaultRowHeight="12.75" x14ac:dyDescent="0.2"/>
  <cols>
    <col min="1" max="1" width="5.140625" style="20" customWidth="1"/>
    <col min="2" max="2" width="16.42578125" style="20" customWidth="1"/>
    <col min="3" max="4" width="10.7109375" style="20" customWidth="1"/>
    <col min="5" max="5" width="7.85546875" style="20" bestFit="1" customWidth="1"/>
    <col min="6" max="6" width="16" style="20" bestFit="1" customWidth="1"/>
    <col min="7" max="7" width="14.7109375" style="20" bestFit="1" customWidth="1"/>
    <col min="8" max="8" width="15.140625" style="20" bestFit="1" customWidth="1"/>
    <col min="9" max="9" width="15" style="20" customWidth="1"/>
    <col min="10" max="10" width="14.7109375" style="20" bestFit="1" customWidth="1"/>
    <col min="11" max="11" width="9.7109375" style="20" bestFit="1" customWidth="1"/>
    <col min="12" max="13" width="17.85546875" style="20" bestFit="1" customWidth="1"/>
    <col min="14" max="14" width="9.85546875" style="20" bestFit="1" customWidth="1"/>
    <col min="15" max="15" width="8.42578125" style="20" bestFit="1" customWidth="1"/>
    <col min="16" max="16" width="11.7109375" style="20" customWidth="1"/>
    <col min="17" max="16384" width="9.140625" style="20"/>
  </cols>
  <sheetData>
    <row r="1" spans="1:16" x14ac:dyDescent="0.2">
      <c r="A1" s="5" t="str">
        <f>+'[1]Input Data'!$A$9</f>
        <v>2025 RATE CASE</v>
      </c>
    </row>
    <row r="2" spans="1:16" s="7" customFormat="1" x14ac:dyDescent="0.2">
      <c r="A2" s="61" t="str">
        <f>+'[1]Input Data'!$A$2</f>
        <v>ONCOR ELECTRIC DELIVERY COMPANY LLC</v>
      </c>
      <c r="B2" s="245"/>
      <c r="C2" s="245"/>
      <c r="D2" s="11"/>
      <c r="E2" s="11"/>
      <c r="F2" s="11"/>
      <c r="G2" s="11"/>
      <c r="H2" s="11"/>
      <c r="I2" s="11"/>
      <c r="J2" s="11"/>
      <c r="K2" s="11"/>
      <c r="L2" s="11"/>
      <c r="M2" s="11"/>
      <c r="N2" s="11"/>
      <c r="O2" s="12"/>
      <c r="P2" s="13"/>
    </row>
    <row r="3" spans="1:16" s="7" customFormat="1" x14ac:dyDescent="0.2">
      <c r="A3" s="253" t="s">
        <v>315</v>
      </c>
      <c r="B3" s="11"/>
      <c r="C3" s="11"/>
      <c r="D3" s="11"/>
      <c r="E3" s="11"/>
      <c r="F3" s="11"/>
      <c r="G3" s="11"/>
      <c r="H3" s="11"/>
      <c r="I3" s="11"/>
      <c r="J3" s="11"/>
      <c r="K3" s="11"/>
      <c r="L3" s="11"/>
      <c r="M3" s="11"/>
      <c r="N3" s="11"/>
      <c r="O3" s="12"/>
      <c r="P3" s="13"/>
    </row>
    <row r="4" spans="1:16" s="7" customFormat="1" x14ac:dyDescent="0.2">
      <c r="A4" s="62" t="str">
        <f>+'[1]Input Data'!$A$4</f>
        <v>TEST YEAR ENDING DECEMBER 31, 2024</v>
      </c>
      <c r="B4" s="11"/>
      <c r="C4" s="11"/>
      <c r="D4" s="11"/>
      <c r="E4" s="11"/>
      <c r="F4" s="11"/>
      <c r="G4" s="11"/>
      <c r="H4" s="11"/>
      <c r="I4" s="11"/>
      <c r="J4" s="11"/>
      <c r="K4" s="11"/>
      <c r="L4" s="11"/>
      <c r="M4" s="11"/>
      <c r="N4" s="11"/>
      <c r="O4" s="12"/>
      <c r="P4" s="13"/>
    </row>
    <row r="5" spans="1:16" s="7" customFormat="1" x14ac:dyDescent="0.2">
      <c r="A5" s="5" t="str">
        <f>CONCATENATE("SPONSORS: ",'[1]Schedule Sponsors'!$D$39)</f>
        <v>SPONSORS: K. FEASE &amp;&amp; W. ALAN LEDBETTER</v>
      </c>
      <c r="B5" s="14"/>
      <c r="C5" s="14"/>
      <c r="D5" s="14"/>
      <c r="E5" s="14"/>
      <c r="F5" s="14"/>
      <c r="G5" s="14"/>
      <c r="H5" s="14"/>
      <c r="I5" s="14"/>
      <c r="J5" s="14"/>
      <c r="K5" s="14"/>
      <c r="L5" s="14"/>
      <c r="M5" s="14"/>
      <c r="N5" s="14"/>
      <c r="O5" s="14"/>
      <c r="P5" s="14"/>
    </row>
    <row r="6" spans="1:16" s="7" customFormat="1" x14ac:dyDescent="0.2">
      <c r="B6" s="14"/>
      <c r="C6" s="14"/>
      <c r="D6" s="14"/>
      <c r="E6" s="14"/>
      <c r="F6" s="14"/>
      <c r="G6" s="14"/>
      <c r="H6" s="14"/>
      <c r="I6" s="14"/>
      <c r="J6" s="14"/>
      <c r="K6" s="14"/>
      <c r="L6" s="14"/>
      <c r="M6" s="14"/>
      <c r="N6" s="14"/>
      <c r="O6" s="14"/>
      <c r="P6" s="14"/>
    </row>
    <row r="7" spans="1:16" s="7" customFormat="1" x14ac:dyDescent="0.2">
      <c r="B7" s="14"/>
      <c r="C7" s="14"/>
      <c r="D7" s="14"/>
      <c r="E7" s="14"/>
      <c r="F7" s="14"/>
      <c r="G7" s="14"/>
      <c r="H7" s="14"/>
      <c r="I7" s="14"/>
      <c r="J7" s="14"/>
      <c r="K7" s="14"/>
      <c r="L7" s="14"/>
      <c r="M7" s="14"/>
      <c r="N7" s="14"/>
      <c r="O7" s="14"/>
      <c r="P7" s="14"/>
    </row>
    <row r="8" spans="1:16" s="7" customFormat="1" x14ac:dyDescent="0.2">
      <c r="A8" s="16"/>
      <c r="B8" s="16"/>
      <c r="C8" s="16"/>
      <c r="D8" s="16"/>
      <c r="E8" s="16"/>
      <c r="F8" s="16"/>
      <c r="G8" s="16"/>
      <c r="H8" s="16"/>
      <c r="I8" s="16"/>
      <c r="J8" s="16"/>
      <c r="K8" s="16"/>
      <c r="L8" s="16"/>
      <c r="M8" s="16"/>
      <c r="N8" s="16"/>
      <c r="O8" s="16"/>
      <c r="P8" s="16"/>
    </row>
    <row r="9" spans="1:16" s="7" customFormat="1" x14ac:dyDescent="0.2">
      <c r="A9" s="11" t="s">
        <v>18</v>
      </c>
      <c r="B9" s="11"/>
      <c r="C9" s="11"/>
      <c r="D9" s="11"/>
      <c r="E9" s="11"/>
      <c r="F9" s="11"/>
      <c r="G9" s="11"/>
      <c r="H9" s="11"/>
      <c r="I9" s="11"/>
      <c r="J9" s="11"/>
      <c r="K9" s="11"/>
      <c r="L9" s="11"/>
      <c r="M9" s="11"/>
      <c r="N9" s="11"/>
      <c r="O9" s="11"/>
      <c r="P9" s="11"/>
    </row>
    <row r="10" spans="1:16" s="7" customFormat="1" ht="13.5" thickBot="1" x14ac:dyDescent="0.25">
      <c r="A10" s="11"/>
    </row>
    <row r="11" spans="1:16" s="5" customFormat="1" x14ac:dyDescent="0.2">
      <c r="A11" s="53"/>
      <c r="B11" s="53"/>
      <c r="C11" s="53"/>
      <c r="D11" s="53"/>
      <c r="E11" s="53"/>
      <c r="F11" s="53"/>
      <c r="G11" s="53"/>
      <c r="H11" s="55" t="s">
        <v>62</v>
      </c>
      <c r="I11" s="55" t="s">
        <v>63</v>
      </c>
      <c r="J11" s="53"/>
      <c r="K11" s="55" t="s">
        <v>64</v>
      </c>
      <c r="L11" s="53"/>
      <c r="M11" s="53"/>
      <c r="N11" s="55" t="s">
        <v>65</v>
      </c>
      <c r="O11" s="53"/>
      <c r="P11" s="53"/>
    </row>
    <row r="12" spans="1:16" s="5" customFormat="1" x14ac:dyDescent="0.2">
      <c r="A12" s="59"/>
      <c r="B12" s="59"/>
      <c r="C12" s="59"/>
      <c r="D12" s="59"/>
      <c r="E12" s="59"/>
      <c r="F12" s="58" t="s">
        <v>126</v>
      </c>
      <c r="G12" s="58" t="s">
        <v>67</v>
      </c>
      <c r="H12" s="58" t="s">
        <v>68</v>
      </c>
      <c r="I12" s="58" t="s">
        <v>69</v>
      </c>
      <c r="J12" s="58" t="s">
        <v>70</v>
      </c>
      <c r="K12" s="58" t="s">
        <v>71</v>
      </c>
      <c r="L12" s="58" t="s">
        <v>126</v>
      </c>
      <c r="M12" s="58" t="s">
        <v>73</v>
      </c>
      <c r="N12" s="58" t="s">
        <v>74</v>
      </c>
      <c r="O12" s="59"/>
      <c r="P12" s="58" t="s">
        <v>42</v>
      </c>
    </row>
    <row r="13" spans="1:16" s="5" customFormat="1" x14ac:dyDescent="0.2">
      <c r="A13" s="58" t="s">
        <v>84</v>
      </c>
      <c r="B13" s="59"/>
      <c r="C13" s="58" t="s">
        <v>75</v>
      </c>
      <c r="D13" s="58" t="s">
        <v>116</v>
      </c>
      <c r="E13" s="58" t="s">
        <v>117</v>
      </c>
      <c r="F13" s="58" t="s">
        <v>37</v>
      </c>
      <c r="G13" s="58" t="s">
        <v>78</v>
      </c>
      <c r="H13" s="58" t="s">
        <v>75</v>
      </c>
      <c r="I13" s="58" t="s">
        <v>127</v>
      </c>
      <c r="J13" s="58" t="s">
        <v>64</v>
      </c>
      <c r="K13" s="58" t="s">
        <v>74</v>
      </c>
      <c r="L13" s="58" t="s">
        <v>80</v>
      </c>
      <c r="M13" s="58" t="s">
        <v>64</v>
      </c>
      <c r="N13" s="58" t="s">
        <v>81</v>
      </c>
      <c r="O13" s="58" t="s">
        <v>44</v>
      </c>
      <c r="P13" s="58" t="s">
        <v>83</v>
      </c>
    </row>
    <row r="14" spans="1:16" s="5" customFormat="1" x14ac:dyDescent="0.2">
      <c r="A14" s="58" t="s">
        <v>20</v>
      </c>
      <c r="B14" s="58" t="s">
        <v>17</v>
      </c>
      <c r="C14" s="58" t="s">
        <v>85</v>
      </c>
      <c r="D14" s="58" t="s">
        <v>85</v>
      </c>
      <c r="E14" s="58" t="s">
        <v>87</v>
      </c>
      <c r="F14" s="58" t="s">
        <v>88</v>
      </c>
      <c r="G14" s="58" t="s">
        <v>89</v>
      </c>
      <c r="H14" s="58" t="s">
        <v>90</v>
      </c>
      <c r="I14" s="58" t="s">
        <v>128</v>
      </c>
      <c r="J14" s="58" t="s">
        <v>71</v>
      </c>
      <c r="K14" s="58" t="s">
        <v>92</v>
      </c>
      <c r="L14" s="58" t="s">
        <v>93</v>
      </c>
      <c r="M14" s="58" t="s">
        <v>71</v>
      </c>
      <c r="N14" s="58" t="s">
        <v>71</v>
      </c>
      <c r="O14" s="58" t="s">
        <v>129</v>
      </c>
      <c r="P14" s="58" t="s">
        <v>44</v>
      </c>
    </row>
    <row r="15" spans="1:16" s="8" customFormat="1" ht="13.5" thickBot="1" x14ac:dyDescent="0.25">
      <c r="A15" s="63"/>
      <c r="B15" s="51" t="s">
        <v>38</v>
      </c>
      <c r="C15" s="51" t="s">
        <v>39</v>
      </c>
      <c r="D15" s="51" t="s">
        <v>40</v>
      </c>
      <c r="E15" s="51" t="s">
        <v>41</v>
      </c>
      <c r="F15" s="51" t="s">
        <v>51</v>
      </c>
      <c r="G15" s="51" t="s">
        <v>52</v>
      </c>
      <c r="H15" s="51" t="s">
        <v>53</v>
      </c>
      <c r="I15" s="51" t="s">
        <v>54</v>
      </c>
      <c r="J15" s="51" t="s">
        <v>55</v>
      </c>
      <c r="K15" s="51" t="s">
        <v>56</v>
      </c>
      <c r="L15" s="51" t="s">
        <v>57</v>
      </c>
      <c r="M15" s="51" t="s">
        <v>58</v>
      </c>
      <c r="N15" s="51" t="s">
        <v>59</v>
      </c>
      <c r="O15" s="51" t="s">
        <v>60</v>
      </c>
      <c r="P15" s="51" t="s">
        <v>61</v>
      </c>
    </row>
    <row r="16" spans="1:16" s="7" customFormat="1" x14ac:dyDescent="0.2">
      <c r="A16" s="48"/>
      <c r="B16" s="48"/>
      <c r="C16" s="48"/>
      <c r="D16" s="48"/>
      <c r="E16" s="48"/>
      <c r="F16" s="48"/>
      <c r="G16" s="48"/>
      <c r="H16" s="48"/>
      <c r="I16" s="48"/>
      <c r="J16" s="48"/>
      <c r="K16" s="48"/>
      <c r="L16" s="48"/>
      <c r="M16" s="48"/>
      <c r="N16" s="48"/>
      <c r="O16" s="48"/>
      <c r="P16" s="48"/>
    </row>
    <row r="17" spans="1:16" s="241" customFormat="1" x14ac:dyDescent="0.2">
      <c r="A17" s="143">
        <v>1</v>
      </c>
      <c r="B17" s="343" t="s">
        <v>287</v>
      </c>
      <c r="C17" s="344">
        <v>37382</v>
      </c>
      <c r="D17" s="344">
        <v>48335</v>
      </c>
      <c r="E17" s="145">
        <v>7.0000000000000007E-2</v>
      </c>
      <c r="F17" s="149">
        <v>500000000</v>
      </c>
      <c r="G17" s="149">
        <v>-7265000</v>
      </c>
      <c r="H17" s="149">
        <v>6327156.9800000004</v>
      </c>
      <c r="I17" s="334">
        <v>0</v>
      </c>
      <c r="J17" s="113">
        <f>F17+G17-H17+I17</f>
        <v>486407843.01999998</v>
      </c>
      <c r="K17" s="345">
        <f>IF(ISERR(J17/F17),0,J17/F17)</f>
        <v>0.97281568604000002</v>
      </c>
      <c r="L17" s="149">
        <v>493478000</v>
      </c>
      <c r="M17" s="149">
        <f>L17*K17</f>
        <v>480063139.11564714</v>
      </c>
      <c r="N17" s="400">
        <f t="shared" ref="N17:N59" si="0">+M17/$M$63</f>
        <v>2.894312281484741E-2</v>
      </c>
      <c r="O17" s="345">
        <f>YIELD(C17,D17,E17,K17*100,100,2,3)</f>
        <v>7.2227617530911031E-2</v>
      </c>
      <c r="P17" s="345">
        <f>SUM(N17*O17)</f>
        <v>2.0904928048209839E-3</v>
      </c>
    </row>
    <row r="18" spans="1:16" s="241" customFormat="1" x14ac:dyDescent="0.2">
      <c r="A18" s="143">
        <v>2</v>
      </c>
      <c r="B18" s="343" t="s">
        <v>287</v>
      </c>
      <c r="C18" s="344">
        <v>37610</v>
      </c>
      <c r="D18" s="344">
        <v>48594</v>
      </c>
      <c r="E18" s="145">
        <v>7.2499999999999995E-2</v>
      </c>
      <c r="F18" s="146">
        <v>350000000</v>
      </c>
      <c r="G18" s="146">
        <v>-5005000</v>
      </c>
      <c r="H18" s="146">
        <v>3638899</v>
      </c>
      <c r="I18" s="146">
        <v>0</v>
      </c>
      <c r="J18" s="306">
        <f>F18+G18-H18+I18</f>
        <v>341356101</v>
      </c>
      <c r="K18" s="345">
        <f t="shared" ref="K18:K55" si="1">IF(ISERR(J18/F18),0,J18/F18)</f>
        <v>0.97530314571428567</v>
      </c>
      <c r="L18" s="146">
        <v>323467000</v>
      </c>
      <c r="M18" s="149">
        <f t="shared" ref="M18:M59" si="2">L18*K18</f>
        <v>315478382.63476282</v>
      </c>
      <c r="N18" s="400">
        <f t="shared" si="0"/>
        <v>1.9020268023177106E-2</v>
      </c>
      <c r="O18" s="345">
        <f t="shared" ref="O18:O55" si="3">YIELD(C18,D18,E18,K18*100,100,2,3)</f>
        <v>7.4564180660545321E-2</v>
      </c>
      <c r="P18" s="345">
        <f t="shared" ref="P18:P55" si="4">SUM(N18*O18)</f>
        <v>1.418230701092171E-3</v>
      </c>
    </row>
    <row r="19" spans="1:16" s="241" customFormat="1" x14ac:dyDescent="0.2">
      <c r="A19" s="143">
        <v>3</v>
      </c>
      <c r="B19" s="343" t="s">
        <v>287</v>
      </c>
      <c r="C19" s="344">
        <v>39699</v>
      </c>
      <c r="D19" s="344">
        <v>50649</v>
      </c>
      <c r="E19" s="145">
        <v>7.4999999999999997E-2</v>
      </c>
      <c r="F19" s="146">
        <v>300000000</v>
      </c>
      <c r="G19" s="146">
        <v>-915000</v>
      </c>
      <c r="H19" s="146">
        <v>3331688.04</v>
      </c>
      <c r="I19" s="146">
        <v>0</v>
      </c>
      <c r="J19" s="306">
        <f t="shared" ref="J19:J55" si="5">F19+G19-H19+I19</f>
        <v>295753311.95999998</v>
      </c>
      <c r="K19" s="345">
        <f t="shared" si="1"/>
        <v>0.98584437319999996</v>
      </c>
      <c r="L19" s="146">
        <v>300000000</v>
      </c>
      <c r="M19" s="149">
        <f t="shared" si="2"/>
        <v>295753311.95999998</v>
      </c>
      <c r="N19" s="400">
        <f t="shared" si="0"/>
        <v>1.7831038739456417E-2</v>
      </c>
      <c r="O19" s="345">
        <f t="shared" si="3"/>
        <v>7.6204734988955344E-2</v>
      </c>
      <c r="P19" s="345">
        <f t="shared" si="4"/>
        <v>1.3588095817180727E-3</v>
      </c>
    </row>
    <row r="20" spans="1:16" s="241" customFormat="1" x14ac:dyDescent="0.2">
      <c r="A20" s="143">
        <v>4</v>
      </c>
      <c r="B20" s="343" t="s">
        <v>287</v>
      </c>
      <c r="C20" s="344">
        <v>40434</v>
      </c>
      <c r="D20" s="344">
        <v>51409</v>
      </c>
      <c r="E20" s="145">
        <v>5.2499999999999998E-2</v>
      </c>
      <c r="F20" s="146">
        <v>475000000</v>
      </c>
      <c r="G20" s="146">
        <v>-3496000</v>
      </c>
      <c r="H20" s="146">
        <v>4881434.17</v>
      </c>
      <c r="I20" s="146">
        <v>0</v>
      </c>
      <c r="J20" s="306">
        <f t="shared" si="5"/>
        <v>466622565.82999998</v>
      </c>
      <c r="K20" s="345">
        <f t="shared" si="1"/>
        <v>0.9823632964842105</v>
      </c>
      <c r="L20" s="146">
        <v>475000000</v>
      </c>
      <c r="M20" s="149">
        <f t="shared" si="2"/>
        <v>466622565.82999998</v>
      </c>
      <c r="N20" s="400">
        <f t="shared" si="0"/>
        <v>2.8132787399332976E-2</v>
      </c>
      <c r="O20" s="345">
        <f t="shared" si="3"/>
        <v>5.3686940861777895E-2</v>
      </c>
      <c r="P20" s="345">
        <f t="shared" si="4"/>
        <v>1.5103632933849598E-3</v>
      </c>
    </row>
    <row r="21" spans="1:16" s="241" customFormat="1" x14ac:dyDescent="0.2">
      <c r="A21" s="143">
        <v>5</v>
      </c>
      <c r="B21" s="406" t="s">
        <v>287</v>
      </c>
      <c r="C21" s="407">
        <v>40865</v>
      </c>
      <c r="D21" s="407">
        <v>51836</v>
      </c>
      <c r="E21" s="145">
        <v>4.5499999999999999E-2</v>
      </c>
      <c r="F21" s="305">
        <v>400000000</v>
      </c>
      <c r="G21" s="305">
        <v>5539000</v>
      </c>
      <c r="H21" s="305">
        <v>50427327.289999999</v>
      </c>
      <c r="I21" s="305">
        <v>0</v>
      </c>
      <c r="J21" s="408">
        <f t="shared" si="5"/>
        <v>355111672.70999998</v>
      </c>
      <c r="K21" s="409">
        <f t="shared" si="1"/>
        <v>0.88777918177499993</v>
      </c>
      <c r="L21" s="305">
        <v>400000000</v>
      </c>
      <c r="M21" s="410">
        <f t="shared" si="2"/>
        <v>355111672.70999998</v>
      </c>
      <c r="N21" s="411">
        <f t="shared" si="0"/>
        <v>2.140976867160686E-2</v>
      </c>
      <c r="O21" s="409">
        <f t="shared" si="3"/>
        <v>5.3007351159160956E-2</v>
      </c>
      <c r="P21" s="409">
        <f t="shared" si="4"/>
        <v>1.1348751262122679E-3</v>
      </c>
    </row>
    <row r="22" spans="1:16" s="241" customFormat="1" x14ac:dyDescent="0.2">
      <c r="A22" s="143">
        <v>6</v>
      </c>
      <c r="B22" s="406" t="s">
        <v>287</v>
      </c>
      <c r="C22" s="407">
        <v>41047</v>
      </c>
      <c r="D22" s="407">
        <v>52018</v>
      </c>
      <c r="E22" s="145">
        <v>5.2999999999999999E-2</v>
      </c>
      <c r="F22" s="305">
        <v>500000000</v>
      </c>
      <c r="G22" s="305">
        <v>-1205000</v>
      </c>
      <c r="H22" s="305">
        <v>5190875.09</v>
      </c>
      <c r="I22" s="305">
        <v>0</v>
      </c>
      <c r="J22" s="408">
        <f t="shared" si="5"/>
        <v>493604124.91000003</v>
      </c>
      <c r="K22" s="409">
        <f t="shared" si="1"/>
        <v>0.98720824982000011</v>
      </c>
      <c r="L22" s="305">
        <v>347859000</v>
      </c>
      <c r="M22" s="410">
        <f t="shared" si="2"/>
        <v>343409274.57413542</v>
      </c>
      <c r="N22" s="411">
        <f t="shared" si="0"/>
        <v>2.0704228256447063E-2</v>
      </c>
      <c r="O22" s="409">
        <f t="shared" si="3"/>
        <v>5.3862429055905298E-2</v>
      </c>
      <c r="P22" s="409">
        <f t="shared" si="4"/>
        <v>1.1151800256201498E-3</v>
      </c>
    </row>
    <row r="23" spans="1:16" s="241" customFormat="1" x14ac:dyDescent="0.2">
      <c r="A23" s="143">
        <v>7</v>
      </c>
      <c r="B23" s="406" t="s">
        <v>287</v>
      </c>
      <c r="C23" s="407">
        <v>42087</v>
      </c>
      <c r="D23" s="407">
        <v>53053</v>
      </c>
      <c r="E23" s="145">
        <v>3.7499999999999999E-2</v>
      </c>
      <c r="F23" s="305">
        <v>550000000</v>
      </c>
      <c r="G23" s="305">
        <v>9339500</v>
      </c>
      <c r="H23" s="305">
        <v>6256252.5099999998</v>
      </c>
      <c r="I23" s="305">
        <v>0</v>
      </c>
      <c r="J23" s="408">
        <f t="shared" si="5"/>
        <v>553083247.49000001</v>
      </c>
      <c r="K23" s="409">
        <f t="shared" si="1"/>
        <v>1.0056059045272727</v>
      </c>
      <c r="L23" s="305">
        <v>550000000</v>
      </c>
      <c r="M23" s="410">
        <f t="shared" si="2"/>
        <v>553083247.49000001</v>
      </c>
      <c r="N23" s="411">
        <f t="shared" si="0"/>
        <v>3.3345522816908883E-2</v>
      </c>
      <c r="O23" s="409">
        <f t="shared" si="3"/>
        <v>3.7188049404283947E-2</v>
      </c>
      <c r="P23" s="409">
        <f t="shared" si="4"/>
        <v>1.2400549499268852E-3</v>
      </c>
    </row>
    <row r="24" spans="1:16" s="241" customFormat="1" x14ac:dyDescent="0.2">
      <c r="A24" s="143">
        <v>8</v>
      </c>
      <c r="B24" s="406" t="s">
        <v>287</v>
      </c>
      <c r="C24" s="407">
        <v>42999</v>
      </c>
      <c r="D24" s="407">
        <v>53965</v>
      </c>
      <c r="E24" s="145">
        <v>3.7999999999999999E-2</v>
      </c>
      <c r="F24" s="305">
        <v>325000000</v>
      </c>
      <c r="G24" s="305">
        <v>-464750</v>
      </c>
      <c r="H24" s="305">
        <v>3770875</v>
      </c>
      <c r="I24" s="305">
        <v>0</v>
      </c>
      <c r="J24" s="408">
        <f t="shared" si="5"/>
        <v>320764375</v>
      </c>
      <c r="K24" s="409">
        <f t="shared" si="1"/>
        <v>0.98696730769230767</v>
      </c>
      <c r="L24" s="305">
        <v>325000000</v>
      </c>
      <c r="M24" s="410">
        <f t="shared" si="2"/>
        <v>320764375</v>
      </c>
      <c r="N24" s="411">
        <f t="shared" si="0"/>
        <v>1.9338961781892351E-2</v>
      </c>
      <c r="O24" s="409">
        <f t="shared" si="3"/>
        <v>3.8737668444028435E-2</v>
      </c>
      <c r="P24" s="409">
        <f t="shared" si="4"/>
        <v>7.4914628955868325E-4</v>
      </c>
    </row>
    <row r="25" spans="1:16" s="241" customFormat="1" x14ac:dyDescent="0.2">
      <c r="A25" s="143">
        <v>9</v>
      </c>
      <c r="B25" s="406" t="s">
        <v>287</v>
      </c>
      <c r="C25" s="407">
        <v>43322</v>
      </c>
      <c r="D25" s="407">
        <v>47072</v>
      </c>
      <c r="E25" s="145">
        <v>3.6999999999999998E-2</v>
      </c>
      <c r="F25" s="305">
        <v>650000000</v>
      </c>
      <c r="G25" s="305">
        <v>11841500</v>
      </c>
      <c r="H25" s="305">
        <v>5921360</v>
      </c>
      <c r="I25" s="305">
        <v>0</v>
      </c>
      <c r="J25" s="408">
        <f t="shared" si="5"/>
        <v>655920140</v>
      </c>
      <c r="K25" s="409">
        <f t="shared" si="1"/>
        <v>1.0091079076923077</v>
      </c>
      <c r="L25" s="305">
        <v>650000000</v>
      </c>
      <c r="M25" s="410">
        <f t="shared" si="2"/>
        <v>655920140</v>
      </c>
      <c r="N25" s="411">
        <f t="shared" si="0"/>
        <v>3.9545583949070033E-2</v>
      </c>
      <c r="O25" s="409">
        <f t="shared" si="3"/>
        <v>3.5926115415349839E-2</v>
      </c>
      <c r="P25" s="409">
        <f t="shared" si="4"/>
        <v>1.420719213121696E-3</v>
      </c>
    </row>
    <row r="26" spans="1:16" s="241" customFormat="1" x14ac:dyDescent="0.2">
      <c r="A26" s="143">
        <v>10</v>
      </c>
      <c r="B26" s="406" t="s">
        <v>287</v>
      </c>
      <c r="C26" s="407">
        <v>43322</v>
      </c>
      <c r="D26" s="407">
        <v>54377</v>
      </c>
      <c r="E26" s="145">
        <v>4.1000000000000002E-2</v>
      </c>
      <c r="F26" s="305">
        <v>450000000</v>
      </c>
      <c r="G26" s="305">
        <v>-441000</v>
      </c>
      <c r="H26" s="305">
        <v>5222500</v>
      </c>
      <c r="I26" s="305">
        <v>0</v>
      </c>
      <c r="J26" s="408">
        <f t="shared" si="5"/>
        <v>444336500</v>
      </c>
      <c r="K26" s="409">
        <f t="shared" si="1"/>
        <v>0.98741444444444448</v>
      </c>
      <c r="L26" s="305">
        <v>450000000</v>
      </c>
      <c r="M26" s="410">
        <f t="shared" si="2"/>
        <v>444336500</v>
      </c>
      <c r="N26" s="411">
        <f t="shared" si="0"/>
        <v>2.6789155098036713E-2</v>
      </c>
      <c r="O26" s="409">
        <f t="shared" si="3"/>
        <v>4.1733078954266006E-2</v>
      </c>
      <c r="P26" s="409">
        <f t="shared" si="4"/>
        <v>1.1179939248244439E-3</v>
      </c>
    </row>
    <row r="27" spans="1:16" s="241" customFormat="1" x14ac:dyDescent="0.2">
      <c r="A27" s="143">
        <v>11</v>
      </c>
      <c r="B27" s="406" t="s">
        <v>287</v>
      </c>
      <c r="C27" s="407">
        <v>43431</v>
      </c>
      <c r="D27" s="407">
        <v>47192</v>
      </c>
      <c r="E27" s="145">
        <v>5.7500000000000002E-2</v>
      </c>
      <c r="F27" s="305">
        <v>318328000</v>
      </c>
      <c r="G27" s="305">
        <v>0</v>
      </c>
      <c r="H27" s="305">
        <v>3137871.6</v>
      </c>
      <c r="I27" s="305">
        <v>0</v>
      </c>
      <c r="J27" s="408">
        <f t="shared" si="5"/>
        <v>315190128.39999998</v>
      </c>
      <c r="K27" s="409">
        <f t="shared" si="1"/>
        <v>0.99014264657837192</v>
      </c>
      <c r="L27" s="305">
        <v>318328000</v>
      </c>
      <c r="M27" s="410">
        <f t="shared" si="2"/>
        <v>315190128.39999998</v>
      </c>
      <c r="N27" s="411">
        <f t="shared" si="0"/>
        <v>1.9002889105616365E-2</v>
      </c>
      <c r="O27" s="409">
        <f t="shared" si="3"/>
        <v>5.8776289541933778E-2</v>
      </c>
      <c r="P27" s="409">
        <f t="shared" si="4"/>
        <v>1.1169193122049664E-3</v>
      </c>
    </row>
    <row r="28" spans="1:16" s="241" customFormat="1" x14ac:dyDescent="0.2">
      <c r="A28" s="143">
        <v>12</v>
      </c>
      <c r="B28" s="406" t="s">
        <v>288</v>
      </c>
      <c r="C28" s="407">
        <v>43601</v>
      </c>
      <c r="D28" s="407">
        <v>45994</v>
      </c>
      <c r="E28" s="145">
        <v>3.8600000000000002E-2</v>
      </c>
      <c r="F28" s="305">
        <v>174000000</v>
      </c>
      <c r="G28" s="305">
        <v>0</v>
      </c>
      <c r="H28" s="305">
        <v>1419991</v>
      </c>
      <c r="I28" s="305">
        <v>0</v>
      </c>
      <c r="J28" s="408">
        <f t="shared" si="5"/>
        <v>172580009</v>
      </c>
      <c r="K28" s="409">
        <f t="shared" si="1"/>
        <v>0.99183913218390807</v>
      </c>
      <c r="L28" s="305">
        <v>174000000</v>
      </c>
      <c r="M28" s="410">
        <f t="shared" si="2"/>
        <v>172580009</v>
      </c>
      <c r="N28" s="411">
        <f t="shared" si="0"/>
        <v>1.0404890500603871E-2</v>
      </c>
      <c r="O28" s="409">
        <f t="shared" si="3"/>
        <v>4.0025551487823365E-2</v>
      </c>
      <c r="P28" s="409">
        <f t="shared" si="4"/>
        <v>4.1646148045708446E-4</v>
      </c>
    </row>
    <row r="29" spans="1:16" s="241" customFormat="1" x14ac:dyDescent="0.2">
      <c r="A29" s="143">
        <v>13</v>
      </c>
      <c r="B29" s="406" t="s">
        <v>289</v>
      </c>
      <c r="C29" s="407">
        <v>43601</v>
      </c>
      <c r="D29" s="407">
        <v>46036</v>
      </c>
      <c r="E29" s="145">
        <v>3.8600000000000002E-2</v>
      </c>
      <c r="F29" s="305">
        <v>38000000</v>
      </c>
      <c r="G29" s="305">
        <v>0</v>
      </c>
      <c r="H29" s="305">
        <v>517529</v>
      </c>
      <c r="I29" s="305">
        <v>0</v>
      </c>
      <c r="J29" s="408">
        <f t="shared" si="5"/>
        <v>37482471</v>
      </c>
      <c r="K29" s="409">
        <f t="shared" si="1"/>
        <v>0.98638081578947368</v>
      </c>
      <c r="L29" s="305">
        <v>38000000</v>
      </c>
      <c r="M29" s="410">
        <f t="shared" si="2"/>
        <v>37482471</v>
      </c>
      <c r="N29" s="411">
        <f t="shared" si="0"/>
        <v>2.259827245964856E-3</v>
      </c>
      <c r="O29" s="409">
        <f t="shared" si="3"/>
        <v>4.0947877948000928E-2</v>
      </c>
      <c r="P29" s="409">
        <f t="shared" si="4"/>
        <v>9.2535130251335997E-5</v>
      </c>
    </row>
    <row r="30" spans="1:16" s="241" customFormat="1" x14ac:dyDescent="0.2">
      <c r="A30" s="143">
        <v>14</v>
      </c>
      <c r="B30" s="406" t="s">
        <v>287</v>
      </c>
      <c r="C30" s="407">
        <v>43608</v>
      </c>
      <c r="D30" s="407">
        <v>54575</v>
      </c>
      <c r="E30" s="145">
        <v>3.7999999999999999E-2</v>
      </c>
      <c r="F30" s="305">
        <v>500000000</v>
      </c>
      <c r="G30" s="305">
        <v>-3020000</v>
      </c>
      <c r="H30" s="305">
        <v>5591433</v>
      </c>
      <c r="I30" s="305">
        <v>0</v>
      </c>
      <c r="J30" s="408">
        <f t="shared" si="5"/>
        <v>491388567</v>
      </c>
      <c r="K30" s="409">
        <f t="shared" si="1"/>
        <v>0.982777134</v>
      </c>
      <c r="L30" s="305">
        <v>500000000</v>
      </c>
      <c r="M30" s="410">
        <f t="shared" si="2"/>
        <v>491388567</v>
      </c>
      <c r="N30" s="411">
        <f t="shared" si="0"/>
        <v>2.9625935602330677E-2</v>
      </c>
      <c r="O30" s="409">
        <f t="shared" si="3"/>
        <v>3.8977743294624119E-2</v>
      </c>
      <c r="P30" s="409">
        <f t="shared" si="4"/>
        <v>1.1547521127707105E-3</v>
      </c>
    </row>
    <row r="31" spans="1:16" s="241" customFormat="1" x14ac:dyDescent="0.2">
      <c r="A31" s="143">
        <v>15</v>
      </c>
      <c r="B31" s="406" t="s">
        <v>287</v>
      </c>
      <c r="C31" s="407">
        <v>43720</v>
      </c>
      <c r="D31" s="407">
        <v>54681</v>
      </c>
      <c r="E31" s="145">
        <v>3.1E-2</v>
      </c>
      <c r="F31" s="305">
        <v>700000000</v>
      </c>
      <c r="G31" s="305">
        <v>-3528000</v>
      </c>
      <c r="H31" s="305">
        <v>8013615.8799999999</v>
      </c>
      <c r="I31" s="305">
        <v>0</v>
      </c>
      <c r="J31" s="408">
        <f t="shared" si="5"/>
        <v>688458384.12</v>
      </c>
      <c r="K31" s="409">
        <f t="shared" si="1"/>
        <v>0.98351197731428575</v>
      </c>
      <c r="L31" s="305">
        <v>700000000</v>
      </c>
      <c r="M31" s="410">
        <f t="shared" si="2"/>
        <v>688458384.12</v>
      </c>
      <c r="N31" s="411">
        <f t="shared" si="0"/>
        <v>4.1507322560119228E-2</v>
      </c>
      <c r="O31" s="409">
        <f t="shared" si="3"/>
        <v>3.1857371815039427E-2</v>
      </c>
      <c r="P31" s="409">
        <f t="shared" si="4"/>
        <v>1.3223142078444925E-3</v>
      </c>
    </row>
    <row r="32" spans="1:16" s="241" customFormat="1" x14ac:dyDescent="0.2">
      <c r="A32" s="143">
        <v>16</v>
      </c>
      <c r="B32" s="406" t="s">
        <v>287</v>
      </c>
      <c r="C32" s="407">
        <v>43910</v>
      </c>
      <c r="D32" s="407">
        <v>47618</v>
      </c>
      <c r="E32" s="145">
        <v>2.75E-2</v>
      </c>
      <c r="F32" s="305">
        <v>700000000</v>
      </c>
      <c r="G32" s="305">
        <v>13661000</v>
      </c>
      <c r="H32" s="305">
        <v>7531765.0600000005</v>
      </c>
      <c r="I32" s="305">
        <v>0</v>
      </c>
      <c r="J32" s="408">
        <f t="shared" si="5"/>
        <v>706129234.94000006</v>
      </c>
      <c r="K32" s="409">
        <f t="shared" si="1"/>
        <v>1.0087560499142858</v>
      </c>
      <c r="L32" s="305">
        <v>700000000</v>
      </c>
      <c r="M32" s="410">
        <f t="shared" si="2"/>
        <v>706129234.94000006</v>
      </c>
      <c r="N32" s="411">
        <f t="shared" si="0"/>
        <v>4.2572702431750861E-2</v>
      </c>
      <c r="O32" s="409">
        <f t="shared" si="3"/>
        <v>2.6508630886197742E-2</v>
      </c>
      <c r="P32" s="409">
        <f t="shared" si="4"/>
        <v>1.1285440545912165E-3</v>
      </c>
    </row>
    <row r="33" spans="1:16" s="241" customFormat="1" x14ac:dyDescent="0.2">
      <c r="A33" s="143">
        <v>17</v>
      </c>
      <c r="B33" s="406" t="s">
        <v>287</v>
      </c>
      <c r="C33" s="407">
        <v>43910</v>
      </c>
      <c r="D33" s="407">
        <v>54923</v>
      </c>
      <c r="E33" s="145">
        <v>3.6999999999999998E-2</v>
      </c>
      <c r="F33" s="305">
        <v>400000000</v>
      </c>
      <c r="G33" s="305">
        <v>-1180000</v>
      </c>
      <c r="H33" s="305">
        <v>33419903</v>
      </c>
      <c r="I33" s="305">
        <v>0</v>
      </c>
      <c r="J33" s="408">
        <f t="shared" si="5"/>
        <v>365400097</v>
      </c>
      <c r="K33" s="409">
        <f t="shared" si="1"/>
        <v>0.91350024249999995</v>
      </c>
      <c r="L33" s="305">
        <v>400000000</v>
      </c>
      <c r="M33" s="410">
        <f t="shared" si="2"/>
        <v>365400097</v>
      </c>
      <c r="N33" s="411">
        <f t="shared" si="0"/>
        <v>2.2030060261469989E-2</v>
      </c>
      <c r="O33" s="409">
        <f t="shared" si="3"/>
        <v>4.2087856863981601E-2</v>
      </c>
      <c r="P33" s="409">
        <f t="shared" si="4"/>
        <v>9.2719802298963793E-4</v>
      </c>
    </row>
    <row r="34" spans="1:16" s="241" customFormat="1" x14ac:dyDescent="0.2">
      <c r="A34" s="143">
        <v>18</v>
      </c>
      <c r="B34" s="406" t="s">
        <v>287</v>
      </c>
      <c r="C34" s="407">
        <v>44097</v>
      </c>
      <c r="D34" s="407">
        <v>55793</v>
      </c>
      <c r="E34" s="145">
        <v>5.3499999999999999E-2</v>
      </c>
      <c r="F34" s="305">
        <v>300000000</v>
      </c>
      <c r="G34" s="305">
        <v>-27959583.27</v>
      </c>
      <c r="H34" s="305">
        <v>4248500</v>
      </c>
      <c r="I34" s="305">
        <v>27959583</v>
      </c>
      <c r="J34" s="408">
        <f t="shared" si="5"/>
        <v>295751499.73000002</v>
      </c>
      <c r="K34" s="409">
        <f t="shared" si="1"/>
        <v>0.98583833243333341</v>
      </c>
      <c r="L34" s="305">
        <v>300000000</v>
      </c>
      <c r="M34" s="410">
        <f t="shared" si="2"/>
        <v>295751499.73000002</v>
      </c>
      <c r="N34" s="411">
        <f t="shared" si="0"/>
        <v>1.7830929479671225E-2</v>
      </c>
      <c r="O34" s="409">
        <f t="shared" si="3"/>
        <v>5.4438186210050393E-2</v>
      </c>
      <c r="P34" s="409">
        <f t="shared" si="4"/>
        <v>9.7068345931261915E-4</v>
      </c>
    </row>
    <row r="35" spans="1:16" s="241" customFormat="1" x14ac:dyDescent="0.2">
      <c r="A35" s="143">
        <v>19</v>
      </c>
      <c r="B35" s="406" t="s">
        <v>287</v>
      </c>
      <c r="C35" s="407">
        <v>44515</v>
      </c>
      <c r="D35" s="407">
        <v>55472</v>
      </c>
      <c r="E35" s="145">
        <v>2.7E-2</v>
      </c>
      <c r="F35" s="305">
        <v>500000000</v>
      </c>
      <c r="G35" s="305">
        <v>-9605000</v>
      </c>
      <c r="H35" s="305">
        <v>5828000</v>
      </c>
      <c r="I35" s="305">
        <v>0</v>
      </c>
      <c r="J35" s="408">
        <f t="shared" si="5"/>
        <v>484567000</v>
      </c>
      <c r="K35" s="409">
        <f t="shared" si="1"/>
        <v>0.96913400000000005</v>
      </c>
      <c r="L35" s="305">
        <v>500000000</v>
      </c>
      <c r="M35" s="410">
        <f t="shared" si="2"/>
        <v>484567000</v>
      </c>
      <c r="N35" s="411">
        <f t="shared" si="0"/>
        <v>2.9214661677333185E-2</v>
      </c>
      <c r="O35" s="409">
        <f t="shared" si="3"/>
        <v>2.8538283916321655E-2</v>
      </c>
      <c r="P35" s="409">
        <f t="shared" si="4"/>
        <v>8.3373630946701632E-4</v>
      </c>
    </row>
    <row r="36" spans="1:16" s="241" customFormat="1" x14ac:dyDescent="0.2">
      <c r="A36" s="143">
        <v>20</v>
      </c>
      <c r="B36" s="406" t="s">
        <v>290</v>
      </c>
      <c r="C36" s="407">
        <v>44539</v>
      </c>
      <c r="D36" s="407">
        <v>47119</v>
      </c>
      <c r="E36" s="145">
        <v>1.7999999999999999E-2</v>
      </c>
      <c r="F36" s="305">
        <v>3145941</v>
      </c>
      <c r="G36" s="305">
        <v>0</v>
      </c>
      <c r="H36" s="305">
        <v>0</v>
      </c>
      <c r="I36" s="305">
        <v>0</v>
      </c>
      <c r="J36" s="408">
        <f t="shared" si="5"/>
        <v>3145941</v>
      </c>
      <c r="K36" s="409">
        <f t="shared" si="1"/>
        <v>1</v>
      </c>
      <c r="L36" s="305">
        <v>1970811.77</v>
      </c>
      <c r="M36" s="410">
        <f t="shared" si="2"/>
        <v>1970811.77</v>
      </c>
      <c r="N36" s="411">
        <f t="shared" si="0"/>
        <v>1.1882071847702419E-4</v>
      </c>
      <c r="O36" s="409">
        <f t="shared" si="3"/>
        <v>1.7999364502172356E-2</v>
      </c>
      <c r="P36" s="409">
        <f t="shared" si="4"/>
        <v>2.1386974222779642E-6</v>
      </c>
    </row>
    <row r="37" spans="1:16" s="241" customFormat="1" x14ac:dyDescent="0.2">
      <c r="A37" s="143">
        <v>21</v>
      </c>
      <c r="B37" s="406" t="s">
        <v>291</v>
      </c>
      <c r="C37" s="407">
        <v>44571</v>
      </c>
      <c r="D37" s="407">
        <v>47119</v>
      </c>
      <c r="E37" s="145">
        <v>1.7999999999999999E-2</v>
      </c>
      <c r="F37" s="305">
        <v>834146</v>
      </c>
      <c r="G37" s="305">
        <v>0</v>
      </c>
      <c r="H37" s="305">
        <v>0</v>
      </c>
      <c r="I37" s="305">
        <v>0</v>
      </c>
      <c r="J37" s="408">
        <f t="shared" si="5"/>
        <v>834146</v>
      </c>
      <c r="K37" s="409">
        <f t="shared" si="1"/>
        <v>1</v>
      </c>
      <c r="L37" s="305">
        <v>525893.01</v>
      </c>
      <c r="M37" s="410">
        <f t="shared" si="2"/>
        <v>525893.01</v>
      </c>
      <c r="N37" s="411">
        <f t="shared" si="0"/>
        <v>3.1706216819602648E-5</v>
      </c>
      <c r="O37" s="409">
        <f t="shared" si="3"/>
        <v>1.7999710816676607E-2</v>
      </c>
      <c r="P37" s="409">
        <f t="shared" si="4"/>
        <v>5.7070273384369559E-7</v>
      </c>
    </row>
    <row r="38" spans="1:16" s="241" customFormat="1" x14ac:dyDescent="0.2">
      <c r="A38" s="143">
        <v>22</v>
      </c>
      <c r="B38" s="406" t="s">
        <v>292</v>
      </c>
      <c r="C38" s="407">
        <v>44582</v>
      </c>
      <c r="D38" s="407">
        <v>47239</v>
      </c>
      <c r="E38" s="145">
        <v>2.1899999999999999E-2</v>
      </c>
      <c r="F38" s="305">
        <v>989614</v>
      </c>
      <c r="G38" s="305"/>
      <c r="H38" s="305"/>
      <c r="I38" s="305"/>
      <c r="J38" s="408">
        <f t="shared" si="5"/>
        <v>989614</v>
      </c>
      <c r="K38" s="409">
        <f t="shared" si="1"/>
        <v>1</v>
      </c>
      <c r="L38" s="305">
        <v>665816.19999999995</v>
      </c>
      <c r="M38" s="410">
        <f t="shared" si="2"/>
        <v>665816.19999999995</v>
      </c>
      <c r="N38" s="411">
        <f t="shared" si="0"/>
        <v>4.0142219800951375E-5</v>
      </c>
      <c r="O38" s="409">
        <f t="shared" si="3"/>
        <v>2.1897801927658254E-2</v>
      </c>
      <c r="P38" s="409">
        <f t="shared" si="4"/>
        <v>8.7902637813775439E-7</v>
      </c>
    </row>
    <row r="39" spans="1:16" s="241" customFormat="1" x14ac:dyDescent="0.2">
      <c r="A39" s="143">
        <v>23</v>
      </c>
      <c r="B39" s="406" t="s">
        <v>287</v>
      </c>
      <c r="C39" s="407">
        <v>44701</v>
      </c>
      <c r="D39" s="407">
        <v>48366</v>
      </c>
      <c r="E39" s="145">
        <v>4.1500000000000002E-2</v>
      </c>
      <c r="F39" s="305">
        <v>400000000</v>
      </c>
      <c r="G39" s="305">
        <v>-1468000</v>
      </c>
      <c r="H39" s="305">
        <v>3930000</v>
      </c>
      <c r="I39" s="305">
        <v>0</v>
      </c>
      <c r="J39" s="408">
        <f t="shared" si="5"/>
        <v>394602000</v>
      </c>
      <c r="K39" s="409">
        <f t="shared" si="1"/>
        <v>0.98650499999999997</v>
      </c>
      <c r="L39" s="305">
        <v>400000000</v>
      </c>
      <c r="M39" s="410">
        <f t="shared" si="2"/>
        <v>394602000</v>
      </c>
      <c r="N39" s="411">
        <f t="shared" si="0"/>
        <v>2.3790650059122946E-2</v>
      </c>
      <c r="O39" s="409">
        <f t="shared" si="3"/>
        <v>4.3169630667363457E-2</v>
      </c>
      <c r="P39" s="409">
        <f t="shared" si="4"/>
        <v>1.0270335763888261E-3</v>
      </c>
    </row>
    <row r="40" spans="1:16" s="241" customFormat="1" x14ac:dyDescent="0.2">
      <c r="A40" s="143">
        <v>24</v>
      </c>
      <c r="B40" s="406" t="s">
        <v>287</v>
      </c>
      <c r="C40" s="407">
        <v>44701</v>
      </c>
      <c r="D40" s="407">
        <v>55671</v>
      </c>
      <c r="E40" s="145">
        <v>4.5999999999999999E-2</v>
      </c>
      <c r="F40" s="305">
        <v>400000000</v>
      </c>
      <c r="G40" s="305">
        <v>-3612000</v>
      </c>
      <c r="H40" s="305">
        <v>3930000</v>
      </c>
      <c r="I40" s="305">
        <v>0</v>
      </c>
      <c r="J40" s="408">
        <f t="shared" si="5"/>
        <v>392458000</v>
      </c>
      <c r="K40" s="409">
        <f t="shared" si="1"/>
        <v>0.98114500000000004</v>
      </c>
      <c r="L40" s="305">
        <v>400000000</v>
      </c>
      <c r="M40" s="410">
        <f t="shared" si="2"/>
        <v>392458000</v>
      </c>
      <c r="N40" s="411">
        <f t="shared" si="0"/>
        <v>2.3661387780354062E-2</v>
      </c>
      <c r="O40" s="409">
        <f t="shared" si="3"/>
        <v>4.7179449010957143E-2</v>
      </c>
      <c r="P40" s="409">
        <f t="shared" si="4"/>
        <v>1.1163312383116989E-3</v>
      </c>
    </row>
    <row r="41" spans="1:16" s="241" customFormat="1" x14ac:dyDescent="0.2">
      <c r="A41" s="143">
        <v>25</v>
      </c>
      <c r="B41" s="406" t="s">
        <v>287</v>
      </c>
      <c r="C41" s="407">
        <v>44812</v>
      </c>
      <c r="D41" s="407">
        <v>48472</v>
      </c>
      <c r="E41" s="145">
        <v>4.5499999999999999E-2</v>
      </c>
      <c r="F41" s="305">
        <v>700000000</v>
      </c>
      <c r="G41" s="305">
        <v>-679000</v>
      </c>
      <c r="H41" s="305">
        <v>6403000</v>
      </c>
      <c r="I41" s="305">
        <v>0</v>
      </c>
      <c r="J41" s="408">
        <f t="shared" si="5"/>
        <v>692918000</v>
      </c>
      <c r="K41" s="409">
        <f t="shared" si="1"/>
        <v>0.98988285714285718</v>
      </c>
      <c r="L41" s="305">
        <v>700000000</v>
      </c>
      <c r="M41" s="410">
        <f t="shared" si="2"/>
        <v>692918000</v>
      </c>
      <c r="N41" s="411">
        <f t="shared" si="0"/>
        <v>4.1776193880586905E-2</v>
      </c>
      <c r="O41" s="409">
        <f t="shared" si="3"/>
        <v>4.6775801754713291E-2</v>
      </c>
      <c r="P41" s="409">
        <f t="shared" si="4"/>
        <v>1.9541149630247995E-3</v>
      </c>
    </row>
    <row r="42" spans="1:16" s="241" customFormat="1" x14ac:dyDescent="0.2">
      <c r="A42" s="143">
        <v>26</v>
      </c>
      <c r="B42" s="412" t="s">
        <v>287</v>
      </c>
      <c r="C42" s="407">
        <v>44812</v>
      </c>
      <c r="D42" s="407">
        <v>55777</v>
      </c>
      <c r="E42" s="145">
        <v>4.9500000000000002E-2</v>
      </c>
      <c r="F42" s="305">
        <v>500000000</v>
      </c>
      <c r="G42" s="305">
        <v>-21482000</v>
      </c>
      <c r="H42" s="305">
        <v>10597250</v>
      </c>
      <c r="I42" s="305">
        <v>0</v>
      </c>
      <c r="J42" s="408">
        <f t="shared" si="5"/>
        <v>467920750</v>
      </c>
      <c r="K42" s="409">
        <f t="shared" si="1"/>
        <v>0.93584149999999999</v>
      </c>
      <c r="L42" s="305">
        <v>900000000</v>
      </c>
      <c r="M42" s="410">
        <f t="shared" si="2"/>
        <v>842257350</v>
      </c>
      <c r="N42" s="411">
        <f t="shared" si="0"/>
        <v>5.0779899426698895E-2</v>
      </c>
      <c r="O42" s="409">
        <f t="shared" si="3"/>
        <v>5.3833029277044489E-2</v>
      </c>
      <c r="P42" s="409">
        <f t="shared" si="4"/>
        <v>2.7336358125228562E-3</v>
      </c>
    </row>
    <row r="43" spans="1:16" s="241" customFormat="1" x14ac:dyDescent="0.2">
      <c r="A43" s="143">
        <v>27</v>
      </c>
      <c r="B43" s="412" t="s">
        <v>293</v>
      </c>
      <c r="C43" s="407">
        <v>45014</v>
      </c>
      <c r="D43" s="407">
        <v>46143</v>
      </c>
      <c r="E43" s="145">
        <v>5.5E-2</v>
      </c>
      <c r="F43" s="305">
        <v>200000000</v>
      </c>
      <c r="G43" s="305"/>
      <c r="H43" s="305">
        <v>1271500</v>
      </c>
      <c r="I43" s="305"/>
      <c r="J43" s="408">
        <f t="shared" si="5"/>
        <v>198728500</v>
      </c>
      <c r="K43" s="409">
        <f t="shared" si="1"/>
        <v>0.99364249999999998</v>
      </c>
      <c r="L43" s="305">
        <v>200000000</v>
      </c>
      <c r="M43" s="410">
        <f t="shared" si="2"/>
        <v>198728500</v>
      </c>
      <c r="N43" s="411">
        <f t="shared" si="0"/>
        <v>1.1981389349963798E-2</v>
      </c>
      <c r="O43" s="409">
        <f t="shared" si="3"/>
        <v>5.724966780407665E-2</v>
      </c>
      <c r="P43" s="409">
        <f t="shared" si="4"/>
        <v>6.8593056011672932E-4</v>
      </c>
    </row>
    <row r="44" spans="1:16" s="241" customFormat="1" x14ac:dyDescent="0.2">
      <c r="A44" s="143">
        <v>28</v>
      </c>
      <c r="B44" s="412" t="s">
        <v>294</v>
      </c>
      <c r="C44" s="407">
        <v>45014</v>
      </c>
      <c r="D44" s="407">
        <v>47969</v>
      </c>
      <c r="E44" s="145">
        <v>5.3400000000000003E-2</v>
      </c>
      <c r="F44" s="305">
        <v>100000000</v>
      </c>
      <c r="G44" s="305"/>
      <c r="H44" s="305">
        <v>635750</v>
      </c>
      <c r="I44" s="305"/>
      <c r="J44" s="408">
        <f t="shared" si="5"/>
        <v>99364250</v>
      </c>
      <c r="K44" s="409">
        <f t="shared" si="1"/>
        <v>0.99364249999999998</v>
      </c>
      <c r="L44" s="305">
        <v>100000000</v>
      </c>
      <c r="M44" s="410">
        <f t="shared" si="2"/>
        <v>99364250</v>
      </c>
      <c r="N44" s="411">
        <f t="shared" si="0"/>
        <v>5.9906946749818989E-3</v>
      </c>
      <c r="O44" s="409">
        <f t="shared" si="3"/>
        <v>5.4372846416101281E-2</v>
      </c>
      <c r="P44" s="409">
        <f t="shared" si="4"/>
        <v>3.2573112148854655E-4</v>
      </c>
    </row>
    <row r="45" spans="1:16" s="241" customFormat="1" x14ac:dyDescent="0.2">
      <c r="A45" s="143">
        <v>29</v>
      </c>
      <c r="B45" s="412" t="s">
        <v>295</v>
      </c>
      <c r="C45" s="407">
        <v>45014</v>
      </c>
      <c r="D45" s="407">
        <v>49796</v>
      </c>
      <c r="E45" s="145">
        <v>5.45E-2</v>
      </c>
      <c r="F45" s="305">
        <v>100000000</v>
      </c>
      <c r="G45" s="305"/>
      <c r="H45" s="305">
        <v>635750</v>
      </c>
      <c r="I45" s="305"/>
      <c r="J45" s="408">
        <f t="shared" si="5"/>
        <v>99364250</v>
      </c>
      <c r="K45" s="409">
        <f t="shared" si="1"/>
        <v>0.99364249999999998</v>
      </c>
      <c r="L45" s="305">
        <v>100000000</v>
      </c>
      <c r="M45" s="410">
        <f t="shared" si="2"/>
        <v>99364250</v>
      </c>
      <c r="N45" s="411">
        <f t="shared" si="0"/>
        <v>5.9906946749818989E-3</v>
      </c>
      <c r="O45" s="409">
        <f t="shared" si="3"/>
        <v>5.5182078249004125E-2</v>
      </c>
      <c r="P45" s="409">
        <f t="shared" si="4"/>
        <v>3.3057898232074346E-4</v>
      </c>
    </row>
    <row r="46" spans="1:16" s="241" customFormat="1" x14ac:dyDescent="0.2">
      <c r="A46" s="143">
        <v>30</v>
      </c>
      <c r="B46" s="412" t="s">
        <v>296</v>
      </c>
      <c r="C46" s="407">
        <v>45044</v>
      </c>
      <c r="D46" s="407">
        <v>46140</v>
      </c>
      <c r="E46" s="145">
        <v>5.4019999999999999E-2</v>
      </c>
      <c r="F46" s="305">
        <v>500000000</v>
      </c>
      <c r="G46" s="305"/>
      <c r="H46" s="305"/>
      <c r="I46" s="305"/>
      <c r="J46" s="408">
        <f t="shared" si="5"/>
        <v>500000000</v>
      </c>
      <c r="K46" s="409">
        <f t="shared" si="1"/>
        <v>1</v>
      </c>
      <c r="L46" s="305">
        <v>0</v>
      </c>
      <c r="M46" s="410">
        <f t="shared" si="2"/>
        <v>0</v>
      </c>
      <c r="N46" s="411">
        <f t="shared" si="0"/>
        <v>0</v>
      </c>
      <c r="O46" s="409">
        <f t="shared" si="3"/>
        <v>5.4019999999999999E-2</v>
      </c>
      <c r="P46" s="409">
        <f t="shared" si="4"/>
        <v>0</v>
      </c>
    </row>
    <row r="47" spans="1:16" s="241" customFormat="1" x14ac:dyDescent="0.2">
      <c r="A47" s="143">
        <v>31</v>
      </c>
      <c r="B47" s="412" t="s">
        <v>287</v>
      </c>
      <c r="C47" s="407">
        <v>45057</v>
      </c>
      <c r="D47" s="407">
        <v>46888</v>
      </c>
      <c r="E47" s="145">
        <v>4.2999999999999997E-2</v>
      </c>
      <c r="F47" s="305">
        <v>600000000</v>
      </c>
      <c r="G47" s="305">
        <v>-1236000</v>
      </c>
      <c r="H47" s="305">
        <v>5369250</v>
      </c>
      <c r="I47" s="305"/>
      <c r="J47" s="408">
        <f t="shared" si="5"/>
        <v>593394750</v>
      </c>
      <c r="K47" s="409">
        <f t="shared" si="1"/>
        <v>0.98899124999999999</v>
      </c>
      <c r="L47" s="305">
        <v>600000000</v>
      </c>
      <c r="M47" s="410">
        <f t="shared" si="2"/>
        <v>593394750</v>
      </c>
      <c r="N47" s="411">
        <f t="shared" si="0"/>
        <v>3.5775913057132874E-2</v>
      </c>
      <c r="O47" s="409">
        <f t="shared" si="3"/>
        <v>4.5478131417431823E-2</v>
      </c>
      <c r="P47" s="409">
        <f t="shared" si="4"/>
        <v>1.6270216755909039E-3</v>
      </c>
    </row>
    <row r="48" spans="1:16" s="241" customFormat="1" x14ac:dyDescent="0.2">
      <c r="A48" s="143">
        <v>32</v>
      </c>
      <c r="B48" s="412" t="s">
        <v>287</v>
      </c>
      <c r="C48" s="407">
        <v>45243</v>
      </c>
      <c r="D48" s="407">
        <v>48898</v>
      </c>
      <c r="E48" s="145">
        <v>5.6500000000000002E-2</v>
      </c>
      <c r="F48" s="305">
        <v>800000000</v>
      </c>
      <c r="G48" s="305">
        <v>-1392000</v>
      </c>
      <c r="H48" s="305">
        <v>11154321</v>
      </c>
      <c r="I48" s="305"/>
      <c r="J48" s="408">
        <f t="shared" si="5"/>
        <v>787453679</v>
      </c>
      <c r="K48" s="409">
        <f t="shared" si="1"/>
        <v>0.98431709874999995</v>
      </c>
      <c r="L48" s="305">
        <v>800000000</v>
      </c>
      <c r="M48" s="410">
        <f t="shared" si="2"/>
        <v>787453679</v>
      </c>
      <c r="N48" s="411">
        <f t="shared" si="0"/>
        <v>4.7475772841642803E-2</v>
      </c>
      <c r="O48" s="409">
        <f t="shared" si="3"/>
        <v>5.8594236312355163E-2</v>
      </c>
      <c r="P48" s="409">
        <f t="shared" si="4"/>
        <v>2.781806652994912E-3</v>
      </c>
    </row>
    <row r="49" spans="1:16" s="241" customFormat="1" x14ac:dyDescent="0.2">
      <c r="A49" s="143">
        <v>33</v>
      </c>
      <c r="B49" s="412" t="s">
        <v>297</v>
      </c>
      <c r="C49" s="407">
        <v>45343</v>
      </c>
      <c r="D49" s="407">
        <v>46439</v>
      </c>
      <c r="E49" s="145">
        <v>5.4449999999999998E-2</v>
      </c>
      <c r="F49" s="305">
        <v>500000000</v>
      </c>
      <c r="G49" s="305"/>
      <c r="H49" s="305"/>
      <c r="I49" s="305"/>
      <c r="J49" s="408">
        <f t="shared" si="5"/>
        <v>500000000</v>
      </c>
      <c r="K49" s="409">
        <f t="shared" si="1"/>
        <v>1</v>
      </c>
      <c r="L49" s="305">
        <v>480000000</v>
      </c>
      <c r="M49" s="410">
        <f t="shared" si="2"/>
        <v>480000000</v>
      </c>
      <c r="N49" s="411">
        <f t="shared" si="0"/>
        <v>2.8939316142287709E-2</v>
      </c>
      <c r="O49" s="409">
        <f t="shared" si="3"/>
        <v>5.4450000000000005E-2</v>
      </c>
      <c r="P49" s="409">
        <f t="shared" si="4"/>
        <v>1.5757457639475659E-3</v>
      </c>
    </row>
    <row r="50" spans="1:16" s="241" customFormat="1" x14ac:dyDescent="0.2">
      <c r="A50" s="143">
        <v>34</v>
      </c>
      <c r="B50" s="412" t="s">
        <v>298</v>
      </c>
      <c r="C50" s="407">
        <v>45378</v>
      </c>
      <c r="D50" s="407">
        <v>47239</v>
      </c>
      <c r="E50" s="145">
        <v>0.05</v>
      </c>
      <c r="F50" s="305">
        <v>100000000</v>
      </c>
      <c r="G50" s="305"/>
      <c r="H50" s="305">
        <v>873620.69</v>
      </c>
      <c r="I50" s="305"/>
      <c r="J50" s="408">
        <f t="shared" si="5"/>
        <v>99126379.310000002</v>
      </c>
      <c r="K50" s="409">
        <f t="shared" si="1"/>
        <v>0.99126379310000001</v>
      </c>
      <c r="L50" s="305">
        <v>100000000</v>
      </c>
      <c r="M50" s="410">
        <f t="shared" si="2"/>
        <v>99126379.310000002</v>
      </c>
      <c r="N50" s="411">
        <f t="shared" si="0"/>
        <v>5.9763533935258701E-3</v>
      </c>
      <c r="O50" s="409">
        <f t="shared" si="3"/>
        <v>5.1961551074580024E-2</v>
      </c>
      <c r="P50" s="409">
        <f t="shared" si="4"/>
        <v>3.1054059209743417E-4</v>
      </c>
    </row>
    <row r="51" spans="1:16" s="241" customFormat="1" x14ac:dyDescent="0.2">
      <c r="A51" s="143">
        <v>35</v>
      </c>
      <c r="B51" s="412" t="s">
        <v>299</v>
      </c>
      <c r="C51" s="407">
        <v>45378</v>
      </c>
      <c r="D51" s="407">
        <v>56370</v>
      </c>
      <c r="E51" s="145">
        <v>5.4899999999999997E-2</v>
      </c>
      <c r="F51" s="305">
        <v>50000000</v>
      </c>
      <c r="G51" s="305"/>
      <c r="H51" s="305">
        <v>432156.46</v>
      </c>
      <c r="I51" s="305"/>
      <c r="J51" s="408">
        <f t="shared" si="5"/>
        <v>49567843.539999999</v>
      </c>
      <c r="K51" s="409">
        <f t="shared" si="1"/>
        <v>0.99135687080000001</v>
      </c>
      <c r="L51" s="305">
        <v>50000000</v>
      </c>
      <c r="M51" s="410">
        <f t="shared" si="2"/>
        <v>49567843.539999999</v>
      </c>
      <c r="N51" s="411">
        <f t="shared" si="0"/>
        <v>2.988457280615653E-3</v>
      </c>
      <c r="O51" s="409">
        <f t="shared" si="3"/>
        <v>5.5489928670487444E-2</v>
      </c>
      <c r="P51" s="409">
        <f t="shared" si="4"/>
        <v>1.6582928133616147E-4</v>
      </c>
    </row>
    <row r="52" spans="1:16" s="241" customFormat="1" x14ac:dyDescent="0.2">
      <c r="A52" s="143">
        <v>36</v>
      </c>
      <c r="B52" s="412" t="s">
        <v>300</v>
      </c>
      <c r="C52" s="407">
        <v>45433</v>
      </c>
      <c r="D52" s="407">
        <v>47983</v>
      </c>
      <c r="E52" s="145">
        <v>5.3710000000000001E-2</v>
      </c>
      <c r="F52" s="305">
        <v>542300000</v>
      </c>
      <c r="G52" s="305">
        <v>-986986</v>
      </c>
      <c r="H52" s="305">
        <v>4330709.43</v>
      </c>
      <c r="I52" s="305"/>
      <c r="J52" s="408">
        <f t="shared" si="5"/>
        <v>536982304.57000005</v>
      </c>
      <c r="K52" s="409">
        <f t="shared" si="1"/>
        <v>0.99019418139406246</v>
      </c>
      <c r="L52" s="305">
        <v>542300000</v>
      </c>
      <c r="M52" s="410">
        <f t="shared" si="2"/>
        <v>536982304.57000005</v>
      </c>
      <c r="N52" s="411">
        <f t="shared" si="0"/>
        <v>3.2374793072428035E-2</v>
      </c>
      <c r="O52" s="409">
        <f t="shared" si="3"/>
        <v>5.5420433587533229E-2</v>
      </c>
      <c r="P52" s="409">
        <f t="shared" si="4"/>
        <v>1.7942250693806288E-3</v>
      </c>
    </row>
    <row r="53" spans="1:16" s="241" customFormat="1" x14ac:dyDescent="0.2">
      <c r="A53" s="143">
        <v>37</v>
      </c>
      <c r="B53" s="412" t="s">
        <v>287</v>
      </c>
      <c r="C53" s="407">
        <v>45464</v>
      </c>
      <c r="D53" s="407">
        <v>56415</v>
      </c>
      <c r="E53" s="145">
        <v>5.5500000000000001E-2</v>
      </c>
      <c r="F53" s="305">
        <v>750000000</v>
      </c>
      <c r="G53" s="305">
        <v>-315000</v>
      </c>
      <c r="H53" s="305">
        <v>25892190.23</v>
      </c>
      <c r="I53" s="305"/>
      <c r="J53" s="408">
        <f t="shared" si="5"/>
        <v>723792809.76999998</v>
      </c>
      <c r="K53" s="409">
        <f t="shared" si="1"/>
        <v>0.96505707969333332</v>
      </c>
      <c r="L53" s="305">
        <v>750000000</v>
      </c>
      <c r="M53" s="410">
        <f t="shared" si="2"/>
        <v>723792809.76999998</v>
      </c>
      <c r="N53" s="411">
        <f t="shared" si="0"/>
        <v>4.3637643632184871E-2</v>
      </c>
      <c r="O53" s="409">
        <f t="shared" si="3"/>
        <v>5.797015155510863E-2</v>
      </c>
      <c r="P53" s="409">
        <f t="shared" si="4"/>
        <v>2.5296808148655781E-3</v>
      </c>
    </row>
    <row r="54" spans="1:16" s="241" customFormat="1" x14ac:dyDescent="0.2">
      <c r="A54" s="143">
        <v>38</v>
      </c>
      <c r="B54" s="412" t="s">
        <v>287</v>
      </c>
      <c r="C54" s="407">
        <v>45609</v>
      </c>
      <c r="D54" s="407">
        <v>47423</v>
      </c>
      <c r="E54" s="145">
        <v>4.65E-2</v>
      </c>
      <c r="F54" s="305">
        <v>550000000</v>
      </c>
      <c r="G54" s="305">
        <v>-2351500</v>
      </c>
      <c r="H54" s="305">
        <v>5407447</v>
      </c>
      <c r="I54" s="305"/>
      <c r="J54" s="408">
        <f t="shared" si="5"/>
        <v>542241053</v>
      </c>
      <c r="K54" s="409">
        <f t="shared" si="1"/>
        <v>0.98589282363636366</v>
      </c>
      <c r="L54" s="305">
        <v>650000000</v>
      </c>
      <c r="M54" s="410">
        <f t="shared" si="2"/>
        <v>640830335.36363637</v>
      </c>
      <c r="N54" s="411">
        <f t="shared" si="0"/>
        <v>3.8635815976367768E-2</v>
      </c>
      <c r="O54" s="409">
        <f t="shared" si="3"/>
        <v>4.9736338270389764E-2</v>
      </c>
      <c r="P54" s="409">
        <f t="shared" si="4"/>
        <v>1.9216040127531565E-3</v>
      </c>
    </row>
    <row r="55" spans="1:16" s="241" customFormat="1" x14ac:dyDescent="0.2">
      <c r="A55" s="143">
        <v>39</v>
      </c>
      <c r="B55" s="412" t="s">
        <v>287</v>
      </c>
      <c r="C55" s="407">
        <v>45687</v>
      </c>
      <c r="D55" s="407">
        <v>47239</v>
      </c>
      <c r="E55" s="145">
        <v>5.1499999999999997E-2</v>
      </c>
      <c r="F55" s="305">
        <v>250000000</v>
      </c>
      <c r="G55" s="305"/>
      <c r="H55" s="305">
        <v>1740615.97</v>
      </c>
      <c r="I55" s="305"/>
      <c r="J55" s="408">
        <f t="shared" si="5"/>
        <v>248259384.03</v>
      </c>
      <c r="K55" s="409">
        <f t="shared" si="1"/>
        <v>0.99303753612000001</v>
      </c>
      <c r="L55" s="305">
        <v>250000000</v>
      </c>
      <c r="M55" s="410">
        <f t="shared" si="2"/>
        <v>248259384.03</v>
      </c>
      <c r="N55" s="411">
        <f t="shared" si="0"/>
        <v>1.4967618332778715E-2</v>
      </c>
      <c r="O55" s="409">
        <f t="shared" si="3"/>
        <v>5.3328691024074448E-2</v>
      </c>
      <c r="P55" s="409">
        <f t="shared" si="4"/>
        <v>7.9820349343502834E-4</v>
      </c>
    </row>
    <row r="56" spans="1:16" s="241" customFormat="1" x14ac:dyDescent="0.2">
      <c r="A56" s="143">
        <v>40</v>
      </c>
      <c r="B56" s="412" t="s">
        <v>287</v>
      </c>
      <c r="C56" s="407">
        <v>45715</v>
      </c>
      <c r="D56" s="407">
        <v>49065</v>
      </c>
      <c r="E56" s="145">
        <v>5.5899999999999998E-2</v>
      </c>
      <c r="F56" s="305">
        <v>150000000</v>
      </c>
      <c r="G56" s="305"/>
      <c r="H56" s="305">
        <v>1025169.58</v>
      </c>
      <c r="I56" s="305"/>
      <c r="J56" s="408">
        <f>F56+G56-H56+I56</f>
        <v>148974830.41999999</v>
      </c>
      <c r="K56" s="409">
        <f>IF(ISERR(J56/F56),0,J56/F56)</f>
        <v>0.99316553613333325</v>
      </c>
      <c r="L56" s="305">
        <v>150000000</v>
      </c>
      <c r="M56" s="410">
        <f t="shared" si="2"/>
        <v>148974830.41999999</v>
      </c>
      <c r="N56" s="411">
        <f t="shared" si="0"/>
        <v>8.9817285724334995E-3</v>
      </c>
      <c r="O56" s="409">
        <f>YIELD(C56,D56,E56,K56*100,100,2,3)</f>
        <v>5.6853492841522545E-2</v>
      </c>
      <c r="P56" s="409">
        <f>SUM(N56*O56)</f>
        <v>5.106426410973465E-4</v>
      </c>
    </row>
    <row r="57" spans="1:16" s="241" customFormat="1" x14ac:dyDescent="0.2">
      <c r="A57" s="143">
        <v>41</v>
      </c>
      <c r="B57" s="412" t="s">
        <v>287</v>
      </c>
      <c r="C57" s="407">
        <v>45736</v>
      </c>
      <c r="D57" s="407">
        <v>46466</v>
      </c>
      <c r="E57" s="145">
        <v>4.4999999999999998E-2</v>
      </c>
      <c r="F57" s="305">
        <v>500000000</v>
      </c>
      <c r="G57" s="305">
        <v>-30000</v>
      </c>
      <c r="H57" s="305">
        <v>2768216.67</v>
      </c>
      <c r="I57" s="305"/>
      <c r="J57" s="408">
        <f t="shared" ref="J57:J59" si="6">F57+G57-H57+I57</f>
        <v>497201783.32999998</v>
      </c>
      <c r="K57" s="409">
        <f t="shared" ref="K57:K59" si="7">IF(ISERR(J57/F57),0,J57/F57)</f>
        <v>0.99440356665999996</v>
      </c>
      <c r="L57" s="305">
        <v>500000000</v>
      </c>
      <c r="M57" s="410">
        <f t="shared" si="2"/>
        <v>497201783.32999998</v>
      </c>
      <c r="N57" s="411">
        <f t="shared" si="0"/>
        <v>2.997641582145022E-2</v>
      </c>
      <c r="O57" s="409">
        <f t="shared" ref="O57:O59" si="8">YIELD(C57,D57,E57,K57*100,100,2,3)</f>
        <v>4.7967985650314633E-2</v>
      </c>
      <c r="P57" s="409">
        <f t="shared" ref="P57:P59" si="9">SUM(N57*O57)</f>
        <v>1.4379082839711887E-3</v>
      </c>
    </row>
    <row r="58" spans="1:16" s="241" customFormat="1" x14ac:dyDescent="0.2">
      <c r="A58" s="143">
        <v>42</v>
      </c>
      <c r="B58" s="412" t="s">
        <v>287</v>
      </c>
      <c r="C58" s="407">
        <v>45736</v>
      </c>
      <c r="D58" s="407">
        <v>49400</v>
      </c>
      <c r="E58" s="145">
        <v>5.3499999999999999E-2</v>
      </c>
      <c r="F58" s="305">
        <v>650000000</v>
      </c>
      <c r="G58" s="305">
        <v>-117000</v>
      </c>
      <c r="H58" s="305">
        <v>12844361.67</v>
      </c>
      <c r="I58" s="305"/>
      <c r="J58" s="408">
        <f t="shared" si="6"/>
        <v>637038638.33000004</v>
      </c>
      <c r="K58" s="409">
        <f t="shared" si="7"/>
        <v>0.9800594435846155</v>
      </c>
      <c r="L58" s="305">
        <v>650000000</v>
      </c>
      <c r="M58" s="410">
        <f t="shared" si="2"/>
        <v>637038638.33000004</v>
      </c>
      <c r="N58" s="411">
        <f t="shared" si="0"/>
        <v>3.8407213644759068E-2</v>
      </c>
      <c r="O58" s="409">
        <f t="shared" si="8"/>
        <v>5.6122975045561144E-2</v>
      </c>
      <c r="P58" s="409">
        <f t="shared" si="9"/>
        <v>2.1555270929543486E-3</v>
      </c>
    </row>
    <row r="59" spans="1:16" s="241" customFormat="1" x14ac:dyDescent="0.2">
      <c r="A59" s="143">
        <v>43</v>
      </c>
      <c r="B59" s="412" t="s">
        <v>287</v>
      </c>
      <c r="C59" s="407">
        <v>45736</v>
      </c>
      <c r="D59" s="407">
        <v>56705</v>
      </c>
      <c r="E59" s="145">
        <v>5.8000000000000003E-2</v>
      </c>
      <c r="F59" s="305">
        <v>650000000</v>
      </c>
      <c r="G59" s="305">
        <v>-383500</v>
      </c>
      <c r="H59" s="305">
        <v>16152085.67</v>
      </c>
      <c r="I59" s="305"/>
      <c r="J59" s="408">
        <f t="shared" si="6"/>
        <v>633464414.33000004</v>
      </c>
      <c r="K59" s="409">
        <f t="shared" si="7"/>
        <v>0.97456063743076926</v>
      </c>
      <c r="L59" s="305">
        <v>650000000</v>
      </c>
      <c r="M59" s="410">
        <f t="shared" si="2"/>
        <v>633464414.33000004</v>
      </c>
      <c r="N59" s="411">
        <f t="shared" si="0"/>
        <v>3.819172281496875E-2</v>
      </c>
      <c r="O59" s="409">
        <f t="shared" si="8"/>
        <v>5.983236325960941E-2</v>
      </c>
      <c r="P59" s="409">
        <f t="shared" si="9"/>
        <v>2.2851010329755228E-3</v>
      </c>
    </row>
    <row r="60" spans="1:16" s="241" customFormat="1" x14ac:dyDescent="0.2">
      <c r="A60" s="143">
        <v>44</v>
      </c>
      <c r="B60" s="412"/>
      <c r="C60" s="407"/>
      <c r="D60" s="407"/>
      <c r="E60" s="145"/>
      <c r="F60" s="305"/>
      <c r="G60" s="305"/>
      <c r="H60" s="305"/>
      <c r="I60" s="305"/>
      <c r="J60" s="408"/>
      <c r="K60" s="409"/>
      <c r="L60" s="305"/>
      <c r="M60" s="410"/>
      <c r="N60" s="411"/>
      <c r="O60" s="409"/>
      <c r="P60" s="409"/>
    </row>
    <row r="61" spans="1:16" s="241" customFormat="1" x14ac:dyDescent="0.2">
      <c r="A61" s="143">
        <v>45</v>
      </c>
      <c r="B61" s="412"/>
      <c r="C61" s="407"/>
      <c r="D61" s="407"/>
      <c r="E61" s="145"/>
      <c r="F61" s="305"/>
      <c r="G61" s="305"/>
      <c r="H61" s="305"/>
      <c r="I61" s="305"/>
      <c r="J61" s="408"/>
      <c r="K61" s="409"/>
      <c r="L61" s="305"/>
      <c r="M61" s="410"/>
      <c r="N61" s="411"/>
      <c r="O61" s="409"/>
      <c r="P61" s="409"/>
    </row>
    <row r="62" spans="1:16" s="241" customFormat="1" x14ac:dyDescent="0.2">
      <c r="A62" s="143">
        <v>46</v>
      </c>
      <c r="B62" s="240"/>
      <c r="C62" s="240"/>
      <c r="D62" s="240"/>
      <c r="E62" s="240"/>
      <c r="F62" s="240"/>
      <c r="G62" s="240"/>
      <c r="H62" s="346"/>
      <c r="I62" s="346"/>
      <c r="J62" s="346"/>
      <c r="K62" s="346"/>
      <c r="L62" s="347"/>
      <c r="M62" s="347"/>
      <c r="N62" s="400"/>
      <c r="O62" s="240"/>
      <c r="P62" s="400"/>
    </row>
    <row r="63" spans="1:16" s="241" customFormat="1" x14ac:dyDescent="0.2">
      <c r="A63" s="143">
        <v>47</v>
      </c>
      <c r="B63" s="240"/>
      <c r="C63" s="240"/>
      <c r="D63" s="240"/>
      <c r="E63" s="240"/>
      <c r="F63" s="240"/>
      <c r="G63" s="240"/>
      <c r="H63" s="346"/>
      <c r="I63" s="346" t="s">
        <v>158</v>
      </c>
      <c r="J63" s="346"/>
      <c r="K63" s="346"/>
      <c r="L63" s="347">
        <f>SUM(L17:L61)</f>
        <v>16920594520.98</v>
      </c>
      <c r="M63" s="347">
        <f>SUM(M17:M61)</f>
        <v>16586432023.478184</v>
      </c>
      <c r="N63" s="348">
        <f>SUM(N17:N61)</f>
        <v>1.0000000000000004</v>
      </c>
      <c r="O63" s="347"/>
      <c r="P63" s="349">
        <f>SUM(P17:P61)</f>
        <v>4.9189791088277632E-2</v>
      </c>
    </row>
    <row r="64" spans="1:16" s="241" customFormat="1" x14ac:dyDescent="0.2">
      <c r="A64" s="143">
        <v>48</v>
      </c>
      <c r="B64" s="240"/>
      <c r="C64" s="240"/>
      <c r="D64" s="240"/>
      <c r="E64" s="240"/>
      <c r="F64" s="240"/>
      <c r="G64" s="240"/>
      <c r="H64" s="346"/>
      <c r="I64" s="346"/>
      <c r="J64" s="346"/>
      <c r="K64" s="346"/>
      <c r="L64" s="346"/>
      <c r="M64" s="153"/>
      <c r="N64" s="240"/>
      <c r="O64" s="240"/>
      <c r="P64" s="240"/>
    </row>
    <row r="65" spans="1:16" s="241" customFormat="1" x14ac:dyDescent="0.2">
      <c r="A65" s="143">
        <v>49</v>
      </c>
      <c r="B65" s="240"/>
      <c r="C65" s="240"/>
      <c r="D65" s="240"/>
      <c r="E65" s="240"/>
      <c r="F65" s="240"/>
      <c r="G65" s="240"/>
      <c r="H65" s="350"/>
      <c r="I65" s="351" t="s">
        <v>159</v>
      </c>
      <c r="J65" s="240"/>
      <c r="K65" s="240"/>
      <c r="L65" s="309"/>
      <c r="M65" s="153"/>
      <c r="N65" s="240"/>
      <c r="O65" s="240"/>
      <c r="P65" s="240"/>
    </row>
    <row r="66" spans="1:16" s="241" customFormat="1" x14ac:dyDescent="0.2">
      <c r="A66" s="143">
        <v>50</v>
      </c>
      <c r="B66" s="240"/>
      <c r="C66" s="240"/>
      <c r="D66" s="240"/>
      <c r="E66" s="240"/>
      <c r="F66" s="240"/>
      <c r="G66" s="240"/>
      <c r="H66" s="350"/>
      <c r="I66" s="88" t="s">
        <v>157</v>
      </c>
      <c r="J66" s="240"/>
      <c r="K66" s="240"/>
      <c r="L66" s="336">
        <v>0</v>
      </c>
      <c r="M66" s="153"/>
      <c r="N66" s="240"/>
      <c r="O66" s="240"/>
      <c r="P66" s="240"/>
    </row>
    <row r="67" spans="1:16" s="241" customFormat="1" x14ac:dyDescent="0.2">
      <c r="A67" s="143">
        <v>51</v>
      </c>
      <c r="B67" s="240"/>
      <c r="C67" s="240"/>
      <c r="D67" s="240"/>
      <c r="E67" s="240"/>
      <c r="F67" s="240"/>
      <c r="G67" s="240"/>
      <c r="H67" s="240"/>
      <c r="I67" s="352"/>
      <c r="J67" s="240"/>
      <c r="K67" s="240"/>
      <c r="L67" s="307"/>
      <c r="M67" s="153"/>
      <c r="N67" s="240"/>
      <c r="O67" s="240"/>
      <c r="P67" s="240"/>
    </row>
    <row r="68" spans="1:16" s="241" customFormat="1" x14ac:dyDescent="0.2">
      <c r="A68" s="143">
        <v>52</v>
      </c>
      <c r="B68" s="240"/>
      <c r="C68" s="240"/>
      <c r="D68" s="240"/>
      <c r="E68" s="240"/>
      <c r="F68" s="240"/>
      <c r="G68" s="240"/>
      <c r="H68" s="240"/>
      <c r="I68" s="240" t="s">
        <v>160</v>
      </c>
      <c r="J68" s="240"/>
      <c r="K68" s="240"/>
      <c r="L68" s="336">
        <f>+L63-L66</f>
        <v>16920594520.98</v>
      </c>
      <c r="M68" s="153"/>
      <c r="N68" s="240"/>
      <c r="O68" s="240"/>
      <c r="P68" s="240"/>
    </row>
    <row r="69" spans="1:16" s="241" customFormat="1" x14ac:dyDescent="0.2">
      <c r="A69" s="143">
        <v>53</v>
      </c>
      <c r="B69" s="240"/>
      <c r="C69" s="240"/>
      <c r="D69" s="240"/>
      <c r="E69" s="240"/>
      <c r="F69" s="240"/>
      <c r="G69" s="240"/>
      <c r="H69" s="240"/>
      <c r="I69" s="240"/>
      <c r="J69" s="240"/>
      <c r="K69" s="240"/>
      <c r="L69" s="408"/>
      <c r="M69" s="240"/>
      <c r="N69" s="240"/>
      <c r="O69" s="240"/>
      <c r="P69" s="240"/>
    </row>
    <row r="70" spans="1:16" s="241" customFormat="1" x14ac:dyDescent="0.2">
      <c r="A70" s="143">
        <v>54</v>
      </c>
      <c r="B70" s="240"/>
      <c r="C70" s="240"/>
      <c r="D70" s="240"/>
      <c r="E70" s="240"/>
      <c r="F70" s="240"/>
      <c r="G70" s="240"/>
      <c r="H70" s="350" t="s">
        <v>95</v>
      </c>
      <c r="I70" s="240" t="s">
        <v>96</v>
      </c>
      <c r="J70" s="240"/>
      <c r="K70" s="240"/>
      <c r="L70" s="413">
        <v>-53089508.25</v>
      </c>
      <c r="M70" s="240"/>
      <c r="N70" s="240"/>
      <c r="O70" s="240"/>
      <c r="P70" s="240"/>
    </row>
    <row r="71" spans="1:16" s="241" customFormat="1" x14ac:dyDescent="0.2">
      <c r="A71" s="143">
        <v>55</v>
      </c>
      <c r="B71" s="240"/>
      <c r="C71" s="240"/>
      <c r="D71" s="240"/>
      <c r="E71" s="240"/>
      <c r="F71" s="240"/>
      <c r="G71" s="240"/>
      <c r="H71" s="350" t="s">
        <v>97</v>
      </c>
      <c r="I71" s="240" t="s">
        <v>98</v>
      </c>
      <c r="J71" s="240"/>
      <c r="K71" s="240"/>
      <c r="L71" s="408">
        <v>124127100.52819225</v>
      </c>
      <c r="M71" s="240"/>
      <c r="N71" s="240"/>
      <c r="O71" s="240"/>
      <c r="P71" s="240"/>
    </row>
    <row r="72" spans="1:16" s="241" customFormat="1" x14ac:dyDescent="0.2">
      <c r="A72" s="143">
        <v>56</v>
      </c>
      <c r="B72" s="240"/>
      <c r="C72" s="240"/>
      <c r="D72" s="240"/>
      <c r="E72" s="240"/>
      <c r="F72" s="240"/>
      <c r="G72" s="240"/>
      <c r="H72" s="350" t="s">
        <v>95</v>
      </c>
      <c r="I72" s="240" t="s">
        <v>130</v>
      </c>
      <c r="J72" s="240"/>
      <c r="K72" s="240"/>
      <c r="L72" s="408">
        <v>18384076.780000001</v>
      </c>
      <c r="M72" s="240"/>
      <c r="N72" s="240"/>
      <c r="O72" s="240"/>
      <c r="P72" s="240"/>
    </row>
    <row r="73" spans="1:16" s="241" customFormat="1" x14ac:dyDescent="0.2">
      <c r="A73" s="143">
        <v>57</v>
      </c>
      <c r="B73" s="240"/>
      <c r="C73" s="240"/>
      <c r="D73" s="240"/>
      <c r="E73" s="240"/>
      <c r="F73" s="240"/>
      <c r="G73" s="240"/>
      <c r="H73" s="240"/>
      <c r="I73" s="240"/>
      <c r="J73" s="240"/>
      <c r="K73" s="240"/>
      <c r="L73" s="353"/>
      <c r="M73" s="240"/>
      <c r="N73" s="240"/>
      <c r="O73" s="240"/>
      <c r="P73" s="240"/>
    </row>
    <row r="74" spans="1:16" s="241" customFormat="1" x14ac:dyDescent="0.2">
      <c r="A74" s="143">
        <v>58</v>
      </c>
      <c r="B74" s="240"/>
      <c r="C74" s="240"/>
      <c r="D74" s="240"/>
      <c r="E74" s="240"/>
      <c r="F74" s="240"/>
      <c r="G74" s="240"/>
      <c r="H74" s="240"/>
      <c r="I74" s="240" t="s">
        <v>131</v>
      </c>
      <c r="J74" s="240"/>
      <c r="K74" s="240"/>
      <c r="L74" s="308">
        <f>+L68+L70-L71+L72</f>
        <v>16761761988.981808</v>
      </c>
      <c r="M74" s="240"/>
      <c r="N74" s="240"/>
      <c r="O74" s="240"/>
      <c r="P74" s="240"/>
    </row>
    <row r="75" spans="1:16" s="241" customFormat="1" x14ac:dyDescent="0.2"/>
    <row r="76" spans="1:16" s="241" customFormat="1" x14ac:dyDescent="0.2"/>
    <row r="77" spans="1:16" s="241" customFormat="1" x14ac:dyDescent="0.2"/>
    <row r="78" spans="1:16" s="241" customFormat="1" x14ac:dyDescent="0.2"/>
    <row r="79" spans="1:16" s="241" customFormat="1" x14ac:dyDescent="0.2"/>
    <row r="80" spans="1:16" s="241" customFormat="1" x14ac:dyDescent="0.2"/>
    <row r="81" s="241" customFormat="1" x14ac:dyDescent="0.2"/>
    <row r="82" s="241" customFormat="1" x14ac:dyDescent="0.2"/>
    <row r="83" s="241" customFormat="1" x14ac:dyDescent="0.2"/>
    <row r="84" s="241" customFormat="1" x14ac:dyDescent="0.2"/>
    <row r="85" s="241" customFormat="1" x14ac:dyDescent="0.2"/>
    <row r="86" s="241" customFormat="1" x14ac:dyDescent="0.2"/>
    <row r="87" s="241" customFormat="1" x14ac:dyDescent="0.2"/>
    <row r="88" s="241" customFormat="1" x14ac:dyDescent="0.2"/>
    <row r="89" s="241" customFormat="1" x14ac:dyDescent="0.2"/>
    <row r="90" s="241" customFormat="1" x14ac:dyDescent="0.2"/>
    <row r="91" s="241" customFormat="1" x14ac:dyDescent="0.2"/>
    <row r="92" s="241" customFormat="1" x14ac:dyDescent="0.2"/>
    <row r="93" s="241" customFormat="1" x14ac:dyDescent="0.2"/>
    <row r="94" s="241" customFormat="1" x14ac:dyDescent="0.2"/>
    <row r="95" s="241" customFormat="1" x14ac:dyDescent="0.2"/>
    <row r="96" s="241" customFormat="1" x14ac:dyDescent="0.2"/>
    <row r="97" s="241" customFormat="1" x14ac:dyDescent="0.2"/>
    <row r="98" s="241" customFormat="1" x14ac:dyDescent="0.2"/>
    <row r="99" s="241" customFormat="1" x14ac:dyDescent="0.2"/>
    <row r="100" s="241" customFormat="1" x14ac:dyDescent="0.2"/>
    <row r="101" s="241" customFormat="1" x14ac:dyDescent="0.2"/>
    <row r="102" s="241" customFormat="1" x14ac:dyDescent="0.2"/>
    <row r="103" s="241" customFormat="1" x14ac:dyDescent="0.2"/>
    <row r="104" s="241" customFormat="1" x14ac:dyDescent="0.2"/>
    <row r="105" s="241" customFormat="1" x14ac:dyDescent="0.2"/>
    <row r="106" s="241" customFormat="1" x14ac:dyDescent="0.2"/>
    <row r="107" s="241" customFormat="1" x14ac:dyDescent="0.2"/>
    <row r="108" s="241" customFormat="1" x14ac:dyDescent="0.2"/>
    <row r="109" s="241" customFormat="1" x14ac:dyDescent="0.2"/>
    <row r="110" s="241" customFormat="1" x14ac:dyDescent="0.2"/>
    <row r="111" s="241" customFormat="1" x14ac:dyDescent="0.2"/>
    <row r="112" s="241" customFormat="1" x14ac:dyDescent="0.2"/>
    <row r="113" s="241" customFormat="1" x14ac:dyDescent="0.2"/>
    <row r="114" s="241" customFormat="1" x14ac:dyDescent="0.2"/>
    <row r="115" s="241" customFormat="1" x14ac:dyDescent="0.2"/>
    <row r="116" s="241" customFormat="1" x14ac:dyDescent="0.2"/>
    <row r="117" s="241" customFormat="1" x14ac:dyDescent="0.2"/>
    <row r="118" s="241" customFormat="1" x14ac:dyDescent="0.2"/>
    <row r="119" s="241" customFormat="1" x14ac:dyDescent="0.2"/>
    <row r="120" s="241" customFormat="1" x14ac:dyDescent="0.2"/>
    <row r="121" s="241" customFormat="1" x14ac:dyDescent="0.2"/>
    <row r="122" s="241" customFormat="1" x14ac:dyDescent="0.2"/>
    <row r="123" s="241" customFormat="1" x14ac:dyDescent="0.2"/>
    <row r="124" s="241" customFormat="1" x14ac:dyDescent="0.2"/>
    <row r="125" s="241" customFormat="1" x14ac:dyDescent="0.2"/>
    <row r="126" s="241" customFormat="1" x14ac:dyDescent="0.2"/>
    <row r="127" s="241" customFormat="1" x14ac:dyDescent="0.2"/>
    <row r="128" s="241" customFormat="1" x14ac:dyDescent="0.2"/>
    <row r="129" s="241" customFormat="1" x14ac:dyDescent="0.2"/>
    <row r="130" s="241" customFormat="1" x14ac:dyDescent="0.2"/>
    <row r="131" s="241" customFormat="1" x14ac:dyDescent="0.2"/>
    <row r="132" s="241" customFormat="1" x14ac:dyDescent="0.2"/>
    <row r="133" s="241" customFormat="1" x14ac:dyDescent="0.2"/>
    <row r="134" s="241" customFormat="1" x14ac:dyDescent="0.2"/>
    <row r="135" s="241" customFormat="1" x14ac:dyDescent="0.2"/>
    <row r="136" s="241" customFormat="1" x14ac:dyDescent="0.2"/>
    <row r="137" s="241" customFormat="1" x14ac:dyDescent="0.2"/>
    <row r="138" s="241" customFormat="1" x14ac:dyDescent="0.2"/>
    <row r="139" s="241" customFormat="1" x14ac:dyDescent="0.2"/>
    <row r="140" s="241" customFormat="1" x14ac:dyDescent="0.2"/>
    <row r="141" s="241" customFormat="1" x14ac:dyDescent="0.2"/>
    <row r="142" s="241" customFormat="1" x14ac:dyDescent="0.2"/>
    <row r="143" s="241" customFormat="1" x14ac:dyDescent="0.2"/>
    <row r="144" s="241" customFormat="1" x14ac:dyDescent="0.2"/>
    <row r="145" s="241" customFormat="1" x14ac:dyDescent="0.2"/>
    <row r="146" s="241" customFormat="1" x14ac:dyDescent="0.2"/>
    <row r="147" s="241" customFormat="1" x14ac:dyDescent="0.2"/>
    <row r="148" s="241" customFormat="1" x14ac:dyDescent="0.2"/>
    <row r="149" s="241" customFormat="1" x14ac:dyDescent="0.2"/>
    <row r="150" s="241" customFormat="1" x14ac:dyDescent="0.2"/>
    <row r="151" s="241" customFormat="1" x14ac:dyDescent="0.2"/>
    <row r="152" s="241" customFormat="1" x14ac:dyDescent="0.2"/>
    <row r="153" s="241" customFormat="1" x14ac:dyDescent="0.2"/>
    <row r="154" s="241" customFormat="1" x14ac:dyDescent="0.2"/>
    <row r="155" s="241" customFormat="1" x14ac:dyDescent="0.2"/>
    <row r="156" s="241" customFormat="1" x14ac:dyDescent="0.2"/>
    <row r="157" s="241" customFormat="1" x14ac:dyDescent="0.2"/>
    <row r="158" s="241" customFormat="1" x14ac:dyDescent="0.2"/>
    <row r="159" s="241" customFormat="1" x14ac:dyDescent="0.2"/>
    <row r="160" s="241" customFormat="1" x14ac:dyDescent="0.2"/>
    <row r="161" s="241" customFormat="1" x14ac:dyDescent="0.2"/>
    <row r="162" s="241" customFormat="1" x14ac:dyDescent="0.2"/>
    <row r="163" s="241" customFormat="1" x14ac:dyDescent="0.2"/>
    <row r="164" s="241" customFormat="1" x14ac:dyDescent="0.2"/>
    <row r="165" s="241" customFormat="1" x14ac:dyDescent="0.2"/>
    <row r="166" s="241" customFormat="1" x14ac:dyDescent="0.2"/>
    <row r="167" s="241" customFormat="1" x14ac:dyDescent="0.2"/>
    <row r="168" s="241" customFormat="1" x14ac:dyDescent="0.2"/>
    <row r="169" s="241" customFormat="1" x14ac:dyDescent="0.2"/>
    <row r="170" s="241" customFormat="1" x14ac:dyDescent="0.2"/>
    <row r="171" s="241" customFormat="1" x14ac:dyDescent="0.2"/>
    <row r="172" s="241" customFormat="1" x14ac:dyDescent="0.2"/>
    <row r="173" s="241" customFormat="1" x14ac:dyDescent="0.2"/>
    <row r="174" s="241" customFormat="1" x14ac:dyDescent="0.2"/>
    <row r="175" s="241" customFormat="1" x14ac:dyDescent="0.2"/>
    <row r="176" s="241" customFormat="1" x14ac:dyDescent="0.2"/>
    <row r="177" s="241" customFormat="1" x14ac:dyDescent="0.2"/>
    <row r="178" s="241" customFormat="1" x14ac:dyDescent="0.2"/>
    <row r="179" s="241" customFormat="1" x14ac:dyDescent="0.2"/>
    <row r="180" s="241" customFormat="1" x14ac:dyDescent="0.2"/>
    <row r="181" s="241" customFormat="1" x14ac:dyDescent="0.2"/>
    <row r="182" s="241" customFormat="1" x14ac:dyDescent="0.2"/>
    <row r="183" s="241" customFormat="1" x14ac:dyDescent="0.2"/>
    <row r="184" s="241" customFormat="1" x14ac:dyDescent="0.2"/>
    <row r="185" s="241" customFormat="1" x14ac:dyDescent="0.2"/>
    <row r="186" s="241" customFormat="1" x14ac:dyDescent="0.2"/>
    <row r="187" s="241" customFormat="1" x14ac:dyDescent="0.2"/>
    <row r="188" s="241" customFormat="1" x14ac:dyDescent="0.2"/>
    <row r="189" s="241" customFormat="1" x14ac:dyDescent="0.2"/>
    <row r="190" s="241" customFormat="1" x14ac:dyDescent="0.2"/>
    <row r="191" s="241" customFormat="1" x14ac:dyDescent="0.2"/>
    <row r="192" s="241" customFormat="1" x14ac:dyDescent="0.2"/>
    <row r="193" s="241" customFormat="1" x14ac:dyDescent="0.2"/>
    <row r="194" s="241" customFormat="1" x14ac:dyDescent="0.2"/>
    <row r="195" s="241" customFormat="1" x14ac:dyDescent="0.2"/>
    <row r="196" s="241" customFormat="1" x14ac:dyDescent="0.2"/>
    <row r="197" s="241" customFormat="1" x14ac:dyDescent="0.2"/>
    <row r="198" s="241" customFormat="1" x14ac:dyDescent="0.2"/>
    <row r="199" s="241" customFormat="1" x14ac:dyDescent="0.2"/>
    <row r="200" s="241" customFormat="1" x14ac:dyDescent="0.2"/>
    <row r="201" s="241" customFormat="1" x14ac:dyDescent="0.2"/>
    <row r="202" s="241" customFormat="1" x14ac:dyDescent="0.2"/>
    <row r="203" s="241" customFormat="1" x14ac:dyDescent="0.2"/>
    <row r="204" s="241" customFormat="1" x14ac:dyDescent="0.2"/>
    <row r="205" s="241" customFormat="1" x14ac:dyDescent="0.2"/>
    <row r="206" s="241" customFormat="1" x14ac:dyDescent="0.2"/>
    <row r="207" s="241" customFormat="1" x14ac:dyDescent="0.2"/>
    <row r="208" s="241" customFormat="1" x14ac:dyDescent="0.2"/>
    <row r="209" s="241" customFormat="1" x14ac:dyDescent="0.2"/>
    <row r="210" s="241" customFormat="1" x14ac:dyDescent="0.2"/>
    <row r="211" s="241" customFormat="1" x14ac:dyDescent="0.2"/>
    <row r="212" s="241" customFormat="1" x14ac:dyDescent="0.2"/>
    <row r="213" s="241" customFormat="1" x14ac:dyDescent="0.2"/>
    <row r="214" s="241" customFormat="1" x14ac:dyDescent="0.2"/>
    <row r="215" s="241" customFormat="1" x14ac:dyDescent="0.2"/>
    <row r="216" s="241" customFormat="1" x14ac:dyDescent="0.2"/>
    <row r="217" s="241" customFormat="1" x14ac:dyDescent="0.2"/>
    <row r="218" s="241" customFormat="1" x14ac:dyDescent="0.2"/>
    <row r="219" s="241" customFormat="1" x14ac:dyDescent="0.2"/>
    <row r="220" s="241" customFormat="1" x14ac:dyDescent="0.2"/>
    <row r="221" s="241" customFormat="1" x14ac:dyDescent="0.2"/>
    <row r="222" s="241" customFormat="1" x14ac:dyDescent="0.2"/>
    <row r="223" s="241" customFormat="1" x14ac:dyDescent="0.2"/>
    <row r="224" s="241" customFormat="1" x14ac:dyDescent="0.2"/>
    <row r="225" s="241" customFormat="1" x14ac:dyDescent="0.2"/>
    <row r="226" s="241" customFormat="1" x14ac:dyDescent="0.2"/>
    <row r="227" s="241" customFormat="1" x14ac:dyDescent="0.2"/>
    <row r="228" s="241" customFormat="1" x14ac:dyDescent="0.2"/>
    <row r="229" s="241" customFormat="1" x14ac:dyDescent="0.2"/>
    <row r="230" s="241" customFormat="1" x14ac:dyDescent="0.2"/>
    <row r="231" s="241" customFormat="1" x14ac:dyDescent="0.2"/>
    <row r="232" s="241" customFormat="1" x14ac:dyDescent="0.2"/>
    <row r="233" s="241" customFormat="1" x14ac:dyDescent="0.2"/>
    <row r="234" s="241" customFormat="1" x14ac:dyDescent="0.2"/>
    <row r="235" s="241" customFormat="1" x14ac:dyDescent="0.2"/>
  </sheetData>
  <printOptions horizontalCentered="1"/>
  <pageMargins left="0.1" right="0.1" top="2.25" bottom="0.2" header="1" footer="0.5"/>
  <pageSetup scale="53" fitToHeight="2" orientation="landscape"/>
  <headerFooter alignWithMargins="0">
    <oddHeader>&amp;R&amp;"Arial,Bold"Schedule &amp;A
Page &amp;P of &amp;N&amp;C&amp;B
2025 RATE CASE
ONCOR ELECTRIC DELIVERY COMPANY LLC
II-C-2.4  WEIGHTED AVERAGE COST OF LONG-TERM DEBT (ADJUSTED)
TEST YEAR ENDING DECEMBER 31, 2024
SPONSORS: K. FEASE &amp;&amp; W. ALAN LEDBETTER</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00B050"/>
    <pageSetUpPr fitToPage="1"/>
  </sheetPr>
  <dimension ref="A1:H46"/>
  <sheetViews>
    <sheetView zoomScaleNormal="100" workbookViewId="0">
      <pane ySplit="13" topLeftCell="A32" activePane="bottomLeft" state="frozen"/>
      <selection activeCell="P34" sqref="P34"/>
      <selection pane="bottomLeft" activeCell="A14" sqref="A14"/>
    </sheetView>
  </sheetViews>
  <sheetFormatPr defaultColWidth="9.140625" defaultRowHeight="12.75" x14ac:dyDescent="0.2"/>
  <cols>
    <col min="1" max="1" width="5.7109375" style="20" bestFit="1" customWidth="1"/>
    <col min="2" max="2" width="3.7109375" style="20" customWidth="1"/>
    <col min="3" max="3" width="4.85546875" style="20" customWidth="1"/>
    <col min="4" max="4" width="19" style="20" customWidth="1"/>
    <col min="5" max="6" width="12.5703125" style="20" customWidth="1"/>
    <col min="7" max="7" width="3.5703125" style="20" customWidth="1"/>
    <col min="8" max="8" width="15.5703125" style="20" bestFit="1" customWidth="1"/>
    <col min="9" max="16384" width="9.140625" style="20"/>
  </cols>
  <sheetData>
    <row r="1" spans="1:8" x14ac:dyDescent="0.2">
      <c r="A1" s="5" t="str">
        <f>+'[1]Input Data'!$A$9</f>
        <v>2025 RATE CASE</v>
      </c>
    </row>
    <row r="2" spans="1:8" s="7" customFormat="1" x14ac:dyDescent="0.2">
      <c r="A2" s="61" t="str">
        <f>+'[1]Input Data'!$A$2</f>
        <v>ONCOR ELECTRIC DELIVERY COMPANY LLC</v>
      </c>
      <c r="B2" s="10"/>
      <c r="C2" s="10"/>
      <c r="D2" s="10"/>
      <c r="E2" s="1"/>
      <c r="F2" s="9"/>
      <c r="G2" s="11"/>
      <c r="H2" s="13"/>
    </row>
    <row r="3" spans="1:8" s="7" customFormat="1" x14ac:dyDescent="0.2">
      <c r="A3" s="61" t="str">
        <f>CONCATENATE('[1]Schedule Sponsors'!$A$40,'[1]Schedule Sponsors'!$B$40)</f>
        <v>II-C-2.4a  ADJUSTED COST OF LONG-TERM DEBT</v>
      </c>
    </row>
    <row r="4" spans="1:8" s="7" customFormat="1" x14ac:dyDescent="0.2">
      <c r="A4" s="62" t="str">
        <f>+'[1]Input Data'!$A$4</f>
        <v>TEST YEAR ENDING DECEMBER 31, 2024</v>
      </c>
      <c r="B4" s="11"/>
      <c r="C4" s="11"/>
      <c r="D4" s="11"/>
      <c r="E4" s="11"/>
      <c r="F4" s="11"/>
      <c r="G4" s="11"/>
      <c r="H4" s="11"/>
    </row>
    <row r="5" spans="1:8" s="7" customFormat="1" x14ac:dyDescent="0.2">
      <c r="A5" s="5" t="str">
        <f>CONCATENATE("SPONSORS: ",'[1]Schedule Sponsors'!$D$40)</f>
        <v>SPONSORS: K. FEASE &amp;&amp; W. ALAN LEDBETTER</v>
      </c>
      <c r="B5" s="14"/>
      <c r="C5" s="14"/>
      <c r="D5" s="14"/>
      <c r="E5" s="14"/>
      <c r="F5" s="14"/>
      <c r="G5" s="14"/>
      <c r="H5" s="14"/>
    </row>
    <row r="6" spans="1:8" s="7" customFormat="1" x14ac:dyDescent="0.2">
      <c r="B6" s="14"/>
      <c r="C6" s="14"/>
      <c r="D6" s="14"/>
      <c r="E6" s="14"/>
      <c r="F6" s="14"/>
      <c r="G6" s="14"/>
      <c r="H6" s="14"/>
    </row>
    <row r="7" spans="1:8" s="7" customFormat="1" x14ac:dyDescent="0.2">
      <c r="B7" s="14"/>
      <c r="C7" s="14"/>
      <c r="D7" s="14"/>
      <c r="E7" s="14"/>
      <c r="F7" s="14"/>
      <c r="G7" s="14"/>
      <c r="H7" s="14"/>
    </row>
    <row r="8" spans="1:8" s="7" customFormat="1" x14ac:dyDescent="0.2">
      <c r="A8" s="11"/>
      <c r="B8" s="11"/>
      <c r="C8" s="11"/>
      <c r="D8" s="11"/>
      <c r="E8" s="11"/>
      <c r="F8" s="11"/>
      <c r="G8" s="11"/>
      <c r="H8" s="11"/>
    </row>
    <row r="9" spans="1:8" s="7" customFormat="1" x14ac:dyDescent="0.2">
      <c r="A9" s="11"/>
      <c r="B9" s="11"/>
      <c r="C9" s="11"/>
      <c r="D9" s="11"/>
      <c r="E9" s="11"/>
      <c r="F9" s="11"/>
      <c r="G9" s="11"/>
      <c r="H9" s="11"/>
    </row>
    <row r="10" spans="1:8" s="7" customFormat="1" ht="13.5" thickBot="1" x14ac:dyDescent="0.25">
      <c r="A10" s="11"/>
      <c r="B10" s="11"/>
      <c r="C10" s="11"/>
      <c r="D10" s="11"/>
      <c r="E10" s="11"/>
      <c r="F10" s="11"/>
      <c r="G10" s="11"/>
      <c r="H10" s="11"/>
    </row>
    <row r="11" spans="1:8" s="2" customFormat="1" x14ac:dyDescent="0.2">
      <c r="A11" s="69" t="s">
        <v>84</v>
      </c>
      <c r="B11" s="67"/>
      <c r="C11" s="67"/>
      <c r="D11" s="67"/>
      <c r="E11" s="67"/>
      <c r="F11" s="67"/>
      <c r="G11" s="67"/>
      <c r="H11" s="69"/>
    </row>
    <row r="12" spans="1:8" s="3" customFormat="1" x14ac:dyDescent="0.2">
      <c r="A12" s="70" t="s">
        <v>20</v>
      </c>
      <c r="B12" s="66"/>
      <c r="C12" s="446" t="s">
        <v>17</v>
      </c>
      <c r="D12" s="446"/>
      <c r="E12" s="446"/>
      <c r="F12" s="446"/>
      <c r="G12" s="66"/>
      <c r="H12" s="70" t="s">
        <v>37</v>
      </c>
    </row>
    <row r="13" spans="1:8" s="2" customFormat="1" ht="13.5" thickBot="1" x14ac:dyDescent="0.25">
      <c r="A13" s="72"/>
      <c r="B13" s="68"/>
      <c r="C13" s="447" t="s">
        <v>38</v>
      </c>
      <c r="D13" s="447"/>
      <c r="E13" s="447"/>
      <c r="F13" s="447"/>
      <c r="G13" s="68"/>
      <c r="H13" s="71" t="s">
        <v>39</v>
      </c>
    </row>
    <row r="14" spans="1:8" s="2" customFormat="1" x14ac:dyDescent="0.2">
      <c r="A14" s="31"/>
      <c r="B14" s="10"/>
      <c r="C14" s="10"/>
      <c r="D14" s="10"/>
      <c r="E14" s="10"/>
      <c r="F14" s="10"/>
      <c r="G14" s="10"/>
      <c r="H14" s="10"/>
    </row>
    <row r="15" spans="1:8" s="2" customFormat="1" x14ac:dyDescent="0.2">
      <c r="A15" s="32">
        <v>1</v>
      </c>
      <c r="B15" s="10"/>
      <c r="C15" s="10" t="s">
        <v>101</v>
      </c>
      <c r="D15" s="10"/>
      <c r="E15" s="10"/>
      <c r="F15" s="10"/>
      <c r="G15" s="10"/>
      <c r="H15" s="337">
        <v>17600770.859999999</v>
      </c>
    </row>
    <row r="16" spans="1:8" s="2" customFormat="1" x14ac:dyDescent="0.2">
      <c r="A16" s="32">
        <v>2</v>
      </c>
      <c r="B16" s="10"/>
      <c r="C16" s="10" t="s">
        <v>12</v>
      </c>
      <c r="D16" s="10"/>
      <c r="E16" s="10"/>
      <c r="F16" s="10"/>
      <c r="G16" s="10"/>
      <c r="H16" s="152"/>
    </row>
    <row r="17" spans="1:8" x14ac:dyDescent="0.2">
      <c r="A17" s="32">
        <v>3</v>
      </c>
      <c r="B17" s="31" t="s">
        <v>102</v>
      </c>
      <c r="C17" s="10" t="s">
        <v>103</v>
      </c>
      <c r="D17" s="10"/>
      <c r="E17" s="10"/>
      <c r="F17" s="10"/>
      <c r="G17" s="10"/>
      <c r="H17" s="154">
        <v>24229407.350000001</v>
      </c>
    </row>
    <row r="18" spans="1:8" x14ac:dyDescent="0.2">
      <c r="A18" s="32">
        <v>4</v>
      </c>
      <c r="B18" s="10"/>
      <c r="C18" s="10" t="s">
        <v>13</v>
      </c>
      <c r="D18" s="10"/>
      <c r="E18" s="10"/>
      <c r="F18" s="10"/>
      <c r="G18" s="10"/>
      <c r="H18" s="10"/>
    </row>
    <row r="19" spans="1:8" x14ac:dyDescent="0.2">
      <c r="A19" s="32">
        <v>5</v>
      </c>
      <c r="B19" s="10"/>
      <c r="C19" s="10"/>
      <c r="D19" s="10"/>
      <c r="E19" s="10"/>
      <c r="F19" s="10"/>
      <c r="G19" s="10"/>
      <c r="H19" s="97"/>
    </row>
    <row r="20" spans="1:8" x14ac:dyDescent="0.2">
      <c r="A20" s="32">
        <v>6</v>
      </c>
      <c r="B20" s="10"/>
      <c r="C20" s="10" t="s">
        <v>104</v>
      </c>
      <c r="D20" s="10"/>
      <c r="E20" s="10"/>
      <c r="F20" s="10"/>
      <c r="G20" s="10"/>
      <c r="H20" s="154">
        <f>+H15-H17</f>
        <v>-6628636.4900000021</v>
      </c>
    </row>
    <row r="21" spans="1:8" x14ac:dyDescent="0.2">
      <c r="A21" s="32">
        <v>7</v>
      </c>
      <c r="B21" s="10"/>
      <c r="C21" s="10" t="s">
        <v>14</v>
      </c>
      <c r="D21" s="10"/>
      <c r="E21" s="10"/>
      <c r="F21" s="10"/>
      <c r="G21" s="10"/>
      <c r="H21" s="92"/>
    </row>
    <row r="22" spans="1:8" x14ac:dyDescent="0.2">
      <c r="A22" s="32">
        <v>8</v>
      </c>
      <c r="B22" s="10"/>
      <c r="C22" s="10"/>
      <c r="D22" s="10"/>
      <c r="E22" s="10"/>
      <c r="F22" s="10"/>
      <c r="G22" s="10"/>
      <c r="H22" s="92"/>
    </row>
    <row r="23" spans="1:8" x14ac:dyDescent="0.2">
      <c r="A23" s="32">
        <v>9</v>
      </c>
      <c r="B23" s="10"/>
      <c r="C23" s="10"/>
      <c r="D23" s="10"/>
      <c r="E23" s="10"/>
      <c r="F23" s="10"/>
      <c r="G23" s="10"/>
      <c r="H23" s="92"/>
    </row>
    <row r="24" spans="1:8" x14ac:dyDescent="0.2">
      <c r="A24" s="32">
        <v>10</v>
      </c>
      <c r="B24" s="10"/>
      <c r="C24" s="10" t="s">
        <v>105</v>
      </c>
      <c r="D24" s="10"/>
      <c r="E24" s="10"/>
      <c r="F24" s="10"/>
      <c r="G24" s="10"/>
      <c r="H24" s="154">
        <v>-3133224.12</v>
      </c>
    </row>
    <row r="25" spans="1:8" x14ac:dyDescent="0.2">
      <c r="A25" s="32">
        <v>11</v>
      </c>
      <c r="B25" s="10"/>
      <c r="C25" s="10" t="s">
        <v>230</v>
      </c>
      <c r="D25" s="10"/>
      <c r="E25" s="10"/>
      <c r="F25" s="10"/>
      <c r="G25" s="10"/>
      <c r="H25" s="154"/>
    </row>
    <row r="26" spans="1:8" x14ac:dyDescent="0.2">
      <c r="A26" s="32">
        <v>12</v>
      </c>
      <c r="B26" s="31" t="s">
        <v>102</v>
      </c>
      <c r="C26" s="10" t="s">
        <v>107</v>
      </c>
      <c r="D26" s="10"/>
      <c r="E26" s="10"/>
      <c r="F26" s="10"/>
      <c r="G26" s="10"/>
      <c r="H26" s="154">
        <v>873131.76</v>
      </c>
    </row>
    <row r="27" spans="1:8" x14ac:dyDescent="0.2">
      <c r="A27" s="32">
        <v>13</v>
      </c>
      <c r="B27" s="10"/>
      <c r="C27" s="10" t="s">
        <v>231</v>
      </c>
      <c r="D27" s="10"/>
      <c r="E27" s="10"/>
      <c r="F27" s="10"/>
      <c r="G27" s="10"/>
      <c r="H27" s="135"/>
    </row>
    <row r="28" spans="1:8" x14ac:dyDescent="0.2">
      <c r="A28" s="32">
        <v>14</v>
      </c>
      <c r="B28" s="10"/>
      <c r="C28" s="10"/>
      <c r="D28" s="10"/>
      <c r="E28" s="10"/>
      <c r="F28" s="10"/>
      <c r="G28" s="10"/>
      <c r="H28" s="92"/>
    </row>
    <row r="29" spans="1:8" x14ac:dyDescent="0.2">
      <c r="A29" s="32">
        <v>15</v>
      </c>
      <c r="B29" s="10"/>
      <c r="C29" s="10" t="s">
        <v>108</v>
      </c>
      <c r="D29" s="10"/>
      <c r="E29" s="10"/>
      <c r="F29" s="10"/>
      <c r="G29" s="10"/>
      <c r="H29" s="92">
        <f>+H24-H26</f>
        <v>-4006355.88</v>
      </c>
    </row>
    <row r="30" spans="1:8" x14ac:dyDescent="0.2">
      <c r="A30" s="32">
        <v>16</v>
      </c>
      <c r="B30" s="10"/>
      <c r="C30" s="10" t="s">
        <v>14</v>
      </c>
      <c r="D30" s="10"/>
      <c r="E30" s="10"/>
      <c r="F30" s="10"/>
      <c r="G30" s="10"/>
      <c r="H30" s="92"/>
    </row>
    <row r="31" spans="1:8" x14ac:dyDescent="0.2">
      <c r="A31" s="32">
        <v>17</v>
      </c>
      <c r="B31" s="10"/>
      <c r="C31" s="10"/>
      <c r="D31" s="10"/>
      <c r="E31" s="10"/>
      <c r="F31" s="10"/>
      <c r="G31" s="10"/>
      <c r="H31" s="92"/>
    </row>
    <row r="32" spans="1:8" x14ac:dyDescent="0.2">
      <c r="A32" s="32">
        <v>18</v>
      </c>
      <c r="B32" s="10"/>
      <c r="C32" s="10"/>
      <c r="D32" s="10"/>
      <c r="E32" s="10"/>
      <c r="F32" s="10"/>
      <c r="G32" s="10"/>
      <c r="H32" s="10"/>
    </row>
    <row r="33" spans="1:8" x14ac:dyDescent="0.2">
      <c r="A33" s="32">
        <v>19</v>
      </c>
      <c r="B33" s="10"/>
      <c r="C33" s="10" t="s">
        <v>15</v>
      </c>
      <c r="D33" s="10"/>
      <c r="E33" s="10"/>
      <c r="F33" s="10"/>
      <c r="G33" s="10"/>
      <c r="H33" s="73">
        <f>+'II-C-2.4'!L69</f>
        <v>15279367021.830002</v>
      </c>
    </row>
    <row r="34" spans="1:8" x14ac:dyDescent="0.2">
      <c r="A34" s="32">
        <v>20</v>
      </c>
      <c r="B34" s="31" t="s">
        <v>102</v>
      </c>
      <c r="C34" s="10" t="s">
        <v>109</v>
      </c>
      <c r="D34" s="10"/>
      <c r="E34" s="10"/>
      <c r="F34" s="10"/>
      <c r="G34" s="10"/>
      <c r="H34" s="73">
        <f>+H20</f>
        <v>-6628636.4900000021</v>
      </c>
    </row>
    <row r="35" spans="1:8" x14ac:dyDescent="0.2">
      <c r="A35" s="32">
        <v>21</v>
      </c>
      <c r="B35" s="10"/>
      <c r="C35" s="10"/>
      <c r="D35" s="10"/>
      <c r="E35" s="10"/>
      <c r="F35" s="10"/>
      <c r="G35" s="10"/>
      <c r="H35" s="97"/>
    </row>
    <row r="36" spans="1:8" x14ac:dyDescent="0.2">
      <c r="A36" s="32">
        <v>22</v>
      </c>
      <c r="B36" s="10"/>
      <c r="C36" s="10" t="s">
        <v>132</v>
      </c>
      <c r="D36" s="10"/>
      <c r="E36" s="10"/>
      <c r="F36" s="10"/>
      <c r="G36" s="10"/>
      <c r="H36" s="73">
        <f>+H33-H34</f>
        <v>15285995658.320002</v>
      </c>
    </row>
    <row r="37" spans="1:8" x14ac:dyDescent="0.2">
      <c r="A37" s="32">
        <v>23</v>
      </c>
      <c r="B37" s="10"/>
      <c r="C37" s="10"/>
      <c r="D37" s="10"/>
      <c r="E37" s="10"/>
      <c r="F37" s="10"/>
      <c r="G37" s="10"/>
      <c r="H37" s="10"/>
    </row>
    <row r="38" spans="1:8" x14ac:dyDescent="0.2">
      <c r="A38" s="32">
        <v>24</v>
      </c>
      <c r="B38" s="31" t="s">
        <v>111</v>
      </c>
      <c r="C38" s="10" t="s">
        <v>16</v>
      </c>
      <c r="D38" s="10"/>
      <c r="E38" s="10"/>
      <c r="F38" s="10"/>
      <c r="G38" s="10"/>
      <c r="H38" s="94">
        <f>+'II-C-2.4'!P58</f>
        <v>4.6704566596524305E-2</v>
      </c>
    </row>
    <row r="39" spans="1:8" x14ac:dyDescent="0.2">
      <c r="A39" s="32">
        <v>25</v>
      </c>
      <c r="B39" s="10"/>
      <c r="C39" s="10"/>
      <c r="D39" s="10"/>
      <c r="E39" s="10"/>
      <c r="F39" s="10"/>
      <c r="G39" s="10"/>
      <c r="H39" s="97"/>
    </row>
    <row r="40" spans="1:8" x14ac:dyDescent="0.2">
      <c r="A40" s="32">
        <v>26</v>
      </c>
      <c r="B40" s="10"/>
      <c r="C40" s="10" t="s">
        <v>133</v>
      </c>
      <c r="D40" s="10"/>
      <c r="E40" s="10"/>
      <c r="F40" s="10"/>
      <c r="G40" s="73"/>
      <c r="H40" s="73">
        <f>+H36*H38</f>
        <v>713925802.21818793</v>
      </c>
    </row>
    <row r="41" spans="1:8" x14ac:dyDescent="0.2">
      <c r="A41" s="32">
        <v>27</v>
      </c>
      <c r="B41" s="10"/>
      <c r="C41" s="10"/>
      <c r="D41" s="10"/>
      <c r="E41" s="10"/>
      <c r="F41" s="10"/>
      <c r="G41" s="10"/>
      <c r="H41" s="10"/>
    </row>
    <row r="42" spans="1:8" x14ac:dyDescent="0.2">
      <c r="A42" s="32">
        <v>28</v>
      </c>
      <c r="B42" s="31" t="s">
        <v>102</v>
      </c>
      <c r="C42" s="10" t="s">
        <v>113</v>
      </c>
      <c r="D42" s="10"/>
      <c r="E42" s="10"/>
      <c r="F42" s="10"/>
      <c r="G42" s="10"/>
      <c r="H42" s="136">
        <f>+H29</f>
        <v>-4006355.88</v>
      </c>
    </row>
    <row r="43" spans="1:8" x14ac:dyDescent="0.2">
      <c r="A43" s="32">
        <v>29</v>
      </c>
      <c r="B43" s="10"/>
      <c r="C43" s="10"/>
      <c r="D43" s="10"/>
      <c r="E43" s="10"/>
      <c r="F43" s="10"/>
      <c r="G43" s="10"/>
      <c r="H43" s="97"/>
    </row>
    <row r="44" spans="1:8" x14ac:dyDescent="0.2">
      <c r="A44" s="32">
        <v>30</v>
      </c>
      <c r="B44" s="10"/>
      <c r="C44" s="10" t="s">
        <v>134</v>
      </c>
      <c r="D44" s="10"/>
      <c r="E44" s="10"/>
      <c r="F44" s="10"/>
      <c r="G44" s="10"/>
      <c r="H44" s="73">
        <f>+H40-H42</f>
        <v>717932158.09818792</v>
      </c>
    </row>
    <row r="45" spans="1:8" x14ac:dyDescent="0.2">
      <c r="A45" s="32">
        <v>31</v>
      </c>
      <c r="B45" s="10"/>
      <c r="C45" s="10"/>
      <c r="D45" s="10"/>
      <c r="E45" s="10"/>
      <c r="F45" s="10"/>
      <c r="G45" s="10"/>
      <c r="H45" s="10"/>
    </row>
    <row r="46" spans="1:8" x14ac:dyDescent="0.2">
      <c r="A46" s="32">
        <v>32</v>
      </c>
      <c r="B46" s="10"/>
      <c r="C46" s="10" t="s">
        <v>238</v>
      </c>
      <c r="D46" s="10"/>
      <c r="E46" s="10"/>
      <c r="F46" s="10"/>
      <c r="G46" s="10"/>
      <c r="H46" s="104">
        <f>ROUND(+H44/H33,4)</f>
        <v>4.7E-2</v>
      </c>
    </row>
  </sheetData>
  <mergeCells count="2">
    <mergeCell ref="C12:F12"/>
    <mergeCell ref="C13:F13"/>
  </mergeCells>
  <phoneticPr fontId="4" type="noConversion"/>
  <printOptions horizontalCentered="1"/>
  <pageMargins left="1.5" right="0.5" top="2.25" bottom="0.5" header="1" footer="0.5"/>
  <pageSetup orientation="portrait"/>
  <headerFooter alignWithMargins="0">
    <oddHeader>&amp;R&amp;"Arial,Bold"Schedule II-C-2.4a
Page &amp;P of &amp;N&amp;C&amp;B
2025 RATE CASE
ONCOR ELECTRIC DELIVERY COMPANY LLC
II-C-2.4a  ADJUSTED COST OF LONG-TERM DEBT
TEST YEAR ENDING DECEMBER 31, 2024
SPONSORS: K. FEASE &amp;&amp; W. ALAN LEDBETTER</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A4652-A963-4B76-94DD-3615F6F36061}">
  <sheetPr codeName="Sheet7">
    <tabColor rgb="FF00B050"/>
    <pageSetUpPr fitToPage="1"/>
  </sheetPr>
  <dimension ref="A1:H46"/>
  <sheetViews>
    <sheetView zoomScaleNormal="100" workbookViewId="0">
      <pane ySplit="13" topLeftCell="A14" activePane="bottomLeft" state="frozen"/>
      <selection activeCell="P34" sqref="P34"/>
      <selection pane="bottomLeft" activeCell="H26" sqref="H26"/>
    </sheetView>
  </sheetViews>
  <sheetFormatPr defaultColWidth="9.140625" defaultRowHeight="12.75" x14ac:dyDescent="0.2"/>
  <cols>
    <col min="1" max="1" width="5.7109375" style="20" bestFit="1" customWidth="1"/>
    <col min="2" max="2" width="3.7109375" style="20" customWidth="1"/>
    <col min="3" max="3" width="4.85546875" style="20" customWidth="1"/>
    <col min="4" max="4" width="19" style="20" customWidth="1"/>
    <col min="5" max="6" width="12.5703125" style="20" customWidth="1"/>
    <col min="7" max="7" width="3.5703125" style="20" customWidth="1"/>
    <col min="8" max="8" width="15.5703125" style="20" bestFit="1" customWidth="1"/>
    <col min="9" max="16384" width="9.140625" style="20"/>
  </cols>
  <sheetData>
    <row r="1" spans="1:8" x14ac:dyDescent="0.2">
      <c r="A1" s="5" t="str">
        <f>+'[1]Input Data'!$A$9</f>
        <v>2025 RATE CASE</v>
      </c>
    </row>
    <row r="2" spans="1:8" s="7" customFormat="1" x14ac:dyDescent="0.2">
      <c r="A2" s="61" t="str">
        <f>+'[1]Input Data'!$A$2</f>
        <v>ONCOR ELECTRIC DELIVERY COMPANY LLC</v>
      </c>
      <c r="B2" s="245"/>
      <c r="C2" s="245"/>
      <c r="D2" s="245"/>
      <c r="E2" s="240"/>
      <c r="F2" s="9"/>
      <c r="G2" s="11"/>
      <c r="H2" s="13"/>
    </row>
    <row r="3" spans="1:8" s="7" customFormat="1" x14ac:dyDescent="0.2">
      <c r="A3" s="253" t="s">
        <v>316</v>
      </c>
    </row>
    <row r="4" spans="1:8" s="7" customFormat="1" x14ac:dyDescent="0.2">
      <c r="A4" s="62" t="str">
        <f>+'[1]Input Data'!$A$4</f>
        <v>TEST YEAR ENDING DECEMBER 31, 2024</v>
      </c>
      <c r="B4" s="11"/>
      <c r="C4" s="11"/>
      <c r="D4" s="11"/>
      <c r="E4" s="11"/>
      <c r="F4" s="11"/>
      <c r="G4" s="11"/>
      <c r="H4" s="11"/>
    </row>
    <row r="5" spans="1:8" s="7" customFormat="1" x14ac:dyDescent="0.2">
      <c r="A5" s="5" t="str">
        <f>CONCATENATE("SPONSORS: ",'[1]Schedule Sponsors'!$D$40)</f>
        <v>SPONSORS: K. FEASE &amp;&amp; W. ALAN LEDBETTER</v>
      </c>
      <c r="B5" s="14"/>
      <c r="C5" s="14"/>
      <c r="D5" s="14"/>
      <c r="E5" s="14"/>
      <c r="F5" s="14"/>
      <c r="G5" s="14"/>
      <c r="H5" s="14"/>
    </row>
    <row r="6" spans="1:8" s="7" customFormat="1" x14ac:dyDescent="0.2">
      <c r="B6" s="14"/>
      <c r="C6" s="14"/>
      <c r="D6" s="14"/>
      <c r="E6" s="14"/>
      <c r="F6" s="14"/>
      <c r="G6" s="14"/>
      <c r="H6" s="14"/>
    </row>
    <row r="7" spans="1:8" s="7" customFormat="1" x14ac:dyDescent="0.2">
      <c r="B7" s="14"/>
      <c r="C7" s="14"/>
      <c r="D7" s="14"/>
      <c r="E7" s="14"/>
      <c r="F7" s="14"/>
      <c r="G7" s="14"/>
      <c r="H7" s="14"/>
    </row>
    <row r="8" spans="1:8" s="7" customFormat="1" x14ac:dyDescent="0.2">
      <c r="A8" s="11"/>
      <c r="B8" s="11"/>
      <c r="C8" s="11"/>
      <c r="D8" s="11"/>
      <c r="E8" s="11"/>
      <c r="F8" s="11"/>
      <c r="G8" s="11"/>
      <c r="H8" s="11"/>
    </row>
    <row r="9" spans="1:8" s="7" customFormat="1" x14ac:dyDescent="0.2">
      <c r="A9" s="11"/>
      <c r="B9" s="11"/>
      <c r="C9" s="11"/>
      <c r="D9" s="11"/>
      <c r="E9" s="11"/>
      <c r="F9" s="11"/>
      <c r="G9" s="11"/>
      <c r="H9" s="11"/>
    </row>
    <row r="10" spans="1:8" s="7" customFormat="1" ht="13.5" thickBot="1" x14ac:dyDescent="0.25">
      <c r="A10" s="11"/>
      <c r="B10" s="11"/>
      <c r="C10" s="11"/>
      <c r="D10" s="11"/>
      <c r="E10" s="11"/>
      <c r="F10" s="11"/>
      <c r="G10" s="11"/>
      <c r="H10" s="11"/>
    </row>
    <row r="11" spans="1:8" s="241" customFormat="1" x14ac:dyDescent="0.2">
      <c r="A11" s="251" t="s">
        <v>84</v>
      </c>
      <c r="B11" s="67"/>
      <c r="C11" s="67"/>
      <c r="D11" s="67"/>
      <c r="E11" s="67"/>
      <c r="F11" s="67"/>
      <c r="G11" s="67"/>
      <c r="H11" s="251"/>
    </row>
    <row r="12" spans="1:8" s="242" customFormat="1" x14ac:dyDescent="0.2">
      <c r="A12" s="252" t="s">
        <v>20</v>
      </c>
      <c r="B12" s="404"/>
      <c r="C12" s="446" t="s">
        <v>17</v>
      </c>
      <c r="D12" s="446"/>
      <c r="E12" s="446"/>
      <c r="F12" s="446"/>
      <c r="G12" s="404"/>
      <c r="H12" s="252" t="s">
        <v>37</v>
      </c>
    </row>
    <row r="13" spans="1:8" s="241" customFormat="1" ht="13.5" thickBot="1" x14ac:dyDescent="0.25">
      <c r="A13" s="72"/>
      <c r="B13" s="405"/>
      <c r="C13" s="447" t="s">
        <v>38</v>
      </c>
      <c r="D13" s="447"/>
      <c r="E13" s="447"/>
      <c r="F13" s="447"/>
      <c r="G13" s="405"/>
      <c r="H13" s="71" t="s">
        <v>39</v>
      </c>
    </row>
    <row r="14" spans="1:8" s="241" customFormat="1" x14ac:dyDescent="0.2">
      <c r="A14" s="31"/>
      <c r="B14" s="245"/>
      <c r="C14" s="245"/>
      <c r="D14" s="245"/>
      <c r="E14" s="245"/>
      <c r="F14" s="245"/>
      <c r="G14" s="245"/>
      <c r="H14" s="245"/>
    </row>
    <row r="15" spans="1:8" s="241" customFormat="1" x14ac:dyDescent="0.2">
      <c r="A15" s="143">
        <v>1</v>
      </c>
      <c r="B15" s="240"/>
      <c r="C15" s="240" t="s">
        <v>101</v>
      </c>
      <c r="D15" s="240"/>
      <c r="E15" s="240"/>
      <c r="F15" s="240"/>
      <c r="G15" s="240"/>
      <c r="H15" s="337">
        <f>+'II-C-2.4.1'!L72</f>
        <v>18384076.780000001</v>
      </c>
    </row>
    <row r="16" spans="1:8" s="241" customFormat="1" x14ac:dyDescent="0.2">
      <c r="A16" s="143">
        <v>2</v>
      </c>
      <c r="B16" s="240"/>
      <c r="C16" s="240" t="s">
        <v>12</v>
      </c>
      <c r="D16" s="240"/>
      <c r="E16" s="240"/>
      <c r="F16" s="240"/>
      <c r="G16" s="240"/>
      <c r="H16" s="240"/>
    </row>
    <row r="17" spans="1:8" x14ac:dyDescent="0.2">
      <c r="A17" s="143">
        <v>3</v>
      </c>
      <c r="B17" s="350" t="s">
        <v>102</v>
      </c>
      <c r="C17" s="240" t="s">
        <v>103</v>
      </c>
      <c r="D17" s="240"/>
      <c r="E17" s="240"/>
      <c r="F17" s="240"/>
      <c r="G17" s="240"/>
      <c r="H17" s="154">
        <v>24011124.41</v>
      </c>
    </row>
    <row r="18" spans="1:8" x14ac:dyDescent="0.2">
      <c r="A18" s="143">
        <v>4</v>
      </c>
      <c r="B18" s="240"/>
      <c r="C18" s="240" t="s">
        <v>13</v>
      </c>
      <c r="D18" s="240"/>
      <c r="E18" s="240"/>
      <c r="F18" s="240"/>
      <c r="G18" s="240"/>
      <c r="H18" s="240"/>
    </row>
    <row r="19" spans="1:8" x14ac:dyDescent="0.2">
      <c r="A19" s="143">
        <v>5</v>
      </c>
      <c r="B19" s="240"/>
      <c r="C19" s="240"/>
      <c r="D19" s="240"/>
      <c r="E19" s="240"/>
      <c r="F19" s="240"/>
      <c r="G19" s="240"/>
      <c r="H19" s="401"/>
    </row>
    <row r="20" spans="1:8" x14ac:dyDescent="0.2">
      <c r="A20" s="143">
        <v>6</v>
      </c>
      <c r="B20" s="240"/>
      <c r="C20" s="240" t="s">
        <v>104</v>
      </c>
      <c r="D20" s="240"/>
      <c r="E20" s="240"/>
      <c r="F20" s="240"/>
      <c r="G20" s="240"/>
      <c r="H20" s="154">
        <f>+H15-H17</f>
        <v>-5627047.629999999</v>
      </c>
    </row>
    <row r="21" spans="1:8" x14ac:dyDescent="0.2">
      <c r="A21" s="143">
        <v>7</v>
      </c>
      <c r="B21" s="240"/>
      <c r="C21" s="240" t="s">
        <v>14</v>
      </c>
      <c r="D21" s="240"/>
      <c r="E21" s="240"/>
      <c r="F21" s="240"/>
      <c r="G21" s="240"/>
      <c r="H21" s="154"/>
    </row>
    <row r="22" spans="1:8" x14ac:dyDescent="0.2">
      <c r="A22" s="143">
        <v>8</v>
      </c>
      <c r="B22" s="240"/>
      <c r="C22" s="240"/>
      <c r="D22" s="240"/>
      <c r="E22" s="240"/>
      <c r="F22" s="240"/>
      <c r="G22" s="240"/>
      <c r="H22" s="154"/>
    </row>
    <row r="23" spans="1:8" x14ac:dyDescent="0.2">
      <c r="A23" s="143">
        <v>9</v>
      </c>
      <c r="B23" s="240"/>
      <c r="C23" s="240"/>
      <c r="D23" s="240"/>
      <c r="E23" s="240"/>
      <c r="F23" s="240"/>
      <c r="G23" s="240"/>
      <c r="H23" s="154"/>
    </row>
    <row r="24" spans="1:8" x14ac:dyDescent="0.2">
      <c r="A24" s="143">
        <v>10</v>
      </c>
      <c r="B24" s="240"/>
      <c r="C24" s="240" t="s">
        <v>105</v>
      </c>
      <c r="D24" s="240"/>
      <c r="E24" s="240"/>
      <c r="F24" s="240"/>
      <c r="G24" s="240"/>
      <c r="H24" s="154">
        <v>-3133223.52</v>
      </c>
    </row>
    <row r="25" spans="1:8" x14ac:dyDescent="0.2">
      <c r="A25" s="143">
        <v>11</v>
      </c>
      <c r="B25" s="240"/>
      <c r="C25" s="240" t="s">
        <v>230</v>
      </c>
      <c r="D25" s="240"/>
      <c r="E25" s="240"/>
      <c r="F25" s="240"/>
      <c r="G25" s="240"/>
      <c r="H25" s="154"/>
    </row>
    <row r="26" spans="1:8" x14ac:dyDescent="0.2">
      <c r="A26" s="143">
        <v>12</v>
      </c>
      <c r="B26" s="350" t="s">
        <v>102</v>
      </c>
      <c r="C26" s="240" t="s">
        <v>107</v>
      </c>
      <c r="D26" s="240"/>
      <c r="E26" s="240"/>
      <c r="F26" s="240"/>
      <c r="G26" s="240"/>
      <c r="H26" s="154">
        <v>873131.76</v>
      </c>
    </row>
    <row r="27" spans="1:8" x14ac:dyDescent="0.2">
      <c r="A27" s="143">
        <v>13</v>
      </c>
      <c r="B27" s="240"/>
      <c r="C27" s="240" t="s">
        <v>231</v>
      </c>
      <c r="D27" s="240"/>
      <c r="E27" s="240"/>
      <c r="F27" s="240"/>
      <c r="G27" s="240"/>
      <c r="H27" s="402"/>
    </row>
    <row r="28" spans="1:8" x14ac:dyDescent="0.2">
      <c r="A28" s="143">
        <v>14</v>
      </c>
      <c r="B28" s="240"/>
      <c r="C28" s="240"/>
      <c r="D28" s="240"/>
      <c r="E28" s="240"/>
      <c r="F28" s="240"/>
      <c r="G28" s="240"/>
      <c r="H28" s="154"/>
    </row>
    <row r="29" spans="1:8" x14ac:dyDescent="0.2">
      <c r="A29" s="143">
        <v>15</v>
      </c>
      <c r="B29" s="240"/>
      <c r="C29" s="240" t="s">
        <v>108</v>
      </c>
      <c r="D29" s="240"/>
      <c r="E29" s="240"/>
      <c r="F29" s="240"/>
      <c r="G29" s="240"/>
      <c r="H29" s="154">
        <f>+H24-H26</f>
        <v>-4006355.2800000003</v>
      </c>
    </row>
    <row r="30" spans="1:8" x14ac:dyDescent="0.2">
      <c r="A30" s="143">
        <v>16</v>
      </c>
      <c r="B30" s="240"/>
      <c r="C30" s="240" t="s">
        <v>14</v>
      </c>
      <c r="D30" s="240"/>
      <c r="E30" s="240"/>
      <c r="F30" s="240"/>
      <c r="G30" s="240"/>
      <c r="H30" s="154"/>
    </row>
    <row r="31" spans="1:8" x14ac:dyDescent="0.2">
      <c r="A31" s="143">
        <v>17</v>
      </c>
      <c r="B31" s="240"/>
      <c r="C31" s="240"/>
      <c r="D31" s="240"/>
      <c r="E31" s="240"/>
      <c r="F31" s="240"/>
      <c r="G31" s="240"/>
      <c r="H31" s="154"/>
    </row>
    <row r="32" spans="1:8" x14ac:dyDescent="0.2">
      <c r="A32" s="143">
        <v>18</v>
      </c>
      <c r="B32" s="240"/>
      <c r="C32" s="240"/>
      <c r="D32" s="240"/>
      <c r="E32" s="240"/>
      <c r="F32" s="240"/>
      <c r="G32" s="240"/>
      <c r="H32" s="240"/>
    </row>
    <row r="33" spans="1:8" x14ac:dyDescent="0.2">
      <c r="A33" s="143">
        <v>19</v>
      </c>
      <c r="B33" s="240"/>
      <c r="C33" s="240" t="s">
        <v>15</v>
      </c>
      <c r="D33" s="240"/>
      <c r="E33" s="240"/>
      <c r="F33" s="240"/>
      <c r="G33" s="240"/>
      <c r="H33" s="153">
        <f>+'II-C-2.4.1'!L74</f>
        <v>16761761988.981808</v>
      </c>
    </row>
    <row r="34" spans="1:8" x14ac:dyDescent="0.2">
      <c r="A34" s="143">
        <v>20</v>
      </c>
      <c r="B34" s="350" t="s">
        <v>102</v>
      </c>
      <c r="C34" s="240" t="s">
        <v>109</v>
      </c>
      <c r="D34" s="240"/>
      <c r="E34" s="240"/>
      <c r="F34" s="240"/>
      <c r="G34" s="240"/>
      <c r="H34" s="153">
        <f>+H20</f>
        <v>-5627047.629999999</v>
      </c>
    </row>
    <row r="35" spans="1:8" x14ac:dyDescent="0.2">
      <c r="A35" s="143">
        <v>21</v>
      </c>
      <c r="B35" s="240"/>
      <c r="C35" s="240"/>
      <c r="D35" s="240"/>
      <c r="E35" s="240"/>
      <c r="F35" s="240"/>
      <c r="G35" s="240"/>
      <c r="H35" s="401"/>
    </row>
    <row r="36" spans="1:8" x14ac:dyDescent="0.2">
      <c r="A36" s="143">
        <v>22</v>
      </c>
      <c r="B36" s="240"/>
      <c r="C36" s="240" t="s">
        <v>132</v>
      </c>
      <c r="D36" s="240"/>
      <c r="E36" s="240"/>
      <c r="F36" s="240"/>
      <c r="G36" s="240"/>
      <c r="H36" s="153">
        <f>+H33-H34</f>
        <v>16767389036.611807</v>
      </c>
    </row>
    <row r="37" spans="1:8" x14ac:dyDescent="0.2">
      <c r="A37" s="143">
        <v>23</v>
      </c>
      <c r="B37" s="240"/>
      <c r="C37" s="240"/>
      <c r="D37" s="240"/>
      <c r="E37" s="240"/>
      <c r="F37" s="240"/>
      <c r="G37" s="240"/>
      <c r="H37" s="240"/>
    </row>
    <row r="38" spans="1:8" x14ac:dyDescent="0.2">
      <c r="A38" s="143">
        <v>24</v>
      </c>
      <c r="B38" s="350" t="s">
        <v>111</v>
      </c>
      <c r="C38" s="240" t="s">
        <v>16</v>
      </c>
      <c r="D38" s="240"/>
      <c r="E38" s="240"/>
      <c r="F38" s="240"/>
      <c r="G38" s="240"/>
      <c r="H38" s="400">
        <f>+'II-C-2.4.1'!P63</f>
        <v>4.9189791088277632E-2</v>
      </c>
    </row>
    <row r="39" spans="1:8" x14ac:dyDescent="0.2">
      <c r="A39" s="143">
        <v>25</v>
      </c>
      <c r="B39" s="240"/>
      <c r="C39" s="240"/>
      <c r="D39" s="240"/>
      <c r="E39" s="240"/>
      <c r="F39" s="240"/>
      <c r="G39" s="240"/>
      <c r="H39" s="401"/>
    </row>
    <row r="40" spans="1:8" x14ac:dyDescent="0.2">
      <c r="A40" s="143">
        <v>26</v>
      </c>
      <c r="B40" s="240"/>
      <c r="C40" s="240" t="s">
        <v>133</v>
      </c>
      <c r="D40" s="240"/>
      <c r="E40" s="240"/>
      <c r="F40" s="240"/>
      <c r="G40" s="153"/>
      <c r="H40" s="153">
        <f>+H36*H38</f>
        <v>824784363.80681157</v>
      </c>
    </row>
    <row r="41" spans="1:8" x14ac:dyDescent="0.2">
      <c r="A41" s="143">
        <v>27</v>
      </c>
      <c r="B41" s="240"/>
      <c r="C41" s="240"/>
      <c r="D41" s="240"/>
      <c r="E41" s="240"/>
      <c r="F41" s="240"/>
      <c r="G41" s="240"/>
      <c r="H41" s="240"/>
    </row>
    <row r="42" spans="1:8" x14ac:dyDescent="0.2">
      <c r="A42" s="143">
        <v>28</v>
      </c>
      <c r="B42" s="350" t="s">
        <v>102</v>
      </c>
      <c r="C42" s="240" t="s">
        <v>113</v>
      </c>
      <c r="D42" s="240"/>
      <c r="E42" s="240"/>
      <c r="F42" s="240"/>
      <c r="G42" s="240"/>
      <c r="H42" s="403">
        <f>+H29</f>
        <v>-4006355.2800000003</v>
      </c>
    </row>
    <row r="43" spans="1:8" x14ac:dyDescent="0.2">
      <c r="A43" s="143">
        <v>29</v>
      </c>
      <c r="B43" s="240"/>
      <c r="C43" s="240"/>
      <c r="D43" s="240"/>
      <c r="E43" s="240"/>
      <c r="F43" s="240"/>
      <c r="G43" s="240"/>
      <c r="H43" s="401"/>
    </row>
    <row r="44" spans="1:8" x14ac:dyDescent="0.2">
      <c r="A44" s="143">
        <v>30</v>
      </c>
      <c r="B44" s="240"/>
      <c r="C44" s="240" t="s">
        <v>134</v>
      </c>
      <c r="D44" s="240"/>
      <c r="E44" s="240"/>
      <c r="F44" s="240"/>
      <c r="G44" s="240"/>
      <c r="H44" s="153">
        <f>+H40-H42</f>
        <v>828790719.08681154</v>
      </c>
    </row>
    <row r="45" spans="1:8" x14ac:dyDescent="0.2">
      <c r="A45" s="143">
        <v>31</v>
      </c>
      <c r="B45" s="240"/>
      <c r="C45" s="240"/>
      <c r="D45" s="240"/>
      <c r="E45" s="240"/>
      <c r="F45" s="240"/>
      <c r="G45" s="240"/>
      <c r="H45" s="240"/>
    </row>
    <row r="46" spans="1:8" x14ac:dyDescent="0.2">
      <c r="A46" s="143">
        <v>32</v>
      </c>
      <c r="B46" s="240"/>
      <c r="C46" s="240" t="s">
        <v>238</v>
      </c>
      <c r="D46" s="240"/>
      <c r="E46" s="240"/>
      <c r="F46" s="240"/>
      <c r="G46" s="240"/>
      <c r="H46" s="104">
        <f>ROUND(+H44/H33,4)</f>
        <v>4.9399999999999999E-2</v>
      </c>
    </row>
  </sheetData>
  <mergeCells count="2">
    <mergeCell ref="C12:F12"/>
    <mergeCell ref="C13:F13"/>
  </mergeCells>
  <printOptions horizontalCentered="1"/>
  <pageMargins left="1.5" right="0.5" top="2.25" bottom="0.5" header="1" footer="0.5"/>
  <pageSetup orientation="portrait"/>
  <headerFooter alignWithMargins="0">
    <oddHeader>&amp;R&amp;"Arial,Bold"Schedule II-C-2.4a.1
Page &amp;P of &amp;N&amp;C&amp;B
2025 RATE CASE
ONCOR ELECTRIC DELIVERY COMPANY LLC
II-C-2.4a  ADJUSTED COST OF LONG-TERM DEBT ADJUSTED
TEST YEAR ENDING DECEMBER 31, 2024
SPONSORS: K. FEASE &amp;&amp; W. ALAN LEDBETTER</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6">
    <tabColor rgb="FF00B050"/>
    <pageSetUpPr fitToPage="1"/>
  </sheetPr>
  <dimension ref="A1:J29"/>
  <sheetViews>
    <sheetView zoomScaleNormal="100" workbookViewId="0">
      <selection activeCell="F27" sqref="F27"/>
    </sheetView>
  </sheetViews>
  <sheetFormatPr defaultColWidth="9.140625" defaultRowHeight="12.75" x14ac:dyDescent="0.2"/>
  <cols>
    <col min="1" max="1" width="5.5703125" style="20" bestFit="1" customWidth="1"/>
    <col min="2" max="2" width="27" style="20" customWidth="1"/>
    <col min="3" max="5" width="20.42578125" style="20" customWidth="1"/>
    <col min="6" max="6" width="20.28515625" style="20" customWidth="1"/>
    <col min="7" max="7" width="20.42578125" style="20" customWidth="1"/>
    <col min="8" max="8" width="13.85546875" style="20" customWidth="1"/>
    <col min="9" max="10" width="12.7109375" style="20" customWidth="1"/>
    <col min="11" max="16384" width="9.140625" style="20"/>
  </cols>
  <sheetData>
    <row r="1" spans="1:10" x14ac:dyDescent="0.2">
      <c r="A1" s="5" t="str">
        <f>+'[1]Input Data'!$A$9</f>
        <v>2025 RATE CASE</v>
      </c>
    </row>
    <row r="2" spans="1:10" s="7" customFormat="1" x14ac:dyDescent="0.2">
      <c r="A2" s="61" t="str">
        <f>+'[1]Input Data'!$A$2</f>
        <v>ONCOR ELECTRIC DELIVERY COMPANY LLC</v>
      </c>
      <c r="B2" s="1"/>
      <c r="C2" s="240"/>
      <c r="D2" s="1"/>
      <c r="E2" s="12"/>
      <c r="F2" s="12"/>
      <c r="G2" s="12"/>
      <c r="H2" s="12"/>
      <c r="I2" s="12"/>
      <c r="J2" s="13"/>
    </row>
    <row r="3" spans="1:10" s="7" customFormat="1" x14ac:dyDescent="0.2">
      <c r="A3" s="61" t="str">
        <f>CONCATENATE('[1]Schedule Sponsors'!$A$41,'[1]Schedule Sponsors'!$B$41)</f>
        <v>II-C-2.5  WEIGHTED AVERAGE COST OF SHORT-TERM DEBT</v>
      </c>
      <c r="B3" s="12"/>
      <c r="C3" s="12"/>
      <c r="D3" s="12"/>
      <c r="E3" s="12"/>
      <c r="F3" s="12"/>
      <c r="G3" s="12"/>
      <c r="H3" s="12"/>
      <c r="I3" s="12"/>
      <c r="J3" s="13"/>
    </row>
    <row r="4" spans="1:10" s="7" customFormat="1" x14ac:dyDescent="0.2">
      <c r="A4" s="62" t="str">
        <f>+'[1]Input Data'!$A$4</f>
        <v>TEST YEAR ENDING DECEMBER 31, 2024</v>
      </c>
      <c r="B4" s="14"/>
      <c r="C4" s="14"/>
      <c r="D4" s="14"/>
      <c r="E4" s="14"/>
      <c r="F4" s="14"/>
      <c r="G4" s="14"/>
      <c r="H4" s="14"/>
      <c r="I4" s="14"/>
      <c r="J4" s="14"/>
    </row>
    <row r="5" spans="1:10" s="7" customFormat="1" x14ac:dyDescent="0.2">
      <c r="A5" s="5" t="str">
        <f>CONCATENATE("SPONSOR: ",'[1]Schedule Sponsors'!$D$41)</f>
        <v>SPONSOR: K. FEASE</v>
      </c>
      <c r="B5" s="14"/>
      <c r="C5" s="14"/>
      <c r="D5" s="14"/>
      <c r="E5" s="14"/>
      <c r="F5" s="14"/>
      <c r="G5" s="14"/>
      <c r="H5" s="14"/>
      <c r="I5" s="14"/>
      <c r="J5" s="14"/>
    </row>
    <row r="6" spans="1:10" s="7" customFormat="1" x14ac:dyDescent="0.2">
      <c r="A6" s="5"/>
      <c r="B6" s="14"/>
      <c r="C6" s="14"/>
      <c r="D6" s="14"/>
      <c r="E6" s="14"/>
      <c r="F6" s="14"/>
      <c r="G6" s="14"/>
      <c r="H6" s="14"/>
      <c r="I6" s="14"/>
      <c r="J6" s="14"/>
    </row>
    <row r="7" spans="1:10" s="7" customFormat="1" x14ac:dyDescent="0.2">
      <c r="B7" s="14"/>
      <c r="C7" s="14"/>
      <c r="D7" s="14"/>
      <c r="E7" s="14"/>
      <c r="F7" s="14"/>
      <c r="G7" s="14"/>
      <c r="H7" s="14"/>
      <c r="I7" s="14"/>
      <c r="J7" s="14"/>
    </row>
    <row r="8" spans="1:10" s="7" customFormat="1" x14ac:dyDescent="0.2">
      <c r="B8" s="11"/>
      <c r="C8" s="11"/>
      <c r="D8" s="11"/>
      <c r="E8" s="11"/>
      <c r="F8" s="11"/>
      <c r="G8" s="11"/>
      <c r="H8" s="11"/>
      <c r="I8" s="11"/>
      <c r="J8" s="11"/>
    </row>
    <row r="9" spans="1:10" s="7" customFormat="1" x14ac:dyDescent="0.2">
      <c r="B9" s="11"/>
      <c r="C9" s="11"/>
      <c r="D9" s="11"/>
      <c r="E9" s="11"/>
      <c r="F9" s="11"/>
      <c r="G9" s="11"/>
      <c r="H9" s="11"/>
      <c r="I9" s="11"/>
      <c r="J9" s="11"/>
    </row>
    <row r="10" spans="1:10" s="5" customFormat="1" x14ac:dyDescent="0.2">
      <c r="B10" s="80"/>
      <c r="C10" s="80"/>
      <c r="D10" s="80"/>
      <c r="E10" s="80"/>
      <c r="F10" s="80"/>
      <c r="G10" s="452" t="s">
        <v>22</v>
      </c>
      <c r="H10" s="452"/>
      <c r="I10" s="452"/>
      <c r="J10" s="452"/>
    </row>
    <row r="11" spans="1:10" s="5" customFormat="1" ht="13.5" thickBot="1" x14ac:dyDescent="0.25">
      <c r="B11" s="80"/>
      <c r="C11" s="80"/>
      <c r="D11" s="80"/>
      <c r="E11" s="80"/>
      <c r="F11" s="80"/>
      <c r="G11" s="450" t="s">
        <v>301</v>
      </c>
      <c r="H11" s="451"/>
      <c r="I11" s="451"/>
      <c r="J11" s="451"/>
    </row>
    <row r="12" spans="1:10" s="5" customFormat="1" x14ac:dyDescent="0.2">
      <c r="B12" s="80"/>
      <c r="C12" s="80"/>
      <c r="D12" s="80"/>
      <c r="E12" s="80"/>
      <c r="F12" s="80"/>
      <c r="G12" s="82"/>
      <c r="H12" s="82"/>
      <c r="I12" s="82"/>
      <c r="J12" s="82"/>
    </row>
    <row r="13" spans="1:10" s="5" customFormat="1" ht="13.5" thickBot="1" x14ac:dyDescent="0.25">
      <c r="B13" s="80"/>
      <c r="C13" s="80"/>
      <c r="D13" s="80"/>
      <c r="E13" s="80"/>
      <c r="F13" s="80"/>
      <c r="G13" s="81"/>
      <c r="H13" s="81"/>
      <c r="I13" s="81"/>
      <c r="J13" s="81"/>
    </row>
    <row r="14" spans="1:10" s="5" customFormat="1" x14ac:dyDescent="0.2">
      <c r="A14" s="83"/>
      <c r="B14" s="53"/>
      <c r="C14" s="53"/>
      <c r="D14" s="53"/>
      <c r="E14" s="53"/>
      <c r="F14" s="53"/>
      <c r="G14" s="54"/>
      <c r="H14" s="55" t="s">
        <v>43</v>
      </c>
      <c r="I14" s="53"/>
      <c r="J14" s="55" t="s">
        <v>42</v>
      </c>
    </row>
    <row r="15" spans="1:10" s="5" customFormat="1" x14ac:dyDescent="0.2">
      <c r="A15" s="58" t="s">
        <v>84</v>
      </c>
      <c r="B15" s="59"/>
      <c r="C15" s="58" t="s">
        <v>135</v>
      </c>
      <c r="D15" s="58" t="s">
        <v>135</v>
      </c>
      <c r="E15" s="58" t="s">
        <v>135</v>
      </c>
      <c r="F15" s="58" t="s">
        <v>135</v>
      </c>
      <c r="G15" s="58" t="s">
        <v>43</v>
      </c>
      <c r="H15" s="58" t="s">
        <v>136</v>
      </c>
      <c r="I15" s="58" t="s">
        <v>83</v>
      </c>
      <c r="J15" s="58" t="s">
        <v>83</v>
      </c>
    </row>
    <row r="16" spans="1:10" s="4" customFormat="1" x14ac:dyDescent="0.2">
      <c r="A16" s="58" t="s">
        <v>20</v>
      </c>
      <c r="B16" s="58" t="s">
        <v>17</v>
      </c>
      <c r="C16" s="58">
        <v>2020</v>
      </c>
      <c r="D16" s="58">
        <v>2021</v>
      </c>
      <c r="E16" s="58">
        <v>2022</v>
      </c>
      <c r="F16" s="58">
        <v>2023</v>
      </c>
      <c r="G16" s="58" t="s">
        <v>93</v>
      </c>
      <c r="H16" s="58" t="s">
        <v>137</v>
      </c>
      <c r="I16" s="58" t="s">
        <v>44</v>
      </c>
      <c r="J16" s="58" t="s">
        <v>44</v>
      </c>
    </row>
    <row r="17" spans="1:10" s="6" customFormat="1" ht="13.5" thickBot="1" x14ac:dyDescent="0.25">
      <c r="A17" s="71"/>
      <c r="B17" s="71" t="s">
        <v>38</v>
      </c>
      <c r="C17" s="71" t="s">
        <v>39</v>
      </c>
      <c r="D17" s="71" t="s">
        <v>40</v>
      </c>
      <c r="E17" s="71" t="s">
        <v>41</v>
      </c>
      <c r="F17" s="71" t="s">
        <v>51</v>
      </c>
      <c r="G17" s="71" t="s">
        <v>52</v>
      </c>
      <c r="H17" s="71" t="s">
        <v>53</v>
      </c>
      <c r="I17" s="71" t="s">
        <v>54</v>
      </c>
      <c r="J17" s="250" t="s">
        <v>55</v>
      </c>
    </row>
    <row r="18" spans="1:10" x14ac:dyDescent="0.2">
      <c r="B18" s="19"/>
      <c r="C18" s="247"/>
      <c r="D18" s="95"/>
      <c r="E18" s="95"/>
      <c r="F18" s="95"/>
      <c r="G18" s="21"/>
      <c r="H18" s="21"/>
      <c r="I18" s="21"/>
      <c r="J18" s="21"/>
    </row>
    <row r="19" spans="1:10" s="2" customFormat="1" x14ac:dyDescent="0.2">
      <c r="A19" s="98">
        <v>1</v>
      </c>
      <c r="B19" s="10" t="s">
        <v>138</v>
      </c>
      <c r="C19" s="155">
        <v>0</v>
      </c>
      <c r="D19" s="155">
        <v>0</v>
      </c>
      <c r="E19" s="156">
        <v>0</v>
      </c>
      <c r="F19" s="156">
        <v>0</v>
      </c>
      <c r="G19" s="156">
        <v>0</v>
      </c>
      <c r="H19" s="99">
        <f>IF(ISERR(+G19/$G$22),0,G19/$G$22)</f>
        <v>0</v>
      </c>
      <c r="I19" s="157">
        <v>0</v>
      </c>
      <c r="J19" s="99">
        <f>H19*I19</f>
        <v>0</v>
      </c>
    </row>
    <row r="20" spans="1:10" s="2" customFormat="1" x14ac:dyDescent="0.2">
      <c r="A20" s="98">
        <v>2</v>
      </c>
      <c r="B20" s="10" t="s">
        <v>198</v>
      </c>
      <c r="C20" s="154">
        <v>70000000</v>
      </c>
      <c r="D20" s="154">
        <v>215000000</v>
      </c>
      <c r="E20" s="154">
        <v>198000000</v>
      </c>
      <c r="F20" s="154">
        <v>282000000</v>
      </c>
      <c r="G20" s="154">
        <v>593777000</v>
      </c>
      <c r="H20" s="99">
        <f>IF(ISERR(+G20/$G$22),0,G20/$G$22)</f>
        <v>1</v>
      </c>
      <c r="I20" s="338">
        <v>4.7600000000000003E-2</v>
      </c>
      <c r="J20" s="99">
        <f>H20*I20</f>
        <v>4.7600000000000003E-2</v>
      </c>
    </row>
    <row r="21" spans="1:10" s="2" customFormat="1" x14ac:dyDescent="0.2">
      <c r="A21" s="98">
        <v>3</v>
      </c>
      <c r="B21" s="10"/>
      <c r="C21" s="115"/>
      <c r="D21" s="115"/>
      <c r="E21" s="116"/>
      <c r="F21" s="116"/>
      <c r="G21" s="116"/>
      <c r="H21" s="117"/>
      <c r="I21" s="100"/>
      <c r="J21" s="117"/>
    </row>
    <row r="22" spans="1:10" s="2" customFormat="1" x14ac:dyDescent="0.2">
      <c r="A22" s="98">
        <v>4</v>
      </c>
      <c r="B22" s="10" t="s">
        <v>139</v>
      </c>
      <c r="C22" s="113">
        <f t="shared" ref="C22:J22" si="0">SUM(C19:C21)</f>
        <v>70000000</v>
      </c>
      <c r="D22" s="113">
        <f t="shared" si="0"/>
        <v>215000000</v>
      </c>
      <c r="E22" s="113">
        <f t="shared" si="0"/>
        <v>198000000</v>
      </c>
      <c r="F22" s="113">
        <f t="shared" si="0"/>
        <v>282000000</v>
      </c>
      <c r="G22" s="113">
        <f t="shared" si="0"/>
        <v>593777000</v>
      </c>
      <c r="H22" s="99">
        <f t="shared" si="0"/>
        <v>1</v>
      </c>
      <c r="I22" s="249">
        <f t="shared" si="0"/>
        <v>4.7600000000000003E-2</v>
      </c>
      <c r="J22" s="99">
        <f t="shared" si="0"/>
        <v>4.7600000000000003E-2</v>
      </c>
    </row>
    <row r="23" spans="1:10" s="2" customFormat="1" x14ac:dyDescent="0.2">
      <c r="A23" s="98">
        <v>5</v>
      </c>
      <c r="C23" s="153"/>
      <c r="D23" s="73"/>
    </row>
    <row r="24" spans="1:10" x14ac:dyDescent="0.2">
      <c r="A24" s="98"/>
      <c r="B24" s="25"/>
      <c r="C24" s="25"/>
      <c r="D24" s="25"/>
      <c r="E24" s="25"/>
      <c r="F24" s="25"/>
      <c r="G24" s="25"/>
      <c r="H24" s="25"/>
      <c r="I24" s="25"/>
      <c r="J24" s="25"/>
    </row>
    <row r="25" spans="1:10" x14ac:dyDescent="0.2">
      <c r="A25" s="98"/>
      <c r="B25" s="25"/>
      <c r="C25" s="25"/>
      <c r="D25" s="25"/>
      <c r="E25" s="25"/>
      <c r="F25" s="25"/>
      <c r="G25" s="25"/>
      <c r="H25" s="25"/>
      <c r="I25" s="25"/>
      <c r="J25" s="25"/>
    </row>
    <row r="26" spans="1:10" x14ac:dyDescent="0.2">
      <c r="A26" s="98"/>
      <c r="B26" s="25"/>
      <c r="C26" s="25"/>
      <c r="D26" s="25"/>
      <c r="E26" s="25"/>
      <c r="F26" s="25"/>
      <c r="G26" s="25"/>
      <c r="H26" s="25"/>
      <c r="I26" s="25"/>
      <c r="J26" s="25"/>
    </row>
    <row r="27" spans="1:10" x14ac:dyDescent="0.2">
      <c r="A27" s="98"/>
      <c r="B27" s="84"/>
      <c r="C27" s="25"/>
      <c r="D27" s="25"/>
      <c r="E27" s="25"/>
      <c r="F27" s="25"/>
      <c r="G27" s="25"/>
      <c r="H27" s="25"/>
      <c r="I27" s="25"/>
      <c r="J27" s="25"/>
    </row>
    <row r="28" spans="1:10" x14ac:dyDescent="0.2">
      <c r="A28" s="98"/>
      <c r="B28" s="25"/>
      <c r="C28" s="25"/>
      <c r="D28" s="25"/>
      <c r="E28" s="25"/>
      <c r="F28" s="25"/>
      <c r="G28" s="25"/>
      <c r="H28" s="25"/>
      <c r="I28" s="25"/>
      <c r="J28" s="25"/>
    </row>
    <row r="29" spans="1:10" x14ac:dyDescent="0.2">
      <c r="A29" s="98"/>
      <c r="B29" s="25"/>
      <c r="C29" s="25"/>
      <c r="D29" s="25"/>
      <c r="E29" s="25"/>
      <c r="F29" s="25"/>
      <c r="G29" s="25"/>
      <c r="H29" s="25"/>
      <c r="I29" s="25"/>
      <c r="J29" s="25"/>
    </row>
  </sheetData>
  <mergeCells count="2">
    <mergeCell ref="G11:J11"/>
    <mergeCell ref="G10:J10"/>
  </mergeCells>
  <phoneticPr fontId="4" type="noConversion"/>
  <printOptions horizontalCentered="1"/>
  <pageMargins left="0.5" right="0.5" top="3" bottom="0.5" header="1.5" footer="0.5"/>
  <pageSetup scale="74" orientation="landscape"/>
  <headerFooter alignWithMargins="0">
    <oddHeader>&amp;R&amp;"Arial,Bold"Schedule &amp;A
Page &amp;P of &amp;N&amp;C&amp;B
2025 RATE CASE
ONCOR ELECTRIC DELIVERY COMPANY LLC
II-C-2.5  WEIGHTED AVERAGE COST OF SHORT-TERM DEBT
TEST YEAR ENDING DECEMBER 31, 2024
SPONSOR: K. FEASE</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0">
    <tabColor rgb="FF00B050"/>
    <pageSetUpPr fitToPage="1"/>
  </sheetPr>
  <dimension ref="A1:E49"/>
  <sheetViews>
    <sheetView zoomScaleNormal="100" workbookViewId="0"/>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302</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5" s="242" customFormat="1" ht="13.5" thickBot="1" x14ac:dyDescent="0.25">
      <c r="A17" s="250"/>
      <c r="B17" s="250" t="s">
        <v>38</v>
      </c>
      <c r="C17" s="250" t="s">
        <v>39</v>
      </c>
      <c r="D17" s="250" t="s">
        <v>40</v>
      </c>
    </row>
    <row r="18" spans="1:5" x14ac:dyDescent="0.2">
      <c r="C18" s="245"/>
      <c r="D18" s="247"/>
    </row>
    <row r="19" spans="1:5" x14ac:dyDescent="0.2">
      <c r="A19" s="248">
        <v>1</v>
      </c>
      <c r="B19" s="354">
        <v>45292</v>
      </c>
      <c r="C19" s="355">
        <v>282000000</v>
      </c>
      <c r="D19" s="339">
        <v>5.5396000000000001E-2</v>
      </c>
      <c r="E19" s="302"/>
    </row>
    <row r="20" spans="1:5" x14ac:dyDescent="0.2">
      <c r="A20" s="248">
        <v>2</v>
      </c>
      <c r="B20" s="354">
        <v>45293</v>
      </c>
      <c r="C20" s="333">
        <v>282000000</v>
      </c>
      <c r="D20" s="301">
        <v>5.5396000000000001E-2</v>
      </c>
      <c r="E20" s="302"/>
    </row>
    <row r="21" spans="1:5" x14ac:dyDescent="0.2">
      <c r="A21" s="248">
        <v>3</v>
      </c>
      <c r="B21" s="354">
        <v>45294</v>
      </c>
      <c r="C21" s="333">
        <v>255300000</v>
      </c>
      <c r="D21" s="301">
        <v>5.5349000000000002E-2</v>
      </c>
      <c r="E21" s="302"/>
    </row>
    <row r="22" spans="1:5" x14ac:dyDescent="0.2">
      <c r="A22" s="248">
        <v>4</v>
      </c>
      <c r="B22" s="354">
        <v>45295</v>
      </c>
      <c r="C22" s="333">
        <v>266100000</v>
      </c>
      <c r="D22" s="301">
        <v>5.5198999999999998E-2</v>
      </c>
      <c r="E22" s="302"/>
    </row>
    <row r="23" spans="1:5" x14ac:dyDescent="0.2">
      <c r="A23" s="248">
        <v>5</v>
      </c>
      <c r="B23" s="354">
        <v>45296</v>
      </c>
      <c r="C23" s="356">
        <v>266100000</v>
      </c>
      <c r="D23" s="357">
        <v>5.5092999999999996E-2</v>
      </c>
      <c r="E23" s="302"/>
    </row>
    <row r="24" spans="1:5" x14ac:dyDescent="0.2">
      <c r="A24" s="248">
        <v>6</v>
      </c>
      <c r="B24" s="354">
        <v>45297</v>
      </c>
      <c r="C24" s="333">
        <v>266100000</v>
      </c>
      <c r="D24" s="358">
        <v>5.5092999999999996E-2</v>
      </c>
      <c r="E24" s="302"/>
    </row>
    <row r="25" spans="1:5" x14ac:dyDescent="0.2">
      <c r="A25" s="248">
        <v>7</v>
      </c>
      <c r="B25" s="354">
        <v>45298</v>
      </c>
      <c r="C25" s="333">
        <v>266100000</v>
      </c>
      <c r="D25" s="358">
        <v>5.5092999999999996E-2</v>
      </c>
      <c r="E25" s="302"/>
    </row>
    <row r="26" spans="1:5" x14ac:dyDescent="0.2">
      <c r="A26" s="248">
        <v>8</v>
      </c>
      <c r="B26" s="354">
        <v>45299</v>
      </c>
      <c r="C26" s="333">
        <v>246900000</v>
      </c>
      <c r="D26" s="358">
        <v>5.4846000000000006E-2</v>
      </c>
      <c r="E26" s="302"/>
    </row>
    <row r="27" spans="1:5" x14ac:dyDescent="0.2">
      <c r="A27" s="248">
        <v>9</v>
      </c>
      <c r="B27" s="354">
        <v>45300</v>
      </c>
      <c r="C27" s="333">
        <v>249700000</v>
      </c>
      <c r="D27" s="358">
        <v>5.4836999999999997E-2</v>
      </c>
      <c r="E27" s="302"/>
    </row>
    <row r="28" spans="1:5" x14ac:dyDescent="0.2">
      <c r="A28" s="248">
        <v>10</v>
      </c>
      <c r="B28" s="354">
        <v>45301</v>
      </c>
      <c r="C28" s="333">
        <v>243800000</v>
      </c>
      <c r="D28" s="358">
        <v>5.3882000000000006E-2</v>
      </c>
      <c r="E28" s="302"/>
    </row>
    <row r="29" spans="1:5" x14ac:dyDescent="0.2">
      <c r="A29" s="248">
        <v>11</v>
      </c>
      <c r="B29" s="354">
        <v>45302</v>
      </c>
      <c r="C29" s="333">
        <v>253300000</v>
      </c>
      <c r="D29" s="358">
        <v>5.3807999999999995E-2</v>
      </c>
      <c r="E29" s="302"/>
    </row>
    <row r="30" spans="1:5" x14ac:dyDescent="0.2">
      <c r="A30" s="248">
        <v>12</v>
      </c>
      <c r="B30" s="354">
        <v>45303</v>
      </c>
      <c r="C30" s="356">
        <v>278850000</v>
      </c>
      <c r="D30" s="357">
        <v>5.4206000000000004E-2</v>
      </c>
      <c r="E30" s="302"/>
    </row>
    <row r="31" spans="1:5" x14ac:dyDescent="0.2">
      <c r="A31" s="248">
        <v>13</v>
      </c>
      <c r="B31" s="354">
        <v>45304</v>
      </c>
      <c r="C31" s="333">
        <v>278850000</v>
      </c>
      <c r="D31" s="357">
        <v>5.4206000000000004E-2</v>
      </c>
      <c r="E31" s="302"/>
    </row>
    <row r="32" spans="1:5" x14ac:dyDescent="0.2">
      <c r="A32" s="248">
        <v>14</v>
      </c>
      <c r="B32" s="354">
        <v>45305</v>
      </c>
      <c r="C32" s="356">
        <v>278850000</v>
      </c>
      <c r="D32" s="357">
        <v>5.4206000000000004E-2</v>
      </c>
      <c r="E32" s="302"/>
    </row>
    <row r="33" spans="1:5" x14ac:dyDescent="0.2">
      <c r="A33" s="248">
        <v>15</v>
      </c>
      <c r="B33" s="354">
        <v>45306</v>
      </c>
      <c r="C33" s="356">
        <v>278850000</v>
      </c>
      <c r="D33" s="357">
        <v>5.4206000000000004E-2</v>
      </c>
      <c r="E33" s="302"/>
    </row>
    <row r="34" spans="1:5" x14ac:dyDescent="0.2">
      <c r="A34" s="248">
        <v>16</v>
      </c>
      <c r="B34" s="354">
        <v>45307</v>
      </c>
      <c r="C34" s="356">
        <v>282400000</v>
      </c>
      <c r="D34" s="357">
        <v>5.4292E-2</v>
      </c>
      <c r="E34" s="302"/>
    </row>
    <row r="35" spans="1:5" x14ac:dyDescent="0.2">
      <c r="A35" s="248">
        <v>17</v>
      </c>
      <c r="B35" s="354">
        <v>45308</v>
      </c>
      <c r="C35" s="356">
        <v>274300000</v>
      </c>
      <c r="D35" s="357">
        <v>5.4401999999999999E-2</v>
      </c>
      <c r="E35" s="302"/>
    </row>
    <row r="36" spans="1:5" x14ac:dyDescent="0.2">
      <c r="A36" s="248">
        <v>18</v>
      </c>
      <c r="B36" s="354">
        <v>45309</v>
      </c>
      <c r="C36" s="356">
        <v>270300000</v>
      </c>
      <c r="D36" s="357">
        <v>5.4368999999999994E-2</v>
      </c>
      <c r="E36" s="302"/>
    </row>
    <row r="37" spans="1:5" x14ac:dyDescent="0.2">
      <c r="A37" s="248">
        <v>19</v>
      </c>
      <c r="B37" s="354">
        <v>45310</v>
      </c>
      <c r="C37" s="356">
        <v>316800000</v>
      </c>
      <c r="D37" s="357">
        <v>5.4344999999999997E-2</v>
      </c>
      <c r="E37" s="302"/>
    </row>
    <row r="38" spans="1:5" x14ac:dyDescent="0.2">
      <c r="A38" s="248">
        <v>20</v>
      </c>
      <c r="B38" s="354">
        <v>45311</v>
      </c>
      <c r="C38" s="356">
        <v>316800000</v>
      </c>
      <c r="D38" s="357">
        <v>5.4344999999999997E-2</v>
      </c>
      <c r="E38" s="302"/>
    </row>
    <row r="39" spans="1:5" x14ac:dyDescent="0.2">
      <c r="A39" s="248">
        <v>21</v>
      </c>
      <c r="B39" s="354">
        <v>45312</v>
      </c>
      <c r="C39" s="356">
        <v>316800000</v>
      </c>
      <c r="D39" s="357">
        <v>5.4344999999999997E-2</v>
      </c>
      <c r="E39" s="302"/>
    </row>
    <row r="40" spans="1:5" x14ac:dyDescent="0.2">
      <c r="A40" s="248">
        <v>22</v>
      </c>
      <c r="B40" s="354">
        <v>45313</v>
      </c>
      <c r="C40" s="356">
        <v>307750000</v>
      </c>
      <c r="D40" s="357">
        <v>5.4383999999999995E-2</v>
      </c>
      <c r="E40" s="302"/>
    </row>
    <row r="41" spans="1:5" x14ac:dyDescent="0.2">
      <c r="A41" s="248">
        <v>23</v>
      </c>
      <c r="B41" s="354">
        <v>45314</v>
      </c>
      <c r="C41" s="356">
        <v>297500000</v>
      </c>
      <c r="D41" s="357">
        <v>5.4295999999999997E-2</v>
      </c>
      <c r="E41" s="302"/>
    </row>
    <row r="42" spans="1:5" x14ac:dyDescent="0.2">
      <c r="A42" s="248">
        <v>24</v>
      </c>
      <c r="B42" s="354">
        <v>45315</v>
      </c>
      <c r="C42" s="356">
        <v>301000000</v>
      </c>
      <c r="D42" s="357">
        <v>5.4255000000000005E-2</v>
      </c>
      <c r="E42" s="302"/>
    </row>
    <row r="43" spans="1:5" x14ac:dyDescent="0.2">
      <c r="A43" s="248">
        <v>25</v>
      </c>
      <c r="B43" s="354">
        <v>45316</v>
      </c>
      <c r="C43" s="356">
        <v>312300000</v>
      </c>
      <c r="D43" s="357">
        <v>5.4203000000000001E-2</v>
      </c>
      <c r="E43" s="302"/>
    </row>
    <row r="44" spans="1:5" x14ac:dyDescent="0.2">
      <c r="A44" s="248">
        <v>26</v>
      </c>
      <c r="B44" s="354">
        <v>45317</v>
      </c>
      <c r="C44" s="356">
        <v>367900000</v>
      </c>
      <c r="D44" s="357">
        <v>5.4034000000000006E-2</v>
      </c>
      <c r="E44" s="302"/>
    </row>
    <row r="45" spans="1:5" x14ac:dyDescent="0.2">
      <c r="A45" s="248">
        <v>27</v>
      </c>
      <c r="B45" s="354">
        <v>45318</v>
      </c>
      <c r="C45" s="356">
        <v>367900000</v>
      </c>
      <c r="D45" s="357">
        <v>5.4034000000000006E-2</v>
      </c>
      <c r="E45" s="302"/>
    </row>
    <row r="46" spans="1:5" x14ac:dyDescent="0.2">
      <c r="A46" s="248">
        <v>28</v>
      </c>
      <c r="B46" s="354">
        <v>45319</v>
      </c>
      <c r="C46" s="356">
        <v>367900000</v>
      </c>
      <c r="D46" s="357">
        <v>5.4034000000000006E-2</v>
      </c>
      <c r="E46" s="302"/>
    </row>
    <row r="47" spans="1:5" x14ac:dyDescent="0.2">
      <c r="A47" s="248">
        <v>29</v>
      </c>
      <c r="B47" s="354">
        <v>45320</v>
      </c>
      <c r="C47" s="356">
        <v>471400000</v>
      </c>
      <c r="D47" s="357">
        <v>5.4021999999999994E-2</v>
      </c>
      <c r="E47" s="302"/>
    </row>
    <row r="48" spans="1:5" x14ac:dyDescent="0.2">
      <c r="A48" s="248">
        <v>30</v>
      </c>
      <c r="B48" s="354">
        <v>45321</v>
      </c>
      <c r="C48" s="356">
        <v>188700000</v>
      </c>
      <c r="D48" s="357">
        <v>5.4029999999999995E-2</v>
      </c>
      <c r="E48" s="302"/>
    </row>
    <row r="49" spans="1:5" x14ac:dyDescent="0.2">
      <c r="A49" s="248">
        <v>31</v>
      </c>
      <c r="B49" s="354">
        <v>45322</v>
      </c>
      <c r="C49" s="356">
        <v>203900000</v>
      </c>
      <c r="D49" s="357">
        <v>5.3734999999999998E-2</v>
      </c>
      <c r="E49" s="30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II-C-2.5a  AVERAGE DAILY BALANCES AND COST OF BANK BORROWINGS - JANUARY 2024
TEST YEAR ENDING DECEMBER 31, 2024
SPONSOR: K. FEASE</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2">
    <tabColor rgb="FF00B050"/>
    <pageSetUpPr fitToPage="1"/>
  </sheetPr>
  <dimension ref="A1:E49"/>
  <sheetViews>
    <sheetView zoomScaleNormal="100" workbookViewId="0">
      <selection activeCell="N34" sqref="N34"/>
    </sheetView>
  </sheetViews>
  <sheetFormatPr defaultColWidth="9.140625" defaultRowHeight="12.75" x14ac:dyDescent="0.2"/>
  <cols>
    <col min="1" max="1" width="5.5703125" style="241" bestFit="1" customWidth="1"/>
    <col min="2" max="2" width="15.42578125" style="241" customWidth="1"/>
    <col min="3" max="3" width="21" style="241" customWidth="1"/>
    <col min="4" max="4" width="13.14062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303</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5" s="242" customFormat="1" ht="13.5" thickBot="1" x14ac:dyDescent="0.25">
      <c r="A17" s="250"/>
      <c r="B17" s="250" t="s">
        <v>38</v>
      </c>
      <c r="C17" s="250" t="s">
        <v>39</v>
      </c>
      <c r="D17" s="250" t="s">
        <v>40</v>
      </c>
    </row>
    <row r="18" spans="1:5" x14ac:dyDescent="0.2">
      <c r="C18" s="245"/>
      <c r="D18" s="247"/>
    </row>
    <row r="19" spans="1:5" x14ac:dyDescent="0.2">
      <c r="A19" s="248">
        <v>1</v>
      </c>
      <c r="B19" s="354">
        <v>45323</v>
      </c>
      <c r="C19" s="355">
        <v>222500000</v>
      </c>
      <c r="D19" s="301">
        <v>5.3749000000000005E-2</v>
      </c>
      <c r="E19" s="302"/>
    </row>
    <row r="20" spans="1:5" x14ac:dyDescent="0.2">
      <c r="A20" s="248">
        <v>2</v>
      </c>
      <c r="B20" s="354">
        <v>45324</v>
      </c>
      <c r="C20" s="333">
        <v>276100000</v>
      </c>
      <c r="D20" s="301">
        <v>5.3893000000000003E-2</v>
      </c>
      <c r="E20" s="302"/>
    </row>
    <row r="21" spans="1:5" x14ac:dyDescent="0.2">
      <c r="A21" s="248">
        <v>3</v>
      </c>
      <c r="B21" s="354">
        <v>45325</v>
      </c>
      <c r="C21" s="333">
        <v>276100000</v>
      </c>
      <c r="D21" s="301">
        <v>5.3893000000000003E-2</v>
      </c>
      <c r="E21" s="302"/>
    </row>
    <row r="22" spans="1:5" x14ac:dyDescent="0.2">
      <c r="A22" s="248">
        <v>4</v>
      </c>
      <c r="B22" s="354">
        <v>45326</v>
      </c>
      <c r="C22" s="333">
        <v>276100000</v>
      </c>
      <c r="D22" s="301">
        <v>5.3893000000000003E-2</v>
      </c>
      <c r="E22" s="302"/>
    </row>
    <row r="23" spans="1:5" x14ac:dyDescent="0.2">
      <c r="A23" s="248">
        <v>5</v>
      </c>
      <c r="B23" s="354">
        <v>45327</v>
      </c>
      <c r="C23" s="356">
        <v>284800000</v>
      </c>
      <c r="D23" s="301">
        <v>5.3845000000000004E-2</v>
      </c>
      <c r="E23" s="302"/>
    </row>
    <row r="24" spans="1:5" x14ac:dyDescent="0.2">
      <c r="A24" s="248">
        <v>6</v>
      </c>
      <c r="B24" s="354">
        <v>45328</v>
      </c>
      <c r="C24" s="333">
        <v>291200000</v>
      </c>
      <c r="D24" s="301">
        <v>5.3810999999999998E-2</v>
      </c>
      <c r="E24" s="302"/>
    </row>
    <row r="25" spans="1:5" x14ac:dyDescent="0.2">
      <c r="A25" s="248">
        <v>7</v>
      </c>
      <c r="B25" s="354">
        <v>45329</v>
      </c>
      <c r="C25" s="333">
        <v>338300000</v>
      </c>
      <c r="D25" s="301">
        <v>5.3955000000000003E-2</v>
      </c>
      <c r="E25" s="302"/>
    </row>
    <row r="26" spans="1:5" x14ac:dyDescent="0.2">
      <c r="A26" s="248">
        <v>8</v>
      </c>
      <c r="B26" s="354">
        <v>45330</v>
      </c>
      <c r="C26" s="333">
        <v>346400000</v>
      </c>
      <c r="D26" s="301">
        <v>5.4032999999999998E-2</v>
      </c>
      <c r="E26" s="302"/>
    </row>
    <row r="27" spans="1:5" x14ac:dyDescent="0.2">
      <c r="A27" s="248">
        <v>9</v>
      </c>
      <c r="B27" s="354">
        <v>45331</v>
      </c>
      <c r="C27" s="333">
        <v>374000000</v>
      </c>
      <c r="D27" s="301">
        <v>5.4034000000000006E-2</v>
      </c>
      <c r="E27" s="302"/>
    </row>
    <row r="28" spans="1:5" x14ac:dyDescent="0.2">
      <c r="A28" s="248">
        <v>10</v>
      </c>
      <c r="B28" s="354">
        <v>45332</v>
      </c>
      <c r="C28" s="333">
        <v>374000000</v>
      </c>
      <c r="D28" s="301">
        <v>5.4034000000000006E-2</v>
      </c>
      <c r="E28" s="302"/>
    </row>
    <row r="29" spans="1:5" x14ac:dyDescent="0.2">
      <c r="A29" s="248">
        <v>11</v>
      </c>
      <c r="B29" s="354">
        <v>45333</v>
      </c>
      <c r="C29" s="333">
        <v>374000000</v>
      </c>
      <c r="D29" s="301">
        <v>5.4034000000000006E-2</v>
      </c>
      <c r="E29" s="302"/>
    </row>
    <row r="30" spans="1:5" x14ac:dyDescent="0.2">
      <c r="A30" s="248">
        <v>12</v>
      </c>
      <c r="B30" s="354">
        <v>45334</v>
      </c>
      <c r="C30" s="356">
        <v>360100000</v>
      </c>
      <c r="D30" s="301">
        <v>5.3978999999999999E-2</v>
      </c>
      <c r="E30" s="302"/>
    </row>
    <row r="31" spans="1:5" x14ac:dyDescent="0.2">
      <c r="A31" s="248">
        <v>13</v>
      </c>
      <c r="B31" s="354">
        <v>45335</v>
      </c>
      <c r="C31" s="356">
        <v>348600000</v>
      </c>
      <c r="D31" s="301">
        <v>5.4164000000000004E-2</v>
      </c>
      <c r="E31" s="302"/>
    </row>
    <row r="32" spans="1:5" x14ac:dyDescent="0.2">
      <c r="A32" s="248">
        <v>14</v>
      </c>
      <c r="B32" s="354">
        <v>45336</v>
      </c>
      <c r="C32" s="356">
        <v>349800000</v>
      </c>
      <c r="D32" s="301">
        <v>5.4189000000000001E-2</v>
      </c>
      <c r="E32" s="302"/>
    </row>
    <row r="33" spans="1:5" x14ac:dyDescent="0.2">
      <c r="A33" s="248">
        <v>15</v>
      </c>
      <c r="B33" s="354">
        <v>45337</v>
      </c>
      <c r="C33" s="356">
        <v>471200000</v>
      </c>
      <c r="D33" s="301">
        <v>5.4218000000000002E-2</v>
      </c>
      <c r="E33" s="302"/>
    </row>
    <row r="34" spans="1:5" x14ac:dyDescent="0.2">
      <c r="A34" s="248">
        <v>16</v>
      </c>
      <c r="B34" s="354">
        <v>45338</v>
      </c>
      <c r="C34" s="356">
        <v>239500000</v>
      </c>
      <c r="D34" s="301">
        <v>5.4216E-2</v>
      </c>
      <c r="E34" s="302"/>
    </row>
    <row r="35" spans="1:5" x14ac:dyDescent="0.2">
      <c r="A35" s="248">
        <v>17</v>
      </c>
      <c r="B35" s="354">
        <v>45339</v>
      </c>
      <c r="C35" s="356">
        <v>239500000</v>
      </c>
      <c r="D35" s="301">
        <v>5.4216E-2</v>
      </c>
      <c r="E35" s="302"/>
    </row>
    <row r="36" spans="1:5" x14ac:dyDescent="0.2">
      <c r="A36" s="248">
        <v>18</v>
      </c>
      <c r="B36" s="354">
        <v>45340</v>
      </c>
      <c r="C36" s="356">
        <v>239500000</v>
      </c>
      <c r="D36" s="301">
        <v>5.4216E-2</v>
      </c>
      <c r="E36" s="302"/>
    </row>
    <row r="37" spans="1:5" x14ac:dyDescent="0.2">
      <c r="A37" s="248">
        <v>19</v>
      </c>
      <c r="B37" s="354">
        <v>45341</v>
      </c>
      <c r="C37" s="356">
        <v>239500000</v>
      </c>
      <c r="D37" s="301">
        <v>5.4216E-2</v>
      </c>
      <c r="E37" s="302"/>
    </row>
    <row r="38" spans="1:5" x14ac:dyDescent="0.2">
      <c r="A38" s="248">
        <v>20</v>
      </c>
      <c r="B38" s="354">
        <v>45342</v>
      </c>
      <c r="C38" s="356">
        <v>249000000</v>
      </c>
      <c r="D38" s="301">
        <v>5.4210000000000001E-2</v>
      </c>
      <c r="E38" s="302"/>
    </row>
    <row r="39" spans="1:5" x14ac:dyDescent="0.2">
      <c r="A39" s="248">
        <v>21</v>
      </c>
      <c r="B39" s="354">
        <v>45343</v>
      </c>
      <c r="C39" s="356">
        <v>185816000</v>
      </c>
      <c r="D39" s="301">
        <v>5.4207999999999999E-2</v>
      </c>
      <c r="E39" s="302"/>
    </row>
    <row r="40" spans="1:5" x14ac:dyDescent="0.2">
      <c r="A40" s="248">
        <v>22</v>
      </c>
      <c r="B40" s="354">
        <v>45344</v>
      </c>
      <c r="C40" s="356">
        <v>184966000</v>
      </c>
      <c r="D40" s="301">
        <v>5.4035E-2</v>
      </c>
      <c r="E40" s="302"/>
    </row>
    <row r="41" spans="1:5" x14ac:dyDescent="0.2">
      <c r="A41" s="248">
        <v>23</v>
      </c>
      <c r="B41" s="354">
        <v>45345</v>
      </c>
      <c r="C41" s="356">
        <v>209600000</v>
      </c>
      <c r="D41" s="301">
        <v>5.4039999999999998E-2</v>
      </c>
      <c r="E41" s="302"/>
    </row>
    <row r="42" spans="1:5" x14ac:dyDescent="0.2">
      <c r="A42" s="248">
        <v>24</v>
      </c>
      <c r="B42" s="354">
        <v>45346</v>
      </c>
      <c r="C42" s="356">
        <v>209600000</v>
      </c>
      <c r="D42" s="301">
        <v>5.4039999999999998E-2</v>
      </c>
      <c r="E42" s="302"/>
    </row>
    <row r="43" spans="1:5" x14ac:dyDescent="0.2">
      <c r="A43" s="248">
        <v>25</v>
      </c>
      <c r="B43" s="354">
        <v>45347</v>
      </c>
      <c r="C43" s="356">
        <v>209600000</v>
      </c>
      <c r="D43" s="301">
        <v>5.4039999999999998E-2</v>
      </c>
      <c r="E43" s="302"/>
    </row>
    <row r="44" spans="1:5" x14ac:dyDescent="0.2">
      <c r="A44" s="248">
        <v>26</v>
      </c>
      <c r="B44" s="354">
        <v>45348</v>
      </c>
      <c r="C44" s="356">
        <v>201600000</v>
      </c>
      <c r="D44" s="301">
        <v>5.4039000000000004E-2</v>
      </c>
      <c r="E44" s="302"/>
    </row>
    <row r="45" spans="1:5" x14ac:dyDescent="0.2">
      <c r="A45" s="248">
        <v>27</v>
      </c>
      <c r="B45" s="354">
        <v>45349</v>
      </c>
      <c r="C45" s="356">
        <v>197600000</v>
      </c>
      <c r="D45" s="301">
        <v>5.4039999999999998E-2</v>
      </c>
      <c r="E45" s="302"/>
    </row>
    <row r="46" spans="1:5" x14ac:dyDescent="0.2">
      <c r="A46" s="248">
        <v>28</v>
      </c>
      <c r="B46" s="354">
        <v>45350</v>
      </c>
      <c r="C46" s="356">
        <v>0</v>
      </c>
      <c r="D46" s="301">
        <v>0</v>
      </c>
      <c r="E46" s="302"/>
    </row>
    <row r="47" spans="1:5" x14ac:dyDescent="0.2">
      <c r="A47" s="248">
        <v>29</v>
      </c>
      <c r="B47" s="354">
        <v>45351</v>
      </c>
      <c r="C47" s="356">
        <v>0</v>
      </c>
      <c r="D47" s="357">
        <v>0</v>
      </c>
      <c r="E47" s="302"/>
    </row>
    <row r="48" spans="1:5" x14ac:dyDescent="0.2">
      <c r="A48" s="248"/>
      <c r="C48" s="300"/>
      <c r="D48" s="272"/>
    </row>
    <row r="49" spans="1:4" x14ac:dyDescent="0.2">
      <c r="A49" s="248"/>
      <c r="C49" s="300"/>
      <c r="D49" s="27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II-C-2.5b  AVERAGE DAILY BALANCES AND COST OF BANK BORROWINGS - FEBRUARY 2024
TEST YEAR ENDING DECEMBER 31, 2024
SPONSOR: K. FEASE</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3">
    <tabColor rgb="FF00B050"/>
    <pageSetUpPr fitToPage="1"/>
  </sheetPr>
  <dimension ref="A1:E49"/>
  <sheetViews>
    <sheetView zoomScaleNormal="100" workbookViewId="0">
      <pane ySplit="6" topLeftCell="A7" activePane="bottomLeft" state="frozen"/>
      <selection activeCell="P34" sqref="P34"/>
      <selection pane="bottomLeft" activeCell="L34" sqref="L34"/>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304</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5" s="242" customFormat="1" ht="13.5" thickBot="1" x14ac:dyDescent="0.25">
      <c r="A17" s="250"/>
      <c r="B17" s="250" t="s">
        <v>38</v>
      </c>
      <c r="C17" s="250" t="s">
        <v>39</v>
      </c>
      <c r="D17" s="250" t="s">
        <v>40</v>
      </c>
    </row>
    <row r="18" spans="1:5" x14ac:dyDescent="0.2">
      <c r="C18" s="245"/>
      <c r="D18" s="247"/>
    </row>
    <row r="19" spans="1:5" x14ac:dyDescent="0.2">
      <c r="A19" s="248">
        <v>1</v>
      </c>
      <c r="B19" s="354">
        <v>45352</v>
      </c>
      <c r="C19" s="355">
        <v>11300000</v>
      </c>
      <c r="D19" s="301">
        <v>5.4024000000000003E-2</v>
      </c>
      <c r="E19" s="302"/>
    </row>
    <row r="20" spans="1:5" x14ac:dyDescent="0.2">
      <c r="A20" s="248">
        <v>2</v>
      </c>
      <c r="B20" s="354">
        <v>45353</v>
      </c>
      <c r="C20" s="333">
        <v>11300000</v>
      </c>
      <c r="D20" s="301">
        <v>5.4024000000000003E-2</v>
      </c>
      <c r="E20" s="302"/>
    </row>
    <row r="21" spans="1:5" x14ac:dyDescent="0.2">
      <c r="A21" s="248">
        <v>3</v>
      </c>
      <c r="B21" s="354">
        <v>45354</v>
      </c>
      <c r="C21" s="333">
        <v>11300000</v>
      </c>
      <c r="D21" s="301">
        <v>5.4024000000000003E-2</v>
      </c>
      <c r="E21" s="302"/>
    </row>
    <row r="22" spans="1:5" x14ac:dyDescent="0.2">
      <c r="A22" s="248">
        <v>4</v>
      </c>
      <c r="B22" s="354">
        <v>45355</v>
      </c>
      <c r="C22" s="333">
        <v>0</v>
      </c>
      <c r="D22" s="301">
        <v>0</v>
      </c>
      <c r="E22" s="302"/>
    </row>
    <row r="23" spans="1:5" x14ac:dyDescent="0.2">
      <c r="A23" s="248">
        <v>5</v>
      </c>
      <c r="B23" s="354">
        <v>45356</v>
      </c>
      <c r="C23" s="356">
        <v>0</v>
      </c>
      <c r="D23" s="301">
        <v>0</v>
      </c>
      <c r="E23" s="302"/>
    </row>
    <row r="24" spans="1:5" x14ac:dyDescent="0.2">
      <c r="A24" s="248">
        <v>6</v>
      </c>
      <c r="B24" s="354">
        <v>45357</v>
      </c>
      <c r="C24" s="333">
        <v>2600000</v>
      </c>
      <c r="D24" s="301">
        <v>5.4008E-2</v>
      </c>
      <c r="E24" s="302"/>
    </row>
    <row r="25" spans="1:5" x14ac:dyDescent="0.2">
      <c r="A25" s="248">
        <v>7</v>
      </c>
      <c r="B25" s="354">
        <v>45358</v>
      </c>
      <c r="C25" s="333">
        <v>1000000</v>
      </c>
      <c r="D25" s="301">
        <v>5.4008E-2</v>
      </c>
      <c r="E25" s="302"/>
    </row>
    <row r="26" spans="1:5" x14ac:dyDescent="0.2">
      <c r="A26" s="248">
        <v>8</v>
      </c>
      <c r="B26" s="354">
        <v>45359</v>
      </c>
      <c r="C26" s="333">
        <v>51300000</v>
      </c>
      <c r="D26" s="301">
        <v>5.4031999999999997E-2</v>
      </c>
      <c r="E26" s="302"/>
    </row>
    <row r="27" spans="1:5" x14ac:dyDescent="0.2">
      <c r="A27" s="248">
        <v>9</v>
      </c>
      <c r="B27" s="354">
        <v>45360</v>
      </c>
      <c r="C27" s="333">
        <v>51300000</v>
      </c>
      <c r="D27" s="301">
        <v>5.4031999999999997E-2</v>
      </c>
      <c r="E27" s="302"/>
    </row>
    <row r="28" spans="1:5" x14ac:dyDescent="0.2">
      <c r="A28" s="248">
        <v>10</v>
      </c>
      <c r="B28" s="354">
        <v>45361</v>
      </c>
      <c r="C28" s="333">
        <v>51300000</v>
      </c>
      <c r="D28" s="301">
        <v>5.4031999999999997E-2</v>
      </c>
      <c r="E28" s="302"/>
    </row>
    <row r="29" spans="1:5" x14ac:dyDescent="0.2">
      <c r="A29" s="248">
        <v>11</v>
      </c>
      <c r="B29" s="354">
        <v>45362</v>
      </c>
      <c r="C29" s="333">
        <v>100600000</v>
      </c>
      <c r="D29" s="301">
        <v>5.4027000000000006E-2</v>
      </c>
      <c r="E29" s="302"/>
    </row>
    <row r="30" spans="1:5" x14ac:dyDescent="0.2">
      <c r="A30" s="248">
        <v>12</v>
      </c>
      <c r="B30" s="354">
        <v>45363</v>
      </c>
      <c r="C30" s="356">
        <v>106100000</v>
      </c>
      <c r="D30" s="301">
        <v>5.4021E-2</v>
      </c>
      <c r="E30" s="302"/>
    </row>
    <row r="31" spans="1:5" x14ac:dyDescent="0.2">
      <c r="A31" s="248">
        <v>13</v>
      </c>
      <c r="B31" s="354">
        <v>45364</v>
      </c>
      <c r="C31" s="356">
        <v>101500000</v>
      </c>
      <c r="D31" s="301">
        <v>5.4021E-2</v>
      </c>
      <c r="E31" s="302"/>
    </row>
    <row r="32" spans="1:5" x14ac:dyDescent="0.2">
      <c r="A32" s="248">
        <v>14</v>
      </c>
      <c r="B32" s="354">
        <v>45365</v>
      </c>
      <c r="C32" s="356">
        <v>108600000</v>
      </c>
      <c r="D32" s="301">
        <v>5.4034000000000006E-2</v>
      </c>
      <c r="E32" s="302"/>
    </row>
    <row r="33" spans="1:5" x14ac:dyDescent="0.2">
      <c r="A33" s="248">
        <v>15</v>
      </c>
      <c r="B33" s="354">
        <v>45366</v>
      </c>
      <c r="C33" s="356">
        <v>179300000</v>
      </c>
      <c r="D33" s="301">
        <v>5.4044999999999996E-2</v>
      </c>
      <c r="E33" s="302"/>
    </row>
    <row r="34" spans="1:5" x14ac:dyDescent="0.2">
      <c r="A34" s="248">
        <v>16</v>
      </c>
      <c r="B34" s="354">
        <v>45367</v>
      </c>
      <c r="C34" s="356">
        <v>179300000</v>
      </c>
      <c r="D34" s="301">
        <v>5.4044999999999996E-2</v>
      </c>
      <c r="E34" s="302"/>
    </row>
    <row r="35" spans="1:5" x14ac:dyDescent="0.2">
      <c r="A35" s="248">
        <v>17</v>
      </c>
      <c r="B35" s="354">
        <v>45368</v>
      </c>
      <c r="C35" s="356">
        <v>179300000</v>
      </c>
      <c r="D35" s="301">
        <v>5.4044999999999996E-2</v>
      </c>
      <c r="E35" s="302"/>
    </row>
    <row r="36" spans="1:5" x14ac:dyDescent="0.2">
      <c r="A36" s="248">
        <v>18</v>
      </c>
      <c r="B36" s="354">
        <v>45369</v>
      </c>
      <c r="C36" s="356">
        <v>166200000</v>
      </c>
      <c r="D36" s="301">
        <v>5.4034000000000006E-2</v>
      </c>
      <c r="E36" s="302"/>
    </row>
    <row r="37" spans="1:5" x14ac:dyDescent="0.2">
      <c r="A37" s="248">
        <v>19</v>
      </c>
      <c r="B37" s="354">
        <v>45370</v>
      </c>
      <c r="C37" s="356">
        <v>158050000</v>
      </c>
      <c r="D37" s="301">
        <v>5.4063E-2</v>
      </c>
      <c r="E37" s="302"/>
    </row>
    <row r="38" spans="1:5" x14ac:dyDescent="0.2">
      <c r="A38" s="248">
        <v>20</v>
      </c>
      <c r="B38" s="354">
        <v>45371</v>
      </c>
      <c r="C38" s="356">
        <v>148100000</v>
      </c>
      <c r="D38" s="301">
        <v>5.4071000000000001E-2</v>
      </c>
      <c r="E38" s="302"/>
    </row>
    <row r="39" spans="1:5" x14ac:dyDescent="0.2">
      <c r="A39" s="248">
        <v>21</v>
      </c>
      <c r="B39" s="354">
        <v>45372</v>
      </c>
      <c r="C39" s="356">
        <v>155600000</v>
      </c>
      <c r="D39" s="301">
        <v>5.4025999999999998E-2</v>
      </c>
      <c r="E39" s="302"/>
    </row>
    <row r="40" spans="1:5" x14ac:dyDescent="0.2">
      <c r="A40" s="248">
        <v>22</v>
      </c>
      <c r="B40" s="354">
        <v>45373</v>
      </c>
      <c r="C40" s="356">
        <v>187500000</v>
      </c>
      <c r="D40" s="301">
        <v>5.4181E-2</v>
      </c>
      <c r="E40" s="302"/>
    </row>
    <row r="41" spans="1:5" x14ac:dyDescent="0.2">
      <c r="A41" s="248">
        <v>23</v>
      </c>
      <c r="B41" s="354">
        <v>45374</v>
      </c>
      <c r="C41" s="356">
        <v>187500000</v>
      </c>
      <c r="D41" s="301">
        <v>5.4181E-2</v>
      </c>
      <c r="E41" s="302"/>
    </row>
    <row r="42" spans="1:5" x14ac:dyDescent="0.2">
      <c r="A42" s="248">
        <v>24</v>
      </c>
      <c r="B42" s="354">
        <v>45375</v>
      </c>
      <c r="C42" s="356">
        <v>187500000</v>
      </c>
      <c r="D42" s="301">
        <v>5.4181E-2</v>
      </c>
      <c r="E42" s="302"/>
    </row>
    <row r="43" spans="1:5" x14ac:dyDescent="0.2">
      <c r="A43" s="248">
        <v>25</v>
      </c>
      <c r="B43" s="354">
        <v>45376</v>
      </c>
      <c r="C43" s="356">
        <v>186200000</v>
      </c>
      <c r="D43" s="301">
        <v>5.4040999999999999E-2</v>
      </c>
      <c r="E43" s="302"/>
    </row>
    <row r="44" spans="1:5" x14ac:dyDescent="0.2">
      <c r="A44" s="248">
        <v>26</v>
      </c>
      <c r="B44" s="354">
        <v>45377</v>
      </c>
      <c r="C44" s="356">
        <v>176600000</v>
      </c>
      <c r="D44" s="301">
        <v>5.4040999999999999E-2</v>
      </c>
      <c r="E44" s="302"/>
    </row>
    <row r="45" spans="1:5" x14ac:dyDescent="0.2">
      <c r="A45" s="248">
        <v>27</v>
      </c>
      <c r="B45" s="354">
        <v>45378</v>
      </c>
      <c r="C45" s="356">
        <v>177950000</v>
      </c>
      <c r="D45" s="301">
        <v>5.4096999999999999E-2</v>
      </c>
      <c r="E45" s="302"/>
    </row>
    <row r="46" spans="1:5" x14ac:dyDescent="0.2">
      <c r="A46" s="248">
        <v>28</v>
      </c>
      <c r="B46" s="354">
        <v>45379</v>
      </c>
      <c r="C46" s="356">
        <v>0</v>
      </c>
      <c r="D46" s="301">
        <v>0</v>
      </c>
      <c r="E46" s="302"/>
    </row>
    <row r="47" spans="1:5" x14ac:dyDescent="0.2">
      <c r="A47" s="248">
        <v>29</v>
      </c>
      <c r="B47" s="354">
        <v>45380</v>
      </c>
      <c r="C47" s="356">
        <v>0</v>
      </c>
      <c r="D47" s="301">
        <v>0</v>
      </c>
      <c r="E47" s="302"/>
    </row>
    <row r="48" spans="1:5" x14ac:dyDescent="0.2">
      <c r="A48" s="248">
        <v>30</v>
      </c>
      <c r="B48" s="354">
        <v>45381</v>
      </c>
      <c r="C48" s="356">
        <v>0</v>
      </c>
      <c r="D48" s="301">
        <v>0</v>
      </c>
      <c r="E48" s="302"/>
    </row>
    <row r="49" spans="1:5" x14ac:dyDescent="0.2">
      <c r="A49" s="248">
        <v>31</v>
      </c>
      <c r="B49" s="354">
        <v>45382</v>
      </c>
      <c r="C49" s="356">
        <v>0</v>
      </c>
      <c r="D49" s="301">
        <v>0</v>
      </c>
      <c r="E49" s="30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II-C-2.5c  AVERAGE DAILY BALANCES AND COST OF BANK BORROWINGS - MARCH 2024
TEST YEAR ENDING DECEMBER 31, 2024
SPONSOR: K. FEASE</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4">
    <tabColor rgb="FF00B050"/>
    <pageSetUpPr fitToPage="1"/>
  </sheetPr>
  <dimension ref="A1:D50"/>
  <sheetViews>
    <sheetView zoomScaleNormal="100" workbookViewId="0">
      <pane ySplit="6" topLeftCell="A7" activePane="bottomLeft" state="frozen"/>
      <selection activeCell="P34" sqref="P34"/>
      <selection pane="bottomLeft" activeCell="M31" sqref="M31"/>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305</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4" s="242" customFormat="1" ht="13.5" thickBot="1" x14ac:dyDescent="0.25">
      <c r="A17" s="250"/>
      <c r="B17" s="250" t="s">
        <v>38</v>
      </c>
      <c r="C17" s="250" t="s">
        <v>39</v>
      </c>
      <c r="D17" s="250" t="s">
        <v>40</v>
      </c>
    </row>
    <row r="18" spans="1:4" x14ac:dyDescent="0.2">
      <c r="C18" s="245"/>
      <c r="D18" s="247"/>
    </row>
    <row r="19" spans="1:4" x14ac:dyDescent="0.2">
      <c r="A19" s="248">
        <v>1</v>
      </c>
      <c r="B19" s="354">
        <v>45383</v>
      </c>
      <c r="C19" s="355">
        <v>0</v>
      </c>
      <c r="D19" s="301">
        <v>0</v>
      </c>
    </row>
    <row r="20" spans="1:4" x14ac:dyDescent="0.2">
      <c r="A20" s="248">
        <v>2</v>
      </c>
      <c r="B20" s="354">
        <v>45384</v>
      </c>
      <c r="C20" s="333">
        <v>0</v>
      </c>
      <c r="D20" s="301">
        <v>0</v>
      </c>
    </row>
    <row r="21" spans="1:4" x14ac:dyDescent="0.2">
      <c r="A21" s="248">
        <v>3</v>
      </c>
      <c r="B21" s="354">
        <v>45385</v>
      </c>
      <c r="C21" s="333">
        <v>0</v>
      </c>
      <c r="D21" s="301">
        <v>0</v>
      </c>
    </row>
    <row r="22" spans="1:4" x14ac:dyDescent="0.2">
      <c r="A22" s="248">
        <v>4</v>
      </c>
      <c r="B22" s="354">
        <v>45386</v>
      </c>
      <c r="C22" s="333">
        <v>0</v>
      </c>
      <c r="D22" s="301">
        <v>0</v>
      </c>
    </row>
    <row r="23" spans="1:4" x14ac:dyDescent="0.2">
      <c r="A23" s="248">
        <v>5</v>
      </c>
      <c r="B23" s="354">
        <v>45387</v>
      </c>
      <c r="C23" s="333">
        <v>29900000</v>
      </c>
      <c r="D23" s="301">
        <v>5.4324999999999998E-2</v>
      </c>
    </row>
    <row r="24" spans="1:4" x14ac:dyDescent="0.2">
      <c r="A24" s="248">
        <v>6</v>
      </c>
      <c r="B24" s="354">
        <v>45388</v>
      </c>
      <c r="C24" s="333">
        <v>29900000</v>
      </c>
      <c r="D24" s="301">
        <v>5.4324999999999998E-2</v>
      </c>
    </row>
    <row r="25" spans="1:4" x14ac:dyDescent="0.2">
      <c r="A25" s="248">
        <v>7</v>
      </c>
      <c r="B25" s="354">
        <v>45389</v>
      </c>
      <c r="C25" s="333">
        <v>29900000</v>
      </c>
      <c r="D25" s="301">
        <v>5.4324999999999998E-2</v>
      </c>
    </row>
    <row r="26" spans="1:4" x14ac:dyDescent="0.2">
      <c r="A26" s="248">
        <v>8</v>
      </c>
      <c r="B26" s="354">
        <v>45390</v>
      </c>
      <c r="C26" s="333">
        <v>74250000</v>
      </c>
      <c r="D26" s="301">
        <v>5.4316000000000003E-2</v>
      </c>
    </row>
    <row r="27" spans="1:4" x14ac:dyDescent="0.2">
      <c r="A27" s="248">
        <v>9</v>
      </c>
      <c r="B27" s="354">
        <v>45391</v>
      </c>
      <c r="C27" s="333">
        <v>76075000</v>
      </c>
      <c r="D27" s="301">
        <v>5.4313E-2</v>
      </c>
    </row>
    <row r="28" spans="1:4" x14ac:dyDescent="0.2">
      <c r="A28" s="248">
        <v>10</v>
      </c>
      <c r="B28" s="354">
        <v>45392</v>
      </c>
      <c r="C28" s="333">
        <v>75400000</v>
      </c>
      <c r="D28" s="301">
        <v>5.4008E-2</v>
      </c>
    </row>
    <row r="29" spans="1:4" x14ac:dyDescent="0.2">
      <c r="A29" s="248">
        <v>11</v>
      </c>
      <c r="B29" s="354">
        <v>45393</v>
      </c>
      <c r="C29" s="359">
        <v>72100000</v>
      </c>
      <c r="D29" s="301">
        <v>5.4044000000000002E-2</v>
      </c>
    </row>
    <row r="30" spans="1:4" x14ac:dyDescent="0.2">
      <c r="A30" s="248">
        <v>12</v>
      </c>
      <c r="B30" s="354">
        <v>45394</v>
      </c>
      <c r="C30" s="333">
        <v>93700000</v>
      </c>
      <c r="D30" s="301">
        <v>5.4048999999999993E-2</v>
      </c>
    </row>
    <row r="31" spans="1:4" x14ac:dyDescent="0.2">
      <c r="A31" s="248">
        <v>13</v>
      </c>
      <c r="B31" s="354">
        <v>45395</v>
      </c>
      <c r="C31" s="333">
        <v>93700000</v>
      </c>
      <c r="D31" s="301">
        <v>5.4048999999999993E-2</v>
      </c>
    </row>
    <row r="32" spans="1:4" x14ac:dyDescent="0.2">
      <c r="A32" s="248">
        <v>14</v>
      </c>
      <c r="B32" s="354">
        <v>45396</v>
      </c>
      <c r="C32" s="333">
        <v>93700000</v>
      </c>
      <c r="D32" s="301">
        <v>5.4048999999999993E-2</v>
      </c>
    </row>
    <row r="33" spans="1:4" x14ac:dyDescent="0.2">
      <c r="A33" s="248">
        <v>15</v>
      </c>
      <c r="B33" s="354">
        <v>45397</v>
      </c>
      <c r="C33" s="333">
        <v>102200000</v>
      </c>
      <c r="D33" s="301">
        <v>5.4047999999999999E-2</v>
      </c>
    </row>
    <row r="34" spans="1:4" x14ac:dyDescent="0.2">
      <c r="A34" s="248">
        <v>16</v>
      </c>
      <c r="B34" s="354">
        <v>45398</v>
      </c>
      <c r="C34" s="333">
        <v>93700000</v>
      </c>
      <c r="D34" s="301">
        <v>5.4048999999999993E-2</v>
      </c>
    </row>
    <row r="35" spans="1:4" x14ac:dyDescent="0.2">
      <c r="A35" s="248">
        <v>17</v>
      </c>
      <c r="B35" s="354">
        <v>45399</v>
      </c>
      <c r="C35" s="333">
        <v>94450000</v>
      </c>
      <c r="D35" s="301">
        <v>5.4044000000000002E-2</v>
      </c>
    </row>
    <row r="36" spans="1:4" x14ac:dyDescent="0.2">
      <c r="A36" s="248">
        <v>18</v>
      </c>
      <c r="B36" s="354">
        <v>45400</v>
      </c>
      <c r="C36" s="333">
        <v>99100000</v>
      </c>
      <c r="D36" s="301">
        <v>5.4044000000000002E-2</v>
      </c>
    </row>
    <row r="37" spans="1:4" x14ac:dyDescent="0.2">
      <c r="A37" s="248">
        <v>19</v>
      </c>
      <c r="B37" s="354">
        <v>45401</v>
      </c>
      <c r="C37" s="333">
        <v>140000000</v>
      </c>
      <c r="D37" s="301">
        <v>5.4063E-2</v>
      </c>
    </row>
    <row r="38" spans="1:4" x14ac:dyDescent="0.2">
      <c r="A38" s="248">
        <v>20</v>
      </c>
      <c r="B38" s="354">
        <v>45402</v>
      </c>
      <c r="C38" s="333">
        <v>140000000</v>
      </c>
      <c r="D38" s="301">
        <v>5.4063E-2</v>
      </c>
    </row>
    <row r="39" spans="1:4" x14ac:dyDescent="0.2">
      <c r="A39" s="248">
        <v>21</v>
      </c>
      <c r="B39" s="354">
        <v>45403</v>
      </c>
      <c r="C39" s="333">
        <v>140000000</v>
      </c>
      <c r="D39" s="301">
        <v>5.4063E-2</v>
      </c>
    </row>
    <row r="40" spans="1:4" x14ac:dyDescent="0.2">
      <c r="A40" s="248">
        <v>22</v>
      </c>
      <c r="B40" s="354">
        <v>45404</v>
      </c>
      <c r="C40" s="333">
        <v>146600000</v>
      </c>
      <c r="D40" s="301">
        <v>5.4066000000000003E-2</v>
      </c>
    </row>
    <row r="41" spans="1:4" x14ac:dyDescent="0.2">
      <c r="A41" s="248">
        <v>23</v>
      </c>
      <c r="B41" s="354">
        <v>45405</v>
      </c>
      <c r="C41" s="333">
        <v>131500000</v>
      </c>
      <c r="D41" s="301">
        <v>5.4012000000000004E-2</v>
      </c>
    </row>
    <row r="42" spans="1:4" x14ac:dyDescent="0.2">
      <c r="A42" s="248">
        <v>24</v>
      </c>
      <c r="B42" s="354">
        <v>45406</v>
      </c>
      <c r="C42" s="333">
        <v>0</v>
      </c>
      <c r="D42" s="301">
        <v>0</v>
      </c>
    </row>
    <row r="43" spans="1:4" x14ac:dyDescent="0.2">
      <c r="A43" s="248">
        <v>25</v>
      </c>
      <c r="B43" s="354">
        <v>45407</v>
      </c>
      <c r="C43" s="333">
        <v>0</v>
      </c>
      <c r="D43" s="301">
        <v>0</v>
      </c>
    </row>
    <row r="44" spans="1:4" x14ac:dyDescent="0.2">
      <c r="A44" s="248">
        <v>26</v>
      </c>
      <c r="B44" s="354">
        <v>45408</v>
      </c>
      <c r="C44" s="333">
        <v>22000000</v>
      </c>
      <c r="D44" s="301">
        <v>5.4024000000000003E-2</v>
      </c>
    </row>
    <row r="45" spans="1:4" x14ac:dyDescent="0.2">
      <c r="A45" s="248">
        <v>27</v>
      </c>
      <c r="B45" s="354">
        <v>45409</v>
      </c>
      <c r="C45" s="333">
        <v>22000000</v>
      </c>
      <c r="D45" s="301">
        <v>5.4024000000000003E-2</v>
      </c>
    </row>
    <row r="46" spans="1:4" x14ac:dyDescent="0.2">
      <c r="A46" s="248">
        <v>28</v>
      </c>
      <c r="B46" s="354">
        <v>45410</v>
      </c>
      <c r="C46" s="333">
        <v>22000000</v>
      </c>
      <c r="D46" s="301">
        <v>5.4024000000000003E-2</v>
      </c>
    </row>
    <row r="47" spans="1:4" x14ac:dyDescent="0.2">
      <c r="A47" s="248">
        <v>29</v>
      </c>
      <c r="B47" s="354">
        <v>45411</v>
      </c>
      <c r="C47" s="333">
        <v>0</v>
      </c>
      <c r="D47" s="301">
        <v>0</v>
      </c>
    </row>
    <row r="48" spans="1:4" x14ac:dyDescent="0.2">
      <c r="A48" s="248">
        <v>30</v>
      </c>
      <c r="B48" s="354">
        <v>45412</v>
      </c>
      <c r="C48" s="333">
        <v>0</v>
      </c>
      <c r="D48" s="301">
        <v>0</v>
      </c>
    </row>
    <row r="49" spans="1:4" x14ac:dyDescent="0.2">
      <c r="A49" s="248"/>
      <c r="B49" s="312"/>
      <c r="C49" s="300"/>
      <c r="D49" s="272"/>
    </row>
    <row r="50" spans="1:4" x14ac:dyDescent="0.2">
      <c r="B50"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II-C-2.5d  AVERAGE DAILY BALANCES AND COST OF BANK BORROWINGS - APRIL 2024
TEST YEAR ENDING DECEMBER 31, 2024
SPONSOR: K. FEASE</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5">
    <tabColor rgb="FF00B050"/>
    <pageSetUpPr fitToPage="1"/>
  </sheetPr>
  <dimension ref="A1:D76"/>
  <sheetViews>
    <sheetView zoomScaleNormal="100" workbookViewId="0">
      <pane ySplit="6" topLeftCell="A7" activePane="bottomLeft" state="frozen"/>
      <selection activeCell="P34" sqref="P34"/>
      <selection pane="bottomLeft" activeCell="O36" sqref="O36"/>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306</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4" s="242" customFormat="1" ht="13.5" thickBot="1" x14ac:dyDescent="0.25">
      <c r="A17" s="250"/>
      <c r="B17" s="250" t="s">
        <v>38</v>
      </c>
      <c r="C17" s="250" t="s">
        <v>39</v>
      </c>
      <c r="D17" s="250" t="s">
        <v>40</v>
      </c>
    </row>
    <row r="18" spans="1:4" x14ac:dyDescent="0.2">
      <c r="C18" s="245"/>
      <c r="D18" s="247"/>
    </row>
    <row r="19" spans="1:4" x14ac:dyDescent="0.2">
      <c r="A19" s="248">
        <v>1</v>
      </c>
      <c r="B19" s="354">
        <v>45413</v>
      </c>
      <c r="C19" s="355">
        <v>104000000</v>
      </c>
      <c r="D19" s="301">
        <v>5.4046999999999998E-2</v>
      </c>
    </row>
    <row r="20" spans="1:4" x14ac:dyDescent="0.2">
      <c r="A20" s="248">
        <v>2</v>
      </c>
      <c r="B20" s="354">
        <v>45414</v>
      </c>
      <c r="C20" s="333">
        <v>143900000</v>
      </c>
      <c r="D20" s="301">
        <v>5.4014E-2</v>
      </c>
    </row>
    <row r="21" spans="1:4" x14ac:dyDescent="0.2">
      <c r="A21" s="248">
        <v>3</v>
      </c>
      <c r="B21" s="354">
        <v>45415</v>
      </c>
      <c r="C21" s="333">
        <v>0</v>
      </c>
      <c r="D21" s="301">
        <v>0</v>
      </c>
    </row>
    <row r="22" spans="1:4" x14ac:dyDescent="0.2">
      <c r="A22" s="248">
        <v>4</v>
      </c>
      <c r="B22" s="354">
        <v>45416</v>
      </c>
      <c r="C22" s="333">
        <v>0</v>
      </c>
      <c r="D22" s="301">
        <v>0</v>
      </c>
    </row>
    <row r="23" spans="1:4" x14ac:dyDescent="0.2">
      <c r="A23" s="248">
        <v>5</v>
      </c>
      <c r="B23" s="354">
        <v>45417</v>
      </c>
      <c r="C23" s="333">
        <v>0</v>
      </c>
      <c r="D23" s="301">
        <v>0</v>
      </c>
    </row>
    <row r="24" spans="1:4" x14ac:dyDescent="0.2">
      <c r="A24" s="248">
        <v>6</v>
      </c>
      <c r="B24" s="354">
        <v>45418</v>
      </c>
      <c r="C24" s="333">
        <v>0</v>
      </c>
      <c r="D24" s="301">
        <v>0</v>
      </c>
    </row>
    <row r="25" spans="1:4" x14ac:dyDescent="0.2">
      <c r="A25" s="248">
        <v>7</v>
      </c>
      <c r="B25" s="354">
        <v>45419</v>
      </c>
      <c r="C25" s="333">
        <v>0</v>
      </c>
      <c r="D25" s="301">
        <v>0</v>
      </c>
    </row>
    <row r="26" spans="1:4" x14ac:dyDescent="0.2">
      <c r="A26" s="248">
        <v>8</v>
      </c>
      <c r="B26" s="354">
        <v>45420</v>
      </c>
      <c r="C26" s="333">
        <v>0</v>
      </c>
      <c r="D26" s="301">
        <v>0</v>
      </c>
    </row>
    <row r="27" spans="1:4" x14ac:dyDescent="0.2">
      <c r="A27" s="248">
        <v>9</v>
      </c>
      <c r="B27" s="354">
        <v>45421</v>
      </c>
      <c r="C27" s="333">
        <v>0</v>
      </c>
      <c r="D27" s="301">
        <v>0</v>
      </c>
    </row>
    <row r="28" spans="1:4" x14ac:dyDescent="0.2">
      <c r="A28" s="248">
        <v>10</v>
      </c>
      <c r="B28" s="354">
        <v>45422</v>
      </c>
      <c r="C28" s="333">
        <v>0</v>
      </c>
      <c r="D28" s="301">
        <v>0</v>
      </c>
    </row>
    <row r="29" spans="1:4" x14ac:dyDescent="0.2">
      <c r="A29" s="248">
        <v>11</v>
      </c>
      <c r="B29" s="354">
        <v>45423</v>
      </c>
      <c r="C29" s="333">
        <v>0</v>
      </c>
      <c r="D29" s="301">
        <v>0</v>
      </c>
    </row>
    <row r="30" spans="1:4" x14ac:dyDescent="0.2">
      <c r="A30" s="248">
        <v>12</v>
      </c>
      <c r="B30" s="354">
        <v>45424</v>
      </c>
      <c r="C30" s="333">
        <v>0</v>
      </c>
      <c r="D30" s="301">
        <v>0</v>
      </c>
    </row>
    <row r="31" spans="1:4" x14ac:dyDescent="0.2">
      <c r="A31" s="248">
        <v>13</v>
      </c>
      <c r="B31" s="354">
        <v>45425</v>
      </c>
      <c r="C31" s="333">
        <v>0</v>
      </c>
      <c r="D31" s="301">
        <v>0</v>
      </c>
    </row>
    <row r="32" spans="1:4" x14ac:dyDescent="0.2">
      <c r="A32" s="248">
        <v>14</v>
      </c>
      <c r="B32" s="354">
        <v>45426</v>
      </c>
      <c r="C32" s="333">
        <v>0</v>
      </c>
      <c r="D32" s="301">
        <v>0</v>
      </c>
    </row>
    <row r="33" spans="1:4" x14ac:dyDescent="0.2">
      <c r="A33" s="248">
        <v>15</v>
      </c>
      <c r="B33" s="354">
        <v>45427</v>
      </c>
      <c r="C33" s="333">
        <v>56700000</v>
      </c>
      <c r="D33" s="301">
        <v>5.4008E-2</v>
      </c>
    </row>
    <row r="34" spans="1:4" x14ac:dyDescent="0.2">
      <c r="A34" s="248">
        <v>16</v>
      </c>
      <c r="B34" s="354">
        <v>45428</v>
      </c>
      <c r="C34" s="333">
        <v>62400000</v>
      </c>
      <c r="D34" s="301">
        <v>5.4164000000000004E-2</v>
      </c>
    </row>
    <row r="35" spans="1:4" x14ac:dyDescent="0.2">
      <c r="A35" s="248">
        <v>17</v>
      </c>
      <c r="B35" s="354">
        <v>45429</v>
      </c>
      <c r="C35" s="333">
        <v>92400000</v>
      </c>
      <c r="D35" s="301">
        <v>5.4119E-2</v>
      </c>
    </row>
    <row r="36" spans="1:4" x14ac:dyDescent="0.2">
      <c r="A36" s="248">
        <v>18</v>
      </c>
      <c r="B36" s="354">
        <v>45430</v>
      </c>
      <c r="C36" s="333">
        <v>92400000</v>
      </c>
      <c r="D36" s="301">
        <v>5.4119E-2</v>
      </c>
    </row>
    <row r="37" spans="1:4" x14ac:dyDescent="0.2">
      <c r="A37" s="248">
        <v>19</v>
      </c>
      <c r="B37" s="354">
        <v>45431</v>
      </c>
      <c r="C37" s="333">
        <v>92400000</v>
      </c>
      <c r="D37" s="301">
        <v>5.4119E-2</v>
      </c>
    </row>
    <row r="38" spans="1:4" x14ac:dyDescent="0.2">
      <c r="A38" s="248">
        <v>20</v>
      </c>
      <c r="B38" s="354">
        <v>45432</v>
      </c>
      <c r="C38" s="333">
        <v>188400000</v>
      </c>
      <c r="D38" s="301">
        <v>5.4077E-2</v>
      </c>
    </row>
    <row r="39" spans="1:4" x14ac:dyDescent="0.2">
      <c r="A39" s="248">
        <v>21</v>
      </c>
      <c r="B39" s="354">
        <v>45433</v>
      </c>
      <c r="C39" s="333">
        <v>0</v>
      </c>
      <c r="D39" s="301">
        <v>0</v>
      </c>
    </row>
    <row r="40" spans="1:4" x14ac:dyDescent="0.2">
      <c r="A40" s="248">
        <v>22</v>
      </c>
      <c r="B40" s="354">
        <v>45434</v>
      </c>
      <c r="C40" s="333">
        <v>0</v>
      </c>
      <c r="D40" s="301">
        <v>0</v>
      </c>
    </row>
    <row r="41" spans="1:4" x14ac:dyDescent="0.2">
      <c r="A41" s="248">
        <v>23</v>
      </c>
      <c r="B41" s="354">
        <v>45435</v>
      </c>
      <c r="C41" s="333">
        <v>40000000</v>
      </c>
      <c r="D41" s="301">
        <v>5.4141000000000002E-2</v>
      </c>
    </row>
    <row r="42" spans="1:4" x14ac:dyDescent="0.2">
      <c r="A42" s="248">
        <v>24</v>
      </c>
      <c r="B42" s="354">
        <v>45436</v>
      </c>
      <c r="C42" s="333">
        <v>40000000</v>
      </c>
      <c r="D42" s="301">
        <v>5.4141000000000002E-2</v>
      </c>
    </row>
    <row r="43" spans="1:4" x14ac:dyDescent="0.2">
      <c r="A43" s="248">
        <v>25</v>
      </c>
      <c r="B43" s="354">
        <v>45437</v>
      </c>
      <c r="C43" s="333">
        <v>40000000</v>
      </c>
      <c r="D43" s="301">
        <v>5.4141000000000002E-2</v>
      </c>
    </row>
    <row r="44" spans="1:4" x14ac:dyDescent="0.2">
      <c r="A44" s="248">
        <v>26</v>
      </c>
      <c r="B44" s="354">
        <v>45438</v>
      </c>
      <c r="C44" s="333">
        <v>40000000</v>
      </c>
      <c r="D44" s="301">
        <v>5.4141000000000002E-2</v>
      </c>
    </row>
    <row r="45" spans="1:4" x14ac:dyDescent="0.2">
      <c r="A45" s="248">
        <v>27</v>
      </c>
      <c r="B45" s="354">
        <v>45439</v>
      </c>
      <c r="C45" s="333">
        <v>40000000</v>
      </c>
      <c r="D45" s="301">
        <v>5.4141000000000002E-2</v>
      </c>
    </row>
    <row r="46" spans="1:4" x14ac:dyDescent="0.2">
      <c r="A46" s="248">
        <v>28</v>
      </c>
      <c r="B46" s="354">
        <v>45440</v>
      </c>
      <c r="C46" s="333">
        <v>130000000</v>
      </c>
      <c r="D46" s="301">
        <v>5.4223999999999994E-2</v>
      </c>
    </row>
    <row r="47" spans="1:4" x14ac:dyDescent="0.2">
      <c r="A47" s="248">
        <v>29</v>
      </c>
      <c r="B47" s="354">
        <v>45441</v>
      </c>
      <c r="C47" s="333">
        <v>130000000</v>
      </c>
      <c r="D47" s="301">
        <v>5.4223999999999994E-2</v>
      </c>
    </row>
    <row r="48" spans="1:4" x14ac:dyDescent="0.2">
      <c r="A48" s="248">
        <v>30</v>
      </c>
      <c r="B48" s="354">
        <v>45442</v>
      </c>
      <c r="C48" s="333">
        <v>130000000</v>
      </c>
      <c r="D48" s="301">
        <v>5.4223999999999994E-2</v>
      </c>
    </row>
    <row r="49" spans="1:4" x14ac:dyDescent="0.2">
      <c r="A49" s="248">
        <v>31</v>
      </c>
      <c r="B49" s="354">
        <v>45443</v>
      </c>
      <c r="C49" s="333">
        <v>68700000</v>
      </c>
      <c r="D49" s="301">
        <v>5.4332000000000005E-2</v>
      </c>
    </row>
    <row r="50" spans="1:4" x14ac:dyDescent="0.2">
      <c r="B50" s="312"/>
    </row>
    <row r="51" spans="1:4" x14ac:dyDescent="0.2">
      <c r="B51" s="312"/>
    </row>
    <row r="52" spans="1:4" x14ac:dyDescent="0.2">
      <c r="B52" s="312"/>
    </row>
    <row r="53" spans="1:4" x14ac:dyDescent="0.2">
      <c r="B53" s="312"/>
    </row>
    <row r="54" spans="1:4" x14ac:dyDescent="0.2">
      <c r="B54" s="312"/>
    </row>
    <row r="55" spans="1:4" x14ac:dyDescent="0.2">
      <c r="B55" s="312"/>
    </row>
    <row r="56" spans="1:4" x14ac:dyDescent="0.2">
      <c r="B56" s="312"/>
    </row>
    <row r="57" spans="1:4" x14ac:dyDescent="0.2">
      <c r="B57" s="312"/>
    </row>
    <row r="58" spans="1:4" x14ac:dyDescent="0.2">
      <c r="B58" s="312"/>
    </row>
    <row r="59" spans="1:4" x14ac:dyDescent="0.2">
      <c r="B59" s="312"/>
    </row>
    <row r="60" spans="1:4" x14ac:dyDescent="0.2">
      <c r="B60" s="312"/>
    </row>
    <row r="61" spans="1:4" x14ac:dyDescent="0.2">
      <c r="B61" s="312"/>
    </row>
    <row r="62" spans="1:4" x14ac:dyDescent="0.2">
      <c r="B62" s="312"/>
    </row>
    <row r="63" spans="1:4" x14ac:dyDescent="0.2">
      <c r="B63" s="312"/>
    </row>
    <row r="64" spans="1:4" x14ac:dyDescent="0.2">
      <c r="B64" s="312"/>
    </row>
    <row r="65" spans="2:2" x14ac:dyDescent="0.2">
      <c r="B65" s="312"/>
    </row>
    <row r="66" spans="2:2" x14ac:dyDescent="0.2">
      <c r="B66" s="312"/>
    </row>
    <row r="67" spans="2:2" x14ac:dyDescent="0.2">
      <c r="B67" s="312"/>
    </row>
    <row r="68" spans="2:2" x14ac:dyDescent="0.2">
      <c r="B68" s="312"/>
    </row>
    <row r="69" spans="2:2" x14ac:dyDescent="0.2">
      <c r="B69" s="312"/>
    </row>
    <row r="70" spans="2:2" x14ac:dyDescent="0.2">
      <c r="B70" s="312"/>
    </row>
    <row r="71" spans="2:2" x14ac:dyDescent="0.2">
      <c r="B71" s="312"/>
    </row>
    <row r="72" spans="2:2" x14ac:dyDescent="0.2">
      <c r="B72" s="312"/>
    </row>
    <row r="73" spans="2:2" x14ac:dyDescent="0.2">
      <c r="B73" s="312"/>
    </row>
    <row r="74" spans="2:2" x14ac:dyDescent="0.2">
      <c r="B74" s="312"/>
    </row>
    <row r="75" spans="2:2" x14ac:dyDescent="0.2">
      <c r="B75" s="312"/>
    </row>
    <row r="76" spans="2:2" x14ac:dyDescent="0.2">
      <c r="B76"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II-C-2.5e  AVERAGE DAILY BALANCES AND COST OF BANK BORROWINGS - MAY 2024
TEST YEAR ENDING DECEMBER 31, 2024
SPONSOR: K. FEASE</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6">
    <tabColor rgb="FF00B050"/>
    <pageSetUpPr fitToPage="1"/>
  </sheetPr>
  <dimension ref="A1:D76"/>
  <sheetViews>
    <sheetView zoomScaleNormal="100" workbookViewId="0">
      <pane ySplit="6" topLeftCell="A7" activePane="bottomLeft" state="frozen"/>
      <selection activeCell="P34" sqref="P34"/>
      <selection pane="bottomLeft" activeCell="M33" sqref="M33"/>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307</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4" s="242" customFormat="1" ht="13.5" thickBot="1" x14ac:dyDescent="0.25">
      <c r="A17" s="250"/>
      <c r="B17" s="250" t="s">
        <v>38</v>
      </c>
      <c r="C17" s="250" t="s">
        <v>39</v>
      </c>
      <c r="D17" s="250" t="s">
        <v>40</v>
      </c>
    </row>
    <row r="18" spans="1:4" x14ac:dyDescent="0.2">
      <c r="C18" s="245"/>
      <c r="D18" s="247"/>
    </row>
    <row r="19" spans="1:4" x14ac:dyDescent="0.2">
      <c r="A19" s="248">
        <v>1</v>
      </c>
      <c r="B19" s="354">
        <v>45444</v>
      </c>
      <c r="C19" s="355">
        <v>68700000</v>
      </c>
      <c r="D19" s="301">
        <v>5.4332000000000005E-2</v>
      </c>
    </row>
    <row r="20" spans="1:4" x14ac:dyDescent="0.2">
      <c r="A20" s="248">
        <v>2</v>
      </c>
      <c r="B20" s="354">
        <v>45445</v>
      </c>
      <c r="C20" s="333">
        <v>68700000</v>
      </c>
      <c r="D20" s="301">
        <v>5.4332000000000005E-2</v>
      </c>
    </row>
    <row r="21" spans="1:4" x14ac:dyDescent="0.2">
      <c r="A21" s="248">
        <v>3</v>
      </c>
      <c r="B21" s="354">
        <v>45446</v>
      </c>
      <c r="C21" s="333">
        <v>658700000</v>
      </c>
      <c r="D21" s="301">
        <v>5.5635000000000004E-2</v>
      </c>
    </row>
    <row r="22" spans="1:4" x14ac:dyDescent="0.2">
      <c r="A22" s="248">
        <v>4</v>
      </c>
      <c r="B22" s="354">
        <v>45447</v>
      </c>
      <c r="C22" s="333">
        <v>629000000</v>
      </c>
      <c r="D22" s="301">
        <v>5.5656999999999998E-2</v>
      </c>
    </row>
    <row r="23" spans="1:4" x14ac:dyDescent="0.2">
      <c r="A23" s="248">
        <v>5</v>
      </c>
      <c r="B23" s="354">
        <v>45448</v>
      </c>
      <c r="C23" s="333">
        <v>635800000</v>
      </c>
      <c r="D23" s="301">
        <v>5.5655999999999997E-2</v>
      </c>
    </row>
    <row r="24" spans="1:4" x14ac:dyDescent="0.2">
      <c r="A24" s="248">
        <v>6</v>
      </c>
      <c r="B24" s="354">
        <v>45449</v>
      </c>
      <c r="C24" s="333">
        <v>621900000</v>
      </c>
      <c r="D24" s="301">
        <v>5.5658000000000006E-2</v>
      </c>
    </row>
    <row r="25" spans="1:4" x14ac:dyDescent="0.2">
      <c r="A25" s="248">
        <v>7</v>
      </c>
      <c r="B25" s="354">
        <v>45450</v>
      </c>
      <c r="C25" s="333">
        <v>647100000</v>
      </c>
      <c r="D25" s="301">
        <v>5.5641999999999997E-2</v>
      </c>
    </row>
    <row r="26" spans="1:4" x14ac:dyDescent="0.2">
      <c r="A26" s="248">
        <v>8</v>
      </c>
      <c r="B26" s="354">
        <v>45451</v>
      </c>
      <c r="C26" s="333">
        <v>647100000</v>
      </c>
      <c r="D26" s="301">
        <v>5.5641999999999997E-2</v>
      </c>
    </row>
    <row r="27" spans="1:4" x14ac:dyDescent="0.2">
      <c r="A27" s="248">
        <v>9</v>
      </c>
      <c r="B27" s="354">
        <v>45452</v>
      </c>
      <c r="C27" s="333">
        <v>647100000</v>
      </c>
      <c r="D27" s="301">
        <v>5.5641999999999997E-2</v>
      </c>
    </row>
    <row r="28" spans="1:4" x14ac:dyDescent="0.2">
      <c r="A28" s="248">
        <v>10</v>
      </c>
      <c r="B28" s="354">
        <v>45453</v>
      </c>
      <c r="C28" s="333">
        <v>672000000</v>
      </c>
      <c r="D28" s="301">
        <v>5.5645E-2</v>
      </c>
    </row>
    <row r="29" spans="1:4" x14ac:dyDescent="0.2">
      <c r="A29" s="248">
        <v>11</v>
      </c>
      <c r="B29" s="354">
        <v>45454</v>
      </c>
      <c r="C29" s="333">
        <v>661100000</v>
      </c>
      <c r="D29" s="301">
        <v>5.5641999999999997E-2</v>
      </c>
    </row>
    <row r="30" spans="1:4" x14ac:dyDescent="0.2">
      <c r="A30" s="248">
        <v>12</v>
      </c>
      <c r="B30" s="354">
        <v>45455</v>
      </c>
      <c r="C30" s="333">
        <v>665100000</v>
      </c>
      <c r="D30" s="301">
        <v>5.5641999999999997E-2</v>
      </c>
    </row>
    <row r="31" spans="1:4" x14ac:dyDescent="0.2">
      <c r="A31" s="248">
        <v>13</v>
      </c>
      <c r="B31" s="354">
        <v>45456</v>
      </c>
      <c r="C31" s="333">
        <v>672500000</v>
      </c>
      <c r="D31" s="301">
        <v>5.5647000000000002E-2</v>
      </c>
    </row>
    <row r="32" spans="1:4" x14ac:dyDescent="0.2">
      <c r="A32" s="248">
        <v>14</v>
      </c>
      <c r="B32" s="354">
        <v>45457</v>
      </c>
      <c r="C32" s="333">
        <v>716900000</v>
      </c>
      <c r="D32" s="301">
        <v>5.5618999999999995E-2</v>
      </c>
    </row>
    <row r="33" spans="1:4" x14ac:dyDescent="0.2">
      <c r="A33" s="248">
        <v>15</v>
      </c>
      <c r="B33" s="354">
        <v>45458</v>
      </c>
      <c r="C33" s="333">
        <v>716900000</v>
      </c>
      <c r="D33" s="301">
        <v>5.5618999999999995E-2</v>
      </c>
    </row>
    <row r="34" spans="1:4" x14ac:dyDescent="0.2">
      <c r="A34" s="248">
        <v>16</v>
      </c>
      <c r="B34" s="354">
        <v>45459</v>
      </c>
      <c r="C34" s="333">
        <v>716900000</v>
      </c>
      <c r="D34" s="301">
        <v>5.5618999999999995E-2</v>
      </c>
    </row>
    <row r="35" spans="1:4" x14ac:dyDescent="0.2">
      <c r="A35" s="248">
        <v>17</v>
      </c>
      <c r="B35" s="354">
        <v>45460</v>
      </c>
      <c r="C35" s="333">
        <v>719000000</v>
      </c>
      <c r="D35" s="301">
        <v>5.5614999999999998E-2</v>
      </c>
    </row>
    <row r="36" spans="1:4" x14ac:dyDescent="0.2">
      <c r="A36" s="248">
        <v>18</v>
      </c>
      <c r="B36" s="354">
        <v>45461</v>
      </c>
      <c r="C36" s="333">
        <v>725000000</v>
      </c>
      <c r="D36" s="301">
        <v>5.5601999999999999E-2</v>
      </c>
    </row>
    <row r="37" spans="1:4" x14ac:dyDescent="0.2">
      <c r="A37" s="248">
        <v>19</v>
      </c>
      <c r="B37" s="354">
        <v>45462</v>
      </c>
      <c r="C37" s="333">
        <v>725000000</v>
      </c>
      <c r="D37" s="301">
        <v>5.5601999999999999E-2</v>
      </c>
    </row>
    <row r="38" spans="1:4" x14ac:dyDescent="0.2">
      <c r="A38" s="248">
        <v>20</v>
      </c>
      <c r="B38" s="354">
        <v>45463</v>
      </c>
      <c r="C38" s="333">
        <v>747800000</v>
      </c>
      <c r="D38" s="301">
        <v>5.5601999999999999E-2</v>
      </c>
    </row>
    <row r="39" spans="1:4" x14ac:dyDescent="0.2">
      <c r="A39" s="248">
        <v>21</v>
      </c>
      <c r="B39" s="354">
        <v>45464</v>
      </c>
      <c r="C39" s="333">
        <v>450000000</v>
      </c>
      <c r="D39" s="301">
        <v>5.5766999999999997E-2</v>
      </c>
    </row>
    <row r="40" spans="1:4" x14ac:dyDescent="0.2">
      <c r="A40" s="248">
        <v>22</v>
      </c>
      <c r="B40" s="354">
        <v>45465</v>
      </c>
      <c r="C40" s="333">
        <v>450000000</v>
      </c>
      <c r="D40" s="301">
        <v>5.5766999999999997E-2</v>
      </c>
    </row>
    <row r="41" spans="1:4" x14ac:dyDescent="0.2">
      <c r="A41" s="248">
        <v>23</v>
      </c>
      <c r="B41" s="354">
        <v>45466</v>
      </c>
      <c r="C41" s="333">
        <v>450000000</v>
      </c>
      <c r="D41" s="301">
        <v>5.5766999999999997E-2</v>
      </c>
    </row>
    <row r="42" spans="1:4" x14ac:dyDescent="0.2">
      <c r="A42" s="248">
        <v>24</v>
      </c>
      <c r="B42" s="354">
        <v>45467</v>
      </c>
      <c r="C42" s="333">
        <v>375000000</v>
      </c>
      <c r="D42" s="301">
        <v>5.5820000000000002E-2</v>
      </c>
    </row>
    <row r="43" spans="1:4" x14ac:dyDescent="0.2">
      <c r="A43" s="248">
        <v>25</v>
      </c>
      <c r="B43" s="354">
        <v>45468</v>
      </c>
      <c r="C43" s="333">
        <v>300000000</v>
      </c>
      <c r="D43" s="301">
        <v>5.5899000000000004E-2</v>
      </c>
    </row>
    <row r="44" spans="1:4" x14ac:dyDescent="0.2">
      <c r="A44" s="248">
        <v>26</v>
      </c>
      <c r="B44" s="354">
        <v>45469</v>
      </c>
      <c r="C44" s="333">
        <v>20600000</v>
      </c>
      <c r="D44" s="301">
        <v>5.4307999999999995E-2</v>
      </c>
    </row>
    <row r="45" spans="1:4" x14ac:dyDescent="0.2">
      <c r="A45" s="248">
        <v>27</v>
      </c>
      <c r="B45" s="354">
        <v>45470</v>
      </c>
      <c r="C45" s="333">
        <v>0</v>
      </c>
      <c r="D45" s="301">
        <v>0</v>
      </c>
    </row>
    <row r="46" spans="1:4" x14ac:dyDescent="0.2">
      <c r="A46" s="248">
        <v>28</v>
      </c>
      <c r="B46" s="354">
        <v>45471</v>
      </c>
      <c r="C46" s="333">
        <v>0</v>
      </c>
      <c r="D46" s="301">
        <v>0</v>
      </c>
    </row>
    <row r="47" spans="1:4" x14ac:dyDescent="0.2">
      <c r="A47" s="248">
        <v>29</v>
      </c>
      <c r="B47" s="354">
        <v>45472</v>
      </c>
      <c r="C47" s="333">
        <v>0</v>
      </c>
      <c r="D47" s="301">
        <v>0</v>
      </c>
    </row>
    <row r="48" spans="1:4" x14ac:dyDescent="0.2">
      <c r="A48" s="248">
        <v>30</v>
      </c>
      <c r="B48" s="354">
        <v>45473</v>
      </c>
      <c r="C48" s="333">
        <v>0</v>
      </c>
      <c r="D48" s="301">
        <v>0</v>
      </c>
    </row>
    <row r="49" spans="2:2" x14ac:dyDescent="0.2">
      <c r="B49" s="312"/>
    </row>
    <row r="50" spans="2:2" x14ac:dyDescent="0.2">
      <c r="B50" s="312"/>
    </row>
    <row r="51" spans="2:2" x14ac:dyDescent="0.2">
      <c r="B51" s="312"/>
    </row>
    <row r="52" spans="2:2" x14ac:dyDescent="0.2">
      <c r="B52" s="312"/>
    </row>
    <row r="53" spans="2:2" x14ac:dyDescent="0.2">
      <c r="B53" s="312"/>
    </row>
    <row r="54" spans="2:2" x14ac:dyDescent="0.2">
      <c r="B54" s="312"/>
    </row>
    <row r="55" spans="2:2" x14ac:dyDescent="0.2">
      <c r="B55" s="312"/>
    </row>
    <row r="56" spans="2:2" x14ac:dyDescent="0.2">
      <c r="B56" s="312"/>
    </row>
    <row r="57" spans="2:2" x14ac:dyDescent="0.2">
      <c r="B57" s="312"/>
    </row>
    <row r="58" spans="2:2" x14ac:dyDescent="0.2">
      <c r="B58" s="312"/>
    </row>
    <row r="59" spans="2:2" x14ac:dyDescent="0.2">
      <c r="B59" s="312"/>
    </row>
    <row r="60" spans="2:2" x14ac:dyDescent="0.2">
      <c r="B60" s="312"/>
    </row>
    <row r="61" spans="2:2" x14ac:dyDescent="0.2">
      <c r="B61" s="312"/>
    </row>
    <row r="62" spans="2:2" x14ac:dyDescent="0.2">
      <c r="B62" s="312"/>
    </row>
    <row r="63" spans="2:2" x14ac:dyDescent="0.2">
      <c r="B63" s="312"/>
    </row>
    <row r="64" spans="2:2" x14ac:dyDescent="0.2">
      <c r="B64" s="312"/>
    </row>
    <row r="65" spans="2:2" x14ac:dyDescent="0.2">
      <c r="B65" s="312"/>
    </row>
    <row r="66" spans="2:2" x14ac:dyDescent="0.2">
      <c r="B66" s="312"/>
    </row>
    <row r="67" spans="2:2" x14ac:dyDescent="0.2">
      <c r="B67" s="312"/>
    </row>
    <row r="68" spans="2:2" x14ac:dyDescent="0.2">
      <c r="B68" s="312"/>
    </row>
    <row r="69" spans="2:2" x14ac:dyDescent="0.2">
      <c r="B69" s="312"/>
    </row>
    <row r="70" spans="2:2" x14ac:dyDescent="0.2">
      <c r="B70" s="312"/>
    </row>
    <row r="71" spans="2:2" x14ac:dyDescent="0.2">
      <c r="B71" s="312"/>
    </row>
    <row r="72" spans="2:2" x14ac:dyDescent="0.2">
      <c r="B72" s="312"/>
    </row>
    <row r="73" spans="2:2" x14ac:dyDescent="0.2">
      <c r="B73" s="312"/>
    </row>
    <row r="74" spans="2:2" x14ac:dyDescent="0.2">
      <c r="B74" s="312"/>
    </row>
    <row r="75" spans="2:2" x14ac:dyDescent="0.2">
      <c r="B75" s="312"/>
    </row>
    <row r="76" spans="2:2" x14ac:dyDescent="0.2">
      <c r="B76"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II-C-2.5f  AVERAGE DAILY BALANCES AND COST OF BANK BORROWINGS - JUNE 2024
TEST YEAR ENDING DECEMBER 31, 2024
SPONSOR: K. FEASE</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7">
    <tabColor rgb="FF00B050"/>
    <pageSetUpPr fitToPage="1"/>
  </sheetPr>
  <dimension ref="A1:E76"/>
  <sheetViews>
    <sheetView zoomScaleNormal="100" workbookViewId="0">
      <pane ySplit="6" topLeftCell="A7" activePane="bottomLeft" state="frozen"/>
      <selection activeCell="P34" sqref="P34"/>
      <selection pane="bottomLeft" activeCell="P35" sqref="P35"/>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308</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5" s="242" customFormat="1" ht="13.5" thickBot="1" x14ac:dyDescent="0.25">
      <c r="A17" s="250"/>
      <c r="B17" s="250" t="s">
        <v>38</v>
      </c>
      <c r="C17" s="250" t="s">
        <v>39</v>
      </c>
      <c r="D17" s="250" t="s">
        <v>40</v>
      </c>
    </row>
    <row r="18" spans="1:5" x14ac:dyDescent="0.2">
      <c r="C18" s="245"/>
      <c r="D18" s="247"/>
    </row>
    <row r="19" spans="1:5" x14ac:dyDescent="0.2">
      <c r="A19" s="248">
        <v>1</v>
      </c>
      <c r="B19" s="354">
        <v>45474</v>
      </c>
      <c r="C19" s="355">
        <v>0</v>
      </c>
      <c r="D19" s="301">
        <v>0</v>
      </c>
      <c r="E19" s="302"/>
    </row>
    <row r="20" spans="1:5" x14ac:dyDescent="0.2">
      <c r="A20" s="248">
        <v>2</v>
      </c>
      <c r="B20" s="354">
        <v>45475</v>
      </c>
      <c r="C20" s="333">
        <v>40000000</v>
      </c>
      <c r="D20" s="301">
        <v>5.4349000000000001E-2</v>
      </c>
      <c r="E20" s="302"/>
    </row>
    <row r="21" spans="1:5" x14ac:dyDescent="0.2">
      <c r="A21" s="248">
        <v>3</v>
      </c>
      <c r="B21" s="354">
        <v>45476</v>
      </c>
      <c r="C21" s="333">
        <v>45700000</v>
      </c>
      <c r="D21" s="301">
        <v>5.4348E-2</v>
      </c>
      <c r="E21" s="302"/>
    </row>
    <row r="22" spans="1:5" x14ac:dyDescent="0.2">
      <c r="A22" s="248">
        <v>4</v>
      </c>
      <c r="B22" s="354">
        <v>45477</v>
      </c>
      <c r="C22" s="333">
        <v>45700000</v>
      </c>
      <c r="D22" s="301">
        <v>5.4348E-2</v>
      </c>
      <c r="E22" s="302"/>
    </row>
    <row r="23" spans="1:5" x14ac:dyDescent="0.2">
      <c r="A23" s="248">
        <v>5</v>
      </c>
      <c r="B23" s="354">
        <v>45478</v>
      </c>
      <c r="C23" s="356">
        <v>45700000</v>
      </c>
      <c r="D23" s="301">
        <v>5.4348E-2</v>
      </c>
      <c r="E23" s="302"/>
    </row>
    <row r="24" spans="1:5" x14ac:dyDescent="0.2">
      <c r="A24" s="248">
        <v>6</v>
      </c>
      <c r="B24" s="354">
        <v>45479</v>
      </c>
      <c r="C24" s="333">
        <v>45700000</v>
      </c>
      <c r="D24" s="301">
        <v>5.4348E-2</v>
      </c>
      <c r="E24" s="302"/>
    </row>
    <row r="25" spans="1:5" x14ac:dyDescent="0.2">
      <c r="A25" s="248">
        <v>7</v>
      </c>
      <c r="B25" s="354">
        <v>45480</v>
      </c>
      <c r="C25" s="333">
        <v>45700000</v>
      </c>
      <c r="D25" s="301">
        <v>5.4348E-2</v>
      </c>
      <c r="E25" s="302"/>
    </row>
    <row r="26" spans="1:5" x14ac:dyDescent="0.2">
      <c r="A26" s="248">
        <v>8</v>
      </c>
      <c r="B26" s="354">
        <v>45481</v>
      </c>
      <c r="C26" s="333">
        <v>0</v>
      </c>
      <c r="D26" s="301">
        <v>0</v>
      </c>
      <c r="E26" s="302"/>
    </row>
    <row r="27" spans="1:5" x14ac:dyDescent="0.2">
      <c r="A27" s="248">
        <v>9</v>
      </c>
      <c r="B27" s="354">
        <v>45482</v>
      </c>
      <c r="C27" s="333">
        <v>21200000</v>
      </c>
      <c r="D27" s="301">
        <v>5.4324999999999998E-2</v>
      </c>
      <c r="E27" s="302"/>
    </row>
    <row r="28" spans="1:5" x14ac:dyDescent="0.2">
      <c r="A28" s="248">
        <v>10</v>
      </c>
      <c r="B28" s="354">
        <v>45483</v>
      </c>
      <c r="C28" s="333">
        <v>27500000</v>
      </c>
      <c r="D28" s="301">
        <v>5.4322999999999996E-2</v>
      </c>
      <c r="E28" s="302"/>
    </row>
    <row r="29" spans="1:5" x14ac:dyDescent="0.2">
      <c r="A29" s="248">
        <v>11</v>
      </c>
      <c r="B29" s="354">
        <v>45484</v>
      </c>
      <c r="C29" s="333">
        <v>26200000</v>
      </c>
      <c r="D29" s="301">
        <v>5.4287000000000002E-2</v>
      </c>
      <c r="E29" s="302"/>
    </row>
    <row r="30" spans="1:5" x14ac:dyDescent="0.2">
      <c r="A30" s="248">
        <v>12</v>
      </c>
      <c r="B30" s="354">
        <v>45485</v>
      </c>
      <c r="C30" s="356">
        <v>75600000</v>
      </c>
      <c r="D30" s="301">
        <v>5.4324999999999998E-2</v>
      </c>
      <c r="E30" s="302"/>
    </row>
    <row r="31" spans="1:5" x14ac:dyDescent="0.2">
      <c r="A31" s="248">
        <v>13</v>
      </c>
      <c r="B31" s="354">
        <v>45486</v>
      </c>
      <c r="C31" s="356">
        <v>75600000</v>
      </c>
      <c r="D31" s="301">
        <v>5.4324999999999998E-2</v>
      </c>
      <c r="E31" s="302"/>
    </row>
    <row r="32" spans="1:5" x14ac:dyDescent="0.2">
      <c r="A32" s="248">
        <v>14</v>
      </c>
      <c r="B32" s="354">
        <v>45487</v>
      </c>
      <c r="C32" s="356">
        <v>75600000</v>
      </c>
      <c r="D32" s="301">
        <v>5.4324999999999998E-2</v>
      </c>
      <c r="E32" s="302"/>
    </row>
    <row r="33" spans="1:5" x14ac:dyDescent="0.2">
      <c r="A33" s="248">
        <v>15</v>
      </c>
      <c r="B33" s="354">
        <v>45488</v>
      </c>
      <c r="C33" s="356">
        <v>89600000</v>
      </c>
      <c r="D33" s="301">
        <v>5.4134000000000002E-2</v>
      </c>
      <c r="E33" s="302"/>
    </row>
    <row r="34" spans="1:5" x14ac:dyDescent="0.2">
      <c r="A34" s="248">
        <v>16</v>
      </c>
      <c r="B34" s="354">
        <v>45489</v>
      </c>
      <c r="C34" s="356">
        <v>83400000</v>
      </c>
      <c r="D34" s="301">
        <v>5.4179999999999999E-2</v>
      </c>
      <c r="E34" s="302"/>
    </row>
    <row r="35" spans="1:5" x14ac:dyDescent="0.2">
      <c r="A35" s="248">
        <v>17</v>
      </c>
      <c r="B35" s="354">
        <v>45490</v>
      </c>
      <c r="C35" s="356">
        <v>88400000</v>
      </c>
      <c r="D35" s="301">
        <v>5.4181999999999994E-2</v>
      </c>
      <c r="E35" s="302"/>
    </row>
    <row r="36" spans="1:5" x14ac:dyDescent="0.2">
      <c r="A36" s="248">
        <v>18</v>
      </c>
      <c r="B36" s="354">
        <v>45491</v>
      </c>
      <c r="C36" s="356">
        <v>95100000</v>
      </c>
      <c r="D36" s="301">
        <v>5.4299999999999994E-2</v>
      </c>
      <c r="E36" s="302"/>
    </row>
    <row r="37" spans="1:5" x14ac:dyDescent="0.2">
      <c r="A37" s="248">
        <v>19</v>
      </c>
      <c r="B37" s="354">
        <v>45492</v>
      </c>
      <c r="C37" s="356">
        <v>120400000</v>
      </c>
      <c r="D37" s="301">
        <v>5.4225000000000002E-2</v>
      </c>
      <c r="E37" s="302"/>
    </row>
    <row r="38" spans="1:5" x14ac:dyDescent="0.2">
      <c r="A38" s="248">
        <v>20</v>
      </c>
      <c r="B38" s="354">
        <v>45493</v>
      </c>
      <c r="C38" s="356">
        <v>120400000</v>
      </c>
      <c r="D38" s="301">
        <v>5.4225000000000002E-2</v>
      </c>
      <c r="E38" s="302"/>
    </row>
    <row r="39" spans="1:5" x14ac:dyDescent="0.2">
      <c r="A39" s="248">
        <v>21</v>
      </c>
      <c r="B39" s="354">
        <v>45494</v>
      </c>
      <c r="C39" s="356">
        <v>120400000</v>
      </c>
      <c r="D39" s="301">
        <v>5.4225000000000002E-2</v>
      </c>
      <c r="E39" s="302"/>
    </row>
    <row r="40" spans="1:5" x14ac:dyDescent="0.2">
      <c r="A40" s="248">
        <v>22</v>
      </c>
      <c r="B40" s="354">
        <v>45495</v>
      </c>
      <c r="C40" s="356">
        <v>200000000</v>
      </c>
      <c r="D40" s="301">
        <v>5.4501999999999995E-2</v>
      </c>
      <c r="E40" s="302"/>
    </row>
    <row r="41" spans="1:5" x14ac:dyDescent="0.2">
      <c r="A41" s="248">
        <v>23</v>
      </c>
      <c r="B41" s="354">
        <v>45496</v>
      </c>
      <c r="C41" s="356">
        <v>190000000</v>
      </c>
      <c r="D41" s="301">
        <v>5.4504999999999998E-2</v>
      </c>
      <c r="E41" s="302"/>
    </row>
    <row r="42" spans="1:5" x14ac:dyDescent="0.2">
      <c r="A42" s="248">
        <v>24</v>
      </c>
      <c r="B42" s="354">
        <v>45497</v>
      </c>
      <c r="C42" s="356">
        <v>190000000</v>
      </c>
      <c r="D42" s="301">
        <v>5.4504999999999998E-2</v>
      </c>
      <c r="E42" s="302"/>
    </row>
    <row r="43" spans="1:5" x14ac:dyDescent="0.2">
      <c r="A43" s="248">
        <v>25</v>
      </c>
      <c r="B43" s="354">
        <v>45498</v>
      </c>
      <c r="C43" s="356">
        <v>177000000</v>
      </c>
      <c r="D43" s="301">
        <v>5.4504999999999998E-2</v>
      </c>
      <c r="E43" s="302"/>
    </row>
    <row r="44" spans="1:5" x14ac:dyDescent="0.2">
      <c r="A44" s="248">
        <v>26</v>
      </c>
      <c r="B44" s="354">
        <v>45499</v>
      </c>
      <c r="C44" s="356">
        <v>168400000</v>
      </c>
      <c r="D44" s="301">
        <v>5.4412000000000002E-2</v>
      </c>
      <c r="E44" s="302"/>
    </row>
    <row r="45" spans="1:5" x14ac:dyDescent="0.2">
      <c r="A45" s="248">
        <v>27</v>
      </c>
      <c r="B45" s="354">
        <v>45500</v>
      </c>
      <c r="C45" s="356">
        <v>168400000</v>
      </c>
      <c r="D45" s="301">
        <v>5.4412000000000002E-2</v>
      </c>
      <c r="E45" s="302"/>
    </row>
    <row r="46" spans="1:5" x14ac:dyDescent="0.2">
      <c r="A46" s="248">
        <v>28</v>
      </c>
      <c r="B46" s="354">
        <v>45501</v>
      </c>
      <c r="C46" s="356">
        <v>168400000</v>
      </c>
      <c r="D46" s="301">
        <v>5.4412000000000002E-2</v>
      </c>
      <c r="E46" s="302"/>
    </row>
    <row r="47" spans="1:5" x14ac:dyDescent="0.2">
      <c r="A47" s="248">
        <v>29</v>
      </c>
      <c r="B47" s="354">
        <v>45502</v>
      </c>
      <c r="C47" s="356">
        <v>164900000</v>
      </c>
      <c r="D47" s="301">
        <v>5.4234999999999998E-2</v>
      </c>
      <c r="E47" s="302"/>
    </row>
    <row r="48" spans="1:5" x14ac:dyDescent="0.2">
      <c r="A48" s="248">
        <v>30</v>
      </c>
      <c r="B48" s="354">
        <v>45503</v>
      </c>
      <c r="C48" s="356">
        <v>314900000</v>
      </c>
      <c r="D48" s="301">
        <v>5.4228999999999999E-2</v>
      </c>
      <c r="E48" s="302"/>
    </row>
    <row r="49" spans="1:5" x14ac:dyDescent="0.2">
      <c r="A49" s="248">
        <v>31</v>
      </c>
      <c r="B49" s="354">
        <v>45504</v>
      </c>
      <c r="C49" s="360">
        <v>150000000</v>
      </c>
      <c r="D49" s="301">
        <v>5.4216E-2</v>
      </c>
      <c r="E49" s="302"/>
    </row>
    <row r="50" spans="1:5" x14ac:dyDescent="0.2">
      <c r="B50" s="313"/>
    </row>
    <row r="51" spans="1:5" x14ac:dyDescent="0.2">
      <c r="B51" s="312"/>
    </row>
    <row r="52" spans="1:5" x14ac:dyDescent="0.2">
      <c r="B52" s="312"/>
    </row>
    <row r="53" spans="1:5" x14ac:dyDescent="0.2">
      <c r="B53" s="312"/>
    </row>
    <row r="54" spans="1:5" x14ac:dyDescent="0.2">
      <c r="B54" s="312"/>
    </row>
    <row r="55" spans="1:5" x14ac:dyDescent="0.2">
      <c r="B55" s="312"/>
    </row>
    <row r="56" spans="1:5" x14ac:dyDescent="0.2">
      <c r="B56" s="312"/>
    </row>
    <row r="57" spans="1:5" x14ac:dyDescent="0.2">
      <c r="B57" s="312"/>
    </row>
    <row r="58" spans="1:5" x14ac:dyDescent="0.2">
      <c r="B58" s="312"/>
    </row>
    <row r="59" spans="1:5" x14ac:dyDescent="0.2">
      <c r="B59" s="312"/>
    </row>
    <row r="60" spans="1:5" x14ac:dyDescent="0.2">
      <c r="B60" s="312"/>
    </row>
    <row r="61" spans="1:5" x14ac:dyDescent="0.2">
      <c r="B61" s="312"/>
    </row>
    <row r="62" spans="1:5" x14ac:dyDescent="0.2">
      <c r="B62" s="312"/>
    </row>
    <row r="63" spans="1:5" x14ac:dyDescent="0.2">
      <c r="B63" s="312"/>
    </row>
    <row r="64" spans="1:5" x14ac:dyDescent="0.2">
      <c r="B64" s="312"/>
    </row>
    <row r="65" spans="2:2" x14ac:dyDescent="0.2">
      <c r="B65" s="312"/>
    </row>
    <row r="66" spans="2:2" x14ac:dyDescent="0.2">
      <c r="B66" s="312"/>
    </row>
    <row r="67" spans="2:2" x14ac:dyDescent="0.2">
      <c r="B67" s="312"/>
    </row>
    <row r="68" spans="2:2" x14ac:dyDescent="0.2">
      <c r="B68" s="312"/>
    </row>
    <row r="69" spans="2:2" x14ac:dyDescent="0.2">
      <c r="B69" s="312"/>
    </row>
    <row r="70" spans="2:2" x14ac:dyDescent="0.2">
      <c r="B70" s="312"/>
    </row>
    <row r="71" spans="2:2" x14ac:dyDescent="0.2">
      <c r="B71" s="312"/>
    </row>
    <row r="72" spans="2:2" x14ac:dyDescent="0.2">
      <c r="B72" s="312"/>
    </row>
    <row r="73" spans="2:2" x14ac:dyDescent="0.2">
      <c r="B73" s="312"/>
    </row>
    <row r="74" spans="2:2" x14ac:dyDescent="0.2">
      <c r="B74" s="312"/>
    </row>
    <row r="75" spans="2:2" x14ac:dyDescent="0.2">
      <c r="B75" s="312"/>
    </row>
    <row r="76" spans="2:2" x14ac:dyDescent="0.2">
      <c r="B76"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II-C-2.5g  AVERAGE DAILY BALANCES AND COST OF BANK BORROWINGS - JULY 2024
TEST YEAR ENDING DECEMBER 31, 2024
SPONSOR: K. FEASE</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8">
    <tabColor rgb="FF00B050"/>
    <pageSetUpPr fitToPage="1"/>
  </sheetPr>
  <dimension ref="A1:D76"/>
  <sheetViews>
    <sheetView zoomScaleNormal="100" workbookViewId="0">
      <pane ySplit="6" topLeftCell="A7" activePane="bottomLeft" state="frozen"/>
      <selection activeCell="P34" sqref="P34"/>
      <selection pane="bottomLeft" activeCell="P31" sqref="P31"/>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309</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4" s="242" customFormat="1" ht="13.5" thickBot="1" x14ac:dyDescent="0.25">
      <c r="A17" s="250"/>
      <c r="B17" s="250" t="s">
        <v>38</v>
      </c>
      <c r="C17" s="250" t="s">
        <v>39</v>
      </c>
      <c r="D17" s="250" t="s">
        <v>40</v>
      </c>
    </row>
    <row r="18" spans="1:4" x14ac:dyDescent="0.2">
      <c r="C18" s="245"/>
      <c r="D18" s="247"/>
    </row>
    <row r="19" spans="1:4" x14ac:dyDescent="0.2">
      <c r="A19" s="248">
        <v>1</v>
      </c>
      <c r="B19" s="354">
        <v>45505</v>
      </c>
      <c r="C19" s="355">
        <v>116100000</v>
      </c>
      <c r="D19" s="301">
        <v>5.4076000000000006E-2</v>
      </c>
    </row>
    <row r="20" spans="1:4" x14ac:dyDescent="0.2">
      <c r="A20" s="248">
        <v>2</v>
      </c>
      <c r="B20" s="354">
        <v>45506</v>
      </c>
      <c r="C20" s="333">
        <v>122500000</v>
      </c>
      <c r="D20" s="301">
        <v>5.4233000000000003E-2</v>
      </c>
    </row>
    <row r="21" spans="1:4" x14ac:dyDescent="0.2">
      <c r="A21" s="248">
        <v>3</v>
      </c>
      <c r="B21" s="354">
        <v>45507</v>
      </c>
      <c r="C21" s="333">
        <v>122500000</v>
      </c>
      <c r="D21" s="301">
        <v>5.4233000000000003E-2</v>
      </c>
    </row>
    <row r="22" spans="1:4" x14ac:dyDescent="0.2">
      <c r="A22" s="248">
        <v>4</v>
      </c>
      <c r="B22" s="354">
        <v>45508</v>
      </c>
      <c r="C22" s="333">
        <v>122500000</v>
      </c>
      <c r="D22" s="301">
        <v>5.4233000000000003E-2</v>
      </c>
    </row>
    <row r="23" spans="1:4" x14ac:dyDescent="0.2">
      <c r="A23" s="248">
        <v>5</v>
      </c>
      <c r="B23" s="354">
        <v>45509</v>
      </c>
      <c r="C23" s="333">
        <v>143300000</v>
      </c>
      <c r="D23" s="301">
        <v>5.4130000000000005E-2</v>
      </c>
    </row>
    <row r="24" spans="1:4" x14ac:dyDescent="0.2">
      <c r="A24" s="248">
        <v>6</v>
      </c>
      <c r="B24" s="354">
        <v>45510</v>
      </c>
      <c r="C24" s="333">
        <v>137200000</v>
      </c>
      <c r="D24" s="301">
        <v>5.4099000000000001E-2</v>
      </c>
    </row>
    <row r="25" spans="1:4" x14ac:dyDescent="0.2">
      <c r="A25" s="248">
        <v>7</v>
      </c>
      <c r="B25" s="354">
        <v>45511</v>
      </c>
      <c r="C25" s="333">
        <v>109000000</v>
      </c>
      <c r="D25" s="301">
        <v>5.4237E-2</v>
      </c>
    </row>
    <row r="26" spans="1:4" x14ac:dyDescent="0.2">
      <c r="A26" s="248">
        <v>8</v>
      </c>
      <c r="B26" s="354">
        <v>45512</v>
      </c>
      <c r="C26" s="333">
        <v>114000000</v>
      </c>
      <c r="D26" s="301">
        <v>5.4245000000000002E-2</v>
      </c>
    </row>
    <row r="27" spans="1:4" x14ac:dyDescent="0.2">
      <c r="A27" s="248">
        <v>9</v>
      </c>
      <c r="B27" s="354">
        <v>45513</v>
      </c>
      <c r="C27" s="333">
        <v>143400000</v>
      </c>
      <c r="D27" s="301">
        <v>5.4241999999999999E-2</v>
      </c>
    </row>
    <row r="28" spans="1:4" x14ac:dyDescent="0.2">
      <c r="A28" s="248">
        <v>10</v>
      </c>
      <c r="B28" s="354">
        <v>45514</v>
      </c>
      <c r="C28" s="333">
        <v>143400000</v>
      </c>
      <c r="D28" s="301">
        <v>5.4241999999999999E-2</v>
      </c>
    </row>
    <row r="29" spans="1:4" x14ac:dyDescent="0.2">
      <c r="A29" s="248">
        <v>11</v>
      </c>
      <c r="B29" s="354">
        <v>45515</v>
      </c>
      <c r="C29" s="333">
        <v>143400000</v>
      </c>
      <c r="D29" s="301">
        <v>5.4241999999999999E-2</v>
      </c>
    </row>
    <row r="30" spans="1:4" x14ac:dyDescent="0.2">
      <c r="A30" s="248">
        <v>12</v>
      </c>
      <c r="B30" s="354">
        <v>45516</v>
      </c>
      <c r="C30" s="333">
        <v>141400000</v>
      </c>
      <c r="D30" s="301">
        <v>5.4185999999999998E-2</v>
      </c>
    </row>
    <row r="31" spans="1:4" x14ac:dyDescent="0.2">
      <c r="A31" s="248">
        <v>13</v>
      </c>
      <c r="B31" s="354">
        <v>45517</v>
      </c>
      <c r="C31" s="333">
        <v>133000000</v>
      </c>
      <c r="D31" s="301">
        <v>5.4237E-2</v>
      </c>
    </row>
    <row r="32" spans="1:4" x14ac:dyDescent="0.2">
      <c r="A32" s="248">
        <v>14</v>
      </c>
      <c r="B32" s="354">
        <v>45518</v>
      </c>
      <c r="C32" s="333">
        <v>131200000</v>
      </c>
      <c r="D32" s="301">
        <v>5.4093999999999996E-2</v>
      </c>
    </row>
    <row r="33" spans="1:4" x14ac:dyDescent="0.2">
      <c r="A33" s="248">
        <v>15</v>
      </c>
      <c r="B33" s="354">
        <v>45519</v>
      </c>
      <c r="C33" s="333">
        <v>121300000</v>
      </c>
      <c r="D33" s="301">
        <v>5.4166999999999993E-2</v>
      </c>
    </row>
    <row r="34" spans="1:4" x14ac:dyDescent="0.2">
      <c r="A34" s="248">
        <v>16</v>
      </c>
      <c r="B34" s="354">
        <v>45520</v>
      </c>
      <c r="C34" s="333">
        <v>129500000</v>
      </c>
      <c r="D34" s="301">
        <v>5.4051999999999996E-2</v>
      </c>
    </row>
    <row r="35" spans="1:4" x14ac:dyDescent="0.2">
      <c r="A35" s="248">
        <v>17</v>
      </c>
      <c r="B35" s="354">
        <v>45521</v>
      </c>
      <c r="C35" s="333">
        <v>129500000</v>
      </c>
      <c r="D35" s="301">
        <v>5.4051999999999996E-2</v>
      </c>
    </row>
    <row r="36" spans="1:4" x14ac:dyDescent="0.2">
      <c r="A36" s="248">
        <v>18</v>
      </c>
      <c r="B36" s="354">
        <v>45522</v>
      </c>
      <c r="C36" s="333">
        <v>129500000</v>
      </c>
      <c r="D36" s="301">
        <v>5.4051999999999996E-2</v>
      </c>
    </row>
    <row r="37" spans="1:4" x14ac:dyDescent="0.2">
      <c r="A37" s="248">
        <v>19</v>
      </c>
      <c r="B37" s="354">
        <v>45523</v>
      </c>
      <c r="C37" s="333">
        <v>123900000</v>
      </c>
      <c r="D37" s="301">
        <v>5.4118000000000006E-2</v>
      </c>
    </row>
    <row r="38" spans="1:4" x14ac:dyDescent="0.2">
      <c r="A38" s="248">
        <v>20</v>
      </c>
      <c r="B38" s="354">
        <v>45524</v>
      </c>
      <c r="C38" s="333">
        <v>119600000</v>
      </c>
      <c r="D38" s="301">
        <v>5.4150000000000004E-2</v>
      </c>
    </row>
    <row r="39" spans="1:4" x14ac:dyDescent="0.2">
      <c r="A39" s="248">
        <v>21</v>
      </c>
      <c r="B39" s="354">
        <v>45525</v>
      </c>
      <c r="C39" s="333">
        <v>106900000</v>
      </c>
      <c r="D39" s="301">
        <v>5.4147999999999995E-2</v>
      </c>
    </row>
    <row r="40" spans="1:4" x14ac:dyDescent="0.2">
      <c r="A40" s="248">
        <v>22</v>
      </c>
      <c r="B40" s="354">
        <v>45526</v>
      </c>
      <c r="C40" s="333">
        <v>109600000</v>
      </c>
      <c r="D40" s="301">
        <v>5.4147000000000001E-2</v>
      </c>
    </row>
    <row r="41" spans="1:4" x14ac:dyDescent="0.2">
      <c r="A41" s="248">
        <v>23</v>
      </c>
      <c r="B41" s="354">
        <v>45527</v>
      </c>
      <c r="C41" s="333">
        <v>148500000</v>
      </c>
      <c r="D41" s="301">
        <v>5.4009000000000001E-2</v>
      </c>
    </row>
    <row r="42" spans="1:4" x14ac:dyDescent="0.2">
      <c r="A42" s="248">
        <v>24</v>
      </c>
      <c r="B42" s="354">
        <v>45528</v>
      </c>
      <c r="C42" s="333">
        <v>148500000</v>
      </c>
      <c r="D42" s="301">
        <v>5.4009000000000001E-2</v>
      </c>
    </row>
    <row r="43" spans="1:4" x14ac:dyDescent="0.2">
      <c r="A43" s="248">
        <v>25</v>
      </c>
      <c r="B43" s="354">
        <v>45529</v>
      </c>
      <c r="C43" s="333">
        <v>148500000</v>
      </c>
      <c r="D43" s="301">
        <v>5.4009000000000001E-2</v>
      </c>
    </row>
    <row r="44" spans="1:4" x14ac:dyDescent="0.2">
      <c r="A44" s="248">
        <v>26</v>
      </c>
      <c r="B44" s="354">
        <v>45530</v>
      </c>
      <c r="C44" s="333">
        <v>153250000</v>
      </c>
      <c r="D44" s="301">
        <v>5.4031000000000003E-2</v>
      </c>
    </row>
    <row r="45" spans="1:4" x14ac:dyDescent="0.2">
      <c r="A45" s="248">
        <v>27</v>
      </c>
      <c r="B45" s="354">
        <v>45531</v>
      </c>
      <c r="C45" s="333">
        <v>146650000</v>
      </c>
      <c r="D45" s="301">
        <v>5.3987999999999994E-2</v>
      </c>
    </row>
    <row r="46" spans="1:4" x14ac:dyDescent="0.2">
      <c r="A46" s="248">
        <v>28</v>
      </c>
      <c r="B46" s="354">
        <v>45532</v>
      </c>
      <c r="C46" s="333">
        <v>149650000</v>
      </c>
      <c r="D46" s="301">
        <v>5.3989000000000002E-2</v>
      </c>
    </row>
    <row r="47" spans="1:4" x14ac:dyDescent="0.2">
      <c r="A47" s="248">
        <v>29</v>
      </c>
      <c r="B47" s="354">
        <v>45533</v>
      </c>
      <c r="C47" s="333">
        <v>163250000</v>
      </c>
      <c r="D47" s="301">
        <v>5.4119E-2</v>
      </c>
    </row>
    <row r="48" spans="1:4" x14ac:dyDescent="0.2">
      <c r="A48" s="248">
        <v>30</v>
      </c>
      <c r="B48" s="354">
        <v>45534</v>
      </c>
      <c r="C48" s="333">
        <v>0</v>
      </c>
      <c r="D48" s="301">
        <v>0</v>
      </c>
    </row>
    <row r="49" spans="1:4" x14ac:dyDescent="0.2">
      <c r="A49" s="248">
        <v>31</v>
      </c>
      <c r="B49" s="354">
        <v>45535</v>
      </c>
      <c r="C49" s="333">
        <v>0</v>
      </c>
      <c r="D49" s="301">
        <v>0</v>
      </c>
    </row>
    <row r="50" spans="1:4" x14ac:dyDescent="0.2">
      <c r="B50" s="313"/>
    </row>
    <row r="51" spans="1:4" x14ac:dyDescent="0.2">
      <c r="B51" s="312"/>
    </row>
    <row r="52" spans="1:4" x14ac:dyDescent="0.2">
      <c r="B52" s="312"/>
    </row>
    <row r="53" spans="1:4" x14ac:dyDescent="0.2">
      <c r="B53" s="312"/>
    </row>
    <row r="54" spans="1:4" x14ac:dyDescent="0.2">
      <c r="B54" s="312"/>
    </row>
    <row r="55" spans="1:4" x14ac:dyDescent="0.2">
      <c r="B55" s="312"/>
    </row>
    <row r="56" spans="1:4" x14ac:dyDescent="0.2">
      <c r="B56" s="312"/>
    </row>
    <row r="57" spans="1:4" x14ac:dyDescent="0.2">
      <c r="B57" s="312"/>
    </row>
    <row r="58" spans="1:4" x14ac:dyDescent="0.2">
      <c r="B58" s="312"/>
    </row>
    <row r="59" spans="1:4" x14ac:dyDescent="0.2">
      <c r="B59" s="312"/>
    </row>
    <row r="60" spans="1:4" x14ac:dyDescent="0.2">
      <c r="B60" s="312"/>
    </row>
    <row r="61" spans="1:4" x14ac:dyDescent="0.2">
      <c r="B61" s="312"/>
    </row>
    <row r="62" spans="1:4" x14ac:dyDescent="0.2">
      <c r="B62" s="312"/>
    </row>
    <row r="63" spans="1:4" x14ac:dyDescent="0.2">
      <c r="B63" s="312"/>
    </row>
    <row r="64" spans="1:4" x14ac:dyDescent="0.2">
      <c r="B64" s="312"/>
    </row>
    <row r="65" spans="2:2" x14ac:dyDescent="0.2">
      <c r="B65" s="312"/>
    </row>
    <row r="66" spans="2:2" x14ac:dyDescent="0.2">
      <c r="B66" s="312"/>
    </row>
    <row r="67" spans="2:2" x14ac:dyDescent="0.2">
      <c r="B67" s="312"/>
    </row>
    <row r="68" spans="2:2" x14ac:dyDescent="0.2">
      <c r="B68" s="312"/>
    </row>
    <row r="69" spans="2:2" x14ac:dyDescent="0.2">
      <c r="B69" s="312"/>
    </row>
    <row r="70" spans="2:2" x14ac:dyDescent="0.2">
      <c r="B70" s="312"/>
    </row>
    <row r="71" spans="2:2" x14ac:dyDescent="0.2">
      <c r="B71" s="312"/>
    </row>
    <row r="72" spans="2:2" x14ac:dyDescent="0.2">
      <c r="B72" s="312"/>
    </row>
    <row r="73" spans="2:2" x14ac:dyDescent="0.2">
      <c r="B73" s="312"/>
    </row>
    <row r="74" spans="2:2" x14ac:dyDescent="0.2">
      <c r="B74" s="312"/>
    </row>
    <row r="75" spans="2:2" x14ac:dyDescent="0.2">
      <c r="B75" s="312"/>
    </row>
    <row r="76" spans="2:2" x14ac:dyDescent="0.2">
      <c r="B76"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II-C-2.5h  AVERAGE DAILY BALANCES AND COST OF BANK BORROWINGS - AUGUST 2024
TEST YEAR ENDING DECEMBER 31, 2024
SPONSOR: K. FEASE</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9">
    <tabColor rgb="FF00B050"/>
    <pageSetUpPr fitToPage="1"/>
  </sheetPr>
  <dimension ref="A1:E76"/>
  <sheetViews>
    <sheetView zoomScaleNormal="100" workbookViewId="0">
      <pane ySplit="6" topLeftCell="A7" activePane="bottomLeft" state="frozen"/>
      <selection activeCell="P34" sqref="P34"/>
      <selection pane="bottomLeft" activeCell="Q37" sqref="Q37"/>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310</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5" s="242" customFormat="1" ht="13.5" thickBot="1" x14ac:dyDescent="0.25">
      <c r="A17" s="250"/>
      <c r="B17" s="250" t="s">
        <v>38</v>
      </c>
      <c r="C17" s="250" t="s">
        <v>39</v>
      </c>
      <c r="D17" s="250" t="s">
        <v>40</v>
      </c>
    </row>
    <row r="18" spans="1:5" x14ac:dyDescent="0.2">
      <c r="C18" s="245"/>
      <c r="D18" s="247"/>
    </row>
    <row r="19" spans="1:5" x14ac:dyDescent="0.2">
      <c r="A19" s="248">
        <v>1</v>
      </c>
      <c r="B19" s="354">
        <v>45536</v>
      </c>
      <c r="C19" s="355">
        <v>0</v>
      </c>
      <c r="D19" s="301">
        <v>0</v>
      </c>
      <c r="E19" s="302"/>
    </row>
    <row r="20" spans="1:5" x14ac:dyDescent="0.2">
      <c r="A20" s="248">
        <v>2</v>
      </c>
      <c r="B20" s="354">
        <v>45537</v>
      </c>
      <c r="C20" s="333">
        <v>0</v>
      </c>
      <c r="D20" s="301">
        <v>0</v>
      </c>
      <c r="E20" s="302"/>
    </row>
    <row r="21" spans="1:5" x14ac:dyDescent="0.2">
      <c r="A21" s="248">
        <v>3</v>
      </c>
      <c r="B21" s="354">
        <v>45538</v>
      </c>
      <c r="C21" s="333">
        <v>0</v>
      </c>
      <c r="D21" s="301">
        <v>0</v>
      </c>
      <c r="E21" s="302"/>
    </row>
    <row r="22" spans="1:5" x14ac:dyDescent="0.2">
      <c r="A22" s="248">
        <v>4</v>
      </c>
      <c r="B22" s="354">
        <v>45539</v>
      </c>
      <c r="C22" s="333">
        <v>0</v>
      </c>
      <c r="D22" s="301">
        <v>0</v>
      </c>
      <c r="E22" s="302"/>
    </row>
    <row r="23" spans="1:5" x14ac:dyDescent="0.2">
      <c r="A23" s="248">
        <v>5</v>
      </c>
      <c r="B23" s="354">
        <v>45540</v>
      </c>
      <c r="C23" s="356">
        <v>0</v>
      </c>
      <c r="D23" s="301">
        <v>0</v>
      </c>
      <c r="E23" s="302"/>
    </row>
    <row r="24" spans="1:5" x14ac:dyDescent="0.2">
      <c r="A24" s="248">
        <v>6</v>
      </c>
      <c r="B24" s="354">
        <v>45541</v>
      </c>
      <c r="C24" s="333">
        <v>0</v>
      </c>
      <c r="D24" s="301">
        <v>0</v>
      </c>
      <c r="E24" s="302"/>
    </row>
    <row r="25" spans="1:5" x14ac:dyDescent="0.2">
      <c r="A25" s="248">
        <v>7</v>
      </c>
      <c r="B25" s="354">
        <v>45542</v>
      </c>
      <c r="C25" s="333">
        <v>0</v>
      </c>
      <c r="D25" s="301">
        <v>0</v>
      </c>
      <c r="E25" s="302"/>
    </row>
    <row r="26" spans="1:5" x14ac:dyDescent="0.2">
      <c r="A26" s="248">
        <v>8</v>
      </c>
      <c r="B26" s="354">
        <v>45543</v>
      </c>
      <c r="C26" s="333">
        <v>0</v>
      </c>
      <c r="D26" s="301">
        <v>0</v>
      </c>
      <c r="E26" s="302"/>
    </row>
    <row r="27" spans="1:5" x14ac:dyDescent="0.2">
      <c r="A27" s="248">
        <v>9</v>
      </c>
      <c r="B27" s="354">
        <v>45544</v>
      </c>
      <c r="C27" s="333">
        <v>0</v>
      </c>
      <c r="D27" s="301">
        <v>0</v>
      </c>
      <c r="E27" s="302"/>
    </row>
    <row r="28" spans="1:5" x14ac:dyDescent="0.2">
      <c r="A28" s="248">
        <v>10</v>
      </c>
      <c r="B28" s="354">
        <v>45545</v>
      </c>
      <c r="C28" s="333">
        <v>0</v>
      </c>
      <c r="D28" s="301">
        <v>0</v>
      </c>
      <c r="E28" s="302"/>
    </row>
    <row r="29" spans="1:5" x14ac:dyDescent="0.2">
      <c r="A29" s="248">
        <v>11</v>
      </c>
      <c r="B29" s="354">
        <v>45546</v>
      </c>
      <c r="C29" s="333">
        <v>0</v>
      </c>
      <c r="D29" s="301">
        <v>0</v>
      </c>
      <c r="E29" s="302"/>
    </row>
    <row r="30" spans="1:5" x14ac:dyDescent="0.2">
      <c r="A30" s="248">
        <v>12</v>
      </c>
      <c r="B30" s="354">
        <v>45547</v>
      </c>
      <c r="C30" s="356">
        <v>0</v>
      </c>
      <c r="D30" s="301">
        <v>0</v>
      </c>
      <c r="E30" s="302"/>
    </row>
    <row r="31" spans="1:5" x14ac:dyDescent="0.2">
      <c r="A31" s="248">
        <v>13</v>
      </c>
      <c r="B31" s="354">
        <v>45548</v>
      </c>
      <c r="C31" s="356">
        <v>13600000</v>
      </c>
      <c r="D31" s="301">
        <v>5.4157000000000004E-2</v>
      </c>
      <c r="E31" s="302"/>
    </row>
    <row r="32" spans="1:5" x14ac:dyDescent="0.2">
      <c r="A32" s="248">
        <v>14</v>
      </c>
      <c r="B32" s="354">
        <v>45549</v>
      </c>
      <c r="C32" s="356">
        <v>13600000</v>
      </c>
      <c r="D32" s="301">
        <v>5.4157000000000004E-2</v>
      </c>
      <c r="E32" s="302"/>
    </row>
    <row r="33" spans="1:5" x14ac:dyDescent="0.2">
      <c r="A33" s="248">
        <v>15</v>
      </c>
      <c r="B33" s="354">
        <v>45550</v>
      </c>
      <c r="C33" s="356">
        <v>13600000</v>
      </c>
      <c r="D33" s="301">
        <v>5.4157000000000004E-2</v>
      </c>
      <c r="E33" s="302"/>
    </row>
    <row r="34" spans="1:5" x14ac:dyDescent="0.2">
      <c r="A34" s="248">
        <v>16</v>
      </c>
      <c r="B34" s="354">
        <v>45551</v>
      </c>
      <c r="C34" s="356">
        <v>58600000</v>
      </c>
      <c r="D34" s="301">
        <v>5.3311000000000004E-2</v>
      </c>
      <c r="E34" s="302"/>
    </row>
    <row r="35" spans="1:5" x14ac:dyDescent="0.2">
      <c r="A35" s="248">
        <v>17</v>
      </c>
      <c r="B35" s="354">
        <v>45552</v>
      </c>
      <c r="C35" s="356">
        <v>108600000</v>
      </c>
      <c r="D35" s="301">
        <v>5.2976999999999996E-2</v>
      </c>
      <c r="E35" s="302"/>
    </row>
    <row r="36" spans="1:5" x14ac:dyDescent="0.2">
      <c r="A36" s="248">
        <v>18</v>
      </c>
      <c r="B36" s="354">
        <v>45553</v>
      </c>
      <c r="C36" s="356">
        <v>108600000</v>
      </c>
      <c r="D36" s="301">
        <v>5.2976999999999996E-2</v>
      </c>
      <c r="E36" s="302"/>
    </row>
    <row r="37" spans="1:5" x14ac:dyDescent="0.2">
      <c r="A37" s="248">
        <v>19</v>
      </c>
      <c r="B37" s="354">
        <v>45554</v>
      </c>
      <c r="C37" s="356">
        <v>108600000</v>
      </c>
      <c r="D37" s="301">
        <v>5.2976999999999996E-2</v>
      </c>
      <c r="E37" s="302"/>
    </row>
    <row r="38" spans="1:5" x14ac:dyDescent="0.2">
      <c r="A38" s="248">
        <v>20</v>
      </c>
      <c r="B38" s="354">
        <v>45555</v>
      </c>
      <c r="C38" s="356">
        <v>145500000</v>
      </c>
      <c r="D38" s="301">
        <v>5.1746999999999994E-2</v>
      </c>
      <c r="E38" s="302"/>
    </row>
    <row r="39" spans="1:5" x14ac:dyDescent="0.2">
      <c r="A39" s="248">
        <v>21</v>
      </c>
      <c r="B39" s="354">
        <v>45556</v>
      </c>
      <c r="C39" s="356">
        <v>145500000</v>
      </c>
      <c r="D39" s="301">
        <v>5.1746999999999994E-2</v>
      </c>
      <c r="E39" s="302"/>
    </row>
    <row r="40" spans="1:5" x14ac:dyDescent="0.2">
      <c r="A40" s="248">
        <v>22</v>
      </c>
      <c r="B40" s="354">
        <v>45557</v>
      </c>
      <c r="C40" s="356">
        <v>145500000</v>
      </c>
      <c r="D40" s="301">
        <v>5.1746999999999994E-2</v>
      </c>
      <c r="E40" s="302"/>
    </row>
    <row r="41" spans="1:5" x14ac:dyDescent="0.2">
      <c r="A41" s="248">
        <v>23</v>
      </c>
      <c r="B41" s="354">
        <v>45558</v>
      </c>
      <c r="C41" s="356">
        <v>164650000</v>
      </c>
      <c r="D41" s="301">
        <v>4.9748000000000001E-2</v>
      </c>
      <c r="E41" s="302"/>
    </row>
    <row r="42" spans="1:5" x14ac:dyDescent="0.2">
      <c r="A42" s="248">
        <v>24</v>
      </c>
      <c r="B42" s="354">
        <v>45559</v>
      </c>
      <c r="C42" s="356">
        <v>154950000</v>
      </c>
      <c r="D42" s="301">
        <v>4.9333999999999996E-2</v>
      </c>
      <c r="E42" s="302"/>
    </row>
    <row r="43" spans="1:5" x14ac:dyDescent="0.2">
      <c r="A43" s="248">
        <v>25</v>
      </c>
      <c r="B43" s="354">
        <v>45560</v>
      </c>
      <c r="C43" s="356">
        <v>154950000</v>
      </c>
      <c r="D43" s="301">
        <v>4.9333999999999996E-2</v>
      </c>
      <c r="E43" s="302"/>
    </row>
    <row r="44" spans="1:5" x14ac:dyDescent="0.2">
      <c r="A44" s="248">
        <v>26</v>
      </c>
      <c r="B44" s="354">
        <v>45561</v>
      </c>
      <c r="C44" s="356">
        <v>137850000</v>
      </c>
      <c r="D44" s="301">
        <v>4.9253999999999999E-2</v>
      </c>
      <c r="E44" s="302"/>
    </row>
    <row r="45" spans="1:5" x14ac:dyDescent="0.2">
      <c r="A45" s="248">
        <v>27</v>
      </c>
      <c r="B45" s="354">
        <v>45562</v>
      </c>
      <c r="C45" s="356">
        <v>169050000</v>
      </c>
      <c r="D45" s="301">
        <v>4.9260999999999999E-2</v>
      </c>
      <c r="E45" s="302"/>
    </row>
    <row r="46" spans="1:5" x14ac:dyDescent="0.2">
      <c r="A46" s="248">
        <v>28</v>
      </c>
      <c r="B46" s="354">
        <v>45563</v>
      </c>
      <c r="C46" s="356">
        <v>169050000</v>
      </c>
      <c r="D46" s="301">
        <v>4.9260999999999999E-2</v>
      </c>
      <c r="E46" s="302"/>
    </row>
    <row r="47" spans="1:5" x14ac:dyDescent="0.2">
      <c r="A47" s="248">
        <v>29</v>
      </c>
      <c r="B47" s="354">
        <v>45564</v>
      </c>
      <c r="C47" s="356">
        <v>169050000</v>
      </c>
      <c r="D47" s="301">
        <v>4.9260999999999999E-2</v>
      </c>
      <c r="E47" s="302"/>
    </row>
    <row r="48" spans="1:5" x14ac:dyDescent="0.2">
      <c r="A48" s="248">
        <v>30</v>
      </c>
      <c r="B48" s="354">
        <v>45565</v>
      </c>
      <c r="C48" s="356">
        <v>63900000</v>
      </c>
      <c r="D48" s="301">
        <v>4.9222999999999996E-2</v>
      </c>
      <c r="E48" s="302"/>
    </row>
    <row r="49" spans="1:4" x14ac:dyDescent="0.2">
      <c r="A49" s="248"/>
      <c r="B49" s="313"/>
      <c r="C49" s="303"/>
      <c r="D49" s="304"/>
    </row>
    <row r="50" spans="1:4" x14ac:dyDescent="0.2">
      <c r="B50" s="312"/>
    </row>
    <row r="51" spans="1:4" x14ac:dyDescent="0.2">
      <c r="B51" s="312"/>
    </row>
    <row r="52" spans="1:4" x14ac:dyDescent="0.2">
      <c r="B52" s="312"/>
    </row>
    <row r="53" spans="1:4" x14ac:dyDescent="0.2">
      <c r="B53" s="312"/>
    </row>
    <row r="54" spans="1:4" x14ac:dyDescent="0.2">
      <c r="B54" s="312"/>
    </row>
    <row r="55" spans="1:4" x14ac:dyDescent="0.2">
      <c r="B55" s="312"/>
    </row>
    <row r="56" spans="1:4" x14ac:dyDescent="0.2">
      <c r="B56" s="312"/>
    </row>
    <row r="57" spans="1:4" x14ac:dyDescent="0.2">
      <c r="B57" s="312"/>
    </row>
    <row r="58" spans="1:4" x14ac:dyDescent="0.2">
      <c r="B58" s="312"/>
    </row>
    <row r="59" spans="1:4" x14ac:dyDescent="0.2">
      <c r="B59" s="312"/>
    </row>
    <row r="60" spans="1:4" x14ac:dyDescent="0.2">
      <c r="B60" s="312"/>
    </row>
    <row r="61" spans="1:4" x14ac:dyDescent="0.2">
      <c r="B61" s="312"/>
    </row>
    <row r="62" spans="1:4" x14ac:dyDescent="0.2">
      <c r="B62" s="312"/>
    </row>
    <row r="63" spans="1:4" x14ac:dyDescent="0.2">
      <c r="B63" s="312"/>
    </row>
    <row r="64" spans="1:4" x14ac:dyDescent="0.2">
      <c r="B64" s="312"/>
    </row>
    <row r="65" spans="2:2" x14ac:dyDescent="0.2">
      <c r="B65" s="312"/>
    </row>
    <row r="66" spans="2:2" x14ac:dyDescent="0.2">
      <c r="B66" s="312"/>
    </row>
    <row r="67" spans="2:2" x14ac:dyDescent="0.2">
      <c r="B67" s="312"/>
    </row>
    <row r="68" spans="2:2" x14ac:dyDescent="0.2">
      <c r="B68" s="312"/>
    </row>
    <row r="69" spans="2:2" x14ac:dyDescent="0.2">
      <c r="B69" s="312"/>
    </row>
    <row r="70" spans="2:2" x14ac:dyDescent="0.2">
      <c r="B70" s="312"/>
    </row>
    <row r="71" spans="2:2" x14ac:dyDescent="0.2">
      <c r="B71" s="312"/>
    </row>
    <row r="72" spans="2:2" x14ac:dyDescent="0.2">
      <c r="B72" s="312"/>
    </row>
    <row r="73" spans="2:2" x14ac:dyDescent="0.2">
      <c r="B73" s="312"/>
    </row>
    <row r="74" spans="2:2" x14ac:dyDescent="0.2">
      <c r="B74" s="312"/>
    </row>
    <row r="75" spans="2:2" x14ac:dyDescent="0.2">
      <c r="B75" s="312"/>
    </row>
    <row r="76" spans="2:2" x14ac:dyDescent="0.2">
      <c r="B76"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II-C-2.5i  AVERAGE DAILY BALANCES AND COST OF BANK BORROWINGS - SEPTEMBER 2024
TEST YEAR ENDING DECEMBER 31, 2024
SPONSOR: K. FEASE</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0">
    <tabColor rgb="FF00B050"/>
    <pageSetUpPr fitToPage="1"/>
  </sheetPr>
  <dimension ref="A1:D76"/>
  <sheetViews>
    <sheetView zoomScaleNormal="100" workbookViewId="0">
      <pane ySplit="6" topLeftCell="A7" activePane="bottomLeft" state="frozen"/>
      <selection activeCell="P34" sqref="P34"/>
      <selection pane="bottomLeft" activeCell="U37" sqref="U37"/>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311</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4" s="242" customFormat="1" ht="13.5" thickBot="1" x14ac:dyDescent="0.25">
      <c r="A17" s="250"/>
      <c r="B17" s="250" t="s">
        <v>38</v>
      </c>
      <c r="C17" s="250" t="s">
        <v>39</v>
      </c>
      <c r="D17" s="250" t="s">
        <v>40</v>
      </c>
    </row>
    <row r="18" spans="1:4" x14ac:dyDescent="0.2">
      <c r="C18" s="245"/>
      <c r="D18" s="247"/>
    </row>
    <row r="19" spans="1:4" x14ac:dyDescent="0.2">
      <c r="A19" s="248">
        <v>1</v>
      </c>
      <c r="B19" s="354">
        <v>45566</v>
      </c>
      <c r="C19" s="355">
        <v>77000000</v>
      </c>
      <c r="D19" s="301">
        <v>4.9222000000000002E-2</v>
      </c>
    </row>
    <row r="20" spans="1:4" x14ac:dyDescent="0.2">
      <c r="A20" s="248">
        <v>2</v>
      </c>
      <c r="B20" s="354">
        <v>45567</v>
      </c>
      <c r="C20" s="333">
        <v>67100000</v>
      </c>
      <c r="D20" s="301">
        <v>4.9222999999999996E-2</v>
      </c>
    </row>
    <row r="21" spans="1:4" x14ac:dyDescent="0.2">
      <c r="A21" s="248">
        <v>3</v>
      </c>
      <c r="B21" s="354">
        <v>45568</v>
      </c>
      <c r="C21" s="333">
        <v>80800000</v>
      </c>
      <c r="D21" s="301">
        <v>4.9221000000000001E-2</v>
      </c>
    </row>
    <row r="22" spans="1:4" x14ac:dyDescent="0.2">
      <c r="A22" s="248">
        <v>4</v>
      </c>
      <c r="B22" s="354">
        <v>45569</v>
      </c>
      <c r="C22" s="333">
        <v>110200000</v>
      </c>
      <c r="D22" s="301">
        <v>4.9234E-2</v>
      </c>
    </row>
    <row r="23" spans="1:4" x14ac:dyDescent="0.2">
      <c r="A23" s="248">
        <v>5</v>
      </c>
      <c r="B23" s="354">
        <v>45570</v>
      </c>
      <c r="C23" s="333">
        <v>110200000</v>
      </c>
      <c r="D23" s="301">
        <v>4.9234E-2</v>
      </c>
    </row>
    <row r="24" spans="1:4" x14ac:dyDescent="0.2">
      <c r="A24" s="248">
        <v>6</v>
      </c>
      <c r="B24" s="354">
        <v>45571</v>
      </c>
      <c r="C24" s="333">
        <v>110200000</v>
      </c>
      <c r="D24" s="301">
        <v>4.9234E-2</v>
      </c>
    </row>
    <row r="25" spans="1:4" x14ac:dyDescent="0.2">
      <c r="A25" s="248">
        <v>7</v>
      </c>
      <c r="B25" s="354">
        <v>45572</v>
      </c>
      <c r="C25" s="333">
        <v>102500000</v>
      </c>
      <c r="D25" s="301">
        <v>4.9202000000000003E-2</v>
      </c>
    </row>
    <row r="26" spans="1:4" x14ac:dyDescent="0.2">
      <c r="A26" s="248">
        <v>8</v>
      </c>
      <c r="B26" s="354">
        <v>45573</v>
      </c>
      <c r="C26" s="333">
        <v>117500000</v>
      </c>
      <c r="D26" s="301">
        <v>4.9202000000000003E-2</v>
      </c>
    </row>
    <row r="27" spans="1:4" x14ac:dyDescent="0.2">
      <c r="A27" s="248">
        <v>9</v>
      </c>
      <c r="B27" s="354">
        <v>45574</v>
      </c>
      <c r="C27" s="333">
        <v>116900000</v>
      </c>
      <c r="D27" s="301">
        <v>4.9192E-2</v>
      </c>
    </row>
    <row r="28" spans="1:4" x14ac:dyDescent="0.2">
      <c r="A28" s="248">
        <v>10</v>
      </c>
      <c r="B28" s="354">
        <v>45575</v>
      </c>
      <c r="C28" s="333">
        <v>115000000</v>
      </c>
      <c r="D28" s="301">
        <v>4.9212999999999993E-2</v>
      </c>
    </row>
    <row r="29" spans="1:4" x14ac:dyDescent="0.2">
      <c r="A29" s="248">
        <v>11</v>
      </c>
      <c r="B29" s="354">
        <v>45576</v>
      </c>
      <c r="C29" s="333">
        <v>155900000</v>
      </c>
      <c r="D29" s="301">
        <v>4.9092999999999998E-2</v>
      </c>
    </row>
    <row r="30" spans="1:4" x14ac:dyDescent="0.2">
      <c r="A30" s="248">
        <v>12</v>
      </c>
      <c r="B30" s="354">
        <v>45577</v>
      </c>
      <c r="C30" s="333">
        <v>155900000</v>
      </c>
      <c r="D30" s="301">
        <v>4.9092999999999998E-2</v>
      </c>
    </row>
    <row r="31" spans="1:4" x14ac:dyDescent="0.2">
      <c r="A31" s="248">
        <v>13</v>
      </c>
      <c r="B31" s="354">
        <v>45578</v>
      </c>
      <c r="C31" s="333">
        <v>155900000</v>
      </c>
      <c r="D31" s="301">
        <v>4.9092999999999998E-2</v>
      </c>
    </row>
    <row r="32" spans="1:4" x14ac:dyDescent="0.2">
      <c r="A32" s="248">
        <v>14</v>
      </c>
      <c r="B32" s="354">
        <v>45579</v>
      </c>
      <c r="C32" s="333">
        <v>155900000</v>
      </c>
      <c r="D32" s="301">
        <v>4.9092999999999998E-2</v>
      </c>
    </row>
    <row r="33" spans="1:4" x14ac:dyDescent="0.2">
      <c r="A33" s="248">
        <v>15</v>
      </c>
      <c r="B33" s="354">
        <v>45580</v>
      </c>
      <c r="C33" s="333">
        <v>130900000</v>
      </c>
      <c r="D33" s="301">
        <v>4.9447999999999999E-2</v>
      </c>
    </row>
    <row r="34" spans="1:4" x14ac:dyDescent="0.2">
      <c r="A34" s="248">
        <v>16</v>
      </c>
      <c r="B34" s="354">
        <v>45581</v>
      </c>
      <c r="C34" s="333">
        <v>130900000</v>
      </c>
      <c r="D34" s="301">
        <v>4.9447999999999999E-2</v>
      </c>
    </row>
    <row r="35" spans="1:4" x14ac:dyDescent="0.2">
      <c r="A35" s="248">
        <v>17</v>
      </c>
      <c r="B35" s="354">
        <v>45582</v>
      </c>
      <c r="C35" s="333">
        <v>130900000</v>
      </c>
      <c r="D35" s="301">
        <v>4.9447999999999999E-2</v>
      </c>
    </row>
    <row r="36" spans="1:4" x14ac:dyDescent="0.2">
      <c r="A36" s="248">
        <v>18</v>
      </c>
      <c r="B36" s="354">
        <v>45583</v>
      </c>
      <c r="C36" s="333">
        <v>134800000</v>
      </c>
      <c r="D36" s="301">
        <v>4.9442000000000007E-2</v>
      </c>
    </row>
    <row r="37" spans="1:4" x14ac:dyDescent="0.2">
      <c r="A37" s="248">
        <v>19</v>
      </c>
      <c r="B37" s="354">
        <v>45584</v>
      </c>
      <c r="C37" s="333">
        <v>134800000</v>
      </c>
      <c r="D37" s="301">
        <v>4.9442000000000007E-2</v>
      </c>
    </row>
    <row r="38" spans="1:4" x14ac:dyDescent="0.2">
      <c r="A38" s="248">
        <v>20</v>
      </c>
      <c r="B38" s="354">
        <v>45585</v>
      </c>
      <c r="C38" s="333">
        <v>134800000</v>
      </c>
      <c r="D38" s="301">
        <v>4.9442000000000007E-2</v>
      </c>
    </row>
    <row r="39" spans="1:4" x14ac:dyDescent="0.2">
      <c r="A39" s="248">
        <v>21</v>
      </c>
      <c r="B39" s="354">
        <v>45586</v>
      </c>
      <c r="C39" s="333">
        <v>134800000</v>
      </c>
      <c r="D39" s="301">
        <v>4.9442000000000007E-2</v>
      </c>
    </row>
    <row r="40" spans="1:4" x14ac:dyDescent="0.2">
      <c r="A40" s="248">
        <v>22</v>
      </c>
      <c r="B40" s="354">
        <v>45587</v>
      </c>
      <c r="C40" s="333">
        <v>113200000</v>
      </c>
      <c r="D40" s="301">
        <v>4.9244000000000003E-2</v>
      </c>
    </row>
    <row r="41" spans="1:4" x14ac:dyDescent="0.2">
      <c r="A41" s="248">
        <v>23</v>
      </c>
      <c r="B41" s="354">
        <v>45588</v>
      </c>
      <c r="C41" s="333">
        <v>128200000</v>
      </c>
      <c r="D41" s="301">
        <v>4.9245999999999998E-2</v>
      </c>
    </row>
    <row r="42" spans="1:4" x14ac:dyDescent="0.2">
      <c r="A42" s="248">
        <v>24</v>
      </c>
      <c r="B42" s="354">
        <v>45589</v>
      </c>
      <c r="C42" s="333">
        <v>128200000</v>
      </c>
      <c r="D42" s="301">
        <v>4.9245999999999998E-2</v>
      </c>
    </row>
    <row r="43" spans="1:4" x14ac:dyDescent="0.2">
      <c r="A43" s="248">
        <v>25</v>
      </c>
      <c r="B43" s="354">
        <v>45590</v>
      </c>
      <c r="C43" s="333">
        <v>169500000</v>
      </c>
      <c r="D43" s="301">
        <v>4.9244000000000003E-2</v>
      </c>
    </row>
    <row r="44" spans="1:4" x14ac:dyDescent="0.2">
      <c r="A44" s="248">
        <v>26</v>
      </c>
      <c r="B44" s="354">
        <v>45591</v>
      </c>
      <c r="C44" s="333">
        <v>169500000</v>
      </c>
      <c r="D44" s="301">
        <v>4.9244000000000003E-2</v>
      </c>
    </row>
    <row r="45" spans="1:4" x14ac:dyDescent="0.2">
      <c r="A45" s="248">
        <v>27</v>
      </c>
      <c r="B45" s="354">
        <v>45592</v>
      </c>
      <c r="C45" s="333">
        <v>169500000</v>
      </c>
      <c r="D45" s="301">
        <v>4.9244000000000003E-2</v>
      </c>
    </row>
    <row r="46" spans="1:4" x14ac:dyDescent="0.2">
      <c r="A46" s="248">
        <v>28</v>
      </c>
      <c r="B46" s="354">
        <v>45593</v>
      </c>
      <c r="C46" s="333">
        <v>119300000</v>
      </c>
      <c r="D46" s="301">
        <v>4.9245999999999998E-2</v>
      </c>
    </row>
    <row r="47" spans="1:4" x14ac:dyDescent="0.2">
      <c r="A47" s="248">
        <v>29</v>
      </c>
      <c r="B47" s="354">
        <v>45594</v>
      </c>
      <c r="C47" s="333">
        <v>117300000</v>
      </c>
      <c r="D47" s="301">
        <v>4.9237000000000003E-2</v>
      </c>
    </row>
    <row r="48" spans="1:4" x14ac:dyDescent="0.2">
      <c r="A48" s="248">
        <v>30</v>
      </c>
      <c r="B48" s="354">
        <v>45595</v>
      </c>
      <c r="C48" s="333">
        <v>292300000</v>
      </c>
      <c r="D48" s="301">
        <v>4.9176999999999998E-2</v>
      </c>
    </row>
    <row r="49" spans="1:4" x14ac:dyDescent="0.2">
      <c r="A49" s="248">
        <v>31</v>
      </c>
      <c r="B49" s="354">
        <v>45596</v>
      </c>
      <c r="C49" s="333">
        <v>186300000</v>
      </c>
      <c r="D49" s="301">
        <v>4.9021999999999996E-2</v>
      </c>
    </row>
    <row r="50" spans="1:4" x14ac:dyDescent="0.2">
      <c r="B50" s="313"/>
    </row>
    <row r="51" spans="1:4" x14ac:dyDescent="0.2">
      <c r="B51" s="313"/>
    </row>
    <row r="52" spans="1:4" x14ac:dyDescent="0.2">
      <c r="B52" s="312"/>
    </row>
    <row r="53" spans="1:4" x14ac:dyDescent="0.2">
      <c r="B53" s="312"/>
    </row>
    <row r="54" spans="1:4" x14ac:dyDescent="0.2">
      <c r="B54" s="312"/>
    </row>
    <row r="55" spans="1:4" x14ac:dyDescent="0.2">
      <c r="B55" s="312"/>
    </row>
    <row r="56" spans="1:4" x14ac:dyDescent="0.2">
      <c r="B56" s="312"/>
    </row>
    <row r="57" spans="1:4" x14ac:dyDescent="0.2">
      <c r="B57" s="312"/>
    </row>
    <row r="58" spans="1:4" x14ac:dyDescent="0.2">
      <c r="B58" s="312"/>
    </row>
    <row r="59" spans="1:4" x14ac:dyDescent="0.2">
      <c r="B59" s="312"/>
    </row>
    <row r="60" spans="1:4" x14ac:dyDescent="0.2">
      <c r="B60" s="312"/>
    </row>
    <row r="61" spans="1:4" x14ac:dyDescent="0.2">
      <c r="B61" s="312"/>
    </row>
    <row r="62" spans="1:4" x14ac:dyDescent="0.2">
      <c r="B62" s="312"/>
    </row>
    <row r="63" spans="1:4" x14ac:dyDescent="0.2">
      <c r="B63" s="312"/>
    </row>
    <row r="64" spans="1:4" x14ac:dyDescent="0.2">
      <c r="B64" s="312"/>
    </row>
    <row r="65" spans="2:2" x14ac:dyDescent="0.2">
      <c r="B65" s="312"/>
    </row>
    <row r="66" spans="2:2" x14ac:dyDescent="0.2">
      <c r="B66" s="312"/>
    </row>
    <row r="67" spans="2:2" x14ac:dyDescent="0.2">
      <c r="B67" s="312"/>
    </row>
    <row r="68" spans="2:2" x14ac:dyDescent="0.2">
      <c r="B68" s="312"/>
    </row>
    <row r="69" spans="2:2" x14ac:dyDescent="0.2">
      <c r="B69" s="312"/>
    </row>
    <row r="70" spans="2:2" x14ac:dyDescent="0.2">
      <c r="B70" s="312"/>
    </row>
    <row r="71" spans="2:2" x14ac:dyDescent="0.2">
      <c r="B71" s="312"/>
    </row>
    <row r="72" spans="2:2" x14ac:dyDescent="0.2">
      <c r="B72" s="312"/>
    </row>
    <row r="73" spans="2:2" x14ac:dyDescent="0.2">
      <c r="B73" s="312"/>
    </row>
    <row r="74" spans="2:2" x14ac:dyDescent="0.2">
      <c r="B74" s="312"/>
    </row>
    <row r="75" spans="2:2" x14ac:dyDescent="0.2">
      <c r="B75" s="312"/>
    </row>
    <row r="76" spans="2:2" x14ac:dyDescent="0.2">
      <c r="B76"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II-C-2.5j  AVERAGE DAILY BALANCES AND COST OF BANK BORROWINGS - OCTOBER 2024
TEST YEAR ENDING DECEMBER 31, 2024
SPONSOR: K. FEASE</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1">
    <tabColor rgb="FF00B050"/>
    <pageSetUpPr fitToPage="1"/>
  </sheetPr>
  <dimension ref="A1:D76"/>
  <sheetViews>
    <sheetView zoomScaleNormal="100" workbookViewId="0">
      <pane ySplit="6" topLeftCell="A7" activePane="bottomLeft" state="frozen"/>
      <selection activeCell="P34" sqref="P34"/>
      <selection pane="bottomLeft" activeCell="J32" sqref="J32"/>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312</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4" s="242" customFormat="1" ht="13.5" thickBot="1" x14ac:dyDescent="0.25">
      <c r="A17" s="250"/>
      <c r="B17" s="250" t="s">
        <v>38</v>
      </c>
      <c r="C17" s="250" t="s">
        <v>39</v>
      </c>
      <c r="D17" s="250" t="s">
        <v>40</v>
      </c>
    </row>
    <row r="18" spans="1:4" x14ac:dyDescent="0.2">
      <c r="C18" s="245"/>
      <c r="D18" s="247"/>
    </row>
    <row r="19" spans="1:4" x14ac:dyDescent="0.2">
      <c r="A19" s="248">
        <v>1</v>
      </c>
      <c r="B19" s="354">
        <v>45597</v>
      </c>
      <c r="C19" s="355">
        <v>132800000</v>
      </c>
      <c r="D19" s="301">
        <v>4.9024999999999999E-2</v>
      </c>
    </row>
    <row r="20" spans="1:4" x14ac:dyDescent="0.2">
      <c r="A20" s="248">
        <v>2</v>
      </c>
      <c r="B20" s="354">
        <v>45598</v>
      </c>
      <c r="C20" s="333">
        <v>132800000</v>
      </c>
      <c r="D20" s="301">
        <v>4.9024999999999999E-2</v>
      </c>
    </row>
    <row r="21" spans="1:4" x14ac:dyDescent="0.2">
      <c r="A21" s="248">
        <v>3</v>
      </c>
      <c r="B21" s="354">
        <v>45599</v>
      </c>
      <c r="C21" s="333">
        <v>132800000</v>
      </c>
      <c r="D21" s="301">
        <v>4.9024999999999999E-2</v>
      </c>
    </row>
    <row r="22" spans="1:4" x14ac:dyDescent="0.2">
      <c r="A22" s="248">
        <v>4</v>
      </c>
      <c r="B22" s="354">
        <v>45600</v>
      </c>
      <c r="C22" s="333">
        <v>138200000</v>
      </c>
      <c r="D22" s="301">
        <v>4.9050000000000003E-2</v>
      </c>
    </row>
    <row r="23" spans="1:4" x14ac:dyDescent="0.2">
      <c r="A23" s="248">
        <v>5</v>
      </c>
      <c r="B23" s="354">
        <v>45601</v>
      </c>
      <c r="C23" s="333">
        <v>150600000</v>
      </c>
      <c r="D23" s="301">
        <v>4.9048000000000001E-2</v>
      </c>
    </row>
    <row r="24" spans="1:4" x14ac:dyDescent="0.2">
      <c r="A24" s="248">
        <v>6</v>
      </c>
      <c r="B24" s="354">
        <v>45602</v>
      </c>
      <c r="C24" s="333">
        <v>133000000</v>
      </c>
      <c r="D24" s="301">
        <v>4.9048999999999995E-2</v>
      </c>
    </row>
    <row r="25" spans="1:4" x14ac:dyDescent="0.2">
      <c r="A25" s="248">
        <v>7</v>
      </c>
      <c r="B25" s="354">
        <v>45603</v>
      </c>
      <c r="C25" s="333">
        <v>136000000</v>
      </c>
      <c r="D25" s="301">
        <v>4.8903000000000002E-2</v>
      </c>
    </row>
    <row r="26" spans="1:4" x14ac:dyDescent="0.2">
      <c r="A26" s="248">
        <v>8</v>
      </c>
      <c r="B26" s="354">
        <v>45604</v>
      </c>
      <c r="C26" s="333">
        <v>156900000</v>
      </c>
      <c r="D26" s="301">
        <v>4.8448000000000005E-2</v>
      </c>
    </row>
    <row r="27" spans="1:4" x14ac:dyDescent="0.2">
      <c r="A27" s="248">
        <v>9</v>
      </c>
      <c r="B27" s="354">
        <v>45605</v>
      </c>
      <c r="C27" s="333">
        <v>156900000</v>
      </c>
      <c r="D27" s="301">
        <v>4.8448000000000005E-2</v>
      </c>
    </row>
    <row r="28" spans="1:4" x14ac:dyDescent="0.2">
      <c r="A28" s="248">
        <v>10</v>
      </c>
      <c r="B28" s="354">
        <v>45606</v>
      </c>
      <c r="C28" s="333">
        <v>156900000</v>
      </c>
      <c r="D28" s="301">
        <v>4.8448000000000005E-2</v>
      </c>
    </row>
    <row r="29" spans="1:4" x14ac:dyDescent="0.2">
      <c r="A29" s="248">
        <v>11</v>
      </c>
      <c r="B29" s="354">
        <v>45607</v>
      </c>
      <c r="C29" s="333">
        <v>156900000</v>
      </c>
      <c r="D29" s="301">
        <v>4.8448000000000005E-2</v>
      </c>
    </row>
    <row r="30" spans="1:4" x14ac:dyDescent="0.2">
      <c r="A30" s="248">
        <v>12</v>
      </c>
      <c r="B30" s="354">
        <v>45608</v>
      </c>
      <c r="C30" s="333">
        <v>165100000</v>
      </c>
      <c r="D30" s="301">
        <v>4.6722E-2</v>
      </c>
    </row>
    <row r="31" spans="1:4" x14ac:dyDescent="0.2">
      <c r="A31" s="248">
        <v>13</v>
      </c>
      <c r="B31" s="354">
        <v>45609</v>
      </c>
      <c r="C31" s="333">
        <v>112000000</v>
      </c>
      <c r="D31" s="301">
        <v>4.6828000000000002E-2</v>
      </c>
    </row>
    <row r="32" spans="1:4" x14ac:dyDescent="0.2">
      <c r="A32" s="248">
        <v>14</v>
      </c>
      <c r="B32" s="354">
        <v>45610</v>
      </c>
      <c r="C32" s="333">
        <v>121100000</v>
      </c>
      <c r="D32" s="301">
        <v>4.6870000000000002E-2</v>
      </c>
    </row>
    <row r="33" spans="1:4" x14ac:dyDescent="0.2">
      <c r="A33" s="248">
        <v>15</v>
      </c>
      <c r="B33" s="354">
        <v>45611</v>
      </c>
      <c r="C33" s="333">
        <v>225400000</v>
      </c>
      <c r="D33" s="301">
        <v>4.6855000000000001E-2</v>
      </c>
    </row>
    <row r="34" spans="1:4" x14ac:dyDescent="0.2">
      <c r="A34" s="248">
        <v>16</v>
      </c>
      <c r="B34" s="354">
        <v>45612</v>
      </c>
      <c r="C34" s="333">
        <v>225400000</v>
      </c>
      <c r="D34" s="301">
        <v>4.6855000000000001E-2</v>
      </c>
    </row>
    <row r="35" spans="1:4" x14ac:dyDescent="0.2">
      <c r="A35" s="248">
        <v>17</v>
      </c>
      <c r="B35" s="354">
        <v>45613</v>
      </c>
      <c r="C35" s="333">
        <v>225400000</v>
      </c>
      <c r="D35" s="301">
        <v>4.6855000000000001E-2</v>
      </c>
    </row>
    <row r="36" spans="1:4" x14ac:dyDescent="0.2">
      <c r="A36" s="248">
        <v>18</v>
      </c>
      <c r="B36" s="354">
        <v>45614</v>
      </c>
      <c r="C36" s="333">
        <v>233950000</v>
      </c>
      <c r="D36" s="301">
        <v>4.6937E-2</v>
      </c>
    </row>
    <row r="37" spans="1:4" x14ac:dyDescent="0.2">
      <c r="A37" s="248">
        <v>19</v>
      </c>
      <c r="B37" s="354">
        <v>45615</v>
      </c>
      <c r="C37" s="333">
        <v>220100000</v>
      </c>
      <c r="D37" s="301">
        <v>4.7026000000000005E-2</v>
      </c>
    </row>
    <row r="38" spans="1:4" x14ac:dyDescent="0.2">
      <c r="A38" s="248">
        <v>20</v>
      </c>
      <c r="B38" s="354">
        <v>45616</v>
      </c>
      <c r="C38" s="333">
        <v>233600000</v>
      </c>
      <c r="D38" s="301">
        <v>4.7073999999999998E-2</v>
      </c>
    </row>
    <row r="39" spans="1:4" x14ac:dyDescent="0.2">
      <c r="A39" s="248">
        <v>21</v>
      </c>
      <c r="B39" s="354">
        <v>45617</v>
      </c>
      <c r="C39" s="333">
        <v>230000000</v>
      </c>
      <c r="D39" s="301">
        <v>4.7092000000000002E-2</v>
      </c>
    </row>
    <row r="40" spans="1:4" x14ac:dyDescent="0.2">
      <c r="A40" s="248">
        <v>22</v>
      </c>
      <c r="B40" s="354">
        <v>45618</v>
      </c>
      <c r="C40" s="333">
        <v>252850000</v>
      </c>
      <c r="D40" s="301">
        <v>4.7088999999999999E-2</v>
      </c>
    </row>
    <row r="41" spans="1:4" x14ac:dyDescent="0.2">
      <c r="A41" s="248">
        <v>23</v>
      </c>
      <c r="B41" s="354">
        <v>45619</v>
      </c>
      <c r="C41" s="333">
        <v>252850000</v>
      </c>
      <c r="D41" s="301">
        <v>4.7088999999999999E-2</v>
      </c>
    </row>
    <row r="42" spans="1:4" x14ac:dyDescent="0.2">
      <c r="A42" s="248">
        <v>24</v>
      </c>
      <c r="B42" s="354">
        <v>45620</v>
      </c>
      <c r="C42" s="333">
        <v>252850000</v>
      </c>
      <c r="D42" s="301">
        <v>4.7088999999999999E-2</v>
      </c>
    </row>
    <row r="43" spans="1:4" x14ac:dyDescent="0.2">
      <c r="A43" s="248">
        <v>25</v>
      </c>
      <c r="B43" s="354">
        <v>45621</v>
      </c>
      <c r="C43" s="333">
        <v>342850000</v>
      </c>
      <c r="D43" s="301">
        <v>4.7107999999999997E-2</v>
      </c>
    </row>
    <row r="44" spans="1:4" x14ac:dyDescent="0.2">
      <c r="A44" s="248">
        <v>26</v>
      </c>
      <c r="B44" s="354">
        <v>45622</v>
      </c>
      <c r="C44" s="333">
        <v>474850000</v>
      </c>
      <c r="D44" s="301">
        <v>4.7073999999999998E-2</v>
      </c>
    </row>
    <row r="45" spans="1:4" x14ac:dyDescent="0.2">
      <c r="A45" s="248">
        <v>27</v>
      </c>
      <c r="B45" s="354">
        <v>45623</v>
      </c>
      <c r="C45" s="333">
        <v>382000000</v>
      </c>
      <c r="D45" s="301">
        <v>4.7123999999999999E-2</v>
      </c>
    </row>
    <row r="46" spans="1:4" x14ac:dyDescent="0.2">
      <c r="A46" s="248">
        <v>28</v>
      </c>
      <c r="B46" s="354">
        <v>45624</v>
      </c>
      <c r="C46" s="333">
        <v>382000000</v>
      </c>
      <c r="D46" s="301">
        <v>4.7123999999999999E-2</v>
      </c>
    </row>
    <row r="47" spans="1:4" x14ac:dyDescent="0.2">
      <c r="A47" s="248">
        <v>29</v>
      </c>
      <c r="B47" s="354">
        <v>45625</v>
      </c>
      <c r="C47" s="333">
        <v>382000000</v>
      </c>
      <c r="D47" s="301">
        <v>4.7123999999999999E-2</v>
      </c>
    </row>
    <row r="48" spans="1:4" x14ac:dyDescent="0.2">
      <c r="A48" s="248">
        <v>30</v>
      </c>
      <c r="B48" s="354">
        <v>45626</v>
      </c>
      <c r="C48" s="333">
        <v>382000000</v>
      </c>
      <c r="D48" s="301">
        <v>4.7123999999999999E-2</v>
      </c>
    </row>
    <row r="49" spans="1:4" x14ac:dyDescent="0.2">
      <c r="A49" s="248"/>
      <c r="B49" s="313"/>
      <c r="C49" s="303"/>
      <c r="D49" s="304"/>
    </row>
    <row r="50" spans="1:4" x14ac:dyDescent="0.2">
      <c r="B50" s="313"/>
    </row>
    <row r="51" spans="1:4" x14ac:dyDescent="0.2">
      <c r="B51" s="313"/>
    </row>
    <row r="52" spans="1:4" x14ac:dyDescent="0.2">
      <c r="B52" s="312"/>
    </row>
    <row r="53" spans="1:4" x14ac:dyDescent="0.2">
      <c r="B53" s="312"/>
    </row>
    <row r="54" spans="1:4" x14ac:dyDescent="0.2">
      <c r="B54" s="312"/>
    </row>
    <row r="55" spans="1:4" x14ac:dyDescent="0.2">
      <c r="B55" s="312"/>
    </row>
    <row r="56" spans="1:4" x14ac:dyDescent="0.2">
      <c r="B56" s="312"/>
    </row>
    <row r="57" spans="1:4" x14ac:dyDescent="0.2">
      <c r="B57" s="312"/>
    </row>
    <row r="58" spans="1:4" x14ac:dyDescent="0.2">
      <c r="B58" s="312"/>
    </row>
    <row r="59" spans="1:4" x14ac:dyDescent="0.2">
      <c r="B59" s="312"/>
    </row>
    <row r="60" spans="1:4" x14ac:dyDescent="0.2">
      <c r="B60" s="312"/>
    </row>
    <row r="61" spans="1:4" x14ac:dyDescent="0.2">
      <c r="B61" s="312"/>
    </row>
    <row r="62" spans="1:4" x14ac:dyDescent="0.2">
      <c r="B62" s="312"/>
    </row>
    <row r="63" spans="1:4" x14ac:dyDescent="0.2">
      <c r="B63" s="312"/>
    </row>
    <row r="64" spans="1:4" x14ac:dyDescent="0.2">
      <c r="B64" s="312"/>
    </row>
    <row r="65" spans="2:2" x14ac:dyDescent="0.2">
      <c r="B65" s="312"/>
    </row>
    <row r="66" spans="2:2" x14ac:dyDescent="0.2">
      <c r="B66" s="312"/>
    </row>
    <row r="67" spans="2:2" x14ac:dyDescent="0.2">
      <c r="B67" s="312"/>
    </row>
    <row r="68" spans="2:2" x14ac:dyDescent="0.2">
      <c r="B68" s="312"/>
    </row>
    <row r="69" spans="2:2" x14ac:dyDescent="0.2">
      <c r="B69" s="312"/>
    </row>
    <row r="70" spans="2:2" x14ac:dyDescent="0.2">
      <c r="B70" s="312"/>
    </row>
    <row r="71" spans="2:2" x14ac:dyDescent="0.2">
      <c r="B71" s="312"/>
    </row>
    <row r="72" spans="2:2" x14ac:dyDescent="0.2">
      <c r="B72" s="312"/>
    </row>
    <row r="73" spans="2:2" x14ac:dyDescent="0.2">
      <c r="B73" s="312"/>
    </row>
    <row r="74" spans="2:2" x14ac:dyDescent="0.2">
      <c r="B74" s="312"/>
    </row>
    <row r="75" spans="2:2" x14ac:dyDescent="0.2">
      <c r="B75" s="312"/>
    </row>
    <row r="76" spans="2:2" x14ac:dyDescent="0.2">
      <c r="B76"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II-C-2.5k  AVERAGE DAILY BALANCES AND COST OF BANK BORROWINGS - NOVEMBER 2024
TEST YEAR ENDING DECEMBER 31, 2024
SPONSOR: K. FEASE</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2">
    <tabColor rgb="FF00B050"/>
    <pageSetUpPr fitToPage="1"/>
  </sheetPr>
  <dimension ref="A1:E76"/>
  <sheetViews>
    <sheetView zoomScaleNormal="100" workbookViewId="0">
      <pane ySplit="6" topLeftCell="A7" activePane="bottomLeft" state="frozen"/>
      <selection activeCell="P34" sqref="P34"/>
      <selection pane="bottomLeft" activeCell="J32" sqref="J32"/>
    </sheetView>
  </sheetViews>
  <sheetFormatPr defaultColWidth="9.140625" defaultRowHeight="12.75" x14ac:dyDescent="0.2"/>
  <cols>
    <col min="1" max="1" width="5.5703125" style="241" bestFit="1" customWidth="1"/>
    <col min="2" max="2" width="15.42578125" style="241" customWidth="1"/>
    <col min="3" max="3" width="21" style="241" customWidth="1"/>
    <col min="4" max="4" width="11.7109375" style="241" customWidth="1"/>
    <col min="5" max="16384" width="9.140625" style="241"/>
  </cols>
  <sheetData>
    <row r="1" spans="1:4" x14ac:dyDescent="0.2">
      <c r="A1" s="5" t="str">
        <f>+'[1]Input Data'!$A$9</f>
        <v>2025 RATE CASE</v>
      </c>
      <c r="B1" s="244"/>
    </row>
    <row r="2" spans="1:4" x14ac:dyDescent="0.2">
      <c r="A2" s="61" t="str">
        <f>+'[1]Input Data'!$A$2</f>
        <v>ONCOR ELECTRIC DELIVERY COMPANY LLC</v>
      </c>
      <c r="B2" s="253"/>
      <c r="C2" s="240"/>
      <c r="D2" s="240"/>
    </row>
    <row r="3" spans="1:4" x14ac:dyDescent="0.2">
      <c r="A3" s="253" t="s">
        <v>313</v>
      </c>
      <c r="B3" s="253"/>
      <c r="C3" s="240"/>
      <c r="D3" s="240"/>
    </row>
    <row r="4" spans="1:4" x14ac:dyDescent="0.2">
      <c r="A4" s="254" t="str">
        <f>+'[1]Input Data'!$A$4</f>
        <v>TEST YEAR ENDING DECEMBER 31, 2024</v>
      </c>
      <c r="B4" s="254"/>
      <c r="C4" s="246"/>
      <c r="D4" s="246"/>
    </row>
    <row r="5" spans="1:4" x14ac:dyDescent="0.2">
      <c r="A5" s="244" t="str">
        <f>CONCATENATE("SPONSOR: ",'[1]Schedule Sponsors'!$D$41)</f>
        <v>SPONSOR: K. FEASE</v>
      </c>
      <c r="B5" s="244"/>
      <c r="C5" s="246"/>
      <c r="D5" s="246"/>
    </row>
    <row r="6" spans="1:4" x14ac:dyDescent="0.2">
      <c r="A6" s="244"/>
      <c r="B6" s="244"/>
      <c r="C6" s="246"/>
      <c r="D6" s="246"/>
    </row>
    <row r="7" spans="1:4" x14ac:dyDescent="0.2">
      <c r="C7" s="246"/>
      <c r="D7" s="246"/>
    </row>
    <row r="8" spans="1:4" x14ac:dyDescent="0.2">
      <c r="C8" s="245"/>
      <c r="D8" s="245"/>
    </row>
    <row r="9" spans="1:4" x14ac:dyDescent="0.2">
      <c r="C9" s="245"/>
      <c r="D9" s="245"/>
    </row>
    <row r="10" spans="1:4" s="244" customFormat="1" x14ac:dyDescent="0.2">
      <c r="C10" s="256"/>
      <c r="D10" s="257"/>
    </row>
    <row r="11" spans="1:4" s="244" customFormat="1" x14ac:dyDescent="0.2">
      <c r="C11" s="256"/>
      <c r="D11" s="255"/>
    </row>
    <row r="12" spans="1:4" s="244" customFormat="1" x14ac:dyDescent="0.2">
      <c r="C12" s="256"/>
      <c r="D12" s="258"/>
    </row>
    <row r="13" spans="1:4" s="244" customFormat="1" ht="13.5" thickBot="1" x14ac:dyDescent="0.25">
      <c r="C13" s="256"/>
      <c r="D13" s="257"/>
    </row>
    <row r="14" spans="1:4" s="244" customFormat="1" x14ac:dyDescent="0.2">
      <c r="A14" s="259"/>
      <c r="B14" s="259"/>
      <c r="C14" s="251"/>
      <c r="D14" s="251" t="s">
        <v>42</v>
      </c>
    </row>
    <row r="15" spans="1:4" s="244" customFormat="1" x14ac:dyDescent="0.2">
      <c r="A15" s="252" t="s">
        <v>84</v>
      </c>
      <c r="B15" s="252"/>
      <c r="C15" s="252" t="s">
        <v>265</v>
      </c>
      <c r="D15" s="252" t="s">
        <v>83</v>
      </c>
    </row>
    <row r="16" spans="1:4" s="243" customFormat="1" x14ac:dyDescent="0.2">
      <c r="A16" s="252" t="s">
        <v>20</v>
      </c>
      <c r="B16" s="252" t="s">
        <v>85</v>
      </c>
      <c r="C16" s="252" t="s">
        <v>266</v>
      </c>
      <c r="D16" s="252" t="s">
        <v>44</v>
      </c>
    </row>
    <row r="17" spans="1:5" s="242" customFormat="1" ht="13.5" thickBot="1" x14ac:dyDescent="0.25">
      <c r="A17" s="250"/>
      <c r="B17" s="250" t="s">
        <v>38</v>
      </c>
      <c r="C17" s="250" t="s">
        <v>39</v>
      </c>
      <c r="D17" s="250" t="s">
        <v>40</v>
      </c>
    </row>
    <row r="18" spans="1:5" x14ac:dyDescent="0.2">
      <c r="C18" s="245"/>
      <c r="D18" s="247"/>
    </row>
    <row r="19" spans="1:5" x14ac:dyDescent="0.2">
      <c r="A19" s="248">
        <v>1</v>
      </c>
      <c r="B19" s="354">
        <v>45627</v>
      </c>
      <c r="C19" s="355">
        <v>382000000</v>
      </c>
      <c r="D19" s="301">
        <v>4.7123999999999999E-2</v>
      </c>
      <c r="E19" s="302"/>
    </row>
    <row r="20" spans="1:5" x14ac:dyDescent="0.2">
      <c r="A20" s="248">
        <v>2</v>
      </c>
      <c r="B20" s="354">
        <v>45628</v>
      </c>
      <c r="C20" s="333">
        <v>359250000</v>
      </c>
      <c r="D20" s="301">
        <v>4.7169999999999997E-2</v>
      </c>
      <c r="E20" s="302"/>
    </row>
    <row r="21" spans="1:5" x14ac:dyDescent="0.2">
      <c r="A21" s="248">
        <v>3</v>
      </c>
      <c r="B21" s="354">
        <v>45629</v>
      </c>
      <c r="C21" s="333">
        <v>370850000</v>
      </c>
      <c r="D21" s="301">
        <v>4.7202000000000001E-2</v>
      </c>
      <c r="E21" s="302"/>
    </row>
    <row r="22" spans="1:5" x14ac:dyDescent="0.2">
      <c r="A22" s="248">
        <v>4</v>
      </c>
      <c r="B22" s="354">
        <v>45630</v>
      </c>
      <c r="C22" s="333">
        <v>354150000</v>
      </c>
      <c r="D22" s="301">
        <v>4.7202000000000001E-2</v>
      </c>
      <c r="E22" s="302"/>
    </row>
    <row r="23" spans="1:5" x14ac:dyDescent="0.2">
      <c r="A23" s="248">
        <v>5</v>
      </c>
      <c r="B23" s="354">
        <v>45631</v>
      </c>
      <c r="C23" s="356">
        <v>391150000</v>
      </c>
      <c r="D23" s="301">
        <v>4.7168000000000002E-2</v>
      </c>
      <c r="E23" s="302"/>
    </row>
    <row r="24" spans="1:5" x14ac:dyDescent="0.2">
      <c r="A24" s="248">
        <v>6</v>
      </c>
      <c r="B24" s="354">
        <v>45632</v>
      </c>
      <c r="C24" s="333">
        <v>411050000</v>
      </c>
      <c r="D24" s="301">
        <v>4.7137000000000005E-2</v>
      </c>
      <c r="E24" s="302"/>
    </row>
    <row r="25" spans="1:5" x14ac:dyDescent="0.2">
      <c r="A25" s="248">
        <v>7</v>
      </c>
      <c r="B25" s="354">
        <v>45633</v>
      </c>
      <c r="C25" s="333">
        <v>411050000</v>
      </c>
      <c r="D25" s="301">
        <v>4.7137000000000005E-2</v>
      </c>
      <c r="E25" s="302"/>
    </row>
    <row r="26" spans="1:5" x14ac:dyDescent="0.2">
      <c r="A26" s="248">
        <v>8</v>
      </c>
      <c r="B26" s="354">
        <v>45634</v>
      </c>
      <c r="C26" s="333">
        <v>411050000</v>
      </c>
      <c r="D26" s="301">
        <v>4.7137000000000005E-2</v>
      </c>
      <c r="E26" s="302"/>
    </row>
    <row r="27" spans="1:5" x14ac:dyDescent="0.2">
      <c r="A27" s="248">
        <v>9</v>
      </c>
      <c r="B27" s="354">
        <v>45635</v>
      </c>
      <c r="C27" s="333">
        <v>384050000</v>
      </c>
      <c r="D27" s="301">
        <v>4.7209000000000001E-2</v>
      </c>
      <c r="E27" s="302"/>
    </row>
    <row r="28" spans="1:5" x14ac:dyDescent="0.2">
      <c r="A28" s="248">
        <v>10</v>
      </c>
      <c r="B28" s="354">
        <v>45636</v>
      </c>
      <c r="C28" s="333">
        <v>384050000</v>
      </c>
      <c r="D28" s="301">
        <v>4.7209000000000001E-2</v>
      </c>
      <c r="E28" s="302"/>
    </row>
    <row r="29" spans="1:5" x14ac:dyDescent="0.2">
      <c r="A29" s="248">
        <v>11</v>
      </c>
      <c r="B29" s="354">
        <v>45637</v>
      </c>
      <c r="C29" s="333">
        <v>376350000</v>
      </c>
      <c r="D29" s="301">
        <v>4.7224000000000002E-2</v>
      </c>
      <c r="E29" s="302"/>
    </row>
    <row r="30" spans="1:5" x14ac:dyDescent="0.2">
      <c r="A30" s="248">
        <v>12</v>
      </c>
      <c r="B30" s="354">
        <v>45638</v>
      </c>
      <c r="C30" s="356">
        <v>382600000</v>
      </c>
      <c r="D30" s="301">
        <v>4.7284E-2</v>
      </c>
      <c r="E30" s="302"/>
    </row>
    <row r="31" spans="1:5" x14ac:dyDescent="0.2">
      <c r="A31" s="248">
        <v>13</v>
      </c>
      <c r="B31" s="354">
        <v>45639</v>
      </c>
      <c r="C31" s="356">
        <v>420600000</v>
      </c>
      <c r="D31" s="301">
        <v>4.7367999999999993E-2</v>
      </c>
      <c r="E31" s="302"/>
    </row>
    <row r="32" spans="1:5" x14ac:dyDescent="0.2">
      <c r="A32" s="248">
        <v>14</v>
      </c>
      <c r="B32" s="354">
        <v>45640</v>
      </c>
      <c r="C32" s="356">
        <v>420600000</v>
      </c>
      <c r="D32" s="301">
        <v>4.7367999999999993E-2</v>
      </c>
      <c r="E32" s="302"/>
    </row>
    <row r="33" spans="1:5" x14ac:dyDescent="0.2">
      <c r="A33" s="248">
        <v>15</v>
      </c>
      <c r="B33" s="354">
        <v>45641</v>
      </c>
      <c r="C33" s="356">
        <v>420600000</v>
      </c>
      <c r="D33" s="301">
        <v>4.7367999999999993E-2</v>
      </c>
      <c r="E33" s="302"/>
    </row>
    <row r="34" spans="1:5" x14ac:dyDescent="0.2">
      <c r="A34" s="248">
        <v>16</v>
      </c>
      <c r="B34" s="354">
        <v>45642</v>
      </c>
      <c r="C34" s="356">
        <v>601577000</v>
      </c>
      <c r="D34" s="301">
        <v>4.7582000000000006E-2</v>
      </c>
      <c r="E34" s="302"/>
    </row>
    <row r="35" spans="1:5" x14ac:dyDescent="0.2">
      <c r="A35" s="248">
        <v>17</v>
      </c>
      <c r="B35" s="354">
        <v>45643</v>
      </c>
      <c r="C35" s="356">
        <v>821827000</v>
      </c>
      <c r="D35" s="301">
        <v>4.7659E-2</v>
      </c>
      <c r="E35" s="302"/>
    </row>
    <row r="36" spans="1:5" x14ac:dyDescent="0.2">
      <c r="A36" s="248">
        <v>18</v>
      </c>
      <c r="B36" s="354">
        <v>45644</v>
      </c>
      <c r="C36" s="356">
        <v>824327000</v>
      </c>
      <c r="D36" s="301">
        <v>4.7666000000000007E-2</v>
      </c>
      <c r="E36" s="302"/>
    </row>
    <row r="37" spans="1:5" x14ac:dyDescent="0.2">
      <c r="A37" s="248">
        <v>19</v>
      </c>
      <c r="B37" s="354">
        <v>45645</v>
      </c>
      <c r="C37" s="356">
        <v>861327000</v>
      </c>
      <c r="D37" s="301">
        <v>4.7599999999999996E-2</v>
      </c>
      <c r="E37" s="302"/>
    </row>
    <row r="38" spans="1:5" x14ac:dyDescent="0.2">
      <c r="A38" s="248">
        <v>20</v>
      </c>
      <c r="B38" s="354">
        <v>45646</v>
      </c>
      <c r="C38" s="356">
        <v>882327000</v>
      </c>
      <c r="D38" s="301">
        <v>4.7571000000000002E-2</v>
      </c>
      <c r="E38" s="302"/>
    </row>
    <row r="39" spans="1:5" x14ac:dyDescent="0.2">
      <c r="A39" s="248">
        <v>21</v>
      </c>
      <c r="B39" s="354">
        <v>45647</v>
      </c>
      <c r="C39" s="356">
        <v>882327000</v>
      </c>
      <c r="D39" s="301">
        <v>4.7571000000000002E-2</v>
      </c>
      <c r="E39" s="302"/>
    </row>
    <row r="40" spans="1:5" x14ac:dyDescent="0.2">
      <c r="A40" s="248">
        <v>22</v>
      </c>
      <c r="B40" s="354">
        <v>45648</v>
      </c>
      <c r="C40" s="356">
        <v>882327000</v>
      </c>
      <c r="D40" s="301">
        <v>4.7571000000000002E-2</v>
      </c>
      <c r="E40" s="302"/>
    </row>
    <row r="41" spans="1:5" x14ac:dyDescent="0.2">
      <c r="A41" s="248">
        <v>23</v>
      </c>
      <c r="B41" s="354">
        <v>45649</v>
      </c>
      <c r="C41" s="356">
        <v>682327000</v>
      </c>
      <c r="D41" s="301">
        <v>4.7573999999999998E-2</v>
      </c>
      <c r="E41" s="302"/>
    </row>
    <row r="42" spans="1:5" x14ac:dyDescent="0.2">
      <c r="A42" s="248">
        <v>24</v>
      </c>
      <c r="B42" s="354">
        <v>45650</v>
      </c>
      <c r="C42" s="356">
        <v>682327000</v>
      </c>
      <c r="D42" s="301">
        <v>4.7573999999999998E-2</v>
      </c>
      <c r="E42" s="302"/>
    </row>
    <row r="43" spans="1:5" x14ac:dyDescent="0.2">
      <c r="A43" s="248">
        <v>25</v>
      </c>
      <c r="B43" s="354">
        <v>45651</v>
      </c>
      <c r="C43" s="356">
        <v>682327000</v>
      </c>
      <c r="D43" s="301">
        <v>4.7573999999999998E-2</v>
      </c>
      <c r="E43" s="302"/>
    </row>
    <row r="44" spans="1:5" x14ac:dyDescent="0.2">
      <c r="A44" s="248">
        <v>26</v>
      </c>
      <c r="B44" s="354">
        <v>45652</v>
      </c>
      <c r="C44" s="356">
        <v>682327000</v>
      </c>
      <c r="D44" s="301">
        <v>4.7573999999999998E-2</v>
      </c>
      <c r="E44" s="302"/>
    </row>
    <row r="45" spans="1:5" x14ac:dyDescent="0.2">
      <c r="A45" s="248">
        <v>27</v>
      </c>
      <c r="B45" s="354">
        <v>45653</v>
      </c>
      <c r="C45" s="356">
        <v>620027000</v>
      </c>
      <c r="D45" s="301">
        <v>4.7588999999999999E-2</v>
      </c>
      <c r="E45" s="302"/>
    </row>
    <row r="46" spans="1:5" x14ac:dyDescent="0.2">
      <c r="A46" s="248">
        <v>28</v>
      </c>
      <c r="B46" s="354">
        <v>45654</v>
      </c>
      <c r="C46" s="356">
        <v>620027000</v>
      </c>
      <c r="D46" s="301">
        <v>4.7588999999999999E-2</v>
      </c>
      <c r="E46" s="302"/>
    </row>
    <row r="47" spans="1:5" x14ac:dyDescent="0.2">
      <c r="A47" s="248">
        <v>29</v>
      </c>
      <c r="B47" s="354">
        <v>45655</v>
      </c>
      <c r="C47" s="356">
        <v>620027000</v>
      </c>
      <c r="D47" s="301">
        <v>4.7588999999999999E-2</v>
      </c>
      <c r="E47" s="302"/>
    </row>
    <row r="48" spans="1:5" x14ac:dyDescent="0.2">
      <c r="A48" s="248">
        <v>30</v>
      </c>
      <c r="B48" s="354">
        <v>45656</v>
      </c>
      <c r="C48" s="356">
        <v>593777000</v>
      </c>
      <c r="D48" s="301">
        <v>4.7599000000000002E-2</v>
      </c>
      <c r="E48" s="302"/>
    </row>
    <row r="49" spans="1:5" x14ac:dyDescent="0.2">
      <c r="A49" s="248">
        <v>31</v>
      </c>
      <c r="B49" s="354">
        <v>45657</v>
      </c>
      <c r="C49" s="360">
        <v>593777000</v>
      </c>
      <c r="D49" s="301">
        <v>4.7599000000000002E-2</v>
      </c>
      <c r="E49" s="302"/>
    </row>
    <row r="50" spans="1:5" x14ac:dyDescent="0.2">
      <c r="B50" s="313"/>
    </row>
    <row r="51" spans="1:5" x14ac:dyDescent="0.2">
      <c r="B51" s="313"/>
    </row>
    <row r="52" spans="1:5" x14ac:dyDescent="0.2">
      <c r="B52" s="312"/>
    </row>
    <row r="53" spans="1:5" x14ac:dyDescent="0.2">
      <c r="B53" s="312"/>
    </row>
    <row r="54" spans="1:5" x14ac:dyDescent="0.2">
      <c r="B54" s="312"/>
    </row>
    <row r="55" spans="1:5" x14ac:dyDescent="0.2">
      <c r="B55" s="312"/>
    </row>
    <row r="56" spans="1:5" x14ac:dyDescent="0.2">
      <c r="B56" s="312"/>
    </row>
    <row r="57" spans="1:5" x14ac:dyDescent="0.2">
      <c r="B57" s="312"/>
    </row>
    <row r="58" spans="1:5" x14ac:dyDescent="0.2">
      <c r="B58" s="312"/>
    </row>
    <row r="59" spans="1:5" x14ac:dyDescent="0.2">
      <c r="B59" s="312"/>
    </row>
    <row r="60" spans="1:5" x14ac:dyDescent="0.2">
      <c r="B60" s="312"/>
    </row>
    <row r="61" spans="1:5" x14ac:dyDescent="0.2">
      <c r="B61" s="312"/>
    </row>
    <row r="62" spans="1:5" x14ac:dyDescent="0.2">
      <c r="B62" s="312"/>
    </row>
    <row r="63" spans="1:5" x14ac:dyDescent="0.2">
      <c r="B63" s="312"/>
    </row>
    <row r="64" spans="1:5" x14ac:dyDescent="0.2">
      <c r="B64" s="312"/>
    </row>
    <row r="65" spans="2:2" x14ac:dyDescent="0.2">
      <c r="B65" s="312"/>
    </row>
    <row r="66" spans="2:2" x14ac:dyDescent="0.2">
      <c r="B66" s="312"/>
    </row>
    <row r="67" spans="2:2" x14ac:dyDescent="0.2">
      <c r="B67" s="312"/>
    </row>
    <row r="68" spans="2:2" x14ac:dyDescent="0.2">
      <c r="B68" s="312"/>
    </row>
    <row r="69" spans="2:2" x14ac:dyDescent="0.2">
      <c r="B69" s="312"/>
    </row>
    <row r="70" spans="2:2" x14ac:dyDescent="0.2">
      <c r="B70" s="312"/>
    </row>
    <row r="71" spans="2:2" x14ac:dyDescent="0.2">
      <c r="B71" s="312"/>
    </row>
    <row r="72" spans="2:2" x14ac:dyDescent="0.2">
      <c r="B72" s="312"/>
    </row>
    <row r="73" spans="2:2" x14ac:dyDescent="0.2">
      <c r="B73" s="312"/>
    </row>
    <row r="74" spans="2:2" x14ac:dyDescent="0.2">
      <c r="B74" s="312"/>
    </row>
    <row r="75" spans="2:2" x14ac:dyDescent="0.2">
      <c r="B75" s="312"/>
    </row>
    <row r="76" spans="2:2" x14ac:dyDescent="0.2">
      <c r="B76" s="312"/>
    </row>
  </sheetData>
  <printOptions horizontalCentered="1"/>
  <pageMargins left="0.5" right="0.5" top="3" bottom="0.5" header="1.5" footer="0.5"/>
  <pageSetup orientation="portrait"/>
  <headerFooter alignWithMargins="0">
    <oddHeader>&amp;R&amp;"Arial,Bold"Schedule &amp;A
Page &amp;P of &amp;N&amp;C&amp;B
2025 RATE CASE
ONCOR ELECTRIC DELIVERY COMPANY LLC
II-C-2.5l  AVERAGE DAILY BALANCES AND COST OF BANK BORROWINGS - DECEMBER 2024
TEST YEAR ENDING DECEMBER 31, 2024
SPONSOR: K. FEASE</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4">
    <tabColor rgb="FF00B050"/>
  </sheetPr>
  <dimension ref="A1:L1449"/>
  <sheetViews>
    <sheetView zoomScale="85" zoomScaleNormal="85" workbookViewId="0">
      <selection activeCell="C113" sqref="C113"/>
    </sheetView>
  </sheetViews>
  <sheetFormatPr defaultColWidth="9.140625" defaultRowHeight="12.75" x14ac:dyDescent="0.2"/>
  <cols>
    <col min="1" max="1" width="9.140625" style="107"/>
    <col min="2" max="2" width="22.7109375" style="107" customWidth="1"/>
    <col min="3" max="3" width="74" style="107" bestFit="1" customWidth="1"/>
    <col min="4" max="4" width="1.7109375" style="107" customWidth="1"/>
    <col min="5" max="5" width="17.5703125" style="268" customWidth="1"/>
    <col min="6" max="6" width="1.7109375" style="132" customWidth="1"/>
    <col min="7" max="7" width="10.7109375" style="132" customWidth="1"/>
    <col min="8" max="8" width="1.7109375" style="132" customWidth="1"/>
    <col min="9" max="9" width="10.85546875" style="132" customWidth="1"/>
    <col min="10" max="10" width="1.7109375" style="132" customWidth="1"/>
    <col min="11" max="11" width="10.85546875" style="132" customWidth="1"/>
    <col min="12" max="16384" width="9.140625" style="107"/>
  </cols>
  <sheetData>
    <row r="1" spans="1:11" x14ac:dyDescent="0.2">
      <c r="A1" s="109" t="str">
        <f>+'[1]Input Data'!$A$9</f>
        <v>2025 RATE CASE</v>
      </c>
    </row>
    <row r="2" spans="1:11" x14ac:dyDescent="0.2">
      <c r="A2" s="106" t="str">
        <f>+'[1]Input Data'!$A$2</f>
        <v>ONCOR ELECTRIC DELIVERY COMPANY LLC</v>
      </c>
    </row>
    <row r="3" spans="1:11" x14ac:dyDescent="0.2">
      <c r="A3" s="61" t="str">
        <f>CONCATENATE('[1]Schedule Sponsors'!$A$42,'[1]Schedule Sponsors'!$B$42)</f>
        <v>II-C-2.6  SECURITY ISSUANCE RESTRICTIONS</v>
      </c>
    </row>
    <row r="4" spans="1:11" x14ac:dyDescent="0.2">
      <c r="A4" s="108" t="str">
        <f>+'[1]Input Data'!$A$4</f>
        <v>TEST YEAR ENDING DECEMBER 31, 2024</v>
      </c>
    </row>
    <row r="5" spans="1:11" x14ac:dyDescent="0.2">
      <c r="A5" s="5" t="str">
        <f>CONCATENATE("SPONSOR: ",'[1]Schedule Sponsors'!$D$42)</f>
        <v>SPONSOR: K. FEASE</v>
      </c>
    </row>
    <row r="9" spans="1:11" s="105" customFormat="1" x14ac:dyDescent="0.2">
      <c r="E9" s="268"/>
      <c r="F9" s="132"/>
      <c r="G9" s="132"/>
      <c r="H9" s="132"/>
      <c r="I9" s="132"/>
      <c r="J9" s="132"/>
      <c r="K9" s="132"/>
    </row>
    <row r="10" spans="1:11" s="188" customFormat="1" ht="14.25" x14ac:dyDescent="0.2">
      <c r="A10" s="453" t="s">
        <v>274</v>
      </c>
      <c r="B10" s="454"/>
      <c r="C10" s="454"/>
      <c r="D10" s="454"/>
      <c r="E10" s="454"/>
      <c r="F10" s="454"/>
      <c r="G10" s="454"/>
      <c r="H10" s="454"/>
      <c r="I10" s="454"/>
      <c r="J10" s="454"/>
      <c r="K10" s="454"/>
    </row>
    <row r="11" spans="1:11" s="188" customFormat="1" ht="14.25" x14ac:dyDescent="0.2">
      <c r="A11" s="361" t="s">
        <v>275</v>
      </c>
      <c r="B11" s="273"/>
      <c r="C11" s="273"/>
      <c r="E11" s="275"/>
      <c r="F11" s="268"/>
      <c r="G11" s="275"/>
      <c r="H11" s="268"/>
      <c r="I11" s="275"/>
      <c r="J11" s="268"/>
      <c r="K11" s="275"/>
    </row>
    <row r="12" spans="1:11" s="161" customFormat="1" x14ac:dyDescent="0.2">
      <c r="A12" s="160"/>
      <c r="B12" s="160"/>
      <c r="C12" s="160"/>
      <c r="E12" s="248"/>
      <c r="F12" s="241"/>
      <c r="G12" s="248"/>
      <c r="H12" s="241"/>
      <c r="I12" s="248"/>
      <c r="J12" s="241"/>
      <c r="K12" s="248"/>
    </row>
    <row r="13" spans="1:11" s="161" customFormat="1" ht="14.25" x14ac:dyDescent="0.2">
      <c r="A13" s="361" t="s">
        <v>318</v>
      </c>
      <c r="B13" s="160"/>
      <c r="C13" s="160"/>
      <c r="E13" s="248"/>
      <c r="F13" s="241"/>
      <c r="G13" s="248"/>
      <c r="H13" s="241"/>
      <c r="I13" s="248"/>
      <c r="J13" s="241"/>
      <c r="K13" s="248"/>
    </row>
    <row r="14" spans="1:11" s="161" customFormat="1" ht="14.25" x14ac:dyDescent="0.2">
      <c r="A14" s="422" t="s">
        <v>319</v>
      </c>
      <c r="B14" s="423"/>
      <c r="C14" s="423"/>
      <c r="D14" s="423"/>
      <c r="E14" s="423"/>
      <c r="F14" s="423"/>
      <c r="G14" s="423"/>
      <c r="H14" s="423"/>
      <c r="I14" s="423"/>
      <c r="J14" s="423"/>
      <c r="K14" s="423"/>
    </row>
    <row r="15" spans="1:11" s="161" customFormat="1" x14ac:dyDescent="0.2">
      <c r="A15" s="160"/>
      <c r="B15" s="162"/>
      <c r="C15" s="160"/>
      <c r="E15" s="248"/>
      <c r="F15" s="241"/>
      <c r="G15" s="248"/>
      <c r="H15" s="241"/>
      <c r="I15" s="248"/>
      <c r="J15" s="241"/>
      <c r="K15" s="248"/>
    </row>
    <row r="16" spans="1:11" s="161" customFormat="1" x14ac:dyDescent="0.2">
      <c r="A16" s="160"/>
      <c r="B16" s="160"/>
      <c r="C16" s="160"/>
      <c r="E16" s="248"/>
      <c r="F16" s="241"/>
      <c r="G16" s="248"/>
      <c r="H16" s="241"/>
      <c r="I16" s="248"/>
      <c r="J16" s="241"/>
      <c r="K16" s="248"/>
    </row>
    <row r="17" spans="1:12" s="161" customFormat="1" x14ac:dyDescent="0.2">
      <c r="A17" s="166" t="s">
        <v>320</v>
      </c>
      <c r="B17" s="160"/>
      <c r="C17" s="160"/>
    </row>
    <row r="18" spans="1:12" s="161" customFormat="1" x14ac:dyDescent="0.2">
      <c r="A18" s="162"/>
      <c r="B18" s="160"/>
      <c r="C18" s="160"/>
      <c r="E18" s="455" t="s">
        <v>199</v>
      </c>
      <c r="F18" s="455"/>
      <c r="G18" s="455"/>
      <c r="H18" s="455"/>
      <c r="I18" s="455"/>
      <c r="J18" s="455"/>
      <c r="K18" s="455"/>
    </row>
    <row r="19" spans="1:12" s="161" customFormat="1" x14ac:dyDescent="0.2">
      <c r="A19" s="163"/>
      <c r="B19" s="162"/>
      <c r="C19" s="160"/>
      <c r="E19" s="248" t="s">
        <v>276</v>
      </c>
      <c r="F19" s="241"/>
      <c r="G19" s="456" t="s">
        <v>200</v>
      </c>
      <c r="H19" s="456"/>
      <c r="I19" s="456"/>
      <c r="J19" s="456"/>
      <c r="K19" s="456"/>
    </row>
    <row r="20" spans="1:12" s="166" customFormat="1" x14ac:dyDescent="0.2">
      <c r="A20" s="164" t="s">
        <v>84</v>
      </c>
      <c r="B20" s="165"/>
      <c r="C20" s="162"/>
      <c r="E20" s="277" t="s">
        <v>314</v>
      </c>
      <c r="F20" s="173"/>
      <c r="G20" s="174">
        <v>2025</v>
      </c>
      <c r="H20" s="173"/>
      <c r="I20" s="174">
        <v>2026</v>
      </c>
      <c r="J20" s="174"/>
      <c r="K20" s="173">
        <v>2027</v>
      </c>
    </row>
    <row r="21" spans="1:12" s="169" customFormat="1" x14ac:dyDescent="0.2">
      <c r="A21" s="224" t="s">
        <v>20</v>
      </c>
      <c r="B21" s="167"/>
      <c r="C21" s="167"/>
      <c r="D21" s="168"/>
      <c r="E21" s="466" t="s">
        <v>267</v>
      </c>
      <c r="F21" s="466"/>
      <c r="G21" s="466"/>
      <c r="H21" s="466"/>
      <c r="I21" s="466"/>
      <c r="J21" s="466"/>
      <c r="K21" s="467"/>
    </row>
    <row r="22" spans="1:12" s="188" customFormat="1" ht="12.75" customHeight="1" x14ac:dyDescent="0.2">
      <c r="A22" s="311">
        <v>1</v>
      </c>
      <c r="B22" s="273" t="s">
        <v>201</v>
      </c>
      <c r="C22" s="170"/>
      <c r="D22" s="189"/>
      <c r="E22" s="314">
        <f>E37/E54</f>
        <v>0.50602066938465917</v>
      </c>
      <c r="F22" s="175"/>
      <c r="G22" s="469" t="s">
        <v>241</v>
      </c>
      <c r="H22" s="470"/>
      <c r="I22" s="470"/>
      <c r="J22" s="470"/>
      <c r="K22" s="471"/>
      <c r="L22" s="158"/>
    </row>
    <row r="23" spans="1:12" s="188" customFormat="1" x14ac:dyDescent="0.2">
      <c r="A23" s="311">
        <v>2</v>
      </c>
      <c r="B23" s="273"/>
      <c r="C23" s="273"/>
      <c r="E23" s="379"/>
      <c r="F23" s="380"/>
      <c r="G23" s="472"/>
      <c r="H23" s="473"/>
      <c r="I23" s="473"/>
      <c r="J23" s="473"/>
      <c r="K23" s="474"/>
      <c r="L23" s="158"/>
    </row>
    <row r="24" spans="1:12" s="188" customFormat="1" ht="12.75" customHeight="1" x14ac:dyDescent="0.2">
      <c r="A24" s="311">
        <v>3</v>
      </c>
      <c r="B24" s="364" t="s">
        <v>202</v>
      </c>
      <c r="C24" s="365" t="s">
        <v>203</v>
      </c>
      <c r="E24" s="340">
        <v>16011</v>
      </c>
      <c r="F24" s="381"/>
      <c r="G24" s="472"/>
      <c r="H24" s="473"/>
      <c r="I24" s="473"/>
      <c r="J24" s="473"/>
      <c r="K24" s="474"/>
      <c r="L24" s="158"/>
    </row>
    <row r="25" spans="1:12" s="188" customFormat="1" x14ac:dyDescent="0.2">
      <c r="A25" s="311">
        <v>4</v>
      </c>
      <c r="B25" s="364"/>
      <c r="C25" s="366" t="s">
        <v>204</v>
      </c>
      <c r="E25" s="382">
        <v>0</v>
      </c>
      <c r="F25" s="183"/>
      <c r="G25" s="472"/>
      <c r="H25" s="473"/>
      <c r="I25" s="473"/>
      <c r="J25" s="473"/>
      <c r="K25" s="474"/>
      <c r="L25" s="158"/>
    </row>
    <row r="26" spans="1:12" s="188" customFormat="1" x14ac:dyDescent="0.2">
      <c r="A26" s="311">
        <v>5</v>
      </c>
      <c r="B26" s="364"/>
      <c r="C26" s="367" t="s">
        <v>205</v>
      </c>
      <c r="E26" s="382">
        <v>0</v>
      </c>
      <c r="F26" s="183"/>
      <c r="G26" s="472"/>
      <c r="H26" s="473"/>
      <c r="I26" s="473"/>
      <c r="J26" s="473"/>
      <c r="K26" s="474"/>
      <c r="L26" s="158"/>
    </row>
    <row r="27" spans="1:12" s="188" customFormat="1" x14ac:dyDescent="0.2">
      <c r="A27" s="311">
        <v>6</v>
      </c>
      <c r="B27" s="364"/>
      <c r="C27" s="367" t="s">
        <v>206</v>
      </c>
      <c r="E27" s="382">
        <v>0</v>
      </c>
      <c r="F27" s="183"/>
      <c r="G27" s="472"/>
      <c r="H27" s="473"/>
      <c r="I27" s="473"/>
      <c r="J27" s="473"/>
      <c r="K27" s="474"/>
      <c r="L27" s="158"/>
    </row>
    <row r="28" spans="1:12" s="188" customFormat="1" x14ac:dyDescent="0.2">
      <c r="A28" s="311">
        <v>7</v>
      </c>
      <c r="B28" s="364"/>
      <c r="C28" s="367" t="s">
        <v>239</v>
      </c>
      <c r="E28" s="382">
        <v>0</v>
      </c>
      <c r="F28" s="183"/>
      <c r="G28" s="472"/>
      <c r="H28" s="473"/>
      <c r="I28" s="473"/>
      <c r="J28" s="473"/>
      <c r="K28" s="474"/>
      <c r="L28" s="158"/>
    </row>
    <row r="29" spans="1:12" s="188" customFormat="1" x14ac:dyDescent="0.2">
      <c r="A29" s="311">
        <v>8</v>
      </c>
      <c r="B29" s="364"/>
      <c r="C29" s="367" t="s">
        <v>207</v>
      </c>
      <c r="E29" s="382">
        <v>0</v>
      </c>
      <c r="F29" s="183"/>
      <c r="G29" s="472"/>
      <c r="H29" s="473"/>
      <c r="I29" s="473"/>
      <c r="J29" s="473"/>
      <c r="K29" s="474"/>
      <c r="L29" s="158"/>
    </row>
    <row r="30" spans="1:12" s="188" customFormat="1" x14ac:dyDescent="0.2">
      <c r="A30" s="311">
        <v>9</v>
      </c>
      <c r="B30" s="364"/>
      <c r="C30" s="367" t="s">
        <v>208</v>
      </c>
      <c r="E30" s="293">
        <v>0</v>
      </c>
      <c r="F30" s="383"/>
      <c r="G30" s="472"/>
      <c r="H30" s="473"/>
      <c r="I30" s="473"/>
      <c r="J30" s="473"/>
      <c r="K30" s="474"/>
      <c r="L30" s="158"/>
    </row>
    <row r="31" spans="1:12" s="188" customFormat="1" x14ac:dyDescent="0.2">
      <c r="A31" s="311">
        <v>10</v>
      </c>
      <c r="B31" s="364"/>
      <c r="C31" s="367"/>
      <c r="E31" s="382"/>
      <c r="F31" s="183"/>
      <c r="G31" s="472"/>
      <c r="H31" s="473"/>
      <c r="I31" s="473"/>
      <c r="J31" s="473"/>
      <c r="K31" s="474"/>
      <c r="L31" s="158"/>
    </row>
    <row r="32" spans="1:12" s="188" customFormat="1" x14ac:dyDescent="0.2">
      <c r="A32" s="311">
        <v>11</v>
      </c>
      <c r="B32" s="368"/>
      <c r="C32" s="369" t="s">
        <v>209</v>
      </c>
      <c r="D32" s="171"/>
      <c r="E32" s="295">
        <v>0</v>
      </c>
      <c r="F32" s="181"/>
      <c r="G32" s="472"/>
      <c r="H32" s="473"/>
      <c r="I32" s="473"/>
      <c r="J32" s="473"/>
      <c r="K32" s="474"/>
      <c r="L32" s="158"/>
    </row>
    <row r="33" spans="1:12" s="188" customFormat="1" x14ac:dyDescent="0.2">
      <c r="A33" s="311">
        <v>12</v>
      </c>
      <c r="B33" s="368"/>
      <c r="C33" s="369" t="s">
        <v>210</v>
      </c>
      <c r="D33" s="171"/>
      <c r="E33" s="295">
        <v>0</v>
      </c>
      <c r="F33" s="181"/>
      <c r="G33" s="472"/>
      <c r="H33" s="473"/>
      <c r="I33" s="473"/>
      <c r="J33" s="473"/>
      <c r="K33" s="474"/>
      <c r="L33" s="158"/>
    </row>
    <row r="34" spans="1:12" s="188" customFormat="1" x14ac:dyDescent="0.2">
      <c r="A34" s="311">
        <v>13</v>
      </c>
      <c r="B34" s="368"/>
      <c r="C34" s="369" t="s">
        <v>240</v>
      </c>
      <c r="D34" s="171"/>
      <c r="E34" s="295">
        <v>0</v>
      </c>
      <c r="F34" s="181"/>
      <c r="G34" s="472"/>
      <c r="H34" s="473"/>
      <c r="I34" s="473"/>
      <c r="J34" s="473"/>
      <c r="K34" s="474"/>
      <c r="L34" s="158"/>
    </row>
    <row r="35" spans="1:12" s="188" customFormat="1" x14ac:dyDescent="0.2">
      <c r="A35" s="311">
        <v>14</v>
      </c>
      <c r="B35" s="368"/>
      <c r="C35" s="369"/>
      <c r="D35" s="171"/>
      <c r="E35" s="295"/>
      <c r="F35" s="181"/>
      <c r="G35" s="472"/>
      <c r="H35" s="473"/>
      <c r="I35" s="473"/>
      <c r="J35" s="473"/>
      <c r="K35" s="474"/>
      <c r="L35" s="158"/>
    </row>
    <row r="36" spans="1:12" s="188" customFormat="1" x14ac:dyDescent="0.2">
      <c r="A36" s="311">
        <v>15</v>
      </c>
      <c r="B36" s="364"/>
      <c r="C36" s="366"/>
      <c r="E36" s="379"/>
      <c r="F36" s="380"/>
      <c r="G36" s="472"/>
      <c r="H36" s="473"/>
      <c r="I36" s="473"/>
      <c r="J36" s="473"/>
      <c r="K36" s="474"/>
      <c r="L36" s="158"/>
    </row>
    <row r="37" spans="1:12" s="188" customFormat="1" x14ac:dyDescent="0.2">
      <c r="A37" s="311">
        <v>16</v>
      </c>
      <c r="B37" s="364"/>
      <c r="C37" s="366" t="s">
        <v>211</v>
      </c>
      <c r="E37" s="292">
        <f>SUM(E24:E34)</f>
        <v>16011</v>
      </c>
      <c r="F37" s="381"/>
      <c r="G37" s="472"/>
      <c r="H37" s="473"/>
      <c r="I37" s="473"/>
      <c r="J37" s="473"/>
      <c r="K37" s="474"/>
      <c r="L37" s="158"/>
    </row>
    <row r="38" spans="1:12" s="188" customFormat="1" x14ac:dyDescent="0.2">
      <c r="A38" s="311">
        <v>17</v>
      </c>
      <c r="B38" s="364"/>
      <c r="C38" s="365"/>
      <c r="E38" s="379"/>
      <c r="F38" s="380"/>
      <c r="G38" s="472"/>
      <c r="H38" s="473"/>
      <c r="I38" s="473"/>
      <c r="J38" s="473"/>
      <c r="K38" s="474"/>
      <c r="L38" s="158"/>
    </row>
    <row r="39" spans="1:12" s="188" customFormat="1" x14ac:dyDescent="0.2">
      <c r="A39" s="311">
        <v>18</v>
      </c>
      <c r="B39" s="161" t="s">
        <v>212</v>
      </c>
      <c r="C39" s="365" t="s">
        <v>213</v>
      </c>
      <c r="E39" s="377"/>
      <c r="F39" s="384"/>
      <c r="G39" s="472"/>
      <c r="H39" s="473"/>
      <c r="I39" s="473"/>
      <c r="J39" s="473"/>
      <c r="K39" s="474"/>
      <c r="L39" s="172"/>
    </row>
    <row r="40" spans="1:12" s="188" customFormat="1" x14ac:dyDescent="0.2">
      <c r="A40" s="311">
        <v>19</v>
      </c>
      <c r="B40" s="161"/>
      <c r="C40" s="366" t="s">
        <v>203</v>
      </c>
      <c r="E40" s="292">
        <f>E37</f>
        <v>16011</v>
      </c>
      <c r="F40" s="381"/>
      <c r="G40" s="472"/>
      <c r="H40" s="473"/>
      <c r="I40" s="473"/>
      <c r="J40" s="473"/>
      <c r="K40" s="474"/>
      <c r="L40" s="172"/>
    </row>
    <row r="41" spans="1:12" s="188" customFormat="1" x14ac:dyDescent="0.2">
      <c r="A41" s="311">
        <v>20</v>
      </c>
      <c r="B41" s="161"/>
      <c r="C41" s="366" t="s">
        <v>214</v>
      </c>
      <c r="E41" s="292">
        <v>15630</v>
      </c>
      <c r="F41" s="383"/>
      <c r="G41" s="472"/>
      <c r="H41" s="473"/>
      <c r="I41" s="473"/>
      <c r="J41" s="473"/>
      <c r="K41" s="474"/>
      <c r="L41" s="172"/>
    </row>
    <row r="42" spans="1:12" s="188" customFormat="1" x14ac:dyDescent="0.2">
      <c r="A42" s="311">
        <v>21</v>
      </c>
      <c r="B42" s="161"/>
      <c r="C42" s="367" t="s">
        <v>215</v>
      </c>
      <c r="E42" s="382"/>
      <c r="F42" s="383"/>
      <c r="G42" s="472"/>
      <c r="H42" s="473"/>
      <c r="I42" s="473"/>
      <c r="J42" s="473"/>
      <c r="K42" s="474"/>
      <c r="L42" s="172"/>
    </row>
    <row r="43" spans="1:12" s="188" customFormat="1" ht="12.75" customHeight="1" x14ac:dyDescent="0.2">
      <c r="A43" s="311">
        <v>22</v>
      </c>
      <c r="B43" s="161"/>
      <c r="C43" s="366" t="s">
        <v>221</v>
      </c>
      <c r="E43" s="382">
        <v>0</v>
      </c>
      <c r="F43" s="383"/>
      <c r="G43" s="472"/>
      <c r="H43" s="473"/>
      <c r="I43" s="473"/>
      <c r="J43" s="473"/>
      <c r="K43" s="474"/>
      <c r="L43" s="172"/>
    </row>
    <row r="44" spans="1:12" s="188" customFormat="1" x14ac:dyDescent="0.2">
      <c r="A44" s="311">
        <v>23</v>
      </c>
      <c r="B44" s="161"/>
      <c r="C44" s="370" t="s">
        <v>216</v>
      </c>
      <c r="E44" s="382"/>
      <c r="F44" s="383"/>
      <c r="G44" s="472"/>
      <c r="H44" s="473"/>
      <c r="I44" s="473"/>
      <c r="J44" s="473"/>
      <c r="K44" s="474"/>
      <c r="L44" s="172"/>
    </row>
    <row r="45" spans="1:12" s="188" customFormat="1" x14ac:dyDescent="0.2">
      <c r="A45" s="311">
        <v>24</v>
      </c>
      <c r="B45" s="161"/>
      <c r="C45" s="371" t="s">
        <v>217</v>
      </c>
      <c r="E45" s="382">
        <v>0</v>
      </c>
      <c r="F45" s="383"/>
      <c r="G45" s="472"/>
      <c r="H45" s="473"/>
      <c r="I45" s="473"/>
      <c r="J45" s="473"/>
      <c r="K45" s="474"/>
      <c r="L45" s="172"/>
    </row>
    <row r="46" spans="1:12" s="188" customFormat="1" x14ac:dyDescent="0.2">
      <c r="A46" s="311">
        <v>25</v>
      </c>
      <c r="B46" s="161"/>
      <c r="C46" s="371" t="s">
        <v>218</v>
      </c>
      <c r="E46" s="382"/>
      <c r="F46" s="383"/>
      <c r="G46" s="472"/>
      <c r="H46" s="473"/>
      <c r="I46" s="473"/>
      <c r="J46" s="473"/>
      <c r="K46" s="474"/>
      <c r="L46" s="172"/>
    </row>
    <row r="47" spans="1:12" s="188" customFormat="1" x14ac:dyDescent="0.2">
      <c r="A47" s="311">
        <v>26</v>
      </c>
      <c r="B47" s="161"/>
      <c r="C47" s="366" t="s">
        <v>219</v>
      </c>
      <c r="E47" s="382">
        <v>0</v>
      </c>
      <c r="F47" s="383"/>
      <c r="G47" s="472"/>
      <c r="H47" s="473"/>
      <c r="I47" s="473"/>
      <c r="J47" s="473"/>
      <c r="K47" s="474"/>
      <c r="L47" s="172"/>
    </row>
    <row r="48" spans="1:12" s="188" customFormat="1" x14ac:dyDescent="0.2">
      <c r="A48" s="311">
        <v>27</v>
      </c>
      <c r="B48" s="161"/>
      <c r="C48" s="371" t="s">
        <v>260</v>
      </c>
      <c r="E48" s="293">
        <v>0</v>
      </c>
      <c r="F48" s="383"/>
      <c r="G48" s="472"/>
      <c r="H48" s="473"/>
      <c r="I48" s="473"/>
      <c r="J48" s="473"/>
      <c r="K48" s="474"/>
      <c r="L48" s="172"/>
    </row>
    <row r="49" spans="1:12" s="188" customFormat="1" x14ac:dyDescent="0.2">
      <c r="A49" s="311">
        <v>28</v>
      </c>
      <c r="B49" s="161"/>
      <c r="C49" s="370" t="s">
        <v>220</v>
      </c>
      <c r="E49" s="382">
        <v>0</v>
      </c>
      <c r="F49" s="383"/>
      <c r="G49" s="472"/>
      <c r="H49" s="473"/>
      <c r="I49" s="473"/>
      <c r="J49" s="473"/>
      <c r="K49" s="474"/>
      <c r="L49" s="172"/>
    </row>
    <row r="50" spans="1:12" s="188" customFormat="1" x14ac:dyDescent="0.2">
      <c r="A50" s="311">
        <v>29</v>
      </c>
      <c r="B50" s="161"/>
      <c r="C50" s="366" t="s">
        <v>222</v>
      </c>
      <c r="E50" s="382">
        <v>0</v>
      </c>
      <c r="F50" s="383"/>
      <c r="G50" s="472"/>
      <c r="H50" s="473"/>
      <c r="I50" s="473"/>
      <c r="J50" s="473"/>
      <c r="K50" s="474"/>
      <c r="L50" s="172"/>
    </row>
    <row r="51" spans="1:12" s="188" customFormat="1" x14ac:dyDescent="0.2">
      <c r="A51" s="311">
        <v>30</v>
      </c>
      <c r="B51" s="161"/>
      <c r="C51" s="366"/>
      <c r="E51" s="382"/>
      <c r="F51" s="183"/>
      <c r="G51" s="472"/>
      <c r="H51" s="473"/>
      <c r="I51" s="473"/>
      <c r="J51" s="473"/>
      <c r="K51" s="474"/>
      <c r="L51" s="172"/>
    </row>
    <row r="52" spans="1:12" s="188" customFormat="1" x14ac:dyDescent="0.2">
      <c r="A52" s="311">
        <v>31</v>
      </c>
      <c r="B52" s="161"/>
      <c r="C52" s="366" t="s">
        <v>223</v>
      </c>
      <c r="E52" s="377"/>
      <c r="F52" s="384"/>
      <c r="G52" s="472"/>
      <c r="H52" s="473"/>
      <c r="I52" s="473"/>
      <c r="J52" s="473"/>
      <c r="K52" s="474"/>
      <c r="L52" s="172"/>
    </row>
    <row r="53" spans="1:12" s="188" customFormat="1" x14ac:dyDescent="0.2">
      <c r="A53" s="311">
        <v>32</v>
      </c>
      <c r="B53" s="273"/>
      <c r="C53" s="159"/>
      <c r="E53" s="377"/>
      <c r="F53" s="384"/>
      <c r="G53" s="472"/>
      <c r="H53" s="473"/>
      <c r="I53" s="473"/>
      <c r="J53" s="473"/>
      <c r="K53" s="474"/>
      <c r="L53" s="172"/>
    </row>
    <row r="54" spans="1:12" s="188" customFormat="1" x14ac:dyDescent="0.2">
      <c r="A54" s="311">
        <v>33</v>
      </c>
      <c r="B54" s="273"/>
      <c r="C54" s="159" t="s">
        <v>211</v>
      </c>
      <c r="E54" s="378">
        <f>SUM(E40:E51)</f>
        <v>31641</v>
      </c>
      <c r="F54" s="385"/>
      <c r="G54" s="475"/>
      <c r="H54" s="476"/>
      <c r="I54" s="476"/>
      <c r="J54" s="476"/>
      <c r="K54" s="477"/>
      <c r="L54" s="172"/>
    </row>
    <row r="55" spans="1:12" s="188" customFormat="1" x14ac:dyDescent="0.2">
      <c r="A55" s="311"/>
      <c r="B55" s="273"/>
      <c r="C55" s="273"/>
      <c r="E55" s="281"/>
      <c r="F55" s="182"/>
      <c r="G55" s="281"/>
      <c r="H55" s="182"/>
      <c r="I55" s="281"/>
      <c r="J55" s="182"/>
      <c r="K55" s="281"/>
      <c r="L55" s="172"/>
    </row>
    <row r="56" spans="1:12" s="188" customFormat="1" x14ac:dyDescent="0.2">
      <c r="A56" s="311"/>
      <c r="E56" s="281"/>
      <c r="F56" s="182"/>
      <c r="G56" s="281"/>
      <c r="H56" s="182"/>
      <c r="I56" s="281"/>
      <c r="J56" s="182"/>
      <c r="K56" s="281"/>
      <c r="L56" s="172"/>
    </row>
    <row r="57" spans="1:12" s="188" customFormat="1" x14ac:dyDescent="0.2">
      <c r="A57" s="311"/>
      <c r="B57" s="273"/>
      <c r="C57" s="194"/>
      <c r="E57" s="275" t="s">
        <v>276</v>
      </c>
      <c r="F57" s="268"/>
      <c r="G57" s="468" t="s">
        <v>200</v>
      </c>
      <c r="H57" s="468"/>
      <c r="I57" s="468"/>
      <c r="J57" s="468"/>
      <c r="K57" s="468"/>
      <c r="L57" s="172"/>
    </row>
    <row r="58" spans="1:12" s="188" customFormat="1" x14ac:dyDescent="0.2">
      <c r="A58" s="311"/>
      <c r="B58" s="273"/>
      <c r="C58" s="194"/>
      <c r="E58" s="277" t="s">
        <v>314</v>
      </c>
      <c r="F58" s="173"/>
      <c r="G58" s="174">
        <f>+G20</f>
        <v>2025</v>
      </c>
      <c r="H58" s="173"/>
      <c r="I58" s="174">
        <f>+I20</f>
        <v>2026</v>
      </c>
      <c r="J58" s="174"/>
      <c r="K58" s="174">
        <f>+K20</f>
        <v>2027</v>
      </c>
      <c r="L58" s="172"/>
    </row>
    <row r="59" spans="1:12" s="188" customFormat="1" x14ac:dyDescent="0.2">
      <c r="A59" s="311"/>
      <c r="B59" s="273"/>
      <c r="C59" s="194"/>
      <c r="E59" s="478" t="s">
        <v>268</v>
      </c>
      <c r="F59" s="466"/>
      <c r="G59" s="466"/>
      <c r="H59" s="466"/>
      <c r="I59" s="466"/>
      <c r="J59" s="466"/>
      <c r="K59" s="467"/>
      <c r="L59" s="172"/>
    </row>
    <row r="60" spans="1:12" s="188" customFormat="1" ht="12.75" customHeight="1" x14ac:dyDescent="0.2">
      <c r="A60" s="311">
        <v>34</v>
      </c>
      <c r="B60" s="161"/>
      <c r="C60" s="372"/>
      <c r="E60" s="314">
        <f>E75/E92</f>
        <v>0.50602066938465917</v>
      </c>
      <c r="F60" s="175"/>
      <c r="G60" s="469" t="s">
        <v>241</v>
      </c>
      <c r="H60" s="470"/>
      <c r="I60" s="470"/>
      <c r="J60" s="470"/>
      <c r="K60" s="471"/>
      <c r="L60" s="172"/>
    </row>
    <row r="61" spans="1:12" s="188" customFormat="1" x14ac:dyDescent="0.2">
      <c r="A61" s="311">
        <v>35</v>
      </c>
      <c r="B61" s="161"/>
      <c r="C61" s="161"/>
      <c r="E61" s="278"/>
      <c r="F61" s="176"/>
      <c r="G61" s="472"/>
      <c r="H61" s="473"/>
      <c r="I61" s="473"/>
      <c r="J61" s="473"/>
      <c r="K61" s="474"/>
      <c r="L61" s="172"/>
    </row>
    <row r="62" spans="1:12" s="188" customFormat="1" x14ac:dyDescent="0.2">
      <c r="A62" s="311">
        <v>36</v>
      </c>
      <c r="B62" s="364" t="s">
        <v>202</v>
      </c>
      <c r="C62" s="365" t="s">
        <v>203</v>
      </c>
      <c r="E62" s="292">
        <v>16011</v>
      </c>
      <c r="F62" s="177"/>
      <c r="G62" s="472"/>
      <c r="H62" s="473"/>
      <c r="I62" s="473"/>
      <c r="J62" s="473"/>
      <c r="K62" s="474"/>
      <c r="L62" s="172"/>
    </row>
    <row r="63" spans="1:12" s="188" customFormat="1" x14ac:dyDescent="0.2">
      <c r="A63" s="311">
        <v>37</v>
      </c>
      <c r="B63" s="364"/>
      <c r="C63" s="366" t="s">
        <v>204</v>
      </c>
      <c r="E63" s="279">
        <v>0</v>
      </c>
      <c r="F63" s="179"/>
      <c r="G63" s="472"/>
      <c r="H63" s="473"/>
      <c r="I63" s="473"/>
      <c r="J63" s="473"/>
      <c r="K63" s="474"/>
      <c r="L63" s="172"/>
    </row>
    <row r="64" spans="1:12" s="188" customFormat="1" x14ac:dyDescent="0.2">
      <c r="A64" s="311">
        <v>38</v>
      </c>
      <c r="B64" s="364"/>
      <c r="C64" s="367" t="s">
        <v>205</v>
      </c>
      <c r="E64" s="279">
        <v>0</v>
      </c>
      <c r="F64" s="179"/>
      <c r="G64" s="472"/>
      <c r="H64" s="473"/>
      <c r="I64" s="473"/>
      <c r="J64" s="473"/>
      <c r="K64" s="474"/>
      <c r="L64" s="172"/>
    </row>
    <row r="65" spans="1:12" s="188" customFormat="1" x14ac:dyDescent="0.2">
      <c r="A65" s="311">
        <v>39</v>
      </c>
      <c r="B65" s="364"/>
      <c r="C65" s="367" t="s">
        <v>206</v>
      </c>
      <c r="E65" s="279">
        <v>0</v>
      </c>
      <c r="F65" s="179"/>
      <c r="G65" s="472"/>
      <c r="H65" s="473"/>
      <c r="I65" s="473"/>
      <c r="J65" s="473"/>
      <c r="K65" s="474"/>
      <c r="L65" s="172"/>
    </row>
    <row r="66" spans="1:12" s="188" customFormat="1" x14ac:dyDescent="0.2">
      <c r="A66" s="311">
        <v>40</v>
      </c>
      <c r="B66" s="364"/>
      <c r="C66" s="367" t="s">
        <v>239</v>
      </c>
      <c r="E66" s="279">
        <v>0</v>
      </c>
      <c r="F66" s="179"/>
      <c r="G66" s="472"/>
      <c r="H66" s="473"/>
      <c r="I66" s="473"/>
      <c r="J66" s="473"/>
      <c r="K66" s="474"/>
      <c r="L66" s="172"/>
    </row>
    <row r="67" spans="1:12" s="188" customFormat="1" x14ac:dyDescent="0.2">
      <c r="A67" s="311">
        <v>41</v>
      </c>
      <c r="B67" s="364"/>
      <c r="C67" s="367" t="s">
        <v>207</v>
      </c>
      <c r="E67" s="279">
        <v>0</v>
      </c>
      <c r="F67" s="179"/>
      <c r="G67" s="472"/>
      <c r="H67" s="473"/>
      <c r="I67" s="473"/>
      <c r="J67" s="473"/>
      <c r="K67" s="474"/>
      <c r="L67" s="172"/>
    </row>
    <row r="68" spans="1:12" s="188" customFormat="1" x14ac:dyDescent="0.2">
      <c r="A68" s="311">
        <v>42</v>
      </c>
      <c r="B68" s="364"/>
      <c r="C68" s="367" t="s">
        <v>208</v>
      </c>
      <c r="E68" s="293">
        <v>0</v>
      </c>
      <c r="F68" s="178"/>
      <c r="G68" s="472"/>
      <c r="H68" s="473"/>
      <c r="I68" s="473"/>
      <c r="J68" s="473"/>
      <c r="K68" s="474"/>
      <c r="L68" s="172"/>
    </row>
    <row r="69" spans="1:12" s="188" customFormat="1" x14ac:dyDescent="0.2">
      <c r="A69" s="311">
        <v>43</v>
      </c>
      <c r="B69" s="364"/>
      <c r="C69" s="367"/>
      <c r="E69" s="279"/>
      <c r="F69" s="179"/>
      <c r="G69" s="472"/>
      <c r="H69" s="473"/>
      <c r="I69" s="473"/>
      <c r="J69" s="473"/>
      <c r="K69" s="474"/>
      <c r="L69" s="172"/>
    </row>
    <row r="70" spans="1:12" s="188" customFormat="1" x14ac:dyDescent="0.2">
      <c r="A70" s="311">
        <v>44</v>
      </c>
      <c r="B70" s="368"/>
      <c r="C70" s="369" t="s">
        <v>209</v>
      </c>
      <c r="D70" s="171"/>
      <c r="E70" s="294">
        <v>0</v>
      </c>
      <c r="F70" s="180"/>
      <c r="G70" s="472"/>
      <c r="H70" s="473"/>
      <c r="I70" s="473"/>
      <c r="J70" s="473"/>
      <c r="K70" s="474"/>
      <c r="L70" s="172"/>
    </row>
    <row r="71" spans="1:12" s="188" customFormat="1" x14ac:dyDescent="0.2">
      <c r="A71" s="311">
        <v>45</v>
      </c>
      <c r="B71" s="368"/>
      <c r="C71" s="369" t="s">
        <v>210</v>
      </c>
      <c r="D71" s="171"/>
      <c r="E71" s="294">
        <v>0</v>
      </c>
      <c r="F71" s="180"/>
      <c r="G71" s="472"/>
      <c r="H71" s="473"/>
      <c r="I71" s="473"/>
      <c r="J71" s="473"/>
      <c r="K71" s="474"/>
      <c r="L71" s="172"/>
    </row>
    <row r="72" spans="1:12" s="188" customFormat="1" x14ac:dyDescent="0.2">
      <c r="A72" s="311">
        <v>46</v>
      </c>
      <c r="B72" s="368"/>
      <c r="C72" s="369" t="s">
        <v>240</v>
      </c>
      <c r="D72" s="171"/>
      <c r="E72" s="295">
        <v>0</v>
      </c>
      <c r="F72" s="181"/>
      <c r="G72" s="472"/>
      <c r="H72" s="473"/>
      <c r="I72" s="473"/>
      <c r="J72" s="473"/>
      <c r="K72" s="474"/>
      <c r="L72" s="172"/>
    </row>
    <row r="73" spans="1:12" s="188" customFormat="1" x14ac:dyDescent="0.2">
      <c r="A73" s="311">
        <v>47</v>
      </c>
      <c r="B73" s="368"/>
      <c r="C73" s="369"/>
      <c r="D73" s="171"/>
      <c r="E73" s="280"/>
      <c r="F73" s="181"/>
      <c r="G73" s="472"/>
      <c r="H73" s="473"/>
      <c r="I73" s="473"/>
      <c r="J73" s="473"/>
      <c r="K73" s="474"/>
      <c r="L73" s="172"/>
    </row>
    <row r="74" spans="1:12" s="188" customFormat="1" x14ac:dyDescent="0.2">
      <c r="A74" s="311">
        <v>48</v>
      </c>
      <c r="B74" s="364"/>
      <c r="C74" s="366"/>
      <c r="E74" s="278"/>
      <c r="F74" s="176"/>
      <c r="G74" s="472"/>
      <c r="H74" s="473"/>
      <c r="I74" s="473"/>
      <c r="J74" s="473"/>
      <c r="K74" s="474"/>
      <c r="L74" s="172"/>
    </row>
    <row r="75" spans="1:12" s="188" customFormat="1" x14ac:dyDescent="0.2">
      <c r="A75" s="311">
        <v>49</v>
      </c>
      <c r="B75" s="364"/>
      <c r="C75" s="366" t="s">
        <v>211</v>
      </c>
      <c r="E75" s="296">
        <f>SUM(E62:E73)</f>
        <v>16011</v>
      </c>
      <c r="F75" s="177"/>
      <c r="G75" s="472"/>
      <c r="H75" s="473"/>
      <c r="I75" s="473"/>
      <c r="J75" s="473"/>
      <c r="K75" s="474"/>
      <c r="L75" s="172"/>
    </row>
    <row r="76" spans="1:12" s="188" customFormat="1" x14ac:dyDescent="0.2">
      <c r="A76" s="311">
        <v>50</v>
      </c>
      <c r="B76" s="364"/>
      <c r="C76" s="365"/>
      <c r="E76" s="278"/>
      <c r="F76" s="176"/>
      <c r="G76" s="472"/>
      <c r="H76" s="473"/>
      <c r="I76" s="473"/>
      <c r="J76" s="473"/>
      <c r="K76" s="474"/>
      <c r="L76" s="172"/>
    </row>
    <row r="77" spans="1:12" s="188" customFormat="1" x14ac:dyDescent="0.2">
      <c r="A77" s="311">
        <v>51</v>
      </c>
      <c r="B77" s="161" t="s">
        <v>212</v>
      </c>
      <c r="C77" s="365" t="s">
        <v>213</v>
      </c>
      <c r="E77" s="362"/>
      <c r="F77" s="182"/>
      <c r="G77" s="472"/>
      <c r="H77" s="473"/>
      <c r="I77" s="473"/>
      <c r="J77" s="473"/>
      <c r="K77" s="474"/>
      <c r="L77" s="172"/>
    </row>
    <row r="78" spans="1:12" s="188" customFormat="1" x14ac:dyDescent="0.2">
      <c r="A78" s="311">
        <v>52</v>
      </c>
      <c r="B78" s="161"/>
      <c r="C78" s="366" t="s">
        <v>203</v>
      </c>
      <c r="E78" s="296">
        <f>E75</f>
        <v>16011</v>
      </c>
      <c r="F78" s="177"/>
      <c r="G78" s="472"/>
      <c r="H78" s="473"/>
      <c r="I78" s="473"/>
      <c r="J78" s="473"/>
      <c r="K78" s="474"/>
      <c r="L78" s="172"/>
    </row>
    <row r="79" spans="1:12" s="188" customFormat="1" x14ac:dyDescent="0.2">
      <c r="A79" s="311">
        <v>53</v>
      </c>
      <c r="B79" s="161"/>
      <c r="C79" s="366" t="s">
        <v>214</v>
      </c>
      <c r="E79" s="297">
        <v>15630</v>
      </c>
      <c r="F79" s="178"/>
      <c r="G79" s="472"/>
      <c r="H79" s="473"/>
      <c r="I79" s="473"/>
      <c r="J79" s="473"/>
      <c r="K79" s="474"/>
      <c r="L79" s="172"/>
    </row>
    <row r="80" spans="1:12" s="188" customFormat="1" x14ac:dyDescent="0.2">
      <c r="A80" s="311">
        <v>54</v>
      </c>
      <c r="B80" s="161"/>
      <c r="C80" s="367" t="s">
        <v>215</v>
      </c>
      <c r="E80" s="279"/>
      <c r="F80" s="178"/>
      <c r="G80" s="472"/>
      <c r="H80" s="473"/>
      <c r="I80" s="473"/>
      <c r="J80" s="473"/>
      <c r="K80" s="474"/>
      <c r="L80" s="172"/>
    </row>
    <row r="81" spans="1:12" s="188" customFormat="1" x14ac:dyDescent="0.2">
      <c r="A81" s="311">
        <v>55</v>
      </c>
      <c r="B81" s="161"/>
      <c r="C81" s="366" t="s">
        <v>221</v>
      </c>
      <c r="E81" s="279">
        <v>0</v>
      </c>
      <c r="F81" s="178"/>
      <c r="G81" s="472"/>
      <c r="H81" s="473"/>
      <c r="I81" s="473"/>
      <c r="J81" s="473"/>
      <c r="K81" s="474"/>
      <c r="L81" s="172"/>
    </row>
    <row r="82" spans="1:12" s="188" customFormat="1" x14ac:dyDescent="0.2">
      <c r="A82" s="311">
        <v>56</v>
      </c>
      <c r="B82" s="161"/>
      <c r="C82" s="370" t="s">
        <v>216</v>
      </c>
      <c r="E82" s="279"/>
      <c r="F82" s="178"/>
      <c r="G82" s="472"/>
      <c r="H82" s="473"/>
      <c r="I82" s="473"/>
      <c r="J82" s="473"/>
      <c r="K82" s="474"/>
      <c r="L82" s="172"/>
    </row>
    <row r="83" spans="1:12" s="188" customFormat="1" x14ac:dyDescent="0.2">
      <c r="A83" s="311">
        <v>57</v>
      </c>
      <c r="B83" s="161"/>
      <c r="C83" s="371" t="s">
        <v>217</v>
      </c>
      <c r="E83" s="279">
        <v>0</v>
      </c>
      <c r="F83" s="178"/>
      <c r="G83" s="472"/>
      <c r="H83" s="473"/>
      <c r="I83" s="473"/>
      <c r="J83" s="473"/>
      <c r="K83" s="474"/>
      <c r="L83" s="172"/>
    </row>
    <row r="84" spans="1:12" s="188" customFormat="1" x14ac:dyDescent="0.2">
      <c r="A84" s="311">
        <v>58</v>
      </c>
      <c r="B84" s="161"/>
      <c r="C84" s="371" t="s">
        <v>218</v>
      </c>
      <c r="E84" s="279"/>
      <c r="F84" s="178"/>
      <c r="G84" s="472"/>
      <c r="H84" s="473"/>
      <c r="I84" s="473"/>
      <c r="J84" s="473"/>
      <c r="K84" s="474"/>
      <c r="L84" s="172"/>
    </row>
    <row r="85" spans="1:12" s="188" customFormat="1" x14ac:dyDescent="0.2">
      <c r="A85" s="311">
        <v>59</v>
      </c>
      <c r="B85" s="161"/>
      <c r="C85" s="366" t="s">
        <v>219</v>
      </c>
      <c r="E85" s="279">
        <v>0</v>
      </c>
      <c r="F85" s="178"/>
      <c r="G85" s="472"/>
      <c r="H85" s="473"/>
      <c r="I85" s="473"/>
      <c r="J85" s="473"/>
      <c r="K85" s="474"/>
      <c r="L85" s="172"/>
    </row>
    <row r="86" spans="1:12" s="188" customFormat="1" x14ac:dyDescent="0.2">
      <c r="A86" s="311">
        <v>60</v>
      </c>
      <c r="B86" s="161"/>
      <c r="C86" s="371" t="s">
        <v>260</v>
      </c>
      <c r="E86" s="297">
        <v>0</v>
      </c>
      <c r="F86" s="178"/>
      <c r="G86" s="472"/>
      <c r="H86" s="473"/>
      <c r="I86" s="473"/>
      <c r="J86" s="473"/>
      <c r="K86" s="474"/>
      <c r="L86" s="172"/>
    </row>
    <row r="87" spans="1:12" s="188" customFormat="1" x14ac:dyDescent="0.2">
      <c r="A87" s="311">
        <v>61</v>
      </c>
      <c r="B87" s="161"/>
      <c r="C87" s="370" t="s">
        <v>220</v>
      </c>
      <c r="E87" s="279">
        <v>0</v>
      </c>
      <c r="F87" s="178"/>
      <c r="G87" s="472"/>
      <c r="H87" s="473"/>
      <c r="I87" s="473"/>
      <c r="J87" s="473"/>
      <c r="K87" s="474"/>
      <c r="L87" s="172"/>
    </row>
    <row r="88" spans="1:12" s="188" customFormat="1" x14ac:dyDescent="0.2">
      <c r="A88" s="311">
        <v>62</v>
      </c>
      <c r="B88" s="161"/>
      <c r="C88" s="366" t="s">
        <v>222</v>
      </c>
      <c r="E88" s="279">
        <v>0</v>
      </c>
      <c r="F88" s="178"/>
      <c r="G88" s="472"/>
      <c r="H88" s="473"/>
      <c r="I88" s="473"/>
      <c r="J88" s="473"/>
      <c r="K88" s="474"/>
      <c r="L88" s="172"/>
    </row>
    <row r="89" spans="1:12" s="188" customFormat="1" x14ac:dyDescent="0.2">
      <c r="A89" s="311">
        <v>63</v>
      </c>
      <c r="B89" s="161"/>
      <c r="C89" s="366"/>
      <c r="E89" s="282"/>
      <c r="F89" s="183"/>
      <c r="G89" s="472"/>
      <c r="H89" s="473"/>
      <c r="I89" s="473"/>
      <c r="J89" s="473"/>
      <c r="K89" s="474"/>
      <c r="L89" s="172"/>
    </row>
    <row r="90" spans="1:12" s="188" customFormat="1" x14ac:dyDescent="0.2">
      <c r="A90" s="311">
        <v>64</v>
      </c>
      <c r="B90" s="161"/>
      <c r="C90" s="366" t="s">
        <v>223</v>
      </c>
      <c r="E90" s="362"/>
      <c r="F90" s="182"/>
      <c r="G90" s="472"/>
      <c r="H90" s="473"/>
      <c r="I90" s="473"/>
      <c r="J90" s="473"/>
      <c r="K90" s="474"/>
      <c r="L90" s="172"/>
    </row>
    <row r="91" spans="1:12" s="188" customFormat="1" x14ac:dyDescent="0.2">
      <c r="A91" s="311">
        <v>65</v>
      </c>
      <c r="B91" s="161"/>
      <c r="C91" s="366"/>
      <c r="E91" s="362"/>
      <c r="F91" s="182"/>
      <c r="G91" s="472"/>
      <c r="H91" s="473"/>
      <c r="I91" s="473"/>
      <c r="J91" s="473"/>
      <c r="K91" s="474"/>
      <c r="L91" s="172"/>
    </row>
    <row r="92" spans="1:12" s="188" customFormat="1" x14ac:dyDescent="0.2">
      <c r="A92" s="311">
        <v>66</v>
      </c>
      <c r="B92" s="161"/>
      <c r="C92" s="366" t="s">
        <v>211</v>
      </c>
      <c r="E92" s="363">
        <f>SUM(E78:E89)</f>
        <v>31641</v>
      </c>
      <c r="F92" s="184"/>
      <c r="G92" s="475"/>
      <c r="H92" s="476"/>
      <c r="I92" s="476"/>
      <c r="J92" s="476"/>
      <c r="K92" s="477"/>
      <c r="L92" s="172"/>
    </row>
    <row r="93" spans="1:12" s="268" customFormat="1" x14ac:dyDescent="0.2">
      <c r="A93" s="311"/>
    </row>
    <row r="94" spans="1:12" s="268" customFormat="1" x14ac:dyDescent="0.2">
      <c r="A94" s="311"/>
    </row>
    <row r="95" spans="1:12" s="188" customFormat="1" x14ac:dyDescent="0.2">
      <c r="A95" s="311"/>
      <c r="B95" s="162"/>
      <c r="E95" s="276"/>
      <c r="F95" s="184"/>
      <c r="G95" s="276"/>
      <c r="H95" s="184"/>
      <c r="I95" s="276"/>
      <c r="J95" s="185"/>
      <c r="K95" s="276"/>
      <c r="L95" s="172"/>
    </row>
    <row r="96" spans="1:12" s="188" customFormat="1" x14ac:dyDescent="0.2">
      <c r="A96" s="311"/>
      <c r="B96" s="162"/>
      <c r="C96" s="159"/>
      <c r="E96" s="276"/>
      <c r="F96" s="184"/>
      <c r="G96" s="276"/>
      <c r="H96" s="184"/>
      <c r="I96" s="276"/>
      <c r="J96" s="185"/>
      <c r="K96" s="276"/>
      <c r="L96" s="172"/>
    </row>
    <row r="97" spans="1:12" s="188" customFormat="1" x14ac:dyDescent="0.2">
      <c r="A97" s="162" t="s">
        <v>321</v>
      </c>
      <c r="C97" s="159"/>
      <c r="E97" s="276"/>
      <c r="F97" s="184"/>
      <c r="G97" s="276"/>
      <c r="H97" s="184"/>
      <c r="I97" s="276"/>
      <c r="J97" s="185"/>
      <c r="K97" s="276"/>
      <c r="L97" s="172"/>
    </row>
    <row r="98" spans="1:12" s="188" customFormat="1" x14ac:dyDescent="0.2">
      <c r="A98" s="162"/>
      <c r="C98" s="159"/>
      <c r="E98" s="276"/>
      <c r="F98" s="184"/>
      <c r="G98" s="276"/>
      <c r="H98" s="184"/>
      <c r="I98" s="276"/>
      <c r="J98" s="185"/>
      <c r="K98" s="276"/>
      <c r="L98" s="172"/>
    </row>
    <row r="99" spans="1:12" s="188" customFormat="1" x14ac:dyDescent="0.2">
      <c r="A99" s="162"/>
      <c r="C99" s="159"/>
      <c r="E99" s="276"/>
      <c r="F99" s="184"/>
      <c r="G99" s="276"/>
      <c r="H99" s="184"/>
      <c r="I99" s="276"/>
      <c r="J99" s="185"/>
      <c r="K99" s="276"/>
      <c r="L99" s="172"/>
    </row>
    <row r="100" spans="1:12" s="188" customFormat="1" x14ac:dyDescent="0.2">
      <c r="A100" s="311"/>
      <c r="C100" s="159"/>
      <c r="E100" s="248" t="s">
        <v>276</v>
      </c>
      <c r="F100" s="241"/>
      <c r="G100" s="456" t="s">
        <v>200</v>
      </c>
      <c r="H100" s="456"/>
      <c r="I100" s="456"/>
      <c r="J100" s="456"/>
      <c r="K100" s="456"/>
      <c r="L100" s="172"/>
    </row>
    <row r="101" spans="1:12" s="188" customFormat="1" x14ac:dyDescent="0.2">
      <c r="A101" s="311"/>
      <c r="C101" s="159"/>
      <c r="E101" s="277" t="s">
        <v>314</v>
      </c>
      <c r="F101" s="173"/>
      <c r="G101" s="174">
        <f>+G58</f>
        <v>2025</v>
      </c>
      <c r="H101" s="173"/>
      <c r="I101" s="174">
        <f>+I58</f>
        <v>2026</v>
      </c>
      <c r="J101" s="174"/>
      <c r="K101" s="174">
        <f>+K58</f>
        <v>2027</v>
      </c>
      <c r="L101" s="172"/>
    </row>
    <row r="102" spans="1:12" s="188" customFormat="1" x14ac:dyDescent="0.2">
      <c r="A102" s="311"/>
      <c r="C102" s="159"/>
      <c r="E102" s="478" t="s">
        <v>267</v>
      </c>
      <c r="F102" s="466"/>
      <c r="G102" s="466"/>
      <c r="H102" s="466"/>
      <c r="I102" s="466"/>
      <c r="J102" s="466"/>
      <c r="K102" s="467"/>
      <c r="L102" s="172"/>
    </row>
    <row r="103" spans="1:12" s="188" customFormat="1" x14ac:dyDescent="0.2">
      <c r="A103" s="311">
        <v>67</v>
      </c>
      <c r="B103" s="166" t="s">
        <v>201</v>
      </c>
      <c r="C103" s="366"/>
      <c r="E103" s="314">
        <f>E105/(E135+E118)</f>
        <v>0.34023970419482341</v>
      </c>
      <c r="L103" s="172"/>
    </row>
    <row r="104" spans="1:12" s="188" customFormat="1" x14ac:dyDescent="0.2">
      <c r="A104" s="311">
        <v>68</v>
      </c>
      <c r="B104" s="166"/>
      <c r="C104" s="366"/>
      <c r="E104" s="278"/>
      <c r="F104" s="283"/>
      <c r="G104" s="425"/>
      <c r="H104" s="425"/>
      <c r="I104" s="425"/>
      <c r="J104" s="425"/>
      <c r="K104" s="426"/>
      <c r="L104" s="172"/>
    </row>
    <row r="105" spans="1:12" s="268" customFormat="1" ht="12.75" customHeight="1" x14ac:dyDescent="0.2">
      <c r="A105" s="424">
        <v>69</v>
      </c>
      <c r="B105" s="346" t="s">
        <v>202</v>
      </c>
      <c r="C105" s="373" t="s">
        <v>203</v>
      </c>
      <c r="E105" s="340">
        <v>16011</v>
      </c>
      <c r="F105" s="375"/>
      <c r="G105" s="457" t="s">
        <v>241</v>
      </c>
      <c r="H105" s="458"/>
      <c r="I105" s="458"/>
      <c r="J105" s="458"/>
      <c r="K105" s="459"/>
    </row>
    <row r="106" spans="1:12" s="268" customFormat="1" x14ac:dyDescent="0.2">
      <c r="A106" s="424">
        <v>70</v>
      </c>
      <c r="B106" s="346"/>
      <c r="C106" s="346" t="s">
        <v>204</v>
      </c>
      <c r="E106" s="279">
        <v>0</v>
      </c>
      <c r="F106" s="376"/>
      <c r="G106" s="460"/>
      <c r="H106" s="461"/>
      <c r="I106" s="461"/>
      <c r="J106" s="461"/>
      <c r="K106" s="462"/>
    </row>
    <row r="107" spans="1:12" s="268" customFormat="1" x14ac:dyDescent="0.2">
      <c r="A107" s="424">
        <v>71</v>
      </c>
      <c r="B107" s="346"/>
      <c r="C107" s="346" t="s">
        <v>205</v>
      </c>
      <c r="E107" s="279">
        <v>0</v>
      </c>
      <c r="F107" s="375"/>
      <c r="G107" s="460"/>
      <c r="H107" s="461"/>
      <c r="I107" s="461"/>
      <c r="J107" s="461"/>
      <c r="K107" s="462"/>
    </row>
    <row r="108" spans="1:12" s="268" customFormat="1" x14ac:dyDescent="0.2">
      <c r="A108" s="424">
        <v>72</v>
      </c>
      <c r="B108" s="346"/>
      <c r="C108" s="346" t="s">
        <v>206</v>
      </c>
      <c r="E108" s="279">
        <v>0</v>
      </c>
      <c r="F108" s="375"/>
      <c r="G108" s="460"/>
      <c r="H108" s="461"/>
      <c r="I108" s="461"/>
      <c r="J108" s="461"/>
      <c r="K108" s="462"/>
    </row>
    <row r="109" spans="1:12" s="268" customFormat="1" x14ac:dyDescent="0.2">
      <c r="A109" s="424">
        <v>73</v>
      </c>
      <c r="B109" s="346"/>
      <c r="C109" s="346" t="s">
        <v>239</v>
      </c>
      <c r="E109" s="279">
        <v>0</v>
      </c>
      <c r="F109" s="375"/>
      <c r="G109" s="460"/>
      <c r="H109" s="461"/>
      <c r="I109" s="461"/>
      <c r="J109" s="461"/>
      <c r="K109" s="462"/>
    </row>
    <row r="110" spans="1:12" s="268" customFormat="1" x14ac:dyDescent="0.2">
      <c r="A110" s="424">
        <v>74</v>
      </c>
      <c r="B110" s="346"/>
      <c r="C110" s="346" t="s">
        <v>207</v>
      </c>
      <c r="E110" s="279">
        <v>0</v>
      </c>
      <c r="F110" s="375"/>
      <c r="G110" s="460"/>
      <c r="H110" s="461"/>
      <c r="I110" s="461"/>
      <c r="J110" s="461"/>
      <c r="K110" s="462"/>
    </row>
    <row r="111" spans="1:12" s="268" customFormat="1" x14ac:dyDescent="0.2">
      <c r="A111" s="424">
        <v>75</v>
      </c>
      <c r="B111" s="346"/>
      <c r="C111" s="346" t="s">
        <v>208</v>
      </c>
      <c r="E111" s="293">
        <v>0</v>
      </c>
      <c r="F111" s="375"/>
      <c r="G111" s="460"/>
      <c r="H111" s="461"/>
      <c r="I111" s="461"/>
      <c r="J111" s="461"/>
      <c r="K111" s="462"/>
    </row>
    <row r="112" spans="1:12" s="268" customFormat="1" x14ac:dyDescent="0.2">
      <c r="A112" s="424">
        <v>76</v>
      </c>
      <c r="B112" s="346"/>
      <c r="C112" s="346"/>
      <c r="E112" s="279"/>
      <c r="F112" s="375"/>
      <c r="G112" s="460"/>
      <c r="H112" s="461"/>
      <c r="I112" s="461"/>
      <c r="J112" s="461"/>
      <c r="K112" s="462"/>
    </row>
    <row r="113" spans="1:11" s="268" customFormat="1" x14ac:dyDescent="0.2">
      <c r="A113" s="424">
        <v>77</v>
      </c>
      <c r="B113" s="346"/>
      <c r="C113" s="346" t="s">
        <v>209</v>
      </c>
      <c r="E113" s="294">
        <v>0</v>
      </c>
      <c r="F113" s="375"/>
      <c r="G113" s="460"/>
      <c r="H113" s="461"/>
      <c r="I113" s="461"/>
      <c r="J113" s="461"/>
      <c r="K113" s="462"/>
    </row>
    <row r="114" spans="1:11" s="268" customFormat="1" x14ac:dyDescent="0.2">
      <c r="A114" s="424">
        <v>78</v>
      </c>
      <c r="B114" s="346"/>
      <c r="C114" s="346" t="s">
        <v>210</v>
      </c>
      <c r="E114" s="294">
        <v>0</v>
      </c>
      <c r="F114" s="376"/>
      <c r="G114" s="460"/>
      <c r="H114" s="461"/>
      <c r="I114" s="461"/>
      <c r="J114" s="461"/>
      <c r="K114" s="462"/>
    </row>
    <row r="115" spans="1:11" s="268" customFormat="1" x14ac:dyDescent="0.2">
      <c r="A115" s="424">
        <v>79</v>
      </c>
      <c r="B115" s="346"/>
      <c r="C115" s="346" t="s">
        <v>240</v>
      </c>
      <c r="E115" s="295">
        <v>0</v>
      </c>
      <c r="F115" s="376"/>
      <c r="G115" s="460"/>
      <c r="H115" s="461"/>
      <c r="I115" s="461"/>
      <c r="J115" s="461"/>
      <c r="K115" s="462"/>
    </row>
    <row r="116" spans="1:11" s="268" customFormat="1" x14ac:dyDescent="0.2">
      <c r="A116" s="424">
        <v>80</v>
      </c>
      <c r="B116" s="346"/>
      <c r="C116" s="346"/>
      <c r="E116" s="295"/>
      <c r="G116" s="460"/>
      <c r="H116" s="461"/>
      <c r="I116" s="461"/>
      <c r="J116" s="461"/>
      <c r="K116" s="462"/>
    </row>
    <row r="117" spans="1:11" s="268" customFormat="1" x14ac:dyDescent="0.2">
      <c r="A117" s="424">
        <v>81</v>
      </c>
      <c r="B117" s="346"/>
      <c r="C117" s="346"/>
      <c r="E117" s="429"/>
      <c r="F117" s="376"/>
      <c r="G117" s="460"/>
      <c r="H117" s="461"/>
      <c r="I117" s="461"/>
      <c r="J117" s="461"/>
      <c r="K117" s="462"/>
    </row>
    <row r="118" spans="1:11" s="268" customFormat="1" x14ac:dyDescent="0.2">
      <c r="A118" s="424">
        <v>82</v>
      </c>
      <c r="B118" s="346"/>
      <c r="C118" s="346" t="s">
        <v>211</v>
      </c>
      <c r="E118" s="296">
        <v>16011</v>
      </c>
      <c r="F118" s="427"/>
      <c r="G118" s="463"/>
      <c r="H118" s="464"/>
      <c r="I118" s="464"/>
      <c r="J118" s="464"/>
      <c r="K118" s="465"/>
    </row>
    <row r="119" spans="1:11" s="268" customFormat="1" x14ac:dyDescent="0.2">
      <c r="A119" s="424">
        <v>83</v>
      </c>
      <c r="B119" s="346"/>
      <c r="C119" s="346"/>
      <c r="E119" s="278"/>
      <c r="F119" s="428"/>
      <c r="G119" s="428"/>
      <c r="H119" s="428"/>
      <c r="I119" s="428"/>
      <c r="J119" s="428"/>
      <c r="K119" s="428"/>
    </row>
    <row r="120" spans="1:11" s="268" customFormat="1" ht="12.75" customHeight="1" x14ac:dyDescent="0.2">
      <c r="A120" s="424">
        <v>84</v>
      </c>
      <c r="B120" s="346" t="s">
        <v>212</v>
      </c>
      <c r="C120" s="373" t="s">
        <v>213</v>
      </c>
      <c r="E120" s="362"/>
      <c r="G120" s="432"/>
      <c r="H120" s="374"/>
      <c r="I120" s="374"/>
      <c r="J120" s="374"/>
      <c r="K120" s="431"/>
    </row>
    <row r="121" spans="1:11" s="268" customFormat="1" x14ac:dyDescent="0.2">
      <c r="A121" s="424">
        <v>85</v>
      </c>
      <c r="B121" s="346"/>
      <c r="C121" s="346" t="s">
        <v>203</v>
      </c>
      <c r="E121" s="296">
        <v>15417</v>
      </c>
      <c r="G121" s="457" t="s">
        <v>241</v>
      </c>
      <c r="H121" s="458"/>
      <c r="I121" s="458"/>
      <c r="J121" s="458"/>
      <c r="K121" s="459"/>
    </row>
    <row r="122" spans="1:11" s="268" customFormat="1" ht="12.75" customHeight="1" x14ac:dyDescent="0.2">
      <c r="A122" s="424">
        <v>86</v>
      </c>
      <c r="B122" s="346"/>
      <c r="C122" s="346" t="s">
        <v>214</v>
      </c>
      <c r="E122" s="296">
        <v>15630</v>
      </c>
      <c r="G122" s="460"/>
      <c r="H122" s="461"/>
      <c r="I122" s="461"/>
      <c r="J122" s="461"/>
      <c r="K122" s="462"/>
    </row>
    <row r="123" spans="1:11" s="268" customFormat="1" x14ac:dyDescent="0.2">
      <c r="A123" s="424">
        <v>87</v>
      </c>
      <c r="B123" s="346"/>
      <c r="C123" s="346" t="s">
        <v>215</v>
      </c>
      <c r="E123" s="279"/>
      <c r="G123" s="460"/>
      <c r="H123" s="461"/>
      <c r="I123" s="461"/>
      <c r="J123" s="461"/>
      <c r="K123" s="462"/>
    </row>
    <row r="124" spans="1:11" s="268" customFormat="1" x14ac:dyDescent="0.2">
      <c r="A124" s="424">
        <v>88</v>
      </c>
      <c r="B124" s="346"/>
      <c r="C124" s="346" t="s">
        <v>221</v>
      </c>
      <c r="E124" s="279">
        <v>0</v>
      </c>
      <c r="G124" s="460"/>
      <c r="H124" s="461"/>
      <c r="I124" s="461"/>
      <c r="J124" s="461"/>
      <c r="K124" s="462"/>
    </row>
    <row r="125" spans="1:11" s="268" customFormat="1" x14ac:dyDescent="0.2">
      <c r="A125" s="424">
        <v>89</v>
      </c>
      <c r="B125" s="346"/>
      <c r="C125" s="346" t="s">
        <v>216</v>
      </c>
      <c r="E125" s="279"/>
      <c r="G125" s="460"/>
      <c r="H125" s="461"/>
      <c r="I125" s="461"/>
      <c r="J125" s="461"/>
      <c r="K125" s="462"/>
    </row>
    <row r="126" spans="1:11" s="268" customFormat="1" x14ac:dyDescent="0.2">
      <c r="A126" s="424">
        <v>90</v>
      </c>
      <c r="B126" s="346"/>
      <c r="C126" s="346" t="s">
        <v>217</v>
      </c>
      <c r="E126" s="279">
        <v>0</v>
      </c>
      <c r="G126" s="460"/>
      <c r="H126" s="461"/>
      <c r="I126" s="461"/>
      <c r="J126" s="461"/>
      <c r="K126" s="462"/>
    </row>
    <row r="127" spans="1:11" s="268" customFormat="1" x14ac:dyDescent="0.2">
      <c r="A127" s="424">
        <v>91</v>
      </c>
      <c r="B127" s="346"/>
      <c r="C127" s="346" t="s">
        <v>218</v>
      </c>
      <c r="E127" s="279"/>
      <c r="G127" s="460"/>
      <c r="H127" s="461"/>
      <c r="I127" s="461"/>
      <c r="J127" s="461"/>
      <c r="K127" s="462"/>
    </row>
    <row r="128" spans="1:11" s="268" customFormat="1" x14ac:dyDescent="0.2">
      <c r="A128" s="424">
        <v>92</v>
      </c>
      <c r="B128" s="346"/>
      <c r="C128" s="346" t="s">
        <v>219</v>
      </c>
      <c r="E128" s="279">
        <v>0</v>
      </c>
      <c r="G128" s="460"/>
      <c r="H128" s="461"/>
      <c r="I128" s="461"/>
      <c r="J128" s="461"/>
      <c r="K128" s="462"/>
    </row>
    <row r="129" spans="1:11" s="268" customFormat="1" x14ac:dyDescent="0.2">
      <c r="A129" s="424">
        <v>93</v>
      </c>
      <c r="B129" s="346"/>
      <c r="C129" s="346" t="s">
        <v>260</v>
      </c>
      <c r="E129" s="297">
        <v>0</v>
      </c>
      <c r="G129" s="460"/>
      <c r="H129" s="461"/>
      <c r="I129" s="461"/>
      <c r="J129" s="461"/>
      <c r="K129" s="462"/>
    </row>
    <row r="130" spans="1:11" s="268" customFormat="1" x14ac:dyDescent="0.2">
      <c r="A130" s="424">
        <v>94</v>
      </c>
      <c r="B130" s="346"/>
      <c r="C130" s="346" t="s">
        <v>220</v>
      </c>
      <c r="E130" s="279">
        <v>0</v>
      </c>
      <c r="G130" s="460"/>
      <c r="H130" s="461"/>
      <c r="I130" s="461"/>
      <c r="J130" s="461"/>
      <c r="K130" s="462"/>
    </row>
    <row r="131" spans="1:11" s="268" customFormat="1" x14ac:dyDescent="0.2">
      <c r="A131" s="424">
        <v>95</v>
      </c>
      <c r="B131" s="346"/>
      <c r="C131" s="346" t="s">
        <v>222</v>
      </c>
      <c r="E131" s="279">
        <v>0</v>
      </c>
      <c r="G131" s="460"/>
      <c r="H131" s="461"/>
      <c r="I131" s="461"/>
      <c r="J131" s="461"/>
      <c r="K131" s="462"/>
    </row>
    <row r="132" spans="1:11" s="268" customFormat="1" x14ac:dyDescent="0.2">
      <c r="A132" s="424">
        <v>96</v>
      </c>
      <c r="E132" s="382"/>
      <c r="G132" s="460"/>
      <c r="H132" s="461"/>
      <c r="I132" s="461"/>
      <c r="J132" s="461"/>
      <c r="K132" s="462"/>
    </row>
    <row r="133" spans="1:11" s="268" customFormat="1" x14ac:dyDescent="0.2">
      <c r="A133" s="424">
        <v>97</v>
      </c>
      <c r="C133" s="268" t="s">
        <v>223</v>
      </c>
      <c r="E133" s="430"/>
      <c r="G133" s="460"/>
      <c r="H133" s="461"/>
      <c r="I133" s="461"/>
      <c r="J133" s="461"/>
      <c r="K133" s="462"/>
    </row>
    <row r="134" spans="1:11" s="268" customFormat="1" x14ac:dyDescent="0.2">
      <c r="A134" s="424">
        <v>98</v>
      </c>
      <c r="E134" s="362"/>
      <c r="G134" s="460"/>
      <c r="H134" s="461"/>
      <c r="I134" s="461"/>
      <c r="J134" s="461"/>
      <c r="K134" s="462"/>
    </row>
    <row r="135" spans="1:11" s="268" customFormat="1" x14ac:dyDescent="0.2">
      <c r="A135" s="424">
        <v>99</v>
      </c>
      <c r="C135" s="268" t="s">
        <v>211</v>
      </c>
      <c r="E135" s="363">
        <f>E121+E122</f>
        <v>31047</v>
      </c>
      <c r="G135" s="463"/>
      <c r="H135" s="464"/>
      <c r="I135" s="464"/>
      <c r="J135" s="464"/>
      <c r="K135" s="465"/>
    </row>
    <row r="136" spans="1:11" s="268" customFormat="1" x14ac:dyDescent="0.2"/>
    <row r="137" spans="1:11" s="268" customFormat="1" x14ac:dyDescent="0.2"/>
    <row r="138" spans="1:11" s="268" customFormat="1" x14ac:dyDescent="0.2">
      <c r="A138" s="433"/>
      <c r="B138" s="161"/>
      <c r="C138" s="372"/>
      <c r="D138" s="161"/>
      <c r="E138" s="434" t="s">
        <v>276</v>
      </c>
      <c r="F138" s="488" t="s">
        <v>200</v>
      </c>
      <c r="G138" s="488"/>
      <c r="H138" s="488"/>
      <c r="I138" s="488"/>
      <c r="J138" s="488"/>
      <c r="K138" s="488"/>
    </row>
    <row r="139" spans="1:11" s="268" customFormat="1" x14ac:dyDescent="0.2">
      <c r="A139" s="433"/>
      <c r="B139" s="161"/>
      <c r="C139" s="372"/>
      <c r="D139" s="161"/>
      <c r="E139" s="435" t="s">
        <v>314</v>
      </c>
      <c r="G139" s="436">
        <v>2025</v>
      </c>
      <c r="I139" s="436">
        <v>2026</v>
      </c>
      <c r="K139" s="436">
        <v>2027</v>
      </c>
    </row>
    <row r="140" spans="1:11" s="268" customFormat="1" x14ac:dyDescent="0.2">
      <c r="A140" s="433"/>
      <c r="B140" s="161"/>
      <c r="C140" s="372"/>
      <c r="D140" s="161"/>
      <c r="E140" s="489" t="s">
        <v>268</v>
      </c>
      <c r="F140" s="490"/>
      <c r="G140" s="490"/>
      <c r="H140" s="490"/>
      <c r="I140" s="490"/>
      <c r="J140" s="490"/>
      <c r="K140" s="491"/>
    </row>
    <row r="141" spans="1:11" s="268" customFormat="1" x14ac:dyDescent="0.2">
      <c r="A141" s="433">
        <v>100</v>
      </c>
      <c r="B141" s="161" t="s">
        <v>201</v>
      </c>
      <c r="C141" s="372"/>
      <c r="D141" s="161"/>
      <c r="E141" s="314">
        <f>E143/(E173+E156)</f>
        <v>0.34023970419482341</v>
      </c>
      <c r="G141" s="469" t="s">
        <v>241</v>
      </c>
      <c r="H141" s="470"/>
      <c r="I141" s="470"/>
      <c r="J141" s="470"/>
      <c r="K141" s="471"/>
    </row>
    <row r="142" spans="1:11" s="268" customFormat="1" x14ac:dyDescent="0.2">
      <c r="A142" s="433">
        <v>101</v>
      </c>
      <c r="B142" s="161"/>
      <c r="C142" s="161"/>
      <c r="D142" s="161"/>
      <c r="E142" s="278"/>
      <c r="G142" s="472"/>
      <c r="H142" s="473"/>
      <c r="I142" s="473"/>
      <c r="J142" s="473"/>
      <c r="K142" s="474"/>
    </row>
    <row r="143" spans="1:11" s="268" customFormat="1" x14ac:dyDescent="0.2">
      <c r="A143" s="433">
        <v>102</v>
      </c>
      <c r="B143" s="364" t="s">
        <v>202</v>
      </c>
      <c r="C143" s="365" t="s">
        <v>203</v>
      </c>
      <c r="D143" s="161"/>
      <c r="E143" s="292">
        <v>16011</v>
      </c>
      <c r="G143" s="472"/>
      <c r="H143" s="473"/>
      <c r="I143" s="473"/>
      <c r="J143" s="473"/>
      <c r="K143" s="474"/>
    </row>
    <row r="144" spans="1:11" s="105" customFormat="1" x14ac:dyDescent="0.2">
      <c r="A144" s="433">
        <v>103</v>
      </c>
      <c r="B144" s="364"/>
      <c r="C144" s="366" t="s">
        <v>204</v>
      </c>
      <c r="D144" s="161"/>
      <c r="E144" s="279">
        <v>0</v>
      </c>
      <c r="G144" s="472"/>
      <c r="H144" s="473"/>
      <c r="I144" s="473"/>
      <c r="J144" s="473"/>
      <c r="K144" s="474"/>
    </row>
    <row r="145" spans="1:11" s="105" customFormat="1" x14ac:dyDescent="0.2">
      <c r="A145" s="433">
        <v>104</v>
      </c>
      <c r="B145" s="364"/>
      <c r="C145" s="367" t="s">
        <v>205</v>
      </c>
      <c r="D145" s="161"/>
      <c r="E145" s="279">
        <v>0</v>
      </c>
      <c r="G145" s="472"/>
      <c r="H145" s="473"/>
      <c r="I145" s="473"/>
      <c r="J145" s="473"/>
      <c r="K145" s="474"/>
    </row>
    <row r="146" spans="1:11" s="105" customFormat="1" x14ac:dyDescent="0.2">
      <c r="A146" s="433">
        <v>105</v>
      </c>
      <c r="B146" s="364"/>
      <c r="C146" s="367" t="s">
        <v>206</v>
      </c>
      <c r="D146" s="161"/>
      <c r="E146" s="279">
        <v>0</v>
      </c>
      <c r="G146" s="472"/>
      <c r="H146" s="473"/>
      <c r="I146" s="473"/>
      <c r="J146" s="473"/>
      <c r="K146" s="474"/>
    </row>
    <row r="147" spans="1:11" s="105" customFormat="1" x14ac:dyDescent="0.2">
      <c r="A147" s="433">
        <v>106</v>
      </c>
      <c r="B147" s="364"/>
      <c r="C147" s="367" t="s">
        <v>239</v>
      </c>
      <c r="D147" s="161"/>
      <c r="E147" s="279">
        <v>0</v>
      </c>
      <c r="G147" s="472"/>
      <c r="H147" s="473"/>
      <c r="I147" s="473"/>
      <c r="J147" s="473"/>
      <c r="K147" s="474"/>
    </row>
    <row r="148" spans="1:11" s="105" customFormat="1" x14ac:dyDescent="0.2">
      <c r="A148" s="433">
        <v>107</v>
      </c>
      <c r="B148" s="364"/>
      <c r="C148" s="367" t="s">
        <v>207</v>
      </c>
      <c r="D148" s="161"/>
      <c r="E148" s="279">
        <v>0</v>
      </c>
      <c r="G148" s="472"/>
      <c r="H148" s="473"/>
      <c r="I148" s="473"/>
      <c r="J148" s="473"/>
      <c r="K148" s="474"/>
    </row>
    <row r="149" spans="1:11" s="105" customFormat="1" x14ac:dyDescent="0.2">
      <c r="A149" s="433">
        <v>108</v>
      </c>
      <c r="B149" s="364"/>
      <c r="C149" s="367" t="s">
        <v>208</v>
      </c>
      <c r="D149" s="161"/>
      <c r="E149" s="293">
        <v>0</v>
      </c>
      <c r="G149" s="472"/>
      <c r="H149" s="473"/>
      <c r="I149" s="473"/>
      <c r="J149" s="473"/>
      <c r="K149" s="474"/>
    </row>
    <row r="150" spans="1:11" s="105" customFormat="1" x14ac:dyDescent="0.2">
      <c r="A150" s="433">
        <v>109</v>
      </c>
      <c r="B150" s="364"/>
      <c r="C150" s="367"/>
      <c r="D150" s="161"/>
      <c r="E150" s="279"/>
      <c r="G150" s="472"/>
      <c r="H150" s="473"/>
      <c r="I150" s="473"/>
      <c r="J150" s="473"/>
      <c r="K150" s="474"/>
    </row>
    <row r="151" spans="1:11" s="105" customFormat="1" x14ac:dyDescent="0.2">
      <c r="A151" s="433">
        <v>110</v>
      </c>
      <c r="B151" s="368"/>
      <c r="C151" s="369" t="s">
        <v>209</v>
      </c>
      <c r="D151" s="437"/>
      <c r="E151" s="294">
        <v>0</v>
      </c>
      <c r="G151" s="472"/>
      <c r="H151" s="473"/>
      <c r="I151" s="473"/>
      <c r="J151" s="473"/>
      <c r="K151" s="474"/>
    </row>
    <row r="152" spans="1:11" s="105" customFormat="1" x14ac:dyDescent="0.2">
      <c r="A152" s="433">
        <v>111</v>
      </c>
      <c r="B152" s="368"/>
      <c r="C152" s="369" t="s">
        <v>210</v>
      </c>
      <c r="D152" s="437"/>
      <c r="E152" s="294">
        <v>0</v>
      </c>
      <c r="G152" s="472"/>
      <c r="H152" s="473"/>
      <c r="I152" s="473"/>
      <c r="J152" s="473"/>
      <c r="K152" s="474"/>
    </row>
    <row r="153" spans="1:11" s="105" customFormat="1" x14ac:dyDescent="0.2">
      <c r="A153" s="433">
        <v>112</v>
      </c>
      <c r="B153" s="368"/>
      <c r="C153" s="369" t="s">
        <v>240</v>
      </c>
      <c r="D153" s="437"/>
      <c r="E153" s="295">
        <v>0</v>
      </c>
      <c r="G153" s="472"/>
      <c r="H153" s="473"/>
      <c r="I153" s="473"/>
      <c r="J153" s="473"/>
      <c r="K153" s="474"/>
    </row>
    <row r="154" spans="1:11" s="105" customFormat="1" x14ac:dyDescent="0.2">
      <c r="A154" s="433">
        <v>113</v>
      </c>
      <c r="B154" s="368"/>
      <c r="C154" s="369"/>
      <c r="D154" s="437"/>
      <c r="E154" s="280"/>
      <c r="G154" s="472"/>
      <c r="H154" s="473"/>
      <c r="I154" s="473"/>
      <c r="J154" s="473"/>
      <c r="K154" s="474"/>
    </row>
    <row r="155" spans="1:11" s="105" customFormat="1" x14ac:dyDescent="0.2">
      <c r="A155" s="433">
        <v>114</v>
      </c>
      <c r="B155" s="364"/>
      <c r="C155" s="366"/>
      <c r="D155" s="161"/>
      <c r="E155" s="278"/>
      <c r="G155" s="472"/>
      <c r="H155" s="473"/>
      <c r="I155" s="473"/>
      <c r="J155" s="473"/>
      <c r="K155" s="474"/>
    </row>
    <row r="156" spans="1:11" s="105" customFormat="1" x14ac:dyDescent="0.2">
      <c r="A156" s="433">
        <v>115</v>
      </c>
      <c r="B156" s="364"/>
      <c r="C156" s="366" t="s">
        <v>211</v>
      </c>
      <c r="D156" s="161"/>
      <c r="E156" s="296">
        <v>16011</v>
      </c>
      <c r="G156" s="475"/>
      <c r="H156" s="476"/>
      <c r="I156" s="476"/>
      <c r="J156" s="476"/>
      <c r="K156" s="477"/>
    </row>
    <row r="157" spans="1:11" s="105" customFormat="1" x14ac:dyDescent="0.2">
      <c r="A157" s="433">
        <v>116</v>
      </c>
      <c r="B157" s="364"/>
      <c r="C157" s="365"/>
      <c r="D157" s="161"/>
      <c r="E157" s="278"/>
      <c r="G157" s="161"/>
      <c r="I157" s="161"/>
      <c r="J157" s="132"/>
      <c r="K157" s="161"/>
    </row>
    <row r="158" spans="1:11" s="105" customFormat="1" x14ac:dyDescent="0.2">
      <c r="A158" s="433">
        <v>117</v>
      </c>
      <c r="B158" s="161" t="s">
        <v>212</v>
      </c>
      <c r="C158" s="365" t="s">
        <v>213</v>
      </c>
      <c r="D158" s="161"/>
      <c r="E158" s="362"/>
      <c r="G158" s="479" t="s">
        <v>241</v>
      </c>
      <c r="H158" s="480"/>
      <c r="I158" s="480"/>
      <c r="J158" s="480"/>
      <c r="K158" s="481"/>
    </row>
    <row r="159" spans="1:11" s="105" customFormat="1" x14ac:dyDescent="0.2">
      <c r="A159" s="433">
        <v>118</v>
      </c>
      <c r="B159" s="161"/>
      <c r="C159" s="366" t="s">
        <v>203</v>
      </c>
      <c r="D159" s="161"/>
      <c r="E159" s="296">
        <v>15417</v>
      </c>
      <c r="G159" s="482"/>
      <c r="H159" s="483"/>
      <c r="I159" s="483"/>
      <c r="J159" s="483"/>
      <c r="K159" s="484"/>
    </row>
    <row r="160" spans="1:11" s="105" customFormat="1" x14ac:dyDescent="0.2">
      <c r="A160" s="433">
        <v>119</v>
      </c>
      <c r="B160" s="161"/>
      <c r="C160" s="366" t="s">
        <v>214</v>
      </c>
      <c r="D160" s="161"/>
      <c r="E160" s="297">
        <v>15630</v>
      </c>
      <c r="G160" s="482"/>
      <c r="H160" s="483"/>
      <c r="I160" s="483"/>
      <c r="J160" s="483"/>
      <c r="K160" s="484"/>
    </row>
    <row r="161" spans="1:11" s="105" customFormat="1" x14ac:dyDescent="0.2">
      <c r="A161" s="433">
        <v>120</v>
      </c>
      <c r="B161" s="161"/>
      <c r="C161" s="367" t="s">
        <v>215</v>
      </c>
      <c r="D161" s="161"/>
      <c r="E161" s="279"/>
      <c r="G161" s="482"/>
      <c r="H161" s="483"/>
      <c r="I161" s="483"/>
      <c r="J161" s="483"/>
      <c r="K161" s="484"/>
    </row>
    <row r="162" spans="1:11" s="105" customFormat="1" x14ac:dyDescent="0.2">
      <c r="A162" s="433">
        <v>121</v>
      </c>
      <c r="B162" s="161"/>
      <c r="C162" s="366" t="s">
        <v>221</v>
      </c>
      <c r="D162" s="161"/>
      <c r="E162" s="279">
        <v>0</v>
      </c>
      <c r="G162" s="482"/>
      <c r="H162" s="483"/>
      <c r="I162" s="483"/>
      <c r="J162" s="483"/>
      <c r="K162" s="484"/>
    </row>
    <row r="163" spans="1:11" s="105" customFormat="1" x14ac:dyDescent="0.2">
      <c r="A163" s="433">
        <v>122</v>
      </c>
      <c r="B163" s="161"/>
      <c r="C163" s="370" t="s">
        <v>216</v>
      </c>
      <c r="D163" s="161"/>
      <c r="E163" s="279"/>
      <c r="G163" s="482"/>
      <c r="H163" s="483"/>
      <c r="I163" s="483"/>
      <c r="J163" s="483"/>
      <c r="K163" s="484"/>
    </row>
    <row r="164" spans="1:11" s="105" customFormat="1" x14ac:dyDescent="0.2">
      <c r="A164" s="433">
        <v>123</v>
      </c>
      <c r="B164" s="161"/>
      <c r="C164" s="371" t="s">
        <v>217</v>
      </c>
      <c r="D164" s="161"/>
      <c r="E164" s="279">
        <v>0</v>
      </c>
      <c r="G164" s="482"/>
      <c r="H164" s="483"/>
      <c r="I164" s="483"/>
      <c r="J164" s="483"/>
      <c r="K164" s="484"/>
    </row>
    <row r="165" spans="1:11" s="105" customFormat="1" x14ac:dyDescent="0.2">
      <c r="A165" s="433">
        <v>124</v>
      </c>
      <c r="B165" s="161"/>
      <c r="C165" s="371" t="s">
        <v>218</v>
      </c>
      <c r="D165" s="161"/>
      <c r="E165" s="279"/>
      <c r="G165" s="482"/>
      <c r="H165" s="483"/>
      <c r="I165" s="483"/>
      <c r="J165" s="483"/>
      <c r="K165" s="484"/>
    </row>
    <row r="166" spans="1:11" s="105" customFormat="1" x14ac:dyDescent="0.2">
      <c r="A166" s="433">
        <v>125</v>
      </c>
      <c r="B166" s="161"/>
      <c r="C166" s="366" t="s">
        <v>219</v>
      </c>
      <c r="D166" s="161"/>
      <c r="E166" s="279">
        <v>0</v>
      </c>
      <c r="G166" s="482"/>
      <c r="H166" s="483"/>
      <c r="I166" s="483"/>
      <c r="J166" s="483"/>
      <c r="K166" s="484"/>
    </row>
    <row r="167" spans="1:11" s="105" customFormat="1" x14ac:dyDescent="0.2">
      <c r="A167" s="433">
        <v>126</v>
      </c>
      <c r="B167" s="161"/>
      <c r="C167" s="371" t="s">
        <v>260</v>
      </c>
      <c r="D167" s="161"/>
      <c r="E167" s="297">
        <v>0</v>
      </c>
      <c r="G167" s="482"/>
      <c r="H167" s="483"/>
      <c r="I167" s="483"/>
      <c r="J167" s="483"/>
      <c r="K167" s="484"/>
    </row>
    <row r="168" spans="1:11" s="105" customFormat="1" x14ac:dyDescent="0.2">
      <c r="A168" s="433">
        <v>127</v>
      </c>
      <c r="B168" s="161"/>
      <c r="C168" s="370" t="s">
        <v>220</v>
      </c>
      <c r="D168" s="161"/>
      <c r="E168" s="279">
        <v>0</v>
      </c>
      <c r="G168" s="482"/>
      <c r="H168" s="483"/>
      <c r="I168" s="483"/>
      <c r="J168" s="483"/>
      <c r="K168" s="484"/>
    </row>
    <row r="169" spans="1:11" s="105" customFormat="1" x14ac:dyDescent="0.2">
      <c r="A169" s="433">
        <v>128</v>
      </c>
      <c r="B169" s="161"/>
      <c r="C169" s="366" t="s">
        <v>222</v>
      </c>
      <c r="D169" s="161"/>
      <c r="E169" s="279">
        <v>0</v>
      </c>
      <c r="G169" s="482"/>
      <c r="H169" s="483"/>
      <c r="I169" s="483"/>
      <c r="J169" s="483"/>
      <c r="K169" s="484"/>
    </row>
    <row r="170" spans="1:11" s="105" customFormat="1" x14ac:dyDescent="0.2">
      <c r="A170" s="433">
        <v>129</v>
      </c>
      <c r="B170" s="161"/>
      <c r="C170" s="366"/>
      <c r="D170" s="161"/>
      <c r="E170" s="282"/>
      <c r="G170" s="482"/>
      <c r="H170" s="483"/>
      <c r="I170" s="483"/>
      <c r="J170" s="483"/>
      <c r="K170" s="484"/>
    </row>
    <row r="171" spans="1:11" s="105" customFormat="1" x14ac:dyDescent="0.2">
      <c r="A171" s="433">
        <v>130</v>
      </c>
      <c r="B171" s="161"/>
      <c r="C171" s="366" t="s">
        <v>223</v>
      </c>
      <c r="D171" s="161"/>
      <c r="E171" s="362"/>
      <c r="G171" s="482"/>
      <c r="H171" s="483"/>
      <c r="I171" s="483"/>
      <c r="J171" s="483"/>
      <c r="K171" s="484"/>
    </row>
    <row r="172" spans="1:11" s="105" customFormat="1" x14ac:dyDescent="0.2">
      <c r="A172" s="433">
        <v>131</v>
      </c>
      <c r="B172" s="161"/>
      <c r="C172" s="366"/>
      <c r="D172" s="161"/>
      <c r="E172" s="362"/>
      <c r="G172" s="482"/>
      <c r="H172" s="483"/>
      <c r="I172" s="483"/>
      <c r="J172" s="483"/>
      <c r="K172" s="484"/>
    </row>
    <row r="173" spans="1:11" s="105" customFormat="1" x14ac:dyDescent="0.2">
      <c r="A173" s="433">
        <v>132</v>
      </c>
      <c r="B173" s="161"/>
      <c r="C173" s="366" t="s">
        <v>211</v>
      </c>
      <c r="D173" s="161"/>
      <c r="E173" s="363">
        <f>E159+E160</f>
        <v>31047</v>
      </c>
      <c r="G173" s="485"/>
      <c r="H173" s="486"/>
      <c r="I173" s="486"/>
      <c r="J173" s="486"/>
      <c r="K173" s="487"/>
    </row>
    <row r="174" spans="1:11" s="105" customFormat="1" x14ac:dyDescent="0.2">
      <c r="E174" s="268"/>
      <c r="F174" s="132"/>
      <c r="G174" s="132"/>
      <c r="H174" s="132"/>
      <c r="I174" s="132"/>
      <c r="J174" s="132"/>
      <c r="K174" s="132"/>
    </row>
    <row r="175" spans="1:11" s="105" customFormat="1" x14ac:dyDescent="0.2">
      <c r="E175" s="268"/>
      <c r="F175" s="132"/>
      <c r="G175" s="132"/>
      <c r="H175" s="132"/>
      <c r="I175" s="132"/>
      <c r="J175" s="132"/>
      <c r="K175" s="132"/>
    </row>
    <row r="176" spans="1:11" s="105" customFormat="1" x14ac:dyDescent="0.2">
      <c r="E176" s="268"/>
      <c r="F176" s="132"/>
      <c r="G176" s="132"/>
      <c r="H176" s="132"/>
      <c r="I176" s="132"/>
      <c r="J176" s="132"/>
      <c r="K176" s="132"/>
    </row>
    <row r="177" spans="5:11" s="105" customFormat="1" x14ac:dyDescent="0.2">
      <c r="E177" s="268"/>
      <c r="F177" s="132"/>
      <c r="G177" s="132"/>
      <c r="H177" s="132"/>
      <c r="I177" s="132"/>
      <c r="J177" s="132"/>
      <c r="K177" s="132"/>
    </row>
    <row r="178" spans="5:11" s="105" customFormat="1" x14ac:dyDescent="0.2">
      <c r="E178" s="268"/>
      <c r="F178" s="132"/>
      <c r="G178" s="132"/>
      <c r="H178" s="132"/>
      <c r="I178" s="132"/>
      <c r="J178" s="132"/>
      <c r="K178" s="132"/>
    </row>
    <row r="179" spans="5:11" s="105" customFormat="1" x14ac:dyDescent="0.2">
      <c r="E179" s="268"/>
      <c r="F179" s="132"/>
      <c r="G179" s="132"/>
      <c r="H179" s="132"/>
      <c r="I179" s="132"/>
      <c r="J179" s="132"/>
      <c r="K179" s="132"/>
    </row>
    <row r="180" spans="5:11" s="105" customFormat="1" x14ac:dyDescent="0.2">
      <c r="E180" s="268"/>
      <c r="F180" s="132"/>
      <c r="G180" s="132"/>
      <c r="H180" s="132"/>
      <c r="I180" s="132"/>
      <c r="J180" s="132"/>
      <c r="K180" s="132"/>
    </row>
    <row r="181" spans="5:11" s="105" customFormat="1" x14ac:dyDescent="0.2">
      <c r="E181" s="268"/>
      <c r="F181" s="132"/>
      <c r="G181" s="132"/>
      <c r="H181" s="132"/>
      <c r="I181" s="132"/>
      <c r="J181" s="132"/>
      <c r="K181" s="132"/>
    </row>
    <row r="182" spans="5:11" s="105" customFormat="1" x14ac:dyDescent="0.2">
      <c r="E182" s="268"/>
      <c r="F182" s="132"/>
      <c r="G182" s="132"/>
      <c r="H182" s="132"/>
      <c r="I182" s="132"/>
      <c r="J182" s="132"/>
      <c r="K182" s="132"/>
    </row>
    <row r="183" spans="5:11" s="105" customFormat="1" x14ac:dyDescent="0.2">
      <c r="E183" s="268"/>
      <c r="F183" s="132"/>
      <c r="G183" s="132"/>
      <c r="H183" s="132"/>
      <c r="I183" s="132"/>
      <c r="J183" s="132"/>
      <c r="K183" s="132"/>
    </row>
    <row r="184" spans="5:11" s="105" customFormat="1" x14ac:dyDescent="0.2">
      <c r="E184" s="268"/>
      <c r="F184" s="132"/>
      <c r="G184" s="132"/>
      <c r="H184" s="132"/>
      <c r="I184" s="132"/>
      <c r="J184" s="132"/>
      <c r="K184" s="132"/>
    </row>
    <row r="185" spans="5:11" s="105" customFormat="1" x14ac:dyDescent="0.2">
      <c r="E185" s="268"/>
      <c r="F185" s="132"/>
      <c r="G185" s="132"/>
      <c r="H185" s="132"/>
      <c r="I185" s="132"/>
      <c r="J185" s="132"/>
      <c r="K185" s="132"/>
    </row>
    <row r="186" spans="5:11" s="105" customFormat="1" x14ac:dyDescent="0.2">
      <c r="E186" s="268"/>
      <c r="F186" s="132"/>
      <c r="G186" s="132"/>
      <c r="H186" s="132"/>
      <c r="I186" s="132"/>
      <c r="J186" s="132"/>
      <c r="K186" s="132"/>
    </row>
    <row r="187" spans="5:11" s="105" customFormat="1" x14ac:dyDescent="0.2">
      <c r="E187" s="268"/>
      <c r="F187" s="132"/>
      <c r="G187" s="132"/>
      <c r="H187" s="132"/>
      <c r="I187" s="132"/>
      <c r="J187" s="132"/>
      <c r="K187" s="132"/>
    </row>
    <row r="188" spans="5:11" s="105" customFormat="1" x14ac:dyDescent="0.2">
      <c r="E188" s="268"/>
      <c r="F188" s="132"/>
      <c r="G188" s="132"/>
      <c r="H188" s="132"/>
      <c r="I188" s="132"/>
      <c r="J188" s="132"/>
      <c r="K188" s="132"/>
    </row>
    <row r="189" spans="5:11" s="105" customFormat="1" x14ac:dyDescent="0.2">
      <c r="E189" s="268"/>
      <c r="F189" s="132"/>
      <c r="G189" s="132"/>
      <c r="H189" s="132"/>
      <c r="I189" s="132"/>
      <c r="J189" s="132"/>
      <c r="K189" s="132"/>
    </row>
    <row r="190" spans="5:11" s="105" customFormat="1" x14ac:dyDescent="0.2">
      <c r="E190" s="268"/>
      <c r="F190" s="132"/>
      <c r="G190" s="132"/>
      <c r="H190" s="132"/>
      <c r="I190" s="132"/>
      <c r="J190" s="132"/>
      <c r="K190" s="132"/>
    </row>
    <row r="191" spans="5:11" s="105" customFormat="1" x14ac:dyDescent="0.2">
      <c r="E191" s="268"/>
      <c r="F191" s="132"/>
      <c r="G191" s="132"/>
      <c r="H191" s="132"/>
      <c r="I191" s="132"/>
      <c r="J191" s="132"/>
      <c r="K191" s="132"/>
    </row>
    <row r="192" spans="5:11" s="105" customFormat="1" x14ac:dyDescent="0.2">
      <c r="E192" s="268"/>
      <c r="F192" s="132"/>
      <c r="G192" s="132"/>
      <c r="H192" s="132"/>
      <c r="I192" s="132"/>
      <c r="J192" s="132"/>
      <c r="K192" s="132"/>
    </row>
    <row r="193" spans="5:11" s="105" customFormat="1" x14ac:dyDescent="0.2">
      <c r="E193" s="268"/>
      <c r="F193" s="132"/>
      <c r="G193" s="132"/>
      <c r="H193" s="132"/>
      <c r="I193" s="132"/>
      <c r="J193" s="132"/>
      <c r="K193" s="132"/>
    </row>
    <row r="194" spans="5:11" s="105" customFormat="1" x14ac:dyDescent="0.2">
      <c r="E194" s="268"/>
      <c r="F194" s="132"/>
      <c r="G194" s="132"/>
      <c r="H194" s="132"/>
      <c r="I194" s="132"/>
      <c r="J194" s="132"/>
      <c r="K194" s="132"/>
    </row>
    <row r="195" spans="5:11" s="105" customFormat="1" x14ac:dyDescent="0.2">
      <c r="E195" s="268"/>
      <c r="F195" s="132"/>
      <c r="G195" s="132"/>
      <c r="H195" s="132"/>
      <c r="I195" s="132"/>
      <c r="J195" s="132"/>
      <c r="K195" s="132"/>
    </row>
    <row r="196" spans="5:11" s="105" customFormat="1" x14ac:dyDescent="0.2">
      <c r="E196" s="268"/>
      <c r="F196" s="132"/>
      <c r="G196" s="132"/>
      <c r="H196" s="132"/>
      <c r="I196" s="132"/>
      <c r="J196" s="132"/>
      <c r="K196" s="132"/>
    </row>
    <row r="197" spans="5:11" s="105" customFormat="1" x14ac:dyDescent="0.2">
      <c r="E197" s="268"/>
      <c r="F197" s="132"/>
      <c r="G197" s="132"/>
      <c r="H197" s="132"/>
      <c r="I197" s="132"/>
      <c r="J197" s="132"/>
      <c r="K197" s="132"/>
    </row>
    <row r="198" spans="5:11" s="105" customFormat="1" x14ac:dyDescent="0.2">
      <c r="E198" s="268"/>
      <c r="F198" s="132"/>
      <c r="G198" s="132"/>
      <c r="H198" s="132"/>
      <c r="I198" s="132"/>
      <c r="J198" s="132"/>
      <c r="K198" s="132"/>
    </row>
    <row r="199" spans="5:11" s="105" customFormat="1" x14ac:dyDescent="0.2">
      <c r="E199" s="268"/>
      <c r="F199" s="132"/>
      <c r="G199" s="132"/>
      <c r="H199" s="132"/>
      <c r="I199" s="132"/>
      <c r="J199" s="132"/>
      <c r="K199" s="132"/>
    </row>
    <row r="200" spans="5:11" s="105" customFormat="1" x14ac:dyDescent="0.2">
      <c r="E200" s="268"/>
      <c r="F200" s="132"/>
      <c r="G200" s="132"/>
      <c r="H200" s="132"/>
      <c r="I200" s="132"/>
      <c r="J200" s="132"/>
      <c r="K200" s="132"/>
    </row>
    <row r="201" spans="5:11" s="105" customFormat="1" x14ac:dyDescent="0.2">
      <c r="E201" s="268"/>
      <c r="F201" s="132"/>
      <c r="G201" s="132"/>
      <c r="H201" s="132"/>
      <c r="I201" s="132"/>
      <c r="J201" s="132"/>
      <c r="K201" s="132"/>
    </row>
    <row r="202" spans="5:11" s="105" customFormat="1" x14ac:dyDescent="0.2">
      <c r="E202" s="268"/>
      <c r="F202" s="132"/>
      <c r="G202" s="132"/>
      <c r="H202" s="132"/>
      <c r="I202" s="132"/>
      <c r="J202" s="132"/>
      <c r="K202" s="132"/>
    </row>
    <row r="203" spans="5:11" s="105" customFormat="1" x14ac:dyDescent="0.2">
      <c r="E203" s="268"/>
      <c r="F203" s="132"/>
      <c r="G203" s="132"/>
      <c r="H203" s="132"/>
      <c r="I203" s="132"/>
      <c r="J203" s="132"/>
      <c r="K203" s="132"/>
    </row>
    <row r="204" spans="5:11" s="105" customFormat="1" x14ac:dyDescent="0.2">
      <c r="E204" s="268"/>
      <c r="F204" s="132"/>
      <c r="G204" s="132"/>
      <c r="H204" s="132"/>
      <c r="I204" s="132"/>
      <c r="J204" s="132"/>
      <c r="K204" s="132"/>
    </row>
    <row r="205" spans="5:11" s="105" customFormat="1" x14ac:dyDescent="0.2">
      <c r="E205" s="268"/>
      <c r="F205" s="132"/>
      <c r="G205" s="132"/>
      <c r="H205" s="132"/>
      <c r="I205" s="132"/>
      <c r="J205" s="132"/>
      <c r="K205" s="132"/>
    </row>
    <row r="206" spans="5:11" s="105" customFormat="1" x14ac:dyDescent="0.2">
      <c r="E206" s="268"/>
      <c r="F206" s="132"/>
      <c r="G206" s="132"/>
      <c r="H206" s="132"/>
      <c r="I206" s="132"/>
      <c r="J206" s="132"/>
      <c r="K206" s="132"/>
    </row>
    <row r="207" spans="5:11" s="105" customFormat="1" x14ac:dyDescent="0.2">
      <c r="E207" s="268"/>
      <c r="F207" s="132"/>
      <c r="G207" s="132"/>
      <c r="H207" s="132"/>
      <c r="I207" s="132"/>
      <c r="J207" s="132"/>
      <c r="K207" s="132"/>
    </row>
    <row r="208" spans="5:11" s="105" customFormat="1" x14ac:dyDescent="0.2">
      <c r="E208" s="268"/>
      <c r="F208" s="132"/>
      <c r="G208" s="132"/>
      <c r="H208" s="132"/>
      <c r="I208" s="132"/>
      <c r="J208" s="132"/>
      <c r="K208" s="132"/>
    </row>
    <row r="209" spans="5:11" s="105" customFormat="1" x14ac:dyDescent="0.2">
      <c r="E209" s="268"/>
      <c r="F209" s="132"/>
      <c r="G209" s="132"/>
      <c r="H209" s="132"/>
      <c r="I209" s="132"/>
      <c r="J209" s="132"/>
      <c r="K209" s="132"/>
    </row>
    <row r="210" spans="5:11" s="105" customFormat="1" x14ac:dyDescent="0.2">
      <c r="E210" s="268"/>
      <c r="F210" s="132"/>
      <c r="G210" s="132"/>
      <c r="H210" s="132"/>
      <c r="I210" s="132"/>
      <c r="J210" s="132"/>
      <c r="K210" s="132"/>
    </row>
    <row r="211" spans="5:11" s="105" customFormat="1" x14ac:dyDescent="0.2">
      <c r="E211" s="268"/>
      <c r="F211" s="132"/>
      <c r="G211" s="132"/>
      <c r="H211" s="132"/>
      <c r="I211" s="132"/>
      <c r="J211" s="132"/>
      <c r="K211" s="132"/>
    </row>
    <row r="212" spans="5:11" s="105" customFormat="1" x14ac:dyDescent="0.2">
      <c r="E212" s="268"/>
      <c r="F212" s="132"/>
      <c r="G212" s="132"/>
      <c r="H212" s="132"/>
      <c r="I212" s="132"/>
      <c r="J212" s="132"/>
      <c r="K212" s="132"/>
    </row>
    <row r="213" spans="5:11" s="105" customFormat="1" x14ac:dyDescent="0.2">
      <c r="E213" s="268"/>
      <c r="F213" s="132"/>
      <c r="G213" s="132"/>
      <c r="H213" s="132"/>
      <c r="I213" s="132"/>
      <c r="J213" s="132"/>
      <c r="K213" s="132"/>
    </row>
    <row r="214" spans="5:11" s="105" customFormat="1" x14ac:dyDescent="0.2">
      <c r="E214" s="268"/>
      <c r="F214" s="132"/>
      <c r="G214" s="132"/>
      <c r="H214" s="132"/>
      <c r="I214" s="132"/>
      <c r="J214" s="132"/>
      <c r="K214" s="132"/>
    </row>
    <row r="215" spans="5:11" s="105" customFormat="1" x14ac:dyDescent="0.2">
      <c r="E215" s="268"/>
      <c r="F215" s="132"/>
      <c r="G215" s="132"/>
      <c r="H215" s="132"/>
      <c r="I215" s="132"/>
      <c r="J215" s="132"/>
      <c r="K215" s="132"/>
    </row>
    <row r="216" spans="5:11" s="105" customFormat="1" x14ac:dyDescent="0.2">
      <c r="E216" s="268"/>
      <c r="F216" s="132"/>
      <c r="G216" s="132"/>
      <c r="H216" s="132"/>
      <c r="I216" s="132"/>
      <c r="J216" s="132"/>
      <c r="K216" s="132"/>
    </row>
    <row r="217" spans="5:11" s="105" customFormat="1" x14ac:dyDescent="0.2">
      <c r="E217" s="268"/>
      <c r="F217" s="132"/>
      <c r="G217" s="132"/>
      <c r="H217" s="132"/>
      <c r="I217" s="132"/>
      <c r="J217" s="132"/>
      <c r="K217" s="132"/>
    </row>
    <row r="218" spans="5:11" s="105" customFormat="1" x14ac:dyDescent="0.2">
      <c r="E218" s="268"/>
      <c r="F218" s="132"/>
      <c r="G218" s="132"/>
      <c r="H218" s="132"/>
      <c r="I218" s="132"/>
      <c r="J218" s="132"/>
      <c r="K218" s="132"/>
    </row>
    <row r="219" spans="5:11" s="105" customFormat="1" x14ac:dyDescent="0.2">
      <c r="E219" s="268"/>
      <c r="F219" s="132"/>
      <c r="G219" s="132"/>
      <c r="H219" s="132"/>
      <c r="I219" s="132"/>
      <c r="J219" s="132"/>
      <c r="K219" s="132"/>
    </row>
    <row r="220" spans="5:11" s="105" customFormat="1" x14ac:dyDescent="0.2">
      <c r="E220" s="268"/>
      <c r="F220" s="132"/>
      <c r="G220" s="132"/>
      <c r="H220" s="132"/>
      <c r="I220" s="132"/>
      <c r="J220" s="132"/>
      <c r="K220" s="132"/>
    </row>
    <row r="221" spans="5:11" s="105" customFormat="1" x14ac:dyDescent="0.2">
      <c r="E221" s="268"/>
      <c r="F221" s="132"/>
      <c r="G221" s="132"/>
      <c r="H221" s="132"/>
      <c r="I221" s="132"/>
      <c r="J221" s="132"/>
      <c r="K221" s="132"/>
    </row>
    <row r="222" spans="5:11" s="105" customFormat="1" x14ac:dyDescent="0.2">
      <c r="E222" s="268"/>
      <c r="F222" s="132"/>
      <c r="G222" s="132"/>
      <c r="H222" s="132"/>
      <c r="I222" s="132"/>
      <c r="J222" s="132"/>
      <c r="K222" s="132"/>
    </row>
    <row r="223" spans="5:11" s="105" customFormat="1" x14ac:dyDescent="0.2">
      <c r="E223" s="268"/>
      <c r="F223" s="132"/>
      <c r="G223" s="132"/>
      <c r="H223" s="132"/>
      <c r="I223" s="132"/>
      <c r="J223" s="132"/>
      <c r="K223" s="132"/>
    </row>
    <row r="224" spans="5:11" s="105" customFormat="1" x14ac:dyDescent="0.2">
      <c r="E224" s="268"/>
      <c r="F224" s="132"/>
      <c r="G224" s="132"/>
      <c r="H224" s="132"/>
      <c r="I224" s="132"/>
      <c r="J224" s="132"/>
      <c r="K224" s="132"/>
    </row>
    <row r="225" spans="5:11" s="105" customFormat="1" x14ac:dyDescent="0.2">
      <c r="E225" s="268"/>
      <c r="F225" s="132"/>
      <c r="G225" s="132"/>
      <c r="H225" s="132"/>
      <c r="I225" s="132"/>
      <c r="J225" s="132"/>
      <c r="K225" s="132"/>
    </row>
    <row r="226" spans="5:11" s="105" customFormat="1" x14ac:dyDescent="0.2">
      <c r="E226" s="268"/>
      <c r="F226" s="132"/>
      <c r="G226" s="132"/>
      <c r="H226" s="132"/>
      <c r="I226" s="132"/>
      <c r="J226" s="132"/>
      <c r="K226" s="132"/>
    </row>
    <row r="227" spans="5:11" s="105" customFormat="1" x14ac:dyDescent="0.2">
      <c r="E227" s="268"/>
      <c r="F227" s="132"/>
      <c r="G227" s="132"/>
      <c r="H227" s="132"/>
      <c r="I227" s="132"/>
      <c r="J227" s="132"/>
      <c r="K227" s="132"/>
    </row>
    <row r="228" spans="5:11" s="105" customFormat="1" x14ac:dyDescent="0.2">
      <c r="E228" s="268"/>
      <c r="F228" s="132"/>
      <c r="G228" s="132"/>
      <c r="H228" s="132"/>
      <c r="I228" s="132"/>
      <c r="J228" s="132"/>
      <c r="K228" s="132"/>
    </row>
    <row r="229" spans="5:11" s="105" customFormat="1" x14ac:dyDescent="0.2">
      <c r="E229" s="268"/>
      <c r="F229" s="132"/>
      <c r="G229" s="132"/>
      <c r="H229" s="132"/>
      <c r="I229" s="132"/>
      <c r="J229" s="132"/>
      <c r="K229" s="132"/>
    </row>
    <row r="230" spans="5:11" s="105" customFormat="1" x14ac:dyDescent="0.2">
      <c r="E230" s="268"/>
      <c r="F230" s="132"/>
      <c r="G230" s="132"/>
      <c r="H230" s="132"/>
      <c r="I230" s="132"/>
      <c r="J230" s="132"/>
      <c r="K230" s="132"/>
    </row>
    <row r="231" spans="5:11" s="105" customFormat="1" x14ac:dyDescent="0.2">
      <c r="E231" s="268"/>
      <c r="F231" s="132"/>
      <c r="G231" s="132"/>
      <c r="H231" s="132"/>
      <c r="I231" s="132"/>
      <c r="J231" s="132"/>
      <c r="K231" s="132"/>
    </row>
    <row r="232" spans="5:11" s="105" customFormat="1" x14ac:dyDescent="0.2">
      <c r="E232" s="268"/>
      <c r="F232" s="132"/>
      <c r="G232" s="132"/>
      <c r="H232" s="132"/>
      <c r="I232" s="132"/>
      <c r="J232" s="132"/>
      <c r="K232" s="132"/>
    </row>
    <row r="233" spans="5:11" s="105" customFormat="1" x14ac:dyDescent="0.2">
      <c r="E233" s="268"/>
      <c r="F233" s="132"/>
      <c r="G233" s="132"/>
      <c r="H233" s="132"/>
      <c r="I233" s="132"/>
      <c r="J233" s="132"/>
      <c r="K233" s="132"/>
    </row>
    <row r="234" spans="5:11" s="105" customFormat="1" x14ac:dyDescent="0.2">
      <c r="E234" s="268"/>
      <c r="F234" s="132"/>
      <c r="G234" s="132"/>
      <c r="H234" s="132"/>
      <c r="I234" s="132"/>
      <c r="J234" s="132"/>
      <c r="K234" s="132"/>
    </row>
    <row r="235" spans="5:11" s="105" customFormat="1" x14ac:dyDescent="0.2">
      <c r="E235" s="268"/>
      <c r="F235" s="132"/>
      <c r="G235" s="132"/>
      <c r="H235" s="132"/>
      <c r="I235" s="132"/>
      <c r="J235" s="132"/>
      <c r="K235" s="132"/>
    </row>
    <row r="236" spans="5:11" s="105" customFormat="1" x14ac:dyDescent="0.2">
      <c r="E236" s="268"/>
      <c r="F236" s="132"/>
      <c r="G236" s="132"/>
      <c r="H236" s="132"/>
      <c r="I236" s="132"/>
      <c r="J236" s="132"/>
      <c r="K236" s="132"/>
    </row>
    <row r="237" spans="5:11" s="105" customFormat="1" x14ac:dyDescent="0.2">
      <c r="E237" s="268"/>
      <c r="F237" s="132"/>
      <c r="G237" s="132"/>
      <c r="H237" s="132"/>
      <c r="I237" s="132"/>
      <c r="J237" s="132"/>
      <c r="K237" s="132"/>
    </row>
    <row r="238" spans="5:11" s="105" customFormat="1" x14ac:dyDescent="0.2">
      <c r="E238" s="268"/>
      <c r="F238" s="132"/>
      <c r="G238" s="132"/>
      <c r="H238" s="132"/>
      <c r="I238" s="132"/>
      <c r="J238" s="132"/>
      <c r="K238" s="132"/>
    </row>
    <row r="239" spans="5:11" s="105" customFormat="1" x14ac:dyDescent="0.2">
      <c r="E239" s="268"/>
      <c r="F239" s="132"/>
      <c r="G239" s="132"/>
      <c r="H239" s="132"/>
      <c r="I239" s="132"/>
      <c r="J239" s="132"/>
      <c r="K239" s="132"/>
    </row>
    <row r="240" spans="5:11" s="105" customFormat="1" x14ac:dyDescent="0.2">
      <c r="E240" s="268"/>
      <c r="F240" s="132"/>
      <c r="G240" s="132"/>
      <c r="H240" s="132"/>
      <c r="I240" s="132"/>
      <c r="J240" s="132"/>
      <c r="K240" s="132"/>
    </row>
    <row r="241" spans="5:11" s="105" customFormat="1" x14ac:dyDescent="0.2">
      <c r="E241" s="268"/>
      <c r="F241" s="132"/>
      <c r="G241" s="132"/>
      <c r="H241" s="132"/>
      <c r="I241" s="132"/>
      <c r="J241" s="132"/>
      <c r="K241" s="132"/>
    </row>
    <row r="242" spans="5:11" s="105" customFormat="1" x14ac:dyDescent="0.2">
      <c r="E242" s="268"/>
      <c r="F242" s="132"/>
      <c r="G242" s="132"/>
      <c r="H242" s="132"/>
      <c r="I242" s="132"/>
      <c r="J242" s="132"/>
      <c r="K242" s="132"/>
    </row>
    <row r="243" spans="5:11" s="105" customFormat="1" x14ac:dyDescent="0.2">
      <c r="E243" s="268"/>
      <c r="F243" s="132"/>
      <c r="G243" s="132"/>
      <c r="H243" s="132"/>
      <c r="I243" s="132"/>
      <c r="J243" s="132"/>
      <c r="K243" s="132"/>
    </row>
    <row r="244" spans="5:11" s="105" customFormat="1" x14ac:dyDescent="0.2">
      <c r="E244" s="268"/>
      <c r="F244" s="132"/>
      <c r="G244" s="132"/>
      <c r="H244" s="132"/>
      <c r="I244" s="132"/>
      <c r="J244" s="132"/>
      <c r="K244" s="132"/>
    </row>
    <row r="245" spans="5:11" s="105" customFormat="1" x14ac:dyDescent="0.2">
      <c r="E245" s="268"/>
      <c r="F245" s="132"/>
      <c r="G245" s="132"/>
      <c r="H245" s="132"/>
      <c r="I245" s="132"/>
      <c r="J245" s="132"/>
      <c r="K245" s="132"/>
    </row>
    <row r="246" spans="5:11" s="105" customFormat="1" x14ac:dyDescent="0.2">
      <c r="E246" s="268"/>
      <c r="F246" s="132"/>
      <c r="G246" s="132"/>
      <c r="H246" s="132"/>
      <c r="I246" s="132"/>
      <c r="J246" s="132"/>
      <c r="K246" s="132"/>
    </row>
    <row r="247" spans="5:11" s="105" customFormat="1" x14ac:dyDescent="0.2">
      <c r="E247" s="268"/>
      <c r="F247" s="132"/>
      <c r="G247" s="132"/>
      <c r="H247" s="132"/>
      <c r="I247" s="132"/>
      <c r="J247" s="132"/>
      <c r="K247" s="132"/>
    </row>
    <row r="248" spans="5:11" s="105" customFormat="1" x14ac:dyDescent="0.2">
      <c r="E248" s="268"/>
      <c r="F248" s="132"/>
      <c r="G248" s="132"/>
      <c r="H248" s="132"/>
      <c r="I248" s="132"/>
      <c r="J248" s="132"/>
      <c r="K248" s="132"/>
    </row>
    <row r="249" spans="5:11" s="105" customFormat="1" x14ac:dyDescent="0.2">
      <c r="E249" s="268"/>
      <c r="F249" s="132"/>
      <c r="G249" s="132"/>
      <c r="H249" s="132"/>
      <c r="I249" s="132"/>
      <c r="J249" s="132"/>
      <c r="K249" s="132"/>
    </row>
    <row r="250" spans="5:11" s="105" customFormat="1" x14ac:dyDescent="0.2">
      <c r="E250" s="268"/>
      <c r="F250" s="132"/>
      <c r="G250" s="132"/>
      <c r="H250" s="132"/>
      <c r="I250" s="132"/>
      <c r="J250" s="132"/>
      <c r="K250" s="132"/>
    </row>
    <row r="251" spans="5:11" s="105" customFormat="1" x14ac:dyDescent="0.2">
      <c r="E251" s="268"/>
      <c r="F251" s="132"/>
      <c r="G251" s="132"/>
      <c r="H251" s="132"/>
      <c r="I251" s="132"/>
      <c r="J251" s="132"/>
      <c r="K251" s="132"/>
    </row>
    <row r="252" spans="5:11" s="105" customFormat="1" x14ac:dyDescent="0.2">
      <c r="E252" s="268"/>
      <c r="F252" s="132"/>
      <c r="G252" s="132"/>
      <c r="H252" s="132"/>
      <c r="I252" s="132"/>
      <c r="J252" s="132"/>
      <c r="K252" s="132"/>
    </row>
    <row r="253" spans="5:11" s="105" customFormat="1" x14ac:dyDescent="0.2">
      <c r="E253" s="268"/>
      <c r="F253" s="132"/>
      <c r="G253" s="132"/>
      <c r="H253" s="132"/>
      <c r="I253" s="132"/>
      <c r="J253" s="132"/>
      <c r="K253" s="132"/>
    </row>
    <row r="254" spans="5:11" s="105" customFormat="1" x14ac:dyDescent="0.2">
      <c r="E254" s="268"/>
      <c r="F254" s="132"/>
      <c r="G254" s="132"/>
      <c r="H254" s="132"/>
      <c r="I254" s="132"/>
      <c r="J254" s="132"/>
      <c r="K254" s="132"/>
    </row>
    <row r="255" spans="5:11" s="105" customFormat="1" x14ac:dyDescent="0.2">
      <c r="E255" s="268"/>
      <c r="F255" s="132"/>
      <c r="G255" s="132"/>
      <c r="H255" s="132"/>
      <c r="I255" s="132"/>
      <c r="J255" s="132"/>
      <c r="K255" s="132"/>
    </row>
    <row r="256" spans="5:11" s="105" customFormat="1" x14ac:dyDescent="0.2">
      <c r="E256" s="268"/>
      <c r="F256" s="132"/>
      <c r="G256" s="132"/>
      <c r="H256" s="132"/>
      <c r="I256" s="132"/>
      <c r="J256" s="132"/>
      <c r="K256" s="132"/>
    </row>
    <row r="257" spans="5:11" s="105" customFormat="1" x14ac:dyDescent="0.2">
      <c r="E257" s="268"/>
      <c r="F257" s="132"/>
      <c r="G257" s="132"/>
      <c r="H257" s="132"/>
      <c r="I257" s="132"/>
      <c r="J257" s="132"/>
      <c r="K257" s="132"/>
    </row>
    <row r="258" spans="5:11" s="105" customFormat="1" x14ac:dyDescent="0.2">
      <c r="E258" s="268"/>
      <c r="F258" s="132"/>
      <c r="G258" s="132"/>
      <c r="H258" s="132"/>
      <c r="I258" s="132"/>
      <c r="J258" s="132"/>
      <c r="K258" s="132"/>
    </row>
    <row r="259" spans="5:11" s="105" customFormat="1" x14ac:dyDescent="0.2">
      <c r="E259" s="268"/>
      <c r="F259" s="132"/>
      <c r="G259" s="132"/>
      <c r="H259" s="132"/>
      <c r="I259" s="132"/>
      <c r="J259" s="132"/>
      <c r="K259" s="132"/>
    </row>
    <row r="260" spans="5:11" s="105" customFormat="1" x14ac:dyDescent="0.2">
      <c r="E260" s="268"/>
      <c r="F260" s="132"/>
      <c r="G260" s="132"/>
      <c r="H260" s="132"/>
      <c r="I260" s="132"/>
      <c r="J260" s="132"/>
      <c r="K260" s="132"/>
    </row>
    <row r="261" spans="5:11" s="105" customFormat="1" x14ac:dyDescent="0.2">
      <c r="E261" s="268"/>
      <c r="F261" s="132"/>
      <c r="G261" s="132"/>
      <c r="H261" s="132"/>
      <c r="I261" s="132"/>
      <c r="J261" s="132"/>
      <c r="K261" s="132"/>
    </row>
    <row r="262" spans="5:11" s="105" customFormat="1" x14ac:dyDescent="0.2">
      <c r="E262" s="268"/>
      <c r="F262" s="132"/>
      <c r="G262" s="132"/>
      <c r="H262" s="132"/>
      <c r="I262" s="132"/>
      <c r="J262" s="132"/>
      <c r="K262" s="132"/>
    </row>
    <row r="263" spans="5:11" s="105" customFormat="1" x14ac:dyDescent="0.2">
      <c r="E263" s="268"/>
      <c r="F263" s="132"/>
      <c r="G263" s="132"/>
      <c r="H263" s="132"/>
      <c r="I263" s="132"/>
      <c r="J263" s="132"/>
      <c r="K263" s="132"/>
    </row>
    <row r="264" spans="5:11" s="105" customFormat="1" x14ac:dyDescent="0.2">
      <c r="E264" s="268"/>
      <c r="F264" s="132"/>
      <c r="G264" s="132"/>
      <c r="H264" s="132"/>
      <c r="I264" s="132"/>
      <c r="J264" s="132"/>
      <c r="K264" s="132"/>
    </row>
    <row r="265" spans="5:11" s="105" customFormat="1" x14ac:dyDescent="0.2">
      <c r="E265" s="268"/>
      <c r="F265" s="132"/>
      <c r="G265" s="132"/>
      <c r="H265" s="132"/>
      <c r="I265" s="132"/>
      <c r="J265" s="132"/>
      <c r="K265" s="132"/>
    </row>
    <row r="266" spans="5:11" s="105" customFormat="1" x14ac:dyDescent="0.2">
      <c r="E266" s="268"/>
      <c r="F266" s="132"/>
      <c r="G266" s="132"/>
      <c r="H266" s="132"/>
      <c r="I266" s="132"/>
      <c r="J266" s="132"/>
      <c r="K266" s="132"/>
    </row>
    <row r="267" spans="5:11" s="105" customFormat="1" x14ac:dyDescent="0.2">
      <c r="E267" s="268"/>
      <c r="F267" s="132"/>
      <c r="G267" s="132"/>
      <c r="H267" s="132"/>
      <c r="I267" s="132"/>
      <c r="J267" s="132"/>
      <c r="K267" s="132"/>
    </row>
    <row r="268" spans="5:11" s="105" customFormat="1" x14ac:dyDescent="0.2">
      <c r="E268" s="268"/>
      <c r="F268" s="132"/>
      <c r="G268" s="132"/>
      <c r="H268" s="132"/>
      <c r="I268" s="132"/>
      <c r="J268" s="132"/>
      <c r="K268" s="132"/>
    </row>
    <row r="269" spans="5:11" s="105" customFormat="1" x14ac:dyDescent="0.2">
      <c r="E269" s="268"/>
      <c r="F269" s="132"/>
      <c r="G269" s="132"/>
      <c r="H269" s="132"/>
      <c r="I269" s="132"/>
      <c r="J269" s="132"/>
      <c r="K269" s="132"/>
    </row>
    <row r="270" spans="5:11" s="105" customFormat="1" x14ac:dyDescent="0.2">
      <c r="E270" s="268"/>
      <c r="F270" s="132"/>
      <c r="G270" s="132"/>
      <c r="H270" s="132"/>
      <c r="I270" s="132"/>
      <c r="J270" s="132"/>
      <c r="K270" s="132"/>
    </row>
    <row r="271" spans="5:11" s="105" customFormat="1" x14ac:dyDescent="0.2">
      <c r="E271" s="268"/>
      <c r="F271" s="132"/>
      <c r="G271" s="132"/>
      <c r="H271" s="132"/>
      <c r="I271" s="132"/>
      <c r="J271" s="132"/>
      <c r="K271" s="132"/>
    </row>
    <row r="272" spans="5:11" s="105" customFormat="1" x14ac:dyDescent="0.2">
      <c r="E272" s="268"/>
      <c r="F272" s="132"/>
      <c r="G272" s="132"/>
      <c r="H272" s="132"/>
      <c r="I272" s="132"/>
      <c r="J272" s="132"/>
      <c r="K272" s="132"/>
    </row>
    <row r="273" spans="5:11" s="105" customFormat="1" x14ac:dyDescent="0.2">
      <c r="E273" s="268"/>
      <c r="F273" s="132"/>
      <c r="G273" s="132"/>
      <c r="H273" s="132"/>
      <c r="I273" s="132"/>
      <c r="J273" s="132"/>
      <c r="K273" s="132"/>
    </row>
    <row r="274" spans="5:11" s="105" customFormat="1" x14ac:dyDescent="0.2">
      <c r="E274" s="268"/>
      <c r="F274" s="132"/>
      <c r="G274" s="132"/>
      <c r="H274" s="132"/>
      <c r="I274" s="132"/>
      <c r="J274" s="132"/>
      <c r="K274" s="132"/>
    </row>
    <row r="275" spans="5:11" s="105" customFormat="1" x14ac:dyDescent="0.2">
      <c r="E275" s="268"/>
      <c r="F275" s="132"/>
      <c r="G275" s="132"/>
      <c r="H275" s="132"/>
      <c r="I275" s="132"/>
      <c r="J275" s="132"/>
      <c r="K275" s="132"/>
    </row>
    <row r="276" spans="5:11" s="105" customFormat="1" x14ac:dyDescent="0.2">
      <c r="E276" s="268"/>
      <c r="F276" s="132"/>
      <c r="G276" s="132"/>
      <c r="H276" s="132"/>
      <c r="I276" s="132"/>
      <c r="J276" s="132"/>
      <c r="K276" s="132"/>
    </row>
    <row r="277" spans="5:11" s="105" customFormat="1" x14ac:dyDescent="0.2">
      <c r="E277" s="268"/>
      <c r="F277" s="132"/>
      <c r="G277" s="132"/>
      <c r="H277" s="132"/>
      <c r="I277" s="132"/>
      <c r="J277" s="132"/>
      <c r="K277" s="132"/>
    </row>
    <row r="278" spans="5:11" s="105" customFormat="1" x14ac:dyDescent="0.2">
      <c r="E278" s="268"/>
      <c r="F278" s="132"/>
      <c r="G278" s="132"/>
      <c r="H278" s="132"/>
      <c r="I278" s="132"/>
      <c r="J278" s="132"/>
      <c r="K278" s="132"/>
    </row>
    <row r="279" spans="5:11" s="105" customFormat="1" x14ac:dyDescent="0.2">
      <c r="E279" s="268"/>
      <c r="F279" s="132"/>
      <c r="G279" s="132"/>
      <c r="H279" s="132"/>
      <c r="I279" s="132"/>
      <c r="J279" s="132"/>
      <c r="K279" s="132"/>
    </row>
    <row r="280" spans="5:11" s="105" customFormat="1" x14ac:dyDescent="0.2">
      <c r="E280" s="268"/>
      <c r="F280" s="132"/>
      <c r="G280" s="132"/>
      <c r="H280" s="132"/>
      <c r="I280" s="132"/>
      <c r="J280" s="132"/>
      <c r="K280" s="132"/>
    </row>
    <row r="281" spans="5:11" s="105" customFormat="1" x14ac:dyDescent="0.2">
      <c r="E281" s="268"/>
      <c r="F281" s="132"/>
      <c r="G281" s="132"/>
      <c r="H281" s="132"/>
      <c r="I281" s="132"/>
      <c r="J281" s="132"/>
      <c r="K281" s="132"/>
    </row>
    <row r="282" spans="5:11" s="105" customFormat="1" x14ac:dyDescent="0.2">
      <c r="E282" s="268"/>
      <c r="F282" s="132"/>
      <c r="G282" s="132"/>
      <c r="H282" s="132"/>
      <c r="I282" s="132"/>
      <c r="J282" s="132"/>
      <c r="K282" s="132"/>
    </row>
    <row r="283" spans="5:11" s="105" customFormat="1" x14ac:dyDescent="0.2">
      <c r="E283" s="268"/>
      <c r="F283" s="132"/>
      <c r="G283" s="132"/>
      <c r="H283" s="132"/>
      <c r="I283" s="132"/>
      <c r="J283" s="132"/>
      <c r="K283" s="132"/>
    </row>
    <row r="284" spans="5:11" s="105" customFormat="1" x14ac:dyDescent="0.2">
      <c r="E284" s="268"/>
      <c r="F284" s="132"/>
      <c r="G284" s="132"/>
      <c r="H284" s="132"/>
      <c r="I284" s="132"/>
      <c r="J284" s="132"/>
      <c r="K284" s="132"/>
    </row>
    <row r="285" spans="5:11" s="105" customFormat="1" x14ac:dyDescent="0.2">
      <c r="E285" s="268"/>
      <c r="F285" s="132"/>
      <c r="G285" s="132"/>
      <c r="H285" s="132"/>
      <c r="I285" s="132"/>
      <c r="J285" s="132"/>
      <c r="K285" s="132"/>
    </row>
    <row r="286" spans="5:11" s="105" customFormat="1" x14ac:dyDescent="0.2">
      <c r="E286" s="268"/>
      <c r="F286" s="132"/>
      <c r="G286" s="132"/>
      <c r="H286" s="132"/>
      <c r="I286" s="132"/>
      <c r="J286" s="132"/>
      <c r="K286" s="132"/>
    </row>
    <row r="287" spans="5:11" s="105" customFormat="1" x14ac:dyDescent="0.2">
      <c r="E287" s="268"/>
      <c r="F287" s="132"/>
      <c r="G287" s="132"/>
      <c r="H287" s="132"/>
      <c r="I287" s="132"/>
      <c r="J287" s="132"/>
      <c r="K287" s="132"/>
    </row>
    <row r="288" spans="5:11" s="105" customFormat="1" x14ac:dyDescent="0.2">
      <c r="E288" s="268"/>
      <c r="F288" s="132"/>
      <c r="G288" s="132"/>
      <c r="H288" s="132"/>
      <c r="I288" s="132"/>
      <c r="J288" s="132"/>
      <c r="K288" s="132"/>
    </row>
    <row r="289" spans="5:11" s="105" customFormat="1" x14ac:dyDescent="0.2">
      <c r="E289" s="268"/>
      <c r="F289" s="132"/>
      <c r="G289" s="132"/>
      <c r="H289" s="132"/>
      <c r="I289" s="132"/>
      <c r="J289" s="132"/>
      <c r="K289" s="132"/>
    </row>
    <row r="290" spans="5:11" s="105" customFormat="1" x14ac:dyDescent="0.2">
      <c r="E290" s="268"/>
      <c r="F290" s="132"/>
      <c r="G290" s="132"/>
      <c r="H290" s="132"/>
      <c r="I290" s="132"/>
      <c r="J290" s="132"/>
      <c r="K290" s="132"/>
    </row>
    <row r="291" spans="5:11" s="105" customFormat="1" x14ac:dyDescent="0.2">
      <c r="E291" s="268"/>
      <c r="F291" s="132"/>
      <c r="G291" s="132"/>
      <c r="H291" s="132"/>
      <c r="I291" s="132"/>
      <c r="J291" s="132"/>
      <c r="K291" s="132"/>
    </row>
    <row r="292" spans="5:11" s="105" customFormat="1" x14ac:dyDescent="0.2">
      <c r="E292" s="268"/>
      <c r="F292" s="132"/>
      <c r="G292" s="132"/>
      <c r="H292" s="132"/>
      <c r="I292" s="132"/>
      <c r="J292" s="132"/>
      <c r="K292" s="132"/>
    </row>
    <row r="293" spans="5:11" s="105" customFormat="1" x14ac:dyDescent="0.2">
      <c r="E293" s="268"/>
      <c r="F293" s="132"/>
      <c r="G293" s="132"/>
      <c r="H293" s="132"/>
      <c r="I293" s="132"/>
      <c r="J293" s="132"/>
      <c r="K293" s="132"/>
    </row>
    <row r="294" spans="5:11" s="105" customFormat="1" x14ac:dyDescent="0.2">
      <c r="E294" s="268"/>
      <c r="F294" s="132"/>
      <c r="G294" s="132"/>
      <c r="H294" s="132"/>
      <c r="I294" s="132"/>
      <c r="J294" s="132"/>
      <c r="K294" s="132"/>
    </row>
    <row r="295" spans="5:11" s="105" customFormat="1" x14ac:dyDescent="0.2">
      <c r="E295" s="268"/>
      <c r="F295" s="132"/>
      <c r="G295" s="132"/>
      <c r="H295" s="132"/>
      <c r="I295" s="132"/>
      <c r="J295" s="132"/>
      <c r="K295" s="132"/>
    </row>
    <row r="296" spans="5:11" s="105" customFormat="1" x14ac:dyDescent="0.2">
      <c r="E296" s="268"/>
      <c r="F296" s="132"/>
      <c r="G296" s="132"/>
      <c r="H296" s="132"/>
      <c r="I296" s="132"/>
      <c r="J296" s="132"/>
      <c r="K296" s="132"/>
    </row>
    <row r="297" spans="5:11" s="105" customFormat="1" x14ac:dyDescent="0.2">
      <c r="E297" s="268"/>
      <c r="F297" s="132"/>
      <c r="G297" s="132"/>
      <c r="H297" s="132"/>
      <c r="I297" s="132"/>
      <c r="J297" s="132"/>
      <c r="K297" s="132"/>
    </row>
    <row r="298" spans="5:11" s="105" customFormat="1" x14ac:dyDescent="0.2">
      <c r="E298" s="268"/>
      <c r="F298" s="132"/>
      <c r="G298" s="132"/>
      <c r="H298" s="132"/>
      <c r="I298" s="132"/>
      <c r="J298" s="132"/>
      <c r="K298" s="132"/>
    </row>
    <row r="299" spans="5:11" s="105" customFormat="1" x14ac:dyDescent="0.2">
      <c r="E299" s="268"/>
      <c r="F299" s="132"/>
      <c r="G299" s="132"/>
      <c r="H299" s="132"/>
      <c r="I299" s="132"/>
      <c r="J299" s="132"/>
      <c r="K299" s="132"/>
    </row>
    <row r="300" spans="5:11" s="105" customFormat="1" x14ac:dyDescent="0.2">
      <c r="E300" s="268"/>
      <c r="F300" s="132"/>
      <c r="G300" s="132"/>
      <c r="H300" s="132"/>
      <c r="I300" s="132"/>
      <c r="J300" s="132"/>
      <c r="K300" s="132"/>
    </row>
    <row r="301" spans="5:11" s="105" customFormat="1" x14ac:dyDescent="0.2">
      <c r="E301" s="268"/>
      <c r="F301" s="132"/>
      <c r="G301" s="132"/>
      <c r="H301" s="132"/>
      <c r="I301" s="132"/>
      <c r="J301" s="132"/>
      <c r="K301" s="132"/>
    </row>
    <row r="302" spans="5:11" s="105" customFormat="1" x14ac:dyDescent="0.2">
      <c r="E302" s="268"/>
      <c r="F302" s="132"/>
      <c r="G302" s="132"/>
      <c r="H302" s="132"/>
      <c r="I302" s="132"/>
      <c r="J302" s="132"/>
      <c r="K302" s="132"/>
    </row>
    <row r="303" spans="5:11" s="105" customFormat="1" x14ac:dyDescent="0.2">
      <c r="E303" s="268"/>
      <c r="F303" s="132"/>
      <c r="G303" s="132"/>
      <c r="H303" s="132"/>
      <c r="I303" s="132"/>
      <c r="J303" s="132"/>
      <c r="K303" s="132"/>
    </row>
    <row r="304" spans="5:11" s="105" customFormat="1" x14ac:dyDescent="0.2">
      <c r="E304" s="268"/>
      <c r="F304" s="132"/>
      <c r="G304" s="132"/>
      <c r="H304" s="132"/>
      <c r="I304" s="132"/>
      <c r="J304" s="132"/>
      <c r="K304" s="132"/>
    </row>
    <row r="305" spans="5:11" s="105" customFormat="1" x14ac:dyDescent="0.2">
      <c r="E305" s="268"/>
      <c r="F305" s="132"/>
      <c r="G305" s="132"/>
      <c r="H305" s="132"/>
      <c r="I305" s="132"/>
      <c r="J305" s="132"/>
      <c r="K305" s="132"/>
    </row>
    <row r="306" spans="5:11" s="105" customFormat="1" x14ac:dyDescent="0.2">
      <c r="E306" s="268"/>
      <c r="F306" s="132"/>
      <c r="G306" s="132"/>
      <c r="H306" s="132"/>
      <c r="I306" s="132"/>
      <c r="J306" s="132"/>
      <c r="K306" s="132"/>
    </row>
    <row r="307" spans="5:11" s="105" customFormat="1" x14ac:dyDescent="0.2">
      <c r="E307" s="268"/>
      <c r="F307" s="132"/>
      <c r="G307" s="132"/>
      <c r="H307" s="132"/>
      <c r="I307" s="132"/>
      <c r="J307" s="132"/>
      <c r="K307" s="132"/>
    </row>
    <row r="308" spans="5:11" s="105" customFormat="1" x14ac:dyDescent="0.2">
      <c r="E308" s="268"/>
      <c r="F308" s="132"/>
      <c r="G308" s="132"/>
      <c r="H308" s="132"/>
      <c r="I308" s="132"/>
      <c r="J308" s="132"/>
      <c r="K308" s="132"/>
    </row>
    <row r="309" spans="5:11" s="105" customFormat="1" x14ac:dyDescent="0.2">
      <c r="E309" s="268"/>
      <c r="F309" s="132"/>
      <c r="G309" s="132"/>
      <c r="H309" s="132"/>
      <c r="I309" s="132"/>
      <c r="J309" s="132"/>
      <c r="K309" s="132"/>
    </row>
    <row r="310" spans="5:11" s="105" customFormat="1" x14ac:dyDescent="0.2">
      <c r="E310" s="268"/>
      <c r="F310" s="132"/>
      <c r="G310" s="132"/>
      <c r="H310" s="132"/>
      <c r="I310" s="132"/>
      <c r="J310" s="132"/>
      <c r="K310" s="132"/>
    </row>
    <row r="311" spans="5:11" s="105" customFormat="1" x14ac:dyDescent="0.2">
      <c r="E311" s="268"/>
      <c r="F311" s="132"/>
      <c r="G311" s="132"/>
      <c r="H311" s="132"/>
      <c r="I311" s="132"/>
      <c r="J311" s="132"/>
      <c r="K311" s="132"/>
    </row>
    <row r="312" spans="5:11" s="105" customFormat="1" x14ac:dyDescent="0.2">
      <c r="E312" s="268"/>
      <c r="F312" s="132"/>
      <c r="G312" s="132"/>
      <c r="H312" s="132"/>
      <c r="I312" s="132"/>
      <c r="J312" s="132"/>
      <c r="K312" s="132"/>
    </row>
    <row r="313" spans="5:11" s="105" customFormat="1" x14ac:dyDescent="0.2">
      <c r="E313" s="268"/>
      <c r="F313" s="132"/>
      <c r="G313" s="132"/>
      <c r="H313" s="132"/>
      <c r="I313" s="132"/>
      <c r="J313" s="132"/>
      <c r="K313" s="132"/>
    </row>
    <row r="314" spans="5:11" s="105" customFormat="1" x14ac:dyDescent="0.2">
      <c r="E314" s="268"/>
      <c r="F314" s="132"/>
      <c r="G314" s="132"/>
      <c r="H314" s="132"/>
      <c r="I314" s="132"/>
      <c r="J314" s="132"/>
      <c r="K314" s="132"/>
    </row>
    <row r="315" spans="5:11" s="105" customFormat="1" x14ac:dyDescent="0.2">
      <c r="E315" s="268"/>
      <c r="F315" s="132"/>
      <c r="G315" s="132"/>
      <c r="H315" s="132"/>
      <c r="I315" s="132"/>
      <c r="J315" s="132"/>
      <c r="K315" s="132"/>
    </row>
    <row r="316" spans="5:11" s="105" customFormat="1" x14ac:dyDescent="0.2">
      <c r="E316" s="268"/>
      <c r="F316" s="132"/>
      <c r="G316" s="132"/>
      <c r="H316" s="132"/>
      <c r="I316" s="132"/>
      <c r="J316" s="132"/>
      <c r="K316" s="132"/>
    </row>
    <row r="317" spans="5:11" s="105" customFormat="1" x14ac:dyDescent="0.2">
      <c r="E317" s="268"/>
      <c r="F317" s="132"/>
      <c r="G317" s="132"/>
      <c r="H317" s="132"/>
      <c r="I317" s="132"/>
      <c r="J317" s="132"/>
      <c r="K317" s="132"/>
    </row>
    <row r="318" spans="5:11" s="105" customFormat="1" x14ac:dyDescent="0.2">
      <c r="E318" s="268"/>
      <c r="F318" s="132"/>
      <c r="G318" s="132"/>
      <c r="H318" s="132"/>
      <c r="I318" s="132"/>
      <c r="J318" s="132"/>
      <c r="K318" s="132"/>
    </row>
    <row r="319" spans="5:11" s="105" customFormat="1" x14ac:dyDescent="0.2">
      <c r="E319" s="268"/>
      <c r="F319" s="132"/>
      <c r="G319" s="132"/>
      <c r="H319" s="132"/>
      <c r="I319" s="132"/>
      <c r="J319" s="132"/>
      <c r="K319" s="132"/>
    </row>
    <row r="320" spans="5:11" s="105" customFormat="1" x14ac:dyDescent="0.2">
      <c r="E320" s="268"/>
      <c r="F320" s="132"/>
      <c r="G320" s="132"/>
      <c r="H320" s="132"/>
      <c r="I320" s="132"/>
      <c r="J320" s="132"/>
      <c r="K320" s="132"/>
    </row>
    <row r="321" spans="5:11" s="105" customFormat="1" x14ac:dyDescent="0.2">
      <c r="E321" s="268"/>
      <c r="F321" s="132"/>
      <c r="G321" s="132"/>
      <c r="H321" s="132"/>
      <c r="I321" s="132"/>
      <c r="J321" s="132"/>
      <c r="K321" s="132"/>
    </row>
    <row r="322" spans="5:11" s="105" customFormat="1" x14ac:dyDescent="0.2">
      <c r="E322" s="268"/>
      <c r="F322" s="132"/>
      <c r="G322" s="132"/>
      <c r="H322" s="132"/>
      <c r="I322" s="132"/>
      <c r="J322" s="132"/>
      <c r="K322" s="132"/>
    </row>
    <row r="323" spans="5:11" s="105" customFormat="1" x14ac:dyDescent="0.2">
      <c r="E323" s="268"/>
      <c r="F323" s="132"/>
      <c r="G323" s="132"/>
      <c r="H323" s="132"/>
      <c r="I323" s="132"/>
      <c r="J323" s="132"/>
      <c r="K323" s="132"/>
    </row>
    <row r="324" spans="5:11" s="105" customFormat="1" x14ac:dyDescent="0.2">
      <c r="E324" s="268"/>
      <c r="F324" s="132"/>
      <c r="G324" s="132"/>
      <c r="H324" s="132"/>
      <c r="I324" s="132"/>
      <c r="J324" s="132"/>
      <c r="K324" s="132"/>
    </row>
    <row r="325" spans="5:11" s="105" customFormat="1" x14ac:dyDescent="0.2">
      <c r="E325" s="268"/>
      <c r="F325" s="132"/>
      <c r="G325" s="132"/>
      <c r="H325" s="132"/>
      <c r="I325" s="132"/>
      <c r="J325" s="132"/>
      <c r="K325" s="132"/>
    </row>
    <row r="326" spans="5:11" s="105" customFormat="1" x14ac:dyDescent="0.2">
      <c r="E326" s="268"/>
      <c r="F326" s="132"/>
      <c r="G326" s="132"/>
      <c r="H326" s="132"/>
      <c r="I326" s="132"/>
      <c r="J326" s="132"/>
      <c r="K326" s="132"/>
    </row>
    <row r="327" spans="5:11" s="105" customFormat="1" x14ac:dyDescent="0.2">
      <c r="E327" s="268"/>
      <c r="F327" s="132"/>
      <c r="G327" s="132"/>
      <c r="H327" s="132"/>
      <c r="I327" s="132"/>
      <c r="J327" s="132"/>
      <c r="K327" s="132"/>
    </row>
    <row r="328" spans="5:11" s="105" customFormat="1" x14ac:dyDescent="0.2">
      <c r="E328" s="268"/>
      <c r="F328" s="132"/>
      <c r="G328" s="132"/>
      <c r="H328" s="132"/>
      <c r="I328" s="132"/>
      <c r="J328" s="132"/>
      <c r="K328" s="132"/>
    </row>
    <row r="329" spans="5:11" s="105" customFormat="1" x14ac:dyDescent="0.2">
      <c r="E329" s="268"/>
      <c r="F329" s="132"/>
      <c r="G329" s="132"/>
      <c r="H329" s="132"/>
      <c r="I329" s="132"/>
      <c r="J329" s="132"/>
      <c r="K329" s="132"/>
    </row>
    <row r="330" spans="5:11" s="105" customFormat="1" x14ac:dyDescent="0.2">
      <c r="E330" s="268"/>
      <c r="F330" s="132"/>
      <c r="G330" s="132"/>
      <c r="H330" s="132"/>
      <c r="I330" s="132"/>
      <c r="J330" s="132"/>
      <c r="K330" s="132"/>
    </row>
    <row r="331" spans="5:11" s="105" customFormat="1" x14ac:dyDescent="0.2">
      <c r="E331" s="268"/>
      <c r="F331" s="132"/>
      <c r="G331" s="132"/>
      <c r="H331" s="132"/>
      <c r="I331" s="132"/>
      <c r="J331" s="132"/>
      <c r="K331" s="132"/>
    </row>
    <row r="332" spans="5:11" s="105" customFormat="1" x14ac:dyDescent="0.2">
      <c r="E332" s="268"/>
      <c r="F332" s="132"/>
      <c r="G332" s="132"/>
      <c r="H332" s="132"/>
      <c r="I332" s="132"/>
      <c r="J332" s="132"/>
      <c r="K332" s="132"/>
    </row>
    <row r="333" spans="5:11" s="105" customFormat="1" x14ac:dyDescent="0.2">
      <c r="E333" s="268"/>
      <c r="F333" s="132"/>
      <c r="G333" s="132"/>
      <c r="H333" s="132"/>
      <c r="I333" s="132"/>
      <c r="J333" s="132"/>
      <c r="K333" s="132"/>
    </row>
    <row r="334" spans="5:11" s="105" customFormat="1" x14ac:dyDescent="0.2">
      <c r="E334" s="268"/>
      <c r="F334" s="132"/>
      <c r="G334" s="132"/>
      <c r="H334" s="132"/>
      <c r="I334" s="132"/>
      <c r="J334" s="132"/>
      <c r="K334" s="132"/>
    </row>
    <row r="335" spans="5:11" s="105" customFormat="1" x14ac:dyDescent="0.2">
      <c r="E335" s="268"/>
      <c r="F335" s="132"/>
      <c r="G335" s="132"/>
      <c r="H335" s="132"/>
      <c r="I335" s="132"/>
      <c r="J335" s="132"/>
      <c r="K335" s="132"/>
    </row>
    <row r="336" spans="5:11" s="105" customFormat="1" x14ac:dyDescent="0.2">
      <c r="E336" s="268"/>
      <c r="F336" s="132"/>
      <c r="G336" s="132"/>
      <c r="H336" s="132"/>
      <c r="I336" s="132"/>
      <c r="J336" s="132"/>
      <c r="K336" s="132"/>
    </row>
    <row r="337" spans="5:11" s="105" customFormat="1" x14ac:dyDescent="0.2">
      <c r="E337" s="268"/>
      <c r="F337" s="132"/>
      <c r="G337" s="132"/>
      <c r="H337" s="132"/>
      <c r="I337" s="132"/>
      <c r="J337" s="132"/>
      <c r="K337" s="132"/>
    </row>
    <row r="338" spans="5:11" s="105" customFormat="1" x14ac:dyDescent="0.2">
      <c r="E338" s="268"/>
      <c r="F338" s="132"/>
      <c r="G338" s="132"/>
      <c r="H338" s="132"/>
      <c r="I338" s="132"/>
      <c r="J338" s="132"/>
      <c r="K338" s="132"/>
    </row>
    <row r="339" spans="5:11" s="105" customFormat="1" x14ac:dyDescent="0.2">
      <c r="E339" s="268"/>
      <c r="F339" s="132"/>
      <c r="G339" s="132"/>
      <c r="H339" s="132"/>
      <c r="I339" s="132"/>
      <c r="J339" s="132"/>
      <c r="K339" s="132"/>
    </row>
    <row r="340" spans="5:11" s="105" customFormat="1" x14ac:dyDescent="0.2">
      <c r="E340" s="268"/>
      <c r="F340" s="132"/>
      <c r="G340" s="132"/>
      <c r="H340" s="132"/>
      <c r="I340" s="132"/>
      <c r="J340" s="132"/>
      <c r="K340" s="132"/>
    </row>
    <row r="341" spans="5:11" s="105" customFormat="1" x14ac:dyDescent="0.2">
      <c r="E341" s="268"/>
      <c r="F341" s="132"/>
      <c r="G341" s="132"/>
      <c r="H341" s="132"/>
      <c r="I341" s="132"/>
      <c r="J341" s="132"/>
      <c r="K341" s="132"/>
    </row>
    <row r="342" spans="5:11" s="105" customFormat="1" x14ac:dyDescent="0.2">
      <c r="E342" s="268"/>
      <c r="F342" s="132"/>
      <c r="G342" s="132"/>
      <c r="H342" s="132"/>
      <c r="I342" s="132"/>
      <c r="J342" s="132"/>
      <c r="K342" s="132"/>
    </row>
    <row r="343" spans="5:11" s="105" customFormat="1" x14ac:dyDescent="0.2">
      <c r="E343" s="268"/>
      <c r="F343" s="132"/>
      <c r="G343" s="132"/>
      <c r="H343" s="132"/>
      <c r="I343" s="132"/>
      <c r="J343" s="132"/>
      <c r="K343" s="132"/>
    </row>
    <row r="344" spans="5:11" s="105" customFormat="1" x14ac:dyDescent="0.2">
      <c r="E344" s="268"/>
      <c r="F344" s="132"/>
      <c r="G344" s="132"/>
      <c r="H344" s="132"/>
      <c r="I344" s="132"/>
      <c r="J344" s="132"/>
      <c r="K344" s="132"/>
    </row>
    <row r="345" spans="5:11" s="105" customFormat="1" x14ac:dyDescent="0.2">
      <c r="E345" s="268"/>
      <c r="F345" s="132"/>
      <c r="G345" s="132"/>
      <c r="H345" s="132"/>
      <c r="I345" s="132"/>
      <c r="J345" s="132"/>
      <c r="K345" s="132"/>
    </row>
    <row r="346" spans="5:11" s="105" customFormat="1" x14ac:dyDescent="0.2">
      <c r="E346" s="268"/>
      <c r="F346" s="132"/>
      <c r="G346" s="132"/>
      <c r="H346" s="132"/>
      <c r="I346" s="132"/>
      <c r="J346" s="132"/>
      <c r="K346" s="132"/>
    </row>
    <row r="347" spans="5:11" s="105" customFormat="1" x14ac:dyDescent="0.2">
      <c r="E347" s="268"/>
      <c r="F347" s="132"/>
      <c r="G347" s="132"/>
      <c r="H347" s="132"/>
      <c r="I347" s="132"/>
      <c r="J347" s="132"/>
      <c r="K347" s="132"/>
    </row>
    <row r="348" spans="5:11" s="105" customFormat="1" x14ac:dyDescent="0.2">
      <c r="E348" s="268"/>
      <c r="F348" s="132"/>
      <c r="G348" s="132"/>
      <c r="H348" s="132"/>
      <c r="I348" s="132"/>
      <c r="J348" s="132"/>
      <c r="K348" s="132"/>
    </row>
    <row r="349" spans="5:11" s="105" customFormat="1" x14ac:dyDescent="0.2">
      <c r="E349" s="268"/>
      <c r="F349" s="132"/>
      <c r="G349" s="132"/>
      <c r="H349" s="132"/>
      <c r="I349" s="132"/>
      <c r="J349" s="132"/>
      <c r="K349" s="132"/>
    </row>
    <row r="350" spans="5:11" s="105" customFormat="1" x14ac:dyDescent="0.2">
      <c r="E350" s="268"/>
      <c r="F350" s="132"/>
      <c r="G350" s="132"/>
      <c r="H350" s="132"/>
      <c r="I350" s="132"/>
      <c r="J350" s="132"/>
      <c r="K350" s="132"/>
    </row>
    <row r="351" spans="5:11" s="105" customFormat="1" x14ac:dyDescent="0.2">
      <c r="E351" s="268"/>
      <c r="F351" s="132"/>
      <c r="G351" s="132"/>
      <c r="H351" s="132"/>
      <c r="I351" s="132"/>
      <c r="J351" s="132"/>
      <c r="K351" s="132"/>
    </row>
    <row r="352" spans="5:11" s="105" customFormat="1" x14ac:dyDescent="0.2">
      <c r="E352" s="268"/>
      <c r="F352" s="132"/>
      <c r="G352" s="132"/>
      <c r="H352" s="132"/>
      <c r="I352" s="132"/>
      <c r="J352" s="132"/>
      <c r="K352" s="132"/>
    </row>
    <row r="353" spans="5:11" s="105" customFormat="1" x14ac:dyDescent="0.2">
      <c r="E353" s="268"/>
      <c r="F353" s="132"/>
      <c r="G353" s="132"/>
      <c r="H353" s="132"/>
      <c r="I353" s="132"/>
      <c r="J353" s="132"/>
      <c r="K353" s="132"/>
    </row>
    <row r="354" spans="5:11" s="105" customFormat="1" x14ac:dyDescent="0.2">
      <c r="E354" s="268"/>
      <c r="F354" s="132"/>
      <c r="G354" s="132"/>
      <c r="H354" s="132"/>
      <c r="I354" s="132"/>
      <c r="J354" s="132"/>
      <c r="K354" s="132"/>
    </row>
    <row r="355" spans="5:11" s="105" customFormat="1" x14ac:dyDescent="0.2">
      <c r="E355" s="268"/>
      <c r="F355" s="132"/>
      <c r="G355" s="132"/>
      <c r="H355" s="132"/>
      <c r="I355" s="132"/>
      <c r="J355" s="132"/>
      <c r="K355" s="132"/>
    </row>
    <row r="356" spans="5:11" s="105" customFormat="1" x14ac:dyDescent="0.2">
      <c r="E356" s="268"/>
      <c r="F356" s="132"/>
      <c r="G356" s="132"/>
      <c r="H356" s="132"/>
      <c r="I356" s="132"/>
      <c r="J356" s="132"/>
      <c r="K356" s="132"/>
    </row>
    <row r="357" spans="5:11" s="105" customFormat="1" x14ac:dyDescent="0.2">
      <c r="E357" s="268"/>
      <c r="F357" s="132"/>
      <c r="G357" s="132"/>
      <c r="H357" s="132"/>
      <c r="I357" s="132"/>
      <c r="J357" s="132"/>
      <c r="K357" s="132"/>
    </row>
    <row r="358" spans="5:11" s="105" customFormat="1" x14ac:dyDescent="0.2">
      <c r="E358" s="268"/>
      <c r="F358" s="132"/>
      <c r="G358" s="132"/>
      <c r="H358" s="132"/>
      <c r="I358" s="132"/>
      <c r="J358" s="132"/>
      <c r="K358" s="132"/>
    </row>
    <row r="359" spans="5:11" s="105" customFormat="1" x14ac:dyDescent="0.2">
      <c r="E359" s="268"/>
      <c r="F359" s="132"/>
      <c r="G359" s="132"/>
      <c r="H359" s="132"/>
      <c r="I359" s="132"/>
      <c r="J359" s="132"/>
      <c r="K359" s="132"/>
    </row>
    <row r="360" spans="5:11" s="105" customFormat="1" x14ac:dyDescent="0.2">
      <c r="E360" s="268"/>
      <c r="F360" s="132"/>
      <c r="G360" s="132"/>
      <c r="H360" s="132"/>
      <c r="I360" s="132"/>
      <c r="J360" s="132"/>
      <c r="K360" s="132"/>
    </row>
    <row r="361" spans="5:11" s="105" customFormat="1" x14ac:dyDescent="0.2">
      <c r="E361" s="268"/>
      <c r="F361" s="132"/>
      <c r="G361" s="132"/>
      <c r="H361" s="132"/>
      <c r="I361" s="132"/>
      <c r="J361" s="132"/>
      <c r="K361" s="132"/>
    </row>
    <row r="362" spans="5:11" s="105" customFormat="1" x14ac:dyDescent="0.2">
      <c r="E362" s="268"/>
      <c r="F362" s="132"/>
      <c r="G362" s="132"/>
      <c r="H362" s="132"/>
      <c r="I362" s="132"/>
      <c r="J362" s="132"/>
      <c r="K362" s="132"/>
    </row>
    <row r="363" spans="5:11" s="105" customFormat="1" x14ac:dyDescent="0.2">
      <c r="E363" s="268"/>
      <c r="F363" s="132"/>
      <c r="G363" s="132"/>
      <c r="H363" s="132"/>
      <c r="I363" s="132"/>
      <c r="J363" s="132"/>
      <c r="K363" s="132"/>
    </row>
    <row r="364" spans="5:11" s="105" customFormat="1" x14ac:dyDescent="0.2">
      <c r="E364" s="268"/>
      <c r="F364" s="132"/>
      <c r="G364" s="132"/>
      <c r="H364" s="132"/>
      <c r="I364" s="132"/>
      <c r="J364" s="132"/>
      <c r="K364" s="132"/>
    </row>
    <row r="365" spans="5:11" s="105" customFormat="1" x14ac:dyDescent="0.2">
      <c r="E365" s="268"/>
      <c r="F365" s="132"/>
      <c r="G365" s="132"/>
      <c r="H365" s="132"/>
      <c r="I365" s="132"/>
      <c r="J365" s="132"/>
      <c r="K365" s="132"/>
    </row>
    <row r="366" spans="5:11" s="105" customFormat="1" x14ac:dyDescent="0.2">
      <c r="E366" s="268"/>
      <c r="F366" s="132"/>
      <c r="G366" s="132"/>
      <c r="H366" s="132"/>
      <c r="I366" s="132"/>
      <c r="J366" s="132"/>
      <c r="K366" s="132"/>
    </row>
    <row r="367" spans="5:11" s="105" customFormat="1" x14ac:dyDescent="0.2">
      <c r="E367" s="268"/>
      <c r="F367" s="132"/>
      <c r="G367" s="132"/>
      <c r="H367" s="132"/>
      <c r="I367" s="132"/>
      <c r="J367" s="132"/>
      <c r="K367" s="132"/>
    </row>
    <row r="368" spans="5:11" s="105" customFormat="1" x14ac:dyDescent="0.2">
      <c r="E368" s="268"/>
      <c r="F368" s="132"/>
      <c r="G368" s="132"/>
      <c r="H368" s="132"/>
      <c r="I368" s="132"/>
      <c r="J368" s="132"/>
      <c r="K368" s="132"/>
    </row>
    <row r="369" spans="5:11" s="105" customFormat="1" x14ac:dyDescent="0.2">
      <c r="E369" s="268"/>
      <c r="F369" s="132"/>
      <c r="G369" s="132"/>
      <c r="H369" s="132"/>
      <c r="I369" s="132"/>
      <c r="J369" s="132"/>
      <c r="K369" s="132"/>
    </row>
    <row r="370" spans="5:11" s="105" customFormat="1" x14ac:dyDescent="0.2">
      <c r="E370" s="268"/>
      <c r="F370" s="132"/>
      <c r="G370" s="132"/>
      <c r="H370" s="132"/>
      <c r="I370" s="132"/>
      <c r="J370" s="132"/>
      <c r="K370" s="132"/>
    </row>
    <row r="371" spans="5:11" s="105" customFormat="1" x14ac:dyDescent="0.2">
      <c r="E371" s="268"/>
      <c r="F371" s="132"/>
      <c r="G371" s="132"/>
      <c r="H371" s="132"/>
      <c r="I371" s="132"/>
      <c r="J371" s="132"/>
      <c r="K371" s="132"/>
    </row>
    <row r="372" spans="5:11" s="105" customFormat="1" x14ac:dyDescent="0.2">
      <c r="E372" s="268"/>
      <c r="F372" s="132"/>
      <c r="G372" s="132"/>
      <c r="H372" s="132"/>
      <c r="I372" s="132"/>
      <c r="J372" s="132"/>
      <c r="K372" s="132"/>
    </row>
    <row r="373" spans="5:11" s="105" customFormat="1" x14ac:dyDescent="0.2">
      <c r="E373" s="268"/>
      <c r="F373" s="132"/>
      <c r="G373" s="132"/>
      <c r="H373" s="132"/>
      <c r="I373" s="132"/>
      <c r="J373" s="132"/>
      <c r="K373" s="132"/>
    </row>
    <row r="374" spans="5:11" s="105" customFormat="1" x14ac:dyDescent="0.2">
      <c r="E374" s="268"/>
      <c r="F374" s="132"/>
      <c r="G374" s="132"/>
      <c r="H374" s="132"/>
      <c r="I374" s="132"/>
      <c r="J374" s="132"/>
      <c r="K374" s="132"/>
    </row>
    <row r="375" spans="5:11" s="105" customFormat="1" x14ac:dyDescent="0.2">
      <c r="E375" s="268"/>
      <c r="F375" s="132"/>
      <c r="G375" s="132"/>
      <c r="H375" s="132"/>
      <c r="I375" s="132"/>
      <c r="J375" s="132"/>
      <c r="K375" s="132"/>
    </row>
    <row r="376" spans="5:11" s="105" customFormat="1" x14ac:dyDescent="0.2">
      <c r="E376" s="268"/>
      <c r="F376" s="132"/>
      <c r="G376" s="132"/>
      <c r="H376" s="132"/>
      <c r="I376" s="132"/>
      <c r="J376" s="132"/>
      <c r="K376" s="132"/>
    </row>
    <row r="377" spans="5:11" s="105" customFormat="1" x14ac:dyDescent="0.2">
      <c r="E377" s="268"/>
      <c r="F377" s="132"/>
      <c r="G377" s="132"/>
      <c r="H377" s="132"/>
      <c r="I377" s="132"/>
      <c r="J377" s="132"/>
      <c r="K377" s="132"/>
    </row>
    <row r="378" spans="5:11" s="105" customFormat="1" x14ac:dyDescent="0.2">
      <c r="E378" s="268"/>
      <c r="F378" s="132"/>
      <c r="G378" s="132"/>
      <c r="H378" s="132"/>
      <c r="I378" s="132"/>
      <c r="J378" s="132"/>
      <c r="K378" s="132"/>
    </row>
    <row r="379" spans="5:11" s="105" customFormat="1" x14ac:dyDescent="0.2">
      <c r="E379" s="268"/>
      <c r="F379" s="132"/>
      <c r="G379" s="132"/>
      <c r="H379" s="132"/>
      <c r="I379" s="132"/>
      <c r="J379" s="132"/>
      <c r="K379" s="132"/>
    </row>
    <row r="380" spans="5:11" s="105" customFormat="1" x14ac:dyDescent="0.2">
      <c r="E380" s="268"/>
      <c r="F380" s="132"/>
      <c r="G380" s="132"/>
      <c r="H380" s="132"/>
      <c r="I380" s="132"/>
      <c r="J380" s="132"/>
      <c r="K380" s="132"/>
    </row>
    <row r="381" spans="5:11" s="105" customFormat="1" x14ac:dyDescent="0.2">
      <c r="E381" s="268"/>
      <c r="F381" s="132"/>
      <c r="G381" s="132"/>
      <c r="H381" s="132"/>
      <c r="I381" s="132"/>
      <c r="J381" s="132"/>
      <c r="K381" s="132"/>
    </row>
    <row r="382" spans="5:11" s="105" customFormat="1" x14ac:dyDescent="0.2">
      <c r="E382" s="268"/>
      <c r="F382" s="132"/>
      <c r="G382" s="132"/>
      <c r="H382" s="132"/>
      <c r="I382" s="132"/>
      <c r="J382" s="132"/>
      <c r="K382" s="132"/>
    </row>
    <row r="383" spans="5:11" s="105" customFormat="1" x14ac:dyDescent="0.2">
      <c r="E383" s="268"/>
      <c r="F383" s="132"/>
      <c r="G383" s="132"/>
      <c r="H383" s="132"/>
      <c r="I383" s="132"/>
      <c r="J383" s="132"/>
      <c r="K383" s="132"/>
    </row>
    <row r="384" spans="5:11" s="105" customFormat="1" x14ac:dyDescent="0.2">
      <c r="E384" s="268"/>
      <c r="F384" s="132"/>
      <c r="G384" s="132"/>
      <c r="H384" s="132"/>
      <c r="I384" s="132"/>
      <c r="J384" s="132"/>
      <c r="K384" s="132"/>
    </row>
    <row r="385" spans="5:11" s="105" customFormat="1" x14ac:dyDescent="0.2">
      <c r="E385" s="268"/>
      <c r="F385" s="132"/>
      <c r="G385" s="132"/>
      <c r="H385" s="132"/>
      <c r="I385" s="132"/>
      <c r="J385" s="132"/>
      <c r="K385" s="132"/>
    </row>
    <row r="386" spans="5:11" s="105" customFormat="1" x14ac:dyDescent="0.2">
      <c r="E386" s="268"/>
      <c r="F386" s="132"/>
      <c r="G386" s="132"/>
      <c r="H386" s="132"/>
      <c r="I386" s="132"/>
      <c r="J386" s="132"/>
      <c r="K386" s="132"/>
    </row>
    <row r="387" spans="5:11" s="105" customFormat="1" x14ac:dyDescent="0.2">
      <c r="E387" s="268"/>
      <c r="F387" s="132"/>
      <c r="G387" s="132"/>
      <c r="H387" s="132"/>
      <c r="I387" s="132"/>
      <c r="J387" s="132"/>
      <c r="K387" s="132"/>
    </row>
    <row r="388" spans="5:11" s="105" customFormat="1" x14ac:dyDescent="0.2">
      <c r="E388" s="268"/>
      <c r="F388" s="132"/>
      <c r="G388" s="132"/>
      <c r="H388" s="132"/>
      <c r="I388" s="132"/>
      <c r="J388" s="132"/>
      <c r="K388" s="132"/>
    </row>
    <row r="389" spans="5:11" s="105" customFormat="1" x14ac:dyDescent="0.2">
      <c r="E389" s="268"/>
      <c r="F389" s="132"/>
      <c r="G389" s="132"/>
      <c r="H389" s="132"/>
      <c r="I389" s="132"/>
      <c r="J389" s="132"/>
      <c r="K389" s="132"/>
    </row>
    <row r="390" spans="5:11" s="105" customFormat="1" x14ac:dyDescent="0.2">
      <c r="E390" s="268"/>
      <c r="F390" s="132"/>
      <c r="G390" s="132"/>
      <c r="H390" s="132"/>
      <c r="I390" s="132"/>
      <c r="J390" s="132"/>
      <c r="K390" s="132"/>
    </row>
    <row r="391" spans="5:11" s="105" customFormat="1" x14ac:dyDescent="0.2">
      <c r="E391" s="268"/>
      <c r="F391" s="132"/>
      <c r="G391" s="132"/>
      <c r="H391" s="132"/>
      <c r="I391" s="132"/>
      <c r="J391" s="132"/>
      <c r="K391" s="132"/>
    </row>
    <row r="392" spans="5:11" s="105" customFormat="1" x14ac:dyDescent="0.2">
      <c r="E392" s="268"/>
      <c r="F392" s="132"/>
      <c r="G392" s="132"/>
      <c r="H392" s="132"/>
      <c r="I392" s="132"/>
      <c r="J392" s="132"/>
      <c r="K392" s="132"/>
    </row>
    <row r="393" spans="5:11" s="105" customFormat="1" x14ac:dyDescent="0.2">
      <c r="E393" s="268"/>
      <c r="F393" s="132"/>
      <c r="G393" s="132"/>
      <c r="H393" s="132"/>
      <c r="I393" s="132"/>
      <c r="J393" s="132"/>
      <c r="K393" s="132"/>
    </row>
    <row r="394" spans="5:11" s="105" customFormat="1" x14ac:dyDescent="0.2">
      <c r="E394" s="268"/>
      <c r="F394" s="132"/>
      <c r="G394" s="132"/>
      <c r="H394" s="132"/>
      <c r="I394" s="132"/>
      <c r="J394" s="132"/>
      <c r="K394" s="132"/>
    </row>
    <row r="395" spans="5:11" s="105" customFormat="1" x14ac:dyDescent="0.2">
      <c r="E395" s="268"/>
      <c r="F395" s="132"/>
      <c r="G395" s="132"/>
      <c r="H395" s="132"/>
      <c r="I395" s="132"/>
      <c r="J395" s="132"/>
      <c r="K395" s="132"/>
    </row>
    <row r="396" spans="5:11" s="105" customFormat="1" x14ac:dyDescent="0.2">
      <c r="E396" s="268"/>
      <c r="F396" s="132"/>
      <c r="G396" s="132"/>
      <c r="H396" s="132"/>
      <c r="I396" s="132"/>
      <c r="J396" s="132"/>
      <c r="K396" s="132"/>
    </row>
    <row r="397" spans="5:11" s="105" customFormat="1" x14ac:dyDescent="0.2">
      <c r="E397" s="268"/>
      <c r="F397" s="132"/>
      <c r="G397" s="132"/>
      <c r="H397" s="132"/>
      <c r="I397" s="132"/>
      <c r="J397" s="132"/>
      <c r="K397" s="132"/>
    </row>
    <row r="398" spans="5:11" s="105" customFormat="1" x14ac:dyDescent="0.2">
      <c r="E398" s="268"/>
      <c r="F398" s="132"/>
      <c r="G398" s="132"/>
      <c r="H398" s="132"/>
      <c r="I398" s="132"/>
      <c r="J398" s="132"/>
      <c r="K398" s="132"/>
    </row>
    <row r="399" spans="5:11" s="105" customFormat="1" x14ac:dyDescent="0.2">
      <c r="E399" s="268"/>
      <c r="F399" s="132"/>
      <c r="G399" s="132"/>
      <c r="H399" s="132"/>
      <c r="I399" s="132"/>
      <c r="J399" s="132"/>
      <c r="K399" s="132"/>
    </row>
    <row r="400" spans="5:11" s="105" customFormat="1" x14ac:dyDescent="0.2">
      <c r="E400" s="268"/>
      <c r="F400" s="132"/>
      <c r="G400" s="132"/>
      <c r="H400" s="132"/>
      <c r="I400" s="132"/>
      <c r="J400" s="132"/>
      <c r="K400" s="132"/>
    </row>
    <row r="401" spans="5:11" s="105" customFormat="1" x14ac:dyDescent="0.2">
      <c r="E401" s="268"/>
      <c r="F401" s="132"/>
      <c r="G401" s="132"/>
      <c r="H401" s="132"/>
      <c r="I401" s="132"/>
      <c r="J401" s="132"/>
      <c r="K401" s="132"/>
    </row>
    <row r="402" spans="5:11" s="105" customFormat="1" x14ac:dyDescent="0.2">
      <c r="E402" s="268"/>
      <c r="F402" s="132"/>
      <c r="G402" s="132"/>
      <c r="H402" s="132"/>
      <c r="I402" s="132"/>
      <c r="J402" s="132"/>
      <c r="K402" s="132"/>
    </row>
    <row r="403" spans="5:11" s="105" customFormat="1" x14ac:dyDescent="0.2">
      <c r="E403" s="268"/>
      <c r="F403" s="132"/>
      <c r="G403" s="132"/>
      <c r="H403" s="132"/>
      <c r="I403" s="132"/>
      <c r="J403" s="132"/>
      <c r="K403" s="132"/>
    </row>
    <row r="404" spans="5:11" s="105" customFormat="1" x14ac:dyDescent="0.2">
      <c r="E404" s="268"/>
      <c r="F404" s="132"/>
      <c r="G404" s="132"/>
      <c r="H404" s="132"/>
      <c r="I404" s="132"/>
      <c r="J404" s="132"/>
      <c r="K404" s="132"/>
    </row>
    <row r="405" spans="5:11" s="105" customFormat="1" x14ac:dyDescent="0.2">
      <c r="E405" s="268"/>
      <c r="F405" s="132"/>
      <c r="G405" s="132"/>
      <c r="H405" s="132"/>
      <c r="I405" s="132"/>
      <c r="J405" s="132"/>
      <c r="K405" s="132"/>
    </row>
    <row r="406" spans="5:11" s="105" customFormat="1" x14ac:dyDescent="0.2">
      <c r="E406" s="268"/>
      <c r="F406" s="132"/>
      <c r="G406" s="132"/>
      <c r="H406" s="132"/>
      <c r="I406" s="132"/>
      <c r="J406" s="132"/>
      <c r="K406" s="132"/>
    </row>
    <row r="407" spans="5:11" s="105" customFormat="1" x14ac:dyDescent="0.2">
      <c r="E407" s="268"/>
      <c r="F407" s="132"/>
      <c r="G407" s="132"/>
      <c r="H407" s="132"/>
      <c r="I407" s="132"/>
      <c r="J407" s="132"/>
      <c r="K407" s="132"/>
    </row>
    <row r="408" spans="5:11" s="105" customFormat="1" x14ac:dyDescent="0.2">
      <c r="E408" s="268"/>
      <c r="F408" s="132"/>
      <c r="G408" s="132"/>
      <c r="H408" s="132"/>
      <c r="I408" s="132"/>
      <c r="J408" s="132"/>
      <c r="K408" s="132"/>
    </row>
    <row r="409" spans="5:11" s="105" customFormat="1" x14ac:dyDescent="0.2">
      <c r="E409" s="268"/>
      <c r="F409" s="132"/>
      <c r="G409" s="132"/>
      <c r="H409" s="132"/>
      <c r="I409" s="132"/>
      <c r="J409" s="132"/>
      <c r="K409" s="132"/>
    </row>
    <row r="410" spans="5:11" s="105" customFormat="1" x14ac:dyDescent="0.2">
      <c r="E410" s="268"/>
      <c r="F410" s="132"/>
      <c r="G410" s="132"/>
      <c r="H410" s="132"/>
      <c r="I410" s="132"/>
      <c r="J410" s="132"/>
      <c r="K410" s="132"/>
    </row>
    <row r="411" spans="5:11" s="105" customFormat="1" x14ac:dyDescent="0.2">
      <c r="E411" s="268"/>
      <c r="F411" s="132"/>
      <c r="G411" s="132"/>
      <c r="H411" s="132"/>
      <c r="I411" s="132"/>
      <c r="J411" s="132"/>
      <c r="K411" s="132"/>
    </row>
    <row r="412" spans="5:11" s="105" customFormat="1" x14ac:dyDescent="0.2">
      <c r="E412" s="268"/>
      <c r="F412" s="132"/>
      <c r="G412" s="132"/>
      <c r="H412" s="132"/>
      <c r="I412" s="132"/>
      <c r="J412" s="132"/>
      <c r="K412" s="132"/>
    </row>
    <row r="413" spans="5:11" s="105" customFormat="1" x14ac:dyDescent="0.2">
      <c r="E413" s="268"/>
      <c r="F413" s="132"/>
      <c r="G413" s="132"/>
      <c r="H413" s="132"/>
      <c r="I413" s="132"/>
      <c r="J413" s="132"/>
      <c r="K413" s="132"/>
    </row>
    <row r="414" spans="5:11" s="105" customFormat="1" x14ac:dyDescent="0.2">
      <c r="E414" s="268"/>
      <c r="F414" s="132"/>
      <c r="G414" s="132"/>
      <c r="H414" s="132"/>
      <c r="I414" s="132"/>
      <c r="J414" s="132"/>
      <c r="K414" s="132"/>
    </row>
    <row r="415" spans="5:11" s="105" customFormat="1" x14ac:dyDescent="0.2">
      <c r="E415" s="268"/>
      <c r="F415" s="132"/>
      <c r="G415" s="132"/>
      <c r="H415" s="132"/>
      <c r="I415" s="132"/>
      <c r="J415" s="132"/>
      <c r="K415" s="132"/>
    </row>
    <row r="416" spans="5:11" s="105" customFormat="1" x14ac:dyDescent="0.2">
      <c r="E416" s="268"/>
      <c r="F416" s="132"/>
      <c r="G416" s="132"/>
      <c r="H416" s="132"/>
      <c r="I416" s="132"/>
      <c r="J416" s="132"/>
      <c r="K416" s="132"/>
    </row>
    <row r="417" spans="5:11" s="105" customFormat="1" x14ac:dyDescent="0.2">
      <c r="E417" s="268"/>
      <c r="F417" s="132"/>
      <c r="G417" s="132"/>
      <c r="H417" s="132"/>
      <c r="I417" s="132"/>
      <c r="J417" s="132"/>
      <c r="K417" s="132"/>
    </row>
    <row r="418" spans="5:11" s="105" customFormat="1" x14ac:dyDescent="0.2">
      <c r="E418" s="268"/>
      <c r="F418" s="132"/>
      <c r="G418" s="132"/>
      <c r="H418" s="132"/>
      <c r="I418" s="132"/>
      <c r="J418" s="132"/>
      <c r="K418" s="132"/>
    </row>
    <row r="419" spans="5:11" s="105" customFormat="1" x14ac:dyDescent="0.2">
      <c r="E419" s="268"/>
      <c r="F419" s="132"/>
      <c r="G419" s="132"/>
      <c r="H419" s="132"/>
      <c r="I419" s="132"/>
      <c r="J419" s="132"/>
      <c r="K419" s="132"/>
    </row>
    <row r="420" spans="5:11" s="105" customFormat="1" x14ac:dyDescent="0.2">
      <c r="E420" s="268"/>
      <c r="F420" s="132"/>
      <c r="G420" s="132"/>
      <c r="H420" s="132"/>
      <c r="I420" s="132"/>
      <c r="J420" s="132"/>
      <c r="K420" s="132"/>
    </row>
    <row r="421" spans="5:11" s="105" customFormat="1" x14ac:dyDescent="0.2">
      <c r="E421" s="268"/>
      <c r="F421" s="132"/>
      <c r="G421" s="132"/>
      <c r="H421" s="132"/>
      <c r="I421" s="132"/>
      <c r="J421" s="132"/>
      <c r="K421" s="132"/>
    </row>
    <row r="422" spans="5:11" s="105" customFormat="1" x14ac:dyDescent="0.2">
      <c r="E422" s="268"/>
      <c r="F422" s="132"/>
      <c r="G422" s="132"/>
      <c r="H422" s="132"/>
      <c r="I422" s="132"/>
      <c r="J422" s="132"/>
      <c r="K422" s="132"/>
    </row>
    <row r="423" spans="5:11" s="105" customFormat="1" x14ac:dyDescent="0.2">
      <c r="E423" s="268"/>
      <c r="F423" s="132"/>
      <c r="G423" s="132"/>
      <c r="H423" s="132"/>
      <c r="I423" s="132"/>
      <c r="J423" s="132"/>
      <c r="K423" s="132"/>
    </row>
    <row r="424" spans="5:11" s="105" customFormat="1" x14ac:dyDescent="0.2">
      <c r="E424" s="268"/>
      <c r="F424" s="132"/>
      <c r="G424" s="132"/>
      <c r="H424" s="132"/>
      <c r="I424" s="132"/>
      <c r="J424" s="132"/>
      <c r="K424" s="132"/>
    </row>
    <row r="425" spans="5:11" s="105" customFormat="1" x14ac:dyDescent="0.2">
      <c r="E425" s="268"/>
      <c r="F425" s="132"/>
      <c r="G425" s="132"/>
      <c r="H425" s="132"/>
      <c r="I425" s="132"/>
      <c r="J425" s="132"/>
      <c r="K425" s="132"/>
    </row>
    <row r="426" spans="5:11" s="105" customFormat="1" x14ac:dyDescent="0.2">
      <c r="E426" s="268"/>
      <c r="F426" s="132"/>
      <c r="G426" s="132"/>
      <c r="H426" s="132"/>
      <c r="I426" s="132"/>
      <c r="J426" s="132"/>
      <c r="K426" s="132"/>
    </row>
    <row r="427" spans="5:11" s="105" customFormat="1" x14ac:dyDescent="0.2">
      <c r="E427" s="268"/>
      <c r="F427" s="132"/>
      <c r="G427" s="132"/>
      <c r="H427" s="132"/>
      <c r="I427" s="132"/>
      <c r="J427" s="132"/>
      <c r="K427" s="132"/>
    </row>
    <row r="428" spans="5:11" s="105" customFormat="1" x14ac:dyDescent="0.2">
      <c r="E428" s="268"/>
      <c r="F428" s="132"/>
      <c r="G428" s="132"/>
      <c r="H428" s="132"/>
      <c r="I428" s="132"/>
      <c r="J428" s="132"/>
      <c r="K428" s="132"/>
    </row>
    <row r="429" spans="5:11" s="105" customFormat="1" x14ac:dyDescent="0.2">
      <c r="E429" s="268"/>
      <c r="F429" s="132"/>
      <c r="G429" s="132"/>
      <c r="H429" s="132"/>
      <c r="I429" s="132"/>
      <c r="J429" s="132"/>
      <c r="K429" s="132"/>
    </row>
    <row r="430" spans="5:11" s="105" customFormat="1" x14ac:dyDescent="0.2">
      <c r="E430" s="268"/>
      <c r="F430" s="132"/>
      <c r="G430" s="132"/>
      <c r="H430" s="132"/>
      <c r="I430" s="132"/>
      <c r="J430" s="132"/>
      <c r="K430" s="132"/>
    </row>
    <row r="431" spans="5:11" s="105" customFormat="1" x14ac:dyDescent="0.2">
      <c r="E431" s="268"/>
      <c r="F431" s="132"/>
      <c r="G431" s="132"/>
      <c r="H431" s="132"/>
      <c r="I431" s="132"/>
      <c r="J431" s="132"/>
      <c r="K431" s="132"/>
    </row>
    <row r="432" spans="5:11" s="105" customFormat="1" x14ac:dyDescent="0.2">
      <c r="E432" s="268"/>
      <c r="F432" s="132"/>
      <c r="G432" s="132"/>
      <c r="H432" s="132"/>
      <c r="I432" s="132"/>
      <c r="J432" s="132"/>
      <c r="K432" s="132"/>
    </row>
    <row r="433" spans="5:11" s="105" customFormat="1" x14ac:dyDescent="0.2">
      <c r="E433" s="268"/>
      <c r="F433" s="132"/>
      <c r="G433" s="132"/>
      <c r="H433" s="132"/>
      <c r="I433" s="132"/>
      <c r="J433" s="132"/>
      <c r="K433" s="132"/>
    </row>
    <row r="434" spans="5:11" s="105" customFormat="1" x14ac:dyDescent="0.2">
      <c r="E434" s="268"/>
      <c r="F434" s="132"/>
      <c r="G434" s="132"/>
      <c r="H434" s="132"/>
      <c r="I434" s="132"/>
      <c r="J434" s="132"/>
      <c r="K434" s="132"/>
    </row>
    <row r="435" spans="5:11" s="105" customFormat="1" x14ac:dyDescent="0.2">
      <c r="E435" s="268"/>
      <c r="F435" s="132"/>
      <c r="G435" s="132"/>
      <c r="H435" s="132"/>
      <c r="I435" s="132"/>
      <c r="J435" s="132"/>
      <c r="K435" s="132"/>
    </row>
    <row r="436" spans="5:11" s="105" customFormat="1" x14ac:dyDescent="0.2">
      <c r="E436" s="268"/>
      <c r="F436" s="132"/>
      <c r="G436" s="132"/>
      <c r="H436" s="132"/>
      <c r="I436" s="132"/>
      <c r="J436" s="132"/>
      <c r="K436" s="132"/>
    </row>
    <row r="437" spans="5:11" s="105" customFormat="1" x14ac:dyDescent="0.2">
      <c r="E437" s="268"/>
      <c r="F437" s="132"/>
      <c r="G437" s="132"/>
      <c r="H437" s="132"/>
      <c r="I437" s="132"/>
      <c r="J437" s="132"/>
      <c r="K437" s="132"/>
    </row>
    <row r="438" spans="5:11" s="105" customFormat="1" x14ac:dyDescent="0.2">
      <c r="E438" s="268"/>
      <c r="F438" s="132"/>
      <c r="G438" s="132"/>
      <c r="H438" s="132"/>
      <c r="I438" s="132"/>
      <c r="J438" s="132"/>
      <c r="K438" s="132"/>
    </row>
    <row r="439" spans="5:11" s="105" customFormat="1" x14ac:dyDescent="0.2">
      <c r="E439" s="268"/>
      <c r="F439" s="132"/>
      <c r="G439" s="132"/>
      <c r="H439" s="132"/>
      <c r="I439" s="132"/>
      <c r="J439" s="132"/>
      <c r="K439" s="132"/>
    </row>
    <row r="440" spans="5:11" s="105" customFormat="1" x14ac:dyDescent="0.2">
      <c r="E440" s="268"/>
      <c r="F440" s="132"/>
      <c r="G440" s="132"/>
      <c r="H440" s="132"/>
      <c r="I440" s="132"/>
      <c r="J440" s="132"/>
      <c r="K440" s="132"/>
    </row>
    <row r="441" spans="5:11" s="105" customFormat="1" x14ac:dyDescent="0.2">
      <c r="E441" s="268"/>
      <c r="F441" s="132"/>
      <c r="G441" s="132"/>
      <c r="H441" s="132"/>
      <c r="I441" s="132"/>
      <c r="J441" s="132"/>
      <c r="K441" s="132"/>
    </row>
    <row r="442" spans="5:11" s="105" customFormat="1" x14ac:dyDescent="0.2">
      <c r="E442" s="268"/>
      <c r="F442" s="132"/>
      <c r="G442" s="132"/>
      <c r="H442" s="132"/>
      <c r="I442" s="132"/>
      <c r="J442" s="132"/>
      <c r="K442" s="132"/>
    </row>
    <row r="443" spans="5:11" s="105" customFormat="1" x14ac:dyDescent="0.2">
      <c r="E443" s="268"/>
      <c r="F443" s="132"/>
      <c r="G443" s="132"/>
      <c r="H443" s="132"/>
      <c r="I443" s="132"/>
      <c r="J443" s="132"/>
      <c r="K443" s="132"/>
    </row>
    <row r="444" spans="5:11" s="105" customFormat="1" x14ac:dyDescent="0.2">
      <c r="E444" s="268"/>
      <c r="F444" s="132"/>
      <c r="G444" s="132"/>
      <c r="H444" s="132"/>
      <c r="I444" s="132"/>
      <c r="J444" s="132"/>
      <c r="K444" s="132"/>
    </row>
    <row r="445" spans="5:11" s="105" customFormat="1" x14ac:dyDescent="0.2">
      <c r="E445" s="268"/>
      <c r="F445" s="132"/>
      <c r="G445" s="132"/>
      <c r="H445" s="132"/>
      <c r="I445" s="132"/>
      <c r="J445" s="132"/>
      <c r="K445" s="132"/>
    </row>
    <row r="446" spans="5:11" s="105" customFormat="1" x14ac:dyDescent="0.2">
      <c r="E446" s="268"/>
      <c r="F446" s="132"/>
      <c r="G446" s="132"/>
      <c r="H446" s="132"/>
      <c r="I446" s="132"/>
      <c r="J446" s="132"/>
      <c r="K446" s="132"/>
    </row>
    <row r="447" spans="5:11" s="105" customFormat="1" x14ac:dyDescent="0.2">
      <c r="E447" s="268"/>
      <c r="F447" s="132"/>
      <c r="G447" s="132"/>
      <c r="H447" s="132"/>
      <c r="I447" s="132"/>
      <c r="J447" s="132"/>
      <c r="K447" s="132"/>
    </row>
    <row r="448" spans="5:11" s="105" customFormat="1" x14ac:dyDescent="0.2">
      <c r="E448" s="268"/>
      <c r="F448" s="132"/>
      <c r="G448" s="132"/>
      <c r="H448" s="132"/>
      <c r="I448" s="132"/>
      <c r="J448" s="132"/>
      <c r="K448" s="132"/>
    </row>
    <row r="449" spans="5:11" s="105" customFormat="1" x14ac:dyDescent="0.2">
      <c r="E449" s="268"/>
      <c r="F449" s="132"/>
      <c r="G449" s="132"/>
      <c r="H449" s="132"/>
      <c r="I449" s="132"/>
      <c r="J449" s="132"/>
      <c r="K449" s="132"/>
    </row>
    <row r="450" spans="5:11" s="105" customFormat="1" x14ac:dyDescent="0.2">
      <c r="E450" s="268"/>
      <c r="F450" s="132"/>
      <c r="G450" s="132"/>
      <c r="H450" s="132"/>
      <c r="I450" s="132"/>
      <c r="J450" s="132"/>
      <c r="K450" s="132"/>
    </row>
    <row r="451" spans="5:11" s="105" customFormat="1" x14ac:dyDescent="0.2">
      <c r="E451" s="268"/>
      <c r="F451" s="132"/>
      <c r="G451" s="132"/>
      <c r="H451" s="132"/>
      <c r="I451" s="132"/>
      <c r="J451" s="132"/>
      <c r="K451" s="132"/>
    </row>
    <row r="452" spans="5:11" s="105" customFormat="1" x14ac:dyDescent="0.2">
      <c r="E452" s="268"/>
      <c r="F452" s="132"/>
      <c r="G452" s="132"/>
      <c r="H452" s="132"/>
      <c r="I452" s="132"/>
      <c r="J452" s="132"/>
      <c r="K452" s="132"/>
    </row>
    <row r="453" spans="5:11" s="105" customFormat="1" x14ac:dyDescent="0.2">
      <c r="E453" s="268"/>
      <c r="F453" s="132"/>
      <c r="G453" s="132"/>
      <c r="H453" s="132"/>
      <c r="I453" s="132"/>
      <c r="J453" s="132"/>
      <c r="K453" s="132"/>
    </row>
    <row r="454" spans="5:11" s="105" customFormat="1" x14ac:dyDescent="0.2">
      <c r="E454" s="268"/>
      <c r="F454" s="132"/>
      <c r="G454" s="132"/>
      <c r="H454" s="132"/>
      <c r="I454" s="132"/>
      <c r="J454" s="132"/>
      <c r="K454" s="132"/>
    </row>
    <row r="455" spans="5:11" s="105" customFormat="1" x14ac:dyDescent="0.2">
      <c r="E455" s="268"/>
      <c r="F455" s="132"/>
      <c r="G455" s="132"/>
      <c r="H455" s="132"/>
      <c r="I455" s="132"/>
      <c r="J455" s="132"/>
      <c r="K455" s="132"/>
    </row>
    <row r="456" spans="5:11" s="105" customFormat="1" x14ac:dyDescent="0.2">
      <c r="E456" s="268"/>
      <c r="F456" s="132"/>
      <c r="G456" s="132"/>
      <c r="H456" s="132"/>
      <c r="I456" s="132"/>
      <c r="J456" s="132"/>
      <c r="K456" s="132"/>
    </row>
    <row r="457" spans="5:11" s="105" customFormat="1" x14ac:dyDescent="0.2">
      <c r="E457" s="268"/>
      <c r="F457" s="132"/>
      <c r="G457" s="132"/>
      <c r="H457" s="132"/>
      <c r="I457" s="132"/>
      <c r="J457" s="132"/>
      <c r="K457" s="132"/>
    </row>
    <row r="458" spans="5:11" s="105" customFormat="1" x14ac:dyDescent="0.2">
      <c r="E458" s="268"/>
      <c r="F458" s="132"/>
      <c r="G458" s="132"/>
      <c r="H458" s="132"/>
      <c r="I458" s="132"/>
      <c r="J458" s="132"/>
      <c r="K458" s="132"/>
    </row>
    <row r="459" spans="5:11" s="105" customFormat="1" x14ac:dyDescent="0.2">
      <c r="E459" s="268"/>
      <c r="F459" s="132"/>
      <c r="G459" s="132"/>
      <c r="H459" s="132"/>
      <c r="I459" s="132"/>
      <c r="J459" s="132"/>
      <c r="K459" s="132"/>
    </row>
    <row r="460" spans="5:11" s="105" customFormat="1" x14ac:dyDescent="0.2">
      <c r="E460" s="268"/>
      <c r="F460" s="132"/>
      <c r="G460" s="132"/>
      <c r="H460" s="132"/>
      <c r="I460" s="132"/>
      <c r="J460" s="132"/>
      <c r="K460" s="132"/>
    </row>
    <row r="461" spans="5:11" s="105" customFormat="1" x14ac:dyDescent="0.2">
      <c r="E461" s="268"/>
      <c r="F461" s="132"/>
      <c r="G461" s="132"/>
      <c r="H461" s="132"/>
      <c r="I461" s="132"/>
      <c r="J461" s="132"/>
      <c r="K461" s="132"/>
    </row>
    <row r="462" spans="5:11" s="105" customFormat="1" x14ac:dyDescent="0.2">
      <c r="E462" s="268"/>
      <c r="F462" s="132"/>
      <c r="G462" s="132"/>
      <c r="H462" s="132"/>
      <c r="I462" s="132"/>
      <c r="J462" s="132"/>
      <c r="K462" s="132"/>
    </row>
    <row r="463" spans="5:11" s="105" customFormat="1" x14ac:dyDescent="0.2">
      <c r="E463" s="268"/>
      <c r="F463" s="132"/>
      <c r="G463" s="132"/>
      <c r="H463" s="132"/>
      <c r="I463" s="132"/>
      <c r="J463" s="132"/>
      <c r="K463" s="132"/>
    </row>
    <row r="464" spans="5:11" s="105" customFormat="1" x14ac:dyDescent="0.2">
      <c r="E464" s="268"/>
      <c r="F464" s="132"/>
      <c r="G464" s="132"/>
      <c r="H464" s="132"/>
      <c r="I464" s="132"/>
      <c r="J464" s="132"/>
      <c r="K464" s="132"/>
    </row>
    <row r="465" spans="5:11" s="105" customFormat="1" x14ac:dyDescent="0.2">
      <c r="E465" s="268"/>
      <c r="F465" s="132"/>
      <c r="G465" s="132"/>
      <c r="H465" s="132"/>
      <c r="I465" s="132"/>
      <c r="J465" s="132"/>
      <c r="K465" s="132"/>
    </row>
    <row r="466" spans="5:11" s="105" customFormat="1" x14ac:dyDescent="0.2">
      <c r="E466" s="268"/>
      <c r="F466" s="132"/>
      <c r="G466" s="132"/>
      <c r="H466" s="132"/>
      <c r="I466" s="132"/>
      <c r="J466" s="132"/>
      <c r="K466" s="132"/>
    </row>
    <row r="467" spans="5:11" s="105" customFormat="1" x14ac:dyDescent="0.2">
      <c r="E467" s="268"/>
      <c r="F467" s="132"/>
      <c r="G467" s="132"/>
      <c r="H467" s="132"/>
      <c r="I467" s="132"/>
      <c r="J467" s="132"/>
      <c r="K467" s="132"/>
    </row>
    <row r="468" spans="5:11" s="105" customFormat="1" x14ac:dyDescent="0.2">
      <c r="E468" s="268"/>
      <c r="F468" s="132"/>
      <c r="G468" s="132"/>
      <c r="H468" s="132"/>
      <c r="I468" s="132"/>
      <c r="J468" s="132"/>
      <c r="K468" s="132"/>
    </row>
    <row r="469" spans="5:11" s="105" customFormat="1" x14ac:dyDescent="0.2">
      <c r="E469" s="268"/>
      <c r="F469" s="132"/>
      <c r="G469" s="132"/>
      <c r="H469" s="132"/>
      <c r="I469" s="132"/>
      <c r="J469" s="132"/>
      <c r="K469" s="132"/>
    </row>
    <row r="470" spans="5:11" s="105" customFormat="1" x14ac:dyDescent="0.2">
      <c r="E470" s="268"/>
      <c r="F470" s="132"/>
      <c r="G470" s="132"/>
      <c r="H470" s="132"/>
      <c r="I470" s="132"/>
      <c r="J470" s="132"/>
      <c r="K470" s="132"/>
    </row>
    <row r="471" spans="5:11" s="105" customFormat="1" x14ac:dyDescent="0.2">
      <c r="E471" s="268"/>
      <c r="F471" s="132"/>
      <c r="G471" s="132"/>
      <c r="H471" s="132"/>
      <c r="I471" s="132"/>
      <c r="J471" s="132"/>
      <c r="K471" s="132"/>
    </row>
    <row r="472" spans="5:11" s="105" customFormat="1" x14ac:dyDescent="0.2">
      <c r="E472" s="268"/>
      <c r="F472" s="132"/>
      <c r="G472" s="132"/>
      <c r="H472" s="132"/>
      <c r="I472" s="132"/>
      <c r="J472" s="132"/>
      <c r="K472" s="132"/>
    </row>
    <row r="473" spans="5:11" s="105" customFormat="1" x14ac:dyDescent="0.2">
      <c r="E473" s="268"/>
      <c r="F473" s="132"/>
      <c r="G473" s="132"/>
      <c r="H473" s="132"/>
      <c r="I473" s="132"/>
      <c r="J473" s="132"/>
      <c r="K473" s="132"/>
    </row>
    <row r="474" spans="5:11" s="105" customFormat="1" x14ac:dyDescent="0.2">
      <c r="E474" s="268"/>
      <c r="F474" s="132"/>
      <c r="G474" s="132"/>
      <c r="H474" s="132"/>
      <c r="I474" s="132"/>
      <c r="J474" s="132"/>
      <c r="K474" s="132"/>
    </row>
    <row r="475" spans="5:11" s="105" customFormat="1" x14ac:dyDescent="0.2">
      <c r="E475" s="268"/>
      <c r="F475" s="132"/>
      <c r="G475" s="132"/>
      <c r="H475" s="132"/>
      <c r="I475" s="132"/>
      <c r="J475" s="132"/>
      <c r="K475" s="132"/>
    </row>
    <row r="476" spans="5:11" s="105" customFormat="1" x14ac:dyDescent="0.2">
      <c r="E476" s="268"/>
      <c r="F476" s="132"/>
      <c r="G476" s="132"/>
      <c r="H476" s="132"/>
      <c r="I476" s="132"/>
      <c r="J476" s="132"/>
      <c r="K476" s="132"/>
    </row>
    <row r="477" spans="5:11" s="105" customFormat="1" x14ac:dyDescent="0.2">
      <c r="E477" s="268"/>
      <c r="F477" s="132"/>
      <c r="G477" s="132"/>
      <c r="H477" s="132"/>
      <c r="I477" s="132"/>
      <c r="J477" s="132"/>
      <c r="K477" s="132"/>
    </row>
    <row r="478" spans="5:11" s="105" customFormat="1" x14ac:dyDescent="0.2">
      <c r="E478" s="268"/>
      <c r="F478" s="132"/>
      <c r="G478" s="132"/>
      <c r="H478" s="132"/>
      <c r="I478" s="132"/>
      <c r="J478" s="132"/>
      <c r="K478" s="132"/>
    </row>
    <row r="479" spans="5:11" s="105" customFormat="1" x14ac:dyDescent="0.2">
      <c r="E479" s="268"/>
      <c r="F479" s="132"/>
      <c r="G479" s="132"/>
      <c r="H479" s="132"/>
      <c r="I479" s="132"/>
      <c r="J479" s="132"/>
      <c r="K479" s="132"/>
    </row>
    <row r="480" spans="5:11" s="105" customFormat="1" x14ac:dyDescent="0.2">
      <c r="E480" s="268"/>
      <c r="F480" s="132"/>
      <c r="G480" s="132"/>
      <c r="H480" s="132"/>
      <c r="I480" s="132"/>
      <c r="J480" s="132"/>
      <c r="K480" s="132"/>
    </row>
    <row r="481" spans="5:11" s="105" customFormat="1" x14ac:dyDescent="0.2">
      <c r="E481" s="268"/>
      <c r="F481" s="132"/>
      <c r="G481" s="132"/>
      <c r="H481" s="132"/>
      <c r="I481" s="132"/>
      <c r="J481" s="132"/>
      <c r="K481" s="132"/>
    </row>
    <row r="482" spans="5:11" s="105" customFormat="1" x14ac:dyDescent="0.2">
      <c r="E482" s="268"/>
      <c r="F482" s="132"/>
      <c r="G482" s="132"/>
      <c r="H482" s="132"/>
      <c r="I482" s="132"/>
      <c r="J482" s="132"/>
      <c r="K482" s="132"/>
    </row>
    <row r="483" spans="5:11" s="105" customFormat="1" x14ac:dyDescent="0.2">
      <c r="E483" s="268"/>
      <c r="F483" s="132"/>
      <c r="G483" s="132"/>
      <c r="H483" s="132"/>
      <c r="I483" s="132"/>
      <c r="J483" s="132"/>
      <c r="K483" s="132"/>
    </row>
    <row r="484" spans="5:11" s="105" customFormat="1" x14ac:dyDescent="0.2">
      <c r="E484" s="268"/>
      <c r="F484" s="132"/>
      <c r="G484" s="132"/>
      <c r="H484" s="132"/>
      <c r="I484" s="132"/>
      <c r="J484" s="132"/>
      <c r="K484" s="132"/>
    </row>
    <row r="485" spans="5:11" s="105" customFormat="1" x14ac:dyDescent="0.2">
      <c r="E485" s="268"/>
      <c r="F485" s="132"/>
      <c r="G485" s="132"/>
      <c r="H485" s="132"/>
      <c r="I485" s="132"/>
      <c r="J485" s="132"/>
      <c r="K485" s="132"/>
    </row>
    <row r="486" spans="5:11" s="105" customFormat="1" x14ac:dyDescent="0.2">
      <c r="E486" s="268"/>
      <c r="F486" s="132"/>
      <c r="G486" s="132"/>
      <c r="H486" s="132"/>
      <c r="I486" s="132"/>
      <c r="J486" s="132"/>
      <c r="K486" s="132"/>
    </row>
    <row r="487" spans="5:11" s="105" customFormat="1" x14ac:dyDescent="0.2">
      <c r="E487" s="268"/>
      <c r="F487" s="132"/>
      <c r="G487" s="132"/>
      <c r="H487" s="132"/>
      <c r="I487" s="132"/>
      <c r="J487" s="132"/>
      <c r="K487" s="132"/>
    </row>
    <row r="488" spans="5:11" s="105" customFormat="1" x14ac:dyDescent="0.2">
      <c r="E488" s="268"/>
      <c r="F488" s="132"/>
      <c r="G488" s="132"/>
      <c r="H488" s="132"/>
      <c r="I488" s="132"/>
      <c r="J488" s="132"/>
      <c r="K488" s="132"/>
    </row>
    <row r="489" spans="5:11" s="105" customFormat="1" x14ac:dyDescent="0.2">
      <c r="E489" s="268"/>
      <c r="F489" s="132"/>
      <c r="G489" s="132"/>
      <c r="H489" s="132"/>
      <c r="I489" s="132"/>
      <c r="J489" s="132"/>
      <c r="K489" s="132"/>
    </row>
    <row r="490" spans="5:11" s="105" customFormat="1" x14ac:dyDescent="0.2">
      <c r="E490" s="268"/>
      <c r="F490" s="132"/>
      <c r="G490" s="132"/>
      <c r="H490" s="132"/>
      <c r="I490" s="132"/>
      <c r="J490" s="132"/>
      <c r="K490" s="132"/>
    </row>
    <row r="491" spans="5:11" s="105" customFormat="1" x14ac:dyDescent="0.2">
      <c r="E491" s="268"/>
      <c r="F491" s="132"/>
      <c r="G491" s="132"/>
      <c r="H491" s="132"/>
      <c r="I491" s="132"/>
      <c r="J491" s="132"/>
      <c r="K491" s="132"/>
    </row>
    <row r="492" spans="5:11" s="105" customFormat="1" x14ac:dyDescent="0.2">
      <c r="E492" s="268"/>
      <c r="F492" s="132"/>
      <c r="G492" s="132"/>
      <c r="H492" s="132"/>
      <c r="I492" s="132"/>
      <c r="J492" s="132"/>
      <c r="K492" s="132"/>
    </row>
    <row r="493" spans="5:11" s="105" customFormat="1" x14ac:dyDescent="0.2">
      <c r="E493" s="268"/>
      <c r="F493" s="132"/>
      <c r="G493" s="132"/>
      <c r="H493" s="132"/>
      <c r="I493" s="132"/>
      <c r="J493" s="132"/>
      <c r="K493" s="132"/>
    </row>
    <row r="494" spans="5:11" s="105" customFormat="1" x14ac:dyDescent="0.2">
      <c r="E494" s="268"/>
      <c r="F494" s="132"/>
      <c r="G494" s="132"/>
      <c r="H494" s="132"/>
      <c r="I494" s="132"/>
      <c r="J494" s="132"/>
      <c r="K494" s="132"/>
    </row>
    <row r="495" spans="5:11" s="105" customFormat="1" x14ac:dyDescent="0.2">
      <c r="E495" s="268"/>
      <c r="F495" s="132"/>
      <c r="G495" s="132"/>
      <c r="H495" s="132"/>
      <c r="I495" s="132"/>
      <c r="J495" s="132"/>
      <c r="K495" s="132"/>
    </row>
    <row r="496" spans="5:11" s="105" customFormat="1" x14ac:dyDescent="0.2">
      <c r="E496" s="268"/>
      <c r="F496" s="132"/>
      <c r="G496" s="132"/>
      <c r="H496" s="132"/>
      <c r="I496" s="132"/>
      <c r="J496" s="132"/>
      <c r="K496" s="132"/>
    </row>
    <row r="497" spans="5:11" s="105" customFormat="1" x14ac:dyDescent="0.2">
      <c r="E497" s="268"/>
      <c r="F497" s="132"/>
      <c r="G497" s="132"/>
      <c r="H497" s="132"/>
      <c r="I497" s="132"/>
      <c r="J497" s="132"/>
      <c r="K497" s="132"/>
    </row>
    <row r="498" spans="5:11" s="105" customFormat="1" x14ac:dyDescent="0.2">
      <c r="E498" s="268"/>
      <c r="F498" s="132"/>
      <c r="G498" s="132"/>
      <c r="H498" s="132"/>
      <c r="I498" s="132"/>
      <c r="J498" s="132"/>
      <c r="K498" s="132"/>
    </row>
    <row r="499" spans="5:11" s="105" customFormat="1" x14ac:dyDescent="0.2">
      <c r="E499" s="268"/>
      <c r="F499" s="132"/>
      <c r="G499" s="132"/>
      <c r="H499" s="132"/>
      <c r="I499" s="132"/>
      <c r="J499" s="132"/>
      <c r="K499" s="132"/>
    </row>
    <row r="500" spans="5:11" s="105" customFormat="1" x14ac:dyDescent="0.2">
      <c r="E500" s="268"/>
      <c r="F500" s="132"/>
      <c r="G500" s="132"/>
      <c r="H500" s="132"/>
      <c r="I500" s="132"/>
      <c r="J500" s="132"/>
      <c r="K500" s="132"/>
    </row>
    <row r="501" spans="5:11" s="105" customFormat="1" x14ac:dyDescent="0.2">
      <c r="E501" s="268"/>
      <c r="F501" s="132"/>
      <c r="G501" s="132"/>
      <c r="H501" s="132"/>
      <c r="I501" s="132"/>
      <c r="J501" s="132"/>
      <c r="K501" s="132"/>
    </row>
    <row r="502" spans="5:11" s="105" customFormat="1" x14ac:dyDescent="0.2">
      <c r="E502" s="268"/>
      <c r="F502" s="132"/>
      <c r="G502" s="132"/>
      <c r="H502" s="132"/>
      <c r="I502" s="132"/>
      <c r="J502" s="132"/>
      <c r="K502" s="132"/>
    </row>
    <row r="503" spans="5:11" s="105" customFormat="1" x14ac:dyDescent="0.2">
      <c r="E503" s="268"/>
      <c r="F503" s="132"/>
      <c r="G503" s="132"/>
      <c r="H503" s="132"/>
      <c r="I503" s="132"/>
      <c r="J503" s="132"/>
      <c r="K503" s="132"/>
    </row>
    <row r="504" spans="5:11" s="105" customFormat="1" x14ac:dyDescent="0.2">
      <c r="E504" s="268"/>
      <c r="F504" s="132"/>
      <c r="G504" s="132"/>
      <c r="H504" s="132"/>
      <c r="I504" s="132"/>
      <c r="J504" s="132"/>
      <c r="K504" s="132"/>
    </row>
    <row r="505" spans="5:11" s="105" customFormat="1" x14ac:dyDescent="0.2">
      <c r="E505" s="268"/>
      <c r="F505" s="132"/>
      <c r="G505" s="132"/>
      <c r="H505" s="132"/>
      <c r="I505" s="132"/>
      <c r="J505" s="132"/>
      <c r="K505" s="132"/>
    </row>
    <row r="506" spans="5:11" s="105" customFormat="1" x14ac:dyDescent="0.2">
      <c r="E506" s="268"/>
      <c r="F506" s="132"/>
      <c r="G506" s="132"/>
      <c r="H506" s="132"/>
      <c r="I506" s="132"/>
      <c r="J506" s="132"/>
      <c r="K506" s="132"/>
    </row>
    <row r="507" spans="5:11" s="105" customFormat="1" x14ac:dyDescent="0.2">
      <c r="E507" s="268"/>
      <c r="F507" s="132"/>
      <c r="G507" s="132"/>
      <c r="H507" s="132"/>
      <c r="I507" s="132"/>
      <c r="J507" s="132"/>
      <c r="K507" s="132"/>
    </row>
    <row r="508" spans="5:11" s="105" customFormat="1" x14ac:dyDescent="0.2">
      <c r="E508" s="268"/>
      <c r="F508" s="132"/>
      <c r="G508" s="132"/>
      <c r="H508" s="132"/>
      <c r="I508" s="132"/>
      <c r="J508" s="132"/>
      <c r="K508" s="132"/>
    </row>
    <row r="509" spans="5:11" s="105" customFormat="1" x14ac:dyDescent="0.2">
      <c r="E509" s="268"/>
      <c r="F509" s="132"/>
      <c r="G509" s="132"/>
      <c r="H509" s="132"/>
      <c r="I509" s="132"/>
      <c r="J509" s="132"/>
      <c r="K509" s="132"/>
    </row>
    <row r="510" spans="5:11" s="105" customFormat="1" x14ac:dyDescent="0.2">
      <c r="E510" s="268"/>
      <c r="F510" s="132"/>
      <c r="G510" s="132"/>
      <c r="H510" s="132"/>
      <c r="I510" s="132"/>
      <c r="J510" s="132"/>
      <c r="K510" s="132"/>
    </row>
    <row r="511" spans="5:11" s="105" customFormat="1" x14ac:dyDescent="0.2">
      <c r="E511" s="268"/>
      <c r="F511" s="132"/>
      <c r="G511" s="132"/>
      <c r="H511" s="132"/>
      <c r="I511" s="132"/>
      <c r="J511" s="132"/>
      <c r="K511" s="132"/>
    </row>
    <row r="512" spans="5:11" s="105" customFormat="1" x14ac:dyDescent="0.2">
      <c r="E512" s="268"/>
      <c r="F512" s="132"/>
      <c r="G512" s="132"/>
      <c r="H512" s="132"/>
      <c r="I512" s="132"/>
      <c r="J512" s="132"/>
      <c r="K512" s="132"/>
    </row>
    <row r="513" spans="5:11" s="105" customFormat="1" x14ac:dyDescent="0.2">
      <c r="E513" s="268"/>
      <c r="F513" s="132"/>
      <c r="G513" s="132"/>
      <c r="H513" s="132"/>
      <c r="I513" s="132"/>
      <c r="J513" s="132"/>
      <c r="K513" s="132"/>
    </row>
    <row r="514" spans="5:11" s="105" customFormat="1" x14ac:dyDescent="0.2">
      <c r="E514" s="268"/>
      <c r="F514" s="132"/>
      <c r="G514" s="132"/>
      <c r="H514" s="132"/>
      <c r="I514" s="132"/>
      <c r="J514" s="132"/>
      <c r="K514" s="132"/>
    </row>
    <row r="515" spans="5:11" s="105" customFormat="1" x14ac:dyDescent="0.2">
      <c r="E515" s="268"/>
      <c r="F515" s="132"/>
      <c r="G515" s="132"/>
      <c r="H515" s="132"/>
      <c r="I515" s="132"/>
      <c r="J515" s="132"/>
      <c r="K515" s="132"/>
    </row>
    <row r="516" spans="5:11" s="105" customFormat="1" x14ac:dyDescent="0.2">
      <c r="E516" s="268"/>
      <c r="F516" s="132"/>
      <c r="G516" s="132"/>
      <c r="H516" s="132"/>
      <c r="I516" s="132"/>
      <c r="J516" s="132"/>
      <c r="K516" s="132"/>
    </row>
    <row r="517" spans="5:11" s="105" customFormat="1" x14ac:dyDescent="0.2">
      <c r="E517" s="268"/>
      <c r="F517" s="132"/>
      <c r="G517" s="132"/>
      <c r="H517" s="132"/>
      <c r="I517" s="132"/>
      <c r="J517" s="132"/>
      <c r="K517" s="132"/>
    </row>
    <row r="518" spans="5:11" s="105" customFormat="1" x14ac:dyDescent="0.2">
      <c r="E518" s="268"/>
      <c r="F518" s="132"/>
      <c r="G518" s="132"/>
      <c r="H518" s="132"/>
      <c r="I518" s="132"/>
      <c r="J518" s="132"/>
      <c r="K518" s="132"/>
    </row>
    <row r="519" spans="5:11" s="105" customFormat="1" x14ac:dyDescent="0.2">
      <c r="E519" s="268"/>
      <c r="F519" s="132"/>
      <c r="G519" s="132"/>
      <c r="H519" s="132"/>
      <c r="I519" s="132"/>
      <c r="J519" s="132"/>
      <c r="K519" s="132"/>
    </row>
    <row r="520" spans="5:11" s="105" customFormat="1" x14ac:dyDescent="0.2">
      <c r="E520" s="268"/>
      <c r="F520" s="132"/>
      <c r="G520" s="132"/>
      <c r="H520" s="132"/>
      <c r="I520" s="132"/>
      <c r="J520" s="132"/>
      <c r="K520" s="132"/>
    </row>
    <row r="521" spans="5:11" s="105" customFormat="1" x14ac:dyDescent="0.2">
      <c r="E521" s="268"/>
      <c r="F521" s="132"/>
      <c r="G521" s="132"/>
      <c r="H521" s="132"/>
      <c r="I521" s="132"/>
      <c r="J521" s="132"/>
      <c r="K521" s="132"/>
    </row>
    <row r="522" spans="5:11" s="105" customFormat="1" x14ac:dyDescent="0.2">
      <c r="E522" s="268"/>
      <c r="F522" s="132"/>
      <c r="G522" s="132"/>
      <c r="H522" s="132"/>
      <c r="I522" s="132"/>
      <c r="J522" s="132"/>
      <c r="K522" s="132"/>
    </row>
    <row r="523" spans="5:11" s="105" customFormat="1" x14ac:dyDescent="0.2">
      <c r="E523" s="268"/>
      <c r="F523" s="132"/>
      <c r="G523" s="132"/>
      <c r="H523" s="132"/>
      <c r="I523" s="132"/>
      <c r="J523" s="132"/>
      <c r="K523" s="132"/>
    </row>
    <row r="524" spans="5:11" s="105" customFormat="1" x14ac:dyDescent="0.2">
      <c r="E524" s="268"/>
      <c r="F524" s="132"/>
      <c r="G524" s="132"/>
      <c r="H524" s="132"/>
      <c r="I524" s="132"/>
      <c r="J524" s="132"/>
      <c r="K524" s="132"/>
    </row>
    <row r="525" spans="5:11" s="105" customFormat="1" x14ac:dyDescent="0.2">
      <c r="E525" s="268"/>
      <c r="F525" s="132"/>
      <c r="G525" s="132"/>
      <c r="H525" s="132"/>
      <c r="I525" s="132"/>
      <c r="J525" s="132"/>
      <c r="K525" s="132"/>
    </row>
    <row r="526" spans="5:11" s="105" customFormat="1" x14ac:dyDescent="0.2">
      <c r="E526" s="268"/>
      <c r="F526" s="132"/>
      <c r="G526" s="132"/>
      <c r="H526" s="132"/>
      <c r="I526" s="132"/>
      <c r="J526" s="132"/>
      <c r="K526" s="132"/>
    </row>
    <row r="527" spans="5:11" s="105" customFormat="1" x14ac:dyDescent="0.2">
      <c r="E527" s="268"/>
      <c r="F527" s="132"/>
      <c r="G527" s="132"/>
      <c r="H527" s="132"/>
      <c r="I527" s="132"/>
      <c r="J527" s="132"/>
      <c r="K527" s="132"/>
    </row>
    <row r="528" spans="5:11" s="105" customFormat="1" x14ac:dyDescent="0.2">
      <c r="E528" s="268"/>
      <c r="F528" s="132"/>
      <c r="G528" s="132"/>
      <c r="H528" s="132"/>
      <c r="I528" s="132"/>
      <c r="J528" s="132"/>
      <c r="K528" s="132"/>
    </row>
    <row r="529" spans="5:11" s="105" customFormat="1" x14ac:dyDescent="0.2">
      <c r="E529" s="268"/>
      <c r="F529" s="132"/>
      <c r="G529" s="132"/>
      <c r="H529" s="132"/>
      <c r="I529" s="132"/>
      <c r="J529" s="132"/>
      <c r="K529" s="132"/>
    </row>
    <row r="530" spans="5:11" s="105" customFormat="1" x14ac:dyDescent="0.2">
      <c r="E530" s="268"/>
      <c r="F530" s="132"/>
      <c r="G530" s="132"/>
      <c r="H530" s="132"/>
      <c r="I530" s="132"/>
      <c r="J530" s="132"/>
      <c r="K530" s="132"/>
    </row>
    <row r="531" spans="5:11" s="105" customFormat="1" x14ac:dyDescent="0.2">
      <c r="E531" s="268"/>
      <c r="F531" s="132"/>
      <c r="G531" s="132"/>
      <c r="H531" s="132"/>
      <c r="I531" s="132"/>
      <c r="J531" s="132"/>
      <c r="K531" s="132"/>
    </row>
    <row r="532" spans="5:11" s="105" customFormat="1" x14ac:dyDescent="0.2">
      <c r="E532" s="268"/>
      <c r="F532" s="132"/>
      <c r="G532" s="132"/>
      <c r="H532" s="132"/>
      <c r="I532" s="132"/>
      <c r="J532" s="132"/>
      <c r="K532" s="132"/>
    </row>
    <row r="533" spans="5:11" s="105" customFormat="1" x14ac:dyDescent="0.2">
      <c r="E533" s="268"/>
      <c r="F533" s="132"/>
      <c r="G533" s="132"/>
      <c r="H533" s="132"/>
      <c r="I533" s="132"/>
      <c r="J533" s="132"/>
      <c r="K533" s="132"/>
    </row>
    <row r="534" spans="5:11" s="105" customFormat="1" x14ac:dyDescent="0.2">
      <c r="E534" s="268"/>
      <c r="F534" s="132"/>
      <c r="G534" s="132"/>
      <c r="H534" s="132"/>
      <c r="I534" s="132"/>
      <c r="J534" s="132"/>
      <c r="K534" s="132"/>
    </row>
    <row r="535" spans="5:11" s="105" customFormat="1" x14ac:dyDescent="0.2">
      <c r="E535" s="268"/>
      <c r="F535" s="132"/>
      <c r="G535" s="132"/>
      <c r="H535" s="132"/>
      <c r="I535" s="132"/>
      <c r="J535" s="132"/>
      <c r="K535" s="132"/>
    </row>
    <row r="536" spans="5:11" s="105" customFormat="1" x14ac:dyDescent="0.2">
      <c r="E536" s="268"/>
      <c r="F536" s="132"/>
      <c r="G536" s="132"/>
      <c r="H536" s="132"/>
      <c r="I536" s="132"/>
      <c r="J536" s="132"/>
      <c r="K536" s="132"/>
    </row>
    <row r="537" spans="5:11" s="105" customFormat="1" x14ac:dyDescent="0.2">
      <c r="E537" s="268"/>
      <c r="F537" s="132"/>
      <c r="G537" s="132"/>
      <c r="H537" s="132"/>
      <c r="I537" s="132"/>
      <c r="J537" s="132"/>
      <c r="K537" s="132"/>
    </row>
    <row r="538" spans="5:11" s="105" customFormat="1" x14ac:dyDescent="0.2">
      <c r="E538" s="268"/>
      <c r="F538" s="132"/>
      <c r="G538" s="132"/>
      <c r="H538" s="132"/>
      <c r="I538" s="132"/>
      <c r="J538" s="132"/>
      <c r="K538" s="132"/>
    </row>
    <row r="539" spans="5:11" s="105" customFormat="1" x14ac:dyDescent="0.2">
      <c r="E539" s="268"/>
      <c r="F539" s="132"/>
      <c r="G539" s="132"/>
      <c r="H539" s="132"/>
      <c r="I539" s="132"/>
      <c r="J539" s="132"/>
      <c r="K539" s="132"/>
    </row>
    <row r="540" spans="5:11" s="105" customFormat="1" x14ac:dyDescent="0.2">
      <c r="E540" s="268"/>
      <c r="F540" s="132"/>
      <c r="G540" s="132"/>
      <c r="H540" s="132"/>
      <c r="I540" s="132"/>
      <c r="J540" s="132"/>
      <c r="K540" s="132"/>
    </row>
    <row r="541" spans="5:11" s="105" customFormat="1" x14ac:dyDescent="0.2">
      <c r="E541" s="268"/>
      <c r="F541" s="132"/>
      <c r="G541" s="132"/>
      <c r="H541" s="132"/>
      <c r="I541" s="132"/>
      <c r="J541" s="132"/>
      <c r="K541" s="132"/>
    </row>
    <row r="542" spans="5:11" s="105" customFormat="1" x14ac:dyDescent="0.2">
      <c r="E542" s="268"/>
      <c r="F542" s="132"/>
      <c r="G542" s="132"/>
      <c r="H542" s="132"/>
      <c r="I542" s="132"/>
      <c r="J542" s="132"/>
      <c r="K542" s="132"/>
    </row>
    <row r="543" spans="5:11" s="105" customFormat="1" x14ac:dyDescent="0.2">
      <c r="E543" s="268"/>
      <c r="F543" s="132"/>
      <c r="G543" s="132"/>
      <c r="H543" s="132"/>
      <c r="I543" s="132"/>
      <c r="J543" s="132"/>
      <c r="K543" s="132"/>
    </row>
    <row r="544" spans="5:11" s="105" customFormat="1" x14ac:dyDescent="0.2">
      <c r="E544" s="268"/>
      <c r="F544" s="132"/>
      <c r="G544" s="132"/>
      <c r="H544" s="132"/>
      <c r="I544" s="132"/>
      <c r="J544" s="132"/>
      <c r="K544" s="132"/>
    </row>
    <row r="545" spans="5:11" s="105" customFormat="1" x14ac:dyDescent="0.2">
      <c r="E545" s="268"/>
      <c r="F545" s="132"/>
      <c r="G545" s="132"/>
      <c r="H545" s="132"/>
      <c r="I545" s="132"/>
      <c r="J545" s="132"/>
      <c r="K545" s="132"/>
    </row>
    <row r="546" spans="5:11" s="105" customFormat="1" x14ac:dyDescent="0.2">
      <c r="E546" s="268"/>
      <c r="F546" s="132"/>
      <c r="G546" s="132"/>
      <c r="H546" s="132"/>
      <c r="I546" s="132"/>
      <c r="J546" s="132"/>
      <c r="K546" s="132"/>
    </row>
    <row r="547" spans="5:11" s="105" customFormat="1" x14ac:dyDescent="0.2">
      <c r="E547" s="268"/>
      <c r="F547" s="132"/>
      <c r="G547" s="132"/>
      <c r="H547" s="132"/>
      <c r="I547" s="132"/>
      <c r="J547" s="132"/>
      <c r="K547" s="132"/>
    </row>
    <row r="548" spans="5:11" s="105" customFormat="1" x14ac:dyDescent="0.2">
      <c r="E548" s="268"/>
      <c r="F548" s="132"/>
      <c r="G548" s="132"/>
      <c r="H548" s="132"/>
      <c r="I548" s="132"/>
      <c r="J548" s="132"/>
      <c r="K548" s="132"/>
    </row>
    <row r="549" spans="5:11" s="105" customFormat="1" x14ac:dyDescent="0.2">
      <c r="E549" s="268"/>
      <c r="F549" s="132"/>
      <c r="G549" s="132"/>
      <c r="H549" s="132"/>
      <c r="I549" s="132"/>
      <c r="J549" s="132"/>
      <c r="K549" s="132"/>
    </row>
    <row r="550" spans="5:11" s="105" customFormat="1" x14ac:dyDescent="0.2">
      <c r="E550" s="268"/>
      <c r="F550" s="132"/>
      <c r="G550" s="132"/>
      <c r="H550" s="132"/>
      <c r="I550" s="132"/>
      <c r="J550" s="132"/>
      <c r="K550" s="132"/>
    </row>
    <row r="551" spans="5:11" s="105" customFormat="1" x14ac:dyDescent="0.2">
      <c r="E551" s="268"/>
      <c r="F551" s="132"/>
      <c r="G551" s="132"/>
      <c r="H551" s="132"/>
      <c r="I551" s="132"/>
      <c r="J551" s="132"/>
      <c r="K551" s="132"/>
    </row>
    <row r="552" spans="5:11" s="105" customFormat="1" x14ac:dyDescent="0.2">
      <c r="E552" s="268"/>
      <c r="F552" s="132"/>
      <c r="G552" s="132"/>
      <c r="H552" s="132"/>
      <c r="I552" s="132"/>
      <c r="J552" s="132"/>
      <c r="K552" s="132"/>
    </row>
    <row r="553" spans="5:11" s="105" customFormat="1" x14ac:dyDescent="0.2">
      <c r="E553" s="268"/>
      <c r="F553" s="132"/>
      <c r="G553" s="132"/>
      <c r="H553" s="132"/>
      <c r="I553" s="132"/>
      <c r="J553" s="132"/>
      <c r="K553" s="132"/>
    </row>
    <row r="554" spans="5:11" s="105" customFormat="1" x14ac:dyDescent="0.2">
      <c r="E554" s="268"/>
      <c r="F554" s="132"/>
      <c r="G554" s="132"/>
      <c r="H554" s="132"/>
      <c r="I554" s="132"/>
      <c r="J554" s="132"/>
      <c r="K554" s="132"/>
    </row>
    <row r="555" spans="5:11" s="105" customFormat="1" x14ac:dyDescent="0.2">
      <c r="E555" s="268"/>
      <c r="F555" s="132"/>
      <c r="G555" s="132"/>
      <c r="H555" s="132"/>
      <c r="I555" s="132"/>
      <c r="J555" s="132"/>
      <c r="K555" s="132"/>
    </row>
    <row r="556" spans="5:11" s="105" customFormat="1" x14ac:dyDescent="0.2">
      <c r="E556" s="268"/>
      <c r="F556" s="132"/>
      <c r="G556" s="132"/>
      <c r="H556" s="132"/>
      <c r="I556" s="132"/>
      <c r="J556" s="132"/>
      <c r="K556" s="132"/>
    </row>
    <row r="557" spans="5:11" s="105" customFormat="1" x14ac:dyDescent="0.2">
      <c r="E557" s="268"/>
      <c r="F557" s="132"/>
      <c r="G557" s="132"/>
      <c r="H557" s="132"/>
      <c r="I557" s="132"/>
      <c r="J557" s="132"/>
      <c r="K557" s="132"/>
    </row>
    <row r="558" spans="5:11" s="105" customFormat="1" x14ac:dyDescent="0.2">
      <c r="E558" s="268"/>
      <c r="F558" s="132"/>
      <c r="G558" s="132"/>
      <c r="H558" s="132"/>
      <c r="I558" s="132"/>
      <c r="J558" s="132"/>
      <c r="K558" s="132"/>
    </row>
    <row r="559" spans="5:11" s="105" customFormat="1" x14ac:dyDescent="0.2">
      <c r="E559" s="268"/>
      <c r="F559" s="132"/>
      <c r="G559" s="132"/>
      <c r="H559" s="132"/>
      <c r="I559" s="132"/>
      <c r="J559" s="132"/>
      <c r="K559" s="132"/>
    </row>
    <row r="560" spans="5:11" s="105" customFormat="1" x14ac:dyDescent="0.2">
      <c r="E560" s="268"/>
      <c r="F560" s="132"/>
      <c r="G560" s="132"/>
      <c r="H560" s="132"/>
      <c r="I560" s="132"/>
      <c r="J560" s="132"/>
      <c r="K560" s="132"/>
    </row>
    <row r="561" spans="5:11" s="105" customFormat="1" x14ac:dyDescent="0.2">
      <c r="E561" s="268"/>
      <c r="F561" s="132"/>
      <c r="G561" s="132"/>
      <c r="H561" s="132"/>
      <c r="I561" s="132"/>
      <c r="J561" s="132"/>
      <c r="K561" s="132"/>
    </row>
    <row r="562" spans="5:11" s="105" customFormat="1" x14ac:dyDescent="0.2">
      <c r="E562" s="268"/>
      <c r="F562" s="132"/>
      <c r="G562" s="132"/>
      <c r="H562" s="132"/>
      <c r="I562" s="132"/>
      <c r="J562" s="132"/>
      <c r="K562" s="132"/>
    </row>
    <row r="563" spans="5:11" s="105" customFormat="1" x14ac:dyDescent="0.2">
      <c r="E563" s="268"/>
      <c r="F563" s="132"/>
      <c r="G563" s="132"/>
      <c r="H563" s="132"/>
      <c r="I563" s="132"/>
      <c r="J563" s="132"/>
      <c r="K563" s="132"/>
    </row>
    <row r="564" spans="5:11" s="105" customFormat="1" x14ac:dyDescent="0.2">
      <c r="E564" s="268"/>
      <c r="F564" s="132"/>
      <c r="G564" s="132"/>
      <c r="H564" s="132"/>
      <c r="I564" s="132"/>
      <c r="J564" s="132"/>
      <c r="K564" s="132"/>
    </row>
    <row r="565" spans="5:11" s="105" customFormat="1" x14ac:dyDescent="0.2">
      <c r="E565" s="268"/>
      <c r="F565" s="132"/>
      <c r="G565" s="132"/>
      <c r="H565" s="132"/>
      <c r="I565" s="132"/>
      <c r="J565" s="132"/>
      <c r="K565" s="132"/>
    </row>
    <row r="566" spans="5:11" s="105" customFormat="1" x14ac:dyDescent="0.2">
      <c r="E566" s="268"/>
      <c r="F566" s="132"/>
      <c r="G566" s="132"/>
      <c r="H566" s="132"/>
      <c r="I566" s="132"/>
      <c r="J566" s="132"/>
      <c r="K566" s="132"/>
    </row>
    <row r="567" spans="5:11" s="105" customFormat="1" x14ac:dyDescent="0.2">
      <c r="E567" s="268"/>
      <c r="F567" s="132"/>
      <c r="G567" s="132"/>
      <c r="H567" s="132"/>
      <c r="I567" s="132"/>
      <c r="J567" s="132"/>
      <c r="K567" s="132"/>
    </row>
    <row r="568" spans="5:11" s="105" customFormat="1" x14ac:dyDescent="0.2">
      <c r="E568" s="268"/>
      <c r="F568" s="132"/>
      <c r="G568" s="132"/>
      <c r="H568" s="132"/>
      <c r="I568" s="132"/>
      <c r="J568" s="132"/>
      <c r="K568" s="132"/>
    </row>
    <row r="569" spans="5:11" s="105" customFormat="1" x14ac:dyDescent="0.2">
      <c r="E569" s="268"/>
      <c r="F569" s="132"/>
      <c r="G569" s="132"/>
      <c r="H569" s="132"/>
      <c r="I569" s="132"/>
      <c r="J569" s="132"/>
      <c r="K569" s="132"/>
    </row>
    <row r="570" spans="5:11" s="105" customFormat="1" x14ac:dyDescent="0.2">
      <c r="E570" s="268"/>
      <c r="F570" s="132"/>
      <c r="G570" s="132"/>
      <c r="H570" s="132"/>
      <c r="I570" s="132"/>
      <c r="J570" s="132"/>
      <c r="K570" s="132"/>
    </row>
    <row r="571" spans="5:11" s="105" customFormat="1" x14ac:dyDescent="0.2">
      <c r="E571" s="268"/>
      <c r="F571" s="132"/>
      <c r="G571" s="132"/>
      <c r="H571" s="132"/>
      <c r="I571" s="132"/>
      <c r="J571" s="132"/>
      <c r="K571" s="132"/>
    </row>
    <row r="572" spans="5:11" s="105" customFormat="1" x14ac:dyDescent="0.2">
      <c r="E572" s="268"/>
      <c r="F572" s="132"/>
      <c r="G572" s="132"/>
      <c r="H572" s="132"/>
      <c r="I572" s="132"/>
      <c r="J572" s="132"/>
      <c r="K572" s="132"/>
    </row>
    <row r="573" spans="5:11" s="105" customFormat="1" x14ac:dyDescent="0.2">
      <c r="E573" s="268"/>
      <c r="F573" s="132"/>
      <c r="G573" s="132"/>
      <c r="H573" s="132"/>
      <c r="I573" s="132"/>
      <c r="J573" s="132"/>
      <c r="K573" s="132"/>
    </row>
    <row r="574" spans="5:11" s="105" customFormat="1" x14ac:dyDescent="0.2">
      <c r="E574" s="268"/>
      <c r="F574" s="132"/>
      <c r="G574" s="132"/>
      <c r="H574" s="132"/>
      <c r="I574" s="132"/>
      <c r="J574" s="132"/>
      <c r="K574" s="132"/>
    </row>
    <row r="575" spans="5:11" s="105" customFormat="1" x14ac:dyDescent="0.2">
      <c r="E575" s="268"/>
      <c r="F575" s="132"/>
      <c r="G575" s="132"/>
      <c r="H575" s="132"/>
      <c r="I575" s="132"/>
      <c r="J575" s="132"/>
      <c r="K575" s="132"/>
    </row>
    <row r="576" spans="5:11" s="105" customFormat="1" x14ac:dyDescent="0.2">
      <c r="E576" s="268"/>
      <c r="F576" s="132"/>
      <c r="G576" s="132"/>
      <c r="H576" s="132"/>
      <c r="I576" s="132"/>
      <c r="J576" s="132"/>
      <c r="K576" s="132"/>
    </row>
    <row r="577" spans="5:11" s="105" customFormat="1" x14ac:dyDescent="0.2">
      <c r="E577" s="268"/>
      <c r="F577" s="132"/>
      <c r="G577" s="132"/>
      <c r="H577" s="132"/>
      <c r="I577" s="132"/>
      <c r="J577" s="132"/>
      <c r="K577" s="132"/>
    </row>
    <row r="578" spans="5:11" s="105" customFormat="1" x14ac:dyDescent="0.2">
      <c r="E578" s="268"/>
      <c r="F578" s="132"/>
      <c r="G578" s="132"/>
      <c r="H578" s="132"/>
      <c r="I578" s="132"/>
      <c r="J578" s="132"/>
      <c r="K578" s="132"/>
    </row>
    <row r="579" spans="5:11" s="105" customFormat="1" x14ac:dyDescent="0.2">
      <c r="E579" s="268"/>
      <c r="F579" s="132"/>
      <c r="G579" s="132"/>
      <c r="H579" s="132"/>
      <c r="I579" s="132"/>
      <c r="J579" s="132"/>
      <c r="K579" s="132"/>
    </row>
    <row r="580" spans="5:11" s="105" customFormat="1" x14ac:dyDescent="0.2">
      <c r="E580" s="268"/>
      <c r="F580" s="132"/>
      <c r="G580" s="132"/>
      <c r="H580" s="132"/>
      <c r="I580" s="132"/>
      <c r="J580" s="132"/>
      <c r="K580" s="132"/>
    </row>
    <row r="581" spans="5:11" s="105" customFormat="1" x14ac:dyDescent="0.2">
      <c r="E581" s="268"/>
      <c r="F581" s="132"/>
      <c r="G581" s="132"/>
      <c r="H581" s="132"/>
      <c r="I581" s="132"/>
      <c r="J581" s="132"/>
      <c r="K581" s="132"/>
    </row>
    <row r="582" spans="5:11" s="105" customFormat="1" x14ac:dyDescent="0.2">
      <c r="E582" s="268"/>
      <c r="F582" s="132"/>
      <c r="G582" s="132"/>
      <c r="H582" s="132"/>
      <c r="I582" s="132"/>
      <c r="J582" s="132"/>
      <c r="K582" s="132"/>
    </row>
    <row r="583" spans="5:11" s="105" customFormat="1" x14ac:dyDescent="0.2">
      <c r="E583" s="268"/>
      <c r="F583" s="132"/>
      <c r="G583" s="132"/>
      <c r="H583" s="132"/>
      <c r="I583" s="132"/>
      <c r="J583" s="132"/>
      <c r="K583" s="132"/>
    </row>
    <row r="584" spans="5:11" s="105" customFormat="1" x14ac:dyDescent="0.2">
      <c r="E584" s="268"/>
      <c r="F584" s="132"/>
      <c r="G584" s="132"/>
      <c r="H584" s="132"/>
      <c r="I584" s="132"/>
      <c r="J584" s="132"/>
      <c r="K584" s="132"/>
    </row>
    <row r="585" spans="5:11" s="105" customFormat="1" x14ac:dyDescent="0.2">
      <c r="E585" s="268"/>
      <c r="F585" s="132"/>
      <c r="G585" s="132"/>
      <c r="H585" s="132"/>
      <c r="I585" s="132"/>
      <c r="J585" s="132"/>
      <c r="K585" s="132"/>
    </row>
    <row r="586" spans="5:11" s="105" customFormat="1" x14ac:dyDescent="0.2">
      <c r="E586" s="268"/>
      <c r="F586" s="132"/>
      <c r="G586" s="132"/>
      <c r="H586" s="132"/>
      <c r="I586" s="132"/>
      <c r="J586" s="132"/>
      <c r="K586" s="132"/>
    </row>
    <row r="587" spans="5:11" s="105" customFormat="1" x14ac:dyDescent="0.2">
      <c r="E587" s="268"/>
      <c r="F587" s="132"/>
      <c r="G587" s="132"/>
      <c r="H587" s="132"/>
      <c r="I587" s="132"/>
      <c r="J587" s="132"/>
      <c r="K587" s="132"/>
    </row>
    <row r="588" spans="5:11" s="105" customFormat="1" x14ac:dyDescent="0.2">
      <c r="E588" s="268"/>
      <c r="F588" s="132"/>
      <c r="G588" s="132"/>
      <c r="H588" s="132"/>
      <c r="I588" s="132"/>
      <c r="J588" s="132"/>
      <c r="K588" s="132"/>
    </row>
    <row r="589" spans="5:11" s="105" customFormat="1" x14ac:dyDescent="0.2">
      <c r="E589" s="268"/>
      <c r="F589" s="132"/>
      <c r="G589" s="132"/>
      <c r="H589" s="132"/>
      <c r="I589" s="132"/>
      <c r="J589" s="132"/>
      <c r="K589" s="132"/>
    </row>
    <row r="590" spans="5:11" s="105" customFormat="1" x14ac:dyDescent="0.2">
      <c r="E590" s="268"/>
      <c r="F590" s="132"/>
      <c r="G590" s="132"/>
      <c r="H590" s="132"/>
      <c r="I590" s="132"/>
      <c r="J590" s="132"/>
      <c r="K590" s="132"/>
    </row>
    <row r="591" spans="5:11" s="105" customFormat="1" x14ac:dyDescent="0.2">
      <c r="E591" s="268"/>
      <c r="F591" s="132"/>
      <c r="G591" s="132"/>
      <c r="H591" s="132"/>
      <c r="I591" s="132"/>
      <c r="J591" s="132"/>
      <c r="K591" s="132"/>
    </row>
    <row r="592" spans="5:11" s="105" customFormat="1" x14ac:dyDescent="0.2">
      <c r="E592" s="268"/>
      <c r="F592" s="132"/>
      <c r="G592" s="132"/>
      <c r="H592" s="132"/>
      <c r="I592" s="132"/>
      <c r="J592" s="132"/>
      <c r="K592" s="132"/>
    </row>
    <row r="593" spans="5:11" s="105" customFormat="1" x14ac:dyDescent="0.2">
      <c r="E593" s="268"/>
      <c r="F593" s="132"/>
      <c r="G593" s="132"/>
      <c r="H593" s="132"/>
      <c r="I593" s="132"/>
      <c r="J593" s="132"/>
      <c r="K593" s="132"/>
    </row>
    <row r="594" spans="5:11" s="105" customFormat="1" x14ac:dyDescent="0.2">
      <c r="E594" s="268"/>
      <c r="F594" s="132"/>
      <c r="G594" s="132"/>
      <c r="H594" s="132"/>
      <c r="I594" s="132"/>
      <c r="J594" s="132"/>
      <c r="K594" s="132"/>
    </row>
    <row r="595" spans="5:11" s="105" customFormat="1" x14ac:dyDescent="0.2">
      <c r="E595" s="268"/>
      <c r="F595" s="132"/>
      <c r="G595" s="132"/>
      <c r="H595" s="132"/>
      <c r="I595" s="132"/>
      <c r="J595" s="132"/>
      <c r="K595" s="132"/>
    </row>
    <row r="596" spans="5:11" s="105" customFormat="1" x14ac:dyDescent="0.2">
      <c r="E596" s="268"/>
      <c r="F596" s="132"/>
      <c r="G596" s="132"/>
      <c r="H596" s="132"/>
      <c r="I596" s="132"/>
      <c r="J596" s="132"/>
      <c r="K596" s="132"/>
    </row>
    <row r="597" spans="5:11" s="105" customFormat="1" x14ac:dyDescent="0.2">
      <c r="E597" s="268"/>
      <c r="F597" s="132"/>
      <c r="G597" s="132"/>
      <c r="H597" s="132"/>
      <c r="I597" s="132"/>
      <c r="J597" s="132"/>
      <c r="K597" s="132"/>
    </row>
    <row r="598" spans="5:11" s="105" customFormat="1" x14ac:dyDescent="0.2">
      <c r="E598" s="268"/>
      <c r="F598" s="132"/>
      <c r="G598" s="132"/>
      <c r="H598" s="132"/>
      <c r="I598" s="132"/>
      <c r="J598" s="132"/>
      <c r="K598" s="132"/>
    </row>
    <row r="599" spans="5:11" s="105" customFormat="1" x14ac:dyDescent="0.2">
      <c r="E599" s="268"/>
      <c r="F599" s="132"/>
      <c r="G599" s="132"/>
      <c r="H599" s="132"/>
      <c r="I599" s="132"/>
      <c r="J599" s="132"/>
      <c r="K599" s="132"/>
    </row>
    <row r="600" spans="5:11" s="105" customFormat="1" x14ac:dyDescent="0.2">
      <c r="E600" s="268"/>
      <c r="F600" s="132"/>
      <c r="G600" s="132"/>
      <c r="H600" s="132"/>
      <c r="I600" s="132"/>
      <c r="J600" s="132"/>
      <c r="K600" s="132"/>
    </row>
    <row r="601" spans="5:11" s="105" customFormat="1" x14ac:dyDescent="0.2">
      <c r="E601" s="268"/>
      <c r="F601" s="132"/>
      <c r="G601" s="132"/>
      <c r="H601" s="132"/>
      <c r="I601" s="132"/>
      <c r="J601" s="132"/>
      <c r="K601" s="132"/>
    </row>
    <row r="602" spans="5:11" s="105" customFormat="1" x14ac:dyDescent="0.2">
      <c r="E602" s="268"/>
      <c r="F602" s="132"/>
      <c r="G602" s="132"/>
      <c r="H602" s="132"/>
      <c r="I602" s="132"/>
      <c r="J602" s="132"/>
      <c r="K602" s="132"/>
    </row>
    <row r="603" spans="5:11" s="105" customFormat="1" x14ac:dyDescent="0.2">
      <c r="E603" s="268"/>
      <c r="F603" s="132"/>
      <c r="G603" s="132"/>
      <c r="H603" s="132"/>
      <c r="I603" s="132"/>
      <c r="J603" s="132"/>
      <c r="K603" s="132"/>
    </row>
    <row r="604" spans="5:11" s="105" customFormat="1" x14ac:dyDescent="0.2">
      <c r="E604" s="268"/>
      <c r="F604" s="132"/>
      <c r="G604" s="132"/>
      <c r="H604" s="132"/>
      <c r="I604" s="132"/>
      <c r="J604" s="132"/>
      <c r="K604" s="132"/>
    </row>
    <row r="605" spans="5:11" s="105" customFormat="1" x14ac:dyDescent="0.2">
      <c r="E605" s="268"/>
      <c r="F605" s="132"/>
      <c r="G605" s="132"/>
      <c r="H605" s="132"/>
      <c r="I605" s="132"/>
      <c r="J605" s="132"/>
      <c r="K605" s="132"/>
    </row>
    <row r="606" spans="5:11" s="105" customFormat="1" x14ac:dyDescent="0.2">
      <c r="E606" s="268"/>
      <c r="F606" s="132"/>
      <c r="G606" s="132"/>
      <c r="H606" s="132"/>
      <c r="I606" s="132"/>
      <c r="J606" s="132"/>
      <c r="K606" s="132"/>
    </row>
    <row r="607" spans="5:11" s="105" customFormat="1" x14ac:dyDescent="0.2">
      <c r="E607" s="268"/>
      <c r="F607" s="132"/>
      <c r="G607" s="132"/>
      <c r="H607" s="132"/>
      <c r="I607" s="132"/>
      <c r="J607" s="132"/>
      <c r="K607" s="132"/>
    </row>
    <row r="608" spans="5:11" s="105" customFormat="1" x14ac:dyDescent="0.2">
      <c r="E608" s="268"/>
      <c r="F608" s="132"/>
      <c r="G608" s="132"/>
      <c r="H608" s="132"/>
      <c r="I608" s="132"/>
      <c r="J608" s="132"/>
      <c r="K608" s="132"/>
    </row>
    <row r="609" spans="5:11" s="105" customFormat="1" x14ac:dyDescent="0.2">
      <c r="E609" s="268"/>
      <c r="F609" s="132"/>
      <c r="G609" s="132"/>
      <c r="H609" s="132"/>
      <c r="I609" s="132"/>
      <c r="J609" s="132"/>
      <c r="K609" s="132"/>
    </row>
    <row r="610" spans="5:11" s="105" customFormat="1" x14ac:dyDescent="0.2">
      <c r="E610" s="268"/>
      <c r="F610" s="132"/>
      <c r="G610" s="132"/>
      <c r="H610" s="132"/>
      <c r="I610" s="132"/>
      <c r="J610" s="132"/>
      <c r="K610" s="132"/>
    </row>
    <row r="611" spans="5:11" s="105" customFormat="1" x14ac:dyDescent="0.2">
      <c r="E611" s="268"/>
      <c r="F611" s="132"/>
      <c r="G611" s="132"/>
      <c r="H611" s="132"/>
      <c r="I611" s="132"/>
      <c r="J611" s="132"/>
      <c r="K611" s="132"/>
    </row>
    <row r="612" spans="5:11" s="105" customFormat="1" x14ac:dyDescent="0.2">
      <c r="E612" s="268"/>
      <c r="F612" s="132"/>
      <c r="G612" s="132"/>
      <c r="H612" s="132"/>
      <c r="I612" s="132"/>
      <c r="J612" s="132"/>
      <c r="K612" s="132"/>
    </row>
    <row r="613" spans="5:11" s="105" customFormat="1" x14ac:dyDescent="0.2">
      <c r="E613" s="268"/>
      <c r="F613" s="132"/>
      <c r="G613" s="132"/>
      <c r="H613" s="132"/>
      <c r="I613" s="132"/>
      <c r="J613" s="132"/>
      <c r="K613" s="132"/>
    </row>
    <row r="614" spans="5:11" s="105" customFormat="1" x14ac:dyDescent="0.2">
      <c r="E614" s="268"/>
      <c r="F614" s="132"/>
      <c r="G614" s="132"/>
      <c r="H614" s="132"/>
      <c r="I614" s="132"/>
      <c r="J614" s="132"/>
      <c r="K614" s="132"/>
    </row>
    <row r="615" spans="5:11" s="105" customFormat="1" x14ac:dyDescent="0.2">
      <c r="E615" s="268"/>
      <c r="F615" s="132"/>
      <c r="G615" s="132"/>
      <c r="H615" s="132"/>
      <c r="I615" s="132"/>
      <c r="J615" s="132"/>
      <c r="K615" s="132"/>
    </row>
    <row r="616" spans="5:11" s="105" customFormat="1" x14ac:dyDescent="0.2">
      <c r="E616" s="268"/>
      <c r="F616" s="132"/>
      <c r="G616" s="132"/>
      <c r="H616" s="132"/>
      <c r="I616" s="132"/>
      <c r="J616" s="132"/>
      <c r="K616" s="132"/>
    </row>
    <row r="617" spans="5:11" s="105" customFormat="1" x14ac:dyDescent="0.2">
      <c r="E617" s="268"/>
      <c r="F617" s="132"/>
      <c r="G617" s="132"/>
      <c r="H617" s="132"/>
      <c r="I617" s="132"/>
      <c r="J617" s="132"/>
      <c r="K617" s="132"/>
    </row>
    <row r="618" spans="5:11" s="105" customFormat="1" x14ac:dyDescent="0.2">
      <c r="E618" s="268"/>
      <c r="F618" s="132"/>
      <c r="G618" s="132"/>
      <c r="H618" s="132"/>
      <c r="I618" s="132"/>
      <c r="J618" s="132"/>
      <c r="K618" s="132"/>
    </row>
    <row r="619" spans="5:11" s="105" customFormat="1" x14ac:dyDescent="0.2">
      <c r="E619" s="268"/>
      <c r="F619" s="132"/>
      <c r="G619" s="132"/>
      <c r="H619" s="132"/>
      <c r="I619" s="132"/>
      <c r="J619" s="132"/>
      <c r="K619" s="132"/>
    </row>
    <row r="620" spans="5:11" s="105" customFormat="1" x14ac:dyDescent="0.2">
      <c r="E620" s="268"/>
      <c r="F620" s="132"/>
      <c r="G620" s="132"/>
      <c r="H620" s="132"/>
      <c r="I620" s="132"/>
      <c r="J620" s="132"/>
      <c r="K620" s="132"/>
    </row>
    <row r="621" spans="5:11" s="105" customFormat="1" x14ac:dyDescent="0.2">
      <c r="E621" s="268"/>
      <c r="F621" s="132"/>
      <c r="G621" s="132"/>
      <c r="H621" s="132"/>
      <c r="I621" s="132"/>
      <c r="J621" s="132"/>
      <c r="K621" s="132"/>
    </row>
    <row r="622" spans="5:11" s="105" customFormat="1" x14ac:dyDescent="0.2">
      <c r="E622" s="268"/>
      <c r="F622" s="132"/>
      <c r="G622" s="132"/>
      <c r="H622" s="132"/>
      <c r="I622" s="132"/>
      <c r="J622" s="132"/>
      <c r="K622" s="132"/>
    </row>
    <row r="623" spans="5:11" s="105" customFormat="1" x14ac:dyDescent="0.2">
      <c r="E623" s="268"/>
      <c r="F623" s="132"/>
      <c r="G623" s="132"/>
      <c r="H623" s="132"/>
      <c r="I623" s="132"/>
      <c r="J623" s="132"/>
      <c r="K623" s="132"/>
    </row>
    <row r="624" spans="5:11" s="105" customFormat="1" x14ac:dyDescent="0.2">
      <c r="E624" s="268"/>
      <c r="F624" s="132"/>
      <c r="G624" s="132"/>
      <c r="H624" s="132"/>
      <c r="I624" s="132"/>
      <c r="J624" s="132"/>
      <c r="K624" s="132"/>
    </row>
    <row r="625" spans="5:11" s="105" customFormat="1" x14ac:dyDescent="0.2">
      <c r="E625" s="268"/>
      <c r="F625" s="132"/>
      <c r="G625" s="132"/>
      <c r="H625" s="132"/>
      <c r="I625" s="132"/>
      <c r="J625" s="132"/>
      <c r="K625" s="132"/>
    </row>
    <row r="626" spans="5:11" s="105" customFormat="1" x14ac:dyDescent="0.2">
      <c r="E626" s="268"/>
      <c r="F626" s="132"/>
      <c r="G626" s="132"/>
      <c r="H626" s="132"/>
      <c r="I626" s="132"/>
      <c r="J626" s="132"/>
      <c r="K626" s="132"/>
    </row>
    <row r="627" spans="5:11" s="105" customFormat="1" x14ac:dyDescent="0.2">
      <c r="E627" s="268"/>
      <c r="F627" s="132"/>
      <c r="G627" s="132"/>
      <c r="H627" s="132"/>
      <c r="I627" s="132"/>
      <c r="J627" s="132"/>
      <c r="K627" s="132"/>
    </row>
    <row r="628" spans="5:11" s="105" customFormat="1" x14ac:dyDescent="0.2">
      <c r="E628" s="268"/>
      <c r="F628" s="132"/>
      <c r="G628" s="132"/>
      <c r="H628" s="132"/>
      <c r="I628" s="132"/>
      <c r="J628" s="132"/>
      <c r="K628" s="132"/>
    </row>
    <row r="629" spans="5:11" s="105" customFormat="1" x14ac:dyDescent="0.2">
      <c r="E629" s="268"/>
      <c r="F629" s="132"/>
      <c r="G629" s="132"/>
      <c r="H629" s="132"/>
      <c r="I629" s="132"/>
      <c r="J629" s="132"/>
      <c r="K629" s="132"/>
    </row>
    <row r="630" spans="5:11" s="105" customFormat="1" x14ac:dyDescent="0.2">
      <c r="E630" s="268"/>
      <c r="F630" s="132"/>
      <c r="G630" s="132"/>
      <c r="H630" s="132"/>
      <c r="I630" s="132"/>
      <c r="J630" s="132"/>
      <c r="K630" s="132"/>
    </row>
    <row r="631" spans="5:11" s="105" customFormat="1" x14ac:dyDescent="0.2">
      <c r="E631" s="268"/>
      <c r="F631" s="132"/>
      <c r="G631" s="132"/>
      <c r="H631" s="132"/>
      <c r="I631" s="132"/>
      <c r="J631" s="132"/>
      <c r="K631" s="132"/>
    </row>
    <row r="632" spans="5:11" s="105" customFormat="1" x14ac:dyDescent="0.2">
      <c r="E632" s="268"/>
      <c r="F632" s="132"/>
      <c r="G632" s="132"/>
      <c r="H632" s="132"/>
      <c r="I632" s="132"/>
      <c r="J632" s="132"/>
      <c r="K632" s="132"/>
    </row>
    <row r="633" spans="5:11" s="105" customFormat="1" x14ac:dyDescent="0.2">
      <c r="E633" s="268"/>
      <c r="F633" s="132"/>
      <c r="G633" s="132"/>
      <c r="H633" s="132"/>
      <c r="I633" s="132"/>
      <c r="J633" s="132"/>
      <c r="K633" s="132"/>
    </row>
    <row r="634" spans="5:11" s="105" customFormat="1" x14ac:dyDescent="0.2">
      <c r="E634" s="268"/>
      <c r="F634" s="132"/>
      <c r="G634" s="132"/>
      <c r="H634" s="132"/>
      <c r="I634" s="132"/>
      <c r="J634" s="132"/>
      <c r="K634" s="132"/>
    </row>
    <row r="635" spans="5:11" s="105" customFormat="1" x14ac:dyDescent="0.2">
      <c r="E635" s="268"/>
      <c r="F635" s="132"/>
      <c r="G635" s="132"/>
      <c r="H635" s="132"/>
      <c r="I635" s="132"/>
      <c r="J635" s="132"/>
      <c r="K635" s="132"/>
    </row>
    <row r="636" spans="5:11" s="105" customFormat="1" x14ac:dyDescent="0.2">
      <c r="E636" s="268"/>
      <c r="F636" s="132"/>
      <c r="G636" s="132"/>
      <c r="H636" s="132"/>
      <c r="I636" s="132"/>
      <c r="J636" s="132"/>
      <c r="K636" s="132"/>
    </row>
    <row r="637" spans="5:11" s="105" customFormat="1" x14ac:dyDescent="0.2">
      <c r="E637" s="268"/>
      <c r="F637" s="132"/>
      <c r="G637" s="132"/>
      <c r="H637" s="132"/>
      <c r="I637" s="132"/>
      <c r="J637" s="132"/>
      <c r="K637" s="132"/>
    </row>
    <row r="638" spans="5:11" s="105" customFormat="1" x14ac:dyDescent="0.2">
      <c r="E638" s="268"/>
      <c r="F638" s="132"/>
      <c r="G638" s="132"/>
      <c r="H638" s="132"/>
      <c r="I638" s="132"/>
      <c r="J638" s="132"/>
      <c r="K638" s="132"/>
    </row>
    <row r="639" spans="5:11" s="105" customFormat="1" x14ac:dyDescent="0.2">
      <c r="E639" s="268"/>
      <c r="F639" s="132"/>
      <c r="G639" s="132"/>
      <c r="H639" s="132"/>
      <c r="I639" s="132"/>
      <c r="J639" s="132"/>
      <c r="K639" s="132"/>
    </row>
    <row r="640" spans="5:11" s="105" customFormat="1" x14ac:dyDescent="0.2">
      <c r="E640" s="268"/>
      <c r="F640" s="132"/>
      <c r="G640" s="132"/>
      <c r="H640" s="132"/>
      <c r="I640" s="132"/>
      <c r="J640" s="132"/>
      <c r="K640" s="132"/>
    </row>
    <row r="641" spans="5:11" s="105" customFormat="1" x14ac:dyDescent="0.2">
      <c r="E641" s="268"/>
      <c r="F641" s="132"/>
      <c r="G641" s="132"/>
      <c r="H641" s="132"/>
      <c r="I641" s="132"/>
      <c r="J641" s="132"/>
      <c r="K641" s="132"/>
    </row>
    <row r="642" spans="5:11" s="105" customFormat="1" x14ac:dyDescent="0.2">
      <c r="E642" s="268"/>
      <c r="F642" s="132"/>
      <c r="G642" s="132"/>
      <c r="H642" s="132"/>
      <c r="I642" s="132"/>
      <c r="J642" s="132"/>
      <c r="K642" s="132"/>
    </row>
    <row r="643" spans="5:11" s="105" customFormat="1" x14ac:dyDescent="0.2">
      <c r="E643" s="268"/>
      <c r="F643" s="132"/>
      <c r="G643" s="132"/>
      <c r="H643" s="132"/>
      <c r="I643" s="132"/>
      <c r="J643" s="132"/>
      <c r="K643" s="132"/>
    </row>
    <row r="644" spans="5:11" s="105" customFormat="1" x14ac:dyDescent="0.2">
      <c r="E644" s="268"/>
      <c r="F644" s="132"/>
      <c r="G644" s="132"/>
      <c r="H644" s="132"/>
      <c r="I644" s="132"/>
      <c r="J644" s="132"/>
      <c r="K644" s="132"/>
    </row>
    <row r="645" spans="5:11" s="105" customFormat="1" x14ac:dyDescent="0.2">
      <c r="E645" s="268"/>
      <c r="F645" s="132"/>
      <c r="G645" s="132"/>
      <c r="H645" s="132"/>
      <c r="I645" s="132"/>
      <c r="J645" s="132"/>
      <c r="K645" s="132"/>
    </row>
    <row r="646" spans="5:11" s="105" customFormat="1" x14ac:dyDescent="0.2">
      <c r="E646" s="268"/>
      <c r="F646" s="132"/>
      <c r="G646" s="132"/>
      <c r="H646" s="132"/>
      <c r="I646" s="132"/>
      <c r="J646" s="132"/>
      <c r="K646" s="132"/>
    </row>
    <row r="647" spans="5:11" s="105" customFormat="1" x14ac:dyDescent="0.2">
      <c r="E647" s="268"/>
      <c r="F647" s="132"/>
      <c r="G647" s="132"/>
      <c r="H647" s="132"/>
      <c r="I647" s="132"/>
      <c r="J647" s="132"/>
      <c r="K647" s="132"/>
    </row>
    <row r="648" spans="5:11" s="105" customFormat="1" x14ac:dyDescent="0.2">
      <c r="E648" s="268"/>
      <c r="F648" s="132"/>
      <c r="G648" s="132"/>
      <c r="H648" s="132"/>
      <c r="I648" s="132"/>
      <c r="J648" s="132"/>
      <c r="K648" s="132"/>
    </row>
    <row r="649" spans="5:11" s="105" customFormat="1" x14ac:dyDescent="0.2">
      <c r="E649" s="268"/>
      <c r="F649" s="132"/>
      <c r="G649" s="132"/>
      <c r="H649" s="132"/>
      <c r="I649" s="132"/>
      <c r="J649" s="132"/>
      <c r="K649" s="132"/>
    </row>
    <row r="650" spans="5:11" s="105" customFormat="1" x14ac:dyDescent="0.2">
      <c r="E650" s="268"/>
      <c r="F650" s="132"/>
      <c r="G650" s="132"/>
      <c r="H650" s="132"/>
      <c r="I650" s="132"/>
      <c r="J650" s="132"/>
      <c r="K650" s="132"/>
    </row>
    <row r="651" spans="5:11" s="105" customFormat="1" x14ac:dyDescent="0.2">
      <c r="E651" s="268"/>
      <c r="F651" s="132"/>
      <c r="G651" s="132"/>
      <c r="H651" s="132"/>
      <c r="I651" s="132"/>
      <c r="J651" s="132"/>
      <c r="K651" s="132"/>
    </row>
    <row r="652" spans="5:11" s="105" customFormat="1" x14ac:dyDescent="0.2">
      <c r="E652" s="268"/>
      <c r="F652" s="132"/>
      <c r="G652" s="132"/>
      <c r="H652" s="132"/>
      <c r="I652" s="132"/>
      <c r="J652" s="132"/>
      <c r="K652" s="132"/>
    </row>
    <row r="653" spans="5:11" s="105" customFormat="1" x14ac:dyDescent="0.2">
      <c r="E653" s="268"/>
      <c r="F653" s="132"/>
      <c r="G653" s="132"/>
      <c r="H653" s="132"/>
      <c r="I653" s="132"/>
      <c r="J653" s="132"/>
      <c r="K653" s="132"/>
    </row>
    <row r="654" spans="5:11" s="105" customFormat="1" x14ac:dyDescent="0.2">
      <c r="E654" s="268"/>
      <c r="F654" s="132"/>
      <c r="G654" s="132"/>
      <c r="H654" s="132"/>
      <c r="I654" s="132"/>
      <c r="J654" s="132"/>
      <c r="K654" s="132"/>
    </row>
    <row r="655" spans="5:11" s="105" customFormat="1" x14ac:dyDescent="0.2">
      <c r="E655" s="268"/>
      <c r="F655" s="132"/>
      <c r="G655" s="132"/>
      <c r="H655" s="132"/>
      <c r="I655" s="132"/>
      <c r="J655" s="132"/>
      <c r="K655" s="132"/>
    </row>
    <row r="656" spans="5:11" s="105" customFormat="1" x14ac:dyDescent="0.2">
      <c r="E656" s="268"/>
      <c r="F656" s="132"/>
      <c r="G656" s="132"/>
      <c r="H656" s="132"/>
      <c r="I656" s="132"/>
      <c r="J656" s="132"/>
      <c r="K656" s="132"/>
    </row>
    <row r="657" spans="5:11" s="105" customFormat="1" x14ac:dyDescent="0.2">
      <c r="E657" s="268"/>
      <c r="F657" s="132"/>
      <c r="G657" s="132"/>
      <c r="H657" s="132"/>
      <c r="I657" s="132"/>
      <c r="J657" s="132"/>
      <c r="K657" s="132"/>
    </row>
    <row r="658" spans="5:11" s="105" customFormat="1" x14ac:dyDescent="0.2">
      <c r="E658" s="268"/>
      <c r="F658" s="132"/>
      <c r="G658" s="132"/>
      <c r="H658" s="132"/>
      <c r="I658" s="132"/>
      <c r="J658" s="132"/>
      <c r="K658" s="132"/>
    </row>
    <row r="659" spans="5:11" s="105" customFormat="1" x14ac:dyDescent="0.2">
      <c r="E659" s="268"/>
      <c r="F659" s="132"/>
      <c r="G659" s="132"/>
      <c r="H659" s="132"/>
      <c r="I659" s="132"/>
      <c r="J659" s="132"/>
      <c r="K659" s="132"/>
    </row>
    <row r="660" spans="5:11" s="105" customFormat="1" x14ac:dyDescent="0.2">
      <c r="E660" s="268"/>
      <c r="F660" s="132"/>
      <c r="G660" s="132"/>
      <c r="H660" s="132"/>
      <c r="I660" s="132"/>
      <c r="J660" s="132"/>
      <c r="K660" s="132"/>
    </row>
    <row r="661" spans="5:11" s="105" customFormat="1" x14ac:dyDescent="0.2">
      <c r="E661" s="268"/>
      <c r="F661" s="132"/>
      <c r="G661" s="132"/>
      <c r="H661" s="132"/>
      <c r="I661" s="132"/>
      <c r="J661" s="132"/>
      <c r="K661" s="132"/>
    </row>
    <row r="662" spans="5:11" s="105" customFormat="1" x14ac:dyDescent="0.2">
      <c r="E662" s="268"/>
      <c r="F662" s="132"/>
      <c r="G662" s="132"/>
      <c r="H662" s="132"/>
      <c r="I662" s="132"/>
      <c r="J662" s="132"/>
      <c r="K662" s="132"/>
    </row>
    <row r="663" spans="5:11" s="105" customFormat="1" x14ac:dyDescent="0.2">
      <c r="E663" s="268"/>
      <c r="F663" s="132"/>
      <c r="G663" s="132"/>
      <c r="H663" s="132"/>
      <c r="I663" s="132"/>
      <c r="J663" s="132"/>
      <c r="K663" s="132"/>
    </row>
    <row r="664" spans="5:11" s="105" customFormat="1" x14ac:dyDescent="0.2">
      <c r="E664" s="268"/>
      <c r="F664" s="132"/>
      <c r="G664" s="132"/>
      <c r="H664" s="132"/>
      <c r="I664" s="132"/>
      <c r="J664" s="132"/>
      <c r="K664" s="132"/>
    </row>
    <row r="665" spans="5:11" s="105" customFormat="1" x14ac:dyDescent="0.2">
      <c r="E665" s="268"/>
      <c r="F665" s="132"/>
      <c r="G665" s="132"/>
      <c r="H665" s="132"/>
      <c r="I665" s="132"/>
      <c r="J665" s="132"/>
      <c r="K665" s="132"/>
    </row>
    <row r="666" spans="5:11" s="105" customFormat="1" x14ac:dyDescent="0.2">
      <c r="E666" s="268"/>
      <c r="F666" s="132"/>
      <c r="G666" s="132"/>
      <c r="H666" s="132"/>
      <c r="I666" s="132"/>
      <c r="J666" s="132"/>
      <c r="K666" s="132"/>
    </row>
    <row r="667" spans="5:11" s="105" customFormat="1" x14ac:dyDescent="0.2">
      <c r="E667" s="268"/>
      <c r="F667" s="132"/>
      <c r="G667" s="132"/>
      <c r="H667" s="132"/>
      <c r="I667" s="132"/>
      <c r="J667" s="132"/>
      <c r="K667" s="132"/>
    </row>
    <row r="668" spans="5:11" s="105" customFormat="1" x14ac:dyDescent="0.2">
      <c r="E668" s="268"/>
      <c r="F668" s="132"/>
      <c r="G668" s="132"/>
      <c r="H668" s="132"/>
      <c r="I668" s="132"/>
      <c r="J668" s="132"/>
      <c r="K668" s="132"/>
    </row>
    <row r="669" spans="5:11" s="105" customFormat="1" x14ac:dyDescent="0.2">
      <c r="E669" s="268"/>
      <c r="F669" s="132"/>
      <c r="G669" s="132"/>
      <c r="H669" s="132"/>
      <c r="I669" s="132"/>
      <c r="J669" s="132"/>
      <c r="K669" s="132"/>
    </row>
    <row r="670" spans="5:11" s="105" customFormat="1" x14ac:dyDescent="0.2">
      <c r="E670" s="268"/>
      <c r="F670" s="132"/>
      <c r="G670" s="132"/>
      <c r="H670" s="132"/>
      <c r="I670" s="132"/>
      <c r="J670" s="132"/>
      <c r="K670" s="132"/>
    </row>
    <row r="671" spans="5:11" s="105" customFormat="1" x14ac:dyDescent="0.2">
      <c r="E671" s="268"/>
      <c r="F671" s="132"/>
      <c r="G671" s="132"/>
      <c r="H671" s="132"/>
      <c r="I671" s="132"/>
      <c r="J671" s="132"/>
      <c r="K671" s="132"/>
    </row>
    <row r="672" spans="5:11" s="105" customFormat="1" x14ac:dyDescent="0.2">
      <c r="E672" s="268"/>
      <c r="F672" s="132"/>
      <c r="G672" s="132"/>
      <c r="H672" s="132"/>
      <c r="I672" s="132"/>
      <c r="J672" s="132"/>
      <c r="K672" s="132"/>
    </row>
    <row r="673" spans="5:11" s="105" customFormat="1" x14ac:dyDescent="0.2">
      <c r="E673" s="268"/>
      <c r="F673" s="132"/>
      <c r="G673" s="132"/>
      <c r="H673" s="132"/>
      <c r="I673" s="132"/>
      <c r="J673" s="132"/>
      <c r="K673" s="132"/>
    </row>
    <row r="674" spans="5:11" s="105" customFormat="1" x14ac:dyDescent="0.2">
      <c r="E674" s="268"/>
      <c r="F674" s="132"/>
      <c r="G674" s="132"/>
      <c r="H674" s="132"/>
      <c r="I674" s="132"/>
      <c r="J674" s="132"/>
      <c r="K674" s="132"/>
    </row>
    <row r="675" spans="5:11" s="105" customFormat="1" x14ac:dyDescent="0.2">
      <c r="E675" s="268"/>
      <c r="F675" s="132"/>
      <c r="G675" s="132"/>
      <c r="H675" s="132"/>
      <c r="I675" s="132"/>
      <c r="J675" s="132"/>
      <c r="K675" s="132"/>
    </row>
    <row r="676" spans="5:11" s="105" customFormat="1" x14ac:dyDescent="0.2">
      <c r="E676" s="268"/>
      <c r="F676" s="132"/>
      <c r="G676" s="132"/>
      <c r="H676" s="132"/>
      <c r="I676" s="132"/>
      <c r="J676" s="132"/>
      <c r="K676" s="132"/>
    </row>
    <row r="677" spans="5:11" s="105" customFormat="1" x14ac:dyDescent="0.2">
      <c r="E677" s="268"/>
      <c r="F677" s="132"/>
      <c r="G677" s="132"/>
      <c r="H677" s="132"/>
      <c r="I677" s="132"/>
      <c r="J677" s="132"/>
      <c r="K677" s="132"/>
    </row>
    <row r="678" spans="5:11" s="105" customFormat="1" x14ac:dyDescent="0.2">
      <c r="E678" s="268"/>
      <c r="F678" s="132"/>
      <c r="G678" s="132"/>
      <c r="H678" s="132"/>
      <c r="I678" s="132"/>
      <c r="J678" s="132"/>
      <c r="K678" s="132"/>
    </row>
    <row r="679" spans="5:11" s="105" customFormat="1" x14ac:dyDescent="0.2">
      <c r="E679" s="268"/>
      <c r="F679" s="132"/>
      <c r="G679" s="132"/>
      <c r="H679" s="132"/>
      <c r="I679" s="132"/>
      <c r="J679" s="132"/>
      <c r="K679" s="132"/>
    </row>
    <row r="680" spans="5:11" s="105" customFormat="1" x14ac:dyDescent="0.2">
      <c r="E680" s="268"/>
      <c r="F680" s="132"/>
      <c r="G680" s="132"/>
      <c r="H680" s="132"/>
      <c r="I680" s="132"/>
      <c r="J680" s="132"/>
      <c r="K680" s="132"/>
    </row>
    <row r="681" spans="5:11" s="105" customFormat="1" x14ac:dyDescent="0.2">
      <c r="E681" s="268"/>
      <c r="F681" s="132"/>
      <c r="G681" s="132"/>
      <c r="H681" s="132"/>
      <c r="I681" s="132"/>
      <c r="J681" s="132"/>
      <c r="K681" s="132"/>
    </row>
    <row r="682" spans="5:11" s="105" customFormat="1" x14ac:dyDescent="0.2">
      <c r="E682" s="268"/>
      <c r="F682" s="132"/>
      <c r="G682" s="132"/>
      <c r="H682" s="132"/>
      <c r="I682" s="132"/>
      <c r="J682" s="132"/>
      <c r="K682" s="132"/>
    </row>
    <row r="683" spans="5:11" s="105" customFormat="1" x14ac:dyDescent="0.2">
      <c r="E683" s="268"/>
      <c r="F683" s="132"/>
      <c r="G683" s="132"/>
      <c r="H683" s="132"/>
      <c r="I683" s="132"/>
      <c r="J683" s="132"/>
      <c r="K683" s="132"/>
    </row>
    <row r="684" spans="5:11" s="105" customFormat="1" x14ac:dyDescent="0.2">
      <c r="E684" s="268"/>
      <c r="F684" s="132"/>
      <c r="G684" s="132"/>
      <c r="H684" s="132"/>
      <c r="I684" s="132"/>
      <c r="J684" s="132"/>
      <c r="K684" s="132"/>
    </row>
    <row r="685" spans="5:11" s="105" customFormat="1" x14ac:dyDescent="0.2">
      <c r="E685" s="268"/>
      <c r="F685" s="132"/>
      <c r="G685" s="132"/>
      <c r="H685" s="132"/>
      <c r="I685" s="132"/>
      <c r="J685" s="132"/>
      <c r="K685" s="132"/>
    </row>
    <row r="686" spans="5:11" s="105" customFormat="1" x14ac:dyDescent="0.2">
      <c r="E686" s="268"/>
      <c r="F686" s="132"/>
      <c r="G686" s="132"/>
      <c r="H686" s="132"/>
      <c r="I686" s="132"/>
      <c r="J686" s="132"/>
      <c r="K686" s="132"/>
    </row>
    <row r="687" spans="5:11" s="105" customFormat="1" x14ac:dyDescent="0.2">
      <c r="E687" s="268"/>
      <c r="F687" s="132"/>
      <c r="G687" s="132"/>
      <c r="H687" s="132"/>
      <c r="I687" s="132"/>
      <c r="J687" s="132"/>
      <c r="K687" s="132"/>
    </row>
    <row r="688" spans="5:11" s="105" customFormat="1" x14ac:dyDescent="0.2">
      <c r="E688" s="268"/>
      <c r="F688" s="132"/>
      <c r="G688" s="132"/>
      <c r="H688" s="132"/>
      <c r="I688" s="132"/>
      <c r="J688" s="132"/>
      <c r="K688" s="132"/>
    </row>
    <row r="689" spans="5:11" s="105" customFormat="1" x14ac:dyDescent="0.2">
      <c r="E689" s="268"/>
      <c r="F689" s="132"/>
      <c r="G689" s="132"/>
      <c r="H689" s="132"/>
      <c r="I689" s="132"/>
      <c r="J689" s="132"/>
      <c r="K689" s="132"/>
    </row>
    <row r="690" spans="5:11" s="105" customFormat="1" x14ac:dyDescent="0.2">
      <c r="E690" s="268"/>
      <c r="F690" s="132"/>
      <c r="G690" s="132"/>
      <c r="H690" s="132"/>
      <c r="I690" s="132"/>
      <c r="J690" s="132"/>
      <c r="K690" s="132"/>
    </row>
    <row r="691" spans="5:11" s="105" customFormat="1" x14ac:dyDescent="0.2">
      <c r="E691" s="268"/>
      <c r="F691" s="132"/>
      <c r="G691" s="132"/>
      <c r="H691" s="132"/>
      <c r="I691" s="132"/>
      <c r="J691" s="132"/>
      <c r="K691" s="132"/>
    </row>
    <row r="692" spans="5:11" s="105" customFormat="1" x14ac:dyDescent="0.2">
      <c r="E692" s="268"/>
      <c r="F692" s="132"/>
      <c r="G692" s="132"/>
      <c r="H692" s="132"/>
      <c r="I692" s="132"/>
      <c r="J692" s="132"/>
      <c r="K692" s="132"/>
    </row>
    <row r="693" spans="5:11" s="105" customFormat="1" x14ac:dyDescent="0.2">
      <c r="E693" s="268"/>
      <c r="F693" s="132"/>
      <c r="G693" s="132"/>
      <c r="H693" s="132"/>
      <c r="I693" s="132"/>
      <c r="J693" s="132"/>
      <c r="K693" s="132"/>
    </row>
    <row r="694" spans="5:11" s="105" customFormat="1" x14ac:dyDescent="0.2">
      <c r="E694" s="268"/>
      <c r="F694" s="132"/>
      <c r="G694" s="132"/>
      <c r="H694" s="132"/>
      <c r="I694" s="132"/>
      <c r="J694" s="132"/>
      <c r="K694" s="132"/>
    </row>
    <row r="695" spans="5:11" s="105" customFormat="1" x14ac:dyDescent="0.2">
      <c r="E695" s="268"/>
      <c r="F695" s="132"/>
      <c r="G695" s="132"/>
      <c r="H695" s="132"/>
      <c r="I695" s="132"/>
      <c r="J695" s="132"/>
      <c r="K695" s="132"/>
    </row>
    <row r="696" spans="5:11" s="105" customFormat="1" x14ac:dyDescent="0.2">
      <c r="E696" s="268"/>
      <c r="F696" s="132"/>
      <c r="G696" s="132"/>
      <c r="H696" s="132"/>
      <c r="I696" s="132"/>
      <c r="J696" s="132"/>
      <c r="K696" s="132"/>
    </row>
    <row r="697" spans="5:11" s="105" customFormat="1" x14ac:dyDescent="0.2">
      <c r="E697" s="268"/>
      <c r="F697" s="132"/>
      <c r="G697" s="132"/>
      <c r="H697" s="132"/>
      <c r="I697" s="132"/>
      <c r="J697" s="132"/>
      <c r="K697" s="132"/>
    </row>
    <row r="698" spans="5:11" s="105" customFormat="1" x14ac:dyDescent="0.2">
      <c r="E698" s="268"/>
      <c r="F698" s="132"/>
      <c r="G698" s="132"/>
      <c r="H698" s="132"/>
      <c r="I698" s="132"/>
      <c r="J698" s="132"/>
      <c r="K698" s="132"/>
    </row>
    <row r="699" spans="5:11" s="105" customFormat="1" x14ac:dyDescent="0.2">
      <c r="E699" s="268"/>
      <c r="F699" s="132"/>
      <c r="G699" s="132"/>
      <c r="H699" s="132"/>
      <c r="I699" s="132"/>
      <c r="J699" s="132"/>
      <c r="K699" s="132"/>
    </row>
    <row r="700" spans="5:11" s="105" customFormat="1" x14ac:dyDescent="0.2">
      <c r="E700" s="268"/>
      <c r="F700" s="132"/>
      <c r="G700" s="132"/>
      <c r="H700" s="132"/>
      <c r="I700" s="132"/>
      <c r="J700" s="132"/>
      <c r="K700" s="132"/>
    </row>
    <row r="701" spans="5:11" s="105" customFormat="1" x14ac:dyDescent="0.2">
      <c r="E701" s="268"/>
      <c r="F701" s="132"/>
      <c r="G701" s="132"/>
      <c r="H701" s="132"/>
      <c r="I701" s="132"/>
      <c r="J701" s="132"/>
      <c r="K701" s="132"/>
    </row>
    <row r="702" spans="5:11" s="105" customFormat="1" x14ac:dyDescent="0.2">
      <c r="E702" s="268"/>
      <c r="F702" s="132"/>
      <c r="G702" s="132"/>
      <c r="H702" s="132"/>
      <c r="I702" s="132"/>
      <c r="J702" s="132"/>
      <c r="K702" s="132"/>
    </row>
    <row r="703" spans="5:11" s="105" customFormat="1" x14ac:dyDescent="0.2">
      <c r="E703" s="268"/>
      <c r="F703" s="132"/>
      <c r="G703" s="132"/>
      <c r="H703" s="132"/>
      <c r="I703" s="132"/>
      <c r="J703" s="132"/>
      <c r="K703" s="132"/>
    </row>
    <row r="704" spans="5:11" s="105" customFormat="1" x14ac:dyDescent="0.2">
      <c r="E704" s="268"/>
      <c r="F704" s="132"/>
      <c r="G704" s="132"/>
      <c r="H704" s="132"/>
      <c r="I704" s="132"/>
      <c r="J704" s="132"/>
      <c r="K704" s="132"/>
    </row>
    <row r="705" spans="5:11" s="105" customFormat="1" x14ac:dyDescent="0.2">
      <c r="E705" s="268"/>
      <c r="F705" s="132"/>
      <c r="G705" s="132"/>
      <c r="H705" s="132"/>
      <c r="I705" s="132"/>
      <c r="J705" s="132"/>
      <c r="K705" s="132"/>
    </row>
    <row r="706" spans="5:11" s="105" customFormat="1" x14ac:dyDescent="0.2">
      <c r="E706" s="268"/>
      <c r="F706" s="132"/>
      <c r="G706" s="132"/>
      <c r="H706" s="132"/>
      <c r="I706" s="132"/>
      <c r="J706" s="132"/>
      <c r="K706" s="132"/>
    </row>
    <row r="707" spans="5:11" s="105" customFormat="1" x14ac:dyDescent="0.2">
      <c r="E707" s="268"/>
      <c r="F707" s="132"/>
      <c r="G707" s="132"/>
      <c r="H707" s="132"/>
      <c r="I707" s="132"/>
      <c r="J707" s="132"/>
      <c r="K707" s="132"/>
    </row>
    <row r="708" spans="5:11" s="105" customFormat="1" x14ac:dyDescent="0.2">
      <c r="E708" s="268"/>
      <c r="F708" s="132"/>
      <c r="G708" s="132"/>
      <c r="H708" s="132"/>
      <c r="I708" s="132"/>
      <c r="J708" s="132"/>
      <c r="K708" s="132"/>
    </row>
    <row r="709" spans="5:11" s="105" customFormat="1" x14ac:dyDescent="0.2">
      <c r="E709" s="268"/>
      <c r="F709" s="132"/>
      <c r="G709" s="132"/>
      <c r="H709" s="132"/>
      <c r="I709" s="132"/>
      <c r="J709" s="132"/>
      <c r="K709" s="132"/>
    </row>
    <row r="710" spans="5:11" s="105" customFormat="1" x14ac:dyDescent="0.2">
      <c r="E710" s="268"/>
      <c r="F710" s="132"/>
      <c r="G710" s="132"/>
      <c r="H710" s="132"/>
      <c r="I710" s="132"/>
      <c r="J710" s="132"/>
      <c r="K710" s="132"/>
    </row>
    <row r="711" spans="5:11" s="105" customFormat="1" x14ac:dyDescent="0.2">
      <c r="E711" s="268"/>
      <c r="F711" s="132"/>
      <c r="G711" s="132"/>
      <c r="H711" s="132"/>
      <c r="I711" s="132"/>
      <c r="J711" s="132"/>
      <c r="K711" s="132"/>
    </row>
    <row r="712" spans="5:11" s="105" customFormat="1" x14ac:dyDescent="0.2">
      <c r="E712" s="268"/>
      <c r="F712" s="132"/>
      <c r="G712" s="132"/>
      <c r="H712" s="132"/>
      <c r="I712" s="132"/>
      <c r="J712" s="132"/>
      <c r="K712" s="132"/>
    </row>
    <row r="713" spans="5:11" s="105" customFormat="1" x14ac:dyDescent="0.2">
      <c r="E713" s="268"/>
      <c r="F713" s="132"/>
      <c r="G713" s="132"/>
      <c r="H713" s="132"/>
      <c r="I713" s="132"/>
      <c r="J713" s="132"/>
      <c r="K713" s="132"/>
    </row>
    <row r="714" spans="5:11" s="105" customFormat="1" x14ac:dyDescent="0.2">
      <c r="E714" s="268"/>
      <c r="F714" s="132"/>
      <c r="G714" s="132"/>
      <c r="H714" s="132"/>
      <c r="I714" s="132"/>
      <c r="J714" s="132"/>
      <c r="K714" s="132"/>
    </row>
    <row r="715" spans="5:11" s="105" customFormat="1" x14ac:dyDescent="0.2">
      <c r="E715" s="268"/>
      <c r="F715" s="132"/>
      <c r="G715" s="132"/>
      <c r="H715" s="132"/>
      <c r="I715" s="132"/>
      <c r="J715" s="132"/>
      <c r="K715" s="132"/>
    </row>
    <row r="716" spans="5:11" s="105" customFormat="1" x14ac:dyDescent="0.2">
      <c r="E716" s="268"/>
      <c r="F716" s="132"/>
      <c r="G716" s="132"/>
      <c r="H716" s="132"/>
      <c r="I716" s="132"/>
      <c r="J716" s="132"/>
      <c r="K716" s="132"/>
    </row>
    <row r="717" spans="5:11" s="105" customFormat="1" x14ac:dyDescent="0.2">
      <c r="E717" s="268"/>
      <c r="F717" s="132"/>
      <c r="G717" s="132"/>
      <c r="H717" s="132"/>
      <c r="I717" s="132"/>
      <c r="J717" s="132"/>
      <c r="K717" s="132"/>
    </row>
    <row r="718" spans="5:11" s="105" customFormat="1" x14ac:dyDescent="0.2">
      <c r="E718" s="268"/>
      <c r="F718" s="132"/>
      <c r="G718" s="132"/>
      <c r="H718" s="132"/>
      <c r="I718" s="132"/>
      <c r="J718" s="132"/>
      <c r="K718" s="132"/>
    </row>
    <row r="719" spans="5:11" s="105" customFormat="1" x14ac:dyDescent="0.2">
      <c r="E719" s="268"/>
      <c r="F719" s="132"/>
      <c r="G719" s="132"/>
      <c r="H719" s="132"/>
      <c r="I719" s="132"/>
      <c r="J719" s="132"/>
      <c r="K719" s="132"/>
    </row>
    <row r="720" spans="5:11" s="105" customFormat="1" x14ac:dyDescent="0.2">
      <c r="E720" s="268"/>
      <c r="F720" s="132"/>
      <c r="G720" s="132"/>
      <c r="H720" s="132"/>
      <c r="I720" s="132"/>
      <c r="J720" s="132"/>
      <c r="K720" s="132"/>
    </row>
    <row r="721" spans="5:11" s="105" customFormat="1" x14ac:dyDescent="0.2">
      <c r="E721" s="268"/>
      <c r="F721" s="132"/>
      <c r="G721" s="132"/>
      <c r="H721" s="132"/>
      <c r="I721" s="132"/>
      <c r="J721" s="132"/>
      <c r="K721" s="132"/>
    </row>
    <row r="722" spans="5:11" s="105" customFormat="1" x14ac:dyDescent="0.2">
      <c r="E722" s="268"/>
      <c r="F722" s="132"/>
      <c r="G722" s="132"/>
      <c r="H722" s="132"/>
      <c r="I722" s="132"/>
      <c r="J722" s="132"/>
      <c r="K722" s="132"/>
    </row>
    <row r="723" spans="5:11" s="105" customFormat="1" x14ac:dyDescent="0.2">
      <c r="E723" s="268"/>
      <c r="F723" s="132"/>
      <c r="G723" s="132"/>
      <c r="H723" s="132"/>
      <c r="I723" s="132"/>
      <c r="J723" s="132"/>
      <c r="K723" s="132"/>
    </row>
    <row r="724" spans="5:11" s="105" customFormat="1" x14ac:dyDescent="0.2">
      <c r="E724" s="268"/>
      <c r="F724" s="132"/>
      <c r="G724" s="132"/>
      <c r="H724" s="132"/>
      <c r="I724" s="132"/>
      <c r="J724" s="132"/>
      <c r="K724" s="132"/>
    </row>
    <row r="725" spans="5:11" s="105" customFormat="1" x14ac:dyDescent="0.2">
      <c r="E725" s="268"/>
      <c r="F725" s="132"/>
      <c r="G725" s="132"/>
      <c r="H725" s="132"/>
      <c r="I725" s="132"/>
      <c r="J725" s="132"/>
      <c r="K725" s="132"/>
    </row>
    <row r="726" spans="5:11" s="105" customFormat="1" x14ac:dyDescent="0.2">
      <c r="E726" s="268"/>
      <c r="F726" s="132"/>
      <c r="G726" s="132"/>
      <c r="H726" s="132"/>
      <c r="I726" s="132"/>
      <c r="J726" s="132"/>
      <c r="K726" s="132"/>
    </row>
    <row r="727" spans="5:11" s="105" customFormat="1" x14ac:dyDescent="0.2">
      <c r="E727" s="268"/>
      <c r="F727" s="132"/>
      <c r="G727" s="132"/>
      <c r="H727" s="132"/>
      <c r="I727" s="132"/>
      <c r="J727" s="132"/>
      <c r="K727" s="132"/>
    </row>
    <row r="728" spans="5:11" s="105" customFormat="1" x14ac:dyDescent="0.2">
      <c r="E728" s="268"/>
      <c r="F728" s="132"/>
      <c r="G728" s="132"/>
      <c r="H728" s="132"/>
      <c r="I728" s="132"/>
      <c r="J728" s="132"/>
      <c r="K728" s="132"/>
    </row>
    <row r="729" spans="5:11" s="105" customFormat="1" x14ac:dyDescent="0.2">
      <c r="E729" s="268"/>
      <c r="F729" s="132"/>
      <c r="G729" s="132"/>
      <c r="H729" s="132"/>
      <c r="I729" s="132"/>
      <c r="J729" s="132"/>
      <c r="K729" s="132"/>
    </row>
    <row r="730" spans="5:11" s="105" customFormat="1" x14ac:dyDescent="0.2">
      <c r="E730" s="268"/>
      <c r="F730" s="132"/>
      <c r="G730" s="132"/>
      <c r="H730" s="132"/>
      <c r="I730" s="132"/>
      <c r="J730" s="132"/>
      <c r="K730" s="132"/>
    </row>
    <row r="731" spans="5:11" s="105" customFormat="1" x14ac:dyDescent="0.2">
      <c r="E731" s="268"/>
      <c r="F731" s="132"/>
      <c r="G731" s="132"/>
      <c r="H731" s="132"/>
      <c r="I731" s="132"/>
      <c r="J731" s="132"/>
      <c r="K731" s="132"/>
    </row>
    <row r="732" spans="5:11" s="105" customFormat="1" x14ac:dyDescent="0.2">
      <c r="E732" s="268"/>
      <c r="F732" s="132"/>
      <c r="G732" s="132"/>
      <c r="H732" s="132"/>
      <c r="I732" s="132"/>
      <c r="J732" s="132"/>
      <c r="K732" s="132"/>
    </row>
    <row r="733" spans="5:11" s="105" customFormat="1" x14ac:dyDescent="0.2">
      <c r="E733" s="268"/>
      <c r="F733" s="132"/>
      <c r="G733" s="132"/>
      <c r="H733" s="132"/>
      <c r="I733" s="132"/>
      <c r="J733" s="132"/>
      <c r="K733" s="132"/>
    </row>
    <row r="734" spans="5:11" s="105" customFormat="1" x14ac:dyDescent="0.2">
      <c r="E734" s="268"/>
      <c r="F734" s="132"/>
      <c r="G734" s="132"/>
      <c r="H734" s="132"/>
      <c r="I734" s="132"/>
      <c r="J734" s="132"/>
      <c r="K734" s="132"/>
    </row>
    <row r="735" spans="5:11" s="105" customFormat="1" x14ac:dyDescent="0.2">
      <c r="E735" s="268"/>
      <c r="F735" s="132"/>
      <c r="G735" s="132"/>
      <c r="H735" s="132"/>
      <c r="I735" s="132"/>
      <c r="J735" s="132"/>
      <c r="K735" s="132"/>
    </row>
    <row r="736" spans="5:11" s="105" customFormat="1" x14ac:dyDescent="0.2">
      <c r="E736" s="268"/>
      <c r="F736" s="132"/>
      <c r="G736" s="132"/>
      <c r="H736" s="132"/>
      <c r="I736" s="132"/>
      <c r="J736" s="132"/>
      <c r="K736" s="132"/>
    </row>
    <row r="737" spans="5:11" s="105" customFormat="1" x14ac:dyDescent="0.2">
      <c r="E737" s="268"/>
      <c r="F737" s="132"/>
      <c r="G737" s="132"/>
      <c r="H737" s="132"/>
      <c r="I737" s="132"/>
      <c r="J737" s="132"/>
      <c r="K737" s="132"/>
    </row>
    <row r="738" spans="5:11" s="105" customFormat="1" x14ac:dyDescent="0.2">
      <c r="E738" s="268"/>
      <c r="F738" s="132"/>
      <c r="G738" s="132"/>
      <c r="H738" s="132"/>
      <c r="I738" s="132"/>
      <c r="J738" s="132"/>
      <c r="K738" s="132"/>
    </row>
    <row r="739" spans="5:11" s="105" customFormat="1" x14ac:dyDescent="0.2">
      <c r="E739" s="268"/>
      <c r="F739" s="132"/>
      <c r="G739" s="132"/>
      <c r="H739" s="132"/>
      <c r="I739" s="132"/>
      <c r="J739" s="132"/>
      <c r="K739" s="132"/>
    </row>
    <row r="740" spans="5:11" s="105" customFormat="1" x14ac:dyDescent="0.2">
      <c r="E740" s="268"/>
      <c r="F740" s="132"/>
      <c r="G740" s="132"/>
      <c r="H740" s="132"/>
      <c r="I740" s="132"/>
      <c r="J740" s="132"/>
      <c r="K740" s="132"/>
    </row>
    <row r="741" spans="5:11" s="105" customFormat="1" x14ac:dyDescent="0.2">
      <c r="E741" s="268"/>
      <c r="F741" s="132"/>
      <c r="G741" s="132"/>
      <c r="H741" s="132"/>
      <c r="I741" s="132"/>
      <c r="J741" s="132"/>
      <c r="K741" s="132"/>
    </row>
    <row r="742" spans="5:11" s="105" customFormat="1" x14ac:dyDescent="0.2">
      <c r="E742" s="268"/>
      <c r="F742" s="132"/>
      <c r="G742" s="132"/>
      <c r="H742" s="132"/>
      <c r="I742" s="132"/>
      <c r="J742" s="132"/>
      <c r="K742" s="132"/>
    </row>
    <row r="743" spans="5:11" s="105" customFormat="1" x14ac:dyDescent="0.2">
      <c r="E743" s="268"/>
      <c r="F743" s="132"/>
      <c r="G743" s="132"/>
      <c r="H743" s="132"/>
      <c r="I743" s="132"/>
      <c r="J743" s="132"/>
      <c r="K743" s="132"/>
    </row>
    <row r="744" spans="5:11" s="105" customFormat="1" x14ac:dyDescent="0.2">
      <c r="E744" s="268"/>
      <c r="F744" s="132"/>
      <c r="G744" s="132"/>
      <c r="H744" s="132"/>
      <c r="I744" s="132"/>
      <c r="J744" s="132"/>
      <c r="K744" s="132"/>
    </row>
    <row r="745" spans="5:11" s="105" customFormat="1" x14ac:dyDescent="0.2">
      <c r="E745" s="268"/>
      <c r="F745" s="132"/>
      <c r="G745" s="132"/>
      <c r="H745" s="132"/>
      <c r="I745" s="132"/>
      <c r="J745" s="132"/>
      <c r="K745" s="132"/>
    </row>
    <row r="746" spans="5:11" s="105" customFormat="1" x14ac:dyDescent="0.2">
      <c r="E746" s="268"/>
      <c r="F746" s="132"/>
      <c r="G746" s="132"/>
      <c r="H746" s="132"/>
      <c r="I746" s="132"/>
      <c r="J746" s="132"/>
      <c r="K746" s="132"/>
    </row>
    <row r="747" spans="5:11" s="105" customFormat="1" x14ac:dyDescent="0.2">
      <c r="E747" s="268"/>
      <c r="F747" s="132"/>
      <c r="G747" s="132"/>
      <c r="H747" s="132"/>
      <c r="I747" s="132"/>
      <c r="J747" s="132"/>
      <c r="K747" s="132"/>
    </row>
    <row r="748" spans="5:11" s="105" customFormat="1" x14ac:dyDescent="0.2">
      <c r="E748" s="268"/>
      <c r="F748" s="132"/>
      <c r="G748" s="132"/>
      <c r="H748" s="132"/>
      <c r="I748" s="132"/>
      <c r="J748" s="132"/>
      <c r="K748" s="132"/>
    </row>
    <row r="749" spans="5:11" s="105" customFormat="1" x14ac:dyDescent="0.2">
      <c r="E749" s="268"/>
      <c r="F749" s="132"/>
      <c r="G749" s="132"/>
      <c r="H749" s="132"/>
      <c r="I749" s="132"/>
      <c r="J749" s="132"/>
      <c r="K749" s="132"/>
    </row>
    <row r="750" spans="5:11" s="105" customFormat="1" x14ac:dyDescent="0.2">
      <c r="E750" s="268"/>
      <c r="F750" s="132"/>
      <c r="G750" s="132"/>
      <c r="H750" s="132"/>
      <c r="I750" s="132"/>
      <c r="J750" s="132"/>
      <c r="K750" s="132"/>
    </row>
    <row r="751" spans="5:11" s="105" customFormat="1" x14ac:dyDescent="0.2">
      <c r="E751" s="268"/>
      <c r="F751" s="132"/>
      <c r="G751" s="132"/>
      <c r="H751" s="132"/>
      <c r="I751" s="132"/>
      <c r="J751" s="132"/>
      <c r="K751" s="132"/>
    </row>
    <row r="752" spans="5:11" s="105" customFormat="1" x14ac:dyDescent="0.2">
      <c r="E752" s="268"/>
      <c r="F752" s="132"/>
      <c r="G752" s="132"/>
      <c r="H752" s="132"/>
      <c r="I752" s="132"/>
      <c r="J752" s="132"/>
      <c r="K752" s="132"/>
    </row>
    <row r="753" spans="5:11" s="105" customFormat="1" x14ac:dyDescent="0.2">
      <c r="E753" s="268"/>
      <c r="F753" s="132"/>
      <c r="G753" s="132"/>
      <c r="H753" s="132"/>
      <c r="I753" s="132"/>
      <c r="J753" s="132"/>
      <c r="K753" s="132"/>
    </row>
    <row r="754" spans="5:11" s="105" customFormat="1" x14ac:dyDescent="0.2">
      <c r="E754" s="268"/>
      <c r="F754" s="132"/>
      <c r="G754" s="132"/>
      <c r="H754" s="132"/>
      <c r="I754" s="132"/>
      <c r="J754" s="132"/>
      <c r="K754" s="132"/>
    </row>
    <row r="755" spans="5:11" s="105" customFormat="1" x14ac:dyDescent="0.2">
      <c r="E755" s="268"/>
      <c r="F755" s="132"/>
      <c r="G755" s="132"/>
      <c r="H755" s="132"/>
      <c r="I755" s="132"/>
      <c r="J755" s="132"/>
      <c r="K755" s="132"/>
    </row>
    <row r="756" spans="5:11" s="105" customFormat="1" x14ac:dyDescent="0.2">
      <c r="E756" s="268"/>
      <c r="F756" s="132"/>
      <c r="G756" s="132"/>
      <c r="H756" s="132"/>
      <c r="I756" s="132"/>
      <c r="J756" s="132"/>
      <c r="K756" s="132"/>
    </row>
    <row r="757" spans="5:11" s="105" customFormat="1" x14ac:dyDescent="0.2">
      <c r="E757" s="268"/>
      <c r="F757" s="132"/>
      <c r="G757" s="132"/>
      <c r="H757" s="132"/>
      <c r="I757" s="132"/>
      <c r="J757" s="132"/>
      <c r="K757" s="132"/>
    </row>
    <row r="758" spans="5:11" s="105" customFormat="1" x14ac:dyDescent="0.2">
      <c r="E758" s="268"/>
      <c r="F758" s="132"/>
      <c r="G758" s="132"/>
      <c r="H758" s="132"/>
      <c r="I758" s="132"/>
      <c r="J758" s="132"/>
      <c r="K758" s="132"/>
    </row>
    <row r="759" spans="5:11" s="105" customFormat="1" x14ac:dyDescent="0.2">
      <c r="E759" s="268"/>
      <c r="F759" s="132"/>
      <c r="G759" s="132"/>
      <c r="H759" s="132"/>
      <c r="I759" s="132"/>
      <c r="J759" s="132"/>
      <c r="K759" s="132"/>
    </row>
    <row r="760" spans="5:11" s="105" customFormat="1" x14ac:dyDescent="0.2">
      <c r="E760" s="268"/>
      <c r="F760" s="132"/>
      <c r="G760" s="132"/>
      <c r="H760" s="132"/>
      <c r="I760" s="132"/>
      <c r="J760" s="132"/>
      <c r="K760" s="132"/>
    </row>
    <row r="761" spans="5:11" s="105" customFormat="1" x14ac:dyDescent="0.2">
      <c r="E761" s="268"/>
      <c r="F761" s="132"/>
      <c r="G761" s="132"/>
      <c r="H761" s="132"/>
      <c r="I761" s="132"/>
      <c r="J761" s="132"/>
      <c r="K761" s="132"/>
    </row>
    <row r="762" spans="5:11" s="105" customFormat="1" x14ac:dyDescent="0.2">
      <c r="E762" s="268"/>
      <c r="F762" s="132"/>
      <c r="G762" s="132"/>
      <c r="H762" s="132"/>
      <c r="I762" s="132"/>
      <c r="J762" s="132"/>
      <c r="K762" s="132"/>
    </row>
    <row r="763" spans="5:11" s="105" customFormat="1" x14ac:dyDescent="0.2">
      <c r="E763" s="268"/>
      <c r="F763" s="132"/>
      <c r="G763" s="132"/>
      <c r="H763" s="132"/>
      <c r="I763" s="132"/>
      <c r="J763" s="132"/>
      <c r="K763" s="132"/>
    </row>
    <row r="764" spans="5:11" s="105" customFormat="1" x14ac:dyDescent="0.2">
      <c r="E764" s="268"/>
      <c r="F764" s="132"/>
      <c r="G764" s="132"/>
      <c r="H764" s="132"/>
      <c r="I764" s="132"/>
      <c r="J764" s="132"/>
      <c r="K764" s="132"/>
    </row>
    <row r="765" spans="5:11" s="105" customFormat="1" x14ac:dyDescent="0.2">
      <c r="E765" s="268"/>
      <c r="F765" s="132"/>
      <c r="G765" s="132"/>
      <c r="H765" s="132"/>
      <c r="I765" s="132"/>
      <c r="J765" s="132"/>
      <c r="K765" s="132"/>
    </row>
    <row r="766" spans="5:11" s="105" customFormat="1" x14ac:dyDescent="0.2">
      <c r="E766" s="268"/>
      <c r="F766" s="132"/>
      <c r="G766" s="132"/>
      <c r="H766" s="132"/>
      <c r="I766" s="132"/>
      <c r="J766" s="132"/>
      <c r="K766" s="132"/>
    </row>
    <row r="767" spans="5:11" s="105" customFormat="1" x14ac:dyDescent="0.2">
      <c r="E767" s="268"/>
      <c r="F767" s="132"/>
      <c r="G767" s="132"/>
      <c r="H767" s="132"/>
      <c r="I767" s="132"/>
      <c r="J767" s="132"/>
      <c r="K767" s="132"/>
    </row>
    <row r="768" spans="5:11" s="105" customFormat="1" x14ac:dyDescent="0.2">
      <c r="E768" s="268"/>
      <c r="F768" s="132"/>
      <c r="G768" s="132"/>
      <c r="H768" s="132"/>
      <c r="I768" s="132"/>
      <c r="J768" s="132"/>
      <c r="K768" s="132"/>
    </row>
    <row r="769" spans="5:11" s="105" customFormat="1" x14ac:dyDescent="0.2">
      <c r="E769" s="268"/>
      <c r="F769" s="132"/>
      <c r="G769" s="132"/>
      <c r="H769" s="132"/>
      <c r="I769" s="132"/>
      <c r="J769" s="132"/>
      <c r="K769" s="132"/>
    </row>
    <row r="770" spans="5:11" s="105" customFormat="1" x14ac:dyDescent="0.2">
      <c r="E770" s="268"/>
      <c r="F770" s="132"/>
      <c r="G770" s="132"/>
      <c r="H770" s="132"/>
      <c r="I770" s="132"/>
      <c r="J770" s="132"/>
      <c r="K770" s="132"/>
    </row>
    <row r="771" spans="5:11" s="105" customFormat="1" x14ac:dyDescent="0.2">
      <c r="E771" s="268"/>
      <c r="F771" s="132"/>
      <c r="G771" s="132"/>
      <c r="H771" s="132"/>
      <c r="I771" s="132"/>
      <c r="J771" s="132"/>
      <c r="K771" s="132"/>
    </row>
    <row r="772" spans="5:11" s="105" customFormat="1" x14ac:dyDescent="0.2">
      <c r="E772" s="268"/>
      <c r="F772" s="132"/>
      <c r="G772" s="132"/>
      <c r="H772" s="132"/>
      <c r="I772" s="132"/>
      <c r="J772" s="132"/>
      <c r="K772" s="132"/>
    </row>
    <row r="773" spans="5:11" s="105" customFormat="1" x14ac:dyDescent="0.2">
      <c r="E773" s="268"/>
      <c r="F773" s="132"/>
      <c r="G773" s="132"/>
      <c r="H773" s="132"/>
      <c r="I773" s="132"/>
      <c r="J773" s="132"/>
      <c r="K773" s="132"/>
    </row>
    <row r="774" spans="5:11" s="105" customFormat="1" x14ac:dyDescent="0.2">
      <c r="E774" s="268"/>
      <c r="F774" s="132"/>
      <c r="G774" s="132"/>
      <c r="H774" s="132"/>
      <c r="I774" s="132"/>
      <c r="J774" s="132"/>
      <c r="K774" s="132"/>
    </row>
    <row r="775" spans="5:11" s="105" customFormat="1" x14ac:dyDescent="0.2">
      <c r="E775" s="268"/>
      <c r="F775" s="132"/>
      <c r="G775" s="132"/>
      <c r="H775" s="132"/>
      <c r="I775" s="132"/>
      <c r="J775" s="132"/>
      <c r="K775" s="132"/>
    </row>
    <row r="776" spans="5:11" s="105" customFormat="1" x14ac:dyDescent="0.2">
      <c r="E776" s="268"/>
      <c r="F776" s="132"/>
      <c r="G776" s="132"/>
      <c r="H776" s="132"/>
      <c r="I776" s="132"/>
      <c r="J776" s="132"/>
      <c r="K776" s="132"/>
    </row>
    <row r="777" spans="5:11" s="105" customFormat="1" x14ac:dyDescent="0.2">
      <c r="E777" s="268"/>
      <c r="F777" s="132"/>
      <c r="G777" s="132"/>
      <c r="H777" s="132"/>
      <c r="I777" s="132"/>
      <c r="J777" s="132"/>
      <c r="K777" s="132"/>
    </row>
    <row r="778" spans="5:11" s="105" customFormat="1" x14ac:dyDescent="0.2">
      <c r="E778" s="268"/>
      <c r="F778" s="132"/>
      <c r="G778" s="132"/>
      <c r="H778" s="132"/>
      <c r="I778" s="132"/>
      <c r="J778" s="132"/>
      <c r="K778" s="132"/>
    </row>
    <row r="779" spans="5:11" s="105" customFormat="1" x14ac:dyDescent="0.2">
      <c r="E779" s="268"/>
      <c r="F779" s="132"/>
      <c r="G779" s="132"/>
      <c r="H779" s="132"/>
      <c r="I779" s="132"/>
      <c r="J779" s="132"/>
      <c r="K779" s="132"/>
    </row>
    <row r="780" spans="5:11" s="105" customFormat="1" x14ac:dyDescent="0.2">
      <c r="E780" s="268"/>
      <c r="F780" s="132"/>
      <c r="G780" s="132"/>
      <c r="H780" s="132"/>
      <c r="I780" s="132"/>
      <c r="J780" s="132"/>
      <c r="K780" s="132"/>
    </row>
    <row r="781" spans="5:11" s="105" customFormat="1" x14ac:dyDescent="0.2">
      <c r="E781" s="268"/>
      <c r="F781" s="132"/>
      <c r="G781" s="132"/>
      <c r="H781" s="132"/>
      <c r="I781" s="132"/>
      <c r="J781" s="132"/>
      <c r="K781" s="132"/>
    </row>
    <row r="782" spans="5:11" s="105" customFormat="1" x14ac:dyDescent="0.2">
      <c r="E782" s="268"/>
      <c r="F782" s="132"/>
      <c r="G782" s="132"/>
      <c r="H782" s="132"/>
      <c r="I782" s="132"/>
      <c r="J782" s="132"/>
      <c r="K782" s="132"/>
    </row>
    <row r="783" spans="5:11" s="105" customFormat="1" x14ac:dyDescent="0.2">
      <c r="E783" s="268"/>
      <c r="F783" s="132"/>
      <c r="G783" s="132"/>
      <c r="H783" s="132"/>
      <c r="I783" s="132"/>
      <c r="J783" s="132"/>
      <c r="K783" s="132"/>
    </row>
    <row r="784" spans="5:11" s="105" customFormat="1" x14ac:dyDescent="0.2">
      <c r="E784" s="268"/>
      <c r="F784" s="132"/>
      <c r="G784" s="132"/>
      <c r="H784" s="132"/>
      <c r="I784" s="132"/>
      <c r="J784" s="132"/>
      <c r="K784" s="132"/>
    </row>
    <row r="785" spans="5:11" s="105" customFormat="1" x14ac:dyDescent="0.2">
      <c r="E785" s="268"/>
      <c r="F785" s="132"/>
      <c r="G785" s="132"/>
      <c r="H785" s="132"/>
      <c r="I785" s="132"/>
      <c r="J785" s="132"/>
      <c r="K785" s="132"/>
    </row>
    <row r="786" spans="5:11" s="105" customFormat="1" x14ac:dyDescent="0.2">
      <c r="E786" s="268"/>
      <c r="F786" s="132"/>
      <c r="G786" s="132"/>
      <c r="H786" s="132"/>
      <c r="I786" s="132"/>
      <c r="J786" s="132"/>
      <c r="K786" s="132"/>
    </row>
    <row r="787" spans="5:11" s="105" customFormat="1" x14ac:dyDescent="0.2">
      <c r="E787" s="268"/>
      <c r="F787" s="132"/>
      <c r="G787" s="132"/>
      <c r="H787" s="132"/>
      <c r="I787" s="132"/>
      <c r="J787" s="132"/>
      <c r="K787" s="132"/>
    </row>
    <row r="788" spans="5:11" s="105" customFormat="1" x14ac:dyDescent="0.2">
      <c r="E788" s="268"/>
      <c r="F788" s="132"/>
      <c r="G788" s="132"/>
      <c r="H788" s="132"/>
      <c r="I788" s="132"/>
      <c r="J788" s="132"/>
      <c r="K788" s="132"/>
    </row>
    <row r="789" spans="5:11" s="105" customFormat="1" x14ac:dyDescent="0.2">
      <c r="E789" s="268"/>
      <c r="F789" s="132"/>
      <c r="G789" s="132"/>
      <c r="H789" s="132"/>
      <c r="I789" s="132"/>
      <c r="J789" s="132"/>
      <c r="K789" s="132"/>
    </row>
    <row r="790" spans="5:11" s="105" customFormat="1" x14ac:dyDescent="0.2">
      <c r="E790" s="268"/>
      <c r="F790" s="132"/>
      <c r="G790" s="132"/>
      <c r="H790" s="132"/>
      <c r="I790" s="132"/>
      <c r="J790" s="132"/>
      <c r="K790" s="132"/>
    </row>
    <row r="791" spans="5:11" s="105" customFormat="1" x14ac:dyDescent="0.2">
      <c r="E791" s="268"/>
      <c r="F791" s="132"/>
      <c r="G791" s="132"/>
      <c r="H791" s="132"/>
      <c r="I791" s="132"/>
      <c r="J791" s="132"/>
      <c r="K791" s="132"/>
    </row>
    <row r="792" spans="5:11" s="105" customFormat="1" x14ac:dyDescent="0.2">
      <c r="E792" s="268"/>
      <c r="F792" s="132"/>
      <c r="G792" s="132"/>
      <c r="H792" s="132"/>
      <c r="I792" s="132"/>
      <c r="J792" s="132"/>
      <c r="K792" s="132"/>
    </row>
    <row r="793" spans="5:11" s="105" customFormat="1" x14ac:dyDescent="0.2">
      <c r="E793" s="268"/>
      <c r="F793" s="132"/>
      <c r="G793" s="132"/>
      <c r="H793" s="132"/>
      <c r="I793" s="132"/>
      <c r="J793" s="132"/>
      <c r="K793" s="132"/>
    </row>
    <row r="794" spans="5:11" s="105" customFormat="1" x14ac:dyDescent="0.2">
      <c r="E794" s="268"/>
      <c r="F794" s="132"/>
      <c r="G794" s="132"/>
      <c r="H794" s="132"/>
      <c r="I794" s="132"/>
      <c r="J794" s="132"/>
      <c r="K794" s="132"/>
    </row>
    <row r="795" spans="5:11" s="105" customFormat="1" x14ac:dyDescent="0.2">
      <c r="E795" s="268"/>
      <c r="F795" s="132"/>
      <c r="G795" s="132"/>
      <c r="H795" s="132"/>
      <c r="I795" s="132"/>
      <c r="J795" s="132"/>
      <c r="K795" s="132"/>
    </row>
    <row r="796" spans="5:11" s="105" customFormat="1" x14ac:dyDescent="0.2">
      <c r="E796" s="268"/>
      <c r="F796" s="132"/>
      <c r="G796" s="132"/>
      <c r="H796" s="132"/>
      <c r="I796" s="132"/>
      <c r="J796" s="132"/>
      <c r="K796" s="132"/>
    </row>
    <row r="797" spans="5:11" s="105" customFormat="1" x14ac:dyDescent="0.2">
      <c r="E797" s="268"/>
      <c r="F797" s="132"/>
      <c r="G797" s="132"/>
      <c r="H797" s="132"/>
      <c r="I797" s="132"/>
      <c r="J797" s="132"/>
      <c r="K797" s="132"/>
    </row>
    <row r="798" spans="5:11" s="105" customFormat="1" x14ac:dyDescent="0.2">
      <c r="E798" s="268"/>
      <c r="F798" s="132"/>
      <c r="G798" s="132"/>
      <c r="H798" s="132"/>
      <c r="I798" s="132"/>
      <c r="J798" s="132"/>
      <c r="K798" s="132"/>
    </row>
    <row r="799" spans="5:11" s="105" customFormat="1" x14ac:dyDescent="0.2">
      <c r="E799" s="268"/>
      <c r="F799" s="132"/>
      <c r="G799" s="132"/>
      <c r="H799" s="132"/>
      <c r="I799" s="132"/>
      <c r="J799" s="132"/>
      <c r="K799" s="132"/>
    </row>
    <row r="800" spans="5:11" s="105" customFormat="1" x14ac:dyDescent="0.2">
      <c r="E800" s="268"/>
      <c r="F800" s="132"/>
      <c r="G800" s="132"/>
      <c r="H800" s="132"/>
      <c r="I800" s="132"/>
      <c r="J800" s="132"/>
      <c r="K800" s="132"/>
    </row>
    <row r="801" spans="5:11" s="105" customFormat="1" x14ac:dyDescent="0.2">
      <c r="E801" s="268"/>
      <c r="F801" s="132"/>
      <c r="G801" s="132"/>
      <c r="H801" s="132"/>
      <c r="I801" s="132"/>
      <c r="J801" s="132"/>
      <c r="K801" s="132"/>
    </row>
    <row r="802" spans="5:11" s="105" customFormat="1" x14ac:dyDescent="0.2">
      <c r="E802" s="268"/>
      <c r="F802" s="132"/>
      <c r="G802" s="132"/>
      <c r="H802" s="132"/>
      <c r="I802" s="132"/>
      <c r="J802" s="132"/>
      <c r="K802" s="132"/>
    </row>
    <row r="803" spans="5:11" s="105" customFormat="1" x14ac:dyDescent="0.2">
      <c r="E803" s="268"/>
      <c r="F803" s="132"/>
      <c r="G803" s="132"/>
      <c r="H803" s="132"/>
      <c r="I803" s="132"/>
      <c r="J803" s="132"/>
      <c r="K803" s="132"/>
    </row>
    <row r="804" spans="5:11" s="105" customFormat="1" x14ac:dyDescent="0.2">
      <c r="E804" s="268"/>
      <c r="F804" s="132"/>
      <c r="G804" s="132"/>
      <c r="H804" s="132"/>
      <c r="I804" s="132"/>
      <c r="J804" s="132"/>
      <c r="K804" s="132"/>
    </row>
    <row r="805" spans="5:11" s="105" customFormat="1" x14ac:dyDescent="0.2">
      <c r="E805" s="268"/>
      <c r="F805" s="132"/>
      <c r="G805" s="132"/>
      <c r="H805" s="132"/>
      <c r="I805" s="132"/>
      <c r="J805" s="132"/>
      <c r="K805" s="132"/>
    </row>
    <row r="806" spans="5:11" s="105" customFormat="1" x14ac:dyDescent="0.2">
      <c r="E806" s="268"/>
      <c r="F806" s="132"/>
      <c r="G806" s="132"/>
      <c r="H806" s="132"/>
      <c r="I806" s="132"/>
      <c r="J806" s="132"/>
      <c r="K806" s="132"/>
    </row>
    <row r="807" spans="5:11" s="105" customFormat="1" x14ac:dyDescent="0.2">
      <c r="E807" s="268"/>
      <c r="F807" s="132"/>
      <c r="G807" s="132"/>
      <c r="H807" s="132"/>
      <c r="I807" s="132"/>
      <c r="J807" s="132"/>
      <c r="K807" s="132"/>
    </row>
    <row r="808" spans="5:11" s="105" customFormat="1" x14ac:dyDescent="0.2">
      <c r="E808" s="268"/>
      <c r="F808" s="132"/>
      <c r="G808" s="132"/>
      <c r="H808" s="132"/>
      <c r="I808" s="132"/>
      <c r="J808" s="132"/>
      <c r="K808" s="132"/>
    </row>
    <row r="809" spans="5:11" s="105" customFormat="1" x14ac:dyDescent="0.2">
      <c r="E809" s="268"/>
      <c r="F809" s="132"/>
      <c r="G809" s="132"/>
      <c r="H809" s="132"/>
      <c r="I809" s="132"/>
      <c r="J809" s="132"/>
      <c r="K809" s="132"/>
    </row>
    <row r="810" spans="5:11" s="105" customFormat="1" x14ac:dyDescent="0.2">
      <c r="E810" s="268"/>
      <c r="F810" s="132"/>
      <c r="G810" s="132"/>
      <c r="H810" s="132"/>
      <c r="I810" s="132"/>
      <c r="J810" s="132"/>
      <c r="K810" s="132"/>
    </row>
    <row r="811" spans="5:11" s="105" customFormat="1" x14ac:dyDescent="0.2">
      <c r="E811" s="268"/>
      <c r="F811" s="132"/>
      <c r="G811" s="132"/>
      <c r="H811" s="132"/>
      <c r="I811" s="132"/>
      <c r="J811" s="132"/>
      <c r="K811" s="132"/>
    </row>
    <row r="812" spans="5:11" s="105" customFormat="1" x14ac:dyDescent="0.2">
      <c r="E812" s="268"/>
      <c r="F812" s="132"/>
      <c r="G812" s="132"/>
      <c r="H812" s="132"/>
      <c r="I812" s="132"/>
      <c r="J812" s="132"/>
      <c r="K812" s="132"/>
    </row>
    <row r="813" spans="5:11" s="105" customFormat="1" x14ac:dyDescent="0.2">
      <c r="E813" s="268"/>
      <c r="F813" s="132"/>
      <c r="G813" s="132"/>
      <c r="H813" s="132"/>
      <c r="I813" s="132"/>
      <c r="J813" s="132"/>
      <c r="K813" s="132"/>
    </row>
    <row r="814" spans="5:11" s="105" customFormat="1" x14ac:dyDescent="0.2">
      <c r="E814" s="268"/>
      <c r="F814" s="132"/>
      <c r="G814" s="132"/>
      <c r="H814" s="132"/>
      <c r="I814" s="132"/>
      <c r="J814" s="132"/>
      <c r="K814" s="132"/>
    </row>
    <row r="815" spans="5:11" s="105" customFormat="1" x14ac:dyDescent="0.2">
      <c r="E815" s="268"/>
      <c r="F815" s="132"/>
      <c r="G815" s="132"/>
      <c r="H815" s="132"/>
      <c r="I815" s="132"/>
      <c r="J815" s="132"/>
      <c r="K815" s="132"/>
    </row>
    <row r="816" spans="5:11" s="105" customFormat="1" x14ac:dyDescent="0.2">
      <c r="E816" s="268"/>
      <c r="F816" s="132"/>
      <c r="G816" s="132"/>
      <c r="H816" s="132"/>
      <c r="I816" s="132"/>
      <c r="J816" s="132"/>
      <c r="K816" s="132"/>
    </row>
    <row r="817" spans="5:11" s="105" customFormat="1" x14ac:dyDescent="0.2">
      <c r="E817" s="268"/>
      <c r="F817" s="132"/>
      <c r="G817" s="132"/>
      <c r="H817" s="132"/>
      <c r="I817" s="132"/>
      <c r="J817" s="132"/>
      <c r="K817" s="132"/>
    </row>
    <row r="818" spans="5:11" s="105" customFormat="1" x14ac:dyDescent="0.2">
      <c r="E818" s="268"/>
      <c r="F818" s="132"/>
      <c r="G818" s="132"/>
      <c r="H818" s="132"/>
      <c r="I818" s="132"/>
      <c r="J818" s="132"/>
      <c r="K818" s="132"/>
    </row>
    <row r="819" spans="5:11" s="105" customFormat="1" x14ac:dyDescent="0.2">
      <c r="E819" s="268"/>
      <c r="F819" s="132"/>
      <c r="G819" s="132"/>
      <c r="H819" s="132"/>
      <c r="I819" s="132"/>
      <c r="J819" s="132"/>
      <c r="K819" s="132"/>
    </row>
    <row r="820" spans="5:11" s="105" customFormat="1" x14ac:dyDescent="0.2">
      <c r="E820" s="268"/>
      <c r="F820" s="132"/>
      <c r="G820" s="132"/>
      <c r="H820" s="132"/>
      <c r="I820" s="132"/>
      <c r="J820" s="132"/>
      <c r="K820" s="132"/>
    </row>
    <row r="821" spans="5:11" s="105" customFormat="1" x14ac:dyDescent="0.2">
      <c r="E821" s="268"/>
      <c r="F821" s="132"/>
      <c r="G821" s="132"/>
      <c r="H821" s="132"/>
      <c r="I821" s="132"/>
      <c r="J821" s="132"/>
      <c r="K821" s="132"/>
    </row>
    <row r="822" spans="5:11" s="105" customFormat="1" x14ac:dyDescent="0.2">
      <c r="E822" s="268"/>
      <c r="F822" s="132"/>
      <c r="G822" s="132"/>
      <c r="H822" s="132"/>
      <c r="I822" s="132"/>
      <c r="J822" s="132"/>
      <c r="K822" s="132"/>
    </row>
    <row r="823" spans="5:11" s="105" customFormat="1" x14ac:dyDescent="0.2">
      <c r="E823" s="268"/>
      <c r="F823" s="132"/>
      <c r="G823" s="132"/>
      <c r="H823" s="132"/>
      <c r="I823" s="132"/>
      <c r="J823" s="132"/>
      <c r="K823" s="132"/>
    </row>
    <row r="824" spans="5:11" s="105" customFormat="1" x14ac:dyDescent="0.2">
      <c r="E824" s="268"/>
      <c r="F824" s="132"/>
      <c r="G824" s="132"/>
      <c r="H824" s="132"/>
      <c r="I824" s="132"/>
      <c r="J824" s="132"/>
      <c r="K824" s="132"/>
    </row>
    <row r="825" spans="5:11" s="105" customFormat="1" x14ac:dyDescent="0.2">
      <c r="E825" s="268"/>
      <c r="F825" s="132"/>
      <c r="G825" s="132"/>
      <c r="H825" s="132"/>
      <c r="I825" s="132"/>
      <c r="J825" s="132"/>
      <c r="K825" s="132"/>
    </row>
    <row r="826" spans="5:11" s="105" customFormat="1" x14ac:dyDescent="0.2">
      <c r="E826" s="268"/>
      <c r="F826" s="132"/>
      <c r="G826" s="132"/>
      <c r="H826" s="132"/>
      <c r="I826" s="132"/>
      <c r="J826" s="132"/>
      <c r="K826" s="132"/>
    </row>
    <row r="827" spans="5:11" s="105" customFormat="1" x14ac:dyDescent="0.2">
      <c r="E827" s="268"/>
      <c r="F827" s="132"/>
      <c r="G827" s="132"/>
      <c r="H827" s="132"/>
      <c r="I827" s="132"/>
      <c r="J827" s="132"/>
      <c r="K827" s="132"/>
    </row>
    <row r="828" spans="5:11" s="105" customFormat="1" x14ac:dyDescent="0.2">
      <c r="E828" s="268"/>
      <c r="F828" s="132"/>
      <c r="G828" s="132"/>
      <c r="H828" s="132"/>
      <c r="I828" s="132"/>
      <c r="J828" s="132"/>
      <c r="K828" s="132"/>
    </row>
    <row r="829" spans="5:11" s="105" customFormat="1" x14ac:dyDescent="0.2">
      <c r="E829" s="268"/>
      <c r="F829" s="132"/>
      <c r="G829" s="132"/>
      <c r="H829" s="132"/>
      <c r="I829" s="132"/>
      <c r="J829" s="132"/>
      <c r="K829" s="132"/>
    </row>
    <row r="830" spans="5:11" s="105" customFormat="1" x14ac:dyDescent="0.2">
      <c r="E830" s="268"/>
      <c r="F830" s="132"/>
      <c r="G830" s="132"/>
      <c r="H830" s="132"/>
      <c r="I830" s="132"/>
      <c r="J830" s="132"/>
      <c r="K830" s="132"/>
    </row>
    <row r="831" spans="5:11" s="105" customFormat="1" x14ac:dyDescent="0.2">
      <c r="E831" s="268"/>
      <c r="F831" s="132"/>
      <c r="G831" s="132"/>
      <c r="H831" s="132"/>
      <c r="I831" s="132"/>
      <c r="J831" s="132"/>
      <c r="K831" s="132"/>
    </row>
    <row r="832" spans="5:11" s="105" customFormat="1" x14ac:dyDescent="0.2">
      <c r="E832" s="268"/>
      <c r="F832" s="132"/>
      <c r="G832" s="132"/>
      <c r="H832" s="132"/>
      <c r="I832" s="132"/>
      <c r="J832" s="132"/>
      <c r="K832" s="132"/>
    </row>
    <row r="833" spans="5:11" s="105" customFormat="1" x14ac:dyDescent="0.2">
      <c r="E833" s="268"/>
      <c r="F833" s="132"/>
      <c r="G833" s="132"/>
      <c r="H833" s="132"/>
      <c r="I833" s="132"/>
      <c r="J833" s="132"/>
      <c r="K833" s="132"/>
    </row>
    <row r="834" spans="5:11" s="105" customFormat="1" x14ac:dyDescent="0.2">
      <c r="E834" s="268"/>
      <c r="F834" s="132"/>
      <c r="G834" s="132"/>
      <c r="H834" s="132"/>
      <c r="I834" s="132"/>
      <c r="J834" s="132"/>
      <c r="K834" s="132"/>
    </row>
    <row r="835" spans="5:11" s="105" customFormat="1" x14ac:dyDescent="0.2">
      <c r="E835" s="268"/>
      <c r="F835" s="132"/>
      <c r="G835" s="132"/>
      <c r="H835" s="132"/>
      <c r="I835" s="132"/>
      <c r="J835" s="132"/>
      <c r="K835" s="132"/>
    </row>
    <row r="836" spans="5:11" s="105" customFormat="1" x14ac:dyDescent="0.2">
      <c r="E836" s="268"/>
      <c r="F836" s="132"/>
      <c r="G836" s="132"/>
      <c r="H836" s="132"/>
      <c r="I836" s="132"/>
      <c r="J836" s="132"/>
      <c r="K836" s="132"/>
    </row>
    <row r="837" spans="5:11" s="105" customFormat="1" x14ac:dyDescent="0.2">
      <c r="E837" s="268"/>
      <c r="F837" s="132"/>
      <c r="G837" s="132"/>
      <c r="H837" s="132"/>
      <c r="I837" s="132"/>
      <c r="J837" s="132"/>
      <c r="K837" s="132"/>
    </row>
    <row r="838" spans="5:11" s="105" customFormat="1" x14ac:dyDescent="0.2">
      <c r="E838" s="268"/>
      <c r="F838" s="132"/>
      <c r="G838" s="132"/>
      <c r="H838" s="132"/>
      <c r="I838" s="132"/>
      <c r="J838" s="132"/>
      <c r="K838" s="132"/>
    </row>
    <row r="839" spans="5:11" s="105" customFormat="1" x14ac:dyDescent="0.2">
      <c r="E839" s="268"/>
      <c r="F839" s="132"/>
      <c r="G839" s="132"/>
      <c r="H839" s="132"/>
      <c r="I839" s="132"/>
      <c r="J839" s="132"/>
      <c r="K839" s="132"/>
    </row>
    <row r="840" spans="5:11" s="105" customFormat="1" x14ac:dyDescent="0.2">
      <c r="E840" s="268"/>
      <c r="F840" s="132"/>
      <c r="G840" s="132"/>
      <c r="H840" s="132"/>
      <c r="I840" s="132"/>
      <c r="J840" s="132"/>
      <c r="K840" s="132"/>
    </row>
    <row r="841" spans="5:11" s="105" customFormat="1" x14ac:dyDescent="0.2">
      <c r="E841" s="268"/>
      <c r="F841" s="132"/>
      <c r="G841" s="132"/>
      <c r="H841" s="132"/>
      <c r="I841" s="132"/>
      <c r="J841" s="132"/>
      <c r="K841" s="132"/>
    </row>
    <row r="842" spans="5:11" s="105" customFormat="1" x14ac:dyDescent="0.2">
      <c r="E842" s="268"/>
      <c r="F842" s="132"/>
      <c r="G842" s="132"/>
      <c r="H842" s="132"/>
      <c r="I842" s="132"/>
      <c r="J842" s="132"/>
      <c r="K842" s="132"/>
    </row>
    <row r="843" spans="5:11" s="105" customFormat="1" x14ac:dyDescent="0.2">
      <c r="E843" s="268"/>
      <c r="F843" s="132"/>
      <c r="G843" s="132"/>
      <c r="H843" s="132"/>
      <c r="I843" s="132"/>
      <c r="J843" s="132"/>
      <c r="K843" s="132"/>
    </row>
    <row r="844" spans="5:11" s="105" customFormat="1" x14ac:dyDescent="0.2">
      <c r="E844" s="268"/>
      <c r="F844" s="132"/>
      <c r="G844" s="132"/>
      <c r="H844" s="132"/>
      <c r="I844" s="132"/>
      <c r="J844" s="132"/>
      <c r="K844" s="132"/>
    </row>
    <row r="845" spans="5:11" s="105" customFormat="1" x14ac:dyDescent="0.2">
      <c r="E845" s="268"/>
      <c r="F845" s="132"/>
      <c r="G845" s="132"/>
      <c r="H845" s="132"/>
      <c r="I845" s="132"/>
      <c r="J845" s="132"/>
      <c r="K845" s="132"/>
    </row>
    <row r="846" spans="5:11" s="105" customFormat="1" x14ac:dyDescent="0.2">
      <c r="E846" s="268"/>
      <c r="F846" s="132"/>
      <c r="G846" s="132"/>
      <c r="H846" s="132"/>
      <c r="I846" s="132"/>
      <c r="J846" s="132"/>
      <c r="K846" s="132"/>
    </row>
    <row r="847" spans="5:11" s="105" customFormat="1" x14ac:dyDescent="0.2">
      <c r="E847" s="268"/>
      <c r="F847" s="132"/>
      <c r="G847" s="132"/>
      <c r="H847" s="132"/>
      <c r="I847" s="132"/>
      <c r="J847" s="132"/>
      <c r="K847" s="132"/>
    </row>
    <row r="848" spans="5:11" s="105" customFormat="1" x14ac:dyDescent="0.2">
      <c r="E848" s="268"/>
      <c r="F848" s="132"/>
      <c r="G848" s="132"/>
      <c r="H848" s="132"/>
      <c r="I848" s="132"/>
      <c r="J848" s="132"/>
      <c r="K848" s="132"/>
    </row>
    <row r="849" spans="5:11" s="105" customFormat="1" x14ac:dyDescent="0.2">
      <c r="E849" s="268"/>
      <c r="F849" s="132"/>
      <c r="G849" s="132"/>
      <c r="H849" s="132"/>
      <c r="I849" s="132"/>
      <c r="J849" s="132"/>
      <c r="K849" s="132"/>
    </row>
    <row r="850" spans="5:11" s="105" customFormat="1" x14ac:dyDescent="0.2">
      <c r="E850" s="268"/>
      <c r="F850" s="132"/>
      <c r="G850" s="132"/>
      <c r="H850" s="132"/>
      <c r="I850" s="132"/>
      <c r="J850" s="132"/>
      <c r="K850" s="132"/>
    </row>
    <row r="851" spans="5:11" s="105" customFormat="1" x14ac:dyDescent="0.2">
      <c r="E851" s="268"/>
      <c r="F851" s="132"/>
      <c r="G851" s="132"/>
      <c r="H851" s="132"/>
      <c r="I851" s="132"/>
      <c r="J851" s="132"/>
      <c r="K851" s="132"/>
    </row>
    <row r="852" spans="5:11" s="105" customFormat="1" x14ac:dyDescent="0.2">
      <c r="E852" s="268"/>
      <c r="F852" s="132"/>
      <c r="G852" s="132"/>
      <c r="H852" s="132"/>
      <c r="I852" s="132"/>
      <c r="J852" s="132"/>
      <c r="K852" s="132"/>
    </row>
    <row r="853" spans="5:11" s="105" customFormat="1" x14ac:dyDescent="0.2">
      <c r="E853" s="268"/>
      <c r="F853" s="132"/>
      <c r="G853" s="132"/>
      <c r="H853" s="132"/>
      <c r="I853" s="132"/>
      <c r="J853" s="132"/>
      <c r="K853" s="132"/>
    </row>
    <row r="854" spans="5:11" s="105" customFormat="1" x14ac:dyDescent="0.2">
      <c r="E854" s="268"/>
      <c r="F854" s="132"/>
      <c r="G854" s="132"/>
      <c r="H854" s="132"/>
      <c r="I854" s="132"/>
      <c r="J854" s="132"/>
      <c r="K854" s="132"/>
    </row>
    <row r="855" spans="5:11" s="105" customFormat="1" x14ac:dyDescent="0.2">
      <c r="E855" s="268"/>
      <c r="F855" s="132"/>
      <c r="G855" s="132"/>
      <c r="H855" s="132"/>
      <c r="I855" s="132"/>
      <c r="J855" s="132"/>
      <c r="K855" s="132"/>
    </row>
    <row r="856" spans="5:11" s="105" customFormat="1" x14ac:dyDescent="0.2">
      <c r="E856" s="268"/>
      <c r="F856" s="132"/>
      <c r="G856" s="132"/>
      <c r="H856" s="132"/>
      <c r="I856" s="132"/>
      <c r="J856" s="132"/>
      <c r="K856" s="132"/>
    </row>
    <row r="857" spans="5:11" s="105" customFormat="1" x14ac:dyDescent="0.2">
      <c r="E857" s="268"/>
      <c r="F857" s="132"/>
      <c r="G857" s="132"/>
      <c r="H857" s="132"/>
      <c r="I857" s="132"/>
      <c r="J857" s="132"/>
      <c r="K857" s="132"/>
    </row>
    <row r="858" spans="5:11" s="105" customFormat="1" x14ac:dyDescent="0.2">
      <c r="E858" s="268"/>
      <c r="F858" s="132"/>
      <c r="G858" s="132"/>
      <c r="H858" s="132"/>
      <c r="I858" s="132"/>
      <c r="J858" s="132"/>
      <c r="K858" s="132"/>
    </row>
    <row r="859" spans="5:11" s="105" customFormat="1" x14ac:dyDescent="0.2">
      <c r="E859" s="268"/>
      <c r="F859" s="132"/>
      <c r="G859" s="132"/>
      <c r="H859" s="132"/>
      <c r="I859" s="132"/>
      <c r="J859" s="132"/>
      <c r="K859" s="132"/>
    </row>
    <row r="860" spans="5:11" s="105" customFormat="1" x14ac:dyDescent="0.2">
      <c r="E860" s="268"/>
      <c r="F860" s="132"/>
      <c r="G860" s="132"/>
      <c r="H860" s="132"/>
      <c r="I860" s="132"/>
      <c r="J860" s="132"/>
      <c r="K860" s="132"/>
    </row>
    <row r="861" spans="5:11" s="105" customFormat="1" x14ac:dyDescent="0.2">
      <c r="E861" s="268"/>
      <c r="F861" s="132"/>
      <c r="G861" s="132"/>
      <c r="H861" s="132"/>
      <c r="I861" s="132"/>
      <c r="J861" s="132"/>
      <c r="K861" s="132"/>
    </row>
    <row r="862" spans="5:11" s="105" customFormat="1" x14ac:dyDescent="0.2">
      <c r="E862" s="268"/>
      <c r="F862" s="132"/>
      <c r="G862" s="132"/>
      <c r="H862" s="132"/>
      <c r="I862" s="132"/>
      <c r="J862" s="132"/>
      <c r="K862" s="132"/>
    </row>
    <row r="863" spans="5:11" s="105" customFormat="1" x14ac:dyDescent="0.2">
      <c r="E863" s="268"/>
      <c r="F863" s="132"/>
      <c r="G863" s="132"/>
      <c r="H863" s="132"/>
      <c r="I863" s="132"/>
      <c r="J863" s="132"/>
      <c r="K863" s="132"/>
    </row>
    <row r="864" spans="5:11" s="105" customFormat="1" x14ac:dyDescent="0.2">
      <c r="E864" s="268"/>
      <c r="F864" s="132"/>
      <c r="G864" s="132"/>
      <c r="H864" s="132"/>
      <c r="I864" s="132"/>
      <c r="J864" s="132"/>
      <c r="K864" s="132"/>
    </row>
    <row r="865" spans="5:11" s="105" customFormat="1" x14ac:dyDescent="0.2">
      <c r="E865" s="268"/>
      <c r="F865" s="132"/>
      <c r="G865" s="132"/>
      <c r="H865" s="132"/>
      <c r="I865" s="132"/>
      <c r="J865" s="132"/>
      <c r="K865" s="132"/>
    </row>
    <row r="866" spans="5:11" s="105" customFormat="1" x14ac:dyDescent="0.2">
      <c r="E866" s="268"/>
      <c r="F866" s="132"/>
      <c r="G866" s="132"/>
      <c r="H866" s="132"/>
      <c r="I866" s="132"/>
      <c r="J866" s="132"/>
      <c r="K866" s="132"/>
    </row>
    <row r="867" spans="5:11" s="105" customFormat="1" x14ac:dyDescent="0.2">
      <c r="E867" s="268"/>
      <c r="F867" s="132"/>
      <c r="G867" s="132"/>
      <c r="H867" s="132"/>
      <c r="I867" s="132"/>
      <c r="J867" s="132"/>
      <c r="K867" s="132"/>
    </row>
    <row r="868" spans="5:11" s="105" customFormat="1" x14ac:dyDescent="0.2">
      <c r="E868" s="268"/>
      <c r="F868" s="132"/>
      <c r="G868" s="132"/>
      <c r="H868" s="132"/>
      <c r="I868" s="132"/>
      <c r="J868" s="132"/>
      <c r="K868" s="132"/>
    </row>
    <row r="869" spans="5:11" s="105" customFormat="1" x14ac:dyDescent="0.2">
      <c r="E869" s="268"/>
      <c r="F869" s="132"/>
      <c r="G869" s="132"/>
      <c r="H869" s="132"/>
      <c r="I869" s="132"/>
      <c r="J869" s="132"/>
      <c r="K869" s="132"/>
    </row>
    <row r="870" spans="5:11" s="105" customFormat="1" x14ac:dyDescent="0.2">
      <c r="E870" s="268"/>
      <c r="F870" s="132"/>
      <c r="G870" s="132"/>
      <c r="H870" s="132"/>
      <c r="I870" s="132"/>
      <c r="J870" s="132"/>
      <c r="K870" s="132"/>
    </row>
    <row r="871" spans="5:11" s="105" customFormat="1" x14ac:dyDescent="0.2">
      <c r="E871" s="268"/>
      <c r="F871" s="132"/>
      <c r="G871" s="132"/>
      <c r="H871" s="132"/>
      <c r="I871" s="132"/>
      <c r="J871" s="132"/>
      <c r="K871" s="132"/>
    </row>
    <row r="872" spans="5:11" s="105" customFormat="1" x14ac:dyDescent="0.2">
      <c r="E872" s="268"/>
      <c r="F872" s="132"/>
      <c r="G872" s="132"/>
      <c r="H872" s="132"/>
      <c r="I872" s="132"/>
      <c r="J872" s="132"/>
      <c r="K872" s="132"/>
    </row>
    <row r="873" spans="5:11" s="105" customFormat="1" x14ac:dyDescent="0.2">
      <c r="E873" s="268"/>
      <c r="F873" s="132"/>
      <c r="G873" s="132"/>
      <c r="H873" s="132"/>
      <c r="I873" s="132"/>
      <c r="J873" s="132"/>
      <c r="K873" s="132"/>
    </row>
    <row r="874" spans="5:11" s="105" customFormat="1" x14ac:dyDescent="0.2">
      <c r="E874" s="268"/>
      <c r="F874" s="132"/>
      <c r="G874" s="132"/>
      <c r="H874" s="132"/>
      <c r="I874" s="132"/>
      <c r="J874" s="132"/>
      <c r="K874" s="132"/>
    </row>
    <row r="875" spans="5:11" s="105" customFormat="1" x14ac:dyDescent="0.2">
      <c r="E875" s="268"/>
      <c r="F875" s="132"/>
      <c r="G875" s="132"/>
      <c r="H875" s="132"/>
      <c r="I875" s="132"/>
      <c r="J875" s="132"/>
      <c r="K875" s="132"/>
    </row>
    <row r="876" spans="5:11" s="105" customFormat="1" x14ac:dyDescent="0.2">
      <c r="E876" s="268"/>
      <c r="F876" s="132"/>
      <c r="G876" s="132"/>
      <c r="H876" s="132"/>
      <c r="I876" s="132"/>
      <c r="J876" s="132"/>
      <c r="K876" s="132"/>
    </row>
    <row r="877" spans="5:11" s="105" customFormat="1" x14ac:dyDescent="0.2">
      <c r="E877" s="268"/>
      <c r="F877" s="132"/>
      <c r="G877" s="132"/>
      <c r="H877" s="132"/>
      <c r="I877" s="132"/>
      <c r="J877" s="132"/>
      <c r="K877" s="132"/>
    </row>
    <row r="878" spans="5:11" s="105" customFormat="1" x14ac:dyDescent="0.2">
      <c r="E878" s="268"/>
      <c r="F878" s="132"/>
      <c r="G878" s="132"/>
      <c r="H878" s="132"/>
      <c r="I878" s="132"/>
      <c r="J878" s="132"/>
      <c r="K878" s="132"/>
    </row>
    <row r="879" spans="5:11" s="105" customFormat="1" x14ac:dyDescent="0.2">
      <c r="E879" s="268"/>
      <c r="F879" s="132"/>
      <c r="G879" s="132"/>
      <c r="H879" s="132"/>
      <c r="I879" s="132"/>
      <c r="J879" s="132"/>
      <c r="K879" s="132"/>
    </row>
    <row r="880" spans="5:11" s="105" customFormat="1" x14ac:dyDescent="0.2">
      <c r="E880" s="268"/>
      <c r="F880" s="132"/>
      <c r="G880" s="132"/>
      <c r="H880" s="132"/>
      <c r="I880" s="132"/>
      <c r="J880" s="132"/>
      <c r="K880" s="132"/>
    </row>
    <row r="881" spans="5:11" s="105" customFormat="1" x14ac:dyDescent="0.2">
      <c r="E881" s="268"/>
      <c r="F881" s="132"/>
      <c r="G881" s="132"/>
      <c r="H881" s="132"/>
      <c r="I881" s="132"/>
      <c r="J881" s="132"/>
      <c r="K881" s="132"/>
    </row>
    <row r="882" spans="5:11" s="105" customFormat="1" x14ac:dyDescent="0.2">
      <c r="E882" s="268"/>
      <c r="F882" s="132"/>
      <c r="G882" s="132"/>
      <c r="H882" s="132"/>
      <c r="I882" s="132"/>
      <c r="J882" s="132"/>
      <c r="K882" s="132"/>
    </row>
    <row r="883" spans="5:11" s="105" customFormat="1" x14ac:dyDescent="0.2">
      <c r="E883" s="268"/>
      <c r="F883" s="132"/>
      <c r="G883" s="132"/>
      <c r="H883" s="132"/>
      <c r="I883" s="132"/>
      <c r="J883" s="132"/>
      <c r="K883" s="132"/>
    </row>
    <row r="884" spans="5:11" s="105" customFormat="1" x14ac:dyDescent="0.2">
      <c r="E884" s="268"/>
      <c r="F884" s="132"/>
      <c r="G884" s="132"/>
      <c r="H884" s="132"/>
      <c r="I884" s="132"/>
      <c r="J884" s="132"/>
      <c r="K884" s="132"/>
    </row>
    <row r="885" spans="5:11" s="105" customFormat="1" x14ac:dyDescent="0.2">
      <c r="E885" s="268"/>
      <c r="F885" s="132"/>
      <c r="G885" s="132"/>
      <c r="H885" s="132"/>
      <c r="I885" s="132"/>
      <c r="J885" s="132"/>
      <c r="K885" s="132"/>
    </row>
    <row r="886" spans="5:11" s="105" customFormat="1" x14ac:dyDescent="0.2">
      <c r="E886" s="268"/>
      <c r="F886" s="132"/>
      <c r="G886" s="132"/>
      <c r="H886" s="132"/>
      <c r="I886" s="132"/>
      <c r="J886" s="132"/>
      <c r="K886" s="132"/>
    </row>
    <row r="887" spans="5:11" s="105" customFormat="1" x14ac:dyDescent="0.2">
      <c r="E887" s="268"/>
      <c r="F887" s="132"/>
      <c r="G887" s="132"/>
      <c r="H887" s="132"/>
      <c r="I887" s="132"/>
      <c r="J887" s="132"/>
      <c r="K887" s="132"/>
    </row>
    <row r="888" spans="5:11" s="105" customFormat="1" x14ac:dyDescent="0.2">
      <c r="E888" s="268"/>
      <c r="F888" s="132"/>
      <c r="G888" s="132"/>
      <c r="H888" s="132"/>
      <c r="I888" s="132"/>
      <c r="J888" s="132"/>
      <c r="K888" s="132"/>
    </row>
    <row r="889" spans="5:11" s="105" customFormat="1" x14ac:dyDescent="0.2">
      <c r="E889" s="268"/>
      <c r="F889" s="132"/>
      <c r="G889" s="132"/>
      <c r="H889" s="132"/>
      <c r="I889" s="132"/>
      <c r="J889" s="132"/>
      <c r="K889" s="132"/>
    </row>
    <row r="890" spans="5:11" s="105" customFormat="1" x14ac:dyDescent="0.2">
      <c r="E890" s="268"/>
      <c r="F890" s="132"/>
      <c r="G890" s="132"/>
      <c r="H890" s="132"/>
      <c r="I890" s="132"/>
      <c r="J890" s="132"/>
      <c r="K890" s="132"/>
    </row>
    <row r="891" spans="5:11" s="105" customFormat="1" x14ac:dyDescent="0.2">
      <c r="E891" s="268"/>
      <c r="F891" s="132"/>
      <c r="G891" s="132"/>
      <c r="H891" s="132"/>
      <c r="I891" s="132"/>
      <c r="J891" s="132"/>
      <c r="K891" s="132"/>
    </row>
    <row r="892" spans="5:11" s="105" customFormat="1" x14ac:dyDescent="0.2">
      <c r="E892" s="268"/>
      <c r="F892" s="132"/>
      <c r="G892" s="132"/>
      <c r="H892" s="132"/>
      <c r="I892" s="132"/>
      <c r="J892" s="132"/>
      <c r="K892" s="132"/>
    </row>
    <row r="893" spans="5:11" s="105" customFormat="1" x14ac:dyDescent="0.2">
      <c r="E893" s="268"/>
      <c r="F893" s="132"/>
      <c r="G893" s="132"/>
      <c r="H893" s="132"/>
      <c r="I893" s="132"/>
      <c r="J893" s="132"/>
      <c r="K893" s="132"/>
    </row>
    <row r="894" spans="5:11" s="105" customFormat="1" x14ac:dyDescent="0.2">
      <c r="E894" s="268"/>
      <c r="F894" s="132"/>
      <c r="G894" s="132"/>
      <c r="H894" s="132"/>
      <c r="I894" s="132"/>
      <c r="J894" s="132"/>
      <c r="K894" s="132"/>
    </row>
    <row r="895" spans="5:11" s="105" customFormat="1" x14ac:dyDescent="0.2">
      <c r="E895" s="268"/>
      <c r="F895" s="132"/>
      <c r="G895" s="132"/>
      <c r="H895" s="132"/>
      <c r="I895" s="132"/>
      <c r="J895" s="132"/>
      <c r="K895" s="132"/>
    </row>
    <row r="896" spans="5:11" s="105" customFormat="1" x14ac:dyDescent="0.2">
      <c r="E896" s="268"/>
      <c r="F896" s="132"/>
      <c r="G896" s="132"/>
      <c r="H896" s="132"/>
      <c r="I896" s="132"/>
      <c r="J896" s="132"/>
      <c r="K896" s="132"/>
    </row>
    <row r="897" spans="5:11" s="105" customFormat="1" x14ac:dyDescent="0.2">
      <c r="E897" s="268"/>
      <c r="F897" s="132"/>
      <c r="G897" s="132"/>
      <c r="H897" s="132"/>
      <c r="I897" s="132"/>
      <c r="J897" s="132"/>
      <c r="K897" s="132"/>
    </row>
    <row r="898" spans="5:11" s="105" customFormat="1" x14ac:dyDescent="0.2">
      <c r="E898" s="268"/>
      <c r="F898" s="132"/>
      <c r="G898" s="132"/>
      <c r="H898" s="132"/>
      <c r="I898" s="132"/>
      <c r="J898" s="132"/>
      <c r="K898" s="132"/>
    </row>
    <row r="899" spans="5:11" s="105" customFormat="1" x14ac:dyDescent="0.2">
      <c r="E899" s="268"/>
      <c r="F899" s="132"/>
      <c r="G899" s="132"/>
      <c r="H899" s="132"/>
      <c r="I899" s="132"/>
      <c r="J899" s="132"/>
      <c r="K899" s="132"/>
    </row>
    <row r="900" spans="5:11" s="105" customFormat="1" x14ac:dyDescent="0.2">
      <c r="E900" s="268"/>
      <c r="F900" s="132"/>
      <c r="G900" s="132"/>
      <c r="H900" s="132"/>
      <c r="I900" s="132"/>
      <c r="J900" s="132"/>
      <c r="K900" s="132"/>
    </row>
    <row r="901" spans="5:11" s="105" customFormat="1" x14ac:dyDescent="0.2">
      <c r="E901" s="268"/>
      <c r="F901" s="132"/>
      <c r="G901" s="132"/>
      <c r="H901" s="132"/>
      <c r="I901" s="132"/>
      <c r="J901" s="132"/>
      <c r="K901" s="132"/>
    </row>
    <row r="902" spans="5:11" s="105" customFormat="1" x14ac:dyDescent="0.2">
      <c r="E902" s="268"/>
      <c r="F902" s="132"/>
      <c r="G902" s="132"/>
      <c r="H902" s="132"/>
      <c r="I902" s="132"/>
      <c r="J902" s="132"/>
      <c r="K902" s="132"/>
    </row>
    <row r="903" spans="5:11" s="105" customFormat="1" x14ac:dyDescent="0.2">
      <c r="E903" s="268"/>
      <c r="F903" s="132"/>
      <c r="G903" s="132"/>
      <c r="H903" s="132"/>
      <c r="I903" s="132"/>
      <c r="J903" s="132"/>
      <c r="K903" s="132"/>
    </row>
    <row r="904" spans="5:11" s="105" customFormat="1" x14ac:dyDescent="0.2">
      <c r="E904" s="268"/>
      <c r="F904" s="132"/>
      <c r="G904" s="132"/>
      <c r="H904" s="132"/>
      <c r="I904" s="132"/>
      <c r="J904" s="132"/>
      <c r="K904" s="132"/>
    </row>
    <row r="905" spans="5:11" s="105" customFormat="1" x14ac:dyDescent="0.2">
      <c r="E905" s="268"/>
      <c r="F905" s="132"/>
      <c r="G905" s="132"/>
      <c r="H905" s="132"/>
      <c r="I905" s="132"/>
      <c r="J905" s="132"/>
      <c r="K905" s="132"/>
    </row>
    <row r="906" spans="5:11" s="105" customFormat="1" x14ac:dyDescent="0.2">
      <c r="E906" s="268"/>
      <c r="F906" s="132"/>
      <c r="G906" s="132"/>
      <c r="H906" s="132"/>
      <c r="I906" s="132"/>
      <c r="J906" s="132"/>
      <c r="K906" s="132"/>
    </row>
    <row r="907" spans="5:11" s="105" customFormat="1" x14ac:dyDescent="0.2">
      <c r="E907" s="268"/>
      <c r="F907" s="132"/>
      <c r="G907" s="132"/>
      <c r="H907" s="132"/>
      <c r="I907" s="132"/>
      <c r="J907" s="132"/>
      <c r="K907" s="132"/>
    </row>
    <row r="908" spans="5:11" s="105" customFormat="1" x14ac:dyDescent="0.2">
      <c r="E908" s="268"/>
      <c r="F908" s="132"/>
      <c r="G908" s="132"/>
      <c r="H908" s="132"/>
      <c r="I908" s="132"/>
      <c r="J908" s="132"/>
      <c r="K908" s="132"/>
    </row>
    <row r="909" spans="5:11" s="105" customFormat="1" x14ac:dyDescent="0.2">
      <c r="E909" s="268"/>
      <c r="F909" s="132"/>
      <c r="G909" s="132"/>
      <c r="H909" s="132"/>
      <c r="I909" s="132"/>
      <c r="J909" s="132"/>
      <c r="K909" s="132"/>
    </row>
    <row r="910" spans="5:11" s="105" customFormat="1" x14ac:dyDescent="0.2">
      <c r="E910" s="268"/>
      <c r="F910" s="132"/>
      <c r="G910" s="132"/>
      <c r="H910" s="132"/>
      <c r="I910" s="132"/>
      <c r="J910" s="132"/>
      <c r="K910" s="132"/>
    </row>
    <row r="911" spans="5:11" s="105" customFormat="1" x14ac:dyDescent="0.2">
      <c r="E911" s="268"/>
      <c r="F911" s="132"/>
      <c r="G911" s="132"/>
      <c r="H911" s="132"/>
      <c r="I911" s="132"/>
      <c r="J911" s="132"/>
      <c r="K911" s="132"/>
    </row>
    <row r="912" spans="5:11" s="105" customFormat="1" x14ac:dyDescent="0.2">
      <c r="E912" s="268"/>
      <c r="F912" s="132"/>
      <c r="G912" s="132"/>
      <c r="H912" s="132"/>
      <c r="I912" s="132"/>
      <c r="J912" s="132"/>
      <c r="K912" s="132"/>
    </row>
    <row r="913" spans="5:11" s="105" customFormat="1" x14ac:dyDescent="0.2">
      <c r="E913" s="268"/>
      <c r="F913" s="132"/>
      <c r="G913" s="132"/>
      <c r="H913" s="132"/>
      <c r="I913" s="132"/>
      <c r="J913" s="132"/>
      <c r="K913" s="132"/>
    </row>
    <row r="914" spans="5:11" s="105" customFormat="1" x14ac:dyDescent="0.2">
      <c r="E914" s="268"/>
      <c r="F914" s="132"/>
      <c r="G914" s="132"/>
      <c r="H914" s="132"/>
      <c r="I914" s="132"/>
      <c r="J914" s="132"/>
      <c r="K914" s="132"/>
    </row>
    <row r="915" spans="5:11" s="105" customFormat="1" x14ac:dyDescent="0.2">
      <c r="E915" s="268"/>
      <c r="F915" s="132"/>
      <c r="G915" s="132"/>
      <c r="H915" s="132"/>
      <c r="I915" s="132"/>
      <c r="J915" s="132"/>
      <c r="K915" s="132"/>
    </row>
    <row r="916" spans="5:11" s="105" customFormat="1" x14ac:dyDescent="0.2">
      <c r="E916" s="268"/>
      <c r="F916" s="132"/>
      <c r="G916" s="132"/>
      <c r="H916" s="132"/>
      <c r="I916" s="132"/>
      <c r="J916" s="132"/>
      <c r="K916" s="132"/>
    </row>
    <row r="917" spans="5:11" s="105" customFormat="1" x14ac:dyDescent="0.2">
      <c r="E917" s="268"/>
      <c r="F917" s="132"/>
      <c r="G917" s="132"/>
      <c r="H917" s="132"/>
      <c r="I917" s="132"/>
      <c r="J917" s="132"/>
      <c r="K917" s="132"/>
    </row>
    <row r="918" spans="5:11" s="105" customFormat="1" x14ac:dyDescent="0.2">
      <c r="E918" s="268"/>
      <c r="F918" s="132"/>
      <c r="G918" s="132"/>
      <c r="H918" s="132"/>
      <c r="I918" s="132"/>
      <c r="J918" s="132"/>
      <c r="K918" s="132"/>
    </row>
    <row r="919" spans="5:11" s="105" customFormat="1" x14ac:dyDescent="0.2">
      <c r="E919" s="268"/>
      <c r="F919" s="132"/>
      <c r="G919" s="132"/>
      <c r="H919" s="132"/>
      <c r="I919" s="132"/>
      <c r="J919" s="132"/>
      <c r="K919" s="132"/>
    </row>
    <row r="920" spans="5:11" s="105" customFormat="1" x14ac:dyDescent="0.2">
      <c r="E920" s="268"/>
      <c r="F920" s="132"/>
      <c r="G920" s="132"/>
      <c r="H920" s="132"/>
      <c r="I920" s="132"/>
      <c r="J920" s="132"/>
      <c r="K920" s="132"/>
    </row>
    <row r="921" spans="5:11" s="105" customFormat="1" x14ac:dyDescent="0.2">
      <c r="E921" s="268"/>
      <c r="F921" s="132"/>
      <c r="G921" s="132"/>
      <c r="H921" s="132"/>
      <c r="I921" s="132"/>
      <c r="J921" s="132"/>
      <c r="K921" s="132"/>
    </row>
    <row r="922" spans="5:11" s="105" customFormat="1" x14ac:dyDescent="0.2">
      <c r="E922" s="268"/>
      <c r="F922" s="132"/>
      <c r="G922" s="132"/>
      <c r="H922" s="132"/>
      <c r="I922" s="132"/>
      <c r="J922" s="132"/>
      <c r="K922" s="132"/>
    </row>
    <row r="923" spans="5:11" s="105" customFormat="1" x14ac:dyDescent="0.2">
      <c r="E923" s="268"/>
      <c r="F923" s="132"/>
      <c r="G923" s="132"/>
      <c r="H923" s="132"/>
      <c r="I923" s="132"/>
      <c r="J923" s="132"/>
      <c r="K923" s="132"/>
    </row>
    <row r="924" spans="5:11" s="105" customFormat="1" x14ac:dyDescent="0.2">
      <c r="E924" s="268"/>
      <c r="F924" s="132"/>
      <c r="G924" s="132"/>
      <c r="H924" s="132"/>
      <c r="I924" s="132"/>
      <c r="J924" s="132"/>
      <c r="K924" s="132"/>
    </row>
    <row r="925" spans="5:11" s="105" customFormat="1" x14ac:dyDescent="0.2">
      <c r="E925" s="268"/>
      <c r="F925" s="132"/>
      <c r="G925" s="132"/>
      <c r="H925" s="132"/>
      <c r="I925" s="132"/>
      <c r="J925" s="132"/>
      <c r="K925" s="132"/>
    </row>
    <row r="926" spans="5:11" s="105" customFormat="1" x14ac:dyDescent="0.2">
      <c r="E926" s="268"/>
      <c r="F926" s="132"/>
      <c r="G926" s="132"/>
      <c r="H926" s="132"/>
      <c r="I926" s="132"/>
      <c r="J926" s="132"/>
      <c r="K926" s="132"/>
    </row>
    <row r="927" spans="5:11" s="105" customFormat="1" x14ac:dyDescent="0.2">
      <c r="E927" s="268"/>
      <c r="F927" s="132"/>
      <c r="G927" s="132"/>
      <c r="H927" s="132"/>
      <c r="I927" s="132"/>
      <c r="J927" s="132"/>
      <c r="K927" s="132"/>
    </row>
    <row r="928" spans="5:11" s="105" customFormat="1" x14ac:dyDescent="0.2">
      <c r="E928" s="268"/>
      <c r="F928" s="132"/>
      <c r="G928" s="132"/>
      <c r="H928" s="132"/>
      <c r="I928" s="132"/>
      <c r="J928" s="132"/>
      <c r="K928" s="132"/>
    </row>
    <row r="929" spans="5:11" s="105" customFormat="1" x14ac:dyDescent="0.2">
      <c r="E929" s="268"/>
      <c r="F929" s="132"/>
      <c r="G929" s="132"/>
      <c r="H929" s="132"/>
      <c r="I929" s="132"/>
      <c r="J929" s="132"/>
      <c r="K929" s="132"/>
    </row>
    <row r="930" spans="5:11" s="105" customFormat="1" x14ac:dyDescent="0.2">
      <c r="E930" s="268"/>
      <c r="F930" s="132"/>
      <c r="G930" s="132"/>
      <c r="H930" s="132"/>
      <c r="I930" s="132"/>
      <c r="J930" s="132"/>
      <c r="K930" s="132"/>
    </row>
    <row r="931" spans="5:11" s="105" customFormat="1" x14ac:dyDescent="0.2">
      <c r="E931" s="268"/>
      <c r="F931" s="132"/>
      <c r="G931" s="132"/>
      <c r="H931" s="132"/>
      <c r="I931" s="132"/>
      <c r="J931" s="132"/>
      <c r="K931" s="132"/>
    </row>
    <row r="932" spans="5:11" s="105" customFormat="1" x14ac:dyDescent="0.2">
      <c r="E932" s="268"/>
      <c r="F932" s="132"/>
      <c r="G932" s="132"/>
      <c r="H932" s="132"/>
      <c r="I932" s="132"/>
      <c r="J932" s="132"/>
      <c r="K932" s="132"/>
    </row>
    <row r="933" spans="5:11" s="105" customFormat="1" x14ac:dyDescent="0.2">
      <c r="E933" s="268"/>
      <c r="F933" s="132"/>
      <c r="G933" s="132"/>
      <c r="H933" s="132"/>
      <c r="I933" s="132"/>
      <c r="J933" s="132"/>
      <c r="K933" s="132"/>
    </row>
    <row r="934" spans="5:11" s="105" customFormat="1" x14ac:dyDescent="0.2">
      <c r="E934" s="268"/>
      <c r="F934" s="132"/>
      <c r="G934" s="132"/>
      <c r="H934" s="132"/>
      <c r="I934" s="132"/>
      <c r="J934" s="132"/>
      <c r="K934" s="132"/>
    </row>
    <row r="935" spans="5:11" s="105" customFormat="1" x14ac:dyDescent="0.2">
      <c r="E935" s="268"/>
      <c r="F935" s="132"/>
      <c r="G935" s="132"/>
      <c r="H935" s="132"/>
      <c r="I935" s="132"/>
      <c r="J935" s="132"/>
      <c r="K935" s="132"/>
    </row>
    <row r="936" spans="5:11" s="105" customFormat="1" x14ac:dyDescent="0.2">
      <c r="E936" s="268"/>
      <c r="F936" s="132"/>
      <c r="G936" s="132"/>
      <c r="H936" s="132"/>
      <c r="I936" s="132"/>
      <c r="J936" s="132"/>
      <c r="K936" s="132"/>
    </row>
    <row r="937" spans="5:11" s="105" customFormat="1" x14ac:dyDescent="0.2">
      <c r="E937" s="268"/>
      <c r="F937" s="132"/>
      <c r="G937" s="132"/>
      <c r="H937" s="132"/>
      <c r="I937" s="132"/>
      <c r="J937" s="132"/>
      <c r="K937" s="132"/>
    </row>
    <row r="938" spans="5:11" s="105" customFormat="1" x14ac:dyDescent="0.2">
      <c r="E938" s="268"/>
      <c r="F938" s="132"/>
      <c r="G938" s="132"/>
      <c r="H938" s="132"/>
      <c r="I938" s="132"/>
      <c r="J938" s="132"/>
      <c r="K938" s="132"/>
    </row>
    <row r="939" spans="5:11" s="105" customFormat="1" x14ac:dyDescent="0.2">
      <c r="E939" s="268"/>
      <c r="F939" s="132"/>
      <c r="G939" s="132"/>
      <c r="H939" s="132"/>
      <c r="I939" s="132"/>
      <c r="J939" s="132"/>
      <c r="K939" s="132"/>
    </row>
    <row r="940" spans="5:11" s="105" customFormat="1" x14ac:dyDescent="0.2">
      <c r="E940" s="268"/>
      <c r="F940" s="132"/>
      <c r="G940" s="132"/>
      <c r="H940" s="132"/>
      <c r="I940" s="132"/>
      <c r="J940" s="132"/>
      <c r="K940" s="132"/>
    </row>
    <row r="941" spans="5:11" s="105" customFormat="1" x14ac:dyDescent="0.2">
      <c r="E941" s="268"/>
      <c r="F941" s="132"/>
      <c r="G941" s="132"/>
      <c r="H941" s="132"/>
      <c r="I941" s="132"/>
      <c r="J941" s="132"/>
      <c r="K941" s="132"/>
    </row>
    <row r="942" spans="5:11" s="105" customFormat="1" x14ac:dyDescent="0.2">
      <c r="E942" s="268"/>
      <c r="F942" s="132"/>
      <c r="G942" s="132"/>
      <c r="H942" s="132"/>
      <c r="I942" s="132"/>
      <c r="J942" s="132"/>
      <c r="K942" s="132"/>
    </row>
    <row r="943" spans="5:11" s="105" customFormat="1" x14ac:dyDescent="0.2">
      <c r="E943" s="268"/>
      <c r="F943" s="132"/>
      <c r="G943" s="132"/>
      <c r="H943" s="132"/>
      <c r="I943" s="132"/>
      <c r="J943" s="132"/>
      <c r="K943" s="132"/>
    </row>
    <row r="944" spans="5:11" s="105" customFormat="1" x14ac:dyDescent="0.2">
      <c r="E944" s="268"/>
      <c r="F944" s="132"/>
      <c r="G944" s="132"/>
      <c r="H944" s="132"/>
      <c r="I944" s="132"/>
      <c r="J944" s="132"/>
      <c r="K944" s="132"/>
    </row>
    <row r="945" spans="5:11" s="105" customFormat="1" x14ac:dyDescent="0.2">
      <c r="E945" s="268"/>
      <c r="F945" s="132"/>
      <c r="G945" s="132"/>
      <c r="H945" s="132"/>
      <c r="I945" s="132"/>
      <c r="J945" s="132"/>
      <c r="K945" s="132"/>
    </row>
    <row r="946" spans="5:11" s="105" customFormat="1" x14ac:dyDescent="0.2">
      <c r="E946" s="268"/>
      <c r="F946" s="132"/>
      <c r="G946" s="132"/>
      <c r="H946" s="132"/>
      <c r="I946" s="132"/>
      <c r="J946" s="132"/>
      <c r="K946" s="132"/>
    </row>
    <row r="947" spans="5:11" s="105" customFormat="1" x14ac:dyDescent="0.2">
      <c r="E947" s="268"/>
      <c r="F947" s="132"/>
      <c r="G947" s="132"/>
      <c r="H947" s="132"/>
      <c r="I947" s="132"/>
      <c r="J947" s="132"/>
      <c r="K947" s="132"/>
    </row>
    <row r="948" spans="5:11" s="105" customFormat="1" x14ac:dyDescent="0.2">
      <c r="E948" s="268"/>
      <c r="F948" s="132"/>
      <c r="G948" s="132"/>
      <c r="H948" s="132"/>
      <c r="I948" s="132"/>
      <c r="J948" s="132"/>
      <c r="K948" s="132"/>
    </row>
    <row r="949" spans="5:11" s="105" customFormat="1" x14ac:dyDescent="0.2">
      <c r="E949" s="268"/>
      <c r="F949" s="132"/>
      <c r="G949" s="132"/>
      <c r="H949" s="132"/>
      <c r="I949" s="132"/>
      <c r="J949" s="132"/>
      <c r="K949" s="132"/>
    </row>
    <row r="950" spans="5:11" s="105" customFormat="1" x14ac:dyDescent="0.2">
      <c r="E950" s="268"/>
      <c r="F950" s="132"/>
      <c r="G950" s="132"/>
      <c r="H950" s="132"/>
      <c r="I950" s="132"/>
      <c r="J950" s="132"/>
      <c r="K950" s="132"/>
    </row>
    <row r="951" spans="5:11" s="105" customFormat="1" x14ac:dyDescent="0.2">
      <c r="E951" s="268"/>
      <c r="F951" s="132"/>
      <c r="G951" s="132"/>
      <c r="H951" s="132"/>
      <c r="I951" s="132"/>
      <c r="J951" s="132"/>
      <c r="K951" s="132"/>
    </row>
    <row r="952" spans="5:11" s="105" customFormat="1" x14ac:dyDescent="0.2">
      <c r="E952" s="268"/>
      <c r="F952" s="132"/>
      <c r="G952" s="132"/>
      <c r="H952" s="132"/>
      <c r="I952" s="132"/>
      <c r="J952" s="132"/>
      <c r="K952" s="132"/>
    </row>
    <row r="953" spans="5:11" s="105" customFormat="1" x14ac:dyDescent="0.2">
      <c r="E953" s="268"/>
      <c r="F953" s="132"/>
      <c r="G953" s="132"/>
      <c r="H953" s="132"/>
      <c r="I953" s="132"/>
      <c r="J953" s="132"/>
      <c r="K953" s="132"/>
    </row>
    <row r="954" spans="5:11" s="105" customFormat="1" x14ac:dyDescent="0.2">
      <c r="E954" s="268"/>
      <c r="F954" s="132"/>
      <c r="G954" s="132"/>
      <c r="H954" s="132"/>
      <c r="I954" s="132"/>
      <c r="J954" s="132"/>
      <c r="K954" s="132"/>
    </row>
    <row r="955" spans="5:11" s="105" customFormat="1" x14ac:dyDescent="0.2">
      <c r="E955" s="268"/>
      <c r="F955" s="132"/>
      <c r="G955" s="132"/>
      <c r="H955" s="132"/>
      <c r="I955" s="132"/>
      <c r="J955" s="132"/>
      <c r="K955" s="132"/>
    </row>
    <row r="956" spans="5:11" s="105" customFormat="1" x14ac:dyDescent="0.2">
      <c r="E956" s="268"/>
      <c r="F956" s="132"/>
      <c r="G956" s="132"/>
      <c r="H956" s="132"/>
      <c r="I956" s="132"/>
      <c r="J956" s="132"/>
      <c r="K956" s="132"/>
    </row>
    <row r="957" spans="5:11" s="105" customFormat="1" x14ac:dyDescent="0.2">
      <c r="E957" s="268"/>
      <c r="F957" s="132"/>
      <c r="G957" s="132"/>
      <c r="H957" s="132"/>
      <c r="I957" s="132"/>
      <c r="J957" s="132"/>
      <c r="K957" s="132"/>
    </row>
    <row r="958" spans="5:11" s="105" customFormat="1" x14ac:dyDescent="0.2">
      <c r="E958" s="268"/>
      <c r="F958" s="132"/>
      <c r="G958" s="132"/>
      <c r="H958" s="132"/>
      <c r="I958" s="132"/>
      <c r="J958" s="132"/>
      <c r="K958" s="132"/>
    </row>
    <row r="959" spans="5:11" s="105" customFormat="1" x14ac:dyDescent="0.2">
      <c r="E959" s="268"/>
      <c r="F959" s="132"/>
      <c r="G959" s="132"/>
      <c r="H959" s="132"/>
      <c r="I959" s="132"/>
      <c r="J959" s="132"/>
      <c r="K959" s="132"/>
    </row>
    <row r="960" spans="5:11" s="105" customFormat="1" x14ac:dyDescent="0.2">
      <c r="E960" s="268"/>
      <c r="F960" s="132"/>
      <c r="G960" s="132"/>
      <c r="H960" s="132"/>
      <c r="I960" s="132"/>
      <c r="J960" s="132"/>
      <c r="K960" s="132"/>
    </row>
    <row r="961" spans="5:11" s="105" customFormat="1" x14ac:dyDescent="0.2">
      <c r="E961" s="268"/>
      <c r="F961" s="132"/>
      <c r="G961" s="132"/>
      <c r="H961" s="132"/>
      <c r="I961" s="132"/>
      <c r="J961" s="132"/>
      <c r="K961" s="132"/>
    </row>
    <row r="962" spans="5:11" s="105" customFormat="1" x14ac:dyDescent="0.2">
      <c r="E962" s="268"/>
      <c r="F962" s="132"/>
      <c r="G962" s="132"/>
      <c r="H962" s="132"/>
      <c r="I962" s="132"/>
      <c r="J962" s="132"/>
      <c r="K962" s="132"/>
    </row>
    <row r="963" spans="5:11" s="105" customFormat="1" x14ac:dyDescent="0.2">
      <c r="E963" s="268"/>
      <c r="F963" s="132"/>
      <c r="G963" s="132"/>
      <c r="H963" s="132"/>
      <c r="I963" s="132"/>
      <c r="J963" s="132"/>
      <c r="K963" s="132"/>
    </row>
    <row r="964" spans="5:11" s="105" customFormat="1" x14ac:dyDescent="0.2">
      <c r="E964" s="268"/>
      <c r="F964" s="132"/>
      <c r="G964" s="132"/>
      <c r="H964" s="132"/>
      <c r="I964" s="132"/>
      <c r="J964" s="132"/>
      <c r="K964" s="132"/>
    </row>
    <row r="965" spans="5:11" s="105" customFormat="1" x14ac:dyDescent="0.2">
      <c r="E965" s="268"/>
      <c r="F965" s="132"/>
      <c r="G965" s="132"/>
      <c r="H965" s="132"/>
      <c r="I965" s="132"/>
      <c r="J965" s="132"/>
      <c r="K965" s="132"/>
    </row>
    <row r="966" spans="5:11" s="105" customFormat="1" x14ac:dyDescent="0.2">
      <c r="E966" s="268"/>
      <c r="F966" s="132"/>
      <c r="G966" s="132"/>
      <c r="H966" s="132"/>
      <c r="I966" s="132"/>
      <c r="J966" s="132"/>
      <c r="K966" s="132"/>
    </row>
    <row r="967" spans="5:11" s="105" customFormat="1" x14ac:dyDescent="0.2">
      <c r="E967" s="268"/>
      <c r="F967" s="132"/>
      <c r="G967" s="132"/>
      <c r="H967" s="132"/>
      <c r="I967" s="132"/>
      <c r="J967" s="132"/>
      <c r="K967" s="132"/>
    </row>
    <row r="968" spans="5:11" s="105" customFormat="1" x14ac:dyDescent="0.2">
      <c r="E968" s="268"/>
      <c r="F968" s="132"/>
      <c r="G968" s="132"/>
      <c r="H968" s="132"/>
      <c r="I968" s="132"/>
      <c r="J968" s="132"/>
      <c r="K968" s="132"/>
    </row>
    <row r="969" spans="5:11" s="105" customFormat="1" x14ac:dyDescent="0.2">
      <c r="E969" s="268"/>
      <c r="F969" s="132"/>
      <c r="G969" s="132"/>
      <c r="H969" s="132"/>
      <c r="I969" s="132"/>
      <c r="J969" s="132"/>
      <c r="K969" s="132"/>
    </row>
    <row r="970" spans="5:11" s="105" customFormat="1" x14ac:dyDescent="0.2">
      <c r="E970" s="268"/>
      <c r="F970" s="132"/>
      <c r="G970" s="132"/>
      <c r="H970" s="132"/>
      <c r="I970" s="132"/>
      <c r="J970" s="132"/>
      <c r="K970" s="132"/>
    </row>
    <row r="971" spans="5:11" s="105" customFormat="1" x14ac:dyDescent="0.2">
      <c r="E971" s="268"/>
      <c r="F971" s="132"/>
      <c r="G971" s="132"/>
      <c r="H971" s="132"/>
      <c r="I971" s="132"/>
      <c r="J971" s="132"/>
      <c r="K971" s="132"/>
    </row>
    <row r="972" spans="5:11" s="105" customFormat="1" x14ac:dyDescent="0.2">
      <c r="E972" s="268"/>
      <c r="F972" s="132"/>
      <c r="G972" s="132"/>
      <c r="H972" s="132"/>
      <c r="I972" s="132"/>
      <c r="J972" s="132"/>
      <c r="K972" s="132"/>
    </row>
    <row r="973" spans="5:11" s="105" customFormat="1" x14ac:dyDescent="0.2">
      <c r="E973" s="268"/>
      <c r="F973" s="132"/>
      <c r="G973" s="132"/>
      <c r="H973" s="132"/>
      <c r="I973" s="132"/>
      <c r="J973" s="132"/>
      <c r="K973" s="132"/>
    </row>
    <row r="974" spans="5:11" s="105" customFormat="1" x14ac:dyDescent="0.2">
      <c r="E974" s="268"/>
      <c r="F974" s="132"/>
      <c r="G974" s="132"/>
      <c r="H974" s="132"/>
      <c r="I974" s="132"/>
      <c r="J974" s="132"/>
      <c r="K974" s="132"/>
    </row>
    <row r="975" spans="5:11" s="105" customFormat="1" x14ac:dyDescent="0.2">
      <c r="E975" s="268"/>
      <c r="F975" s="132"/>
      <c r="G975" s="132"/>
      <c r="H975" s="132"/>
      <c r="I975" s="132"/>
      <c r="J975" s="132"/>
      <c r="K975" s="132"/>
    </row>
    <row r="976" spans="5:11" s="105" customFormat="1" x14ac:dyDescent="0.2">
      <c r="E976" s="268"/>
      <c r="F976" s="132"/>
      <c r="G976" s="132"/>
      <c r="H976" s="132"/>
      <c r="I976" s="132"/>
      <c r="J976" s="132"/>
      <c r="K976" s="132"/>
    </row>
    <row r="977" spans="5:11" s="105" customFormat="1" x14ac:dyDescent="0.2">
      <c r="E977" s="268"/>
      <c r="F977" s="132"/>
      <c r="G977" s="132"/>
      <c r="H977" s="132"/>
      <c r="I977" s="132"/>
      <c r="J977" s="132"/>
      <c r="K977" s="132"/>
    </row>
    <row r="978" spans="5:11" s="105" customFormat="1" x14ac:dyDescent="0.2">
      <c r="E978" s="268"/>
      <c r="F978" s="132"/>
      <c r="G978" s="132"/>
      <c r="H978" s="132"/>
      <c r="I978" s="132"/>
      <c r="J978" s="132"/>
      <c r="K978" s="132"/>
    </row>
    <row r="979" spans="5:11" s="105" customFormat="1" x14ac:dyDescent="0.2">
      <c r="E979" s="268"/>
      <c r="F979" s="132"/>
      <c r="G979" s="132"/>
      <c r="H979" s="132"/>
      <c r="I979" s="132"/>
      <c r="J979" s="132"/>
      <c r="K979" s="132"/>
    </row>
    <row r="980" spans="5:11" s="105" customFormat="1" x14ac:dyDescent="0.2">
      <c r="E980" s="268"/>
      <c r="F980" s="132"/>
      <c r="G980" s="132"/>
      <c r="H980" s="132"/>
      <c r="I980" s="132"/>
      <c r="J980" s="132"/>
      <c r="K980" s="132"/>
    </row>
    <row r="981" spans="5:11" s="105" customFormat="1" x14ac:dyDescent="0.2">
      <c r="E981" s="268"/>
      <c r="F981" s="132"/>
      <c r="G981" s="132"/>
      <c r="H981" s="132"/>
      <c r="I981" s="132"/>
      <c r="J981" s="132"/>
      <c r="K981" s="132"/>
    </row>
    <row r="982" spans="5:11" s="105" customFormat="1" x14ac:dyDescent="0.2">
      <c r="E982" s="268"/>
      <c r="F982" s="132"/>
      <c r="G982" s="132"/>
      <c r="H982" s="132"/>
      <c r="I982" s="132"/>
      <c r="J982" s="132"/>
      <c r="K982" s="132"/>
    </row>
    <row r="983" spans="5:11" s="105" customFormat="1" x14ac:dyDescent="0.2">
      <c r="E983" s="268"/>
      <c r="F983" s="132"/>
      <c r="G983" s="132"/>
      <c r="H983" s="132"/>
      <c r="I983" s="132"/>
      <c r="J983" s="132"/>
      <c r="K983" s="132"/>
    </row>
    <row r="984" spans="5:11" s="105" customFormat="1" x14ac:dyDescent="0.2">
      <c r="E984" s="268"/>
      <c r="F984" s="132"/>
      <c r="G984" s="132"/>
      <c r="H984" s="132"/>
      <c r="I984" s="132"/>
      <c r="J984" s="132"/>
      <c r="K984" s="132"/>
    </row>
    <row r="985" spans="5:11" s="105" customFormat="1" x14ac:dyDescent="0.2">
      <c r="E985" s="268"/>
      <c r="F985" s="132"/>
      <c r="G985" s="132"/>
      <c r="H985" s="132"/>
      <c r="I985" s="132"/>
      <c r="J985" s="132"/>
      <c r="K985" s="132"/>
    </row>
    <row r="986" spans="5:11" s="105" customFormat="1" x14ac:dyDescent="0.2">
      <c r="E986" s="268"/>
      <c r="F986" s="132"/>
      <c r="G986" s="132"/>
      <c r="H986" s="132"/>
      <c r="I986" s="132"/>
      <c r="J986" s="132"/>
      <c r="K986" s="132"/>
    </row>
    <row r="987" spans="5:11" s="105" customFormat="1" x14ac:dyDescent="0.2">
      <c r="E987" s="268"/>
      <c r="F987" s="132"/>
      <c r="G987" s="132"/>
      <c r="H987" s="132"/>
      <c r="I987" s="132"/>
      <c r="J987" s="132"/>
      <c r="K987" s="132"/>
    </row>
    <row r="988" spans="5:11" s="105" customFormat="1" x14ac:dyDescent="0.2">
      <c r="E988" s="268"/>
      <c r="F988" s="132"/>
      <c r="G988" s="132"/>
      <c r="H988" s="132"/>
      <c r="I988" s="132"/>
      <c r="J988" s="132"/>
      <c r="K988" s="132"/>
    </row>
    <row r="989" spans="5:11" s="105" customFormat="1" x14ac:dyDescent="0.2">
      <c r="E989" s="268"/>
      <c r="F989" s="132"/>
      <c r="G989" s="132"/>
      <c r="H989" s="132"/>
      <c r="I989" s="132"/>
      <c r="J989" s="132"/>
      <c r="K989" s="132"/>
    </row>
    <row r="990" spans="5:11" s="105" customFormat="1" x14ac:dyDescent="0.2">
      <c r="E990" s="268"/>
      <c r="F990" s="132"/>
      <c r="G990" s="132"/>
      <c r="H990" s="132"/>
      <c r="I990" s="132"/>
      <c r="J990" s="132"/>
      <c r="K990" s="132"/>
    </row>
    <row r="991" spans="5:11" s="105" customFormat="1" x14ac:dyDescent="0.2">
      <c r="E991" s="268"/>
      <c r="F991" s="132"/>
      <c r="G991" s="132"/>
      <c r="H991" s="132"/>
      <c r="I991" s="132"/>
      <c r="J991" s="132"/>
      <c r="K991" s="132"/>
    </row>
    <row r="992" spans="5:11" s="105" customFormat="1" x14ac:dyDescent="0.2">
      <c r="E992" s="268"/>
      <c r="F992" s="132"/>
      <c r="G992" s="132"/>
      <c r="H992" s="132"/>
      <c r="I992" s="132"/>
      <c r="J992" s="132"/>
      <c r="K992" s="132"/>
    </row>
    <row r="993" spans="5:11" s="105" customFormat="1" x14ac:dyDescent="0.2">
      <c r="E993" s="268"/>
      <c r="F993" s="132"/>
      <c r="G993" s="132"/>
      <c r="H993" s="132"/>
      <c r="I993" s="132"/>
      <c r="J993" s="132"/>
      <c r="K993" s="132"/>
    </row>
    <row r="994" spans="5:11" s="105" customFormat="1" x14ac:dyDescent="0.2">
      <c r="E994" s="268"/>
      <c r="F994" s="132"/>
      <c r="G994" s="132"/>
      <c r="H994" s="132"/>
      <c r="I994" s="132"/>
      <c r="J994" s="132"/>
      <c r="K994" s="132"/>
    </row>
    <row r="995" spans="5:11" s="105" customFormat="1" x14ac:dyDescent="0.2">
      <c r="E995" s="268"/>
      <c r="F995" s="132"/>
      <c r="G995" s="132"/>
      <c r="H995" s="132"/>
      <c r="I995" s="132"/>
      <c r="J995" s="132"/>
      <c r="K995" s="132"/>
    </row>
    <row r="996" spans="5:11" s="105" customFormat="1" x14ac:dyDescent="0.2">
      <c r="E996" s="268"/>
      <c r="F996" s="132"/>
      <c r="G996" s="132"/>
      <c r="H996" s="132"/>
      <c r="I996" s="132"/>
      <c r="J996" s="132"/>
      <c r="K996" s="132"/>
    </row>
    <row r="997" spans="5:11" s="105" customFormat="1" x14ac:dyDescent="0.2">
      <c r="E997" s="268"/>
      <c r="F997" s="132"/>
      <c r="G997" s="132"/>
      <c r="H997" s="132"/>
      <c r="I997" s="132"/>
      <c r="J997" s="132"/>
      <c r="K997" s="132"/>
    </row>
    <row r="998" spans="5:11" s="105" customFormat="1" x14ac:dyDescent="0.2">
      <c r="E998" s="268"/>
      <c r="F998" s="132"/>
      <c r="G998" s="132"/>
      <c r="H998" s="132"/>
      <c r="I998" s="132"/>
      <c r="J998" s="132"/>
      <c r="K998" s="132"/>
    </row>
    <row r="999" spans="5:11" s="105" customFormat="1" x14ac:dyDescent="0.2">
      <c r="E999" s="268"/>
      <c r="F999" s="132"/>
      <c r="G999" s="132"/>
      <c r="H999" s="132"/>
      <c r="I999" s="132"/>
      <c r="J999" s="132"/>
      <c r="K999" s="132"/>
    </row>
    <row r="1000" spans="5:11" s="105" customFormat="1" x14ac:dyDescent="0.2">
      <c r="E1000" s="268"/>
      <c r="F1000" s="132"/>
      <c r="G1000" s="132"/>
      <c r="H1000" s="132"/>
      <c r="I1000" s="132"/>
      <c r="J1000" s="132"/>
      <c r="K1000" s="132"/>
    </row>
    <row r="1001" spans="5:11" s="105" customFormat="1" x14ac:dyDescent="0.2">
      <c r="E1001" s="268"/>
      <c r="F1001" s="132"/>
      <c r="G1001" s="132"/>
      <c r="H1001" s="132"/>
      <c r="I1001" s="132"/>
      <c r="J1001" s="132"/>
      <c r="K1001" s="132"/>
    </row>
    <row r="1002" spans="5:11" s="105" customFormat="1" x14ac:dyDescent="0.2">
      <c r="E1002" s="268"/>
      <c r="F1002" s="132"/>
      <c r="G1002" s="132"/>
      <c r="H1002" s="132"/>
      <c r="I1002" s="132"/>
      <c r="J1002" s="132"/>
      <c r="K1002" s="132"/>
    </row>
    <row r="1003" spans="5:11" s="105" customFormat="1" x14ac:dyDescent="0.2">
      <c r="E1003" s="268"/>
      <c r="F1003" s="132"/>
      <c r="G1003" s="132"/>
      <c r="H1003" s="132"/>
      <c r="I1003" s="132"/>
      <c r="J1003" s="132"/>
      <c r="K1003" s="132"/>
    </row>
    <row r="1004" spans="5:11" s="105" customFormat="1" x14ac:dyDescent="0.2">
      <c r="E1004" s="268"/>
      <c r="F1004" s="132"/>
      <c r="G1004" s="132"/>
      <c r="H1004" s="132"/>
      <c r="I1004" s="132"/>
      <c r="J1004" s="132"/>
      <c r="K1004" s="132"/>
    </row>
    <row r="1005" spans="5:11" s="105" customFormat="1" x14ac:dyDescent="0.2">
      <c r="E1005" s="268"/>
      <c r="F1005" s="132"/>
      <c r="G1005" s="132"/>
      <c r="H1005" s="132"/>
      <c r="I1005" s="132"/>
      <c r="J1005" s="132"/>
      <c r="K1005" s="132"/>
    </row>
    <row r="1006" spans="5:11" s="105" customFormat="1" x14ac:dyDescent="0.2">
      <c r="E1006" s="268"/>
      <c r="F1006" s="132"/>
      <c r="G1006" s="132"/>
      <c r="H1006" s="132"/>
      <c r="I1006" s="132"/>
      <c r="J1006" s="132"/>
      <c r="K1006" s="132"/>
    </row>
    <row r="1007" spans="5:11" s="105" customFormat="1" x14ac:dyDescent="0.2">
      <c r="E1007" s="268"/>
      <c r="F1007" s="132"/>
      <c r="G1007" s="132"/>
      <c r="H1007" s="132"/>
      <c r="I1007" s="132"/>
      <c r="J1007" s="132"/>
      <c r="K1007" s="132"/>
    </row>
    <row r="1008" spans="5:11" s="105" customFormat="1" x14ac:dyDescent="0.2">
      <c r="E1008" s="268"/>
      <c r="F1008" s="132"/>
      <c r="G1008" s="132"/>
      <c r="H1008" s="132"/>
      <c r="I1008" s="132"/>
      <c r="J1008" s="132"/>
      <c r="K1008" s="132"/>
    </row>
    <row r="1009" spans="5:11" s="105" customFormat="1" x14ac:dyDescent="0.2">
      <c r="E1009" s="268"/>
      <c r="F1009" s="132"/>
      <c r="G1009" s="132"/>
      <c r="H1009" s="132"/>
      <c r="I1009" s="132"/>
      <c r="J1009" s="132"/>
      <c r="K1009" s="132"/>
    </row>
    <row r="1010" spans="5:11" s="105" customFormat="1" x14ac:dyDescent="0.2">
      <c r="E1010" s="268"/>
      <c r="F1010" s="132"/>
      <c r="G1010" s="132"/>
      <c r="H1010" s="132"/>
      <c r="I1010" s="132"/>
      <c r="J1010" s="132"/>
      <c r="K1010" s="132"/>
    </row>
    <row r="1011" spans="5:11" s="105" customFormat="1" x14ac:dyDescent="0.2">
      <c r="E1011" s="268"/>
      <c r="F1011" s="132"/>
      <c r="G1011" s="132"/>
      <c r="H1011" s="132"/>
      <c r="I1011" s="132"/>
      <c r="J1011" s="132"/>
      <c r="K1011" s="132"/>
    </row>
    <row r="1012" spans="5:11" s="105" customFormat="1" x14ac:dyDescent="0.2">
      <c r="E1012" s="268"/>
      <c r="F1012" s="132"/>
      <c r="G1012" s="132"/>
      <c r="H1012" s="132"/>
      <c r="I1012" s="132"/>
      <c r="J1012" s="132"/>
      <c r="K1012" s="132"/>
    </row>
    <row r="1013" spans="5:11" s="105" customFormat="1" x14ac:dyDescent="0.2">
      <c r="E1013" s="268"/>
      <c r="F1013" s="132"/>
      <c r="G1013" s="132"/>
      <c r="H1013" s="132"/>
      <c r="I1013" s="132"/>
      <c r="J1013" s="132"/>
      <c r="K1013" s="132"/>
    </row>
    <row r="1014" spans="5:11" s="105" customFormat="1" x14ac:dyDescent="0.2">
      <c r="E1014" s="268"/>
      <c r="F1014" s="132"/>
      <c r="G1014" s="132"/>
      <c r="H1014" s="132"/>
      <c r="I1014" s="132"/>
      <c r="J1014" s="132"/>
      <c r="K1014" s="132"/>
    </row>
    <row r="1015" spans="5:11" s="105" customFormat="1" x14ac:dyDescent="0.2">
      <c r="E1015" s="268"/>
      <c r="F1015" s="132"/>
      <c r="G1015" s="132"/>
      <c r="H1015" s="132"/>
      <c r="I1015" s="132"/>
      <c r="J1015" s="132"/>
      <c r="K1015" s="132"/>
    </row>
    <row r="1016" spans="5:11" s="105" customFormat="1" x14ac:dyDescent="0.2">
      <c r="E1016" s="268"/>
      <c r="F1016" s="132"/>
      <c r="G1016" s="132"/>
      <c r="H1016" s="132"/>
      <c r="I1016" s="132"/>
      <c r="J1016" s="132"/>
      <c r="K1016" s="132"/>
    </row>
    <row r="1017" spans="5:11" s="105" customFormat="1" x14ac:dyDescent="0.2">
      <c r="E1017" s="268"/>
      <c r="F1017" s="132"/>
      <c r="G1017" s="132"/>
      <c r="H1017" s="132"/>
      <c r="I1017" s="132"/>
      <c r="J1017" s="132"/>
      <c r="K1017" s="132"/>
    </row>
    <row r="1018" spans="5:11" s="105" customFormat="1" x14ac:dyDescent="0.2">
      <c r="E1018" s="268"/>
      <c r="F1018" s="132"/>
      <c r="G1018" s="132"/>
      <c r="H1018" s="132"/>
      <c r="I1018" s="132"/>
      <c r="J1018" s="132"/>
      <c r="K1018" s="132"/>
    </row>
    <row r="1019" spans="5:11" s="105" customFormat="1" x14ac:dyDescent="0.2">
      <c r="E1019" s="268"/>
      <c r="F1019" s="132"/>
      <c r="G1019" s="132"/>
      <c r="H1019" s="132"/>
      <c r="I1019" s="132"/>
      <c r="J1019" s="132"/>
      <c r="K1019" s="132"/>
    </row>
    <row r="1020" spans="5:11" s="105" customFormat="1" x14ac:dyDescent="0.2">
      <c r="E1020" s="268"/>
      <c r="F1020" s="132"/>
      <c r="G1020" s="132"/>
      <c r="H1020" s="132"/>
      <c r="I1020" s="132"/>
      <c r="J1020" s="132"/>
      <c r="K1020" s="132"/>
    </row>
    <row r="1021" spans="5:11" s="105" customFormat="1" x14ac:dyDescent="0.2">
      <c r="E1021" s="268"/>
      <c r="F1021" s="132"/>
      <c r="G1021" s="132"/>
      <c r="H1021" s="132"/>
      <c r="I1021" s="132"/>
      <c r="J1021" s="132"/>
      <c r="K1021" s="132"/>
    </row>
    <row r="1022" spans="5:11" s="105" customFormat="1" x14ac:dyDescent="0.2">
      <c r="E1022" s="268"/>
      <c r="F1022" s="132"/>
      <c r="G1022" s="132"/>
      <c r="H1022" s="132"/>
      <c r="I1022" s="132"/>
      <c r="J1022" s="132"/>
      <c r="K1022" s="132"/>
    </row>
    <row r="1023" spans="5:11" s="105" customFormat="1" x14ac:dyDescent="0.2">
      <c r="E1023" s="268"/>
      <c r="F1023" s="132"/>
      <c r="G1023" s="132"/>
      <c r="H1023" s="132"/>
      <c r="I1023" s="132"/>
      <c r="J1023" s="132"/>
      <c r="K1023" s="132"/>
    </row>
    <row r="1024" spans="5:11" s="105" customFormat="1" x14ac:dyDescent="0.2">
      <c r="E1024" s="268"/>
      <c r="F1024" s="132"/>
      <c r="G1024" s="132"/>
      <c r="H1024" s="132"/>
      <c r="I1024" s="132"/>
      <c r="J1024" s="132"/>
      <c r="K1024" s="132"/>
    </row>
    <row r="1025" spans="5:11" s="105" customFormat="1" x14ac:dyDescent="0.2">
      <c r="E1025" s="268"/>
      <c r="F1025" s="132"/>
      <c r="G1025" s="132"/>
      <c r="H1025" s="132"/>
      <c r="I1025" s="132"/>
      <c r="J1025" s="132"/>
      <c r="K1025" s="132"/>
    </row>
    <row r="1026" spans="5:11" s="105" customFormat="1" x14ac:dyDescent="0.2">
      <c r="E1026" s="268"/>
      <c r="F1026" s="132"/>
      <c r="G1026" s="132"/>
      <c r="H1026" s="132"/>
      <c r="I1026" s="132"/>
      <c r="J1026" s="132"/>
      <c r="K1026" s="132"/>
    </row>
    <row r="1027" spans="5:11" s="105" customFormat="1" x14ac:dyDescent="0.2">
      <c r="E1027" s="268"/>
      <c r="F1027" s="132"/>
      <c r="G1027" s="132"/>
      <c r="H1027" s="132"/>
      <c r="I1027" s="132"/>
      <c r="J1027" s="132"/>
      <c r="K1027" s="132"/>
    </row>
    <row r="1028" spans="5:11" s="105" customFormat="1" x14ac:dyDescent="0.2">
      <c r="E1028" s="268"/>
      <c r="F1028" s="132"/>
      <c r="G1028" s="132"/>
      <c r="H1028" s="132"/>
      <c r="I1028" s="132"/>
      <c r="J1028" s="132"/>
      <c r="K1028" s="132"/>
    </row>
    <row r="1029" spans="5:11" s="105" customFormat="1" x14ac:dyDescent="0.2">
      <c r="E1029" s="268"/>
      <c r="F1029" s="132"/>
      <c r="G1029" s="132"/>
      <c r="H1029" s="132"/>
      <c r="I1029" s="132"/>
      <c r="J1029" s="132"/>
      <c r="K1029" s="132"/>
    </row>
    <row r="1030" spans="5:11" s="105" customFormat="1" x14ac:dyDescent="0.2">
      <c r="E1030" s="268"/>
      <c r="F1030" s="132"/>
      <c r="G1030" s="132"/>
      <c r="H1030" s="132"/>
      <c r="I1030" s="132"/>
      <c r="J1030" s="132"/>
      <c r="K1030" s="132"/>
    </row>
    <row r="1031" spans="5:11" s="105" customFormat="1" x14ac:dyDescent="0.2">
      <c r="E1031" s="268"/>
      <c r="F1031" s="132"/>
      <c r="G1031" s="132"/>
      <c r="H1031" s="132"/>
      <c r="I1031" s="132"/>
      <c r="J1031" s="132"/>
      <c r="K1031" s="132"/>
    </row>
    <row r="1032" spans="5:11" s="105" customFormat="1" x14ac:dyDescent="0.2">
      <c r="E1032" s="268"/>
      <c r="F1032" s="132"/>
      <c r="G1032" s="132"/>
      <c r="H1032" s="132"/>
      <c r="I1032" s="132"/>
      <c r="J1032" s="132"/>
      <c r="K1032" s="132"/>
    </row>
    <row r="1033" spans="5:11" s="105" customFormat="1" x14ac:dyDescent="0.2">
      <c r="E1033" s="268"/>
      <c r="F1033" s="132"/>
      <c r="G1033" s="132"/>
      <c r="H1033" s="132"/>
      <c r="I1033" s="132"/>
      <c r="J1033" s="132"/>
      <c r="K1033" s="132"/>
    </row>
    <row r="1034" spans="5:11" s="105" customFormat="1" x14ac:dyDescent="0.2">
      <c r="E1034" s="268"/>
      <c r="F1034" s="132"/>
      <c r="G1034" s="132"/>
      <c r="H1034" s="132"/>
      <c r="I1034" s="132"/>
      <c r="J1034" s="132"/>
      <c r="K1034" s="132"/>
    </row>
    <row r="1035" spans="5:11" s="105" customFormat="1" x14ac:dyDescent="0.2">
      <c r="E1035" s="268"/>
      <c r="F1035" s="132"/>
      <c r="G1035" s="132"/>
      <c r="H1035" s="132"/>
      <c r="I1035" s="132"/>
      <c r="J1035" s="132"/>
      <c r="K1035" s="132"/>
    </row>
    <row r="1036" spans="5:11" s="105" customFormat="1" x14ac:dyDescent="0.2">
      <c r="E1036" s="268"/>
      <c r="F1036" s="132"/>
      <c r="G1036" s="132"/>
      <c r="H1036" s="132"/>
      <c r="I1036" s="132"/>
      <c r="J1036" s="132"/>
      <c r="K1036" s="132"/>
    </row>
    <row r="1037" spans="5:11" s="105" customFormat="1" x14ac:dyDescent="0.2">
      <c r="E1037" s="268"/>
      <c r="F1037" s="132"/>
      <c r="G1037" s="132"/>
      <c r="H1037" s="132"/>
      <c r="I1037" s="132"/>
      <c r="J1037" s="132"/>
      <c r="K1037" s="132"/>
    </row>
    <row r="1038" spans="5:11" s="105" customFormat="1" x14ac:dyDescent="0.2">
      <c r="E1038" s="268"/>
      <c r="F1038" s="132"/>
      <c r="G1038" s="132"/>
      <c r="H1038" s="132"/>
      <c r="I1038" s="132"/>
      <c r="J1038" s="132"/>
      <c r="K1038" s="132"/>
    </row>
    <row r="1039" spans="5:11" s="105" customFormat="1" x14ac:dyDescent="0.2">
      <c r="E1039" s="268"/>
      <c r="F1039" s="132"/>
      <c r="G1039" s="132"/>
      <c r="H1039" s="132"/>
      <c r="I1039" s="132"/>
      <c r="J1039" s="132"/>
      <c r="K1039" s="132"/>
    </row>
    <row r="1040" spans="5:11" s="105" customFormat="1" x14ac:dyDescent="0.2">
      <c r="E1040" s="268"/>
      <c r="F1040" s="132"/>
      <c r="G1040" s="132"/>
      <c r="H1040" s="132"/>
      <c r="I1040" s="132"/>
      <c r="J1040" s="132"/>
      <c r="K1040" s="132"/>
    </row>
    <row r="1041" spans="5:11" s="105" customFormat="1" x14ac:dyDescent="0.2">
      <c r="E1041" s="268"/>
      <c r="F1041" s="132"/>
      <c r="G1041" s="132"/>
      <c r="H1041" s="132"/>
      <c r="I1041" s="132"/>
      <c r="J1041" s="132"/>
      <c r="K1041" s="132"/>
    </row>
    <row r="1042" spans="5:11" s="105" customFormat="1" x14ac:dyDescent="0.2">
      <c r="E1042" s="268"/>
      <c r="F1042" s="132"/>
      <c r="G1042" s="132"/>
      <c r="H1042" s="132"/>
      <c r="I1042" s="132"/>
      <c r="J1042" s="132"/>
      <c r="K1042" s="132"/>
    </row>
    <row r="1043" spans="5:11" s="105" customFormat="1" x14ac:dyDescent="0.2">
      <c r="E1043" s="268"/>
      <c r="F1043" s="132"/>
      <c r="G1043" s="132"/>
      <c r="H1043" s="132"/>
      <c r="I1043" s="132"/>
      <c r="J1043" s="132"/>
      <c r="K1043" s="132"/>
    </row>
    <row r="1044" spans="5:11" s="105" customFormat="1" x14ac:dyDescent="0.2">
      <c r="E1044" s="268"/>
      <c r="F1044" s="132"/>
      <c r="G1044" s="132"/>
      <c r="H1044" s="132"/>
      <c r="I1044" s="132"/>
      <c r="J1044" s="132"/>
      <c r="K1044" s="132"/>
    </row>
    <row r="1045" spans="5:11" s="105" customFormat="1" x14ac:dyDescent="0.2">
      <c r="E1045" s="268"/>
      <c r="F1045" s="132"/>
      <c r="G1045" s="132"/>
      <c r="H1045" s="132"/>
      <c r="I1045" s="132"/>
      <c r="J1045" s="132"/>
      <c r="K1045" s="132"/>
    </row>
    <row r="1046" spans="5:11" s="105" customFormat="1" x14ac:dyDescent="0.2">
      <c r="E1046" s="268"/>
      <c r="F1046" s="132"/>
      <c r="G1046" s="132"/>
      <c r="H1046" s="132"/>
      <c r="I1046" s="132"/>
      <c r="J1046" s="132"/>
      <c r="K1046" s="132"/>
    </row>
    <row r="1047" spans="5:11" s="105" customFormat="1" x14ac:dyDescent="0.2">
      <c r="E1047" s="268"/>
      <c r="F1047" s="132"/>
      <c r="G1047" s="132"/>
      <c r="H1047" s="132"/>
      <c r="I1047" s="132"/>
      <c r="J1047" s="132"/>
      <c r="K1047" s="132"/>
    </row>
    <row r="1048" spans="5:11" s="105" customFormat="1" x14ac:dyDescent="0.2">
      <c r="E1048" s="268"/>
      <c r="F1048" s="132"/>
      <c r="G1048" s="132"/>
      <c r="H1048" s="132"/>
      <c r="I1048" s="132"/>
      <c r="J1048" s="132"/>
      <c r="K1048" s="132"/>
    </row>
    <row r="1049" spans="5:11" s="105" customFormat="1" x14ac:dyDescent="0.2">
      <c r="E1049" s="268"/>
      <c r="F1049" s="132"/>
      <c r="G1049" s="132"/>
      <c r="H1049" s="132"/>
      <c r="I1049" s="132"/>
      <c r="J1049" s="132"/>
      <c r="K1049" s="132"/>
    </row>
    <row r="1050" spans="5:11" s="105" customFormat="1" x14ac:dyDescent="0.2">
      <c r="E1050" s="268"/>
      <c r="F1050" s="132"/>
      <c r="G1050" s="132"/>
      <c r="H1050" s="132"/>
      <c r="I1050" s="132"/>
      <c r="J1050" s="132"/>
      <c r="K1050" s="132"/>
    </row>
    <row r="1051" spans="5:11" s="105" customFormat="1" x14ac:dyDescent="0.2">
      <c r="E1051" s="268"/>
      <c r="F1051" s="132"/>
      <c r="G1051" s="132"/>
      <c r="H1051" s="132"/>
      <c r="I1051" s="132"/>
      <c r="J1051" s="132"/>
      <c r="K1051" s="132"/>
    </row>
    <row r="1052" spans="5:11" s="105" customFormat="1" x14ac:dyDescent="0.2">
      <c r="E1052" s="268"/>
      <c r="F1052" s="132"/>
      <c r="G1052" s="132"/>
      <c r="H1052" s="132"/>
      <c r="I1052" s="132"/>
      <c r="J1052" s="132"/>
      <c r="K1052" s="132"/>
    </row>
    <row r="1053" spans="5:11" s="105" customFormat="1" x14ac:dyDescent="0.2">
      <c r="E1053" s="268"/>
      <c r="F1053" s="132"/>
      <c r="G1053" s="132"/>
      <c r="H1053" s="132"/>
      <c r="I1053" s="132"/>
      <c r="J1053" s="132"/>
      <c r="K1053" s="132"/>
    </row>
    <row r="1054" spans="5:11" s="105" customFormat="1" x14ac:dyDescent="0.2">
      <c r="E1054" s="268"/>
      <c r="F1054" s="132"/>
      <c r="G1054" s="132"/>
      <c r="H1054" s="132"/>
      <c r="I1054" s="132"/>
      <c r="J1054" s="132"/>
      <c r="K1054" s="132"/>
    </row>
    <row r="1055" spans="5:11" s="105" customFormat="1" x14ac:dyDescent="0.2">
      <c r="E1055" s="268"/>
      <c r="F1055" s="132"/>
      <c r="G1055" s="132"/>
      <c r="H1055" s="132"/>
      <c r="I1055" s="132"/>
      <c r="J1055" s="132"/>
      <c r="K1055" s="132"/>
    </row>
    <row r="1056" spans="5:11" s="105" customFormat="1" x14ac:dyDescent="0.2">
      <c r="E1056" s="268"/>
      <c r="F1056" s="132"/>
      <c r="G1056" s="132"/>
      <c r="H1056" s="132"/>
      <c r="I1056" s="132"/>
      <c r="J1056" s="132"/>
      <c r="K1056" s="132"/>
    </row>
    <row r="1057" spans="5:11" s="105" customFormat="1" x14ac:dyDescent="0.2">
      <c r="E1057" s="268"/>
      <c r="F1057" s="132"/>
      <c r="G1057" s="132"/>
      <c r="H1057" s="132"/>
      <c r="I1057" s="132"/>
      <c r="J1057" s="132"/>
      <c r="K1057" s="132"/>
    </row>
    <row r="1058" spans="5:11" s="105" customFormat="1" x14ac:dyDescent="0.2">
      <c r="E1058" s="268"/>
      <c r="F1058" s="132"/>
      <c r="G1058" s="132"/>
      <c r="H1058" s="132"/>
      <c r="I1058" s="132"/>
      <c r="J1058" s="132"/>
      <c r="K1058" s="132"/>
    </row>
    <row r="1059" spans="5:11" s="105" customFormat="1" x14ac:dyDescent="0.2">
      <c r="E1059" s="268"/>
      <c r="F1059" s="132"/>
      <c r="G1059" s="132"/>
      <c r="H1059" s="132"/>
      <c r="I1059" s="132"/>
      <c r="J1059" s="132"/>
      <c r="K1059" s="132"/>
    </row>
    <row r="1060" spans="5:11" s="105" customFormat="1" x14ac:dyDescent="0.2">
      <c r="E1060" s="268"/>
      <c r="F1060" s="132"/>
      <c r="G1060" s="132"/>
      <c r="H1060" s="132"/>
      <c r="I1060" s="132"/>
      <c r="J1060" s="132"/>
      <c r="K1060" s="132"/>
    </row>
    <row r="1061" spans="5:11" s="105" customFormat="1" x14ac:dyDescent="0.2">
      <c r="E1061" s="268"/>
      <c r="F1061" s="132"/>
      <c r="G1061" s="132"/>
      <c r="H1061" s="132"/>
      <c r="I1061" s="132"/>
      <c r="J1061" s="132"/>
      <c r="K1061" s="132"/>
    </row>
    <row r="1062" spans="5:11" s="105" customFormat="1" x14ac:dyDescent="0.2">
      <c r="E1062" s="268"/>
      <c r="F1062" s="132"/>
      <c r="G1062" s="132"/>
      <c r="H1062" s="132"/>
      <c r="I1062" s="132"/>
      <c r="J1062" s="132"/>
      <c r="K1062" s="132"/>
    </row>
    <row r="1063" spans="5:11" s="105" customFormat="1" x14ac:dyDescent="0.2">
      <c r="E1063" s="268"/>
      <c r="F1063" s="132"/>
      <c r="G1063" s="132"/>
      <c r="H1063" s="132"/>
      <c r="I1063" s="132"/>
      <c r="J1063" s="132"/>
      <c r="K1063" s="132"/>
    </row>
    <row r="1064" spans="5:11" s="105" customFormat="1" x14ac:dyDescent="0.2">
      <c r="E1064" s="268"/>
      <c r="F1064" s="132"/>
      <c r="G1064" s="132"/>
      <c r="H1064" s="132"/>
      <c r="I1064" s="132"/>
      <c r="J1064" s="132"/>
      <c r="K1064" s="132"/>
    </row>
    <row r="1065" spans="5:11" s="105" customFormat="1" x14ac:dyDescent="0.2">
      <c r="E1065" s="268"/>
      <c r="F1065" s="132"/>
      <c r="G1065" s="132"/>
      <c r="H1065" s="132"/>
      <c r="I1065" s="132"/>
      <c r="J1065" s="132"/>
      <c r="K1065" s="132"/>
    </row>
    <row r="1066" spans="5:11" s="105" customFormat="1" x14ac:dyDescent="0.2">
      <c r="E1066" s="268"/>
      <c r="F1066" s="132"/>
      <c r="G1066" s="132"/>
      <c r="H1066" s="132"/>
      <c r="I1066" s="132"/>
      <c r="J1066" s="132"/>
      <c r="K1066" s="132"/>
    </row>
    <row r="1067" spans="5:11" s="105" customFormat="1" x14ac:dyDescent="0.2">
      <c r="E1067" s="268"/>
      <c r="F1067" s="132"/>
      <c r="G1067" s="132"/>
      <c r="H1067" s="132"/>
      <c r="I1067" s="132"/>
      <c r="J1067" s="132"/>
      <c r="K1067" s="132"/>
    </row>
    <row r="1068" spans="5:11" s="105" customFormat="1" x14ac:dyDescent="0.2">
      <c r="E1068" s="268"/>
      <c r="F1068" s="132"/>
      <c r="G1068" s="132"/>
      <c r="H1068" s="132"/>
      <c r="I1068" s="132"/>
      <c r="J1068" s="132"/>
      <c r="K1068" s="132"/>
    </row>
    <row r="1069" spans="5:11" s="105" customFormat="1" x14ac:dyDescent="0.2">
      <c r="E1069" s="268"/>
      <c r="F1069" s="132"/>
      <c r="G1069" s="132"/>
      <c r="H1069" s="132"/>
      <c r="I1069" s="132"/>
      <c r="J1069" s="132"/>
      <c r="K1069" s="132"/>
    </row>
    <row r="1070" spans="5:11" s="105" customFormat="1" x14ac:dyDescent="0.2">
      <c r="E1070" s="268"/>
      <c r="F1070" s="132"/>
      <c r="G1070" s="132"/>
      <c r="H1070" s="132"/>
      <c r="I1070" s="132"/>
      <c r="J1070" s="132"/>
      <c r="K1070" s="132"/>
    </row>
    <row r="1071" spans="5:11" s="105" customFormat="1" x14ac:dyDescent="0.2">
      <c r="E1071" s="268"/>
      <c r="F1071" s="132"/>
      <c r="G1071" s="132"/>
      <c r="H1071" s="132"/>
      <c r="I1071" s="132"/>
      <c r="J1071" s="132"/>
      <c r="K1071" s="132"/>
    </row>
    <row r="1072" spans="5:11" s="105" customFormat="1" x14ac:dyDescent="0.2">
      <c r="E1072" s="268"/>
      <c r="F1072" s="132"/>
      <c r="G1072" s="132"/>
      <c r="H1072" s="132"/>
      <c r="I1072" s="132"/>
      <c r="J1072" s="132"/>
      <c r="K1072" s="132"/>
    </row>
    <row r="1073" spans="5:11" s="105" customFormat="1" x14ac:dyDescent="0.2">
      <c r="E1073" s="268"/>
      <c r="F1073" s="132"/>
      <c r="G1073" s="132"/>
      <c r="H1073" s="132"/>
      <c r="I1073" s="132"/>
      <c r="J1073" s="132"/>
      <c r="K1073" s="132"/>
    </row>
    <row r="1074" spans="5:11" s="105" customFormat="1" x14ac:dyDescent="0.2">
      <c r="E1074" s="268"/>
      <c r="F1074" s="132"/>
      <c r="G1074" s="132"/>
      <c r="H1074" s="132"/>
      <c r="I1074" s="132"/>
      <c r="J1074" s="132"/>
      <c r="K1074" s="132"/>
    </row>
    <row r="1075" spans="5:11" s="105" customFormat="1" x14ac:dyDescent="0.2">
      <c r="E1075" s="268"/>
      <c r="F1075" s="132"/>
      <c r="G1075" s="132"/>
      <c r="H1075" s="132"/>
      <c r="I1075" s="132"/>
      <c r="J1075" s="132"/>
      <c r="K1075" s="132"/>
    </row>
    <row r="1076" spans="5:11" s="105" customFormat="1" x14ac:dyDescent="0.2">
      <c r="E1076" s="268"/>
      <c r="F1076" s="132"/>
      <c r="G1076" s="132"/>
      <c r="H1076" s="132"/>
      <c r="I1076" s="132"/>
      <c r="J1076" s="132"/>
      <c r="K1076" s="132"/>
    </row>
    <row r="1077" spans="5:11" s="105" customFormat="1" x14ac:dyDescent="0.2">
      <c r="E1077" s="268"/>
      <c r="F1077" s="132"/>
      <c r="G1077" s="132"/>
      <c r="H1077" s="132"/>
      <c r="I1077" s="132"/>
      <c r="J1077" s="132"/>
      <c r="K1077" s="132"/>
    </row>
    <row r="1078" spans="5:11" s="105" customFormat="1" x14ac:dyDescent="0.2">
      <c r="E1078" s="268"/>
      <c r="F1078" s="132"/>
      <c r="G1078" s="132"/>
      <c r="H1078" s="132"/>
      <c r="I1078" s="132"/>
      <c r="J1078" s="132"/>
      <c r="K1078" s="132"/>
    </row>
    <row r="1079" spans="5:11" s="105" customFormat="1" x14ac:dyDescent="0.2">
      <c r="E1079" s="268"/>
      <c r="F1079" s="132"/>
      <c r="G1079" s="132"/>
      <c r="H1079" s="132"/>
      <c r="I1079" s="132"/>
      <c r="J1079" s="132"/>
      <c r="K1079" s="132"/>
    </row>
    <row r="1080" spans="5:11" s="105" customFormat="1" x14ac:dyDescent="0.2">
      <c r="E1080" s="268"/>
      <c r="F1080" s="132"/>
      <c r="G1080" s="132"/>
      <c r="H1080" s="132"/>
      <c r="I1080" s="132"/>
      <c r="J1080" s="132"/>
      <c r="K1080" s="132"/>
    </row>
    <row r="1081" spans="5:11" s="105" customFormat="1" x14ac:dyDescent="0.2">
      <c r="E1081" s="268"/>
      <c r="F1081" s="132"/>
      <c r="G1081" s="132"/>
      <c r="H1081" s="132"/>
      <c r="I1081" s="132"/>
      <c r="J1081" s="132"/>
      <c r="K1081" s="132"/>
    </row>
    <row r="1082" spans="5:11" s="105" customFormat="1" x14ac:dyDescent="0.2">
      <c r="E1082" s="268"/>
      <c r="F1082" s="132"/>
      <c r="G1082" s="132"/>
      <c r="H1082" s="132"/>
      <c r="I1082" s="132"/>
      <c r="J1082" s="132"/>
      <c r="K1082" s="132"/>
    </row>
    <row r="1083" spans="5:11" s="105" customFormat="1" x14ac:dyDescent="0.2">
      <c r="E1083" s="268"/>
      <c r="F1083" s="132"/>
      <c r="G1083" s="132"/>
      <c r="H1083" s="132"/>
      <c r="I1083" s="132"/>
      <c r="J1083" s="132"/>
      <c r="K1083" s="132"/>
    </row>
    <row r="1084" spans="5:11" s="105" customFormat="1" x14ac:dyDescent="0.2">
      <c r="E1084" s="268"/>
      <c r="F1084" s="132"/>
      <c r="G1084" s="132"/>
      <c r="H1084" s="132"/>
      <c r="I1084" s="132"/>
      <c r="J1084" s="132"/>
      <c r="K1084" s="132"/>
    </row>
    <row r="1085" spans="5:11" s="105" customFormat="1" x14ac:dyDescent="0.2">
      <c r="E1085" s="268"/>
      <c r="F1085" s="132"/>
      <c r="G1085" s="132"/>
      <c r="H1085" s="132"/>
      <c r="I1085" s="132"/>
      <c r="J1085" s="132"/>
      <c r="K1085" s="132"/>
    </row>
    <row r="1086" spans="5:11" s="105" customFormat="1" x14ac:dyDescent="0.2">
      <c r="E1086" s="268"/>
      <c r="F1086" s="132"/>
      <c r="G1086" s="132"/>
      <c r="H1086" s="132"/>
      <c r="I1086" s="132"/>
      <c r="J1086" s="132"/>
      <c r="K1086" s="132"/>
    </row>
    <row r="1087" spans="5:11" s="105" customFormat="1" x14ac:dyDescent="0.2">
      <c r="E1087" s="268"/>
      <c r="F1087" s="132"/>
      <c r="G1087" s="132"/>
      <c r="H1087" s="132"/>
      <c r="I1087" s="132"/>
      <c r="J1087" s="132"/>
      <c r="K1087" s="132"/>
    </row>
    <row r="1088" spans="5:11" s="105" customFormat="1" x14ac:dyDescent="0.2">
      <c r="E1088" s="268"/>
      <c r="F1088" s="132"/>
      <c r="G1088" s="132"/>
      <c r="H1088" s="132"/>
      <c r="I1088" s="132"/>
      <c r="J1088" s="132"/>
      <c r="K1088" s="132"/>
    </row>
    <row r="1089" spans="5:11" s="105" customFormat="1" x14ac:dyDescent="0.2">
      <c r="E1089" s="268"/>
      <c r="F1089" s="132"/>
      <c r="G1089" s="132"/>
      <c r="H1089" s="132"/>
      <c r="I1089" s="132"/>
      <c r="J1089" s="132"/>
      <c r="K1089" s="132"/>
    </row>
    <row r="1090" spans="5:11" s="105" customFormat="1" x14ac:dyDescent="0.2">
      <c r="E1090" s="268"/>
      <c r="F1090" s="132"/>
      <c r="G1090" s="132"/>
      <c r="H1090" s="132"/>
      <c r="I1090" s="132"/>
      <c r="J1090" s="132"/>
      <c r="K1090" s="132"/>
    </row>
    <row r="1091" spans="5:11" s="105" customFormat="1" x14ac:dyDescent="0.2">
      <c r="E1091" s="268"/>
      <c r="F1091" s="132"/>
      <c r="G1091" s="132"/>
      <c r="H1091" s="132"/>
      <c r="I1091" s="132"/>
      <c r="J1091" s="132"/>
      <c r="K1091" s="132"/>
    </row>
    <row r="1092" spans="5:11" s="105" customFormat="1" x14ac:dyDescent="0.2">
      <c r="E1092" s="268"/>
      <c r="F1092" s="132"/>
      <c r="G1092" s="132"/>
      <c r="H1092" s="132"/>
      <c r="I1092" s="132"/>
      <c r="J1092" s="132"/>
      <c r="K1092" s="132"/>
    </row>
    <row r="1093" spans="5:11" s="105" customFormat="1" x14ac:dyDescent="0.2">
      <c r="E1093" s="268"/>
      <c r="F1093" s="132"/>
      <c r="G1093" s="132"/>
      <c r="H1093" s="132"/>
      <c r="I1093" s="132"/>
      <c r="J1093" s="132"/>
      <c r="K1093" s="132"/>
    </row>
    <row r="1094" spans="5:11" s="105" customFormat="1" x14ac:dyDescent="0.2">
      <c r="E1094" s="268"/>
      <c r="F1094" s="132"/>
      <c r="G1094" s="132"/>
      <c r="H1094" s="132"/>
      <c r="I1094" s="132"/>
      <c r="J1094" s="132"/>
      <c r="K1094" s="132"/>
    </row>
    <row r="1095" spans="5:11" s="105" customFormat="1" x14ac:dyDescent="0.2">
      <c r="E1095" s="268"/>
      <c r="F1095" s="132"/>
      <c r="G1095" s="132"/>
      <c r="H1095" s="132"/>
      <c r="I1095" s="132"/>
      <c r="J1095" s="132"/>
      <c r="K1095" s="132"/>
    </row>
    <row r="1096" spans="5:11" s="105" customFormat="1" x14ac:dyDescent="0.2">
      <c r="E1096" s="268"/>
      <c r="F1096" s="132"/>
      <c r="G1096" s="132"/>
      <c r="H1096" s="132"/>
      <c r="I1096" s="132"/>
      <c r="J1096" s="132"/>
      <c r="K1096" s="132"/>
    </row>
    <row r="1097" spans="5:11" s="105" customFormat="1" x14ac:dyDescent="0.2">
      <c r="E1097" s="268"/>
      <c r="F1097" s="132"/>
      <c r="G1097" s="132"/>
      <c r="H1097" s="132"/>
      <c r="I1097" s="132"/>
      <c r="J1097" s="132"/>
      <c r="K1097" s="132"/>
    </row>
    <row r="1098" spans="5:11" s="105" customFormat="1" x14ac:dyDescent="0.2">
      <c r="E1098" s="268"/>
      <c r="F1098" s="132"/>
      <c r="G1098" s="132"/>
      <c r="H1098" s="132"/>
      <c r="I1098" s="132"/>
      <c r="J1098" s="132"/>
      <c r="K1098" s="132"/>
    </row>
    <row r="1099" spans="5:11" s="105" customFormat="1" x14ac:dyDescent="0.2">
      <c r="E1099" s="268"/>
      <c r="F1099" s="132"/>
      <c r="G1099" s="132"/>
      <c r="H1099" s="132"/>
      <c r="I1099" s="132"/>
      <c r="J1099" s="132"/>
      <c r="K1099" s="132"/>
    </row>
    <row r="1100" spans="5:11" s="105" customFormat="1" x14ac:dyDescent="0.2">
      <c r="E1100" s="268"/>
      <c r="F1100" s="132"/>
      <c r="G1100" s="132"/>
      <c r="H1100" s="132"/>
      <c r="I1100" s="132"/>
      <c r="J1100" s="132"/>
      <c r="K1100" s="132"/>
    </row>
    <row r="1101" spans="5:11" s="105" customFormat="1" x14ac:dyDescent="0.2">
      <c r="E1101" s="268"/>
      <c r="F1101" s="132"/>
      <c r="G1101" s="132"/>
      <c r="H1101" s="132"/>
      <c r="I1101" s="132"/>
      <c r="J1101" s="132"/>
      <c r="K1101" s="132"/>
    </row>
    <row r="1102" spans="5:11" s="105" customFormat="1" x14ac:dyDescent="0.2">
      <c r="E1102" s="268"/>
      <c r="F1102" s="132"/>
      <c r="G1102" s="132"/>
      <c r="H1102" s="132"/>
      <c r="I1102" s="132"/>
      <c r="J1102" s="132"/>
      <c r="K1102" s="132"/>
    </row>
    <row r="1103" spans="5:11" s="105" customFormat="1" x14ac:dyDescent="0.2">
      <c r="E1103" s="268"/>
      <c r="F1103" s="132"/>
      <c r="G1103" s="132"/>
      <c r="H1103" s="132"/>
      <c r="I1103" s="132"/>
      <c r="J1103" s="132"/>
      <c r="K1103" s="132"/>
    </row>
    <row r="1104" spans="5:11" s="105" customFormat="1" x14ac:dyDescent="0.2">
      <c r="E1104" s="268"/>
      <c r="F1104" s="132"/>
      <c r="G1104" s="132"/>
      <c r="H1104" s="132"/>
      <c r="I1104" s="132"/>
      <c r="J1104" s="132"/>
      <c r="K1104" s="132"/>
    </row>
    <row r="1105" spans="5:11" s="105" customFormat="1" x14ac:dyDescent="0.2">
      <c r="E1105" s="268"/>
      <c r="F1105" s="132"/>
      <c r="G1105" s="132"/>
      <c r="H1105" s="132"/>
      <c r="I1105" s="132"/>
      <c r="J1105" s="132"/>
      <c r="K1105" s="132"/>
    </row>
    <row r="1106" spans="5:11" s="105" customFormat="1" x14ac:dyDescent="0.2">
      <c r="E1106" s="268"/>
      <c r="F1106" s="132"/>
      <c r="G1106" s="132"/>
      <c r="H1106" s="132"/>
      <c r="I1106" s="132"/>
      <c r="J1106" s="132"/>
      <c r="K1106" s="132"/>
    </row>
    <row r="1107" spans="5:11" s="105" customFormat="1" x14ac:dyDescent="0.2">
      <c r="E1107" s="268"/>
      <c r="F1107" s="132"/>
      <c r="G1107" s="132"/>
      <c r="H1107" s="132"/>
      <c r="I1107" s="132"/>
      <c r="J1107" s="132"/>
      <c r="K1107" s="132"/>
    </row>
    <row r="1108" spans="5:11" s="105" customFormat="1" x14ac:dyDescent="0.2">
      <c r="E1108" s="268"/>
      <c r="F1108" s="132"/>
      <c r="G1108" s="132"/>
      <c r="H1108" s="132"/>
      <c r="I1108" s="132"/>
      <c r="J1108" s="132"/>
      <c r="K1108" s="132"/>
    </row>
    <row r="1109" spans="5:11" s="105" customFormat="1" x14ac:dyDescent="0.2">
      <c r="E1109" s="268"/>
      <c r="F1109" s="132"/>
      <c r="G1109" s="132"/>
      <c r="H1109" s="132"/>
      <c r="I1109" s="132"/>
      <c r="J1109" s="132"/>
      <c r="K1109" s="132"/>
    </row>
    <row r="1110" spans="5:11" s="105" customFormat="1" x14ac:dyDescent="0.2">
      <c r="E1110" s="268"/>
      <c r="F1110" s="132"/>
      <c r="G1110" s="132"/>
      <c r="H1110" s="132"/>
      <c r="I1110" s="132"/>
      <c r="J1110" s="132"/>
      <c r="K1110" s="132"/>
    </row>
    <row r="1111" spans="5:11" s="105" customFormat="1" x14ac:dyDescent="0.2">
      <c r="E1111" s="268"/>
      <c r="F1111" s="132"/>
      <c r="G1111" s="132"/>
      <c r="H1111" s="132"/>
      <c r="I1111" s="132"/>
      <c r="J1111" s="132"/>
      <c r="K1111" s="132"/>
    </row>
    <row r="1112" spans="5:11" s="105" customFormat="1" x14ac:dyDescent="0.2">
      <c r="E1112" s="268"/>
      <c r="F1112" s="132"/>
      <c r="G1112" s="132"/>
      <c r="H1112" s="132"/>
      <c r="I1112" s="132"/>
      <c r="J1112" s="132"/>
      <c r="K1112" s="132"/>
    </row>
    <row r="1113" spans="5:11" s="105" customFormat="1" x14ac:dyDescent="0.2">
      <c r="E1113" s="268"/>
      <c r="F1113" s="132"/>
      <c r="G1113" s="132"/>
      <c r="H1113" s="132"/>
      <c r="I1113" s="132"/>
      <c r="J1113" s="132"/>
      <c r="K1113" s="132"/>
    </row>
    <row r="1114" spans="5:11" s="105" customFormat="1" x14ac:dyDescent="0.2">
      <c r="E1114" s="268"/>
      <c r="F1114" s="132"/>
      <c r="G1114" s="132"/>
      <c r="H1114" s="132"/>
      <c r="I1114" s="132"/>
      <c r="J1114" s="132"/>
      <c r="K1114" s="132"/>
    </row>
    <row r="1115" spans="5:11" s="105" customFormat="1" x14ac:dyDescent="0.2">
      <c r="E1115" s="268"/>
      <c r="F1115" s="132"/>
      <c r="G1115" s="132"/>
      <c r="H1115" s="132"/>
      <c r="I1115" s="132"/>
      <c r="J1115" s="132"/>
      <c r="K1115" s="132"/>
    </row>
    <row r="1116" spans="5:11" s="105" customFormat="1" x14ac:dyDescent="0.2">
      <c r="E1116" s="268"/>
      <c r="F1116" s="132"/>
      <c r="G1116" s="132"/>
      <c r="H1116" s="132"/>
      <c r="I1116" s="132"/>
      <c r="J1116" s="132"/>
      <c r="K1116" s="132"/>
    </row>
    <row r="1117" spans="5:11" s="105" customFormat="1" x14ac:dyDescent="0.2">
      <c r="E1117" s="268"/>
      <c r="F1117" s="132"/>
      <c r="G1117" s="132"/>
      <c r="H1117" s="132"/>
      <c r="I1117" s="132"/>
      <c r="J1117" s="132"/>
      <c r="K1117" s="132"/>
    </row>
    <row r="1118" spans="5:11" s="105" customFormat="1" x14ac:dyDescent="0.2">
      <c r="E1118" s="268"/>
      <c r="F1118" s="132"/>
      <c r="G1118" s="132"/>
      <c r="H1118" s="132"/>
      <c r="I1118" s="132"/>
      <c r="J1118" s="132"/>
      <c r="K1118" s="132"/>
    </row>
    <row r="1119" spans="5:11" s="105" customFormat="1" x14ac:dyDescent="0.2">
      <c r="E1119" s="268"/>
      <c r="F1119" s="132"/>
      <c r="G1119" s="132"/>
      <c r="H1119" s="132"/>
      <c r="I1119" s="132"/>
      <c r="J1119" s="132"/>
      <c r="K1119" s="132"/>
    </row>
    <row r="1120" spans="5:11" s="105" customFormat="1" x14ac:dyDescent="0.2">
      <c r="E1120" s="268"/>
      <c r="F1120" s="132"/>
      <c r="G1120" s="132"/>
      <c r="H1120" s="132"/>
      <c r="I1120" s="132"/>
      <c r="J1120" s="132"/>
      <c r="K1120" s="132"/>
    </row>
    <row r="1121" spans="5:11" s="105" customFormat="1" x14ac:dyDescent="0.2">
      <c r="E1121" s="268"/>
      <c r="F1121" s="132"/>
      <c r="G1121" s="132"/>
      <c r="H1121" s="132"/>
      <c r="I1121" s="132"/>
      <c r="J1121" s="132"/>
      <c r="K1121" s="132"/>
    </row>
    <row r="1122" spans="5:11" s="105" customFormat="1" x14ac:dyDescent="0.2">
      <c r="E1122" s="268"/>
      <c r="F1122" s="132"/>
      <c r="G1122" s="132"/>
      <c r="H1122" s="132"/>
      <c r="I1122" s="132"/>
      <c r="J1122" s="132"/>
      <c r="K1122" s="132"/>
    </row>
    <row r="1123" spans="5:11" s="105" customFormat="1" x14ac:dyDescent="0.2">
      <c r="E1123" s="268"/>
      <c r="F1123" s="132"/>
      <c r="G1123" s="132"/>
      <c r="H1123" s="132"/>
      <c r="I1123" s="132"/>
      <c r="J1123" s="132"/>
      <c r="K1123" s="132"/>
    </row>
    <row r="1124" spans="5:11" s="105" customFormat="1" x14ac:dyDescent="0.2">
      <c r="E1124" s="268"/>
      <c r="F1124" s="132"/>
      <c r="G1124" s="132"/>
      <c r="H1124" s="132"/>
      <c r="I1124" s="132"/>
      <c r="J1124" s="132"/>
      <c r="K1124" s="132"/>
    </row>
    <row r="1125" spans="5:11" s="105" customFormat="1" x14ac:dyDescent="0.2">
      <c r="E1125" s="268"/>
      <c r="F1125" s="132"/>
      <c r="G1125" s="132"/>
      <c r="H1125" s="132"/>
      <c r="I1125" s="132"/>
      <c r="J1125" s="132"/>
      <c r="K1125" s="132"/>
    </row>
    <row r="1126" spans="5:11" s="105" customFormat="1" x14ac:dyDescent="0.2">
      <c r="E1126" s="268"/>
      <c r="F1126" s="132"/>
      <c r="G1126" s="132"/>
      <c r="H1126" s="132"/>
      <c r="I1126" s="132"/>
      <c r="J1126" s="132"/>
      <c r="K1126" s="132"/>
    </row>
    <row r="1127" spans="5:11" s="105" customFormat="1" x14ac:dyDescent="0.2">
      <c r="E1127" s="268"/>
      <c r="F1127" s="132"/>
      <c r="G1127" s="132"/>
      <c r="H1127" s="132"/>
      <c r="I1127" s="132"/>
      <c r="J1127" s="132"/>
      <c r="K1127" s="132"/>
    </row>
    <row r="1128" spans="5:11" s="105" customFormat="1" x14ac:dyDescent="0.2">
      <c r="E1128" s="268"/>
      <c r="F1128" s="132"/>
      <c r="G1128" s="132"/>
      <c r="H1128" s="132"/>
      <c r="I1128" s="132"/>
      <c r="J1128" s="132"/>
      <c r="K1128" s="132"/>
    </row>
    <row r="1129" spans="5:11" s="105" customFormat="1" x14ac:dyDescent="0.2">
      <c r="E1129" s="268"/>
      <c r="F1129" s="132"/>
      <c r="G1129" s="132"/>
      <c r="H1129" s="132"/>
      <c r="I1129" s="132"/>
      <c r="J1129" s="132"/>
      <c r="K1129" s="132"/>
    </row>
    <row r="1130" spans="5:11" s="105" customFormat="1" x14ac:dyDescent="0.2">
      <c r="E1130" s="268"/>
      <c r="F1130" s="132"/>
      <c r="G1130" s="132"/>
      <c r="H1130" s="132"/>
      <c r="I1130" s="132"/>
      <c r="J1130" s="132"/>
      <c r="K1130" s="132"/>
    </row>
    <row r="1131" spans="5:11" s="105" customFormat="1" x14ac:dyDescent="0.2">
      <c r="E1131" s="268"/>
      <c r="F1131" s="132"/>
      <c r="G1131" s="132"/>
      <c r="H1131" s="132"/>
      <c r="I1131" s="132"/>
      <c r="J1131" s="132"/>
      <c r="K1131" s="132"/>
    </row>
    <row r="1132" spans="5:11" s="105" customFormat="1" x14ac:dyDescent="0.2">
      <c r="E1132" s="268"/>
      <c r="F1132" s="132"/>
      <c r="G1132" s="132"/>
      <c r="H1132" s="132"/>
      <c r="I1132" s="132"/>
      <c r="J1132" s="132"/>
      <c r="K1132" s="132"/>
    </row>
    <row r="1133" spans="5:11" s="105" customFormat="1" x14ac:dyDescent="0.2">
      <c r="E1133" s="268"/>
      <c r="F1133" s="132"/>
      <c r="G1133" s="132"/>
      <c r="H1133" s="132"/>
      <c r="I1133" s="132"/>
      <c r="J1133" s="132"/>
      <c r="K1133" s="132"/>
    </row>
    <row r="1134" spans="5:11" s="105" customFormat="1" x14ac:dyDescent="0.2">
      <c r="E1134" s="268"/>
      <c r="F1134" s="132"/>
      <c r="G1134" s="132"/>
      <c r="H1134" s="132"/>
      <c r="I1134" s="132"/>
      <c r="J1134" s="132"/>
      <c r="K1134" s="132"/>
    </row>
    <row r="1135" spans="5:11" s="105" customFormat="1" x14ac:dyDescent="0.2">
      <c r="E1135" s="268"/>
      <c r="F1135" s="132"/>
      <c r="G1135" s="132"/>
      <c r="H1135" s="132"/>
      <c r="I1135" s="132"/>
      <c r="J1135" s="132"/>
      <c r="K1135" s="132"/>
    </row>
    <row r="1136" spans="5:11" s="105" customFormat="1" x14ac:dyDescent="0.2">
      <c r="E1136" s="268"/>
      <c r="F1136" s="132"/>
      <c r="G1136" s="132"/>
      <c r="H1136" s="132"/>
      <c r="I1136" s="132"/>
      <c r="J1136" s="132"/>
      <c r="K1136" s="132"/>
    </row>
    <row r="1137" spans="5:11" s="105" customFormat="1" x14ac:dyDescent="0.2">
      <c r="E1137" s="268"/>
      <c r="F1137" s="132"/>
      <c r="G1137" s="132"/>
      <c r="H1137" s="132"/>
      <c r="I1137" s="132"/>
      <c r="J1137" s="132"/>
      <c r="K1137" s="132"/>
    </row>
    <row r="1138" spans="5:11" s="105" customFormat="1" x14ac:dyDescent="0.2">
      <c r="E1138" s="268"/>
      <c r="F1138" s="132"/>
      <c r="G1138" s="132"/>
      <c r="H1138" s="132"/>
      <c r="I1138" s="132"/>
      <c r="J1138" s="132"/>
      <c r="K1138" s="132"/>
    </row>
    <row r="1139" spans="5:11" s="105" customFormat="1" x14ac:dyDescent="0.2">
      <c r="E1139" s="268"/>
      <c r="F1139" s="132"/>
      <c r="G1139" s="132"/>
      <c r="H1139" s="132"/>
      <c r="I1139" s="132"/>
      <c r="J1139" s="132"/>
      <c r="K1139" s="132"/>
    </row>
    <row r="1140" spans="5:11" s="105" customFormat="1" x14ac:dyDescent="0.2">
      <c r="E1140" s="268"/>
      <c r="F1140" s="132"/>
      <c r="G1140" s="132"/>
      <c r="H1140" s="132"/>
      <c r="I1140" s="132"/>
      <c r="J1140" s="132"/>
      <c r="K1140" s="132"/>
    </row>
    <row r="1141" spans="5:11" s="105" customFormat="1" x14ac:dyDescent="0.2">
      <c r="E1141" s="268"/>
      <c r="F1141" s="132"/>
      <c r="G1141" s="132"/>
      <c r="H1141" s="132"/>
      <c r="I1141" s="132"/>
      <c r="J1141" s="132"/>
      <c r="K1141" s="132"/>
    </row>
    <row r="1142" spans="5:11" s="105" customFormat="1" x14ac:dyDescent="0.2">
      <c r="E1142" s="268"/>
      <c r="F1142" s="132"/>
      <c r="G1142" s="132"/>
      <c r="H1142" s="132"/>
      <c r="I1142" s="132"/>
      <c r="J1142" s="132"/>
      <c r="K1142" s="132"/>
    </row>
    <row r="1143" spans="5:11" s="105" customFormat="1" x14ac:dyDescent="0.2">
      <c r="E1143" s="268"/>
      <c r="F1143" s="132"/>
      <c r="G1143" s="132"/>
      <c r="H1143" s="132"/>
      <c r="I1143" s="132"/>
      <c r="J1143" s="132"/>
      <c r="K1143" s="132"/>
    </row>
    <row r="1144" spans="5:11" s="105" customFormat="1" x14ac:dyDescent="0.2">
      <c r="E1144" s="268"/>
      <c r="F1144" s="132"/>
      <c r="G1144" s="132"/>
      <c r="H1144" s="132"/>
      <c r="I1144" s="132"/>
      <c r="J1144" s="132"/>
      <c r="K1144" s="132"/>
    </row>
    <row r="1145" spans="5:11" s="105" customFormat="1" x14ac:dyDescent="0.2">
      <c r="E1145" s="268"/>
      <c r="F1145" s="132"/>
      <c r="G1145" s="132"/>
      <c r="H1145" s="132"/>
      <c r="I1145" s="132"/>
      <c r="J1145" s="132"/>
      <c r="K1145" s="132"/>
    </row>
    <row r="1146" spans="5:11" s="105" customFormat="1" x14ac:dyDescent="0.2">
      <c r="E1146" s="268"/>
      <c r="F1146" s="132"/>
      <c r="G1146" s="132"/>
      <c r="H1146" s="132"/>
      <c r="I1146" s="132"/>
      <c r="J1146" s="132"/>
      <c r="K1146" s="132"/>
    </row>
    <row r="1147" spans="5:11" s="105" customFormat="1" x14ac:dyDescent="0.2">
      <c r="E1147" s="268"/>
      <c r="F1147" s="132"/>
      <c r="G1147" s="132"/>
      <c r="H1147" s="132"/>
      <c r="I1147" s="132"/>
      <c r="J1147" s="132"/>
      <c r="K1147" s="132"/>
    </row>
    <row r="1148" spans="5:11" s="105" customFormat="1" x14ac:dyDescent="0.2">
      <c r="E1148" s="268"/>
      <c r="F1148" s="132"/>
      <c r="G1148" s="132"/>
      <c r="H1148" s="132"/>
      <c r="I1148" s="132"/>
      <c r="J1148" s="132"/>
      <c r="K1148" s="132"/>
    </row>
    <row r="1149" spans="5:11" s="105" customFormat="1" x14ac:dyDescent="0.2">
      <c r="E1149" s="268"/>
      <c r="F1149" s="132"/>
      <c r="G1149" s="132"/>
      <c r="H1149" s="132"/>
      <c r="I1149" s="132"/>
      <c r="J1149" s="132"/>
      <c r="K1149" s="132"/>
    </row>
    <row r="1150" spans="5:11" s="105" customFormat="1" x14ac:dyDescent="0.2">
      <c r="E1150" s="268"/>
      <c r="F1150" s="132"/>
      <c r="G1150" s="132"/>
      <c r="H1150" s="132"/>
      <c r="I1150" s="132"/>
      <c r="J1150" s="132"/>
      <c r="K1150" s="132"/>
    </row>
    <row r="1151" spans="5:11" s="105" customFormat="1" x14ac:dyDescent="0.2">
      <c r="E1151" s="268"/>
      <c r="F1151" s="132"/>
      <c r="G1151" s="132"/>
      <c r="H1151" s="132"/>
      <c r="I1151" s="132"/>
      <c r="J1151" s="132"/>
      <c r="K1151" s="132"/>
    </row>
    <row r="1152" spans="5:11" s="105" customFormat="1" x14ac:dyDescent="0.2">
      <c r="E1152" s="268"/>
      <c r="F1152" s="132"/>
      <c r="G1152" s="132"/>
      <c r="H1152" s="132"/>
      <c r="I1152" s="132"/>
      <c r="J1152" s="132"/>
      <c r="K1152" s="132"/>
    </row>
    <row r="1153" spans="5:11" s="105" customFormat="1" x14ac:dyDescent="0.2">
      <c r="E1153" s="268"/>
      <c r="F1153" s="132"/>
      <c r="G1153" s="132"/>
      <c r="H1153" s="132"/>
      <c r="I1153" s="132"/>
      <c r="J1153" s="132"/>
      <c r="K1153" s="132"/>
    </row>
    <row r="1154" spans="5:11" s="105" customFormat="1" x14ac:dyDescent="0.2">
      <c r="E1154" s="268"/>
      <c r="F1154" s="132"/>
      <c r="G1154" s="132"/>
      <c r="H1154" s="132"/>
      <c r="I1154" s="132"/>
      <c r="J1154" s="132"/>
      <c r="K1154" s="132"/>
    </row>
    <row r="1155" spans="5:11" s="105" customFormat="1" x14ac:dyDescent="0.2">
      <c r="E1155" s="268"/>
      <c r="F1155" s="132"/>
      <c r="G1155" s="132"/>
      <c r="H1155" s="132"/>
      <c r="I1155" s="132"/>
      <c r="J1155" s="132"/>
      <c r="K1155" s="132"/>
    </row>
    <row r="1156" spans="5:11" s="105" customFormat="1" x14ac:dyDescent="0.2">
      <c r="E1156" s="268"/>
      <c r="F1156" s="132"/>
      <c r="G1156" s="132"/>
      <c r="H1156" s="132"/>
      <c r="I1156" s="132"/>
      <c r="J1156" s="132"/>
      <c r="K1156" s="132"/>
    </row>
    <row r="1157" spans="5:11" s="105" customFormat="1" x14ac:dyDescent="0.2">
      <c r="E1157" s="268"/>
      <c r="F1157" s="132"/>
      <c r="G1157" s="132"/>
      <c r="H1157" s="132"/>
      <c r="I1157" s="132"/>
      <c r="J1157" s="132"/>
      <c r="K1157" s="132"/>
    </row>
    <row r="1158" spans="5:11" s="105" customFormat="1" x14ac:dyDescent="0.2">
      <c r="E1158" s="268"/>
      <c r="F1158" s="132"/>
      <c r="G1158" s="132"/>
      <c r="H1158" s="132"/>
      <c r="I1158" s="132"/>
      <c r="J1158" s="132"/>
      <c r="K1158" s="132"/>
    </row>
    <row r="1159" spans="5:11" s="105" customFormat="1" x14ac:dyDescent="0.2">
      <c r="E1159" s="268"/>
      <c r="F1159" s="132"/>
      <c r="G1159" s="132"/>
      <c r="H1159" s="132"/>
      <c r="I1159" s="132"/>
      <c r="J1159" s="132"/>
      <c r="K1159" s="132"/>
    </row>
    <row r="1160" spans="5:11" s="105" customFormat="1" x14ac:dyDescent="0.2">
      <c r="E1160" s="268"/>
      <c r="F1160" s="132"/>
      <c r="G1160" s="132"/>
      <c r="H1160" s="132"/>
      <c r="I1160" s="132"/>
      <c r="J1160" s="132"/>
      <c r="K1160" s="132"/>
    </row>
    <row r="1161" spans="5:11" s="105" customFormat="1" x14ac:dyDescent="0.2">
      <c r="E1161" s="268"/>
      <c r="F1161" s="132"/>
      <c r="G1161" s="132"/>
      <c r="H1161" s="132"/>
      <c r="I1161" s="132"/>
      <c r="J1161" s="132"/>
      <c r="K1161" s="132"/>
    </row>
    <row r="1162" spans="5:11" s="105" customFormat="1" x14ac:dyDescent="0.2">
      <c r="E1162" s="268"/>
      <c r="F1162" s="132"/>
      <c r="G1162" s="132"/>
      <c r="H1162" s="132"/>
      <c r="I1162" s="132"/>
      <c r="J1162" s="132"/>
      <c r="K1162" s="132"/>
    </row>
    <row r="1163" spans="5:11" s="105" customFormat="1" x14ac:dyDescent="0.2">
      <c r="E1163" s="268"/>
      <c r="F1163" s="132"/>
      <c r="G1163" s="132"/>
      <c r="H1163" s="132"/>
      <c r="I1163" s="132"/>
      <c r="J1163" s="132"/>
      <c r="K1163" s="132"/>
    </row>
    <row r="1164" spans="5:11" s="105" customFormat="1" x14ac:dyDescent="0.2">
      <c r="E1164" s="268"/>
      <c r="F1164" s="132"/>
      <c r="G1164" s="132"/>
      <c r="H1164" s="132"/>
      <c r="I1164" s="132"/>
      <c r="J1164" s="132"/>
      <c r="K1164" s="132"/>
    </row>
    <row r="1165" spans="5:11" s="105" customFormat="1" x14ac:dyDescent="0.2">
      <c r="E1165" s="268"/>
      <c r="F1165" s="132"/>
      <c r="G1165" s="132"/>
      <c r="H1165" s="132"/>
      <c r="I1165" s="132"/>
      <c r="J1165" s="132"/>
      <c r="K1165" s="132"/>
    </row>
    <row r="1166" spans="5:11" s="105" customFormat="1" x14ac:dyDescent="0.2">
      <c r="E1166" s="268"/>
      <c r="F1166" s="132"/>
      <c r="G1166" s="132"/>
      <c r="H1166" s="132"/>
      <c r="I1166" s="132"/>
      <c r="J1166" s="132"/>
      <c r="K1166" s="132"/>
    </row>
    <row r="1167" spans="5:11" s="105" customFormat="1" x14ac:dyDescent="0.2">
      <c r="E1167" s="268"/>
      <c r="F1167" s="132"/>
      <c r="G1167" s="132"/>
      <c r="H1167" s="132"/>
      <c r="I1167" s="132"/>
      <c r="J1167" s="132"/>
      <c r="K1167" s="132"/>
    </row>
    <row r="1168" spans="5:11" s="105" customFormat="1" x14ac:dyDescent="0.2">
      <c r="E1168" s="268"/>
      <c r="F1168" s="132"/>
      <c r="G1168" s="132"/>
      <c r="H1168" s="132"/>
      <c r="I1168" s="132"/>
      <c r="J1168" s="132"/>
      <c r="K1168" s="132"/>
    </row>
    <row r="1169" spans="5:11" s="105" customFormat="1" x14ac:dyDescent="0.2">
      <c r="E1169" s="268"/>
      <c r="F1169" s="132"/>
      <c r="G1169" s="132"/>
      <c r="H1169" s="132"/>
      <c r="I1169" s="132"/>
      <c r="J1169" s="132"/>
      <c r="K1169" s="132"/>
    </row>
    <row r="1170" spans="5:11" s="105" customFormat="1" x14ac:dyDescent="0.2">
      <c r="E1170" s="268"/>
      <c r="F1170" s="132"/>
      <c r="G1170" s="132"/>
      <c r="H1170" s="132"/>
      <c r="I1170" s="132"/>
      <c r="J1170" s="132"/>
      <c r="K1170" s="132"/>
    </row>
    <row r="1171" spans="5:11" s="105" customFormat="1" x14ac:dyDescent="0.2">
      <c r="E1171" s="268"/>
      <c r="F1171" s="132"/>
      <c r="G1171" s="132"/>
      <c r="H1171" s="132"/>
      <c r="I1171" s="132"/>
      <c r="J1171" s="132"/>
      <c r="K1171" s="132"/>
    </row>
    <row r="1172" spans="5:11" s="105" customFormat="1" x14ac:dyDescent="0.2">
      <c r="E1172" s="268"/>
      <c r="F1172" s="132"/>
      <c r="G1172" s="132"/>
      <c r="H1172" s="132"/>
      <c r="I1172" s="132"/>
      <c r="J1172" s="132"/>
      <c r="K1172" s="132"/>
    </row>
    <row r="1173" spans="5:11" s="105" customFormat="1" x14ac:dyDescent="0.2">
      <c r="E1173" s="268"/>
      <c r="F1173" s="132"/>
      <c r="G1173" s="132"/>
      <c r="H1173" s="132"/>
      <c r="I1173" s="132"/>
      <c r="J1173" s="132"/>
      <c r="K1173" s="132"/>
    </row>
    <row r="1174" spans="5:11" s="105" customFormat="1" x14ac:dyDescent="0.2">
      <c r="E1174" s="268"/>
      <c r="F1174" s="132"/>
      <c r="G1174" s="132"/>
      <c r="H1174" s="132"/>
      <c r="I1174" s="132"/>
      <c r="J1174" s="132"/>
      <c r="K1174" s="132"/>
    </row>
    <row r="1175" spans="5:11" s="105" customFormat="1" x14ac:dyDescent="0.2">
      <c r="E1175" s="268"/>
      <c r="F1175" s="132"/>
      <c r="G1175" s="132"/>
      <c r="H1175" s="132"/>
      <c r="I1175" s="132"/>
      <c r="J1175" s="132"/>
      <c r="K1175" s="132"/>
    </row>
    <row r="1176" spans="5:11" s="105" customFormat="1" x14ac:dyDescent="0.2">
      <c r="E1176" s="268"/>
      <c r="F1176" s="132"/>
      <c r="G1176" s="132"/>
      <c r="H1176" s="132"/>
      <c r="I1176" s="132"/>
      <c r="J1176" s="132"/>
      <c r="K1176" s="132"/>
    </row>
    <row r="1177" spans="5:11" s="105" customFormat="1" x14ac:dyDescent="0.2">
      <c r="E1177" s="268"/>
      <c r="F1177" s="132"/>
      <c r="G1177" s="132"/>
      <c r="H1177" s="132"/>
      <c r="I1177" s="132"/>
      <c r="J1177" s="132"/>
      <c r="K1177" s="132"/>
    </row>
    <row r="1178" spans="5:11" s="105" customFormat="1" x14ac:dyDescent="0.2">
      <c r="E1178" s="268"/>
      <c r="F1178" s="132"/>
      <c r="G1178" s="132"/>
      <c r="H1178" s="132"/>
      <c r="I1178" s="132"/>
      <c r="J1178" s="132"/>
      <c r="K1178" s="132"/>
    </row>
    <row r="1179" spans="5:11" s="105" customFormat="1" x14ac:dyDescent="0.2">
      <c r="E1179" s="268"/>
      <c r="F1179" s="132"/>
      <c r="G1179" s="132"/>
      <c r="H1179" s="132"/>
      <c r="I1179" s="132"/>
      <c r="J1179" s="132"/>
      <c r="K1179" s="132"/>
    </row>
    <row r="1180" spans="5:11" s="105" customFormat="1" x14ac:dyDescent="0.2">
      <c r="E1180" s="268"/>
      <c r="F1180" s="132"/>
      <c r="G1180" s="132"/>
      <c r="H1180" s="132"/>
      <c r="I1180" s="132"/>
      <c r="J1180" s="132"/>
      <c r="K1180" s="132"/>
    </row>
    <row r="1181" spans="5:11" s="105" customFormat="1" x14ac:dyDescent="0.2">
      <c r="E1181" s="268"/>
      <c r="F1181" s="132"/>
      <c r="G1181" s="132"/>
      <c r="H1181" s="132"/>
      <c r="I1181" s="132"/>
      <c r="J1181" s="132"/>
      <c r="K1181" s="132"/>
    </row>
    <row r="1182" spans="5:11" s="105" customFormat="1" x14ac:dyDescent="0.2">
      <c r="E1182" s="268"/>
      <c r="F1182" s="132"/>
      <c r="G1182" s="132"/>
      <c r="H1182" s="132"/>
      <c r="I1182" s="132"/>
      <c r="J1182" s="132"/>
      <c r="K1182" s="132"/>
    </row>
    <row r="1183" spans="5:11" s="105" customFormat="1" x14ac:dyDescent="0.2">
      <c r="E1183" s="268"/>
      <c r="F1183" s="132"/>
      <c r="G1183" s="132"/>
      <c r="H1183" s="132"/>
      <c r="I1183" s="132"/>
      <c r="J1183" s="132"/>
      <c r="K1183" s="132"/>
    </row>
    <row r="1184" spans="5:11" s="105" customFormat="1" x14ac:dyDescent="0.2">
      <c r="E1184" s="268"/>
      <c r="F1184" s="132"/>
      <c r="G1184" s="132"/>
      <c r="H1184" s="132"/>
      <c r="I1184" s="132"/>
      <c r="J1184" s="132"/>
      <c r="K1184" s="132"/>
    </row>
    <row r="1185" spans="5:11" s="105" customFormat="1" x14ac:dyDescent="0.2">
      <c r="E1185" s="268"/>
      <c r="F1185" s="132"/>
      <c r="G1185" s="132"/>
      <c r="H1185" s="132"/>
      <c r="I1185" s="132"/>
      <c r="J1185" s="132"/>
      <c r="K1185" s="132"/>
    </row>
    <row r="1186" spans="5:11" s="105" customFormat="1" x14ac:dyDescent="0.2">
      <c r="E1186" s="268"/>
      <c r="F1186" s="132"/>
      <c r="G1186" s="132"/>
      <c r="H1186" s="132"/>
      <c r="I1186" s="132"/>
      <c r="J1186" s="132"/>
      <c r="K1186" s="132"/>
    </row>
    <row r="1187" spans="5:11" s="105" customFormat="1" x14ac:dyDescent="0.2">
      <c r="E1187" s="268"/>
      <c r="F1187" s="132"/>
      <c r="G1187" s="132"/>
      <c r="H1187" s="132"/>
      <c r="I1187" s="132"/>
      <c r="J1187" s="132"/>
      <c r="K1187" s="132"/>
    </row>
    <row r="1188" spans="5:11" s="105" customFormat="1" x14ac:dyDescent="0.2">
      <c r="E1188" s="268"/>
      <c r="F1188" s="132"/>
      <c r="G1188" s="132"/>
      <c r="H1188" s="132"/>
      <c r="I1188" s="132"/>
      <c r="J1188" s="132"/>
      <c r="K1188" s="132"/>
    </row>
    <row r="1189" spans="5:11" s="105" customFormat="1" x14ac:dyDescent="0.2">
      <c r="E1189" s="268"/>
      <c r="F1189" s="132"/>
      <c r="G1189" s="132"/>
      <c r="H1189" s="132"/>
      <c r="I1189" s="132"/>
      <c r="J1189" s="132"/>
      <c r="K1189" s="132"/>
    </row>
    <row r="1190" spans="5:11" s="105" customFormat="1" x14ac:dyDescent="0.2">
      <c r="E1190" s="268"/>
      <c r="F1190" s="132"/>
      <c r="G1190" s="132"/>
      <c r="H1190" s="132"/>
      <c r="I1190" s="132"/>
      <c r="J1190" s="132"/>
      <c r="K1190" s="132"/>
    </row>
    <row r="1191" spans="5:11" s="105" customFormat="1" x14ac:dyDescent="0.2">
      <c r="E1191" s="268"/>
      <c r="F1191" s="132"/>
      <c r="G1191" s="132"/>
      <c r="H1191" s="132"/>
      <c r="I1191" s="132"/>
      <c r="J1191" s="132"/>
      <c r="K1191" s="132"/>
    </row>
    <row r="1192" spans="5:11" s="105" customFormat="1" x14ac:dyDescent="0.2">
      <c r="E1192" s="268"/>
      <c r="F1192" s="132"/>
      <c r="G1192" s="132"/>
      <c r="H1192" s="132"/>
      <c r="I1192" s="132"/>
      <c r="J1192" s="132"/>
      <c r="K1192" s="132"/>
    </row>
    <row r="1193" spans="5:11" s="105" customFormat="1" x14ac:dyDescent="0.2">
      <c r="E1193" s="268"/>
      <c r="F1193" s="132"/>
      <c r="G1193" s="132"/>
      <c r="H1193" s="132"/>
      <c r="I1193" s="132"/>
      <c r="J1193" s="132"/>
      <c r="K1193" s="132"/>
    </row>
    <row r="1194" spans="5:11" s="105" customFormat="1" x14ac:dyDescent="0.2">
      <c r="E1194" s="268"/>
      <c r="F1194" s="132"/>
      <c r="G1194" s="132"/>
      <c r="H1194" s="132"/>
      <c r="I1194" s="132"/>
      <c r="J1194" s="132"/>
      <c r="K1194" s="132"/>
    </row>
    <row r="1195" spans="5:11" s="105" customFormat="1" x14ac:dyDescent="0.2">
      <c r="E1195" s="268"/>
      <c r="F1195" s="132"/>
      <c r="G1195" s="132"/>
      <c r="H1195" s="132"/>
      <c r="I1195" s="132"/>
      <c r="J1195" s="132"/>
      <c r="K1195" s="132"/>
    </row>
    <row r="1196" spans="5:11" s="105" customFormat="1" x14ac:dyDescent="0.2">
      <c r="E1196" s="268"/>
      <c r="F1196" s="132"/>
      <c r="G1196" s="132"/>
      <c r="H1196" s="132"/>
      <c r="I1196" s="132"/>
      <c r="J1196" s="132"/>
      <c r="K1196" s="132"/>
    </row>
    <row r="1197" spans="5:11" s="105" customFormat="1" x14ac:dyDescent="0.2">
      <c r="E1197" s="268"/>
      <c r="F1197" s="132"/>
      <c r="G1197" s="132"/>
      <c r="H1197" s="132"/>
      <c r="I1197" s="132"/>
      <c r="J1197" s="132"/>
      <c r="K1197" s="132"/>
    </row>
    <row r="1198" spans="5:11" s="105" customFormat="1" x14ac:dyDescent="0.2">
      <c r="E1198" s="268"/>
      <c r="F1198" s="132"/>
      <c r="G1198" s="132"/>
      <c r="H1198" s="132"/>
      <c r="I1198" s="132"/>
      <c r="J1198" s="132"/>
      <c r="K1198" s="132"/>
    </row>
    <row r="1199" spans="5:11" s="105" customFormat="1" x14ac:dyDescent="0.2">
      <c r="E1199" s="268"/>
      <c r="F1199" s="132"/>
      <c r="G1199" s="132"/>
      <c r="H1199" s="132"/>
      <c r="I1199" s="132"/>
      <c r="J1199" s="132"/>
      <c r="K1199" s="132"/>
    </row>
    <row r="1200" spans="5:11" s="105" customFormat="1" x14ac:dyDescent="0.2">
      <c r="E1200" s="268"/>
      <c r="F1200" s="132"/>
      <c r="G1200" s="132"/>
      <c r="H1200" s="132"/>
      <c r="I1200" s="132"/>
      <c r="J1200" s="132"/>
      <c r="K1200" s="132"/>
    </row>
    <row r="1201" spans="5:11" s="105" customFormat="1" x14ac:dyDescent="0.2">
      <c r="E1201" s="268"/>
      <c r="F1201" s="132"/>
      <c r="G1201" s="132"/>
      <c r="H1201" s="132"/>
      <c r="I1201" s="132"/>
      <c r="J1201" s="132"/>
      <c r="K1201" s="132"/>
    </row>
    <row r="1202" spans="5:11" s="105" customFormat="1" x14ac:dyDescent="0.2">
      <c r="E1202" s="268"/>
      <c r="F1202" s="132"/>
      <c r="G1202" s="132"/>
      <c r="H1202" s="132"/>
      <c r="I1202" s="132"/>
      <c r="J1202" s="132"/>
      <c r="K1202" s="132"/>
    </row>
    <row r="1203" spans="5:11" s="105" customFormat="1" x14ac:dyDescent="0.2">
      <c r="E1203" s="268"/>
      <c r="F1203" s="132"/>
      <c r="G1203" s="132"/>
      <c r="H1203" s="132"/>
      <c r="I1203" s="132"/>
      <c r="J1203" s="132"/>
      <c r="K1203" s="132"/>
    </row>
    <row r="1204" spans="5:11" s="105" customFormat="1" x14ac:dyDescent="0.2">
      <c r="E1204" s="268"/>
      <c r="F1204" s="132"/>
      <c r="G1204" s="132"/>
      <c r="H1204" s="132"/>
      <c r="I1204" s="132"/>
      <c r="J1204" s="132"/>
      <c r="K1204" s="132"/>
    </row>
    <row r="1205" spans="5:11" s="105" customFormat="1" x14ac:dyDescent="0.2">
      <c r="E1205" s="268"/>
      <c r="F1205" s="132"/>
      <c r="G1205" s="132"/>
      <c r="H1205" s="132"/>
      <c r="I1205" s="132"/>
      <c r="J1205" s="132"/>
      <c r="K1205" s="132"/>
    </row>
    <row r="1206" spans="5:11" s="105" customFormat="1" x14ac:dyDescent="0.2">
      <c r="E1206" s="268"/>
      <c r="F1206" s="132"/>
      <c r="G1206" s="132"/>
      <c r="H1206" s="132"/>
      <c r="I1206" s="132"/>
      <c r="J1206" s="132"/>
      <c r="K1206" s="132"/>
    </row>
    <row r="1207" spans="5:11" s="105" customFormat="1" x14ac:dyDescent="0.2">
      <c r="E1207" s="268"/>
      <c r="F1207" s="132"/>
      <c r="G1207" s="132"/>
      <c r="H1207" s="132"/>
      <c r="I1207" s="132"/>
      <c r="J1207" s="132"/>
      <c r="K1207" s="132"/>
    </row>
    <row r="1208" spans="5:11" s="105" customFormat="1" x14ac:dyDescent="0.2">
      <c r="E1208" s="268"/>
      <c r="F1208" s="132"/>
      <c r="G1208" s="132"/>
      <c r="H1208" s="132"/>
      <c r="I1208" s="132"/>
      <c r="J1208" s="132"/>
      <c r="K1208" s="132"/>
    </row>
    <row r="1209" spans="5:11" s="105" customFormat="1" x14ac:dyDescent="0.2">
      <c r="E1209" s="268"/>
      <c r="F1209" s="132"/>
      <c r="G1209" s="132"/>
      <c r="H1209" s="132"/>
      <c r="I1209" s="132"/>
      <c r="J1209" s="132"/>
      <c r="K1209" s="132"/>
    </row>
    <row r="1210" spans="5:11" s="105" customFormat="1" x14ac:dyDescent="0.2">
      <c r="E1210" s="268"/>
      <c r="F1210" s="132"/>
      <c r="G1210" s="132"/>
      <c r="H1210" s="132"/>
      <c r="I1210" s="132"/>
      <c r="J1210" s="132"/>
      <c r="K1210" s="132"/>
    </row>
    <row r="1211" spans="5:11" s="105" customFormat="1" x14ac:dyDescent="0.2">
      <c r="E1211" s="268"/>
      <c r="F1211" s="132"/>
      <c r="G1211" s="132"/>
      <c r="H1211" s="132"/>
      <c r="I1211" s="132"/>
      <c r="J1211" s="132"/>
      <c r="K1211" s="132"/>
    </row>
    <row r="1212" spans="5:11" s="105" customFormat="1" x14ac:dyDescent="0.2">
      <c r="E1212" s="268"/>
      <c r="F1212" s="132"/>
      <c r="G1212" s="132"/>
      <c r="H1212" s="132"/>
      <c r="I1212" s="132"/>
      <c r="J1212" s="132"/>
      <c r="K1212" s="132"/>
    </row>
    <row r="1213" spans="5:11" s="105" customFormat="1" x14ac:dyDescent="0.2">
      <c r="E1213" s="268"/>
      <c r="F1213" s="132"/>
      <c r="G1213" s="132"/>
      <c r="H1213" s="132"/>
      <c r="I1213" s="132"/>
      <c r="J1213" s="132"/>
      <c r="K1213" s="132"/>
    </row>
    <row r="1214" spans="5:11" s="105" customFormat="1" x14ac:dyDescent="0.2">
      <c r="E1214" s="268"/>
      <c r="F1214" s="132"/>
      <c r="G1214" s="132"/>
      <c r="H1214" s="132"/>
      <c r="I1214" s="132"/>
      <c r="J1214" s="132"/>
      <c r="K1214" s="132"/>
    </row>
    <row r="1215" spans="5:11" s="105" customFormat="1" x14ac:dyDescent="0.2">
      <c r="E1215" s="268"/>
      <c r="F1215" s="132"/>
      <c r="G1215" s="132"/>
      <c r="H1215" s="132"/>
      <c r="I1215" s="132"/>
      <c r="J1215" s="132"/>
      <c r="K1215" s="132"/>
    </row>
    <row r="1216" spans="5:11" s="105" customFormat="1" x14ac:dyDescent="0.2">
      <c r="E1216" s="268"/>
      <c r="F1216" s="132"/>
      <c r="G1216" s="132"/>
      <c r="H1216" s="132"/>
      <c r="I1216" s="132"/>
      <c r="J1216" s="132"/>
      <c r="K1216" s="132"/>
    </row>
    <row r="1217" spans="5:11" s="105" customFormat="1" x14ac:dyDescent="0.2">
      <c r="E1217" s="268"/>
      <c r="F1217" s="132"/>
      <c r="G1217" s="132"/>
      <c r="H1217" s="132"/>
      <c r="I1217" s="132"/>
      <c r="J1217" s="132"/>
      <c r="K1217" s="132"/>
    </row>
    <row r="1218" spans="5:11" s="105" customFormat="1" x14ac:dyDescent="0.2">
      <c r="E1218" s="268"/>
      <c r="F1218" s="132"/>
      <c r="G1218" s="132"/>
      <c r="H1218" s="132"/>
      <c r="I1218" s="132"/>
      <c r="J1218" s="132"/>
      <c r="K1218" s="132"/>
    </row>
    <row r="1219" spans="5:11" s="105" customFormat="1" x14ac:dyDescent="0.2">
      <c r="E1219" s="268"/>
      <c r="F1219" s="132"/>
      <c r="G1219" s="132"/>
      <c r="H1219" s="132"/>
      <c r="I1219" s="132"/>
      <c r="J1219" s="132"/>
      <c r="K1219" s="132"/>
    </row>
    <row r="1220" spans="5:11" s="105" customFormat="1" x14ac:dyDescent="0.2">
      <c r="E1220" s="268"/>
      <c r="F1220" s="132"/>
      <c r="G1220" s="132"/>
      <c r="H1220" s="132"/>
      <c r="I1220" s="132"/>
      <c r="J1220" s="132"/>
      <c r="K1220" s="132"/>
    </row>
    <row r="1221" spans="5:11" s="105" customFormat="1" x14ac:dyDescent="0.2">
      <c r="E1221" s="268"/>
      <c r="F1221" s="132"/>
      <c r="G1221" s="132"/>
      <c r="H1221" s="132"/>
      <c r="I1221" s="132"/>
      <c r="J1221" s="132"/>
      <c r="K1221" s="132"/>
    </row>
    <row r="1222" spans="5:11" s="105" customFormat="1" x14ac:dyDescent="0.2">
      <c r="E1222" s="268"/>
      <c r="F1222" s="132"/>
      <c r="G1222" s="132"/>
      <c r="H1222" s="132"/>
      <c r="I1222" s="132"/>
      <c r="J1222" s="132"/>
      <c r="K1222" s="132"/>
    </row>
    <row r="1223" spans="5:11" s="105" customFormat="1" x14ac:dyDescent="0.2">
      <c r="E1223" s="268"/>
      <c r="F1223" s="132"/>
      <c r="G1223" s="132"/>
      <c r="H1223" s="132"/>
      <c r="I1223" s="132"/>
      <c r="J1223" s="132"/>
      <c r="K1223" s="132"/>
    </row>
    <row r="1224" spans="5:11" s="105" customFormat="1" x14ac:dyDescent="0.2">
      <c r="E1224" s="268"/>
      <c r="F1224" s="132"/>
      <c r="G1224" s="132"/>
      <c r="H1224" s="132"/>
      <c r="I1224" s="132"/>
      <c r="J1224" s="132"/>
      <c r="K1224" s="132"/>
    </row>
    <row r="1225" spans="5:11" s="105" customFormat="1" x14ac:dyDescent="0.2">
      <c r="E1225" s="268"/>
      <c r="F1225" s="132"/>
      <c r="G1225" s="132"/>
      <c r="H1225" s="132"/>
      <c r="I1225" s="132"/>
      <c r="J1225" s="132"/>
      <c r="K1225" s="132"/>
    </row>
    <row r="1226" spans="5:11" s="105" customFormat="1" x14ac:dyDescent="0.2">
      <c r="E1226" s="268"/>
      <c r="F1226" s="132"/>
      <c r="G1226" s="132"/>
      <c r="H1226" s="132"/>
      <c r="I1226" s="132"/>
      <c r="J1226" s="132"/>
      <c r="K1226" s="132"/>
    </row>
    <row r="1227" spans="5:11" s="105" customFormat="1" x14ac:dyDescent="0.2">
      <c r="E1227" s="268"/>
      <c r="F1227" s="132"/>
      <c r="G1227" s="132"/>
      <c r="H1227" s="132"/>
      <c r="I1227" s="132"/>
      <c r="J1227" s="132"/>
      <c r="K1227" s="132"/>
    </row>
    <row r="1228" spans="5:11" s="105" customFormat="1" x14ac:dyDescent="0.2">
      <c r="E1228" s="268"/>
      <c r="F1228" s="132"/>
      <c r="G1228" s="132"/>
      <c r="H1228" s="132"/>
      <c r="I1228" s="132"/>
      <c r="J1228" s="132"/>
      <c r="K1228" s="132"/>
    </row>
    <row r="1229" spans="5:11" s="105" customFormat="1" x14ac:dyDescent="0.2">
      <c r="E1229" s="268"/>
      <c r="F1229" s="132"/>
      <c r="G1229" s="132"/>
      <c r="H1229" s="132"/>
      <c r="I1229" s="132"/>
      <c r="J1229" s="132"/>
      <c r="K1229" s="132"/>
    </row>
    <row r="1230" spans="5:11" s="105" customFormat="1" x14ac:dyDescent="0.2">
      <c r="E1230" s="268"/>
      <c r="F1230" s="132"/>
      <c r="G1230" s="132"/>
      <c r="H1230" s="132"/>
      <c r="I1230" s="132"/>
      <c r="J1230" s="132"/>
      <c r="K1230" s="132"/>
    </row>
    <row r="1231" spans="5:11" s="105" customFormat="1" x14ac:dyDescent="0.2">
      <c r="E1231" s="268"/>
      <c r="F1231" s="132"/>
      <c r="G1231" s="132"/>
      <c r="H1231" s="132"/>
      <c r="I1231" s="132"/>
      <c r="J1231" s="132"/>
      <c r="K1231" s="132"/>
    </row>
    <row r="1232" spans="5:11" s="105" customFormat="1" x14ac:dyDescent="0.2">
      <c r="E1232" s="268"/>
      <c r="F1232" s="132"/>
      <c r="G1232" s="132"/>
      <c r="H1232" s="132"/>
      <c r="I1232" s="132"/>
      <c r="J1232" s="132"/>
      <c r="K1232" s="132"/>
    </row>
    <row r="1233" spans="5:11" s="105" customFormat="1" x14ac:dyDescent="0.2">
      <c r="E1233" s="268"/>
      <c r="F1233" s="132"/>
      <c r="G1233" s="132"/>
      <c r="H1233" s="132"/>
      <c r="I1233" s="132"/>
      <c r="J1233" s="132"/>
      <c r="K1233" s="132"/>
    </row>
    <row r="1234" spans="5:11" s="105" customFormat="1" x14ac:dyDescent="0.2">
      <c r="E1234" s="268"/>
      <c r="F1234" s="132"/>
      <c r="G1234" s="132"/>
      <c r="H1234" s="132"/>
      <c r="I1234" s="132"/>
      <c r="J1234" s="132"/>
      <c r="K1234" s="132"/>
    </row>
    <row r="1235" spans="5:11" s="105" customFormat="1" x14ac:dyDescent="0.2">
      <c r="E1235" s="268"/>
      <c r="F1235" s="132"/>
      <c r="G1235" s="132"/>
      <c r="H1235" s="132"/>
      <c r="I1235" s="132"/>
      <c r="J1235" s="132"/>
      <c r="K1235" s="132"/>
    </row>
    <row r="1236" spans="5:11" s="105" customFormat="1" x14ac:dyDescent="0.2">
      <c r="E1236" s="268"/>
      <c r="F1236" s="132"/>
      <c r="G1236" s="132"/>
      <c r="H1236" s="132"/>
      <c r="I1236" s="132"/>
      <c r="J1236" s="132"/>
      <c r="K1236" s="132"/>
    </row>
    <row r="1237" spans="5:11" s="105" customFormat="1" x14ac:dyDescent="0.2">
      <c r="E1237" s="268"/>
      <c r="F1237" s="132"/>
      <c r="G1237" s="132"/>
      <c r="H1237" s="132"/>
      <c r="I1237" s="132"/>
      <c r="J1237" s="132"/>
      <c r="K1237" s="132"/>
    </row>
    <row r="1238" spans="5:11" s="105" customFormat="1" x14ac:dyDescent="0.2">
      <c r="E1238" s="268"/>
      <c r="F1238" s="132"/>
      <c r="G1238" s="132"/>
      <c r="H1238" s="132"/>
      <c r="I1238" s="132"/>
      <c r="J1238" s="132"/>
      <c r="K1238" s="132"/>
    </row>
    <row r="1239" spans="5:11" s="105" customFormat="1" x14ac:dyDescent="0.2">
      <c r="E1239" s="268"/>
      <c r="F1239" s="132"/>
      <c r="G1239" s="132"/>
      <c r="H1239" s="132"/>
      <c r="I1239" s="132"/>
      <c r="J1239" s="132"/>
      <c r="K1239" s="132"/>
    </row>
    <row r="1240" spans="5:11" s="105" customFormat="1" x14ac:dyDescent="0.2">
      <c r="E1240" s="268"/>
      <c r="F1240" s="132"/>
      <c r="G1240" s="132"/>
      <c r="H1240" s="132"/>
      <c r="I1240" s="132"/>
      <c r="J1240" s="132"/>
      <c r="K1240" s="132"/>
    </row>
    <row r="1241" spans="5:11" s="105" customFormat="1" x14ac:dyDescent="0.2">
      <c r="E1241" s="268"/>
      <c r="F1241" s="132"/>
      <c r="G1241" s="132"/>
      <c r="H1241" s="132"/>
      <c r="I1241" s="132"/>
      <c r="J1241" s="132"/>
      <c r="K1241" s="132"/>
    </row>
    <row r="1242" spans="5:11" s="105" customFormat="1" x14ac:dyDescent="0.2">
      <c r="E1242" s="268"/>
      <c r="F1242" s="132"/>
      <c r="G1242" s="132"/>
      <c r="H1242" s="132"/>
      <c r="I1242" s="132"/>
      <c r="J1242" s="132"/>
      <c r="K1242" s="132"/>
    </row>
    <row r="1243" spans="5:11" s="105" customFormat="1" x14ac:dyDescent="0.2">
      <c r="E1243" s="268"/>
      <c r="F1243" s="132"/>
      <c r="G1243" s="132"/>
      <c r="H1243" s="132"/>
      <c r="I1243" s="132"/>
      <c r="J1243" s="132"/>
      <c r="K1243" s="132"/>
    </row>
    <row r="1244" spans="5:11" s="105" customFormat="1" x14ac:dyDescent="0.2">
      <c r="E1244" s="268"/>
      <c r="F1244" s="132"/>
      <c r="G1244" s="132"/>
      <c r="H1244" s="132"/>
      <c r="I1244" s="132"/>
      <c r="J1244" s="132"/>
      <c r="K1244" s="132"/>
    </row>
    <row r="1245" spans="5:11" s="105" customFormat="1" x14ac:dyDescent="0.2">
      <c r="E1245" s="268"/>
      <c r="F1245" s="132"/>
      <c r="G1245" s="132"/>
      <c r="H1245" s="132"/>
      <c r="I1245" s="132"/>
      <c r="J1245" s="132"/>
      <c r="K1245" s="132"/>
    </row>
    <row r="1246" spans="5:11" s="105" customFormat="1" x14ac:dyDescent="0.2">
      <c r="E1246" s="268"/>
      <c r="F1246" s="132"/>
      <c r="G1246" s="132"/>
      <c r="H1246" s="132"/>
      <c r="I1246" s="132"/>
      <c r="J1246" s="132"/>
      <c r="K1246" s="132"/>
    </row>
    <row r="1247" spans="5:11" s="105" customFormat="1" x14ac:dyDescent="0.2">
      <c r="E1247" s="268"/>
      <c r="F1247" s="132"/>
      <c r="G1247" s="132"/>
      <c r="H1247" s="132"/>
      <c r="I1247" s="132"/>
      <c r="J1247" s="132"/>
      <c r="K1247" s="132"/>
    </row>
    <row r="1248" spans="5:11" s="105" customFormat="1" x14ac:dyDescent="0.2">
      <c r="E1248" s="268"/>
      <c r="F1248" s="132"/>
      <c r="G1248" s="132"/>
      <c r="H1248" s="132"/>
      <c r="I1248" s="132"/>
      <c r="J1248" s="132"/>
      <c r="K1248" s="132"/>
    </row>
    <row r="1249" spans="5:11" s="105" customFormat="1" x14ac:dyDescent="0.2">
      <c r="E1249" s="268"/>
      <c r="F1249" s="132"/>
      <c r="G1249" s="132"/>
      <c r="H1249" s="132"/>
      <c r="I1249" s="132"/>
      <c r="J1249" s="132"/>
      <c r="K1249" s="132"/>
    </row>
    <row r="1250" spans="5:11" s="105" customFormat="1" x14ac:dyDescent="0.2">
      <c r="E1250" s="268"/>
      <c r="F1250" s="132"/>
      <c r="G1250" s="132"/>
      <c r="H1250" s="132"/>
      <c r="I1250" s="132"/>
      <c r="J1250" s="132"/>
      <c r="K1250" s="132"/>
    </row>
    <row r="1251" spans="5:11" s="105" customFormat="1" x14ac:dyDescent="0.2">
      <c r="E1251" s="268"/>
      <c r="F1251" s="132"/>
      <c r="G1251" s="132"/>
      <c r="H1251" s="132"/>
      <c r="I1251" s="132"/>
      <c r="J1251" s="132"/>
      <c r="K1251" s="132"/>
    </row>
    <row r="1252" spans="5:11" s="105" customFormat="1" x14ac:dyDescent="0.2">
      <c r="E1252" s="268"/>
      <c r="F1252" s="132"/>
      <c r="G1252" s="132"/>
      <c r="H1252" s="132"/>
      <c r="I1252" s="132"/>
      <c r="J1252" s="132"/>
      <c r="K1252" s="132"/>
    </row>
    <row r="1253" spans="5:11" s="105" customFormat="1" x14ac:dyDescent="0.2">
      <c r="E1253" s="268"/>
      <c r="F1253" s="132"/>
      <c r="G1253" s="132"/>
      <c r="H1253" s="132"/>
      <c r="I1253" s="132"/>
      <c r="J1253" s="132"/>
      <c r="K1253" s="132"/>
    </row>
    <row r="1254" spans="5:11" s="105" customFormat="1" x14ac:dyDescent="0.2">
      <c r="E1254" s="268"/>
      <c r="F1254" s="132"/>
      <c r="G1254" s="132"/>
      <c r="H1254" s="132"/>
      <c r="I1254" s="132"/>
      <c r="J1254" s="132"/>
      <c r="K1254" s="132"/>
    </row>
    <row r="1255" spans="5:11" s="105" customFormat="1" x14ac:dyDescent="0.2">
      <c r="E1255" s="268"/>
      <c r="F1255" s="132"/>
      <c r="G1255" s="132"/>
      <c r="H1255" s="132"/>
      <c r="I1255" s="132"/>
      <c r="J1255" s="132"/>
      <c r="K1255" s="132"/>
    </row>
    <row r="1256" spans="5:11" s="105" customFormat="1" x14ac:dyDescent="0.2">
      <c r="E1256" s="268"/>
      <c r="F1256" s="132"/>
      <c r="G1256" s="132"/>
      <c r="H1256" s="132"/>
      <c r="I1256" s="132"/>
      <c r="J1256" s="132"/>
      <c r="K1256" s="132"/>
    </row>
    <row r="1257" spans="5:11" s="105" customFormat="1" x14ac:dyDescent="0.2">
      <c r="E1257" s="268"/>
      <c r="F1257" s="132"/>
      <c r="G1257" s="132"/>
      <c r="H1257" s="132"/>
      <c r="I1257" s="132"/>
      <c r="J1257" s="132"/>
      <c r="K1257" s="132"/>
    </row>
    <row r="1258" spans="5:11" s="105" customFormat="1" x14ac:dyDescent="0.2">
      <c r="E1258" s="268"/>
      <c r="F1258" s="132"/>
      <c r="G1258" s="132"/>
      <c r="H1258" s="132"/>
      <c r="I1258" s="132"/>
      <c r="J1258" s="132"/>
      <c r="K1258" s="132"/>
    </row>
    <row r="1259" spans="5:11" s="105" customFormat="1" x14ac:dyDescent="0.2">
      <c r="E1259" s="268"/>
      <c r="F1259" s="132"/>
      <c r="G1259" s="132"/>
      <c r="H1259" s="132"/>
      <c r="I1259" s="132"/>
      <c r="J1259" s="132"/>
      <c r="K1259" s="132"/>
    </row>
    <row r="1260" spans="5:11" s="105" customFormat="1" x14ac:dyDescent="0.2">
      <c r="E1260" s="268"/>
      <c r="F1260" s="132"/>
      <c r="G1260" s="132"/>
      <c r="H1260" s="132"/>
      <c r="I1260" s="132"/>
      <c r="J1260" s="132"/>
      <c r="K1260" s="132"/>
    </row>
    <row r="1261" spans="5:11" s="105" customFormat="1" x14ac:dyDescent="0.2">
      <c r="E1261" s="268"/>
      <c r="F1261" s="132"/>
      <c r="G1261" s="132"/>
      <c r="H1261" s="132"/>
      <c r="I1261" s="132"/>
      <c r="J1261" s="132"/>
      <c r="K1261" s="132"/>
    </row>
    <row r="1262" spans="5:11" s="105" customFormat="1" x14ac:dyDescent="0.2">
      <c r="E1262" s="268"/>
      <c r="F1262" s="132"/>
      <c r="G1262" s="132"/>
      <c r="H1262" s="132"/>
      <c r="I1262" s="132"/>
      <c r="J1262" s="132"/>
      <c r="K1262" s="132"/>
    </row>
    <row r="1263" spans="5:11" s="105" customFormat="1" x14ac:dyDescent="0.2">
      <c r="E1263" s="268"/>
      <c r="F1263" s="132"/>
      <c r="G1263" s="132"/>
      <c r="H1263" s="132"/>
      <c r="I1263" s="132"/>
      <c r="J1263" s="132"/>
      <c r="K1263" s="132"/>
    </row>
    <row r="1264" spans="5:11" s="105" customFormat="1" x14ac:dyDescent="0.2">
      <c r="E1264" s="268"/>
      <c r="F1264" s="132"/>
      <c r="G1264" s="132"/>
      <c r="H1264" s="132"/>
      <c r="I1264" s="132"/>
      <c r="J1264" s="132"/>
      <c r="K1264" s="132"/>
    </row>
    <row r="1265" spans="5:11" s="105" customFormat="1" x14ac:dyDescent="0.2">
      <c r="E1265" s="268"/>
      <c r="F1265" s="132"/>
      <c r="G1265" s="132"/>
      <c r="H1265" s="132"/>
      <c r="I1265" s="132"/>
      <c r="J1265" s="132"/>
      <c r="K1265" s="132"/>
    </row>
    <row r="1266" spans="5:11" s="105" customFormat="1" x14ac:dyDescent="0.2">
      <c r="E1266" s="268"/>
      <c r="F1266" s="132"/>
      <c r="G1266" s="132"/>
      <c r="H1266" s="132"/>
      <c r="I1266" s="132"/>
      <c r="J1266" s="132"/>
      <c r="K1266" s="132"/>
    </row>
    <row r="1267" spans="5:11" s="105" customFormat="1" x14ac:dyDescent="0.2">
      <c r="E1267" s="268"/>
      <c r="F1267" s="132"/>
      <c r="G1267" s="132"/>
      <c r="H1267" s="132"/>
      <c r="I1267" s="132"/>
      <c r="J1267" s="132"/>
      <c r="K1267" s="132"/>
    </row>
    <row r="1268" spans="5:11" s="105" customFormat="1" x14ac:dyDescent="0.2">
      <c r="E1268" s="268"/>
      <c r="F1268" s="132"/>
      <c r="G1268" s="132"/>
      <c r="H1268" s="132"/>
      <c r="I1268" s="132"/>
      <c r="J1268" s="132"/>
      <c r="K1268" s="132"/>
    </row>
    <row r="1269" spans="5:11" s="105" customFormat="1" x14ac:dyDescent="0.2">
      <c r="E1269" s="268"/>
      <c r="F1269" s="132"/>
      <c r="G1269" s="132"/>
      <c r="H1269" s="132"/>
      <c r="I1269" s="132"/>
      <c r="J1269" s="132"/>
      <c r="K1269" s="132"/>
    </row>
    <row r="1270" spans="5:11" s="105" customFormat="1" x14ac:dyDescent="0.2">
      <c r="E1270" s="268"/>
      <c r="F1270" s="132"/>
      <c r="G1270" s="132"/>
      <c r="H1270" s="132"/>
      <c r="I1270" s="132"/>
      <c r="J1270" s="132"/>
      <c r="K1270" s="132"/>
    </row>
    <row r="1271" spans="5:11" s="105" customFormat="1" x14ac:dyDescent="0.2">
      <c r="E1271" s="268"/>
      <c r="F1271" s="132"/>
      <c r="G1271" s="132"/>
      <c r="H1271" s="132"/>
      <c r="I1271" s="132"/>
      <c r="J1271" s="132"/>
      <c r="K1271" s="132"/>
    </row>
    <row r="1272" spans="5:11" s="105" customFormat="1" x14ac:dyDescent="0.2">
      <c r="E1272" s="268"/>
      <c r="F1272" s="132"/>
      <c r="G1272" s="132"/>
      <c r="H1272" s="132"/>
      <c r="I1272" s="132"/>
      <c r="J1272" s="132"/>
      <c r="K1272" s="132"/>
    </row>
    <row r="1273" spans="5:11" s="105" customFormat="1" x14ac:dyDescent="0.2">
      <c r="E1273" s="268"/>
      <c r="F1273" s="132"/>
      <c r="G1273" s="132"/>
      <c r="H1273" s="132"/>
      <c r="I1273" s="132"/>
      <c r="J1273" s="132"/>
      <c r="K1273" s="132"/>
    </row>
    <row r="1274" spans="5:11" s="105" customFormat="1" x14ac:dyDescent="0.2">
      <c r="E1274" s="268"/>
      <c r="F1274" s="132"/>
      <c r="G1274" s="132"/>
      <c r="H1274" s="132"/>
      <c r="I1274" s="132"/>
      <c r="J1274" s="132"/>
      <c r="K1274" s="132"/>
    </row>
    <row r="1275" spans="5:11" s="105" customFormat="1" x14ac:dyDescent="0.2">
      <c r="E1275" s="268"/>
      <c r="F1275" s="132"/>
      <c r="G1275" s="132"/>
      <c r="H1275" s="132"/>
      <c r="I1275" s="132"/>
      <c r="J1275" s="132"/>
      <c r="K1275" s="132"/>
    </row>
    <row r="1276" spans="5:11" s="105" customFormat="1" x14ac:dyDescent="0.2">
      <c r="E1276" s="268"/>
      <c r="F1276" s="132"/>
      <c r="G1276" s="132"/>
      <c r="H1276" s="132"/>
      <c r="I1276" s="132"/>
      <c r="J1276" s="132"/>
      <c r="K1276" s="132"/>
    </row>
    <row r="1277" spans="5:11" s="105" customFormat="1" x14ac:dyDescent="0.2">
      <c r="E1277" s="268"/>
      <c r="F1277" s="132"/>
      <c r="G1277" s="132"/>
      <c r="H1277" s="132"/>
      <c r="I1277" s="132"/>
      <c r="J1277" s="132"/>
      <c r="K1277" s="132"/>
    </row>
    <row r="1278" spans="5:11" s="105" customFormat="1" x14ac:dyDescent="0.2">
      <c r="E1278" s="268"/>
      <c r="F1278" s="132"/>
      <c r="G1278" s="132"/>
      <c r="H1278" s="132"/>
      <c r="I1278" s="132"/>
      <c r="J1278" s="132"/>
      <c r="K1278" s="132"/>
    </row>
    <row r="1279" spans="5:11" s="105" customFormat="1" x14ac:dyDescent="0.2">
      <c r="E1279" s="268"/>
      <c r="F1279" s="132"/>
      <c r="G1279" s="132"/>
      <c r="H1279" s="132"/>
      <c r="I1279" s="132"/>
      <c r="J1279" s="132"/>
      <c r="K1279" s="132"/>
    </row>
    <row r="1280" spans="5:11" s="105" customFormat="1" x14ac:dyDescent="0.2">
      <c r="E1280" s="268"/>
      <c r="F1280" s="132"/>
      <c r="G1280" s="132"/>
      <c r="H1280" s="132"/>
      <c r="I1280" s="132"/>
      <c r="J1280" s="132"/>
      <c r="K1280" s="132"/>
    </row>
    <row r="1281" spans="5:11" s="105" customFormat="1" x14ac:dyDescent="0.2">
      <c r="E1281" s="268"/>
      <c r="F1281" s="132"/>
      <c r="G1281" s="132"/>
      <c r="H1281" s="132"/>
      <c r="I1281" s="132"/>
      <c r="J1281" s="132"/>
      <c r="K1281" s="132"/>
    </row>
    <row r="1282" spans="5:11" s="105" customFormat="1" x14ac:dyDescent="0.2">
      <c r="E1282" s="268"/>
      <c r="F1282" s="132"/>
      <c r="G1282" s="132"/>
      <c r="H1282" s="132"/>
      <c r="I1282" s="132"/>
      <c r="J1282" s="132"/>
      <c r="K1282" s="132"/>
    </row>
    <row r="1283" spans="5:11" s="105" customFormat="1" x14ac:dyDescent="0.2">
      <c r="E1283" s="268"/>
      <c r="F1283" s="132"/>
      <c r="G1283" s="132"/>
      <c r="H1283" s="132"/>
      <c r="I1283" s="132"/>
      <c r="J1283" s="132"/>
      <c r="K1283" s="132"/>
    </row>
    <row r="1284" spans="5:11" s="105" customFormat="1" x14ac:dyDescent="0.2">
      <c r="E1284" s="268"/>
      <c r="F1284" s="132"/>
      <c r="G1284" s="132"/>
      <c r="H1284" s="132"/>
      <c r="I1284" s="132"/>
      <c r="J1284" s="132"/>
      <c r="K1284" s="132"/>
    </row>
    <row r="1285" spans="5:11" s="105" customFormat="1" x14ac:dyDescent="0.2">
      <c r="E1285" s="268"/>
      <c r="F1285" s="132"/>
      <c r="G1285" s="132"/>
      <c r="H1285" s="132"/>
      <c r="I1285" s="132"/>
      <c r="J1285" s="132"/>
      <c r="K1285" s="132"/>
    </row>
    <row r="1286" spans="5:11" s="105" customFormat="1" x14ac:dyDescent="0.2">
      <c r="E1286" s="268"/>
      <c r="F1286" s="132"/>
      <c r="G1286" s="132"/>
      <c r="H1286" s="132"/>
      <c r="I1286" s="132"/>
      <c r="J1286" s="132"/>
      <c r="K1286" s="132"/>
    </row>
    <row r="1287" spans="5:11" s="105" customFormat="1" x14ac:dyDescent="0.2">
      <c r="E1287" s="268"/>
      <c r="F1287" s="132"/>
      <c r="G1287" s="132"/>
      <c r="H1287" s="132"/>
      <c r="I1287" s="132"/>
      <c r="J1287" s="132"/>
      <c r="K1287" s="132"/>
    </row>
    <row r="1288" spans="5:11" s="105" customFormat="1" x14ac:dyDescent="0.2">
      <c r="E1288" s="268"/>
      <c r="F1288" s="132"/>
      <c r="G1288" s="132"/>
      <c r="H1288" s="132"/>
      <c r="I1288" s="132"/>
      <c r="J1288" s="132"/>
      <c r="K1288" s="132"/>
    </row>
    <row r="1289" spans="5:11" s="105" customFormat="1" x14ac:dyDescent="0.2">
      <c r="E1289" s="268"/>
      <c r="F1289" s="132"/>
      <c r="G1289" s="132"/>
      <c r="H1289" s="132"/>
      <c r="I1289" s="132"/>
      <c r="J1289" s="132"/>
      <c r="K1289" s="132"/>
    </row>
    <row r="1290" spans="5:11" s="105" customFormat="1" x14ac:dyDescent="0.2">
      <c r="E1290" s="268"/>
      <c r="F1290" s="132"/>
      <c r="G1290" s="132"/>
      <c r="H1290" s="132"/>
      <c r="I1290" s="132"/>
      <c r="J1290" s="132"/>
      <c r="K1290" s="132"/>
    </row>
    <row r="1291" spans="5:11" s="105" customFormat="1" x14ac:dyDescent="0.2">
      <c r="E1291" s="268"/>
      <c r="F1291" s="132"/>
      <c r="G1291" s="132"/>
      <c r="H1291" s="132"/>
      <c r="I1291" s="132"/>
      <c r="J1291" s="132"/>
      <c r="K1291" s="132"/>
    </row>
    <row r="1292" spans="5:11" s="105" customFormat="1" x14ac:dyDescent="0.2">
      <c r="E1292" s="268"/>
      <c r="F1292" s="132"/>
      <c r="G1292" s="132"/>
      <c r="H1292" s="132"/>
      <c r="I1292" s="132"/>
      <c r="J1292" s="132"/>
      <c r="K1292" s="132"/>
    </row>
    <row r="1293" spans="5:11" s="105" customFormat="1" x14ac:dyDescent="0.2">
      <c r="E1293" s="268"/>
      <c r="F1293" s="132"/>
      <c r="G1293" s="132"/>
      <c r="H1293" s="132"/>
      <c r="I1293" s="132"/>
      <c r="J1293" s="132"/>
      <c r="K1293" s="132"/>
    </row>
    <row r="1294" spans="5:11" s="105" customFormat="1" x14ac:dyDescent="0.2">
      <c r="E1294" s="268"/>
      <c r="F1294" s="132"/>
      <c r="G1294" s="132"/>
      <c r="H1294" s="132"/>
      <c r="I1294" s="132"/>
      <c r="J1294" s="132"/>
      <c r="K1294" s="132"/>
    </row>
    <row r="1295" spans="5:11" s="105" customFormat="1" x14ac:dyDescent="0.2">
      <c r="E1295" s="268"/>
      <c r="F1295" s="132"/>
      <c r="G1295" s="132"/>
      <c r="H1295" s="132"/>
      <c r="I1295" s="132"/>
      <c r="J1295" s="132"/>
      <c r="K1295" s="132"/>
    </row>
    <row r="1296" spans="5:11" s="105" customFormat="1" x14ac:dyDescent="0.2">
      <c r="E1296" s="268"/>
      <c r="F1296" s="132"/>
      <c r="G1296" s="132"/>
      <c r="H1296" s="132"/>
      <c r="I1296" s="132"/>
      <c r="J1296" s="132"/>
      <c r="K1296" s="132"/>
    </row>
    <row r="1297" spans="5:11" s="105" customFormat="1" x14ac:dyDescent="0.2">
      <c r="E1297" s="268"/>
      <c r="F1297" s="132"/>
      <c r="G1297" s="132"/>
      <c r="H1297" s="132"/>
      <c r="I1297" s="132"/>
      <c r="J1297" s="132"/>
      <c r="K1297" s="132"/>
    </row>
    <row r="1298" spans="5:11" s="105" customFormat="1" x14ac:dyDescent="0.2">
      <c r="E1298" s="268"/>
      <c r="F1298" s="132"/>
      <c r="G1298" s="132"/>
      <c r="H1298" s="132"/>
      <c r="I1298" s="132"/>
      <c r="J1298" s="132"/>
      <c r="K1298" s="132"/>
    </row>
    <row r="1299" spans="5:11" s="105" customFormat="1" x14ac:dyDescent="0.2">
      <c r="E1299" s="268"/>
      <c r="F1299" s="132"/>
      <c r="G1299" s="132"/>
      <c r="H1299" s="132"/>
      <c r="I1299" s="132"/>
      <c r="J1299" s="132"/>
      <c r="K1299" s="132"/>
    </row>
    <row r="1300" spans="5:11" s="105" customFormat="1" x14ac:dyDescent="0.2">
      <c r="E1300" s="268"/>
      <c r="F1300" s="132"/>
      <c r="G1300" s="132"/>
      <c r="H1300" s="132"/>
      <c r="I1300" s="132"/>
      <c r="J1300" s="132"/>
      <c r="K1300" s="132"/>
    </row>
    <row r="1301" spans="5:11" s="105" customFormat="1" x14ac:dyDescent="0.2">
      <c r="E1301" s="268"/>
      <c r="F1301" s="132"/>
      <c r="G1301" s="132"/>
      <c r="H1301" s="132"/>
      <c r="I1301" s="132"/>
      <c r="J1301" s="132"/>
      <c r="K1301" s="132"/>
    </row>
    <row r="1302" spans="5:11" s="105" customFormat="1" x14ac:dyDescent="0.2">
      <c r="E1302" s="268"/>
      <c r="F1302" s="132"/>
      <c r="G1302" s="132"/>
      <c r="H1302" s="132"/>
      <c r="I1302" s="132"/>
      <c r="J1302" s="132"/>
      <c r="K1302" s="132"/>
    </row>
    <row r="1303" spans="5:11" s="105" customFormat="1" x14ac:dyDescent="0.2">
      <c r="E1303" s="268"/>
      <c r="F1303" s="132"/>
      <c r="G1303" s="132"/>
      <c r="H1303" s="132"/>
      <c r="I1303" s="132"/>
      <c r="J1303" s="132"/>
      <c r="K1303" s="132"/>
    </row>
    <row r="1304" spans="5:11" s="105" customFormat="1" x14ac:dyDescent="0.2">
      <c r="E1304" s="268"/>
      <c r="F1304" s="132"/>
      <c r="G1304" s="132"/>
      <c r="H1304" s="132"/>
      <c r="I1304" s="132"/>
      <c r="J1304" s="132"/>
      <c r="K1304" s="132"/>
    </row>
    <row r="1305" spans="5:11" s="105" customFormat="1" x14ac:dyDescent="0.2">
      <c r="E1305" s="268"/>
      <c r="F1305" s="132"/>
      <c r="G1305" s="132"/>
      <c r="H1305" s="132"/>
      <c r="I1305" s="132"/>
      <c r="J1305" s="132"/>
      <c r="K1305" s="132"/>
    </row>
    <row r="1306" spans="5:11" s="105" customFormat="1" x14ac:dyDescent="0.2">
      <c r="E1306" s="268"/>
      <c r="F1306" s="132"/>
      <c r="G1306" s="132"/>
      <c r="H1306" s="132"/>
      <c r="I1306" s="132"/>
      <c r="J1306" s="132"/>
      <c r="K1306" s="132"/>
    </row>
    <row r="1307" spans="5:11" s="105" customFormat="1" x14ac:dyDescent="0.2">
      <c r="E1307" s="268"/>
      <c r="F1307" s="132"/>
      <c r="G1307" s="132"/>
      <c r="H1307" s="132"/>
      <c r="I1307" s="132"/>
      <c r="J1307" s="132"/>
      <c r="K1307" s="132"/>
    </row>
    <row r="1308" spans="5:11" s="105" customFormat="1" x14ac:dyDescent="0.2">
      <c r="E1308" s="268"/>
      <c r="F1308" s="132"/>
      <c r="G1308" s="132"/>
      <c r="H1308" s="132"/>
      <c r="I1308" s="132"/>
      <c r="J1308" s="132"/>
      <c r="K1308" s="132"/>
    </row>
    <row r="1309" spans="5:11" s="105" customFormat="1" x14ac:dyDescent="0.2">
      <c r="E1309" s="268"/>
      <c r="F1309" s="132"/>
      <c r="G1309" s="132"/>
      <c r="H1309" s="132"/>
      <c r="I1309" s="132"/>
      <c r="J1309" s="132"/>
      <c r="K1309" s="132"/>
    </row>
    <row r="1310" spans="5:11" s="105" customFormat="1" x14ac:dyDescent="0.2">
      <c r="E1310" s="268"/>
      <c r="F1310" s="132"/>
      <c r="G1310" s="132"/>
      <c r="H1310" s="132"/>
      <c r="I1310" s="132"/>
      <c r="J1310" s="132"/>
      <c r="K1310" s="132"/>
    </row>
    <row r="1311" spans="5:11" s="105" customFormat="1" x14ac:dyDescent="0.2">
      <c r="E1311" s="268"/>
      <c r="F1311" s="132"/>
      <c r="G1311" s="132"/>
      <c r="H1311" s="132"/>
      <c r="I1311" s="132"/>
      <c r="J1311" s="132"/>
      <c r="K1311" s="132"/>
    </row>
    <row r="1312" spans="5:11" s="105" customFormat="1" x14ac:dyDescent="0.2">
      <c r="E1312" s="268"/>
      <c r="F1312" s="132"/>
      <c r="G1312" s="132"/>
      <c r="H1312" s="132"/>
      <c r="I1312" s="132"/>
      <c r="J1312" s="132"/>
      <c r="K1312" s="132"/>
    </row>
    <row r="1313" spans="5:11" s="105" customFormat="1" x14ac:dyDescent="0.2">
      <c r="E1313" s="268"/>
      <c r="F1313" s="132"/>
      <c r="G1313" s="132"/>
      <c r="H1313" s="132"/>
      <c r="I1313" s="132"/>
      <c r="J1313" s="132"/>
      <c r="K1313" s="132"/>
    </row>
    <row r="1314" spans="5:11" s="105" customFormat="1" x14ac:dyDescent="0.2">
      <c r="E1314" s="268"/>
      <c r="F1314" s="132"/>
      <c r="G1314" s="132"/>
      <c r="H1314" s="132"/>
      <c r="I1314" s="132"/>
      <c r="J1314" s="132"/>
      <c r="K1314" s="132"/>
    </row>
    <row r="1315" spans="5:11" s="105" customFormat="1" x14ac:dyDescent="0.2">
      <c r="E1315" s="268"/>
      <c r="F1315" s="132"/>
      <c r="G1315" s="132"/>
      <c r="H1315" s="132"/>
      <c r="I1315" s="132"/>
      <c r="J1315" s="132"/>
      <c r="K1315" s="132"/>
    </row>
    <row r="1316" spans="5:11" s="105" customFormat="1" x14ac:dyDescent="0.2">
      <c r="E1316" s="268"/>
      <c r="F1316" s="132"/>
      <c r="G1316" s="132"/>
      <c r="H1316" s="132"/>
      <c r="I1316" s="132"/>
      <c r="J1316" s="132"/>
      <c r="K1316" s="132"/>
    </row>
    <row r="1317" spans="5:11" s="105" customFormat="1" x14ac:dyDescent="0.2">
      <c r="E1317" s="268"/>
      <c r="F1317" s="132"/>
      <c r="G1317" s="132"/>
      <c r="H1317" s="132"/>
      <c r="I1317" s="132"/>
      <c r="J1317" s="132"/>
      <c r="K1317" s="132"/>
    </row>
    <row r="1318" spans="5:11" s="105" customFormat="1" x14ac:dyDescent="0.2">
      <c r="E1318" s="268"/>
      <c r="F1318" s="132"/>
      <c r="G1318" s="132"/>
      <c r="H1318" s="132"/>
      <c r="I1318" s="132"/>
      <c r="J1318" s="132"/>
      <c r="K1318" s="132"/>
    </row>
    <row r="1319" spans="5:11" s="105" customFormat="1" x14ac:dyDescent="0.2">
      <c r="E1319" s="268"/>
      <c r="F1319" s="132"/>
      <c r="G1319" s="132"/>
      <c r="H1319" s="132"/>
      <c r="I1319" s="132"/>
      <c r="J1319" s="132"/>
      <c r="K1319" s="132"/>
    </row>
    <row r="1320" spans="5:11" s="105" customFormat="1" x14ac:dyDescent="0.2">
      <c r="E1320" s="268"/>
      <c r="F1320" s="132"/>
      <c r="G1320" s="132"/>
      <c r="H1320" s="132"/>
      <c r="I1320" s="132"/>
      <c r="J1320" s="132"/>
      <c r="K1320" s="132"/>
    </row>
    <row r="1321" spans="5:11" s="105" customFormat="1" x14ac:dyDescent="0.2">
      <c r="E1321" s="268"/>
      <c r="F1321" s="132"/>
      <c r="G1321" s="132"/>
      <c r="H1321" s="132"/>
      <c r="I1321" s="132"/>
      <c r="J1321" s="132"/>
      <c r="K1321" s="132"/>
    </row>
    <row r="1322" spans="5:11" s="105" customFormat="1" x14ac:dyDescent="0.2">
      <c r="E1322" s="268"/>
      <c r="F1322" s="132"/>
      <c r="G1322" s="132"/>
      <c r="H1322" s="132"/>
      <c r="I1322" s="132"/>
      <c r="J1322" s="132"/>
      <c r="K1322" s="132"/>
    </row>
    <row r="1323" spans="5:11" s="105" customFormat="1" x14ac:dyDescent="0.2">
      <c r="E1323" s="268"/>
      <c r="F1323" s="132"/>
      <c r="G1323" s="132"/>
      <c r="H1323" s="132"/>
      <c r="I1323" s="132"/>
      <c r="J1323" s="132"/>
      <c r="K1323" s="132"/>
    </row>
    <row r="1324" spans="5:11" s="105" customFormat="1" x14ac:dyDescent="0.2">
      <c r="E1324" s="268"/>
      <c r="F1324" s="132"/>
      <c r="G1324" s="132"/>
      <c r="H1324" s="132"/>
      <c r="I1324" s="132"/>
      <c r="J1324" s="132"/>
      <c r="K1324" s="132"/>
    </row>
    <row r="1325" spans="5:11" s="105" customFormat="1" x14ac:dyDescent="0.2">
      <c r="E1325" s="268"/>
      <c r="F1325" s="132"/>
      <c r="G1325" s="132"/>
      <c r="H1325" s="132"/>
      <c r="I1325" s="132"/>
      <c r="J1325" s="132"/>
      <c r="K1325" s="132"/>
    </row>
    <row r="1326" spans="5:11" s="105" customFormat="1" x14ac:dyDescent="0.2">
      <c r="E1326" s="268"/>
      <c r="F1326" s="132"/>
      <c r="G1326" s="132"/>
      <c r="H1326" s="132"/>
      <c r="I1326" s="132"/>
      <c r="J1326" s="132"/>
      <c r="K1326" s="132"/>
    </row>
    <row r="1327" spans="5:11" s="105" customFormat="1" x14ac:dyDescent="0.2">
      <c r="E1327" s="268"/>
      <c r="F1327" s="132"/>
      <c r="G1327" s="132"/>
      <c r="H1327" s="132"/>
      <c r="I1327" s="132"/>
      <c r="J1327" s="132"/>
      <c r="K1327" s="132"/>
    </row>
    <row r="1328" spans="5:11" s="105" customFormat="1" x14ac:dyDescent="0.2">
      <c r="E1328" s="268"/>
      <c r="F1328" s="132"/>
      <c r="G1328" s="132"/>
      <c r="H1328" s="132"/>
      <c r="I1328" s="132"/>
      <c r="J1328" s="132"/>
      <c r="K1328" s="132"/>
    </row>
    <row r="1329" spans="5:11" s="105" customFormat="1" x14ac:dyDescent="0.2">
      <c r="E1329" s="268"/>
      <c r="F1329" s="132"/>
      <c r="G1329" s="132"/>
      <c r="H1329" s="132"/>
      <c r="I1329" s="132"/>
      <c r="J1329" s="132"/>
      <c r="K1329" s="132"/>
    </row>
    <row r="1330" spans="5:11" s="105" customFormat="1" x14ac:dyDescent="0.2">
      <c r="E1330" s="268"/>
      <c r="F1330" s="132"/>
      <c r="G1330" s="132"/>
      <c r="H1330" s="132"/>
      <c r="I1330" s="132"/>
      <c r="J1330" s="132"/>
      <c r="K1330" s="132"/>
    </row>
    <row r="1331" spans="5:11" s="105" customFormat="1" x14ac:dyDescent="0.2">
      <c r="E1331" s="268"/>
      <c r="F1331" s="132"/>
      <c r="G1331" s="132"/>
      <c r="H1331" s="132"/>
      <c r="I1331" s="132"/>
      <c r="J1331" s="132"/>
      <c r="K1331" s="132"/>
    </row>
    <row r="1332" spans="5:11" s="105" customFormat="1" x14ac:dyDescent="0.2">
      <c r="E1332" s="268"/>
      <c r="F1332" s="132"/>
      <c r="G1332" s="132"/>
      <c r="H1332" s="132"/>
      <c r="I1332" s="132"/>
      <c r="J1332" s="132"/>
      <c r="K1332" s="132"/>
    </row>
    <row r="1333" spans="5:11" s="105" customFormat="1" x14ac:dyDescent="0.2">
      <c r="E1333" s="268"/>
      <c r="F1333" s="132"/>
      <c r="G1333" s="132"/>
      <c r="H1333" s="132"/>
      <c r="I1333" s="132"/>
      <c r="J1333" s="132"/>
      <c r="K1333" s="132"/>
    </row>
    <row r="1334" spans="5:11" s="105" customFormat="1" x14ac:dyDescent="0.2">
      <c r="E1334" s="268"/>
      <c r="F1334" s="132"/>
      <c r="G1334" s="132"/>
      <c r="H1334" s="132"/>
      <c r="I1334" s="132"/>
      <c r="J1334" s="132"/>
      <c r="K1334" s="132"/>
    </row>
    <row r="1335" spans="5:11" s="105" customFormat="1" x14ac:dyDescent="0.2">
      <c r="E1335" s="268"/>
      <c r="F1335" s="132"/>
      <c r="G1335" s="132"/>
      <c r="H1335" s="132"/>
      <c r="I1335" s="132"/>
      <c r="J1335" s="132"/>
      <c r="K1335" s="132"/>
    </row>
    <row r="1336" spans="5:11" s="105" customFormat="1" x14ac:dyDescent="0.2">
      <c r="E1336" s="268"/>
      <c r="F1336" s="132"/>
      <c r="G1336" s="132"/>
      <c r="H1336" s="132"/>
      <c r="I1336" s="132"/>
      <c r="J1336" s="132"/>
      <c r="K1336" s="132"/>
    </row>
    <row r="1337" spans="5:11" s="105" customFormat="1" x14ac:dyDescent="0.2">
      <c r="E1337" s="268"/>
      <c r="F1337" s="132"/>
      <c r="G1337" s="132"/>
      <c r="H1337" s="132"/>
      <c r="I1337" s="132"/>
      <c r="J1337" s="132"/>
      <c r="K1337" s="132"/>
    </row>
    <row r="1338" spans="5:11" s="105" customFormat="1" x14ac:dyDescent="0.2">
      <c r="E1338" s="268"/>
      <c r="F1338" s="132"/>
      <c r="G1338" s="132"/>
      <c r="H1338" s="132"/>
      <c r="I1338" s="132"/>
      <c r="J1338" s="132"/>
      <c r="K1338" s="132"/>
    </row>
    <row r="1339" spans="5:11" s="105" customFormat="1" x14ac:dyDescent="0.2">
      <c r="E1339" s="268"/>
      <c r="F1339" s="132"/>
      <c r="G1339" s="132"/>
      <c r="H1339" s="132"/>
      <c r="I1339" s="132"/>
      <c r="J1339" s="132"/>
      <c r="K1339" s="132"/>
    </row>
    <row r="1340" spans="5:11" s="105" customFormat="1" x14ac:dyDescent="0.2">
      <c r="E1340" s="268"/>
      <c r="F1340" s="132"/>
      <c r="G1340" s="132"/>
      <c r="H1340" s="132"/>
      <c r="I1340" s="132"/>
      <c r="J1340" s="132"/>
      <c r="K1340" s="132"/>
    </row>
    <row r="1341" spans="5:11" s="105" customFormat="1" x14ac:dyDescent="0.2">
      <c r="E1341" s="268"/>
      <c r="F1341" s="132"/>
      <c r="G1341" s="132"/>
      <c r="H1341" s="132"/>
      <c r="I1341" s="132"/>
      <c r="J1341" s="132"/>
      <c r="K1341" s="132"/>
    </row>
    <row r="1342" spans="5:11" s="105" customFormat="1" x14ac:dyDescent="0.2">
      <c r="E1342" s="268"/>
      <c r="F1342" s="132"/>
      <c r="G1342" s="132"/>
      <c r="H1342" s="132"/>
      <c r="I1342" s="132"/>
      <c r="J1342" s="132"/>
      <c r="K1342" s="132"/>
    </row>
    <row r="1343" spans="5:11" s="105" customFormat="1" x14ac:dyDescent="0.2">
      <c r="E1343" s="268"/>
      <c r="F1343" s="132"/>
      <c r="G1343" s="132"/>
      <c r="H1343" s="132"/>
      <c r="I1343" s="132"/>
      <c r="J1343" s="132"/>
      <c r="K1343" s="132"/>
    </row>
    <row r="1344" spans="5:11" s="105" customFormat="1" x14ac:dyDescent="0.2">
      <c r="E1344" s="268"/>
      <c r="F1344" s="132"/>
      <c r="G1344" s="132"/>
      <c r="H1344" s="132"/>
      <c r="I1344" s="132"/>
      <c r="J1344" s="132"/>
      <c r="K1344" s="132"/>
    </row>
    <row r="1345" spans="5:11" s="105" customFormat="1" x14ac:dyDescent="0.2">
      <c r="E1345" s="268"/>
      <c r="F1345" s="132"/>
      <c r="G1345" s="132"/>
      <c r="H1345" s="132"/>
      <c r="I1345" s="132"/>
      <c r="J1345" s="132"/>
      <c r="K1345" s="132"/>
    </row>
    <row r="1346" spans="5:11" s="105" customFormat="1" x14ac:dyDescent="0.2">
      <c r="E1346" s="268"/>
      <c r="F1346" s="132"/>
      <c r="G1346" s="132"/>
      <c r="H1346" s="132"/>
      <c r="I1346" s="132"/>
      <c r="J1346" s="132"/>
      <c r="K1346" s="132"/>
    </row>
    <row r="1347" spans="5:11" s="105" customFormat="1" x14ac:dyDescent="0.2">
      <c r="E1347" s="268"/>
      <c r="F1347" s="132"/>
      <c r="G1347" s="132"/>
      <c r="H1347" s="132"/>
      <c r="I1347" s="132"/>
      <c r="J1347" s="132"/>
      <c r="K1347" s="132"/>
    </row>
    <row r="1348" spans="5:11" s="105" customFormat="1" x14ac:dyDescent="0.2">
      <c r="E1348" s="268"/>
      <c r="F1348" s="132"/>
      <c r="G1348" s="132"/>
      <c r="H1348" s="132"/>
      <c r="I1348" s="132"/>
      <c r="J1348" s="132"/>
      <c r="K1348" s="132"/>
    </row>
    <row r="1349" spans="5:11" s="105" customFormat="1" x14ac:dyDescent="0.2">
      <c r="E1349" s="268"/>
      <c r="F1349" s="132"/>
      <c r="G1349" s="132"/>
      <c r="H1349" s="132"/>
      <c r="I1349" s="132"/>
      <c r="J1349" s="132"/>
      <c r="K1349" s="132"/>
    </row>
    <row r="1350" spans="5:11" s="105" customFormat="1" x14ac:dyDescent="0.2">
      <c r="E1350" s="268"/>
      <c r="F1350" s="132"/>
      <c r="G1350" s="132"/>
      <c r="H1350" s="132"/>
      <c r="I1350" s="132"/>
      <c r="J1350" s="132"/>
      <c r="K1350" s="132"/>
    </row>
    <row r="1351" spans="5:11" s="105" customFormat="1" x14ac:dyDescent="0.2">
      <c r="E1351" s="268"/>
      <c r="F1351" s="132"/>
      <c r="G1351" s="132"/>
      <c r="H1351" s="132"/>
      <c r="I1351" s="132"/>
      <c r="J1351" s="132"/>
      <c r="K1351" s="132"/>
    </row>
    <row r="1352" spans="5:11" s="105" customFormat="1" x14ac:dyDescent="0.2">
      <c r="E1352" s="268"/>
      <c r="F1352" s="132"/>
      <c r="G1352" s="132"/>
      <c r="H1352" s="132"/>
      <c r="I1352" s="132"/>
      <c r="J1352" s="132"/>
      <c r="K1352" s="132"/>
    </row>
    <row r="1353" spans="5:11" s="105" customFormat="1" x14ac:dyDescent="0.2">
      <c r="E1353" s="268"/>
      <c r="F1353" s="132"/>
      <c r="G1353" s="132"/>
      <c r="H1353" s="132"/>
      <c r="I1353" s="132"/>
      <c r="J1353" s="132"/>
      <c r="K1353" s="132"/>
    </row>
    <row r="1354" spans="5:11" s="105" customFormat="1" x14ac:dyDescent="0.2">
      <c r="E1354" s="268"/>
      <c r="F1354" s="132"/>
      <c r="G1354" s="132"/>
      <c r="H1354" s="132"/>
      <c r="I1354" s="132"/>
      <c r="J1354" s="132"/>
      <c r="K1354" s="132"/>
    </row>
    <row r="1355" spans="5:11" s="105" customFormat="1" x14ac:dyDescent="0.2">
      <c r="E1355" s="268"/>
      <c r="F1355" s="132"/>
      <c r="G1355" s="132"/>
      <c r="H1355" s="132"/>
      <c r="I1355" s="132"/>
      <c r="J1355" s="132"/>
      <c r="K1355" s="132"/>
    </row>
    <row r="1356" spans="5:11" s="105" customFormat="1" x14ac:dyDescent="0.2">
      <c r="E1356" s="268"/>
      <c r="F1356" s="132"/>
      <c r="G1356" s="132"/>
      <c r="H1356" s="132"/>
      <c r="I1356" s="132"/>
      <c r="J1356" s="132"/>
      <c r="K1356" s="132"/>
    </row>
    <row r="1357" spans="5:11" s="105" customFormat="1" x14ac:dyDescent="0.2">
      <c r="E1357" s="268"/>
      <c r="F1357" s="132"/>
      <c r="G1357" s="132"/>
      <c r="H1357" s="132"/>
      <c r="I1357" s="132"/>
      <c r="J1357" s="132"/>
      <c r="K1357" s="132"/>
    </row>
    <row r="1358" spans="5:11" s="105" customFormat="1" x14ac:dyDescent="0.2">
      <c r="E1358" s="268"/>
      <c r="F1358" s="132"/>
      <c r="G1358" s="132"/>
      <c r="H1358" s="132"/>
      <c r="I1358" s="132"/>
      <c r="J1358" s="132"/>
      <c r="K1358" s="132"/>
    </row>
    <row r="1359" spans="5:11" s="105" customFormat="1" x14ac:dyDescent="0.2">
      <c r="E1359" s="268"/>
      <c r="F1359" s="132"/>
      <c r="G1359" s="132"/>
      <c r="H1359" s="132"/>
      <c r="I1359" s="132"/>
      <c r="J1359" s="132"/>
      <c r="K1359" s="132"/>
    </row>
    <row r="1360" spans="5:11" s="105" customFormat="1" x14ac:dyDescent="0.2">
      <c r="E1360" s="268"/>
      <c r="F1360" s="132"/>
      <c r="G1360" s="132"/>
      <c r="H1360" s="132"/>
      <c r="I1360" s="132"/>
      <c r="J1360" s="132"/>
      <c r="K1360" s="132"/>
    </row>
    <row r="1361" spans="5:11" s="105" customFormat="1" x14ac:dyDescent="0.2">
      <c r="E1361" s="268"/>
      <c r="F1361" s="132"/>
      <c r="G1361" s="132"/>
      <c r="H1361" s="132"/>
      <c r="I1361" s="132"/>
      <c r="J1361" s="132"/>
      <c r="K1361" s="132"/>
    </row>
    <row r="1362" spans="5:11" s="105" customFormat="1" x14ac:dyDescent="0.2">
      <c r="E1362" s="268"/>
      <c r="F1362" s="132"/>
      <c r="G1362" s="132"/>
      <c r="H1362" s="132"/>
      <c r="I1362" s="132"/>
      <c r="J1362" s="132"/>
      <c r="K1362" s="132"/>
    </row>
    <row r="1363" spans="5:11" s="105" customFormat="1" x14ac:dyDescent="0.2">
      <c r="E1363" s="268"/>
      <c r="F1363" s="132"/>
      <c r="G1363" s="132"/>
      <c r="H1363" s="132"/>
      <c r="I1363" s="132"/>
      <c r="J1363" s="132"/>
      <c r="K1363" s="132"/>
    </row>
    <row r="1364" spans="5:11" s="105" customFormat="1" x14ac:dyDescent="0.2">
      <c r="E1364" s="268"/>
      <c r="F1364" s="132"/>
      <c r="G1364" s="132"/>
      <c r="H1364" s="132"/>
      <c r="I1364" s="132"/>
      <c r="J1364" s="132"/>
      <c r="K1364" s="132"/>
    </row>
    <row r="1365" spans="5:11" s="105" customFormat="1" x14ac:dyDescent="0.2">
      <c r="E1365" s="268"/>
      <c r="F1365" s="132"/>
      <c r="G1365" s="132"/>
      <c r="H1365" s="132"/>
      <c r="I1365" s="132"/>
      <c r="J1365" s="132"/>
      <c r="K1365" s="132"/>
    </row>
    <row r="1366" spans="5:11" s="105" customFormat="1" x14ac:dyDescent="0.2">
      <c r="E1366" s="268"/>
      <c r="F1366" s="132"/>
      <c r="G1366" s="132"/>
      <c r="H1366" s="132"/>
      <c r="I1366" s="132"/>
      <c r="J1366" s="132"/>
      <c r="K1366" s="132"/>
    </row>
    <row r="1367" spans="5:11" s="105" customFormat="1" x14ac:dyDescent="0.2">
      <c r="E1367" s="268"/>
      <c r="F1367" s="132"/>
      <c r="G1367" s="132"/>
      <c r="H1367" s="132"/>
      <c r="I1367" s="132"/>
      <c r="J1367" s="132"/>
      <c r="K1367" s="132"/>
    </row>
    <row r="1368" spans="5:11" s="105" customFormat="1" x14ac:dyDescent="0.2">
      <c r="E1368" s="268"/>
      <c r="F1368" s="132"/>
      <c r="G1368" s="132"/>
      <c r="H1368" s="132"/>
      <c r="I1368" s="132"/>
      <c r="J1368" s="132"/>
      <c r="K1368" s="132"/>
    </row>
    <row r="1369" spans="5:11" s="105" customFormat="1" x14ac:dyDescent="0.2">
      <c r="E1369" s="268"/>
      <c r="F1369" s="132"/>
      <c r="G1369" s="132"/>
      <c r="H1369" s="132"/>
      <c r="I1369" s="132"/>
      <c r="J1369" s="132"/>
      <c r="K1369" s="132"/>
    </row>
    <row r="1370" spans="5:11" s="105" customFormat="1" x14ac:dyDescent="0.2">
      <c r="E1370" s="268"/>
      <c r="F1370" s="132"/>
      <c r="G1370" s="132"/>
      <c r="H1370" s="132"/>
      <c r="I1370" s="132"/>
      <c r="J1370" s="132"/>
      <c r="K1370" s="132"/>
    </row>
    <row r="1371" spans="5:11" s="105" customFormat="1" x14ac:dyDescent="0.2">
      <c r="E1371" s="268"/>
      <c r="F1371" s="132"/>
      <c r="G1371" s="132"/>
      <c r="H1371" s="132"/>
      <c r="I1371" s="132"/>
      <c r="J1371" s="132"/>
      <c r="K1371" s="132"/>
    </row>
    <row r="1372" spans="5:11" s="105" customFormat="1" x14ac:dyDescent="0.2">
      <c r="E1372" s="268"/>
      <c r="F1372" s="132"/>
      <c r="G1372" s="132"/>
      <c r="H1372" s="132"/>
      <c r="I1372" s="132"/>
      <c r="J1372" s="132"/>
      <c r="K1372" s="132"/>
    </row>
    <row r="1373" spans="5:11" s="105" customFormat="1" x14ac:dyDescent="0.2">
      <c r="E1373" s="268"/>
      <c r="F1373" s="132"/>
      <c r="G1373" s="132"/>
      <c r="H1373" s="132"/>
      <c r="I1373" s="132"/>
      <c r="J1373" s="132"/>
      <c r="K1373" s="132"/>
    </row>
    <row r="1374" spans="5:11" s="105" customFormat="1" x14ac:dyDescent="0.2">
      <c r="E1374" s="268"/>
      <c r="F1374" s="132"/>
      <c r="G1374" s="132"/>
      <c r="H1374" s="132"/>
      <c r="I1374" s="132"/>
      <c r="J1374" s="132"/>
      <c r="K1374" s="132"/>
    </row>
    <row r="1375" spans="5:11" s="105" customFormat="1" x14ac:dyDescent="0.2">
      <c r="E1375" s="268"/>
      <c r="F1375" s="132"/>
      <c r="G1375" s="132"/>
      <c r="H1375" s="132"/>
      <c r="I1375" s="132"/>
      <c r="J1375" s="132"/>
      <c r="K1375" s="132"/>
    </row>
    <row r="1376" spans="5:11" s="105" customFormat="1" x14ac:dyDescent="0.2">
      <c r="E1376" s="268"/>
      <c r="F1376" s="132"/>
      <c r="G1376" s="132"/>
      <c r="H1376" s="132"/>
      <c r="I1376" s="132"/>
      <c r="J1376" s="132"/>
      <c r="K1376" s="132"/>
    </row>
    <row r="1377" spans="5:11" s="105" customFormat="1" x14ac:dyDescent="0.2">
      <c r="E1377" s="268"/>
      <c r="F1377" s="132"/>
      <c r="G1377" s="132"/>
      <c r="H1377" s="132"/>
      <c r="I1377" s="132"/>
      <c r="J1377" s="132"/>
      <c r="K1377" s="132"/>
    </row>
    <row r="1378" spans="5:11" s="105" customFormat="1" x14ac:dyDescent="0.2">
      <c r="E1378" s="268"/>
      <c r="F1378" s="132"/>
      <c r="G1378" s="132"/>
      <c r="H1378" s="132"/>
      <c r="I1378" s="132"/>
      <c r="J1378" s="132"/>
      <c r="K1378" s="132"/>
    </row>
    <row r="1379" spans="5:11" s="105" customFormat="1" x14ac:dyDescent="0.2">
      <c r="E1379" s="268"/>
      <c r="F1379" s="132"/>
      <c r="G1379" s="132"/>
      <c r="H1379" s="132"/>
      <c r="I1379" s="132"/>
      <c r="J1379" s="132"/>
      <c r="K1379" s="132"/>
    </row>
    <row r="1380" spans="5:11" s="105" customFormat="1" x14ac:dyDescent="0.2">
      <c r="E1380" s="268"/>
      <c r="F1380" s="132"/>
      <c r="G1380" s="132"/>
      <c r="H1380" s="132"/>
      <c r="I1380" s="132"/>
      <c r="J1380" s="132"/>
      <c r="K1380" s="132"/>
    </row>
    <row r="1381" spans="5:11" s="105" customFormat="1" x14ac:dyDescent="0.2">
      <c r="E1381" s="268"/>
      <c r="F1381" s="132"/>
      <c r="G1381" s="132"/>
      <c r="H1381" s="132"/>
      <c r="I1381" s="132"/>
      <c r="J1381" s="132"/>
      <c r="K1381" s="132"/>
    </row>
    <row r="1382" spans="5:11" s="105" customFormat="1" x14ac:dyDescent="0.2">
      <c r="E1382" s="268"/>
      <c r="F1382" s="132"/>
      <c r="G1382" s="132"/>
      <c r="H1382" s="132"/>
      <c r="I1382" s="132"/>
      <c r="J1382" s="132"/>
      <c r="K1382" s="132"/>
    </row>
    <row r="1383" spans="5:11" s="105" customFormat="1" x14ac:dyDescent="0.2">
      <c r="E1383" s="268"/>
      <c r="F1383" s="132"/>
      <c r="G1383" s="132"/>
      <c r="H1383" s="132"/>
      <c r="I1383" s="132"/>
      <c r="J1383" s="132"/>
      <c r="K1383" s="132"/>
    </row>
    <row r="1384" spans="5:11" s="105" customFormat="1" x14ac:dyDescent="0.2">
      <c r="E1384" s="268"/>
      <c r="F1384" s="132"/>
      <c r="G1384" s="132"/>
      <c r="H1384" s="132"/>
      <c r="I1384" s="132"/>
      <c r="J1384" s="132"/>
      <c r="K1384" s="132"/>
    </row>
    <row r="1385" spans="5:11" s="105" customFormat="1" x14ac:dyDescent="0.2">
      <c r="E1385" s="268"/>
      <c r="F1385" s="132"/>
      <c r="G1385" s="132"/>
      <c r="H1385" s="132"/>
      <c r="I1385" s="132"/>
      <c r="J1385" s="132"/>
      <c r="K1385" s="132"/>
    </row>
    <row r="1386" spans="5:11" s="105" customFormat="1" x14ac:dyDescent="0.2">
      <c r="E1386" s="268"/>
      <c r="F1386" s="132"/>
      <c r="G1386" s="132"/>
      <c r="H1386" s="132"/>
      <c r="I1386" s="132"/>
      <c r="J1386" s="132"/>
      <c r="K1386" s="132"/>
    </row>
    <row r="1387" spans="5:11" s="105" customFormat="1" x14ac:dyDescent="0.2">
      <c r="E1387" s="268"/>
      <c r="F1387" s="132"/>
      <c r="G1387" s="132"/>
      <c r="H1387" s="132"/>
      <c r="I1387" s="132"/>
      <c r="J1387" s="132"/>
      <c r="K1387" s="132"/>
    </row>
    <row r="1388" spans="5:11" s="105" customFormat="1" x14ac:dyDescent="0.2">
      <c r="E1388" s="268"/>
      <c r="F1388" s="132"/>
      <c r="G1388" s="132"/>
      <c r="H1388" s="132"/>
      <c r="I1388" s="132"/>
      <c r="J1388" s="132"/>
      <c r="K1388" s="132"/>
    </row>
    <row r="1389" spans="5:11" s="105" customFormat="1" x14ac:dyDescent="0.2">
      <c r="E1389" s="268"/>
      <c r="F1389" s="132"/>
      <c r="G1389" s="132"/>
      <c r="H1389" s="132"/>
      <c r="I1389" s="132"/>
      <c r="J1389" s="132"/>
      <c r="K1389" s="132"/>
    </row>
    <row r="1390" spans="5:11" s="105" customFormat="1" x14ac:dyDescent="0.2">
      <c r="E1390" s="268"/>
      <c r="F1390" s="132"/>
      <c r="G1390" s="132"/>
      <c r="H1390" s="132"/>
      <c r="I1390" s="132"/>
      <c r="J1390" s="132"/>
      <c r="K1390" s="132"/>
    </row>
    <row r="1391" spans="5:11" s="105" customFormat="1" x14ac:dyDescent="0.2">
      <c r="E1391" s="268"/>
      <c r="F1391" s="132"/>
      <c r="G1391" s="132"/>
      <c r="H1391" s="132"/>
      <c r="I1391" s="132"/>
      <c r="J1391" s="132"/>
      <c r="K1391" s="132"/>
    </row>
    <row r="1392" spans="5:11" s="105" customFormat="1" x14ac:dyDescent="0.2">
      <c r="E1392" s="268"/>
      <c r="F1392" s="132"/>
      <c r="G1392" s="132"/>
      <c r="H1392" s="132"/>
      <c r="I1392" s="132"/>
      <c r="J1392" s="132"/>
      <c r="K1392" s="132"/>
    </row>
    <row r="1393" spans="5:11" s="105" customFormat="1" x14ac:dyDescent="0.2">
      <c r="E1393" s="268"/>
      <c r="F1393" s="132"/>
      <c r="G1393" s="132"/>
      <c r="H1393" s="132"/>
      <c r="I1393" s="132"/>
      <c r="J1393" s="132"/>
      <c r="K1393" s="132"/>
    </row>
    <row r="1394" spans="5:11" s="105" customFormat="1" x14ac:dyDescent="0.2">
      <c r="E1394" s="268"/>
      <c r="F1394" s="132"/>
      <c r="G1394" s="132"/>
      <c r="H1394" s="132"/>
      <c r="I1394" s="132"/>
      <c r="J1394" s="132"/>
      <c r="K1394" s="132"/>
    </row>
    <row r="1395" spans="5:11" s="105" customFormat="1" x14ac:dyDescent="0.2">
      <c r="E1395" s="268"/>
      <c r="F1395" s="132"/>
      <c r="G1395" s="132"/>
      <c r="H1395" s="132"/>
      <c r="I1395" s="132"/>
      <c r="J1395" s="132"/>
      <c r="K1395" s="132"/>
    </row>
    <row r="1396" spans="5:11" s="105" customFormat="1" x14ac:dyDescent="0.2">
      <c r="E1396" s="268"/>
      <c r="F1396" s="132"/>
      <c r="G1396" s="132"/>
      <c r="H1396" s="132"/>
      <c r="I1396" s="132"/>
      <c r="J1396" s="132"/>
      <c r="K1396" s="132"/>
    </row>
    <row r="1397" spans="5:11" s="105" customFormat="1" x14ac:dyDescent="0.2">
      <c r="E1397" s="268"/>
      <c r="F1397" s="132"/>
      <c r="G1397" s="132"/>
      <c r="H1397" s="132"/>
      <c r="I1397" s="132"/>
      <c r="J1397" s="132"/>
      <c r="K1397" s="132"/>
    </row>
    <row r="1398" spans="5:11" s="105" customFormat="1" x14ac:dyDescent="0.2">
      <c r="E1398" s="268"/>
      <c r="F1398" s="132"/>
      <c r="G1398" s="132"/>
      <c r="H1398" s="132"/>
      <c r="I1398" s="132"/>
      <c r="J1398" s="132"/>
      <c r="K1398" s="132"/>
    </row>
    <row r="1399" spans="5:11" s="105" customFormat="1" x14ac:dyDescent="0.2">
      <c r="E1399" s="268"/>
      <c r="F1399" s="132"/>
      <c r="G1399" s="132"/>
      <c r="H1399" s="132"/>
      <c r="I1399" s="132"/>
      <c r="J1399" s="132"/>
      <c r="K1399" s="132"/>
    </row>
    <row r="1400" spans="5:11" s="105" customFormat="1" x14ac:dyDescent="0.2">
      <c r="E1400" s="268"/>
      <c r="F1400" s="132"/>
      <c r="G1400" s="132"/>
      <c r="H1400" s="132"/>
      <c r="I1400" s="132"/>
      <c r="J1400" s="132"/>
      <c r="K1400" s="132"/>
    </row>
    <row r="1401" spans="5:11" s="105" customFormat="1" x14ac:dyDescent="0.2">
      <c r="E1401" s="268"/>
      <c r="F1401" s="132"/>
      <c r="G1401" s="132"/>
      <c r="H1401" s="132"/>
      <c r="I1401" s="132"/>
      <c r="J1401" s="132"/>
      <c r="K1401" s="132"/>
    </row>
    <row r="1402" spans="5:11" s="105" customFormat="1" x14ac:dyDescent="0.2">
      <c r="E1402" s="268"/>
      <c r="F1402" s="132"/>
      <c r="G1402" s="132"/>
      <c r="H1402" s="132"/>
      <c r="I1402" s="132"/>
      <c r="J1402" s="132"/>
      <c r="K1402" s="132"/>
    </row>
    <row r="1403" spans="5:11" s="105" customFormat="1" x14ac:dyDescent="0.2">
      <c r="E1403" s="268"/>
      <c r="F1403" s="132"/>
      <c r="G1403" s="132"/>
      <c r="H1403" s="132"/>
      <c r="I1403" s="132"/>
      <c r="J1403" s="132"/>
      <c r="K1403" s="132"/>
    </row>
    <row r="1404" spans="5:11" s="105" customFormat="1" x14ac:dyDescent="0.2">
      <c r="E1404" s="268"/>
      <c r="F1404" s="132"/>
      <c r="G1404" s="132"/>
      <c r="H1404" s="132"/>
      <c r="I1404" s="132"/>
      <c r="J1404" s="132"/>
      <c r="K1404" s="132"/>
    </row>
    <row r="1405" spans="5:11" s="105" customFormat="1" x14ac:dyDescent="0.2">
      <c r="E1405" s="268"/>
      <c r="F1405" s="132"/>
      <c r="G1405" s="132"/>
      <c r="H1405" s="132"/>
      <c r="I1405" s="132"/>
      <c r="J1405" s="132"/>
      <c r="K1405" s="132"/>
    </row>
    <row r="1406" spans="5:11" s="105" customFormat="1" x14ac:dyDescent="0.2">
      <c r="E1406" s="268"/>
      <c r="F1406" s="132"/>
      <c r="G1406" s="132"/>
      <c r="H1406" s="132"/>
      <c r="I1406" s="132"/>
      <c r="J1406" s="132"/>
      <c r="K1406" s="132"/>
    </row>
    <row r="1407" spans="5:11" s="105" customFormat="1" x14ac:dyDescent="0.2">
      <c r="E1407" s="268"/>
      <c r="F1407" s="132"/>
      <c r="G1407" s="132"/>
      <c r="H1407" s="132"/>
      <c r="I1407" s="132"/>
      <c r="J1407" s="132"/>
      <c r="K1407" s="132"/>
    </row>
    <row r="1408" spans="5:11" s="105" customFormat="1" x14ac:dyDescent="0.2">
      <c r="E1408" s="268"/>
      <c r="F1408" s="132"/>
      <c r="G1408" s="132"/>
      <c r="H1408" s="132"/>
      <c r="I1408" s="132"/>
      <c r="J1408" s="132"/>
      <c r="K1408" s="132"/>
    </row>
    <row r="1409" spans="5:11" s="105" customFormat="1" x14ac:dyDescent="0.2">
      <c r="E1409" s="268"/>
      <c r="F1409" s="132"/>
      <c r="G1409" s="132"/>
      <c r="H1409" s="132"/>
      <c r="I1409" s="132"/>
      <c r="J1409" s="132"/>
      <c r="K1409" s="132"/>
    </row>
    <row r="1410" spans="5:11" s="105" customFormat="1" x14ac:dyDescent="0.2">
      <c r="E1410" s="268"/>
      <c r="F1410" s="132"/>
      <c r="G1410" s="132"/>
      <c r="H1410" s="132"/>
      <c r="I1410" s="132"/>
      <c r="J1410" s="132"/>
      <c r="K1410" s="132"/>
    </row>
    <row r="1411" spans="5:11" s="105" customFormat="1" x14ac:dyDescent="0.2">
      <c r="E1411" s="268"/>
      <c r="F1411" s="132"/>
      <c r="G1411" s="132"/>
      <c r="H1411" s="132"/>
      <c r="I1411" s="132"/>
      <c r="J1411" s="132"/>
      <c r="K1411" s="132"/>
    </row>
    <row r="1412" spans="5:11" s="105" customFormat="1" x14ac:dyDescent="0.2">
      <c r="E1412" s="268"/>
      <c r="F1412" s="132"/>
      <c r="G1412" s="132"/>
      <c r="H1412" s="132"/>
      <c r="I1412" s="132"/>
      <c r="J1412" s="132"/>
      <c r="K1412" s="132"/>
    </row>
    <row r="1413" spans="5:11" s="105" customFormat="1" x14ac:dyDescent="0.2">
      <c r="E1413" s="268"/>
      <c r="F1413" s="132"/>
      <c r="G1413" s="132"/>
      <c r="H1413" s="132"/>
      <c r="I1413" s="132"/>
      <c r="J1413" s="132"/>
      <c r="K1413" s="132"/>
    </row>
    <row r="1414" spans="5:11" s="105" customFormat="1" x14ac:dyDescent="0.2">
      <c r="E1414" s="268"/>
      <c r="F1414" s="132"/>
      <c r="G1414" s="132"/>
      <c r="H1414" s="132"/>
      <c r="I1414" s="132"/>
      <c r="J1414" s="132"/>
      <c r="K1414" s="132"/>
    </row>
    <row r="1415" spans="5:11" s="105" customFormat="1" x14ac:dyDescent="0.2">
      <c r="E1415" s="268"/>
      <c r="F1415" s="132"/>
      <c r="G1415" s="132"/>
      <c r="H1415" s="132"/>
      <c r="I1415" s="132"/>
      <c r="J1415" s="132"/>
      <c r="K1415" s="132"/>
    </row>
    <row r="1416" spans="5:11" s="105" customFormat="1" x14ac:dyDescent="0.2">
      <c r="E1416" s="268"/>
      <c r="F1416" s="132"/>
      <c r="G1416" s="132"/>
      <c r="H1416" s="132"/>
      <c r="I1416" s="132"/>
      <c r="J1416" s="132"/>
      <c r="K1416" s="132"/>
    </row>
    <row r="1417" spans="5:11" s="105" customFormat="1" x14ac:dyDescent="0.2">
      <c r="E1417" s="268"/>
      <c r="F1417" s="132"/>
      <c r="G1417" s="132"/>
      <c r="H1417" s="132"/>
      <c r="I1417" s="132"/>
      <c r="J1417" s="132"/>
      <c r="K1417" s="132"/>
    </row>
    <row r="1418" spans="5:11" s="105" customFormat="1" x14ac:dyDescent="0.2">
      <c r="E1418" s="268"/>
      <c r="F1418" s="132"/>
      <c r="G1418" s="132"/>
      <c r="H1418" s="132"/>
      <c r="I1418" s="132"/>
      <c r="J1418" s="132"/>
      <c r="K1418" s="132"/>
    </row>
    <row r="1419" spans="5:11" s="105" customFormat="1" x14ac:dyDescent="0.2">
      <c r="E1419" s="268"/>
      <c r="F1419" s="132"/>
      <c r="G1419" s="132"/>
      <c r="H1419" s="132"/>
      <c r="I1419" s="132"/>
      <c r="J1419" s="132"/>
      <c r="K1419" s="132"/>
    </row>
    <row r="1420" spans="5:11" s="105" customFormat="1" x14ac:dyDescent="0.2">
      <c r="E1420" s="268"/>
      <c r="F1420" s="132"/>
      <c r="G1420" s="132"/>
      <c r="H1420" s="132"/>
      <c r="I1420" s="132"/>
      <c r="J1420" s="132"/>
      <c r="K1420" s="132"/>
    </row>
    <row r="1421" spans="5:11" s="105" customFormat="1" x14ac:dyDescent="0.2">
      <c r="E1421" s="268"/>
      <c r="F1421" s="132"/>
      <c r="G1421" s="132"/>
      <c r="H1421" s="132"/>
      <c r="I1421" s="132"/>
      <c r="J1421" s="132"/>
      <c r="K1421" s="132"/>
    </row>
    <row r="1422" spans="5:11" s="105" customFormat="1" x14ac:dyDescent="0.2">
      <c r="E1422" s="268"/>
      <c r="F1422" s="132"/>
      <c r="G1422" s="132"/>
      <c r="H1422" s="132"/>
      <c r="I1422" s="132"/>
      <c r="J1422" s="132"/>
      <c r="K1422" s="132"/>
    </row>
    <row r="1423" spans="5:11" s="105" customFormat="1" x14ac:dyDescent="0.2">
      <c r="E1423" s="268"/>
      <c r="F1423" s="132"/>
      <c r="G1423" s="132"/>
      <c r="H1423" s="132"/>
      <c r="I1423" s="132"/>
      <c r="J1423" s="132"/>
      <c r="K1423" s="132"/>
    </row>
    <row r="1424" spans="5:11" s="105" customFormat="1" x14ac:dyDescent="0.2">
      <c r="E1424" s="268"/>
      <c r="F1424" s="132"/>
      <c r="G1424" s="132"/>
      <c r="H1424" s="132"/>
      <c r="I1424" s="132"/>
      <c r="J1424" s="132"/>
      <c r="K1424" s="132"/>
    </row>
    <row r="1425" spans="5:11" s="105" customFormat="1" x14ac:dyDescent="0.2">
      <c r="E1425" s="268"/>
      <c r="F1425" s="132"/>
      <c r="G1425" s="132"/>
      <c r="H1425" s="132"/>
      <c r="I1425" s="132"/>
      <c r="J1425" s="132"/>
      <c r="K1425" s="132"/>
    </row>
    <row r="1426" spans="5:11" s="105" customFormat="1" x14ac:dyDescent="0.2">
      <c r="E1426" s="268"/>
      <c r="F1426" s="132"/>
      <c r="G1426" s="132"/>
      <c r="H1426" s="132"/>
      <c r="I1426" s="132"/>
      <c r="J1426" s="132"/>
      <c r="K1426" s="132"/>
    </row>
    <row r="1427" spans="5:11" s="105" customFormat="1" x14ac:dyDescent="0.2">
      <c r="E1427" s="268"/>
      <c r="F1427" s="132"/>
      <c r="G1427" s="132"/>
      <c r="H1427" s="132"/>
      <c r="I1427" s="132"/>
      <c r="J1427" s="132"/>
      <c r="K1427" s="132"/>
    </row>
    <row r="1428" spans="5:11" s="105" customFormat="1" x14ac:dyDescent="0.2">
      <c r="E1428" s="268"/>
      <c r="F1428" s="132"/>
      <c r="G1428" s="132"/>
      <c r="H1428" s="132"/>
      <c r="I1428" s="132"/>
      <c r="J1428" s="132"/>
      <c r="K1428" s="132"/>
    </row>
    <row r="1429" spans="5:11" s="105" customFormat="1" x14ac:dyDescent="0.2">
      <c r="E1429" s="268"/>
      <c r="F1429" s="132"/>
      <c r="G1429" s="132"/>
      <c r="H1429" s="132"/>
      <c r="I1429" s="132"/>
      <c r="J1429" s="132"/>
      <c r="K1429" s="132"/>
    </row>
    <row r="1430" spans="5:11" s="105" customFormat="1" x14ac:dyDescent="0.2">
      <c r="E1430" s="268"/>
      <c r="F1430" s="132"/>
      <c r="G1430" s="132"/>
      <c r="H1430" s="132"/>
      <c r="I1430" s="132"/>
      <c r="J1430" s="132"/>
      <c r="K1430" s="132"/>
    </row>
    <row r="1431" spans="5:11" s="105" customFormat="1" x14ac:dyDescent="0.2">
      <c r="E1431" s="268"/>
      <c r="F1431" s="132"/>
      <c r="G1431" s="132"/>
      <c r="H1431" s="132"/>
      <c r="I1431" s="132"/>
      <c r="J1431" s="132"/>
      <c r="K1431" s="132"/>
    </row>
    <row r="1432" spans="5:11" s="105" customFormat="1" x14ac:dyDescent="0.2">
      <c r="E1432" s="268"/>
      <c r="F1432" s="132"/>
      <c r="G1432" s="132"/>
      <c r="H1432" s="132"/>
      <c r="I1432" s="132"/>
      <c r="J1432" s="132"/>
      <c r="K1432" s="132"/>
    </row>
    <row r="1433" spans="5:11" s="105" customFormat="1" x14ac:dyDescent="0.2">
      <c r="E1433" s="268"/>
      <c r="F1433" s="132"/>
      <c r="G1433" s="132"/>
      <c r="H1433" s="132"/>
      <c r="I1433" s="132"/>
      <c r="J1433" s="132"/>
      <c r="K1433" s="132"/>
    </row>
    <row r="1434" spans="5:11" s="105" customFormat="1" x14ac:dyDescent="0.2">
      <c r="E1434" s="268"/>
      <c r="F1434" s="132"/>
      <c r="G1434" s="132"/>
      <c r="H1434" s="132"/>
      <c r="I1434" s="132"/>
      <c r="J1434" s="132"/>
      <c r="K1434" s="132"/>
    </row>
    <row r="1435" spans="5:11" s="105" customFormat="1" x14ac:dyDescent="0.2">
      <c r="E1435" s="268"/>
      <c r="F1435" s="132"/>
      <c r="G1435" s="132"/>
      <c r="H1435" s="132"/>
      <c r="I1435" s="132"/>
      <c r="J1435" s="132"/>
      <c r="K1435" s="132"/>
    </row>
    <row r="1436" spans="5:11" s="105" customFormat="1" x14ac:dyDescent="0.2">
      <c r="E1436" s="268"/>
      <c r="F1436" s="132"/>
      <c r="G1436" s="132"/>
      <c r="H1436" s="132"/>
      <c r="I1436" s="132"/>
      <c r="J1436" s="132"/>
      <c r="K1436" s="132"/>
    </row>
    <row r="1437" spans="5:11" s="105" customFormat="1" x14ac:dyDescent="0.2">
      <c r="E1437" s="268"/>
      <c r="F1437" s="132"/>
      <c r="G1437" s="132"/>
      <c r="H1437" s="132"/>
      <c r="I1437" s="132"/>
      <c r="J1437" s="132"/>
      <c r="K1437" s="132"/>
    </row>
    <row r="1438" spans="5:11" s="105" customFormat="1" x14ac:dyDescent="0.2">
      <c r="E1438" s="268"/>
      <c r="F1438" s="132"/>
      <c r="G1438" s="132"/>
      <c r="H1438" s="132"/>
      <c r="I1438" s="132"/>
      <c r="J1438" s="132"/>
      <c r="K1438" s="132"/>
    </row>
    <row r="1439" spans="5:11" s="105" customFormat="1" x14ac:dyDescent="0.2">
      <c r="E1439" s="268"/>
      <c r="F1439" s="132"/>
      <c r="G1439" s="132"/>
      <c r="H1439" s="132"/>
      <c r="I1439" s="132"/>
      <c r="J1439" s="132"/>
      <c r="K1439" s="132"/>
    </row>
    <row r="1440" spans="5:11" s="105" customFormat="1" x14ac:dyDescent="0.2">
      <c r="E1440" s="268"/>
      <c r="F1440" s="132"/>
      <c r="G1440" s="132"/>
      <c r="H1440" s="132"/>
      <c r="I1440" s="132"/>
      <c r="J1440" s="132"/>
      <c r="K1440" s="132"/>
    </row>
    <row r="1441" spans="5:11" s="105" customFormat="1" x14ac:dyDescent="0.2">
      <c r="E1441" s="268"/>
      <c r="F1441" s="132"/>
      <c r="G1441" s="132"/>
      <c r="H1441" s="132"/>
      <c r="I1441" s="132"/>
      <c r="J1441" s="132"/>
      <c r="K1441" s="132"/>
    </row>
    <row r="1442" spans="5:11" s="105" customFormat="1" x14ac:dyDescent="0.2">
      <c r="E1442" s="268"/>
      <c r="F1442" s="132"/>
      <c r="G1442" s="132"/>
      <c r="H1442" s="132"/>
      <c r="I1442" s="132"/>
      <c r="J1442" s="132"/>
      <c r="K1442" s="132"/>
    </row>
    <row r="1443" spans="5:11" s="105" customFormat="1" x14ac:dyDescent="0.2">
      <c r="E1443" s="268"/>
      <c r="F1443" s="132"/>
      <c r="G1443" s="132"/>
      <c r="H1443" s="132"/>
      <c r="I1443" s="132"/>
      <c r="J1443" s="132"/>
      <c r="K1443" s="132"/>
    </row>
    <row r="1444" spans="5:11" s="105" customFormat="1" x14ac:dyDescent="0.2">
      <c r="E1444" s="268"/>
      <c r="F1444" s="132"/>
      <c r="G1444" s="132"/>
      <c r="H1444" s="132"/>
      <c r="I1444" s="132"/>
      <c r="J1444" s="132"/>
      <c r="K1444" s="132"/>
    </row>
    <row r="1445" spans="5:11" s="105" customFormat="1" x14ac:dyDescent="0.2">
      <c r="E1445" s="268"/>
      <c r="F1445" s="132"/>
      <c r="G1445" s="132"/>
      <c r="H1445" s="132"/>
      <c r="I1445" s="132"/>
      <c r="J1445" s="132"/>
      <c r="K1445" s="132"/>
    </row>
    <row r="1446" spans="5:11" s="105" customFormat="1" x14ac:dyDescent="0.2">
      <c r="E1446" s="268"/>
      <c r="F1446" s="132"/>
      <c r="G1446" s="132"/>
      <c r="H1446" s="132"/>
      <c r="I1446" s="132"/>
      <c r="J1446" s="132"/>
      <c r="K1446" s="132"/>
    </row>
    <row r="1447" spans="5:11" s="105" customFormat="1" x14ac:dyDescent="0.2">
      <c r="E1447" s="268"/>
      <c r="F1447" s="132"/>
      <c r="G1447" s="132"/>
      <c r="H1447" s="132"/>
      <c r="I1447" s="132"/>
      <c r="J1447" s="132"/>
      <c r="K1447" s="132"/>
    </row>
    <row r="1448" spans="5:11" s="105" customFormat="1" x14ac:dyDescent="0.2">
      <c r="E1448" s="268"/>
      <c r="F1448" s="132"/>
      <c r="G1448" s="132"/>
      <c r="H1448" s="132"/>
      <c r="I1448" s="132"/>
      <c r="J1448" s="132"/>
      <c r="K1448" s="132"/>
    </row>
    <row r="1449" spans="5:11" s="105" customFormat="1" x14ac:dyDescent="0.2">
      <c r="E1449" s="268"/>
      <c r="F1449" s="132"/>
      <c r="G1449" s="132"/>
      <c r="H1449" s="132"/>
      <c r="I1449" s="132"/>
      <c r="J1449" s="132"/>
      <c r="K1449" s="132"/>
    </row>
  </sheetData>
  <mergeCells count="16">
    <mergeCell ref="G158:K173"/>
    <mergeCell ref="F138:K138"/>
    <mergeCell ref="E140:K140"/>
    <mergeCell ref="G141:K156"/>
    <mergeCell ref="E102:K102"/>
    <mergeCell ref="G121:K135"/>
    <mergeCell ref="A10:K10"/>
    <mergeCell ref="E18:K18"/>
    <mergeCell ref="G19:K19"/>
    <mergeCell ref="G100:K100"/>
    <mergeCell ref="G105:K118"/>
    <mergeCell ref="E21:K21"/>
    <mergeCell ref="G57:K57"/>
    <mergeCell ref="G60:K92"/>
    <mergeCell ref="E59:K59"/>
    <mergeCell ref="G22:K54"/>
  </mergeCells>
  <phoneticPr fontId="4" type="noConversion"/>
  <printOptions horizontalCentered="1"/>
  <pageMargins left="0.5" right="0.5" top="2" bottom="0.5" header="1" footer="0.5"/>
  <pageSetup scale="55" orientation="landscape"/>
  <headerFooter alignWithMargins="0">
    <oddHeader>&amp;R&amp;"Arial,Bold"Schedule &amp;A
Page &amp;P of &amp;N&amp;C&amp;B
2025 RATE CASE
ONCOR ELECTRIC DELIVERY COMPANY LLC
II-C-2.6  SECURITY ISSUANCE RESTRICTIONS
TEST YEAR ENDING DECEMBER 31, 2024
SPONSOR: K. FEASE</oddHeader>
  </headerFooter>
  <rowBreaks count="3" manualBreakCount="3">
    <brk id="56" max="13" man="1"/>
    <brk id="96" max="13" man="1"/>
    <brk id="137" max="13" man="1"/>
  </rowBreaks>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tabColor rgb="FF00B050"/>
    <pageSetUpPr fitToPage="1"/>
  </sheetPr>
  <dimension ref="A1:M75"/>
  <sheetViews>
    <sheetView zoomScale="85" zoomScaleNormal="85" workbookViewId="0">
      <selection activeCell="Q62" sqref="Q62"/>
    </sheetView>
  </sheetViews>
  <sheetFormatPr defaultColWidth="9.140625" defaultRowHeight="12.75" x14ac:dyDescent="0.2"/>
  <cols>
    <col min="1" max="1" width="6.28515625" style="110" customWidth="1"/>
    <col min="2" max="2" width="2.7109375" style="110" customWidth="1"/>
    <col min="3" max="3" width="45.85546875" style="110" customWidth="1"/>
    <col min="4" max="4" width="2.7109375" style="110" customWidth="1"/>
    <col min="5" max="5" width="15.7109375" style="268" customWidth="1"/>
    <col min="6" max="6" width="2.7109375" style="110" customWidth="1"/>
    <col min="7" max="7" width="10.7109375" style="110" customWidth="1"/>
    <col min="8" max="8" width="2.7109375" style="110" customWidth="1"/>
    <col min="9" max="9" width="10.7109375" style="110" customWidth="1"/>
    <col min="10" max="10" width="2.7109375" style="110" customWidth="1"/>
    <col min="11" max="11" width="10.7109375" style="110" customWidth="1"/>
    <col min="12" max="16384" width="9.140625" style="110"/>
  </cols>
  <sheetData>
    <row r="1" spans="1:13" x14ac:dyDescent="0.2">
      <c r="A1" s="109" t="str">
        <f>+'[1]Input Data'!$A$9</f>
        <v>2025 RATE CASE</v>
      </c>
    </row>
    <row r="2" spans="1:13" x14ac:dyDescent="0.2">
      <c r="A2" s="106" t="str">
        <f>+'[1]Input Data'!$A$2</f>
        <v>ONCOR ELECTRIC DELIVERY COMPANY LLC</v>
      </c>
    </row>
    <row r="3" spans="1:13" x14ac:dyDescent="0.2">
      <c r="A3" s="61" t="str">
        <f>CONCATENATE('[1]Schedule Sponsors'!$A$43,'[1]Schedule Sponsors'!$B$43)</f>
        <v>II-C-2.7  CAPITAL REQUIREMENTS AND ACQUISITION PLAN</v>
      </c>
    </row>
    <row r="4" spans="1:13" x14ac:dyDescent="0.2">
      <c r="A4" s="108" t="str">
        <f>+'[1]Input Data'!$A$4</f>
        <v>TEST YEAR ENDING DECEMBER 31, 2024</v>
      </c>
    </row>
    <row r="5" spans="1:13" x14ac:dyDescent="0.2">
      <c r="A5" s="5" t="str">
        <f>CONCATENATE("SPONSORS: ",'[1]Schedule Sponsors'!$D$43)</f>
        <v>SPONSORS: K. FEASE &amp;&amp; E. BUCK</v>
      </c>
    </row>
    <row r="6" spans="1:13" x14ac:dyDescent="0.2">
      <c r="A6" s="109"/>
    </row>
    <row r="10" spans="1:13" s="188" customFormat="1" ht="14.25" x14ac:dyDescent="0.2">
      <c r="A10" s="319" t="s">
        <v>262</v>
      </c>
      <c r="B10" s="273"/>
      <c r="C10" s="273"/>
      <c r="E10" s="275"/>
      <c r="F10" s="268"/>
      <c r="G10" s="275"/>
      <c r="H10" s="268"/>
      <c r="I10" s="275"/>
      <c r="J10" s="268"/>
      <c r="K10" s="275"/>
      <c r="L10" s="268"/>
      <c r="M10" s="275"/>
    </row>
    <row r="11" spans="1:13" s="188" customFormat="1" ht="14.25" x14ac:dyDescent="0.2">
      <c r="A11" s="320" t="s">
        <v>271</v>
      </c>
      <c r="B11" s="273"/>
      <c r="C11" s="273"/>
      <c r="E11" s="275"/>
      <c r="F11" s="268"/>
      <c r="G11" s="275"/>
      <c r="H11" s="268"/>
      <c r="I11" s="275"/>
      <c r="J11" s="268"/>
      <c r="K11" s="275"/>
      <c r="L11" s="268"/>
      <c r="M11" s="275"/>
    </row>
    <row r="12" spans="1:13" s="188" customFormat="1" x14ac:dyDescent="0.2">
      <c r="A12" s="193"/>
      <c r="B12" s="196"/>
      <c r="C12" s="273"/>
      <c r="D12" s="273"/>
      <c r="E12" s="273"/>
      <c r="F12" s="273"/>
      <c r="G12" s="273"/>
      <c r="H12" s="273"/>
      <c r="I12" s="273"/>
      <c r="J12" s="273"/>
      <c r="K12" s="273"/>
    </row>
    <row r="13" spans="1:13" s="188" customFormat="1" x14ac:dyDescent="0.2">
      <c r="A13" s="274"/>
      <c r="B13" s="196"/>
      <c r="C13" s="273"/>
      <c r="D13" s="273"/>
      <c r="E13" s="273"/>
      <c r="F13" s="273"/>
      <c r="G13" s="273"/>
      <c r="H13" s="273"/>
      <c r="I13" s="273"/>
      <c r="J13" s="273"/>
      <c r="K13" s="273"/>
    </row>
    <row r="14" spans="1:13" s="188" customFormat="1" x14ac:dyDescent="0.2">
      <c r="A14" s="274" t="s">
        <v>84</v>
      </c>
      <c r="B14" s="196"/>
      <c r="C14" s="273"/>
      <c r="D14" s="273"/>
      <c r="E14" s="455" t="s">
        <v>199</v>
      </c>
      <c r="F14" s="455"/>
      <c r="G14" s="455"/>
      <c r="H14" s="455"/>
      <c r="I14" s="455"/>
      <c r="J14" s="455"/>
      <c r="K14" s="455"/>
    </row>
    <row r="15" spans="1:13" s="188" customFormat="1" x14ac:dyDescent="0.2">
      <c r="A15" s="284" t="s">
        <v>154</v>
      </c>
      <c r="B15" s="196"/>
      <c r="C15" s="273"/>
      <c r="D15" s="273"/>
      <c r="E15" s="274" t="s">
        <v>277</v>
      </c>
      <c r="F15" s="197"/>
      <c r="G15" s="492" t="s">
        <v>258</v>
      </c>
      <c r="H15" s="492"/>
      <c r="I15" s="492"/>
      <c r="J15" s="492"/>
      <c r="K15" s="492"/>
    </row>
    <row r="16" spans="1:13" s="188" customFormat="1" x14ac:dyDescent="0.2">
      <c r="A16" s="284">
        <v>1</v>
      </c>
      <c r="B16" s="196"/>
      <c r="C16" s="273" t="s">
        <v>224</v>
      </c>
      <c r="D16" s="273"/>
      <c r="E16" s="323" t="s">
        <v>314</v>
      </c>
      <c r="F16" s="273"/>
      <c r="G16" s="284">
        <v>2025</v>
      </c>
      <c r="H16" s="284"/>
      <c r="I16" s="284">
        <v>2026</v>
      </c>
      <c r="J16" s="284"/>
      <c r="K16" s="284">
        <v>2027</v>
      </c>
      <c r="L16" s="189"/>
    </row>
    <row r="17" spans="1:13" s="188" customFormat="1" x14ac:dyDescent="0.2">
      <c r="A17" s="284">
        <v>2</v>
      </c>
      <c r="B17" s="198"/>
      <c r="C17" s="273"/>
      <c r="D17" s="273"/>
      <c r="E17" s="478" t="s">
        <v>267</v>
      </c>
      <c r="F17" s="466"/>
      <c r="G17" s="466"/>
      <c r="H17" s="466"/>
      <c r="I17" s="466"/>
      <c r="J17" s="466"/>
      <c r="K17" s="467"/>
      <c r="L17" s="283"/>
      <c r="M17" s="283"/>
    </row>
    <row r="18" spans="1:13" s="188" customFormat="1" ht="12.75" customHeight="1" x14ac:dyDescent="0.2">
      <c r="A18" s="284">
        <v>3</v>
      </c>
      <c r="B18" s="196"/>
      <c r="C18" s="195" t="s">
        <v>254</v>
      </c>
      <c r="D18" s="199"/>
      <c r="E18" s="190">
        <v>1969.3206759500001</v>
      </c>
      <c r="F18" s="386"/>
      <c r="G18" s="493" t="s">
        <v>241</v>
      </c>
      <c r="H18" s="494"/>
      <c r="I18" s="494"/>
      <c r="J18" s="494"/>
      <c r="K18" s="495"/>
      <c r="L18" s="189"/>
    </row>
    <row r="19" spans="1:13" s="188" customFormat="1" x14ac:dyDescent="0.2">
      <c r="A19" s="284">
        <v>4</v>
      </c>
      <c r="B19" s="196"/>
      <c r="C19" s="195" t="s">
        <v>255</v>
      </c>
      <c r="D19" s="199"/>
      <c r="E19" s="325">
        <v>2400.4066415099996</v>
      </c>
      <c r="F19" s="386"/>
      <c r="G19" s="496"/>
      <c r="H19" s="494"/>
      <c r="I19" s="494"/>
      <c r="J19" s="494"/>
      <c r="K19" s="495"/>
      <c r="L19" s="189"/>
    </row>
    <row r="20" spans="1:13" s="188" customFormat="1" x14ac:dyDescent="0.2">
      <c r="A20" s="284">
        <v>5</v>
      </c>
      <c r="B20" s="196"/>
      <c r="C20" s="195" t="s">
        <v>256</v>
      </c>
      <c r="D20" s="273"/>
      <c r="E20" s="325">
        <v>238.05107906000001</v>
      </c>
      <c r="F20" s="190"/>
      <c r="G20" s="496"/>
      <c r="H20" s="494"/>
      <c r="I20" s="494"/>
      <c r="J20" s="494"/>
      <c r="K20" s="495"/>
      <c r="L20" s="189"/>
    </row>
    <row r="21" spans="1:13" s="188" customFormat="1" ht="12.75" customHeight="1" x14ac:dyDescent="0.2">
      <c r="A21" s="284">
        <v>6</v>
      </c>
      <c r="B21" s="196"/>
      <c r="C21" s="195" t="s">
        <v>257</v>
      </c>
      <c r="D21" s="273"/>
      <c r="E21" s="325">
        <v>-14.182612210001935</v>
      </c>
      <c r="F21" s="191"/>
      <c r="G21" s="496"/>
      <c r="H21" s="494"/>
      <c r="I21" s="494"/>
      <c r="J21" s="494"/>
      <c r="K21" s="495"/>
      <c r="L21" s="189"/>
    </row>
    <row r="22" spans="1:13" s="188" customFormat="1" x14ac:dyDescent="0.2">
      <c r="A22" s="284">
        <v>7</v>
      </c>
      <c r="B22" s="196"/>
      <c r="C22" s="195" t="s">
        <v>242</v>
      </c>
      <c r="D22" s="273"/>
      <c r="E22" s="325">
        <v>1444.1846537499989</v>
      </c>
      <c r="F22" s="387"/>
      <c r="G22" s="496"/>
      <c r="H22" s="494"/>
      <c r="I22" s="494"/>
      <c r="J22" s="494"/>
      <c r="K22" s="495"/>
      <c r="L22" s="189"/>
    </row>
    <row r="23" spans="1:13" s="188" customFormat="1" x14ac:dyDescent="0.2">
      <c r="A23" s="284">
        <v>8</v>
      </c>
      <c r="B23" s="196"/>
      <c r="C23" s="195" t="s">
        <v>243</v>
      </c>
      <c r="D23" s="273"/>
      <c r="E23" s="325">
        <v>752.981807</v>
      </c>
      <c r="F23" s="387"/>
      <c r="G23" s="496"/>
      <c r="H23" s="494"/>
      <c r="I23" s="494"/>
      <c r="J23" s="494"/>
      <c r="K23" s="495"/>
      <c r="L23" s="189"/>
    </row>
    <row r="24" spans="1:13" s="188" customFormat="1" x14ac:dyDescent="0.2">
      <c r="A24" s="284">
        <v>9</v>
      </c>
      <c r="B24" s="196"/>
      <c r="C24" s="195" t="s">
        <v>244</v>
      </c>
      <c r="D24" s="273"/>
      <c r="E24" s="325">
        <v>71.615322499999479</v>
      </c>
      <c r="F24" s="387"/>
      <c r="G24" s="496"/>
      <c r="H24" s="494"/>
      <c r="I24" s="494"/>
      <c r="J24" s="494"/>
      <c r="K24" s="495"/>
      <c r="L24" s="189"/>
    </row>
    <row r="25" spans="1:13" s="188" customFormat="1" x14ac:dyDescent="0.2">
      <c r="A25" s="284">
        <v>10</v>
      </c>
      <c r="B25" s="198"/>
      <c r="C25" s="195" t="s">
        <v>245</v>
      </c>
      <c r="D25" s="273"/>
      <c r="E25" s="326">
        <v>110.07270953000261</v>
      </c>
      <c r="F25" s="387"/>
      <c r="G25" s="496"/>
      <c r="H25" s="494"/>
      <c r="I25" s="494"/>
      <c r="J25" s="494"/>
      <c r="K25" s="495"/>
      <c r="L25" s="189"/>
    </row>
    <row r="26" spans="1:13" s="188" customFormat="1" x14ac:dyDescent="0.2">
      <c r="A26" s="284">
        <v>11</v>
      </c>
      <c r="B26" s="196"/>
      <c r="C26" s="195" t="s">
        <v>225</v>
      </c>
      <c r="D26" s="273"/>
      <c r="E26" s="190">
        <f>SUM(E18:E25)</f>
        <v>6972.450277089999</v>
      </c>
      <c r="F26" s="387"/>
      <c r="G26" s="496"/>
      <c r="H26" s="494"/>
      <c r="I26" s="494"/>
      <c r="J26" s="494"/>
      <c r="K26" s="495"/>
      <c r="L26" s="189"/>
    </row>
    <row r="27" spans="1:13" s="188" customFormat="1" x14ac:dyDescent="0.2">
      <c r="A27" s="284">
        <v>12</v>
      </c>
      <c r="B27" s="196"/>
      <c r="C27" s="195" t="s">
        <v>246</v>
      </c>
      <c r="D27" s="273"/>
      <c r="E27" s="387"/>
      <c r="F27" s="387"/>
      <c r="G27" s="496"/>
      <c r="H27" s="494"/>
      <c r="I27" s="494"/>
      <c r="J27" s="494"/>
      <c r="K27" s="495"/>
      <c r="L27" s="189"/>
    </row>
    <row r="28" spans="1:13" s="188" customFormat="1" x14ac:dyDescent="0.2">
      <c r="A28" s="284">
        <v>13</v>
      </c>
      <c r="B28" s="196"/>
      <c r="C28" s="195"/>
      <c r="D28" s="273"/>
      <c r="E28" s="387"/>
      <c r="F28" s="387"/>
      <c r="G28" s="496"/>
      <c r="H28" s="494"/>
      <c r="I28" s="494"/>
      <c r="J28" s="494"/>
      <c r="K28" s="495"/>
      <c r="L28" s="189"/>
    </row>
    <row r="29" spans="1:13" s="188" customFormat="1" x14ac:dyDescent="0.2">
      <c r="A29" s="284">
        <v>14</v>
      </c>
      <c r="B29" s="196"/>
      <c r="C29" s="195" t="s">
        <v>226</v>
      </c>
      <c r="D29" s="273"/>
      <c r="E29" s="387"/>
      <c r="F29" s="387"/>
      <c r="G29" s="496"/>
      <c r="H29" s="494"/>
      <c r="I29" s="494"/>
      <c r="J29" s="494"/>
      <c r="K29" s="495"/>
      <c r="L29" s="189"/>
    </row>
    <row r="30" spans="1:13" s="188" customFormat="1" x14ac:dyDescent="0.2">
      <c r="A30" s="284">
        <v>15</v>
      </c>
      <c r="B30" s="196"/>
      <c r="C30" s="195"/>
      <c r="D30" s="194"/>
      <c r="E30" s="315"/>
      <c r="F30" s="387"/>
      <c r="G30" s="496"/>
      <c r="H30" s="494"/>
      <c r="I30" s="494"/>
      <c r="J30" s="494"/>
      <c r="K30" s="495"/>
      <c r="L30" s="189"/>
    </row>
    <row r="31" spans="1:13" s="188" customFormat="1" x14ac:dyDescent="0.2">
      <c r="A31" s="284">
        <v>16</v>
      </c>
      <c r="B31" s="196"/>
      <c r="C31" s="192" t="s">
        <v>247</v>
      </c>
      <c r="D31" s="194"/>
      <c r="E31" s="190">
        <v>2057.2717780799985</v>
      </c>
      <c r="F31" s="387"/>
      <c r="G31" s="496"/>
      <c r="H31" s="494"/>
      <c r="I31" s="494"/>
      <c r="J31" s="494"/>
      <c r="K31" s="495"/>
      <c r="L31" s="189"/>
    </row>
    <row r="32" spans="1:13" s="188" customFormat="1" x14ac:dyDescent="0.2">
      <c r="A32" s="284">
        <v>17</v>
      </c>
      <c r="B32" s="196"/>
      <c r="C32" s="195"/>
      <c r="D32" s="194"/>
      <c r="E32" s="315"/>
      <c r="F32" s="387"/>
      <c r="G32" s="496"/>
      <c r="H32" s="494"/>
      <c r="I32" s="494"/>
      <c r="J32" s="494"/>
      <c r="K32" s="495"/>
      <c r="L32" s="189"/>
    </row>
    <row r="33" spans="1:12" s="188" customFormat="1" x14ac:dyDescent="0.2">
      <c r="A33" s="284">
        <v>18</v>
      </c>
      <c r="B33" s="196"/>
      <c r="C33" s="195" t="s">
        <v>227</v>
      </c>
      <c r="D33" s="194"/>
      <c r="E33" s="387"/>
      <c r="F33" s="387"/>
      <c r="G33" s="496"/>
      <c r="H33" s="494"/>
      <c r="I33" s="494"/>
      <c r="J33" s="494"/>
      <c r="K33" s="495"/>
      <c r="L33" s="189"/>
    </row>
    <row r="34" spans="1:12" s="188" customFormat="1" x14ac:dyDescent="0.2">
      <c r="A34" s="284">
        <v>19</v>
      </c>
      <c r="B34" s="198"/>
      <c r="C34" s="202" t="s">
        <v>248</v>
      </c>
      <c r="D34" s="194"/>
      <c r="E34" s="324">
        <v>3704.0770000000002</v>
      </c>
      <c r="F34" s="387"/>
      <c r="G34" s="496"/>
      <c r="H34" s="494"/>
      <c r="I34" s="494"/>
      <c r="J34" s="494"/>
      <c r="K34" s="495"/>
      <c r="L34" s="189"/>
    </row>
    <row r="35" spans="1:12" s="188" customFormat="1" x14ac:dyDescent="0.2">
      <c r="A35" s="284">
        <v>20</v>
      </c>
      <c r="B35" s="196"/>
      <c r="C35" s="202" t="s">
        <v>249</v>
      </c>
      <c r="D35" s="273"/>
      <c r="E35" s="324"/>
      <c r="F35" s="387"/>
      <c r="G35" s="496"/>
      <c r="H35" s="494"/>
      <c r="I35" s="494"/>
      <c r="J35" s="494"/>
      <c r="K35" s="495"/>
      <c r="L35" s="189"/>
    </row>
    <row r="36" spans="1:12" s="188" customFormat="1" x14ac:dyDescent="0.2">
      <c r="A36" s="284">
        <v>21</v>
      </c>
      <c r="B36" s="196"/>
      <c r="C36" s="202" t="s">
        <v>250</v>
      </c>
      <c r="D36" s="273"/>
      <c r="E36" s="324"/>
      <c r="F36" s="387"/>
      <c r="G36" s="496"/>
      <c r="H36" s="494"/>
      <c r="I36" s="494"/>
      <c r="J36" s="494"/>
      <c r="K36" s="495"/>
      <c r="L36" s="189"/>
    </row>
    <row r="37" spans="1:12" s="188" customFormat="1" x14ac:dyDescent="0.2">
      <c r="A37" s="284">
        <v>22</v>
      </c>
      <c r="B37" s="196"/>
      <c r="C37" s="202" t="s">
        <v>251</v>
      </c>
      <c r="D37" s="273"/>
      <c r="E37" s="324"/>
      <c r="F37" s="387"/>
      <c r="G37" s="496"/>
      <c r="H37" s="494"/>
      <c r="I37" s="494"/>
      <c r="J37" s="494"/>
      <c r="K37" s="495"/>
      <c r="L37" s="189"/>
    </row>
    <row r="38" spans="1:12" s="188" customFormat="1" x14ac:dyDescent="0.2">
      <c r="A38" s="284">
        <v>23</v>
      </c>
      <c r="B38" s="187"/>
      <c r="C38" s="202" t="s">
        <v>252</v>
      </c>
      <c r="D38" s="187"/>
      <c r="E38" s="324"/>
      <c r="F38" s="388"/>
      <c r="G38" s="496"/>
      <c r="H38" s="494"/>
      <c r="I38" s="494"/>
      <c r="J38" s="494"/>
      <c r="K38" s="495"/>
      <c r="L38" s="189"/>
    </row>
    <row r="39" spans="1:12" s="186" customFormat="1" x14ac:dyDescent="0.2">
      <c r="A39" s="284">
        <v>24</v>
      </c>
      <c r="B39" s="196"/>
      <c r="C39" s="202" t="s">
        <v>253</v>
      </c>
      <c r="D39" s="273"/>
      <c r="E39" s="389">
        <f>E26-SUM(E31:E38)</f>
        <v>1211.1014990100002</v>
      </c>
      <c r="F39" s="161"/>
      <c r="G39" s="496"/>
      <c r="H39" s="494"/>
      <c r="I39" s="494"/>
      <c r="J39" s="494"/>
      <c r="K39" s="495"/>
    </row>
    <row r="40" spans="1:12" s="188" customFormat="1" x14ac:dyDescent="0.2">
      <c r="A40" s="284">
        <v>25</v>
      </c>
      <c r="B40" s="196"/>
      <c r="C40" s="195" t="s">
        <v>228</v>
      </c>
      <c r="D40" s="273"/>
      <c r="E40" s="190">
        <f>SUM(E31:E39)</f>
        <v>6972.450277089999</v>
      </c>
      <c r="F40" s="161"/>
      <c r="G40" s="497"/>
      <c r="H40" s="498"/>
      <c r="I40" s="498"/>
      <c r="J40" s="498"/>
      <c r="K40" s="499"/>
    </row>
    <row r="41" spans="1:12" s="188" customFormat="1" x14ac:dyDescent="0.2">
      <c r="A41" s="284">
        <v>26</v>
      </c>
      <c r="B41" s="196"/>
      <c r="C41" s="195"/>
      <c r="D41" s="273"/>
      <c r="E41" s="190"/>
      <c r="F41" s="273"/>
      <c r="G41" s="414"/>
      <c r="H41" s="414"/>
      <c r="I41" s="414"/>
      <c r="J41" s="414"/>
      <c r="K41" s="414"/>
    </row>
    <row r="42" spans="1:12" s="188" customFormat="1" x14ac:dyDescent="0.2">
      <c r="A42" s="284">
        <v>27</v>
      </c>
      <c r="B42" s="196"/>
      <c r="C42" s="273"/>
      <c r="D42" s="273"/>
      <c r="E42" s="274" t="s">
        <v>277</v>
      </c>
      <c r="F42" s="197"/>
      <c r="G42" s="492" t="s">
        <v>258</v>
      </c>
      <c r="H42" s="492"/>
      <c r="I42" s="492"/>
      <c r="J42" s="492"/>
      <c r="K42" s="492"/>
    </row>
    <row r="43" spans="1:12" s="188" customFormat="1" x14ac:dyDescent="0.2">
      <c r="A43" s="284">
        <v>28</v>
      </c>
      <c r="B43" s="196"/>
      <c r="C43" s="273" t="s">
        <v>224</v>
      </c>
      <c r="D43" s="273"/>
      <c r="E43" s="323" t="str">
        <f>+E16</f>
        <v>December 31, 2024</v>
      </c>
      <c r="F43" s="273"/>
      <c r="G43" s="284">
        <f>+G16</f>
        <v>2025</v>
      </c>
      <c r="H43" s="284"/>
      <c r="I43" s="284">
        <f>+I16</f>
        <v>2026</v>
      </c>
      <c r="J43" s="284"/>
      <c r="K43" s="284">
        <f>+K16</f>
        <v>2027</v>
      </c>
    </row>
    <row r="44" spans="1:12" s="188" customFormat="1" x14ac:dyDescent="0.2">
      <c r="A44" s="284">
        <v>29</v>
      </c>
      <c r="B44" s="196"/>
      <c r="C44" s="273"/>
      <c r="D44" s="273"/>
      <c r="E44" s="478" t="s">
        <v>268</v>
      </c>
      <c r="F44" s="466"/>
      <c r="G44" s="466"/>
      <c r="H44" s="466"/>
      <c r="I44" s="466"/>
      <c r="J44" s="466"/>
      <c r="K44" s="467"/>
    </row>
    <row r="45" spans="1:12" s="188" customFormat="1" x14ac:dyDescent="0.2">
      <c r="A45" s="284">
        <v>30</v>
      </c>
      <c r="B45" s="196"/>
      <c r="C45" s="195" t="s">
        <v>254</v>
      </c>
      <c r="D45" s="199"/>
      <c r="E45" s="190">
        <f>E18</f>
        <v>1969.3206759500001</v>
      </c>
      <c r="F45" s="200"/>
      <c r="G45" s="493" t="s">
        <v>241</v>
      </c>
      <c r="H45" s="494"/>
      <c r="I45" s="494"/>
      <c r="J45" s="494"/>
      <c r="K45" s="495"/>
    </row>
    <row r="46" spans="1:12" s="188" customFormat="1" x14ac:dyDescent="0.2">
      <c r="A46" s="284">
        <v>31</v>
      </c>
      <c r="B46" s="196"/>
      <c r="C46" s="195" t="s">
        <v>255</v>
      </c>
      <c r="D46" s="199"/>
      <c r="E46" s="325">
        <f t="shared" ref="E46:E52" si="0">E19</f>
        <v>2400.4066415099996</v>
      </c>
      <c r="F46" s="200"/>
      <c r="G46" s="496"/>
      <c r="H46" s="494"/>
      <c r="I46" s="494"/>
      <c r="J46" s="494"/>
      <c r="K46" s="495"/>
    </row>
    <row r="47" spans="1:12" s="188" customFormat="1" x14ac:dyDescent="0.2">
      <c r="A47" s="284">
        <v>32</v>
      </c>
      <c r="B47" s="196"/>
      <c r="C47" s="195" t="s">
        <v>256</v>
      </c>
      <c r="D47" s="273"/>
      <c r="E47" s="325">
        <f t="shared" si="0"/>
        <v>238.05107906000001</v>
      </c>
      <c r="F47" s="190"/>
      <c r="G47" s="496"/>
      <c r="H47" s="494"/>
      <c r="I47" s="494"/>
      <c r="J47" s="494"/>
      <c r="K47" s="495"/>
    </row>
    <row r="48" spans="1:12" s="188" customFormat="1" x14ac:dyDescent="0.2">
      <c r="A48" s="284">
        <v>33</v>
      </c>
      <c r="B48" s="196"/>
      <c r="C48" s="195" t="s">
        <v>257</v>
      </c>
      <c r="D48" s="273"/>
      <c r="E48" s="325">
        <f t="shared" si="0"/>
        <v>-14.182612210001935</v>
      </c>
      <c r="F48" s="191"/>
      <c r="G48" s="496"/>
      <c r="H48" s="494"/>
      <c r="I48" s="494"/>
      <c r="J48" s="494"/>
      <c r="K48" s="495"/>
    </row>
    <row r="49" spans="1:11" s="188" customFormat="1" x14ac:dyDescent="0.2">
      <c r="A49" s="284">
        <v>34</v>
      </c>
      <c r="B49" s="196"/>
      <c r="C49" s="195" t="s">
        <v>242</v>
      </c>
      <c r="D49" s="273"/>
      <c r="E49" s="325">
        <f t="shared" si="0"/>
        <v>1444.1846537499989</v>
      </c>
      <c r="F49" s="201"/>
      <c r="G49" s="496"/>
      <c r="H49" s="494"/>
      <c r="I49" s="494"/>
      <c r="J49" s="494"/>
      <c r="K49" s="495"/>
    </row>
    <row r="50" spans="1:11" s="188" customFormat="1" x14ac:dyDescent="0.2">
      <c r="A50" s="284">
        <v>35</v>
      </c>
      <c r="B50" s="196"/>
      <c r="C50" s="195" t="s">
        <v>243</v>
      </c>
      <c r="D50" s="273"/>
      <c r="E50" s="325">
        <f t="shared" si="0"/>
        <v>752.981807</v>
      </c>
      <c r="F50" s="201"/>
      <c r="G50" s="496"/>
      <c r="H50" s="494"/>
      <c r="I50" s="494"/>
      <c r="J50" s="494"/>
      <c r="K50" s="495"/>
    </row>
    <row r="51" spans="1:11" s="188" customFormat="1" x14ac:dyDescent="0.2">
      <c r="A51" s="284">
        <v>36</v>
      </c>
      <c r="B51" s="196"/>
      <c r="C51" s="195" t="s">
        <v>244</v>
      </c>
      <c r="D51" s="273"/>
      <c r="E51" s="325">
        <f t="shared" si="0"/>
        <v>71.615322499999479</v>
      </c>
      <c r="F51" s="201"/>
      <c r="G51" s="496"/>
      <c r="H51" s="494"/>
      <c r="I51" s="494"/>
      <c r="J51" s="494"/>
      <c r="K51" s="495"/>
    </row>
    <row r="52" spans="1:11" s="188" customFormat="1" x14ac:dyDescent="0.2">
      <c r="A52" s="284">
        <v>37</v>
      </c>
      <c r="B52" s="196"/>
      <c r="C52" s="195" t="s">
        <v>245</v>
      </c>
      <c r="D52" s="273"/>
      <c r="E52" s="326">
        <f t="shared" si="0"/>
        <v>110.07270953000261</v>
      </c>
      <c r="F52" s="201"/>
      <c r="G52" s="496"/>
      <c r="H52" s="494"/>
      <c r="I52" s="494"/>
      <c r="J52" s="494"/>
      <c r="K52" s="495"/>
    </row>
    <row r="53" spans="1:11" s="188" customFormat="1" x14ac:dyDescent="0.2">
      <c r="A53" s="284">
        <v>38</v>
      </c>
      <c r="B53" s="196"/>
      <c r="C53" s="195" t="s">
        <v>225</v>
      </c>
      <c r="D53" s="273"/>
      <c r="E53" s="190">
        <f>SUM(E45:E52)</f>
        <v>6972.450277089999</v>
      </c>
      <c r="F53" s="201"/>
      <c r="G53" s="496"/>
      <c r="H53" s="494"/>
      <c r="I53" s="494"/>
      <c r="J53" s="494"/>
      <c r="K53" s="495"/>
    </row>
    <row r="54" spans="1:11" s="188" customFormat="1" x14ac:dyDescent="0.2">
      <c r="A54" s="284">
        <v>39</v>
      </c>
      <c r="B54" s="196"/>
      <c r="C54" s="195" t="s">
        <v>246</v>
      </c>
      <c r="D54" s="273"/>
      <c r="E54" s="387"/>
      <c r="F54" s="201"/>
      <c r="G54" s="496"/>
      <c r="H54" s="494"/>
      <c r="I54" s="494"/>
      <c r="J54" s="494"/>
      <c r="K54" s="495"/>
    </row>
    <row r="55" spans="1:11" s="188" customFormat="1" x14ac:dyDescent="0.2">
      <c r="A55" s="284">
        <v>40</v>
      </c>
      <c r="B55" s="196"/>
      <c r="C55" s="195"/>
      <c r="D55" s="273"/>
      <c r="E55" s="387"/>
      <c r="F55" s="201"/>
      <c r="G55" s="496"/>
      <c r="H55" s="494"/>
      <c r="I55" s="494"/>
      <c r="J55" s="494"/>
      <c r="K55" s="495"/>
    </row>
    <row r="56" spans="1:11" s="188" customFormat="1" x14ac:dyDescent="0.2">
      <c r="A56" s="284">
        <v>41</v>
      </c>
      <c r="B56" s="196"/>
      <c r="C56" s="195" t="s">
        <v>226</v>
      </c>
      <c r="D56" s="273"/>
      <c r="E56" s="387"/>
      <c r="F56" s="201"/>
      <c r="G56" s="496"/>
      <c r="H56" s="494"/>
      <c r="I56" s="494"/>
      <c r="J56" s="494"/>
      <c r="K56" s="495"/>
    </row>
    <row r="57" spans="1:11" s="188" customFormat="1" x14ac:dyDescent="0.2">
      <c r="A57" s="284">
        <v>42</v>
      </c>
      <c r="B57" s="196"/>
      <c r="C57" s="195"/>
      <c r="D57" s="194"/>
      <c r="E57" s="315"/>
      <c r="F57" s="201"/>
      <c r="G57" s="496"/>
      <c r="H57" s="494"/>
      <c r="I57" s="494"/>
      <c r="J57" s="494"/>
      <c r="K57" s="495"/>
    </row>
    <row r="58" spans="1:11" s="188" customFormat="1" x14ac:dyDescent="0.2">
      <c r="A58" s="284">
        <v>43</v>
      </c>
      <c r="B58" s="196"/>
      <c r="C58" s="192" t="s">
        <v>247</v>
      </c>
      <c r="D58" s="194"/>
      <c r="E58" s="190">
        <f>E31</f>
        <v>2057.2717780799985</v>
      </c>
      <c r="F58" s="201"/>
      <c r="G58" s="496"/>
      <c r="H58" s="494"/>
      <c r="I58" s="494"/>
      <c r="J58" s="494"/>
      <c r="K58" s="495"/>
    </row>
    <row r="59" spans="1:11" s="188" customFormat="1" x14ac:dyDescent="0.2">
      <c r="A59" s="284">
        <v>44</v>
      </c>
      <c r="B59" s="196"/>
      <c r="C59" s="195"/>
      <c r="D59" s="194"/>
      <c r="E59" s="315"/>
      <c r="F59" s="201"/>
      <c r="G59" s="496"/>
      <c r="H59" s="494"/>
      <c r="I59" s="494"/>
      <c r="J59" s="494"/>
      <c r="K59" s="495"/>
    </row>
    <row r="60" spans="1:11" s="188" customFormat="1" x14ac:dyDescent="0.2">
      <c r="A60" s="284">
        <v>45</v>
      </c>
      <c r="B60" s="196"/>
      <c r="C60" s="195" t="s">
        <v>227</v>
      </c>
      <c r="D60" s="194"/>
      <c r="E60" s="387"/>
      <c r="F60" s="201"/>
      <c r="G60" s="496"/>
      <c r="H60" s="494"/>
      <c r="I60" s="494"/>
      <c r="J60" s="494"/>
      <c r="K60" s="495"/>
    </row>
    <row r="61" spans="1:11" s="188" customFormat="1" x14ac:dyDescent="0.2">
      <c r="A61" s="284">
        <v>46</v>
      </c>
      <c r="B61" s="196"/>
      <c r="C61" s="202" t="s">
        <v>248</v>
      </c>
      <c r="D61" s="194"/>
      <c r="E61" s="325">
        <f t="shared" ref="E61:E66" si="1">E34</f>
        <v>3704.0770000000002</v>
      </c>
      <c r="F61" s="201"/>
      <c r="G61" s="496"/>
      <c r="H61" s="494"/>
      <c r="I61" s="494"/>
      <c r="J61" s="494"/>
      <c r="K61" s="495"/>
    </row>
    <row r="62" spans="1:11" s="188" customFormat="1" x14ac:dyDescent="0.2">
      <c r="A62" s="284">
        <v>47</v>
      </c>
      <c r="B62" s="196"/>
      <c r="C62" s="202" t="s">
        <v>249</v>
      </c>
      <c r="D62" s="273"/>
      <c r="E62" s="325">
        <f t="shared" si="1"/>
        <v>0</v>
      </c>
      <c r="F62" s="203"/>
      <c r="G62" s="496"/>
      <c r="H62" s="494"/>
      <c r="I62" s="494"/>
      <c r="J62" s="494"/>
      <c r="K62" s="495"/>
    </row>
    <row r="63" spans="1:11" s="188" customFormat="1" x14ac:dyDescent="0.2">
      <c r="A63" s="284">
        <v>48</v>
      </c>
      <c r="B63" s="196"/>
      <c r="C63" s="202" t="s">
        <v>250</v>
      </c>
      <c r="D63" s="273"/>
      <c r="E63" s="325">
        <f t="shared" si="1"/>
        <v>0</v>
      </c>
      <c r="F63" s="203"/>
      <c r="G63" s="496"/>
      <c r="H63" s="494"/>
      <c r="I63" s="494"/>
      <c r="J63" s="494"/>
      <c r="K63" s="495"/>
    </row>
    <row r="64" spans="1:11" s="188" customFormat="1" x14ac:dyDescent="0.2">
      <c r="A64" s="284">
        <v>49</v>
      </c>
      <c r="B64" s="196"/>
      <c r="C64" s="202" t="s">
        <v>251</v>
      </c>
      <c r="D64" s="273"/>
      <c r="E64" s="325">
        <f t="shared" si="1"/>
        <v>0</v>
      </c>
      <c r="F64" s="201"/>
      <c r="G64" s="496"/>
      <c r="H64" s="494"/>
      <c r="I64" s="494"/>
      <c r="J64" s="494"/>
      <c r="K64" s="495"/>
    </row>
    <row r="65" spans="1:11" s="188" customFormat="1" x14ac:dyDescent="0.2">
      <c r="A65" s="284">
        <v>50</v>
      </c>
      <c r="B65" s="196"/>
      <c r="C65" s="202" t="s">
        <v>252</v>
      </c>
      <c r="D65" s="187"/>
      <c r="E65" s="325">
        <f t="shared" si="1"/>
        <v>0</v>
      </c>
      <c r="F65" s="186"/>
      <c r="G65" s="496"/>
      <c r="H65" s="494"/>
      <c r="I65" s="494"/>
      <c r="J65" s="494"/>
      <c r="K65" s="495"/>
    </row>
    <row r="66" spans="1:11" s="188" customFormat="1" x14ac:dyDescent="0.2">
      <c r="A66" s="284">
        <v>51</v>
      </c>
      <c r="B66" s="196"/>
      <c r="C66" s="202" t="s">
        <v>253</v>
      </c>
      <c r="D66" s="273"/>
      <c r="E66" s="326">
        <f t="shared" si="1"/>
        <v>1211.1014990100002</v>
      </c>
      <c r="F66" s="273"/>
      <c r="G66" s="496"/>
      <c r="H66" s="494"/>
      <c r="I66" s="494"/>
      <c r="J66" s="494"/>
      <c r="K66" s="495"/>
    </row>
    <row r="67" spans="1:11" s="188" customFormat="1" x14ac:dyDescent="0.2">
      <c r="A67" s="284">
        <v>52</v>
      </c>
      <c r="B67" s="196"/>
      <c r="C67" s="195" t="s">
        <v>228</v>
      </c>
      <c r="D67" s="273"/>
      <c r="E67" s="190">
        <f>SUM(E58:E66)</f>
        <v>6972.450277089999</v>
      </c>
      <c r="F67" s="273"/>
      <c r="G67" s="497"/>
      <c r="H67" s="498"/>
      <c r="I67" s="498"/>
      <c r="J67" s="498"/>
      <c r="K67" s="499"/>
    </row>
    <row r="68" spans="1:11" s="188" customFormat="1" x14ac:dyDescent="0.2">
      <c r="A68" s="284">
        <v>53</v>
      </c>
      <c r="B68" s="196"/>
      <c r="C68" s="195"/>
      <c r="D68" s="273"/>
      <c r="E68" s="190"/>
      <c r="F68" s="273"/>
      <c r="G68" s="322"/>
      <c r="H68" s="322"/>
      <c r="I68" s="322"/>
      <c r="J68" s="322"/>
      <c r="K68" s="322"/>
    </row>
    <row r="69" spans="1:11" s="268" customFormat="1" x14ac:dyDescent="0.2">
      <c r="A69" s="284">
        <v>54</v>
      </c>
      <c r="C69" s="268" t="s">
        <v>261</v>
      </c>
    </row>
    <row r="70" spans="1:11" s="268" customFormat="1" x14ac:dyDescent="0.2"/>
    <row r="71" spans="1:11" s="132" customFormat="1" x14ac:dyDescent="0.2">
      <c r="E71" s="268"/>
    </row>
    <row r="72" spans="1:11" s="132" customFormat="1" x14ac:dyDescent="0.2">
      <c r="E72" s="268"/>
    </row>
    <row r="73" spans="1:11" s="132" customFormat="1" x14ac:dyDescent="0.2">
      <c r="E73" s="268"/>
    </row>
    <row r="74" spans="1:11" s="132" customFormat="1" x14ac:dyDescent="0.2">
      <c r="E74" s="268"/>
    </row>
    <row r="75" spans="1:11" s="132" customFormat="1" x14ac:dyDescent="0.2">
      <c r="E75" s="268"/>
    </row>
  </sheetData>
  <mergeCells count="7">
    <mergeCell ref="G42:K42"/>
    <mergeCell ref="E44:K44"/>
    <mergeCell ref="G45:K67"/>
    <mergeCell ref="E14:K14"/>
    <mergeCell ref="G15:K15"/>
    <mergeCell ref="E17:K17"/>
    <mergeCell ref="G18:K40"/>
  </mergeCells>
  <phoneticPr fontId="4" type="noConversion"/>
  <printOptions horizontalCentered="1"/>
  <pageMargins left="0.5" right="0.5" top="2.5" bottom="0.5" header="1.25" footer="0.5"/>
  <pageSetup scale="98" fitToHeight="0" orientation="landscape"/>
  <headerFooter alignWithMargins="0">
    <oddHeader>&amp;R&amp;"Arial,Bold"Schedule &amp;A
Page &amp;P of &amp;N&amp;C&amp;B
2025 RATE CASE
ONCOR ELECTRIC DELIVERY COMPANY LLC
II-C-2.7  CAPITAL REQUIREMENTS AND ACQUISITION PLAN
TEST YEAR ENDING DECEMBER 31, 2024
SPONSORS: K. FEASE &amp;&amp; E. BUCK</oddHeader>
  </headerFooter>
  <rowBreaks count="1" manualBreakCount="1">
    <brk id="41" max="12" man="1"/>
  </rowBreaks>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tabColor rgb="FF00B050"/>
    <pageSetUpPr fitToPage="1"/>
  </sheetPr>
  <dimension ref="A1:L132"/>
  <sheetViews>
    <sheetView zoomScaleNormal="100" workbookViewId="0">
      <selection activeCell="O29" sqref="O29"/>
    </sheetView>
  </sheetViews>
  <sheetFormatPr defaultColWidth="9.140625" defaultRowHeight="12.75" x14ac:dyDescent="0.2"/>
  <cols>
    <col min="1" max="1" width="5.7109375" style="20" customWidth="1"/>
    <col min="2" max="2" width="69.7109375" style="20" bestFit="1" customWidth="1"/>
    <col min="3" max="3" width="1.7109375" style="20" customWidth="1"/>
    <col min="4" max="4" width="9.140625" style="20"/>
    <col min="5" max="5" width="1.7109375" style="20" customWidth="1"/>
    <col min="6" max="6" width="9.140625" style="20"/>
    <col min="7" max="7" width="1.7109375" style="20" customWidth="1"/>
    <col min="8" max="8" width="9.140625" style="20"/>
    <col min="9" max="9" width="1.7109375" style="20" customWidth="1"/>
    <col min="10" max="10" width="9.140625" style="20"/>
    <col min="11" max="11" width="1.7109375" style="20" customWidth="1"/>
    <col min="12" max="16384" width="9.140625" style="20"/>
  </cols>
  <sheetData>
    <row r="1" spans="1:12" x14ac:dyDescent="0.2">
      <c r="A1" s="5" t="str">
        <f>+'[1]Input Data'!$A$9</f>
        <v>2025 RATE CASE</v>
      </c>
    </row>
    <row r="2" spans="1:12" s="7" customFormat="1" x14ac:dyDescent="0.2">
      <c r="A2" s="61" t="str">
        <f>+'[1]Input Data'!$A$2</f>
        <v>ONCOR ELECTRIC DELIVERY COMPANY LLC</v>
      </c>
      <c r="B2" s="10"/>
      <c r="C2" s="13"/>
    </row>
    <row r="3" spans="1:12" s="7" customFormat="1" x14ac:dyDescent="0.2">
      <c r="A3" s="61" t="str">
        <f>CONCATENATE('[1]Schedule Sponsors'!$A$44,'[1]Schedule Sponsors'!$B$44)</f>
        <v>II-C-2.8  FINANCIAL RATIOS</v>
      </c>
      <c r="B3" s="11"/>
      <c r="C3" s="12"/>
    </row>
    <row r="4" spans="1:12" s="7" customFormat="1" x14ac:dyDescent="0.2">
      <c r="A4" s="62" t="str">
        <f>+'[1]Input Data'!$A$4</f>
        <v>TEST YEAR ENDING DECEMBER 31, 2024</v>
      </c>
      <c r="B4" s="14"/>
      <c r="C4" s="14"/>
    </row>
    <row r="5" spans="1:12" s="7" customFormat="1" x14ac:dyDescent="0.2">
      <c r="A5" s="5" t="str">
        <f>CONCATENATE("SPONSORS: ",'[1]Schedule Sponsors'!$D$44)</f>
        <v>SPONSORS: K. FEASE &amp;&amp; W. ALAN LEDBETTER</v>
      </c>
      <c r="B5" s="14"/>
      <c r="C5" s="14"/>
    </row>
    <row r="6" spans="1:12" s="7" customFormat="1" x14ac:dyDescent="0.2">
      <c r="B6" s="14"/>
      <c r="C6" s="14"/>
    </row>
    <row r="7" spans="1:12" s="7" customFormat="1" x14ac:dyDescent="0.2">
      <c r="B7" s="14"/>
      <c r="C7" s="14"/>
    </row>
    <row r="8" spans="1:12" s="7" customFormat="1" x14ac:dyDescent="0.2">
      <c r="A8" s="11"/>
      <c r="B8" s="11"/>
      <c r="C8" s="12"/>
    </row>
    <row r="9" spans="1:12" s="7" customFormat="1" x14ac:dyDescent="0.2">
      <c r="A9" s="11"/>
      <c r="B9" s="11"/>
      <c r="C9" s="12"/>
    </row>
    <row r="11" spans="1:12" s="212" customFormat="1" ht="14.25" customHeight="1" x14ac:dyDescent="0.2">
      <c r="A11" s="219" t="s">
        <v>84</v>
      </c>
      <c r="B11" s="213"/>
      <c r="C11" s="214"/>
    </row>
    <row r="12" spans="1:12" s="212" customFormat="1" x14ac:dyDescent="0.2">
      <c r="A12" s="215" t="s">
        <v>20</v>
      </c>
      <c r="B12" s="216" t="s">
        <v>17</v>
      </c>
      <c r="C12" s="217"/>
      <c r="D12" s="218">
        <v>2020</v>
      </c>
      <c r="E12" s="218"/>
      <c r="F12" s="218">
        <v>2021</v>
      </c>
      <c r="G12" s="218"/>
      <c r="H12" s="218">
        <v>2022</v>
      </c>
      <c r="I12" s="218"/>
      <c r="J12" s="218">
        <v>2023</v>
      </c>
      <c r="K12" s="218"/>
      <c r="L12" s="218">
        <v>2024</v>
      </c>
    </row>
    <row r="13" spans="1:12" s="186" customFormat="1" x14ac:dyDescent="0.2">
      <c r="A13" s="205"/>
      <c r="B13" s="207"/>
      <c r="C13" s="208"/>
      <c r="D13" s="206"/>
      <c r="E13" s="206"/>
      <c r="F13" s="206"/>
      <c r="G13" s="206"/>
      <c r="H13" s="206"/>
      <c r="I13" s="206"/>
      <c r="J13" s="206"/>
      <c r="K13" s="206"/>
      <c r="L13" s="206"/>
    </row>
    <row r="14" spans="1:12" s="270" customFormat="1" x14ac:dyDescent="0.2">
      <c r="A14" s="204">
        <v>1</v>
      </c>
      <c r="B14" s="390" t="s">
        <v>193</v>
      </c>
      <c r="C14" s="209"/>
      <c r="D14" s="392">
        <v>0.54924715824555137</v>
      </c>
      <c r="E14" s="392"/>
      <c r="F14" s="392">
        <v>0.54996984814429029</v>
      </c>
      <c r="G14" s="392"/>
      <c r="H14" s="392">
        <v>0.55196145905024085</v>
      </c>
      <c r="I14" s="393"/>
      <c r="J14" s="392">
        <v>0.57370964957707582</v>
      </c>
      <c r="K14" s="393"/>
      <c r="L14" s="392">
        <v>0.57404476599593035</v>
      </c>
    </row>
    <row r="15" spans="1:12" s="270" customFormat="1" x14ac:dyDescent="0.2">
      <c r="A15" s="204">
        <v>2</v>
      </c>
      <c r="B15" s="390" t="s">
        <v>263</v>
      </c>
      <c r="C15" s="209"/>
      <c r="D15" s="392">
        <v>2.7938751472320379E-2</v>
      </c>
      <c r="E15" s="392"/>
      <c r="F15" s="392">
        <v>2.4265923150649123E-2</v>
      </c>
      <c r="G15" s="392"/>
      <c r="H15" s="392">
        <v>3.7812958774749036E-2</v>
      </c>
      <c r="I15" s="393"/>
      <c r="J15" s="392">
        <v>4.772427558185123E-2</v>
      </c>
      <c r="K15" s="393"/>
      <c r="L15" s="392">
        <v>5.3637193490509619E-2</v>
      </c>
    </row>
    <row r="16" spans="1:12" s="270" customFormat="1" x14ac:dyDescent="0.2">
      <c r="A16" s="204">
        <v>3</v>
      </c>
      <c r="B16" s="390" t="s">
        <v>194</v>
      </c>
      <c r="C16" s="209"/>
      <c r="D16" s="392">
        <v>0.15644913205888816</v>
      </c>
      <c r="E16" s="392"/>
      <c r="F16" s="392">
        <v>0.14022371875356696</v>
      </c>
      <c r="G16" s="392"/>
      <c r="H16" s="392">
        <v>0.15524972137988233</v>
      </c>
      <c r="I16" s="393"/>
      <c r="J16" s="392">
        <v>0.1721285103644804</v>
      </c>
      <c r="K16" s="393"/>
      <c r="L16" s="392">
        <v>0.18422852544759605</v>
      </c>
    </row>
    <row r="17" spans="1:12" s="270" customFormat="1" x14ac:dyDescent="0.2">
      <c r="A17" s="204">
        <v>4</v>
      </c>
      <c r="B17" s="390" t="s">
        <v>141</v>
      </c>
      <c r="C17" s="210"/>
      <c r="D17" s="394">
        <v>2.9339622641509435</v>
      </c>
      <c r="E17" s="394"/>
      <c r="F17" s="394">
        <v>3.103286384976526</v>
      </c>
      <c r="G17" s="394"/>
      <c r="H17" s="394">
        <v>3.289416846652268</v>
      </c>
      <c r="I17" s="393"/>
      <c r="J17" s="394">
        <v>2.7539823008849558</v>
      </c>
      <c r="K17" s="393"/>
      <c r="L17" s="394">
        <v>2.5982783357245336</v>
      </c>
    </row>
    <row r="18" spans="1:12" s="270" customFormat="1" x14ac:dyDescent="0.2">
      <c r="A18" s="204">
        <v>5</v>
      </c>
      <c r="B18" s="390" t="s">
        <v>142</v>
      </c>
      <c r="C18" s="210"/>
      <c r="D18" s="392">
        <v>0.16924910607866508</v>
      </c>
      <c r="E18" s="392"/>
      <c r="F18" s="392">
        <v>0.16925837320574164</v>
      </c>
      <c r="G18" s="392"/>
      <c r="H18" s="392">
        <v>0.1659244745279658</v>
      </c>
      <c r="I18" s="393"/>
      <c r="J18" s="392">
        <v>0.15209869113885963</v>
      </c>
      <c r="K18" s="393"/>
      <c r="L18" s="392">
        <v>0.14789287120913747</v>
      </c>
    </row>
    <row r="19" spans="1:12" s="270" customFormat="1" x14ac:dyDescent="0.2">
      <c r="A19" s="204">
        <v>6</v>
      </c>
      <c r="B19" s="390" t="s">
        <v>269</v>
      </c>
      <c r="C19" s="210"/>
      <c r="D19" s="394">
        <v>2.9203747072599531</v>
      </c>
      <c r="E19" s="394"/>
      <c r="F19" s="394">
        <v>3.0885780885780885</v>
      </c>
      <c r="G19" s="394"/>
      <c r="H19" s="394">
        <v>3.2746781115879831</v>
      </c>
      <c r="I19" s="393"/>
      <c r="J19" s="394">
        <v>2.744718309859155</v>
      </c>
      <c r="K19" s="393"/>
      <c r="L19" s="394">
        <v>2.5914285714285716</v>
      </c>
    </row>
    <row r="20" spans="1:12" s="270" customFormat="1" ht="12.75" customHeight="1" x14ac:dyDescent="0.2">
      <c r="A20" s="204">
        <v>7</v>
      </c>
      <c r="B20" s="391" t="s">
        <v>270</v>
      </c>
      <c r="C20" s="210"/>
      <c r="D20" s="394">
        <v>2.9203747072599531</v>
      </c>
      <c r="E20" s="394"/>
      <c r="F20" s="394">
        <v>3.0885780885780885</v>
      </c>
      <c r="G20" s="394"/>
      <c r="H20" s="394">
        <v>3.2746781115879831</v>
      </c>
      <c r="I20" s="393"/>
      <c r="J20" s="394">
        <v>2.744718309859155</v>
      </c>
      <c r="K20" s="393"/>
      <c r="L20" s="394">
        <v>2.5914285714285716</v>
      </c>
    </row>
    <row r="21" spans="1:12" s="270" customFormat="1" x14ac:dyDescent="0.2">
      <c r="A21" s="204">
        <v>8</v>
      </c>
      <c r="B21" s="390" t="s">
        <v>195</v>
      </c>
      <c r="C21" s="210"/>
      <c r="D21" s="394">
        <v>4.6415094339622645</v>
      </c>
      <c r="E21" s="394"/>
      <c r="F21" s="394">
        <v>4.938967136150235</v>
      </c>
      <c r="G21" s="394"/>
      <c r="H21" s="394">
        <v>4.9762419006479481</v>
      </c>
      <c r="I21" s="393"/>
      <c r="J21" s="394">
        <v>4.4973451327433631</v>
      </c>
      <c r="K21" s="393"/>
      <c r="L21" s="394">
        <v>4.1391678622668584</v>
      </c>
    </row>
    <row r="22" spans="1:12" s="270" customFormat="1" x14ac:dyDescent="0.2">
      <c r="A22" s="204">
        <v>9</v>
      </c>
      <c r="B22" s="390" t="s">
        <v>143</v>
      </c>
      <c r="C22" s="209"/>
      <c r="D22" s="392">
        <v>0.4839486356340289</v>
      </c>
      <c r="E22" s="392"/>
      <c r="F22" s="392">
        <v>0.34961334961334961</v>
      </c>
      <c r="G22" s="392"/>
      <c r="H22" s="392">
        <v>0.48013355592654422</v>
      </c>
      <c r="I22" s="393"/>
      <c r="J22" s="392">
        <v>0.3925233644859813</v>
      </c>
      <c r="K22" s="393"/>
      <c r="L22" s="392">
        <v>0.32758244158113126</v>
      </c>
    </row>
    <row r="23" spans="1:12" s="270" customFormat="1" x14ac:dyDescent="0.2">
      <c r="A23" s="204">
        <v>10</v>
      </c>
      <c r="B23" s="390" t="s">
        <v>144</v>
      </c>
      <c r="C23" s="211"/>
      <c r="D23" s="395">
        <v>4.3876404494382024</v>
      </c>
      <c r="E23" s="395"/>
      <c r="F23" s="395">
        <v>2.0238379022646007</v>
      </c>
      <c r="G23" s="395"/>
      <c r="H23" s="395">
        <v>4.3835294117647061</v>
      </c>
      <c r="I23" s="393"/>
      <c r="J23" s="395">
        <v>3.6630434782608696</v>
      </c>
      <c r="K23" s="393"/>
      <c r="L23" s="395">
        <v>2.9920318725099602</v>
      </c>
    </row>
    <row r="24" spans="1:12" s="270" customFormat="1" x14ac:dyDescent="0.2">
      <c r="A24" s="204">
        <v>11</v>
      </c>
      <c r="B24" s="390" t="s">
        <v>145</v>
      </c>
      <c r="C24" s="209"/>
      <c r="D24" s="392">
        <v>0.1018353210026423</v>
      </c>
      <c r="E24" s="392"/>
      <c r="F24" s="392">
        <v>9.7573338402078186E-2</v>
      </c>
      <c r="G24" s="392"/>
      <c r="H24" s="392">
        <v>0.10448536627604918</v>
      </c>
      <c r="I24" s="393"/>
      <c r="J24" s="392">
        <v>9.0985678180286439E-2</v>
      </c>
      <c r="K24" s="393"/>
      <c r="L24" s="392">
        <v>9.1398357095647254E-2</v>
      </c>
    </row>
    <row r="25" spans="1:12" s="119" customFormat="1" x14ac:dyDescent="0.2">
      <c r="A25" s="118"/>
      <c r="B25" s="120"/>
      <c r="C25" s="121"/>
    </row>
    <row r="26" spans="1:12" s="119" customFormat="1" x14ac:dyDescent="0.2">
      <c r="A26" s="118"/>
      <c r="B26" s="120"/>
      <c r="C26" s="122"/>
    </row>
    <row r="27" spans="1:12" s="105" customFormat="1" x14ac:dyDescent="0.2"/>
    <row r="28" spans="1:12" s="105" customFormat="1" x14ac:dyDescent="0.2"/>
    <row r="29" spans="1:12" s="105" customFormat="1" x14ac:dyDescent="0.2"/>
    <row r="30" spans="1:12" s="105" customFormat="1" x14ac:dyDescent="0.2"/>
    <row r="31" spans="1:12" s="111" customFormat="1" x14ac:dyDescent="0.2"/>
    <row r="32" spans="1:12" s="111" customFormat="1" x14ac:dyDescent="0.2"/>
    <row r="33" s="111" customFormat="1" x14ac:dyDescent="0.2"/>
    <row r="34" s="111" customFormat="1" x14ac:dyDescent="0.2"/>
    <row r="35" s="111" customFormat="1" x14ac:dyDescent="0.2"/>
    <row r="36" s="111" customFormat="1" x14ac:dyDescent="0.2"/>
    <row r="37" s="111" customFormat="1" x14ac:dyDescent="0.2"/>
    <row r="38" s="111" customFormat="1" x14ac:dyDescent="0.2"/>
    <row r="39" s="111" customFormat="1" x14ac:dyDescent="0.2"/>
    <row r="40" s="111" customFormat="1" x14ac:dyDescent="0.2"/>
    <row r="41" s="111" customFormat="1" x14ac:dyDescent="0.2"/>
    <row r="42" s="111" customFormat="1" x14ac:dyDescent="0.2"/>
    <row r="43" s="111" customFormat="1" x14ac:dyDescent="0.2"/>
    <row r="44" s="111" customFormat="1" x14ac:dyDescent="0.2"/>
    <row r="45" s="111" customFormat="1" x14ac:dyDescent="0.2"/>
    <row r="46" s="111" customFormat="1" x14ac:dyDescent="0.2"/>
    <row r="47" s="111" customFormat="1" x14ac:dyDescent="0.2"/>
    <row r="48" s="111" customFormat="1" x14ac:dyDescent="0.2"/>
    <row r="49" s="111" customFormat="1" x14ac:dyDescent="0.2"/>
    <row r="50" s="111" customFormat="1" x14ac:dyDescent="0.2"/>
    <row r="51" s="111" customFormat="1" x14ac:dyDescent="0.2"/>
    <row r="52" s="111" customFormat="1" x14ac:dyDescent="0.2"/>
    <row r="53" s="111" customFormat="1" x14ac:dyDescent="0.2"/>
    <row r="54" s="111" customFormat="1" x14ac:dyDescent="0.2"/>
    <row r="55" s="111" customFormat="1" x14ac:dyDescent="0.2"/>
    <row r="56" s="111" customFormat="1" x14ac:dyDescent="0.2"/>
    <row r="57" s="111" customFormat="1" x14ac:dyDescent="0.2"/>
    <row r="58" s="111" customFormat="1" x14ac:dyDescent="0.2"/>
    <row r="59" s="111" customFormat="1" x14ac:dyDescent="0.2"/>
    <row r="60" s="111" customFormat="1" x14ac:dyDescent="0.2"/>
    <row r="61" s="111" customFormat="1" x14ac:dyDescent="0.2"/>
    <row r="62" s="111" customFormat="1" x14ac:dyDescent="0.2"/>
    <row r="63" s="111" customFormat="1" x14ac:dyDescent="0.2"/>
    <row r="64" s="111" customFormat="1" x14ac:dyDescent="0.2"/>
    <row r="65" s="111" customFormat="1" x14ac:dyDescent="0.2"/>
    <row r="66" s="111" customFormat="1" x14ac:dyDescent="0.2"/>
    <row r="67" s="111" customFormat="1" x14ac:dyDescent="0.2"/>
    <row r="68" s="111" customFormat="1" x14ac:dyDescent="0.2"/>
    <row r="69" s="111" customFormat="1" x14ac:dyDescent="0.2"/>
    <row r="70" s="111" customFormat="1" x14ac:dyDescent="0.2"/>
    <row r="71" s="111" customFormat="1" x14ac:dyDescent="0.2"/>
    <row r="72" s="111" customFormat="1" x14ac:dyDescent="0.2"/>
    <row r="73" s="111" customFormat="1" x14ac:dyDescent="0.2"/>
    <row r="74" s="111" customFormat="1" x14ac:dyDescent="0.2"/>
    <row r="75" s="111" customFormat="1" x14ac:dyDescent="0.2"/>
    <row r="76" s="111" customFormat="1" x14ac:dyDescent="0.2"/>
    <row r="77" s="111" customFormat="1" x14ac:dyDescent="0.2"/>
    <row r="78" s="111" customFormat="1" x14ac:dyDescent="0.2"/>
    <row r="79" s="111" customFormat="1" x14ac:dyDescent="0.2"/>
    <row r="80" s="111" customFormat="1" x14ac:dyDescent="0.2"/>
    <row r="81" s="111" customFormat="1" x14ac:dyDescent="0.2"/>
    <row r="82" s="111" customFormat="1" x14ac:dyDescent="0.2"/>
    <row r="83" s="111" customFormat="1" x14ac:dyDescent="0.2"/>
    <row r="84" s="111" customFormat="1" x14ac:dyDescent="0.2"/>
    <row r="85" s="111" customFormat="1" x14ac:dyDescent="0.2"/>
    <row r="86" s="111" customFormat="1" x14ac:dyDescent="0.2"/>
    <row r="87" s="111" customFormat="1" x14ac:dyDescent="0.2"/>
    <row r="88" s="111" customFormat="1" x14ac:dyDescent="0.2"/>
    <row r="89" s="111" customFormat="1" x14ac:dyDescent="0.2"/>
    <row r="90" s="111" customFormat="1" x14ac:dyDescent="0.2"/>
    <row r="91" s="111" customFormat="1" x14ac:dyDescent="0.2"/>
    <row r="92" s="111" customFormat="1" x14ac:dyDescent="0.2"/>
    <row r="93" s="111" customFormat="1" x14ac:dyDescent="0.2"/>
    <row r="94" s="111" customFormat="1" x14ac:dyDescent="0.2"/>
    <row r="95" s="111" customFormat="1" x14ac:dyDescent="0.2"/>
    <row r="96" s="111" customFormat="1" x14ac:dyDescent="0.2"/>
    <row r="97" s="111" customFormat="1" x14ac:dyDescent="0.2"/>
    <row r="98" s="111" customFormat="1" x14ac:dyDescent="0.2"/>
    <row r="99" s="111" customFormat="1" x14ac:dyDescent="0.2"/>
    <row r="100" s="111" customFormat="1" x14ac:dyDescent="0.2"/>
    <row r="101" s="111" customFormat="1" x14ac:dyDescent="0.2"/>
    <row r="102" s="111" customFormat="1" x14ac:dyDescent="0.2"/>
    <row r="103" s="111" customFormat="1" x14ac:dyDescent="0.2"/>
    <row r="104" s="111" customFormat="1" x14ac:dyDescent="0.2"/>
    <row r="105" s="111" customFormat="1" x14ac:dyDescent="0.2"/>
    <row r="106" s="111" customFormat="1" x14ac:dyDescent="0.2"/>
    <row r="107" s="111" customFormat="1" x14ac:dyDescent="0.2"/>
    <row r="108" s="111" customFormat="1" x14ac:dyDescent="0.2"/>
    <row r="109" s="111" customFormat="1" x14ac:dyDescent="0.2"/>
    <row r="110" s="111" customFormat="1" x14ac:dyDescent="0.2"/>
    <row r="111" s="111" customFormat="1" x14ac:dyDescent="0.2"/>
    <row r="112" s="111" customFormat="1" x14ac:dyDescent="0.2"/>
    <row r="113" s="111" customFormat="1" x14ac:dyDescent="0.2"/>
    <row r="114" s="111" customFormat="1" x14ac:dyDescent="0.2"/>
    <row r="115" s="111" customFormat="1" x14ac:dyDescent="0.2"/>
    <row r="116" s="111" customFormat="1" x14ac:dyDescent="0.2"/>
    <row r="117" s="111" customFormat="1" x14ac:dyDescent="0.2"/>
    <row r="118" s="111" customFormat="1" x14ac:dyDescent="0.2"/>
    <row r="119" s="111" customFormat="1" x14ac:dyDescent="0.2"/>
    <row r="120" s="111" customFormat="1" x14ac:dyDescent="0.2"/>
    <row r="121" s="111" customFormat="1" x14ac:dyDescent="0.2"/>
    <row r="122" s="111" customFormat="1" x14ac:dyDescent="0.2"/>
    <row r="123" s="111" customFormat="1" x14ac:dyDescent="0.2"/>
    <row r="124" s="111" customFormat="1" x14ac:dyDescent="0.2"/>
    <row r="125" s="111" customFormat="1" x14ac:dyDescent="0.2"/>
    <row r="126" s="111" customFormat="1" x14ac:dyDescent="0.2"/>
    <row r="127" s="111" customFormat="1" x14ac:dyDescent="0.2"/>
    <row r="128" s="111" customFormat="1" x14ac:dyDescent="0.2"/>
    <row r="129" s="111" customFormat="1" x14ac:dyDescent="0.2"/>
    <row r="130" s="111" customFormat="1" x14ac:dyDescent="0.2"/>
    <row r="131" s="111" customFormat="1" x14ac:dyDescent="0.2"/>
    <row r="132" s="111" customFormat="1" x14ac:dyDescent="0.2"/>
  </sheetData>
  <phoneticPr fontId="4" type="noConversion"/>
  <printOptions horizontalCentered="1"/>
  <pageMargins left="0.5" right="0.5" top="3" bottom="0.5" header="1.5" footer="0.5"/>
  <pageSetup orientation="landscape"/>
  <headerFooter alignWithMargins="0">
    <oddHeader>&amp;R&amp;"Arial,Bold"Schedule &amp;A
Page &amp;P of &amp;N&amp;C&amp;B
2025 RATE CASE
ONCOR ELECTRIC DELIVERY COMPANY LLC
II-C-2.8  FINANCIAL RATIOS
TEST YEAR ENDING DECEMBER 31, 2024
SPONSORS: K. FEASE &amp;&amp; W. ALAN LEDBETTER</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9">
    <tabColor rgb="FF00B050"/>
  </sheetPr>
  <dimension ref="A1:BG28"/>
  <sheetViews>
    <sheetView zoomScaleNormal="100" workbookViewId="0">
      <pane ySplit="14" topLeftCell="A18" activePane="bottomLeft" state="frozen"/>
      <selection activeCell="P34" sqref="P34"/>
      <selection pane="bottomLeft" activeCell="I33" sqref="I33"/>
    </sheetView>
  </sheetViews>
  <sheetFormatPr defaultColWidth="9.140625" defaultRowHeight="12.75" x14ac:dyDescent="0.2"/>
  <cols>
    <col min="1" max="1" width="7" style="7" customWidth="1"/>
    <col min="2" max="2" width="15" style="7" customWidth="1"/>
    <col min="3" max="3" width="18.7109375" style="7" bestFit="1" customWidth="1"/>
    <col min="4" max="4" width="17.7109375" style="7" bestFit="1" customWidth="1"/>
    <col min="5" max="5" width="16" style="7" bestFit="1" customWidth="1"/>
    <col min="6" max="6" width="17.7109375" style="7" bestFit="1" customWidth="1"/>
    <col min="7" max="8" width="18.7109375" style="7" bestFit="1" customWidth="1"/>
    <col min="9" max="9" width="9.140625" style="7" bestFit="1"/>
    <col min="10" max="10" width="9.42578125" style="7" bestFit="1" customWidth="1"/>
    <col min="11" max="11" width="8.5703125" style="7" bestFit="1" customWidth="1"/>
    <col min="12" max="12" width="14.28515625" style="7" bestFit="1" customWidth="1"/>
    <col min="13" max="13" width="14.140625" style="7" bestFit="1" customWidth="1"/>
    <col min="14" max="14" width="13.42578125" style="7" bestFit="1" customWidth="1"/>
    <col min="15" max="15" width="6.7109375" style="7" bestFit="1" customWidth="1"/>
    <col min="16" max="17" width="6.140625" style="7" bestFit="1" customWidth="1"/>
    <col min="18" max="18" width="9.140625" style="7" bestFit="1"/>
    <col min="19" max="19" width="7.140625" style="7" bestFit="1" customWidth="1"/>
    <col min="20" max="20" width="14.7109375" style="7" bestFit="1" customWidth="1"/>
    <col min="21" max="21" width="15" style="7" bestFit="1" customWidth="1"/>
    <col min="22" max="22" width="26.7109375" style="7" bestFit="1" customWidth="1"/>
    <col min="23" max="16384" width="9.140625" style="7"/>
  </cols>
  <sheetData>
    <row r="1" spans="1:23" x14ac:dyDescent="0.2">
      <c r="A1" s="317" t="str">
        <f>+'[1]Input Data'!$A$9</f>
        <v>2025 RATE CASE</v>
      </c>
      <c r="B1" s="317"/>
      <c r="C1" s="317"/>
      <c r="D1" s="317"/>
      <c r="E1" s="317"/>
      <c r="F1" s="317"/>
      <c r="G1" s="317"/>
      <c r="H1" s="317"/>
      <c r="I1" s="317"/>
      <c r="J1" s="317"/>
      <c r="K1" s="317"/>
      <c r="L1" s="317"/>
      <c r="M1" s="317"/>
      <c r="N1" s="317"/>
      <c r="O1" s="317"/>
      <c r="P1" s="317"/>
      <c r="Q1" s="317"/>
      <c r="R1" s="317"/>
      <c r="S1" s="317"/>
      <c r="T1" s="317"/>
      <c r="U1" s="317"/>
      <c r="V1" s="317"/>
    </row>
    <row r="2" spans="1:23" x14ac:dyDescent="0.2">
      <c r="A2" s="61" t="str">
        <f>+'[1]Input Data'!$A$2</f>
        <v>ONCOR ELECTRIC DELIVERY COMPANY LLC</v>
      </c>
      <c r="B2" s="61"/>
      <c r="C2" s="61"/>
      <c r="D2" s="61"/>
      <c r="E2" s="61"/>
      <c r="F2" s="61"/>
      <c r="G2" s="61"/>
      <c r="H2" s="61"/>
      <c r="I2" s="61"/>
      <c r="J2" s="61"/>
      <c r="K2" s="61"/>
      <c r="L2" s="61"/>
      <c r="M2" s="61"/>
      <c r="N2" s="61"/>
      <c r="O2" s="61"/>
      <c r="P2" s="61"/>
      <c r="Q2" s="61"/>
      <c r="R2" s="61"/>
      <c r="S2" s="61"/>
      <c r="T2" s="61"/>
      <c r="U2" s="61"/>
      <c r="V2" s="61"/>
    </row>
    <row r="3" spans="1:23" x14ac:dyDescent="0.2">
      <c r="A3" s="318" t="str">
        <f>CONCATENATE('[1]Schedule Sponsors'!$A$45,'[1]Schedule Sponsors'!$B$45)</f>
        <v>II-C-2.9  HISTORICAL GROWTH IN EARNINGS, DIVIDENDS AND BOOK VALUE</v>
      </c>
      <c r="B3" s="318"/>
      <c r="C3" s="318"/>
      <c r="D3" s="318"/>
      <c r="E3" s="318"/>
      <c r="F3" s="318"/>
      <c r="G3" s="318"/>
      <c r="H3" s="318"/>
      <c r="I3" s="318"/>
      <c r="J3" s="318"/>
      <c r="K3" s="318"/>
      <c r="L3" s="318"/>
      <c r="M3" s="318"/>
      <c r="N3" s="318"/>
      <c r="O3" s="318"/>
      <c r="P3" s="318"/>
      <c r="Q3" s="318"/>
      <c r="R3" s="318"/>
      <c r="S3" s="318"/>
      <c r="T3" s="318"/>
      <c r="U3" s="318"/>
      <c r="V3" s="318"/>
    </row>
    <row r="4" spans="1:23" x14ac:dyDescent="0.2">
      <c r="A4" s="62" t="str">
        <f>+'[1]Input Data'!$A$4</f>
        <v>TEST YEAR ENDING DECEMBER 31, 2024</v>
      </c>
      <c r="B4" s="62"/>
      <c r="C4" s="62"/>
      <c r="D4" s="62"/>
      <c r="E4" s="62"/>
      <c r="F4" s="62"/>
      <c r="G4" s="62"/>
      <c r="H4" s="62"/>
      <c r="I4" s="62"/>
      <c r="J4" s="62"/>
      <c r="K4" s="62"/>
      <c r="L4" s="62"/>
      <c r="M4" s="62"/>
      <c r="N4" s="62"/>
      <c r="O4" s="62"/>
      <c r="P4" s="62"/>
      <c r="Q4" s="62"/>
      <c r="R4" s="62"/>
      <c r="S4" s="62"/>
      <c r="T4" s="62"/>
      <c r="U4" s="62"/>
      <c r="V4" s="62"/>
    </row>
    <row r="5" spans="1:23" x14ac:dyDescent="0.2">
      <c r="A5" s="317" t="str">
        <f>CONCATENATE("SPONSORS: ",'[1]Schedule Sponsors'!$D$45)</f>
        <v>SPONSORS: K. FEASE &amp;&amp; W. ALAN LEDBETTER</v>
      </c>
      <c r="B5" s="317"/>
      <c r="C5" s="317"/>
      <c r="D5" s="317"/>
      <c r="E5" s="317"/>
      <c r="F5" s="317"/>
      <c r="G5" s="317"/>
      <c r="H5" s="317"/>
      <c r="I5" s="317"/>
      <c r="J5" s="317"/>
      <c r="K5" s="317"/>
      <c r="L5" s="317"/>
      <c r="M5" s="317"/>
      <c r="N5" s="317"/>
      <c r="O5" s="317"/>
      <c r="P5" s="317"/>
      <c r="Q5" s="317"/>
      <c r="R5" s="317"/>
      <c r="S5" s="317"/>
      <c r="T5" s="317"/>
      <c r="U5" s="317"/>
      <c r="V5" s="317"/>
    </row>
    <row r="6" spans="1:23" x14ac:dyDescent="0.2">
      <c r="B6" s="47"/>
      <c r="C6" s="47"/>
      <c r="D6" s="47"/>
      <c r="E6" s="47"/>
      <c r="F6" s="47"/>
      <c r="G6" s="47"/>
      <c r="H6" s="47"/>
      <c r="I6" s="47"/>
      <c r="J6" s="47"/>
      <c r="K6" s="47"/>
      <c r="L6" s="47"/>
      <c r="M6" s="47"/>
      <c r="N6" s="47"/>
      <c r="O6" s="47"/>
      <c r="P6" s="47"/>
      <c r="Q6" s="47"/>
      <c r="R6" s="47"/>
      <c r="S6" s="47"/>
      <c r="T6" s="47"/>
    </row>
    <row r="7" spans="1:23" s="241" customFormat="1" x14ac:dyDescent="0.2">
      <c r="A7" s="240"/>
      <c r="B7" s="240"/>
      <c r="C7" s="240"/>
      <c r="D7" s="240"/>
      <c r="E7" s="240"/>
      <c r="F7" s="240"/>
      <c r="G7" s="240"/>
      <c r="H7" s="240"/>
      <c r="I7" s="240"/>
      <c r="J7" s="240"/>
      <c r="K7" s="240"/>
      <c r="L7" s="240"/>
      <c r="M7" s="240"/>
      <c r="N7" s="240"/>
      <c r="O7" s="240"/>
      <c r="P7" s="240"/>
      <c r="Q7" s="240"/>
      <c r="R7" s="240"/>
      <c r="S7" s="240"/>
      <c r="T7" s="240"/>
    </row>
    <row r="8" spans="1:23" s="241" customFormat="1" x14ac:dyDescent="0.2">
      <c r="A8" s="240"/>
      <c r="B8" s="240"/>
      <c r="C8" s="240"/>
      <c r="D8" s="240"/>
      <c r="E8" s="240"/>
      <c r="F8" s="240"/>
      <c r="G8" s="240"/>
      <c r="H8" s="240"/>
      <c r="I8" s="240"/>
      <c r="J8" s="240"/>
      <c r="K8" s="240"/>
      <c r="L8" s="240"/>
      <c r="M8" s="240"/>
      <c r="N8" s="240"/>
      <c r="O8" s="240"/>
      <c r="P8" s="240"/>
      <c r="Q8" s="240"/>
      <c r="R8" s="240"/>
      <c r="S8" s="240"/>
      <c r="T8" s="240"/>
    </row>
    <row r="9" spans="1:23" s="241" customFormat="1" x14ac:dyDescent="0.2">
      <c r="L9" s="232" t="s">
        <v>28</v>
      </c>
    </row>
    <row r="10" spans="1:23" s="233" customFormat="1" x14ac:dyDescent="0.2">
      <c r="A10" s="221"/>
      <c r="B10" s="230"/>
      <c r="C10" s="230" t="s">
        <v>161</v>
      </c>
      <c r="D10" s="230" t="s">
        <v>23</v>
      </c>
      <c r="E10" s="230"/>
      <c r="F10" s="230" t="s">
        <v>162</v>
      </c>
      <c r="G10" s="230" t="s">
        <v>24</v>
      </c>
      <c r="H10" s="230" t="s">
        <v>163</v>
      </c>
      <c r="I10" s="231"/>
      <c r="J10" s="232" t="s">
        <v>164</v>
      </c>
      <c r="K10" s="232"/>
      <c r="L10" s="232" t="s">
        <v>34</v>
      </c>
      <c r="M10" s="232" t="s">
        <v>28</v>
      </c>
      <c r="N10" s="232" t="s">
        <v>29</v>
      </c>
      <c r="O10" s="232"/>
      <c r="P10" s="232"/>
      <c r="Q10" s="232"/>
      <c r="R10" s="232" t="s">
        <v>29</v>
      </c>
      <c r="S10" s="232" t="s">
        <v>165</v>
      </c>
      <c r="T10" s="232" t="s">
        <v>166</v>
      </c>
      <c r="U10" s="232" t="s">
        <v>23</v>
      </c>
      <c r="V10" s="232" t="s">
        <v>24</v>
      </c>
    </row>
    <row r="11" spans="1:23" s="233" customFormat="1" x14ac:dyDescent="0.2">
      <c r="A11" s="221" t="s">
        <v>84</v>
      </c>
      <c r="B11" s="230"/>
      <c r="C11" s="230" t="s">
        <v>25</v>
      </c>
      <c r="D11" s="230" t="s">
        <v>167</v>
      </c>
      <c r="E11" s="230" t="s">
        <v>25</v>
      </c>
      <c r="F11" s="230" t="s">
        <v>26</v>
      </c>
      <c r="G11" s="230" t="s">
        <v>25</v>
      </c>
      <c r="H11" s="230" t="s">
        <v>25</v>
      </c>
      <c r="I11" s="231" t="s">
        <v>172</v>
      </c>
      <c r="J11" s="232" t="s">
        <v>153</v>
      </c>
      <c r="K11" s="232" t="s">
        <v>27</v>
      </c>
      <c r="L11" s="232" t="s">
        <v>173</v>
      </c>
      <c r="M11" s="232" t="s">
        <v>34</v>
      </c>
      <c r="N11" s="232" t="s">
        <v>34</v>
      </c>
      <c r="O11" s="232"/>
      <c r="P11" s="232"/>
      <c r="Q11" s="232"/>
      <c r="R11" s="232" t="s">
        <v>165</v>
      </c>
      <c r="S11" s="232" t="s">
        <v>168</v>
      </c>
      <c r="T11" s="232" t="s">
        <v>169</v>
      </c>
      <c r="U11" s="232" t="s">
        <v>170</v>
      </c>
      <c r="V11" s="232" t="s">
        <v>171</v>
      </c>
    </row>
    <row r="12" spans="1:23" s="233" customFormat="1" x14ac:dyDescent="0.2">
      <c r="A12" s="221" t="s">
        <v>20</v>
      </c>
      <c r="B12" s="230" t="s">
        <v>140</v>
      </c>
      <c r="C12" s="230" t="s">
        <v>26</v>
      </c>
      <c r="D12" s="230" t="s">
        <v>25</v>
      </c>
      <c r="E12" s="230" t="s">
        <v>30</v>
      </c>
      <c r="F12" s="230" t="s">
        <v>31</v>
      </c>
      <c r="G12" s="230" t="s">
        <v>26</v>
      </c>
      <c r="H12" s="230" t="s">
        <v>26</v>
      </c>
      <c r="I12" s="234" t="s">
        <v>149</v>
      </c>
      <c r="J12" s="232" t="s">
        <v>32</v>
      </c>
      <c r="K12" s="232" t="s">
        <v>33</v>
      </c>
      <c r="L12" s="233" t="s">
        <v>185</v>
      </c>
      <c r="M12" s="232" t="s">
        <v>174</v>
      </c>
      <c r="N12" s="232" t="s">
        <v>175</v>
      </c>
      <c r="O12" s="232" t="s">
        <v>146</v>
      </c>
      <c r="P12" s="232" t="s">
        <v>147</v>
      </c>
      <c r="Q12" s="232" t="s">
        <v>148</v>
      </c>
      <c r="R12" s="232" t="s">
        <v>176</v>
      </c>
      <c r="S12" s="232" t="s">
        <v>177</v>
      </c>
      <c r="T12" s="232" t="s">
        <v>178</v>
      </c>
      <c r="U12" s="232" t="s">
        <v>179</v>
      </c>
      <c r="V12" s="232" t="s">
        <v>180</v>
      </c>
    </row>
    <row r="13" spans="1:23" s="233" customFormat="1" x14ac:dyDescent="0.2">
      <c r="A13" s="235"/>
      <c r="B13" s="220"/>
      <c r="C13" s="236"/>
      <c r="D13" s="236"/>
      <c r="E13" s="236"/>
      <c r="F13" s="236" t="s">
        <v>181</v>
      </c>
      <c r="G13" s="222"/>
      <c r="H13" s="222" t="s">
        <v>182</v>
      </c>
      <c r="I13" s="235"/>
      <c r="J13" s="235" t="s">
        <v>183</v>
      </c>
      <c r="K13" s="235" t="s">
        <v>184</v>
      </c>
      <c r="L13" s="235"/>
      <c r="M13" s="235"/>
      <c r="N13" s="235"/>
      <c r="O13" s="235" t="s">
        <v>150</v>
      </c>
      <c r="P13" s="235" t="s">
        <v>151</v>
      </c>
      <c r="Q13" s="235" t="s">
        <v>152</v>
      </c>
      <c r="R13" s="235"/>
      <c r="S13" s="235" t="s">
        <v>186</v>
      </c>
      <c r="T13" s="235"/>
      <c r="U13" s="235" t="s">
        <v>187</v>
      </c>
      <c r="V13" s="235"/>
    </row>
    <row r="14" spans="1:23" s="223" customFormat="1" x14ac:dyDescent="0.2">
      <c r="B14" s="225" t="s">
        <v>38</v>
      </c>
      <c r="C14" s="224" t="s">
        <v>39</v>
      </c>
      <c r="D14" s="224" t="s">
        <v>40</v>
      </c>
      <c r="E14" s="224" t="s">
        <v>41</v>
      </c>
      <c r="F14" s="224" t="s">
        <v>51</v>
      </c>
      <c r="G14" s="261" t="s">
        <v>52</v>
      </c>
      <c r="H14" s="261" t="s">
        <v>53</v>
      </c>
      <c r="I14" s="226" t="s">
        <v>54</v>
      </c>
      <c r="J14" s="223" t="s">
        <v>55</v>
      </c>
      <c r="K14" s="223" t="s">
        <v>56</v>
      </c>
      <c r="L14" s="223" t="s">
        <v>57</v>
      </c>
      <c r="M14" s="223" t="s">
        <v>58</v>
      </c>
      <c r="N14" s="223" t="s">
        <v>59</v>
      </c>
      <c r="O14" s="223" t="s">
        <v>60</v>
      </c>
      <c r="P14" s="223" t="s">
        <v>61</v>
      </c>
      <c r="Q14" s="223" t="s">
        <v>35</v>
      </c>
      <c r="R14" s="223" t="s">
        <v>188</v>
      </c>
      <c r="S14" s="223" t="s">
        <v>189</v>
      </c>
      <c r="T14" s="223" t="s">
        <v>190</v>
      </c>
      <c r="U14" s="223" t="s">
        <v>191</v>
      </c>
      <c r="V14" s="223" t="s">
        <v>192</v>
      </c>
    </row>
    <row r="15" spans="1:23" s="223" customFormat="1" x14ac:dyDescent="0.2">
      <c r="B15" s="225"/>
      <c r="C15" s="224"/>
      <c r="D15" s="224"/>
      <c r="E15" s="224"/>
      <c r="F15" s="224"/>
      <c r="G15" s="261"/>
      <c r="H15" s="261"/>
      <c r="I15" s="226"/>
    </row>
    <row r="16" spans="1:23" s="270" customFormat="1" x14ac:dyDescent="0.2">
      <c r="A16" s="262">
        <v>1</v>
      </c>
      <c r="B16" s="396">
        <v>2021</v>
      </c>
      <c r="C16" s="417">
        <v>11932000000</v>
      </c>
      <c r="D16" s="418">
        <v>770000000</v>
      </c>
      <c r="E16" s="418">
        <v>839000000</v>
      </c>
      <c r="F16" s="418">
        <f>SUM(+G16-(+C16+D16-E16))</f>
        <v>725000000</v>
      </c>
      <c r="G16" s="418">
        <v>12588000000</v>
      </c>
      <c r="H16" s="419">
        <f>SUM((C16+G16)/2)</f>
        <v>12260000000</v>
      </c>
      <c r="I16" s="298">
        <f>SUM(D16/H16)</f>
        <v>6.2805872756933112E-2</v>
      </c>
      <c r="J16" s="299">
        <f>SUM((D16-E16)/D16)</f>
        <v>-8.9610389610389612E-2</v>
      </c>
      <c r="K16" s="299">
        <f>SUM(I16*J16)</f>
        <v>-5.6280587275693312E-3</v>
      </c>
      <c r="L16" s="265" t="s">
        <v>229</v>
      </c>
      <c r="M16" s="265" t="s">
        <v>229</v>
      </c>
      <c r="N16" s="265" t="s">
        <v>229</v>
      </c>
      <c r="O16" s="265" t="s">
        <v>229</v>
      </c>
      <c r="P16" s="265" t="s">
        <v>229</v>
      </c>
      <c r="Q16" s="265" t="s">
        <v>229</v>
      </c>
      <c r="R16" s="265" t="s">
        <v>229</v>
      </c>
      <c r="S16" s="265" t="s">
        <v>229</v>
      </c>
      <c r="T16" s="415">
        <v>0</v>
      </c>
      <c r="U16" s="397">
        <f>SUM(D16-T16)</f>
        <v>770000000</v>
      </c>
      <c r="V16" s="266"/>
      <c r="W16" s="267"/>
    </row>
    <row r="17" spans="1:59" s="270" customFormat="1" x14ac:dyDescent="0.2">
      <c r="A17" s="262">
        <v>2</v>
      </c>
      <c r="B17" s="396"/>
      <c r="C17" s="417"/>
      <c r="D17" s="418"/>
      <c r="E17" s="418"/>
      <c r="F17" s="418"/>
      <c r="G17" s="418"/>
      <c r="H17" s="419"/>
      <c r="I17" s="298"/>
      <c r="J17" s="299"/>
      <c r="K17" s="299"/>
      <c r="L17" s="265"/>
      <c r="M17" s="265"/>
      <c r="N17" s="265"/>
      <c r="O17" s="265"/>
      <c r="P17" s="265"/>
      <c r="Q17" s="265"/>
      <c r="R17" s="265"/>
      <c r="S17" s="265"/>
      <c r="T17" s="415"/>
      <c r="U17" s="397"/>
      <c r="V17" s="266"/>
      <c r="W17" s="267"/>
    </row>
    <row r="18" spans="1:59" s="270" customFormat="1" x14ac:dyDescent="0.2">
      <c r="A18" s="262">
        <v>3</v>
      </c>
      <c r="B18" s="396"/>
      <c r="C18" s="417"/>
      <c r="D18" s="418"/>
      <c r="E18" s="418"/>
      <c r="F18" s="418"/>
      <c r="G18" s="418"/>
      <c r="H18" s="419"/>
      <c r="I18" s="298"/>
      <c r="J18" s="299"/>
      <c r="K18" s="299"/>
      <c r="L18" s="265"/>
      <c r="M18" s="265"/>
      <c r="N18" s="265"/>
      <c r="O18" s="265"/>
      <c r="P18" s="265"/>
      <c r="Q18" s="265"/>
      <c r="R18" s="265"/>
      <c r="S18" s="265"/>
      <c r="T18" s="415"/>
      <c r="U18" s="397"/>
      <c r="V18" s="266"/>
      <c r="W18" s="267"/>
    </row>
    <row r="19" spans="1:59" s="270" customFormat="1" x14ac:dyDescent="0.2">
      <c r="A19" s="262">
        <v>4</v>
      </c>
      <c r="B19" s="396">
        <v>2022</v>
      </c>
      <c r="C19" s="417">
        <v>12588000000</v>
      </c>
      <c r="D19" s="418">
        <v>905000000</v>
      </c>
      <c r="E19" s="418">
        <v>425000000</v>
      </c>
      <c r="F19" s="418">
        <f>SUM(+G19-(+C19+D19-E19))</f>
        <v>394000000</v>
      </c>
      <c r="G19" s="418">
        <v>13462000000</v>
      </c>
      <c r="H19" s="419">
        <f>SUM((C19+G19)/2)</f>
        <v>13025000000</v>
      </c>
      <c r="I19" s="298">
        <f>SUM(D19/H19)</f>
        <v>6.9481765834932818E-2</v>
      </c>
      <c r="J19" s="299">
        <f>SUM((D19-E19)/D19)</f>
        <v>0.53038674033149169</v>
      </c>
      <c r="K19" s="299">
        <f>SUM(I19*J19)</f>
        <v>3.6852207293666027E-2</v>
      </c>
      <c r="L19" s="265" t="s">
        <v>229</v>
      </c>
      <c r="M19" s="265" t="s">
        <v>229</v>
      </c>
      <c r="N19" s="265" t="s">
        <v>229</v>
      </c>
      <c r="O19" s="265" t="s">
        <v>229</v>
      </c>
      <c r="P19" s="265" t="s">
        <v>229</v>
      </c>
      <c r="Q19" s="265" t="s">
        <v>229</v>
      </c>
      <c r="R19" s="265" t="s">
        <v>229</v>
      </c>
      <c r="S19" s="265" t="s">
        <v>229</v>
      </c>
      <c r="T19" s="415">
        <v>0</v>
      </c>
      <c r="U19" s="397">
        <f>SUM(D19-T19)</f>
        <v>905000000</v>
      </c>
      <c r="V19" s="266"/>
      <c r="W19" s="267"/>
    </row>
    <row r="20" spans="1:59" s="270" customFormat="1" x14ac:dyDescent="0.2">
      <c r="A20" s="262">
        <v>5</v>
      </c>
      <c r="B20" s="396"/>
      <c r="C20" s="417"/>
      <c r="D20" s="418"/>
      <c r="E20" s="418"/>
      <c r="F20" s="418"/>
      <c r="G20" s="418"/>
      <c r="H20" s="419"/>
      <c r="I20" s="298"/>
      <c r="J20" s="299"/>
      <c r="K20" s="299"/>
      <c r="L20" s="265"/>
      <c r="M20" s="265"/>
      <c r="N20" s="265"/>
      <c r="O20" s="265"/>
      <c r="P20" s="265"/>
      <c r="Q20" s="265"/>
      <c r="R20" s="265"/>
      <c r="S20" s="265"/>
      <c r="T20" s="415"/>
      <c r="U20" s="397"/>
      <c r="V20" s="266"/>
      <c r="W20" s="267"/>
    </row>
    <row r="21" spans="1:59" s="270" customFormat="1" x14ac:dyDescent="0.2">
      <c r="A21" s="262">
        <v>6</v>
      </c>
      <c r="B21" s="396"/>
      <c r="C21" s="417"/>
      <c r="D21" s="418"/>
      <c r="E21" s="418"/>
      <c r="F21" s="418"/>
      <c r="G21" s="418"/>
      <c r="H21" s="419"/>
      <c r="I21" s="298"/>
      <c r="J21" s="299"/>
      <c r="K21" s="299"/>
      <c r="L21" s="265"/>
      <c r="M21" s="265"/>
      <c r="N21" s="265"/>
      <c r="O21" s="265"/>
      <c r="P21" s="265"/>
      <c r="Q21" s="265"/>
      <c r="R21" s="265"/>
      <c r="S21" s="265"/>
      <c r="T21" s="415"/>
      <c r="U21" s="397"/>
      <c r="V21" s="266"/>
      <c r="W21" s="267"/>
    </row>
    <row r="22" spans="1:59" s="270" customFormat="1" x14ac:dyDescent="0.2">
      <c r="A22" s="262">
        <v>7</v>
      </c>
      <c r="B22" s="396">
        <v>2023</v>
      </c>
      <c r="C22" s="417">
        <v>13462000000</v>
      </c>
      <c r="D22" s="418">
        <v>864000000</v>
      </c>
      <c r="E22" s="418">
        <v>552000000</v>
      </c>
      <c r="F22" s="418">
        <f>SUM(+G22-(+C22+D22-E22))</f>
        <v>434000000</v>
      </c>
      <c r="G22" s="418">
        <v>14208000000</v>
      </c>
      <c r="H22" s="419">
        <f>SUM((C22+G22)/2)</f>
        <v>13835000000</v>
      </c>
      <c r="I22" s="298">
        <f>SUM(D22/H22)</f>
        <v>6.2450307191904593E-2</v>
      </c>
      <c r="J22" s="299">
        <f>SUM((D22-E22)/D22)</f>
        <v>0.3611111111111111</v>
      </c>
      <c r="K22" s="299">
        <f>SUM(I22*J22)</f>
        <v>2.2551499819298881E-2</v>
      </c>
      <c r="L22" s="265" t="s">
        <v>229</v>
      </c>
      <c r="M22" s="265" t="s">
        <v>229</v>
      </c>
      <c r="N22" s="265" t="s">
        <v>229</v>
      </c>
      <c r="O22" s="265" t="s">
        <v>229</v>
      </c>
      <c r="P22" s="265" t="s">
        <v>229</v>
      </c>
      <c r="Q22" s="265" t="s">
        <v>229</v>
      </c>
      <c r="R22" s="265" t="s">
        <v>229</v>
      </c>
      <c r="S22" s="265" t="s">
        <v>229</v>
      </c>
      <c r="T22" s="415">
        <v>-54000000</v>
      </c>
      <c r="U22" s="397">
        <f>SUM(D22-T22)</f>
        <v>918000000</v>
      </c>
      <c r="V22" s="266"/>
      <c r="W22" s="267"/>
    </row>
    <row r="23" spans="1:59" s="270" customFormat="1" x14ac:dyDescent="0.2">
      <c r="A23" s="262">
        <v>8</v>
      </c>
      <c r="B23" s="396"/>
      <c r="C23" s="417"/>
      <c r="D23" s="418"/>
      <c r="E23" s="418"/>
      <c r="F23" s="418"/>
      <c r="G23" s="418"/>
      <c r="H23" s="419"/>
      <c r="I23" s="298"/>
      <c r="J23" s="299"/>
      <c r="K23" s="299"/>
      <c r="L23" s="265"/>
      <c r="M23" s="265"/>
      <c r="N23" s="265"/>
      <c r="O23" s="265"/>
      <c r="P23" s="265"/>
      <c r="Q23" s="265"/>
      <c r="R23" s="265"/>
      <c r="S23" s="265"/>
      <c r="T23" s="415"/>
      <c r="U23" s="397"/>
      <c r="V23" s="266"/>
      <c r="W23" s="267"/>
    </row>
    <row r="24" spans="1:59" s="270" customFormat="1" x14ac:dyDescent="0.2">
      <c r="A24" s="262">
        <v>9</v>
      </c>
      <c r="B24" s="396"/>
      <c r="C24" s="417"/>
      <c r="D24" s="418"/>
      <c r="E24" s="418"/>
      <c r="F24" s="418"/>
      <c r="G24" s="418"/>
      <c r="H24" s="419"/>
      <c r="I24" s="298"/>
      <c r="J24" s="299"/>
      <c r="K24" s="299"/>
      <c r="L24" s="265"/>
      <c r="M24" s="265"/>
      <c r="N24" s="265"/>
      <c r="O24" s="265"/>
      <c r="P24" s="265"/>
      <c r="Q24" s="265"/>
      <c r="R24" s="265"/>
      <c r="S24" s="265"/>
      <c r="T24" s="415"/>
      <c r="U24" s="397"/>
      <c r="V24" s="266"/>
      <c r="W24" s="267"/>
    </row>
    <row r="25" spans="1:59" s="270" customFormat="1" x14ac:dyDescent="0.2">
      <c r="A25" s="262">
        <v>10</v>
      </c>
      <c r="B25" s="396">
        <v>2024</v>
      </c>
      <c r="C25" s="420">
        <v>14208000000</v>
      </c>
      <c r="D25" s="420">
        <v>968000000</v>
      </c>
      <c r="E25" s="420">
        <v>753000000</v>
      </c>
      <c r="F25" s="420">
        <f>SUM(+G25-(+C25+D25-E25))</f>
        <v>1207000000</v>
      </c>
      <c r="G25" s="420">
        <v>15630000000</v>
      </c>
      <c r="H25" s="421">
        <f>SUM((C25+G25)/2)</f>
        <v>14919000000</v>
      </c>
      <c r="I25" s="298">
        <f>SUM(D25/H25)</f>
        <v>6.4883705342181117E-2</v>
      </c>
      <c r="J25" s="299">
        <f>SUM((D25-E25)/D25)</f>
        <v>0.22210743801652894</v>
      </c>
      <c r="K25" s="299">
        <f>SUM(I25*J25)</f>
        <v>1.441115356257122E-2</v>
      </c>
      <c r="L25" s="265" t="s">
        <v>229</v>
      </c>
      <c r="M25" s="265" t="s">
        <v>229</v>
      </c>
      <c r="N25" s="265" t="s">
        <v>229</v>
      </c>
      <c r="O25" s="265" t="s">
        <v>229</v>
      </c>
      <c r="P25" s="265" t="s">
        <v>229</v>
      </c>
      <c r="Q25" s="265" t="s">
        <v>229</v>
      </c>
      <c r="R25" s="265" t="s">
        <v>229</v>
      </c>
      <c r="S25" s="265" t="s">
        <v>229</v>
      </c>
      <c r="T25" s="415">
        <v>0</v>
      </c>
      <c r="U25" s="416">
        <f>SUM(D25-T25)</f>
        <v>968000000</v>
      </c>
      <c r="V25" s="266"/>
      <c r="W25" s="267"/>
    </row>
    <row r="26" spans="1:59" s="270" customFormat="1" x14ac:dyDescent="0.2">
      <c r="A26" s="262">
        <v>11</v>
      </c>
      <c r="B26" s="396"/>
      <c r="C26" s="263"/>
      <c r="D26" s="264"/>
      <c r="E26" s="264"/>
      <c r="F26" s="264"/>
      <c r="G26" s="263"/>
      <c r="H26" s="227"/>
      <c r="I26" s="298"/>
      <c r="J26" s="299"/>
      <c r="K26" s="299"/>
      <c r="L26" s="228"/>
      <c r="M26" s="265"/>
      <c r="N26" s="228"/>
      <c r="O26" s="237"/>
      <c r="P26" s="238"/>
      <c r="Q26" s="237"/>
      <c r="R26" s="237"/>
      <c r="S26" s="229"/>
      <c r="T26" s="269"/>
      <c r="U26" s="269"/>
      <c r="V26" s="266"/>
      <c r="W26" s="267"/>
    </row>
    <row r="27" spans="1:59" s="101" customFormat="1" x14ac:dyDescent="0.2">
      <c r="A27" s="262">
        <v>12</v>
      </c>
      <c r="B27" s="268" t="s">
        <v>264</v>
      </c>
      <c r="C27" s="268"/>
      <c r="D27" s="268"/>
      <c r="E27" s="268"/>
      <c r="F27" s="268"/>
      <c r="G27" s="268"/>
      <c r="H27" s="268"/>
      <c r="I27" s="268"/>
      <c r="J27" s="268"/>
      <c r="K27" s="268"/>
      <c r="L27" s="268"/>
      <c r="M27" s="268"/>
      <c r="N27" s="268"/>
      <c r="O27" s="268"/>
      <c r="P27" s="268"/>
      <c r="Q27" s="268"/>
      <c r="R27" s="268"/>
      <c r="S27" s="268"/>
      <c r="T27" s="268"/>
      <c r="U27" s="268"/>
      <c r="V27" s="268"/>
      <c r="W27" s="268"/>
      <c r="X27" s="267"/>
      <c r="Y27" s="267"/>
      <c r="Z27" s="267"/>
      <c r="AA27" s="267"/>
      <c r="AB27" s="267"/>
      <c r="AC27" s="267"/>
      <c r="AD27" s="267"/>
      <c r="AE27" s="267"/>
      <c r="AF27" s="267"/>
      <c r="AG27" s="267"/>
      <c r="AH27" s="267"/>
      <c r="AI27" s="267"/>
      <c r="AJ27" s="267"/>
      <c r="AK27" s="267"/>
      <c r="AL27" s="267"/>
      <c r="AM27" s="267"/>
      <c r="AN27" s="267"/>
      <c r="AO27" s="267"/>
      <c r="AP27" s="267"/>
      <c r="AQ27" s="267"/>
      <c r="AR27" s="267"/>
      <c r="AS27" s="267"/>
      <c r="AT27" s="267"/>
      <c r="AU27" s="267"/>
      <c r="AV27" s="267"/>
      <c r="AW27" s="267"/>
      <c r="AX27" s="267"/>
      <c r="AY27" s="267"/>
      <c r="AZ27" s="267"/>
      <c r="BA27" s="267"/>
      <c r="BB27" s="267"/>
      <c r="BC27" s="267"/>
      <c r="BD27" s="267"/>
      <c r="BE27" s="267"/>
      <c r="BF27" s="267"/>
      <c r="BG27" s="267"/>
    </row>
    <row r="28" spans="1:59" s="241" customFormat="1" x14ac:dyDescent="0.2"/>
  </sheetData>
  <phoneticPr fontId="4" type="noConversion"/>
  <printOptions horizontalCentered="1"/>
  <pageMargins left="0.5" right="0.5" top="2.5" bottom="0.5" header="1.5" footer="0.5"/>
  <pageSetup scale="43" fitToHeight="2" orientation="landscape"/>
  <headerFooter alignWithMargins="0">
    <oddHeader>&amp;R&amp;"Arial,Bold"Schedule &amp;A
Page &amp;P of &amp;N&amp;C&amp;B
2025 RATE CASE
ONCOR ELECTRIC DELIVERY COMPANY LLC
II-C-2.9  HISTORICAL GROWTH IN EARNINGS, DIVIDENDS AND BOOK VALUE
TEST YEAR ENDING DECEMBER 31, 2024
SPONSORS: K. FEASE &amp;&amp; W. ALAN LEDBETTER</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6">
    <pageSetUpPr fitToPage="1"/>
  </sheetPr>
  <dimension ref="A1:I17"/>
  <sheetViews>
    <sheetView zoomScaleNormal="100" workbookViewId="0">
      <selection activeCell="A11" sqref="A11:A13"/>
    </sheetView>
  </sheetViews>
  <sheetFormatPr defaultColWidth="9.140625" defaultRowHeight="12.75" x14ac:dyDescent="0.2"/>
  <cols>
    <col min="1" max="16384" width="9.140625" style="239"/>
  </cols>
  <sheetData>
    <row r="1" spans="1:9" x14ac:dyDescent="0.2">
      <c r="A1" s="5" t="str">
        <f>+'[1]Input Data'!$A$9</f>
        <v>2025 RATE CASE</v>
      </c>
    </row>
    <row r="2" spans="1:9" x14ac:dyDescent="0.2">
      <c r="A2" s="61" t="str">
        <f>+'[1]Input Data'!$A$2</f>
        <v>ONCOR ELECTRIC DELIVERY COMPANY LLC</v>
      </c>
    </row>
    <row r="3" spans="1:9" x14ac:dyDescent="0.2">
      <c r="A3" s="61" t="str">
        <f>CONCATENATE('[1]Schedule Sponsors'!$A$46,'[1]Schedule Sponsors'!$B$46)</f>
        <v>II-C-2.10  RATING AGENCY REPORTS</v>
      </c>
    </row>
    <row r="4" spans="1:9" x14ac:dyDescent="0.2">
      <c r="A4" s="254" t="s">
        <v>317</v>
      </c>
    </row>
    <row r="5" spans="1:9" x14ac:dyDescent="0.2">
      <c r="A5" s="5" t="str">
        <f>CONCATENATE("SPONSOR: ",'[1]Schedule Sponsors'!$D$46)</f>
        <v>SPONSOR: K. FEASE</v>
      </c>
    </row>
    <row r="11" spans="1:9" x14ac:dyDescent="0.2">
      <c r="A11" s="285" t="s">
        <v>286</v>
      </c>
    </row>
    <row r="12" spans="1:9" x14ac:dyDescent="0.2">
      <c r="A12" s="285" t="s">
        <v>284</v>
      </c>
    </row>
    <row r="13" spans="1:9" x14ac:dyDescent="0.2">
      <c r="A13" s="285" t="s">
        <v>285</v>
      </c>
    </row>
    <row r="15" spans="1:9" ht="14.25" x14ac:dyDescent="0.2">
      <c r="A15" s="319"/>
      <c r="B15" s="319"/>
      <c r="C15" s="319"/>
      <c r="D15" s="319"/>
      <c r="E15" s="319"/>
      <c r="F15" s="319"/>
      <c r="G15" s="319"/>
      <c r="H15" s="319"/>
      <c r="I15" s="319"/>
    </row>
    <row r="16" spans="1:9" ht="14.25" x14ac:dyDescent="0.2">
      <c r="A16" s="319"/>
      <c r="B16" s="319"/>
      <c r="C16" s="319"/>
      <c r="D16" s="319"/>
      <c r="E16" s="319"/>
      <c r="F16" s="319"/>
      <c r="G16" s="319"/>
      <c r="H16" s="319"/>
      <c r="I16" s="319"/>
    </row>
    <row r="17" spans="1:1" x14ac:dyDescent="0.2">
      <c r="A17" s="285"/>
    </row>
  </sheetData>
  <printOptions horizontalCentered="1"/>
  <pageMargins left="1.5" right="0" top="3" bottom="0.5" header="1" footer="0.5"/>
  <pageSetup fitToHeight="0" orientation="landscape"/>
  <headerFooter alignWithMargins="0">
    <oddHeader>&amp;R&amp;"Arial,Bold"Schedule &amp;A
Page &amp;P of &amp;N&amp;C&amp;B
2025 RATE CASE
ONCOR ELECTRIC DELIVERY COMPANY LLC
II-C-2.10  RATING AGENCY REPORTS
FOR THE TWELVE MONTH PERIOD ENDING DECEMBER 31, 2024
SPONSOR: K. FEASE</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
    <tabColor rgb="FF00B050"/>
    <pageSetUpPr fitToPage="1"/>
  </sheetPr>
  <dimension ref="A1:E16"/>
  <sheetViews>
    <sheetView zoomScaleNormal="100" workbookViewId="0">
      <pane ySplit="11" topLeftCell="A12" activePane="bottomLeft" state="frozen"/>
      <selection activeCell="P34" sqref="P34"/>
      <selection pane="bottomLeft" activeCell="D18" sqref="D18"/>
    </sheetView>
  </sheetViews>
  <sheetFormatPr defaultRowHeight="12.75" x14ac:dyDescent="0.2"/>
  <cols>
    <col min="1" max="1" width="8.140625" customWidth="1"/>
    <col min="2" max="2" width="20.140625" bestFit="1" customWidth="1"/>
    <col min="3" max="3" width="13.5703125" bestFit="1" customWidth="1"/>
    <col min="4" max="4" width="80.140625" bestFit="1" customWidth="1"/>
    <col min="5" max="5" width="20.28515625" bestFit="1" customWidth="1"/>
  </cols>
  <sheetData>
    <row r="1" spans="1:5" x14ac:dyDescent="0.2">
      <c r="A1" s="5" t="str">
        <f>+'[1]Input Data'!$A$9</f>
        <v>2025 RATE CASE</v>
      </c>
    </row>
    <row r="2" spans="1:5" x14ac:dyDescent="0.2">
      <c r="A2" s="61" t="str">
        <f>+'[1]Input Data'!$A$2</f>
        <v>ONCOR ELECTRIC DELIVERY COMPANY LLC</v>
      </c>
    </row>
    <row r="3" spans="1:5" x14ac:dyDescent="0.2">
      <c r="A3" s="61" t="str">
        <f>CONCATENATE('[1]Schedule Sponsors'!$A$47,'[1]Schedule Sponsors'!$B$47)</f>
        <v>II-C-3  INTERNAL/EXTERNAL AUDITS</v>
      </c>
    </row>
    <row r="4" spans="1:5" x14ac:dyDescent="0.2">
      <c r="A4" s="62" t="str">
        <f>+'[1]Input Data'!$A$4</f>
        <v>TEST YEAR ENDING DECEMBER 31, 2024</v>
      </c>
    </row>
    <row r="5" spans="1:5" x14ac:dyDescent="0.2">
      <c r="A5" s="5" t="str">
        <f>CONCATENATE("SPONSORS: ",'[1]Schedule Sponsors'!$D$47)</f>
        <v>SPONSORS: W. ALAN LEDBETTER &amp;&amp; M. ROUNDS &amp;&amp; V. SNOW &amp;&amp; BONNIE L. CLUTTER</v>
      </c>
    </row>
    <row r="8" spans="1:5" ht="13.5" thickBot="1" x14ac:dyDescent="0.25"/>
    <row r="9" spans="1:5" x14ac:dyDescent="0.2">
      <c r="A9" s="328" t="s">
        <v>84</v>
      </c>
      <c r="B9" s="329"/>
      <c r="C9" s="329"/>
      <c r="D9" s="329"/>
      <c r="E9" s="329"/>
    </row>
    <row r="10" spans="1:5" ht="13.5" thickBot="1" x14ac:dyDescent="0.25">
      <c r="A10" s="330" t="s">
        <v>20</v>
      </c>
      <c r="B10" s="330" t="s">
        <v>278</v>
      </c>
      <c r="C10" s="330" t="s">
        <v>279</v>
      </c>
      <c r="D10" s="330" t="s">
        <v>280</v>
      </c>
      <c r="E10" s="330" t="s">
        <v>281</v>
      </c>
    </row>
    <row r="11" spans="1:5" s="239" customFormat="1" x14ac:dyDescent="0.2">
      <c r="B11" s="331" t="s">
        <v>38</v>
      </c>
      <c r="C11" s="331" t="s">
        <v>39</v>
      </c>
      <c r="D11" s="331" t="s">
        <v>40</v>
      </c>
      <c r="E11" s="331" t="s">
        <v>41</v>
      </c>
    </row>
    <row r="12" spans="1:5" s="239" customFormat="1" x14ac:dyDescent="0.2">
      <c r="B12" s="327"/>
      <c r="C12" s="327"/>
      <c r="D12" s="327"/>
      <c r="E12" s="327"/>
    </row>
    <row r="13" spans="1:5" s="239" customFormat="1" x14ac:dyDescent="0.2">
      <c r="A13" s="332">
        <v>1</v>
      </c>
      <c r="B13" s="285" t="s">
        <v>286</v>
      </c>
      <c r="C13" s="327"/>
      <c r="D13" s="327"/>
      <c r="E13" s="327"/>
    </row>
    <row r="14" spans="1:5" x14ac:dyDescent="0.2">
      <c r="A14" s="332">
        <v>2</v>
      </c>
      <c r="B14" s="285" t="s">
        <v>284</v>
      </c>
      <c r="C14" s="239"/>
      <c r="D14" s="398"/>
      <c r="E14" s="239"/>
    </row>
    <row r="15" spans="1:5" x14ac:dyDescent="0.2">
      <c r="A15" s="332">
        <v>3</v>
      </c>
      <c r="B15" s="285" t="s">
        <v>285</v>
      </c>
      <c r="C15" s="398"/>
      <c r="D15" s="398"/>
      <c r="E15" s="239"/>
    </row>
    <row r="16" spans="1:5" x14ac:dyDescent="0.2">
      <c r="A16" s="332">
        <v>4</v>
      </c>
      <c r="B16" s="239"/>
      <c r="C16" s="239"/>
      <c r="D16" s="399"/>
      <c r="E16" s="239"/>
    </row>
  </sheetData>
  <printOptions horizontalCentered="1"/>
  <pageMargins left="0.5" right="0.5" top="2.5" bottom="0.5" header="1.25" footer="0.3"/>
  <pageSetup scale="91" fitToHeight="0" orientation="landscape"/>
  <headerFooter>
    <oddHeader>&amp;R&amp;"Arial,Bold"Schedule &amp;A
Page &amp;P of &amp;N&amp;C&amp;B
2025 RATE CASE
ONCOR ELECTRIC DELIVERY COMPANY LLC
II-C-3  INTERNAL/EXTERNAL AUDITS
TEST YEAR ENDING DECEMBER 31, 2024
SPONSORS: W. ALAN LEDBETTER &amp;&amp; M. ROUNDS &amp;&amp; V. SNOW &amp;&amp; BONNIE L. CLUTTER</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
  <dimension ref="A1:C31"/>
  <sheetViews>
    <sheetView zoomScaleNormal="100" workbookViewId="0">
      <selection activeCell="B19" sqref="B19"/>
    </sheetView>
  </sheetViews>
  <sheetFormatPr defaultRowHeight="12.75" x14ac:dyDescent="0.2"/>
  <cols>
    <col min="1" max="1" width="49.85546875" customWidth="1"/>
    <col min="2" max="2" width="20" customWidth="1"/>
    <col min="3" max="3" width="26.42578125" customWidth="1"/>
  </cols>
  <sheetData>
    <row r="1" spans="1:3" x14ac:dyDescent="0.2">
      <c r="A1" s="5" t="str">
        <f>+'[1]Input Data'!$A$9</f>
        <v>2025 RATE CASE</v>
      </c>
    </row>
    <row r="2" spans="1:3" x14ac:dyDescent="0.2">
      <c r="A2" s="61" t="str">
        <f>+'[1]Input Data'!$A$2</f>
        <v>ONCOR ELECTRIC DELIVERY COMPANY LLC</v>
      </c>
    </row>
    <row r="3" spans="1:3" x14ac:dyDescent="0.2">
      <c r="A3" s="61" t="str">
        <f>CONCATENATE('[1]Schedule Sponsors'!$A$48,'[1]Schedule Sponsors'!$B$48)</f>
        <v>II-C-4  BOARD OF DIRECTOR MEETINGS</v>
      </c>
    </row>
    <row r="4" spans="1:3" x14ac:dyDescent="0.2">
      <c r="A4" s="62" t="str">
        <f>+'[1]Input Data'!$A$4</f>
        <v>TEST YEAR ENDING DECEMBER 31, 2024</v>
      </c>
    </row>
    <row r="5" spans="1:3" x14ac:dyDescent="0.2">
      <c r="A5" s="5" t="str">
        <f>CONCATENATE("SPONSOR: ",'[1]Schedule Sponsors'!$D$48)</f>
        <v>SPONSOR: E. BUCK</v>
      </c>
    </row>
    <row r="8" spans="1:3" s="239" customFormat="1" ht="15" x14ac:dyDescent="0.2">
      <c r="A8" s="321"/>
    </row>
    <row r="9" spans="1:3" ht="16.5" thickBot="1" x14ac:dyDescent="0.3">
      <c r="A9" s="439" t="s">
        <v>322</v>
      </c>
      <c r="B9" s="438"/>
      <c r="C9" s="438"/>
    </row>
    <row r="10" spans="1:3" s="239" customFormat="1" ht="15.75" thickBot="1" x14ac:dyDescent="0.3">
      <c r="A10" s="440"/>
      <c r="B10" s="441" t="s">
        <v>85</v>
      </c>
      <c r="C10" s="441" t="s">
        <v>323</v>
      </c>
    </row>
    <row r="11" spans="1:3" s="239" customFormat="1" ht="13.5" thickBot="1" x14ac:dyDescent="0.25">
      <c r="A11" s="440" t="s">
        <v>324</v>
      </c>
      <c r="B11" s="442"/>
      <c r="C11" s="443"/>
    </row>
    <row r="12" spans="1:3" ht="15" customHeight="1" thickBot="1" x14ac:dyDescent="0.25">
      <c r="A12" s="440"/>
      <c r="B12" s="442">
        <v>45336</v>
      </c>
      <c r="C12" s="443" t="s">
        <v>325</v>
      </c>
    </row>
    <row r="13" spans="1:3" ht="13.5" thickBot="1" x14ac:dyDescent="0.25">
      <c r="A13" s="440"/>
      <c r="B13" s="442">
        <v>45404</v>
      </c>
      <c r="C13" s="443" t="s">
        <v>325</v>
      </c>
    </row>
    <row r="14" spans="1:3" ht="13.5" thickBot="1" x14ac:dyDescent="0.25">
      <c r="A14" s="440"/>
      <c r="B14" s="442">
        <v>45412</v>
      </c>
      <c r="C14" s="443" t="s">
        <v>325</v>
      </c>
    </row>
    <row r="15" spans="1:3" ht="13.5" thickBot="1" x14ac:dyDescent="0.25">
      <c r="A15" s="440"/>
      <c r="B15" s="442">
        <v>45503</v>
      </c>
      <c r="C15" s="443" t="s">
        <v>325</v>
      </c>
    </row>
    <row r="16" spans="1:3" ht="13.5" thickBot="1" x14ac:dyDescent="0.25">
      <c r="A16" s="440"/>
      <c r="B16" s="442">
        <v>45595</v>
      </c>
      <c r="C16" s="443" t="s">
        <v>325</v>
      </c>
    </row>
    <row r="17" spans="1:3" ht="13.5" thickBot="1" x14ac:dyDescent="0.25">
      <c r="A17" s="440" t="s">
        <v>326</v>
      </c>
      <c r="B17" s="442"/>
      <c r="C17" s="443"/>
    </row>
    <row r="18" spans="1:3" ht="13.5" thickBot="1" x14ac:dyDescent="0.25">
      <c r="A18" s="440"/>
      <c r="B18" s="442">
        <v>45336</v>
      </c>
      <c r="C18" s="443" t="s">
        <v>325</v>
      </c>
    </row>
    <row r="19" spans="1:3" ht="13.5" thickBot="1" x14ac:dyDescent="0.25">
      <c r="A19" s="440"/>
      <c r="B19" s="442">
        <v>45412</v>
      </c>
      <c r="C19" s="443" t="s">
        <v>325</v>
      </c>
    </row>
    <row r="20" spans="1:3" ht="13.5" thickBot="1" x14ac:dyDescent="0.25">
      <c r="A20" s="440"/>
      <c r="B20" s="442">
        <v>45503</v>
      </c>
      <c r="C20" s="443" t="s">
        <v>325</v>
      </c>
    </row>
    <row r="21" spans="1:3" ht="13.5" thickBot="1" x14ac:dyDescent="0.25">
      <c r="A21" s="440"/>
      <c r="B21" s="442">
        <v>45595</v>
      </c>
      <c r="C21" s="443" t="s">
        <v>325</v>
      </c>
    </row>
    <row r="22" spans="1:3" x14ac:dyDescent="0.2">
      <c r="A22" s="438"/>
      <c r="B22" s="444"/>
      <c r="C22" s="332"/>
    </row>
    <row r="23" spans="1:3" ht="16.5" thickBot="1" x14ac:dyDescent="0.3">
      <c r="A23" s="439" t="s">
        <v>327</v>
      </c>
      <c r="B23" s="444"/>
      <c r="C23" s="332"/>
    </row>
    <row r="24" spans="1:3" ht="13.5" thickBot="1" x14ac:dyDescent="0.25">
      <c r="A24" s="440"/>
      <c r="B24" s="442" t="s">
        <v>85</v>
      </c>
      <c r="C24" s="443" t="s">
        <v>328</v>
      </c>
    </row>
    <row r="25" spans="1:3" ht="13.5" thickBot="1" x14ac:dyDescent="0.25">
      <c r="A25" s="440" t="s">
        <v>324</v>
      </c>
      <c r="B25" s="442"/>
      <c r="C25" s="443"/>
    </row>
    <row r="26" spans="1:3" ht="13.5" thickBot="1" x14ac:dyDescent="0.25">
      <c r="A26" s="440"/>
      <c r="B26" s="442">
        <v>45701</v>
      </c>
      <c r="C26" s="443" t="s">
        <v>325</v>
      </c>
    </row>
    <row r="27" spans="1:3" ht="13.5" thickBot="1" x14ac:dyDescent="0.25">
      <c r="A27" s="440"/>
      <c r="B27" s="442">
        <v>45777</v>
      </c>
      <c r="C27" s="443" t="s">
        <v>325</v>
      </c>
    </row>
    <row r="28" spans="1:3" ht="13.5" thickBot="1" x14ac:dyDescent="0.25">
      <c r="A28" s="440" t="s">
        <v>326</v>
      </c>
      <c r="B28" s="442"/>
      <c r="C28" s="443"/>
    </row>
    <row r="29" spans="1:3" ht="13.5" thickBot="1" x14ac:dyDescent="0.25">
      <c r="A29" s="440"/>
      <c r="B29" s="442">
        <v>45701</v>
      </c>
      <c r="C29" s="443" t="s">
        <v>325</v>
      </c>
    </row>
    <row r="30" spans="1:3" ht="13.5" thickBot="1" x14ac:dyDescent="0.25">
      <c r="A30" s="440"/>
      <c r="B30" s="442">
        <v>45777</v>
      </c>
      <c r="C30" s="443" t="s">
        <v>325</v>
      </c>
    </row>
    <row r="31" spans="1:3" x14ac:dyDescent="0.2">
      <c r="A31" s="438" t="s">
        <v>329</v>
      </c>
      <c r="B31" s="445"/>
      <c r="C31" s="438"/>
    </row>
  </sheetData>
  <printOptions horizontalCentered="1"/>
  <pageMargins left="0.5" right="0.5" top="2.5" bottom="0.5" header="1" footer="0.3"/>
  <pageSetup orientation="landscape"/>
  <headerFooter>
    <oddHeader>&amp;R&amp;"Arial,Bold"Schedule &amp;A
Page &amp;P of &amp;N&amp;C&amp;B
2025 RATE CASE
ONCOR ELECTRIC DELIVERY COMPANY LLC
II-C-4  BOARD OF DIRECTOR MEETINGS
TEST YEAR ENDING DECEMBER 31, 2024
SPONSOR: E. BUCK</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0">
    <pageSetUpPr fitToPage="1"/>
  </sheetPr>
  <dimension ref="A1:A9"/>
  <sheetViews>
    <sheetView workbookViewId="0">
      <selection activeCell="P34" sqref="P34"/>
    </sheetView>
  </sheetViews>
  <sheetFormatPr defaultRowHeight="12.75" x14ac:dyDescent="0.2"/>
  <sheetData>
    <row r="1" spans="1:1" x14ac:dyDescent="0.2">
      <c r="A1" s="5" t="str">
        <f>+'[1]Input Data'!$A$9</f>
        <v>2025 RATE CASE</v>
      </c>
    </row>
    <row r="2" spans="1:1" x14ac:dyDescent="0.2">
      <c r="A2" s="61" t="str">
        <f>+'[1]Input Data'!$A$2</f>
        <v>ONCOR ELECTRIC DELIVERY COMPANY LLC</v>
      </c>
    </row>
    <row r="3" spans="1:1" x14ac:dyDescent="0.2">
      <c r="A3" s="61" t="str">
        <f>CONCATENATE('[1]Schedule Sponsors'!$A$48,'[1]Schedule Sponsors'!$B$48)</f>
        <v>II-C-4  BOARD OF DIRECTOR MEETINGS</v>
      </c>
    </row>
    <row r="4" spans="1:1" x14ac:dyDescent="0.2">
      <c r="A4" s="62" t="str">
        <f>+'[1]Input Data'!$A$4</f>
        <v>TEST YEAR ENDING DECEMBER 31, 2024</v>
      </c>
    </row>
    <row r="5" spans="1:1" x14ac:dyDescent="0.2">
      <c r="A5" s="5" t="str">
        <f>CONCATENATE("SPONSOR: ",'[1]Schedule Sponsors'!$D$48)</f>
        <v>SPONSOR: E. BUCK</v>
      </c>
    </row>
    <row r="8" spans="1:1" ht="14.25" x14ac:dyDescent="0.2">
      <c r="A8" s="319" t="s">
        <v>273</v>
      </c>
    </row>
    <row r="9" spans="1:1" ht="14.25" x14ac:dyDescent="0.2">
      <c r="A9" s="319" t="s">
        <v>272</v>
      </c>
    </row>
  </sheetData>
  <printOptions horizontalCentered="1"/>
  <pageMargins left="0.5" right="0.5" top="2.75" bottom="0.5" header="1.5" footer="0.3"/>
  <pageSetup fitToHeight="0" orientation="landscape"/>
  <headerFooter>
    <oddHeader>&amp;R&amp;"Arial,Bold"Schedule &amp;A
Page &amp;P of &amp;N&amp;C&amp;B
2025 RATE CASE
ONCOR ELECTRIC DELIVERY COMPANY LLC
II-C-4  BOARD OF DIRECTOR MEETINGS
TEST YEAR ENDING DECEMBER 31, 2024
SPONSOR: E. BUCK</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33</vt:i4>
      </vt:variant>
      <vt:variant>
        <vt:lpstr>Named Ranges</vt:lpstr>
      </vt:variant>
      <vt:variant>
        <vt:i4>55</vt:i4>
      </vt:variant>
    </vt:vector>
  </HeadingPairs>
  <TitlesOfParts>
    <vt:vector size="88" baseType="lpstr">
      <vt:lpstr>Link Sheet</vt:lpstr>
      <vt:lpstr>II-C-1</vt:lpstr>
      <vt:lpstr>II-C-1.1</vt:lpstr>
      <vt:lpstr>II-C-2.1</vt:lpstr>
      <vt:lpstr>II-C-2.2</vt:lpstr>
      <vt:lpstr>II-C-2.2a</vt:lpstr>
      <vt:lpstr>II-C-2.3</vt:lpstr>
      <vt:lpstr>II-C-2.3a</vt:lpstr>
      <vt:lpstr>II-C-2.4</vt:lpstr>
      <vt:lpstr>II-C-2.4.1</vt:lpstr>
      <vt:lpstr>II-C-2.4a</vt:lpstr>
      <vt:lpstr>II-C-2.4a.1</vt:lpstr>
      <vt:lpstr>II-C-2.5</vt:lpstr>
      <vt:lpstr>II-C-2.5a</vt:lpstr>
      <vt:lpstr>II-C-2.5b</vt:lpstr>
      <vt:lpstr>II-C-2.5c</vt:lpstr>
      <vt:lpstr>II-C-2.5d</vt:lpstr>
      <vt:lpstr>II-C-2.5e</vt:lpstr>
      <vt:lpstr>II-C-2.5f</vt:lpstr>
      <vt:lpstr>II-C-2.5g</vt:lpstr>
      <vt:lpstr>II-C-2.5h</vt:lpstr>
      <vt:lpstr>II-C-2.5i</vt:lpstr>
      <vt:lpstr>II-C-2.5j</vt:lpstr>
      <vt:lpstr>II-C-2.5k</vt:lpstr>
      <vt:lpstr>II-C-2.5l</vt:lpstr>
      <vt:lpstr>II-C-2.6</vt:lpstr>
      <vt:lpstr>II-C-2.7</vt:lpstr>
      <vt:lpstr>II-C-2.8</vt:lpstr>
      <vt:lpstr>II-C-2.9</vt:lpstr>
      <vt:lpstr>II-C-2.10 Attachment 1</vt:lpstr>
      <vt:lpstr>II-C-3</vt:lpstr>
      <vt:lpstr>II-C-4</vt:lpstr>
      <vt:lpstr>II-C-4 Attachment 1</vt:lpstr>
      <vt:lpstr>'II-C-1'!Print_Area</vt:lpstr>
      <vt:lpstr>'II-C-1.1'!Print_Area</vt:lpstr>
      <vt:lpstr>'II-C-2.1'!Print_Area</vt:lpstr>
      <vt:lpstr>'II-C-2.10 Attachment 1'!Print_Area</vt:lpstr>
      <vt:lpstr>'II-C-2.2'!Print_Area</vt:lpstr>
      <vt:lpstr>'II-C-2.2a'!Print_Area</vt:lpstr>
      <vt:lpstr>'II-C-2.3'!Print_Area</vt:lpstr>
      <vt:lpstr>'II-C-2.3a'!Print_Area</vt:lpstr>
      <vt:lpstr>'II-C-2.4'!Print_Area</vt:lpstr>
      <vt:lpstr>'II-C-2.4.1'!Print_Area</vt:lpstr>
      <vt:lpstr>'II-C-2.4a'!Print_Area</vt:lpstr>
      <vt:lpstr>'II-C-2.4a.1'!Print_Area</vt:lpstr>
      <vt:lpstr>'II-C-2.5'!Print_Area</vt:lpstr>
      <vt:lpstr>'II-C-2.5a'!Print_Area</vt:lpstr>
      <vt:lpstr>'II-C-2.5b'!Print_Area</vt:lpstr>
      <vt:lpstr>'II-C-2.5c'!Print_Area</vt:lpstr>
      <vt:lpstr>'II-C-2.5d'!Print_Area</vt:lpstr>
      <vt:lpstr>'II-C-2.5e'!Print_Area</vt:lpstr>
      <vt:lpstr>'II-C-2.5f'!Print_Area</vt:lpstr>
      <vt:lpstr>'II-C-2.5g'!Print_Area</vt:lpstr>
      <vt:lpstr>'II-C-2.5h'!Print_Area</vt:lpstr>
      <vt:lpstr>'II-C-2.5i'!Print_Area</vt:lpstr>
      <vt:lpstr>'II-C-2.5j'!Print_Area</vt:lpstr>
      <vt:lpstr>'II-C-2.5k'!Print_Area</vt:lpstr>
      <vt:lpstr>'II-C-2.5l'!Print_Area</vt:lpstr>
      <vt:lpstr>'II-C-2.6'!Print_Area</vt:lpstr>
      <vt:lpstr>'II-C-2.7'!Print_Area</vt:lpstr>
      <vt:lpstr>'II-C-2.8'!Print_Area</vt:lpstr>
      <vt:lpstr>'II-C-2.9'!Print_Area</vt:lpstr>
      <vt:lpstr>'II-C-3'!Print_Area</vt:lpstr>
      <vt:lpstr>'II-C-4'!Print_Area</vt:lpstr>
      <vt:lpstr>'II-C-4 Attachment 1'!Print_Area</vt:lpstr>
      <vt:lpstr>'II-C-2.1'!Print_Titles</vt:lpstr>
      <vt:lpstr>'II-C-2.2'!Print_Titles</vt:lpstr>
      <vt:lpstr>'II-C-2.2a'!Print_Titles</vt:lpstr>
      <vt:lpstr>'II-C-2.3'!Print_Titles</vt:lpstr>
      <vt:lpstr>'II-C-2.3a'!Print_Titles</vt:lpstr>
      <vt:lpstr>'II-C-2.4'!Print_Titles</vt:lpstr>
      <vt:lpstr>'II-C-2.4.1'!Print_Titles</vt:lpstr>
      <vt:lpstr>'II-C-2.4a'!Print_Titles</vt:lpstr>
      <vt:lpstr>'II-C-2.4a.1'!Print_Titles</vt:lpstr>
      <vt:lpstr>'II-C-2.5'!Print_Titles</vt:lpstr>
      <vt:lpstr>'II-C-2.5a'!Print_Titles</vt:lpstr>
      <vt:lpstr>'II-C-2.5b'!Print_Titles</vt:lpstr>
      <vt:lpstr>'II-C-2.5c'!Print_Titles</vt:lpstr>
      <vt:lpstr>'II-C-2.5d'!Print_Titles</vt:lpstr>
      <vt:lpstr>'II-C-2.5e'!Print_Titles</vt:lpstr>
      <vt:lpstr>'II-C-2.5f'!Print_Titles</vt:lpstr>
      <vt:lpstr>'II-C-2.5g'!Print_Titles</vt:lpstr>
      <vt:lpstr>'II-C-2.5h'!Print_Titles</vt:lpstr>
      <vt:lpstr>'II-C-2.5i'!Print_Titles</vt:lpstr>
      <vt:lpstr>'II-C-2.5j'!Print_Titles</vt:lpstr>
      <vt:lpstr>'II-C-2.5k'!Print_Titles</vt:lpstr>
      <vt:lpstr>'II-C-2.5l'!Print_Titles</vt:lpstr>
      <vt:lpstr>'II-C-3'!Print_Titles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Tenorio, Stephanie</cp:lastModifiedBy>
  <cp:lastPrinted>1900-01-01T06:00:00Z</cp:lastPrinted>
  <dcterms:created xsi:type="dcterms:W3CDTF">1900-01-01T06:00:00Z</dcterms:created>
  <dcterms:modified xsi:type="dcterms:W3CDTF">2025-06-25T18:20:26Z</dcterms:modified>
</cp:coreProperties>
</file>