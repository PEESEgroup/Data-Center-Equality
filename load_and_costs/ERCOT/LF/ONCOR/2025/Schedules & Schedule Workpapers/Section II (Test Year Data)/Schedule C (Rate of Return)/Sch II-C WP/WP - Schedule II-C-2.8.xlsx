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R:\2025 Rate Case\DRAFTS\Schedules &amp; Schedule Workpapers\FINALS\"/>
    </mc:Choice>
  </mc:AlternateContent>
  <xr:revisionPtr revIDLastSave="0" documentId="8_{8537793F-1659-4645-8AE2-A7948A4FDF43}" xr6:coauthVersionLast="47" xr6:coauthVersionMax="47" xr10:uidLastSave="{00000000-0000-0000-0000-000000000000}"/>
  <x:bookViews>
    <x:workbookView xWindow="-120" yWindow="-120" windowWidth="29040" windowHeight="15720" xr2:uid="{1783C7FB-069B-47CD-BEB4-2AC85F4F544D}"/>
  </x:bookViews>
  <x:sheets>
    <x:sheet name="Schedule II-C-2.8 WP" sheetId="1" r:id="rId1"/>
  </x:sheets>
  <x:externalReferences>
    <x:externalReference r:id="rId2"/>
  </x:externalReferences>
  <x:definedNames>
    <x:definedName name="a">[1]JOURNAL!#REF!</x:definedName>
    <x:definedName name="Account">#REF!</x:definedName>
    <x:definedName name="Account2">#REF!</x:definedName>
    <x:definedName name="AccountDescr">#REF!</x:definedName>
    <x:definedName name="AccountDescr2">#REF!</x:definedName>
    <x:definedName name="acct_mo">#REF!</x:definedName>
    <x:definedName name="Activity">#REF!</x:definedName>
    <x:definedName name="Activity2">#REF!</x:definedName>
    <x:definedName name="ActivityDescr">#REF!</x:definedName>
    <x:definedName name="ActivityDescr2">#REF!</x:definedName>
    <x:definedName name="Affiliate">#REF!</x:definedName>
    <x:definedName name="Affiliate2">#REF!</x:definedName>
    <x:definedName name="AffiliateDescr">#REF!</x:definedName>
    <x:definedName name="ASD">#REF!</x:definedName>
    <x:definedName name="Completed">#REF!</x:definedName>
    <x:definedName name="Credit">#REF!</x:definedName>
    <x:definedName name="Debit">#REF!</x:definedName>
    <x:definedName name="DeptDescr">#REF!</x:definedName>
    <x:definedName name="DeptDescr2">#REF!</x:definedName>
    <x:definedName name="DeptID">#REF!</x:definedName>
    <x:definedName name="DeptID2">#REF!</x:definedName>
    <x:definedName name="EC">#REF!</x:definedName>
    <x:definedName name="ECDescr">#REF!</x:definedName>
    <x:definedName name="ECDescr2">#REF!</x:definedName>
    <x:definedName name="ECID">#REF!</x:definedName>
    <x:definedName name="Elapsed">#REF!</x:definedName>
    <x:definedName name="entry">#REF!,#REF!,#REF!,#REF!,#REF!,#REF!</x:definedName>
    <x:definedName name="EntryFields">#REF!,#REF!,#REF!,#REF!,#REF!,#REF!</x:definedName>
    <x:definedName name="form">#REF!</x:definedName>
    <x:definedName name="Header">#REF!</x:definedName>
    <x:definedName name="I">"a1..m50"</x:definedName>
    <x:definedName name="KeyControlFigure">#REF!</x:definedName>
    <x:definedName name="Lines">#REF!</x:definedName>
    <x:definedName name="ListOfManagers">#REF!</x:definedName>
    <x:definedName name="Location">#REF!</x:definedName>
    <x:definedName name="Location2">#REF!</x:definedName>
    <x:definedName name="LocationDescr">#REF!</x:definedName>
    <x:definedName name="LocationDescr2">#REF!</x:definedName>
    <x:definedName name="MgrList">#REF!</x:definedName>
    <x:definedName name="NvsAnswerCol">"'[DR_1476216_1477356_TRNDS Trial Balance Dec 2018.xls]Sheet1'!$A$7:$A$17"</x:definedName>
    <x:definedName name="NvsAnswerCol_1">"'[ARLATENT.xls]BU Descriptions'!$A$5:$A$264"</x:definedName>
    <x:definedName name="NvsASD">"V2018-12-31"</x:definedName>
    <x:definedName name="NvsASD_1">"V2004-08-31"</x:definedName>
    <x:definedName name="NvsAutoDrillOk">"VN"</x:definedName>
    <x:definedName name="NvsElapsedTime">0.0000810185229056515</x:definedName>
    <x:definedName name="NvsElapsedTime_1">0.000590277777519077</x:definedName>
    <x:definedName name="NvsEndTime">43490.3901967593</x:definedName>
    <x:definedName name="NvsEndTime_1">38237.6341435185</x:definedName>
    <x:definedName name="NvsInstLang">"VENG"</x:definedName>
    <x:definedName name="NvsInstSpec">"%,LTU_SUM01,Y2018012,FACCOUNT,V4393200"</x:definedName>
    <x:definedName name="NvsInstSpec_1">"%,LTU_SUM01,SBAL,FACCOUNT,V1891000"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"%,X,RZF..,CZF.."</x:definedName>
    <x:definedName name="NvsPanelBusUnit">"V"</x:definedName>
    <x:definedName name="NvsPanelEffdt">"V1997-01-01"</x:definedName>
    <x:definedName name="NvsPanelSetid">"VSHARE"</x:definedName>
    <x:definedName name="NvsParentRef">"'[TRNDS Trial Balance Dec 2018.xls]Sheet1'!$S$52"</x:definedName>
    <x:definedName name="NvsParentRef_1">"'[TRNDS Trial Balance Aug 2004.xls]Sheet1'!$P$37"</x:definedName>
    <x:definedName name="NvsReqBU">"VTRNDS"</x:definedName>
    <x:definedName name="NvsReqBUOnly">"VY"</x:definedName>
    <x:definedName name="NvsTranslateLedger">#REF!</x:definedName>
    <x:definedName name="NvsTransLed">"VY"</x:definedName>
    <x:definedName name="NvsTreeASD">"V2018-12-31"</x:definedName>
    <x:definedName name="NvsTreeASD_1">"V2004-08-31"</x:definedName>
    <x:definedName name="NvsValTbl.ACCOUNT">"GL_ACCOUNT_TBL"</x:definedName>
    <x:definedName name="NvsValTbl.AFFILIATE">"BUS_UNIT_TBL_FS"</x:definedName>
    <x:definedName name="NvsValTbl.CURRENCY_CD">"CURRENCY_CD_TBL"</x:definedName>
    <x:definedName name="NvsValTbl.DEPTID">"DEPARTMENT_TBL"</x:definedName>
    <x:definedName name="NvsValTbl.PROJECT_ID">"PROJECT"</x:definedName>
    <x:definedName name="NvsValTbl.TU_EC">"TU_EC_TBL"</x:definedName>
    <x:definedName name="ONCOR_ELECTRIC_DELIVERY_COMPANY" localSheetId="0">#REF!</x:definedName>
    <x:definedName name="RespMger">#REF!</x:definedName>
    <x:definedName name="rngResHeaders">#REF!</x:definedName>
    <x:definedName name="rngURL">#REF!</x:definedName>
    <x:definedName name="rngXmlConst">#REF!</x:definedName>
    <x:definedName name="Task">#REF!</x:definedName>
    <x:definedName name="Task2">#REF!</x:definedName>
    <x:definedName name="TaskDescr">#REF!</x:definedName>
    <x:definedName name="Va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N148" i="1" l="1"/>
  <x:c r="L148" i="1"/>
  <x:c r="J148" i="1"/>
  <x:c r="H148" i="1"/>
  <x:c r="F148" i="1"/>
  <x:c r="N147" i="1"/>
  <x:c r="N150" i="1" s="1"/>
  <x:c r="L147" i="1"/>
  <x:c r="J147" i="1"/>
  <x:c r="H147" i="1"/>
  <x:c r="F147" i="1"/>
  <x:c r="F150" i="1" s="1"/>
  <x:c r="N137" i="1"/>
  <x:c r="N152" i="1" s="1"/>
  <x:c r="L137" i="1"/>
  <x:c r="L152" i="1" s="1"/>
  <x:c r="J137" i="1"/>
  <x:c r="H137" i="1"/>
  <x:c r="F137" i="1"/>
  <x:c r="N132" i="1"/>
  <x:c r="L132" i="1"/>
  <x:c r="J132" i="1"/>
  <x:c r="H132" i="1"/>
  <x:c r="F132" i="1"/>
  <x:c r="J129" i="1"/>
  <x:c r="H129" i="1"/>
  <x:c r="F129" i="1"/>
  <x:c r="N104" i="1"/>
  <x:c r="L104" i="1"/>
  <x:c r="J104" i="1"/>
  <x:c r="H104" i="1"/>
  <x:c r="F104" i="1"/>
  <x:c r="N97" i="1"/>
  <x:c r="N103" i="1" s="1"/>
  <x:c r="L97" i="1"/>
  <x:c r="L103" i="1" s="1"/>
  <x:c r="J97" i="1"/>
  <x:c r="J103" i="1" s="1"/>
  <x:c r="H97" i="1"/>
  <x:c r="H103" i="1" s="1"/>
  <x:c r="F97" i="1"/>
  <x:c r="F103" i="1" s="1"/>
  <x:c r="N93" i="1"/>
  <x:c r="L93" i="1"/>
  <x:c r="J93" i="1"/>
  <x:c r="H93" i="1"/>
  <x:c r="F93" i="1"/>
  <x:c r="N92" i="1"/>
  <x:c r="L92" i="1"/>
  <x:c r="J92" i="1"/>
  <x:c r="H92" i="1"/>
  <x:c r="F92" i="1"/>
  <x:c r="N86" i="1"/>
  <x:c r="L86" i="1"/>
  <x:c r="J86" i="1"/>
  <x:c r="H86" i="1"/>
  <x:c r="F86" i="1"/>
  <x:c r="N81" i="1"/>
  <x:c r="N96" i="1" s="1"/>
  <x:c r="N102" i="1" s="1"/>
  <x:c r="L81" i="1"/>
  <x:c r="L96" i="1" s="1"/>
  <x:c r="L102" i="1" s="1"/>
  <x:c r="N79" i="1"/>
  <x:c r="N94" i="1" s="1"/>
  <x:c r="L79" i="1"/>
  <x:c r="L94" i="1" s="1"/>
  <x:c r="J79" i="1"/>
  <x:c r="J94" i="1" s="1"/>
  <x:c r="F79" i="1"/>
  <x:c r="F94" i="1" s="1"/>
  <x:c r="N78" i="1"/>
  <x:c r="L78" i="1"/>
  <x:c r="J78" i="1"/>
  <x:c r="H78" i="1"/>
  <x:c r="F78" i="1"/>
  <x:c r="N77" i="1"/>
  <x:c r="L77" i="1"/>
  <x:c r="J77" i="1"/>
  <x:c r="H77" i="1"/>
  <x:c r="F77" i="1"/>
  <x:c r="N76" i="1"/>
  <x:c r="N91" i="1" s="1"/>
  <x:c r="L76" i="1"/>
  <x:c r="L91" i="1" s="1"/>
  <x:c r="J76" i="1"/>
  <x:c r="J91" i="1" s="1"/>
  <x:c r="H76" i="1"/>
  <x:c r="F76" i="1"/>
  <x:c r="N68" i="1"/>
  <x:c r="L68" i="1"/>
  <x:c r="J68" i="1"/>
  <x:c r="H68" i="1"/>
  <x:c r="F68" i="1"/>
  <x:c r="N67" i="1"/>
  <x:c r="L67" i="1"/>
  <x:c r="J67" i="1"/>
  <x:c r="H67" i="1"/>
  <x:c r="F67" i="1"/>
  <x:c r="N66" i="1"/>
  <x:c r="L66" i="1"/>
  <x:c r="J66" i="1"/>
  <x:c r="H66" i="1"/>
  <x:c r="F66" i="1"/>
  <x:c r="J60" i="1"/>
  <x:c r="J81" i="1" s="1"/>
  <x:c r="J96" i="1" s="1"/>
  <x:c r="J102" i="1" s="1"/>
  <x:c r="H60" i="1"/>
  <x:c r="H81" i="1" s="1"/>
  <x:c r="H96" i="1" s="1"/>
  <x:c r="H102" i="1" s="1"/>
  <x:c r="F60" i="1"/>
  <x:c r="F81" i="1" s="1"/>
  <x:c r="F96" i="1" s="1"/>
  <x:c r="F102" i="1" s="1"/>
  <x:c r="N55" i="1"/>
  <x:c r="N59" i="1" s="1"/>
  <x:c r="N61" i="1" s="1"/>
  <x:c r="N85" i="1" s="1"/>
  <x:c r="L55" i="1"/>
  <x:c r="L59" i="1" s="1"/>
  <x:c r="L61" i="1" s="1"/>
  <x:c r="L85" i="1" s="1"/>
  <x:c r="J55" i="1"/>
  <x:c r="J80" i="1" s="1"/>
  <x:c r="J95" i="1" s="1"/>
  <x:c r="J101" i="1" s="1"/>
  <x:c r="H55" i="1"/>
  <x:c r="H80" i="1" s="1"/>
  <x:c r="H95" i="1" s="1"/>
  <x:c r="H101" i="1" s="1"/>
  <x:c r="F55" i="1"/>
  <x:c r="F80" i="1" s="1"/>
  <x:c r="F95" i="1" s="1"/>
  <x:c r="F101" i="1" s="1"/>
  <x:c r="H54" i="1"/>
  <x:c r="H79" i="1" s="1"/>
  <x:c r="H94" i="1" s="1"/>
  <x:c r="N53" i="1"/>
  <x:c r="L53" i="1"/>
  <x:c r="J53" i="1"/>
  <x:c r="H53" i="1"/>
  <x:c r="F53" i="1"/>
  <x:c r="N42" i="1"/>
  <x:c r="L42" i="1"/>
  <x:c r="L123" i="1" s="1"/>
  <x:c r="J42" i="1"/>
  <x:c r="J123" i="1" s="1"/>
  <x:c r="H42" i="1"/>
  <x:c r="H123" i="1" s="1"/>
  <x:c r="F42" i="1"/>
  <x:c r="F123" i="1" s="1"/>
  <x:c r="N32" i="1"/>
  <x:c r="N34" i="1" s="1"/>
  <x:c r="N26" i="1" s="1"/>
  <x:c r="L32" i="1"/>
  <x:c r="L34" i="1" s="1"/>
  <x:c r="L26" i="1" s="1"/>
  <x:c r="J32" i="1"/>
  <x:c r="J34" i="1" s="1"/>
  <x:c r="J26" i="1" s="1"/>
  <x:c r="H32" i="1"/>
  <x:c r="H34" i="1" s="1"/>
  <x:c r="H26" i="1" s="1"/>
  <x:c r="F32" i="1"/>
  <x:c r="F34" i="1" s="1"/>
  <x:c r="F26" i="1" s="1"/>
  <x:c r="N22" i="1"/>
  <x:c r="N140" i="1" s="1"/>
  <x:c r="L22" i="1"/>
  <x:c r="L140" i="1" s="1"/>
  <x:c r="N139" i="1" s="1"/>
  <x:c r="N141" i="1" s="1"/>
  <x:c r="J22" i="1"/>
  <x:c r="J140" i="1" s="1"/>
  <x:c r="L139" i="1" s="1"/>
  <x:c r="L141" i="1" s="1"/>
  <x:c r="H22" i="1"/>
  <x:c r="H140" i="1" s="1"/>
  <x:c r="J139" i="1" s="1"/>
  <x:c r="F22" i="1"/>
  <x:c r="F140" i="1" s="1"/>
  <x:c r="H139" i="1" s="1"/>
  <x:c r="H141" i="1" s="1"/>
  <x:c r="N16" i="1"/>
  <x:c r="N18" i="1" s="1"/>
  <x:c r="L16" i="1"/>
  <x:c r="L71" i="1" s="1"/>
  <x:c r="J16" i="1"/>
  <x:c r="J71" i="1" s="1"/>
  <x:c r="H16" i="1"/>
  <x:c r="H71" i="1" s="1"/>
  <x:c r="F16" i="1"/>
  <x:c r="F71" i="1" s="1"/>
  <x:c r="L69" i="1" l="1"/>
  <x:c r="L118" i="1" s="1"/>
  <x:c r="L121" i="1" s="1"/>
  <x:c r="L135" i="1"/>
  <x:c r="F141" i="1"/>
  <x:c r="N57" i="1"/>
  <x:c r="N49" i="1" s="1"/>
  <x:c r="N135" i="1"/>
  <x:c r="H57" i="1"/>
  <x:c r="N80" i="1"/>
  <x:c r="N95" i="1" s="1"/>
  <x:c r="N101" i="1" s="1"/>
  <x:c r="L116" i="1"/>
  <x:c r="J57" i="1"/>
  <x:c r="L80" i="1"/>
  <x:c r="L95" i="1" s="1"/>
  <x:c r="L101" i="1" s="1"/>
  <x:c r="L105" i="1" s="1"/>
  <x:c r="N105" i="1"/>
  <x:c r="J18" i="1"/>
  <x:c r="J23" i="1" s="1"/>
  <x:c r="J45" i="1" s="1"/>
  <x:c r="L44" i="1" s="1"/>
  <x:c r="L57" i="1"/>
  <x:c r="L49" i="1" s="1"/>
  <x:c r="L18" i="1"/>
  <x:c r="L23" i="1" s="1"/>
  <x:c r="L9" i="1" s="1"/>
  <x:c r="J141" i="1"/>
  <x:c r="J135" i="1" s="1"/>
  <x:c r="F69" i="1"/>
  <x:c r="F109" i="1" s="1"/>
  <x:c r="F111" i="1" s="1"/>
  <x:c r="H150" i="1"/>
  <x:c r="N23" i="1"/>
  <x:c r="N45" i="1" s="1"/>
  <x:c r="H69" i="1"/>
  <x:c r="H109" i="1" s="1"/>
  <x:c r="H111" i="1" s="1"/>
  <x:c r="J150" i="1"/>
  <x:c r="H83" i="1"/>
  <x:c r="J105" i="1"/>
  <x:c r="L150" i="1"/>
  <x:c r="L144" i="1" s="1"/>
  <x:c r="F18" i="1"/>
  <x:c r="F23" i="1" s="1"/>
  <x:c r="F9" i="1" s="1"/>
  <x:c r="F83" i="1"/>
  <x:c r="F91" i="1"/>
  <x:c r="H91" i="1"/>
  <x:c r="H99" i="1" s="1"/>
  <x:c r="J69" i="1"/>
  <x:c r="J128" i="1" s="1"/>
  <x:c r="J130" i="1" s="1"/>
  <x:c r="J126" i="1" s="1"/>
  <x:c r="N144" i="1"/>
  <x:c r="H18" i="1"/>
  <x:c r="H23" i="1" s="1"/>
  <x:c r="H9" i="1" s="1"/>
  <x:c r="F57" i="1"/>
  <x:c r="N69" i="1"/>
  <x:c r="N118" i="1" s="1"/>
  <x:c r="N121" i="1" s="1"/>
  <x:c r="H45" i="1"/>
  <x:c r="L113" i="1"/>
  <x:c r="L87" i="1"/>
  <x:c r="L45" i="1"/>
  <x:c r="N44" i="1" s="1"/>
  <x:c r="N87" i="1"/>
  <x:c r="N113" i="1"/>
  <x:c r="F99" i="1"/>
  <x:c r="J99" i="1"/>
  <x:c r="F135" i="1"/>
  <x:c r="F105" i="1"/>
  <x:c r="N99" i="1"/>
  <x:c r="H135" i="1"/>
  <x:c r="H105" i="1"/>
  <x:c r="L109" i="1"/>
  <x:c r="L111" i="1" s="1"/>
  <x:c r="N71" i="1"/>
  <x:c r="J83" i="1"/>
  <x:c r="N123" i="1"/>
  <x:c r="F59" i="1"/>
  <x:c r="F61" i="1" s="1"/>
  <x:c r="F85" i="1" s="1"/>
  <x:c r="F152" i="1"/>
  <x:c r="F144" i="1" s="1"/>
  <x:c r="L128" i="1"/>
  <x:c r="L130" i="1" s="1"/>
  <x:c r="L126" i="1" s="1"/>
  <x:c r="H59" i="1"/>
  <x:c r="H61" i="1" s="1"/>
  <x:c r="H85" i="1" s="1"/>
  <x:c r="L64" i="1"/>
  <x:c r="H152" i="1"/>
  <x:c r="N83" i="1"/>
  <x:c r="J59" i="1"/>
  <x:c r="J61" i="1" s="1"/>
  <x:c r="J85" i="1" s="1"/>
  <x:c r="J152" i="1"/>
  <x:c r="L99" i="1" l="1"/>
  <x:c r="L83" i="1"/>
  <x:c r="L89" i="1"/>
  <x:c r="J89" i="1"/>
  <x:c r="J64" i="1"/>
  <x:c r="N116" i="1"/>
  <x:c r="J144" i="1"/>
  <x:c r="F118" i="1"/>
  <x:c r="F121" i="1" s="1"/>
  <x:c r="F116" i="1" s="1"/>
  <x:c r="F64" i="1"/>
  <x:c r="H144" i="1"/>
  <x:c r="F45" i="1"/>
  <x:c r="H44" i="1" s="1"/>
  <x:c r="H46" i="1" s="1"/>
  <x:c r="H37" i="1" s="1"/>
  <x:c r="H89" i="1"/>
  <x:c r="N89" i="1"/>
  <x:c r="N109" i="1"/>
  <x:c r="N111" i="1" s="1"/>
  <x:c r="H64" i="1"/>
  <x:c r="N128" i="1"/>
  <x:c r="N130" i="1" s="1"/>
  <x:c r="N126" i="1" s="1"/>
  <x:c r="H128" i="1"/>
  <x:c r="H130" i="1" s="1"/>
  <x:c r="H126" i="1" s="1"/>
  <x:c r="H118" i="1"/>
  <x:c r="H121" i="1" s="1"/>
  <x:c r="H116" i="1" s="1"/>
  <x:c r="J9" i="1"/>
  <x:c r="F128" i="1"/>
  <x:c r="F130" i="1" s="1"/>
  <x:c r="F126" i="1" s="1"/>
  <x:c r="N64" i="1"/>
  <x:c r="J118" i="1"/>
  <x:c r="J121" i="1" s="1"/>
  <x:c r="J116" i="1" s="1"/>
  <x:c r="N9" i="1"/>
  <x:c r="J109" i="1"/>
  <x:c r="J111" i="1" s="1"/>
  <x:c r="L46" i="1"/>
  <x:c r="L37" i="1" s="1"/>
  <x:c r="F113" i="1"/>
  <x:c r="F107" i="1" s="1"/>
  <x:c r="F87" i="1"/>
  <x:c r="F74" i="1" s="1"/>
  <x:c r="J113" i="1"/>
  <x:c r="J87" i="1"/>
  <x:c r="J74" i="1" s="1"/>
  <x:c r="F89" i="1"/>
  <x:c r="N74" i="1"/>
  <x:c r="H49" i="1"/>
  <x:c r="L74" i="1"/>
  <x:c r="F49" i="1"/>
  <x:c r="L107" i="1"/>
  <x:c r="F46" i="1"/>
  <x:c r="F37" i="1" s="1"/>
  <x:c r="N46" i="1"/>
  <x:c r="N37" i="1" s="1"/>
  <x:c r="J49" i="1"/>
  <x:c r="H113" i="1"/>
  <x:c r="H107" i="1" s="1"/>
  <x:c r="H87" i="1"/>
  <x:c r="H74" i="1" s="1"/>
  <x:c r="N107" i="1"/>
  <x:c r="J44" i="1"/>
  <x:c r="J46" i="1" s="1"/>
  <x:c r="J37" i="1" s="1"/>
  <x:c r="J107" i="1" l="1"/>
</x:calcChain>
</file>

<file path=xl/comments1.xml><?xml version="1.0" encoding="utf-8"?>
<x:comments xmlns:mc="http://schemas.openxmlformats.org/markup-compatibility/2006" xmlns:xr="http://schemas.microsoft.com/office/spreadsheetml/2014/revision" xmlns:x="http://schemas.openxmlformats.org/spreadsheetml/2006/main" mc:Ignorable="xr">
  <x:authors>
    <x:author>Unknown</x:author>
  </x:authors>
  <x:commentList/>
</x:comments>
</file>

<file path=xl/sharedStrings.xml><?xml version="1.0" encoding="utf-8"?>
<sst xmlns="http://schemas.openxmlformats.org/spreadsheetml/2006/main" count="122" uniqueCount="74">
  <si>
    <t>ONCOR ELECTRIC DELIVERY COMPANY LLC</t>
  </si>
  <si>
    <t>1) Total Debt as a Percent of Total Capital</t>
  </si>
  <si>
    <t>Numerator:</t>
  </si>
  <si>
    <t>Long-Term Debt Due Currently</t>
  </si>
  <si>
    <t>+ Long-Term Debt Less Due Currently</t>
  </si>
  <si>
    <t>+ Notes Payable</t>
  </si>
  <si>
    <t>- Notes Payable</t>
  </si>
  <si>
    <t>- Transition Bonds Outstanding</t>
  </si>
  <si>
    <t>TOTAL DEBT</t>
  </si>
  <si>
    <t>Denominator:</t>
  </si>
  <si>
    <t>Total Debt</t>
  </si>
  <si>
    <t>+ Preferred Stock</t>
  </si>
  <si>
    <t>+ Preferred Trust Securities</t>
  </si>
  <si>
    <t>+ Common Equity</t>
  </si>
  <si>
    <t>- Adjustment to Common Equity For Docket No.</t>
  </si>
  <si>
    <t>TOTAL CAPITAL</t>
  </si>
  <si>
    <t>2) Total CWIP as a Percent of Net Plant</t>
  </si>
  <si>
    <t>Total Construction Work in Progress</t>
  </si>
  <si>
    <t>Total Utility Plant</t>
  </si>
  <si>
    <t>- Accumulated Depreciation and Amortization</t>
  </si>
  <si>
    <t>+ CWIP</t>
  </si>
  <si>
    <t>+ Property Held for Future Use</t>
  </si>
  <si>
    <t>NET PLANT</t>
  </si>
  <si>
    <t>3) Construction Expenditures as a Percent of Average Total Capital</t>
  </si>
  <si>
    <t>Capital Expenditures (See Note 1)</t>
  </si>
  <si>
    <t>- AFUDC Equity</t>
  </si>
  <si>
    <t>- AFUDC Debt</t>
  </si>
  <si>
    <t>CASH CONSTRUCTION EXPENDITURES</t>
  </si>
  <si>
    <t>Beginning Total Capital</t>
  </si>
  <si>
    <t>Ending Total Capital</t>
  </si>
  <si>
    <t>AVERAGE TOTAL CAPITAL</t>
  </si>
  <si>
    <t>4) Pre-Tax Interest Coverage</t>
  </si>
  <si>
    <t>Income From Continuing Operations</t>
  </si>
  <si>
    <t>+/- Nonrecurring Items (Before Tax)</t>
  </si>
  <si>
    <t>+ Income Taxes</t>
  </si>
  <si>
    <t>+ Interest Incurred (excl. AFUDC debt)</t>
  </si>
  <si>
    <t>- Interest Incurred on Transition Bonds</t>
  </si>
  <si>
    <t>PRE-TAX INCOME</t>
  </si>
  <si>
    <t>Interest Incurred (See Note 2)</t>
  </si>
  <si>
    <t>INTEREST INCURRED</t>
  </si>
  <si>
    <t>5) Funds From Operations / Total Debt</t>
  </si>
  <si>
    <t>CF from Ops (Before Working Cap Changes - See Note 3)</t>
  </si>
  <si>
    <t>TOTAL FUNDS FROM OPERATIONS</t>
  </si>
  <si>
    <t>6) Fixed Charge Coverage Ratio</t>
  </si>
  <si>
    <t>+ Interest Incurred (See Note 2)</t>
  </si>
  <si>
    <t>+ 1/3 of Rental Expenses</t>
  </si>
  <si>
    <t>Interest Incurred (Less Transition Bond Interest)</t>
  </si>
  <si>
    <t>7) Fixed Charge Coverage Ratio (incl. Dist on Pref Trust Securities)</t>
  </si>
  <si>
    <t>+ Distributions related to Pref Trust Securities</t>
  </si>
  <si>
    <t>8) Funds From Operations Interest Coverage</t>
  </si>
  <si>
    <t>CF from Ops (Before Working Cap Charges - See Note 3)</t>
  </si>
  <si>
    <t>+ Cash Interest Paid</t>
  </si>
  <si>
    <t>TOTAL FUNDS FROM OPS</t>
  </si>
  <si>
    <t>Interest Incurred (less Transition bond interest)</t>
  </si>
  <si>
    <t>9) Net Cash Flow / Capital Outlays</t>
  </si>
  <si>
    <t>- Preferred Dividends</t>
  </si>
  <si>
    <t>- Common Dividends</t>
  </si>
  <si>
    <t>NET CASH FLOW</t>
  </si>
  <si>
    <t>Cash Construction Expenditures/Capex</t>
  </si>
  <si>
    <t>10) Cash Coverage of Common Dividends</t>
  </si>
  <si>
    <t>Common Dividends</t>
  </si>
  <si>
    <t>11) Return on Average Common Equity</t>
  </si>
  <si>
    <t>Net Income after Preferred Dividends</t>
  </si>
  <si>
    <t>Beginning Common Equity</t>
  </si>
  <si>
    <t>Ending Common Equity</t>
  </si>
  <si>
    <t>AVERAGE COMMON EQUITY</t>
  </si>
  <si>
    <t>12) AFUDC as a Percentage of Net Income for Common Shareholders</t>
  </si>
  <si>
    <t>Total AFUDC (See Note 4)</t>
  </si>
  <si>
    <t>+ AFUDC Equity</t>
  </si>
  <si>
    <t>+ AFUDC Debt</t>
  </si>
  <si>
    <t>+ Deferred Carrying Costs (See Note 5)</t>
  </si>
  <si>
    <t>2025 RATE CASE</t>
  </si>
  <si>
    <t>FOR THE TEST YEAR ENDED DECEMBER 31, 2024</t>
  </si>
  <si>
    <t>SPONSOR: K. FEASE AND W. ALAN LEDBETTER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</si>
</sst>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_);[Red]\(0.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9"/>
      <color indexed="10"/>
      <name val="Arial"/>
      <family val="2"/>
    </font>
    <font>
      <sz val="12"/>
      <color indexed="12"/>
      <name val="Arial"/>
      <family val="2"/>
    </font>
    <font>
      <sz val="12"/>
      <color rgb="FF0070C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1" applyFont="1"/>
    <xf numFmtId="0" fontId="3" fillId="0" borderId="0" xfId="1" applyFont="1" applyAlignment="1">
      <alignment horizontal="centerContinuous"/>
    </xf>
    <xf numFmtId="0" fontId="3" fillId="0" borderId="0" xfId="1" applyFont="1"/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1" xfId="1" applyFont="1" applyBorder="1" applyAlignment="1">
      <alignment horizontal="center"/>
    </xf>
    <xf numFmtId="10" fontId="2" fillId="0" borderId="0" xfId="1" applyNumberFormat="1" applyFont="1"/>
    <xf numFmtId="38" fontId="3" fillId="0" borderId="0" xfId="1" applyNumberFormat="1" applyFont="1"/>
    <xf numFmtId="0" fontId="6" fillId="0" borderId="0" xfId="1" applyFont="1"/>
    <xf numFmtId="38" fontId="6" fillId="0" borderId="0" xfId="1" applyNumberFormat="1" applyFont="1"/>
    <xf numFmtId="0" fontId="6" fillId="0" borderId="0" xfId="1" quotePrefix="1" applyFont="1"/>
    <xf numFmtId="38" fontId="6" fillId="0" borderId="1" xfId="1" applyNumberFormat="1" applyFont="1" applyBorder="1"/>
    <xf numFmtId="38" fontId="3" fillId="0" borderId="2" xfId="1" applyNumberFormat="1" applyFont="1" applyBorder="1"/>
    <xf numFmtId="0" fontId="3" fillId="0" borderId="0" xfId="1" quotePrefix="1" applyFont="1"/>
    <xf numFmtId="38" fontId="3" fillId="0" borderId="1" xfId="1" applyNumberFormat="1" applyFont="1" applyBorder="1"/>
    <xf numFmtId="164" fontId="2" fillId="0" borderId="0" xfId="1" applyNumberFormat="1" applyFont="1"/>
    <xf numFmtId="38" fontId="7" fillId="0" borderId="1" xfId="1" applyNumberFormat="1" applyFont="1" applyBorder="1"/>
    <xf numFmtId="0" fontId="7" fillId="0" borderId="0" xfId="1" quotePrefix="1" applyFont="1"/>
    <xf numFmtId="43" fontId="2" fillId="0" borderId="0" xfId="2" applyFont="1" applyFill="1"/>
    <xf numFmtId="0" fontId="1" fillId="0" borderId="0" xfId="1"/>
    <xf numFmtId="0" fontId="1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</cellXfs>
  <cellStyles count="3">
    <cellStyle name="Comma 10" xfId="2" xr:uid="{D1E717C4-A186-4C20-A988-A5CE12DA1E8B}"/>
    <cellStyle name="Normal" xfId="0" builtinId="0"/>
    <cellStyle name="Normal - Style2" xfId="1" xr:uid="{26268663-D51C-4BA2-94A1-8F6D6484C5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My%20Stuff%20on%20C\JOURNALS\2009%20Nonrecurring%20UJEs\Mar%202009%20Nonrecurring%20UJEs\True-up%20Bond%20Issuance%20Expense%20UJE746700%2003-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Summary"/>
      <sheetName val="All Charges Paid"/>
      <sheetName val="Addtl Est for Exchange Offer"/>
      <sheetName val="SEC Exp"/>
      <sheetName val="True-up Amo"/>
      <sheetName val="1810000 Bal"/>
      <sheetName val="2329000 Bal"/>
      <sheetName val="Sep - Feb Amo"/>
      <sheetName val="Setup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Id3" /><Relationship Type="http://schemas.openxmlformats.org/officeDocument/2006/relationships/vmlDrawing" Target="../drawings/vmlDrawing1.vml" Id="rId2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1E7F926-EEA0-4A82-8140-4040CF134193}" mc:Ignorable="x14ac xr xr2 xr3">
  <x:sheetPr>
    <x:tabColor rgb="FF92D050"/>
  </x:sheetPr>
  <x:dimension ref="A1:N152"/>
  <x:sheetViews>
    <x:sheetView tabSelected="1" zoomScaleNormal="100" workbookViewId="0">
      <x:selection activeCell="B10" sqref="B10"/>
    </x:sheetView>
  </x:sheetViews>
  <x:sheetFormatPr defaultColWidth="9.140625" defaultRowHeight="15" x14ac:dyDescent="0.2"/>
  <x:cols>
    <x:col min="1" max="1" width="14.85546875" style="3" customWidth="1"/>
    <x:col min="2" max="2" width="58.7109375" style="3" customWidth="1"/>
    <x:col min="3" max="5" width="3.7109375" style="3" customWidth="1"/>
    <x:col min="6" max="6" width="15.7109375" style="3" customWidth="1"/>
    <x:col min="7" max="7" width="3.7109375" style="3" customWidth="1"/>
    <x:col min="8" max="8" width="15.7109375" style="3" customWidth="1"/>
    <x:col min="9" max="9" width="4.28515625" style="3" customWidth="1"/>
    <x:col min="10" max="10" width="15.7109375" style="3" customWidth="1"/>
    <x:col min="11" max="11" width="4.28515625" style="3" customWidth="1"/>
    <x:col min="12" max="12" width="15.7109375" style="3" customWidth="1"/>
    <x:col min="13" max="13" width="4.28515625" style="3" customWidth="1"/>
    <x:col min="14" max="14" width="15.7109375" style="3" customWidth="1"/>
    <x:col min="15" max="252" width="9.140625" style="3"/>
    <x:col min="253" max="253" width="14.85546875" style="3" customWidth="1"/>
    <x:col min="254" max="254" width="58.7109375" style="3" customWidth="1"/>
    <x:col min="255" max="255" width="3.7109375" style="3" customWidth="1"/>
    <x:col min="256" max="258" width="0" style="3" hidden="1" customWidth="1"/>
    <x:col min="259" max="259" width="3.7109375" style="3" customWidth="1"/>
    <x:col min="260" max="260" width="15.7109375" style="3" customWidth="1"/>
    <x:col min="261" max="261" width="3.7109375" style="3" customWidth="1"/>
    <x:col min="262" max="262" width="15.7109375" style="3" customWidth="1"/>
    <x:col min="263" max="263" width="3.7109375" style="3" customWidth="1"/>
    <x:col min="264" max="264" width="15.7109375" style="3" customWidth="1"/>
    <x:col min="265" max="265" width="4.28515625" style="3" customWidth="1"/>
    <x:col min="266" max="266" width="15.7109375" style="3" customWidth="1"/>
    <x:col min="267" max="267" width="4.28515625" style="3" customWidth="1"/>
    <x:col min="268" max="268" width="15.7109375" style="3" customWidth="1"/>
    <x:col min="269" max="269" width="4.28515625" style="3" customWidth="1"/>
    <x:col min="270" max="270" width="15.7109375" style="3" customWidth="1"/>
    <x:col min="271" max="508" width="9.140625" style="3"/>
    <x:col min="509" max="509" width="14.85546875" style="3" customWidth="1"/>
    <x:col min="510" max="510" width="58.7109375" style="3" customWidth="1"/>
    <x:col min="511" max="511" width="3.7109375" style="3" customWidth="1"/>
    <x:col min="512" max="514" width="0" style="3" hidden="1" customWidth="1"/>
    <x:col min="515" max="515" width="3.7109375" style="3" customWidth="1"/>
    <x:col min="516" max="516" width="15.7109375" style="3" customWidth="1"/>
    <x:col min="517" max="517" width="3.7109375" style="3" customWidth="1"/>
    <x:col min="518" max="518" width="15.7109375" style="3" customWidth="1"/>
    <x:col min="519" max="519" width="3.7109375" style="3" customWidth="1"/>
    <x:col min="520" max="520" width="15.7109375" style="3" customWidth="1"/>
    <x:col min="521" max="521" width="4.28515625" style="3" customWidth="1"/>
    <x:col min="522" max="522" width="15.7109375" style="3" customWidth="1"/>
    <x:col min="523" max="523" width="4.28515625" style="3" customWidth="1"/>
    <x:col min="524" max="524" width="15.7109375" style="3" customWidth="1"/>
    <x:col min="525" max="525" width="4.28515625" style="3" customWidth="1"/>
    <x:col min="526" max="526" width="15.7109375" style="3" customWidth="1"/>
    <x:col min="527" max="764" width="9.140625" style="3"/>
    <x:col min="765" max="765" width="14.85546875" style="3" customWidth="1"/>
    <x:col min="766" max="766" width="58.7109375" style="3" customWidth="1"/>
    <x:col min="767" max="767" width="3.7109375" style="3" customWidth="1"/>
    <x:col min="768" max="770" width="0" style="3" hidden="1" customWidth="1"/>
    <x:col min="771" max="771" width="3.7109375" style="3" customWidth="1"/>
    <x:col min="772" max="772" width="15.7109375" style="3" customWidth="1"/>
    <x:col min="773" max="773" width="3.7109375" style="3" customWidth="1"/>
    <x:col min="774" max="774" width="15.7109375" style="3" customWidth="1"/>
    <x:col min="775" max="775" width="3.7109375" style="3" customWidth="1"/>
    <x:col min="776" max="776" width="15.7109375" style="3" customWidth="1"/>
    <x:col min="777" max="777" width="4.28515625" style="3" customWidth="1"/>
    <x:col min="778" max="778" width="15.7109375" style="3" customWidth="1"/>
    <x:col min="779" max="779" width="4.28515625" style="3" customWidth="1"/>
    <x:col min="780" max="780" width="15.7109375" style="3" customWidth="1"/>
    <x:col min="781" max="781" width="4.28515625" style="3" customWidth="1"/>
    <x:col min="782" max="782" width="15.7109375" style="3" customWidth="1"/>
    <x:col min="783" max="1020" width="9.140625" style="3"/>
    <x:col min="1021" max="1021" width="14.85546875" style="3" customWidth="1"/>
    <x:col min="1022" max="1022" width="58.7109375" style="3" customWidth="1"/>
    <x:col min="1023" max="1023" width="3.7109375" style="3" customWidth="1"/>
    <x:col min="1024" max="1026" width="0" style="3" hidden="1" customWidth="1"/>
    <x:col min="1027" max="1027" width="3.7109375" style="3" customWidth="1"/>
    <x:col min="1028" max="1028" width="15.7109375" style="3" customWidth="1"/>
    <x:col min="1029" max="1029" width="3.7109375" style="3" customWidth="1"/>
    <x:col min="1030" max="1030" width="15.7109375" style="3" customWidth="1"/>
    <x:col min="1031" max="1031" width="3.7109375" style="3" customWidth="1"/>
    <x:col min="1032" max="1032" width="15.7109375" style="3" customWidth="1"/>
    <x:col min="1033" max="1033" width="4.28515625" style="3" customWidth="1"/>
    <x:col min="1034" max="1034" width="15.7109375" style="3" customWidth="1"/>
    <x:col min="1035" max="1035" width="4.28515625" style="3" customWidth="1"/>
    <x:col min="1036" max="1036" width="15.7109375" style="3" customWidth="1"/>
    <x:col min="1037" max="1037" width="4.28515625" style="3" customWidth="1"/>
    <x:col min="1038" max="1038" width="15.7109375" style="3" customWidth="1"/>
    <x:col min="1039" max="1276" width="9.140625" style="3"/>
    <x:col min="1277" max="1277" width="14.85546875" style="3" customWidth="1"/>
    <x:col min="1278" max="1278" width="58.7109375" style="3" customWidth="1"/>
    <x:col min="1279" max="1279" width="3.7109375" style="3" customWidth="1"/>
    <x:col min="1280" max="1282" width="0" style="3" hidden="1" customWidth="1"/>
    <x:col min="1283" max="1283" width="3.7109375" style="3" customWidth="1"/>
    <x:col min="1284" max="1284" width="15.7109375" style="3" customWidth="1"/>
    <x:col min="1285" max="1285" width="3.7109375" style="3" customWidth="1"/>
    <x:col min="1286" max="1286" width="15.7109375" style="3" customWidth="1"/>
    <x:col min="1287" max="1287" width="3.7109375" style="3" customWidth="1"/>
    <x:col min="1288" max="1288" width="15.7109375" style="3" customWidth="1"/>
    <x:col min="1289" max="1289" width="4.28515625" style="3" customWidth="1"/>
    <x:col min="1290" max="1290" width="15.7109375" style="3" customWidth="1"/>
    <x:col min="1291" max="1291" width="4.28515625" style="3" customWidth="1"/>
    <x:col min="1292" max="1292" width="15.7109375" style="3" customWidth="1"/>
    <x:col min="1293" max="1293" width="4.28515625" style="3" customWidth="1"/>
    <x:col min="1294" max="1294" width="15.7109375" style="3" customWidth="1"/>
    <x:col min="1295" max="1532" width="9.140625" style="3"/>
    <x:col min="1533" max="1533" width="14.85546875" style="3" customWidth="1"/>
    <x:col min="1534" max="1534" width="58.7109375" style="3" customWidth="1"/>
    <x:col min="1535" max="1535" width="3.7109375" style="3" customWidth="1"/>
    <x:col min="1536" max="1538" width="0" style="3" hidden="1" customWidth="1"/>
    <x:col min="1539" max="1539" width="3.7109375" style="3" customWidth="1"/>
    <x:col min="1540" max="1540" width="15.7109375" style="3" customWidth="1"/>
    <x:col min="1541" max="1541" width="3.7109375" style="3" customWidth="1"/>
    <x:col min="1542" max="1542" width="15.7109375" style="3" customWidth="1"/>
    <x:col min="1543" max="1543" width="3.7109375" style="3" customWidth="1"/>
    <x:col min="1544" max="1544" width="15.7109375" style="3" customWidth="1"/>
    <x:col min="1545" max="1545" width="4.28515625" style="3" customWidth="1"/>
    <x:col min="1546" max="1546" width="15.7109375" style="3" customWidth="1"/>
    <x:col min="1547" max="1547" width="4.28515625" style="3" customWidth="1"/>
    <x:col min="1548" max="1548" width="15.7109375" style="3" customWidth="1"/>
    <x:col min="1549" max="1549" width="4.28515625" style="3" customWidth="1"/>
    <x:col min="1550" max="1550" width="15.7109375" style="3" customWidth="1"/>
    <x:col min="1551" max="1788" width="9.140625" style="3"/>
    <x:col min="1789" max="1789" width="14.85546875" style="3" customWidth="1"/>
    <x:col min="1790" max="1790" width="58.7109375" style="3" customWidth="1"/>
    <x:col min="1791" max="1791" width="3.7109375" style="3" customWidth="1"/>
    <x:col min="1792" max="1794" width="0" style="3" hidden="1" customWidth="1"/>
    <x:col min="1795" max="1795" width="3.7109375" style="3" customWidth="1"/>
    <x:col min="1796" max="1796" width="15.7109375" style="3" customWidth="1"/>
    <x:col min="1797" max="1797" width="3.7109375" style="3" customWidth="1"/>
    <x:col min="1798" max="1798" width="15.7109375" style="3" customWidth="1"/>
    <x:col min="1799" max="1799" width="3.7109375" style="3" customWidth="1"/>
    <x:col min="1800" max="1800" width="15.7109375" style="3" customWidth="1"/>
    <x:col min="1801" max="1801" width="4.28515625" style="3" customWidth="1"/>
    <x:col min="1802" max="1802" width="15.7109375" style="3" customWidth="1"/>
    <x:col min="1803" max="1803" width="4.28515625" style="3" customWidth="1"/>
    <x:col min="1804" max="1804" width="15.7109375" style="3" customWidth="1"/>
    <x:col min="1805" max="1805" width="4.28515625" style="3" customWidth="1"/>
    <x:col min="1806" max="1806" width="15.7109375" style="3" customWidth="1"/>
    <x:col min="1807" max="2044" width="9.140625" style="3"/>
    <x:col min="2045" max="2045" width="14.85546875" style="3" customWidth="1"/>
    <x:col min="2046" max="2046" width="58.7109375" style="3" customWidth="1"/>
    <x:col min="2047" max="2047" width="3.7109375" style="3" customWidth="1"/>
    <x:col min="2048" max="2050" width="0" style="3" hidden="1" customWidth="1"/>
    <x:col min="2051" max="2051" width="3.7109375" style="3" customWidth="1"/>
    <x:col min="2052" max="2052" width="15.7109375" style="3" customWidth="1"/>
    <x:col min="2053" max="2053" width="3.7109375" style="3" customWidth="1"/>
    <x:col min="2054" max="2054" width="15.7109375" style="3" customWidth="1"/>
    <x:col min="2055" max="2055" width="3.7109375" style="3" customWidth="1"/>
    <x:col min="2056" max="2056" width="15.7109375" style="3" customWidth="1"/>
    <x:col min="2057" max="2057" width="4.28515625" style="3" customWidth="1"/>
    <x:col min="2058" max="2058" width="15.7109375" style="3" customWidth="1"/>
    <x:col min="2059" max="2059" width="4.28515625" style="3" customWidth="1"/>
    <x:col min="2060" max="2060" width="15.7109375" style="3" customWidth="1"/>
    <x:col min="2061" max="2061" width="4.28515625" style="3" customWidth="1"/>
    <x:col min="2062" max="2062" width="15.7109375" style="3" customWidth="1"/>
    <x:col min="2063" max="2300" width="9.140625" style="3"/>
    <x:col min="2301" max="2301" width="14.85546875" style="3" customWidth="1"/>
    <x:col min="2302" max="2302" width="58.7109375" style="3" customWidth="1"/>
    <x:col min="2303" max="2303" width="3.7109375" style="3" customWidth="1"/>
    <x:col min="2304" max="2306" width="0" style="3" hidden="1" customWidth="1"/>
    <x:col min="2307" max="2307" width="3.7109375" style="3" customWidth="1"/>
    <x:col min="2308" max="2308" width="15.7109375" style="3" customWidth="1"/>
    <x:col min="2309" max="2309" width="3.7109375" style="3" customWidth="1"/>
    <x:col min="2310" max="2310" width="15.7109375" style="3" customWidth="1"/>
    <x:col min="2311" max="2311" width="3.7109375" style="3" customWidth="1"/>
    <x:col min="2312" max="2312" width="15.7109375" style="3" customWidth="1"/>
    <x:col min="2313" max="2313" width="4.28515625" style="3" customWidth="1"/>
    <x:col min="2314" max="2314" width="15.7109375" style="3" customWidth="1"/>
    <x:col min="2315" max="2315" width="4.28515625" style="3" customWidth="1"/>
    <x:col min="2316" max="2316" width="15.7109375" style="3" customWidth="1"/>
    <x:col min="2317" max="2317" width="4.28515625" style="3" customWidth="1"/>
    <x:col min="2318" max="2318" width="15.7109375" style="3" customWidth="1"/>
    <x:col min="2319" max="2556" width="9.140625" style="3"/>
    <x:col min="2557" max="2557" width="14.85546875" style="3" customWidth="1"/>
    <x:col min="2558" max="2558" width="58.7109375" style="3" customWidth="1"/>
    <x:col min="2559" max="2559" width="3.7109375" style="3" customWidth="1"/>
    <x:col min="2560" max="2562" width="0" style="3" hidden="1" customWidth="1"/>
    <x:col min="2563" max="2563" width="3.7109375" style="3" customWidth="1"/>
    <x:col min="2564" max="2564" width="15.7109375" style="3" customWidth="1"/>
    <x:col min="2565" max="2565" width="3.7109375" style="3" customWidth="1"/>
    <x:col min="2566" max="2566" width="15.7109375" style="3" customWidth="1"/>
    <x:col min="2567" max="2567" width="3.7109375" style="3" customWidth="1"/>
    <x:col min="2568" max="2568" width="15.7109375" style="3" customWidth="1"/>
    <x:col min="2569" max="2569" width="4.28515625" style="3" customWidth="1"/>
    <x:col min="2570" max="2570" width="15.7109375" style="3" customWidth="1"/>
    <x:col min="2571" max="2571" width="4.28515625" style="3" customWidth="1"/>
    <x:col min="2572" max="2572" width="15.7109375" style="3" customWidth="1"/>
    <x:col min="2573" max="2573" width="4.28515625" style="3" customWidth="1"/>
    <x:col min="2574" max="2574" width="15.7109375" style="3" customWidth="1"/>
    <x:col min="2575" max="2812" width="9.140625" style="3"/>
    <x:col min="2813" max="2813" width="14.85546875" style="3" customWidth="1"/>
    <x:col min="2814" max="2814" width="58.7109375" style="3" customWidth="1"/>
    <x:col min="2815" max="2815" width="3.7109375" style="3" customWidth="1"/>
    <x:col min="2816" max="2818" width="0" style="3" hidden="1" customWidth="1"/>
    <x:col min="2819" max="2819" width="3.7109375" style="3" customWidth="1"/>
    <x:col min="2820" max="2820" width="15.7109375" style="3" customWidth="1"/>
    <x:col min="2821" max="2821" width="3.7109375" style="3" customWidth="1"/>
    <x:col min="2822" max="2822" width="15.7109375" style="3" customWidth="1"/>
    <x:col min="2823" max="2823" width="3.7109375" style="3" customWidth="1"/>
    <x:col min="2824" max="2824" width="15.7109375" style="3" customWidth="1"/>
    <x:col min="2825" max="2825" width="4.28515625" style="3" customWidth="1"/>
    <x:col min="2826" max="2826" width="15.7109375" style="3" customWidth="1"/>
    <x:col min="2827" max="2827" width="4.28515625" style="3" customWidth="1"/>
    <x:col min="2828" max="2828" width="15.7109375" style="3" customWidth="1"/>
    <x:col min="2829" max="2829" width="4.28515625" style="3" customWidth="1"/>
    <x:col min="2830" max="2830" width="15.7109375" style="3" customWidth="1"/>
    <x:col min="2831" max="3068" width="9.140625" style="3"/>
    <x:col min="3069" max="3069" width="14.85546875" style="3" customWidth="1"/>
    <x:col min="3070" max="3070" width="58.7109375" style="3" customWidth="1"/>
    <x:col min="3071" max="3071" width="3.7109375" style="3" customWidth="1"/>
    <x:col min="3072" max="3074" width="0" style="3" hidden="1" customWidth="1"/>
    <x:col min="3075" max="3075" width="3.7109375" style="3" customWidth="1"/>
    <x:col min="3076" max="3076" width="15.7109375" style="3" customWidth="1"/>
    <x:col min="3077" max="3077" width="3.7109375" style="3" customWidth="1"/>
    <x:col min="3078" max="3078" width="15.7109375" style="3" customWidth="1"/>
    <x:col min="3079" max="3079" width="3.7109375" style="3" customWidth="1"/>
    <x:col min="3080" max="3080" width="15.7109375" style="3" customWidth="1"/>
    <x:col min="3081" max="3081" width="4.28515625" style="3" customWidth="1"/>
    <x:col min="3082" max="3082" width="15.7109375" style="3" customWidth="1"/>
    <x:col min="3083" max="3083" width="4.28515625" style="3" customWidth="1"/>
    <x:col min="3084" max="3084" width="15.7109375" style="3" customWidth="1"/>
    <x:col min="3085" max="3085" width="4.28515625" style="3" customWidth="1"/>
    <x:col min="3086" max="3086" width="15.7109375" style="3" customWidth="1"/>
    <x:col min="3087" max="3324" width="9.140625" style="3"/>
    <x:col min="3325" max="3325" width="14.85546875" style="3" customWidth="1"/>
    <x:col min="3326" max="3326" width="58.7109375" style="3" customWidth="1"/>
    <x:col min="3327" max="3327" width="3.7109375" style="3" customWidth="1"/>
    <x:col min="3328" max="3330" width="0" style="3" hidden="1" customWidth="1"/>
    <x:col min="3331" max="3331" width="3.7109375" style="3" customWidth="1"/>
    <x:col min="3332" max="3332" width="15.7109375" style="3" customWidth="1"/>
    <x:col min="3333" max="3333" width="3.7109375" style="3" customWidth="1"/>
    <x:col min="3334" max="3334" width="15.7109375" style="3" customWidth="1"/>
    <x:col min="3335" max="3335" width="3.7109375" style="3" customWidth="1"/>
    <x:col min="3336" max="3336" width="15.7109375" style="3" customWidth="1"/>
    <x:col min="3337" max="3337" width="4.28515625" style="3" customWidth="1"/>
    <x:col min="3338" max="3338" width="15.7109375" style="3" customWidth="1"/>
    <x:col min="3339" max="3339" width="4.28515625" style="3" customWidth="1"/>
    <x:col min="3340" max="3340" width="15.7109375" style="3" customWidth="1"/>
    <x:col min="3341" max="3341" width="4.28515625" style="3" customWidth="1"/>
    <x:col min="3342" max="3342" width="15.7109375" style="3" customWidth="1"/>
    <x:col min="3343" max="3580" width="9.140625" style="3"/>
    <x:col min="3581" max="3581" width="14.85546875" style="3" customWidth="1"/>
    <x:col min="3582" max="3582" width="58.7109375" style="3" customWidth="1"/>
    <x:col min="3583" max="3583" width="3.7109375" style="3" customWidth="1"/>
    <x:col min="3584" max="3586" width="0" style="3" hidden="1" customWidth="1"/>
    <x:col min="3587" max="3587" width="3.7109375" style="3" customWidth="1"/>
    <x:col min="3588" max="3588" width="15.7109375" style="3" customWidth="1"/>
    <x:col min="3589" max="3589" width="3.7109375" style="3" customWidth="1"/>
    <x:col min="3590" max="3590" width="15.7109375" style="3" customWidth="1"/>
    <x:col min="3591" max="3591" width="3.7109375" style="3" customWidth="1"/>
    <x:col min="3592" max="3592" width="15.7109375" style="3" customWidth="1"/>
    <x:col min="3593" max="3593" width="4.28515625" style="3" customWidth="1"/>
    <x:col min="3594" max="3594" width="15.7109375" style="3" customWidth="1"/>
    <x:col min="3595" max="3595" width="4.28515625" style="3" customWidth="1"/>
    <x:col min="3596" max="3596" width="15.7109375" style="3" customWidth="1"/>
    <x:col min="3597" max="3597" width="4.28515625" style="3" customWidth="1"/>
    <x:col min="3598" max="3598" width="15.7109375" style="3" customWidth="1"/>
    <x:col min="3599" max="3836" width="9.140625" style="3"/>
    <x:col min="3837" max="3837" width="14.85546875" style="3" customWidth="1"/>
    <x:col min="3838" max="3838" width="58.7109375" style="3" customWidth="1"/>
    <x:col min="3839" max="3839" width="3.7109375" style="3" customWidth="1"/>
    <x:col min="3840" max="3842" width="0" style="3" hidden="1" customWidth="1"/>
    <x:col min="3843" max="3843" width="3.7109375" style="3" customWidth="1"/>
    <x:col min="3844" max="3844" width="15.7109375" style="3" customWidth="1"/>
    <x:col min="3845" max="3845" width="3.7109375" style="3" customWidth="1"/>
    <x:col min="3846" max="3846" width="15.7109375" style="3" customWidth="1"/>
    <x:col min="3847" max="3847" width="3.7109375" style="3" customWidth="1"/>
    <x:col min="3848" max="3848" width="15.7109375" style="3" customWidth="1"/>
    <x:col min="3849" max="3849" width="4.28515625" style="3" customWidth="1"/>
    <x:col min="3850" max="3850" width="15.7109375" style="3" customWidth="1"/>
    <x:col min="3851" max="3851" width="4.28515625" style="3" customWidth="1"/>
    <x:col min="3852" max="3852" width="15.7109375" style="3" customWidth="1"/>
    <x:col min="3853" max="3853" width="4.28515625" style="3" customWidth="1"/>
    <x:col min="3854" max="3854" width="15.7109375" style="3" customWidth="1"/>
    <x:col min="3855" max="4092" width="9.140625" style="3"/>
    <x:col min="4093" max="4093" width="14.85546875" style="3" customWidth="1"/>
    <x:col min="4094" max="4094" width="58.7109375" style="3" customWidth="1"/>
    <x:col min="4095" max="4095" width="3.7109375" style="3" customWidth="1"/>
    <x:col min="4096" max="4098" width="0" style="3" hidden="1" customWidth="1"/>
    <x:col min="4099" max="4099" width="3.7109375" style="3" customWidth="1"/>
    <x:col min="4100" max="4100" width="15.7109375" style="3" customWidth="1"/>
    <x:col min="4101" max="4101" width="3.7109375" style="3" customWidth="1"/>
    <x:col min="4102" max="4102" width="15.7109375" style="3" customWidth="1"/>
    <x:col min="4103" max="4103" width="3.7109375" style="3" customWidth="1"/>
    <x:col min="4104" max="4104" width="15.7109375" style="3" customWidth="1"/>
    <x:col min="4105" max="4105" width="4.28515625" style="3" customWidth="1"/>
    <x:col min="4106" max="4106" width="15.7109375" style="3" customWidth="1"/>
    <x:col min="4107" max="4107" width="4.28515625" style="3" customWidth="1"/>
    <x:col min="4108" max="4108" width="15.7109375" style="3" customWidth="1"/>
    <x:col min="4109" max="4109" width="4.28515625" style="3" customWidth="1"/>
    <x:col min="4110" max="4110" width="15.7109375" style="3" customWidth="1"/>
    <x:col min="4111" max="4348" width="9.140625" style="3"/>
    <x:col min="4349" max="4349" width="14.85546875" style="3" customWidth="1"/>
    <x:col min="4350" max="4350" width="58.7109375" style="3" customWidth="1"/>
    <x:col min="4351" max="4351" width="3.7109375" style="3" customWidth="1"/>
    <x:col min="4352" max="4354" width="0" style="3" hidden="1" customWidth="1"/>
    <x:col min="4355" max="4355" width="3.7109375" style="3" customWidth="1"/>
    <x:col min="4356" max="4356" width="15.7109375" style="3" customWidth="1"/>
    <x:col min="4357" max="4357" width="3.7109375" style="3" customWidth="1"/>
    <x:col min="4358" max="4358" width="15.7109375" style="3" customWidth="1"/>
    <x:col min="4359" max="4359" width="3.7109375" style="3" customWidth="1"/>
    <x:col min="4360" max="4360" width="15.7109375" style="3" customWidth="1"/>
    <x:col min="4361" max="4361" width="4.28515625" style="3" customWidth="1"/>
    <x:col min="4362" max="4362" width="15.7109375" style="3" customWidth="1"/>
    <x:col min="4363" max="4363" width="4.28515625" style="3" customWidth="1"/>
    <x:col min="4364" max="4364" width="15.7109375" style="3" customWidth="1"/>
    <x:col min="4365" max="4365" width="4.28515625" style="3" customWidth="1"/>
    <x:col min="4366" max="4366" width="15.7109375" style="3" customWidth="1"/>
    <x:col min="4367" max="4604" width="9.140625" style="3"/>
    <x:col min="4605" max="4605" width="14.85546875" style="3" customWidth="1"/>
    <x:col min="4606" max="4606" width="58.7109375" style="3" customWidth="1"/>
    <x:col min="4607" max="4607" width="3.7109375" style="3" customWidth="1"/>
    <x:col min="4608" max="4610" width="0" style="3" hidden="1" customWidth="1"/>
    <x:col min="4611" max="4611" width="3.7109375" style="3" customWidth="1"/>
    <x:col min="4612" max="4612" width="15.7109375" style="3" customWidth="1"/>
    <x:col min="4613" max="4613" width="3.7109375" style="3" customWidth="1"/>
    <x:col min="4614" max="4614" width="15.7109375" style="3" customWidth="1"/>
    <x:col min="4615" max="4615" width="3.7109375" style="3" customWidth="1"/>
    <x:col min="4616" max="4616" width="15.7109375" style="3" customWidth="1"/>
    <x:col min="4617" max="4617" width="4.28515625" style="3" customWidth="1"/>
    <x:col min="4618" max="4618" width="15.7109375" style="3" customWidth="1"/>
    <x:col min="4619" max="4619" width="4.28515625" style="3" customWidth="1"/>
    <x:col min="4620" max="4620" width="15.7109375" style="3" customWidth="1"/>
    <x:col min="4621" max="4621" width="4.28515625" style="3" customWidth="1"/>
    <x:col min="4622" max="4622" width="15.7109375" style="3" customWidth="1"/>
    <x:col min="4623" max="4860" width="9.140625" style="3"/>
    <x:col min="4861" max="4861" width="14.85546875" style="3" customWidth="1"/>
    <x:col min="4862" max="4862" width="58.7109375" style="3" customWidth="1"/>
    <x:col min="4863" max="4863" width="3.7109375" style="3" customWidth="1"/>
    <x:col min="4864" max="4866" width="0" style="3" hidden="1" customWidth="1"/>
    <x:col min="4867" max="4867" width="3.7109375" style="3" customWidth="1"/>
    <x:col min="4868" max="4868" width="15.7109375" style="3" customWidth="1"/>
    <x:col min="4869" max="4869" width="3.7109375" style="3" customWidth="1"/>
    <x:col min="4870" max="4870" width="15.7109375" style="3" customWidth="1"/>
    <x:col min="4871" max="4871" width="3.7109375" style="3" customWidth="1"/>
    <x:col min="4872" max="4872" width="15.7109375" style="3" customWidth="1"/>
    <x:col min="4873" max="4873" width="4.28515625" style="3" customWidth="1"/>
    <x:col min="4874" max="4874" width="15.7109375" style="3" customWidth="1"/>
    <x:col min="4875" max="4875" width="4.28515625" style="3" customWidth="1"/>
    <x:col min="4876" max="4876" width="15.7109375" style="3" customWidth="1"/>
    <x:col min="4877" max="4877" width="4.28515625" style="3" customWidth="1"/>
    <x:col min="4878" max="4878" width="15.7109375" style="3" customWidth="1"/>
    <x:col min="4879" max="5116" width="9.140625" style="3"/>
    <x:col min="5117" max="5117" width="14.85546875" style="3" customWidth="1"/>
    <x:col min="5118" max="5118" width="58.7109375" style="3" customWidth="1"/>
    <x:col min="5119" max="5119" width="3.7109375" style="3" customWidth="1"/>
    <x:col min="5120" max="5122" width="0" style="3" hidden="1" customWidth="1"/>
    <x:col min="5123" max="5123" width="3.7109375" style="3" customWidth="1"/>
    <x:col min="5124" max="5124" width="15.7109375" style="3" customWidth="1"/>
    <x:col min="5125" max="5125" width="3.7109375" style="3" customWidth="1"/>
    <x:col min="5126" max="5126" width="15.7109375" style="3" customWidth="1"/>
    <x:col min="5127" max="5127" width="3.7109375" style="3" customWidth="1"/>
    <x:col min="5128" max="5128" width="15.7109375" style="3" customWidth="1"/>
    <x:col min="5129" max="5129" width="4.28515625" style="3" customWidth="1"/>
    <x:col min="5130" max="5130" width="15.7109375" style="3" customWidth="1"/>
    <x:col min="5131" max="5131" width="4.28515625" style="3" customWidth="1"/>
    <x:col min="5132" max="5132" width="15.7109375" style="3" customWidth="1"/>
    <x:col min="5133" max="5133" width="4.28515625" style="3" customWidth="1"/>
    <x:col min="5134" max="5134" width="15.7109375" style="3" customWidth="1"/>
    <x:col min="5135" max="5372" width="9.140625" style="3"/>
    <x:col min="5373" max="5373" width="14.85546875" style="3" customWidth="1"/>
    <x:col min="5374" max="5374" width="58.7109375" style="3" customWidth="1"/>
    <x:col min="5375" max="5375" width="3.7109375" style="3" customWidth="1"/>
    <x:col min="5376" max="5378" width="0" style="3" hidden="1" customWidth="1"/>
    <x:col min="5379" max="5379" width="3.7109375" style="3" customWidth="1"/>
    <x:col min="5380" max="5380" width="15.7109375" style="3" customWidth="1"/>
    <x:col min="5381" max="5381" width="3.7109375" style="3" customWidth="1"/>
    <x:col min="5382" max="5382" width="15.7109375" style="3" customWidth="1"/>
    <x:col min="5383" max="5383" width="3.7109375" style="3" customWidth="1"/>
    <x:col min="5384" max="5384" width="15.7109375" style="3" customWidth="1"/>
    <x:col min="5385" max="5385" width="4.28515625" style="3" customWidth="1"/>
    <x:col min="5386" max="5386" width="15.7109375" style="3" customWidth="1"/>
    <x:col min="5387" max="5387" width="4.28515625" style="3" customWidth="1"/>
    <x:col min="5388" max="5388" width="15.7109375" style="3" customWidth="1"/>
    <x:col min="5389" max="5389" width="4.28515625" style="3" customWidth="1"/>
    <x:col min="5390" max="5390" width="15.7109375" style="3" customWidth="1"/>
    <x:col min="5391" max="5628" width="9.140625" style="3"/>
    <x:col min="5629" max="5629" width="14.85546875" style="3" customWidth="1"/>
    <x:col min="5630" max="5630" width="58.7109375" style="3" customWidth="1"/>
    <x:col min="5631" max="5631" width="3.7109375" style="3" customWidth="1"/>
    <x:col min="5632" max="5634" width="0" style="3" hidden="1" customWidth="1"/>
    <x:col min="5635" max="5635" width="3.7109375" style="3" customWidth="1"/>
    <x:col min="5636" max="5636" width="15.7109375" style="3" customWidth="1"/>
    <x:col min="5637" max="5637" width="3.7109375" style="3" customWidth="1"/>
    <x:col min="5638" max="5638" width="15.7109375" style="3" customWidth="1"/>
    <x:col min="5639" max="5639" width="3.7109375" style="3" customWidth="1"/>
    <x:col min="5640" max="5640" width="15.7109375" style="3" customWidth="1"/>
    <x:col min="5641" max="5641" width="4.28515625" style="3" customWidth="1"/>
    <x:col min="5642" max="5642" width="15.7109375" style="3" customWidth="1"/>
    <x:col min="5643" max="5643" width="4.28515625" style="3" customWidth="1"/>
    <x:col min="5644" max="5644" width="15.7109375" style="3" customWidth="1"/>
    <x:col min="5645" max="5645" width="4.28515625" style="3" customWidth="1"/>
    <x:col min="5646" max="5646" width="15.7109375" style="3" customWidth="1"/>
    <x:col min="5647" max="5884" width="9.140625" style="3"/>
    <x:col min="5885" max="5885" width="14.85546875" style="3" customWidth="1"/>
    <x:col min="5886" max="5886" width="58.7109375" style="3" customWidth="1"/>
    <x:col min="5887" max="5887" width="3.7109375" style="3" customWidth="1"/>
    <x:col min="5888" max="5890" width="0" style="3" hidden="1" customWidth="1"/>
    <x:col min="5891" max="5891" width="3.7109375" style="3" customWidth="1"/>
    <x:col min="5892" max="5892" width="15.7109375" style="3" customWidth="1"/>
    <x:col min="5893" max="5893" width="3.7109375" style="3" customWidth="1"/>
    <x:col min="5894" max="5894" width="15.7109375" style="3" customWidth="1"/>
    <x:col min="5895" max="5895" width="3.7109375" style="3" customWidth="1"/>
    <x:col min="5896" max="5896" width="15.7109375" style="3" customWidth="1"/>
    <x:col min="5897" max="5897" width="4.28515625" style="3" customWidth="1"/>
    <x:col min="5898" max="5898" width="15.7109375" style="3" customWidth="1"/>
    <x:col min="5899" max="5899" width="4.28515625" style="3" customWidth="1"/>
    <x:col min="5900" max="5900" width="15.7109375" style="3" customWidth="1"/>
    <x:col min="5901" max="5901" width="4.28515625" style="3" customWidth="1"/>
    <x:col min="5902" max="5902" width="15.7109375" style="3" customWidth="1"/>
    <x:col min="5903" max="6140" width="9.140625" style="3"/>
    <x:col min="6141" max="6141" width="14.85546875" style="3" customWidth="1"/>
    <x:col min="6142" max="6142" width="58.7109375" style="3" customWidth="1"/>
    <x:col min="6143" max="6143" width="3.7109375" style="3" customWidth="1"/>
    <x:col min="6144" max="6146" width="0" style="3" hidden="1" customWidth="1"/>
    <x:col min="6147" max="6147" width="3.7109375" style="3" customWidth="1"/>
    <x:col min="6148" max="6148" width="15.7109375" style="3" customWidth="1"/>
    <x:col min="6149" max="6149" width="3.7109375" style="3" customWidth="1"/>
    <x:col min="6150" max="6150" width="15.7109375" style="3" customWidth="1"/>
    <x:col min="6151" max="6151" width="3.7109375" style="3" customWidth="1"/>
    <x:col min="6152" max="6152" width="15.7109375" style="3" customWidth="1"/>
    <x:col min="6153" max="6153" width="4.28515625" style="3" customWidth="1"/>
    <x:col min="6154" max="6154" width="15.7109375" style="3" customWidth="1"/>
    <x:col min="6155" max="6155" width="4.28515625" style="3" customWidth="1"/>
    <x:col min="6156" max="6156" width="15.7109375" style="3" customWidth="1"/>
    <x:col min="6157" max="6157" width="4.28515625" style="3" customWidth="1"/>
    <x:col min="6158" max="6158" width="15.7109375" style="3" customWidth="1"/>
    <x:col min="6159" max="6396" width="9.140625" style="3"/>
    <x:col min="6397" max="6397" width="14.85546875" style="3" customWidth="1"/>
    <x:col min="6398" max="6398" width="58.7109375" style="3" customWidth="1"/>
    <x:col min="6399" max="6399" width="3.7109375" style="3" customWidth="1"/>
    <x:col min="6400" max="6402" width="0" style="3" hidden="1" customWidth="1"/>
    <x:col min="6403" max="6403" width="3.7109375" style="3" customWidth="1"/>
    <x:col min="6404" max="6404" width="15.7109375" style="3" customWidth="1"/>
    <x:col min="6405" max="6405" width="3.7109375" style="3" customWidth="1"/>
    <x:col min="6406" max="6406" width="15.7109375" style="3" customWidth="1"/>
    <x:col min="6407" max="6407" width="3.7109375" style="3" customWidth="1"/>
    <x:col min="6408" max="6408" width="15.7109375" style="3" customWidth="1"/>
    <x:col min="6409" max="6409" width="4.28515625" style="3" customWidth="1"/>
    <x:col min="6410" max="6410" width="15.7109375" style="3" customWidth="1"/>
    <x:col min="6411" max="6411" width="4.28515625" style="3" customWidth="1"/>
    <x:col min="6412" max="6412" width="15.7109375" style="3" customWidth="1"/>
    <x:col min="6413" max="6413" width="4.28515625" style="3" customWidth="1"/>
    <x:col min="6414" max="6414" width="15.7109375" style="3" customWidth="1"/>
    <x:col min="6415" max="6652" width="9.140625" style="3"/>
    <x:col min="6653" max="6653" width="14.85546875" style="3" customWidth="1"/>
    <x:col min="6654" max="6654" width="58.7109375" style="3" customWidth="1"/>
    <x:col min="6655" max="6655" width="3.7109375" style="3" customWidth="1"/>
    <x:col min="6656" max="6658" width="0" style="3" hidden="1" customWidth="1"/>
    <x:col min="6659" max="6659" width="3.7109375" style="3" customWidth="1"/>
    <x:col min="6660" max="6660" width="15.7109375" style="3" customWidth="1"/>
    <x:col min="6661" max="6661" width="3.7109375" style="3" customWidth="1"/>
    <x:col min="6662" max="6662" width="15.7109375" style="3" customWidth="1"/>
    <x:col min="6663" max="6663" width="3.7109375" style="3" customWidth="1"/>
    <x:col min="6664" max="6664" width="15.7109375" style="3" customWidth="1"/>
    <x:col min="6665" max="6665" width="4.28515625" style="3" customWidth="1"/>
    <x:col min="6666" max="6666" width="15.7109375" style="3" customWidth="1"/>
    <x:col min="6667" max="6667" width="4.28515625" style="3" customWidth="1"/>
    <x:col min="6668" max="6668" width="15.7109375" style="3" customWidth="1"/>
    <x:col min="6669" max="6669" width="4.28515625" style="3" customWidth="1"/>
    <x:col min="6670" max="6670" width="15.7109375" style="3" customWidth="1"/>
    <x:col min="6671" max="6908" width="9.140625" style="3"/>
    <x:col min="6909" max="6909" width="14.85546875" style="3" customWidth="1"/>
    <x:col min="6910" max="6910" width="58.7109375" style="3" customWidth="1"/>
    <x:col min="6911" max="6911" width="3.7109375" style="3" customWidth="1"/>
    <x:col min="6912" max="6914" width="0" style="3" hidden="1" customWidth="1"/>
    <x:col min="6915" max="6915" width="3.7109375" style="3" customWidth="1"/>
    <x:col min="6916" max="6916" width="15.7109375" style="3" customWidth="1"/>
    <x:col min="6917" max="6917" width="3.7109375" style="3" customWidth="1"/>
    <x:col min="6918" max="6918" width="15.7109375" style="3" customWidth="1"/>
    <x:col min="6919" max="6919" width="3.7109375" style="3" customWidth="1"/>
    <x:col min="6920" max="6920" width="15.7109375" style="3" customWidth="1"/>
    <x:col min="6921" max="6921" width="4.28515625" style="3" customWidth="1"/>
    <x:col min="6922" max="6922" width="15.7109375" style="3" customWidth="1"/>
    <x:col min="6923" max="6923" width="4.28515625" style="3" customWidth="1"/>
    <x:col min="6924" max="6924" width="15.7109375" style="3" customWidth="1"/>
    <x:col min="6925" max="6925" width="4.28515625" style="3" customWidth="1"/>
    <x:col min="6926" max="6926" width="15.7109375" style="3" customWidth="1"/>
    <x:col min="6927" max="7164" width="9.140625" style="3"/>
    <x:col min="7165" max="7165" width="14.85546875" style="3" customWidth="1"/>
    <x:col min="7166" max="7166" width="58.7109375" style="3" customWidth="1"/>
    <x:col min="7167" max="7167" width="3.7109375" style="3" customWidth="1"/>
    <x:col min="7168" max="7170" width="0" style="3" hidden="1" customWidth="1"/>
    <x:col min="7171" max="7171" width="3.7109375" style="3" customWidth="1"/>
    <x:col min="7172" max="7172" width="15.7109375" style="3" customWidth="1"/>
    <x:col min="7173" max="7173" width="3.7109375" style="3" customWidth="1"/>
    <x:col min="7174" max="7174" width="15.7109375" style="3" customWidth="1"/>
    <x:col min="7175" max="7175" width="3.7109375" style="3" customWidth="1"/>
    <x:col min="7176" max="7176" width="15.7109375" style="3" customWidth="1"/>
    <x:col min="7177" max="7177" width="4.28515625" style="3" customWidth="1"/>
    <x:col min="7178" max="7178" width="15.7109375" style="3" customWidth="1"/>
    <x:col min="7179" max="7179" width="4.28515625" style="3" customWidth="1"/>
    <x:col min="7180" max="7180" width="15.7109375" style="3" customWidth="1"/>
    <x:col min="7181" max="7181" width="4.28515625" style="3" customWidth="1"/>
    <x:col min="7182" max="7182" width="15.7109375" style="3" customWidth="1"/>
    <x:col min="7183" max="7420" width="9.140625" style="3"/>
    <x:col min="7421" max="7421" width="14.85546875" style="3" customWidth="1"/>
    <x:col min="7422" max="7422" width="58.7109375" style="3" customWidth="1"/>
    <x:col min="7423" max="7423" width="3.7109375" style="3" customWidth="1"/>
    <x:col min="7424" max="7426" width="0" style="3" hidden="1" customWidth="1"/>
    <x:col min="7427" max="7427" width="3.7109375" style="3" customWidth="1"/>
    <x:col min="7428" max="7428" width="15.7109375" style="3" customWidth="1"/>
    <x:col min="7429" max="7429" width="3.7109375" style="3" customWidth="1"/>
    <x:col min="7430" max="7430" width="15.7109375" style="3" customWidth="1"/>
    <x:col min="7431" max="7431" width="3.7109375" style="3" customWidth="1"/>
    <x:col min="7432" max="7432" width="15.7109375" style="3" customWidth="1"/>
    <x:col min="7433" max="7433" width="4.28515625" style="3" customWidth="1"/>
    <x:col min="7434" max="7434" width="15.7109375" style="3" customWidth="1"/>
    <x:col min="7435" max="7435" width="4.28515625" style="3" customWidth="1"/>
    <x:col min="7436" max="7436" width="15.7109375" style="3" customWidth="1"/>
    <x:col min="7437" max="7437" width="4.28515625" style="3" customWidth="1"/>
    <x:col min="7438" max="7438" width="15.7109375" style="3" customWidth="1"/>
    <x:col min="7439" max="7676" width="9.140625" style="3"/>
    <x:col min="7677" max="7677" width="14.85546875" style="3" customWidth="1"/>
    <x:col min="7678" max="7678" width="58.7109375" style="3" customWidth="1"/>
    <x:col min="7679" max="7679" width="3.7109375" style="3" customWidth="1"/>
    <x:col min="7680" max="7682" width="0" style="3" hidden="1" customWidth="1"/>
    <x:col min="7683" max="7683" width="3.7109375" style="3" customWidth="1"/>
    <x:col min="7684" max="7684" width="15.7109375" style="3" customWidth="1"/>
    <x:col min="7685" max="7685" width="3.7109375" style="3" customWidth="1"/>
    <x:col min="7686" max="7686" width="15.7109375" style="3" customWidth="1"/>
    <x:col min="7687" max="7687" width="3.7109375" style="3" customWidth="1"/>
    <x:col min="7688" max="7688" width="15.7109375" style="3" customWidth="1"/>
    <x:col min="7689" max="7689" width="4.28515625" style="3" customWidth="1"/>
    <x:col min="7690" max="7690" width="15.7109375" style="3" customWidth="1"/>
    <x:col min="7691" max="7691" width="4.28515625" style="3" customWidth="1"/>
    <x:col min="7692" max="7692" width="15.7109375" style="3" customWidth="1"/>
    <x:col min="7693" max="7693" width="4.28515625" style="3" customWidth="1"/>
    <x:col min="7694" max="7694" width="15.7109375" style="3" customWidth="1"/>
    <x:col min="7695" max="7932" width="9.140625" style="3"/>
    <x:col min="7933" max="7933" width="14.85546875" style="3" customWidth="1"/>
    <x:col min="7934" max="7934" width="58.7109375" style="3" customWidth="1"/>
    <x:col min="7935" max="7935" width="3.7109375" style="3" customWidth="1"/>
    <x:col min="7936" max="7938" width="0" style="3" hidden="1" customWidth="1"/>
    <x:col min="7939" max="7939" width="3.7109375" style="3" customWidth="1"/>
    <x:col min="7940" max="7940" width="15.7109375" style="3" customWidth="1"/>
    <x:col min="7941" max="7941" width="3.7109375" style="3" customWidth="1"/>
    <x:col min="7942" max="7942" width="15.7109375" style="3" customWidth="1"/>
    <x:col min="7943" max="7943" width="3.7109375" style="3" customWidth="1"/>
    <x:col min="7944" max="7944" width="15.7109375" style="3" customWidth="1"/>
    <x:col min="7945" max="7945" width="4.28515625" style="3" customWidth="1"/>
    <x:col min="7946" max="7946" width="15.7109375" style="3" customWidth="1"/>
    <x:col min="7947" max="7947" width="4.28515625" style="3" customWidth="1"/>
    <x:col min="7948" max="7948" width="15.7109375" style="3" customWidth="1"/>
    <x:col min="7949" max="7949" width="4.28515625" style="3" customWidth="1"/>
    <x:col min="7950" max="7950" width="15.7109375" style="3" customWidth="1"/>
    <x:col min="7951" max="8188" width="9.140625" style="3"/>
    <x:col min="8189" max="8189" width="14.85546875" style="3" customWidth="1"/>
    <x:col min="8190" max="8190" width="58.7109375" style="3" customWidth="1"/>
    <x:col min="8191" max="8191" width="3.7109375" style="3" customWidth="1"/>
    <x:col min="8192" max="8194" width="0" style="3" hidden="1" customWidth="1"/>
    <x:col min="8195" max="8195" width="3.7109375" style="3" customWidth="1"/>
    <x:col min="8196" max="8196" width="15.7109375" style="3" customWidth="1"/>
    <x:col min="8197" max="8197" width="3.7109375" style="3" customWidth="1"/>
    <x:col min="8198" max="8198" width="15.7109375" style="3" customWidth="1"/>
    <x:col min="8199" max="8199" width="3.7109375" style="3" customWidth="1"/>
    <x:col min="8200" max="8200" width="15.7109375" style="3" customWidth="1"/>
    <x:col min="8201" max="8201" width="4.28515625" style="3" customWidth="1"/>
    <x:col min="8202" max="8202" width="15.7109375" style="3" customWidth="1"/>
    <x:col min="8203" max="8203" width="4.28515625" style="3" customWidth="1"/>
    <x:col min="8204" max="8204" width="15.7109375" style="3" customWidth="1"/>
    <x:col min="8205" max="8205" width="4.28515625" style="3" customWidth="1"/>
    <x:col min="8206" max="8206" width="15.7109375" style="3" customWidth="1"/>
    <x:col min="8207" max="8444" width="9.140625" style="3"/>
    <x:col min="8445" max="8445" width="14.85546875" style="3" customWidth="1"/>
    <x:col min="8446" max="8446" width="58.7109375" style="3" customWidth="1"/>
    <x:col min="8447" max="8447" width="3.7109375" style="3" customWidth="1"/>
    <x:col min="8448" max="8450" width="0" style="3" hidden="1" customWidth="1"/>
    <x:col min="8451" max="8451" width="3.7109375" style="3" customWidth="1"/>
    <x:col min="8452" max="8452" width="15.7109375" style="3" customWidth="1"/>
    <x:col min="8453" max="8453" width="3.7109375" style="3" customWidth="1"/>
    <x:col min="8454" max="8454" width="15.7109375" style="3" customWidth="1"/>
    <x:col min="8455" max="8455" width="3.7109375" style="3" customWidth="1"/>
    <x:col min="8456" max="8456" width="15.7109375" style="3" customWidth="1"/>
    <x:col min="8457" max="8457" width="4.28515625" style="3" customWidth="1"/>
    <x:col min="8458" max="8458" width="15.7109375" style="3" customWidth="1"/>
    <x:col min="8459" max="8459" width="4.28515625" style="3" customWidth="1"/>
    <x:col min="8460" max="8460" width="15.7109375" style="3" customWidth="1"/>
    <x:col min="8461" max="8461" width="4.28515625" style="3" customWidth="1"/>
    <x:col min="8462" max="8462" width="15.7109375" style="3" customWidth="1"/>
    <x:col min="8463" max="8700" width="9.140625" style="3"/>
    <x:col min="8701" max="8701" width="14.85546875" style="3" customWidth="1"/>
    <x:col min="8702" max="8702" width="58.7109375" style="3" customWidth="1"/>
    <x:col min="8703" max="8703" width="3.7109375" style="3" customWidth="1"/>
    <x:col min="8704" max="8706" width="0" style="3" hidden="1" customWidth="1"/>
    <x:col min="8707" max="8707" width="3.7109375" style="3" customWidth="1"/>
    <x:col min="8708" max="8708" width="15.7109375" style="3" customWidth="1"/>
    <x:col min="8709" max="8709" width="3.7109375" style="3" customWidth="1"/>
    <x:col min="8710" max="8710" width="15.7109375" style="3" customWidth="1"/>
    <x:col min="8711" max="8711" width="3.7109375" style="3" customWidth="1"/>
    <x:col min="8712" max="8712" width="15.7109375" style="3" customWidth="1"/>
    <x:col min="8713" max="8713" width="4.28515625" style="3" customWidth="1"/>
    <x:col min="8714" max="8714" width="15.7109375" style="3" customWidth="1"/>
    <x:col min="8715" max="8715" width="4.28515625" style="3" customWidth="1"/>
    <x:col min="8716" max="8716" width="15.7109375" style="3" customWidth="1"/>
    <x:col min="8717" max="8717" width="4.28515625" style="3" customWidth="1"/>
    <x:col min="8718" max="8718" width="15.7109375" style="3" customWidth="1"/>
    <x:col min="8719" max="8956" width="9.140625" style="3"/>
    <x:col min="8957" max="8957" width="14.85546875" style="3" customWidth="1"/>
    <x:col min="8958" max="8958" width="58.7109375" style="3" customWidth="1"/>
    <x:col min="8959" max="8959" width="3.7109375" style="3" customWidth="1"/>
    <x:col min="8960" max="8962" width="0" style="3" hidden="1" customWidth="1"/>
    <x:col min="8963" max="8963" width="3.7109375" style="3" customWidth="1"/>
    <x:col min="8964" max="8964" width="15.7109375" style="3" customWidth="1"/>
    <x:col min="8965" max="8965" width="3.7109375" style="3" customWidth="1"/>
    <x:col min="8966" max="8966" width="15.7109375" style="3" customWidth="1"/>
    <x:col min="8967" max="8967" width="3.7109375" style="3" customWidth="1"/>
    <x:col min="8968" max="8968" width="15.7109375" style="3" customWidth="1"/>
    <x:col min="8969" max="8969" width="4.28515625" style="3" customWidth="1"/>
    <x:col min="8970" max="8970" width="15.7109375" style="3" customWidth="1"/>
    <x:col min="8971" max="8971" width="4.28515625" style="3" customWidth="1"/>
    <x:col min="8972" max="8972" width="15.7109375" style="3" customWidth="1"/>
    <x:col min="8973" max="8973" width="4.28515625" style="3" customWidth="1"/>
    <x:col min="8974" max="8974" width="15.7109375" style="3" customWidth="1"/>
    <x:col min="8975" max="9212" width="9.140625" style="3"/>
    <x:col min="9213" max="9213" width="14.85546875" style="3" customWidth="1"/>
    <x:col min="9214" max="9214" width="58.7109375" style="3" customWidth="1"/>
    <x:col min="9215" max="9215" width="3.7109375" style="3" customWidth="1"/>
    <x:col min="9216" max="9218" width="0" style="3" hidden="1" customWidth="1"/>
    <x:col min="9219" max="9219" width="3.7109375" style="3" customWidth="1"/>
    <x:col min="9220" max="9220" width="15.7109375" style="3" customWidth="1"/>
    <x:col min="9221" max="9221" width="3.7109375" style="3" customWidth="1"/>
    <x:col min="9222" max="9222" width="15.7109375" style="3" customWidth="1"/>
    <x:col min="9223" max="9223" width="3.7109375" style="3" customWidth="1"/>
    <x:col min="9224" max="9224" width="15.7109375" style="3" customWidth="1"/>
    <x:col min="9225" max="9225" width="4.28515625" style="3" customWidth="1"/>
    <x:col min="9226" max="9226" width="15.7109375" style="3" customWidth="1"/>
    <x:col min="9227" max="9227" width="4.28515625" style="3" customWidth="1"/>
    <x:col min="9228" max="9228" width="15.7109375" style="3" customWidth="1"/>
    <x:col min="9229" max="9229" width="4.28515625" style="3" customWidth="1"/>
    <x:col min="9230" max="9230" width="15.7109375" style="3" customWidth="1"/>
    <x:col min="9231" max="9468" width="9.140625" style="3"/>
    <x:col min="9469" max="9469" width="14.85546875" style="3" customWidth="1"/>
    <x:col min="9470" max="9470" width="58.7109375" style="3" customWidth="1"/>
    <x:col min="9471" max="9471" width="3.7109375" style="3" customWidth="1"/>
    <x:col min="9472" max="9474" width="0" style="3" hidden="1" customWidth="1"/>
    <x:col min="9475" max="9475" width="3.7109375" style="3" customWidth="1"/>
    <x:col min="9476" max="9476" width="15.7109375" style="3" customWidth="1"/>
    <x:col min="9477" max="9477" width="3.7109375" style="3" customWidth="1"/>
    <x:col min="9478" max="9478" width="15.7109375" style="3" customWidth="1"/>
    <x:col min="9479" max="9479" width="3.7109375" style="3" customWidth="1"/>
    <x:col min="9480" max="9480" width="15.7109375" style="3" customWidth="1"/>
    <x:col min="9481" max="9481" width="4.28515625" style="3" customWidth="1"/>
    <x:col min="9482" max="9482" width="15.7109375" style="3" customWidth="1"/>
    <x:col min="9483" max="9483" width="4.28515625" style="3" customWidth="1"/>
    <x:col min="9484" max="9484" width="15.7109375" style="3" customWidth="1"/>
    <x:col min="9485" max="9485" width="4.28515625" style="3" customWidth="1"/>
    <x:col min="9486" max="9486" width="15.7109375" style="3" customWidth="1"/>
    <x:col min="9487" max="9724" width="9.140625" style="3"/>
    <x:col min="9725" max="9725" width="14.85546875" style="3" customWidth="1"/>
    <x:col min="9726" max="9726" width="58.7109375" style="3" customWidth="1"/>
    <x:col min="9727" max="9727" width="3.7109375" style="3" customWidth="1"/>
    <x:col min="9728" max="9730" width="0" style="3" hidden="1" customWidth="1"/>
    <x:col min="9731" max="9731" width="3.7109375" style="3" customWidth="1"/>
    <x:col min="9732" max="9732" width="15.7109375" style="3" customWidth="1"/>
    <x:col min="9733" max="9733" width="3.7109375" style="3" customWidth="1"/>
    <x:col min="9734" max="9734" width="15.7109375" style="3" customWidth="1"/>
    <x:col min="9735" max="9735" width="3.7109375" style="3" customWidth="1"/>
    <x:col min="9736" max="9736" width="15.7109375" style="3" customWidth="1"/>
    <x:col min="9737" max="9737" width="4.28515625" style="3" customWidth="1"/>
    <x:col min="9738" max="9738" width="15.7109375" style="3" customWidth="1"/>
    <x:col min="9739" max="9739" width="4.28515625" style="3" customWidth="1"/>
    <x:col min="9740" max="9740" width="15.7109375" style="3" customWidth="1"/>
    <x:col min="9741" max="9741" width="4.28515625" style="3" customWidth="1"/>
    <x:col min="9742" max="9742" width="15.7109375" style="3" customWidth="1"/>
    <x:col min="9743" max="9980" width="9.140625" style="3"/>
    <x:col min="9981" max="9981" width="14.85546875" style="3" customWidth="1"/>
    <x:col min="9982" max="9982" width="58.7109375" style="3" customWidth="1"/>
    <x:col min="9983" max="9983" width="3.7109375" style="3" customWidth="1"/>
    <x:col min="9984" max="9986" width="0" style="3" hidden="1" customWidth="1"/>
    <x:col min="9987" max="9987" width="3.7109375" style="3" customWidth="1"/>
    <x:col min="9988" max="9988" width="15.7109375" style="3" customWidth="1"/>
    <x:col min="9989" max="9989" width="3.7109375" style="3" customWidth="1"/>
    <x:col min="9990" max="9990" width="15.7109375" style="3" customWidth="1"/>
    <x:col min="9991" max="9991" width="3.7109375" style="3" customWidth="1"/>
    <x:col min="9992" max="9992" width="15.7109375" style="3" customWidth="1"/>
    <x:col min="9993" max="9993" width="4.28515625" style="3" customWidth="1"/>
    <x:col min="9994" max="9994" width="15.7109375" style="3" customWidth="1"/>
    <x:col min="9995" max="9995" width="4.28515625" style="3" customWidth="1"/>
    <x:col min="9996" max="9996" width="15.7109375" style="3" customWidth="1"/>
    <x:col min="9997" max="9997" width="4.28515625" style="3" customWidth="1"/>
    <x:col min="9998" max="9998" width="15.7109375" style="3" customWidth="1"/>
    <x:col min="9999" max="10236" width="9.140625" style="3"/>
    <x:col min="10237" max="10237" width="14.85546875" style="3" customWidth="1"/>
    <x:col min="10238" max="10238" width="58.7109375" style="3" customWidth="1"/>
    <x:col min="10239" max="10239" width="3.7109375" style="3" customWidth="1"/>
    <x:col min="10240" max="10242" width="0" style="3" hidden="1" customWidth="1"/>
    <x:col min="10243" max="10243" width="3.7109375" style="3" customWidth="1"/>
    <x:col min="10244" max="10244" width="15.7109375" style="3" customWidth="1"/>
    <x:col min="10245" max="10245" width="3.7109375" style="3" customWidth="1"/>
    <x:col min="10246" max="10246" width="15.7109375" style="3" customWidth="1"/>
    <x:col min="10247" max="10247" width="3.7109375" style="3" customWidth="1"/>
    <x:col min="10248" max="10248" width="15.7109375" style="3" customWidth="1"/>
    <x:col min="10249" max="10249" width="4.28515625" style="3" customWidth="1"/>
    <x:col min="10250" max="10250" width="15.7109375" style="3" customWidth="1"/>
    <x:col min="10251" max="10251" width="4.28515625" style="3" customWidth="1"/>
    <x:col min="10252" max="10252" width="15.7109375" style="3" customWidth="1"/>
    <x:col min="10253" max="10253" width="4.28515625" style="3" customWidth="1"/>
    <x:col min="10254" max="10254" width="15.7109375" style="3" customWidth="1"/>
    <x:col min="10255" max="10492" width="9.140625" style="3"/>
    <x:col min="10493" max="10493" width="14.85546875" style="3" customWidth="1"/>
    <x:col min="10494" max="10494" width="58.7109375" style="3" customWidth="1"/>
    <x:col min="10495" max="10495" width="3.7109375" style="3" customWidth="1"/>
    <x:col min="10496" max="10498" width="0" style="3" hidden="1" customWidth="1"/>
    <x:col min="10499" max="10499" width="3.7109375" style="3" customWidth="1"/>
    <x:col min="10500" max="10500" width="15.7109375" style="3" customWidth="1"/>
    <x:col min="10501" max="10501" width="3.7109375" style="3" customWidth="1"/>
    <x:col min="10502" max="10502" width="15.7109375" style="3" customWidth="1"/>
    <x:col min="10503" max="10503" width="3.7109375" style="3" customWidth="1"/>
    <x:col min="10504" max="10504" width="15.7109375" style="3" customWidth="1"/>
    <x:col min="10505" max="10505" width="4.28515625" style="3" customWidth="1"/>
    <x:col min="10506" max="10506" width="15.7109375" style="3" customWidth="1"/>
    <x:col min="10507" max="10507" width="4.28515625" style="3" customWidth="1"/>
    <x:col min="10508" max="10508" width="15.7109375" style="3" customWidth="1"/>
    <x:col min="10509" max="10509" width="4.28515625" style="3" customWidth="1"/>
    <x:col min="10510" max="10510" width="15.7109375" style="3" customWidth="1"/>
    <x:col min="10511" max="10748" width="9.140625" style="3"/>
    <x:col min="10749" max="10749" width="14.85546875" style="3" customWidth="1"/>
    <x:col min="10750" max="10750" width="58.7109375" style="3" customWidth="1"/>
    <x:col min="10751" max="10751" width="3.7109375" style="3" customWidth="1"/>
    <x:col min="10752" max="10754" width="0" style="3" hidden="1" customWidth="1"/>
    <x:col min="10755" max="10755" width="3.7109375" style="3" customWidth="1"/>
    <x:col min="10756" max="10756" width="15.7109375" style="3" customWidth="1"/>
    <x:col min="10757" max="10757" width="3.7109375" style="3" customWidth="1"/>
    <x:col min="10758" max="10758" width="15.7109375" style="3" customWidth="1"/>
    <x:col min="10759" max="10759" width="3.7109375" style="3" customWidth="1"/>
    <x:col min="10760" max="10760" width="15.7109375" style="3" customWidth="1"/>
    <x:col min="10761" max="10761" width="4.28515625" style="3" customWidth="1"/>
    <x:col min="10762" max="10762" width="15.7109375" style="3" customWidth="1"/>
    <x:col min="10763" max="10763" width="4.28515625" style="3" customWidth="1"/>
    <x:col min="10764" max="10764" width="15.7109375" style="3" customWidth="1"/>
    <x:col min="10765" max="10765" width="4.28515625" style="3" customWidth="1"/>
    <x:col min="10766" max="10766" width="15.7109375" style="3" customWidth="1"/>
    <x:col min="10767" max="11004" width="9.140625" style="3"/>
    <x:col min="11005" max="11005" width="14.85546875" style="3" customWidth="1"/>
    <x:col min="11006" max="11006" width="58.7109375" style="3" customWidth="1"/>
    <x:col min="11007" max="11007" width="3.7109375" style="3" customWidth="1"/>
    <x:col min="11008" max="11010" width="0" style="3" hidden="1" customWidth="1"/>
    <x:col min="11011" max="11011" width="3.7109375" style="3" customWidth="1"/>
    <x:col min="11012" max="11012" width="15.7109375" style="3" customWidth="1"/>
    <x:col min="11013" max="11013" width="3.7109375" style="3" customWidth="1"/>
    <x:col min="11014" max="11014" width="15.7109375" style="3" customWidth="1"/>
    <x:col min="11015" max="11015" width="3.7109375" style="3" customWidth="1"/>
    <x:col min="11016" max="11016" width="15.7109375" style="3" customWidth="1"/>
    <x:col min="11017" max="11017" width="4.28515625" style="3" customWidth="1"/>
    <x:col min="11018" max="11018" width="15.7109375" style="3" customWidth="1"/>
    <x:col min="11019" max="11019" width="4.28515625" style="3" customWidth="1"/>
    <x:col min="11020" max="11020" width="15.7109375" style="3" customWidth="1"/>
    <x:col min="11021" max="11021" width="4.28515625" style="3" customWidth="1"/>
    <x:col min="11022" max="11022" width="15.7109375" style="3" customWidth="1"/>
    <x:col min="11023" max="11260" width="9.140625" style="3"/>
    <x:col min="11261" max="11261" width="14.85546875" style="3" customWidth="1"/>
    <x:col min="11262" max="11262" width="58.7109375" style="3" customWidth="1"/>
    <x:col min="11263" max="11263" width="3.7109375" style="3" customWidth="1"/>
    <x:col min="11264" max="11266" width="0" style="3" hidden="1" customWidth="1"/>
    <x:col min="11267" max="11267" width="3.7109375" style="3" customWidth="1"/>
    <x:col min="11268" max="11268" width="15.7109375" style="3" customWidth="1"/>
    <x:col min="11269" max="11269" width="3.7109375" style="3" customWidth="1"/>
    <x:col min="11270" max="11270" width="15.7109375" style="3" customWidth="1"/>
    <x:col min="11271" max="11271" width="3.7109375" style="3" customWidth="1"/>
    <x:col min="11272" max="11272" width="15.7109375" style="3" customWidth="1"/>
    <x:col min="11273" max="11273" width="4.28515625" style="3" customWidth="1"/>
    <x:col min="11274" max="11274" width="15.7109375" style="3" customWidth="1"/>
    <x:col min="11275" max="11275" width="4.28515625" style="3" customWidth="1"/>
    <x:col min="11276" max="11276" width="15.7109375" style="3" customWidth="1"/>
    <x:col min="11277" max="11277" width="4.28515625" style="3" customWidth="1"/>
    <x:col min="11278" max="11278" width="15.7109375" style="3" customWidth="1"/>
    <x:col min="11279" max="11516" width="9.140625" style="3"/>
    <x:col min="11517" max="11517" width="14.85546875" style="3" customWidth="1"/>
    <x:col min="11518" max="11518" width="58.7109375" style="3" customWidth="1"/>
    <x:col min="11519" max="11519" width="3.7109375" style="3" customWidth="1"/>
    <x:col min="11520" max="11522" width="0" style="3" hidden="1" customWidth="1"/>
    <x:col min="11523" max="11523" width="3.7109375" style="3" customWidth="1"/>
    <x:col min="11524" max="11524" width="15.7109375" style="3" customWidth="1"/>
    <x:col min="11525" max="11525" width="3.7109375" style="3" customWidth="1"/>
    <x:col min="11526" max="11526" width="15.7109375" style="3" customWidth="1"/>
    <x:col min="11527" max="11527" width="3.7109375" style="3" customWidth="1"/>
    <x:col min="11528" max="11528" width="15.7109375" style="3" customWidth="1"/>
    <x:col min="11529" max="11529" width="4.28515625" style="3" customWidth="1"/>
    <x:col min="11530" max="11530" width="15.7109375" style="3" customWidth="1"/>
    <x:col min="11531" max="11531" width="4.28515625" style="3" customWidth="1"/>
    <x:col min="11532" max="11532" width="15.7109375" style="3" customWidth="1"/>
    <x:col min="11533" max="11533" width="4.28515625" style="3" customWidth="1"/>
    <x:col min="11534" max="11534" width="15.7109375" style="3" customWidth="1"/>
    <x:col min="11535" max="11772" width="9.140625" style="3"/>
    <x:col min="11773" max="11773" width="14.85546875" style="3" customWidth="1"/>
    <x:col min="11774" max="11774" width="58.7109375" style="3" customWidth="1"/>
    <x:col min="11775" max="11775" width="3.7109375" style="3" customWidth="1"/>
    <x:col min="11776" max="11778" width="0" style="3" hidden="1" customWidth="1"/>
    <x:col min="11779" max="11779" width="3.7109375" style="3" customWidth="1"/>
    <x:col min="11780" max="11780" width="15.7109375" style="3" customWidth="1"/>
    <x:col min="11781" max="11781" width="3.7109375" style="3" customWidth="1"/>
    <x:col min="11782" max="11782" width="15.7109375" style="3" customWidth="1"/>
    <x:col min="11783" max="11783" width="3.7109375" style="3" customWidth="1"/>
    <x:col min="11784" max="11784" width="15.7109375" style="3" customWidth="1"/>
    <x:col min="11785" max="11785" width="4.28515625" style="3" customWidth="1"/>
    <x:col min="11786" max="11786" width="15.7109375" style="3" customWidth="1"/>
    <x:col min="11787" max="11787" width="4.28515625" style="3" customWidth="1"/>
    <x:col min="11788" max="11788" width="15.7109375" style="3" customWidth="1"/>
    <x:col min="11789" max="11789" width="4.28515625" style="3" customWidth="1"/>
    <x:col min="11790" max="11790" width="15.7109375" style="3" customWidth="1"/>
    <x:col min="11791" max="12028" width="9.140625" style="3"/>
    <x:col min="12029" max="12029" width="14.85546875" style="3" customWidth="1"/>
    <x:col min="12030" max="12030" width="58.7109375" style="3" customWidth="1"/>
    <x:col min="12031" max="12031" width="3.7109375" style="3" customWidth="1"/>
    <x:col min="12032" max="12034" width="0" style="3" hidden="1" customWidth="1"/>
    <x:col min="12035" max="12035" width="3.7109375" style="3" customWidth="1"/>
    <x:col min="12036" max="12036" width="15.7109375" style="3" customWidth="1"/>
    <x:col min="12037" max="12037" width="3.7109375" style="3" customWidth="1"/>
    <x:col min="12038" max="12038" width="15.7109375" style="3" customWidth="1"/>
    <x:col min="12039" max="12039" width="3.7109375" style="3" customWidth="1"/>
    <x:col min="12040" max="12040" width="15.7109375" style="3" customWidth="1"/>
    <x:col min="12041" max="12041" width="4.28515625" style="3" customWidth="1"/>
    <x:col min="12042" max="12042" width="15.7109375" style="3" customWidth="1"/>
    <x:col min="12043" max="12043" width="4.28515625" style="3" customWidth="1"/>
    <x:col min="12044" max="12044" width="15.7109375" style="3" customWidth="1"/>
    <x:col min="12045" max="12045" width="4.28515625" style="3" customWidth="1"/>
    <x:col min="12046" max="12046" width="15.7109375" style="3" customWidth="1"/>
    <x:col min="12047" max="12284" width="9.140625" style="3"/>
    <x:col min="12285" max="12285" width="14.85546875" style="3" customWidth="1"/>
    <x:col min="12286" max="12286" width="58.7109375" style="3" customWidth="1"/>
    <x:col min="12287" max="12287" width="3.7109375" style="3" customWidth="1"/>
    <x:col min="12288" max="12290" width="0" style="3" hidden="1" customWidth="1"/>
    <x:col min="12291" max="12291" width="3.7109375" style="3" customWidth="1"/>
    <x:col min="12292" max="12292" width="15.7109375" style="3" customWidth="1"/>
    <x:col min="12293" max="12293" width="3.7109375" style="3" customWidth="1"/>
    <x:col min="12294" max="12294" width="15.7109375" style="3" customWidth="1"/>
    <x:col min="12295" max="12295" width="3.7109375" style="3" customWidth="1"/>
    <x:col min="12296" max="12296" width="15.7109375" style="3" customWidth="1"/>
    <x:col min="12297" max="12297" width="4.28515625" style="3" customWidth="1"/>
    <x:col min="12298" max="12298" width="15.7109375" style="3" customWidth="1"/>
    <x:col min="12299" max="12299" width="4.28515625" style="3" customWidth="1"/>
    <x:col min="12300" max="12300" width="15.7109375" style="3" customWidth="1"/>
    <x:col min="12301" max="12301" width="4.28515625" style="3" customWidth="1"/>
    <x:col min="12302" max="12302" width="15.7109375" style="3" customWidth="1"/>
    <x:col min="12303" max="12540" width="9.140625" style="3"/>
    <x:col min="12541" max="12541" width="14.85546875" style="3" customWidth="1"/>
    <x:col min="12542" max="12542" width="58.7109375" style="3" customWidth="1"/>
    <x:col min="12543" max="12543" width="3.7109375" style="3" customWidth="1"/>
    <x:col min="12544" max="12546" width="0" style="3" hidden="1" customWidth="1"/>
    <x:col min="12547" max="12547" width="3.7109375" style="3" customWidth="1"/>
    <x:col min="12548" max="12548" width="15.7109375" style="3" customWidth="1"/>
    <x:col min="12549" max="12549" width="3.7109375" style="3" customWidth="1"/>
    <x:col min="12550" max="12550" width="15.7109375" style="3" customWidth="1"/>
    <x:col min="12551" max="12551" width="3.7109375" style="3" customWidth="1"/>
    <x:col min="12552" max="12552" width="15.7109375" style="3" customWidth="1"/>
    <x:col min="12553" max="12553" width="4.28515625" style="3" customWidth="1"/>
    <x:col min="12554" max="12554" width="15.7109375" style="3" customWidth="1"/>
    <x:col min="12555" max="12555" width="4.28515625" style="3" customWidth="1"/>
    <x:col min="12556" max="12556" width="15.7109375" style="3" customWidth="1"/>
    <x:col min="12557" max="12557" width="4.28515625" style="3" customWidth="1"/>
    <x:col min="12558" max="12558" width="15.7109375" style="3" customWidth="1"/>
    <x:col min="12559" max="12796" width="9.140625" style="3"/>
    <x:col min="12797" max="12797" width="14.85546875" style="3" customWidth="1"/>
    <x:col min="12798" max="12798" width="58.7109375" style="3" customWidth="1"/>
    <x:col min="12799" max="12799" width="3.7109375" style="3" customWidth="1"/>
    <x:col min="12800" max="12802" width="0" style="3" hidden="1" customWidth="1"/>
    <x:col min="12803" max="12803" width="3.7109375" style="3" customWidth="1"/>
    <x:col min="12804" max="12804" width="15.7109375" style="3" customWidth="1"/>
    <x:col min="12805" max="12805" width="3.7109375" style="3" customWidth="1"/>
    <x:col min="12806" max="12806" width="15.7109375" style="3" customWidth="1"/>
    <x:col min="12807" max="12807" width="3.7109375" style="3" customWidth="1"/>
    <x:col min="12808" max="12808" width="15.7109375" style="3" customWidth="1"/>
    <x:col min="12809" max="12809" width="4.28515625" style="3" customWidth="1"/>
    <x:col min="12810" max="12810" width="15.7109375" style="3" customWidth="1"/>
    <x:col min="12811" max="12811" width="4.28515625" style="3" customWidth="1"/>
    <x:col min="12812" max="12812" width="15.7109375" style="3" customWidth="1"/>
    <x:col min="12813" max="12813" width="4.28515625" style="3" customWidth="1"/>
    <x:col min="12814" max="12814" width="15.7109375" style="3" customWidth="1"/>
    <x:col min="12815" max="13052" width="9.140625" style="3"/>
    <x:col min="13053" max="13053" width="14.85546875" style="3" customWidth="1"/>
    <x:col min="13054" max="13054" width="58.7109375" style="3" customWidth="1"/>
    <x:col min="13055" max="13055" width="3.7109375" style="3" customWidth="1"/>
    <x:col min="13056" max="13058" width="0" style="3" hidden="1" customWidth="1"/>
    <x:col min="13059" max="13059" width="3.7109375" style="3" customWidth="1"/>
    <x:col min="13060" max="13060" width="15.7109375" style="3" customWidth="1"/>
    <x:col min="13061" max="13061" width="3.7109375" style="3" customWidth="1"/>
    <x:col min="13062" max="13062" width="15.7109375" style="3" customWidth="1"/>
    <x:col min="13063" max="13063" width="3.7109375" style="3" customWidth="1"/>
    <x:col min="13064" max="13064" width="15.7109375" style="3" customWidth="1"/>
    <x:col min="13065" max="13065" width="4.28515625" style="3" customWidth="1"/>
    <x:col min="13066" max="13066" width="15.7109375" style="3" customWidth="1"/>
    <x:col min="13067" max="13067" width="4.28515625" style="3" customWidth="1"/>
    <x:col min="13068" max="13068" width="15.7109375" style="3" customWidth="1"/>
    <x:col min="13069" max="13069" width="4.28515625" style="3" customWidth="1"/>
    <x:col min="13070" max="13070" width="15.7109375" style="3" customWidth="1"/>
    <x:col min="13071" max="13308" width="9.140625" style="3"/>
    <x:col min="13309" max="13309" width="14.85546875" style="3" customWidth="1"/>
    <x:col min="13310" max="13310" width="58.7109375" style="3" customWidth="1"/>
    <x:col min="13311" max="13311" width="3.7109375" style="3" customWidth="1"/>
    <x:col min="13312" max="13314" width="0" style="3" hidden="1" customWidth="1"/>
    <x:col min="13315" max="13315" width="3.7109375" style="3" customWidth="1"/>
    <x:col min="13316" max="13316" width="15.7109375" style="3" customWidth="1"/>
    <x:col min="13317" max="13317" width="3.7109375" style="3" customWidth="1"/>
    <x:col min="13318" max="13318" width="15.7109375" style="3" customWidth="1"/>
    <x:col min="13319" max="13319" width="3.7109375" style="3" customWidth="1"/>
    <x:col min="13320" max="13320" width="15.7109375" style="3" customWidth="1"/>
    <x:col min="13321" max="13321" width="4.28515625" style="3" customWidth="1"/>
    <x:col min="13322" max="13322" width="15.7109375" style="3" customWidth="1"/>
    <x:col min="13323" max="13323" width="4.28515625" style="3" customWidth="1"/>
    <x:col min="13324" max="13324" width="15.7109375" style="3" customWidth="1"/>
    <x:col min="13325" max="13325" width="4.28515625" style="3" customWidth="1"/>
    <x:col min="13326" max="13326" width="15.7109375" style="3" customWidth="1"/>
    <x:col min="13327" max="13564" width="9.140625" style="3"/>
    <x:col min="13565" max="13565" width="14.85546875" style="3" customWidth="1"/>
    <x:col min="13566" max="13566" width="58.7109375" style="3" customWidth="1"/>
    <x:col min="13567" max="13567" width="3.7109375" style="3" customWidth="1"/>
    <x:col min="13568" max="13570" width="0" style="3" hidden="1" customWidth="1"/>
    <x:col min="13571" max="13571" width="3.7109375" style="3" customWidth="1"/>
    <x:col min="13572" max="13572" width="15.7109375" style="3" customWidth="1"/>
    <x:col min="13573" max="13573" width="3.7109375" style="3" customWidth="1"/>
    <x:col min="13574" max="13574" width="15.7109375" style="3" customWidth="1"/>
    <x:col min="13575" max="13575" width="3.7109375" style="3" customWidth="1"/>
    <x:col min="13576" max="13576" width="15.7109375" style="3" customWidth="1"/>
    <x:col min="13577" max="13577" width="4.28515625" style="3" customWidth="1"/>
    <x:col min="13578" max="13578" width="15.7109375" style="3" customWidth="1"/>
    <x:col min="13579" max="13579" width="4.28515625" style="3" customWidth="1"/>
    <x:col min="13580" max="13580" width="15.7109375" style="3" customWidth="1"/>
    <x:col min="13581" max="13581" width="4.28515625" style="3" customWidth="1"/>
    <x:col min="13582" max="13582" width="15.7109375" style="3" customWidth="1"/>
    <x:col min="13583" max="13820" width="9.140625" style="3"/>
    <x:col min="13821" max="13821" width="14.85546875" style="3" customWidth="1"/>
    <x:col min="13822" max="13822" width="58.7109375" style="3" customWidth="1"/>
    <x:col min="13823" max="13823" width="3.7109375" style="3" customWidth="1"/>
    <x:col min="13824" max="13826" width="0" style="3" hidden="1" customWidth="1"/>
    <x:col min="13827" max="13827" width="3.7109375" style="3" customWidth="1"/>
    <x:col min="13828" max="13828" width="15.7109375" style="3" customWidth="1"/>
    <x:col min="13829" max="13829" width="3.7109375" style="3" customWidth="1"/>
    <x:col min="13830" max="13830" width="15.7109375" style="3" customWidth="1"/>
    <x:col min="13831" max="13831" width="3.7109375" style="3" customWidth="1"/>
    <x:col min="13832" max="13832" width="15.7109375" style="3" customWidth="1"/>
    <x:col min="13833" max="13833" width="4.28515625" style="3" customWidth="1"/>
    <x:col min="13834" max="13834" width="15.7109375" style="3" customWidth="1"/>
    <x:col min="13835" max="13835" width="4.28515625" style="3" customWidth="1"/>
    <x:col min="13836" max="13836" width="15.7109375" style="3" customWidth="1"/>
    <x:col min="13837" max="13837" width="4.28515625" style="3" customWidth="1"/>
    <x:col min="13838" max="13838" width="15.7109375" style="3" customWidth="1"/>
    <x:col min="13839" max="14076" width="9.140625" style="3"/>
    <x:col min="14077" max="14077" width="14.85546875" style="3" customWidth="1"/>
    <x:col min="14078" max="14078" width="58.7109375" style="3" customWidth="1"/>
    <x:col min="14079" max="14079" width="3.7109375" style="3" customWidth="1"/>
    <x:col min="14080" max="14082" width="0" style="3" hidden="1" customWidth="1"/>
    <x:col min="14083" max="14083" width="3.7109375" style="3" customWidth="1"/>
    <x:col min="14084" max="14084" width="15.7109375" style="3" customWidth="1"/>
    <x:col min="14085" max="14085" width="3.7109375" style="3" customWidth="1"/>
    <x:col min="14086" max="14086" width="15.7109375" style="3" customWidth="1"/>
    <x:col min="14087" max="14087" width="3.7109375" style="3" customWidth="1"/>
    <x:col min="14088" max="14088" width="15.7109375" style="3" customWidth="1"/>
    <x:col min="14089" max="14089" width="4.28515625" style="3" customWidth="1"/>
    <x:col min="14090" max="14090" width="15.7109375" style="3" customWidth="1"/>
    <x:col min="14091" max="14091" width="4.28515625" style="3" customWidth="1"/>
    <x:col min="14092" max="14092" width="15.7109375" style="3" customWidth="1"/>
    <x:col min="14093" max="14093" width="4.28515625" style="3" customWidth="1"/>
    <x:col min="14094" max="14094" width="15.7109375" style="3" customWidth="1"/>
    <x:col min="14095" max="14332" width="9.140625" style="3"/>
    <x:col min="14333" max="14333" width="14.85546875" style="3" customWidth="1"/>
    <x:col min="14334" max="14334" width="58.7109375" style="3" customWidth="1"/>
    <x:col min="14335" max="14335" width="3.7109375" style="3" customWidth="1"/>
    <x:col min="14336" max="14338" width="0" style="3" hidden="1" customWidth="1"/>
    <x:col min="14339" max="14339" width="3.7109375" style="3" customWidth="1"/>
    <x:col min="14340" max="14340" width="15.7109375" style="3" customWidth="1"/>
    <x:col min="14341" max="14341" width="3.7109375" style="3" customWidth="1"/>
    <x:col min="14342" max="14342" width="15.7109375" style="3" customWidth="1"/>
    <x:col min="14343" max="14343" width="3.7109375" style="3" customWidth="1"/>
    <x:col min="14344" max="14344" width="15.7109375" style="3" customWidth="1"/>
    <x:col min="14345" max="14345" width="4.28515625" style="3" customWidth="1"/>
    <x:col min="14346" max="14346" width="15.7109375" style="3" customWidth="1"/>
    <x:col min="14347" max="14347" width="4.28515625" style="3" customWidth="1"/>
    <x:col min="14348" max="14348" width="15.7109375" style="3" customWidth="1"/>
    <x:col min="14349" max="14349" width="4.28515625" style="3" customWidth="1"/>
    <x:col min="14350" max="14350" width="15.7109375" style="3" customWidth="1"/>
    <x:col min="14351" max="14588" width="9.140625" style="3"/>
    <x:col min="14589" max="14589" width="14.85546875" style="3" customWidth="1"/>
    <x:col min="14590" max="14590" width="58.7109375" style="3" customWidth="1"/>
    <x:col min="14591" max="14591" width="3.7109375" style="3" customWidth="1"/>
    <x:col min="14592" max="14594" width="0" style="3" hidden="1" customWidth="1"/>
    <x:col min="14595" max="14595" width="3.7109375" style="3" customWidth="1"/>
    <x:col min="14596" max="14596" width="15.7109375" style="3" customWidth="1"/>
    <x:col min="14597" max="14597" width="3.7109375" style="3" customWidth="1"/>
    <x:col min="14598" max="14598" width="15.7109375" style="3" customWidth="1"/>
    <x:col min="14599" max="14599" width="3.7109375" style="3" customWidth="1"/>
    <x:col min="14600" max="14600" width="15.7109375" style="3" customWidth="1"/>
    <x:col min="14601" max="14601" width="4.28515625" style="3" customWidth="1"/>
    <x:col min="14602" max="14602" width="15.7109375" style="3" customWidth="1"/>
    <x:col min="14603" max="14603" width="4.28515625" style="3" customWidth="1"/>
    <x:col min="14604" max="14604" width="15.7109375" style="3" customWidth="1"/>
    <x:col min="14605" max="14605" width="4.28515625" style="3" customWidth="1"/>
    <x:col min="14606" max="14606" width="15.7109375" style="3" customWidth="1"/>
    <x:col min="14607" max="14844" width="9.140625" style="3"/>
    <x:col min="14845" max="14845" width="14.85546875" style="3" customWidth="1"/>
    <x:col min="14846" max="14846" width="58.7109375" style="3" customWidth="1"/>
    <x:col min="14847" max="14847" width="3.7109375" style="3" customWidth="1"/>
    <x:col min="14848" max="14850" width="0" style="3" hidden="1" customWidth="1"/>
    <x:col min="14851" max="14851" width="3.7109375" style="3" customWidth="1"/>
    <x:col min="14852" max="14852" width="15.7109375" style="3" customWidth="1"/>
    <x:col min="14853" max="14853" width="3.7109375" style="3" customWidth="1"/>
    <x:col min="14854" max="14854" width="15.7109375" style="3" customWidth="1"/>
    <x:col min="14855" max="14855" width="3.7109375" style="3" customWidth="1"/>
    <x:col min="14856" max="14856" width="15.7109375" style="3" customWidth="1"/>
    <x:col min="14857" max="14857" width="4.28515625" style="3" customWidth="1"/>
    <x:col min="14858" max="14858" width="15.7109375" style="3" customWidth="1"/>
    <x:col min="14859" max="14859" width="4.28515625" style="3" customWidth="1"/>
    <x:col min="14860" max="14860" width="15.7109375" style="3" customWidth="1"/>
    <x:col min="14861" max="14861" width="4.28515625" style="3" customWidth="1"/>
    <x:col min="14862" max="14862" width="15.7109375" style="3" customWidth="1"/>
    <x:col min="14863" max="15100" width="9.140625" style="3"/>
    <x:col min="15101" max="15101" width="14.85546875" style="3" customWidth="1"/>
    <x:col min="15102" max="15102" width="58.7109375" style="3" customWidth="1"/>
    <x:col min="15103" max="15103" width="3.7109375" style="3" customWidth="1"/>
    <x:col min="15104" max="15106" width="0" style="3" hidden="1" customWidth="1"/>
    <x:col min="15107" max="15107" width="3.7109375" style="3" customWidth="1"/>
    <x:col min="15108" max="15108" width="15.7109375" style="3" customWidth="1"/>
    <x:col min="15109" max="15109" width="3.7109375" style="3" customWidth="1"/>
    <x:col min="15110" max="15110" width="15.7109375" style="3" customWidth="1"/>
    <x:col min="15111" max="15111" width="3.7109375" style="3" customWidth="1"/>
    <x:col min="15112" max="15112" width="15.7109375" style="3" customWidth="1"/>
    <x:col min="15113" max="15113" width="4.28515625" style="3" customWidth="1"/>
    <x:col min="15114" max="15114" width="15.7109375" style="3" customWidth="1"/>
    <x:col min="15115" max="15115" width="4.28515625" style="3" customWidth="1"/>
    <x:col min="15116" max="15116" width="15.7109375" style="3" customWidth="1"/>
    <x:col min="15117" max="15117" width="4.28515625" style="3" customWidth="1"/>
    <x:col min="15118" max="15118" width="15.7109375" style="3" customWidth="1"/>
    <x:col min="15119" max="15356" width="9.140625" style="3"/>
    <x:col min="15357" max="15357" width="14.85546875" style="3" customWidth="1"/>
    <x:col min="15358" max="15358" width="58.7109375" style="3" customWidth="1"/>
    <x:col min="15359" max="15359" width="3.7109375" style="3" customWidth="1"/>
    <x:col min="15360" max="15362" width="0" style="3" hidden="1" customWidth="1"/>
    <x:col min="15363" max="15363" width="3.7109375" style="3" customWidth="1"/>
    <x:col min="15364" max="15364" width="15.7109375" style="3" customWidth="1"/>
    <x:col min="15365" max="15365" width="3.7109375" style="3" customWidth="1"/>
    <x:col min="15366" max="15366" width="15.7109375" style="3" customWidth="1"/>
    <x:col min="15367" max="15367" width="3.7109375" style="3" customWidth="1"/>
    <x:col min="15368" max="15368" width="15.7109375" style="3" customWidth="1"/>
    <x:col min="15369" max="15369" width="4.28515625" style="3" customWidth="1"/>
    <x:col min="15370" max="15370" width="15.7109375" style="3" customWidth="1"/>
    <x:col min="15371" max="15371" width="4.28515625" style="3" customWidth="1"/>
    <x:col min="15372" max="15372" width="15.7109375" style="3" customWidth="1"/>
    <x:col min="15373" max="15373" width="4.28515625" style="3" customWidth="1"/>
    <x:col min="15374" max="15374" width="15.7109375" style="3" customWidth="1"/>
    <x:col min="15375" max="15612" width="9.140625" style="3"/>
    <x:col min="15613" max="15613" width="14.85546875" style="3" customWidth="1"/>
    <x:col min="15614" max="15614" width="58.7109375" style="3" customWidth="1"/>
    <x:col min="15615" max="15615" width="3.7109375" style="3" customWidth="1"/>
    <x:col min="15616" max="15618" width="0" style="3" hidden="1" customWidth="1"/>
    <x:col min="15619" max="15619" width="3.7109375" style="3" customWidth="1"/>
    <x:col min="15620" max="15620" width="15.7109375" style="3" customWidth="1"/>
    <x:col min="15621" max="15621" width="3.7109375" style="3" customWidth="1"/>
    <x:col min="15622" max="15622" width="15.7109375" style="3" customWidth="1"/>
    <x:col min="15623" max="15623" width="3.7109375" style="3" customWidth="1"/>
    <x:col min="15624" max="15624" width="15.7109375" style="3" customWidth="1"/>
    <x:col min="15625" max="15625" width="4.28515625" style="3" customWidth="1"/>
    <x:col min="15626" max="15626" width="15.7109375" style="3" customWidth="1"/>
    <x:col min="15627" max="15627" width="4.28515625" style="3" customWidth="1"/>
    <x:col min="15628" max="15628" width="15.7109375" style="3" customWidth="1"/>
    <x:col min="15629" max="15629" width="4.28515625" style="3" customWidth="1"/>
    <x:col min="15630" max="15630" width="15.7109375" style="3" customWidth="1"/>
    <x:col min="15631" max="15868" width="9.140625" style="3"/>
    <x:col min="15869" max="15869" width="14.85546875" style="3" customWidth="1"/>
    <x:col min="15870" max="15870" width="58.7109375" style="3" customWidth="1"/>
    <x:col min="15871" max="15871" width="3.7109375" style="3" customWidth="1"/>
    <x:col min="15872" max="15874" width="0" style="3" hidden="1" customWidth="1"/>
    <x:col min="15875" max="15875" width="3.7109375" style="3" customWidth="1"/>
    <x:col min="15876" max="15876" width="15.7109375" style="3" customWidth="1"/>
    <x:col min="15877" max="15877" width="3.7109375" style="3" customWidth="1"/>
    <x:col min="15878" max="15878" width="15.7109375" style="3" customWidth="1"/>
    <x:col min="15879" max="15879" width="3.7109375" style="3" customWidth="1"/>
    <x:col min="15880" max="15880" width="15.7109375" style="3" customWidth="1"/>
    <x:col min="15881" max="15881" width="4.28515625" style="3" customWidth="1"/>
    <x:col min="15882" max="15882" width="15.7109375" style="3" customWidth="1"/>
    <x:col min="15883" max="15883" width="4.28515625" style="3" customWidth="1"/>
    <x:col min="15884" max="15884" width="15.7109375" style="3" customWidth="1"/>
    <x:col min="15885" max="15885" width="4.28515625" style="3" customWidth="1"/>
    <x:col min="15886" max="15886" width="15.7109375" style="3" customWidth="1"/>
    <x:col min="15887" max="16124" width="9.140625" style="3"/>
    <x:col min="16125" max="16125" width="14.85546875" style="3" customWidth="1"/>
    <x:col min="16126" max="16126" width="58.7109375" style="3" customWidth="1"/>
    <x:col min="16127" max="16127" width="3.7109375" style="3" customWidth="1"/>
    <x:col min="16128" max="16130" width="0" style="3" hidden="1" customWidth="1"/>
    <x:col min="16131" max="16131" width="3.7109375" style="3" customWidth="1"/>
    <x:col min="16132" max="16132" width="15.7109375" style="3" customWidth="1"/>
    <x:col min="16133" max="16133" width="3.7109375" style="3" customWidth="1"/>
    <x:col min="16134" max="16134" width="15.7109375" style="3" customWidth="1"/>
    <x:col min="16135" max="16135" width="3.7109375" style="3" customWidth="1"/>
    <x:col min="16136" max="16136" width="15.7109375" style="3" customWidth="1"/>
    <x:col min="16137" max="16137" width="4.28515625" style="3" customWidth="1"/>
    <x:col min="16138" max="16138" width="15.7109375" style="3" customWidth="1"/>
    <x:col min="16139" max="16139" width="4.28515625" style="3" customWidth="1"/>
    <x:col min="16140" max="16140" width="15.7109375" style="3" customWidth="1"/>
    <x:col min="16141" max="16141" width="4.28515625" style="3" customWidth="1"/>
    <x:col min="16142" max="16142" width="15.7109375" style="3" customWidth="1"/>
    <x:col min="16143" max="16384" width="9.140625" style="3"/>
  </x:cols>
  <x:sheetData>
    <x:row r="1" spans="1:14" s="1" customFormat="1" ht="15.75" x14ac:dyDescent="0.25">
      <x:c r="A1" s="25" t="s">
        <x:v>71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 spans="1:14" s="1" customFormat="1" ht="15.75" x14ac:dyDescent="0.25">
      <x:c r="A2" s="25" t="s">
        <x:v>0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 spans="1:14" s="1" customFormat="1" ht="15.75" x14ac:dyDescent="0.25">
      <x:c r="A3" s="25" t="s">
        <x:v>72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</x:row>
    <x:row r="4" spans="1:14" s="1" customFormat="1" ht="15.75" x14ac:dyDescent="0.25">
      <x:c r="A4" s="25" t="s">
        <x:v>73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</x:row>
    <x:row r="5" spans="1:14" ht="15.75" x14ac:dyDescent="0.25">
      <x:c r="A5" s="2"/>
      <x:c r="F5" s="4"/>
      <x:c r="H5" s="4"/>
      <x:c r="J5" s="4"/>
      <x:c r="L5" s="4"/>
    </x:row>
    <x:row r="6" spans="1:14" x14ac:dyDescent="0.2">
      <x:c r="F6" s="5"/>
      <x:c r="H6" s="5"/>
      <x:c r="J6" s="5"/>
      <x:c r="L6" s="5"/>
    </x:row>
    <x:row r="7" spans="1:14" s="6" customFormat="1" ht="15.75" x14ac:dyDescent="0.25">
      <x:c r="F7" s="7">
        <x:v>2020</x:v>
      </x:c>
      <x:c r="H7" s="7">
        <x:v>2021</x:v>
      </x:c>
      <x:c r="J7" s="7">
        <x:v>2022</x:v>
      </x:c>
      <x:c r="L7" s="7">
        <x:v>2023</x:v>
      </x:c>
      <x:c r="N7" s="7">
        <x:v>2024</x:v>
      </x:c>
    </x:row>
    <x:row r="9" spans="1:14" ht="15.75" x14ac:dyDescent="0.25">
      <x:c r="A9" s="8" t="s">
        <x:v>1</x:v>
      </x:c>
      <x:c r="F9" s="8">
        <x:f>F16/F23</x:f>
        <x:v>0.54924715824555137</x:v>
      </x:c>
      <x:c r="H9" s="8">
        <x:f>H16/H23</x:f>
        <x:v>0.54996984814429029</x:v>
      </x:c>
      <x:c r="J9" s="8">
        <x:f>J16/J23</x:f>
        <x:v>0.55196145905024085</x:v>
      </x:c>
      <x:c r="L9" s="8">
        <x:f>L16/L23</x:f>
        <x:v>0.57370964957707582</x:v>
      </x:c>
      <x:c r="N9" s="8">
        <x:f>N16/N23</x:f>
        <x:v>0.57404476599593035</x:v>
      </x:c>
    </x:row>
    <x:row r="10" spans="1:14" x14ac:dyDescent="0.2">
      <x:c r="F10" s="9"/>
      <x:c r="H10" s="9"/>
      <x:c r="J10" s="9"/>
      <x:c r="L10" s="9"/>
      <x:c r="N10" s="9"/>
    </x:row>
    <x:row r="11" spans="1:14" x14ac:dyDescent="0.2">
      <x:c r="A11" s="3" t="s">
        <x:v>2</x:v>
      </x:c>
      <x:c r="B11" s="10" t="s">
        <x:v>3</x:v>
      </x:c>
      <x:c r="C11" s="10"/>
      <x:c r="D11" s="10"/>
      <x:c r="E11" s="10"/>
      <x:c r="F11" s="11">
        <x:v>0</x:v>
      </x:c>
      <x:c r="H11" s="11">
        <x:v>882</x:v>
      </x:c>
      <x:c r="I11" s="9"/>
      <x:c r="J11" s="11">
        <x:v>100</x:v>
      </x:c>
      <x:c r="K11" s="9"/>
      <x:c r="L11" s="11">
        <x:v>0</x:v>
      </x:c>
      <x:c r="N11" s="11">
        <x:v>0</x:v>
      </x:c>
    </x:row>
    <x:row r="12" spans="1:14" x14ac:dyDescent="0.2">
      <x:c r="B12" s="12" t="s">
        <x:v>4</x:v>
      </x:c>
      <x:c r="C12" s="12"/>
      <x:c r="D12" s="12"/>
      <x:c r="E12" s="12"/>
      <x:c r="F12" s="11">
        <x:v>9229</x:v>
      </x:c>
      <x:c r="H12" s="11">
        <x:v>9150</x:v>
      </x:c>
      <x:c r="I12" s="9"/>
      <x:c r="J12" s="11">
        <x:v>11128</x:v>
      </x:c>
      <x:c r="K12" s="9"/>
      <x:c r="L12" s="11">
        <x:v>13294</x:v>
      </x:c>
      <x:c r="N12" s="11">
        <x:v>15234</x:v>
      </x:c>
    </x:row>
    <x:row r="13" spans="1:14" x14ac:dyDescent="0.2">
      <x:c r="B13" s="12" t="s">
        <x:v>5</x:v>
      </x:c>
      <x:c r="C13" s="12"/>
      <x:c r="D13" s="12"/>
      <x:c r="E13" s="12"/>
      <x:c r="F13" s="11">
        <x:v>70</x:v>
      </x:c>
      <x:c r="H13" s="11">
        <x:v>215</x:v>
      </x:c>
      <x:c r="I13" s="9"/>
      <x:c r="J13" s="11">
        <x:v>198</x:v>
      </x:c>
      <x:c r="K13" s="9"/>
      <x:c r="L13" s="11">
        <x:v>282</x:v>
      </x:c>
      <x:c r="N13" s="11">
        <x:v>594</x:v>
      </x:c>
    </x:row>
    <x:row r="14" spans="1:14" x14ac:dyDescent="0.2">
      <x:c r="B14" s="12" t="s">
        <x:v>6</x:v>
      </x:c>
      <x:c r="C14" s="12"/>
      <x:c r="D14" s="12"/>
      <x:c r="E14" s="12"/>
      <x:c r="F14" s="11">
        <x:v>-70</x:v>
      </x:c>
      <x:c r="H14" s="11">
        <x:v>-215</x:v>
      </x:c>
      <x:c r="I14" s="9"/>
      <x:c r="J14" s="11">
        <x:v>-198</x:v>
      </x:c>
      <x:c r="K14" s="9"/>
      <x:c r="L14" s="11">
        <x:v>-282</x:v>
      </x:c>
      <x:c r="N14" s="11">
        <x:v>-594</x:v>
      </x:c>
    </x:row>
    <x:row r="15" spans="1:14" x14ac:dyDescent="0.2">
      <x:c r="B15" s="12" t="s">
        <x:v>7</x:v>
      </x:c>
      <x:c r="C15" s="12"/>
      <x:c r="D15" s="12"/>
      <x:c r="E15" s="12"/>
      <x:c r="F15" s="13">
        <x:v>0</x:v>
      </x:c>
      <x:c r="H15" s="13">
        <x:v>0</x:v>
      </x:c>
      <x:c r="I15" s="9"/>
      <x:c r="J15" s="13">
        <x:v>0</x:v>
      </x:c>
      <x:c r="K15" s="9"/>
      <x:c r="L15" s="13">
        <x:v>0</x:v>
      </x:c>
      <x:c r="N15" s="13">
        <x:v>0</x:v>
      </x:c>
    </x:row>
    <x:row r="16" spans="1:14" x14ac:dyDescent="0.2">
      <x:c r="B16" s="3" t="s">
        <x:v>8</x:v>
      </x:c>
      <x:c r="F16" s="14">
        <x:f>SUM(F11:F15)</x:f>
        <x:v>9229</x:v>
      </x:c>
      <x:c r="H16" s="14">
        <x:f>SUM(H11:H15)</x:f>
        <x:v>10032</x:v>
      </x:c>
      <x:c r="I16" s="9"/>
      <x:c r="J16" s="14">
        <x:f>SUM(J11:J15)</x:f>
        <x:v>11228</x:v>
      </x:c>
      <x:c r="K16" s="9"/>
      <x:c r="L16" s="14">
        <x:f>SUM(L11:L15)</x:f>
        <x:v>13294</x:v>
      </x:c>
      <x:c r="N16" s="14">
        <x:f>SUM(N11:N15)</x:f>
        <x:v>15234</x:v>
      </x:c>
    </x:row>
    <x:row r="17" spans="1:14" x14ac:dyDescent="0.2">
      <x:c r="F17" s="9"/>
      <x:c r="H17" s="9"/>
      <x:c r="I17" s="9"/>
      <x:c r="J17" s="9"/>
      <x:c r="K17" s="9"/>
      <x:c r="L17" s="9"/>
      <x:c r="N17" s="9"/>
    </x:row>
    <x:row r="18" spans="1:14" x14ac:dyDescent="0.2">
      <x:c r="A18" s="3" t="s">
        <x:v>9</x:v>
      </x:c>
      <x:c r="B18" s="3" t="s">
        <x:v>10</x:v>
      </x:c>
      <x:c r="F18" s="9">
        <x:f>F16</x:f>
        <x:v>9229</x:v>
      </x:c>
      <x:c r="H18" s="9">
        <x:f>H16</x:f>
        <x:v>10032</x:v>
      </x:c>
      <x:c r="I18" s="9"/>
      <x:c r="J18" s="9">
        <x:f>J16</x:f>
        <x:v>11228</x:v>
      </x:c>
      <x:c r="K18" s="9"/>
      <x:c r="L18" s="9">
        <x:f>L16</x:f>
        <x:v>13294</x:v>
      </x:c>
      <x:c r="N18" s="9">
        <x:f>N16</x:f>
        <x:v>15234</x:v>
      </x:c>
    </x:row>
    <x:row r="19" spans="1:14" x14ac:dyDescent="0.2">
      <x:c r="B19" s="12" t="s">
        <x:v>11</x:v>
      </x:c>
      <x:c r="C19" s="12"/>
      <x:c r="D19" s="12"/>
      <x:c r="E19" s="12"/>
      <x:c r="F19" s="11">
        <x:v>0</x:v>
      </x:c>
      <x:c r="H19" s="11">
        <x:v>0</x:v>
      </x:c>
      <x:c r="I19" s="9"/>
      <x:c r="J19" s="11">
        <x:v>0</x:v>
      </x:c>
      <x:c r="K19" s="9"/>
      <x:c r="L19" s="11">
        <x:v>0</x:v>
      </x:c>
      <x:c r="N19" s="11">
        <x:v>0</x:v>
      </x:c>
    </x:row>
    <x:row r="20" spans="1:14" x14ac:dyDescent="0.2">
      <x:c r="B20" s="12" t="s">
        <x:v>12</x:v>
      </x:c>
      <x:c r="C20" s="12"/>
      <x:c r="D20" s="12"/>
      <x:c r="E20" s="12"/>
      <x:c r="F20" s="11">
        <x:v>0</x:v>
      </x:c>
      <x:c r="H20" s="11">
        <x:v>0</x:v>
      </x:c>
      <x:c r="I20" s="9"/>
      <x:c r="J20" s="11">
        <x:v>0</x:v>
      </x:c>
      <x:c r="K20" s="9"/>
      <x:c r="L20" s="11">
        <x:v>0</x:v>
      </x:c>
      <x:c r="N20" s="11">
        <x:v>0</x:v>
      </x:c>
    </x:row>
    <x:row r="21" spans="1:14" x14ac:dyDescent="0.2">
      <x:c r="B21" s="12" t="s">
        <x:v>13</x:v>
      </x:c>
      <x:c r="C21" s="12"/>
      <x:c r="D21" s="12"/>
      <x:c r="E21" s="12"/>
      <x:c r="F21" s="11">
        <x:v>11932</x:v>
      </x:c>
      <x:c r="H21" s="11">
        <x:v>12588</x:v>
      </x:c>
      <x:c r="I21" s="9"/>
      <x:c r="J21" s="11">
        <x:v>13462</x:v>
      </x:c>
      <x:c r="K21" s="9"/>
      <x:c r="L21" s="11">
        <x:v>14208</x:v>
      </x:c>
      <x:c r="N21" s="11">
        <x:v>15630</x:v>
      </x:c>
    </x:row>
    <x:row r="22" spans="1:14" x14ac:dyDescent="0.2">
      <x:c r="B22" s="12" t="s">
        <x:v>14</x:v>
      </x:c>
      <x:c r="C22" s="12"/>
      <x:c r="D22" s="12"/>
      <x:c r="E22" s="12"/>
      <x:c r="F22" s="13">
        <x:f>SUM(-F21+7574)</x:f>
        <x:v>-4358</x:v>
      </x:c>
      <x:c r="H22" s="13">
        <x:f>SUM(-H21+8209)</x:f>
        <x:v>-4379</x:v>
      </x:c>
      <x:c r="I22" s="9"/>
      <x:c r="J22" s="13">
        <x:f>SUM(-J21+9114)</x:f>
        <x:v>-4348</x:v>
      </x:c>
      <x:c r="K22" s="11"/>
      <x:c r="L22" s="13">
        <x:f>SUM(-L21+9878)</x:f>
        <x:v>-4330</x:v>
      </x:c>
      <x:c r="N22" s="13">
        <x:f>SUM(-N21+11304)</x:f>
        <x:v>-4326</x:v>
      </x:c>
    </x:row>
    <x:row r="23" spans="1:14" x14ac:dyDescent="0.2">
      <x:c r="B23" s="3" t="s">
        <x:v>15</x:v>
      </x:c>
      <x:c r="F23" s="14">
        <x:f>SUM(F18:F22)</x:f>
        <x:v>16803</x:v>
      </x:c>
      <x:c r="H23" s="14">
        <x:f>SUM(H18:H22)</x:f>
        <x:v>18241</x:v>
      </x:c>
      <x:c r="I23" s="9"/>
      <x:c r="J23" s="14">
        <x:f>SUM(J18:J22)</x:f>
        <x:v>20342</x:v>
      </x:c>
      <x:c r="K23" s="9"/>
      <x:c r="L23" s="14">
        <x:f>SUM(L18:L22)</x:f>
        <x:v>23172</x:v>
      </x:c>
      <x:c r="N23" s="14">
        <x:f>SUM(N18:N22)</x:f>
        <x:v>26538</x:v>
      </x:c>
    </x:row>
    <x:row r="24" spans="1:14" x14ac:dyDescent="0.2">
      <x:c r="F24" s="9"/>
      <x:c r="H24" s="9"/>
      <x:c r="J24" s="9"/>
      <x:c r="L24" s="9"/>
      <x:c r="N24" s="9"/>
    </x:row>
    <x:row r="25" spans="1:14" x14ac:dyDescent="0.2">
      <x:c r="F25" s="9"/>
      <x:c r="H25" s="9"/>
      <x:c r="J25" s="9"/>
      <x:c r="L25" s="9"/>
      <x:c r="N25" s="9"/>
    </x:row>
    <x:row r="26" spans="1:14" s="8" customFormat="1" ht="15.75" x14ac:dyDescent="0.25">
      <x:c r="A26" s="8" t="s">
        <x:v>16</x:v>
      </x:c>
      <x:c r="F26" s="8">
        <x:f>F28/F34</x:f>
        <x:v>2.7938751472320379E-2</x:v>
      </x:c>
      <x:c r="H26" s="8">
        <x:f>H28/H34</x:f>
        <x:v>2.4265923150649123E-2</x:v>
      </x:c>
      <x:c r="J26" s="8">
        <x:f>J28/J34</x:f>
        <x:v>3.7812958774749036E-2</x:v>
      </x:c>
      <x:c r="L26" s="8">
        <x:f>L28/L34</x:f>
        <x:v>4.772427558185123E-2</x:v>
      </x:c>
      <x:c r="N26" s="8">
        <x:f>N28/N34</x:f>
        <x:v>5.3637193490509619E-2</x:v>
      </x:c>
    </x:row>
    <x:row r="27" spans="1:14" x14ac:dyDescent="0.2">
      <x:c r="F27" s="9"/>
      <x:c r="H27" s="9"/>
      <x:c r="J27" s="9"/>
      <x:c r="L27" s="9"/>
      <x:c r="N27" s="9"/>
    </x:row>
    <x:row r="28" spans="1:14" x14ac:dyDescent="0.2">
      <x:c r="A28" s="3" t="s">
        <x:v>2</x:v>
      </x:c>
      <x:c r="B28" s="10" t="s">
        <x:v>17</x:v>
      </x:c>
      <x:c r="C28" s="10"/>
      <x:c r="D28" s="10"/>
      <x:c r="E28" s="10"/>
      <x:c r="F28" s="11">
        <x:v>593</x:v>
      </x:c>
      <x:c r="H28" s="11">
        <x:v>557</x:v>
      </x:c>
      <x:c r="J28" s="11">
        <x:v>953</x:v>
      </x:c>
      <x:c r="L28" s="11">
        <x:v>1339</x:v>
      </x:c>
      <x:c r="N28" s="11">
        <x:v>1704</x:v>
      </x:c>
    </x:row>
    <x:row r="29" spans="1:14" x14ac:dyDescent="0.2">
      <x:c r="F29" s="9"/>
      <x:c r="H29" s="9"/>
      <x:c r="J29" s="9"/>
      <x:c r="L29" s="9"/>
      <x:c r="N29" s="9"/>
    </x:row>
    <x:row r="30" spans="1:14" x14ac:dyDescent="0.2">
      <x:c r="A30" s="3" t="s">
        <x:v>9</x:v>
      </x:c>
      <x:c r="B30" s="10" t="s">
        <x:v>18</x:v>
      </x:c>
      <x:c r="C30" s="10"/>
      <x:c r="D30" s="10"/>
      <x:c r="E30" s="10"/>
      <x:c r="F30" s="11">
        <x:v>28948</x:v>
      </x:c>
      <x:c r="H30" s="11">
        <x:v>31029</x:v>
      </x:c>
      <x:c r="J30" s="11">
        <x:v>33256</x:v>
      </x:c>
      <x:c r="L30" s="11">
        <x:v>35963</x:v>
      </x:c>
      <x:c r="N30" s="11">
        <x:v>39717</x:v>
      </x:c>
    </x:row>
    <x:row r="31" spans="1:14" x14ac:dyDescent="0.2">
      <x:c r="B31" s="12" t="s">
        <x:v>19</x:v>
      </x:c>
      <x:c r="C31" s="12"/>
      <x:c r="D31" s="12"/>
      <x:c r="E31" s="12"/>
      <x:c r="F31" s="11">
        <x:v>-8336</x:v>
      </x:c>
      <x:c r="H31" s="11">
        <x:v>-8659</x:v>
      </x:c>
      <x:c r="J31" s="11">
        <x:v>-9054</x:v>
      </x:c>
      <x:c r="L31" s="11">
        <x:v>-9301</x:v>
      </x:c>
      <x:c r="N31" s="11">
        <x:v>-9723</x:v>
      </x:c>
    </x:row>
    <x:row r="32" spans="1:14" x14ac:dyDescent="0.2">
      <x:c r="B32" s="15" t="s">
        <x:v>20</x:v>
      </x:c>
      <x:c r="C32" s="15"/>
      <x:c r="D32" s="15"/>
      <x:c r="E32" s="15"/>
      <x:c r="F32" s="9">
        <x:f>F28</x:f>
        <x:v>593</x:v>
      </x:c>
      <x:c r="H32" s="9">
        <x:f>H28</x:f>
        <x:v>557</x:v>
      </x:c>
      <x:c r="J32" s="9">
        <x:f>J28</x:f>
        <x:v>953</x:v>
      </x:c>
      <x:c r="L32" s="9">
        <x:f>L28</x:f>
        <x:v>1339</x:v>
      </x:c>
      <x:c r="N32" s="9">
        <x:f>N28</x:f>
        <x:v>1704</x:v>
      </x:c>
    </x:row>
    <x:row r="33" spans="1:14" x14ac:dyDescent="0.2">
      <x:c r="B33" s="12" t="s">
        <x:v>21</x:v>
      </x:c>
      <x:c r="C33" s="12"/>
      <x:c r="D33" s="12"/>
      <x:c r="E33" s="12"/>
      <x:c r="F33" s="13">
        <x:v>20</x:v>
      </x:c>
      <x:c r="H33" s="13">
        <x:v>27</x:v>
      </x:c>
      <x:c r="J33" s="13">
        <x:v>48</x:v>
      </x:c>
      <x:c r="L33" s="13">
        <x:v>56</x:v>
      </x:c>
      <x:c r="N33" s="13">
        <x:v>71</x:v>
      </x:c>
    </x:row>
    <x:row r="34" spans="1:14" x14ac:dyDescent="0.2">
      <x:c r="B34" s="3" t="s">
        <x:v>22</x:v>
      </x:c>
      <x:c r="F34" s="14">
        <x:f>SUM(F30:F33)</x:f>
        <x:v>21225</x:v>
      </x:c>
      <x:c r="H34" s="14">
        <x:f>SUM(H30:H33)</x:f>
        <x:v>22954</x:v>
      </x:c>
      <x:c r="J34" s="14">
        <x:f>SUM(J30:J33)</x:f>
        <x:v>25203</x:v>
      </x:c>
      <x:c r="L34" s="14">
        <x:f>SUM(L30:L33)</x:f>
        <x:v>28057</x:v>
      </x:c>
      <x:c r="N34" s="14">
        <x:f>SUM(N30:N33)</x:f>
        <x:v>31769</x:v>
      </x:c>
    </x:row>
    <x:row r="35" spans="1:14" x14ac:dyDescent="0.2">
      <x:c r="F35" s="9"/>
      <x:c r="H35" s="9"/>
      <x:c r="J35" s="9"/>
      <x:c r="L35" s="9"/>
      <x:c r="N35" s="9"/>
    </x:row>
    <x:row r="36" spans="1:14" x14ac:dyDescent="0.2">
      <x:c r="F36" s="9"/>
      <x:c r="H36" s="9"/>
      <x:c r="J36" s="9"/>
      <x:c r="L36" s="9"/>
      <x:c r="N36" s="9"/>
    </x:row>
    <x:row r="37" spans="1:14" s="8" customFormat="1" ht="15.75" x14ac:dyDescent="0.25">
      <x:c r="A37" s="8" t="s">
        <x:v>23</x:v>
      </x:c>
      <x:c r="F37" s="8">
        <x:f>F42/F46</x:f>
        <x:v>0.15644913205888816</x:v>
      </x:c>
      <x:c r="H37" s="8">
        <x:f>H42/H46</x:f>
        <x:v>0.14022371875356696</x:v>
      </x:c>
      <x:c r="J37" s="8">
        <x:f>J42/J46</x:f>
        <x:v>0.15524972137988233</x:v>
      </x:c>
      <x:c r="L37" s="8">
        <x:f>L42/L46</x:f>
        <x:v>0.1721285103644804</x:v>
      </x:c>
      <x:c r="N37" s="8">
        <x:f>N42/N46</x:f>
        <x:v>0.18422852544759605</x:v>
      </x:c>
    </x:row>
    <x:row r="38" spans="1:14" x14ac:dyDescent="0.2">
      <x:c r="F38" s="9"/>
      <x:c r="H38" s="9"/>
      <x:c r="J38" s="9"/>
      <x:c r="L38" s="9"/>
      <x:c r="N38" s="9"/>
    </x:row>
    <x:row r="39" spans="1:14" s="9" customFormat="1" x14ac:dyDescent="0.2">
      <x:c r="A39" s="9" t="s">
        <x:v>2</x:v>
      </x:c>
      <x:c r="B39" s="11" t="s">
        <x:v>24</x:v>
      </x:c>
      <x:c r="C39" s="11"/>
      <x:c r="D39" s="11"/>
      <x:c r="E39" s="11"/>
      <x:c r="F39" s="11">
        <x:v>2540</x:v>
      </x:c>
      <x:c r="H39" s="11">
        <x:v>2497</x:v>
      </x:c>
      <x:c r="J39" s="11">
        <x:v>3049</x:v>
      </x:c>
      <x:c r="L39" s="11">
        <x:v>3824</x:v>
      </x:c>
      <x:c r="N39" s="11">
        <x:v>4683</x:v>
      </x:c>
    </x:row>
    <x:row r="40" spans="1:14" x14ac:dyDescent="0.2">
      <x:c r="B40" s="12" t="s">
        <x:v>25</x:v>
      </x:c>
      <x:c r="C40" s="12"/>
      <x:c r="D40" s="12"/>
      <x:c r="E40" s="12"/>
      <x:c r="F40" s="9">
        <x:v>-29</x:v>
      </x:c>
      <x:c r="H40" s="9">
        <x:v>-27</x:v>
      </x:c>
      <x:c r="J40" s="9">
        <x:v>-36</x:v>
      </x:c>
      <x:c r="L40" s="9">
        <x:v>-50</x:v>
      </x:c>
      <x:c r="N40" s="9">
        <x:v>-60</x:v>
      </x:c>
    </x:row>
    <x:row r="41" spans="1:14" x14ac:dyDescent="0.2">
      <x:c r="B41" s="12" t="s">
        <x:v>26</x:v>
      </x:c>
      <x:c r="C41" s="12"/>
      <x:c r="D41" s="12"/>
      <x:c r="E41" s="12"/>
      <x:c r="F41" s="16">
        <x:v>-19</x:v>
      </x:c>
      <x:c r="H41" s="16">
        <x:v>-13</x:v>
      </x:c>
      <x:c r="J41" s="16">
        <x:v>-18</x:v>
      </x:c>
      <x:c r="L41" s="16">
        <x:v>-29</x:v>
      </x:c>
      <x:c r="N41" s="16">
        <x:v>-44</x:v>
      </x:c>
    </x:row>
    <x:row r="42" spans="1:14" x14ac:dyDescent="0.2">
      <x:c r="B42" s="3" t="s">
        <x:v>27</x:v>
      </x:c>
      <x:c r="F42" s="14">
        <x:f>SUM(F39:F41)</x:f>
        <x:v>2492</x:v>
      </x:c>
      <x:c r="H42" s="14">
        <x:f>SUM(H39:H41)</x:f>
        <x:v>2457</x:v>
      </x:c>
      <x:c r="J42" s="14">
        <x:f>SUM(J39:J41)</x:f>
        <x:v>2995</x:v>
      </x:c>
      <x:c r="L42" s="14">
        <x:f>SUM(L39:L41)</x:f>
        <x:v>3745</x:v>
      </x:c>
      <x:c r="N42" s="14">
        <x:f>SUM(N39:N41)</x:f>
        <x:v>4579</x:v>
      </x:c>
    </x:row>
    <x:row r="43" spans="1:14" x14ac:dyDescent="0.2">
      <x:c r="F43" s="9"/>
      <x:c r="H43" s="9"/>
      <x:c r="J43" s="9"/>
      <x:c r="L43" s="9"/>
      <x:c r="N43" s="9"/>
    </x:row>
    <x:row r="44" spans="1:14" x14ac:dyDescent="0.2">
      <x:c r="A44" s="3" t="s">
        <x:v>9</x:v>
      </x:c>
      <x:c r="B44" s="3" t="s">
        <x:v>28</x:v>
      </x:c>
      <x:c r="F44" s="9">
        <x:v>15054</x:v>
      </x:c>
      <x:c r="H44" s="9">
        <x:f>SUM(F45)</x:f>
        <x:v>16803</x:v>
      </x:c>
      <x:c r="J44" s="9">
        <x:f>SUM(H45)</x:f>
        <x:v>18241</x:v>
      </x:c>
      <x:c r="K44" s="9"/>
      <x:c r="L44" s="9">
        <x:f>SUM(J45)</x:f>
        <x:v>20342</x:v>
      </x:c>
      <x:c r="N44" s="9">
        <x:f>SUM(L45)</x:f>
        <x:v>23172</x:v>
      </x:c>
    </x:row>
    <x:row r="45" spans="1:14" x14ac:dyDescent="0.2">
      <x:c r="B45" s="3" t="s">
        <x:v>29</x:v>
      </x:c>
      <x:c r="F45" s="16">
        <x:f>F23</x:f>
        <x:v>16803</x:v>
      </x:c>
      <x:c r="H45" s="16">
        <x:f>H23</x:f>
        <x:v>18241</x:v>
      </x:c>
      <x:c r="J45" s="16">
        <x:f>J23</x:f>
        <x:v>20342</x:v>
      </x:c>
      <x:c r="K45" s="9"/>
      <x:c r="L45" s="16">
        <x:f>L23</x:f>
        <x:v>23172</x:v>
      </x:c>
      <x:c r="N45" s="16">
        <x:f>N23</x:f>
        <x:v>26538</x:v>
      </x:c>
    </x:row>
    <x:row r="46" spans="1:14" x14ac:dyDescent="0.2">
      <x:c r="B46" s="3" t="s">
        <x:v>30</x:v>
      </x:c>
      <x:c r="F46" s="14">
        <x:f>AVERAGE(F44:F45)</x:f>
        <x:v>15928.5</x:v>
      </x:c>
      <x:c r="H46" s="14">
        <x:f>AVERAGE(H44:H45)</x:f>
        <x:v>17522</x:v>
      </x:c>
      <x:c r="J46" s="14">
        <x:f>AVERAGE(J44:J45)</x:f>
        <x:v>19291.5</x:v>
      </x:c>
      <x:c r="L46" s="14">
        <x:f>AVERAGE(L44:L45)</x:f>
        <x:v>21757</x:v>
      </x:c>
      <x:c r="N46" s="14">
        <x:f>AVERAGE(N44:N45)</x:f>
        <x:v>24855</x:v>
      </x:c>
    </x:row>
    <x:row r="47" spans="1:14" x14ac:dyDescent="0.2">
      <x:c r="F47" s="9"/>
      <x:c r="H47" s="9"/>
      <x:c r="J47" s="9"/>
      <x:c r="L47" s="9"/>
      <x:c r="N47" s="9"/>
    </x:row>
    <x:row r="48" spans="1:14" x14ac:dyDescent="0.2">
      <x:c r="F48" s="9"/>
      <x:c r="H48" s="9"/>
      <x:c r="J48" s="9"/>
      <x:c r="L48" s="9"/>
      <x:c r="N48" s="9"/>
    </x:row>
    <x:row r="49" spans="1:14" s="17" customFormat="1" ht="15.75" x14ac:dyDescent="0.25">
      <x:c r="A49" s="17" t="s">
        <x:v>31</x:v>
      </x:c>
      <x:c r="F49" s="17">
        <x:f>F57/F61</x:f>
        <x:v>2.9339622641509435</x:v>
      </x:c>
      <x:c r="H49" s="17">
        <x:f>H57/H61</x:f>
        <x:v>3.103286384976526</x:v>
      </x:c>
      <x:c r="J49" s="17">
        <x:f>J57/J61</x:f>
        <x:v>3.289416846652268</x:v>
      </x:c>
      <x:c r="L49" s="17">
        <x:f>L57/L61</x:f>
        <x:v>2.7539823008849558</x:v>
      </x:c>
      <x:c r="N49" s="17">
        <x:f>N57/N61</x:f>
        <x:v>2.5982783357245336</x:v>
      </x:c>
    </x:row>
    <x:row r="50" spans="1:14" x14ac:dyDescent="0.2">
      <x:c r="F50" s="9"/>
      <x:c r="H50" s="9"/>
      <x:c r="J50" s="9"/>
      <x:c r="L50" s="9"/>
      <x:c r="N50" s="9"/>
    </x:row>
    <x:row r="51" spans="1:14" x14ac:dyDescent="0.2">
      <x:c r="A51" s="3" t="s">
        <x:v>2</x:v>
      </x:c>
      <x:c r="B51" s="10" t="s">
        <x:v>32</x:v>
      </x:c>
      <x:c r="C51" s="10"/>
      <x:c r="D51" s="10"/>
      <x:c r="E51" s="10"/>
      <x:c r="F51" s="11">
        <x:v>713</x:v>
      </x:c>
      <x:c r="H51" s="11">
        <x:v>770</x:v>
      </x:c>
      <x:c r="J51" s="11">
        <x:v>905</x:v>
      </x:c>
      <x:c r="L51" s="11">
        <x:v>864</x:v>
      </x:c>
      <x:c r="N51" s="11">
        <x:v>968</x:v>
      </x:c>
    </x:row>
    <x:row r="52" spans="1:14" x14ac:dyDescent="0.2">
      <x:c r="B52" s="12" t="s">
        <x:v>33</x:v>
      </x:c>
      <x:c r="C52" s="12"/>
      <x:c r="D52" s="12"/>
      <x:c r="E52" s="12"/>
      <x:c r="F52" s="11">
        <x:v>0</x:v>
      </x:c>
      <x:c r="H52" s="11">
        <x:v>0</x:v>
      </x:c>
      <x:c r="J52" s="11">
        <x:v>0</x:v>
      </x:c>
      <x:c r="L52" s="11">
        <x:v>0</x:v>
      </x:c>
      <x:c r="N52" s="11">
        <x:v>0</x:v>
      </x:c>
    </x:row>
    <x:row r="53" spans="1:14" x14ac:dyDescent="0.2">
      <x:c r="B53" s="15" t="s">
        <x:v>25</x:v>
      </x:c>
      <x:c r="C53" s="15"/>
      <x:c r="D53" s="15"/>
      <x:c r="E53" s="15"/>
      <x:c r="F53" s="9">
        <x:f>F40</x:f>
        <x:v>-29</x:v>
      </x:c>
      <x:c r="H53" s="9">
        <x:f>H40</x:f>
        <x:v>-27</x:v>
      </x:c>
      <x:c r="J53" s="9">
        <x:f>J40</x:f>
        <x:v>-36</x:v>
      </x:c>
      <x:c r="L53" s="9">
        <x:f>L40</x:f>
        <x:v>-50</x:v>
      </x:c>
      <x:c r="N53" s="9">
        <x:f>N40</x:f>
        <x:v>-60</x:v>
      </x:c>
    </x:row>
    <x:row r="54" spans="1:14" x14ac:dyDescent="0.2">
      <x:c r="B54" s="12" t="s">
        <x:v>34</x:v>
      </x:c>
      <x:c r="C54" s="12"/>
      <x:c r="D54" s="12"/>
      <x:c r="E54" s="12"/>
      <x:c r="F54" s="11">
        <x:v>136</x:v>
      </x:c>
      <x:c r="H54" s="11">
        <x:f>165-12</x:f>
        <x:v>153</x:v>
      </x:c>
      <x:c r="J54" s="11">
        <x:v>191</x:v>
      </x:c>
      <x:c r="L54" s="11">
        <x:v>177</x:v>
      </x:c>
      <x:c r="N54" s="11">
        <x:v>206</x:v>
      </x:c>
    </x:row>
    <x:row r="55" spans="1:14" x14ac:dyDescent="0.2">
      <x:c r="B55" s="12" t="s">
        <x:v>35</x:v>
      </x:c>
      <x:c r="C55" s="12"/>
      <x:c r="D55" s="12"/>
      <x:c r="E55" s="12"/>
      <x:c r="F55" s="11">
        <x:f>405-F41</x:f>
        <x:v>424</x:v>
      </x:c>
      <x:c r="H55" s="11">
        <x:f>413-H41</x:f>
        <x:v>426</x:v>
      </x:c>
      <x:c r="J55" s="11">
        <x:f>445-J41</x:f>
        <x:v>463</x:v>
      </x:c>
      <x:c r="L55" s="11">
        <x:f>536-L41</x:f>
        <x:v>565</x:v>
      </x:c>
      <x:c r="N55" s="11">
        <x:f>653-N41</x:f>
        <x:v>697</x:v>
      </x:c>
    </x:row>
    <x:row r="56" spans="1:14" x14ac:dyDescent="0.2">
      <x:c r="B56" s="12" t="s">
        <x:v>36</x:v>
      </x:c>
      <x:c r="C56" s="12"/>
      <x:c r="D56" s="12"/>
      <x:c r="E56" s="12"/>
      <x:c r="F56" s="13">
        <x:v>0</x:v>
      </x:c>
      <x:c r="H56" s="13">
        <x:v>0</x:v>
      </x:c>
      <x:c r="J56" s="13">
        <x:v>0</x:v>
      </x:c>
      <x:c r="L56" s="13">
        <x:v>0</x:v>
      </x:c>
      <x:c r="N56" s="13">
        <x:v>0</x:v>
      </x:c>
    </x:row>
    <x:row r="57" spans="1:14" x14ac:dyDescent="0.2">
      <x:c r="B57" s="3" t="s">
        <x:v>37</x:v>
      </x:c>
      <x:c r="F57" s="14">
        <x:f>SUM(F51:F56)</x:f>
        <x:v>1244</x:v>
      </x:c>
      <x:c r="H57" s="14">
        <x:f>SUM(H51:H56)</x:f>
        <x:v>1322</x:v>
      </x:c>
      <x:c r="J57" s="14">
        <x:f>SUM(J51:J56)</x:f>
        <x:v>1523</x:v>
      </x:c>
      <x:c r="L57" s="14">
        <x:f>SUM(L51:L56)</x:f>
        <x:v>1556</x:v>
      </x:c>
      <x:c r="N57" s="14">
        <x:f>SUM(N51:N56)</x:f>
        <x:v>1811</x:v>
      </x:c>
    </x:row>
    <x:row r="58" spans="1:14" x14ac:dyDescent="0.2">
      <x:c r="F58" s="9"/>
      <x:c r="H58" s="9"/>
      <x:c r="J58" s="9"/>
      <x:c r="L58" s="9"/>
      <x:c r="N58" s="9"/>
    </x:row>
    <x:row r="59" spans="1:14" x14ac:dyDescent="0.2">
      <x:c r="A59" s="3" t="s">
        <x:v>9</x:v>
      </x:c>
      <x:c r="B59" s="3" t="s">
        <x:v>38</x:v>
      </x:c>
      <x:c r="F59" s="9">
        <x:f>F55</x:f>
        <x:v>424</x:v>
      </x:c>
      <x:c r="H59" s="9">
        <x:f>H55</x:f>
        <x:v>426</x:v>
      </x:c>
      <x:c r="J59" s="9">
        <x:f>J55</x:f>
        <x:v>463</x:v>
      </x:c>
      <x:c r="L59" s="9">
        <x:f>L55</x:f>
        <x:v>565</x:v>
      </x:c>
      <x:c r="N59" s="9">
        <x:f>N55</x:f>
        <x:v>697</x:v>
      </x:c>
    </x:row>
    <x:row r="60" spans="1:14" x14ac:dyDescent="0.2">
      <x:c r="B60" s="15" t="s">
        <x:v>36</x:v>
      </x:c>
      <x:c r="C60" s="15"/>
      <x:c r="D60" s="15"/>
      <x:c r="E60" s="15"/>
      <x:c r="F60" s="16">
        <x:f>F56</x:f>
        <x:v>0</x:v>
      </x:c>
      <x:c r="H60" s="16">
        <x:f>H56</x:f>
        <x:v>0</x:v>
      </x:c>
      <x:c r="J60" s="16">
        <x:f>J56</x:f>
        <x:v>0</x:v>
      </x:c>
      <x:c r="L60" s="16">
        <x:v>0</x:v>
      </x:c>
      <x:c r="N60" s="16">
        <x:v>0</x:v>
      </x:c>
    </x:row>
    <x:row r="61" spans="1:14" x14ac:dyDescent="0.2">
      <x:c r="B61" s="3" t="s">
        <x:v>39</x:v>
      </x:c>
      <x:c r="F61" s="14">
        <x:f>SUM(F59:F60)</x:f>
        <x:v>424</x:v>
      </x:c>
      <x:c r="H61" s="14">
        <x:f>SUM(H59:H60)</x:f>
        <x:v>426</x:v>
      </x:c>
      <x:c r="J61" s="14">
        <x:f>SUM(J59:J60)</x:f>
        <x:v>463</x:v>
      </x:c>
      <x:c r="L61" s="14">
        <x:f>SUM(L59:L60)</x:f>
        <x:v>565</x:v>
      </x:c>
      <x:c r="N61" s="14">
        <x:f>SUM(N59:N60)</x:f>
        <x:v>697</x:v>
      </x:c>
    </x:row>
    <x:row r="62" spans="1:14" x14ac:dyDescent="0.2">
      <x:c r="F62" s="9"/>
      <x:c r="H62" s="9"/>
      <x:c r="J62" s="9"/>
      <x:c r="L62" s="9"/>
      <x:c r="N62" s="9"/>
    </x:row>
    <x:row r="63" spans="1:14" x14ac:dyDescent="0.2">
      <x:c r="F63" s="9"/>
      <x:c r="H63" s="9"/>
      <x:c r="J63" s="9"/>
      <x:c r="L63" s="9"/>
      <x:c r="N63" s="9"/>
    </x:row>
    <x:row r="64" spans="1:14" s="8" customFormat="1" ht="15.75" x14ac:dyDescent="0.25">
      <x:c r="A64" s="8" t="s">
        <x:v>40</x:v>
      </x:c>
      <x:c r="F64" s="8">
        <x:f>F69/F71</x:f>
        <x:v>0.16924910607866508</x:v>
      </x:c>
      <x:c r="H64" s="8">
        <x:f>H69/H71</x:f>
        <x:v>0.16925837320574164</x:v>
      </x:c>
      <x:c r="J64" s="8">
        <x:f>J69/J71</x:f>
        <x:v>0.1659244745279658</x:v>
      </x:c>
      <x:c r="L64" s="8">
        <x:f>L69/L71</x:f>
        <x:v>0.15209869113885963</x:v>
      </x:c>
      <x:c r="N64" s="8">
        <x:f>N69/N71</x:f>
        <x:v>0.14789287120913747</x:v>
      </x:c>
    </x:row>
    <x:row r="65" spans="1:14" x14ac:dyDescent="0.2">
      <x:c r="F65" s="9"/>
      <x:c r="H65" s="9"/>
      <x:c r="J65" s="9"/>
      <x:c r="L65" s="9"/>
      <x:c r="N65" s="9"/>
    </x:row>
    <x:row r="66" spans="1:14" x14ac:dyDescent="0.2">
      <x:c r="A66" s="3" t="s">
        <x:v>2</x:v>
      </x:c>
      <x:c r="B66" s="10" t="s">
        <x:v>41</x:v>
      </x:c>
      <x:c r="C66" s="10"/>
      <x:c r="D66" s="10"/>
      <x:c r="E66" s="10"/>
      <x:c r="F66" s="11">
        <x:f>713+866+32-1</x:f>
        <x:v>1610</x:v>
      </x:c>
      <x:c r="H66" s="11">
        <x:f>770+901+68-1</x:f>
        <x:v>1738</x:v>
      </x:c>
      <x:c r="J66" s="11">
        <x:f>905+985+41-14</x:f>
        <x:v>1917</x:v>
      </x:c>
      <x:c r="L66" s="11">
        <x:f>864+1117+69+61-10</x:f>
        <x:v>2101</x:v>
      </x:c>
      <x:c r="N66" s="11">
        <x:f>968+1233+155+1</x:f>
        <x:v>2357</x:v>
      </x:c>
    </x:row>
    <x:row r="67" spans="1:14" x14ac:dyDescent="0.2">
      <x:c r="B67" s="15" t="s">
        <x:v>25</x:v>
      </x:c>
      <x:c r="C67" s="15"/>
      <x:c r="D67" s="15"/>
      <x:c r="E67" s="15"/>
      <x:c r="F67" s="9">
        <x:f>F40</x:f>
        <x:v>-29</x:v>
      </x:c>
      <x:c r="H67" s="9">
        <x:f>H40</x:f>
        <x:v>-27</x:v>
      </x:c>
      <x:c r="J67" s="9">
        <x:f>J40</x:f>
        <x:v>-36</x:v>
      </x:c>
      <x:c r="L67" s="9">
        <x:f>L40</x:f>
        <x:v>-50</x:v>
      </x:c>
      <x:c r="N67" s="9">
        <x:f>N40</x:f>
        <x:v>-60</x:v>
      </x:c>
    </x:row>
    <x:row r="68" spans="1:14" x14ac:dyDescent="0.2">
      <x:c r="B68" s="15" t="s">
        <x:v>26</x:v>
      </x:c>
      <x:c r="C68" s="15"/>
      <x:c r="D68" s="15"/>
      <x:c r="E68" s="15"/>
      <x:c r="F68" s="16">
        <x:f>F41</x:f>
        <x:v>-19</x:v>
      </x:c>
      <x:c r="H68" s="16">
        <x:f>H41</x:f>
        <x:v>-13</x:v>
      </x:c>
      <x:c r="J68" s="16">
        <x:f>J41</x:f>
        <x:v>-18</x:v>
      </x:c>
      <x:c r="L68" s="16">
        <x:f>L41</x:f>
        <x:v>-29</x:v>
      </x:c>
      <x:c r="N68" s="16">
        <x:f>N41</x:f>
        <x:v>-44</x:v>
      </x:c>
    </x:row>
    <x:row r="69" spans="1:14" x14ac:dyDescent="0.2">
      <x:c r="B69" s="3" t="s">
        <x:v>42</x:v>
      </x:c>
      <x:c r="F69" s="14">
        <x:f>SUM(F66:F68)</x:f>
        <x:v>1562</x:v>
      </x:c>
      <x:c r="H69" s="14">
        <x:f>SUM(H66:H68)</x:f>
        <x:v>1698</x:v>
      </x:c>
      <x:c r="J69" s="14">
        <x:f>SUM(J66:J68)</x:f>
        <x:v>1863</x:v>
      </x:c>
      <x:c r="L69" s="14">
        <x:f>SUM(L66:L68)</x:f>
        <x:v>2022</x:v>
      </x:c>
      <x:c r="N69" s="14">
        <x:f>SUM(N66:N68)</x:f>
        <x:v>2253</x:v>
      </x:c>
    </x:row>
    <x:row r="70" spans="1:14" x14ac:dyDescent="0.2">
      <x:c r="F70" s="9"/>
      <x:c r="H70" s="9"/>
      <x:c r="J70" s="9"/>
      <x:c r="L70" s="9"/>
      <x:c r="N70" s="9"/>
    </x:row>
    <x:row r="71" spans="1:14" x14ac:dyDescent="0.2">
      <x:c r="A71" s="3" t="s">
        <x:v>9</x:v>
      </x:c>
      <x:c r="B71" s="3" t="s">
        <x:v>8</x:v>
      </x:c>
      <x:c r="F71" s="9">
        <x:f>F16</x:f>
        <x:v>9229</x:v>
      </x:c>
      <x:c r="H71" s="9">
        <x:f>H16</x:f>
        <x:v>10032</x:v>
      </x:c>
      <x:c r="J71" s="9">
        <x:f>J16</x:f>
        <x:v>11228</x:v>
      </x:c>
      <x:c r="L71" s="9">
        <x:f>L16</x:f>
        <x:v>13294</x:v>
      </x:c>
      <x:c r="N71" s="9">
        <x:f>N16</x:f>
        <x:v>15234</x:v>
      </x:c>
    </x:row>
    <x:row r="72" spans="1:14" x14ac:dyDescent="0.2">
      <x:c r="F72" s="9"/>
      <x:c r="H72" s="9"/>
      <x:c r="J72" s="9"/>
      <x:c r="L72" s="9"/>
      <x:c r="N72" s="9"/>
    </x:row>
    <x:row r="73" spans="1:14" x14ac:dyDescent="0.2">
      <x:c r="F73" s="9"/>
      <x:c r="H73" s="9"/>
      <x:c r="J73" s="9"/>
      <x:c r="L73" s="9"/>
      <x:c r="N73" s="9"/>
    </x:row>
    <x:row r="74" spans="1:14" s="17" customFormat="1" ht="15.75" x14ac:dyDescent="0.25">
      <x:c r="A74" s="17" t="s">
        <x:v>43</x:v>
      </x:c>
      <x:c r="F74" s="17">
        <x:f>F83/F87</x:f>
        <x:v>2.9203747072599531</x:v>
      </x:c>
      <x:c r="H74" s="17">
        <x:f>H83/H87</x:f>
        <x:v>3.0885780885780885</x:v>
      </x:c>
      <x:c r="J74" s="17">
        <x:f>J83/J87</x:f>
        <x:v>3.2746781115879831</x:v>
      </x:c>
      <x:c r="L74" s="17">
        <x:f>L83/L87</x:f>
        <x:v>2.744718309859155</x:v>
      </x:c>
      <x:c r="N74" s="17">
        <x:f>N83/N87</x:f>
        <x:v>2.5914285714285716</x:v>
      </x:c>
    </x:row>
    <x:row r="75" spans="1:14" x14ac:dyDescent="0.2">
      <x:c r="F75" s="9"/>
      <x:c r="H75" s="9"/>
      <x:c r="J75" s="9"/>
      <x:c r="L75" s="9"/>
      <x:c r="N75" s="9"/>
    </x:row>
    <x:row r="76" spans="1:14" x14ac:dyDescent="0.2">
      <x:c r="A76" s="3" t="s">
        <x:v>2</x:v>
      </x:c>
      <x:c r="B76" s="3" t="s">
        <x:v>32</x:v>
      </x:c>
      <x:c r="F76" s="9">
        <x:f>F51</x:f>
        <x:v>713</x:v>
      </x:c>
      <x:c r="H76" s="9">
        <x:f>H51</x:f>
        <x:v>770</x:v>
      </x:c>
      <x:c r="J76" s="9">
        <x:f>J51</x:f>
        <x:v>905</x:v>
      </x:c>
      <x:c r="L76" s="9">
        <x:f>L51</x:f>
        <x:v>864</x:v>
      </x:c>
      <x:c r="N76" s="9">
        <x:f>N51</x:f>
        <x:v>968</x:v>
      </x:c>
    </x:row>
    <x:row r="77" spans="1:14" x14ac:dyDescent="0.2">
      <x:c r="B77" s="15" t="s">
        <x:v>33</x:v>
      </x:c>
      <x:c r="C77" s="15"/>
      <x:c r="D77" s="15"/>
      <x:c r="E77" s="15"/>
      <x:c r="F77" s="9">
        <x:f>F52</x:f>
        <x:v>0</x:v>
      </x:c>
      <x:c r="H77" s="9">
        <x:f>H52</x:f>
        <x:v>0</x:v>
      </x:c>
      <x:c r="J77" s="9">
        <x:f>J52</x:f>
        <x:v>0</x:v>
      </x:c>
      <x:c r="L77" s="9">
        <x:f>L52</x:f>
        <x:v>0</x:v>
      </x:c>
      <x:c r="N77" s="9">
        <x:f>N52</x:f>
        <x:v>0</x:v>
      </x:c>
    </x:row>
    <x:row r="78" spans="1:14" x14ac:dyDescent="0.2">
      <x:c r="B78" s="15" t="s">
        <x:v>25</x:v>
      </x:c>
      <x:c r="C78" s="15"/>
      <x:c r="D78" s="15"/>
      <x:c r="E78" s="15"/>
      <x:c r="F78" s="9">
        <x:f>F40</x:f>
        <x:v>-29</x:v>
      </x:c>
      <x:c r="H78" s="9">
        <x:f>H40</x:f>
        <x:v>-27</x:v>
      </x:c>
      <x:c r="J78" s="9">
        <x:f>J40</x:f>
        <x:v>-36</x:v>
      </x:c>
      <x:c r="L78" s="9">
        <x:f>L40</x:f>
        <x:v>-50</x:v>
      </x:c>
      <x:c r="N78" s="9">
        <x:f>N40</x:f>
        <x:v>-60</x:v>
      </x:c>
    </x:row>
    <x:row r="79" spans="1:14" x14ac:dyDescent="0.2">
      <x:c r="B79" s="15" t="s">
        <x:v>34</x:v>
      </x:c>
      <x:c r="C79" s="15"/>
      <x:c r="D79" s="15"/>
      <x:c r="E79" s="15"/>
      <x:c r="F79" s="9">
        <x:f>F54</x:f>
        <x:v>136</x:v>
      </x:c>
      <x:c r="H79" s="9">
        <x:f>H54</x:f>
        <x:v>153</x:v>
      </x:c>
      <x:c r="J79" s="9">
        <x:f>J54</x:f>
        <x:v>191</x:v>
      </x:c>
      <x:c r="L79" s="9">
        <x:f>L54</x:f>
        <x:v>177</x:v>
      </x:c>
      <x:c r="N79" s="9">
        <x:f>N54</x:f>
        <x:v>206</x:v>
      </x:c>
    </x:row>
    <x:row r="80" spans="1:14" x14ac:dyDescent="0.2">
      <x:c r="B80" s="15" t="s">
        <x:v>44</x:v>
      </x:c>
      <x:c r="C80" s="15"/>
      <x:c r="D80" s="15"/>
      <x:c r="E80" s="15"/>
      <x:c r="F80" s="9">
        <x:f>F55</x:f>
        <x:v>424</x:v>
      </x:c>
      <x:c r="H80" s="9">
        <x:f>H55</x:f>
        <x:v>426</x:v>
      </x:c>
      <x:c r="J80" s="9">
        <x:f>J55</x:f>
        <x:v>463</x:v>
      </x:c>
      <x:c r="L80" s="9">
        <x:f>L55</x:f>
        <x:v>565</x:v>
      </x:c>
      <x:c r="N80" s="9">
        <x:f>N55</x:f>
        <x:v>697</x:v>
      </x:c>
    </x:row>
    <x:row r="81" spans="1:14" x14ac:dyDescent="0.2">
      <x:c r="B81" s="15" t="s">
        <x:v>36</x:v>
      </x:c>
      <x:c r="C81" s="15"/>
      <x:c r="D81" s="15"/>
      <x:c r="E81" s="15"/>
      <x:c r="F81" s="9">
        <x:f>F60</x:f>
        <x:v>0</x:v>
      </x:c>
      <x:c r="H81" s="9">
        <x:f>H60</x:f>
        <x:v>0</x:v>
      </x:c>
      <x:c r="J81" s="9">
        <x:f>J60</x:f>
        <x:v>0</x:v>
      </x:c>
      <x:c r="L81" s="9">
        <x:f>L60</x:f>
        <x:v>0</x:v>
      </x:c>
      <x:c r="N81" s="9">
        <x:f>N60</x:f>
        <x:v>0</x:v>
      </x:c>
    </x:row>
    <x:row r="82" spans="1:14" x14ac:dyDescent="0.2">
      <x:c r="B82" s="12" t="s">
        <x:v>45</x:v>
      </x:c>
      <x:c r="C82" s="12"/>
      <x:c r="D82" s="12"/>
      <x:c r="E82" s="12"/>
      <x:c r="F82" s="13">
        <x:v>3</x:v>
      </x:c>
      <x:c r="H82" s="13">
        <x:v>3</x:v>
      </x:c>
      <x:c r="J82" s="13">
        <x:v>3</x:v>
      </x:c>
      <x:c r="L82" s="13">
        <x:v>3</x:v>
      </x:c>
      <x:c r="N82" s="13">
        <x:v>3</x:v>
      </x:c>
    </x:row>
    <x:row r="83" spans="1:14" x14ac:dyDescent="0.2">
      <x:c r="F83" s="14">
        <x:f>SUM(F76:F82)</x:f>
        <x:v>1247</x:v>
      </x:c>
      <x:c r="H83" s="14">
        <x:f>SUM(H76:H82)</x:f>
        <x:v>1325</x:v>
      </x:c>
      <x:c r="J83" s="14">
        <x:f>SUM(J76:J82)</x:f>
        <x:v>1526</x:v>
      </x:c>
      <x:c r="L83" s="14">
        <x:f>SUM(L76:L82)</x:f>
        <x:v>1559</x:v>
      </x:c>
      <x:c r="N83" s="14">
        <x:f>SUM(N76:N82)</x:f>
        <x:v>1814</x:v>
      </x:c>
    </x:row>
    <x:row r="84" spans="1:14" x14ac:dyDescent="0.2">
      <x:c r="F84" s="9"/>
      <x:c r="H84" s="9"/>
      <x:c r="J84" s="9"/>
      <x:c r="L84" s="9"/>
      <x:c r="N84" s="9"/>
    </x:row>
    <x:row r="85" spans="1:14" x14ac:dyDescent="0.2">
      <x:c r="A85" s="3" t="s">
        <x:v>9</x:v>
      </x:c>
      <x:c r="B85" s="3" t="s">
        <x:v>46</x:v>
      </x:c>
      <x:c r="F85" s="9">
        <x:f>+F61</x:f>
        <x:v>424</x:v>
      </x:c>
      <x:c r="H85" s="9">
        <x:f>+H61</x:f>
        <x:v>426</x:v>
      </x:c>
      <x:c r="J85" s="9">
        <x:f>+J61</x:f>
        <x:v>463</x:v>
      </x:c>
      <x:c r="L85" s="9">
        <x:f>+L61</x:f>
        <x:v>565</x:v>
      </x:c>
      <x:c r="N85" s="9">
        <x:f>+N61</x:f>
        <x:v>697</x:v>
      </x:c>
    </x:row>
    <x:row r="86" spans="1:14" x14ac:dyDescent="0.2">
      <x:c r="B86" s="15" t="s">
        <x:v>45</x:v>
      </x:c>
      <x:c r="C86" s="15"/>
      <x:c r="D86" s="15"/>
      <x:c r="E86" s="15"/>
      <x:c r="F86" s="16">
        <x:f>F82</x:f>
        <x:v>3</x:v>
      </x:c>
      <x:c r="H86" s="16">
        <x:f>H82</x:f>
        <x:v>3</x:v>
      </x:c>
      <x:c r="J86" s="16">
        <x:f>J82</x:f>
        <x:v>3</x:v>
      </x:c>
      <x:c r="L86" s="16">
        <x:f>L82</x:f>
        <x:v>3</x:v>
      </x:c>
      <x:c r="N86" s="16">
        <x:f>N82</x:f>
        <x:v>3</x:v>
      </x:c>
    </x:row>
    <x:row r="87" spans="1:14" x14ac:dyDescent="0.2">
      <x:c r="F87" s="14">
        <x:f>SUM(F85:F86)</x:f>
        <x:v>427</x:v>
      </x:c>
      <x:c r="H87" s="14">
        <x:f>SUM(H85:H86)</x:f>
        <x:v>429</x:v>
      </x:c>
      <x:c r="J87" s="14">
        <x:f>SUM(J85:J86)</x:f>
        <x:v>466</x:v>
      </x:c>
      <x:c r="L87" s="14">
        <x:f>SUM(L85:L86)</x:f>
        <x:v>568</x:v>
      </x:c>
      <x:c r="N87" s="14">
        <x:f>SUM(N85:N86)</x:f>
        <x:v>700</x:v>
      </x:c>
    </x:row>
    <x:row r="88" spans="1:14" x14ac:dyDescent="0.2">
      <x:c r="F88" s="9"/>
      <x:c r="H88" s="9"/>
      <x:c r="J88" s="9"/>
      <x:c r="L88" s="9"/>
      <x:c r="N88" s="9"/>
    </x:row>
    <x:row r="89" spans="1:14" s="17" customFormat="1" ht="15.75" x14ac:dyDescent="0.25">
      <x:c r="A89" s="17" t="s">
        <x:v>47</x:v>
      </x:c>
      <x:c r="F89" s="17">
        <x:f>F99/F105</x:f>
        <x:v>2.9203747072599531</x:v>
      </x:c>
      <x:c r="H89" s="17">
        <x:f>H99/H105</x:f>
        <x:v>3.0885780885780885</x:v>
      </x:c>
      <x:c r="J89" s="17">
        <x:f>J99/J105</x:f>
        <x:v>3.2746781115879831</x:v>
      </x:c>
      <x:c r="L89" s="17">
        <x:f>L99/L105</x:f>
        <x:v>2.744718309859155</x:v>
      </x:c>
      <x:c r="N89" s="17">
        <x:f>N99/N105</x:f>
        <x:v>2.5914285714285716</x:v>
      </x:c>
    </x:row>
    <x:row r="90" spans="1:14" x14ac:dyDescent="0.2">
      <x:c r="F90" s="9"/>
      <x:c r="H90" s="9"/>
      <x:c r="J90" s="9"/>
      <x:c r="L90" s="9"/>
      <x:c r="N90" s="9"/>
    </x:row>
    <x:row r="91" spans="1:14" x14ac:dyDescent="0.2">
      <x:c r="A91" s="3" t="s">
        <x:v>2</x:v>
      </x:c>
      <x:c r="B91" s="3" t="s">
        <x:v>32</x:v>
      </x:c>
      <x:c r="F91" s="9">
        <x:f>F76</x:f>
        <x:v>713</x:v>
      </x:c>
      <x:c r="H91" s="9">
        <x:f>H76</x:f>
        <x:v>770</x:v>
      </x:c>
      <x:c r="J91" s="9">
        <x:f>J76</x:f>
        <x:v>905</x:v>
      </x:c>
      <x:c r="L91" s="9">
        <x:f>L76</x:f>
        <x:v>864</x:v>
      </x:c>
      <x:c r="N91" s="9">
        <x:f>N76</x:f>
        <x:v>968</x:v>
      </x:c>
    </x:row>
    <x:row r="92" spans="1:14" x14ac:dyDescent="0.2">
      <x:c r="B92" s="15" t="s">
        <x:v>33</x:v>
      </x:c>
      <x:c r="C92" s="15"/>
      <x:c r="D92" s="15"/>
      <x:c r="E92" s="15"/>
      <x:c r="F92" s="9">
        <x:f>F52</x:f>
        <x:v>0</x:v>
      </x:c>
      <x:c r="H92" s="9">
        <x:f>H52</x:f>
        <x:v>0</x:v>
      </x:c>
      <x:c r="J92" s="9">
        <x:f>J52</x:f>
        <x:v>0</x:v>
      </x:c>
      <x:c r="L92" s="9">
        <x:f>L52</x:f>
        <x:v>0</x:v>
      </x:c>
      <x:c r="N92" s="9">
        <x:f>N52</x:f>
        <x:v>0</x:v>
      </x:c>
    </x:row>
    <x:row r="93" spans="1:14" x14ac:dyDescent="0.2">
      <x:c r="B93" s="15" t="s">
        <x:v>25</x:v>
      </x:c>
      <x:c r="C93" s="15"/>
      <x:c r="D93" s="15"/>
      <x:c r="E93" s="15"/>
      <x:c r="F93" s="9">
        <x:f>F40</x:f>
        <x:v>-29</x:v>
      </x:c>
      <x:c r="H93" s="9">
        <x:f>H40</x:f>
        <x:v>-27</x:v>
      </x:c>
      <x:c r="J93" s="9">
        <x:f>J40</x:f>
        <x:v>-36</x:v>
      </x:c>
      <x:c r="L93" s="9">
        <x:f>L40</x:f>
        <x:v>-50</x:v>
      </x:c>
      <x:c r="N93" s="9">
        <x:f>N40</x:f>
        <x:v>-60</x:v>
      </x:c>
    </x:row>
    <x:row r="94" spans="1:14" x14ac:dyDescent="0.2">
      <x:c r="B94" s="15" t="s">
        <x:v>34</x:v>
      </x:c>
      <x:c r="C94" s="15"/>
      <x:c r="D94" s="15"/>
      <x:c r="E94" s="15"/>
      <x:c r="F94" s="9">
        <x:f>F79</x:f>
        <x:v>136</x:v>
      </x:c>
      <x:c r="H94" s="9">
        <x:f>H79</x:f>
        <x:v>153</x:v>
      </x:c>
      <x:c r="J94" s="9">
        <x:f>J79</x:f>
        <x:v>191</x:v>
      </x:c>
      <x:c r="L94" s="9">
        <x:f>L79</x:f>
        <x:v>177</x:v>
      </x:c>
      <x:c r="N94" s="9">
        <x:f>N79</x:f>
        <x:v>206</x:v>
      </x:c>
    </x:row>
    <x:row r="95" spans="1:14" x14ac:dyDescent="0.2">
      <x:c r="B95" s="15" t="s">
        <x:v>44</x:v>
      </x:c>
      <x:c r="C95" s="15"/>
      <x:c r="D95" s="15"/>
      <x:c r="E95" s="15"/>
      <x:c r="F95" s="9">
        <x:f>F80</x:f>
        <x:v>424</x:v>
      </x:c>
      <x:c r="H95" s="9">
        <x:f>H80</x:f>
        <x:v>426</x:v>
      </x:c>
      <x:c r="J95" s="9">
        <x:f>J80</x:f>
        <x:v>463</x:v>
      </x:c>
      <x:c r="L95" s="9">
        <x:f>L80</x:f>
        <x:v>565</x:v>
      </x:c>
      <x:c r="N95" s="9">
        <x:f>N80</x:f>
        <x:v>697</x:v>
      </x:c>
    </x:row>
    <x:row r="96" spans="1:14" x14ac:dyDescent="0.2">
      <x:c r="B96" s="15" t="s">
        <x:v>36</x:v>
      </x:c>
      <x:c r="C96" s="15"/>
      <x:c r="D96" s="15"/>
      <x:c r="E96" s="15"/>
      <x:c r="F96" s="9">
        <x:f>F81</x:f>
        <x:v>0</x:v>
      </x:c>
      <x:c r="H96" s="9">
        <x:f>H81</x:f>
        <x:v>0</x:v>
      </x:c>
      <x:c r="J96" s="9">
        <x:f>J81</x:f>
        <x:v>0</x:v>
      </x:c>
      <x:c r="L96" s="9">
        <x:f>L81</x:f>
        <x:v>0</x:v>
      </x:c>
      <x:c r="N96" s="9">
        <x:f>N81</x:f>
        <x:v>0</x:v>
      </x:c>
    </x:row>
    <x:row r="97" spans="1:14" x14ac:dyDescent="0.2">
      <x:c r="B97" s="15" t="s">
        <x:v>45</x:v>
      </x:c>
      <x:c r="C97" s="15"/>
      <x:c r="D97" s="15"/>
      <x:c r="E97" s="15"/>
      <x:c r="F97" s="9">
        <x:f>F82</x:f>
        <x:v>3</x:v>
      </x:c>
      <x:c r="H97" s="9">
        <x:f>H82</x:f>
        <x:v>3</x:v>
      </x:c>
      <x:c r="J97" s="9">
        <x:f>J82</x:f>
        <x:v>3</x:v>
      </x:c>
      <x:c r="L97" s="9">
        <x:f>L82</x:f>
        <x:v>3</x:v>
      </x:c>
      <x:c r="N97" s="9">
        <x:f>N82</x:f>
        <x:v>3</x:v>
      </x:c>
    </x:row>
    <x:row r="98" spans="1:14" x14ac:dyDescent="0.2">
      <x:c r="B98" s="12" t="s">
        <x:v>48</x:v>
      </x:c>
      <x:c r="C98" s="12"/>
      <x:c r="D98" s="12"/>
      <x:c r="E98" s="12"/>
      <x:c r="F98" s="13">
        <x:v>0</x:v>
      </x:c>
      <x:c r="H98" s="13">
        <x:v>0</x:v>
      </x:c>
      <x:c r="J98" s="13">
        <x:v>0</x:v>
      </x:c>
      <x:c r="L98" s="13">
        <x:v>0</x:v>
      </x:c>
      <x:c r="N98" s="13">
        <x:v>0</x:v>
      </x:c>
    </x:row>
    <x:row r="99" spans="1:14" x14ac:dyDescent="0.2">
      <x:c r="F99" s="14">
        <x:f>SUM(F91:F98)</x:f>
        <x:v>1247</x:v>
      </x:c>
      <x:c r="H99" s="14">
        <x:f>SUM(H91:H98)</x:f>
        <x:v>1325</x:v>
      </x:c>
      <x:c r="J99" s="14">
        <x:f>SUM(J91:J98)</x:f>
        <x:v>1526</x:v>
      </x:c>
      <x:c r="L99" s="14">
        <x:f>SUM(L91:L98)</x:f>
        <x:v>1559</x:v>
      </x:c>
      <x:c r="N99" s="14">
        <x:f>SUM(N91:N98)</x:f>
        <x:v>1814</x:v>
      </x:c>
    </x:row>
    <x:row r="100" spans="1:14" x14ac:dyDescent="0.2">
      <x:c r="F100" s="9"/>
      <x:c r="H100" s="9"/>
      <x:c r="J100" s="9"/>
      <x:c r="L100" s="9"/>
      <x:c r="N100" s="9"/>
    </x:row>
    <x:row r="101" spans="1:14" x14ac:dyDescent="0.2">
      <x:c r="A101" s="3" t="s">
        <x:v>9</x:v>
      </x:c>
      <x:c r="B101" s="3" t="s">
        <x:v>38</x:v>
      </x:c>
      <x:c r="F101" s="9">
        <x:f>F95</x:f>
        <x:v>424</x:v>
      </x:c>
      <x:c r="H101" s="9">
        <x:f>H95</x:f>
        <x:v>426</x:v>
      </x:c>
      <x:c r="J101" s="9">
        <x:f>J95</x:f>
        <x:v>463</x:v>
      </x:c>
      <x:c r="L101" s="9">
        <x:f>L95</x:f>
        <x:v>565</x:v>
      </x:c>
      <x:c r="N101" s="9">
        <x:f>N95</x:f>
        <x:v>697</x:v>
      </x:c>
    </x:row>
    <x:row r="102" spans="1:14" x14ac:dyDescent="0.2">
      <x:c r="B102" s="15" t="s">
        <x:v>36</x:v>
      </x:c>
      <x:c r="C102" s="15"/>
      <x:c r="D102" s="15"/>
      <x:c r="E102" s="15"/>
      <x:c r="F102" s="9">
        <x:f>F96</x:f>
        <x:v>0</x:v>
      </x:c>
      <x:c r="H102" s="9">
        <x:f>H96</x:f>
        <x:v>0</x:v>
      </x:c>
      <x:c r="J102" s="9">
        <x:f>J96</x:f>
        <x:v>0</x:v>
      </x:c>
      <x:c r="L102" s="9">
        <x:f>L96</x:f>
        <x:v>0</x:v>
      </x:c>
      <x:c r="N102" s="9">
        <x:f>N96</x:f>
        <x:v>0</x:v>
      </x:c>
    </x:row>
    <x:row r="103" spans="1:14" x14ac:dyDescent="0.2">
      <x:c r="B103" s="15" t="s">
        <x:v>45</x:v>
      </x:c>
      <x:c r="C103" s="15"/>
      <x:c r="D103" s="15"/>
      <x:c r="E103" s="15"/>
      <x:c r="F103" s="9">
        <x:f>F97</x:f>
        <x:v>3</x:v>
      </x:c>
      <x:c r="H103" s="9">
        <x:f>H97</x:f>
        <x:v>3</x:v>
      </x:c>
      <x:c r="J103" s="9">
        <x:f>J97</x:f>
        <x:v>3</x:v>
      </x:c>
      <x:c r="L103" s="9">
        <x:f>L97</x:f>
        <x:v>3</x:v>
      </x:c>
      <x:c r="N103" s="9">
        <x:f>N97</x:f>
        <x:v>3</x:v>
      </x:c>
    </x:row>
    <x:row r="104" spans="1:14" x14ac:dyDescent="0.2">
      <x:c r="B104" s="15" t="s">
        <x:v>48</x:v>
      </x:c>
      <x:c r="C104" s="15"/>
      <x:c r="D104" s="15"/>
      <x:c r="E104" s="15"/>
      <x:c r="F104" s="16">
        <x:f>F98</x:f>
        <x:v>0</x:v>
      </x:c>
      <x:c r="H104" s="16">
        <x:f>H98</x:f>
        <x:v>0</x:v>
      </x:c>
      <x:c r="J104" s="16">
        <x:f>J98</x:f>
        <x:v>0</x:v>
      </x:c>
      <x:c r="L104" s="16">
        <x:f>L98</x:f>
        <x:v>0</x:v>
      </x:c>
      <x:c r="N104" s="16">
        <x:f>N98</x:f>
        <x:v>0</x:v>
      </x:c>
    </x:row>
    <x:row r="105" spans="1:14" x14ac:dyDescent="0.2">
      <x:c r="F105" s="14">
        <x:f>SUM(F101:F104)</x:f>
        <x:v>427</x:v>
      </x:c>
      <x:c r="H105" s="14">
        <x:f>SUM(H101:H104)</x:f>
        <x:v>429</x:v>
      </x:c>
      <x:c r="J105" s="14">
        <x:f>SUM(J101:J104)</x:f>
        <x:v>466</x:v>
      </x:c>
      <x:c r="L105" s="14">
        <x:f>SUM(L101:L104)</x:f>
        <x:v>568</x:v>
      </x:c>
      <x:c r="N105" s="14">
        <x:f>SUM(N101:N104)</x:f>
        <x:v>700</x:v>
      </x:c>
    </x:row>
    <x:row r="106" spans="1:14" x14ac:dyDescent="0.2">
      <x:c r="F106" s="9"/>
      <x:c r="H106" s="9"/>
      <x:c r="J106" s="9"/>
      <x:c r="L106" s="9"/>
      <x:c r="N106" s="9"/>
    </x:row>
    <x:row r="107" spans="1:14" s="17" customFormat="1" ht="15.75" x14ac:dyDescent="0.25">
      <x:c r="A107" s="17" t="s">
        <x:v>49</x:v>
      </x:c>
      <x:c r="F107" s="17">
        <x:f>F111/F113</x:f>
        <x:v>4.6415094339622645</x:v>
      </x:c>
      <x:c r="H107" s="17">
        <x:f>H111/H113</x:f>
        <x:v>4.9460093896713619</x:v>
      </x:c>
      <x:c r="J107" s="17">
        <x:f>J111/J113</x:f>
        <x:v>4.9762419006479481</x:v>
      </x:c>
      <x:c r="L107" s="17">
        <x:f>L111/L113</x:f>
        <x:v>4.4973451327433631</x:v>
      </x:c>
      <x:c r="N107" s="17">
        <x:f>N111/N113</x:f>
        <x:v>4.1391678622668584</x:v>
      </x:c>
    </x:row>
    <x:row r="108" spans="1:14" ht="15.75" x14ac:dyDescent="0.25">
      <x:c r="F108" s="17"/>
      <x:c r="H108" s="17"/>
      <x:c r="J108" s="17"/>
      <x:c r="L108" s="17"/>
      <x:c r="N108" s="17"/>
    </x:row>
    <x:row r="109" spans="1:14" x14ac:dyDescent="0.2">
      <x:c r="A109" s="3" t="s">
        <x:v>2</x:v>
      </x:c>
      <x:c r="B109" s="3" t="s">
        <x:v>50</x:v>
      </x:c>
      <x:c r="F109" s="9">
        <x:f>F69</x:f>
        <x:v>1562</x:v>
      </x:c>
      <x:c r="H109" s="9">
        <x:f>H69</x:f>
        <x:v>1698</x:v>
      </x:c>
      <x:c r="J109" s="9">
        <x:f>J69</x:f>
        <x:v>1863</x:v>
      </x:c>
      <x:c r="L109" s="9">
        <x:f>L69</x:f>
        <x:v>2022</x:v>
      </x:c>
      <x:c r="N109" s="9">
        <x:f>N69</x:f>
        <x:v>2253</x:v>
      </x:c>
    </x:row>
    <x:row r="110" spans="1:14" x14ac:dyDescent="0.2">
      <x:c r="B110" s="12" t="s">
        <x:v>51</x:v>
      </x:c>
      <x:c r="C110" s="12"/>
      <x:c r="D110" s="12"/>
      <x:c r="E110" s="12"/>
      <x:c r="F110" s="13">
        <x:v>406</x:v>
      </x:c>
      <x:c r="H110" s="13">
        <x:v>409</x:v>
      </x:c>
      <x:c r="J110" s="13">
        <x:v>441</x:v>
      </x:c>
      <x:c r="L110" s="13">
        <x:v>519</x:v>
      </x:c>
      <x:c r="N110" s="13">
        <x:v>632</x:v>
      </x:c>
    </x:row>
    <x:row r="111" spans="1:14" x14ac:dyDescent="0.2">
      <x:c r="B111" s="3" t="s">
        <x:v>52</x:v>
      </x:c>
      <x:c r="F111" s="14">
        <x:f>SUM(F109:F110)</x:f>
        <x:v>1968</x:v>
      </x:c>
      <x:c r="H111" s="14">
        <x:f>SUM(H109:H110)</x:f>
        <x:v>2107</x:v>
      </x:c>
      <x:c r="J111" s="14">
        <x:f>SUM(J109:J110)</x:f>
        <x:v>2304</x:v>
      </x:c>
      <x:c r="L111" s="14">
        <x:f>SUM(L109:L110)</x:f>
        <x:v>2541</x:v>
      </x:c>
      <x:c r="N111" s="14">
        <x:f>SUM(N109:N110)</x:f>
        <x:v>2885</x:v>
      </x:c>
    </x:row>
    <x:row r="112" spans="1:14" x14ac:dyDescent="0.2">
      <x:c r="F112" s="9"/>
      <x:c r="H112" s="9"/>
      <x:c r="J112" s="9"/>
      <x:c r="L112" s="9"/>
      <x:c r="N112" s="9"/>
    </x:row>
    <x:row r="113" spans="1:14" x14ac:dyDescent="0.2">
      <x:c r="A113" s="3" t="s">
        <x:v>9</x:v>
      </x:c>
      <x:c r="B113" s="3" t="s">
        <x:v>53</x:v>
      </x:c>
      <x:c r="F113" s="9">
        <x:f>F85</x:f>
        <x:v>424</x:v>
      </x:c>
      <x:c r="H113" s="9">
        <x:f>H85</x:f>
        <x:v>426</x:v>
      </x:c>
      <x:c r="J113" s="9">
        <x:f>J85</x:f>
        <x:v>463</x:v>
      </x:c>
      <x:c r="L113" s="9">
        <x:f>L85</x:f>
        <x:v>565</x:v>
      </x:c>
      <x:c r="N113" s="9">
        <x:f>N85</x:f>
        <x:v>697</x:v>
      </x:c>
    </x:row>
    <x:row r="114" spans="1:14" x14ac:dyDescent="0.2">
      <x:c r="F114" s="9"/>
      <x:c r="H114" s="9"/>
      <x:c r="J114" s="9"/>
      <x:c r="L114" s="9"/>
      <x:c r="N114" s="9"/>
    </x:row>
    <x:row r="115" spans="1:14" x14ac:dyDescent="0.2">
      <x:c r="F115" s="9"/>
      <x:c r="H115" s="9"/>
      <x:c r="J115" s="9"/>
      <x:c r="L115" s="9"/>
      <x:c r="N115" s="9"/>
    </x:row>
    <x:row r="116" spans="1:14" s="8" customFormat="1" ht="15.75" x14ac:dyDescent="0.25">
      <x:c r="A116" s="8" t="s">
        <x:v>54</x:v>
      </x:c>
      <x:c r="F116" s="8">
        <x:f>F121/F123</x:f>
        <x:v>0.4839486356340289</x:v>
      </x:c>
      <x:c r="H116" s="8">
        <x:f>H121/H123</x:f>
        <x:v>0.34961334961334961</x:v>
      </x:c>
      <x:c r="J116" s="8">
        <x:f>J121/J123</x:f>
        <x:v>0.48013355592654422</x:v>
      </x:c>
      <x:c r="L116" s="8">
        <x:f>L121/L123</x:f>
        <x:v>0.3925233644859813</x:v>
      </x:c>
      <x:c r="N116" s="8">
        <x:f>N121/N123</x:f>
        <x:v>0.32758244158113126</x:v>
      </x:c>
    </x:row>
    <x:row r="117" spans="1:14" x14ac:dyDescent="0.2">
      <x:c r="F117" s="9"/>
      <x:c r="H117" s="9"/>
      <x:c r="J117" s="9"/>
      <x:c r="L117" s="9"/>
      <x:c r="N117" s="9"/>
    </x:row>
    <x:row r="118" spans="1:14" x14ac:dyDescent="0.2">
      <x:c r="A118" s="3" t="s">
        <x:v>2</x:v>
      </x:c>
      <x:c r="B118" s="3" t="s">
        <x:v>50</x:v>
      </x:c>
      <x:c r="F118" s="9">
        <x:f>F69</x:f>
        <x:v>1562</x:v>
      </x:c>
      <x:c r="H118" s="9">
        <x:f>H69</x:f>
        <x:v>1698</x:v>
      </x:c>
      <x:c r="J118" s="9">
        <x:f>J69</x:f>
        <x:v>1863</x:v>
      </x:c>
      <x:c r="L118" s="9">
        <x:f>L69</x:f>
        <x:v>2022</x:v>
      </x:c>
      <x:c r="N118" s="9">
        <x:f>N69</x:f>
        <x:v>2253</x:v>
      </x:c>
    </x:row>
    <x:row r="119" spans="1:14" x14ac:dyDescent="0.2">
      <x:c r="B119" s="12" t="s">
        <x:v>55</x:v>
      </x:c>
      <x:c r="C119" s="12"/>
      <x:c r="D119" s="12"/>
      <x:c r="E119" s="12"/>
      <x:c r="F119" s="11">
        <x:v>0</x:v>
      </x:c>
      <x:c r="H119" s="11">
        <x:v>0</x:v>
      </x:c>
      <x:c r="J119" s="11">
        <x:v>0</x:v>
      </x:c>
      <x:c r="L119" s="11">
        <x:v>0</x:v>
      </x:c>
      <x:c r="N119" s="11">
        <x:v>0</x:v>
      </x:c>
    </x:row>
    <x:row r="120" spans="1:14" x14ac:dyDescent="0.2">
      <x:c r="B120" s="12" t="s">
        <x:v>56</x:v>
      </x:c>
      <x:c r="C120" s="12"/>
      <x:c r="D120" s="19"/>
      <x:c r="E120" s="19"/>
      <x:c r="F120" s="18">
        <x:v>-356</x:v>
      </x:c>
      <x:c r="H120" s="18">
        <x:v>-839</x:v>
      </x:c>
      <x:c r="J120" s="18">
        <x:v>-425</x:v>
      </x:c>
      <x:c r="L120" s="18">
        <x:v>-552</x:v>
      </x:c>
      <x:c r="N120" s="18">
        <x:v>-753</x:v>
      </x:c>
    </x:row>
    <x:row r="121" spans="1:14" x14ac:dyDescent="0.2">
      <x:c r="B121" s="3" t="s">
        <x:v>57</x:v>
      </x:c>
      <x:c r="F121" s="14">
        <x:f>SUM(F118:F120)</x:f>
        <x:v>1206</x:v>
      </x:c>
      <x:c r="H121" s="14">
        <x:f>SUM(H118:H120)</x:f>
        <x:v>859</x:v>
      </x:c>
      <x:c r="J121" s="14">
        <x:f>SUM(J118:J120)</x:f>
        <x:v>1438</x:v>
      </x:c>
      <x:c r="L121" s="14">
        <x:f>SUM(L118:L120)</x:f>
        <x:v>1470</x:v>
      </x:c>
      <x:c r="N121" s="14">
        <x:f>SUM(N118:N120)</x:f>
        <x:v>1500</x:v>
      </x:c>
    </x:row>
    <x:row r="122" spans="1:14" x14ac:dyDescent="0.2">
      <x:c r="F122" s="9"/>
      <x:c r="H122" s="9"/>
      <x:c r="J122" s="9"/>
      <x:c r="L122" s="9"/>
      <x:c r="N122" s="9"/>
    </x:row>
    <x:row r="123" spans="1:14" x14ac:dyDescent="0.2">
      <x:c r="A123" s="3" t="s">
        <x:v>9</x:v>
      </x:c>
      <x:c r="B123" s="3" t="s">
        <x:v>58</x:v>
      </x:c>
      <x:c r="F123" s="9">
        <x:f>F42</x:f>
        <x:v>2492</x:v>
      </x:c>
      <x:c r="H123" s="9">
        <x:f>H42</x:f>
        <x:v>2457</x:v>
      </x:c>
      <x:c r="J123" s="9">
        <x:f>J42</x:f>
        <x:v>2995</x:v>
      </x:c>
      <x:c r="L123" s="9">
        <x:f>L42</x:f>
        <x:v>3745</x:v>
      </x:c>
      <x:c r="N123" s="9">
        <x:f>N42</x:f>
        <x:v>4579</x:v>
      </x:c>
    </x:row>
    <x:row r="124" spans="1:14" x14ac:dyDescent="0.2">
      <x:c r="F124" s="9"/>
      <x:c r="H124" s="9"/>
      <x:c r="J124" s="9"/>
      <x:c r="L124" s="9"/>
      <x:c r="N124" s="9"/>
    </x:row>
    <x:row r="125" spans="1:14" x14ac:dyDescent="0.2">
      <x:c r="F125" s="9"/>
      <x:c r="H125" s="9"/>
      <x:c r="J125" s="9"/>
      <x:c r="L125" s="9"/>
      <x:c r="N125" s="9"/>
    </x:row>
    <x:row r="126" spans="1:14" s="1" customFormat="1" ht="15.75" x14ac:dyDescent="0.25">
      <x:c r="A126" s="1" t="s">
        <x:v>59</x:v>
      </x:c>
      <x:c r="F126" s="20">
        <x:f>F130/F132</x:f>
        <x:v>4.3876404494382024</x:v>
      </x:c>
      <x:c r="H126" s="20">
        <x:f>H130/H132</x:f>
        <x:v>2.0238379022646007</x:v>
      </x:c>
      <x:c r="J126" s="20">
        <x:f>J130/J132</x:f>
        <x:v>4.3835294117647061</x:v>
      </x:c>
      <x:c r="L126" s="20">
        <x:f>L130/L132</x:f>
        <x:v>3.6630434782608696</x:v>
      </x:c>
      <x:c r="N126" s="20">
        <x:f>N130/N132</x:f>
        <x:v>2.9920318725099602</x:v>
      </x:c>
    </x:row>
    <x:row r="127" spans="1:14" x14ac:dyDescent="0.2">
      <x:c r="F127" s="9"/>
      <x:c r="H127" s="9"/>
      <x:c r="J127" s="9"/>
      <x:c r="L127" s="9"/>
      <x:c r="N127" s="9"/>
    </x:row>
    <x:row r="128" spans="1:14" x14ac:dyDescent="0.2">
      <x:c r="A128" s="3" t="s">
        <x:v>2</x:v>
      </x:c>
      <x:c r="B128" s="3" t="s">
        <x:v>50</x:v>
      </x:c>
      <x:c r="F128" s="9">
        <x:f>F69</x:f>
        <x:v>1562</x:v>
      </x:c>
      <x:c r="H128" s="9">
        <x:f>H69</x:f>
        <x:v>1698</x:v>
      </x:c>
      <x:c r="J128" s="9">
        <x:f>J69</x:f>
        <x:v>1863</x:v>
      </x:c>
      <x:c r="L128" s="9">
        <x:f>L69</x:f>
        <x:v>2022</x:v>
      </x:c>
      <x:c r="N128" s="9">
        <x:f>N69</x:f>
        <x:v>2253</x:v>
      </x:c>
    </x:row>
    <x:row r="129" spans="1:14" x14ac:dyDescent="0.2">
      <x:c r="B129" s="15" t="s">
        <x:v>55</x:v>
      </x:c>
      <x:c r="C129" s="15"/>
      <x:c r="D129" s="15"/>
      <x:c r="E129" s="15"/>
      <x:c r="F129" s="16">
        <x:f>F119</x:f>
        <x:v>0</x:v>
      </x:c>
      <x:c r="H129" s="16">
        <x:f>H119</x:f>
        <x:v>0</x:v>
      </x:c>
      <x:c r="J129" s="16">
        <x:f>J119</x:f>
        <x:v>0</x:v>
      </x:c>
      <x:c r="L129" s="16">
        <x:v>0</x:v>
      </x:c>
      <x:c r="N129" s="16">
        <x:v>0</x:v>
      </x:c>
    </x:row>
    <x:row r="130" spans="1:14" x14ac:dyDescent="0.2">
      <x:c r="F130" s="14">
        <x:f>SUM(F128:F129)</x:f>
        <x:v>1562</x:v>
      </x:c>
      <x:c r="H130" s="14">
        <x:f>SUM(H128:H129)</x:f>
        <x:v>1698</x:v>
      </x:c>
      <x:c r="J130" s="14">
        <x:f>SUM(J128:J129)</x:f>
        <x:v>1863</x:v>
      </x:c>
      <x:c r="L130" s="14">
        <x:f>SUM(L128:L129)</x:f>
        <x:v>2022</x:v>
      </x:c>
      <x:c r="N130" s="14">
        <x:f>SUM(N128:N129)</x:f>
        <x:v>2253</x:v>
      </x:c>
    </x:row>
    <x:row r="131" spans="1:14" x14ac:dyDescent="0.2">
      <x:c r="F131" s="9"/>
      <x:c r="H131" s="9"/>
      <x:c r="J131" s="9"/>
      <x:c r="L131" s="9"/>
      <x:c r="N131" s="9"/>
    </x:row>
    <x:row r="132" spans="1:14" x14ac:dyDescent="0.2">
      <x:c r="A132" s="3" t="s">
        <x:v>9</x:v>
      </x:c>
      <x:c r="B132" s="3" t="s">
        <x:v>60</x:v>
      </x:c>
      <x:c r="F132" s="9">
        <x:f>-F120</x:f>
        <x:v>356</x:v>
      </x:c>
      <x:c r="H132" s="9">
        <x:f>-H120</x:f>
        <x:v>839</x:v>
      </x:c>
      <x:c r="J132" s="9">
        <x:f>-J120</x:f>
        <x:v>425</x:v>
      </x:c>
      <x:c r="L132" s="9">
        <x:f>-L120</x:f>
        <x:v>552</x:v>
      </x:c>
      <x:c r="N132" s="9">
        <x:f>-N120</x:f>
        <x:v>753</x:v>
      </x:c>
    </x:row>
    <x:row r="133" spans="1:14" x14ac:dyDescent="0.2">
      <x:c r="F133" s="9"/>
      <x:c r="H133" s="9"/>
      <x:c r="J133" s="9"/>
      <x:c r="L133" s="9"/>
      <x:c r="N133" s="9"/>
    </x:row>
    <x:row r="134" spans="1:14" x14ac:dyDescent="0.2">
      <x:c r="F134" s="9"/>
      <x:c r="H134" s="9"/>
      <x:c r="J134" s="9"/>
      <x:c r="L134" s="9"/>
      <x:c r="N134" s="9"/>
    </x:row>
    <x:row r="135" spans="1:14" s="8" customFormat="1" ht="15.75" x14ac:dyDescent="0.25">
      <x:c r="A135" s="8" t="s">
        <x:v>61</x:v>
      </x:c>
      <x:c r="F135" s="8">
        <x:f>F137/F141</x:f>
        <x:v>0.1018353210026423</x:v>
      </x:c>
      <x:c r="H135" s="8">
        <x:f>H137/H141</x:f>
        <x:v>9.7573338402078186E-2</x:v>
      </x:c>
      <x:c r="J135" s="8">
        <x:f>J137/J141</x:f>
        <x:v>0.10448536627604918</x:v>
      </x:c>
      <x:c r="L135" s="8">
        <x:f>L137/L141</x:f>
        <x:v>9.0985678180286439E-2</x:v>
      </x:c>
      <x:c r="N135" s="8">
        <x:f>N137/N141</x:f>
        <x:v>9.1398357095647254E-2</x:v>
      </x:c>
    </x:row>
    <x:row r="136" spans="1:14" x14ac:dyDescent="0.2">
      <x:c r="F136" s="9"/>
      <x:c r="H136" s="9"/>
      <x:c r="J136" s="9"/>
      <x:c r="L136" s="9"/>
      <x:c r="N136" s="9"/>
    </x:row>
    <x:row r="137" spans="1:14" x14ac:dyDescent="0.2">
      <x:c r="A137" s="3" t="s">
        <x:v>2</x:v>
      </x:c>
      <x:c r="B137" s="3" t="s">
        <x:v>62</x:v>
      </x:c>
      <x:c r="F137" s="9">
        <x:f>F51+F119</x:f>
        <x:v>713</x:v>
      </x:c>
      <x:c r="H137" s="9">
        <x:f>H51+H119</x:f>
        <x:v>770</x:v>
      </x:c>
      <x:c r="J137" s="9">
        <x:f>J51+J119</x:f>
        <x:v>905</x:v>
      </x:c>
      <x:c r="L137" s="9">
        <x:f>L51+L119</x:f>
        <x:v>864</x:v>
      </x:c>
      <x:c r="N137" s="9">
        <x:f>N51+N119</x:f>
        <x:v>968</x:v>
      </x:c>
    </x:row>
    <x:row r="138" spans="1:14" x14ac:dyDescent="0.2">
      <x:c r="F138" s="9"/>
      <x:c r="H138" s="9"/>
      <x:c r="J138" s="9"/>
      <x:c r="L138" s="9"/>
      <x:c r="N138" s="9"/>
    </x:row>
    <x:row r="139" spans="1:14" x14ac:dyDescent="0.2">
      <x:c r="A139" s="3" t="s">
        <x:v>9</x:v>
      </x:c>
      <x:c r="B139" s="3" t="s">
        <x:v>63</x:v>
      </x:c>
      <x:c r="F139" s="9">
        <x:v>6429</x:v>
      </x:c>
      <x:c r="H139" s="9">
        <x:f>SUM(F140)</x:f>
        <x:v>7574</x:v>
      </x:c>
      <x:c r="J139" s="9">
        <x:f>SUM(H140)</x:f>
        <x:v>8209</x:v>
      </x:c>
      <x:c r="L139" s="9">
        <x:f>SUM(J140)</x:f>
        <x:v>9114</x:v>
      </x:c>
      <x:c r="N139" s="9">
        <x:f>SUM(L140)</x:f>
        <x:v>9878</x:v>
      </x:c>
    </x:row>
    <x:row r="140" spans="1:14" x14ac:dyDescent="0.2">
      <x:c r="B140" s="3" t="s">
        <x:v>64</x:v>
      </x:c>
      <x:c r="F140" s="16">
        <x:f>F22+F21</x:f>
        <x:v>7574</x:v>
      </x:c>
      <x:c r="H140" s="16">
        <x:f>H22+H21</x:f>
        <x:v>8209</x:v>
      </x:c>
      <x:c r="J140" s="16">
        <x:f>J22+J21</x:f>
        <x:v>9114</x:v>
      </x:c>
      <x:c r="L140" s="16">
        <x:f>L22+L21</x:f>
        <x:v>9878</x:v>
      </x:c>
      <x:c r="N140" s="16">
        <x:f>N22+N21</x:f>
        <x:v>11304</x:v>
      </x:c>
    </x:row>
    <x:row r="141" spans="1:14" x14ac:dyDescent="0.2">
      <x:c r="B141" s="3" t="s">
        <x:v>65</x:v>
      </x:c>
      <x:c r="F141" s="14">
        <x:f>AVERAGE(F139:F140)</x:f>
        <x:v>7001.5</x:v>
      </x:c>
      <x:c r="H141" s="14">
        <x:f>AVERAGE(H139:H140)</x:f>
        <x:v>7891.5</x:v>
      </x:c>
      <x:c r="J141" s="14">
        <x:f>AVERAGE(J139:J140)</x:f>
        <x:v>8661.5</x:v>
      </x:c>
      <x:c r="L141" s="14">
        <x:f>AVERAGE(L139:L140)</x:f>
        <x:v>9496</x:v>
      </x:c>
      <x:c r="N141" s="14">
        <x:f>AVERAGE(N139:N140)</x:f>
        <x:v>10591</x:v>
      </x:c>
    </x:row>
    <x:row r="144" spans="1:14" s="8" customFormat="1" ht="15.75" x14ac:dyDescent="0.25">
      <x:c r="A144" s="8" t="s">
        <x:v>66</x:v>
      </x:c>
      <x:c r="F144" s="8">
        <x:f>F150/F152</x:f>
        <x:v>6.7321178120617109E-2</x:v>
      </x:c>
      <x:c r="H144" s="8">
        <x:f>H150/H152</x:f>
        <x:v>5.1948051948051951E-2</x:v>
      </x:c>
      <x:c r="J144" s="8">
        <x:f>J150/J152</x:f>
        <x:v>5.9668508287292817E-2</x:v>
      </x:c>
      <x:c r="L144" s="8">
        <x:f>L150/L152</x:f>
        <x:v>9.1435185185185189E-2</x:v>
      </x:c>
      <x:c r="N144" s="8">
        <x:f>N150/N152</x:f>
        <x:v>0.10743801652892562</x:v>
      </x:c>
    </x:row>
    <x:row r="145" spans="1:14" s="21" customFormat="1" ht="12.75" x14ac:dyDescent="0.2">
      <x:c r="F145" s="22"/>
      <x:c r="H145" s="22"/>
      <x:c r="J145" s="22"/>
      <x:c r="L145" s="22"/>
      <x:c r="N145" s="22"/>
    </x:row>
    <x:row r="146" spans="1:14" x14ac:dyDescent="0.2">
      <x:c r="A146" s="3" t="s">
        <x:v>2</x:v>
      </x:c>
      <x:c r="B146" s="3" t="s">
        <x:v>67</x:v>
      </x:c>
      <x:c r="F146" s="23"/>
      <x:c r="H146" s="23"/>
      <x:c r="J146" s="23"/>
      <x:c r="L146" s="23"/>
      <x:c r="N146" s="23"/>
    </x:row>
    <x:row r="147" spans="1:14" x14ac:dyDescent="0.2">
      <x:c r="B147" s="15" t="s">
        <x:v>68</x:v>
      </x:c>
      <x:c r="C147" s="15"/>
      <x:c r="D147" s="15"/>
      <x:c r="E147" s="15"/>
      <x:c r="F147" s="9">
        <x:f>-F40</x:f>
        <x:v>29</x:v>
      </x:c>
      <x:c r="H147" s="9">
        <x:f>-H40</x:f>
        <x:v>27</x:v>
      </x:c>
      <x:c r="J147" s="9">
        <x:f>-J40</x:f>
        <x:v>36</x:v>
      </x:c>
      <x:c r="L147" s="9">
        <x:f>-L40</x:f>
        <x:v>50</x:v>
      </x:c>
      <x:c r="N147" s="9">
        <x:f>-N40</x:f>
        <x:v>60</x:v>
      </x:c>
    </x:row>
    <x:row r="148" spans="1:14" x14ac:dyDescent="0.2">
      <x:c r="B148" s="15" t="s">
        <x:v>69</x:v>
      </x:c>
      <x:c r="C148" s="15"/>
      <x:c r="D148" s="15"/>
      <x:c r="E148" s="15"/>
      <x:c r="F148" s="9">
        <x:f>-F41</x:f>
        <x:v>19</x:v>
      </x:c>
      <x:c r="H148" s="9">
        <x:f>-H41</x:f>
        <x:v>13</x:v>
      </x:c>
      <x:c r="J148" s="9">
        <x:f>-J41</x:f>
        <x:v>18</x:v>
      </x:c>
      <x:c r="L148" s="9">
        <x:f>-L41</x:f>
        <x:v>29</x:v>
      </x:c>
      <x:c r="N148" s="9">
        <x:f>-N41</x:f>
        <x:v>44</x:v>
      </x:c>
    </x:row>
    <x:row r="149" spans="1:14" x14ac:dyDescent="0.2">
      <x:c r="B149" s="12" t="s">
        <x:v>70</x:v>
      </x:c>
      <x:c r="C149" s="12"/>
      <x:c r="D149" s="12"/>
      <x:c r="E149" s="12"/>
      <x:c r="F149" s="24"/>
      <x:c r="H149" s="24"/>
      <x:c r="J149" s="24"/>
      <x:c r="L149" s="24"/>
      <x:c r="N149" s="24"/>
    </x:row>
    <x:row r="150" spans="1:14" x14ac:dyDescent="0.2">
      <x:c r="B150" s="15"/>
      <x:c r="C150" s="15"/>
      <x:c r="D150" s="15"/>
      <x:c r="E150" s="15"/>
      <x:c r="F150" s="14">
        <x:f>SUM(F147:F149)</x:f>
        <x:v>48</x:v>
      </x:c>
      <x:c r="H150" s="14">
        <x:f>SUM(H147:H149)</x:f>
        <x:v>40</x:v>
      </x:c>
      <x:c r="J150" s="14">
        <x:f>SUM(J147:J149)</x:f>
        <x:v>54</x:v>
      </x:c>
      <x:c r="L150" s="14">
        <x:f>SUM(L147:L149)</x:f>
        <x:v>79</x:v>
      </x:c>
      <x:c r="N150" s="14">
        <x:f>SUM(N147:N149)</x:f>
        <x:v>104</x:v>
      </x:c>
    </x:row>
    <x:row r="151" spans="1:14" x14ac:dyDescent="0.2">
      <x:c r="F151" s="23"/>
      <x:c r="H151" s="23"/>
      <x:c r="J151" s="23"/>
      <x:c r="L151" s="23"/>
      <x:c r="N151" s="23"/>
    </x:row>
    <x:row r="152" spans="1:14" x14ac:dyDescent="0.2">
      <x:c r="A152" s="3" t="s">
        <x:v>9</x:v>
      </x:c>
      <x:c r="B152" s="10" t="s">
        <x:v>62</x:v>
      </x:c>
      <x:c r="C152" s="10"/>
      <x:c r="D152" s="10"/>
      <x:c r="E152" s="10"/>
      <x:c r="F152" s="9">
        <x:f>F137</x:f>
        <x:v>713</x:v>
      </x:c>
      <x:c r="H152" s="9">
        <x:f>H137</x:f>
        <x:v>770</x:v>
      </x:c>
      <x:c r="J152" s="9">
        <x:f>J137</x:f>
        <x:v>905</x:v>
      </x:c>
      <x:c r="L152" s="9">
        <x:f>L137</x:f>
        <x:v>864</x:v>
      </x:c>
      <x:c r="N152" s="9">
        <x:f>N137</x:f>
        <x:v>968</x:v>
      </x:c>
    </x:row>
  </x:sheetData>
  <x:mergeCells count="4">
    <x:mergeCell ref="A1:N1"/>
    <x:mergeCell ref="A2:N2"/>
    <x:mergeCell ref="A3:N3"/>
    <x:mergeCell ref="A4:N4"/>
  </x:mergeCells>
  <x:printOptions horizontalCentered="1"/>
  <x:pageMargins left="0.5" right="0.5" top="0.75" bottom="0.75" header="0.5" footer="0.5"/>
  <x:pageSetup scale="55" fitToHeight="3" orientation="landscape" r:id="rId1"/>
  <x:headerFooter alignWithMargins="0">
    <x:oddHeader>&amp;RWP/Schedule II-C-2.8   
Page &amp;P of &amp;N</x:oddHeader>
  </x:headerFooter>
  <x:rowBreaks count="2" manualBreakCount="2">
    <x:brk id="61" max="17" man="1"/>
    <x:brk id="105" max="17" man="1"/>
  </x:rowBreaks>
  <x:legacy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2025-05-29T15:11:02.0000000Z</dcterms:modified>
</coreProperties>
</file>