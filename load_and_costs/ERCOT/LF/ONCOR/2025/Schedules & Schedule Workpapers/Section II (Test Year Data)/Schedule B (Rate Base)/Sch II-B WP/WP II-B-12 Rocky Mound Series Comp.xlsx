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61A49E46-5577-4339-91ED-367D91B1F631}" xr6:coauthVersionLast="47" xr6:coauthVersionMax="47" xr10:uidLastSave="{00000000-0000-0000-0000-000000000000}"/>
  <x:bookViews>
    <x:workbookView xWindow="-110" yWindow="-110" windowWidth="19420" windowHeight="10300" xr2:uid="{00000000-000D-0000-FFFF-FFFF00000000}"/>
  </x:bookViews>
  <x:sheets>
    <x:sheet name="Rocky Mound" sheetId="1" r:id="rId1"/>
  </x:sheets>
  <x:calcPr calcId="191029" iterate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J10" i="1" l="1"/>
  <x:c r="J24" i="1" l="1"/>
  <x:c r="J25" i="1"/>
  <x:c r="J26" i="1"/>
  <x:c r="J27" i="1"/>
  <x:c r="J28" i="1"/>
  <x:c r="J29" i="1"/>
  <x:c r="J30" i="1"/>
  <x:c r="J31" i="1"/>
  <x:c r="J32" i="1"/>
  <x:c r="J33" i="1"/>
  <x:c r="J34" i="1"/>
  <x:c r="J23" i="1"/>
  <x:c r="J35" i="1" l="1"/>
  <x:c r="G74" i="1"/>
  <x:c r="H14" i="1"/>
  <x:c r="H15" i="1" l="1"/>
  <x:c r="H16" i="1" s="1"/>
  <x:c r="H17" i="1" s="1"/>
  <x:c r="H18" i="1" s="1"/>
  <x:c r="H19" i="1" s="1"/>
  <x:c r="H20" i="1" s="1"/>
  <x:c r="H21" i="1" s="1"/>
  <x:c r="H22" i="1" s="1"/>
  <x:c r="H23" i="1" s="1"/>
  <x:c r="H24" i="1" s="1"/>
  <x:c r="H25" i="1" s="1"/>
  <x:c r="H26" i="1" s="1"/>
  <x:c r="H27" i="1" s="1"/>
  <x:c r="H28" i="1" s="1"/>
  <x:c r="H29" i="1" s="1"/>
  <x:c r="H30" i="1" s="1"/>
  <x:c r="H31" i="1" s="1"/>
  <x:c r="H32" i="1" s="1"/>
  <x:c r="H33" i="1" s="1"/>
  <x:c r="H34" i="1" s="1"/>
  <x:c r="H35" i="1" s="1"/>
  <x:c r="H36" i="1" s="1"/>
  <x:c r="H37" i="1" s="1"/>
  <x:c r="H38" i="1" s="1"/>
  <x:c r="H39" i="1" s="1"/>
  <x:c r="H40" i="1" s="1"/>
  <x:c r="H41" i="1" s="1"/>
  <x:c r="H42" i="1" s="1"/>
  <x:c r="H43" i="1" s="1"/>
  <x:c r="H44" i="1" s="1"/>
  <x:c r="H45" i="1" s="1"/>
  <x:c r="H46" i="1" s="1"/>
  <x:c r="H47" i="1" s="1"/>
  <x:c r="H48" i="1" s="1"/>
  <x:c r="H49" i="1" s="1"/>
  <x:c r="H50" i="1" s="1"/>
  <x:c r="H51" i="1" s="1"/>
  <x:c r="H52" i="1" s="1"/>
  <x:c r="H53" i="1" s="1"/>
  <x:c r="H54" i="1" s="1"/>
  <x:c r="H55" i="1" s="1"/>
  <x:c r="H56" i="1" s="1"/>
  <x:c r="H57" i="1" s="1"/>
  <x:c r="H58" i="1" s="1"/>
  <x:c r="H59" i="1" s="1"/>
  <x:c r="H60" i="1" s="1"/>
  <x:c r="H61" i="1" s="1"/>
  <x:c r="H62" i="1" s="1"/>
  <x:c r="H63" i="1" s="1"/>
  <x:c r="H64" i="1" s="1"/>
  <x:c r="H65" i="1" s="1"/>
  <x:c r="H66" i="1" s="1"/>
  <x:c r="H67" i="1" s="1"/>
  <x:c r="H68" i="1" s="1"/>
  <x:c r="H69" i="1" s="1"/>
  <x:c r="H70" i="1" s="1"/>
  <x:c r="H71" i="1" s="1"/>
  <x:c r="H72" i="1" s="1"/>
  <x:c r="H73" i="1" s="1"/>
  <x:c r="H74" i="1" s="1"/>
  <x:c r="H9" i="1"/>
</x:calcChain>
</file>

<file path=xl/sharedStrings.xml><?xml version="1.0" encoding="utf-8"?>
<sst xmlns="http://schemas.openxmlformats.org/spreadsheetml/2006/main" count="152" uniqueCount="53">
  <si>
    <t>Unit</t>
  </si>
  <si>
    <t>Journal ID</t>
  </si>
  <si>
    <t>Long Descr</t>
  </si>
  <si>
    <t>Year</t>
  </si>
  <si>
    <t>Period</t>
  </si>
  <si>
    <t>Account</t>
  </si>
  <si>
    <t>Amount</t>
  </si>
  <si>
    <t>TRN</t>
  </si>
  <si>
    <t>1822050</t>
  </si>
  <si>
    <t>FAM0989376</t>
  </si>
  <si>
    <t>Fixed Asset Mgmt Transactions</t>
  </si>
  <si>
    <t>FAM0993235</t>
  </si>
  <si>
    <t>FAM0995671</t>
  </si>
  <si>
    <t>FAM0994344</t>
  </si>
  <si>
    <t>0000985511</t>
  </si>
  <si>
    <t>To reclass the 2023 Reg Asset amortization in APPROVED status</t>
  </si>
  <si>
    <t>0000986996</t>
  </si>
  <si>
    <t>Book Adj to Dep/Amort for Docket No. 53601, GP Reserve Imbalance &amp; Rocky Mound</t>
  </si>
  <si>
    <t>FAM0988099</t>
  </si>
  <si>
    <t>FAM0990683</t>
  </si>
  <si>
    <t>FAM0991822</t>
  </si>
  <si>
    <t>FAM0999360</t>
  </si>
  <si>
    <t>FAM1000650</t>
  </si>
  <si>
    <t>FAM1008411</t>
  </si>
  <si>
    <t>FAM0997087</t>
  </si>
  <si>
    <t>FAM0998225</t>
  </si>
  <si>
    <t>FAM1009560</t>
  </si>
  <si>
    <t>FAM1010741</t>
  </si>
  <si>
    <t>FAM1001817</t>
  </si>
  <si>
    <t>FAM1004687</t>
  </si>
  <si>
    <t>FAM1005958</t>
  </si>
  <si>
    <t>FAM1003394</t>
  </si>
  <si>
    <t>FAM1007087</t>
  </si>
  <si>
    <t>Balance</t>
  </si>
  <si>
    <t>Oncor Electric Delivery Company LLC</t>
  </si>
  <si>
    <t>Page 1 of 1</t>
  </si>
  <si>
    <t>Rocky Mound Reactive Compensation Facilities Project Termination</t>
  </si>
  <si>
    <t>For Test Year Ending December 31, 2024</t>
  </si>
  <si>
    <t>2025 Rate Case</t>
  </si>
  <si>
    <t>Regulatory Asset Account 1822050 - Rocky Mound Series Compensator Approved in Docket No. 53601 with Five-Year Amortization</t>
  </si>
  <si>
    <t>Test Year</t>
  </si>
  <si>
    <t>Amortization</t>
  </si>
  <si>
    <t>Account 407</t>
  </si>
  <si>
    <t>Docket No. 53601 Five-Year Amortization - May 2023 through April 2028</t>
  </si>
  <si>
    <t>Unamortized approved balance @ 12-31-2024</t>
  </si>
  <si>
    <t>TRAN</t>
  </si>
  <si>
    <t>Docket No. 53601 (2022 Rate Case) Approved Balance @ 12-31-2021 and Approved Five-Year Recovery/Amortization</t>
  </si>
  <si>
    <t>Docket No. 53601 approved annual amortization period of five years</t>
  </si>
  <si>
    <t>Also, reference Docket Nos. 33672, 37902, and 38517 for docket history supporting Docket No. 53601 approval of balance and related five-year recovery/amortization.</t>
  </si>
  <si>
    <t>Docket 53601 rates &amp; amortization beginning effective 5-1-2023</t>
  </si>
  <si>
    <t>WP/Sch II-B-12 Rocky Mound Series Comp</t>
  </si>
  <si>
    <t>Reference Docket No. 53601 Order on Rehearing pages 37 (Findings of Fact 167, 167A, 173) &amp; 60 for Commission approval of the non-tax regulatory asset.  Rocky Mound Regulatory Asset was included as part of other non-tax regulatory assets.</t>
  </si>
  <si>
    <t>Sponsor:  W. Alan Ledbetter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</si>
</sst>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indexed="8"/>
      <name val="Calibri"/>
      <family val="2"/>
      <scheme val="minor"/>
    </font>
    <font>
      <b/>
      <sz val="10"/>
      <color indexed="0"/>
      <name val="Arial"/>
      <family val="2"/>
    </font>
    <font>
      <sz val="11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39" fontId="1" fillId="2" borderId="1" xfId="0" applyNumberFormat="1" applyFont="1" applyFill="1" applyBorder="1" applyAlignment="1">
      <alignment horizontal="center"/>
    </xf>
    <xf numFmtId="0" fontId="3" fillId="0" borderId="0" xfId="0" applyFont="1"/>
    <xf numFmtId="39" fontId="4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right"/>
    </xf>
    <xf numFmtId="1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39" fontId="5" fillId="0" borderId="0" xfId="0" applyNumberFormat="1" applyFont="1"/>
    <xf numFmtId="1" fontId="5" fillId="0" borderId="0" xfId="0" applyNumberFormat="1" applyFont="1"/>
    <xf numFmtId="0" fontId="5" fillId="0" borderId="0" xfId="0" applyFont="1"/>
    <xf numFmtId="39" fontId="4" fillId="0" borderId="2" xfId="0" applyNumberFormat="1" applyFont="1" applyBorder="1"/>
    <xf numFmtId="44" fontId="5" fillId="0" borderId="0" xfId="1" applyFont="1"/>
    <xf numFmtId="39" fontId="5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J78"/>
  <x:sheetViews>
    <x:sheetView tabSelected="1" zoomScaleNormal="100" workbookViewId="0">
      <x:pane ySplit="13" topLeftCell="A62" activePane="bottomLeft" state="frozen"/>
      <x:selection pane="bottomLeft" activeCell="A7" sqref="A7"/>
    </x:sheetView>
  </x:sheetViews>
  <x:sheetFormatPr defaultColWidth="10" defaultRowHeight="13" x14ac:dyDescent="0.3"/>
  <x:cols>
    <x:col min="1" max="1" width="6" style="5" customWidth="1"/>
    <x:col min="2" max="2" width="11" style="5" customWidth="1"/>
    <x:col min="3" max="3" width="71.36328125" style="5" bestFit="1" customWidth="1"/>
    <x:col min="4" max="4" width="7.36328125" style="7" bestFit="1" customWidth="1"/>
    <x:col min="5" max="5" width="6.7265625" style="7" bestFit="1" customWidth="1"/>
    <x:col min="6" max="6" width="8" style="5" bestFit="1" customWidth="1"/>
    <x:col min="7" max="7" width="12.6328125" style="4" bestFit="1" customWidth="1"/>
    <x:col min="8" max="8" width="17.36328125" style="4" bestFit="1" customWidth="1"/>
    <x:col min="9" max="9" width="15.453125" style="5" customWidth="1"/>
    <x:col min="10" max="10" width="12.08984375" style="5" customWidth="1"/>
    <x:col min="11" max="16384" width="10" style="5"/>
  </x:cols>
  <x:sheetData>
    <x:row r="1" spans="1:10" x14ac:dyDescent="0.3">
      <x:c r="A1" s="3" t="s">
        <x:v>38</x:v>
      </x:c>
      <x:c r="B1" s="3"/>
      <x:c r="C1" s="3"/>
      <x:c r="D1" s="3"/>
      <x:c r="E1" s="3"/>
      <x:c r="F1" s="3"/>
      <x:c r="J1" s="6" t="s">
        <x:v>50</x:v>
      </x:c>
    </x:row>
    <x:row r="2" spans="1:10" x14ac:dyDescent="0.3">
      <x:c r="A2" s="3" t="s">
        <x:v>34</x:v>
      </x:c>
      <x:c r="B2" s="3"/>
      <x:c r="C2" s="3"/>
      <x:c r="D2" s="3"/>
      <x:c r="E2" s="3"/>
      <x:c r="F2" s="3"/>
      <x:c r="J2" s="6" t="s">
        <x:v>35</x:v>
      </x:c>
    </x:row>
    <x:row r="3" spans="1:10" x14ac:dyDescent="0.3">
      <x:c r="A3" s="3" t="s">
        <x:v>39</x:v>
      </x:c>
      <x:c r="B3" s="3"/>
      <x:c r="C3" s="3"/>
      <x:c r="D3" s="3"/>
      <x:c r="E3" s="3"/>
      <x:c r="F3" s="3"/>
      <x:c r="G3" s="3"/>
    </x:row>
    <x:row r="4" spans="1:10" x14ac:dyDescent="0.3">
      <x:c r="A4" s="3" t="s">
        <x:v>36</x:v>
      </x:c>
      <x:c r="B4" s="3"/>
      <x:c r="C4" s="3"/>
      <x:c r="D4" s="3"/>
      <x:c r="E4" s="3"/>
      <x:c r="F4" s="3"/>
      <x:c r="G4" s="3"/>
    </x:row>
    <x:row r="5" spans="1:10" x14ac:dyDescent="0.3">
      <x:c r="A5" s="3" t="s">
        <x:v>37</x:v>
      </x:c>
      <x:c r="B5" s="3"/>
      <x:c r="C5" s="3"/>
      <x:c r="D5" s="3"/>
      <x:c r="E5" s="3"/>
      <x:c r="F5" s="3"/>
      <x:c r="G5" s="3"/>
    </x:row>
    <x:row r="6" spans="1:10" x14ac:dyDescent="0.3">
      <x:c r="A6" s="3" t="s">
        <x:v>52</x:v>
      </x:c>
      <x:c r="B6" s="3"/>
      <x:c r="C6" s="3"/>
      <x:c r="D6" s="3"/>
      <x:c r="E6" s="3"/>
      <x:c r="F6" s="3"/>
      <x:c r="G6" s="3"/>
    </x:row>
    <x:row r="8" spans="1:10" x14ac:dyDescent="0.3">
      <x:c r="H8" s="15" t="s">
        <x:v>45</x:v>
      </x:c>
      <x:c r="J8" s="15" t="s">
        <x:v>45</x:v>
      </x:c>
    </x:row>
    <x:row r="9" spans="1:10" x14ac:dyDescent="0.3">
      <x:c r="A9" s="3" t="s">
        <x:v>46</x:v>
      </x:c>
      <x:c r="H9" s="14">
        <x:f>H14</x:f>
        <x:v>1518897.72</x:v>
      </x:c>
    </x:row>
    <x:row r="10" spans="1:10" x14ac:dyDescent="0.3">
      <x:c r="A10" s="3" t="s">
        <x:v>47</x:v>
      </x:c>
      <x:c r="J10" s="14">
        <x:f>-SUM(G15:G26)</x:f>
        <x:v>303779.51999999996</x:v>
      </x:c>
    </x:row>
    <x:row r="12" spans="1:10" ht="13.5" thickBot="1" x14ac:dyDescent="0.35"/>
    <x:row r="13" spans="1:10" ht="14" thickTop="1" thickBot="1" x14ac:dyDescent="0.35">
      <x:c r="A13" s="1" t="s">
        <x:v>0</x:v>
      </x:c>
      <x:c r="B13" s="1" t="s">
        <x:v>1</x:v>
      </x:c>
      <x:c r="C13" s="1" t="s">
        <x:v>2</x:v>
      </x:c>
      <x:c r="D13" s="1" t="s">
        <x:v>3</x:v>
      </x:c>
      <x:c r="E13" s="1" t="s">
        <x:v>4</x:v>
      </x:c>
      <x:c r="F13" s="1" t="s">
        <x:v>5</x:v>
      </x:c>
      <x:c r="G13" s="2" t="s">
        <x:v>6</x:v>
      </x:c>
      <x:c r="H13" s="2" t="s">
        <x:v>33</x:v>
      </x:c>
    </x:row>
    <x:row r="14" spans="1:10" ht="13.5" thickTop="1" x14ac:dyDescent="0.3">
      <x:c r="A14" s="5" t="s">
        <x:v>7</x:v>
      </x:c>
      <x:c r="B14" s="5" t="s">
        <x:v>14</x:v>
      </x:c>
      <x:c r="C14" s="5" t="s">
        <x:v>15</x:v>
      </x:c>
      <x:c r="D14" s="7">
        <x:v>2023</x:v>
      </x:c>
      <x:c r="E14" s="7">
        <x:v>4</x:v>
      </x:c>
      <x:c r="F14" s="5" t="s">
        <x:v>8</x:v>
      </x:c>
      <x:c r="G14" s="4">
        <x:v>1518897.72</x:v>
      </x:c>
      <x:c r="H14" s="4">
        <x:f>G14</x:f>
        <x:v>1518897.72</x:v>
      </x:c>
      <x:c r="I14" s="18" t="s">
        <x:v>49</x:v>
      </x:c>
      <x:c r="J14" s="19"/>
    </x:row>
    <x:row r="15" spans="1:10" x14ac:dyDescent="0.3">
      <x:c r="A15" s="5" t="s">
        <x:v>7</x:v>
      </x:c>
      <x:c r="B15" s="5" t="s">
        <x:v>16</x:v>
      </x:c>
      <x:c r="C15" s="5" t="s">
        <x:v>17</x:v>
      </x:c>
      <x:c r="D15" s="7">
        <x:v>2023</x:v>
      </x:c>
      <x:c r="E15" s="7">
        <x:v>5</x:v>
      </x:c>
      <x:c r="F15" s="5" t="s">
        <x:v>8</x:v>
      </x:c>
      <x:c r="G15" s="4">
        <x:v>-25314.959999999999</x:v>
      </x:c>
      <x:c r="H15" s="4">
        <x:f>H14+G15</x:f>
        <x:v>1493582.76</x:v>
      </x:c>
      <x:c r="I15" s="19"/>
      <x:c r="J15" s="19"/>
    </x:row>
    <x:row r="16" spans="1:10" x14ac:dyDescent="0.3">
      <x:c r="A16" s="5" t="s">
        <x:v>7</x:v>
      </x:c>
      <x:c r="B16" s="5" t="s">
        <x:v>18</x:v>
      </x:c>
      <x:c r="C16" s="5" t="s">
        <x:v>10</x:v>
      </x:c>
      <x:c r="D16" s="7">
        <x:v>2023</x:v>
      </x:c>
      <x:c r="E16" s="7">
        <x:v>6</x:v>
      </x:c>
      <x:c r="F16" s="5" t="s">
        <x:v>8</x:v>
      </x:c>
      <x:c r="G16" s="4">
        <x:v>-25314.959999999999</x:v>
      </x:c>
      <x:c r="H16" s="4">
        <x:f t="shared" ref="H16:H36" si="0">H15+G16</x:f>
        <x:v>1468267.8</x:v>
      </x:c>
    </x:row>
    <x:row r="17" spans="1:10" x14ac:dyDescent="0.3">
      <x:c r="A17" s="5" t="s">
        <x:v>7</x:v>
      </x:c>
      <x:c r="B17" s="5" t="s">
        <x:v>9</x:v>
      </x:c>
      <x:c r="C17" s="5" t="s">
        <x:v>10</x:v>
      </x:c>
      <x:c r="D17" s="7">
        <x:v>2023</x:v>
      </x:c>
      <x:c r="E17" s="7">
        <x:v>7</x:v>
      </x:c>
      <x:c r="F17" s="5" t="s">
        <x:v>8</x:v>
      </x:c>
      <x:c r="G17" s="4">
        <x:v>-25314.959999999999</x:v>
      </x:c>
      <x:c r="H17" s="4">
        <x:f t="shared" si="0"/>
        <x:v>1442952.84</x:v>
      </x:c>
    </x:row>
    <x:row r="18" spans="1:10" x14ac:dyDescent="0.3">
      <x:c r="A18" s="5" t="s">
        <x:v>7</x:v>
      </x:c>
      <x:c r="B18" s="5" t="s">
        <x:v>19</x:v>
      </x:c>
      <x:c r="C18" s="5" t="s">
        <x:v>10</x:v>
      </x:c>
      <x:c r="D18" s="7">
        <x:v>2023</x:v>
      </x:c>
      <x:c r="E18" s="7">
        <x:v>8</x:v>
      </x:c>
      <x:c r="F18" s="5" t="s">
        <x:v>8</x:v>
      </x:c>
      <x:c r="G18" s="4">
        <x:v>-25314.959999999999</x:v>
      </x:c>
      <x:c r="H18" s="4">
        <x:f t="shared" si="0"/>
        <x:v>1417637.8800000001</x:v>
      </x:c>
    </x:row>
    <x:row r="19" spans="1:10" x14ac:dyDescent="0.3">
      <x:c r="A19" s="5" t="s">
        <x:v>7</x:v>
      </x:c>
      <x:c r="B19" s="5" t="s">
        <x:v>20</x:v>
      </x:c>
      <x:c r="C19" s="5" t="s">
        <x:v>10</x:v>
      </x:c>
      <x:c r="D19" s="7">
        <x:v>2023</x:v>
      </x:c>
      <x:c r="E19" s="7">
        <x:v>9</x:v>
      </x:c>
      <x:c r="F19" s="5" t="s">
        <x:v>8</x:v>
      </x:c>
      <x:c r="G19" s="4">
        <x:v>-25314.959999999999</x:v>
      </x:c>
      <x:c r="H19" s="4">
        <x:f t="shared" si="0"/>
        <x:v>1392322.9200000002</x:v>
      </x:c>
      <x:c r="J19" s="8" t="s">
        <x:v>42</x:v>
      </x:c>
    </x:row>
    <x:row r="20" spans="1:10" x14ac:dyDescent="0.3">
      <x:c r="A20" s="5" t="s">
        <x:v>7</x:v>
      </x:c>
      <x:c r="B20" s="5" t="s">
        <x:v>11</x:v>
      </x:c>
      <x:c r="C20" s="5" t="s">
        <x:v>10</x:v>
      </x:c>
      <x:c r="D20" s="7">
        <x:v>2023</x:v>
      </x:c>
      <x:c r="E20" s="7">
        <x:v>10</x:v>
      </x:c>
      <x:c r="F20" s="5" t="s">
        <x:v>8</x:v>
      </x:c>
      <x:c r="G20" s="4">
        <x:v>-25314.959999999999</x:v>
      </x:c>
      <x:c r="H20" s="4">
        <x:f t="shared" si="0"/>
        <x:v>1367007.9600000002</x:v>
      </x:c>
      <x:c r="J20" s="8">
        <x:v>2024</x:v>
      </x:c>
    </x:row>
    <x:row r="21" spans="1:10" x14ac:dyDescent="0.3">
      <x:c r="A21" s="5" t="s">
        <x:v>7</x:v>
      </x:c>
      <x:c r="B21" s="5" t="s">
        <x:v>13</x:v>
      </x:c>
      <x:c r="C21" s="5" t="s">
        <x:v>10</x:v>
      </x:c>
      <x:c r="D21" s="7">
        <x:v>2023</x:v>
      </x:c>
      <x:c r="E21" s="7">
        <x:v>11</x:v>
      </x:c>
      <x:c r="F21" s="5" t="s">
        <x:v>8</x:v>
      </x:c>
      <x:c r="G21" s="4">
        <x:v>-25314.959999999999</x:v>
      </x:c>
      <x:c r="H21" s="4">
        <x:f t="shared" si="0"/>
        <x:v>1341693.0000000002</x:v>
      </x:c>
      <x:c r="J21" s="8" t="s">
        <x:v>40</x:v>
      </x:c>
    </x:row>
    <x:row r="22" spans="1:10" x14ac:dyDescent="0.3">
      <x:c r="A22" s="5" t="s">
        <x:v>7</x:v>
      </x:c>
      <x:c r="B22" s="5" t="s">
        <x:v>12</x:v>
      </x:c>
      <x:c r="C22" s="5" t="s">
        <x:v>10</x:v>
      </x:c>
      <x:c r="D22" s="7">
        <x:v>2023</x:v>
      </x:c>
      <x:c r="E22" s="7">
        <x:v>12</x:v>
      </x:c>
      <x:c r="F22" s="5" t="s">
        <x:v>8</x:v>
      </x:c>
      <x:c r="G22" s="4">
        <x:v>-25314.959999999999</x:v>
      </x:c>
      <x:c r="H22" s="4">
        <x:f t="shared" si="0"/>
        <x:v>1316378.0400000003</x:v>
      </x:c>
      <x:c r="J22" s="9" t="s">
        <x:v>41</x:v>
      </x:c>
    </x:row>
    <x:row r="23" spans="1:10" x14ac:dyDescent="0.3">
      <x:c r="A23" s="5" t="s">
        <x:v>7</x:v>
      </x:c>
      <x:c r="B23" s="5" t="s">
        <x:v>24</x:v>
      </x:c>
      <x:c r="C23" s="5" t="s">
        <x:v>10</x:v>
      </x:c>
      <x:c r="D23" s="7">
        <x:v>2024</x:v>
      </x:c>
      <x:c r="E23" s="7">
        <x:v>1</x:v>
      </x:c>
      <x:c r="F23" s="5" t="s">
        <x:v>8</x:v>
      </x:c>
      <x:c r="G23" s="4">
        <x:v>-25314.959999999999</x:v>
      </x:c>
      <x:c r="H23" s="4">
        <x:f t="shared" si="0"/>
        <x:v>1291063.0800000003</x:v>
      </x:c>
      <x:c r="J23" s="4">
        <x:f>-G23</x:f>
        <x:v>25314.959999999999</x:v>
      </x:c>
    </x:row>
    <x:row r="24" spans="1:10" x14ac:dyDescent="0.3">
      <x:c r="A24" s="5" t="s">
        <x:v>7</x:v>
      </x:c>
      <x:c r="B24" s="5" t="s">
        <x:v>25</x:v>
      </x:c>
      <x:c r="C24" s="5" t="s">
        <x:v>10</x:v>
      </x:c>
      <x:c r="D24" s="7">
        <x:v>2024</x:v>
      </x:c>
      <x:c r="E24" s="7">
        <x:v>2</x:v>
      </x:c>
      <x:c r="F24" s="5" t="s">
        <x:v>8</x:v>
      </x:c>
      <x:c r="G24" s="4">
        <x:v>-25314.959999999999</x:v>
      </x:c>
      <x:c r="H24" s="4">
        <x:f t="shared" si="0"/>
        <x:v>1265748.1200000003</x:v>
      </x:c>
      <x:c r="J24" s="4">
        <x:f t="shared" ref="J24:J34" si="1">-G24</x:f>
        <x:v>25314.959999999999</x:v>
      </x:c>
    </x:row>
    <x:row r="25" spans="1:10" x14ac:dyDescent="0.3">
      <x:c r="A25" s="5" t="s">
        <x:v>7</x:v>
      </x:c>
      <x:c r="B25" s="5" t="s">
        <x:v>21</x:v>
      </x:c>
      <x:c r="C25" s="5" t="s">
        <x:v>10</x:v>
      </x:c>
      <x:c r="D25" s="7">
        <x:v>2024</x:v>
      </x:c>
      <x:c r="E25" s="7">
        <x:v>3</x:v>
      </x:c>
      <x:c r="F25" s="5" t="s">
        <x:v>8</x:v>
      </x:c>
      <x:c r="G25" s="4">
        <x:v>-25314.959999999999</x:v>
      </x:c>
      <x:c r="H25" s="4">
        <x:f t="shared" si="0"/>
        <x:v>1240433.1600000004</x:v>
      </x:c>
      <x:c r="J25" s="4">
        <x:f t="shared" si="1"/>
        <x:v>25314.959999999999</x:v>
      </x:c>
    </x:row>
    <x:row r="26" spans="1:10" x14ac:dyDescent="0.3">
      <x:c r="A26" s="5" t="s">
        <x:v>7</x:v>
      </x:c>
      <x:c r="B26" s="5" t="s">
        <x:v>22</x:v>
      </x:c>
      <x:c r="C26" s="5" t="s">
        <x:v>10</x:v>
      </x:c>
      <x:c r="D26" s="7">
        <x:v>2024</x:v>
      </x:c>
      <x:c r="E26" s="7">
        <x:v>4</x:v>
      </x:c>
      <x:c r="F26" s="5" t="s">
        <x:v>8</x:v>
      </x:c>
      <x:c r="G26" s="4">
        <x:v>-25314.959999999999</x:v>
      </x:c>
      <x:c r="H26" s="4">
        <x:f t="shared" si="0"/>
        <x:v>1215118.2000000004</x:v>
      </x:c>
      <x:c r="J26" s="4">
        <x:f t="shared" si="1"/>
        <x:v>25314.959999999999</x:v>
      </x:c>
    </x:row>
    <x:row r="27" spans="1:10" x14ac:dyDescent="0.3">
      <x:c r="A27" s="5" t="s">
        <x:v>7</x:v>
      </x:c>
      <x:c r="B27" s="5" t="s">
        <x:v>28</x:v>
      </x:c>
      <x:c r="C27" s="5" t="s">
        <x:v>10</x:v>
      </x:c>
      <x:c r="D27" s="7">
        <x:v>2024</x:v>
      </x:c>
      <x:c r="E27" s="7">
        <x:v>5</x:v>
      </x:c>
      <x:c r="F27" s="5" t="s">
        <x:v>8</x:v>
      </x:c>
      <x:c r="G27" s="4">
        <x:v>-25314.959999999999</x:v>
      </x:c>
      <x:c r="H27" s="4">
        <x:f t="shared" si="0"/>
        <x:v>1189803.2400000005</x:v>
      </x:c>
      <x:c r="J27" s="4">
        <x:f t="shared" si="1"/>
        <x:v>25314.959999999999</x:v>
      </x:c>
    </x:row>
    <x:row r="28" spans="1:10" x14ac:dyDescent="0.3">
      <x:c r="A28" s="5" t="s">
        <x:v>7</x:v>
      </x:c>
      <x:c r="B28" s="5" t="s">
        <x:v>31</x:v>
      </x:c>
      <x:c r="C28" s="5" t="s">
        <x:v>10</x:v>
      </x:c>
      <x:c r="D28" s="7">
        <x:v>2024</x:v>
      </x:c>
      <x:c r="E28" s="7">
        <x:v>6</x:v>
      </x:c>
      <x:c r="F28" s="5" t="s">
        <x:v>8</x:v>
      </x:c>
      <x:c r="G28" s="4">
        <x:v>-25314.959999999999</x:v>
      </x:c>
      <x:c r="H28" s="4">
        <x:f t="shared" si="0"/>
        <x:v>1164488.2800000005</x:v>
      </x:c>
      <x:c r="J28" s="4">
        <x:f t="shared" si="1"/>
        <x:v>25314.959999999999</x:v>
      </x:c>
    </x:row>
    <x:row r="29" spans="1:10" x14ac:dyDescent="0.3">
      <x:c r="A29" s="5" t="s">
        <x:v>7</x:v>
      </x:c>
      <x:c r="B29" s="5" t="s">
        <x:v>29</x:v>
      </x:c>
      <x:c r="C29" s="5" t="s">
        <x:v>10</x:v>
      </x:c>
      <x:c r="D29" s="7">
        <x:v>2024</x:v>
      </x:c>
      <x:c r="E29" s="7">
        <x:v>7</x:v>
      </x:c>
      <x:c r="F29" s="5" t="s">
        <x:v>8</x:v>
      </x:c>
      <x:c r="G29" s="4">
        <x:v>-25314.959999999999</x:v>
      </x:c>
      <x:c r="H29" s="4">
        <x:f t="shared" si="0"/>
        <x:v>1139173.3200000005</x:v>
      </x:c>
      <x:c r="J29" s="4">
        <x:f t="shared" si="1"/>
        <x:v>25314.959999999999</x:v>
      </x:c>
    </x:row>
    <x:row r="30" spans="1:10" x14ac:dyDescent="0.3">
      <x:c r="A30" s="5" t="s">
        <x:v>7</x:v>
      </x:c>
      <x:c r="B30" s="5" t="s">
        <x:v>30</x:v>
      </x:c>
      <x:c r="C30" s="5" t="s">
        <x:v>10</x:v>
      </x:c>
      <x:c r="D30" s="7">
        <x:v>2024</x:v>
      </x:c>
      <x:c r="E30" s="7">
        <x:v>8</x:v>
      </x:c>
      <x:c r="F30" s="5" t="s">
        <x:v>8</x:v>
      </x:c>
      <x:c r="G30" s="4">
        <x:v>-25314.959999999999</x:v>
      </x:c>
      <x:c r="H30" s="4">
        <x:f t="shared" si="0"/>
        <x:v>1113858.3600000006</x:v>
      </x:c>
      <x:c r="J30" s="4">
        <x:f t="shared" si="1"/>
        <x:v>25314.959999999999</x:v>
      </x:c>
    </x:row>
    <x:row r="31" spans="1:10" x14ac:dyDescent="0.3">
      <x:c r="A31" s="5" t="s">
        <x:v>7</x:v>
      </x:c>
      <x:c r="B31" s="5" t="s">
        <x:v>32</x:v>
      </x:c>
      <x:c r="C31" s="5" t="s">
        <x:v>10</x:v>
      </x:c>
      <x:c r="D31" s="7">
        <x:v>2024</x:v>
      </x:c>
      <x:c r="E31" s="7">
        <x:v>9</x:v>
      </x:c>
      <x:c r="F31" s="5" t="s">
        <x:v>8</x:v>
      </x:c>
      <x:c r="G31" s="4">
        <x:v>-25314.959999999999</x:v>
      </x:c>
      <x:c r="H31" s="4">
        <x:f t="shared" si="0"/>
        <x:v>1088543.4000000006</x:v>
      </x:c>
      <x:c r="J31" s="4">
        <x:f t="shared" si="1"/>
        <x:v>25314.959999999999</x:v>
      </x:c>
    </x:row>
    <x:row r="32" spans="1:10" x14ac:dyDescent="0.3">
      <x:c r="A32" s="5" t="s">
        <x:v>7</x:v>
      </x:c>
      <x:c r="B32" s="5" t="s">
        <x:v>23</x:v>
      </x:c>
      <x:c r="C32" s="5" t="s">
        <x:v>10</x:v>
      </x:c>
      <x:c r="D32" s="7">
        <x:v>2024</x:v>
      </x:c>
      <x:c r="E32" s="7">
        <x:v>10</x:v>
      </x:c>
      <x:c r="F32" s="5" t="s">
        <x:v>8</x:v>
      </x:c>
      <x:c r="G32" s="4">
        <x:v>-25314.959999999999</x:v>
      </x:c>
      <x:c r="H32" s="4">
        <x:f t="shared" si="0"/>
        <x:v>1063228.4400000006</x:v>
      </x:c>
      <x:c r="I32" s="16" t="s">
        <x:v>44</x:v>
      </x:c>
      <x:c r="J32" s="4">
        <x:f t="shared" si="1"/>
        <x:v>25314.959999999999</x:v>
      </x:c>
    </x:row>
    <x:row r="33" spans="1:10" ht="13" customHeight="1" x14ac:dyDescent="0.3">
      <x:c r="A33" s="5" t="s">
        <x:v>7</x:v>
      </x:c>
      <x:c r="B33" s="5" t="s">
        <x:v>26</x:v>
      </x:c>
      <x:c r="C33" s="5" t="s">
        <x:v>10</x:v>
      </x:c>
      <x:c r="D33" s="7">
        <x:v>2024</x:v>
      </x:c>
      <x:c r="E33" s="7">
        <x:v>11</x:v>
      </x:c>
      <x:c r="F33" s="5" t="s">
        <x:v>8</x:v>
      </x:c>
      <x:c r="G33" s="4">
        <x:v>-25314.959999999999</x:v>
      </x:c>
      <x:c r="H33" s="4">
        <x:f t="shared" si="0"/>
        <x:v>1037913.4800000007</x:v>
      </x:c>
      <x:c r="I33" s="17"/>
      <x:c r="J33" s="4">
        <x:f t="shared" si="1"/>
        <x:v>25314.959999999999</x:v>
      </x:c>
    </x:row>
    <x:row r="34" spans="1:10" x14ac:dyDescent="0.3">
      <x:c r="A34" s="5" t="s">
        <x:v>7</x:v>
      </x:c>
      <x:c r="B34" s="5" t="s">
        <x:v>27</x:v>
      </x:c>
      <x:c r="C34" s="5" t="s">
        <x:v>10</x:v>
      </x:c>
      <x:c r="D34" s="11">
        <x:v>2024</x:v>
      </x:c>
      <x:c r="E34" s="11">
        <x:v>12</x:v>
      </x:c>
      <x:c r="F34" s="12" t="s">
        <x:v>8</x:v>
      </x:c>
      <x:c r="G34" s="4">
        <x:v>-25314.959999999999</x:v>
      </x:c>
      <x:c r="H34" s="10">
        <x:f t="shared" si="0"/>
        <x:v>1012598.5200000007</x:v>
      </x:c>
      <x:c r="I34" s="17"/>
      <x:c r="J34" s="13">
        <x:f t="shared" si="1"/>
        <x:v>25314.959999999999</x:v>
      </x:c>
    </x:row>
    <x:row r="35" spans="1:10" x14ac:dyDescent="0.3">
      <x:c r="D35" s="7">
        <x:v>2025</x:v>
      </x:c>
      <x:c r="E35" s="7">
        <x:v>1</x:v>
      </x:c>
      <x:c r="F35" s="5" t="s">
        <x:v>8</x:v>
      </x:c>
      <x:c r="G35" s="4">
        <x:v>-25314.959999999999</x:v>
      </x:c>
      <x:c r="H35" s="4">
        <x:f t="shared" si="0"/>
        <x:v>987283.56000000075</x:v>
      </x:c>
      <x:c r="J35" s="4">
        <x:f>SUM(J23:J34)</x:f>
        <x:v>303779.51999999996</x:v>
      </x:c>
    </x:row>
    <x:row r="36" spans="1:10" x14ac:dyDescent="0.3">
      <x:c r="D36" s="7">
        <x:v>2025</x:v>
      </x:c>
      <x:c r="E36" s="7">
        <x:v>2</x:v>
      </x:c>
      <x:c r="F36" s="5" t="s">
        <x:v>8</x:v>
      </x:c>
      <x:c r="G36" s="4">
        <x:v>-25314.959999999999</x:v>
      </x:c>
      <x:c r="H36" s="4">
        <x:f t="shared" si="0"/>
        <x:v>961968.60000000079</x:v>
      </x:c>
    </x:row>
    <x:row r="37" spans="1:10" x14ac:dyDescent="0.3">
      <x:c r="D37" s="7">
        <x:v>2025</x:v>
      </x:c>
      <x:c r="E37" s="7">
        <x:v>3</x:v>
      </x:c>
      <x:c r="F37" s="5" t="s">
        <x:v>8</x:v>
      </x:c>
      <x:c r="G37" s="4">
        <x:v>-25314.959999999999</x:v>
      </x:c>
      <x:c r="H37" s="4">
        <x:f t="shared" ref="H37:H74" si="2">H36+G37</x:f>
        <x:v>936653.64000000083</x:v>
      </x:c>
    </x:row>
    <x:row r="38" spans="1:10" x14ac:dyDescent="0.3">
      <x:c r="D38" s="7">
        <x:v>2025</x:v>
      </x:c>
      <x:c r="E38" s="7">
        <x:v>4</x:v>
      </x:c>
      <x:c r="F38" s="5" t="s">
        <x:v>8</x:v>
      </x:c>
      <x:c r="G38" s="4">
        <x:v>-25314.959999999999</x:v>
      </x:c>
      <x:c r="H38" s="4">
        <x:f t="shared" si="2"/>
        <x:v>911338.68000000087</x:v>
      </x:c>
    </x:row>
    <x:row r="39" spans="1:10" x14ac:dyDescent="0.3">
      <x:c r="D39" s="7">
        <x:v>2025</x:v>
      </x:c>
      <x:c r="E39" s="7">
        <x:v>5</x:v>
      </x:c>
      <x:c r="F39" s="5" t="s">
        <x:v>8</x:v>
      </x:c>
      <x:c r="G39" s="4">
        <x:v>-25314.959999999999</x:v>
      </x:c>
      <x:c r="H39" s="4">
        <x:f t="shared" si="2"/>
        <x:v>886023.7200000009</x:v>
      </x:c>
    </x:row>
    <x:row r="40" spans="1:10" x14ac:dyDescent="0.3">
      <x:c r="D40" s="7">
        <x:v>2025</x:v>
      </x:c>
      <x:c r="E40" s="7">
        <x:v>6</x:v>
      </x:c>
      <x:c r="F40" s="5" t="s">
        <x:v>8</x:v>
      </x:c>
      <x:c r="G40" s="4">
        <x:v>-25314.959999999999</x:v>
      </x:c>
      <x:c r="H40" s="4">
        <x:f t="shared" si="2"/>
        <x:v>860708.76000000094</x:v>
      </x:c>
    </x:row>
    <x:row r="41" spans="1:10" x14ac:dyDescent="0.3">
      <x:c r="D41" s="7">
        <x:v>2025</x:v>
      </x:c>
      <x:c r="E41" s="7">
        <x:v>7</x:v>
      </x:c>
      <x:c r="F41" s="5" t="s">
        <x:v>8</x:v>
      </x:c>
      <x:c r="G41" s="4">
        <x:v>-25314.959999999999</x:v>
      </x:c>
      <x:c r="H41" s="4">
        <x:f t="shared" si="2"/>
        <x:v>835393.80000000098</x:v>
      </x:c>
    </x:row>
    <x:row r="42" spans="1:10" x14ac:dyDescent="0.3">
      <x:c r="D42" s="7">
        <x:v>2025</x:v>
      </x:c>
      <x:c r="E42" s="7">
        <x:v>8</x:v>
      </x:c>
      <x:c r="F42" s="5" t="s">
        <x:v>8</x:v>
      </x:c>
      <x:c r="G42" s="4">
        <x:v>-25314.959999999999</x:v>
      </x:c>
      <x:c r="H42" s="4">
        <x:f t="shared" si="2"/>
        <x:v>810078.84000000102</x:v>
      </x:c>
    </x:row>
    <x:row r="43" spans="1:10" x14ac:dyDescent="0.3">
      <x:c r="D43" s="7">
        <x:v>2025</x:v>
      </x:c>
      <x:c r="E43" s="7">
        <x:v>9</x:v>
      </x:c>
      <x:c r="F43" s="5" t="s">
        <x:v>8</x:v>
      </x:c>
      <x:c r="G43" s="4">
        <x:v>-25314.959999999999</x:v>
      </x:c>
      <x:c r="H43" s="4">
        <x:f t="shared" si="2"/>
        <x:v>784763.88000000105</x:v>
      </x:c>
    </x:row>
    <x:row r="44" spans="1:10" x14ac:dyDescent="0.3">
      <x:c r="D44" s="7">
        <x:v>2025</x:v>
      </x:c>
      <x:c r="E44" s="7">
        <x:v>10</x:v>
      </x:c>
      <x:c r="F44" s="5" t="s">
        <x:v>8</x:v>
      </x:c>
      <x:c r="G44" s="4">
        <x:v>-25314.959999999999</x:v>
      </x:c>
      <x:c r="H44" s="4">
        <x:f t="shared" si="2"/>
        <x:v>759448.92000000109</x:v>
      </x:c>
    </x:row>
    <x:row r="45" spans="1:10" x14ac:dyDescent="0.3">
      <x:c r="D45" s="7">
        <x:v>2025</x:v>
      </x:c>
      <x:c r="E45" s="7">
        <x:v>11</x:v>
      </x:c>
      <x:c r="F45" s="5" t="s">
        <x:v>8</x:v>
      </x:c>
      <x:c r="G45" s="4">
        <x:v>-25314.959999999999</x:v>
      </x:c>
      <x:c r="H45" s="4">
        <x:f t="shared" si="2"/>
        <x:v>734133.96000000113</x:v>
      </x:c>
    </x:row>
    <x:row r="46" spans="1:10" x14ac:dyDescent="0.3">
      <x:c r="D46" s="7">
        <x:v>2025</x:v>
      </x:c>
      <x:c r="E46" s="7">
        <x:v>12</x:v>
      </x:c>
      <x:c r="F46" s="5" t="s">
        <x:v>8</x:v>
      </x:c>
      <x:c r="G46" s="4">
        <x:v>-25314.959999999999</x:v>
      </x:c>
      <x:c r="H46" s="4">
        <x:f t="shared" si="2"/>
        <x:v>708819.00000000116</x:v>
      </x:c>
    </x:row>
    <x:row r="47" spans="1:10" x14ac:dyDescent="0.3">
      <x:c r="D47" s="7">
        <x:v>2026</x:v>
      </x:c>
      <x:c r="E47" s="7">
        <x:v>1</x:v>
      </x:c>
      <x:c r="F47" s="5" t="s">
        <x:v>8</x:v>
      </x:c>
      <x:c r="G47" s="4">
        <x:v>-25314.959999999999</x:v>
      </x:c>
      <x:c r="H47" s="4">
        <x:f t="shared" si="2"/>
        <x:v>683504.0400000012</x:v>
      </x:c>
    </x:row>
    <x:row r="48" spans="1:10" x14ac:dyDescent="0.3">
      <x:c r="D48" s="7">
        <x:v>2026</x:v>
      </x:c>
      <x:c r="E48" s="7">
        <x:v>2</x:v>
      </x:c>
      <x:c r="F48" s="5" t="s">
        <x:v>8</x:v>
      </x:c>
      <x:c r="G48" s="4">
        <x:v>-25314.959999999999</x:v>
      </x:c>
      <x:c r="H48" s="4">
        <x:f t="shared" si="2"/>
        <x:v>658189.08000000124</x:v>
      </x:c>
    </x:row>
    <x:row r="49" spans="4:8" x14ac:dyDescent="0.3">
      <x:c r="D49" s="7">
        <x:v>2026</x:v>
      </x:c>
      <x:c r="E49" s="7">
        <x:v>3</x:v>
      </x:c>
      <x:c r="F49" s="5" t="s">
        <x:v>8</x:v>
      </x:c>
      <x:c r="G49" s="4">
        <x:v>-25314.959999999999</x:v>
      </x:c>
      <x:c r="H49" s="4">
        <x:f t="shared" si="2"/>
        <x:v>632874.12000000128</x:v>
      </x:c>
    </x:row>
    <x:row r="50" spans="4:8" x14ac:dyDescent="0.3">
      <x:c r="D50" s="7">
        <x:v>2026</x:v>
      </x:c>
      <x:c r="E50" s="7">
        <x:v>4</x:v>
      </x:c>
      <x:c r="F50" s="5" t="s">
        <x:v>8</x:v>
      </x:c>
      <x:c r="G50" s="4">
        <x:v>-25314.959999999999</x:v>
      </x:c>
      <x:c r="H50" s="4">
        <x:f t="shared" si="2"/>
        <x:v>607559.16000000131</x:v>
      </x:c>
    </x:row>
    <x:row r="51" spans="4:8" x14ac:dyDescent="0.3">
      <x:c r="D51" s="7">
        <x:v>2026</x:v>
      </x:c>
      <x:c r="E51" s="7">
        <x:v>5</x:v>
      </x:c>
      <x:c r="F51" s="5" t="s">
        <x:v>8</x:v>
      </x:c>
      <x:c r="G51" s="4">
        <x:v>-25314.959999999999</x:v>
      </x:c>
      <x:c r="H51" s="4">
        <x:f t="shared" si="2"/>
        <x:v>582244.20000000135</x:v>
      </x:c>
    </x:row>
    <x:row r="52" spans="4:8" x14ac:dyDescent="0.3">
      <x:c r="D52" s="7">
        <x:v>2026</x:v>
      </x:c>
      <x:c r="E52" s="7">
        <x:v>6</x:v>
      </x:c>
      <x:c r="F52" s="5" t="s">
        <x:v>8</x:v>
      </x:c>
      <x:c r="G52" s="4">
        <x:v>-25314.959999999999</x:v>
      </x:c>
      <x:c r="H52" s="4">
        <x:f t="shared" si="2"/>
        <x:v>556929.24000000139</x:v>
      </x:c>
    </x:row>
    <x:row r="53" spans="4:8" x14ac:dyDescent="0.3">
      <x:c r="D53" s="7">
        <x:v>2026</x:v>
      </x:c>
      <x:c r="E53" s="7">
        <x:v>7</x:v>
      </x:c>
      <x:c r="F53" s="5" t="s">
        <x:v>8</x:v>
      </x:c>
      <x:c r="G53" s="4">
        <x:v>-25314.959999999999</x:v>
      </x:c>
      <x:c r="H53" s="4">
        <x:f t="shared" si="2"/>
        <x:v>531614.28000000142</x:v>
      </x:c>
    </x:row>
    <x:row r="54" spans="4:8" x14ac:dyDescent="0.3">
      <x:c r="D54" s="7">
        <x:v>2026</x:v>
      </x:c>
      <x:c r="E54" s="7">
        <x:v>8</x:v>
      </x:c>
      <x:c r="F54" s="5" t="s">
        <x:v>8</x:v>
      </x:c>
      <x:c r="G54" s="4">
        <x:v>-25314.959999999999</x:v>
      </x:c>
      <x:c r="H54" s="4">
        <x:f t="shared" si="2"/>
        <x:v>506299.3200000014</x:v>
      </x:c>
    </x:row>
    <x:row r="55" spans="4:8" x14ac:dyDescent="0.3">
      <x:c r="D55" s="7">
        <x:v>2026</x:v>
      </x:c>
      <x:c r="E55" s="7">
        <x:v>9</x:v>
      </x:c>
      <x:c r="F55" s="5" t="s">
        <x:v>8</x:v>
      </x:c>
      <x:c r="G55" s="4">
        <x:v>-25314.959999999999</x:v>
      </x:c>
      <x:c r="H55" s="4">
        <x:f t="shared" si="2"/>
        <x:v>480984.36000000138</x:v>
      </x:c>
    </x:row>
    <x:row r="56" spans="4:8" x14ac:dyDescent="0.3">
      <x:c r="D56" s="7">
        <x:v>2026</x:v>
      </x:c>
      <x:c r="E56" s="7">
        <x:v>10</x:v>
      </x:c>
      <x:c r="F56" s="5" t="s">
        <x:v>8</x:v>
      </x:c>
      <x:c r="G56" s="4">
        <x:v>-25314.959999999999</x:v>
      </x:c>
      <x:c r="H56" s="4">
        <x:f t="shared" si="2"/>
        <x:v>455669.40000000136</x:v>
      </x:c>
    </x:row>
    <x:row r="57" spans="4:8" x14ac:dyDescent="0.3">
      <x:c r="D57" s="7">
        <x:v>2026</x:v>
      </x:c>
      <x:c r="E57" s="7">
        <x:v>11</x:v>
      </x:c>
      <x:c r="F57" s="5" t="s">
        <x:v>8</x:v>
      </x:c>
      <x:c r="G57" s="4">
        <x:v>-25314.959999999999</x:v>
      </x:c>
      <x:c r="H57" s="4">
        <x:f t="shared" si="2"/>
        <x:v>430354.44000000134</x:v>
      </x:c>
    </x:row>
    <x:row r="58" spans="4:8" x14ac:dyDescent="0.3">
      <x:c r="D58" s="7">
        <x:v>2026</x:v>
      </x:c>
      <x:c r="E58" s="7">
        <x:v>12</x:v>
      </x:c>
      <x:c r="F58" s="5" t="s">
        <x:v>8</x:v>
      </x:c>
      <x:c r="G58" s="4">
        <x:v>-25314.959999999999</x:v>
      </x:c>
      <x:c r="H58" s="4">
        <x:f t="shared" si="2"/>
        <x:v>405039.48000000132</x:v>
      </x:c>
    </x:row>
    <x:row r="59" spans="4:8" x14ac:dyDescent="0.3">
      <x:c r="D59" s="7">
        <x:v>2027</x:v>
      </x:c>
      <x:c r="E59" s="7">
        <x:v>1</x:v>
      </x:c>
      <x:c r="F59" s="5" t="s">
        <x:v>8</x:v>
      </x:c>
      <x:c r="G59" s="4">
        <x:v>-25314.959999999999</x:v>
      </x:c>
      <x:c r="H59" s="4">
        <x:f t="shared" si="2"/>
        <x:v>379724.5200000013</x:v>
      </x:c>
    </x:row>
    <x:row r="60" spans="4:8" x14ac:dyDescent="0.3">
      <x:c r="D60" s="7">
        <x:v>2027</x:v>
      </x:c>
      <x:c r="E60" s="7">
        <x:v>2</x:v>
      </x:c>
      <x:c r="F60" s="5" t="s">
        <x:v>8</x:v>
      </x:c>
      <x:c r="G60" s="4">
        <x:v>-25314.959999999999</x:v>
      </x:c>
      <x:c r="H60" s="4">
        <x:f t="shared" si="2"/>
        <x:v>354409.56000000128</x:v>
      </x:c>
    </x:row>
    <x:row r="61" spans="4:8" x14ac:dyDescent="0.3">
      <x:c r="D61" s="7">
        <x:v>2027</x:v>
      </x:c>
      <x:c r="E61" s="7">
        <x:v>3</x:v>
      </x:c>
      <x:c r="F61" s="5" t="s">
        <x:v>8</x:v>
      </x:c>
      <x:c r="G61" s="4">
        <x:v>-25314.959999999999</x:v>
      </x:c>
      <x:c r="H61" s="4">
        <x:f t="shared" si="2"/>
        <x:v>329094.60000000126</x:v>
      </x:c>
    </x:row>
    <x:row r="62" spans="4:8" x14ac:dyDescent="0.3">
      <x:c r="D62" s="7">
        <x:v>2027</x:v>
      </x:c>
      <x:c r="E62" s="7">
        <x:v>4</x:v>
      </x:c>
      <x:c r="F62" s="5" t="s">
        <x:v>8</x:v>
      </x:c>
      <x:c r="G62" s="4">
        <x:v>-25314.959999999999</x:v>
      </x:c>
      <x:c r="H62" s="4">
        <x:f t="shared" si="2"/>
        <x:v>303779.64000000124</x:v>
      </x:c>
    </x:row>
    <x:row r="63" spans="4:8" x14ac:dyDescent="0.3">
      <x:c r="D63" s="7">
        <x:v>2027</x:v>
      </x:c>
      <x:c r="E63" s="7">
        <x:v>5</x:v>
      </x:c>
      <x:c r="F63" s="5" t="s">
        <x:v>8</x:v>
      </x:c>
      <x:c r="G63" s="4">
        <x:v>-25314.959999999999</x:v>
      </x:c>
      <x:c r="H63" s="4">
        <x:f t="shared" si="2"/>
        <x:v>278464.68000000122</x:v>
      </x:c>
    </x:row>
    <x:row r="64" spans="4:8" x14ac:dyDescent="0.3">
      <x:c r="D64" s="7">
        <x:v>2027</x:v>
      </x:c>
      <x:c r="E64" s="7">
        <x:v>6</x:v>
      </x:c>
      <x:c r="F64" s="5" t="s">
        <x:v>8</x:v>
      </x:c>
      <x:c r="G64" s="4">
        <x:v>-25314.959999999999</x:v>
      </x:c>
      <x:c r="H64" s="4">
        <x:f t="shared" si="2"/>
        <x:v>253149.72000000122</x:v>
      </x:c>
    </x:row>
    <x:row r="65" spans="1:10" x14ac:dyDescent="0.3">
      <x:c r="D65" s="7">
        <x:v>2027</x:v>
      </x:c>
      <x:c r="E65" s="7">
        <x:v>7</x:v>
      </x:c>
      <x:c r="F65" s="5" t="s">
        <x:v>8</x:v>
      </x:c>
      <x:c r="G65" s="4">
        <x:v>-25314.959999999999</x:v>
      </x:c>
      <x:c r="H65" s="4">
        <x:f t="shared" si="2"/>
        <x:v>227834.76000000123</x:v>
      </x:c>
    </x:row>
    <x:row r="66" spans="1:10" x14ac:dyDescent="0.3">
      <x:c r="D66" s="7">
        <x:v>2027</x:v>
      </x:c>
      <x:c r="E66" s="7">
        <x:v>8</x:v>
      </x:c>
      <x:c r="F66" s="5" t="s">
        <x:v>8</x:v>
      </x:c>
      <x:c r="G66" s="4">
        <x:v>-25314.959999999999</x:v>
      </x:c>
      <x:c r="H66" s="4">
        <x:f t="shared" si="2"/>
        <x:v>202519.80000000124</x:v>
      </x:c>
    </x:row>
    <x:row r="67" spans="1:10" x14ac:dyDescent="0.3">
      <x:c r="D67" s="7">
        <x:v>2027</x:v>
      </x:c>
      <x:c r="E67" s="7">
        <x:v>9</x:v>
      </x:c>
      <x:c r="F67" s="5" t="s">
        <x:v>8</x:v>
      </x:c>
      <x:c r="G67" s="4">
        <x:v>-25314.959999999999</x:v>
      </x:c>
      <x:c r="H67" s="4">
        <x:f t="shared" si="2"/>
        <x:v>177204.84000000125</x:v>
      </x:c>
    </x:row>
    <x:row r="68" spans="1:10" x14ac:dyDescent="0.3">
      <x:c r="D68" s="7">
        <x:v>2027</x:v>
      </x:c>
      <x:c r="E68" s="7">
        <x:v>10</x:v>
      </x:c>
      <x:c r="F68" s="5" t="s">
        <x:v>8</x:v>
      </x:c>
      <x:c r="G68" s="4">
        <x:v>-25314.959999999999</x:v>
      </x:c>
      <x:c r="H68" s="4">
        <x:f t="shared" si="2"/>
        <x:v>151889.88000000126</x:v>
      </x:c>
    </x:row>
    <x:row r="69" spans="1:10" x14ac:dyDescent="0.3">
      <x:c r="D69" s="7">
        <x:v>2027</x:v>
      </x:c>
      <x:c r="E69" s="7">
        <x:v>11</x:v>
      </x:c>
      <x:c r="F69" s="5" t="s">
        <x:v>8</x:v>
      </x:c>
      <x:c r="G69" s="4">
        <x:v>-25314.959999999999</x:v>
      </x:c>
      <x:c r="H69" s="4">
        <x:f t="shared" si="2"/>
        <x:v>126574.92000000126</x:v>
      </x:c>
    </x:row>
    <x:row r="70" spans="1:10" x14ac:dyDescent="0.3">
      <x:c r="D70" s="7">
        <x:v>2027</x:v>
      </x:c>
      <x:c r="E70" s="7">
        <x:v>12</x:v>
      </x:c>
      <x:c r="F70" s="5" t="s">
        <x:v>8</x:v>
      </x:c>
      <x:c r="G70" s="4">
        <x:v>-25314.959999999999</x:v>
      </x:c>
      <x:c r="H70" s="4">
        <x:f t="shared" si="2"/>
        <x:v>101259.96000000127</x:v>
      </x:c>
    </x:row>
    <x:row r="71" spans="1:10" x14ac:dyDescent="0.3">
      <x:c r="D71" s="7">
        <x:v>2028</x:v>
      </x:c>
      <x:c r="E71" s="7">
        <x:v>1</x:v>
      </x:c>
      <x:c r="F71" s="5" t="s">
        <x:v>8</x:v>
      </x:c>
      <x:c r="G71" s="4">
        <x:v>-25314.959999999999</x:v>
      </x:c>
      <x:c r="H71" s="4">
        <x:f t="shared" si="2"/>
        <x:v>75945.000000001281</x:v>
      </x:c>
    </x:row>
    <x:row r="72" spans="1:10" x14ac:dyDescent="0.3">
      <x:c r="D72" s="7">
        <x:v>2028</x:v>
      </x:c>
      <x:c r="E72" s="7">
        <x:v>2</x:v>
      </x:c>
      <x:c r="F72" s="5" t="s">
        <x:v>8</x:v>
      </x:c>
      <x:c r="G72" s="4">
        <x:v>-25314.959999999999</x:v>
      </x:c>
      <x:c r="H72" s="4">
        <x:f t="shared" si="2"/>
        <x:v>50630.040000001281</x:v>
      </x:c>
    </x:row>
    <x:row r="73" spans="1:10" x14ac:dyDescent="0.3">
      <x:c r="D73" s="7">
        <x:v>2028</x:v>
      </x:c>
      <x:c r="E73" s="7">
        <x:v>3</x:v>
      </x:c>
      <x:c r="F73" s="5" t="s">
        <x:v>8</x:v>
      </x:c>
      <x:c r="G73" s="4">
        <x:v>-25314.959999999999</x:v>
      </x:c>
      <x:c r="H73" s="4">
        <x:f t="shared" si="2"/>
        <x:v>25315.080000001282</x:v>
      </x:c>
    </x:row>
    <x:row r="74" spans="1:10" x14ac:dyDescent="0.3">
      <x:c r="D74" s="7">
        <x:v>2028</x:v>
      </x:c>
      <x:c r="E74" s="7">
        <x:v>4</x:v>
      </x:c>
      <x:c r="F74" s="5" t="s">
        <x:v>8</x:v>
      </x:c>
      <x:c r="G74" s="4">
        <x:f>-25314.96-0.12</x:f>
        <x:v>-25315.079999999998</x:v>
      </x:c>
      <x:c r="H74" s="4">
        <x:f t="shared" si="2"/>
        <x:v>1.2842065189033747E-9</x:v>
      </x:c>
    </x:row>
    <x:row r="76" spans="1:10" x14ac:dyDescent="0.3">
      <x:c r="A76" s="5" t="s">
        <x:v>43</x:v>
      </x:c>
    </x:row>
    <x:row r="77" spans="1:10" ht="27.5" customHeight="1" x14ac:dyDescent="0.35">
      <x:c r="A77" s="18" t="s">
        <x:v>51</x:v>
      </x:c>
      <x:c r="B77" s="19"/>
      <x:c r="C77" s="19"/>
      <x:c r="D77" s="19"/>
      <x:c r="E77" s="19"/>
      <x:c r="F77" s="19"/>
      <x:c r="G77" s="19"/>
      <x:c r="H77" s="19"/>
      <x:c r="I77" s="19"/>
      <x:c r="J77" s="19"/>
    </x:row>
    <x:row r="78" spans="1:10" x14ac:dyDescent="0.3">
      <x:c r="A78" s="5" t="s">
        <x:v>48</x:v>
      </x:c>
    </x:row>
  </x:sheetData>
  <x:sortState xmlns:xlrd2="http://schemas.microsoft.com/office/spreadsheetml/2017/richdata2" ref="A14:H36">
    <x:sortCondition ref="D14:D36"/>
    <x:sortCondition ref="E14:E36"/>
  </x:sortState>
  <x:mergeCells count="3">
    <x:mergeCell ref="I32:I34"/>
    <x:mergeCell ref="I14:J15"/>
    <x:mergeCell ref="A77:J77"/>
  </x:mergeCells>
  <x:pageMargins left="0.7" right="0.7" top="0.75" bottom="0.75" header="0.3" footer="0.3"/>
  <x:pageSetup scale="53" orientation="portrait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2025-05-01T19:10:41.0000000Z</dcterms:modified>
</coreProperties>
</file>