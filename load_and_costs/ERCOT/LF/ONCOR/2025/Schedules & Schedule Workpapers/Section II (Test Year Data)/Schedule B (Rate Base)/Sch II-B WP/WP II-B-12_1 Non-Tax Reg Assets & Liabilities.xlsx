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2"/>
  <x:workbookPr defaultThemeVersion="166925"/>
  <mc:AlternateContent xmlns:mc="http://schemas.openxmlformats.org/markup-compatibility/2006">
    <mc:Choice Requires="x15">
      <x15ac:absPath xmlns:x15ac="http://schemas.microsoft.com/office/spreadsheetml/2010/11/ac" url="N:\2025 Rate Case\Section II (Test Year Data)\Schedule B (Rate Base)\Sch II-B WP\"/>
    </mc:Choice>
  </mc:AlternateContent>
  <xr:revisionPtr revIDLastSave="0" documentId="13_ncr:1_{ED47B1A4-9E80-4815-AF90-B22B2B35C6E9}" xr6:coauthVersionLast="47" xr6:coauthVersionMax="47" xr10:uidLastSave="{00000000-0000-0000-0000-000000000000}"/>
  <x:bookViews>
    <x:workbookView xWindow="-27270" yWindow="690" windowWidth="26100" windowHeight="14775" xr2:uid="{E1936CF4-D1D1-4312-BDF6-ED95B9BB054A}"/>
  </x:bookViews>
  <x:sheets>
    <x:sheet name="Sheet1" sheetId="1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A10" i="1" l="1"/>
  <x:c r="A11" i="1" s="1"/>
  <x:c r="A12" i="1" s="1"/>
  <x:c r="A13" i="1" s="1"/>
  <x:c r="A14" i="1" s="1"/>
  <x:c r="A15" i="1" s="1"/>
  <x:c r="A16" i="1" s="1"/>
  <x:c r="A17" i="1" s="1"/>
  <x:c r="A18" i="1" s="1"/>
  <x:c r="A19" i="1" s="1"/>
  <x:c r="A20" i="1" s="1"/>
  <x:c r="A21" i="1" s="1"/>
  <x:c r="A22" i="1" s="1"/>
  <x:c r="A23" i="1" s="1"/>
  <x:c r="A24" i="1" s="1"/>
  <x:c r="A25" i="1" s="1"/>
  <x:c r="A26" i="1" s="1"/>
  <x:c r="A27" i="1" s="1"/>
  <x:c r="A28" i="1" s="1"/>
  <x:c r="A29" i="1" s="1"/>
  <x:c r="A30" i="1" s="1"/>
  <x:c r="A31" i="1" s="1"/>
  <x:c r="A32" i="1" s="1"/>
  <x:c r="A33" i="1" s="1"/>
  <x:c r="A34" i="1" s="1"/>
  <x:c r="A35" i="1" s="1"/>
  <x:c r="A36" i="1" s="1"/>
  <x:c r="A37" i="1" s="1"/>
  <x:c r="A38" i="1" s="1"/>
  <x:c r="A39" i="1" s="1"/>
  <x:c r="A40" i="1" s="1"/>
  <x:c r="A41" i="1" s="1"/>
  <x:c r="A42" i="1" s="1"/>
  <x:c r="A43" i="1" s="1"/>
  <x:c r="A44" i="1" s="1"/>
  <x:c r="A45" i="1" s="1"/>
  <x:c r="A46" i="1" s="1"/>
  <x:c r="A47" i="1" s="1"/>
  <x:c r="A48" i="1" s="1"/>
  <x:c r="A49" i="1" s="1"/>
  <x:c r="A50" i="1" s="1"/>
  <x:c r="A51" i="1" s="1"/>
  <x:c r="A52" i="1" s="1"/>
  <x:c r="A53" i="1" s="1"/>
  <x:c r="A54" i="1" s="1"/>
  <x:c r="A55" i="1" s="1"/>
  <x:c r="A56" i="1" s="1"/>
  <x:c r="A57" i="1" s="1"/>
  <x:c r="A58" i="1" s="1"/>
  <x:c r="A59" i="1" s="1"/>
  <x:c r="A60" i="1" s="1"/>
  <x:c r="A61" i="1" s="1"/>
  <x:c r="A62" i="1" s="1"/>
  <x:c r="H43" i="1" l="1"/>
  <x:c r="H45" i="1"/>
  <x:c r="H46" i="1"/>
  <x:c r="H12" i="1"/>
  <x:c r="H13" i="1"/>
  <x:c r="H15" i="1"/>
  <x:c r="H17" i="1"/>
  <x:c r="H18" i="1"/>
  <x:c r="H19" i="1"/>
  <x:c r="H20" i="1"/>
  <x:c r="H21" i="1"/>
  <x:c r="H22" i="1"/>
  <x:c r="H26" i="1"/>
  <x:c r="H27" i="1"/>
  <x:c r="H28" i="1"/>
  <x:c r="H29" i="1"/>
  <x:c r="H30" i="1"/>
  <x:c r="H31" i="1"/>
  <x:c r="H32" i="1"/>
  <x:c r="H33" i="1"/>
  <x:c r="H34" i="1"/>
  <x:c r="H38" i="1"/>
  <x:c r="H39" i="1"/>
  <x:c r="H40" i="1"/>
  <x:c r="H41" i="1"/>
  <x:c r="H42" i="1"/>
  <x:c r="H44" i="1"/>
  <x:c r="H51" i="1"/>
  <x:c r="H52" i="1"/>
  <x:c r="H57" i="1"/>
  <x:c r="H58" i="1"/>
  <x:c r="H59" i="1"/>
  <x:c r="H60" i="1"/>
  <x:c r="H61" i="1"/>
  <x:c r="H11" i="1"/>
</x:calcChain>
</file>

<file path=xl/sharedStrings.xml><?xml version="1.0" encoding="utf-8"?>
<sst xmlns="http://schemas.openxmlformats.org/spreadsheetml/2006/main" count="266" uniqueCount="178">
  <si>
    <t>2025 Rate Case</t>
  </si>
  <si>
    <t>Oncor Electric Delivery Company LLC</t>
  </si>
  <si>
    <t>Non-Tax Regulatory Assets/(Liabilities) and Related Amortizations</t>
  </si>
  <si>
    <t>Sponsor:  W. Alan Ledbetter</t>
  </si>
  <si>
    <t>Line No.</t>
  </si>
  <si>
    <t>Regulatory asset/(liability)</t>
  </si>
  <si>
    <t>Shown on Sch II-B-12</t>
  </si>
  <si>
    <t>Reg asset/(liability) Amortization</t>
  </si>
  <si>
    <t>Shown on Sch II-E-4.1</t>
  </si>
  <si>
    <t>Shown on Sch II-E-4.1.1</t>
  </si>
  <si>
    <t>Reference Exhibit, Schedule, or Workpaper</t>
  </si>
  <si>
    <t>Reference Workpaper for Related Amortization</t>
  </si>
  <si>
    <t>Rocky Mound Series Compensator (a)</t>
  </si>
  <si>
    <t>HB 2483 Long-Lead Time Facilities (PURA 39.918) (b)</t>
  </si>
  <si>
    <t>Energy Efficiency Perf Bonus (Docket No. 56682)</t>
  </si>
  <si>
    <t>Reg Asset - Defaulted REPs (a)</t>
  </si>
  <si>
    <t>Reg Asset - Defaulted REPs (b)</t>
  </si>
  <si>
    <t>COVID19-Incremental Expense Dkt 50664 (a)</t>
  </si>
  <si>
    <t>COVID19-Incremental Expense Dkt 50664 (b)</t>
  </si>
  <si>
    <t>Deferred Pension Costs (a)</t>
  </si>
  <si>
    <t>Deferred Pension Costs (b)</t>
  </si>
  <si>
    <t>Pension &amp; OPEB Reg Asset-ONCOR (GAAP)</t>
  </si>
  <si>
    <t>CWIP Tran &amp; Dist Non-Service Cost Pension/OPEBs (GAAP)</t>
  </si>
  <si>
    <t>Net Plant Tran &amp; Dist Non-Service Cost Pension/OPEBs (GAAP)</t>
  </si>
  <si>
    <t>Deferred Advanced Metering System Costs (under-recovery reviewed) (a)</t>
  </si>
  <si>
    <t>Wholesale Distribution Substation Service (a)</t>
  </si>
  <si>
    <t>Wholesale Distribution Substation Service (b)</t>
  </si>
  <si>
    <t>Sharyland Residential Interim Rate (a)</t>
  </si>
  <si>
    <t>Study Costs/Transition to Comp (NTU) (a)</t>
  </si>
  <si>
    <t>PowerLineSafetyAct PURA Sec. 36.066 (a)</t>
  </si>
  <si>
    <t>PowerLineSafetyAct PURA Sec. 36.066 (b)</t>
  </si>
  <si>
    <t>Workers Compensation</t>
  </si>
  <si>
    <t>Rate Case Expenses (Non-standard Metering Opt-out)</t>
  </si>
  <si>
    <t>Rate Case Expenses - 2021 Test Year, Docket No. 53601 (Post-Cutoff)</t>
  </si>
  <si>
    <t>Rate Case Expenses - DCRF Case, Docket No. 55190</t>
  </si>
  <si>
    <t>Rate Case Expenses - DCRF Case, Docket No. 55525</t>
  </si>
  <si>
    <t>Rate Case Expenses - DCRF Case, Docket No. 56306</t>
  </si>
  <si>
    <t>Rate Case Expenses - DCRF Case, Docket No. 56963</t>
  </si>
  <si>
    <t>Rate Case Expenses - DCRF Case, Docket No. 57707</t>
  </si>
  <si>
    <t>Rate Case Expenses - December 2024 Test Year Rate Case (Estimate)</t>
  </si>
  <si>
    <t>SRP Distribution-Related Incremental O&amp;M (PURA Sec. 38.078) (b)</t>
  </si>
  <si>
    <t>SRP Distribution-Related Incremental O&amp;M VM (PURA Sec. 38.078) (b)</t>
  </si>
  <si>
    <t>Rate Case Expenses - 2021 Test Year, Docket No. 53601 (reviewed) (a)</t>
  </si>
  <si>
    <t>Estimated net removal costs (GAAP)</t>
  </si>
  <si>
    <t>228, 254</t>
  </si>
  <si>
    <t>Energy Efficiency incl. Unbilled Deferral</t>
  </si>
  <si>
    <t>Over-amortization of intangible investment (a)</t>
  </si>
  <si>
    <t>Over-amortization of intangible investment (b)</t>
  </si>
  <si>
    <t>Transmission Cost Recovery (TCRF) under-/(over-)recovery 16 TAC 25.193</t>
  </si>
  <si>
    <t>TCRF Unbilled Revenue Deferral (GAAP)</t>
  </si>
  <si>
    <t>AMS Unbilled Revenue Deferral (GAAP)</t>
  </si>
  <si>
    <t>RCE Unbilled Revenue Deferral (GAAP)</t>
  </si>
  <si>
    <t>Capital structure refund Dkt 48522 (over-refund) (a) (b)</t>
  </si>
  <si>
    <t>FIT refund - rate Dkt 48325 (over-refund) (a) (b)</t>
  </si>
  <si>
    <t>Interest-rate savings Dkt 47675 &amp; 55453 (b)</t>
  </si>
  <si>
    <t>Deferred OPEB Cost (a)</t>
  </si>
  <si>
    <t>Deferred OPEB Cost (b)</t>
  </si>
  <si>
    <t>Unamortized Gains - Reacquired Debt</t>
  </si>
  <si>
    <t>Non-Tax Related Regulatory Liabilities</t>
  </si>
  <si>
    <t>Non-Tax Regulatory Assets / (Liabilities)</t>
  </si>
  <si>
    <t>Non-Tax Related Regulatory Assets</t>
  </si>
  <si>
    <t>Line No. 5</t>
  </si>
  <si>
    <t>Line No. 6</t>
  </si>
  <si>
    <t>Line No. 7</t>
  </si>
  <si>
    <t>Line No. 8</t>
  </si>
  <si>
    <t>Line No. 9</t>
  </si>
  <si>
    <t>Line No. 10</t>
  </si>
  <si>
    <t>Line No. 11</t>
  </si>
  <si>
    <t>Line No. 12</t>
  </si>
  <si>
    <t>Line No. 13</t>
  </si>
  <si>
    <t>Line No. 14</t>
  </si>
  <si>
    <t>Line No. 15</t>
  </si>
  <si>
    <t>Line No. 16</t>
  </si>
  <si>
    <t>Line No. 17</t>
  </si>
  <si>
    <t>Line No. 18</t>
  </si>
  <si>
    <t>Line No. 19</t>
  </si>
  <si>
    <t>Line No. 20</t>
  </si>
  <si>
    <t>Line No. 21</t>
  </si>
  <si>
    <t>Line No. 22</t>
  </si>
  <si>
    <t>Line No. 23</t>
  </si>
  <si>
    <t>Line No. 24</t>
  </si>
  <si>
    <t>Line No. 25</t>
  </si>
  <si>
    <t>Line No. 26</t>
  </si>
  <si>
    <t>Line No. 27</t>
  </si>
  <si>
    <t>Line No. 28</t>
  </si>
  <si>
    <t>Line No. 29</t>
  </si>
  <si>
    <t>Line No. 30</t>
  </si>
  <si>
    <t>Line No. 31</t>
  </si>
  <si>
    <t>Line No. 32</t>
  </si>
  <si>
    <t>Line No. 33</t>
  </si>
  <si>
    <t>Line No. 34</t>
  </si>
  <si>
    <t>Line No. 35</t>
  </si>
  <si>
    <t>Line No. 36</t>
  </si>
  <si>
    <t>Line No. 37</t>
  </si>
  <si>
    <t>Line No. 38</t>
  </si>
  <si>
    <t>Line No. 39</t>
  </si>
  <si>
    <t>Line No. 40</t>
  </si>
  <si>
    <t>Line No. 41</t>
  </si>
  <si>
    <t>Line No. 42</t>
  </si>
  <si>
    <t>Line No. 43</t>
  </si>
  <si>
    <t>Line No. 45</t>
  </si>
  <si>
    <t>Line No. 46</t>
  </si>
  <si>
    <t>Line No. 47</t>
  </si>
  <si>
    <t>Line No. 48</t>
  </si>
  <si>
    <t>Line No. 49</t>
  </si>
  <si>
    <t>Line No. 50</t>
  </si>
  <si>
    <t>Line No. 51</t>
  </si>
  <si>
    <t>Line No. 52</t>
  </si>
  <si>
    <t>Line No. 53</t>
  </si>
  <si>
    <t>Line No. 54</t>
  </si>
  <si>
    <t>Line No. 55</t>
  </si>
  <si>
    <t>Line No. 56</t>
  </si>
  <si>
    <t>Line No. 57</t>
  </si>
  <si>
    <t>Line No. 58</t>
  </si>
  <si>
    <t>For the Test Year Ending December 31, 2024</t>
  </si>
  <si>
    <t>Unamortized Losses - Reacquired Debt</t>
  </si>
  <si>
    <t>Page 1 of 1</t>
  </si>
  <si>
    <t>WP/II-B-12/1 Non-Tax Reg Assets &amp; Liabilities</t>
  </si>
  <si>
    <t>Line Nos. 8-9</t>
  </si>
  <si>
    <t xml:space="preserve">Line Nos. 43-45 </t>
  </si>
  <si>
    <t>Line Nos. 16-18</t>
  </si>
  <si>
    <t>Line No. 59</t>
  </si>
  <si>
    <t>Line Nos. 37-38</t>
  </si>
  <si>
    <t>Line Nos. 11-12</t>
  </si>
  <si>
    <t>Line Nos. 44-46</t>
  </si>
  <si>
    <t>Line Nos. 38-39</t>
  </si>
  <si>
    <t>Sch II-C-2.4 and II-C-2.4a</t>
  </si>
  <si>
    <t>WP II-B-12 SRP Dist-Related Regulatory Assets</t>
  </si>
  <si>
    <t>WP II-B-12 Rocky Mound Series Comp</t>
  </si>
  <si>
    <t>WP II-B-12 Long-Lead Time Facilities</t>
  </si>
  <si>
    <t>WP II-B-12 Defaulted REPs</t>
  </si>
  <si>
    <t>Sch II-D-2.2a, WP II-B-12 Defaulted REPs</t>
  </si>
  <si>
    <t>WP II-B-12 COVID-19 Incremental Costs</t>
  </si>
  <si>
    <t xml:space="preserve">Sch II-B-14, WP II-B-12 Pension &amp; OPEBs Approved Unamortized </t>
  </si>
  <si>
    <t>Sch II-B-14</t>
  </si>
  <si>
    <t>WP II-B-12 Under-recovered AMS</t>
  </si>
  <si>
    <t>WP II-B-12 Wholesale Distribution Substation Service</t>
  </si>
  <si>
    <t>WP II-B-12 Sharyland Interim Rate Reg Asset</t>
  </si>
  <si>
    <t>WP II-B-12 NTU Transition to Competition</t>
  </si>
  <si>
    <t>WP II-B-12 Power Line Safety Act Reg Asset</t>
  </si>
  <si>
    <t>WP II-B-12 SIR Approved Unamortized</t>
  </si>
  <si>
    <t>WP II-B-12 SIR To Be Reviewed</t>
  </si>
  <si>
    <t xml:space="preserve">WP/Sch II-B-12 SRP Docket 56545 </t>
  </si>
  <si>
    <t xml:space="preserve">WP/Sch II-B-12 Insurance Docket 57932 </t>
  </si>
  <si>
    <t>WP II-B-12 Intangible Over-Recovery Approved &amp; To Be Reviewed</t>
  </si>
  <si>
    <t>WP II-B-12 Cap Structure Over-Refund</t>
  </si>
  <si>
    <t>WP II-B-12 Tax Refund Factor Over-Refund</t>
  </si>
  <si>
    <t>WP II-B-12 Interest-Rate Savings Refund</t>
  </si>
  <si>
    <t>Sch II-E-4.5</t>
  </si>
  <si>
    <t>Requested amortization - Sch II-E-4.1.1</t>
  </si>
  <si>
    <t>WP_II-D Adjustment 15</t>
  </si>
  <si>
    <t>WP_II-D Adjustment 16</t>
  </si>
  <si>
    <t>WP_II-D Adjustment 13</t>
  </si>
  <si>
    <t>WP_II-D Adjustment 17</t>
  </si>
  <si>
    <t>WP_II-D Adjustment 12</t>
  </si>
  <si>
    <t>WP_II-D Adjustment 28</t>
  </si>
  <si>
    <t>WP_II-D Adjustment 29</t>
  </si>
  <si>
    <t>WP_II-D Adjustment 20</t>
  </si>
  <si>
    <t>WP_II-D Adjustment 14</t>
  </si>
  <si>
    <t>WP_II-D Adjustment 21</t>
  </si>
  <si>
    <t>Reference O&amp;M K&amp;M Adjustment/Other</t>
  </si>
  <si>
    <t>Exhibit WAL - 3</t>
  </si>
  <si>
    <t>Test Year amortization - Sch II-E-4.1.1 *</t>
  </si>
  <si>
    <t>Line Nos. 23, 48</t>
  </si>
  <si>
    <t>Line Nos. 24, 49</t>
  </si>
  <si>
    <t>Line Nos. 23, 49</t>
  </si>
  <si>
    <t>Line No. 24, 50</t>
  </si>
  <si>
    <t>Line No. 65</t>
  </si>
  <si>
    <t>Test Year Amo Sch II-E-4.1.1* &amp; WP_II-D Adjustment 18</t>
  </si>
  <si>
    <t>Test Year Amo Sch II-E-4.1.1* &amp; WP_II-D Adjustment 19</t>
  </si>
  <si>
    <t>(b) Regulatory asset/liability to be reviewed in this proceeding.</t>
  </si>
  <si>
    <t>* Test year expense reflects annual amortization approved in Docket No. 53601.</t>
  </si>
  <si>
    <t>(a) Regulatory asset/liability was approved with five-year amortization in Docket No. 53601 (Order on Rehearing page 37 (Findings of Fact 167, 167A, 173) and page 60 (Finding of Fact 377)).</t>
  </si>
  <si>
    <t>HB 2483 TEEEF (Mobile Gen) &amp; rel. costs (PURA 39.918)</t>
  </si>
  <si>
    <t>Self-Insurance Reserve (a)</t>
  </si>
  <si>
    <t>Self-Insurance Reserve (b)</t>
  </si>
  <si>
    <t>System Resiliency Plan Application and Compliance, Docket No. 56545 (b)</t>
  </si>
  <si>
    <t>Deferred Insurance Acctg Order, Docket No. 57774 &amp; 57932 (b)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</si>
</sst>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3" fillId="0" borderId="0" xfId="0" quotePrefix="1" applyFont="1" applyAlignment="1" applyProtection="1">
      <alignment horizontal="center"/>
      <protection locked="0"/>
    </xf>
    <xf numFmtId="0" fontId="3" fillId="0" borderId="0" xfId="0" applyFont="1" applyProtection="1">
      <protection locked="0"/>
    </xf>
    <xf numFmtId="0" fontId="3" fillId="0" borderId="0" xfId="0" applyFont="1" applyAlignment="1" applyProtection="1">
      <alignment horizontal="center"/>
      <protection locked="0"/>
    </xf>
    <xf numFmtId="37" fontId="3" fillId="0" borderId="0" xfId="1" applyNumberFormat="1" applyFont="1" applyAlignment="1">
      <alignment horizontal="left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Fill="1" applyAlignment="1">
      <alignment horizontal="center"/>
    </xf>
    <xf numFmtId="0" fontId="4" fillId="0" borderId="0" xfId="0" quotePrefix="1" applyFont="1"/>
    <xf numFmtId="0" fontId="4" fillId="0" borderId="1" xfId="0" applyFont="1" applyBorder="1" applyAlignment="1">
      <alignment horizontal="center" wrapText="1"/>
    </xf>
  </cellXfs>
  <cellStyles count="2">
    <cellStyle name="Normal" xfId="0" builtinId="0"/>
    <cellStyle name="Normal_ESD, TRN, RACNS,&amp; RACSA-Reg Assets-2Q" xfId="1" xr:uid="{3B92E344-5C0A-4315-A0E5-9C6EA9BC26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23AE618-D014-4448-8FA1-33155C1C3C32}" mc:Ignorable="x14ac xr xr2 xr3">
  <x:sheetPr>
    <x:pageSetUpPr fitToPage="1"/>
  </x:sheetPr>
  <x:dimension ref="A1:I66"/>
  <x:sheetViews>
    <x:sheetView tabSelected="1" view="pageBreakPreview" topLeftCell="A3" zoomScale="80" zoomScaleNormal="100" zoomScaleSheetLayoutView="80" workbookViewId="0">
      <x:selection activeCell="C44" sqref="C44"/>
    </x:sheetView>
  </x:sheetViews>
  <x:sheetFormatPr defaultColWidth="8.77734375" defaultRowHeight="13.8" x14ac:dyDescent="0.3"/>
  <x:cols>
    <x:col min="1" max="1" width="7.77734375" style="6" customWidth="1"/>
    <x:col min="2" max="2" width="8.77734375" style="6"/>
    <x:col min="3" max="3" width="62.5546875" style="6" bestFit="1" customWidth="1"/>
    <x:col min="4" max="4" width="22.77734375" style="6" bestFit="1" customWidth="1"/>
    <x:col min="5" max="5" width="28.21875" style="6" bestFit="1" customWidth="1"/>
    <x:col min="6" max="6" width="20.44140625" style="6" bestFit="1" customWidth="1"/>
    <x:col min="7" max="7" width="55.88671875" style="6" bestFit="1" customWidth="1"/>
    <x:col min="8" max="8" width="51.109375" style="6" bestFit="1" customWidth="1"/>
    <x:col min="9" max="9" width="43.21875" style="6" bestFit="1" customWidth="1"/>
    <x:col min="10" max="16384" width="8.77734375" style="6"/>
  </x:cols>
  <x:sheetData>
    <x:row r="1" spans="1:9" x14ac:dyDescent="0.3">
      <x:c r="A1" s="6" t="s">
        <x:v>0</x:v>
      </x:c>
      <x:c r="I1" s="7" t="s">
        <x:v>117</x:v>
      </x:c>
    </x:row>
    <x:row r="2" spans="1:9" x14ac:dyDescent="0.3">
      <x:c r="A2" s="6" t="s">
        <x:v>1</x:v>
      </x:c>
      <x:c r="H2" s="7"/>
      <x:c r="I2" s="7" t="s">
        <x:v>116</x:v>
      </x:c>
    </x:row>
    <x:row r="3" spans="1:9" x14ac:dyDescent="0.3">
      <x:c r="A3" s="6" t="s">
        <x:v>2</x:v>
      </x:c>
    </x:row>
    <x:row r="4" spans="1:9" x14ac:dyDescent="0.3">
      <x:c r="A4" s="6" t="s">
        <x:v>114</x:v>
      </x:c>
    </x:row>
    <x:row r="5" spans="1:9" x14ac:dyDescent="0.3">
      <x:c r="A5" s="6" t="s">
        <x:v>3</x:v>
      </x:c>
    </x:row>
    <x:row r="7" spans="1:9" x14ac:dyDescent="0.3">
      <x:c r="A7" s="8"/>
      <x:c r="B7" s="8"/>
      <x:c r="C7" s="8"/>
      <x:c r="D7" s="8" t="s">
        <x:v>5</x:v>
      </x:c>
      <x:c r="E7" s="8" t="s">
        <x:v>7</x:v>
      </x:c>
      <x:c r="F7" s="8"/>
      <x:c r="G7" s="8"/>
      <x:c r="H7" s="8"/>
    </x:row>
    <x:row r="8" spans="1:9" x14ac:dyDescent="0.3">
      <x:c r="A8" s="9" t="s">
        <x:v>4</x:v>
      </x:c>
      <x:c r="B8" s="13" t="s">
        <x:v>59</x:v>
      </x:c>
      <x:c r="C8" s="13"/>
      <x:c r="D8" s="9" t="s">
        <x:v>6</x:v>
      </x:c>
      <x:c r="E8" s="9" t="s">
        <x:v>8</x:v>
      </x:c>
      <x:c r="F8" s="9" t="s">
        <x:v>9</x:v>
      </x:c>
      <x:c r="G8" s="9" t="s">
        <x:v>10</x:v>
      </x:c>
      <x:c r="H8" s="9" t="s">
        <x:v>11</x:v>
      </x:c>
      <x:c r="I8" s="9" t="s">
        <x:v>160</x:v>
      </x:c>
    </x:row>
    <x:row r="9" spans="1:9" x14ac:dyDescent="0.3">
      <x:c r="A9" s="8">
        <x:v>1</x:v>
      </x:c>
      <x:c r="B9" s="2" t="s">
        <x:v>60</x:v>
      </x:c>
      <x:c r="D9" s="8"/>
    </x:row>
    <x:row r="10" spans="1:9" x14ac:dyDescent="0.3">
      <x:c r="A10" s="8">
        <x:f>A9+1</x:f>
        <x:v>2</x:v>
      </x:c>
      <x:c r="B10" s="1">
        <x:v>189</x:v>
      </x:c>
      <x:c r="C10" s="2" t="s">
        <x:v>115</x:v>
      </x:c>
      <x:c r="D10" s="8" t="s">
        <x:v>61</x:v>
      </x:c>
      <x:c r="E10" s="8"/>
      <x:c r="G10" s="6" t="s">
        <x:v>126</x:v>
      </x:c>
    </x:row>
    <x:row r="11" spans="1:9" x14ac:dyDescent="0.3">
      <x:c r="A11" s="8">
        <x:f t="shared" ref="A11:A62" si="0">A10+1</x:f>
        <x:v>3</x:v>
      </x:c>
      <x:c r="B11" s="3">
        <x:v>182</x:v>
      </x:c>
      <x:c r="C11" s="2" t="s">
        <x:v>40</x:v>
      </x:c>
      <x:c r="D11" s="8" t="s">
        <x:v>62</x:v>
      </x:c>
      <x:c r="E11" s="8" t="s">
        <x:v>90</x:v>
      </x:c>
      <x:c r="F11" s="8" t="s">
        <x:v>91</x:v>
      </x:c>
      <x:c r="G11" s="10" t="s">
        <x:v>127</x:v>
      </x:c>
      <x:c r="H11" s="6" t="str">
        <x:f>G11</x:f>
        <x:v>WP II-B-12 SRP Dist-Related Regulatory Assets</x:v>
      </x:c>
      <x:c r="I11" s="8" t="s">
        <x:v>149</x:v>
      </x:c>
    </x:row>
    <x:row r="12" spans="1:9" x14ac:dyDescent="0.3">
      <x:c r="A12" s="8">
        <x:f t="shared" si="0"/>
        <x:v>4</x:v>
      </x:c>
      <x:c r="B12" s="3">
        <x:v>182</x:v>
      </x:c>
      <x:c r="C12" s="2" t="s">
        <x:v>41</x:v>
      </x:c>
      <x:c r="D12" s="8" t="s">
        <x:v>63</x:v>
      </x:c>
      <x:c r="E12" s="8" t="s">
        <x:v>91</x:v>
      </x:c>
      <x:c r="F12" s="8" t="s">
        <x:v>92</x:v>
      </x:c>
      <x:c r="G12" s="10" t="s">
        <x:v>127</x:v>
      </x:c>
      <x:c r="H12" s="6" t="str">
        <x:f t="shared" ref="H12:H61" si="1">G12</x:f>
        <x:v>WP II-B-12 SRP Dist-Related Regulatory Assets</x:v>
      </x:c>
      <x:c r="I12" s="8" t="s">
        <x:v>149</x:v>
      </x:c>
    </x:row>
    <x:row r="13" spans="1:9" x14ac:dyDescent="0.3">
      <x:c r="A13" s="8">
        <x:f t="shared" si="0"/>
        <x:v>5</x:v>
      </x:c>
      <x:c r="B13" s="3">
        <x:v>182</x:v>
      </x:c>
      <x:c r="C13" s="2" t="s">
        <x:v>12</x:v>
      </x:c>
      <x:c r="D13" s="8" t="s">
        <x:v>64</x:v>
      </x:c>
      <x:c r="E13" s="8" t="s">
        <x:v>66</x:v>
      </x:c>
      <x:c r="F13" s="8" t="s">
        <x:v>66</x:v>
      </x:c>
      <x:c r="G13" s="10" t="s">
        <x:v>128</x:v>
      </x:c>
      <x:c r="H13" s="6" t="str">
        <x:f t="shared" si="1"/>
        <x:v>WP II-B-12 Rocky Mound Series Comp</x:v>
      </x:c>
      <x:c r="I13" s="8" t="s">
        <x:v>162</x:v>
      </x:c>
    </x:row>
    <x:row r="14" spans="1:9" x14ac:dyDescent="0.3">
      <x:c r="A14" s="8">
        <x:f t="shared" si="0"/>
        <x:v>6</x:v>
      </x:c>
      <x:c r="B14" s="3">
        <x:v>182</x:v>
      </x:c>
      <x:c r="C14" s="4" t="s">
        <x:v>173</x:v>
      </x:c>
      <x:c r="D14" s="8" t="s">
        <x:v>65</x:v>
      </x:c>
      <x:c r="E14" s="8"/>
      <x:c r="F14" s="8"/>
      <x:c r="G14" s="10" t="s">
        <x:v>161</x:v>
      </x:c>
    </x:row>
    <x:row r="15" spans="1:9" x14ac:dyDescent="0.3">
      <x:c r="A15" s="8">
        <x:f t="shared" si="0"/>
        <x:v>7</x:v>
      </x:c>
      <x:c r="B15" s="3">
        <x:v>182</x:v>
      </x:c>
      <x:c r="C15" s="4" t="s">
        <x:v>13</x:v>
      </x:c>
      <x:c r="D15" s="8" t="s">
        <x:v>66</x:v>
      </x:c>
      <x:c r="E15" s="8" t="s">
        <x:v>95</x:v>
      </x:c>
      <x:c r="F15" s="8" t="s">
        <x:v>96</x:v>
      </x:c>
      <x:c r="G15" s="10" t="s">
        <x:v>129</x:v>
      </x:c>
      <x:c r="H15" s="6" t="str">
        <x:f t="shared" si="1"/>
        <x:v>WP II-B-12 Long-Lead Time Facilities</x:v>
      </x:c>
      <x:c r="I15" s="8" t="s">
        <x:v>149</x:v>
      </x:c>
    </x:row>
    <x:row r="16" spans="1:9" x14ac:dyDescent="0.3">
      <x:c r="A16" s="8">
        <x:f t="shared" si="0"/>
        <x:v>8</x:v>
      </x:c>
      <x:c r="B16" s="3">
        <x:v>182</x:v>
      </x:c>
      <x:c r="C16" s="4" t="s">
        <x:v>14</x:v>
      </x:c>
      <x:c r="D16" s="8" t="s">
        <x:v>67</x:v>
      </x:c>
      <x:c r="E16" s="8"/>
      <x:c r="F16" s="8"/>
      <x:c r="G16" s="10" t="s">
        <x:v>161</x:v>
      </x:c>
    </x:row>
    <x:row r="17" spans="1:9" x14ac:dyDescent="0.3">
      <x:c r="A17" s="8">
        <x:f t="shared" si="0"/>
        <x:v>9</x:v>
      </x:c>
      <x:c r="B17" s="3">
        <x:v>182</x:v>
      </x:c>
      <x:c r="C17" s="4" t="s">
        <x:v>15</x:v>
      </x:c>
      <x:c r="D17" s="8" t="s">
        <x:v>68</x:v>
      </x:c>
      <x:c r="E17" s="8" t="s">
        <x:v>71</x:v>
      </x:c>
      <x:c r="F17" s="8" t="s">
        <x:v>71</x:v>
      </x:c>
      <x:c r="G17" s="10" t="s">
        <x:v>130</x:v>
      </x:c>
      <x:c r="H17" s="6" t="str">
        <x:f t="shared" si="1"/>
        <x:v>WP II-B-12 Defaulted REPs</x:v>
      </x:c>
      <x:c r="I17" s="8" t="s">
        <x:v>162</x:v>
      </x:c>
    </x:row>
    <x:row r="18" spans="1:9" x14ac:dyDescent="0.3">
      <x:c r="A18" s="8">
        <x:f t="shared" si="0"/>
        <x:v>10</x:v>
      </x:c>
      <x:c r="B18" s="3">
        <x:v>182</x:v>
      </x:c>
      <x:c r="C18" s="2" t="s">
        <x:v>16</x:v>
      </x:c>
      <x:c r="D18" s="8" t="s">
        <x:v>69</x:v>
      </x:c>
      <x:c r="E18" s="8" t="s">
        <x:v>98</x:v>
      </x:c>
      <x:c r="F18" s="8" t="s">
        <x:v>99</x:v>
      </x:c>
      <x:c r="G18" s="10" t="s">
        <x:v>131</x:v>
      </x:c>
      <x:c r="H18" s="6" t="str">
        <x:f t="shared" si="1"/>
        <x:v>Sch II-D-2.2a, WP II-B-12 Defaulted REPs</x:v>
      </x:c>
      <x:c r="I18" s="8" t="s">
        <x:v>150</x:v>
      </x:c>
    </x:row>
    <x:row r="19" spans="1:9" x14ac:dyDescent="0.3">
      <x:c r="A19" s="8">
        <x:f t="shared" si="0"/>
        <x:v>11</x:v>
      </x:c>
      <x:c r="B19" s="3">
        <x:v>182</x:v>
      </x:c>
      <x:c r="C19" s="2" t="s">
        <x:v>17</x:v>
      </x:c>
      <x:c r="D19" s="8" t="s">
        <x:v>70</x:v>
      </x:c>
      <x:c r="E19" s="8" t="s">
        <x:v>70</x:v>
      </x:c>
      <x:c r="F19" s="8" t="s">
        <x:v>70</x:v>
      </x:c>
      <x:c r="G19" s="10" t="s">
        <x:v>132</x:v>
      </x:c>
      <x:c r="H19" s="6" t="str">
        <x:f t="shared" si="1"/>
        <x:v>WP II-B-12 COVID-19 Incremental Costs</x:v>
      </x:c>
      <x:c r="I19" s="8" t="s">
        <x:v>162</x:v>
      </x:c>
    </x:row>
    <x:row r="20" spans="1:9" x14ac:dyDescent="0.3">
      <x:c r="A20" s="8">
        <x:f t="shared" si="0"/>
        <x:v>12</x:v>
      </x:c>
      <x:c r="B20" s="3">
        <x:v>182</x:v>
      </x:c>
      <x:c r="C20" s="2" t="s">
        <x:v>18</x:v>
      </x:c>
      <x:c r="D20" s="8" t="s">
        <x:v>71</x:v>
      </x:c>
      <x:c r="E20" s="8" t="s">
        <x:v>97</x:v>
      </x:c>
      <x:c r="F20" s="8" t="s">
        <x:v>98</x:v>
      </x:c>
      <x:c r="G20" s="10" t="s">
        <x:v>132</x:v>
      </x:c>
      <x:c r="H20" s="6" t="str">
        <x:f t="shared" si="1"/>
        <x:v>WP II-B-12 COVID-19 Incremental Costs</x:v>
      </x:c>
      <x:c r="I20" s="8" t="s">
        <x:v>151</x:v>
      </x:c>
    </x:row>
    <x:row r="21" spans="1:9" x14ac:dyDescent="0.3">
      <x:c r="A21" s="8">
        <x:f t="shared" si="0"/>
        <x:v>13</x:v>
      </x:c>
      <x:c r="B21" s="3">
        <x:v>182</x:v>
      </x:c>
      <x:c r="C21" s="2" t="s">
        <x:v>19</x:v>
      </x:c>
      <x:c r="D21" s="8" t="s">
        <x:v>72</x:v>
      </x:c>
      <x:c r="E21" s="8" t="s">
        <x:v>75</x:v>
      </x:c>
      <x:c r="F21" s="8" t="s">
        <x:v>75</x:v>
      </x:c>
      <x:c r="G21" s="10" t="s">
        <x:v>133</x:v>
      </x:c>
      <x:c r="H21" s="6" t="str">
        <x:f t="shared" si="1"/>
        <x:v xml:space="preserve">Sch II-B-14, WP II-B-12 Pension &amp; OPEBs Approved Unamortized </x:v>
      </x:c>
      <x:c r="I21" s="8" t="s">
        <x:v>162</x:v>
      </x:c>
    </x:row>
    <x:row r="22" spans="1:9" x14ac:dyDescent="0.3">
      <x:c r="A22" s="8">
        <x:f t="shared" si="0"/>
        <x:v>14</x:v>
      </x:c>
      <x:c r="B22" s="3">
        <x:v>182</x:v>
      </x:c>
      <x:c r="C22" s="2" t="s">
        <x:v>20</x:v>
      </x:c>
      <x:c r="D22" s="8" t="s">
        <x:v>73</x:v>
      </x:c>
      <x:c r="E22" s="8" t="s">
        <x:v>101</x:v>
      </x:c>
      <x:c r="F22" s="8" t="s">
        <x:v>102</x:v>
      </x:c>
      <x:c r="G22" s="10" t="s">
        <x:v>134</x:v>
      </x:c>
      <x:c r="H22" s="6" t="str">
        <x:f t="shared" si="1"/>
        <x:v>Sch II-B-14</x:v>
      </x:c>
      <x:c r="I22" s="8" t="s">
        <x:v>152</x:v>
      </x:c>
    </x:row>
    <x:row r="23" spans="1:9" x14ac:dyDescent="0.3">
      <x:c r="A23" s="8">
        <x:f t="shared" si="0"/>
        <x:v>15</x:v>
      </x:c>
      <x:c r="B23" s="3">
        <x:v>182</x:v>
      </x:c>
      <x:c r="C23" s="2" t="s">
        <x:v>21</x:v>
      </x:c>
      <x:c r="D23" s="8" t="s">
        <x:v>74</x:v>
      </x:c>
      <x:c r="E23" s="8"/>
      <x:c r="F23" s="8"/>
      <x:c r="G23" s="10" t="s">
        <x:v>161</x:v>
      </x:c>
    </x:row>
    <x:row r="24" spans="1:9" x14ac:dyDescent="0.3">
      <x:c r="A24" s="8">
        <x:f t="shared" si="0"/>
        <x:v>16</x:v>
      </x:c>
      <x:c r="B24" s="3">
        <x:v>182</x:v>
      </x:c>
      <x:c r="C24" s="2" t="s">
        <x:v>22</x:v>
      </x:c>
      <x:c r="D24" s="8" t="s">
        <x:v>75</x:v>
      </x:c>
      <x:c r="E24" s="8"/>
      <x:c r="F24" s="8"/>
      <x:c r="G24" s="10" t="s">
        <x:v>161</x:v>
      </x:c>
    </x:row>
    <x:row r="25" spans="1:9" x14ac:dyDescent="0.3">
      <x:c r="A25" s="8">
        <x:f t="shared" si="0"/>
        <x:v>17</x:v>
      </x:c>
      <x:c r="B25" s="3">
        <x:v>182</x:v>
      </x:c>
      <x:c r="C25" s="2" t="s">
        <x:v>23</x:v>
      </x:c>
      <x:c r="D25" s="8" t="s">
        <x:v>76</x:v>
      </x:c>
      <x:c r="E25" s="8"/>
      <x:c r="F25" s="8"/>
      <x:c r="G25" s="10" t="s">
        <x:v>161</x:v>
      </x:c>
    </x:row>
    <x:row r="26" spans="1:9" x14ac:dyDescent="0.3">
      <x:c r="A26" s="8">
        <x:f t="shared" si="0"/>
        <x:v>18</x:v>
      </x:c>
      <x:c r="B26" s="3">
        <x:v>182</x:v>
      </x:c>
      <x:c r="C26" s="2" t="s">
        <x:v>24</x:v>
      </x:c>
      <x:c r="D26" s="8" t="s">
        <x:v>77</x:v>
      </x:c>
      <x:c r="E26" s="8" t="s">
        <x:v>63</x:v>
      </x:c>
      <x:c r="F26" s="8" t="s">
        <x:v>63</x:v>
      </x:c>
      <x:c r="G26" s="10" t="s">
        <x:v>135</x:v>
      </x:c>
      <x:c r="H26" s="6" t="str">
        <x:f t="shared" si="1"/>
        <x:v>WP II-B-12 Under-recovered AMS</x:v>
      </x:c>
      <x:c r="I26" s="8" t="s">
        <x:v>162</x:v>
      </x:c>
    </x:row>
    <x:row r="27" spans="1:9" x14ac:dyDescent="0.3">
      <x:c r="A27" s="8">
        <x:f t="shared" si="0"/>
        <x:v>19</x:v>
      </x:c>
      <x:c r="B27" s="3">
        <x:v>182</x:v>
      </x:c>
      <x:c r="C27" s="2" t="s">
        <x:v>25</x:v>
      </x:c>
      <x:c r="D27" s="8" t="s">
        <x:v>78</x:v>
      </x:c>
      <x:c r="E27" s="8" t="s">
        <x:v>118</x:v>
      </x:c>
      <x:c r="F27" s="8" t="s">
        <x:v>118</x:v>
      </x:c>
      <x:c r="G27" s="10" t="s">
        <x:v>136</x:v>
      </x:c>
      <x:c r="H27" s="6" t="str">
        <x:f t="shared" si="1"/>
        <x:v>WP II-B-12 Wholesale Distribution Substation Service</x:v>
      </x:c>
      <x:c r="I27" s="8" t="s">
        <x:v>162</x:v>
      </x:c>
    </x:row>
    <x:row r="28" spans="1:9" x14ac:dyDescent="0.3">
      <x:c r="A28" s="8">
        <x:f t="shared" si="0"/>
        <x:v>20</x:v>
      </x:c>
      <x:c r="B28" s="3">
        <x:v>182</x:v>
      </x:c>
      <x:c r="C28" s="2" t="s">
        <x:v>26</x:v>
      </x:c>
      <x:c r="D28" s="8" t="s">
        <x:v>79</x:v>
      </x:c>
      <x:c r="E28" s="8" t="s">
        <x:v>92</x:v>
      </x:c>
      <x:c r="F28" s="8" t="s">
        <x:v>93</x:v>
      </x:c>
      <x:c r="G28" s="10" t="s">
        <x:v>136</x:v>
      </x:c>
      <x:c r="H28" s="6" t="str">
        <x:f t="shared" si="1"/>
        <x:v>WP II-B-12 Wholesale Distribution Substation Service</x:v>
      </x:c>
      <x:c r="I28" s="8" t="s">
        <x:v>149</x:v>
      </x:c>
    </x:row>
    <x:row r="29" spans="1:9" x14ac:dyDescent="0.3">
      <x:c r="A29" s="8">
        <x:f t="shared" si="0"/>
        <x:v>21</x:v>
      </x:c>
      <x:c r="B29" s="3">
        <x:v>182</x:v>
      </x:c>
      <x:c r="C29" s="2" t="s">
        <x:v>27</x:v>
      </x:c>
      <x:c r="D29" s="8" t="s">
        <x:v>80</x:v>
      </x:c>
      <x:c r="E29" s="8" t="s">
        <x:v>78</x:v>
      </x:c>
      <x:c r="F29" s="11" t="s">
        <x:v>78</x:v>
      </x:c>
      <x:c r="G29" s="10" t="s">
        <x:v>137</x:v>
      </x:c>
      <x:c r="H29" s="6" t="str">
        <x:f t="shared" si="1"/>
        <x:v>WP II-B-12 Sharyland Interim Rate Reg Asset</x:v>
      </x:c>
      <x:c r="I29" s="8" t="s">
        <x:v>162</x:v>
      </x:c>
    </x:row>
    <x:row r="30" spans="1:9" x14ac:dyDescent="0.3">
      <x:c r="A30" s="8">
        <x:f t="shared" si="0"/>
        <x:v>22</x:v>
      </x:c>
      <x:c r="B30" s="3">
        <x:v>182</x:v>
      </x:c>
      <x:c r="C30" s="2" t="s">
        <x:v>28</x:v>
      </x:c>
      <x:c r="D30" s="8" t="s">
        <x:v>81</x:v>
      </x:c>
      <x:c r="E30" s="8" t="s">
        <x:v>77</x:v>
      </x:c>
      <x:c r="F30" s="8" t="s">
        <x:v>77</x:v>
      </x:c>
      <x:c r="G30" s="10" t="s">
        <x:v>138</x:v>
      </x:c>
      <x:c r="H30" s="6" t="str">
        <x:f t="shared" si="1"/>
        <x:v>WP II-B-12 NTU Transition to Competition</x:v>
      </x:c>
      <x:c r="I30" s="8" t="s">
        <x:v>162</x:v>
      </x:c>
    </x:row>
    <x:row r="31" spans="1:9" x14ac:dyDescent="0.3">
      <x:c r="A31" s="8">
        <x:f t="shared" si="0"/>
        <x:v>23</x:v>
      </x:c>
      <x:c r="B31" s="3">
        <x:v>182</x:v>
      </x:c>
      <x:c r="C31" s="2" t="s">
        <x:v>29</x:v>
      </x:c>
      <x:c r="D31" s="8" t="s">
        <x:v>82</x:v>
      </x:c>
      <x:c r="E31" s="8" t="s">
        <x:v>69</x:v>
      </x:c>
      <x:c r="F31" s="8" t="s">
        <x:v>69</x:v>
      </x:c>
      <x:c r="G31" s="10" t="s">
        <x:v>139</x:v>
      </x:c>
      <x:c r="H31" s="6" t="str">
        <x:f t="shared" si="1"/>
        <x:v>WP II-B-12 Power Line Safety Act Reg Asset</x:v>
      </x:c>
      <x:c r="I31" s="8" t="s">
        <x:v>162</x:v>
      </x:c>
    </x:row>
    <x:row r="32" spans="1:9" x14ac:dyDescent="0.3">
      <x:c r="A32" s="8">
        <x:f t="shared" si="0"/>
        <x:v>24</x:v>
      </x:c>
      <x:c r="B32" s="3">
        <x:v>182</x:v>
      </x:c>
      <x:c r="C32" s="2" t="s">
        <x:v>30</x:v>
      </x:c>
      <x:c r="D32" s="8" t="s">
        <x:v>83</x:v>
      </x:c>
      <x:c r="E32" s="8" t="s">
        <x:v>96</x:v>
      </x:c>
      <x:c r="F32" s="8" t="s">
        <x:v>97</x:v>
      </x:c>
      <x:c r="G32" s="10" t="s">
        <x:v>139</x:v>
      </x:c>
      <x:c r="H32" s="6" t="str">
        <x:f t="shared" si="1"/>
        <x:v>WP II-B-12 Power Line Safety Act Reg Asset</x:v>
      </x:c>
      <x:c r="I32" s="8" t="s">
        <x:v>153</x:v>
      </x:c>
    </x:row>
    <x:row r="33" spans="1:9" x14ac:dyDescent="0.3">
      <x:c r="A33" s="8">
        <x:f t="shared" si="0"/>
        <x:v>25</x:v>
      </x:c>
      <x:c r="B33" s="3">
        <x:v>186</x:v>
      </x:c>
      <x:c r="C33" s="2" t="s">
        <x:v>174</x:v>
      </x:c>
      <x:c r="D33" s="8" t="s">
        <x:v>84</x:v>
      </x:c>
      <x:c r="E33" s="8" t="s">
        <x:v>120</x:v>
      </x:c>
      <x:c r="F33" s="8" t="s">
        <x:v>120</x:v>
      </x:c>
      <x:c r="G33" s="10" t="s">
        <x:v>140</x:v>
      </x:c>
      <x:c r="H33" s="6" t="str">
        <x:f t="shared" si="1"/>
        <x:v>WP II-B-12 SIR Approved Unamortized</x:v>
      </x:c>
      <x:c r="I33" s="8" t="s">
        <x:v>162</x:v>
      </x:c>
    </x:row>
    <x:row r="34" spans="1:9" x14ac:dyDescent="0.3">
      <x:c r="A34" s="8">
        <x:f t="shared" si="0"/>
        <x:v>26</x:v>
      </x:c>
      <x:c r="B34" s="3">
        <x:v>186</x:v>
      </x:c>
      <x:c r="C34" s="2" t="s">
        <x:v>175</x:v>
      </x:c>
      <x:c r="D34" s="8" t="s">
        <x:v>85</x:v>
      </x:c>
      <x:c r="E34" s="8" t="s">
        <x:v>119</x:v>
      </x:c>
      <x:c r="F34" s="8" t="s">
        <x:v>124</x:v>
      </x:c>
      <x:c r="G34" s="10" t="s">
        <x:v>141</x:v>
      </x:c>
      <x:c r="H34" s="6" t="str">
        <x:f t="shared" si="1"/>
        <x:v>WP II-B-12 SIR To Be Reviewed</x:v>
      </x:c>
      <x:c r="I34" s="8" t="s">
        <x:v>154</x:v>
      </x:c>
    </x:row>
    <x:row r="35" spans="1:9" x14ac:dyDescent="0.3">
      <x:c r="A35" s="8">
        <x:f t="shared" si="0"/>
        <x:v>27</x:v>
      </x:c>
      <x:c r="B35" s="3">
        <x:v>186</x:v>
      </x:c>
      <x:c r="C35" s="2" t="s">
        <x:v>31</x:v>
      </x:c>
      <x:c r="D35" s="8" t="s">
        <x:v>86</x:v>
      </x:c>
      <x:c r="E35" s="8"/>
      <x:c r="F35" s="8"/>
      <x:c r="G35" s="10" t="s">
        <x:v>161</x:v>
      </x:c>
    </x:row>
    <x:row r="36" spans="1:9" x14ac:dyDescent="0.3">
      <x:c r="A36" s="8">
        <x:f t="shared" si="0"/>
        <x:v>28</x:v>
      </x:c>
      <x:c r="B36" s="3">
        <x:v>186</x:v>
      </x:c>
      <x:c r="C36" s="2" t="s">
        <x:v>32</x:v>
      </x:c>
      <x:c r="D36" s="8" t="s">
        <x:v>87</x:v>
      </x:c>
      <x:c r="E36" s="8" t="s">
        <x:v>107</x:v>
      </x:c>
      <x:c r="F36" s="8" t="s">
        <x:v>107</x:v>
      </x:c>
      <x:c r="G36" s="10" t="s">
        <x:v>161</x:v>
      </x:c>
      <x:c r="I36" s="8" t="s">
        <x:v>159</x:v>
      </x:c>
    </x:row>
    <x:row r="37" spans="1:9" x14ac:dyDescent="0.3">
      <x:c r="A37" s="8">
        <x:f t="shared" si="0"/>
        <x:v>29</x:v>
      </x:c>
      <x:c r="B37" s="3">
        <x:v>186</x:v>
      </x:c>
      <x:c r="C37" s="2" t="s">
        <x:v>42</x:v>
      </x:c>
      <x:c r="D37" s="8" t="s">
        <x:v>88</x:v>
      </x:c>
      <x:c r="E37" s="8" t="s">
        <x:v>106</x:v>
      </x:c>
      <x:c r="F37" s="8" t="s">
        <x:v>167</x:v>
      </x:c>
      <x:c r="G37" s="10" t="s">
        <x:v>161</x:v>
      </x:c>
      <x:c r="I37" s="8" t="s">
        <x:v>155</x:v>
      </x:c>
    </x:row>
    <x:row r="38" spans="1:9" x14ac:dyDescent="0.3">
      <x:c r="A38" s="8">
        <x:f t="shared" si="0"/>
        <x:v>30</x:v>
      </x:c>
      <x:c r="B38" s="3">
        <x:v>186</x:v>
      </x:c>
      <x:c r="C38" s="5" t="s">
        <x:v>33</x:v>
      </x:c>
      <x:c r="D38" s="8" t="s">
        <x:v>89</x:v>
      </x:c>
      <x:c r="E38" s="8"/>
      <x:c r="F38" s="8"/>
      <x:c r="G38" s="6" t="s">
        <x:v>148</x:v>
      </x:c>
      <x:c r="H38" s="6" t="str">
        <x:f t="shared" si="1"/>
        <x:v>Sch II-E-4.5</x:v>
      </x:c>
    </x:row>
    <x:row r="39" spans="1:9" x14ac:dyDescent="0.3">
      <x:c r="A39" s="8">
        <x:f t="shared" si="0"/>
        <x:v>31</x:v>
      </x:c>
      <x:c r="B39" s="3">
        <x:v>186</x:v>
      </x:c>
      <x:c r="C39" s="2" t="s">
        <x:v>34</x:v>
      </x:c>
      <x:c r="D39" s="8" t="s">
        <x:v>90</x:v>
      </x:c>
      <x:c r="E39" s="8"/>
      <x:c r="F39" s="8"/>
      <x:c r="G39" s="6" t="s">
        <x:v>148</x:v>
      </x:c>
      <x:c r="H39" s="6" t="str">
        <x:f t="shared" si="1"/>
        <x:v>Sch II-E-4.5</x:v>
      </x:c>
    </x:row>
    <x:row r="40" spans="1:9" x14ac:dyDescent="0.3">
      <x:c r="A40" s="8">
        <x:f t="shared" si="0"/>
        <x:v>32</x:v>
      </x:c>
      <x:c r="B40" s="3">
        <x:v>186</x:v>
      </x:c>
      <x:c r="C40" s="2" t="s">
        <x:v>35</x:v>
      </x:c>
      <x:c r="D40" s="8" t="s">
        <x:v>91</x:v>
      </x:c>
      <x:c r="E40" s="8"/>
      <x:c r="F40" s="8"/>
      <x:c r="G40" s="6" t="s">
        <x:v>148</x:v>
      </x:c>
      <x:c r="H40" s="6" t="str">
        <x:f t="shared" si="1"/>
        <x:v>Sch II-E-4.5</x:v>
      </x:c>
    </x:row>
    <x:row r="41" spans="1:9" x14ac:dyDescent="0.3">
      <x:c r="A41" s="8">
        <x:f t="shared" si="0"/>
        <x:v>33</x:v>
      </x:c>
      <x:c r="B41" s="3">
        <x:v>186</x:v>
      </x:c>
      <x:c r="C41" s="2" t="s">
        <x:v>36</x:v>
      </x:c>
      <x:c r="D41" s="8" t="s">
        <x:v>92</x:v>
      </x:c>
      <x:c r="E41" s="8"/>
      <x:c r="F41" s="8"/>
      <x:c r="G41" s="6" t="s">
        <x:v>148</x:v>
      </x:c>
      <x:c r="H41" s="6" t="str">
        <x:f t="shared" si="1"/>
        <x:v>Sch II-E-4.5</x:v>
      </x:c>
    </x:row>
    <x:row r="42" spans="1:9" x14ac:dyDescent="0.3">
      <x:c r="A42" s="8">
        <x:f t="shared" si="0"/>
        <x:v>34</x:v>
      </x:c>
      <x:c r="B42" s="3">
        <x:v>186</x:v>
      </x:c>
      <x:c r="C42" s="2" t="s">
        <x:v>176</x:v>
      </x:c>
      <x:c r="D42" s="8" t="s">
        <x:v>93</x:v>
      </x:c>
      <x:c r="E42" s="8" t="s">
        <x:v>112</x:v>
      </x:c>
      <x:c r="F42" s="8" t="s">
        <x:v>112</x:v>
      </x:c>
      <x:c r="G42" s="10" t="s">
        <x:v>142</x:v>
      </x:c>
      <x:c r="H42" s="6" t="str">
        <x:f t="shared" si="1"/>
        <x:v xml:space="preserve">WP/Sch II-B-12 SRP Docket 56545 </x:v>
      </x:c>
      <x:c r="I42" s="8" t="s">
        <x:v>156</x:v>
      </x:c>
    </x:row>
    <x:row r="43" spans="1:9" x14ac:dyDescent="0.3">
      <x:c r="A43" s="8">
        <x:f t="shared" si="0"/>
        <x:v>35</x:v>
      </x:c>
      <x:c r="B43" s="3">
        <x:v>186</x:v>
      </x:c>
      <x:c r="C43" s="2" t="s">
        <x:v>37</x:v>
      </x:c>
      <x:c r="D43" s="8" t="s">
        <x:v>94</x:v>
      </x:c>
      <x:c r="E43" s="8"/>
      <x:c r="F43" s="8"/>
      <x:c r="G43" s="6" t="s">
        <x:v>148</x:v>
      </x:c>
      <x:c r="H43" s="6" t="str">
        <x:f t="shared" si="1"/>
        <x:v>Sch II-E-4.5</x:v>
      </x:c>
    </x:row>
    <x:row r="44" spans="1:9" x14ac:dyDescent="0.3">
      <x:c r="A44" s="8">
        <x:f t="shared" si="0"/>
        <x:v>36</x:v>
      </x:c>
      <x:c r="B44" s="3">
        <x:v>186</x:v>
      </x:c>
      <x:c r="C44" s="2" t="s">
        <x:v>177</x:v>
      </x:c>
      <x:c r="D44" s="8" t="s">
        <x:v>95</x:v>
      </x:c>
      <x:c r="E44" s="8" t="s">
        <x:v>121</x:v>
      </x:c>
      <x:c r="F44" s="8" t="s">
        <x:v>121</x:v>
      </x:c>
      <x:c r="G44" s="10" t="s">
        <x:v>143</x:v>
      </x:c>
      <x:c r="H44" s="6" t="str">
        <x:f t="shared" si="1"/>
        <x:v xml:space="preserve">WP/Sch II-B-12 Insurance Docket 57932 </x:v>
      </x:c>
      <x:c r="I44" s="8" t="s">
        <x:v>156</x:v>
      </x:c>
    </x:row>
    <x:row r="45" spans="1:9" x14ac:dyDescent="0.3">
      <x:c r="A45" s="8">
        <x:f t="shared" si="0"/>
        <x:v>37</x:v>
      </x:c>
      <x:c r="B45" s="3">
        <x:v>186</x:v>
      </x:c>
      <x:c r="C45" s="2" t="s">
        <x:v>38</x:v>
      </x:c>
      <x:c r="D45" s="8" t="s">
        <x:v>96</x:v>
      </x:c>
      <x:c r="E45" s="8"/>
      <x:c r="F45" s="8"/>
      <x:c r="G45" s="6" t="s">
        <x:v>148</x:v>
      </x:c>
      <x:c r="H45" s="6" t="str">
        <x:f t="shared" si="1"/>
        <x:v>Sch II-E-4.5</x:v>
      </x:c>
    </x:row>
    <x:row r="46" spans="1:9" x14ac:dyDescent="0.3">
      <x:c r="A46" s="8">
        <x:f t="shared" si="0"/>
        <x:v>38</x:v>
      </x:c>
      <x:c r="B46" s="3">
        <x:v>186</x:v>
      </x:c>
      <x:c r="C46" s="2" t="s">
        <x:v>39</x:v>
      </x:c>
      <x:c r="D46" s="8" t="s">
        <x:v>97</x:v>
      </x:c>
      <x:c r="E46" s="8"/>
      <x:c r="F46" s="8"/>
      <x:c r="G46" s="6" t="s">
        <x:v>148</x:v>
      </x:c>
      <x:c r="H46" s="6" t="str">
        <x:f t="shared" si="1"/>
        <x:v>Sch II-E-4.5</x:v>
      </x:c>
    </x:row>
    <x:row r="47" spans="1:9" x14ac:dyDescent="0.3">
      <x:c r="A47" s="8">
        <x:f t="shared" si="0"/>
        <x:v>39</x:v>
      </x:c>
      <x:c r="D47" s="8"/>
    </x:row>
    <x:row r="48" spans="1:9" x14ac:dyDescent="0.3">
      <x:c r="A48" s="8">
        <x:f t="shared" si="0"/>
        <x:v>40</x:v>
      </x:c>
      <x:c r="B48" s="2" t="s">
        <x:v>58</x:v>
      </x:c>
      <x:c r="D48" s="8"/>
    </x:row>
    <x:row r="49" spans="1:9" x14ac:dyDescent="0.3">
      <x:c r="A49" s="8">
        <x:f t="shared" si="0"/>
        <x:v>41</x:v>
      </x:c>
      <x:c r="B49" s="3">
        <x:v>254</x:v>
      </x:c>
      <x:c r="C49" s="2" t="s">
        <x:v>43</x:v>
      </x:c>
      <x:c r="D49" s="8" t="s">
        <x:v>100</x:v>
      </x:c>
      <x:c r="G49" s="10" t="s">
        <x:v>161</x:v>
      </x:c>
    </x:row>
    <x:row r="50" spans="1:9" x14ac:dyDescent="0.3">
      <x:c r="A50" s="8">
        <x:f t="shared" si="0"/>
        <x:v>42</x:v>
      </x:c>
      <x:c r="B50" s="3" t="s">
        <x:v>44</x:v>
      </x:c>
      <x:c r="C50" s="2" t="s">
        <x:v>45</x:v>
      </x:c>
      <x:c r="D50" s="8" t="s">
        <x:v>101</x:v>
      </x:c>
      <x:c r="G50" s="10" t="s">
        <x:v>161</x:v>
      </x:c>
    </x:row>
    <x:row r="51" spans="1:9" x14ac:dyDescent="0.3">
      <x:c r="A51" s="8">
        <x:f t="shared" si="0"/>
        <x:v>43</x:v>
      </x:c>
      <x:c r="B51" s="3">
        <x:v>254</x:v>
      </x:c>
      <x:c r="C51" s="2" t="s">
        <x:v>46</x:v>
      </x:c>
      <x:c r="D51" s="8" t="s">
        <x:v>102</x:v>
      </x:c>
      <x:c r="E51" s="8" t="s">
        <x:v>123</x:v>
      </x:c>
      <x:c r="F51" s="8" t="s">
        <x:v>123</x:v>
      </x:c>
      <x:c r="G51" s="10" t="s">
        <x:v>144</x:v>
      </x:c>
      <x:c r="H51" s="6" t="str">
        <x:f t="shared" si="1"/>
        <x:v>WP II-B-12 Intangible Over-Recovery Approved &amp; To Be Reviewed</x:v>
      </x:c>
      <x:c r="I51" s="8" t="s">
        <x:v>162</x:v>
      </x:c>
    </x:row>
    <x:row r="52" spans="1:9" x14ac:dyDescent="0.3">
      <x:c r="A52" s="8">
        <x:f t="shared" si="0"/>
        <x:v>44</x:v>
      </x:c>
      <x:c r="B52" s="3">
        <x:v>254</x:v>
      </x:c>
      <x:c r="C52" s="2" t="s">
        <x:v>47</x:v>
      </x:c>
      <x:c r="D52" s="8" t="s">
        <x:v>103</x:v>
      </x:c>
      <x:c r="E52" s="8" t="s">
        <x:v>122</x:v>
      </x:c>
      <x:c r="F52" s="8" t="s">
        <x:v>125</x:v>
      </x:c>
      <x:c r="G52" s="10" t="s">
        <x:v>144</x:v>
      </x:c>
      <x:c r="H52" s="6" t="str">
        <x:f t="shared" si="1"/>
        <x:v>WP II-B-12 Intangible Over-Recovery Approved &amp; To Be Reviewed</x:v>
      </x:c>
      <x:c r="I52" s="8" t="s">
        <x:v>149</x:v>
      </x:c>
    </x:row>
    <x:row r="53" spans="1:9" x14ac:dyDescent="0.3">
      <x:c r="A53" s="8">
        <x:f t="shared" si="0"/>
        <x:v>45</x:v>
      </x:c>
      <x:c r="B53" s="3">
        <x:v>254</x:v>
      </x:c>
      <x:c r="C53" s="2" t="s">
        <x:v>48</x:v>
      </x:c>
      <x:c r="D53" s="8" t="s">
        <x:v>104</x:v>
      </x:c>
      <x:c r="G53" s="10" t="s">
        <x:v>161</x:v>
      </x:c>
    </x:row>
    <x:row r="54" spans="1:9" x14ac:dyDescent="0.3">
      <x:c r="A54" s="8">
        <x:f t="shared" si="0"/>
        <x:v>46</x:v>
      </x:c>
      <x:c r="B54" s="3">
        <x:v>254</x:v>
      </x:c>
      <x:c r="C54" s="2" t="s">
        <x:v>49</x:v>
      </x:c>
      <x:c r="D54" s="8" t="s">
        <x:v>105</x:v>
      </x:c>
      <x:c r="G54" s="10" t="s">
        <x:v>161</x:v>
      </x:c>
    </x:row>
    <x:row r="55" spans="1:9" x14ac:dyDescent="0.3">
      <x:c r="A55" s="8">
        <x:f t="shared" si="0"/>
        <x:v>47</x:v>
      </x:c>
      <x:c r="B55" s="3">
        <x:v>254</x:v>
      </x:c>
      <x:c r="C55" s="2" t="s">
        <x:v>50</x:v>
      </x:c>
      <x:c r="D55" s="8" t="s">
        <x:v>106</x:v>
      </x:c>
      <x:c r="G55" s="10" t="s">
        <x:v>161</x:v>
      </x:c>
    </x:row>
    <x:row r="56" spans="1:9" x14ac:dyDescent="0.3">
      <x:c r="A56" s="8">
        <x:f t="shared" si="0"/>
        <x:v>48</x:v>
      </x:c>
      <x:c r="B56" s="3">
        <x:v>254</x:v>
      </x:c>
      <x:c r="C56" s="2" t="s">
        <x:v>51</x:v>
      </x:c>
      <x:c r="D56" s="8" t="s">
        <x:v>107</x:v>
      </x:c>
      <x:c r="G56" s="10" t="s">
        <x:v>161</x:v>
      </x:c>
    </x:row>
    <x:row r="57" spans="1:9" x14ac:dyDescent="0.3">
      <x:c r="A57" s="8">
        <x:f t="shared" si="0"/>
        <x:v>49</x:v>
      </x:c>
      <x:c r="B57" s="3">
        <x:v>254</x:v>
      </x:c>
      <x:c r="C57" s="2" t="s">
        <x:v>52</x:v>
      </x:c>
      <x:c r="D57" s="8" t="s">
        <x:v>108</x:v>
      </x:c>
      <x:c r="E57" s="8" t="s">
        <x:v>163</x:v>
      </x:c>
      <x:c r="F57" s="8" t="s">
        <x:v>165</x:v>
      </x:c>
      <x:c r="G57" s="10" t="s">
        <x:v>145</x:v>
      </x:c>
      <x:c r="H57" s="6" t="str">
        <x:f t="shared" si="1"/>
        <x:v>WP II-B-12 Cap Structure Over-Refund</x:v>
      </x:c>
      <x:c r="I57" s="8" t="s">
        <x:v>168</x:v>
      </x:c>
    </x:row>
    <x:row r="58" spans="1:9" x14ac:dyDescent="0.3">
      <x:c r="A58" s="8">
        <x:f t="shared" si="0"/>
        <x:v>50</x:v>
      </x:c>
      <x:c r="B58" s="3">
        <x:v>254</x:v>
      </x:c>
      <x:c r="C58" s="2" t="s">
        <x:v>53</x:v>
      </x:c>
      <x:c r="D58" s="8" t="s">
        <x:v>109</x:v>
      </x:c>
      <x:c r="E58" s="8" t="s">
        <x:v>164</x:v>
      </x:c>
      <x:c r="F58" s="8" t="s">
        <x:v>166</x:v>
      </x:c>
      <x:c r="G58" s="10" t="s">
        <x:v>146</x:v>
      </x:c>
      <x:c r="H58" s="6" t="str">
        <x:f t="shared" si="1"/>
        <x:v>WP II-B-12 Tax Refund Factor Over-Refund</x:v>
      </x:c>
      <x:c r="I58" s="8" t="s">
        <x:v>169</x:v>
      </x:c>
    </x:row>
    <x:row r="59" spans="1:9" x14ac:dyDescent="0.3">
      <x:c r="A59" s="8">
        <x:f t="shared" si="0"/>
        <x:v>51</x:v>
      </x:c>
      <x:c r="B59" s="3">
        <x:v>254</x:v>
      </x:c>
      <x:c r="C59" s="2" t="s">
        <x:v>54</x:v>
      </x:c>
      <x:c r="D59" s="8" t="s">
        <x:v>110</x:v>
      </x:c>
      <x:c r="E59" s="8" t="s">
        <x:v>105</x:v>
      </x:c>
      <x:c r="F59" s="8" t="s">
        <x:v>106</x:v>
      </x:c>
      <x:c r="G59" s="10" t="s">
        <x:v>147</x:v>
      </x:c>
      <x:c r="H59" s="6" t="str">
        <x:f t="shared" si="1"/>
        <x:v>WP II-B-12 Interest-Rate Savings Refund</x:v>
      </x:c>
      <x:c r="I59" s="8" t="s">
        <x:v>157</x:v>
      </x:c>
    </x:row>
    <x:row r="60" spans="1:9" x14ac:dyDescent="0.3">
      <x:c r="A60" s="8">
        <x:f t="shared" si="0"/>
        <x:v>52</x:v>
      </x:c>
      <x:c r="B60" s="3">
        <x:v>254</x:v>
      </x:c>
      <x:c r="C60" s="2" t="s">
        <x:v>55</x:v>
      </x:c>
      <x:c r="D60" s="8" t="s">
        <x:v>111</x:v>
      </x:c>
      <x:c r="E60" s="8" t="s">
        <x:v>76</x:v>
      </x:c>
      <x:c r="F60" s="8" t="s">
        <x:v>76</x:v>
      </x:c>
      <x:c r="G60" s="10" t="s">
        <x:v>133</x:v>
      </x:c>
      <x:c r="H60" s="6" t="str">
        <x:f t="shared" si="1"/>
        <x:v xml:space="preserve">Sch II-B-14, WP II-B-12 Pension &amp; OPEBs Approved Unamortized </x:v>
      </x:c>
      <x:c r="I60" s="8" t="s">
        <x:v>162</x:v>
      </x:c>
    </x:row>
    <x:row r="61" spans="1:9" x14ac:dyDescent="0.3">
      <x:c r="A61" s="8">
        <x:f t="shared" si="0"/>
        <x:v>53</x:v>
      </x:c>
      <x:c r="B61" s="3">
        <x:v>254</x:v>
      </x:c>
      <x:c r="C61" s="2" t="s">
        <x:v>56</x:v>
      </x:c>
      <x:c r="D61" s="8" t="s">
        <x:v>112</x:v>
      </x:c>
      <x:c r="E61" s="8" t="s">
        <x:v>102</x:v>
      </x:c>
      <x:c r="F61" s="8" t="s">
        <x:v>103</x:v>
      </x:c>
      <x:c r="G61" s="10" t="s">
        <x:v>134</x:v>
      </x:c>
      <x:c r="H61" s="6" t="str">
        <x:f t="shared" si="1"/>
        <x:v>Sch II-B-14</x:v>
      </x:c>
      <x:c r="I61" s="8" t="s">
        <x:v>158</x:v>
      </x:c>
    </x:row>
    <x:row r="62" spans="1:9" x14ac:dyDescent="0.3">
      <x:c r="A62" s="8">
        <x:f t="shared" si="0"/>
        <x:v>54</x:v>
      </x:c>
      <x:c r="B62" s="3">
        <x:v>257</x:v>
      </x:c>
      <x:c r="C62" s="2" t="s">
        <x:v>57</x:v>
      </x:c>
      <x:c r="D62" s="8" t="s">
        <x:v>113</x:v>
      </x:c>
      <x:c r="G62" s="10" t="s">
        <x:v>161</x:v>
      </x:c>
    </x:row>
    <x:row r="64" spans="1:9" x14ac:dyDescent="0.3">
      <x:c r="A64" s="6" t="s">
        <x:v>172</x:v>
      </x:c>
    </x:row>
    <x:row r="65" spans="1:1" x14ac:dyDescent="0.3">
      <x:c r="A65" s="12" t="s">
        <x:v>170</x:v>
      </x:c>
    </x:row>
    <x:row r="66" spans="1:1" x14ac:dyDescent="0.3">
      <x:c r="A66" s="6" t="s">
        <x:v>171</x:v>
      </x:c>
    </x:row>
  </x:sheetData>
  <x:mergeCells count="1">
    <x:mergeCell ref="B8:C8"/>
  </x:mergeCells>
  <x:phoneticPr fontId="1" type="noConversion"/>
  <x:printOptions horizontalCentered="1" verticalCentered="1"/>
  <x:pageMargins left="0.45" right="0.45" top="0.75" bottom="0.5" header="0.3" footer="0.3"/>
  <x:pageSetup scale="42" orientation="landscape" r:id="rId1"/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2025-05-08T16:19:24.0000000Z</dcterms:modified>
</coreProperties>
</file>