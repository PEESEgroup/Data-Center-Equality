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66925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B (Rate Base)\Sch II-B WP\"/>
    </mc:Choice>
  </mc:AlternateContent>
  <xr:revisionPtr revIDLastSave="0" documentId="13_ncr:1_{68842960-E6F3-49CC-9764-B5695B8BE2A3}" xr6:coauthVersionLast="47" xr6:coauthVersionMax="47" xr10:uidLastSave="{00000000-0000-0000-0000-000000000000}"/>
  <x:bookViews>
    <x:workbookView xWindow="25974" yWindow="-109" windowWidth="26301" windowHeight="14169" xr2:uid="{3BF12B3C-0172-45CD-B488-2668BBCE1A93}"/>
  </x:bookViews>
  <x:sheets>
    <x:sheet name="WP II-B-5_06" sheetId="1" r:id="rId1"/>
  </x:sheets>
  <x:definedNames>
    <x:definedName name="_xlnm.Print_Area" localSheetId="0">'WP II-B-5_06'!$A$2:$N$34</x:definedName>
    <x:definedName name="_xlnm.Print_Titles" localSheetId="0">'WP II-B-5_06'!$A:$A,'WP II-B-5_06'!$1:$1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C29" i="1" l="1"/>
  <x:c r="C28" i="1"/>
  <x:c r="C26" i="1"/>
  <x:c r="C23" i="1"/>
  <x:c r="C17" i="1"/>
  <x:c r="C13" i="1"/>
  <x:c r="C7" i="1"/>
  <x:c r="D28" i="1"/>
  <x:c r="D26" i="1"/>
  <x:c r="D23" i="1"/>
  <x:c r="D17" i="1"/>
  <x:c r="D13" i="1"/>
  <x:c r="D7" i="1"/>
  <x:c r="K2" i="1"/>
  <x:c r="K3" i="1"/>
  <x:c r="K4" i="1"/>
  <x:c r="K5" i="1"/>
  <x:c r="K6" i="1"/>
  <x:c r="K8" i="1"/>
  <x:c r="K9" i="1"/>
  <x:c r="K10" i="1"/>
  <x:c r="K11" i="1"/>
  <x:c r="K12" i="1"/>
  <x:c r="K14" i="1"/>
  <x:c r="K15" i="1"/>
  <x:c r="K16" i="1"/>
  <x:c r="K18" i="1"/>
  <x:c r="K19" i="1"/>
  <x:c r="K20" i="1"/>
  <x:c r="K21" i="1"/>
  <x:c r="K22" i="1"/>
  <x:c r="K24" i="1"/>
  <x:c r="K25" i="1"/>
  <x:c r="K27" i="1"/>
  <x:c r="J27" i="1"/>
  <x:c r="J28" i="1" s="1"/>
  <x:c r="J25" i="1"/>
  <x:c r="J24" i="1"/>
  <x:c r="J22" i="1"/>
  <x:c r="J21" i="1"/>
  <x:c r="J20" i="1"/>
  <x:c r="J19" i="1"/>
  <x:c r="J18" i="1"/>
  <x:c r="J16" i="1"/>
  <x:c r="J15" i="1"/>
  <x:c r="J14" i="1"/>
  <x:c r="J12" i="1"/>
  <x:c r="J11" i="1"/>
  <x:c r="J10" i="1"/>
  <x:c r="J9" i="1"/>
  <x:c r="J8" i="1"/>
  <x:c r="J6" i="1"/>
  <x:c r="J5" i="1"/>
  <x:c r="J4" i="1"/>
  <x:c r="J3" i="1"/>
  <x:c r="J2" i="1"/>
  <x:c r="L2" i="1" l="1"/>
  <x:c r="M2" i="1" s="1"/>
  <x:c r="L4" i="1"/>
  <x:c r="M4" i="1" s="1"/>
  <x:c r="L6" i="1"/>
  <x:c r="M6" i="1" s="1"/>
  <x:c r="L9" i="1"/>
  <x:c r="M9" i="1" s="1"/>
  <x:c r="L11" i="1"/>
  <x:c r="M11" i="1" s="1"/>
  <x:c r="L14" i="1"/>
  <x:c r="M14" i="1" s="1"/>
  <x:c r="L16" i="1"/>
  <x:c r="M16" i="1" s="1"/>
  <x:c r="L19" i="1"/>
  <x:c r="M19" i="1" s="1"/>
  <x:c r="L21" i="1"/>
  <x:c r="M21" i="1" s="1"/>
  <x:c r="J26" i="1"/>
  <x:c r="D29" i="1"/>
  <x:c r="J13" i="1"/>
  <x:c r="J23" i="1"/>
  <x:c r="J17" i="1"/>
  <x:c r="J7" i="1"/>
  <x:c r="L24" i="1"/>
  <x:c r="M24" i="1" s="1"/>
  <x:c r="L27" i="1"/>
  <x:c r="L3" i="1"/>
  <x:c r="M3" i="1" s="1"/>
  <x:c r="L5" i="1"/>
  <x:c r="L8" i="1"/>
  <x:c r="M8" i="1" s="1"/>
  <x:c r="L10" i="1"/>
  <x:c r="L12" i="1"/>
  <x:c r="M12" i="1" s="1"/>
  <x:c r="L15" i="1"/>
  <x:c r="L18" i="1"/>
  <x:c r="M18" i="1" s="1"/>
  <x:c r="L20" i="1"/>
  <x:c r="M20" i="1" s="1"/>
  <x:c r="L22" i="1"/>
  <x:c r="M22" i="1" s="1"/>
  <x:c r="L25" i="1"/>
  <x:c r="M25" i="1" s="1"/>
  <x:c r="J29" i="1" l="1"/>
  <x:c r="L26" i="1"/>
  <x:c r="M26" i="1" s="1"/>
  <x:c r="L17" i="1"/>
  <x:c r="M17" i="1" s="1"/>
  <x:c r="M15" i="1"/>
  <x:c r="L13" i="1"/>
  <x:c r="M13" i="1" s="1"/>
  <x:c r="M10" i="1"/>
  <x:c r="L7" i="1"/>
  <x:c r="M7" i="1" s="1"/>
  <x:c r="M5" i="1"/>
  <x:c r="L28" i="1"/>
  <x:c r="M28" i="1" s="1"/>
  <x:c r="M27" i="1"/>
  <x:c r="L23" i="1"/>
  <x:c r="M23" i="1" s="1"/>
  <x:c r="L29" i="1" l="1"/>
  <x:c r="J32" i="1" s="1"/>
  <x:c r="M29" i="1" l="1"/>
</x:calcChain>
</file>

<file path=xl/sharedStrings.xml><?xml version="1.0" encoding="utf-8"?>
<sst xmlns="http://schemas.openxmlformats.org/spreadsheetml/2006/main" count="65" uniqueCount="33">
  <si>
    <t>Row Labels</t>
  </si>
  <si>
    <t>NTU DIST</t>
  </si>
  <si>
    <t>NTU TRAN</t>
  </si>
  <si>
    <t>Grand Total</t>
  </si>
  <si>
    <t>364</t>
  </si>
  <si>
    <t>2018</t>
  </si>
  <si>
    <t>2017</t>
  </si>
  <si>
    <t>2015</t>
  </si>
  <si>
    <t>2014</t>
  </si>
  <si>
    <t>2013</t>
  </si>
  <si>
    <t>365</t>
  </si>
  <si>
    <t>2016</t>
  </si>
  <si>
    <t>366</t>
  </si>
  <si>
    <t>367</t>
  </si>
  <si>
    <t>2004</t>
  </si>
  <si>
    <t>368</t>
  </si>
  <si>
    <t>373</t>
  </si>
  <si>
    <t>Acct</t>
  </si>
  <si>
    <t>ASL</t>
  </si>
  <si>
    <t>RL</t>
  </si>
  <si>
    <t>Net Salvage</t>
  </si>
  <si>
    <t>Theo Res</t>
  </si>
  <si>
    <t>Proration Factor</t>
  </si>
  <si>
    <t>Alloc Reserve</t>
  </si>
  <si>
    <t>Proration</t>
  </si>
  <si>
    <t>Book  Reserve</t>
  </si>
  <si>
    <t>364 Total</t>
  </si>
  <si>
    <t>365 Total</t>
  </si>
  <si>
    <t>366 Total</t>
  </si>
  <si>
    <t>367 Total</t>
  </si>
  <si>
    <t>368 Total</t>
  </si>
  <si>
    <t>373 Total</t>
  </si>
  <si>
    <t>Reserve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</si>
</sst>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10" fontId="2" fillId="0" borderId="0" xfId="0" applyNumberFormat="1" applyFont="1"/>
    <xf numFmtId="10" fontId="0" fillId="0" borderId="0" xfId="0" applyNumberFormat="1"/>
    <xf numFmtId="43" fontId="2" fillId="0" borderId="0" xfId="1" applyFont="1"/>
    <xf numFmtId="10" fontId="3" fillId="0" borderId="0" xfId="0" applyNumberFormat="1" applyFont="1"/>
    <xf numFmtId="43" fontId="3" fillId="0" borderId="0" xfId="1" applyFont="1"/>
    <xf numFmtId="0" fontId="4" fillId="0" borderId="0" xfId="0" applyFont="1"/>
    <xf numFmtId="43" fontId="0" fillId="0" borderId="0" xfId="1" applyFont="1"/>
    <xf numFmtId="0" fontId="2" fillId="0" borderId="0" xfId="0" applyFont="1" applyFill="1"/>
  </cellXfs>
  <cellStyles count="3">
    <cellStyle name="Comma" xfId="1" builtinId="3"/>
    <cellStyle name="Normal" xfId="0" builtinId="0"/>
    <cellStyle name="Normal 2" xfId="2" xr:uid="{F69DF035-33FF-41C3-8ADA-ADC3559BBD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xlrd2="http://schemas.microsoft.com/office/spreadsheetml/2017/richdata2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49A6072-EA7B-4A85-AE03-3A6536D1E286}" mc:Ignorable="x14ac xr xr2 xr3">
  <x:sheetPr>
    <x:pageSetUpPr fitToPage="1"/>
  </x:sheetPr>
  <x:dimension ref="A1:N36"/>
  <x:sheetViews>
    <x:sheetView tabSelected="1" zoomScaleNormal="100" workbookViewId="0"/>
  </x:sheetViews>
  <x:sheetFormatPr defaultRowHeight="14.3" outlineLevelRow="2" x14ac:dyDescent="0.25"/>
  <x:cols>
    <x:col min="1" max="1" width="14.125" bestFit="1" customWidth="1"/>
    <x:col min="2" max="2" width="14.25" bestFit="1" customWidth="1"/>
    <x:col min="3" max="4" width="16.125" style="9" bestFit="1" customWidth="1"/>
    <x:col min="5" max="5" width="13.125" bestFit="1" customWidth="1"/>
    <x:col min="6" max="6" width="8.75" bestFit="1" customWidth="1"/>
    <x:col min="7" max="7" width="5.875" bestFit="1" customWidth="1"/>
    <x:col min="8" max="8" width="12.875" bestFit="1" customWidth="1"/>
    <x:col min="9" max="9" width="14.375" style="4" bestFit="1" customWidth="1"/>
    <x:col min="10" max="10" width="19.625" customWidth="1"/>
    <x:col min="11" max="11" width="20.75" bestFit="1" customWidth="1"/>
    <x:col min="12" max="12" width="18" bestFit="1" customWidth="1"/>
    <x:col min="13" max="13" width="20.625" customWidth="1"/>
    <x:col min="14" max="14" width="14.75" bestFit="1" customWidth="1"/>
  </x:cols>
  <x:sheetData>
    <x:row r="1" spans="1:14" s="8" customFormat="1" ht="15.65" x14ac:dyDescent="0.25">
      <x:c r="A1" s="2" t="s">
        <x:v>17</x:v>
      </x:c>
      <x:c r="B1" s="2" t="s">
        <x:v>0</x:v>
      </x:c>
      <x:c r="C1" s="7" t="s">
        <x:v>3</x:v>
      </x:c>
      <x:c r="D1" s="7" t="s">
        <x:v>1</x:v>
      </x:c>
      <x:c r="E1" s="2" t="s">
        <x:v>2</x:v>
      </x:c>
      <x:c r="F1" s="2"/>
      <x:c r="G1" s="2" t="s">
        <x:v>18</x:v>
      </x:c>
      <x:c r="H1" s="2" t="s">
        <x:v>19</x:v>
      </x:c>
      <x:c r="I1" s="6" t="s">
        <x:v>20</x:v>
      </x:c>
      <x:c r="J1" s="7" t="s">
        <x:v>21</x:v>
      </x:c>
      <x:c r="K1" s="7" t="s">
        <x:v>22</x:v>
      </x:c>
      <x:c r="L1" s="7" t="s">
        <x:v>23</x:v>
      </x:c>
      <x:c r="M1" s="7" t="s">
        <x:v>1</x:v>
      </x:c>
      <x:c r="N1" s="7" t="s">
        <x:v>2</x:v>
      </x:c>
    </x:row>
    <x:row r="2" spans="1:14" ht="15.65" outlineLevel="2" x14ac:dyDescent="0.25">
      <x:c r="A2" s="1" t="s">
        <x:v>4</x:v>
      </x:c>
      <x:c r="B2" s="1" t="s">
        <x:v>5</x:v>
      </x:c>
      <x:c r="C2" s="5">
        <x:v>123778.92</x:v>
      </x:c>
      <x:c r="D2" s="5">
        <x:v>123778.92</x:v>
      </x:c>
      <x:c r="E2" s="1"/>
      <x:c r="F2" s="1"/>
      <x:c r="G2" s="1">
        <x:v>55</x:v>
      </x:c>
      <x:c r="H2" s="1">
        <x:v>50.991565000000001</x:v>
      </x:c>
      <x:c r="I2" s="3">
        <x:v>-1.1000000000000001</x:v>
      </x:c>
      <x:c r="J2" s="5">
        <x:f>+C2*(1-H2/G2)*(1-I2)</x:f>
        <x:v>18944.281561807617</x:v>
      </x:c>
      <x:c r="K2" s="5">
        <x:f>$J$33</x:f>
        <x:v>1.2437744921410978</x:v>
      </x:c>
      <x:c r="L2" s="5">
        <x:f>IF((C2*(1-I2)-J2*K2)&lt;0,C2*(1-I2),J2*K2)</x:f>
        <x:v>23562.414178515231</x:v>
      </x:c>
      <x:c r="M2" s="5">
        <x:f>+L2</x:f>
        <x:v>23562.414178515231</x:v>
      </x:c>
    </x:row>
    <x:row r="3" spans="1:14" ht="15.65" outlineLevel="2" x14ac:dyDescent="0.25">
      <x:c r="A3" s="1" t="s">
        <x:v>4</x:v>
      </x:c>
      <x:c r="B3" s="1" t="s">
        <x:v>6</x:v>
      </x:c>
      <x:c r="C3" s="5">
        <x:v>10497.86</x:v>
      </x:c>
      <x:c r="D3" s="5">
        <x:v>10497.86</x:v>
      </x:c>
      <x:c r="E3" s="1"/>
      <x:c r="F3" s="1"/>
      <x:c r="G3" s="1">
        <x:v>55</x:v>
      </x:c>
      <x:c r="H3" s="1">
        <x:v>50.380659999999999</x:v>
      </x:c>
      <x:c r="I3" s="3">
        <x:v>-1.1000000000000001</x:v>
      </x:c>
      <x:c r="J3" s="5">
        <x:f>+C3*(1-H3/G3)*(1-I3)</x:f>
        <x:v>1851.5579579280015</x:v>
      </x:c>
      <x:c r="K3" s="5">
        <x:f>$J$33</x:f>
        <x:v>1.2437744921410978</x:v>
      </x:c>
      <x:c r="L3" s="5">
        <x:f>IF((C3*(1-I3)-J3*K3)&lt;0,C3*(1-I3),J3*K3)</x:f>
        <x:v>2302.9205587917081</x:v>
      </x:c>
      <x:c r="M3" s="5">
        <x:f t="shared" ref="M3:M29" si="0">+L3</x:f>
        <x:v>2302.9205587917081</x:v>
      </x:c>
    </x:row>
    <x:row r="4" spans="1:14" ht="15.65" outlineLevel="2" x14ac:dyDescent="0.25">
      <x:c r="A4" s="1" t="s">
        <x:v>4</x:v>
      </x:c>
      <x:c r="B4" s="1" t="s">
        <x:v>7</x:v>
      </x:c>
      <x:c r="C4" s="5">
        <x:v>226911.25</x:v>
      </x:c>
      <x:c r="D4" s="5">
        <x:v>226911.25</x:v>
      </x:c>
      <x:c r="E4" s="1"/>
      <x:c r="F4" s="1"/>
      <x:c r="G4" s="1">
        <x:v>55</x:v>
      </x:c>
      <x:c r="H4" s="1">
        <x:v>49.163072999999997</x:v>
      </x:c>
      <x:c r="I4" s="3">
        <x:v>-1.1000000000000001</x:v>
      </x:c>
      <x:c r="J4" s="5">
        <x:f>+C4*(1-H4/G4)*(1-I4)</x:f>
        <x:v>50570.458975097725</x:v>
      </x:c>
      <x:c r="K4" s="5">
        <x:f>$J$33</x:f>
        <x:v>1.2437744921410978</x:v>
      </x:c>
      <x:c r="L4" s="5">
        <x:f>IF((C4*(1-I4)-J4*K4)&lt;0,C4*(1-I4),J4*K4)</x:f>
        <x:v>62898.246929094392</x:v>
      </x:c>
      <x:c r="M4" s="5">
        <x:f t="shared" si="0"/>
        <x:v>62898.246929094392</x:v>
      </x:c>
    </x:row>
    <x:row r="5" spans="1:14" ht="15.65" outlineLevel="2" x14ac:dyDescent="0.25">
      <x:c r="A5" s="1" t="s">
        <x:v>4</x:v>
      </x:c>
      <x:c r="B5" s="1" t="s">
        <x:v>8</x:v>
      </x:c>
      <x:c r="C5" s="5">
        <x:v>148152.95000000001</x:v>
      </x:c>
      <x:c r="D5" s="5">
        <x:v>148152.95000000001</x:v>
      </x:c>
      <x:c r="E5" s="1"/>
      <x:c r="F5" s="1"/>
      <x:c r="G5" s="1">
        <x:v>55</x:v>
      </x:c>
      <x:c r="H5" s="1">
        <x:v>48.556328999999998</x:v>
      </x:c>
      <x:c r="I5" s="3">
        <x:v>-1.1000000000000001</x:v>
      </x:c>
      <x:c r="J5" s="5">
        <x:f>+C5*(1-H5/G5)*(1-I5)</x:f>
        <x:v>36450.229485579017</x:v>
      </x:c>
      <x:c r="K5" s="5">
        <x:f>$J$33</x:f>
        <x:v>1.2437744921410978</x:v>
      </x:c>
      <x:c r="L5" s="5">
        <x:f>IF((C5*(1-I5)-J5*K5)&lt;0,C5*(1-I5),J5*K5)</x:f>
        <x:v>45335.865666852507</x:v>
      </x:c>
      <x:c r="M5" s="5">
        <x:f t="shared" si="0"/>
        <x:v>45335.865666852507</x:v>
      </x:c>
    </x:row>
    <x:row r="6" spans="1:14" ht="15.65" outlineLevel="2" x14ac:dyDescent="0.25">
      <x:c r="A6" s="1" t="s">
        <x:v>4</x:v>
      </x:c>
      <x:c r="B6" s="1" t="s">
        <x:v>9</x:v>
      </x:c>
      <x:c r="C6" s="5">
        <x:v>139588.51</x:v>
      </x:c>
      <x:c r="D6" s="5">
        <x:v>139588.51</x:v>
      </x:c>
      <x:c r="E6" s="1"/>
      <x:c r="F6" s="1"/>
      <x:c r="G6" s="1">
        <x:v>55</x:v>
      </x:c>
      <x:c r="H6" s="1">
        <x:v>47.950983000000001</x:v>
      </x:c>
      <x:c r="I6" s="3">
        <x:v>-1.1000000000000001</x:v>
      </x:c>
      <x:c r="J6" s="5">
        <x:f>+C6*(1-H6/G6)*(1-I6)</x:f>
        <x:v>37569.449781614683</x:v>
      </x:c>
      <x:c r="K6" s="5">
        <x:f>$J$33</x:f>
        <x:v>1.2437744921410978</x:v>
      </x:c>
      <x:c r="L6" s="5">
        <x:f>IF((C6*(1-I6)-J6*K6)&lt;0,C6*(1-I6),J6*K6)</x:f>
        <x:v>46727.923322148279</x:v>
      </x:c>
      <x:c r="M6" s="5">
        <x:f t="shared" si="0"/>
        <x:v>46727.923322148279</x:v>
      </x:c>
    </x:row>
    <x:row r="7" spans="1:14" ht="15.65" outlineLevel="1" x14ac:dyDescent="0.25">
      <x:c r="A7" s="2" t="s">
        <x:v>26</x:v>
      </x:c>
      <x:c r="B7" s="1"/>
      <x:c r="C7" s="5">
        <x:f>SUBTOTAL(9,C2:C6)</x:f>
        <x:v>648929.49</x:v>
      </x:c>
      <x:c r="D7" s="5">
        <x:f>SUBTOTAL(9,D2:D6)</x:f>
        <x:v>648929.49</x:v>
      </x:c>
      <x:c r="E7" s="1"/>
      <x:c r="F7" s="1"/>
      <x:c r="G7" s="1"/>
      <x:c r="H7" s="1"/>
      <x:c r="I7" s="3"/>
      <x:c r="J7" s="5">
        <x:f>SUBTOTAL(9,J2:J6)</x:f>
        <x:v>145385.97776202703</x:v>
      </x:c>
      <x:c r="K7" s="5"/>
      <x:c r="L7" s="5">
        <x:f>SUBTOTAL(9,L2:L6)</x:f>
        <x:v>180827.3706554021</x:v>
      </x:c>
      <x:c r="M7" s="5">
        <x:f t="shared" si="0"/>
        <x:v>180827.3706554021</x:v>
      </x:c>
    </x:row>
    <x:row r="8" spans="1:14" ht="15.65" outlineLevel="2" x14ac:dyDescent="0.25">
      <x:c r="A8" s="1" t="s">
        <x:v>10</x:v>
      </x:c>
      <x:c r="B8" s="1" t="s">
        <x:v>6</x:v>
      </x:c>
      <x:c r="C8" s="5">
        <x:v>987.97</x:v>
      </x:c>
      <x:c r="D8" s="5">
        <x:v>987.97</x:v>
      </x:c>
      <x:c r="E8" s="1"/>
      <x:c r="F8" s="1"/>
      <x:c r="G8" s="1">
        <x:v>52</x:v>
      </x:c>
      <x:c r="H8" s="1">
        <x:v>47.383128999999997</x:v>
      </x:c>
      <x:c r="I8" s="3">
        <x:v>-0.85</x:v>
      </x:c>
      <x:c r="J8" s="5">
        <x:f>+C8*(1-H8/G8)*(1-I8)</x:f>
        <x:v>162.27808802806743</x:v>
      </x:c>
      <x:c r="K8" s="5">
        <x:f>$J$33</x:f>
        <x:v>1.2437744921410978</x:v>
      </x:c>
      <x:c r="L8" s="5">
        <x:f>IF((C8*(1-I8)-J8*K8)&lt;0,C8*(1-I8),J8*K8)</x:f>
        <x:v>201.83734652273793</x:v>
      </x:c>
      <x:c r="M8" s="5">
        <x:f t="shared" si="0"/>
        <x:v>201.83734652273793</x:v>
      </x:c>
    </x:row>
    <x:row r="9" spans="1:14" ht="15.65" outlineLevel="2" x14ac:dyDescent="0.25">
      <x:c r="A9" s="1" t="s">
        <x:v>10</x:v>
      </x:c>
      <x:c r="B9" s="1" t="s">
        <x:v>11</x:v>
      </x:c>
      <x:c r="C9" s="5">
        <x:v>55340.33</x:v>
      </x:c>
      <x:c r="D9" s="5">
        <x:v>55340.33</x:v>
      </x:c>
      <x:c r="E9" s="1"/>
      <x:c r="F9" s="1"/>
      <x:c r="G9" s="1">
        <x:v>52</x:v>
      </x:c>
      <x:c r="H9" s="1">
        <x:v>46.774287000000001</x:v>
      </x:c>
      <x:c r="I9" s="3">
        <x:v>-0.85</x:v>
      </x:c>
      <x:c r="J9" s="5">
        <x:f>+C9*(1-H9/G9)*(1-I9)</x:f>
        <x:v>10288.585798553584</x:v>
      </x:c>
      <x:c r="K9" s="5">
        <x:f>$J$33</x:f>
        <x:v>1.2437744921410978</x:v>
      </x:c>
      <x:c r="L9" s="5">
        <x:f>IF((C9*(1-I9)-J9*K9)&lt;0,C9*(1-I9),J9*K9)</x:f>
        <x:v>12796.680576446095</x:v>
      </x:c>
      <x:c r="M9" s="5">
        <x:f t="shared" si="0"/>
        <x:v>12796.680576446095</x:v>
      </x:c>
    </x:row>
    <x:row r="10" spans="1:14" ht="15.65" outlineLevel="2" x14ac:dyDescent="0.25">
      <x:c r="A10" s="1" t="s">
        <x:v>10</x:v>
      </x:c>
      <x:c r="B10" s="1" t="s">
        <x:v>7</x:v>
      </x:c>
      <x:c r="C10" s="5">
        <x:v>904611.65</x:v>
      </x:c>
      <x:c r="D10" s="5">
        <x:v>904611.65</x:v>
      </x:c>
      <x:c r="E10" s="1"/>
      <x:c r="F10" s="1"/>
      <x:c r="G10" s="1">
        <x:v>52</x:v>
      </x:c>
      <x:c r="H10" s="1">
        <x:v>46.166922999999997</x:v>
      </x:c>
      <x:c r="I10" s="3">
        <x:v>-0.85</x:v>
      </x:c>
      <x:c r="J10" s="5">
        <x:f>+C10*(1-H10/G10)*(1-I10)</x:f>
        <x:v>187727.66168580868</x:v>
      </x:c>
      <x:c r="K10" s="5">
        <x:f>$J$33</x:f>
        <x:v>1.2437744921410978</x:v>
      </x:c>
      <x:c r="L10" s="5">
        <x:f>IF((C10*(1-I10)-J10*K10)&lt;0,C10*(1-I10),J10*K10)</x:f>
        <x:v>233490.87707410252</x:v>
      </x:c>
      <x:c r="M10" s="5">
        <x:f t="shared" si="0"/>
        <x:v>233490.87707410252</x:v>
      </x:c>
    </x:row>
    <x:row r="11" spans="1:14" ht="15.65" outlineLevel="2" x14ac:dyDescent="0.25">
      <x:c r="A11" s="1" t="s">
        <x:v>10</x:v>
      </x:c>
      <x:c r="B11" s="1" t="s">
        <x:v>8</x:v>
      </x:c>
      <x:c r="C11" s="5">
        <x:v>83011.199999999997</x:v>
      </x:c>
      <x:c r="D11" s="5">
        <x:v>83011.199999999997</x:v>
      </x:c>
      <x:c r="E11" s="1"/>
      <x:c r="F11" s="1"/>
      <x:c r="G11" s="1">
        <x:v>52</x:v>
      </x:c>
      <x:c r="H11" s="1">
        <x:v>45.560997</x:v>
      </x:c>
      <x:c r="I11" s="3">
        <x:v>-0.85</x:v>
      </x:c>
      <x:c r="J11" s="5">
        <x:f>+C11*(1-H11/G11)*(1-I11)</x:f>
        <x:v>19016.198592156914</x:v>
      </x:c>
      <x:c r="K11" s="5">
        <x:f>$J$33</x:f>
        <x:v>1.2437744921410978</x:v>
      </x:c>
      <x:c r="L11" s="5">
        <x:f>IF((C11*(1-I11)-J11*K11)&lt;0,C11*(1-I11),J11*K11)</x:f>
        <x:v>23651.862746414226</x:v>
      </x:c>
      <x:c r="M11" s="5">
        <x:f t="shared" si="0"/>
        <x:v>23651.862746414226</x:v>
      </x:c>
    </x:row>
    <x:row r="12" spans="1:14" ht="15.65" outlineLevel="2" x14ac:dyDescent="0.25">
      <x:c r="A12" s="1" t="s">
        <x:v>10</x:v>
      </x:c>
      <x:c r="B12" s="1" t="s">
        <x:v>9</x:v>
      </x:c>
      <x:c r="C12" s="5">
        <x:v>60442.49</x:v>
      </x:c>
      <x:c r="D12" s="5">
        <x:v>60442.49</x:v>
      </x:c>
      <x:c r="E12" s="1"/>
      <x:c r="F12" s="1"/>
      <x:c r="G12" s="1">
        <x:v>52</x:v>
      </x:c>
      <x:c r="H12" s="1">
        <x:v>44.956460999999997</x:v>
      </x:c>
      <x:c r="I12" s="3">
        <x:v>-0.85</x:v>
      </x:c>
      <x:c r="J12" s="5">
        <x:f>+C12*(1-H12/G12)*(1-I12)</x:f>
        <x:v>15146.129150161609</x:v>
      </x:c>
      <x:c r="K12" s="5">
        <x:f>$J$33</x:f>
        <x:v>1.2437744921410978</x:v>
      </x:c>
      <x:c r="L12" s="5">
        <x:f>IF((C12*(1-I12)-J12*K12)&lt;0,C12*(1-I12),J12*K12)</x:f>
        <x:v>18838.369091645731</x:v>
      </x:c>
      <x:c r="M12" s="5">
        <x:f t="shared" si="0"/>
        <x:v>18838.369091645731</x:v>
      </x:c>
    </x:row>
    <x:row r="13" spans="1:14" ht="15.65" outlineLevel="1" x14ac:dyDescent="0.25">
      <x:c r="A13" s="2" t="s">
        <x:v>27</x:v>
      </x:c>
      <x:c r="B13" s="1"/>
      <x:c r="C13" s="5">
        <x:f>SUBTOTAL(9,C8:C12)</x:f>
        <x:v>1104393.6400000001</x:v>
      </x:c>
      <x:c r="D13" s="5">
        <x:f>SUBTOTAL(9,D8:D12)</x:f>
        <x:v>1104393.6400000001</x:v>
      </x:c>
      <x:c r="E13" s="1"/>
      <x:c r="F13" s="1"/>
      <x:c r="G13" s="1"/>
      <x:c r="H13" s="1"/>
      <x:c r="I13" s="3"/>
      <x:c r="J13" s="5">
        <x:f>SUBTOTAL(9,J8:J12)</x:f>
        <x:v>232340.85331470883</x:v>
      </x:c>
      <x:c r="K13" s="5"/>
      <x:c r="L13" s="5">
        <x:f>SUBTOTAL(9,L8:L12)</x:f>
        <x:v>288979.62683513132</x:v>
      </x:c>
      <x:c r="M13" s="5">
        <x:f t="shared" si="0"/>
        <x:v>288979.62683513132</x:v>
      </x:c>
    </x:row>
    <x:row r="14" spans="1:14" ht="15.65" outlineLevel="2" x14ac:dyDescent="0.25">
      <x:c r="A14" s="1" t="s">
        <x:v>12</x:v>
      </x:c>
      <x:c r="B14" s="1" t="s">
        <x:v>6</x:v>
      </x:c>
      <x:c r="C14" s="5">
        <x:v>300649.23</x:v>
      </x:c>
      <x:c r="D14" s="5">
        <x:v>300649.23</x:v>
      </x:c>
      <x:c r="E14" s="1"/>
      <x:c r="F14" s="1"/>
      <x:c r="G14" s="1">
        <x:v>60</x:v>
      </x:c>
      <x:c r="H14" s="1">
        <x:v>52.677866999999999</x:v>
      </x:c>
      <x:c r="I14" s="3">
        <x:v>-0.5</x:v>
      </x:c>
      <x:c r="J14" s="5">
        <x:f>+C14*(1-H14/G14)*(1-I14)</x:f>
        <x:v>55034.841210189741</x:v>
      </x:c>
      <x:c r="K14" s="5">
        <x:f>$J$33</x:f>
        <x:v>1.2437744921410978</x:v>
      </x:c>
      <x:c r="L14" s="5">
        <x:f>IF((C14*(1-I14)-J14*K14)&lt;0,C14*(1-I14),J14*K14)</x:f>
        <x:v>68450.931676269713</x:v>
      </x:c>
      <x:c r="M14" s="5">
        <x:f t="shared" si="0"/>
        <x:v>68450.931676269713</x:v>
      </x:c>
    </x:row>
    <x:row r="15" spans="1:14" ht="15.65" outlineLevel="2" x14ac:dyDescent="0.25">
      <x:c r="A15" s="1" t="s">
        <x:v>12</x:v>
      </x:c>
      <x:c r="B15" s="1" t="s">
        <x:v>11</x:v>
      </x:c>
      <x:c r="C15" s="5">
        <x:v>239643.83</x:v>
      </x:c>
      <x:c r="D15" s="5">
        <x:v>239643.83</x:v>
      </x:c>
      <x:c r="E15" s="1"/>
      <x:c r="F15" s="1"/>
      <x:c r="G15" s="1">
        <x:v>60</x:v>
      </x:c>
      <x:c r="H15" s="1">
        <x:v>51.714063000000003</x:v>
      </x:c>
      <x:c r="I15" s="3">
        <x:v>-0.5</x:v>
      </x:c>
      <x:c r="J15" s="5">
        <x:f>+C15*(1-H15/G15)*(1-I15)</x:f>
        <x:v>49641.841945467728</x:v>
      </x:c>
      <x:c r="K15" s="5">
        <x:f>$J$33</x:f>
        <x:v>1.2437744921410978</x:v>
      </x:c>
      <x:c r="L15" s="5">
        <x:f>IF((C15*(1-I15)-J15*K15)&lt;0,C15*(1-I15),J15*K15)</x:f>
        <x:v>61743.256754672773</x:v>
      </x:c>
      <x:c r="M15" s="5">
        <x:f t="shared" si="0"/>
        <x:v>61743.256754672773</x:v>
      </x:c>
    </x:row>
    <x:row r="16" spans="1:14" ht="15.65" outlineLevel="2" x14ac:dyDescent="0.25">
      <x:c r="A16" s="1" t="s">
        <x:v>12</x:v>
      </x:c>
      <x:c r="B16" s="1" t="s">
        <x:v>8</x:v>
      </x:c>
      <x:c r="C16" s="5">
        <x:v>3524.62</x:v>
      </x:c>
      <x:c r="D16" s="5">
        <x:v>3524.62</x:v>
      </x:c>
      <x:c r="E16" s="1"/>
      <x:c r="F16" s="1"/>
      <x:c r="G16" s="1">
        <x:v>60</x:v>
      </x:c>
      <x:c r="H16" s="1">
        <x:v>48.845956999999999</x:v>
      </x:c>
      <x:c r="I16" s="3">
        <x:v>-0.5</x:v>
      </x:c>
      <x:c r="J16" s="5">
        <x:f>+C16*(1-H16/G16)*(1-I16)</x:f>
        <x:v>982.84407596650033</x:v>
      </x:c>
      <x:c r="K16" s="5">
        <x:f>$J$33</x:f>
        <x:v>1.2437744921410978</x:v>
      </x:c>
      <x:c r="L16" s="5">
        <x:f>IF((C16*(1-I16)-J16*K16)&lt;0,C16*(1-I16),J16*K16)</x:f>
        <x:v>1222.4363914391206</x:v>
      </x:c>
      <x:c r="M16" s="5">
        <x:f t="shared" si="0"/>
        <x:v>1222.4363914391206</x:v>
      </x:c>
    </x:row>
    <x:row r="17" spans="1:13" ht="15.65" outlineLevel="1" x14ac:dyDescent="0.25">
      <x:c r="A17" s="2" t="s">
        <x:v>28</x:v>
      </x:c>
      <x:c r="B17" s="1"/>
      <x:c r="C17" s="5">
        <x:f>SUBTOTAL(9,C14:C16)</x:f>
        <x:v>543817.67999999993</x:v>
      </x:c>
      <x:c r="D17" s="5">
        <x:f>SUBTOTAL(9,D14:D16)</x:f>
        <x:v>543817.67999999993</x:v>
      </x:c>
      <x:c r="E17" s="1"/>
      <x:c r="F17" s="1"/>
      <x:c r="G17" s="1"/>
      <x:c r="H17" s="1"/>
      <x:c r="I17" s="3"/>
      <x:c r="J17" s="5">
        <x:f>SUBTOTAL(9,J14:J16)</x:f>
        <x:v>105659.52723162396</x:v>
      </x:c>
      <x:c r="K17" s="5"/>
      <x:c r="L17" s="5">
        <x:f>SUBTOTAL(9,L14:L16)</x:f>
        <x:v>131416.62482238159</x:v>
      </x:c>
      <x:c r="M17" s="5">
        <x:f t="shared" si="0"/>
        <x:v>131416.62482238159</x:v>
      </x:c>
    </x:row>
    <x:row r="18" spans="1:13" ht="15.65" outlineLevel="2" x14ac:dyDescent="0.25">
      <x:c r="A18" s="1" t="s">
        <x:v>13</x:v>
      </x:c>
      <x:c r="B18" s="1" t="s">
        <x:v>6</x:v>
      </x:c>
      <x:c r="C18" s="5">
        <x:v>195090.65</x:v>
      </x:c>
      <x:c r="D18" s="5">
        <x:v>195090.65</x:v>
      </x:c>
      <x:c r="E18" s="1"/>
      <x:c r="F18" s="1"/>
      <x:c r="G18" s="1">
        <x:v>51</x:v>
      </x:c>
      <x:c r="H18" s="1">
        <x:v>45.775399</x:v>
      </x:c>
      <x:c r="I18" s="3">
        <x:v>-0.3</x:v>
      </x:c>
      <x:c r="J18" s="5">
        <x:f>+C18*(1-H18/G18)*(1-I18)</x:f>
        <x:v>25981.412678526365</x:v>
      </x:c>
      <x:c r="K18" s="5">
        <x:f>$J$33</x:f>
        <x:v>1.2437744921410978</x:v>
      </x:c>
      <x:c r="L18" s="5">
        <x:f>IF((C18*(1-I18)-J18*K18)&lt;0,C18*(1-I18),J18*K18)</x:f>
        <x:v>32315.018359342408</x:v>
      </x:c>
      <x:c r="M18" s="5">
        <x:f t="shared" si="0"/>
        <x:v>32315.018359342408</x:v>
      </x:c>
    </x:row>
    <x:row r="19" spans="1:13" ht="15.65" outlineLevel="2" x14ac:dyDescent="0.25">
      <x:c r="A19" s="1" t="s">
        <x:v>13</x:v>
      </x:c>
      <x:c r="B19" s="1" t="s">
        <x:v>11</x:v>
      </x:c>
      <x:c r="C19" s="5">
        <x:v>184333.5</x:v>
      </x:c>
      <x:c r="D19" s="5">
        <x:v>184333.5</x:v>
      </x:c>
      <x:c r="E19" s="1"/>
      <x:c r="F19" s="1"/>
      <x:c r="G19" s="1">
        <x:v>51</x:v>
      </x:c>
      <x:c r="H19" s="1">
        <x:v>45.168311000000003</x:v>
      </x:c>
      <x:c r="I19" s="3">
        <x:v>-0.3</x:v>
      </x:c>
      <x:c r="J19" s="5">
        <x:f>+C19*(1-H19/G19)*(1-I19)</x:f>
        <x:v>27401.339952273516</x:v>
      </x:c>
      <x:c r="K19" s="5">
        <x:f>$J$33</x:f>
        <x:v>1.2437744921410978</x:v>
      </x:c>
      <x:c r="L19" s="5">
        <x:f>IF((C19*(1-I19)-J19*K19)&lt;0,C19*(1-I19),J19*K19)</x:f>
        <x:v>34081.08768312457</x:v>
      </x:c>
      <x:c r="M19" s="5">
        <x:f t="shared" si="0"/>
        <x:v>34081.08768312457</x:v>
      </x:c>
    </x:row>
    <x:row r="20" spans="1:13" ht="15.65" outlineLevel="2" x14ac:dyDescent="0.25">
      <x:c r="A20" s="1" t="s">
        <x:v>13</x:v>
      </x:c>
      <x:c r="B20" s="1" t="s">
        <x:v>7</x:v>
      </x:c>
      <x:c r="C20" s="5">
        <x:v>14607.79</x:v>
      </x:c>
      <x:c r="D20" s="5">
        <x:v>14607.79</x:v>
      </x:c>
      <x:c r="E20" s="1"/>
      <x:c r="F20" s="1"/>
      <x:c r="G20" s="1">
        <x:v>51</x:v>
      </x:c>
      <x:c r="H20" s="1">
        <x:v>44.562683999999997</x:v>
      </x:c>
      <x:c r="I20" s="3">
        <x:v>-0.3</x:v>
      </x:c>
      <x:c r="J20" s="5">
        <x:f>+C20*(1-H20/G20)*(1-I20)</x:f>
        <x:v>2396.9695760614122</x:v>
      </x:c>
      <x:c r="K20" s="5">
        <x:f>$J$33</x:f>
        <x:v>1.2437744921410978</x:v>
      </x:c>
      <x:c r="L20" s="5">
        <x:f>IF((C20*(1-I20)-J20*K20)&lt;0,C20*(1-I20),J20*K20)</x:f>
        <x:v>2981.2896171434454</x:v>
      </x:c>
      <x:c r="M20" s="5">
        <x:f t="shared" si="0"/>
        <x:v>2981.2896171434454</x:v>
      </x:c>
    </x:row>
    <x:row r="21" spans="1:13" ht="15.65" outlineLevel="2" x14ac:dyDescent="0.25">
      <x:c r="A21" s="1" t="s">
        <x:v>13</x:v>
      </x:c>
      <x:c r="B21" s="1" t="s">
        <x:v>9</x:v>
      </x:c>
      <x:c r="C21" s="5">
        <x:v>151</x:v>
      </x:c>
      <x:c r="D21" s="5">
        <x:v>151</x:v>
      </x:c>
      <x:c r="E21" s="1"/>
      <x:c r="F21" s="1"/>
      <x:c r="G21" s="1">
        <x:v>51</x:v>
      </x:c>
      <x:c r="H21" s="1">
        <x:v>43.355626000000001</x:v>
      </x:c>
      <x:c r="I21" s="3">
        <x:v>-0.3</x:v>
      </x:c>
      <x:c r="J21" s="5">
        <x:f>+C21*(1-H21/G21)*(1-I21)</x:f>
        <x:v>29.423345415686278</x:v>
      </x:c>
      <x:c r="K21" s="5">
        <x:f>$J$33</x:f>
        <x:v>1.2437744921410978</x:v>
      </x:c>
      <x:c r="L21" s="5">
        <x:f>IF((C21*(1-I21)-J21*K21)&lt;0,C21*(1-I21),J21*K21)</x:f>
        <x:v>36.596006501487295</x:v>
      </x:c>
      <x:c r="M21" s="5">
        <x:f t="shared" si="0"/>
        <x:v>36.596006501487295</x:v>
      </x:c>
    </x:row>
    <x:row r="22" spans="1:13" ht="15.65" outlineLevel="2" x14ac:dyDescent="0.25">
      <x:c r="A22" s="1" t="s">
        <x:v>13</x:v>
      </x:c>
      <x:c r="B22" s="1" t="s">
        <x:v>14</x:v>
      </x:c>
      <x:c r="C22" s="5">
        <x:v>1445929.12</x:v>
      </x:c>
      <x:c r="D22" s="5">
        <x:v>1445929.12</x:v>
      </x:c>
      <x:c r="E22" s="1"/>
      <x:c r="F22" s="1"/>
      <x:c r="G22" s="1">
        <x:v>51</x:v>
      </x:c>
      <x:c r="H22" s="1">
        <x:v>38.57931</x:v>
      </x:c>
      <x:c r="I22" s="3">
        <x:v>-0.3</x:v>
      </x:c>
      <x:c r="J22" s="5">
        <x:f>+C22*(1-H22/G22)*(1-I22)</x:f>
        <x:v>457789.57980275765</x:v>
      </x:c>
      <x:c r="K22" s="5">
        <x:f>$J$33</x:f>
        <x:v>1.2437744921410978</x:v>
      </x:c>
      <x:c r="L22" s="5">
        <x:f>IF((C22*(1-I22)-J22*K22)&lt;0,C22*(1-I22),J22*K22)</x:f>
        <x:v>569387.00212666148</x:v>
      </x:c>
      <x:c r="M22" s="5">
        <x:f t="shared" si="0"/>
        <x:v>569387.00212666148</x:v>
      </x:c>
    </x:row>
    <x:row r="23" spans="1:13" ht="15.65" outlineLevel="1" x14ac:dyDescent="0.25">
      <x:c r="A23" s="2" t="s">
        <x:v>29</x:v>
      </x:c>
      <x:c r="B23" s="1"/>
      <x:c r="C23" s="5">
        <x:f>SUBTOTAL(9,C18:C22)</x:f>
        <x:v>1840112.06</x:v>
      </x:c>
      <x:c r="D23" s="5">
        <x:f>SUBTOTAL(9,D18:D22)</x:f>
        <x:v>1840112.06</x:v>
      </x:c>
      <x:c r="E23" s="1"/>
      <x:c r="F23" s="1"/>
      <x:c r="G23" s="1"/>
      <x:c r="H23" s="1"/>
      <x:c r="I23" s="3"/>
      <x:c r="J23" s="5">
        <x:f>SUBTOTAL(9,J18:J22)</x:f>
        <x:v>513598.72535503464</x:v>
      </x:c>
      <x:c r="K23" s="5"/>
      <x:c r="L23" s="5">
        <x:f>SUBTOTAL(9,L18:L22)</x:f>
        <x:v>638800.99379277334</x:v>
      </x:c>
      <x:c r="M23" s="5">
        <x:f t="shared" si="0"/>
        <x:v>638800.99379277334</x:v>
      </x:c>
    </x:row>
    <x:row r="24" spans="1:13" ht="15.65" outlineLevel="2" x14ac:dyDescent="0.25">
      <x:c r="A24" s="1" t="s">
        <x:v>15</x:v>
      </x:c>
      <x:c r="B24" s="1" t="s">
        <x:v>6</x:v>
      </x:c>
      <x:c r="C24" s="5">
        <x:v>1294.1199999999999</x:v>
      </x:c>
      <x:c r="D24" s="5">
        <x:v>1294.1199999999999</x:v>
      </x:c>
      <x:c r="E24" s="1"/>
      <x:c r="F24" s="1"/>
      <x:c r="G24" s="1">
        <x:v>50</x:v>
      </x:c>
      <x:c r="H24" s="1">
        <x:v>44.128194999999998</x:v>
      </x:c>
      <x:c r="I24" s="3">
        <x:v>-0.2</x:v>
      </x:c>
      <x:c r="J24" s="5">
        <x:f>+C24*(1-H24/G24)*(1-I24)</x:f>
        <x:v>182.37168687840006</x:v>
      </x:c>
      <x:c r="K24" s="5">
        <x:f>$J$33</x:f>
        <x:v>1.2437744921410978</x:v>
      </x:c>
      <x:c r="L24" s="5">
        <x:f>IF((C24*(1-I24)-J24*K24)&lt;0,C24*(1-I24),J24*K24)</x:f>
        <x:v>226.82925222809735</x:v>
      </x:c>
      <x:c r="M24" s="5">
        <x:f t="shared" si="0"/>
        <x:v>226.82925222809735</x:v>
      </x:c>
    </x:row>
    <x:row r="25" spans="1:13" ht="15.65" outlineLevel="2" x14ac:dyDescent="0.25">
      <x:c r="A25" s="1" t="s">
        <x:v>15</x:v>
      </x:c>
      <x:c r="B25" s="1" t="s">
        <x:v>11</x:v>
      </x:c>
      <x:c r="C25" s="5">
        <x:v>3750</x:v>
      </x:c>
      <x:c r="D25" s="5">
        <x:v>3750</x:v>
      </x:c>
      <x:c r="E25" s="1"/>
      <x:c r="F25" s="1"/>
      <x:c r="G25" s="1">
        <x:v>50</x:v>
      </x:c>
      <x:c r="H25" s="1">
        <x:v>43.445310999999997</x:v>
      </x:c>
      <x:c r="I25" s="3">
        <x:v>-0.2</x:v>
      </x:c>
      <x:c r="J25" s="5">
        <x:f>+C25*(1-H25/G25)*(1-I25)</x:f>
        <x:v>589.92201000000023</x:v>
      </x:c>
      <x:c r="K25" s="5">
        <x:f>$J$33</x:f>
        <x:v>1.2437744921410978</x:v>
      </x:c>
      <x:c r="L25" s="5">
        <x:f>IF((C25*(1-I25)-J25*K25)&lt;0,C25*(1-I25),J25*K25)</x:f>
        <x:v>733.72994839060595</x:v>
      </x:c>
      <x:c r="M25" s="5">
        <x:f t="shared" si="0"/>
        <x:v>733.72994839060595</x:v>
      </x:c>
    </x:row>
    <x:row r="26" spans="1:13" ht="15.65" outlineLevel="1" x14ac:dyDescent="0.25">
      <x:c r="A26" s="2" t="s">
        <x:v>30</x:v>
      </x:c>
      <x:c r="B26" s="1"/>
      <x:c r="C26" s="5">
        <x:f>SUBTOTAL(9,C24:C25)</x:f>
        <x:v>5044.12</x:v>
      </x:c>
      <x:c r="D26" s="5">
        <x:f>SUBTOTAL(9,D24:D25)</x:f>
        <x:v>5044.12</x:v>
      </x:c>
      <x:c r="E26" s="1"/>
      <x:c r="F26" s="1"/>
      <x:c r="G26" s="1"/>
      <x:c r="H26" s="1"/>
      <x:c r="I26" s="3"/>
      <x:c r="J26" s="5">
        <x:f>SUBTOTAL(9,J24:J25)</x:f>
        <x:v>772.29369687840028</x:v>
      </x:c>
      <x:c r="K26" s="5"/>
      <x:c r="L26" s="5">
        <x:f>SUBTOTAL(9,L24:L25)</x:f>
        <x:v>960.55920061870324</x:v>
      </x:c>
      <x:c r="M26" s="5">
        <x:f t="shared" si="0"/>
        <x:v>960.55920061870324</x:v>
      </x:c>
    </x:row>
    <x:row r="27" spans="1:13" ht="15.65" outlineLevel="2" x14ac:dyDescent="0.25">
      <x:c r="A27" s="1" t="s">
        <x:v>16</x:v>
      </x:c>
      <x:c r="B27" s="1" t="s">
        <x:v>6</x:v>
      </x:c>
      <x:c r="C27" s="5">
        <x:v>7252.15</x:v>
      </x:c>
      <x:c r="D27" s="5">
        <x:v>7252.15</x:v>
      </x:c>
      <x:c r="E27" s="1"/>
      <x:c r="F27" s="1"/>
      <x:c r="G27" s="10">
        <x:v>30</x:v>
      </x:c>
      <x:c r="H27" s="10">
        <x:v>22.5</x:v>
      </x:c>
      <x:c r="I27" s="3">
        <x:v>-0.5</x:v>
      </x:c>
      <x:c r="J27" s="5">
        <x:f>+C27*(1-H27/G27)*(1-I27)</x:f>
        <x:v>2719.5562499999996</x:v>
      </x:c>
      <x:c r="K27" s="5">
        <x:f>$J$33</x:f>
        <x:v>1.2437744921410978</x:v>
      </x:c>
      <x:c r="L27" s="5">
        <x:f>IF((C27*(1-I27)-J27*K27)&lt;0,C27*(1-I27),J27*K27)</x:f>
        <x:v>3382.5146936928982</x:v>
      </x:c>
      <x:c r="M27" s="5">
        <x:f t="shared" si="0"/>
        <x:v>3382.5146936928982</x:v>
      </x:c>
    </x:row>
    <x:row r="28" spans="1:13" ht="15.65" outlineLevel="1" x14ac:dyDescent="0.25">
      <x:c r="A28" s="2" t="s">
        <x:v>31</x:v>
      </x:c>
      <x:c r="B28" s="1"/>
      <x:c r="C28" s="5">
        <x:f>SUBTOTAL(9,C27:C27)</x:f>
        <x:v>7252.15</x:v>
      </x:c>
      <x:c r="D28" s="5">
        <x:f>SUBTOTAL(9,D27:D27)</x:f>
        <x:v>7252.15</x:v>
      </x:c>
      <x:c r="E28" s="1"/>
      <x:c r="F28" s="1"/>
      <x:c r="G28" s="1"/>
      <x:c r="H28" s="1"/>
      <x:c r="I28" s="3"/>
      <x:c r="J28" s="5">
        <x:f>SUBTOTAL(9,J27:J27)</x:f>
        <x:v>2719.5562499999996</x:v>
      </x:c>
      <x:c r="K28" s="5"/>
      <x:c r="L28" s="5">
        <x:f>SUBTOTAL(9,L27:L27)</x:f>
        <x:v>3382.5146936928982</x:v>
      </x:c>
      <x:c r="M28" s="5">
        <x:f t="shared" si="0"/>
        <x:v>3382.5146936928982</x:v>
      </x:c>
    </x:row>
    <x:row r="29" spans="1:13" ht="15.65" x14ac:dyDescent="0.25">
      <x:c r="A29" s="2" t="s">
        <x:v>3</x:v>
      </x:c>
      <x:c r="B29" s="1"/>
      <x:c r="C29" s="5">
        <x:f>SUBTOTAL(9,C2:C27)</x:f>
        <x:v>4149549.14</x:v>
      </x:c>
      <x:c r="D29" s="5">
        <x:f>SUBTOTAL(9,D2:D27)</x:f>
        <x:v>4149549.14</x:v>
      </x:c>
      <x:c r="E29" s="1"/>
      <x:c r="F29" s="1"/>
      <x:c r="G29" s="1"/>
      <x:c r="H29" s="1"/>
      <x:c r="I29" s="3"/>
      <x:c r="J29" s="5">
        <x:f>SUBTOTAL(9,J2:J27)</x:f>
        <x:v>1000476.9336102731</x:v>
      </x:c>
      <x:c r="K29" s="5"/>
      <x:c r="L29" s="5">
        <x:f>SUBTOTAL(9,L2:L27)</x:f>
        <x:v>1244367.6899999997</x:v>
      </x:c>
      <x:c r="M29" s="5">
        <x:f t="shared" si="0"/>
        <x:v>1244367.6899999997</x:v>
      </x:c>
    </x:row>
    <x:row r="31" spans="1:13" ht="15.65" x14ac:dyDescent="0.25">
      <x:c r="J31" s="5"/>
    </x:row>
    <x:row r="32" spans="1:13" ht="15.65" x14ac:dyDescent="0.25">
      <x:c r="I32" s="1" t="s">
        <x:v>32</x:v>
      </x:c>
      <x:c r="J32" s="5">
        <x:f>+L29+-J34</x:f>
        <x:v>0</x:v>
      </x:c>
    </x:row>
    <x:row r="33" spans="9:10" ht="15.65" x14ac:dyDescent="0.25">
      <x:c r="I33" s="1" t="s">
        <x:v>24</x:v>
      </x:c>
      <x:c r="J33" s="5">
        <x:v>1.2437744921410978</x:v>
      </x:c>
    </x:row>
    <x:row r="34" spans="9:10" ht="15.65" x14ac:dyDescent="0.25">
      <x:c r="I34" s="1" t="s">
        <x:v>25</x:v>
      </x:c>
      <x:c r="J34" s="5">
        <x:v>1244367.69</x:v>
      </x:c>
    </x:row>
    <x:row r="35" spans="9:10" ht="15.65" x14ac:dyDescent="0.25">
      <x:c r="J35" s="5"/>
    </x:row>
    <x:row r="36" spans="9:10" ht="15.65" x14ac:dyDescent="0.25">
      <x:c r="J36" s="5"/>
    </x:row>
  </x:sheetData>
  <x:sortState xmlns:xlrd2="http://schemas.microsoft.com/office/spreadsheetml/2017/richdata2" ref="A2:J31">
    <x:sortCondition ref="A2:A31"/>
    <x:sortCondition descending="1" ref="B2:B31"/>
  </x:sortState>
  <x:pageMargins left="0.75" right="0.75" top="2" bottom="1" header="0.75" footer="0.5"/>
  <x:pageSetup scale="54" orientation="landscape" r:id="rId1"/>
  <x:headerFooter>
    <x:oddHeader>&amp;C
2025 RATE CASE
ONCOR ELECTRIC DELIVERY COMPANY, LLC
WP/II-B-5_6 NTUSU DISTRIBUTION FUNCTION
TEST YEAR ENDING DECEMBER 31, 2024
SPONSOR: D.A. WATSON&amp;RWP/II-B-5/6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2025-04-04T19:02:56.0000000Z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