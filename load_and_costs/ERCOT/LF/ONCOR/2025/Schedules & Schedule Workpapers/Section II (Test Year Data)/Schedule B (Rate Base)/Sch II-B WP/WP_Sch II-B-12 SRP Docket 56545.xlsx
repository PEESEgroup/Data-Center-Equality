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8_{A975EB69-E011-41E8-9D9D-14181D4F5C88}" xr6:coauthVersionLast="47" xr6:coauthVersionMax="47" xr10:uidLastSave="{00000000-0000-0000-0000-000000000000}"/>
  <x:bookViews>
    <x:workbookView xWindow="-28920" yWindow="-120" windowWidth="29040" windowHeight="15720" xr2:uid="{00000000-000D-0000-FFFF-FFFF00000000}"/>
  </x:bookViews>
  <x:sheets>
    <x:sheet name="SRP" sheetId="1" r:id="rId1"/>
  </x:sheets>
  <x:definedNames>
    <x:definedName name="_xlnm.Print_Area" localSheetId="0">SRP!$A$6:$T$79</x:definedName>
    <x:definedName name="_xlnm.Print_Titles" localSheetId="0">SRP!$A:$A,SRP!$6:$8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R75" i="1" l="1"/>
  <x:c r="R74" i="1" l="1"/>
  <x:c r="M72" i="1"/>
  <x:c r="P61" i="1" l="1"/>
  <x:c r="P38" i="1"/>
  <x:c r="P33" i="1"/>
  <x:c r="P24" i="1"/>
  <x:c r="P19" i="1"/>
  <x:c r="P14" i="1"/>
  <x:c r="O61" i="1"/>
  <x:c r="O38" i="1"/>
  <x:c r="O33" i="1"/>
  <x:c r="O24" i="1"/>
  <x:c r="O19" i="1"/>
  <x:c r="O14" i="1"/>
  <x:c r="N61" i="1"/>
  <x:c r="N38" i="1"/>
  <x:c r="N33" i="1"/>
  <x:c r="N40" i="1" s="1"/>
  <x:c r="N24" i="1"/>
  <x:c r="N19" i="1"/>
  <x:c r="N14" i="1"/>
  <x:c r="I23" i="1"/>
  <x:c r="E53" i="1"/>
  <x:c r="N26" i="1" l="1"/>
  <x:c r="N63" i="1" s="1"/>
  <x:c r="N74" i="1" s="1"/>
  <x:c r="P26" i="1"/>
  <x:c r="O26" i="1"/>
  <x:c r="P40" i="1"/>
  <x:c r="O40" i="1"/>
  <x:c r="S24" i="1"/>
  <x:c r="Q24" i="1"/>
  <x:c r="M24" i="1"/>
  <x:c r="L24" i="1"/>
  <x:c r="K24" i="1"/>
  <x:c r="J24" i="1"/>
  <x:c r="I24" i="1"/>
  <x:c r="H24" i="1"/>
  <x:c r="G24" i="1"/>
  <x:c r="F24" i="1"/>
  <x:c r="E24" i="1"/>
  <x:c r="D24" i="1"/>
  <x:c r="C24" i="1"/>
  <x:c r="B24" i="1"/>
  <x:c r="R23" i="1"/>
  <x:c r="T23" i="1" s="1"/>
  <x:c r="R22" i="1"/>
  <x:c r="O63" i="1" l="1"/>
  <x:c r="O74" i="1" s="1"/>
  <x:c r="P63" i="1"/>
  <x:c r="R24" i="1"/>
  <x:c r="T24" i="1" s="1"/>
  <x:c r="T22" i="1"/>
  <x:c r="R60" i="1"/>
  <x:c r="R45" i="1"/>
  <x:c r="R46" i="1"/>
  <x:c r="R47" i="1"/>
  <x:c r="R48" i="1"/>
  <x:c r="R49" i="1"/>
  <x:c r="R50" i="1"/>
  <x:c r="R51" i="1"/>
  <x:c r="R52" i="1"/>
  <x:c r="R53" i="1"/>
  <x:c r="R54" i="1"/>
  <x:c r="R55" i="1"/>
  <x:c r="R56" i="1"/>
  <x:c r="R57" i="1"/>
  <x:c r="R58" i="1"/>
  <x:c r="R59" i="1"/>
  <x:c r="R44" i="1"/>
  <x:c r="R37" i="1"/>
  <x:c r="R36" i="1"/>
  <x:c r="R32" i="1"/>
  <x:c r="R31" i="1"/>
  <x:c r="R18" i="1"/>
  <x:c r="R17" i="1"/>
  <x:c r="R13" i="1"/>
  <x:c r="R12" i="1"/>
  <x:c r="Q74" i="1" l="1"/>
  <x:c r="Q14" i="1"/>
  <x:c r="Q19" i="1"/>
  <x:c r="Q33" i="1"/>
  <x:c r="Q38" i="1"/>
  <x:c r="Q61" i="1"/>
  <x:c r="I14" i="1"/>
  <x:c r="J14" i="1"/>
  <x:c r="K14" i="1"/>
  <x:c r="L14" i="1"/>
  <x:c r="M14" i="1"/>
  <x:c r="I19" i="1"/>
  <x:c r="J19" i="1"/>
  <x:c r="K19" i="1"/>
  <x:c r="L19" i="1"/>
  <x:c r="M19" i="1"/>
  <x:c r="I33" i="1"/>
  <x:c r="J33" i="1"/>
  <x:c r="K33" i="1"/>
  <x:c r="L33" i="1"/>
  <x:c r="M33" i="1"/>
  <x:c r="I38" i="1"/>
  <x:c r="J38" i="1"/>
  <x:c r="K38" i="1"/>
  <x:c r="L38" i="1"/>
  <x:c r="M38" i="1"/>
  <x:c r="I61" i="1"/>
  <x:c r="J61" i="1"/>
  <x:c r="K61" i="1"/>
  <x:c r="L61" i="1"/>
  <x:c r="M61" i="1"/>
  <x:c r="D14" i="1"/>
  <x:c r="E14" i="1"/>
  <x:c r="F14" i="1"/>
  <x:c r="G14" i="1"/>
  <x:c r="H14" i="1"/>
  <x:c r="D19" i="1"/>
  <x:c r="E19" i="1"/>
  <x:c r="F19" i="1"/>
  <x:c r="G19" i="1"/>
  <x:c r="H19" i="1"/>
  <x:c r="D33" i="1"/>
  <x:c r="E33" i="1"/>
  <x:c r="F33" i="1"/>
  <x:c r="G33" i="1"/>
  <x:c r="H33" i="1"/>
  <x:c r="D38" i="1"/>
  <x:c r="E38" i="1"/>
  <x:c r="F38" i="1"/>
  <x:c r="G38" i="1"/>
  <x:c r="H38" i="1"/>
  <x:c r="D61" i="1"/>
  <x:c r="E61" i="1"/>
  <x:c r="F61" i="1"/>
  <x:c r="G61" i="1"/>
  <x:c r="H61" i="1"/>
  <x:c r="M26" i="1" l="1"/>
  <x:c r="L26" i="1"/>
  <x:c r="J26" i="1"/>
  <x:c r="K26" i="1"/>
  <x:c r="I26" i="1"/>
  <x:c r="H26" i="1"/>
  <x:c r="G26" i="1"/>
  <x:c r="F26" i="1"/>
  <x:c r="E26" i="1"/>
  <x:c r="D26" i="1"/>
  <x:c r="Q26" i="1"/>
  <x:c r="Q40" i="1"/>
  <x:c r="F40" i="1"/>
  <x:c r="K40" i="1"/>
  <x:c r="L40" i="1"/>
  <x:c r="G40" i="1"/>
  <x:c r="J40" i="1"/>
  <x:c r="M40" i="1"/>
  <x:c r="M63" i="1" s="1"/>
  <x:c r="I40" i="1"/>
  <x:c r="H40" i="1"/>
  <x:c r="D40" i="1"/>
  <x:c r="E40" i="1"/>
  <x:c r="S61" i="1"/>
  <x:c r="R61" i="1"/>
  <x:c r="C61" i="1"/>
  <x:c r="B61" i="1"/>
  <x:c r="T60" i="1"/>
  <x:c r="T59" i="1"/>
  <x:c r="T58" i="1"/>
  <x:c r="T57" i="1"/>
  <x:c r="T56" i="1"/>
  <x:c r="T55" i="1"/>
  <x:c r="T54" i="1"/>
  <x:c r="T53" i="1"/>
  <x:c r="T52" i="1"/>
  <x:c r="T51" i="1"/>
  <x:c r="T50" i="1"/>
  <x:c r="T49" i="1"/>
  <x:c r="T48" i="1"/>
  <x:c r="T47" i="1"/>
  <x:c r="T46" i="1"/>
  <x:c r="T45" i="1"/>
  <x:c r="T44" i="1"/>
  <x:c r="S38" i="1"/>
  <x:c r="R38" i="1"/>
  <x:c r="C38" i="1"/>
  <x:c r="B38" i="1"/>
  <x:c r="T37" i="1"/>
  <x:c r="T36" i="1"/>
  <x:c r="S33" i="1"/>
  <x:c r="R33" i="1"/>
  <x:c r="C33" i="1"/>
  <x:c r="B33" i="1"/>
  <x:c r="T32" i="1"/>
  <x:c r="T31" i="1"/>
  <x:c r="S19" i="1"/>
  <x:c r="R19" i="1"/>
  <x:c r="C19" i="1"/>
  <x:c r="B19" i="1"/>
  <x:c r="T18" i="1"/>
  <x:c r="T17" i="1"/>
  <x:c r="S14" i="1"/>
  <x:c r="R14" i="1"/>
  <x:c r="C14" i="1"/>
  <x:c r="B14" i="1"/>
  <x:c r="T13" i="1"/>
  <x:c r="T12" i="1"/>
  <x:c r="L63" i="1" l="1"/>
  <x:c r="D63" i="1"/>
  <x:c r="Q63" i="1"/>
  <x:c r="G63" i="1"/>
  <x:c r="F63" i="1"/>
  <x:c r="K63" i="1"/>
  <x:c r="E63" i="1"/>
  <x:c r="I63" i="1"/>
  <x:c r="J63" i="1"/>
  <x:c r="H63" i="1"/>
  <x:c r="B26" i="1"/>
  <x:c r="C26" i="1"/>
  <x:c r="R26" i="1"/>
  <x:c r="S26" i="1"/>
  <x:c r="S63" i="1" s="1"/>
  <x:c r="T38" i="1"/>
  <x:c r="T61" i="1"/>
  <x:c r="C40" i="1"/>
  <x:c r="B40" i="1"/>
  <x:c r="T14" i="1"/>
  <x:c r="R40" i="1"/>
  <x:c r="T33" i="1"/>
  <x:c r="T19" i="1"/>
  <x:c r="S40" i="1"/>
  <x:c r="R63" i="1" l="1"/>
  <x:c r="C63" i="1"/>
  <x:c r="B63" i="1"/>
  <x:c r="M65" i="1" s="1"/>
  <x:c r="T26" i="1"/>
  <x:c r="T40" i="1"/>
  <x:c r="T63" i="1" l="1"/>
  <x:c r="R78" i="1"/>
  <x:c r="Q75" i="1"/>
  <x:c r="Q78" i="1" s="1"/>
</x:calcChain>
</file>

<file path=xl/sharedStrings.xml><?xml version="1.0" encoding="utf-8"?>
<sst xmlns="http://schemas.openxmlformats.org/spreadsheetml/2006/main" count="95" uniqueCount="79">
  <si>
    <t>Incurred</t>
  </si>
  <si>
    <t>But Not</t>
  </si>
  <si>
    <t>To Date</t>
  </si>
  <si>
    <t>Paid</t>
  </si>
  <si>
    <t>Expenses</t>
  </si>
  <si>
    <t>Consultants</t>
  </si>
  <si>
    <t xml:space="preserve">     Professional Fees</t>
  </si>
  <si>
    <t xml:space="preserve">     Expenses</t>
  </si>
  <si>
    <t xml:space="preserve">     Total Charges</t>
  </si>
  <si>
    <t>Total Consultants</t>
  </si>
  <si>
    <t>Legal Counsel</t>
  </si>
  <si>
    <t>Regulatory Counsel</t>
  </si>
  <si>
    <t>Total Legal Counsel</t>
  </si>
  <si>
    <t>Miscellaneous Expenses</t>
  </si>
  <si>
    <t>Employee and Other Expenses</t>
  </si>
  <si>
    <t xml:space="preserve">     Airfare</t>
  </si>
  <si>
    <t xml:space="preserve">     Airfare- Service Fees</t>
  </si>
  <si>
    <t xml:space="preserve">     Car Rental</t>
  </si>
  <si>
    <t xml:space="preserve">     Car Rental- Gas</t>
  </si>
  <si>
    <t xml:space="preserve">     Equipment Rental</t>
  </si>
  <si>
    <t xml:space="preserve">     Hotel</t>
  </si>
  <si>
    <t xml:space="preserve">     Postage</t>
  </si>
  <si>
    <t xml:space="preserve">     Meals</t>
  </si>
  <si>
    <t xml:space="preserve">     Notice</t>
  </si>
  <si>
    <t xml:space="preserve">     Office Supplies</t>
  </si>
  <si>
    <t xml:space="preserve">     Overtime Payroll</t>
  </si>
  <si>
    <t xml:space="preserve">     Parking</t>
  </si>
  <si>
    <t xml:space="preserve">     Personal Car Mileage</t>
  </si>
  <si>
    <t xml:space="preserve">     Printing</t>
  </si>
  <si>
    <t xml:space="preserve">     Taxi/Bus/Other</t>
  </si>
  <si>
    <t xml:space="preserve">     Temporary Employee</t>
  </si>
  <si>
    <t>Total Miscellaneous</t>
  </si>
  <si>
    <t>Vinson &amp; Elkins</t>
  </si>
  <si>
    <t>Depreciation Study</t>
  </si>
  <si>
    <t>ONCOR ELECTRIC DELIVERY COMPANY LLC</t>
  </si>
  <si>
    <t xml:space="preserve">     Transcripts of Hearings</t>
  </si>
  <si>
    <t>Hunton Andrews Kurth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</si>
  <si>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</si>
  <si>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</si>
  <si>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</si>
  <si>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</si>
  <si>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</si>
  <si>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</si>
  <si>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</si>
  <si>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</si>
  <si>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</si>
  <si>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</si>
  <si>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</si>
  <si>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</si>
  <si>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</si>
  <si>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EDM International</t>
  </si>
  <si>
    <t>Total</t>
  </si>
  <si>
    <t>2025 RATE CASE</t>
  </si>
  <si>
    <t>Resiliency Studies</t>
  </si>
  <si>
    <t>Wildfire Mitigation Consulting</t>
  </si>
  <si>
    <t>DOCKET NO. 56545 SYSTEM RESILIENCY PLAN</t>
  </si>
  <si>
    <t>Alliance Consulting</t>
  </si>
  <si>
    <t>Burns &amp; McDonnell / 1898</t>
  </si>
  <si>
    <t>MONTHLY SRP CASE EXPENSES</t>
  </si>
  <si>
    <t>II-B-12, Column (g)</t>
  </si>
  <si>
    <t>TOTAL EXPENSES - DOCKET NO. 46545</t>
  </si>
  <si>
    <t>Sch II-B-12 K&amp;M Adjustment Line No 37, Column (g)</t>
  </si>
  <si>
    <t>Also shown in Sch II-E-4.1.1 on Line No 57 and Sch II-E-4.4 on Line No. 6</t>
  </si>
  <si>
    <t>Requesting five-year recovery (amortization) of Docket No. 56545 SRP Case expenses through Feb 2025</t>
  </si>
  <si>
    <t>Sch II-B-12 Docket No. 56545 Case Expenses Line No 37, Column (h)</t>
  </si>
  <si>
    <t>Docket No. 56545 Case Expenses at 12-31-2024 in Sch II-B-12 on Line No 37, Column (d) and (f)</t>
  </si>
  <si>
    <t>Annual amortization in Sch II-E-4.1 on Line No. 57 included in K&amp;M O&amp;M Adjustment #29 for Deferred PUCT Docket Costs (FERC Account 928)</t>
  </si>
  <si>
    <t>SPONSOR:  CHRISTINE M. SANDERS, W. ALAN LEDBETTER, &amp; R. PRACHYL</t>
  </si>
  <si>
    <t>Burns and McDonnell December invoice</t>
  </si>
  <si>
    <t>Hunton December invoice</t>
  </si>
  <si>
    <t>Hunton December accrual</t>
  </si>
  <si>
    <t>V&amp;E December accrual</t>
  </si>
  <si>
    <t>Docket No. 56545 Test Year 2024 Case Expenses</t>
  </si>
  <si>
    <t>Adjustments for Timing Differences</t>
  </si>
  <si>
    <t>Balance at 12-31-2024</t>
  </si>
  <si>
    <t>Total SRP Case Expenses</t>
  </si>
  <si>
    <t>Column (g)</t>
  </si>
  <si>
    <t>Column (h)</t>
  </si>
  <si>
    <t>Sch II-B-12, Line No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</si>
</sst>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 yyyy;@"/>
    <numFmt numFmtId="165" formatCode="&quot;$&quot;#,##0.00_);\(&quot;$&quot;#,##0.00\);\-??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1" applyFont="1" applyAlignment="1"/>
    <xf numFmtId="0" fontId="2" fillId="0" borderId="0" xfId="1" applyFont="1"/>
    <xf numFmtId="0" fontId="3" fillId="0" borderId="1" xfId="1" applyFont="1" applyBorder="1"/>
    <xf numFmtId="0" fontId="3" fillId="0" borderId="0" xfId="1" applyFont="1" applyAlignment="1">
      <alignment horizontal="centerContinuous"/>
    </xf>
    <xf numFmtId="0" fontId="2" fillId="0" borderId="0" xfId="1" applyFont="1" applyAlignment="1">
      <alignment horizontal="centerContinuous"/>
    </xf>
    <xf numFmtId="0" fontId="3" fillId="0" borderId="0" xfId="1" applyFont="1" applyAlignment="1"/>
    <xf numFmtId="0" fontId="3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165" fontId="2" fillId="0" borderId="0" xfId="1" applyNumberFormat="1" applyFont="1"/>
    <xf numFmtId="165" fontId="2" fillId="0" borderId="1" xfId="1" applyNumberFormat="1" applyFont="1" applyBorder="1"/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/>
    </xf>
    <xf numFmtId="165" fontId="3" fillId="0" borderId="0" xfId="1" applyNumberFormat="1" applyFont="1"/>
    <xf numFmtId="165" fontId="3" fillId="0" borderId="1" xfId="1" applyNumberFormat="1" applyFont="1" applyBorder="1"/>
    <xf numFmtId="165" fontId="3" fillId="0" borderId="2" xfId="1" applyNumberFormat="1" applyFont="1" applyBorder="1"/>
    <xf numFmtId="0" fontId="5" fillId="0" borderId="0" xfId="1" applyFont="1" applyAlignment="1">
      <alignment horizontal="left"/>
    </xf>
    <xf numFmtId="0" fontId="3" fillId="0" borderId="2" xfId="1" applyFont="1" applyBorder="1"/>
    <xf numFmtId="0" fontId="3" fillId="0" borderId="3" xfId="1" applyFont="1" applyBorder="1" applyAlignment="1">
      <alignment vertical="center"/>
    </xf>
    <xf numFmtId="165" fontId="3" fillId="0" borderId="3" xfId="1" applyNumberFormat="1" applyFont="1" applyBorder="1" applyAlignment="1">
      <alignment vertical="center"/>
    </xf>
    <xf numFmtId="0" fontId="3" fillId="0" borderId="1" xfId="1" applyFont="1" applyBorder="1" applyAlignment="1">
      <alignment horizontal="left"/>
    </xf>
    <xf numFmtId="164" fontId="3" fillId="0" borderId="1" xfId="1" quotePrefix="1" applyNumberFormat="1" applyFont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165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165" fontId="3" fillId="0" borderId="0" xfId="0" applyNumberFormat="1" applyFont="1"/>
    <xf numFmtId="0" fontId="2" fillId="0" borderId="0" xfId="0" applyFont="1" applyAlignment="1">
      <alignment horizontal="right"/>
    </xf>
    <xf numFmtId="43" fontId="2" fillId="0" borderId="0" xfId="3" applyFont="1"/>
    <xf numFmtId="43" fontId="2" fillId="0" borderId="1" xfId="3" applyFont="1" applyBorder="1"/>
    <xf numFmtId="165" fontId="3" fillId="0" borderId="0" xfId="3" applyNumberFormat="1" applyFont="1"/>
    <xf numFmtId="0" fontId="5" fillId="0" borderId="0" xfId="0" applyFont="1" applyAlignment="1">
      <alignment horizontal="right"/>
    </xf>
    <xf numFmtId="7" fontId="3" fillId="0" borderId="0" xfId="0" applyNumberFormat="1" applyFont="1"/>
    <xf numFmtId="165" fontId="3" fillId="0" borderId="1" xfId="0" applyNumberFormat="1" applyFont="1" applyBorder="1"/>
    <xf numFmtId="44" fontId="3" fillId="0" borderId="0" xfId="2" applyFont="1"/>
    <xf numFmtId="0" fontId="3" fillId="0" borderId="0" xfId="0" applyFont="1" applyAlignment="1">
      <alignment horizontal="left" indent="1"/>
    </xf>
    <xf numFmtId="166" fontId="3" fillId="0" borderId="0" xfId="3" applyNumberFormat="1" applyFont="1"/>
    <xf numFmtId="165" fontId="3" fillId="0" borderId="0" xfId="0" applyNumberFormat="1" applyFont="1" applyAlignment="1">
      <alignment horizontal="right"/>
    </xf>
  </cellXfs>
  <cellStyles count="4">
    <cellStyle name="Comma" xfId="3" builtinId="3"/>
    <cellStyle name="Currency" xfId="2" builtinId="4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U79"/>
  <x:sheetViews>
    <x:sheetView tabSelected="1" zoomScale="70" zoomScaleNormal="70" zoomScaleSheetLayoutView="70" zoomScalePageLayoutView="50" workbookViewId="0">
      <x:pane xSplit="1" ySplit="9" topLeftCell="B10" activePane="bottomRight" state="frozen"/>
      <x:selection pane="topRight" activeCell="B1" sqref="B1"/>
      <x:selection pane="bottomLeft" activeCell="A10" sqref="A10"/>
      <x:selection pane="bottomRight" activeCell="R73" sqref="R73"/>
    </x:sheetView>
  </x:sheetViews>
  <x:sheetFormatPr defaultColWidth="8.7265625" defaultRowHeight="15.5" x14ac:dyDescent="0.35"/>
  <x:cols>
    <x:col min="1" max="1" width="33.26953125" style="23" customWidth="1"/>
    <x:col min="2" max="9" width="14.81640625" style="23" bestFit="1" customWidth="1"/>
    <x:col min="10" max="12" width="13.54296875" style="23" bestFit="1" customWidth="1"/>
    <x:col min="13" max="13" width="19.1796875" style="23" bestFit="1" customWidth="1"/>
    <x:col min="14" max="14" width="14.26953125" style="23" bestFit="1" customWidth="1"/>
    <x:col min="15" max="15" width="14.453125" style="23" bestFit="1" customWidth="1"/>
    <x:col min="16" max="16" width="10.54296875" style="23" hidden="1" customWidth="1"/>
    <x:col min="17" max="17" width="10.453125" style="23" hidden="1" customWidth="1"/>
    <x:col min="18" max="18" width="23.81640625" style="23" customWidth="1"/>
    <x:col min="19" max="19" width="11" style="23" bestFit="1" customWidth="1"/>
    <x:col min="20" max="20" width="16.7265625" style="25" bestFit="1" customWidth="1"/>
    <x:col min="21" max="24" width="18.1796875" style="23" customWidth="1"/>
    <x:col min="25" max="16384" width="8.7265625" style="23"/>
  </x:cols>
  <x:sheetData>
    <x:row r="1" spans="1:20" x14ac:dyDescent="0.35">
      <x:c r="A1" s="7" t="s">
        <x:v>52</x:v>
      </x:c>
      <x:c r="B1" s="5"/>
      <x:c r="C1" s="5"/>
      <x:c r="D1" s="5"/>
      <x:c r="E1" s="5"/>
      <x:c r="F1" s="5"/>
      <x:c r="G1" s="5"/>
      <x:c r="H1" s="5"/>
      <x:c r="I1" s="5"/>
      <x:c r="J1" s="5"/>
      <x:c r="K1" s="4"/>
      <x:c r="L1" s="5"/>
      <x:c r="M1" s="5"/>
      <x:c r="N1" s="5"/>
      <x:c r="O1" s="5"/>
      <x:c r="P1" s="5"/>
      <x:c r="Q1" s="5"/>
      <x:c r="R1" s="5"/>
      <x:c r="S1" s="5"/>
      <x:c r="T1" s="4"/>
    </x:row>
    <x:row r="2" spans="1:20" x14ac:dyDescent="0.35">
      <x:c r="A2" s="7" t="s">
        <x:v>34</x:v>
      </x:c>
      <x:c r="B2" s="5"/>
      <x:c r="C2" s="5"/>
      <x:c r="D2" s="5"/>
      <x:c r="E2" s="5"/>
      <x:c r="F2" s="5"/>
      <x:c r="G2" s="5"/>
      <x:c r="H2" s="5"/>
      <x:c r="I2" s="5"/>
      <x:c r="J2" s="5"/>
      <x:c r="K2" s="4"/>
      <x:c r="L2" s="5"/>
      <x:c r="M2" s="5"/>
      <x:c r="N2" s="5"/>
      <x:c r="O2" s="5"/>
      <x:c r="P2" s="5"/>
      <x:c r="Q2" s="5"/>
      <x:c r="R2" s="5"/>
      <x:c r="S2" s="5"/>
      <x:c r="T2" s="4"/>
    </x:row>
    <x:row r="3" spans="1:20" ht="15.75" customHeight="1" x14ac:dyDescent="0.35">
      <x:c r="A3" s="7" t="s">
        <x:v>58</x:v>
      </x:c>
      <x:c r="B3" s="5"/>
      <x:c r="D3" s="5"/>
      <x:c r="E3" s="5"/>
      <x:c r="F3" s="5"/>
      <x:c r="G3" s="5"/>
      <x:c r="H3" s="5"/>
      <x:c r="I3" s="5"/>
      <x:c r="J3" s="5"/>
      <x:c r="K3" s="4"/>
      <x:c r="L3" s="5"/>
      <x:c r="M3" s="5"/>
      <x:c r="N3" s="5"/>
      <x:c r="O3" s="5"/>
      <x:c r="P3" s="5"/>
      <x:c r="Q3" s="5"/>
      <x:c r="R3" s="5"/>
      <x:c r="S3" s="5"/>
      <x:c r="T3" s="4"/>
    </x:row>
    <x:row r="4" spans="1:20" ht="15.75" customHeight="1" x14ac:dyDescent="0.35">
      <x:c r="A4" s="7" t="s">
        <x:v>55</x:v>
      </x:c>
      <x:c r="B4" s="6"/>
      <x:c r="D4" s="1"/>
      <x:c r="F4" s="1"/>
      <x:c r="G4" s="1"/>
      <x:c r="H4" s="1"/>
      <x:c r="I4" s="1"/>
      <x:c r="J4" s="1"/>
      <x:c r="K4" s="4"/>
      <x:c r="L4" s="5"/>
      <x:c r="M4" s="5"/>
      <x:c r="N4" s="1"/>
      <x:c r="O4" s="1"/>
      <x:c r="P4" s="1"/>
      <x:c r="Q4" s="1"/>
      <x:c r="R4" s="6"/>
      <x:c r="S4" s="5"/>
      <x:c r="T4" s="4"/>
    </x:row>
    <x:row r="5" spans="1:20" ht="15.75" customHeight="1" x14ac:dyDescent="0.35">
      <x:c r="A5" s="7" t="s">
        <x:v>67</x:v>
      </x:c>
      <x:c r="B5" s="6"/>
      <x:c r="C5" s="5"/>
      <x:c r="E5" s="5"/>
      <x:c r="F5" s="5"/>
      <x:c r="G5" s="5"/>
      <x:c r="H5" s="5"/>
      <x:c r="I5" s="5"/>
      <x:c r="J5" s="5"/>
      <x:c r="K5" s="4"/>
      <x:c r="L5" s="5"/>
      <x:c r="M5" s="5"/>
      <x:c r="N5" s="6"/>
      <x:c r="O5" s="6"/>
      <x:c r="P5" s="6"/>
      <x:c r="Q5" s="6"/>
      <x:c r="R5" s="5"/>
      <x:c r="S5" s="5"/>
      <x:c r="T5" s="4"/>
    </x:row>
    <x:row r="6" spans="1:20" s="24" customFormat="1" x14ac:dyDescent="0.35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 t="s">
        <x:v>4</x:v>
      </x:c>
      <x:c r="S6" s="12" t="s">
        <x:v>0</x:v>
      </x:c>
      <x:c r="T6" s="12" t="s">
        <x:v>51</x:v>
      </x:c>
    </x:row>
    <x:row r="7" spans="1:20" s="24" customFormat="1" x14ac:dyDescent="0.35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 t="s">
        <x:v>3</x:v>
      </x:c>
      <x:c r="S7" s="12" t="s">
        <x:v>1</x:v>
      </x:c>
      <x:c r="T7" s="12" t="s">
        <x:v>4</x:v>
      </x:c>
    </x:row>
    <x:row r="8" spans="1:20" s="24" customFormat="1" x14ac:dyDescent="0.35">
      <x:c r="A8" s="12"/>
      <x:c r="B8" s="22" t="s">
        <x:v>37</x:v>
      </x:c>
      <x:c r="C8" s="22" t="s">
        <x:v>38</x:v>
      </x:c>
      <x:c r="D8" s="22" t="s">
        <x:v>39</x:v>
      </x:c>
      <x:c r="E8" s="22" t="s">
        <x:v>40</x:v>
      </x:c>
      <x:c r="F8" s="22" t="s">
        <x:v>41</x:v>
      </x:c>
      <x:c r="G8" s="22" t="s">
        <x:v>42</x:v>
      </x:c>
      <x:c r="H8" s="22" t="s">
        <x:v>43</x:v>
      </x:c>
      <x:c r="I8" s="22" t="s">
        <x:v>44</x:v>
      </x:c>
      <x:c r="J8" s="22" t="s">
        <x:v>45</x:v>
      </x:c>
      <x:c r="K8" s="22" t="s">
        <x:v>46</x:v>
      </x:c>
      <x:c r="L8" s="22" t="s">
        <x:v>47</x:v>
      </x:c>
      <x:c r="M8" s="22" t="s">
        <x:v>48</x:v>
      </x:c>
      <x:c r="N8" s="22" t="s">
        <x:v>49</x:v>
      </x:c>
      <x:c r="O8" s="22">
        <x:v>45689</x:v>
      </x:c>
      <x:c r="P8" s="22">
        <x:v>45741</x:v>
      </x:c>
      <x:c r="Q8" s="22">
        <x:v>45772</x:v>
      </x:c>
      <x:c r="R8" s="13" t="s">
        <x:v>2</x:v>
      </x:c>
      <x:c r="S8" s="13" t="s">
        <x:v>3</x:v>
      </x:c>
      <x:c r="T8" s="13" t="s">
        <x:v>2</x:v>
      </x:c>
    </x:row>
    <x:row r="9" spans="1:20" x14ac:dyDescent="0.35">
      <x:c r="A9" s="21" t="s">
        <x:v>5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11"/>
    </x:row>
    <x:row r="10" spans="1:20" x14ac:dyDescent="0.35">
      <x:c r="A10" s="17" t="s">
        <x:v>56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11"/>
    </x:row>
    <x:row r="11" spans="1:20" x14ac:dyDescent="0.35">
      <x:c r="A11" s="2" t="s">
        <x:v>33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11"/>
    </x:row>
    <x:row r="12" spans="1:20" x14ac:dyDescent="0.35">
      <x:c r="A12" s="2" t="s">
        <x:v>6</x:v>
      </x:c>
      <x:c r="B12" s="9">
        <x:v>0</x:v>
      </x:c>
      <x:c r="C12" s="9">
        <x:v>0</x:v>
      </x:c>
      <x:c r="D12" s="9">
        <x:v>437.5</x:v>
      </x:c>
      <x:c r="E12" s="9">
        <x:v>0</x:v>
      </x:c>
      <x:c r="F12" s="9">
        <x:v>0</x:v>
      </x:c>
      <x:c r="G12" s="9">
        <x:v>0</x:v>
      </x:c>
      <x:c r="H12" s="9">
        <x:v>0</x:v>
      </x:c>
      <x:c r="I12" s="9">
        <x:v>0</x:v>
      </x:c>
      <x:c r="J12" s="9">
        <x:v>0</x:v>
      </x:c>
      <x:c r="K12" s="9">
        <x:v>0</x:v>
      </x:c>
      <x:c r="L12" s="9">
        <x:v>0</x:v>
      </x:c>
      <x:c r="M12" s="9">
        <x:v>0</x:v>
      </x:c>
      <x:c r="N12" s="9">
        <x:v>0</x:v>
      </x:c>
      <x:c r="O12" s="9">
        <x:v>0</x:v>
      </x:c>
      <x:c r="P12" s="9">
        <x:v>0</x:v>
      </x:c>
      <x:c r="Q12" s="9">
        <x:v>0</x:v>
      </x:c>
      <x:c r="R12" s="9">
        <x:f>SUM(B12:Q12)</x:f>
        <x:v>437.5</x:v>
      </x:c>
      <x:c r="S12" s="9">
        <x:v>0</x:v>
      </x:c>
      <x:c r="T12" s="14">
        <x:f>+R12+S12</x:f>
        <x:v>437.5</x:v>
      </x:c>
    </x:row>
    <x:row r="13" spans="1:20" x14ac:dyDescent="0.35">
      <x:c r="A13" s="2" t="s">
        <x:v>7</x:v>
      </x:c>
      <x:c r="B13" s="10">
        <x:v>0</x:v>
      </x:c>
      <x:c r="C13" s="10">
        <x:v>0</x:v>
      </x:c>
      <x:c r="D13" s="10">
        <x:v>0</x:v>
      </x:c>
      <x:c r="E13" s="10">
        <x:v>0</x:v>
      </x:c>
      <x:c r="F13" s="10">
        <x:v>0</x:v>
      </x:c>
      <x:c r="G13" s="10">
        <x:v>0</x:v>
      </x:c>
      <x:c r="H13" s="10">
        <x:v>0</x:v>
      </x:c>
      <x:c r="I13" s="10">
        <x:v>0</x:v>
      </x:c>
      <x:c r="J13" s="10">
        <x:v>0</x:v>
      </x:c>
      <x:c r="K13" s="10">
        <x:v>0</x:v>
      </x:c>
      <x:c r="L13" s="10">
        <x:v>0</x:v>
      </x:c>
      <x:c r="M13" s="10">
        <x:v>0</x:v>
      </x:c>
      <x:c r="N13" s="10">
        <x:v>0</x:v>
      </x:c>
      <x:c r="O13" s="10">
        <x:v>0</x:v>
      </x:c>
      <x:c r="P13" s="10">
        <x:v>0</x:v>
      </x:c>
      <x:c r="Q13" s="10">
        <x:v>0</x:v>
      </x:c>
      <x:c r="R13" s="10">
        <x:f>SUM(B13:Q13)</x:f>
        <x:v>0</x:v>
      </x:c>
      <x:c r="S13" s="10">
        <x:v>0</x:v>
      </x:c>
      <x:c r="T13" s="15">
        <x:f t="shared" ref="T13:T14" si="0">+R13+S13</x:f>
        <x:v>0</x:v>
      </x:c>
    </x:row>
    <x:row r="14" spans="1:20" x14ac:dyDescent="0.35">
      <x:c r="A14" s="2" t="s">
        <x:v>8</x:v>
      </x:c>
      <x:c r="B14" s="9">
        <x:f t="shared" ref="B14:S14" si="1">SUM(B12:B13)</x:f>
        <x:v>0</x:v>
      </x:c>
      <x:c r="C14" s="9">
        <x:f t="shared" si="1"/>
        <x:v>0</x:v>
      </x:c>
      <x:c r="D14" s="9">
        <x:f t="shared" ref="D14:H14" si="2">SUM(D12:D13)</x:f>
        <x:v>437.5</x:v>
      </x:c>
      <x:c r="E14" s="9">
        <x:f t="shared" si="2"/>
        <x:v>0</x:v>
      </x:c>
      <x:c r="F14" s="9">
        <x:f t="shared" si="2"/>
        <x:v>0</x:v>
      </x:c>
      <x:c r="G14" s="9">
        <x:f t="shared" si="2"/>
        <x:v>0</x:v>
      </x:c>
      <x:c r="H14" s="9">
        <x:f t="shared" si="2"/>
        <x:v>0</x:v>
      </x:c>
      <x:c r="I14" s="9">
        <x:f t="shared" ref="I14:N14" si="3">SUM(I12:I13)</x:f>
        <x:v>0</x:v>
      </x:c>
      <x:c r="J14" s="9">
        <x:f t="shared" si="3"/>
        <x:v>0</x:v>
      </x:c>
      <x:c r="K14" s="9">
        <x:f t="shared" si="3"/>
        <x:v>0</x:v>
      </x:c>
      <x:c r="L14" s="9">
        <x:f t="shared" si="3"/>
        <x:v>0</x:v>
      </x:c>
      <x:c r="M14" s="9">
        <x:f t="shared" si="3"/>
        <x:v>0</x:v>
      </x:c>
      <x:c r="N14" s="9">
        <x:f t="shared" si="3"/>
        <x:v>0</x:v>
      </x:c>
      <x:c r="O14" s="9">
        <x:f t="shared" ref="O14:Q14" si="4">SUM(O12:O13)</x:f>
        <x:v>0</x:v>
      </x:c>
      <x:c r="P14" s="9">
        <x:f t="shared" ref="P14" si="5">SUM(P12:P13)</x:f>
        <x:v>0</x:v>
      </x:c>
      <x:c r="Q14" s="9">
        <x:f t="shared" si="4"/>
        <x:v>0</x:v>
      </x:c>
      <x:c r="R14" s="9">
        <x:f t="shared" si="1"/>
        <x:v>437.5</x:v>
      </x:c>
      <x:c r="S14" s="9">
        <x:f t="shared" si="1"/>
        <x:v>0</x:v>
      </x:c>
      <x:c r="T14" s="14">
        <x:f t="shared" si="0"/>
        <x:v>437.5</x:v>
      </x:c>
    </x:row>
    <x:row r="15" spans="1:20" x14ac:dyDescent="0.35">
      <x:c r="A15" s="17" t="s">
        <x:v>50</x:v>
      </x:c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14"/>
    </x:row>
    <x:row r="16" spans="1:20" x14ac:dyDescent="0.35">
      <x:c r="A16" s="8" t="s">
        <x:v>54</x:v>
      </x:c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14"/>
    </x:row>
    <x:row r="17" spans="1:20" x14ac:dyDescent="0.35">
      <x:c r="A17" s="2" t="s">
        <x:v>6</x:v>
      </x:c>
      <x:c r="B17" s="9">
        <x:v>0</x:v>
      </x:c>
      <x:c r="C17" s="9">
        <x:v>18129</x:v>
      </x:c>
      <x:c r="D17" s="9">
        <x:v>49534.25</x:v>
      </x:c>
      <x:c r="E17" s="9">
        <x:v>7561.25</x:v>
      </x:c>
      <x:c r="F17" s="9">
        <x:v>11309</x:v>
      </x:c>
      <x:c r="G17" s="9">
        <x:v>0</x:v>
      </x:c>
      <x:c r="H17" s="9">
        <x:v>0</x:v>
      </x:c>
      <x:c r="I17" s="9">
        <x:v>0</x:v>
      </x:c>
      <x:c r="J17" s="9">
        <x:v>0</x:v>
      </x:c>
      <x:c r="K17" s="9">
        <x:v>0</x:v>
      </x:c>
      <x:c r="L17" s="9">
        <x:v>0</x:v>
      </x:c>
      <x:c r="M17" s="9">
        <x:v>0</x:v>
      </x:c>
      <x:c r="N17" s="9">
        <x:v>0</x:v>
      </x:c>
      <x:c r="O17" s="9">
        <x:v>0</x:v>
      </x:c>
      <x:c r="P17" s="9">
        <x:v>0</x:v>
      </x:c>
      <x:c r="Q17" s="9">
        <x:v>0</x:v>
      </x:c>
      <x:c r="R17" s="9">
        <x:f>SUM(B17:Q17)</x:f>
        <x:v>86533.5</x:v>
      </x:c>
      <x:c r="S17" s="9">
        <x:v>0</x:v>
      </x:c>
      <x:c r="T17" s="14">
        <x:f t="shared" ref="T17:T19" si="6">+R17+S17</x:f>
        <x:v>86533.5</x:v>
      </x:c>
    </x:row>
    <x:row r="18" spans="1:20" x14ac:dyDescent="0.35">
      <x:c r="A18" s="2" t="s">
        <x:v>7</x:v>
      </x:c>
      <x:c r="B18" s="10">
        <x:v>0</x:v>
      </x:c>
      <x:c r="C18" s="10">
        <x:v>0</x:v>
      </x:c>
      <x:c r="D18" s="10">
        <x:v>0</x:v>
      </x:c>
      <x:c r="E18" s="10">
        <x:v>114.95</x:v>
      </x:c>
      <x:c r="F18" s="10">
        <x:v>0</x:v>
      </x:c>
      <x:c r="G18" s="10">
        <x:v>0</x:v>
      </x:c>
      <x:c r="H18" s="10">
        <x:v>0</x:v>
      </x:c>
      <x:c r="I18" s="10">
        <x:v>0</x:v>
      </x:c>
      <x:c r="J18" s="10">
        <x:v>0</x:v>
      </x:c>
      <x:c r="K18" s="10">
        <x:v>0</x:v>
      </x:c>
      <x:c r="L18" s="10">
        <x:v>0</x:v>
      </x:c>
      <x:c r="M18" s="10">
        <x:v>0</x:v>
      </x:c>
      <x:c r="N18" s="10">
        <x:v>0</x:v>
      </x:c>
      <x:c r="O18" s="10">
        <x:v>0</x:v>
      </x:c>
      <x:c r="P18" s="10">
        <x:v>0</x:v>
      </x:c>
      <x:c r="Q18" s="10">
        <x:v>0</x:v>
      </x:c>
      <x:c r="R18" s="10">
        <x:f>SUM(B18:Q18)</x:f>
        <x:v>114.95</x:v>
      </x:c>
      <x:c r="S18" s="10">
        <x:v>0</x:v>
      </x:c>
      <x:c r="T18" s="15">
        <x:f t="shared" si="6"/>
        <x:v>114.95</x:v>
      </x:c>
    </x:row>
    <x:row r="19" spans="1:20" x14ac:dyDescent="0.35">
      <x:c r="A19" s="2" t="s">
        <x:v>8</x:v>
      </x:c>
      <x:c r="B19" s="9">
        <x:f t="shared" ref="B19:S19" si="7">SUM(B17:B18)</x:f>
        <x:v>0</x:v>
      </x:c>
      <x:c r="C19" s="9">
        <x:f t="shared" si="7"/>
        <x:v>18129</x:v>
      </x:c>
      <x:c r="D19" s="9">
        <x:f t="shared" ref="D19:H19" si="8">SUM(D17:D18)</x:f>
        <x:v>49534.25</x:v>
      </x:c>
      <x:c r="E19" s="9">
        <x:f t="shared" si="8"/>
        <x:v>7676.2</x:v>
      </x:c>
      <x:c r="F19" s="9">
        <x:f t="shared" si="8"/>
        <x:v>11309</x:v>
      </x:c>
      <x:c r="G19" s="9">
        <x:f t="shared" si="8"/>
        <x:v>0</x:v>
      </x:c>
      <x:c r="H19" s="9">
        <x:f t="shared" si="8"/>
        <x:v>0</x:v>
      </x:c>
      <x:c r="I19" s="9">
        <x:f t="shared" ref="I19:N19" si="9">SUM(I17:I18)</x:f>
        <x:v>0</x:v>
      </x:c>
      <x:c r="J19" s="9">
        <x:f t="shared" si="9"/>
        <x:v>0</x:v>
      </x:c>
      <x:c r="K19" s="9">
        <x:f t="shared" si="9"/>
        <x:v>0</x:v>
      </x:c>
      <x:c r="L19" s="9">
        <x:f t="shared" si="9"/>
        <x:v>0</x:v>
      </x:c>
      <x:c r="M19" s="9">
        <x:f t="shared" si="9"/>
        <x:v>0</x:v>
      </x:c>
      <x:c r="N19" s="9">
        <x:f t="shared" si="9"/>
        <x:v>0</x:v>
      </x:c>
      <x:c r="O19" s="9">
        <x:f t="shared" ref="O19:Q19" si="10">SUM(O17:O18)</x:f>
        <x:v>0</x:v>
      </x:c>
      <x:c r="P19" s="9">
        <x:f t="shared" ref="P19" si="11">SUM(P17:P18)</x:f>
        <x:v>0</x:v>
      </x:c>
      <x:c r="Q19" s="9">
        <x:f t="shared" si="10"/>
        <x:v>0</x:v>
      </x:c>
      <x:c r="R19" s="9">
        <x:f t="shared" si="7"/>
        <x:v>86648.45</x:v>
      </x:c>
      <x:c r="S19" s="9">
        <x:f t="shared" si="7"/>
        <x:v>0</x:v>
      </x:c>
      <x:c r="T19" s="14">
        <x:f t="shared" si="6"/>
        <x:v>86648.45</x:v>
      </x:c>
    </x:row>
    <x:row r="20" spans="1:20" x14ac:dyDescent="0.35">
      <x:c r="A20" s="17" t="s">
        <x:v>57</x:v>
      </x:c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14"/>
    </x:row>
    <x:row r="21" spans="1:20" x14ac:dyDescent="0.35">
      <x:c r="A21" s="8" t="s">
        <x:v>53</x:v>
      </x:c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14"/>
    </x:row>
    <x:row r="22" spans="1:20" x14ac:dyDescent="0.35">
      <x:c r="A22" s="2" t="s">
        <x:v>6</x:v>
      </x:c>
      <x:c r="B22" s="9">
        <x:v>654500</x:v>
      </x:c>
      <x:c r="C22" s="9">
        <x:v>458150</x:v>
      </x:c>
      <x:c r="D22" s="9">
        <x:v>196350</x:v>
      </x:c>
      <x:c r="E22" s="9">
        <x:v>0</x:v>
      </x:c>
      <x:c r="F22" s="9">
        <x:v>0</x:v>
      </x:c>
      <x:c r="G22" s="9">
        <x:v>0</x:v>
      </x:c>
      <x:c r="H22" s="9">
        <x:v>0</x:v>
      </x:c>
      <x:c r="I22" s="9">
        <x:v>63220.25</x:v>
      </x:c>
      <x:c r="J22" s="9">
        <x:v>0</x:v>
      </x:c>
      <x:c r="K22" s="9">
        <x:v>4240</x:v>
      </x:c>
      <x:c r="L22" s="9">
        <x:v>3816</x:v>
      </x:c>
      <x:c r="M22" s="9">
        <x:v>1383.38</x:v>
      </x:c>
      <x:c r="N22" s="9">
        <x:v>0</x:v>
      </x:c>
      <x:c r="O22" s="9">
        <x:v>0</x:v>
      </x:c>
      <x:c r="P22" s="9">
        <x:v>0</x:v>
      </x:c>
      <x:c r="Q22" s="9">
        <x:v>0</x:v>
      </x:c>
      <x:c r="R22" s="9">
        <x:f>SUM(B22:Q22)</x:f>
        <x:v>1381659.63</x:v>
      </x:c>
      <x:c r="S22" s="9">
        <x:v>0</x:v>
      </x:c>
      <x:c r="T22" s="14">
        <x:f>+R22+S22</x:f>
        <x:v>1381659.63</x:v>
      </x:c>
    </x:row>
    <x:row r="23" spans="1:20" x14ac:dyDescent="0.35">
      <x:c r="A23" s="2" t="s">
        <x:v>7</x:v>
      </x:c>
      <x:c r="B23" s="10">
        <x:v>11009.11</x:v>
      </x:c>
      <x:c r="C23" s="10">
        <x:v>219.26</x:v>
      </x:c>
      <x:c r="D23" s="10">
        <x:v>6032.93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f>55.16+973.92</x:f>
        <x:v>1029.08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10">
        <x:f>SUM(B23:Q23)</x:f>
        <x:v>18290.380000000005</x:v>
      </x:c>
      <x:c r="S23" s="10">
        <x:v>0</x:v>
      </x:c>
      <x:c r="T23" s="15">
        <x:f t="shared" ref="T23:T24" si="12">+R23+S23</x:f>
        <x:v>18290.380000000005</x:v>
      </x:c>
    </x:row>
    <x:row r="24" spans="1:20" x14ac:dyDescent="0.35">
      <x:c r="A24" s="2" t="s">
        <x:v>8</x:v>
      </x:c>
      <x:c r="B24" s="9">
        <x:f t="shared" ref="B24:S24" si="13">SUM(B22:B23)</x:f>
        <x:v>665509.11</x:v>
      </x:c>
      <x:c r="C24" s="9">
        <x:f t="shared" si="13"/>
        <x:v>458369.26</x:v>
      </x:c>
      <x:c r="D24" s="9">
        <x:f t="shared" si="13"/>
        <x:v>202382.93</x:v>
      </x:c>
      <x:c r="E24" s="9">
        <x:f t="shared" si="13"/>
        <x:v>0</x:v>
      </x:c>
      <x:c r="F24" s="9">
        <x:f t="shared" si="13"/>
        <x:v>0</x:v>
      </x:c>
      <x:c r="G24" s="9">
        <x:f t="shared" si="13"/>
        <x:v>0</x:v>
      </x:c>
      <x:c r="H24" s="9">
        <x:f t="shared" si="13"/>
        <x:v>0</x:v>
      </x:c>
      <x:c r="I24" s="9">
        <x:f t="shared" si="13"/>
        <x:v>64249.33</x:v>
      </x:c>
      <x:c r="J24" s="9">
        <x:f t="shared" si="13"/>
        <x:v>0</x:v>
      </x:c>
      <x:c r="K24" s="9">
        <x:f t="shared" si="13"/>
        <x:v>4240</x:v>
      </x:c>
      <x:c r="L24" s="9">
        <x:f t="shared" si="13"/>
        <x:v>3816</x:v>
      </x:c>
      <x:c r="M24" s="9">
        <x:f t="shared" si="13"/>
        <x:v>1383.38</x:v>
      </x:c>
      <x:c r="N24" s="9">
        <x:f t="shared" ref="N24:P24" si="14">SUM(N22:N23)</x:f>
        <x:v>0</x:v>
      </x:c>
      <x:c r="O24" s="9">
        <x:f t="shared" si="14"/>
        <x:v>0</x:v>
      </x:c>
      <x:c r="P24" s="9">
        <x:f t="shared" si="14"/>
        <x:v>0</x:v>
      </x:c>
      <x:c r="Q24" s="9">
        <x:f t="shared" si="13"/>
        <x:v>0</x:v>
      </x:c>
      <x:c r="R24" s="9">
        <x:f t="shared" si="13"/>
        <x:v>1399950.0099999998</x:v>
      </x:c>
      <x:c r="S24" s="9">
        <x:f t="shared" si="13"/>
        <x:v>0</x:v>
      </x:c>
      <x:c r="T24" s="14">
        <x:f t="shared" si="12"/>
        <x:v>1399950.0099999998</x:v>
      </x:c>
    </x:row>
    <x:row r="25" spans="1:20" x14ac:dyDescent="0.35">
      <x:c r="A25" s="2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14"/>
    </x:row>
    <x:row r="26" spans="1:20" s="25" customFormat="1" x14ac:dyDescent="0.35">
      <x:c r="A26" s="18" t="s">
        <x:v>9</x:v>
      </x:c>
      <x:c r="B26" s="16">
        <x:f>+B14+B19+B24</x:f>
        <x:v>665509.11</x:v>
      </x:c>
      <x:c r="C26" s="16">
        <x:f t="shared" ref="C26:Q26" si="15">+C14+C19+C24</x:f>
        <x:v>476498.26</x:v>
      </x:c>
      <x:c r="D26" s="16">
        <x:f t="shared" si="15"/>
        <x:v>252354.68</x:v>
      </x:c>
      <x:c r="E26" s="16">
        <x:f t="shared" si="15"/>
        <x:v>7676.2</x:v>
      </x:c>
      <x:c r="F26" s="16">
        <x:f t="shared" si="15"/>
        <x:v>11309</x:v>
      </x:c>
      <x:c r="G26" s="16">
        <x:f t="shared" si="15"/>
        <x:v>0</x:v>
      </x:c>
      <x:c r="H26" s="16">
        <x:f t="shared" si="15"/>
        <x:v>0</x:v>
      </x:c>
      <x:c r="I26" s="16">
        <x:f t="shared" si="15"/>
        <x:v>64249.33</x:v>
      </x:c>
      <x:c r="J26" s="16">
        <x:f t="shared" si="15"/>
        <x:v>0</x:v>
      </x:c>
      <x:c r="K26" s="16">
        <x:f t="shared" si="15"/>
        <x:v>4240</x:v>
      </x:c>
      <x:c r="L26" s="16">
        <x:f t="shared" si="15"/>
        <x:v>3816</x:v>
      </x:c>
      <x:c r="M26" s="16">
        <x:f t="shared" si="15"/>
        <x:v>1383.38</x:v>
      </x:c>
      <x:c r="N26" s="16">
        <x:f t="shared" si="15"/>
        <x:v>0</x:v>
      </x:c>
      <x:c r="O26" s="16">
        <x:f t="shared" si="15"/>
        <x:v>0</x:v>
      </x:c>
      <x:c r="P26" s="16">
        <x:f t="shared" si="15"/>
        <x:v>0</x:v>
      </x:c>
      <x:c r="Q26" s="16">
        <x:f t="shared" si="15"/>
        <x:v>0</x:v>
      </x:c>
      <x:c r="R26" s="16">
        <x:f>+R14+R19+R24</x:f>
        <x:v>1487035.9599999997</x:v>
      </x:c>
      <x:c r="S26" s="16">
        <x:f t="shared" ref="S26:T26" si="16">+S14+S19+S24</x:f>
        <x:v>0</x:v>
      </x:c>
      <x:c r="T26" s="16">
        <x:f t="shared" si="16"/>
        <x:v>1487035.9599999997</x:v>
      </x:c>
    </x:row>
    <x:row r="27" spans="1:20" x14ac:dyDescent="0.35">
      <x:c r="A27" s="2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14"/>
    </x:row>
    <x:row r="28" spans="1:20" x14ac:dyDescent="0.35">
      <x:c r="A28" s="3" t="s">
        <x:v>10</x:v>
      </x:c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14"/>
    </x:row>
    <x:row r="29" spans="1:20" x14ac:dyDescent="0.35">
      <x:c r="A29" s="17" t="s">
        <x:v>32</x:v>
      </x:c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14"/>
    </x:row>
    <x:row r="30" spans="1:20" x14ac:dyDescent="0.35">
      <x:c r="A30" s="2" t="s">
        <x:v>11</x:v>
      </x:c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14"/>
    </x:row>
    <x:row r="31" spans="1:20" x14ac:dyDescent="0.35">
      <x:c r="A31" s="2" t="s">
        <x:v>6</x:v>
      </x:c>
      <x:c r="B31" s="9">
        <x:v>43686.5</x:v>
      </x:c>
      <x:c r="C31" s="9">
        <x:v>184991</x:v>
      </x:c>
      <x:c r="D31" s="9">
        <x:v>304524</x:v>
      </x:c>
      <x:c r="E31" s="9">
        <x:v>332402</x:v>
      </x:c>
      <x:c r="F31" s="9">
        <x:v>25402.5</x:v>
      </x:c>
      <x:c r="G31" s="9">
        <x:v>201793</x:v>
      </x:c>
      <x:c r="H31" s="9">
        <x:v>212223</x:v>
      </x:c>
      <x:c r="I31" s="9">
        <x:v>55097.5</x:v>
      </x:c>
      <x:c r="J31" s="9">
        <x:v>0</x:v>
      </x:c>
      <x:c r="K31" s="9">
        <x:v>5459.5</x:v>
      </x:c>
      <x:c r="L31" s="9">
        <x:v>4904</x:v>
      </x:c>
      <x:c r="M31" s="9">
        <x:v>0</x:v>
      </x:c>
      <x:c r="N31" s="9">
        <x:v>0</x:v>
      </x:c>
      <x:c r="O31" s="9">
        <x:v>0</x:v>
      </x:c>
      <x:c r="P31" s="9">
        <x:v>0</x:v>
      </x:c>
      <x:c r="Q31" s="9">
        <x:v>0</x:v>
      </x:c>
      <x:c r="R31" s="9">
        <x:f>SUM(B31:Q31)</x:f>
        <x:v>1370483</x:v>
      </x:c>
      <x:c r="S31" s="9">
        <x:v>0</x:v>
      </x:c>
      <x:c r="T31" s="14">
        <x:f t="shared" ref="T31:T33" si="17">+R31+S31</x:f>
        <x:v>1370483</x:v>
      </x:c>
    </x:row>
    <x:row r="32" spans="1:20" x14ac:dyDescent="0.35">
      <x:c r="A32" s="2" t="s">
        <x:v>7</x:v>
      </x:c>
      <x:c r="B32" s="10">
        <x:v>95.68</x:v>
      </x:c>
      <x:c r="C32" s="10">
        <x:v>458.8</x:v>
      </x:c>
      <x:c r="D32" s="10">
        <x:v>147.05000000000001</x:v>
      </x:c>
      <x:c r="E32" s="10">
        <x:v>612.6</x:v>
      </x:c>
      <x:c r="F32" s="10">
        <x:v>0</x:v>
      </x:c>
      <x:c r="G32" s="10">
        <x:v>1497.56</x:v>
      </x:c>
      <x:c r="H32" s="10">
        <x:v>271.10000000000002</x:v>
      </x:c>
      <x:c r="I32" s="10">
        <x:v>0</x:v>
      </x:c>
      <x:c r="J32" s="10">
        <x:v>0</x:v>
      </x:c>
      <x:c r="K32" s="10">
        <x:v>0</x:v>
      </x:c>
      <x:c r="L32" s="10">
        <x:v>5.65</x:v>
      </x:c>
      <x:c r="M32" s="10">
        <x:v>0</x:v>
      </x:c>
      <x:c r="N32" s="10">
        <x:v>0</x:v>
      </x:c>
      <x:c r="O32" s="10">
        <x:v>0</x:v>
      </x:c>
      <x:c r="P32" s="10">
        <x:v>0</x:v>
      </x:c>
      <x:c r="Q32" s="10">
        <x:v>0</x:v>
      </x:c>
      <x:c r="R32" s="10">
        <x:f>SUM(B32:Q32)</x:f>
        <x:v>3088.44</x:v>
      </x:c>
      <x:c r="S32" s="10">
        <x:v>0</x:v>
      </x:c>
      <x:c r="T32" s="15">
        <x:f t="shared" si="17"/>
        <x:v>3088.44</x:v>
      </x:c>
    </x:row>
    <x:row r="33" spans="1:20" x14ac:dyDescent="0.35">
      <x:c r="A33" s="2" t="s">
        <x:v>8</x:v>
      </x:c>
      <x:c r="B33" s="9">
        <x:f t="shared" ref="B33:S33" si="18">SUM(B31:B32)</x:f>
        <x:v>43782.18</x:v>
      </x:c>
      <x:c r="C33" s="9">
        <x:f t="shared" si="18"/>
        <x:v>185449.8</x:v>
      </x:c>
      <x:c r="D33" s="9">
        <x:f t="shared" ref="D33:H33" si="19">SUM(D31:D32)</x:f>
        <x:v>304671.05</x:v>
      </x:c>
      <x:c r="E33" s="9">
        <x:f t="shared" si="19"/>
        <x:v>333014.59999999998</x:v>
      </x:c>
      <x:c r="F33" s="9">
        <x:f t="shared" si="19"/>
        <x:v>25402.5</x:v>
      </x:c>
      <x:c r="G33" s="9">
        <x:f t="shared" si="19"/>
        <x:v>203290.56</x:v>
      </x:c>
      <x:c r="H33" s="9">
        <x:f t="shared" si="19"/>
        <x:v>212494.1</x:v>
      </x:c>
      <x:c r="I33" s="9">
        <x:f t="shared" ref="I33:N33" si="20">SUM(I31:I32)</x:f>
        <x:v>55097.5</x:v>
      </x:c>
      <x:c r="J33" s="9">
        <x:f t="shared" si="20"/>
        <x:v>0</x:v>
      </x:c>
      <x:c r="K33" s="9">
        <x:f t="shared" si="20"/>
        <x:v>5459.5</x:v>
      </x:c>
      <x:c r="L33" s="9">
        <x:f t="shared" si="20"/>
        <x:v>4909.6499999999996</x:v>
      </x:c>
      <x:c r="M33" s="9">
        <x:f t="shared" si="20"/>
        <x:v>0</x:v>
      </x:c>
      <x:c r="N33" s="9">
        <x:f t="shared" si="20"/>
        <x:v>0</x:v>
      </x:c>
      <x:c r="O33" s="9">
        <x:f t="shared" ref="O33:Q33" si="21">SUM(O31:O32)</x:f>
        <x:v>0</x:v>
      </x:c>
      <x:c r="P33" s="9">
        <x:f t="shared" ref="P33" si="22">SUM(P31:P32)</x:f>
        <x:v>0</x:v>
      </x:c>
      <x:c r="Q33" s="9">
        <x:f t="shared" si="21"/>
        <x:v>0</x:v>
      </x:c>
      <x:c r="R33" s="9">
        <x:f t="shared" si="18"/>
        <x:v>1373571.44</x:v>
      </x:c>
      <x:c r="S33" s="9">
        <x:f t="shared" si="18"/>
        <x:v>0</x:v>
      </x:c>
      <x:c r="T33" s="14">
        <x:f t="shared" si="17"/>
        <x:v>1373571.44</x:v>
      </x:c>
    </x:row>
    <x:row r="34" spans="1:20" x14ac:dyDescent="0.35">
      <x:c r="A34" s="17" t="s">
        <x:v>36</x:v>
      </x:c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14"/>
    </x:row>
    <x:row r="35" spans="1:20" x14ac:dyDescent="0.35">
      <x:c r="A35" s="2" t="s">
        <x:v>11</x:v>
      </x:c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14"/>
    </x:row>
    <x:row r="36" spans="1:20" x14ac:dyDescent="0.35">
      <x:c r="A36" s="2" t="s">
        <x:v>6</x:v>
      </x:c>
      <x:c r="B36" s="9">
        <x:v>0</x:v>
      </x:c>
      <x:c r="C36" s="9">
        <x:v>30384.5</x:v>
      </x:c>
      <x:c r="D36" s="9">
        <x:v>368256</x:v>
      </x:c>
      <x:c r="E36" s="9">
        <x:v>312157.5</x:v>
      </x:c>
      <x:c r="F36" s="9">
        <x:v>196049</x:v>
      </x:c>
      <x:c r="G36" s="9">
        <x:v>244939</x:v>
      </x:c>
      <x:c r="H36" s="9">
        <x:v>406823.5</x:v>
      </x:c>
      <x:c r="I36" s="9">
        <x:v>231456.5</x:v>
      </x:c>
      <x:c r="J36" s="9">
        <x:v>10612.5</x:v>
      </x:c>
      <x:c r="K36" s="9">
        <x:v>61112.5</x:v>
      </x:c>
      <x:c r="L36" s="9">
        <x:v>27547.5</x:v>
      </x:c>
      <x:c r="M36" s="9">
        <x:v>28833.5</x:v>
      </x:c>
      <x:c r="N36" s="9">
        <x:v>9935.7000000000007</x:v>
      </x:c>
      <x:c r="O36" s="9">
        <x:v>11043.1</x:v>
      </x:c>
      <x:c r="P36" s="9">
        <x:v>0</x:v>
      </x:c>
      <x:c r="Q36" s="9">
        <x:v>0</x:v>
      </x:c>
      <x:c r="R36" s="9">
        <x:f>SUM(B36:Q36)</x:f>
        <x:v>1939150.8</x:v>
      </x:c>
      <x:c r="S36" s="9">
        <x:v>0</x:v>
      </x:c>
      <x:c r="T36" s="14">
        <x:f t="shared" ref="T36:T38" si="23">+R36+S36</x:f>
        <x:v>1939150.8</x:v>
      </x:c>
    </x:row>
    <x:row r="37" spans="1:20" x14ac:dyDescent="0.35">
      <x:c r="A37" s="2" t="s">
        <x:v>7</x:v>
      </x:c>
      <x:c r="B37" s="10">
        <x:v>0</x:v>
      </x:c>
      <x:c r="C37" s="10">
        <x:v>0</x:v>
      </x:c>
      <x:c r="D37" s="10">
        <x:v>1165.0899999999999</x:v>
      </x:c>
      <x:c r="E37" s="10">
        <x:v>280.32</x:v>
      </x:c>
      <x:c r="F37" s="10">
        <x:v>371.76</x:v>
      </x:c>
      <x:c r="G37" s="10">
        <x:v>972.83</x:v>
      </x:c>
      <x:c r="H37" s="10">
        <x:v>550.91999999999996</x:v>
      </x:c>
      <x:c r="I37" s="10">
        <x:v>18.760000000000002</x:v>
      </x:c>
      <x:c r="J37" s="10">
        <x:v>0</x:v>
      </x:c>
      <x:c r="K37" s="10">
        <x:v>2470.2399999999998</x:v>
      </x:c>
      <x:c r="L37" s="10">
        <x:v>2483.5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f>SUM(B37:Q37)</x:f>
        <x:v>8313.42</x:v>
      </x:c>
      <x:c r="S37" s="10">
        <x:v>0</x:v>
      </x:c>
      <x:c r="T37" s="15">
        <x:f t="shared" si="23"/>
        <x:v>8313.42</x:v>
      </x:c>
    </x:row>
    <x:row r="38" spans="1:20" x14ac:dyDescent="0.35">
      <x:c r="A38" s="2" t="s">
        <x:v>8</x:v>
      </x:c>
      <x:c r="B38" s="9">
        <x:f t="shared" ref="B38:S38" si="24">SUM(B36:B37)</x:f>
        <x:v>0</x:v>
      </x:c>
      <x:c r="C38" s="9">
        <x:f t="shared" si="24"/>
        <x:v>30384.5</x:v>
      </x:c>
      <x:c r="D38" s="9">
        <x:f t="shared" ref="D38:H38" si="25">SUM(D36:D37)</x:f>
        <x:v>369421.09</x:v>
      </x:c>
      <x:c r="E38" s="9">
        <x:f t="shared" si="25"/>
        <x:v>312437.82</x:v>
      </x:c>
      <x:c r="F38" s="9">
        <x:f t="shared" si="25"/>
        <x:v>196420.76</x:v>
      </x:c>
      <x:c r="G38" s="9">
        <x:f t="shared" si="25"/>
        <x:v>245911.83</x:v>
      </x:c>
      <x:c r="H38" s="9">
        <x:f t="shared" si="25"/>
        <x:v>407374.42</x:v>
      </x:c>
      <x:c r="I38" s="9">
        <x:f t="shared" ref="I38:N38" si="26">SUM(I36:I37)</x:f>
        <x:v>231475.26</x:v>
      </x:c>
      <x:c r="J38" s="9">
        <x:f t="shared" si="26"/>
        <x:v>10612.5</x:v>
      </x:c>
      <x:c r="K38" s="9">
        <x:f t="shared" si="26"/>
        <x:v>63582.74</x:v>
      </x:c>
      <x:c r="L38" s="9">
        <x:f t="shared" si="26"/>
        <x:v>30031</x:v>
      </x:c>
      <x:c r="M38" s="9">
        <x:f t="shared" si="26"/>
        <x:v>28833.5</x:v>
      </x:c>
      <x:c r="N38" s="9">
        <x:f t="shared" si="26"/>
        <x:v>9935.7000000000007</x:v>
      </x:c>
      <x:c r="O38" s="9">
        <x:f t="shared" ref="O38:Q38" si="27">SUM(O36:O37)</x:f>
        <x:v>11043.1</x:v>
      </x:c>
      <x:c r="P38" s="9">
        <x:f t="shared" ref="P38" si="28">SUM(P36:P37)</x:f>
        <x:v>0</x:v>
      </x:c>
      <x:c r="Q38" s="9">
        <x:f t="shared" si="27"/>
        <x:v>0</x:v>
      </x:c>
      <x:c r="R38" s="9">
        <x:f t="shared" si="24"/>
        <x:v>1947464.22</x:v>
      </x:c>
      <x:c r="S38" s="9">
        <x:f t="shared" si="24"/>
        <x:v>0</x:v>
      </x:c>
      <x:c r="T38" s="14">
        <x:f t="shared" si="23"/>
        <x:v>1947464.22</x:v>
      </x:c>
    </x:row>
    <x:row r="39" spans="1:20" x14ac:dyDescent="0.35">
      <x:c r="A39" s="2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14"/>
    </x:row>
    <x:row r="40" spans="1:20" s="25" customFormat="1" x14ac:dyDescent="0.35">
      <x:c r="A40" s="18" t="s">
        <x:v>12</x:v>
      </x:c>
      <x:c r="B40" s="16">
        <x:f t="shared" ref="B40:T40" si="29">+B33+B38</x:f>
        <x:v>43782.18</x:v>
      </x:c>
      <x:c r="C40" s="16">
        <x:f t="shared" si="29"/>
        <x:v>215834.3</x:v>
      </x:c>
      <x:c r="D40" s="16">
        <x:f t="shared" si="29"/>
        <x:v>674092.14</x:v>
      </x:c>
      <x:c r="E40" s="16">
        <x:f t="shared" si="29"/>
        <x:v>645452.41999999993</x:v>
      </x:c>
      <x:c r="F40" s="16">
        <x:f t="shared" si="29"/>
        <x:v>221823.26</x:v>
      </x:c>
      <x:c r="G40" s="16">
        <x:f t="shared" si="29"/>
        <x:v>449202.39</x:v>
      </x:c>
      <x:c r="H40" s="16">
        <x:f t="shared" si="29"/>
        <x:v>619868.52</x:v>
      </x:c>
      <x:c r="I40" s="16">
        <x:f t="shared" si="29"/>
        <x:v>286572.76</x:v>
      </x:c>
      <x:c r="J40" s="16">
        <x:f t="shared" si="29"/>
        <x:v>10612.5</x:v>
      </x:c>
      <x:c r="K40" s="16">
        <x:f t="shared" si="29"/>
        <x:v>69042.239999999991</x:v>
      </x:c>
      <x:c r="L40" s="16">
        <x:f t="shared" si="29"/>
        <x:v>34940.65</x:v>
      </x:c>
      <x:c r="M40" s="16">
        <x:f t="shared" si="29"/>
        <x:v>28833.5</x:v>
      </x:c>
      <x:c r="N40" s="16">
        <x:f t="shared" ref="N40:P40" si="30">+N33+N38</x:f>
        <x:v>9935.7000000000007</x:v>
      </x:c>
      <x:c r="O40" s="16">
        <x:f t="shared" si="30"/>
        <x:v>11043.1</x:v>
      </x:c>
      <x:c r="P40" s="16">
        <x:f t="shared" si="30"/>
        <x:v>0</x:v>
      </x:c>
      <x:c r="Q40" s="16">
        <x:f t="shared" si="29"/>
        <x:v>0</x:v>
      </x:c>
      <x:c r="R40" s="16">
        <x:f t="shared" si="29"/>
        <x:v>3321035.66</x:v>
      </x:c>
      <x:c r="S40" s="16">
        <x:f t="shared" si="29"/>
        <x:v>0</x:v>
      </x:c>
      <x:c r="T40" s="16">
        <x:f t="shared" si="29"/>
        <x:v>3321035.66</x:v>
      </x:c>
    </x:row>
    <x:row r="41" spans="1:20" x14ac:dyDescent="0.35">
      <x:c r="A41" s="2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14"/>
    </x:row>
    <x:row r="42" spans="1:20" x14ac:dyDescent="0.35">
      <x:c r="A42" s="3" t="s">
        <x:v>13</x:v>
      </x:c>
      <x:c r="B42" s="26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14"/>
    </x:row>
    <x:row r="43" spans="1:20" x14ac:dyDescent="0.35">
      <x:c r="A43" s="17" t="s">
        <x:v>14</x:v>
      </x:c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14"/>
    </x:row>
    <x:row r="44" spans="1:20" x14ac:dyDescent="0.35">
      <x:c r="A44" s="2" t="s">
        <x:v>15</x:v>
      </x:c>
      <x:c r="B44" s="9">
        <x:v>0</x:v>
      </x:c>
      <x:c r="C44" s="9">
        <x:v>0</x:v>
      </x:c>
      <x:c r="D44" s="9">
        <x:v>0</x:v>
      </x:c>
      <x:c r="E44" s="9">
        <x:v>0</x:v>
      </x:c>
      <x:c r="F44" s="9">
        <x:v>0</x:v>
      </x:c>
      <x:c r="G44" s="9">
        <x:v>0</x:v>
      </x:c>
      <x:c r="H44" s="9">
        <x:v>0</x:v>
      </x:c>
      <x:c r="I44" s="9">
        <x:v>0</x:v>
      </x:c>
      <x:c r="J44" s="9">
        <x:v>0</x:v>
      </x:c>
      <x:c r="K44" s="9">
        <x:v>0</x:v>
      </x:c>
      <x:c r="L44" s="9">
        <x:v>0</x:v>
      </x:c>
      <x:c r="M44" s="9">
        <x:v>0</x:v>
      </x:c>
      <x:c r="N44" s="9">
        <x:v>0</x:v>
      </x:c>
      <x:c r="O44" s="9">
        <x:v>0</x:v>
      </x:c>
      <x:c r="P44" s="9">
        <x:v>0</x:v>
      </x:c>
      <x:c r="Q44" s="9">
        <x:v>0</x:v>
      </x:c>
      <x:c r="R44" s="9">
        <x:f t="shared" ref="R44:R60" si="31">SUM(B44:Q44)</x:f>
        <x:v>0</x:v>
      </x:c>
      <x:c r="S44" s="9">
        <x:v>0</x:v>
      </x:c>
      <x:c r="T44" s="14">
        <x:f>+R44+S44</x:f>
        <x:v>0</x:v>
      </x:c>
    </x:row>
    <x:row r="45" spans="1:20" x14ac:dyDescent="0.35">
      <x:c r="A45" s="2" t="s">
        <x:v>16</x:v>
      </x:c>
      <x:c r="B45" s="9">
        <x:v>0</x:v>
      </x:c>
      <x:c r="C45" s="9">
        <x:v>0</x:v>
      </x:c>
      <x:c r="D45" s="9">
        <x:v>0</x:v>
      </x:c>
      <x:c r="E45" s="9">
        <x:v>0</x:v>
      </x:c>
      <x:c r="F45" s="9">
        <x:v>0</x:v>
      </x:c>
      <x:c r="G45" s="9">
        <x:v>0</x:v>
      </x:c>
      <x:c r="H45" s="9">
        <x:v>0</x:v>
      </x:c>
      <x:c r="I45" s="9">
        <x:v>0</x:v>
      </x:c>
      <x:c r="J45" s="9">
        <x:v>0</x:v>
      </x:c>
      <x:c r="K45" s="9">
        <x:v>0</x:v>
      </x:c>
      <x:c r="L45" s="9">
        <x:v>0</x:v>
      </x:c>
      <x:c r="M45" s="9">
        <x:v>0</x:v>
      </x:c>
      <x:c r="N45" s="9">
        <x:v>0</x:v>
      </x:c>
      <x:c r="O45" s="9">
        <x:v>0</x:v>
      </x:c>
      <x:c r="P45" s="9">
        <x:v>0</x:v>
      </x:c>
      <x:c r="Q45" s="9">
        <x:v>0</x:v>
      </x:c>
      <x:c r="R45" s="9">
        <x:f t="shared" si="31"/>
        <x:v>0</x:v>
      </x:c>
      <x:c r="S45" s="9">
        <x:v>0</x:v>
      </x:c>
      <x:c r="T45" s="14">
        <x:f t="shared" ref="T45:T61" si="32">+R45+S45</x:f>
        <x:v>0</x:v>
      </x:c>
    </x:row>
    <x:row r="46" spans="1:20" x14ac:dyDescent="0.35">
      <x:c r="A46" s="2" t="s">
        <x:v>17</x:v>
      </x:c>
      <x:c r="B46" s="9">
        <x:v>0</x:v>
      </x:c>
      <x:c r="C46" s="9">
        <x:v>0</x:v>
      </x:c>
      <x:c r="D46" s="9">
        <x:v>0</x:v>
      </x:c>
      <x:c r="E46" s="9">
        <x:v>0</x:v>
      </x:c>
      <x:c r="F46" s="9">
        <x:v>0</x:v>
      </x:c>
      <x:c r="G46" s="9">
        <x:v>0</x:v>
      </x:c>
      <x:c r="H46" s="9">
        <x:v>0</x:v>
      </x:c>
      <x:c r="I46" s="9">
        <x:v>0</x:v>
      </x:c>
      <x:c r="J46" s="9">
        <x:v>0</x:v>
      </x:c>
      <x:c r="K46" s="9">
        <x:v>0</x:v>
      </x:c>
      <x:c r="L46" s="9">
        <x:v>0</x:v>
      </x:c>
      <x:c r="M46" s="9">
        <x:v>0</x:v>
      </x:c>
      <x:c r="N46" s="9">
        <x:v>0</x:v>
      </x:c>
      <x:c r="O46" s="9">
        <x:v>0</x:v>
      </x:c>
      <x:c r="P46" s="9">
        <x:v>0</x:v>
      </x:c>
      <x:c r="Q46" s="9">
        <x:v>0</x:v>
      </x:c>
      <x:c r="R46" s="9">
        <x:f t="shared" si="31"/>
        <x:v>0</x:v>
      </x:c>
      <x:c r="S46" s="9">
        <x:v>0</x:v>
      </x:c>
      <x:c r="T46" s="14">
        <x:f t="shared" si="32"/>
        <x:v>0</x:v>
      </x:c>
    </x:row>
    <x:row r="47" spans="1:20" x14ac:dyDescent="0.35">
      <x:c r="A47" s="2" t="s">
        <x:v>18</x:v>
      </x:c>
      <x:c r="B47" s="9">
        <x:v>0</x:v>
      </x:c>
      <x:c r="C47" s="9">
        <x:v>0</x:v>
      </x:c>
      <x:c r="D47" s="9">
        <x:v>0</x:v>
      </x:c>
      <x:c r="E47" s="9">
        <x:v>0</x:v>
      </x:c>
      <x:c r="F47" s="9">
        <x:v>0</x:v>
      </x:c>
      <x:c r="G47" s="9">
        <x:v>0</x:v>
      </x:c>
      <x:c r="H47" s="9">
        <x:v>0</x:v>
      </x:c>
      <x:c r="I47" s="9">
        <x:v>0</x:v>
      </x:c>
      <x:c r="J47" s="9">
        <x:v>0</x:v>
      </x:c>
      <x:c r="K47" s="9">
        <x:v>0</x:v>
      </x:c>
      <x:c r="L47" s="9">
        <x:v>0</x:v>
      </x:c>
      <x:c r="M47" s="9">
        <x:v>0</x:v>
      </x:c>
      <x:c r="N47" s="9">
        <x:v>0</x:v>
      </x:c>
      <x:c r="O47" s="9">
        <x:v>0</x:v>
      </x:c>
      <x:c r="P47" s="9">
        <x:v>0</x:v>
      </x:c>
      <x:c r="Q47" s="9">
        <x:v>0</x:v>
      </x:c>
      <x:c r="R47" s="9">
        <x:f t="shared" si="31"/>
        <x:v>0</x:v>
      </x:c>
      <x:c r="S47" s="9">
        <x:v>0</x:v>
      </x:c>
      <x:c r="T47" s="14">
        <x:f t="shared" si="32"/>
        <x:v>0</x:v>
      </x:c>
    </x:row>
    <x:row r="48" spans="1:20" x14ac:dyDescent="0.35">
      <x:c r="A48" s="2" t="s">
        <x:v>19</x:v>
      </x:c>
      <x:c r="B48" s="9">
        <x:v>0</x:v>
      </x:c>
      <x:c r="C48" s="9">
        <x:v>0</x:v>
      </x:c>
      <x:c r="D48" s="9">
        <x:v>0</x:v>
      </x:c>
      <x:c r="E48" s="9">
        <x:v>0</x:v>
      </x:c>
      <x:c r="F48" s="9">
        <x:v>0</x:v>
      </x:c>
      <x:c r="G48" s="9">
        <x:v>0</x:v>
      </x:c>
      <x:c r="H48" s="9">
        <x:v>0</x:v>
      </x:c>
      <x:c r="I48" s="9">
        <x:v>0</x:v>
      </x:c>
      <x:c r="J48" s="9">
        <x:v>0</x:v>
      </x:c>
      <x:c r="K48" s="9">
        <x:v>0</x:v>
      </x:c>
      <x:c r="L48" s="9">
        <x:v>0</x:v>
      </x:c>
      <x:c r="M48" s="9">
        <x:v>0</x:v>
      </x:c>
      <x:c r="N48" s="9">
        <x:v>0</x:v>
      </x:c>
      <x:c r="O48" s="9">
        <x:v>0</x:v>
      </x:c>
      <x:c r="P48" s="9">
        <x:v>0</x:v>
      </x:c>
      <x:c r="Q48" s="9">
        <x:v>0</x:v>
      </x:c>
      <x:c r="R48" s="9">
        <x:f t="shared" si="31"/>
        <x:v>0</x:v>
      </x:c>
      <x:c r="S48" s="9">
        <x:v>0</x:v>
      </x:c>
      <x:c r="T48" s="14">
        <x:f t="shared" si="32"/>
        <x:v>0</x:v>
      </x:c>
    </x:row>
    <x:row r="49" spans="1:20" x14ac:dyDescent="0.35">
      <x:c r="A49" s="2" t="s">
        <x:v>20</x:v>
      </x:c>
      <x:c r="B49" s="9">
        <x:v>0</x:v>
      </x:c>
      <x:c r="C49" s="9">
        <x:v>0</x:v>
      </x:c>
      <x:c r="D49" s="9">
        <x:v>0</x:v>
      </x:c>
      <x:c r="E49" s="9">
        <x:v>0</x:v>
      </x:c>
      <x:c r="F49" s="9">
        <x:v>0</x:v>
      </x:c>
      <x:c r="G49" s="9">
        <x:v>0</x:v>
      </x:c>
      <x:c r="H49" s="9">
        <x:v>0</x:v>
      </x:c>
      <x:c r="I49" s="9">
        <x:v>14078</x:v>
      </x:c>
      <x:c r="J49" s="9">
        <x:v>0</x:v>
      </x:c>
      <x:c r="K49" s="9">
        <x:v>0</x:v>
      </x:c>
      <x:c r="L49" s="9">
        <x:v>0</x:v>
      </x:c>
      <x:c r="M49" s="9">
        <x:v>0</x:v>
      </x:c>
      <x:c r="N49" s="9">
        <x:v>0</x:v>
      </x:c>
      <x:c r="O49" s="9">
        <x:v>0</x:v>
      </x:c>
      <x:c r="P49" s="9">
        <x:v>0</x:v>
      </x:c>
      <x:c r="Q49" s="9">
        <x:v>0</x:v>
      </x:c>
      <x:c r="R49" s="9">
        <x:f t="shared" si="31"/>
        <x:v>14078</x:v>
      </x:c>
      <x:c r="S49" s="9">
        <x:v>0</x:v>
      </x:c>
      <x:c r="T49" s="14">
        <x:f t="shared" si="32"/>
        <x:v>14078</x:v>
      </x:c>
    </x:row>
    <x:row r="50" spans="1:20" x14ac:dyDescent="0.35">
      <x:c r="A50" s="2" t="s">
        <x:v>21</x:v>
      </x:c>
      <x:c r="B50" s="9">
        <x:v>0</x:v>
      </x:c>
      <x:c r="C50" s="9">
        <x:v>0</x:v>
      </x:c>
      <x:c r="D50" s="9">
        <x:v>0</x:v>
      </x:c>
      <x:c r="E50" s="9">
        <x:v>569.9</x:v>
      </x:c>
      <x:c r="F50" s="9">
        <x:v>0</x:v>
      </x:c>
      <x:c r="G50" s="9">
        <x:v>0</x:v>
      </x:c>
      <x:c r="H50" s="9">
        <x:v>0</x:v>
      </x:c>
      <x:c r="I50" s="9">
        <x:v>0</x:v>
      </x:c>
      <x:c r="J50" s="9">
        <x:v>0</x:v>
      </x:c>
      <x:c r="K50" s="9">
        <x:v>0</x:v>
      </x:c>
      <x:c r="L50" s="9">
        <x:v>0</x:v>
      </x:c>
      <x:c r="M50" s="9">
        <x:v>0</x:v>
      </x:c>
      <x:c r="N50" s="9">
        <x:v>0</x:v>
      </x:c>
      <x:c r="O50" s="9">
        <x:v>0</x:v>
      </x:c>
      <x:c r="P50" s="9">
        <x:v>0</x:v>
      </x:c>
      <x:c r="Q50" s="9">
        <x:v>0</x:v>
      </x:c>
      <x:c r="R50" s="9">
        <x:f t="shared" si="31"/>
        <x:v>569.9</x:v>
      </x:c>
      <x:c r="S50" s="9">
        <x:v>0</x:v>
      </x:c>
      <x:c r="T50" s="14">
        <x:f t="shared" si="32"/>
        <x:v>569.9</x:v>
      </x:c>
    </x:row>
    <x:row r="51" spans="1:20" x14ac:dyDescent="0.35">
      <x:c r="A51" s="2" t="s">
        <x:v>22</x:v>
      </x:c>
      <x:c r="B51" s="9">
        <x:v>0</x:v>
      </x:c>
      <x:c r="C51" s="9">
        <x:v>0</x:v>
      </x:c>
      <x:c r="D51" s="9">
        <x:v>0</x:v>
      </x:c>
      <x:c r="E51" s="9">
        <x:v>0</x:v>
      </x:c>
      <x:c r="F51" s="9">
        <x:v>0</x:v>
      </x:c>
      <x:c r="G51" s="9">
        <x:v>0</x:v>
      </x:c>
      <x:c r="H51" s="9">
        <x:v>0</x:v>
      </x:c>
      <x:c r="I51" s="9">
        <x:v>0</x:v>
      </x:c>
      <x:c r="J51" s="9">
        <x:v>0</x:v>
      </x:c>
      <x:c r="K51" s="9">
        <x:v>0</x:v>
      </x:c>
      <x:c r="L51" s="9">
        <x:v>0</x:v>
      </x:c>
      <x:c r="M51" s="9">
        <x:v>0</x:v>
      </x:c>
      <x:c r="N51" s="9">
        <x:v>0</x:v>
      </x:c>
      <x:c r="O51" s="9">
        <x:v>0</x:v>
      </x:c>
      <x:c r="P51" s="9">
        <x:v>0</x:v>
      </x:c>
      <x:c r="Q51" s="9">
        <x:v>0</x:v>
      </x:c>
      <x:c r="R51" s="9">
        <x:f t="shared" si="31"/>
        <x:v>0</x:v>
      </x:c>
      <x:c r="S51" s="9">
        <x:v>0</x:v>
      </x:c>
      <x:c r="T51" s="14">
        <x:f t="shared" si="32"/>
        <x:v>0</x:v>
      </x:c>
    </x:row>
    <x:row r="52" spans="1:20" x14ac:dyDescent="0.35">
      <x:c r="A52" s="2" t="s">
        <x:v>23</x:v>
      </x:c>
      <x:c r="B52" s="9">
        <x:v>0</x:v>
      </x:c>
      <x:c r="C52" s="9">
        <x:v>0</x:v>
      </x:c>
      <x:c r="D52" s="9">
        <x:v>0</x:v>
      </x:c>
      <x:c r="E52" s="9">
        <x:v>0</x:v>
      </x:c>
      <x:c r="F52" s="9">
        <x:v>0</x:v>
      </x:c>
      <x:c r="G52" s="9">
        <x:v>0</x:v>
      </x:c>
      <x:c r="H52" s="9">
        <x:v>0</x:v>
      </x:c>
      <x:c r="I52" s="9">
        <x:v>0</x:v>
      </x:c>
      <x:c r="J52" s="9">
        <x:v>0</x:v>
      </x:c>
      <x:c r="K52" s="9">
        <x:v>0</x:v>
      </x:c>
      <x:c r="L52" s="9">
        <x:v>0</x:v>
      </x:c>
      <x:c r="M52" s="9">
        <x:v>0</x:v>
      </x:c>
      <x:c r="N52" s="9">
        <x:v>0</x:v>
      </x:c>
      <x:c r="O52" s="9">
        <x:v>0</x:v>
      </x:c>
      <x:c r="P52" s="9">
        <x:v>0</x:v>
      </x:c>
      <x:c r="Q52" s="9">
        <x:v>0</x:v>
      </x:c>
      <x:c r="R52" s="9">
        <x:f t="shared" si="31"/>
        <x:v>0</x:v>
      </x:c>
      <x:c r="S52" s="9">
        <x:v>0</x:v>
      </x:c>
      <x:c r="T52" s="14">
        <x:f t="shared" si="32"/>
        <x:v>0</x:v>
      </x:c>
    </x:row>
    <x:row r="53" spans="1:20" x14ac:dyDescent="0.35">
      <x:c r="A53" s="2" t="s">
        <x:v>24</x:v>
      </x:c>
      <x:c r="B53" s="9">
        <x:v>0</x:v>
      </x:c>
      <x:c r="C53" s="9">
        <x:v>0</x:v>
      </x:c>
      <x:c r="D53" s="9">
        <x:v>0</x:v>
      </x:c>
      <x:c r="E53" s="9">
        <x:f>192.38+289.74</x:f>
        <x:v>482.12</x:v>
      </x:c>
      <x:c r="F53" s="9">
        <x:v>152.30000000000001</x:v>
      </x:c>
      <x:c r="G53" s="9">
        <x:v>0</x:v>
      </x:c>
      <x:c r="H53" s="9">
        <x:v>0</x:v>
      </x:c>
      <x:c r="I53" s="9">
        <x:v>0</x:v>
      </x:c>
      <x:c r="J53" s="9">
        <x:v>0</x:v>
      </x:c>
      <x:c r="K53" s="9">
        <x:v>0</x:v>
      </x:c>
      <x:c r="L53" s="9">
        <x:v>0</x:v>
      </x:c>
      <x:c r="M53" s="9">
        <x:v>0</x:v>
      </x:c>
      <x:c r="N53" s="9">
        <x:v>0</x:v>
      </x:c>
      <x:c r="O53" s="9">
        <x:v>0</x:v>
      </x:c>
      <x:c r="P53" s="9">
        <x:v>0</x:v>
      </x:c>
      <x:c r="Q53" s="9">
        <x:v>0</x:v>
      </x:c>
      <x:c r="R53" s="9">
        <x:f t="shared" si="31"/>
        <x:v>634.42000000000007</x:v>
      </x:c>
      <x:c r="S53" s="9">
        <x:v>0</x:v>
      </x:c>
      <x:c r="T53" s="14">
        <x:f t="shared" si="32"/>
        <x:v>634.42000000000007</x:v>
      </x:c>
    </x:row>
    <x:row r="54" spans="1:20" x14ac:dyDescent="0.35">
      <x:c r="A54" s="2" t="s">
        <x:v>25</x:v>
      </x:c>
      <x:c r="B54" s="9">
        <x:v>0</x:v>
      </x:c>
      <x:c r="C54" s="9">
        <x:v>0</x:v>
      </x:c>
      <x:c r="D54" s="9">
        <x:v>0</x:v>
      </x:c>
      <x:c r="E54" s="9">
        <x:v>0</x:v>
      </x:c>
      <x:c r="F54" s="9">
        <x:v>0</x:v>
      </x:c>
      <x:c r="G54" s="9">
        <x:v>0</x:v>
      </x:c>
      <x:c r="H54" s="9">
        <x:v>0</x:v>
      </x:c>
      <x:c r="I54" s="9">
        <x:v>0</x:v>
      </x:c>
      <x:c r="J54" s="9">
        <x:v>0</x:v>
      </x:c>
      <x:c r="K54" s="9">
        <x:v>0</x:v>
      </x:c>
      <x:c r="L54" s="9">
        <x:v>0</x:v>
      </x:c>
      <x:c r="M54" s="9">
        <x:v>0</x:v>
      </x:c>
      <x:c r="N54" s="9">
        <x:v>0</x:v>
      </x:c>
      <x:c r="O54" s="9">
        <x:v>0</x:v>
      </x:c>
      <x:c r="P54" s="9">
        <x:v>0</x:v>
      </x:c>
      <x:c r="Q54" s="9">
        <x:v>0</x:v>
      </x:c>
      <x:c r="R54" s="9">
        <x:f t="shared" si="31"/>
        <x:v>0</x:v>
      </x:c>
      <x:c r="S54" s="9">
        <x:v>0</x:v>
      </x:c>
      <x:c r="T54" s="14">
        <x:f t="shared" si="32"/>
        <x:v>0</x:v>
      </x:c>
    </x:row>
    <x:row r="55" spans="1:20" x14ac:dyDescent="0.35">
      <x:c r="A55" s="2" t="s">
        <x:v>26</x:v>
      </x:c>
      <x:c r="B55" s="9">
        <x:v>0</x:v>
      </x:c>
      <x:c r="C55" s="9">
        <x:v>0</x:v>
      </x:c>
      <x:c r="D55" s="9">
        <x:v>0</x:v>
      </x:c>
      <x:c r="E55" s="9">
        <x:v>0</x:v>
      </x:c>
      <x:c r="F55" s="9">
        <x:v>0</x:v>
      </x:c>
      <x:c r="G55" s="9">
        <x:v>0</x:v>
      </x:c>
      <x:c r="H55" s="9">
        <x:v>0</x:v>
      </x:c>
      <x:c r="I55" s="9">
        <x:v>0</x:v>
      </x:c>
      <x:c r="J55" s="9">
        <x:v>0</x:v>
      </x:c>
      <x:c r="K55" s="9">
        <x:v>0</x:v>
      </x:c>
      <x:c r="L55" s="9">
        <x:v>0</x:v>
      </x:c>
      <x:c r="M55" s="9">
        <x:v>0</x:v>
      </x:c>
      <x:c r="N55" s="9">
        <x:v>0</x:v>
      </x:c>
      <x:c r="O55" s="9">
        <x:v>0</x:v>
      </x:c>
      <x:c r="P55" s="9">
        <x:v>0</x:v>
      </x:c>
      <x:c r="Q55" s="9">
        <x:v>0</x:v>
      </x:c>
      <x:c r="R55" s="9">
        <x:f t="shared" si="31"/>
        <x:v>0</x:v>
      </x:c>
      <x:c r="S55" s="9">
        <x:v>0</x:v>
      </x:c>
      <x:c r="T55" s="14">
        <x:f t="shared" si="32"/>
        <x:v>0</x:v>
      </x:c>
    </x:row>
    <x:row r="56" spans="1:20" x14ac:dyDescent="0.35">
      <x:c r="A56" s="2" t="s">
        <x:v>27</x:v>
      </x:c>
      <x:c r="B56" s="9">
        <x:v>0</x:v>
      </x:c>
      <x:c r="C56" s="9">
        <x:v>0</x:v>
      </x:c>
      <x:c r="D56" s="9">
        <x:v>0</x:v>
      </x:c>
      <x:c r="E56" s="9">
        <x:v>0</x:v>
      </x:c>
      <x:c r="F56" s="9">
        <x:v>0</x:v>
      </x:c>
      <x:c r="G56" s="9">
        <x:v>0</x:v>
      </x:c>
      <x:c r="H56" s="9">
        <x:v>0</x:v>
      </x:c>
      <x:c r="I56" s="9">
        <x:v>0</x:v>
      </x:c>
      <x:c r="J56" s="9">
        <x:v>0</x:v>
      </x:c>
      <x:c r="K56" s="9">
        <x:v>0</x:v>
      </x:c>
      <x:c r="L56" s="9">
        <x:v>0</x:v>
      </x:c>
      <x:c r="M56" s="9">
        <x:v>0</x:v>
      </x:c>
      <x:c r="N56" s="9">
        <x:v>0</x:v>
      </x:c>
      <x:c r="O56" s="9">
        <x:v>0</x:v>
      </x:c>
      <x:c r="P56" s="9">
        <x:v>0</x:v>
      </x:c>
      <x:c r="Q56" s="9">
        <x:v>0</x:v>
      </x:c>
      <x:c r="R56" s="9">
        <x:f t="shared" si="31"/>
        <x:v>0</x:v>
      </x:c>
      <x:c r="S56" s="9">
        <x:v>0</x:v>
      </x:c>
      <x:c r="T56" s="14">
        <x:f t="shared" si="32"/>
        <x:v>0</x:v>
      </x:c>
    </x:row>
    <x:row r="57" spans="1:20" x14ac:dyDescent="0.35">
      <x:c r="A57" s="2" t="s">
        <x:v>28</x:v>
      </x:c>
      <x:c r="B57" s="9">
        <x:v>0</x:v>
      </x:c>
      <x:c r="C57" s="9">
        <x:v>0</x:v>
      </x:c>
      <x:c r="D57" s="9">
        <x:v>0</x:v>
      </x:c>
      <x:c r="E57" s="9">
        <x:v>0</x:v>
      </x:c>
      <x:c r="F57" s="9">
        <x:v>0</x:v>
      </x:c>
      <x:c r="G57" s="9">
        <x:v>0</x:v>
      </x:c>
      <x:c r="H57" s="9">
        <x:v>0</x:v>
      </x:c>
      <x:c r="I57" s="9">
        <x:v>0</x:v>
      </x:c>
      <x:c r="J57" s="9">
        <x:v>0</x:v>
      </x:c>
      <x:c r="K57" s="9">
        <x:v>0</x:v>
      </x:c>
      <x:c r="L57" s="9">
        <x:v>0</x:v>
      </x:c>
      <x:c r="M57" s="9">
        <x:v>0</x:v>
      </x:c>
      <x:c r="N57" s="9">
        <x:v>0</x:v>
      </x:c>
      <x:c r="O57" s="9">
        <x:v>0</x:v>
      </x:c>
      <x:c r="P57" s="9">
        <x:v>0</x:v>
      </x:c>
      <x:c r="Q57" s="9">
        <x:v>0</x:v>
      </x:c>
      <x:c r="R57" s="9">
        <x:f t="shared" si="31"/>
        <x:v>0</x:v>
      </x:c>
      <x:c r="S57" s="9">
        <x:v>0</x:v>
      </x:c>
      <x:c r="T57" s="14">
        <x:f t="shared" si="32"/>
        <x:v>0</x:v>
      </x:c>
    </x:row>
    <x:row r="58" spans="1:20" x14ac:dyDescent="0.35">
      <x:c r="A58" s="2" t="s">
        <x:v>29</x:v>
      </x:c>
      <x:c r="B58" s="9">
        <x:v>0</x:v>
      </x:c>
      <x:c r="C58" s="9">
        <x:v>0</x:v>
      </x:c>
      <x:c r="D58" s="9">
        <x:v>0</x:v>
      </x:c>
      <x:c r="E58" s="9">
        <x:v>0</x:v>
      </x:c>
      <x:c r="F58" s="9">
        <x:v>0</x:v>
      </x:c>
      <x:c r="G58" s="9">
        <x:v>0</x:v>
      </x:c>
      <x:c r="H58" s="9">
        <x:v>0</x:v>
      </x:c>
      <x:c r="I58" s="9">
        <x:v>0</x:v>
      </x:c>
      <x:c r="J58" s="9">
        <x:v>0</x:v>
      </x:c>
      <x:c r="K58" s="9">
        <x:v>0</x:v>
      </x:c>
      <x:c r="L58" s="9">
        <x:v>0</x:v>
      </x:c>
      <x:c r="M58" s="9">
        <x:v>0</x:v>
      </x:c>
      <x:c r="N58" s="9">
        <x:v>0</x:v>
      </x:c>
      <x:c r="O58" s="9">
        <x:v>0</x:v>
      </x:c>
      <x:c r="P58" s="9">
        <x:v>0</x:v>
      </x:c>
      <x:c r="Q58" s="9">
        <x:v>0</x:v>
      </x:c>
      <x:c r="R58" s="9">
        <x:f t="shared" si="31"/>
        <x:v>0</x:v>
      </x:c>
      <x:c r="S58" s="9">
        <x:v>0</x:v>
      </x:c>
      <x:c r="T58" s="14">
        <x:f t="shared" si="32"/>
        <x:v>0</x:v>
      </x:c>
    </x:row>
    <x:row r="59" spans="1:20" x14ac:dyDescent="0.35">
      <x:c r="A59" s="2" t="s">
        <x:v>35</x:v>
      </x:c>
      <x:c r="B59" s="9">
        <x:v>0</x:v>
      </x:c>
      <x:c r="C59" s="9">
        <x:v>0</x:v>
      </x:c>
      <x:c r="D59" s="9">
        <x:v>0</x:v>
      </x:c>
      <x:c r="E59" s="9">
        <x:v>0</x:v>
      </x:c>
      <x:c r="F59" s="9">
        <x:v>475</x:v>
      </x:c>
      <x:c r="G59" s="9">
        <x:v>0</x:v>
      </x:c>
      <x:c r="H59" s="9">
        <x:v>0</x:v>
      </x:c>
      <x:c r="I59" s="9">
        <x:v>0</x:v>
      </x:c>
      <x:c r="J59" s="9">
        <x:v>0</x:v>
      </x:c>
      <x:c r="K59" s="9">
        <x:v>0</x:v>
      </x:c>
      <x:c r="L59" s="9">
        <x:v>0</x:v>
      </x:c>
      <x:c r="M59" s="9">
        <x:v>0</x:v>
      </x:c>
      <x:c r="N59" s="9">
        <x:v>0</x:v>
      </x:c>
      <x:c r="O59" s="9">
        <x:v>0</x:v>
      </x:c>
      <x:c r="P59" s="9">
        <x:v>0</x:v>
      </x:c>
      <x:c r="Q59" s="9">
        <x:v>0</x:v>
      </x:c>
      <x:c r="R59" s="9">
        <x:f t="shared" si="31"/>
        <x:v>475</x:v>
      </x:c>
      <x:c r="S59" s="9">
        <x:v>0</x:v>
      </x:c>
      <x:c r="T59" s="14">
        <x:f t="shared" si="32"/>
        <x:v>475</x:v>
      </x:c>
    </x:row>
    <x:row r="60" spans="1:20" x14ac:dyDescent="0.35">
      <x:c r="A60" s="2" t="s">
        <x:v>30</x:v>
      </x:c>
      <x:c r="B60" s="10">
        <x:v>0</x:v>
      </x:c>
      <x:c r="C60" s="10">
        <x:v>0</x:v>
      </x:c>
      <x:c r="D60" s="10">
        <x:v>0</x:v>
      </x:c>
      <x:c r="E60" s="10">
        <x:v>0</x:v>
      </x:c>
      <x:c r="F60" s="10">
        <x:v>0</x:v>
      </x:c>
      <x:c r="G60" s="10">
        <x:v>0</x:v>
      </x:c>
      <x:c r="H60" s="10">
        <x:v>0</x:v>
      </x:c>
      <x:c r="I60" s="10">
        <x:v>0</x:v>
      </x:c>
      <x:c r="J60" s="10">
        <x:v>0</x:v>
      </x:c>
      <x:c r="K60" s="10">
        <x:v>0</x:v>
      </x:c>
      <x:c r="L60" s="10">
        <x:v>0</x:v>
      </x:c>
      <x:c r="M60" s="10">
        <x:v>0</x:v>
      </x:c>
      <x:c r="N60" s="10">
        <x:v>0</x:v>
      </x:c>
      <x:c r="O60" s="10">
        <x:v>0</x:v>
      </x:c>
      <x:c r="P60" s="10">
        <x:v>0</x:v>
      </x:c>
      <x:c r="Q60" s="10">
        <x:v>0</x:v>
      </x:c>
      <x:c r="R60" s="10">
        <x:f t="shared" si="31"/>
        <x:v>0</x:v>
      </x:c>
      <x:c r="S60" s="10">
        <x:v>0</x:v>
      </x:c>
      <x:c r="T60" s="15">
        <x:f t="shared" si="32"/>
        <x:v>0</x:v>
      </x:c>
    </x:row>
    <x:row r="61" spans="1:20" s="25" customFormat="1" x14ac:dyDescent="0.35">
      <x:c r="A61" s="18" t="s">
        <x:v>31</x:v>
      </x:c>
      <x:c r="B61" s="16">
        <x:f t="shared" ref="B61:S61" si="33">SUM(B44:B60)</x:f>
        <x:v>0</x:v>
      </x:c>
      <x:c r="C61" s="16">
        <x:f t="shared" si="33"/>
        <x:v>0</x:v>
      </x:c>
      <x:c r="D61" s="16">
        <x:f t="shared" ref="D61:H61" si="34">SUM(D44:D60)</x:f>
        <x:v>0</x:v>
      </x:c>
      <x:c r="E61" s="16">
        <x:f t="shared" si="34"/>
        <x:v>1052.02</x:v>
      </x:c>
      <x:c r="F61" s="16">
        <x:f t="shared" si="34"/>
        <x:v>627.29999999999995</x:v>
      </x:c>
      <x:c r="G61" s="16">
        <x:f t="shared" si="34"/>
        <x:v>0</x:v>
      </x:c>
      <x:c r="H61" s="16">
        <x:f t="shared" si="34"/>
        <x:v>0</x:v>
      </x:c>
      <x:c r="I61" s="16">
        <x:f t="shared" ref="I61:N61" si="35">SUM(I44:I60)</x:f>
        <x:v>14078</x:v>
      </x:c>
      <x:c r="J61" s="16">
        <x:f t="shared" si="35"/>
        <x:v>0</x:v>
      </x:c>
      <x:c r="K61" s="16">
        <x:f t="shared" si="35"/>
        <x:v>0</x:v>
      </x:c>
      <x:c r="L61" s="16">
        <x:f t="shared" si="35"/>
        <x:v>0</x:v>
      </x:c>
      <x:c r="M61" s="16">
        <x:f t="shared" si="35"/>
        <x:v>0</x:v>
      </x:c>
      <x:c r="N61" s="16">
        <x:f t="shared" si="35"/>
        <x:v>0</x:v>
      </x:c>
      <x:c r="O61" s="16">
        <x:f t="shared" ref="O61:Q61" si="36">SUM(O44:O60)</x:f>
        <x:v>0</x:v>
      </x:c>
      <x:c r="P61" s="16">
        <x:f t="shared" ref="P61" si="37">SUM(P44:P60)</x:f>
        <x:v>0</x:v>
      </x:c>
      <x:c r="Q61" s="16">
        <x:f t="shared" si="36"/>
        <x:v>0</x:v>
      </x:c>
      <x:c r="R61" s="16">
        <x:f t="shared" si="33"/>
        <x:v>15757.32</x:v>
      </x:c>
      <x:c r="S61" s="16">
        <x:f t="shared" si="33"/>
        <x:v>0</x:v>
      </x:c>
      <x:c r="T61" s="16">
        <x:f t="shared" si="32"/>
        <x:v>15757.32</x:v>
      </x:c>
    </x:row>
    <x:row r="62" spans="1:20" x14ac:dyDescent="0.35">
      <x:c r="A62" s="2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  <x:c r="O62" s="9"/>
      <x:c r="P62" s="9"/>
      <x:c r="Q62" s="9"/>
      <x:c r="R62" s="9"/>
      <x:c r="S62" s="9"/>
      <x:c r="T62" s="14"/>
    </x:row>
    <x:row r="63" spans="1:20" s="27" customFormat="1" ht="20.5" customHeight="1" thickBot="1" x14ac:dyDescent="0.4">
      <x:c r="A63" s="19" t="s">
        <x:v>60</x:v>
      </x:c>
      <x:c r="B63" s="20">
        <x:f>+B26+B40+B61</x:f>
        <x:v>709291.29</x:v>
      </x:c>
      <x:c r="C63" s="20">
        <x:f t="shared" ref="C63:T63" si="38">+C26+C40+C61</x:f>
        <x:v>692332.56</x:v>
      </x:c>
      <x:c r="D63" s="20">
        <x:f t="shared" si="38"/>
        <x:v>926446.82000000007</x:v>
      </x:c>
      <x:c r="E63" s="20">
        <x:f t="shared" si="38"/>
        <x:v>654180.6399999999</x:v>
      </x:c>
      <x:c r="F63" s="20">
        <x:f t="shared" si="38"/>
        <x:v>233759.56</x:v>
      </x:c>
      <x:c r="G63" s="20">
        <x:f t="shared" si="38"/>
        <x:v>449202.39</x:v>
      </x:c>
      <x:c r="H63" s="20">
        <x:f t="shared" si="38"/>
        <x:v>619868.52</x:v>
      </x:c>
      <x:c r="I63" s="20">
        <x:f t="shared" si="38"/>
        <x:v>364900.09</x:v>
      </x:c>
      <x:c r="J63" s="20">
        <x:f t="shared" si="38"/>
        <x:v>10612.5</x:v>
      </x:c>
      <x:c r="K63" s="20">
        <x:f t="shared" si="38"/>
        <x:v>73282.239999999991</x:v>
      </x:c>
      <x:c r="L63" s="20">
        <x:f t="shared" si="38"/>
        <x:v>38756.65</x:v>
      </x:c>
      <x:c r="M63" s="20">
        <x:f t="shared" si="38"/>
        <x:v>30216.880000000001</x:v>
      </x:c>
      <x:c r="N63" s="20">
        <x:f t="shared" si="38"/>
        <x:v>9935.7000000000007</x:v>
      </x:c>
      <x:c r="O63" s="20">
        <x:f t="shared" si="38"/>
        <x:v>11043.1</x:v>
      </x:c>
      <x:c r="P63" s="20">
        <x:f t="shared" si="38"/>
        <x:v>0</x:v>
      </x:c>
      <x:c r="Q63" s="20">
        <x:f t="shared" si="38"/>
        <x:v>0</x:v>
      </x:c>
      <x:c r="R63" s="20">
        <x:f t="shared" si="38"/>
        <x:v>4823828.9400000004</x:v>
      </x:c>
      <x:c r="S63" s="20">
        <x:f t="shared" si="38"/>
        <x:v>0</x:v>
      </x:c>
      <x:c r="T63" s="20">
        <x:f t="shared" si="38"/>
        <x:v>4823828.9400000004</x:v>
      </x:c>
    </x:row>
    <x:row r="64" spans="1:20" ht="16" thickTop="1" x14ac:dyDescent="0.35"/>
    <x:row r="65" spans="1:21" x14ac:dyDescent="0.35">
      <x:c r="L65" s="28" t="s">
        <x:v>72</x:v>
      </x:c>
      <x:c r="M65" s="29">
        <x:f>SUM(B63:M63)</x:f>
        <x:v>4802850.1399999997</x:v>
      </x:c>
    </x:row>
    <x:row r="66" spans="1:21" x14ac:dyDescent="0.35">
      <x:c r="L66" s="28"/>
      <x:c r="M66" s="29"/>
    </x:row>
    <x:row r="67" spans="1:21" x14ac:dyDescent="0.35">
      <x:c r="L67" s="28" t="s">
        <x:v>73</x:v>
      </x:c>
      <x:c r="M67" s="29"/>
    </x:row>
    <x:row r="68" spans="1:21" x14ac:dyDescent="0.35">
      <x:c r="L68" s="30" t="s">
        <x:v>68</x:v>
      </x:c>
      <x:c r="M68" s="31">
        <x:v>-1383.38</x:v>
      </x:c>
    </x:row>
    <x:row r="69" spans="1:21" x14ac:dyDescent="0.35">
      <x:c r="L69" s="30" t="s">
        <x:v>69</x:v>
      </x:c>
      <x:c r="M69" s="31">
        <x:v>-28833.5</x:v>
      </x:c>
    </x:row>
    <x:row r="70" spans="1:21" x14ac:dyDescent="0.35">
      <x:c r="L70" s="30" t="s">
        <x:v>70</x:v>
      </x:c>
      <x:c r="M70" s="31">
        <x:v>28627.5</x:v>
      </x:c>
    </x:row>
    <x:row r="71" spans="1:21" x14ac:dyDescent="0.35">
      <x:c r="L71" s="30" t="s">
        <x:v>71</x:v>
      </x:c>
      <x:c r="M71" s="32">
        <x:v>1105</x:v>
      </x:c>
    </x:row>
    <x:row r="72" spans="1:21" s="25" customFormat="1" x14ac:dyDescent="0.35">
      <x:c r="A72" s="25" t="s">
        <x:v>65</x:v>
      </x:c>
      <x:c r="L72" s="30" t="s">
        <x:v>74</x:v>
      </x:c>
      <x:c r="M72" s="33">
        <x:f>SUM(M65:M71)</x:f>
        <x:v>4802365.76</x:v>
      </x:c>
      <x:c r="U72" s="23"/>
    </x:row>
    <x:row r="73" spans="1:21" s="25" customFormat="1" x14ac:dyDescent="0.35">
      <x:c r="Q73" s="34" t="s">
        <x:v>59</x:v>
      </x:c>
      <x:c r="R73" s="34" t="s">
        <x:v>78</x:v>
      </x:c>
      <x:c r="U73" s="23"/>
    </x:row>
    <x:row r="74" spans="1:21" s="25" customFormat="1" x14ac:dyDescent="0.35">
      <x:c r="A74" s="25" t="s">
        <x:v>61</x:v>
      </x:c>
      <x:c r="L74" s="35"/>
      <x:c r="N74" s="29">
        <x:f>N63</x:f>
        <x:v>9935.7000000000007</x:v>
      </x:c>
      <x:c r="O74" s="29">
        <x:f>O63</x:f>
        <x:v>11043.1</x:v>
      </x:c>
      <x:c r="Q74" s="36">
        <x:f>SUM(N74:P74)</x:f>
        <x:v>20978.800000000003</x:v>
      </x:c>
      <x:c r="R74" s="36">
        <x:f>SUM(N74:O74)-SUM(M68:M71)</x:f>
        <x:v>21463.180000000004</x:v>
      </x:c>
      <x:c r="S74" s="25" t="s">
        <x:v>76</x:v>
      </x:c>
      <x:c r="U74" s="23"/>
    </x:row>
    <x:row r="75" spans="1:21" s="25" customFormat="1" x14ac:dyDescent="0.35">
      <x:c r="A75" s="25" t="s">
        <x:v>64</x:v>
      </x:c>
      <x:c r="N75" s="29"/>
      <x:c r="O75" s="40" t="s">
        <x:v>75</x:v>
      </x:c>
      <x:c r="Q75" s="29">
        <x:f>M65+Q74</x:f>
        <x:v>4823828.9399999995</x:v>
      </x:c>
      <x:c r="R75" s="29">
        <x:f>M72+R74</x:f>
        <x:v>4823828.9399999995</x:v>
      </x:c>
      <x:c r="S75" s="25" t="s">
        <x:v>77</x:v>
      </x:c>
      <x:c r="U75" s="23"/>
    </x:row>
    <x:row r="76" spans="1:21" s="25" customFormat="1" x14ac:dyDescent="0.35">
      <x:c r="K76" s="24"/>
      <x:c r="U76" s="23"/>
    </x:row>
    <x:row r="77" spans="1:21" s="25" customFormat="1" x14ac:dyDescent="0.35">
      <x:c r="A77" s="25" t="s">
        <x:v>63</x:v>
      </x:c>
      <x:c r="Q77" s="25">
        <x:v>5</x:v>
      </x:c>
      <x:c r="R77" s="39">
        <x:v>5</x:v>
      </x:c>
      <x:c r="U77" s="23"/>
    </x:row>
    <x:row r="78" spans="1:21" s="25" customFormat="1" x14ac:dyDescent="0.35">
      <x:c r="A78" s="25" t="s">
        <x:v>66</x:v>
      </x:c>
      <x:c r="Q78" s="37">
        <x:f>ROUND(Q75/Q77,2)</x:f>
        <x:v>964765.79</x:v>
      </x:c>
      <x:c r="R78" s="37">
        <x:f>ROUND(R75/R77,2)</x:f>
        <x:v>964765.79</x:v>
      </x:c>
    </x:row>
    <x:row r="79" spans="1:21" x14ac:dyDescent="0.35">
      <x:c r="A79" s="38" t="s">
        <x:v>62</x:v>
      </x:c>
      <x:c r="L79" s="25"/>
      <x:c r="T79" s="23"/>
    </x:row>
  </x:sheetData>
  <x:phoneticPr fontId="4" type="noConversion"/>
  <x:printOptions horizontalCentered="1"/>
  <x:pageMargins left="0.35" right="0.35" top="2.25" bottom="0.5" header="1.5" footer="0"/>
  <x:pageSetup scale="44" fitToHeight="2" pageOrder="overThenDown" orientation="landscape" r:id="rId1"/>
  <x:headerFooter>
    <x:oddHeader>&amp;C&amp;"Arial,Bold"&amp;12
2025 RATE CASE
ONCOR ELECTRIC DELIVERY COMPANY LLC
MONTHLY SRP CASE EXPENSES
DOCKET NO. 56545 SRP
SPONSOR: CHRISTINE M. SANDERS, W. ALAN LEDBETTER, &amp; R. PRACHYL&amp;R&amp;"Arial,Bold"&amp;12WP/Sch II-B-12 SRP DOCKET 56545 
Page &amp;P of &amp;N</x:oddHeader>
  </x:headerFooter>
  <x:rowBreaks count="1" manualBreakCount="1">
    <x:brk id="41" max="19" man="1"/>
  </x:rowBreaks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2025-04-30T18:12:59.0000000Z</dcterms:modified>
</coreProperties>
</file>