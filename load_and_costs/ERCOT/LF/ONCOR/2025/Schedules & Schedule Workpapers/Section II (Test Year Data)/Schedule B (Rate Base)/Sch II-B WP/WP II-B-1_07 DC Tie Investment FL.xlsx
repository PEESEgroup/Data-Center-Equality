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B13B3BA8-A046-4A6A-A6CC-F7AAC68C3B2F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7 DC Tie Investment" sheetId="1" r:id="rId1"/>
  </x:sheets>
  <x:definedNames>
    <x:definedName name="_xlnm._FilterDatabase" localSheetId="0" hidden="1">'WP II-B-1_07 DC Tie Investment'!$A$1:$G$1</x:definedName>
    <x:definedName name="_xlnm.Print_Titles" localSheetId="0">'WP II-B-1_07 DC Tie Investment'!$1:$1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21" i="1" l="1"/>
  <x:c r="F201" i="1" s="1"/>
  <x:c r="E21" i="1"/>
  <x:c r="E201" i="1" s="1"/>
  <x:c r="G200" i="1"/>
  <x:c r="F200" i="1"/>
  <x:c r="E200" i="1"/>
  <x:c r="G21" i="1"/>
  <x:c r="G201" i="1" s="1"/>
</x:calcChain>
</file>

<file path=xl/sharedStrings.xml><?xml version="1.0" encoding="utf-8"?>
<sst xmlns="http://schemas.openxmlformats.org/spreadsheetml/2006/main" count="798" uniqueCount="88">
  <si>
    <t>Construction Work Location</t>
  </si>
  <si>
    <t>Description</t>
  </si>
  <si>
    <t>Vintage Year</t>
  </si>
  <si>
    <t>0301505</t>
  </si>
  <si>
    <t>ELECTRICAL SYSTEM</t>
  </si>
  <si>
    <t>GROUNDING SYSTEM</t>
  </si>
  <si>
    <t>YARD IMPROVEMENTS AND SURFACING</t>
  </si>
  <si>
    <t>BATTERY CHARGING SET</t>
  </si>
  <si>
    <t>BUILDING, ELECTRICAL EQUIPMENT</t>
  </si>
  <si>
    <t>BUSS ASSEMBLY - 345KV</t>
  </si>
  <si>
    <t>CARRIER LINE TRAP, 345KV</t>
  </si>
  <si>
    <t>CARRIER LINE TUNER, 345KV</t>
  </si>
  <si>
    <t>CARRIER X/MTR/RCVR, 345KV</t>
  </si>
  <si>
    <t>CIRCUIT BREAKER, 3000 AMPERE, 345KV</t>
  </si>
  <si>
    <t>CONDUIT OR DUCT SYSTEM</t>
  </si>
  <si>
    <t>COUPLING CAPACITOR, 345KV</t>
  </si>
  <si>
    <t>FENCES, PROTECTIVE</t>
  </si>
  <si>
    <t>HEATING - VENTILATING - AIR CONDITIONING SYSTEM</t>
  </si>
  <si>
    <t>POWER CIRCUIT BREAKER 345 KV</t>
  </si>
  <si>
    <t>RELAYS, 345KV</t>
  </si>
  <si>
    <t>STATION METERING</t>
  </si>
  <si>
    <t>STORAGE BATTERY</t>
  </si>
  <si>
    <t>STRUCTURES, 345KV</t>
  </si>
  <si>
    <t>SUPERVISORY CONTROL EQUIPMENT</t>
  </si>
  <si>
    <t>SWITCH, AIRBREAK, 345KV</t>
  </si>
  <si>
    <t>SWITCHBOARD 345KV</t>
  </si>
  <si>
    <t>SWITCHBOARD PANEL, BUS DIFFERENTIAL, 345KV</t>
  </si>
  <si>
    <t>SWITCHBOARD PANEL, CONTROL CABLE, 0-60KV</t>
  </si>
  <si>
    <t>SWITCHBOARD PANEL, CONTROL CABLE, 345KV</t>
  </si>
  <si>
    <t>SWITCHBOARD PANEL, INTERCONNECT METERING, 345KV</t>
  </si>
  <si>
    <t>SWITCHBOARD PANEL, LINE RELAYING, 345KV</t>
  </si>
  <si>
    <t>TRANSFORMER - AUXILIARY AND STATION SERVICE</t>
  </si>
  <si>
    <t>TRANSFORMER, INSTRUMENT 0-60 KV</t>
  </si>
  <si>
    <t>TRANSFORMER, INSTRUMENT 345 KV</t>
  </si>
  <si>
    <t>0301920</t>
  </si>
  <si>
    <t>HVAC SYSTEM</t>
  </si>
  <si>
    <t>OUTDOOR LIGHTING SYSTEM</t>
  </si>
  <si>
    <t>PLUMBING SYSTEM</t>
  </si>
  <si>
    <t>SERVICE BUILDING</t>
  </si>
  <si>
    <t>BUSS ASSEMBLY - 0 - 60KV</t>
  </si>
  <si>
    <t>BUSS ASSEMBLY - 138KV</t>
  </si>
  <si>
    <t>CAPACITOR BANK 345 KV</t>
  </si>
  <si>
    <t>CARRIER CURRENT TONE AND TRANSFER TRIP EQUIP345 KV</t>
  </si>
  <si>
    <t>CONTROL CENTER AND ELECTRICAL EQUIP.</t>
  </si>
  <si>
    <t>CRANE OR HOIST</t>
  </si>
  <si>
    <t>FIRE PROTECTION SYSTEM</t>
  </si>
  <si>
    <t>FUSE EQUIPMENT 0-60 KV</t>
  </si>
  <si>
    <t>LIGHTNING ARRESTOR 345 KV</t>
  </si>
  <si>
    <t>MOTOR OPERATORS, 0-60KV</t>
  </si>
  <si>
    <t>MOTOR OPERATORS, 138KV</t>
  </si>
  <si>
    <t>MOTOR OPERATORS, 345KV</t>
  </si>
  <si>
    <t>REACTOR 345KV</t>
  </si>
  <si>
    <t>REACTOR OR RESISTOR 345 KV (OBSOLETE JUN 2009)</t>
  </si>
  <si>
    <t>STRUCTURES, 0-60KV</t>
  </si>
  <si>
    <t>SWITCH, AIRBREAK, 0-60KV</t>
  </si>
  <si>
    <t>SWITCH, DISCONNECT, 345KV</t>
  </si>
  <si>
    <t>SWITCH, GROUNDING, 138KV</t>
  </si>
  <si>
    <t>SWITCHBOARD PANEL, CONTROL CABLE, 138KV</t>
  </si>
  <si>
    <t>SWITCHBOARD PANEL, STATION METERING, 0-60KV</t>
  </si>
  <si>
    <t>SWITCHBOARD PANEL, TRANSFORMER DIFFERENTIAL, 138KV</t>
  </si>
  <si>
    <t>SWITCHGEAR, METAL ENCLOSED 0-60 KV</t>
  </si>
  <si>
    <t>TRANSFORMER, POWER 345 KV</t>
  </si>
  <si>
    <t>352 Total</t>
  </si>
  <si>
    <t>353 Total</t>
  </si>
  <si>
    <t>FERC Account</t>
  </si>
  <si>
    <t>352</t>
  </si>
  <si>
    <t>353</t>
  </si>
  <si>
    <t>1997</t>
  </si>
  <si>
    <t>2008</t>
  </si>
  <si>
    <t>2010</t>
  </si>
  <si>
    <t>2005</t>
  </si>
  <si>
    <t>2014</t>
  </si>
  <si>
    <t>2009</t>
  </si>
  <si>
    <t>2018</t>
  </si>
  <si>
    <t>2019</t>
  </si>
  <si>
    <t>2002</t>
  </si>
  <si>
    <t>2011</t>
  </si>
  <si>
    <t>2015</t>
  </si>
  <si>
    <t>2016</t>
  </si>
  <si>
    <t>2017</t>
  </si>
  <si>
    <t>2003</t>
  </si>
  <si>
    <t>Total Investment</t>
  </si>
  <si>
    <t>DIST</t>
  </si>
  <si>
    <t>TRAN</t>
  </si>
  <si>
    <t>Grand Total</t>
  </si>
  <si>
    <t>2022</t>
  </si>
  <si>
    <t>Station Communication Equipment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</si>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</sst>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39" fontId="1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39" fontId="2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G201"/>
  <x:sheetViews>
    <x:sheetView tabSelected="1" zoomScaleNormal="100" workbookViewId="0">
      <x:pane ySplit="1" topLeftCell="A2" activePane="bottomLeft" state="frozen"/>
      <x:selection pane="bottomLeft" activeCell="A2" sqref="A2"/>
    </x:sheetView>
  </x:sheetViews>
  <x:sheetFormatPr defaultColWidth="9" defaultRowHeight="13.6" outlineLevelRow="2" x14ac:dyDescent="0.2"/>
  <x:cols>
    <x:col min="1" max="1" width="16.25" style="5" customWidth="1"/>
    <x:col min="2" max="2" width="12.875" style="9" customWidth="1"/>
    <x:col min="3" max="3" width="62.125" style="4" bestFit="1" customWidth="1"/>
    <x:col min="4" max="4" width="9.25" style="9" customWidth="1"/>
    <x:col min="5" max="7" width="14.625" style="7" bestFit="1" customWidth="1"/>
    <x:col min="8" max="16384" width="9" style="4"/>
  </x:cols>
  <x:sheetData>
    <x:row r="1" spans="1:7" ht="28.55" x14ac:dyDescent="0.25">
      <x:c r="A1" s="1" t="s">
        <x:v>0</x:v>
      </x:c>
      <x:c r="B1" s="2" t="s">
        <x:v>64</x:v>
      </x:c>
      <x:c r="C1" s="1" t="s">
        <x:v>1</x:v>
      </x:c>
      <x:c r="D1" s="2" t="s">
        <x:v>2</x:v>
      </x:c>
      <x:c r="E1" s="3" t="s">
        <x:v>81</x:v>
      </x:c>
      <x:c r="F1" s="3" t="s">
        <x:v>83</x:v>
      </x:c>
      <x:c r="G1" s="3" t="s">
        <x:v>82</x:v>
      </x:c>
    </x:row>
    <x:row r="2" spans="1:7" outlineLevel="2" x14ac:dyDescent="0.2">
      <x:c r="A2" s="5" t="s">
        <x:v>3</x:v>
      </x:c>
      <x:c r="B2" s="6" t="s">
        <x:v>65</x:v>
      </x:c>
      <x:c r="C2" s="4" t="s">
        <x:v>6</x:v>
      </x:c>
      <x:c r="D2" s="6" t="s">
        <x:v>67</x:v>
      </x:c>
      <x:c r="E2" s="7">
        <x:v>46940.71</x:v>
      </x:c>
      <x:c r="F2" s="7">
        <x:v>46940.71</x:v>
      </x:c>
    </x:row>
    <x:row r="3" spans="1:7" outlineLevel="2" x14ac:dyDescent="0.2">
      <x:c r="A3" s="5" t="s">
        <x:v>3</x:v>
      </x:c>
      <x:c r="B3" s="6" t="s">
        <x:v>65</x:v>
      </x:c>
      <x:c r="C3" s="4" t="s">
        <x:v>5</x:v>
      </x:c>
      <x:c r="D3" s="6" t="s">
        <x:v>70</x:v>
      </x:c>
      <x:c r="E3" s="7">
        <x:v>3447.49</x:v>
      </x:c>
      <x:c r="F3" s="7">
        <x:v>3447.49</x:v>
      </x:c>
    </x:row>
    <x:row r="4" spans="1:7" outlineLevel="2" x14ac:dyDescent="0.2">
      <x:c r="A4" s="5" t="s">
        <x:v>3</x:v>
      </x:c>
      <x:c r="B4" s="6" t="s">
        <x:v>65</x:v>
      </x:c>
      <x:c r="C4" s="4" t="s">
        <x:v>4</x:v>
      </x:c>
      <x:c r="D4" s="6" t="s">
        <x:v>71</x:v>
      </x:c>
      <x:c r="E4" s="7">
        <x:v>573.30999999999995</x:v>
      </x:c>
      <x:c r="F4" s="7">
        <x:v>573.30999999999995</x:v>
      </x:c>
    </x:row>
    <x:row r="5" spans="1:7" outlineLevel="2" x14ac:dyDescent="0.2">
      <x:c r="A5" s="5" t="s">
        <x:v>3</x:v>
      </x:c>
      <x:c r="B5" s="6" t="s">
        <x:v>65</x:v>
      </x:c>
      <x:c r="C5" s="4" t="s">
        <x:v>5</x:v>
      </x:c>
      <x:c r="D5" s="6" t="s">
        <x:v>85</x:v>
      </x:c>
      <x:c r="E5" s="7">
        <x:v>7083.81</x:v>
      </x:c>
      <x:c r="F5" s="7">
        <x:v>7083.81</x:v>
      </x:c>
    </x:row>
    <x:row r="6" spans="1:7" outlineLevel="2" x14ac:dyDescent="0.2">
      <x:c r="A6" s="5" t="s">
        <x:v>34</x:v>
      </x:c>
      <x:c r="B6" s="6" t="s">
        <x:v>65</x:v>
      </x:c>
      <x:c r="C6" s="4" t="s">
        <x:v>35</x:v>
      </x:c>
      <x:c r="D6" s="6" t="s">
        <x:v>67</x:v>
      </x:c>
      <x:c r="E6" s="7">
        <x:v>78485.960000000006</x:v>
      </x:c>
      <x:c r="F6" s="7">
        <x:v>78485.960000000006</x:v>
      </x:c>
    </x:row>
    <x:row r="7" spans="1:7" outlineLevel="2" x14ac:dyDescent="0.2">
      <x:c r="A7" s="5" t="s">
        <x:v>34</x:v>
      </x:c>
      <x:c r="B7" s="6" t="s">
        <x:v>65</x:v>
      </x:c>
      <x:c r="C7" s="4" t="s">
        <x:v>6</x:v>
      </x:c>
      <x:c r="D7" s="6" t="s">
        <x:v>67</x:v>
      </x:c>
      <x:c r="E7" s="7">
        <x:v>454697.84</x:v>
      </x:c>
      <x:c r="F7" s="7">
        <x:v>454697.84</x:v>
      </x:c>
    </x:row>
    <x:row r="8" spans="1:7" outlineLevel="2" x14ac:dyDescent="0.2">
      <x:c r="A8" s="5" t="s">
        <x:v>34</x:v>
      </x:c>
      <x:c r="B8" s="6" t="s">
        <x:v>65</x:v>
      </x:c>
      <x:c r="C8" s="4" t="s">
        <x:v>38</x:v>
      </x:c>
      <x:c r="D8" s="6" t="s">
        <x:v>67</x:v>
      </x:c>
      <x:c r="E8" s="7">
        <x:v>470916.41</x:v>
      </x:c>
      <x:c r="F8" s="7">
        <x:v>470916.41</x:v>
      </x:c>
    </x:row>
    <x:row r="9" spans="1:7" outlineLevel="2" x14ac:dyDescent="0.2">
      <x:c r="A9" s="5" t="s">
        <x:v>34</x:v>
      </x:c>
      <x:c r="B9" s="6" t="s">
        <x:v>65</x:v>
      </x:c>
      <x:c r="C9" s="4" t="s">
        <x:v>37</x:v>
      </x:c>
      <x:c r="D9" s="6" t="s">
        <x:v>67</x:v>
      </x:c>
      <x:c r="E9" s="7">
        <x:v>78485.960000000006</x:v>
      </x:c>
      <x:c r="F9" s="7">
        <x:v>78485.960000000006</x:v>
      </x:c>
    </x:row>
    <x:row r="10" spans="1:7" outlineLevel="2" x14ac:dyDescent="0.2">
      <x:c r="A10" s="5" t="s">
        <x:v>34</x:v>
      </x:c>
      <x:c r="B10" s="6" t="s">
        <x:v>65</x:v>
      </x:c>
      <x:c r="C10" s="4" t="s">
        <x:v>4</x:v>
      </x:c>
      <x:c r="D10" s="6" t="s">
        <x:v>67</x:v>
      </x:c>
      <x:c r="E10" s="7">
        <x:v>156971.93</x:v>
      </x:c>
      <x:c r="F10" s="7">
        <x:v>156971.93</x:v>
      </x:c>
    </x:row>
    <x:row r="11" spans="1:7" outlineLevel="2" x14ac:dyDescent="0.2">
      <x:c r="A11" s="5" t="s">
        <x:v>34</x:v>
      </x:c>
      <x:c r="B11" s="6" t="s">
        <x:v>65</x:v>
      </x:c>
      <x:c r="C11" s="4" t="s">
        <x:v>4</x:v>
      </x:c>
      <x:c r="D11" s="6" t="s">
        <x:v>71</x:v>
      </x:c>
      <x:c r="E11" s="7">
        <x:v>10706.8</x:v>
      </x:c>
      <x:c r="F11" s="7">
        <x:v>10706.8</x:v>
      </x:c>
    </x:row>
    <x:row r="12" spans="1:7" outlineLevel="2" x14ac:dyDescent="0.2">
      <x:c r="A12" s="5" t="s">
        <x:v>34</x:v>
      </x:c>
      <x:c r="B12" s="6" t="s">
        <x:v>65</x:v>
      </x:c>
      <x:c r="C12" s="4" t="s">
        <x:v>5</x:v>
      </x:c>
      <x:c r="D12" s="6" t="s">
        <x:v>71</x:v>
      </x:c>
      <x:c r="E12" s="7">
        <x:v>10706.8</x:v>
      </x:c>
      <x:c r="F12" s="7">
        <x:v>10706.8</x:v>
      </x:c>
    </x:row>
    <x:row r="13" spans="1:7" outlineLevel="2" x14ac:dyDescent="0.2">
      <x:c r="A13" s="5" t="s">
        <x:v>34</x:v>
      </x:c>
      <x:c r="B13" s="6" t="s">
        <x:v>65</x:v>
      </x:c>
      <x:c r="C13" s="4" t="s">
        <x:v>4</x:v>
      </x:c>
      <x:c r="D13" s="6" t="s">
        <x:v>77</x:v>
      </x:c>
      <x:c r="E13" s="7">
        <x:v>2964.59</x:v>
      </x:c>
      <x:c r="F13" s="7">
        <x:v>2964.59</x:v>
      </x:c>
    </x:row>
    <x:row r="14" spans="1:7" outlineLevel="2" x14ac:dyDescent="0.2">
      <x:c r="A14" s="5" t="s">
        <x:v>34</x:v>
      </x:c>
      <x:c r="B14" s="6" t="s">
        <x:v>65</x:v>
      </x:c>
      <x:c r="C14" s="4" t="s">
        <x:v>5</x:v>
      </x:c>
      <x:c r="D14" s="6" t="s">
        <x:v>77</x:v>
      </x:c>
      <x:c r="E14" s="7">
        <x:v>2964.59</x:v>
      </x:c>
      <x:c r="F14" s="7">
        <x:v>2964.59</x:v>
      </x:c>
    </x:row>
    <x:row r="15" spans="1:7" outlineLevel="2" x14ac:dyDescent="0.2">
      <x:c r="A15" s="5" t="s">
        <x:v>34</x:v>
      </x:c>
      <x:c r="B15" s="6" t="s">
        <x:v>65</x:v>
      </x:c>
      <x:c r="C15" s="4" t="s">
        <x:v>36</x:v>
      </x:c>
      <x:c r="D15" s="6" t="s">
        <x:v>79</x:v>
      </x:c>
      <x:c r="E15" s="7">
        <x:v>116573.29</x:v>
      </x:c>
      <x:c r="F15" s="7">
        <x:v>116573.29</x:v>
      </x:c>
    </x:row>
    <x:row r="16" spans="1:7" outlineLevel="2" x14ac:dyDescent="0.2">
      <x:c r="A16" s="5" t="s">
        <x:v>34</x:v>
      </x:c>
      <x:c r="B16" s="6" t="s">
        <x:v>65</x:v>
      </x:c>
      <x:c r="C16" s="4" t="s">
        <x:v>5</x:v>
      </x:c>
      <x:c r="D16" s="6" t="s">
        <x:v>79</x:v>
      </x:c>
      <x:c r="E16" s="7">
        <x:v>233146.61</x:v>
      </x:c>
      <x:c r="F16" s="7">
        <x:v>233146.61</x:v>
      </x:c>
    </x:row>
    <x:row r="17" spans="1:7" outlineLevel="2" x14ac:dyDescent="0.2">
      <x:c r="A17" s="5" t="s">
        <x:v>34</x:v>
      </x:c>
      <x:c r="B17" s="6" t="s">
        <x:v>65</x:v>
      </x:c>
      <x:c r="C17" s="4" t="s">
        <x:v>36</x:v>
      </x:c>
      <x:c r="D17" s="6" t="s">
        <x:v>73</x:v>
      </x:c>
      <x:c r="E17" s="7">
        <x:v>6327.52</x:v>
      </x:c>
      <x:c r="F17" s="7">
        <x:v>6327.52</x:v>
      </x:c>
    </x:row>
    <x:row r="18" spans="1:7" outlineLevel="2" x14ac:dyDescent="0.2">
      <x:c r="A18" s="5" t="s">
        <x:v>34</x:v>
      </x:c>
      <x:c r="B18" s="6" t="s">
        <x:v>65</x:v>
      </x:c>
      <x:c r="C18" s="4" t="s">
        <x:v>5</x:v>
      </x:c>
      <x:c r="D18" s="6" t="s">
        <x:v>73</x:v>
      </x:c>
      <x:c r="E18" s="7">
        <x:v>12655.08</x:v>
      </x:c>
      <x:c r="F18" s="7">
        <x:v>12655.08</x:v>
      </x:c>
    </x:row>
    <x:row r="19" spans="1:7" outlineLevel="2" x14ac:dyDescent="0.2">
      <x:c r="A19" s="5" t="s">
        <x:v>34</x:v>
      </x:c>
      <x:c r="B19" s="6" t="s">
        <x:v>65</x:v>
      </x:c>
      <x:c r="C19" s="4" t="s">
        <x:v>36</x:v>
      </x:c>
      <x:c r="D19" s="6" t="s">
        <x:v>74</x:v>
      </x:c>
      <x:c r="E19" s="7">
        <x:v>1.35</x:v>
      </x:c>
      <x:c r="F19" s="7">
        <x:v>1.35</x:v>
      </x:c>
    </x:row>
    <x:row r="20" spans="1:7" outlineLevel="2" x14ac:dyDescent="0.2">
      <x:c r="A20" s="5" t="s">
        <x:v>34</x:v>
      </x:c>
      <x:c r="B20" s="6" t="s">
        <x:v>65</x:v>
      </x:c>
      <x:c r="C20" s="4" t="s">
        <x:v>5</x:v>
      </x:c>
      <x:c r="D20" s="6" t="s">
        <x:v>74</x:v>
      </x:c>
      <x:c r="E20" s="7">
        <x:v>2.7</x:v>
      </x:c>
      <x:c r="F20" s="7">
        <x:v>2.7</x:v>
      </x:c>
    </x:row>
    <x:row r="21" spans="1:7" ht="14.3" outlineLevel="1" x14ac:dyDescent="0.2">
      <x:c r="B21" s="8" t="s">
        <x:v>62</x:v>
      </x:c>
      <x:c r="D21" s="6"/>
      <x:c r="E21" s="7">
        <x:f>SUBTOTAL(9,E2:E20)</x:f>
        <x:v>1693652.7500000002</x:v>
      </x:c>
      <x:c r="F21" s="7">
        <x:f>SUBTOTAL(9,F2:F20)</x:f>
        <x:v>1693652.7500000002</x:v>
      </x:c>
      <x:c r="G21" s="7">
        <x:f>SUBTOTAL(9,G2:G19)</x:f>
        <x:v>0</x:v>
      </x:c>
    </x:row>
    <x:row r="22" spans="1:7" outlineLevel="2" x14ac:dyDescent="0.2">
      <x:c r="A22" s="5" t="s">
        <x:v>3</x:v>
      </x:c>
      <x:c r="B22" s="6" t="s">
        <x:v>66</x:v>
      </x:c>
      <x:c r="C22" s="4" t="s">
        <x:v>14</x:v>
      </x:c>
      <x:c r="D22" s="6" t="s">
        <x:v>67</x:v>
      </x:c>
      <x:c r="E22" s="7">
        <x:v>30240.7</x:v>
      </x:c>
      <x:c r="F22" s="7">
        <x:v>29122.86</x:v>
      </x:c>
      <x:c r="G22" s="7">
        <x:v>1117.8400000000001</x:v>
      </x:c>
    </x:row>
    <x:row r="23" spans="1:7" outlineLevel="2" x14ac:dyDescent="0.2">
      <x:c r="A23" s="5" t="s">
        <x:v>3</x:v>
      </x:c>
      <x:c r="B23" s="6" t="s">
        <x:v>66</x:v>
      </x:c>
      <x:c r="C23" s="4" t="s">
        <x:v>31</x:v>
      </x:c>
      <x:c r="D23" s="6" t="s">
        <x:v>67</x:v>
      </x:c>
      <x:c r="E23" s="7">
        <x:v>8129.86</x:v>
      </x:c>
      <x:c r="F23" s="7">
        <x:v>7829.34</x:v>
      </x:c>
      <x:c r="G23" s="7">
        <x:v>300.51999999999953</x:v>
      </x:c>
    </x:row>
    <x:row r="24" spans="1:7" outlineLevel="2" x14ac:dyDescent="0.2">
      <x:c r="A24" s="5" t="s">
        <x:v>3</x:v>
      </x:c>
      <x:c r="B24" s="6" t="s">
        <x:v>66</x:v>
      </x:c>
      <x:c r="C24" s="4" t="s">
        <x:v>16</x:v>
      </x:c>
      <x:c r="D24" s="6" t="s">
        <x:v>67</x:v>
      </x:c>
      <x:c r="E24" s="7">
        <x:v>2134.56</x:v>
      </x:c>
      <x:c r="F24" s="7">
        <x:v>2055.66</x:v>
      </x:c>
      <x:c r="G24" s="7">
        <x:v>78.900000000000091</x:v>
      </x:c>
    </x:row>
    <x:row r="25" spans="1:7" outlineLevel="2" x14ac:dyDescent="0.2">
      <x:c r="A25" s="5" t="s">
        <x:v>3</x:v>
      </x:c>
      <x:c r="B25" s="6" t="s">
        <x:v>66</x:v>
      </x:c>
      <x:c r="C25" s="4" t="s">
        <x:v>8</x:v>
      </x:c>
      <x:c r="D25" s="6" t="s">
        <x:v>67</x:v>
      </x:c>
      <x:c r="E25" s="7">
        <x:v>26979.8</x:v>
      </x:c>
      <x:c r="F25" s="7">
        <x:v>25982.5</x:v>
      </x:c>
      <x:c r="G25" s="7">
        <x:v>997.29999999999927</x:v>
      </x:c>
    </x:row>
    <x:row r="26" spans="1:7" outlineLevel="2" x14ac:dyDescent="0.2">
      <x:c r="A26" s="5" t="s">
        <x:v>3</x:v>
      </x:c>
      <x:c r="B26" s="6" t="s">
        <x:v>66</x:v>
      </x:c>
      <x:c r="C26" s="4" t="s">
        <x:v>23</x:v>
      </x:c>
      <x:c r="D26" s="6" t="s">
        <x:v>67</x:v>
      </x:c>
      <x:c r="E26" s="7">
        <x:v>56627.65</x:v>
      </x:c>
      <x:c r="F26" s="7">
        <x:v>54534.43</x:v>
      </x:c>
      <x:c r="G26" s="7">
        <x:v>2093.2200000000012</x:v>
      </x:c>
    </x:row>
    <x:row r="27" spans="1:7" outlineLevel="2" x14ac:dyDescent="0.2">
      <x:c r="A27" s="5" t="s">
        <x:v>3</x:v>
      </x:c>
      <x:c r="B27" s="6" t="s">
        <x:v>66</x:v>
      </x:c>
      <x:c r="C27" s="4" t="s">
        <x:v>9</x:v>
      </x:c>
      <x:c r="D27" s="6" t="s">
        <x:v>67</x:v>
      </x:c>
      <x:c r="E27" s="7">
        <x:v>138647.19</x:v>
      </x:c>
      <x:c r="F27" s="7">
        <x:v>138647.19</x:v>
      </x:c>
    </x:row>
    <x:row r="28" spans="1:7" outlineLevel="2" x14ac:dyDescent="0.2">
      <x:c r="A28" s="5" t="s">
        <x:v>3</x:v>
      </x:c>
      <x:c r="B28" s="6" t="s">
        <x:v>66</x:v>
      </x:c>
      <x:c r="C28" s="4" t="s">
        <x:v>18</x:v>
      </x:c>
      <x:c r="D28" s="6" t="s">
        <x:v>67</x:v>
      </x:c>
      <x:c r="E28" s="7">
        <x:v>20409.259999999998</x:v>
      </x:c>
      <x:c r="F28" s="7">
        <x:v>20409.259999999998</x:v>
      </x:c>
    </x:row>
    <x:row r="29" spans="1:7" outlineLevel="2" x14ac:dyDescent="0.2">
      <x:c r="A29" s="5" t="s">
        <x:v>3</x:v>
      </x:c>
      <x:c r="B29" s="6" t="s">
        <x:v>66</x:v>
      </x:c>
      <x:c r="C29" s="4" t="s">
        <x:v>29</x:v>
      </x:c>
      <x:c r="D29" s="6" t="s">
        <x:v>67</x:v>
      </x:c>
      <x:c r="E29" s="7">
        <x:v>25481.45</x:v>
      </x:c>
      <x:c r="F29" s="7">
        <x:v>25481.45</x:v>
      </x:c>
    </x:row>
    <x:row r="30" spans="1:7" outlineLevel="2" x14ac:dyDescent="0.2">
      <x:c r="A30" s="5" t="s">
        <x:v>3</x:v>
      </x:c>
      <x:c r="B30" s="6" t="s">
        <x:v>66</x:v>
      </x:c>
      <x:c r="C30" s="4" t="s">
        <x:v>28</x:v>
      </x:c>
      <x:c r="D30" s="6" t="s">
        <x:v>67</x:v>
      </x:c>
      <x:c r="E30" s="7">
        <x:v>51293.37</x:v>
      </x:c>
      <x:c r="F30" s="7">
        <x:v>51293.37</x:v>
      </x:c>
    </x:row>
    <x:row r="31" spans="1:7" outlineLevel="2" x14ac:dyDescent="0.2">
      <x:c r="A31" s="5" t="s">
        <x:v>3</x:v>
      </x:c>
      <x:c r="B31" s="6" t="s">
        <x:v>66</x:v>
      </x:c>
      <x:c r="C31" s="4" t="s">
        <x:v>22</x:v>
      </x:c>
      <x:c r="D31" s="6" t="s">
        <x:v>67</x:v>
      </x:c>
      <x:c r="E31" s="7">
        <x:v>262736.94</x:v>
      </x:c>
      <x:c r="F31" s="7">
        <x:v>262736.94</x:v>
      </x:c>
    </x:row>
    <x:row r="32" spans="1:7" outlineLevel="2" x14ac:dyDescent="0.2">
      <x:c r="A32" s="5" t="s">
        <x:v>3</x:v>
      </x:c>
      <x:c r="B32" s="6" t="s">
        <x:v>66</x:v>
      </x:c>
      <x:c r="C32" s="4" t="s">
        <x:v>24</x:v>
      </x:c>
      <x:c r="D32" s="6" t="s">
        <x:v>67</x:v>
      </x:c>
      <x:c r="E32" s="7">
        <x:v>484501.51</x:v>
      </x:c>
      <x:c r="F32" s="7">
        <x:v>484501.51</x:v>
      </x:c>
    </x:row>
    <x:row r="33" spans="1:7" outlineLevel="2" x14ac:dyDescent="0.2">
      <x:c r="A33" s="5" t="s">
        <x:v>3</x:v>
      </x:c>
      <x:c r="B33" s="6" t="s">
        <x:v>66</x:v>
      </x:c>
      <x:c r="C33" s="4" t="s">
        <x:v>12</x:v>
      </x:c>
      <x:c r="D33" s="6" t="s">
        <x:v>67</x:v>
      </x:c>
      <x:c r="E33" s="7">
        <x:v>40620.400000000001</x:v>
      </x:c>
      <x:c r="F33" s="7">
        <x:v>40620.400000000001</x:v>
      </x:c>
    </x:row>
    <x:row r="34" spans="1:7" outlineLevel="2" x14ac:dyDescent="0.2">
      <x:c r="A34" s="5" t="s">
        <x:v>3</x:v>
      </x:c>
      <x:c r="B34" s="6" t="s">
        <x:v>66</x:v>
      </x:c>
      <x:c r="C34" s="4" t="s">
        <x:v>11</x:v>
      </x:c>
      <x:c r="D34" s="6" t="s">
        <x:v>67</x:v>
      </x:c>
      <x:c r="E34" s="7">
        <x:v>5506.47</x:v>
      </x:c>
      <x:c r="F34" s="7">
        <x:v>5506.47</x:v>
      </x:c>
    </x:row>
    <x:row r="35" spans="1:7" outlineLevel="2" x14ac:dyDescent="0.2">
      <x:c r="A35" s="5" t="s">
        <x:v>3</x:v>
      </x:c>
      <x:c r="B35" s="6" t="s">
        <x:v>66</x:v>
      </x:c>
      <x:c r="C35" s="4" t="s">
        <x:v>10</x:v>
      </x:c>
      <x:c r="D35" s="6" t="s">
        <x:v>67</x:v>
      </x:c>
      <x:c r="E35" s="7">
        <x:v>26567.56</x:v>
      </x:c>
      <x:c r="F35" s="7">
        <x:v>26567.56</x:v>
      </x:c>
    </x:row>
    <x:row r="36" spans="1:7" outlineLevel="2" x14ac:dyDescent="0.2">
      <x:c r="A36" s="5" t="s">
        <x:v>3</x:v>
      </x:c>
      <x:c r="B36" s="6" t="s">
        <x:v>66</x:v>
      </x:c>
      <x:c r="C36" s="4" t="s">
        <x:v>15</x:v>
      </x:c>
      <x:c r="D36" s="6" t="s">
        <x:v>67</x:v>
      </x:c>
      <x:c r="E36" s="7">
        <x:v>4717.07</x:v>
      </x:c>
      <x:c r="F36" s="7">
        <x:v>4717.07</x:v>
      </x:c>
    </x:row>
    <x:row r="37" spans="1:7" outlineLevel="2" x14ac:dyDescent="0.2">
      <x:c r="A37" s="5" t="s">
        <x:v>3</x:v>
      </x:c>
      <x:c r="B37" s="6" t="s">
        <x:v>66</x:v>
      </x:c>
      <x:c r="C37" s="4" t="s">
        <x:v>20</x:v>
      </x:c>
      <x:c r="D37" s="6" t="s">
        <x:v>75</x:v>
      </x:c>
      <x:c r="E37" s="7">
        <x:v>59482.93</x:v>
      </x:c>
      <x:c r="F37" s="7">
        <x:v>59482.93</x:v>
      </x:c>
    </x:row>
    <x:row r="38" spans="1:7" outlineLevel="2" x14ac:dyDescent="0.2">
      <x:c r="A38" s="5" t="s">
        <x:v>3</x:v>
      </x:c>
      <x:c r="B38" s="6" t="s">
        <x:v>66</x:v>
      </x:c>
      <x:c r="C38" s="4" t="s">
        <x:v>32</x:v>
      </x:c>
      <x:c r="D38" s="6" t="s">
        <x:v>75</x:v>
      </x:c>
      <x:c r="E38" s="7">
        <x:v>15517.28</x:v>
      </x:c>
      <x:c r="G38" s="7">
        <x:v>15517.28</x:v>
      </x:c>
    </x:row>
    <x:row r="39" spans="1:7" outlineLevel="2" x14ac:dyDescent="0.2">
      <x:c r="A39" s="5" t="s">
        <x:v>3</x:v>
      </x:c>
      <x:c r="B39" s="6" t="s">
        <x:v>66</x:v>
      </x:c>
      <x:c r="C39" s="4" t="s">
        <x:v>14</x:v>
      </x:c>
      <x:c r="D39" s="6" t="s">
        <x:v>70</x:v>
      </x:c>
      <x:c r="E39" s="7">
        <x:v>6033.11</x:v>
      </x:c>
      <x:c r="F39" s="7">
        <x:v>5810.1</x:v>
      </x:c>
      <x:c r="G39" s="7">
        <x:v>223.00999999999931</x:v>
      </x:c>
    </x:row>
    <x:row r="40" spans="1:7" outlineLevel="2" x14ac:dyDescent="0.2">
      <x:c r="A40" s="5" t="s">
        <x:v>3</x:v>
      </x:c>
      <x:c r="B40" s="6" t="s">
        <x:v>66</x:v>
      </x:c>
      <x:c r="C40" s="4" t="s">
        <x:v>23</x:v>
      </x:c>
      <x:c r="D40" s="6" t="s">
        <x:v>70</x:v>
      </x:c>
      <x:c r="E40" s="7">
        <x:v>184.07</x:v>
      </x:c>
      <x:c r="F40" s="7">
        <x:v>177.27</x:v>
      </x:c>
      <x:c r="G40" s="7">
        <x:v>6.7999999999999829</x:v>
      </x:c>
    </x:row>
    <x:row r="41" spans="1:7" outlineLevel="2" x14ac:dyDescent="0.2">
      <x:c r="A41" s="5" t="s">
        <x:v>3</x:v>
      </x:c>
      <x:c r="B41" s="6" t="s">
        <x:v>66</x:v>
      </x:c>
      <x:c r="C41" s="4" t="s">
        <x:v>32</x:v>
      </x:c>
      <x:c r="D41" s="6" t="s">
        <x:v>70</x:v>
      </x:c>
      <x:c r="E41" s="7">
        <x:v>7815.83</x:v>
      </x:c>
      <x:c r="G41" s="7">
        <x:v>7815.83</x:v>
      </x:c>
    </x:row>
    <x:row r="42" spans="1:7" outlineLevel="2" x14ac:dyDescent="0.2">
      <x:c r="A42" s="5" t="s">
        <x:v>3</x:v>
      </x:c>
      <x:c r="B42" s="6" t="s">
        <x:v>66</x:v>
      </x:c>
      <x:c r="C42" s="4" t="s">
        <x:v>9</x:v>
      </x:c>
      <x:c r="D42" s="6" t="s">
        <x:v>70</x:v>
      </x:c>
      <x:c r="E42" s="7">
        <x:v>8618.73</x:v>
      </x:c>
      <x:c r="F42" s="7">
        <x:v>8618.73</x:v>
      </x:c>
    </x:row>
    <x:row r="43" spans="1:7" outlineLevel="2" x14ac:dyDescent="0.2">
      <x:c r="A43" s="5" t="s">
        <x:v>3</x:v>
      </x:c>
      <x:c r="B43" s="6" t="s">
        <x:v>66</x:v>
      </x:c>
      <x:c r="C43" s="4" t="s">
        <x:v>25</x:v>
      </x:c>
      <x:c r="D43" s="6" t="s">
        <x:v>70</x:v>
      </x:c>
      <x:c r="E43" s="7">
        <x:v>25856.17</x:v>
      </x:c>
      <x:c r="F43" s="7">
        <x:v>25856.17</x:v>
      </x:c>
    </x:row>
    <x:row r="44" spans="1:7" outlineLevel="2" x14ac:dyDescent="0.2">
      <x:c r="A44" s="5" t="s">
        <x:v>3</x:v>
      </x:c>
      <x:c r="B44" s="6" t="s">
        <x:v>66</x:v>
      </x:c>
      <x:c r="C44" s="4" t="s">
        <x:v>19</x:v>
      </x:c>
      <x:c r="D44" s="6" t="s">
        <x:v>70</x:v>
      </x:c>
      <x:c r="E44" s="7">
        <x:v>1723.74</x:v>
      </x:c>
      <x:c r="F44" s="7">
        <x:v>1723.74</x:v>
      </x:c>
    </x:row>
    <x:row r="45" spans="1:7" outlineLevel="2" x14ac:dyDescent="0.2">
      <x:c r="A45" s="5" t="s">
        <x:v>3</x:v>
      </x:c>
      <x:c r="B45" s="6" t="s">
        <x:v>66</x:v>
      </x:c>
      <x:c r="C45" s="4" t="s">
        <x:v>28</x:v>
      </x:c>
      <x:c r="D45" s="6" t="s">
        <x:v>70</x:v>
      </x:c>
      <x:c r="E45" s="7">
        <x:v>7667.64</x:v>
      </x:c>
      <x:c r="F45" s="7">
        <x:v>7667.64</x:v>
      </x:c>
    </x:row>
    <x:row r="46" spans="1:7" outlineLevel="2" x14ac:dyDescent="0.2">
      <x:c r="A46" s="5" t="s">
        <x:v>3</x:v>
      </x:c>
      <x:c r="B46" s="6" t="s">
        <x:v>66</x:v>
      </x:c>
      <x:c r="C46" s="4" t="s">
        <x:v>22</x:v>
      </x:c>
      <x:c r="D46" s="6" t="s">
        <x:v>70</x:v>
      </x:c>
      <x:c r="E46" s="7">
        <x:v>14651.83</x:v>
      </x:c>
      <x:c r="F46" s="7">
        <x:v>14651.83</x:v>
      </x:c>
    </x:row>
    <x:row r="47" spans="1:7" outlineLevel="2" x14ac:dyDescent="0.2">
      <x:c r="A47" s="5" t="s">
        <x:v>3</x:v>
      </x:c>
      <x:c r="B47" s="6" t="s">
        <x:v>66</x:v>
      </x:c>
      <x:c r="C47" s="4" t="s">
        <x:v>24</x:v>
      </x:c>
      <x:c r="D47" s="6" t="s">
        <x:v>70</x:v>
      </x:c>
      <x:c r="E47" s="7">
        <x:v>10342.469999999999</x:v>
      </x:c>
      <x:c r="F47" s="7">
        <x:v>10342.469999999999</x:v>
      </x:c>
    </x:row>
    <x:row r="48" spans="1:7" outlineLevel="2" x14ac:dyDescent="0.2">
      <x:c r="A48" s="5" t="s">
        <x:v>3</x:v>
      </x:c>
      <x:c r="B48" s="6" t="s">
        <x:v>66</x:v>
      </x:c>
      <x:c r="C48" s="4" t="s">
        <x:v>7</x:v>
      </x:c>
      <x:c r="D48" s="6" t="s">
        <x:v>68</x:v>
      </x:c>
      <x:c r="E48" s="7">
        <x:v>280.5</x:v>
      </x:c>
      <x:c r="F48" s="7">
        <x:v>270.13</x:v>
      </x:c>
      <x:c r="G48" s="7">
        <x:v>10.370000000000005</x:v>
      </x:c>
    </x:row>
    <x:row r="49" spans="1:7" outlineLevel="2" x14ac:dyDescent="0.2">
      <x:c r="A49" s="5" t="s">
        <x:v>3</x:v>
      </x:c>
      <x:c r="B49" s="6" t="s">
        <x:v>66</x:v>
      </x:c>
      <x:c r="C49" s="4" t="s">
        <x:v>14</x:v>
      </x:c>
      <x:c r="D49" s="6" t="s">
        <x:v>68</x:v>
      </x:c>
      <x:c r="E49" s="7">
        <x:v>1178.69</x:v>
      </x:c>
      <x:c r="F49" s="7">
        <x:v>1135.1199999999999</x:v>
      </x:c>
      <x:c r="G49" s="7">
        <x:v>43.570000000000164</x:v>
      </x:c>
    </x:row>
    <x:row r="50" spans="1:7" outlineLevel="2" x14ac:dyDescent="0.2">
      <x:c r="A50" s="5" t="s">
        <x:v>3</x:v>
      </x:c>
      <x:c r="B50" s="6" t="s">
        <x:v>66</x:v>
      </x:c>
      <x:c r="C50" s="4" t="s">
        <x:v>23</x:v>
      </x:c>
      <x:c r="D50" s="6" t="s">
        <x:v>68</x:v>
      </x:c>
      <x:c r="E50" s="7">
        <x:v>7822.24</x:v>
      </x:c>
      <x:c r="F50" s="7">
        <x:v>7533.09</x:v>
      </x:c>
      <x:c r="G50" s="7">
        <x:v>289.14999999999964</x:v>
      </x:c>
    </x:row>
    <x:row r="51" spans="1:7" outlineLevel="2" x14ac:dyDescent="0.2">
      <x:c r="A51" s="5" t="s">
        <x:v>3</x:v>
      </x:c>
      <x:c r="B51" s="6" t="s">
        <x:v>66</x:v>
      </x:c>
      <x:c r="C51" s="4" t="s">
        <x:v>27</x:v>
      </x:c>
      <x:c r="D51" s="6" t="s">
        <x:v>68</x:v>
      </x:c>
      <x:c r="E51" s="7">
        <x:v>1714.46</x:v>
      </x:c>
      <x:c r="G51" s="7">
        <x:v>1714.46</x:v>
      </x:c>
    </x:row>
    <x:row r="52" spans="1:7" outlineLevel="2" x14ac:dyDescent="0.2">
      <x:c r="A52" s="5" t="s">
        <x:v>3</x:v>
      </x:c>
      <x:c r="B52" s="6" t="s">
        <x:v>66</x:v>
      </x:c>
      <x:c r="C52" s="4" t="s">
        <x:v>17</x:v>
      </x:c>
      <x:c r="D52" s="6" t="s">
        <x:v>72</x:v>
      </x:c>
      <x:c r="E52" s="7">
        <x:v>183.95</x:v>
      </x:c>
      <x:c r="F52" s="7">
        <x:v>177.15</x:v>
      </x:c>
      <x:c r="G52" s="7">
        <x:v>6.7999999999999829</x:v>
      </x:c>
    </x:row>
    <x:row r="53" spans="1:7" outlineLevel="2" x14ac:dyDescent="0.2">
      <x:c r="A53" s="5" t="s">
        <x:v>3</x:v>
      </x:c>
      <x:c r="B53" s="6" t="s">
        <x:v>66</x:v>
      </x:c>
      <x:c r="C53" s="4" t="s">
        <x:v>7</x:v>
      </x:c>
      <x:c r="D53" s="6" t="s">
        <x:v>69</x:v>
      </x:c>
      <x:c r="E53" s="7">
        <x:v>786.35</x:v>
      </x:c>
      <x:c r="F53" s="7">
        <x:v>757.28</x:v>
      </x:c>
      <x:c r="G53" s="7">
        <x:v>29.07000000000005</x:v>
      </x:c>
    </x:row>
    <x:row r="54" spans="1:7" outlineLevel="2" x14ac:dyDescent="0.2">
      <x:c r="A54" s="5" t="s">
        <x:v>3</x:v>
      </x:c>
      <x:c r="B54" s="6" t="s">
        <x:v>66</x:v>
      </x:c>
      <x:c r="C54" s="4" t="s">
        <x:v>20</x:v>
      </x:c>
      <x:c r="D54" s="6" t="s">
        <x:v>76</x:v>
      </x:c>
      <x:c r="E54" s="7">
        <x:v>-14491.51</x:v>
      </x:c>
      <x:c r="F54" s="7">
        <x:v>-14491.51</x:v>
      </x:c>
    </x:row>
    <x:row r="55" spans="1:7" outlineLevel="2" x14ac:dyDescent="0.2">
      <x:c r="A55" s="5" t="s">
        <x:v>3</x:v>
      </x:c>
      <x:c r="B55" s="6" t="s">
        <x:v>66</x:v>
      </x:c>
      <x:c r="C55" s="4" t="s">
        <x:v>32</x:v>
      </x:c>
      <x:c r="D55" s="6" t="s">
        <x:v>76</x:v>
      </x:c>
      <x:c r="E55" s="7">
        <x:v>-3780.39</x:v>
      </x:c>
      <x:c r="G55" s="7">
        <x:v>-3780.39</x:v>
      </x:c>
    </x:row>
    <x:row r="56" spans="1:7" outlineLevel="2" x14ac:dyDescent="0.2">
      <x:c r="A56" s="5" t="s">
        <x:v>3</x:v>
      </x:c>
      <x:c r="B56" s="6" t="s">
        <x:v>66</x:v>
      </x:c>
      <x:c r="C56" s="4" t="s">
        <x:v>26</x:v>
      </x:c>
      <x:c r="D56" s="6" t="s">
        <x:v>71</x:v>
      </x:c>
      <x:c r="E56" s="7">
        <x:v>53097.51</x:v>
      </x:c>
      <x:c r="F56" s="7">
        <x:v>53097.51</x:v>
      </x:c>
    </x:row>
    <x:row r="57" spans="1:7" outlineLevel="2" x14ac:dyDescent="0.2">
      <x:c r="A57" s="5" t="s">
        <x:v>3</x:v>
      </x:c>
      <x:c r="B57" s="6" t="s">
        <x:v>66</x:v>
      </x:c>
      <x:c r="C57" s="4" t="s">
        <x:v>30</x:v>
      </x:c>
      <x:c r="D57" s="6" t="s">
        <x:v>71</x:v>
      </x:c>
      <x:c r="E57" s="7">
        <x:v>112441.8</x:v>
      </x:c>
      <x:c r="F57" s="7">
        <x:v>112441.8</x:v>
      </x:c>
    </x:row>
    <x:row r="58" spans="1:7" outlineLevel="2" x14ac:dyDescent="0.2">
      <x:c r="A58" s="5" t="s">
        <x:v>3</x:v>
      </x:c>
      <x:c r="B58" s="6" t="s">
        <x:v>66</x:v>
      </x:c>
      <x:c r="C58" s="4" t="s">
        <x:v>26</x:v>
      </x:c>
      <x:c r="D58" s="6" t="s">
        <x:v>77</x:v>
      </x:c>
      <x:c r="E58" s="7">
        <x:v>-5401.15</x:v>
      </x:c>
      <x:c r="F58" s="7">
        <x:v>-5401.15</x:v>
      </x:c>
    </x:row>
    <x:row r="59" spans="1:7" outlineLevel="2" x14ac:dyDescent="0.2">
      <x:c r="A59" s="5" t="s">
        <x:v>3</x:v>
      </x:c>
      <x:c r="B59" s="6" t="s">
        <x:v>66</x:v>
      </x:c>
      <x:c r="C59" s="4" t="s">
        <x:v>30</x:v>
      </x:c>
      <x:c r="D59" s="6" t="s">
        <x:v>77</x:v>
      </x:c>
      <x:c r="E59" s="7">
        <x:v>-11437.7</x:v>
      </x:c>
      <x:c r="F59" s="7">
        <x:v>-11437.7</x:v>
      </x:c>
    </x:row>
    <x:row r="60" spans="1:7" outlineLevel="2" x14ac:dyDescent="0.2">
      <x:c r="A60" s="5" t="s">
        <x:v>3</x:v>
      </x:c>
      <x:c r="B60" s="6" t="s">
        <x:v>66</x:v>
      </x:c>
      <x:c r="C60" s="4" t="s">
        <x:v>26</x:v>
      </x:c>
      <x:c r="D60" s="6" t="s">
        <x:v>78</x:v>
      </x:c>
      <x:c r="E60" s="7">
        <x:v>-374.24</x:v>
      </x:c>
      <x:c r="F60" s="7">
        <x:v>-374.24</x:v>
      </x:c>
    </x:row>
    <x:row r="61" spans="1:7" outlineLevel="2" x14ac:dyDescent="0.2">
      <x:c r="A61" s="5" t="s">
        <x:v>3</x:v>
      </x:c>
      <x:c r="B61" s="6" t="s">
        <x:v>66</x:v>
      </x:c>
      <x:c r="C61" s="4" t="s">
        <x:v>30</x:v>
      </x:c>
      <x:c r="D61" s="6" t="s">
        <x:v>78</x:v>
      </x:c>
      <x:c r="E61" s="7">
        <x:v>-792.5</x:v>
      </x:c>
      <x:c r="F61" s="7">
        <x:v>-792.5</x:v>
      </x:c>
    </x:row>
    <x:row r="62" spans="1:7" outlineLevel="2" x14ac:dyDescent="0.2">
      <x:c r="A62" s="5" t="s">
        <x:v>3</x:v>
      </x:c>
      <x:c r="B62" s="6" t="s">
        <x:v>66</x:v>
      </x:c>
      <x:c r="C62" s="4" t="s">
        <x:v>15</x:v>
      </x:c>
      <x:c r="D62" s="6" t="s">
        <x:v>78</x:v>
      </x:c>
      <x:c r="E62" s="7">
        <x:v>50675.1</x:v>
      </x:c>
      <x:c r="F62" s="7">
        <x:v>50675.1</x:v>
      </x:c>
    </x:row>
    <x:row r="63" spans="1:7" outlineLevel="2" x14ac:dyDescent="0.2">
      <x:c r="A63" s="5" t="s">
        <x:v>3</x:v>
      </x:c>
      <x:c r="B63" s="6" t="s">
        <x:v>66</x:v>
      </x:c>
      <x:c r="C63" s="4" t="s">
        <x:v>26</x:v>
      </x:c>
      <x:c r="D63" s="6" t="s">
        <x:v>79</x:v>
      </x:c>
      <x:c r="E63" s="7">
        <x:v>-25.87</x:v>
      </x:c>
      <x:c r="F63" s="7">
        <x:v>-25.87</x:v>
      </x:c>
    </x:row>
    <x:row r="64" spans="1:7" outlineLevel="2" x14ac:dyDescent="0.2">
      <x:c r="A64" s="5" t="s">
        <x:v>3</x:v>
      </x:c>
      <x:c r="B64" s="6" t="s">
        <x:v>66</x:v>
      </x:c>
      <x:c r="C64" s="4" t="s">
        <x:v>30</x:v>
      </x:c>
      <x:c r="D64" s="6" t="s">
        <x:v>79</x:v>
      </x:c>
      <x:c r="E64" s="7">
        <x:v>-54.81</x:v>
      </x:c>
      <x:c r="F64" s="7">
        <x:v>-54.81</x:v>
      </x:c>
    </x:row>
    <x:row r="65" spans="1:7" outlineLevel="2" x14ac:dyDescent="0.2">
      <x:c r="A65" s="5" t="s">
        <x:v>3</x:v>
      </x:c>
      <x:c r="B65" s="6" t="s">
        <x:v>66</x:v>
      </x:c>
      <x:c r="C65" s="4" t="s">
        <x:v>21</x:v>
      </x:c>
      <x:c r="D65" s="6" t="s">
        <x:v>73</x:v>
      </x:c>
      <x:c r="E65" s="7">
        <x:v>1716.83</x:v>
      </x:c>
      <x:c r="F65" s="7">
        <x:v>1653.37</x:v>
      </x:c>
      <x:c r="G65" s="7">
        <x:v>63.460000000000036</x:v>
      </x:c>
    </x:row>
    <x:row r="66" spans="1:7" outlineLevel="2" x14ac:dyDescent="0.2">
      <x:c r="A66" s="5" t="s">
        <x:v>3</x:v>
      </x:c>
      <x:c r="B66" s="6" t="s">
        <x:v>66</x:v>
      </x:c>
      <x:c r="C66" s="4" t="s">
        <x:v>21</x:v>
      </x:c>
      <x:c r="D66" s="6" t="s">
        <x:v>74</x:v>
      </x:c>
      <x:c r="E66" s="7">
        <x:v>1714.07</x:v>
      </x:c>
      <x:c r="F66" s="7">
        <x:v>1650.71</x:v>
      </x:c>
      <x:c r="G66" s="7">
        <x:v>63.3599999999999</x:v>
      </x:c>
    </x:row>
    <x:row r="67" spans="1:7" outlineLevel="2" x14ac:dyDescent="0.2">
      <x:c r="A67" s="5" t="s">
        <x:v>3</x:v>
      </x:c>
      <x:c r="B67" s="6" t="s">
        <x:v>66</x:v>
      </x:c>
      <x:c r="C67" s="4" t="s">
        <x:v>14</x:v>
      </x:c>
      <x:c r="D67" s="6" t="s">
        <x:v>85</x:v>
      </x:c>
      <x:c r="E67" s="7">
        <x:v>17709.57</x:v>
      </x:c>
      <x:c r="F67" s="7">
        <x:v>17054.939999999999</x:v>
      </x:c>
      <x:c r="G67" s="7">
        <x:v>654.63000000000102</x:v>
      </x:c>
    </x:row>
    <x:row r="68" spans="1:7" outlineLevel="2" x14ac:dyDescent="0.2">
      <x:c r="A68" s="5" t="s">
        <x:v>3</x:v>
      </x:c>
      <x:c r="B68" s="6" t="s">
        <x:v>66</x:v>
      </x:c>
      <x:c r="C68" s="4" t="s">
        <x:v>9</x:v>
      </x:c>
      <x:c r="D68" s="6" t="s">
        <x:v>85</x:v>
      </x:c>
      <x:c r="E68" s="7">
        <x:v>7083.81</x:v>
      </x:c>
      <x:c r="F68" s="7">
        <x:v>7083.81</x:v>
      </x:c>
    </x:row>
    <x:row r="69" spans="1:7" outlineLevel="2" x14ac:dyDescent="0.2">
      <x:c r="A69" s="5" t="s">
        <x:v>3</x:v>
      </x:c>
      <x:c r="B69" s="6" t="s">
        <x:v>66</x:v>
      </x:c>
      <x:c r="C69" s="4" t="s">
        <x:v>47</x:v>
      </x:c>
      <x:c r="D69" s="6" t="s">
        <x:v>85</x:v>
      </x:c>
      <x:c r="E69" s="7">
        <x:v>7083.81</x:v>
      </x:c>
      <x:c r="F69" s="7">
        <x:v>7083.81</x:v>
      </x:c>
    </x:row>
    <x:row r="70" spans="1:7" outlineLevel="2" x14ac:dyDescent="0.2">
      <x:c r="A70" s="5" t="s">
        <x:v>3</x:v>
      </x:c>
      <x:c r="B70" s="6" t="s">
        <x:v>66</x:v>
      </x:c>
      <x:c r="C70" s="4" t="s">
        <x:v>13</x:v>
      </x:c>
      <x:c r="D70" s="6" t="s">
        <x:v>85</x:v>
      </x:c>
      <x:c r="E70" s="7">
        <x:v>559623.13</x:v>
      </x:c>
      <x:c r="F70" s="7">
        <x:v>559623.13</x:v>
      </x:c>
    </x:row>
    <x:row r="71" spans="1:7" outlineLevel="2" x14ac:dyDescent="0.2">
      <x:c r="A71" s="5" t="s">
        <x:v>3</x:v>
      </x:c>
      <x:c r="B71" s="6" t="s">
        <x:v>66</x:v>
      </x:c>
      <x:c r="C71" s="4" t="s">
        <x:v>28</x:v>
      </x:c>
      <x:c r="D71" s="6" t="s">
        <x:v>85</x:v>
      </x:c>
      <x:c r="E71" s="7">
        <x:v>28335.32</x:v>
      </x:c>
      <x:c r="F71" s="7">
        <x:v>28335.32</x:v>
      </x:c>
    </x:row>
    <x:row r="72" spans="1:7" outlineLevel="2" x14ac:dyDescent="0.2">
      <x:c r="A72" s="5" t="s">
        <x:v>3</x:v>
      </x:c>
      <x:c r="B72" s="6" t="s">
        <x:v>66</x:v>
      </x:c>
      <x:c r="C72" s="4" t="s">
        <x:v>22</x:v>
      </x:c>
      <x:c r="D72" s="6" t="s">
        <x:v>85</x:v>
      </x:c>
      <x:c r="E72" s="7">
        <x:v>21251.48</x:v>
      </x:c>
      <x:c r="F72" s="7">
        <x:v>21251.48</x:v>
      </x:c>
    </x:row>
    <x:row r="73" spans="1:7" outlineLevel="2" x14ac:dyDescent="0.2">
      <x:c r="A73" s="5" t="s">
        <x:v>3</x:v>
      </x:c>
      <x:c r="B73" s="6" t="s">
        <x:v>66</x:v>
      </x:c>
      <x:c r="C73" s="4" t="s">
        <x:v>33</x:v>
      </x:c>
      <x:c r="D73" s="6" t="s">
        <x:v>85</x:v>
      </x:c>
      <x:c r="E73" s="7">
        <x:v>60212.58</x:v>
      </x:c>
      <x:c r="F73" s="7">
        <x:v>60212.58</x:v>
      </x:c>
    </x:row>
    <x:row r="74" spans="1:7" outlineLevel="2" x14ac:dyDescent="0.2">
      <x:c r="A74" s="5" t="s">
        <x:v>3</x:v>
      </x:c>
      <x:c r="B74" s="6" t="s">
        <x:v>66</x:v>
      </x:c>
      <x:c r="C74" s="4" t="s">
        <x:v>86</x:v>
      </x:c>
      <x:c r="D74" s="6" t="s">
        <x:v>87</x:v>
      </x:c>
      <x:c r="E74" s="7">
        <x:v>1365.94</x:v>
      </x:c>
      <x:c r="F74" s="7">
        <x:v>1315.45</x:v>
      </x:c>
      <x:c r="G74" s="7">
        <x:v>50.490000000000009</x:v>
      </x:c>
    </x:row>
    <x:row r="75" spans="1:7" outlineLevel="2" x14ac:dyDescent="0.2">
      <x:c r="A75" s="5" t="s">
        <x:v>34</x:v>
      </x:c>
      <x:c r="B75" s="6" t="s">
        <x:v>66</x:v>
      </x:c>
      <x:c r="C75" s="4" t="s">
        <x:v>44</x:v>
      </x:c>
      <x:c r="D75" s="6" t="s">
        <x:v>67</x:v>
      </x:c>
      <x:c r="E75" s="7">
        <x:v>218858.49</x:v>
      </x:c>
      <x:c r="F75" s="7">
        <x:v>127885.28</x:v>
      </x:c>
      <x:c r="G75" s="7">
        <x:v>90973.209999999992</x:v>
      </x:c>
    </x:row>
    <x:row r="76" spans="1:7" outlineLevel="2" x14ac:dyDescent="0.2">
      <x:c r="A76" s="5" t="s">
        <x:v>34</x:v>
      </x:c>
      <x:c r="B76" s="6" t="s">
        <x:v>66</x:v>
      </x:c>
      <x:c r="C76" s="4" t="s">
        <x:v>45</x:v>
      </x:c>
      <x:c r="D76" s="6" t="s">
        <x:v>67</x:v>
      </x:c>
      <x:c r="E76" s="7">
        <x:v>328448.86</x:v>
      </x:c>
      <x:c r="F76" s="7">
        <x:v>191922.07</x:v>
      </x:c>
      <x:c r="G76" s="7">
        <x:v>136526.78999999998</x:v>
      </x:c>
    </x:row>
    <x:row r="77" spans="1:7" outlineLevel="2" x14ac:dyDescent="0.2">
      <x:c r="A77" s="5" t="s">
        <x:v>34</x:v>
      </x:c>
      <x:c r="B77" s="6" t="s">
        <x:v>66</x:v>
      </x:c>
      <x:c r="C77" s="4" t="s">
        <x:v>21</x:v>
      </x:c>
      <x:c r="D77" s="6" t="s">
        <x:v>67</x:v>
      </x:c>
      <x:c r="E77" s="7">
        <x:v>80581.31</x:v>
      </x:c>
      <x:c r="F77" s="7">
        <x:v>47085.97</x:v>
      </x:c>
      <x:c r="G77" s="7">
        <x:v>33495.339999999997</x:v>
      </x:c>
    </x:row>
    <x:row r="78" spans="1:7" outlineLevel="2" x14ac:dyDescent="0.2">
      <x:c r="A78" s="5" t="s">
        <x:v>34</x:v>
      </x:c>
      <x:c r="B78" s="6" t="s">
        <x:v>66</x:v>
      </x:c>
      <x:c r="C78" s="4" t="s">
        <x:v>31</x:v>
      </x:c>
      <x:c r="D78" s="6" t="s">
        <x:v>67</x:v>
      </x:c>
      <x:c r="E78" s="7">
        <x:v>132153.23000000001</x:v>
      </x:c>
      <x:c r="F78" s="7">
        <x:v>77220.92</x:v>
      </x:c>
      <x:c r="G78" s="7">
        <x:v>54932.310000000012</x:v>
      </x:c>
    </x:row>
    <x:row r="79" spans="1:7" outlineLevel="2" x14ac:dyDescent="0.2">
      <x:c r="A79" s="5" t="s">
        <x:v>34</x:v>
      </x:c>
      <x:c r="B79" s="6" t="s">
        <x:v>66</x:v>
      </x:c>
      <x:c r="C79" s="4" t="s">
        <x:v>8</x:v>
      </x:c>
      <x:c r="D79" s="6" t="s">
        <x:v>67</x:v>
      </x:c>
      <x:c r="E79" s="7">
        <x:v>547146.53</x:v>
      </x:c>
      <x:c r="F79" s="7">
        <x:v>319713.38</x:v>
      </x:c>
      <x:c r="G79" s="7">
        <x:v>227433.15000000002</x:v>
      </x:c>
    </x:row>
    <x:row r="80" spans="1:7" outlineLevel="2" x14ac:dyDescent="0.2">
      <x:c r="A80" s="5" t="s">
        <x:v>34</x:v>
      </x:c>
      <x:c r="B80" s="6" t="s">
        <x:v>66</x:v>
      </x:c>
      <x:c r="C80" s="4" t="s">
        <x:v>17</x:v>
      </x:c>
      <x:c r="D80" s="6" t="s">
        <x:v>67</x:v>
      </x:c>
      <x:c r="E80" s="7">
        <x:v>109429.24</x:v>
      </x:c>
      <x:c r="F80" s="7">
        <x:v>63942.64</x:v>
      </x:c>
      <x:c r="G80" s="7">
        <x:v>45486.600000000006</x:v>
      </x:c>
    </x:row>
    <x:row r="81" spans="1:7" outlineLevel="2" x14ac:dyDescent="0.2">
      <x:c r="A81" s="5" t="s">
        <x:v>34</x:v>
      </x:c>
      <x:c r="B81" s="6" t="s">
        <x:v>66</x:v>
      </x:c>
      <x:c r="C81" s="4" t="s">
        <x:v>39</x:v>
      </x:c>
      <x:c r="D81" s="6" t="s">
        <x:v>67</x:v>
      </x:c>
      <x:c r="E81" s="7">
        <x:v>2844860.23</x:v>
      </x:c>
      <x:c r="G81" s="7">
        <x:v>2844860.23</x:v>
      </x:c>
    </x:row>
    <x:row r="82" spans="1:7" outlineLevel="2" x14ac:dyDescent="0.2">
      <x:c r="A82" s="5" t="s">
        <x:v>34</x:v>
      </x:c>
      <x:c r="B82" s="6" t="s">
        <x:v>66</x:v>
      </x:c>
      <x:c r="C82" s="4" t="s">
        <x:v>60</x:v>
      </x:c>
      <x:c r="D82" s="6" t="s">
        <x:v>67</x:v>
      </x:c>
      <x:c r="E82" s="7">
        <x:v>93474.37</x:v>
      </x:c>
      <x:c r="G82" s="7">
        <x:v>93474.37</x:v>
      </x:c>
    </x:row>
    <x:row r="83" spans="1:7" outlineLevel="2" x14ac:dyDescent="0.2">
      <x:c r="A83" s="5" t="s">
        <x:v>34</x:v>
      </x:c>
      <x:c r="B83" s="6" t="s">
        <x:v>66</x:v>
      </x:c>
      <x:c r="C83" s="4" t="s">
        <x:v>41</x:v>
      </x:c>
      <x:c r="D83" s="6" t="s">
        <x:v>67</x:v>
      </x:c>
      <x:c r="E83" s="7">
        <x:v>803265.99</x:v>
      </x:c>
      <x:c r="F83" s="7">
        <x:v>803265.99</x:v>
      </x:c>
    </x:row>
    <x:row r="84" spans="1:7" outlineLevel="2" x14ac:dyDescent="0.2">
      <x:c r="A84" s="5" t="s">
        <x:v>34</x:v>
      </x:c>
      <x:c r="B84" s="6" t="s">
        <x:v>66</x:v>
      </x:c>
      <x:c r="C84" s="4" t="s">
        <x:v>18</x:v>
      </x:c>
      <x:c r="D84" s="6" t="s">
        <x:v>67</x:v>
      </x:c>
      <x:c r="E84" s="7">
        <x:v>996374.45</x:v>
      </x:c>
      <x:c r="F84" s="7">
        <x:v>996374.45</x:v>
      </x:c>
    </x:row>
    <x:row r="85" spans="1:7" outlineLevel="2" x14ac:dyDescent="0.2">
      <x:c r="A85" s="5" t="s">
        <x:v>34</x:v>
      </x:c>
      <x:c r="B85" s="6" t="s">
        <x:v>66</x:v>
      </x:c>
      <x:c r="C85" s="4" t="s">
        <x:v>52</x:v>
      </x:c>
      <x:c r="D85" s="6" t="s">
        <x:v>67</x:v>
      </x:c>
      <x:c r="E85" s="7">
        <x:v>1560729.46</x:v>
      </x:c>
      <x:c r="F85" s="7">
        <x:v>1560729.46</x:v>
      </x:c>
    </x:row>
    <x:row r="86" spans="1:7" outlineLevel="2" x14ac:dyDescent="0.2">
      <x:c r="A86" s="5" t="s">
        <x:v>34</x:v>
      </x:c>
      <x:c r="B86" s="6" t="s">
        <x:v>66</x:v>
      </x:c>
      <x:c r="C86" s="4" t="s">
        <x:v>61</x:v>
      </x:c>
      <x:c r="D86" s="6" t="s">
        <x:v>67</x:v>
      </x:c>
      <x:c r="E86" s="7">
        <x:v>6777110.0700000003</x:v>
      </x:c>
      <x:c r="G86" s="7">
        <x:v>6777110.0700000003</x:v>
      </x:c>
    </x:row>
    <x:row r="87" spans="1:7" outlineLevel="2" x14ac:dyDescent="0.2">
      <x:c r="A87" s="5" t="s">
        <x:v>34</x:v>
      </x:c>
      <x:c r="B87" s="6" t="s">
        <x:v>66</x:v>
      </x:c>
      <x:c r="C87" s="4" t="s">
        <x:v>42</x:v>
      </x:c>
      <x:c r="D87" s="6" t="s">
        <x:v>67</x:v>
      </x:c>
      <x:c r="E87" s="7">
        <x:v>150928.70000000001</x:v>
      </x:c>
      <x:c r="F87" s="7">
        <x:v>150928.70000000001</x:v>
      </x:c>
    </x:row>
    <x:row r="88" spans="1:7" outlineLevel="2" x14ac:dyDescent="0.2">
      <x:c r="A88" s="5" t="s">
        <x:v>34</x:v>
      </x:c>
      <x:c r="B88" s="6" t="s">
        <x:v>66</x:v>
      </x:c>
      <x:c r="C88" s="4" t="s">
        <x:v>33</x:v>
      </x:c>
      <x:c r="D88" s="6" t="s">
        <x:v>67</x:v>
      </x:c>
      <x:c r="E88" s="7">
        <x:v>325135.06</x:v>
      </x:c>
      <x:c r="F88" s="7">
        <x:v>325135.06</x:v>
      </x:c>
    </x:row>
    <x:row r="89" spans="1:7" outlineLevel="2" x14ac:dyDescent="0.2">
      <x:c r="A89" s="5" t="s">
        <x:v>34</x:v>
      </x:c>
      <x:c r="B89" s="6" t="s">
        <x:v>66</x:v>
      </x:c>
      <x:c r="C89" s="4" t="s">
        <x:v>13</x:v>
      </x:c>
      <x:c r="D89" s="6" t="s">
        <x:v>80</x:v>
      </x:c>
      <x:c r="E89" s="7">
        <x:v>17562.259999999998</x:v>
      </x:c>
      <x:c r="F89" s="7">
        <x:v>17562.259999999998</x:v>
      </x:c>
    </x:row>
    <x:row r="90" spans="1:7" outlineLevel="2" x14ac:dyDescent="0.2">
      <x:c r="A90" s="5" t="s">
        <x:v>34</x:v>
      </x:c>
      <x:c r="B90" s="6" t="s">
        <x:v>66</x:v>
      </x:c>
      <x:c r="C90" s="4" t="s">
        <x:v>55</x:v>
      </x:c>
      <x:c r="D90" s="6" t="s">
        <x:v>80</x:v>
      </x:c>
      <x:c r="E90" s="7">
        <x:v>17562.259999999998</x:v>
      </x:c>
      <x:c r="F90" s="7">
        <x:v>17562.259999999998</x:v>
      </x:c>
    </x:row>
    <x:row r="91" spans="1:7" outlineLevel="2" x14ac:dyDescent="0.2">
      <x:c r="A91" s="5" t="s">
        <x:v>34</x:v>
      </x:c>
      <x:c r="B91" s="6" t="s">
        <x:v>66</x:v>
      </x:c>
      <x:c r="C91" s="4" t="s">
        <x:v>61</x:v>
      </x:c>
      <x:c r="D91" s="6" t="s">
        <x:v>80</x:v>
      </x:c>
      <x:c r="E91" s="7">
        <x:v>215764.98</x:v>
      </x:c>
      <x:c r="G91" s="7">
        <x:v>215764.98</x:v>
      </x:c>
    </x:row>
    <x:row r="92" spans="1:7" outlineLevel="2" x14ac:dyDescent="0.2">
      <x:c r="A92" s="5" t="s">
        <x:v>34</x:v>
      </x:c>
      <x:c r="B92" s="6" t="s">
        <x:v>66</x:v>
      </x:c>
      <x:c r="C92" s="4" t="s">
        <x:v>45</x:v>
      </x:c>
      <x:c r="D92" s="6" t="s">
        <x:v>76</x:v>
      </x:c>
      <x:c r="E92" s="7">
        <x:v>53184.22</x:v>
      </x:c>
      <x:c r="F92" s="7">
        <x:v>31077.06</x:v>
      </x:c>
      <x:c r="G92" s="7">
        <x:v>22107.16</x:v>
      </x:c>
    </x:row>
    <x:row r="93" spans="1:7" outlineLevel="2" x14ac:dyDescent="0.2">
      <x:c r="A93" s="5" t="s">
        <x:v>34</x:v>
      </x:c>
      <x:c r="B93" s="6" t="s">
        <x:v>66</x:v>
      </x:c>
      <x:c r="C93" s="4" t="s">
        <x:v>14</x:v>
      </x:c>
      <x:c r="D93" s="6" t="s">
        <x:v>71</x:v>
      </x:c>
      <x:c r="E93" s="7">
        <x:v>10706.8</x:v>
      </x:c>
      <x:c r="F93" s="7">
        <x:v>6256.29</x:v>
      </x:c>
      <x:c r="G93" s="7">
        <x:v>4450.5099999999993</x:v>
      </x:c>
    </x:row>
    <x:row r="94" spans="1:7" outlineLevel="2" x14ac:dyDescent="0.2">
      <x:c r="A94" s="5" t="s">
        <x:v>34</x:v>
      </x:c>
      <x:c r="B94" s="6" t="s">
        <x:v>66</x:v>
      </x:c>
      <x:c r="C94" s="4" t="s">
        <x:v>31</x:v>
      </x:c>
      <x:c r="D94" s="6" t="s">
        <x:v>71</x:v>
      </x:c>
      <x:c r="E94" s="7">
        <x:v>10706.8</x:v>
      </x:c>
      <x:c r="F94" s="7">
        <x:v>6256.29</x:v>
      </x:c>
      <x:c r="G94" s="7">
        <x:v>4450.5099999999993</x:v>
      </x:c>
    </x:row>
    <x:row r="95" spans="1:7" outlineLevel="2" x14ac:dyDescent="0.2">
      <x:c r="A95" s="5" t="s">
        <x:v>34</x:v>
      </x:c>
      <x:c r="B95" s="6" t="s">
        <x:v>66</x:v>
      </x:c>
      <x:c r="C95" s="4" t="s">
        <x:v>39</x:v>
      </x:c>
      <x:c r="D95" s="6" t="s">
        <x:v>71</x:v>
      </x:c>
      <x:c r="E95" s="7">
        <x:v>32120.400000000001</x:v>
      </x:c>
      <x:c r="G95" s="7">
        <x:v>32120.400000000001</x:v>
      </x:c>
    </x:row>
    <x:row r="96" spans="1:7" outlineLevel="2" x14ac:dyDescent="0.2">
      <x:c r="A96" s="5" t="s">
        <x:v>34</x:v>
      </x:c>
      <x:c r="B96" s="6" t="s">
        <x:v>66</x:v>
      </x:c>
      <x:c r="C96" s="4" t="s">
        <x:v>46</x:v>
      </x:c>
      <x:c r="D96" s="6" t="s">
        <x:v>71</x:v>
      </x:c>
      <x:c r="E96" s="7">
        <x:v>10706.8</x:v>
      </x:c>
      <x:c r="G96" s="7">
        <x:v>10706.8</x:v>
      </x:c>
    </x:row>
    <x:row r="97" spans="1:7" outlineLevel="2" x14ac:dyDescent="0.2">
      <x:c r="A97" s="5" t="s">
        <x:v>34</x:v>
      </x:c>
      <x:c r="B97" s="6" t="s">
        <x:v>66</x:v>
      </x:c>
      <x:c r="C97" s="4" t="s">
        <x:v>58</x:v>
      </x:c>
      <x:c r="D97" s="6" t="s">
        <x:v>71</x:v>
      </x:c>
      <x:c r="E97" s="7">
        <x:v>10706.8</x:v>
      </x:c>
      <x:c r="G97" s="7">
        <x:v>10706.8</x:v>
      </x:c>
    </x:row>
    <x:row r="98" spans="1:7" outlineLevel="2" x14ac:dyDescent="0.2">
      <x:c r="A98" s="5" t="s">
        <x:v>34</x:v>
      </x:c>
      <x:c r="B98" s="6" t="s">
        <x:v>66</x:v>
      </x:c>
      <x:c r="C98" s="4" t="s">
        <x:v>27</x:v>
      </x:c>
      <x:c r="D98" s="6" t="s">
        <x:v>71</x:v>
      </x:c>
      <x:c r="E98" s="7">
        <x:v>10706.8</x:v>
      </x:c>
      <x:c r="G98" s="7">
        <x:v>10706.8</x:v>
      </x:c>
    </x:row>
    <x:row r="99" spans="1:7" outlineLevel="2" x14ac:dyDescent="0.2">
      <x:c r="A99" s="5" t="s">
        <x:v>34</x:v>
      </x:c>
      <x:c r="B99" s="6" t="s">
        <x:v>66</x:v>
      </x:c>
      <x:c r="C99" s="4" t="s">
        <x:v>53</x:v>
      </x:c>
      <x:c r="D99" s="6" t="s">
        <x:v>71</x:v>
      </x:c>
      <x:c r="E99" s="7">
        <x:v>10706.8</x:v>
      </x:c>
      <x:c r="G99" s="7">
        <x:v>10706.8</x:v>
      </x:c>
    </x:row>
    <x:row r="100" spans="1:7" outlineLevel="2" x14ac:dyDescent="0.2">
      <x:c r="A100" s="5" t="s">
        <x:v>34</x:v>
      </x:c>
      <x:c r="B100" s="9" t="s">
        <x:v>66</x:v>
      </x:c>
      <x:c r="C100" s="4" t="s">
        <x:v>54</x:v>
      </x:c>
      <x:c r="D100" s="9" t="s">
        <x:v>71</x:v>
      </x:c>
      <x:c r="E100" s="7">
        <x:v>10706.8</x:v>
      </x:c>
      <x:c r="G100" s="7">
        <x:v>10706.8</x:v>
      </x:c>
    </x:row>
    <x:row r="101" spans="1:7" outlineLevel="2" x14ac:dyDescent="0.2">
      <x:c r="A101" s="5" t="s">
        <x:v>34</x:v>
      </x:c>
      <x:c r="B101" s="9" t="s">
        <x:v>66</x:v>
      </x:c>
      <x:c r="C101" s="4" t="s">
        <x:v>48</x:v>
      </x:c>
      <x:c r="D101" s="9" t="s">
        <x:v>71</x:v>
      </x:c>
      <x:c r="E101" s="7">
        <x:v>10706.8</x:v>
      </x:c>
      <x:c r="G101" s="7">
        <x:v>10706.8</x:v>
      </x:c>
    </x:row>
    <x:row r="102" spans="1:7" outlineLevel="2" x14ac:dyDescent="0.2">
      <x:c r="A102" s="5" t="s">
        <x:v>34</x:v>
      </x:c>
      <x:c r="B102" s="9" t="s">
        <x:v>66</x:v>
      </x:c>
      <x:c r="C102" s="4" t="s">
        <x:v>32</x:v>
      </x:c>
      <x:c r="D102" s="9" t="s">
        <x:v>71</x:v>
      </x:c>
      <x:c r="E102" s="7">
        <x:v>10706.8</x:v>
      </x:c>
      <x:c r="G102" s="7">
        <x:v>10706.8</x:v>
      </x:c>
    </x:row>
    <x:row r="103" spans="1:7" outlineLevel="2" x14ac:dyDescent="0.2">
      <x:c r="A103" s="5" t="s">
        <x:v>34</x:v>
      </x:c>
      <x:c r="B103" s="9" t="s">
        <x:v>66</x:v>
      </x:c>
      <x:c r="C103" s="4" t="s">
        <x:v>59</x:v>
      </x:c>
      <x:c r="D103" s="9" t="s">
        <x:v>71</x:v>
      </x:c>
      <x:c r="E103" s="7">
        <x:v>21413.599999999999</x:v>
      </x:c>
      <x:c r="F103" s="7">
        <x:v>21413.599999999999</x:v>
      </x:c>
    </x:row>
    <x:row r="104" spans="1:7" outlineLevel="2" x14ac:dyDescent="0.2">
      <x:c r="A104" s="5" t="s">
        <x:v>34</x:v>
      </x:c>
      <x:c r="B104" s="6" t="s">
        <x:v>66</x:v>
      </x:c>
      <x:c r="C104" s="4" t="s">
        <x:v>57</x:v>
      </x:c>
      <x:c r="D104" s="6" t="s">
        <x:v>71</x:v>
      </x:c>
      <x:c r="E104" s="7">
        <x:v>10706.8</x:v>
      </x:c>
      <x:c r="F104" s="7">
        <x:v>10706.8</x:v>
      </x:c>
    </x:row>
    <x:row r="105" spans="1:7" outlineLevel="2" x14ac:dyDescent="0.2">
      <x:c r="A105" s="5" t="s">
        <x:v>34</x:v>
      </x:c>
      <x:c r="B105" s="9" t="s">
        <x:v>66</x:v>
      </x:c>
      <x:c r="C105" s="4" t="s">
        <x:v>56</x:v>
      </x:c>
      <x:c r="D105" s="9" t="s">
        <x:v>71</x:v>
      </x:c>
      <x:c r="E105" s="7">
        <x:v>7066.13</x:v>
      </x:c>
      <x:c r="F105" s="7">
        <x:v>7066.13</x:v>
      </x:c>
    </x:row>
    <x:row r="106" spans="1:7" outlineLevel="2" x14ac:dyDescent="0.2">
      <x:c r="A106" s="5" t="s">
        <x:v>34</x:v>
      </x:c>
      <x:c r="B106" s="9" t="s">
        <x:v>66</x:v>
      </x:c>
      <x:c r="C106" s="4" t="s">
        <x:v>49</x:v>
      </x:c>
      <x:c r="D106" s="9" t="s">
        <x:v>71</x:v>
      </x:c>
      <x:c r="E106" s="7">
        <x:v>10706.8</x:v>
      </x:c>
      <x:c r="F106" s="7">
        <x:v>10706.8</x:v>
      </x:c>
    </x:row>
    <x:row r="107" spans="1:7" outlineLevel="2" x14ac:dyDescent="0.2">
      <x:c r="A107" s="5" t="s">
        <x:v>34</x:v>
      </x:c>
      <x:c r="B107" s="6" t="s">
        <x:v>66</x:v>
      </x:c>
      <x:c r="C107" s="4" t="s">
        <x:v>9</x:v>
      </x:c>
      <x:c r="D107" s="6" t="s">
        <x:v>71</x:v>
      </x:c>
      <x:c r="E107" s="7">
        <x:v>35920.9</x:v>
      </x:c>
      <x:c r="F107" s="7">
        <x:v>35920.9</x:v>
      </x:c>
    </x:row>
    <x:row r="108" spans="1:7" outlineLevel="2" x14ac:dyDescent="0.2">
      <x:c r="A108" s="5" t="s">
        <x:v>34</x:v>
      </x:c>
      <x:c r="B108" s="6" t="s">
        <x:v>66</x:v>
      </x:c>
      <x:c r="C108" s="4" t="s">
        <x:v>47</x:v>
      </x:c>
      <x:c r="D108" s="6" t="s">
        <x:v>71</x:v>
      </x:c>
      <x:c r="E108" s="7">
        <x:v>10706.8</x:v>
      </x:c>
      <x:c r="F108" s="7">
        <x:v>10706.8</x:v>
      </x:c>
    </x:row>
    <x:row r="109" spans="1:7" outlineLevel="2" x14ac:dyDescent="0.2">
      <x:c r="A109" s="5" t="s">
        <x:v>34</x:v>
      </x:c>
      <x:c r="B109" s="6" t="s">
        <x:v>66</x:v>
      </x:c>
      <x:c r="C109" s="4" t="s">
        <x:v>13</x:v>
      </x:c>
      <x:c r="D109" s="6" t="s">
        <x:v>71</x:v>
      </x:c>
      <x:c r="E109" s="7">
        <x:v>53534.01</x:v>
      </x:c>
      <x:c r="F109" s="7">
        <x:v>53534.01</x:v>
      </x:c>
    </x:row>
    <x:row r="110" spans="1:7" outlineLevel="2" x14ac:dyDescent="0.2">
      <x:c r="A110" s="5" t="s">
        <x:v>34</x:v>
      </x:c>
      <x:c r="B110" s="6" t="s">
        <x:v>66</x:v>
      </x:c>
      <x:c r="C110" s="4" t="s">
        <x:v>30</x:v>
      </x:c>
      <x:c r="D110" s="6" t="s">
        <x:v>71</x:v>
      </x:c>
      <x:c r="E110" s="7">
        <x:v>32467.759999999998</x:v>
      </x:c>
      <x:c r="F110" s="7">
        <x:v>32467.759999999998</x:v>
      </x:c>
    </x:row>
    <x:row r="111" spans="1:7" outlineLevel="2" x14ac:dyDescent="0.2">
      <x:c r="A111" s="5" t="s">
        <x:v>34</x:v>
      </x:c>
      <x:c r="B111" s="6" t="s">
        <x:v>66</x:v>
      </x:c>
      <x:c r="C111" s="4" t="s">
        <x:v>28</x:v>
      </x:c>
      <x:c r="D111" s="6" t="s">
        <x:v>71</x:v>
      </x:c>
      <x:c r="E111" s="7">
        <x:v>10706.8</x:v>
      </x:c>
      <x:c r="F111" s="7">
        <x:v>10706.8</x:v>
      </x:c>
    </x:row>
    <x:row r="112" spans="1:7" outlineLevel="2" x14ac:dyDescent="0.2">
      <x:c r="A112" s="5" t="s">
        <x:v>34</x:v>
      </x:c>
      <x:c r="B112" s="6" t="s">
        <x:v>66</x:v>
      </x:c>
      <x:c r="C112" s="4" t="s">
        <x:v>52</x:v>
      </x:c>
      <x:c r="D112" s="6" t="s">
        <x:v>71</x:v>
      </x:c>
      <x:c r="E112" s="7">
        <x:v>652828.93999999994</x:v>
      </x:c>
      <x:c r="F112" s="7">
        <x:v>652828.93999999994</x:v>
      </x:c>
    </x:row>
    <x:row r="113" spans="1:7" outlineLevel="2" x14ac:dyDescent="0.2">
      <x:c r="A113" s="5" t="s">
        <x:v>34</x:v>
      </x:c>
      <x:c r="B113" s="6" t="s">
        <x:v>66</x:v>
      </x:c>
      <x:c r="C113" s="4" t="s">
        <x:v>22</x:v>
      </x:c>
      <x:c r="D113" s="6" t="s">
        <x:v>71</x:v>
      </x:c>
      <x:c r="E113" s="7">
        <x:v>10706.8</x:v>
      </x:c>
      <x:c r="F113" s="7">
        <x:v>10706.8</x:v>
      </x:c>
    </x:row>
    <x:row r="114" spans="1:7" outlineLevel="2" x14ac:dyDescent="0.2">
      <x:c r="A114" s="5" t="s">
        <x:v>34</x:v>
      </x:c>
      <x:c r="B114" s="6" t="s">
        <x:v>66</x:v>
      </x:c>
      <x:c r="C114" s="4" t="s">
        <x:v>24</x:v>
      </x:c>
      <x:c r="D114" s="6" t="s">
        <x:v>71</x:v>
      </x:c>
      <x:c r="E114" s="7">
        <x:v>32467.759999999998</x:v>
      </x:c>
      <x:c r="F114" s="7">
        <x:v>32467.759999999998</x:v>
      </x:c>
    </x:row>
    <x:row r="115" spans="1:7" outlineLevel="2" x14ac:dyDescent="0.2">
      <x:c r="A115" s="5" t="s">
        <x:v>34</x:v>
      </x:c>
      <x:c r="B115" s="6" t="s">
        <x:v>66</x:v>
      </x:c>
      <x:c r="C115" s="4" t="s">
        <x:v>50</x:v>
      </x:c>
      <x:c r="D115" s="6" t="s">
        <x:v>71</x:v>
      </x:c>
      <x:c r="E115" s="7">
        <x:v>14507.3</x:v>
      </x:c>
      <x:c r="F115" s="7">
        <x:v>14507.3</x:v>
      </x:c>
    </x:row>
    <x:row r="116" spans="1:7" outlineLevel="2" x14ac:dyDescent="0.2">
      <x:c r="A116" s="5" t="s">
        <x:v>34</x:v>
      </x:c>
      <x:c r="B116" s="6" t="s">
        <x:v>66</x:v>
      </x:c>
      <x:c r="C116" s="4" t="s">
        <x:v>61</x:v>
      </x:c>
      <x:c r="D116" s="6" t="s">
        <x:v>71</x:v>
      </x:c>
      <x:c r="E116" s="7">
        <x:v>738769.3</x:v>
      </x:c>
      <x:c r="G116" s="7">
        <x:v>738769.3</x:v>
      </x:c>
    </x:row>
    <x:row r="117" spans="1:7" outlineLevel="2" x14ac:dyDescent="0.2">
      <x:c r="A117" s="5" t="s">
        <x:v>34</x:v>
      </x:c>
      <x:c r="B117" s="6" t="s">
        <x:v>66</x:v>
      </x:c>
      <x:c r="C117" s="4" t="s">
        <x:v>33</x:v>
      </x:c>
      <x:c r="D117" s="6" t="s">
        <x:v>71</x:v>
      </x:c>
      <x:c r="E117" s="7">
        <x:v>10706.8</x:v>
      </x:c>
      <x:c r="F117" s="7">
        <x:v>10706.8</x:v>
      </x:c>
    </x:row>
    <x:row r="118" spans="1:7" outlineLevel="2" x14ac:dyDescent="0.2">
      <x:c r="A118" s="5" t="s">
        <x:v>34</x:v>
      </x:c>
      <x:c r="B118" s="6" t="s">
        <x:v>66</x:v>
      </x:c>
      <x:c r="C118" s="4" t="s">
        <x:v>14</x:v>
      </x:c>
      <x:c r="D118" s="6" t="s">
        <x:v>77</x:v>
      </x:c>
      <x:c r="E118" s="7">
        <x:v>2964.59</x:v>
      </x:c>
      <x:c r="F118" s="7">
        <x:v>1732.29</x:v>
      </x:c>
      <x:c r="G118" s="7">
        <x:v>1232.3000000000002</x:v>
      </x:c>
    </x:row>
    <x:row r="119" spans="1:7" outlineLevel="2" x14ac:dyDescent="0.2">
      <x:c r="A119" s="5" t="s">
        <x:v>34</x:v>
      </x:c>
      <x:c r="B119" s="6" t="s">
        <x:v>66</x:v>
      </x:c>
      <x:c r="C119" s="4" t="s">
        <x:v>31</x:v>
      </x:c>
      <x:c r="D119" s="6" t="s">
        <x:v>77</x:v>
      </x:c>
      <x:c r="E119" s="7">
        <x:v>2964.59</x:v>
      </x:c>
      <x:c r="F119" s="7">
        <x:v>1732.29</x:v>
      </x:c>
      <x:c r="G119" s="7">
        <x:v>1232.3000000000002</x:v>
      </x:c>
    </x:row>
    <x:row r="120" spans="1:7" outlineLevel="2" x14ac:dyDescent="0.2">
      <x:c r="A120" s="5" t="s">
        <x:v>34</x:v>
      </x:c>
      <x:c r="B120" s="6" t="s">
        <x:v>66</x:v>
      </x:c>
      <x:c r="C120" s="4" t="s">
        <x:v>39</x:v>
      </x:c>
      <x:c r="D120" s="6" t="s">
        <x:v>77</x:v>
      </x:c>
      <x:c r="E120" s="7">
        <x:v>8893.77</x:v>
      </x:c>
      <x:c r="G120" s="7">
        <x:v>8893.77</x:v>
      </x:c>
    </x:row>
    <x:row r="121" spans="1:7" outlineLevel="2" x14ac:dyDescent="0.2">
      <x:c r="A121" s="5" t="s">
        <x:v>34</x:v>
      </x:c>
      <x:c r="B121" s="6" t="s">
        <x:v>66</x:v>
      </x:c>
      <x:c r="C121" s="4" t="s">
        <x:v>46</x:v>
      </x:c>
      <x:c r="D121" s="6" t="s">
        <x:v>77</x:v>
      </x:c>
      <x:c r="E121" s="7">
        <x:v>2964.59</x:v>
      </x:c>
      <x:c r="G121" s="7">
        <x:v>2964.59</x:v>
      </x:c>
    </x:row>
    <x:row r="122" spans="1:7" outlineLevel="2" x14ac:dyDescent="0.2">
      <x:c r="A122" s="5" t="s">
        <x:v>34</x:v>
      </x:c>
      <x:c r="B122" s="6" t="s">
        <x:v>66</x:v>
      </x:c>
      <x:c r="C122" s="4" t="s">
        <x:v>58</x:v>
      </x:c>
      <x:c r="D122" s="6" t="s">
        <x:v>77</x:v>
      </x:c>
      <x:c r="E122" s="7">
        <x:v>2964.59</x:v>
      </x:c>
      <x:c r="G122" s="7">
        <x:v>2964.59</x:v>
      </x:c>
    </x:row>
    <x:row r="123" spans="1:7" outlineLevel="2" x14ac:dyDescent="0.2">
      <x:c r="A123" s="5" t="s">
        <x:v>34</x:v>
      </x:c>
      <x:c r="B123" s="6" t="s">
        <x:v>66</x:v>
      </x:c>
      <x:c r="C123" s="4" t="s">
        <x:v>27</x:v>
      </x:c>
      <x:c r="D123" s="6" t="s">
        <x:v>77</x:v>
      </x:c>
      <x:c r="E123" s="7">
        <x:v>2964.59</x:v>
      </x:c>
      <x:c r="G123" s="7">
        <x:v>2964.59</x:v>
      </x:c>
    </x:row>
    <x:row r="124" spans="1:7" outlineLevel="2" x14ac:dyDescent="0.2">
      <x:c r="A124" s="5" t="s">
        <x:v>34</x:v>
      </x:c>
      <x:c r="B124" s="6" t="s">
        <x:v>66</x:v>
      </x:c>
      <x:c r="C124" s="4" t="s">
        <x:v>53</x:v>
      </x:c>
      <x:c r="D124" s="6" t="s">
        <x:v>77</x:v>
      </x:c>
      <x:c r="E124" s="7">
        <x:v>2964.59</x:v>
      </x:c>
      <x:c r="G124" s="7">
        <x:v>2964.59</x:v>
      </x:c>
    </x:row>
    <x:row r="125" spans="1:7" outlineLevel="2" x14ac:dyDescent="0.2">
      <x:c r="A125" s="5" t="s">
        <x:v>34</x:v>
      </x:c>
      <x:c r="B125" s="6" t="s">
        <x:v>66</x:v>
      </x:c>
      <x:c r="C125" s="4" t="s">
        <x:v>54</x:v>
      </x:c>
      <x:c r="D125" s="6" t="s">
        <x:v>77</x:v>
      </x:c>
      <x:c r="E125" s="7">
        <x:v>2964.59</x:v>
      </x:c>
      <x:c r="G125" s="7">
        <x:v>2964.59</x:v>
      </x:c>
    </x:row>
    <x:row r="126" spans="1:7" outlineLevel="2" x14ac:dyDescent="0.2">
      <x:c r="A126" s="5" t="s">
        <x:v>34</x:v>
      </x:c>
      <x:c r="B126" s="6" t="s">
        <x:v>66</x:v>
      </x:c>
      <x:c r="C126" s="4" t="s">
        <x:v>48</x:v>
      </x:c>
      <x:c r="D126" s="6" t="s">
        <x:v>77</x:v>
      </x:c>
      <x:c r="E126" s="7">
        <x:v>2964.59</x:v>
      </x:c>
      <x:c r="G126" s="7">
        <x:v>2964.59</x:v>
      </x:c>
    </x:row>
    <x:row r="127" spans="1:7" outlineLevel="2" x14ac:dyDescent="0.2">
      <x:c r="A127" s="5" t="s">
        <x:v>34</x:v>
      </x:c>
      <x:c r="B127" s="6" t="s">
        <x:v>66</x:v>
      </x:c>
      <x:c r="C127" s="4" t="s">
        <x:v>32</x:v>
      </x:c>
      <x:c r="D127" s="6" t="s">
        <x:v>77</x:v>
      </x:c>
      <x:c r="E127" s="7">
        <x:v>2964.59</x:v>
      </x:c>
      <x:c r="G127" s="7">
        <x:v>2964.59</x:v>
      </x:c>
    </x:row>
    <x:row r="128" spans="1:7" outlineLevel="2" x14ac:dyDescent="0.2">
      <x:c r="A128" s="5" t="s">
        <x:v>34</x:v>
      </x:c>
      <x:c r="B128" s="6" t="s">
        <x:v>66</x:v>
      </x:c>
      <x:c r="C128" s="4" t="s">
        <x:v>59</x:v>
      </x:c>
      <x:c r="D128" s="6" t="s">
        <x:v>77</x:v>
      </x:c>
      <x:c r="E128" s="7">
        <x:v>5929.2</x:v>
      </x:c>
      <x:c r="F128" s="7">
        <x:v>5929.2</x:v>
      </x:c>
    </x:row>
    <x:row r="129" spans="1:7" outlineLevel="2" x14ac:dyDescent="0.2">
      <x:c r="A129" s="5" t="s">
        <x:v>34</x:v>
      </x:c>
      <x:c r="B129" s="6" t="s">
        <x:v>66</x:v>
      </x:c>
      <x:c r="C129" s="4" t="s">
        <x:v>57</x:v>
      </x:c>
      <x:c r="D129" s="6" t="s">
        <x:v>77</x:v>
      </x:c>
      <x:c r="E129" s="7">
        <x:v>2964.59</x:v>
      </x:c>
      <x:c r="F129" s="7">
        <x:v>2964.59</x:v>
      </x:c>
    </x:row>
    <x:row r="130" spans="1:7" outlineLevel="2" x14ac:dyDescent="0.2">
      <x:c r="A130" s="5" t="s">
        <x:v>34</x:v>
      </x:c>
      <x:c r="B130" s="6" t="s">
        <x:v>66</x:v>
      </x:c>
      <x:c r="C130" s="4" t="s">
        <x:v>49</x:v>
      </x:c>
      <x:c r="D130" s="6" t="s">
        <x:v>77</x:v>
      </x:c>
      <x:c r="E130" s="7">
        <x:v>2964.59</x:v>
      </x:c>
      <x:c r="F130" s="7">
        <x:v>2964.59</x:v>
      </x:c>
    </x:row>
    <x:row r="131" spans="1:7" outlineLevel="2" x14ac:dyDescent="0.2">
      <x:c r="A131" s="5" t="s">
        <x:v>34</x:v>
      </x:c>
      <x:c r="B131" s="6" t="s">
        <x:v>66</x:v>
      </x:c>
      <x:c r="C131" s="4" t="s">
        <x:v>9</x:v>
      </x:c>
      <x:c r="D131" s="6" t="s">
        <x:v>77</x:v>
      </x:c>
      <x:c r="E131" s="7">
        <x:v>5929.18</x:v>
      </x:c>
      <x:c r="F131" s="7">
        <x:v>5929.18</x:v>
      </x:c>
    </x:row>
    <x:row r="132" spans="1:7" outlineLevel="2" x14ac:dyDescent="0.2">
      <x:c r="A132" s="5" t="s">
        <x:v>34</x:v>
      </x:c>
      <x:c r="B132" s="9" t="s">
        <x:v>66</x:v>
      </x:c>
      <x:c r="C132" s="4" t="s">
        <x:v>47</x:v>
      </x:c>
      <x:c r="D132" s="9" t="s">
        <x:v>77</x:v>
      </x:c>
      <x:c r="E132" s="7">
        <x:v>2964.59</x:v>
      </x:c>
      <x:c r="F132" s="7">
        <x:v>2964.59</x:v>
      </x:c>
    </x:row>
    <x:row r="133" spans="1:7" outlineLevel="2" x14ac:dyDescent="0.2">
      <x:c r="A133" s="5" t="s">
        <x:v>34</x:v>
      </x:c>
      <x:c r="B133" s="9" t="s">
        <x:v>66</x:v>
      </x:c>
      <x:c r="C133" s="4" t="s">
        <x:v>13</x:v>
      </x:c>
      <x:c r="D133" s="9" t="s">
        <x:v>77</x:v>
      </x:c>
      <x:c r="E133" s="7">
        <x:v>14823.02</x:v>
      </x:c>
      <x:c r="F133" s="7">
        <x:v>14823.02</x:v>
      </x:c>
    </x:row>
    <x:row r="134" spans="1:7" outlineLevel="2" x14ac:dyDescent="0.2">
      <x:c r="A134" s="5" t="s">
        <x:v>34</x:v>
      </x:c>
      <x:c r="B134" s="9" t="s">
        <x:v>66</x:v>
      </x:c>
      <x:c r="C134" s="4" t="s">
        <x:v>30</x:v>
      </x:c>
      <x:c r="D134" s="9" t="s">
        <x:v>77</x:v>
      </x:c>
      <x:c r="E134" s="7">
        <x:v>2964.59</x:v>
      </x:c>
      <x:c r="F134" s="7">
        <x:v>2964.59</x:v>
      </x:c>
    </x:row>
    <x:row r="135" spans="1:7" outlineLevel="2" x14ac:dyDescent="0.2">
      <x:c r="A135" s="5" t="s">
        <x:v>34</x:v>
      </x:c>
      <x:c r="B135" s="9" t="s">
        <x:v>66</x:v>
      </x:c>
      <x:c r="C135" s="4" t="s">
        <x:v>28</x:v>
      </x:c>
      <x:c r="D135" s="9" t="s">
        <x:v>77</x:v>
      </x:c>
      <x:c r="E135" s="7">
        <x:v>2964.59</x:v>
      </x:c>
      <x:c r="F135" s="7">
        <x:v>2964.59</x:v>
      </x:c>
    </x:row>
    <x:row r="136" spans="1:7" outlineLevel="2" x14ac:dyDescent="0.2">
      <x:c r="A136" s="5" t="s">
        <x:v>34</x:v>
      </x:c>
      <x:c r="B136" s="9" t="s">
        <x:v>66</x:v>
      </x:c>
      <x:c r="C136" s="4" t="s">
        <x:v>22</x:v>
      </x:c>
      <x:c r="D136" s="9" t="s">
        <x:v>77</x:v>
      </x:c>
      <x:c r="E136" s="7">
        <x:v>2964.59</x:v>
      </x:c>
      <x:c r="F136" s="7">
        <x:v>2964.59</x:v>
      </x:c>
    </x:row>
    <x:row r="137" spans="1:7" outlineLevel="2" x14ac:dyDescent="0.2">
      <x:c r="A137" s="5" t="s">
        <x:v>34</x:v>
      </x:c>
      <x:c r="B137" s="9" t="s">
        <x:v>66</x:v>
      </x:c>
      <x:c r="C137" s="4" t="s">
        <x:v>24</x:v>
      </x:c>
      <x:c r="D137" s="9" t="s">
        <x:v>77</x:v>
      </x:c>
      <x:c r="E137" s="7">
        <x:v>2964.59</x:v>
      </x:c>
      <x:c r="F137" s="7">
        <x:v>2964.59</x:v>
      </x:c>
    </x:row>
    <x:row r="138" spans="1:7" outlineLevel="2" x14ac:dyDescent="0.2">
      <x:c r="A138" s="5" t="s">
        <x:v>34</x:v>
      </x:c>
      <x:c r="B138" s="9" t="s">
        <x:v>66</x:v>
      </x:c>
      <x:c r="C138" s="4" t="s">
        <x:v>61</x:v>
      </x:c>
      <x:c r="D138" s="9" t="s">
        <x:v>77</x:v>
      </x:c>
      <x:c r="E138" s="7">
        <x:v>204558.67</x:v>
      </x:c>
      <x:c r="G138" s="7">
        <x:v>204558.67</x:v>
      </x:c>
    </x:row>
    <x:row r="139" spans="1:7" outlineLevel="2" x14ac:dyDescent="0.2">
      <x:c r="A139" s="5" t="s">
        <x:v>34</x:v>
      </x:c>
      <x:c r="B139" s="6" t="s">
        <x:v>66</x:v>
      </x:c>
      <x:c r="C139" s="4" t="s">
        <x:v>33</x:v>
      </x:c>
      <x:c r="D139" s="6" t="s">
        <x:v>77</x:v>
      </x:c>
      <x:c r="E139" s="7">
        <x:v>2964.59</x:v>
      </x:c>
      <x:c r="F139" s="7">
        <x:v>2964.59</x:v>
      </x:c>
    </x:row>
    <x:row r="140" spans="1:7" outlineLevel="2" x14ac:dyDescent="0.2">
      <x:c r="A140" s="5" t="s">
        <x:v>34</x:v>
      </x:c>
      <x:c r="B140" s="6" t="s">
        <x:v>66</x:v>
      </x:c>
      <x:c r="C140" s="4" t="s">
        <x:v>14</x:v>
      </x:c>
      <x:c r="D140" s="6" t="s">
        <x:v>79</x:v>
      </x:c>
      <x:c r="E140" s="7">
        <x:v>116573.29</x:v>
      </x:c>
      <x:c r="F140" s="7">
        <x:v>68117.11</x:v>
      </x:c>
      <x:c r="G140" s="7">
        <x:v>48456.179999999993</x:v>
      </x:c>
    </x:row>
    <x:row r="141" spans="1:7" outlineLevel="2" x14ac:dyDescent="0.2">
      <x:c r="A141" s="5" t="s">
        <x:v>34</x:v>
      </x:c>
      <x:c r="B141" s="6" t="s">
        <x:v>66</x:v>
      </x:c>
      <x:c r="C141" s="4" t="s">
        <x:v>43</x:v>
      </x:c>
      <x:c r="D141" s="6" t="s">
        <x:v>79</x:v>
      </x:c>
      <x:c r="E141" s="7">
        <x:v>816013.15</x:v>
      </x:c>
      <x:c r="F141" s="7">
        <x:v>476819.85</x:v>
      </x:c>
      <x:c r="G141" s="7">
        <x:v>339193.30000000005</x:v>
      </x:c>
    </x:row>
    <x:row r="142" spans="1:7" outlineLevel="2" x14ac:dyDescent="0.2">
      <x:c r="A142" s="5" t="s">
        <x:v>34</x:v>
      </x:c>
      <x:c r="B142" s="6" t="s">
        <x:v>66</x:v>
      </x:c>
      <x:c r="C142" s="4" t="s">
        <x:v>39</x:v>
      </x:c>
      <x:c r="D142" s="6" t="s">
        <x:v>79</x:v>
      </x:c>
      <x:c r="E142" s="7">
        <x:v>116573.29</x:v>
      </x:c>
      <x:c r="G142" s="7">
        <x:v>116573.29</x:v>
      </x:c>
    </x:row>
    <x:row r="143" spans="1:7" outlineLevel="2" x14ac:dyDescent="0.2">
      <x:c r="A143" s="5" t="s">
        <x:v>34</x:v>
      </x:c>
      <x:c r="B143" s="6" t="s">
        <x:v>66</x:v>
      </x:c>
      <x:c r="C143" s="4" t="s">
        <x:v>40</x:v>
      </x:c>
      <x:c r="D143" s="6" t="s">
        <x:v>79</x:v>
      </x:c>
      <x:c r="E143" s="7">
        <x:v>116573.29</x:v>
      </x:c>
      <x:c r="F143" s="7">
        <x:v>116573.29</x:v>
      </x:c>
    </x:row>
    <x:row r="144" spans="1:7" outlineLevel="2" x14ac:dyDescent="0.2">
      <x:c r="A144" s="5" t="s">
        <x:v>34</x:v>
      </x:c>
      <x:c r="B144" s="6" t="s">
        <x:v>66</x:v>
      </x:c>
      <x:c r="C144" s="4" t="s">
        <x:v>57</x:v>
      </x:c>
      <x:c r="D144" s="6" t="s">
        <x:v>79</x:v>
      </x:c>
      <x:c r="E144" s="7">
        <x:v>116573.29</x:v>
      </x:c>
      <x:c r="F144" s="7">
        <x:v>116573.29</x:v>
      </x:c>
    </x:row>
    <x:row r="145" spans="1:7" outlineLevel="2" x14ac:dyDescent="0.2">
      <x:c r="A145" s="5" t="s">
        <x:v>34</x:v>
      </x:c>
      <x:c r="B145" s="6" t="s">
        <x:v>66</x:v>
      </x:c>
      <x:c r="C145" s="4" t="s">
        <x:v>49</x:v>
      </x:c>
      <x:c r="D145" s="6" t="s">
        <x:v>79</x:v>
      </x:c>
      <x:c r="E145" s="7">
        <x:v>1165733.0900000001</x:v>
      </x:c>
      <x:c r="F145" s="7">
        <x:v>1165733.0900000001</x:v>
      </x:c>
    </x:row>
    <x:row r="146" spans="1:7" outlineLevel="2" x14ac:dyDescent="0.2">
      <x:c r="A146" s="5" t="s">
        <x:v>34</x:v>
      </x:c>
      <x:c r="B146" s="6" t="s">
        <x:v>66</x:v>
      </x:c>
      <x:c r="C146" s="4" t="s">
        <x:v>9</x:v>
      </x:c>
      <x:c r="D146" s="6" t="s">
        <x:v>79</x:v>
      </x:c>
      <x:c r="E146" s="7">
        <x:v>582866.51</x:v>
      </x:c>
      <x:c r="F146" s="7">
        <x:v>582866.51</x:v>
      </x:c>
    </x:row>
    <x:row r="147" spans="1:7" outlineLevel="2" x14ac:dyDescent="0.2">
      <x:c r="A147" s="5" t="s">
        <x:v>34</x:v>
      </x:c>
      <x:c r="B147" s="6" t="s">
        <x:v>66</x:v>
      </x:c>
      <x:c r="C147" s="4" t="s">
        <x:v>41</x:v>
      </x:c>
      <x:c r="D147" s="6" t="s">
        <x:v>79</x:v>
      </x:c>
      <x:c r="E147" s="7">
        <x:v>582866.54</x:v>
      </x:c>
      <x:c r="F147" s="7">
        <x:v>582866.54</x:v>
      </x:c>
    </x:row>
    <x:row r="148" spans="1:7" outlineLevel="2" x14ac:dyDescent="0.2">
      <x:c r="A148" s="5" t="s">
        <x:v>34</x:v>
      </x:c>
      <x:c r="B148" s="6" t="s">
        <x:v>66</x:v>
      </x:c>
      <x:c r="C148" s="4" t="s">
        <x:v>47</x:v>
      </x:c>
      <x:c r="D148" s="6" t="s">
        <x:v>79</x:v>
      </x:c>
      <x:c r="E148" s="7">
        <x:v>233146.61</x:v>
      </x:c>
      <x:c r="F148" s="7">
        <x:v>233146.61</x:v>
      </x:c>
    </x:row>
    <x:row r="149" spans="1:7" outlineLevel="2" x14ac:dyDescent="0.2">
      <x:c r="A149" s="5" t="s">
        <x:v>34</x:v>
      </x:c>
      <x:c r="B149" s="6" t="s">
        <x:v>66</x:v>
      </x:c>
      <x:c r="C149" s="4" t="s">
        <x:v>13</x:v>
      </x:c>
      <x:c r="D149" s="6" t="s">
        <x:v>79</x:v>
      </x:c>
      <x:c r="E149" s="7">
        <x:v>1748599.98</x:v>
      </x:c>
      <x:c r="F149" s="7">
        <x:v>1748599.98</x:v>
      </x:c>
    </x:row>
    <x:row r="150" spans="1:7" outlineLevel="2" x14ac:dyDescent="0.2">
      <x:c r="A150" s="5" t="s">
        <x:v>34</x:v>
      </x:c>
      <x:c r="B150" s="6" t="s">
        <x:v>66</x:v>
      </x:c>
      <x:c r="C150" s="4" t="s">
        <x:v>25</x:v>
      </x:c>
      <x:c r="D150" s="6" t="s">
        <x:v>79</x:v>
      </x:c>
      <x:c r="E150" s="7">
        <x:v>582866.54</x:v>
      </x:c>
      <x:c r="F150" s="7">
        <x:v>582866.54</x:v>
      </x:c>
    </x:row>
    <x:row r="151" spans="1:7" outlineLevel="2" x14ac:dyDescent="0.2">
      <x:c r="A151" s="5" t="s">
        <x:v>34</x:v>
      </x:c>
      <x:c r="B151" s="6" t="s">
        <x:v>66</x:v>
      </x:c>
      <x:c r="C151" s="4" t="s">
        <x:v>30</x:v>
      </x:c>
      <x:c r="D151" s="6" t="s">
        <x:v>79</x:v>
      </x:c>
      <x:c r="E151" s="7">
        <x:v>582866.54</x:v>
      </x:c>
      <x:c r="F151" s="7">
        <x:v>582866.54</x:v>
      </x:c>
    </x:row>
    <x:row r="152" spans="1:7" outlineLevel="2" x14ac:dyDescent="0.2">
      <x:c r="A152" s="5" t="s">
        <x:v>34</x:v>
      </x:c>
      <x:c r="B152" s="6" t="s">
        <x:v>66</x:v>
      </x:c>
      <x:c r="C152" s="4" t="s">
        <x:v>28</x:v>
      </x:c>
      <x:c r="D152" s="6" t="s">
        <x:v>79</x:v>
      </x:c>
      <x:c r="E152" s="7">
        <x:v>233146.61</x:v>
      </x:c>
      <x:c r="F152" s="7">
        <x:v>233146.61</x:v>
      </x:c>
    </x:row>
    <x:row r="153" spans="1:7" outlineLevel="2" x14ac:dyDescent="0.2">
      <x:c r="A153" s="5" t="s">
        <x:v>34</x:v>
      </x:c>
      <x:c r="B153" s="6" t="s">
        <x:v>66</x:v>
      </x:c>
      <x:c r="C153" s="4" t="s">
        <x:v>52</x:v>
      </x:c>
      <x:c r="D153" s="6" t="s">
        <x:v>79</x:v>
      </x:c>
      <x:c r="E153" s="7">
        <x:v>582866.54</x:v>
      </x:c>
      <x:c r="F153" s="7">
        <x:v>582866.54</x:v>
      </x:c>
    </x:row>
    <x:row r="154" spans="1:7" outlineLevel="2" x14ac:dyDescent="0.2">
      <x:c r="A154" s="5" t="s">
        <x:v>34</x:v>
      </x:c>
      <x:c r="B154" s="6" t="s">
        <x:v>66</x:v>
      </x:c>
      <x:c r="C154" s="4" t="s">
        <x:v>51</x:v>
      </x:c>
      <x:c r="D154" s="6" t="s">
        <x:v>79</x:v>
      </x:c>
      <x:c r="E154" s="7">
        <x:v>582866.54</x:v>
      </x:c>
      <x:c r="F154" s="7">
        <x:v>582866.54</x:v>
      </x:c>
    </x:row>
    <x:row r="155" spans="1:7" outlineLevel="2" x14ac:dyDescent="0.2">
      <x:c r="A155" s="5" t="s">
        <x:v>34</x:v>
      </x:c>
      <x:c r="B155" s="6" t="s">
        <x:v>66</x:v>
      </x:c>
      <x:c r="C155" s="4" t="s">
        <x:v>22</x:v>
      </x:c>
      <x:c r="D155" s="6" t="s">
        <x:v>79</x:v>
      </x:c>
      <x:c r="E155" s="7">
        <x:v>233146.61</x:v>
      </x:c>
      <x:c r="F155" s="7">
        <x:v>233146.61</x:v>
      </x:c>
    </x:row>
    <x:row r="156" spans="1:7" outlineLevel="2" x14ac:dyDescent="0.2">
      <x:c r="A156" s="5" t="s">
        <x:v>34</x:v>
      </x:c>
      <x:c r="B156" s="6" t="s">
        <x:v>66</x:v>
      </x:c>
      <x:c r="C156" s="4" t="s">
        <x:v>24</x:v>
      </x:c>
      <x:c r="D156" s="6" t="s">
        <x:v>79</x:v>
      </x:c>
      <x:c r="E156" s="7">
        <x:v>1165733.0900000001</x:v>
      </x:c>
      <x:c r="F156" s="7">
        <x:v>1165733.0900000001</x:v>
      </x:c>
    </x:row>
    <x:row r="157" spans="1:7" outlineLevel="2" x14ac:dyDescent="0.2">
      <x:c r="A157" s="5" t="s">
        <x:v>34</x:v>
      </x:c>
      <x:c r="B157" s="6" t="s">
        <x:v>66</x:v>
      </x:c>
      <x:c r="C157" s="4" t="s">
        <x:v>55</x:v>
      </x:c>
      <x:c r="D157" s="6" t="s">
        <x:v>79</x:v>
      </x:c>
      <x:c r="E157" s="7">
        <x:v>582866.54</x:v>
      </x:c>
      <x:c r="F157" s="7">
        <x:v>582866.54</x:v>
      </x:c>
    </x:row>
    <x:row r="158" spans="1:7" outlineLevel="2" x14ac:dyDescent="0.2">
      <x:c r="A158" s="5" t="s">
        <x:v>34</x:v>
      </x:c>
      <x:c r="B158" s="6" t="s">
        <x:v>66</x:v>
      </x:c>
      <x:c r="C158" s="4" t="s">
        <x:v>15</x:v>
      </x:c>
      <x:c r="D158" s="6" t="s">
        <x:v>79</x:v>
      </x:c>
      <x:c r="E158" s="7">
        <x:v>582866.54</x:v>
      </x:c>
      <x:c r="F158" s="7">
        <x:v>582866.54</x:v>
      </x:c>
    </x:row>
    <x:row r="159" spans="1:7" outlineLevel="2" x14ac:dyDescent="0.2">
      <x:c r="A159" s="5" t="s">
        <x:v>34</x:v>
      </x:c>
      <x:c r="B159" s="6" t="s">
        <x:v>66</x:v>
      </x:c>
      <x:c r="C159" s="4" t="s">
        <x:v>33</x:v>
      </x:c>
      <x:c r="D159" s="6" t="s">
        <x:v>79</x:v>
      </x:c>
      <x:c r="E159" s="7">
        <x:v>582866.54</x:v>
      </x:c>
      <x:c r="F159" s="7">
        <x:v>582866.54</x:v>
      </x:c>
    </x:row>
    <x:row r="160" spans="1:7" outlineLevel="2" x14ac:dyDescent="0.2">
      <x:c r="A160" s="5" t="s">
        <x:v>34</x:v>
      </x:c>
      <x:c r="B160" s="9" t="s">
        <x:v>66</x:v>
      </x:c>
      <x:c r="C160" s="4" t="s">
        <x:v>14</x:v>
      </x:c>
      <x:c r="D160" s="9" t="s">
        <x:v>73</x:v>
      </x:c>
      <x:c r="E160" s="7">
        <x:v>6327.52</x:v>
      </x:c>
      <x:c r="F160" s="7">
        <x:v>3697.35</x:v>
      </x:c>
      <x:c r="G160" s="7">
        <x:v>2630.1700000000005</x:v>
      </x:c>
    </x:row>
    <x:row r="161" spans="1:7" outlineLevel="2" x14ac:dyDescent="0.2">
      <x:c r="A161" s="5" t="s">
        <x:v>34</x:v>
      </x:c>
      <x:c r="B161" s="9" t="s">
        <x:v>66</x:v>
      </x:c>
      <x:c r="C161" s="4" t="s">
        <x:v>43</x:v>
      </x:c>
      <x:c r="D161" s="9" t="s">
        <x:v>73</x:v>
      </x:c>
      <x:c r="E161" s="7">
        <x:v>44292.88</x:v>
      </x:c>
      <x:c r="F161" s="7">
        <x:v>25881.599999999999</x:v>
      </x:c>
      <x:c r="G161" s="7">
        <x:v>18411.28</x:v>
      </x:c>
    </x:row>
    <x:row r="162" spans="1:7" outlineLevel="2" x14ac:dyDescent="0.2">
      <x:c r="A162" s="5" t="s">
        <x:v>34</x:v>
      </x:c>
      <x:c r="B162" s="9" t="s">
        <x:v>66</x:v>
      </x:c>
      <x:c r="C162" s="4" t="s">
        <x:v>39</x:v>
      </x:c>
      <x:c r="D162" s="9" t="s">
        <x:v>73</x:v>
      </x:c>
      <x:c r="E162" s="7">
        <x:v>6327.52</x:v>
      </x:c>
      <x:c r="G162" s="7">
        <x:v>6327.52</x:v>
      </x:c>
    </x:row>
    <x:row r="163" spans="1:7" outlineLevel="2" x14ac:dyDescent="0.2">
      <x:c r="A163" s="5" t="s">
        <x:v>34</x:v>
      </x:c>
      <x:c r="B163" s="9" t="s">
        <x:v>66</x:v>
      </x:c>
      <x:c r="C163" s="4" t="s">
        <x:v>40</x:v>
      </x:c>
      <x:c r="D163" s="9" t="s">
        <x:v>73</x:v>
      </x:c>
      <x:c r="E163" s="7">
        <x:v>6327.52</x:v>
      </x:c>
      <x:c r="F163" s="7">
        <x:v>6327.52</x:v>
      </x:c>
    </x:row>
    <x:row r="164" spans="1:7" outlineLevel="2" x14ac:dyDescent="0.2">
      <x:c r="A164" s="5" t="s">
        <x:v>34</x:v>
      </x:c>
      <x:c r="B164" s="6" t="s">
        <x:v>66</x:v>
      </x:c>
      <x:c r="C164" s="4" t="s">
        <x:v>57</x:v>
      </x:c>
      <x:c r="D164" s="6" t="s">
        <x:v>73</x:v>
      </x:c>
      <x:c r="E164" s="7">
        <x:v>6327.52</x:v>
      </x:c>
      <x:c r="F164" s="7">
        <x:v>6327.52</x:v>
      </x:c>
    </x:row>
    <x:row r="165" spans="1:7" outlineLevel="2" x14ac:dyDescent="0.2">
      <x:c r="A165" s="5" t="s">
        <x:v>34</x:v>
      </x:c>
      <x:c r="B165" s="6" t="s">
        <x:v>66</x:v>
      </x:c>
      <x:c r="C165" s="4" t="s">
        <x:v>49</x:v>
      </x:c>
      <x:c r="D165" s="6" t="s">
        <x:v>73</x:v>
      </x:c>
      <x:c r="E165" s="7">
        <x:v>63275.55</x:v>
      </x:c>
      <x:c r="F165" s="7">
        <x:v>63275.55</x:v>
      </x:c>
    </x:row>
    <x:row r="166" spans="1:7" outlineLevel="2" x14ac:dyDescent="0.2">
      <x:c r="A166" s="5" t="s">
        <x:v>34</x:v>
      </x:c>
      <x:c r="B166" s="6" t="s">
        <x:v>66</x:v>
      </x:c>
      <x:c r="C166" s="4" t="s">
        <x:v>9</x:v>
      </x:c>
      <x:c r="D166" s="6" t="s">
        <x:v>73</x:v>
      </x:c>
      <x:c r="E166" s="7">
        <x:v>31637.68</x:v>
      </x:c>
      <x:c r="F166" s="7">
        <x:v>31637.68</x:v>
      </x:c>
    </x:row>
    <x:row r="167" spans="1:7" outlineLevel="2" x14ac:dyDescent="0.2">
      <x:c r="A167" s="5" t="s">
        <x:v>34</x:v>
      </x:c>
      <x:c r="B167" s="6" t="s">
        <x:v>66</x:v>
      </x:c>
      <x:c r="C167" s="4" t="s">
        <x:v>41</x:v>
      </x:c>
      <x:c r="D167" s="6" t="s">
        <x:v>73</x:v>
      </x:c>
      <x:c r="E167" s="7">
        <x:v>31637.77</x:v>
      </x:c>
      <x:c r="F167" s="7">
        <x:v>31637.77</x:v>
      </x:c>
    </x:row>
    <x:row r="168" spans="1:7" outlineLevel="2" x14ac:dyDescent="0.2">
      <x:c r="A168" s="5" t="s">
        <x:v>34</x:v>
      </x:c>
      <x:c r="B168" s="6" t="s">
        <x:v>66</x:v>
      </x:c>
      <x:c r="C168" s="4" t="s">
        <x:v>47</x:v>
      </x:c>
      <x:c r="D168" s="6" t="s">
        <x:v>73</x:v>
      </x:c>
      <x:c r="E168" s="7">
        <x:v>12655.08</x:v>
      </x:c>
      <x:c r="F168" s="7">
        <x:v>12655.08</x:v>
      </x:c>
    </x:row>
    <x:row r="169" spans="1:7" outlineLevel="2" x14ac:dyDescent="0.2">
      <x:c r="A169" s="5" t="s">
        <x:v>34</x:v>
      </x:c>
      <x:c r="B169" s="6" t="s">
        <x:v>66</x:v>
      </x:c>
      <x:c r="C169" s="4" t="s">
        <x:v>13</x:v>
      </x:c>
      <x:c r="D169" s="6" t="s">
        <x:v>73</x:v>
      </x:c>
      <x:c r="E169" s="7">
        <x:v>94914.14</x:v>
      </x:c>
      <x:c r="F169" s="7">
        <x:v>94914.14</x:v>
      </x:c>
    </x:row>
    <x:row r="170" spans="1:7" outlineLevel="2" x14ac:dyDescent="0.2">
      <x:c r="A170" s="5" t="s">
        <x:v>34</x:v>
      </x:c>
      <x:c r="B170" s="6" t="s">
        <x:v>66</x:v>
      </x:c>
      <x:c r="C170" s="4" t="s">
        <x:v>25</x:v>
      </x:c>
      <x:c r="D170" s="6" t="s">
        <x:v>73</x:v>
      </x:c>
      <x:c r="E170" s="7">
        <x:v>31637.77</x:v>
      </x:c>
      <x:c r="F170" s="7">
        <x:v>31637.77</x:v>
      </x:c>
    </x:row>
    <x:row r="171" spans="1:7" outlineLevel="2" x14ac:dyDescent="0.2">
      <x:c r="A171" s="5" t="s">
        <x:v>34</x:v>
      </x:c>
      <x:c r="B171" s="6" t="s">
        <x:v>66</x:v>
      </x:c>
      <x:c r="C171" s="4" t="s">
        <x:v>30</x:v>
      </x:c>
      <x:c r="D171" s="6" t="s">
        <x:v>73</x:v>
      </x:c>
      <x:c r="E171" s="7">
        <x:v>31637.77</x:v>
      </x:c>
      <x:c r="F171" s="7">
        <x:v>31637.77</x:v>
      </x:c>
    </x:row>
    <x:row r="172" spans="1:7" outlineLevel="2" x14ac:dyDescent="0.2">
      <x:c r="A172" s="5" t="s">
        <x:v>34</x:v>
      </x:c>
      <x:c r="B172" s="6" t="s">
        <x:v>66</x:v>
      </x:c>
      <x:c r="C172" s="4" t="s">
        <x:v>28</x:v>
      </x:c>
      <x:c r="D172" s="6" t="s">
        <x:v>73</x:v>
      </x:c>
      <x:c r="E172" s="7">
        <x:v>12655.08</x:v>
      </x:c>
      <x:c r="F172" s="7">
        <x:v>12655.08</x:v>
      </x:c>
    </x:row>
    <x:row r="173" spans="1:7" outlineLevel="2" x14ac:dyDescent="0.2">
      <x:c r="A173" s="5" t="s">
        <x:v>34</x:v>
      </x:c>
      <x:c r="B173" s="6" t="s">
        <x:v>66</x:v>
      </x:c>
      <x:c r="C173" s="4" t="s">
        <x:v>52</x:v>
      </x:c>
      <x:c r="D173" s="6" t="s">
        <x:v>73</x:v>
      </x:c>
      <x:c r="E173" s="7">
        <x:v>31637.77</x:v>
      </x:c>
      <x:c r="F173" s="7">
        <x:v>31637.77</x:v>
      </x:c>
    </x:row>
    <x:row r="174" spans="1:7" outlineLevel="2" x14ac:dyDescent="0.2">
      <x:c r="A174" s="5" t="s">
        <x:v>34</x:v>
      </x:c>
      <x:c r="B174" s="6" t="s">
        <x:v>66</x:v>
      </x:c>
      <x:c r="C174" s="4" t="s">
        <x:v>51</x:v>
      </x:c>
      <x:c r="D174" s="6" t="s">
        <x:v>73</x:v>
      </x:c>
      <x:c r="E174" s="7">
        <x:v>31637.77</x:v>
      </x:c>
      <x:c r="F174" s="7">
        <x:v>31637.77</x:v>
      </x:c>
    </x:row>
    <x:row r="175" spans="1:7" outlineLevel="2" x14ac:dyDescent="0.2">
      <x:c r="A175" s="5" t="s">
        <x:v>34</x:v>
      </x:c>
      <x:c r="B175" s="6" t="s">
        <x:v>66</x:v>
      </x:c>
      <x:c r="C175" s="4" t="s">
        <x:v>22</x:v>
      </x:c>
      <x:c r="D175" s="6" t="s">
        <x:v>73</x:v>
      </x:c>
      <x:c r="E175" s="7">
        <x:v>12655.08</x:v>
      </x:c>
      <x:c r="F175" s="7">
        <x:v>12655.08</x:v>
      </x:c>
    </x:row>
    <x:row r="176" spans="1:7" outlineLevel="2" x14ac:dyDescent="0.2">
      <x:c r="A176" s="5" t="s">
        <x:v>34</x:v>
      </x:c>
      <x:c r="B176" s="6" t="s">
        <x:v>66</x:v>
      </x:c>
      <x:c r="C176" s="4" t="s">
        <x:v>24</x:v>
      </x:c>
      <x:c r="D176" s="6" t="s">
        <x:v>73</x:v>
      </x:c>
      <x:c r="E176" s="7">
        <x:v>63275.55</x:v>
      </x:c>
      <x:c r="F176" s="7">
        <x:v>63275.55</x:v>
      </x:c>
    </x:row>
    <x:row r="177" spans="1:7" outlineLevel="2" x14ac:dyDescent="0.2">
      <x:c r="A177" s="5" t="s">
        <x:v>34</x:v>
      </x:c>
      <x:c r="B177" s="6" t="s">
        <x:v>66</x:v>
      </x:c>
      <x:c r="C177" s="4" t="s">
        <x:v>55</x:v>
      </x:c>
      <x:c r="D177" s="6" t="s">
        <x:v>73</x:v>
      </x:c>
      <x:c r="E177" s="7">
        <x:v>31637.77</x:v>
      </x:c>
      <x:c r="F177" s="7">
        <x:v>31637.77</x:v>
      </x:c>
    </x:row>
    <x:row r="178" spans="1:7" outlineLevel="2" x14ac:dyDescent="0.2">
      <x:c r="A178" s="5" t="s">
        <x:v>34</x:v>
      </x:c>
      <x:c r="B178" s="6" t="s">
        <x:v>66</x:v>
      </x:c>
      <x:c r="C178" s="4" t="s">
        <x:v>15</x:v>
      </x:c>
      <x:c r="D178" s="6" t="s">
        <x:v>73</x:v>
      </x:c>
      <x:c r="E178" s="7">
        <x:v>31637.77</x:v>
      </x:c>
      <x:c r="F178" s="7">
        <x:v>31637.77</x:v>
      </x:c>
    </x:row>
    <x:row r="179" spans="1:7" outlineLevel="2" x14ac:dyDescent="0.2">
      <x:c r="A179" s="5" t="s">
        <x:v>34</x:v>
      </x:c>
      <x:c r="B179" s="6" t="s">
        <x:v>66</x:v>
      </x:c>
      <x:c r="C179" s="4" t="s">
        <x:v>33</x:v>
      </x:c>
      <x:c r="D179" s="6" t="s">
        <x:v>73</x:v>
      </x:c>
      <x:c r="E179" s="7">
        <x:v>31637.77</x:v>
      </x:c>
      <x:c r="F179" s="7">
        <x:v>31637.77</x:v>
      </x:c>
    </x:row>
    <x:row r="180" spans="1:7" outlineLevel="2" x14ac:dyDescent="0.2">
      <x:c r="A180" s="5" t="s">
        <x:v>34</x:v>
      </x:c>
      <x:c r="B180" s="9" t="s">
        <x:v>66</x:v>
      </x:c>
      <x:c r="C180" s="4" t="s">
        <x:v>14</x:v>
      </x:c>
      <x:c r="D180" s="9" t="s">
        <x:v>74</x:v>
      </x:c>
      <x:c r="E180" s="7">
        <x:v>1.35</x:v>
      </x:c>
      <x:c r="F180" s="7">
        <x:v>0.79</x:v>
      </x:c>
      <x:c r="G180" s="7">
        <x:v>0.56000000000000005</x:v>
      </x:c>
    </x:row>
    <x:row r="181" spans="1:7" outlineLevel="2" x14ac:dyDescent="0.2">
      <x:c r="A181" s="5" t="s">
        <x:v>34</x:v>
      </x:c>
      <x:c r="B181" s="9" t="s">
        <x:v>66</x:v>
      </x:c>
      <x:c r="C181" s="4" t="s">
        <x:v>43</x:v>
      </x:c>
      <x:c r="D181" s="9" t="s">
        <x:v>74</x:v>
      </x:c>
      <x:c r="E181" s="7">
        <x:v>9.4600000000000009</x:v>
      </x:c>
      <x:c r="F181" s="7">
        <x:v>5.53</x:v>
      </x:c>
      <x:c r="G181" s="7">
        <x:v>3.9300000000000006</x:v>
      </x:c>
    </x:row>
    <x:row r="182" spans="1:7" outlineLevel="2" x14ac:dyDescent="0.2">
      <x:c r="A182" s="5" t="s">
        <x:v>34</x:v>
      </x:c>
      <x:c r="B182" s="9" t="s">
        <x:v>66</x:v>
      </x:c>
      <x:c r="C182" s="4" t="s">
        <x:v>39</x:v>
      </x:c>
      <x:c r="D182" s="9" t="s">
        <x:v>74</x:v>
      </x:c>
      <x:c r="E182" s="7">
        <x:v>1.35</x:v>
      </x:c>
      <x:c r="G182" s="7">
        <x:v>1.35</x:v>
      </x:c>
    </x:row>
    <x:row r="183" spans="1:7" outlineLevel="2" x14ac:dyDescent="0.2">
      <x:c r="A183" s="5" t="s">
        <x:v>34</x:v>
      </x:c>
      <x:c r="B183" s="9" t="s">
        <x:v>66</x:v>
      </x:c>
      <x:c r="C183" s="4" t="s">
        <x:v>40</x:v>
      </x:c>
      <x:c r="D183" s="9" t="s">
        <x:v>74</x:v>
      </x:c>
      <x:c r="E183" s="7">
        <x:v>1.35</x:v>
      </x:c>
      <x:c r="F183" s="7">
        <x:v>1.35</x:v>
      </x:c>
    </x:row>
    <x:row r="184" spans="1:7" outlineLevel="2" x14ac:dyDescent="0.2">
      <x:c r="A184" s="5" t="s">
        <x:v>34</x:v>
      </x:c>
      <x:c r="B184" s="9" t="s">
        <x:v>66</x:v>
      </x:c>
      <x:c r="C184" s="4" t="s">
        <x:v>57</x:v>
      </x:c>
      <x:c r="D184" s="9" t="s">
        <x:v>74</x:v>
      </x:c>
      <x:c r="E184" s="7">
        <x:v>1.35</x:v>
      </x:c>
      <x:c r="F184" s="7">
        <x:v>1.35</x:v>
      </x:c>
    </x:row>
    <x:row r="185" spans="1:7" outlineLevel="2" x14ac:dyDescent="0.2">
      <x:c r="A185" s="5" t="s">
        <x:v>34</x:v>
      </x:c>
      <x:c r="B185" s="9" t="s">
        <x:v>66</x:v>
      </x:c>
      <x:c r="C185" s="4" t="s">
        <x:v>49</x:v>
      </x:c>
      <x:c r="D185" s="9" t="s">
        <x:v>74</x:v>
      </x:c>
      <x:c r="E185" s="7">
        <x:v>13.51</x:v>
      </x:c>
      <x:c r="F185" s="7">
        <x:v>13.51</x:v>
      </x:c>
    </x:row>
    <x:row r="186" spans="1:7" outlineLevel="2" x14ac:dyDescent="0.2">
      <x:c r="A186" s="5" t="s">
        <x:v>34</x:v>
      </x:c>
      <x:c r="B186" s="9" t="s">
        <x:v>66</x:v>
      </x:c>
      <x:c r="C186" s="4" t="s">
        <x:v>9</x:v>
      </x:c>
      <x:c r="D186" s="9" t="s">
        <x:v>74</x:v>
      </x:c>
      <x:c r="E186" s="7">
        <x:v>6.75</x:v>
      </x:c>
      <x:c r="F186" s="7">
        <x:v>6.75</x:v>
      </x:c>
    </x:row>
    <x:row r="187" spans="1:7" outlineLevel="2" x14ac:dyDescent="0.2">
      <x:c r="A187" s="5" t="s">
        <x:v>34</x:v>
      </x:c>
      <x:c r="B187" s="6" t="s">
        <x:v>66</x:v>
      </x:c>
      <x:c r="C187" s="4" t="s">
        <x:v>41</x:v>
      </x:c>
      <x:c r="D187" s="6" t="s">
        <x:v>74</x:v>
      </x:c>
      <x:c r="E187" s="7">
        <x:v>6.75</x:v>
      </x:c>
      <x:c r="F187" s="7">
        <x:v>6.75</x:v>
      </x:c>
    </x:row>
    <x:row r="188" spans="1:7" outlineLevel="2" x14ac:dyDescent="0.2">
      <x:c r="A188" s="5" t="s">
        <x:v>34</x:v>
      </x:c>
      <x:c r="B188" s="6" t="s">
        <x:v>66</x:v>
      </x:c>
      <x:c r="C188" s="4" t="s">
        <x:v>47</x:v>
      </x:c>
      <x:c r="D188" s="6" t="s">
        <x:v>74</x:v>
      </x:c>
      <x:c r="E188" s="7">
        <x:v>2.7</x:v>
      </x:c>
      <x:c r="F188" s="7">
        <x:v>2.7</x:v>
      </x:c>
    </x:row>
    <x:row r="189" spans="1:7" outlineLevel="2" x14ac:dyDescent="0.2">
      <x:c r="A189" s="5" t="s">
        <x:v>34</x:v>
      </x:c>
      <x:c r="B189" s="6" t="s">
        <x:v>66</x:v>
      </x:c>
      <x:c r="C189" s="4" t="s">
        <x:v>13</x:v>
      </x:c>
      <x:c r="D189" s="6" t="s">
        <x:v>74</x:v>
      </x:c>
      <x:c r="E189" s="7">
        <x:v>20.399999999999999</x:v>
      </x:c>
      <x:c r="F189" s="7">
        <x:v>20.399999999999999</x:v>
      </x:c>
    </x:row>
    <x:row r="190" spans="1:7" outlineLevel="2" x14ac:dyDescent="0.2">
      <x:c r="A190" s="5" t="s">
        <x:v>34</x:v>
      </x:c>
      <x:c r="B190" s="6" t="s">
        <x:v>66</x:v>
      </x:c>
      <x:c r="C190" s="4" t="s">
        <x:v>25</x:v>
      </x:c>
      <x:c r="D190" s="6" t="s">
        <x:v>74</x:v>
      </x:c>
      <x:c r="E190" s="7">
        <x:v>6.75</x:v>
      </x:c>
      <x:c r="F190" s="7">
        <x:v>6.75</x:v>
      </x:c>
    </x:row>
    <x:row r="191" spans="1:7" outlineLevel="2" x14ac:dyDescent="0.2">
      <x:c r="A191" s="5" t="s">
        <x:v>34</x:v>
      </x:c>
      <x:c r="B191" s="6" t="s">
        <x:v>66</x:v>
      </x:c>
      <x:c r="C191" s="4" t="s">
        <x:v>30</x:v>
      </x:c>
      <x:c r="D191" s="6" t="s">
        <x:v>74</x:v>
      </x:c>
      <x:c r="E191" s="7">
        <x:v>6.75</x:v>
      </x:c>
      <x:c r="F191" s="7">
        <x:v>6.75</x:v>
      </x:c>
    </x:row>
    <x:row r="192" spans="1:7" outlineLevel="2" x14ac:dyDescent="0.2">
      <x:c r="A192" s="5" t="s">
        <x:v>34</x:v>
      </x:c>
      <x:c r="B192" s="6" t="s">
        <x:v>66</x:v>
      </x:c>
      <x:c r="C192" s="4" t="s">
        <x:v>28</x:v>
      </x:c>
      <x:c r="D192" s="6" t="s">
        <x:v>74</x:v>
      </x:c>
      <x:c r="E192" s="7">
        <x:v>2.7</x:v>
      </x:c>
      <x:c r="F192" s="7">
        <x:v>2.7</x:v>
      </x:c>
    </x:row>
    <x:row r="193" spans="1:7" outlineLevel="2" x14ac:dyDescent="0.2">
      <x:c r="A193" s="5" t="s">
        <x:v>34</x:v>
      </x:c>
      <x:c r="B193" s="6" t="s">
        <x:v>66</x:v>
      </x:c>
      <x:c r="C193" s="4" t="s">
        <x:v>52</x:v>
      </x:c>
      <x:c r="D193" s="6" t="s">
        <x:v>74</x:v>
      </x:c>
      <x:c r="E193" s="7">
        <x:v>6.75</x:v>
      </x:c>
      <x:c r="F193" s="7">
        <x:v>6.75</x:v>
      </x:c>
    </x:row>
    <x:row r="194" spans="1:7" outlineLevel="2" x14ac:dyDescent="0.2">
      <x:c r="A194" s="5" t="s">
        <x:v>34</x:v>
      </x:c>
      <x:c r="B194" s="6" t="s">
        <x:v>66</x:v>
      </x:c>
      <x:c r="C194" s="4" t="s">
        <x:v>51</x:v>
      </x:c>
      <x:c r="D194" s="6" t="s">
        <x:v>74</x:v>
      </x:c>
      <x:c r="E194" s="7">
        <x:v>6.75</x:v>
      </x:c>
      <x:c r="F194" s="7">
        <x:v>6.75</x:v>
      </x:c>
    </x:row>
    <x:row r="195" spans="1:7" outlineLevel="2" x14ac:dyDescent="0.2">
      <x:c r="A195" s="5" t="s">
        <x:v>34</x:v>
      </x:c>
      <x:c r="B195" s="6" t="s">
        <x:v>66</x:v>
      </x:c>
      <x:c r="C195" s="4" t="s">
        <x:v>22</x:v>
      </x:c>
      <x:c r="D195" s="6" t="s">
        <x:v>74</x:v>
      </x:c>
      <x:c r="E195" s="7">
        <x:v>2.7</x:v>
      </x:c>
      <x:c r="F195" s="7">
        <x:v>2.7</x:v>
      </x:c>
    </x:row>
    <x:row r="196" spans="1:7" outlineLevel="2" x14ac:dyDescent="0.2">
      <x:c r="A196" s="5" t="s">
        <x:v>34</x:v>
      </x:c>
      <x:c r="B196" s="6" t="s">
        <x:v>66</x:v>
      </x:c>
      <x:c r="C196" s="4" t="s">
        <x:v>24</x:v>
      </x:c>
      <x:c r="D196" s="6" t="s">
        <x:v>74</x:v>
      </x:c>
      <x:c r="E196" s="7">
        <x:v>13.51</x:v>
      </x:c>
      <x:c r="F196" s="7">
        <x:v>13.51</x:v>
      </x:c>
    </x:row>
    <x:row r="197" spans="1:7" outlineLevel="2" x14ac:dyDescent="0.2">
      <x:c r="A197" s="5" t="s">
        <x:v>34</x:v>
      </x:c>
      <x:c r="B197" s="6" t="s">
        <x:v>66</x:v>
      </x:c>
      <x:c r="C197" s="4" t="s">
        <x:v>55</x:v>
      </x:c>
      <x:c r="D197" s="6" t="s">
        <x:v>74</x:v>
      </x:c>
      <x:c r="E197" s="7">
        <x:v>6.75</x:v>
      </x:c>
      <x:c r="F197" s="7">
        <x:v>6.75</x:v>
      </x:c>
    </x:row>
    <x:row r="198" spans="1:7" outlineLevel="2" x14ac:dyDescent="0.2">
      <x:c r="A198" s="5" t="s">
        <x:v>34</x:v>
      </x:c>
      <x:c r="B198" s="6" t="s">
        <x:v>66</x:v>
      </x:c>
      <x:c r="C198" s="4" t="s">
        <x:v>15</x:v>
      </x:c>
      <x:c r="D198" s="6" t="s">
        <x:v>74</x:v>
      </x:c>
      <x:c r="E198" s="7">
        <x:v>6.75</x:v>
      </x:c>
      <x:c r="F198" s="7">
        <x:v>6.75</x:v>
      </x:c>
    </x:row>
    <x:row r="199" spans="1:7" outlineLevel="2" x14ac:dyDescent="0.2">
      <x:c r="A199" s="5" t="s">
        <x:v>34</x:v>
      </x:c>
      <x:c r="B199" s="6" t="s">
        <x:v>66</x:v>
      </x:c>
      <x:c r="C199" s="4" t="s">
        <x:v>33</x:v>
      </x:c>
      <x:c r="D199" s="6" t="s">
        <x:v>74</x:v>
      </x:c>
      <x:c r="E199" s="7">
        <x:v>6.75</x:v>
      </x:c>
      <x:c r="F199" s="7">
        <x:v>6.75</x:v>
      </x:c>
    </x:row>
    <x:row r="200" spans="1:7" ht="14.3" outlineLevel="1" x14ac:dyDescent="0.2">
      <x:c r="B200" s="10" t="s">
        <x:v>63</x:v>
      </x:c>
      <x:c r="E200" s="7">
        <x:f>SUBTOTAL(9,E22:E199)</x:f>
        <x:v>31506721.780000001</x:v>
      </x:c>
      <x:c r="F200" s="7">
        <x:f>SUBTOTAL(9,F22:F199)</x:f>
        <x:v>19314256.829999983</x:v>
      </x:c>
      <x:c r="G200" s="7">
        <x:f>SUBTOTAL(9,G22:G199)</x:f>
        <x:v>12192464.950000005</x:v>
      </x:c>
    </x:row>
    <x:row r="201" spans="1:7" ht="14.3" x14ac:dyDescent="0.2">
      <x:c r="B201" s="10" t="s">
        <x:v>84</x:v>
      </x:c>
      <x:c r="E201" s="7">
        <x:f>SUBTOTAL(9,E2:E199)</x:f>
        <x:v>33200374.529999997</x:v>
      </x:c>
      <x:c r="F201" s="7">
        <x:f>SUBTOTAL(9,F2:F199)</x:f>
        <x:v>21007909.579999987</x:v>
      </x:c>
      <x:c r="G201" s="7">
        <x:f>SUBTOTAL(9,G2:G199)</x:f>
        <x:v>12192464.950000005</x:v>
      </x:c>
    </x:row>
  </x:sheetData>
  <x:sortState xmlns:xlrd2="http://schemas.microsoft.com/office/spreadsheetml/2017/richdata2" ref="A2:G199">
    <x:sortCondition ref="B2:B199"/>
    <x:sortCondition ref="A2:A199"/>
    <x:sortCondition ref="D2:D199"/>
  </x:sortState>
  <x:printOptions horizontalCentered="1"/>
  <x:pageMargins left="1.5" right="0.7" top="2.25" bottom="0.5" header="0.5" footer="0.5"/>
  <x:pageSetup scale="55" fitToHeight="0" orientation="portrait" r:id="rId1"/>
  <x:headerFooter>
    <x:oddHeader>&amp;C&amp;"Arial,Bold"
2025 RATE CASE
ONCOR ELECTRIC DELIVERY COMPANY LLC
DC TIE INVESTMENT
FOR THE TEST YEAR ENDING DECEMBER 31, 2024
SPONSOR: W. A. LEDBETTER&amp;R&amp;"Arial,Bold"WP/II-B-1/07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2025-03-31T22:02:28.0000000Z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