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6EEC92D4-E1BE-4296-85B5-3045C7C75931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WP II-E-4.1.1 TRF" sheetId="1" r:id="rId1"/>
  </x:sheets>
  <x:definedNames>
    <x:definedName name="_xlnm.Print_Area" localSheetId="0">'WP II-E-4.1.1 TRF'!$A$1:$I$95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I31" i="1" l="1"/>
  <x:c r="I16" i="1" l="1"/>
  <x:c r="I17" i="1"/>
  <x:c r="I18" i="1"/>
  <x:c r="I19" i="1"/>
  <x:c r="I20" i="1"/>
  <x:c r="I21" i="1"/>
  <x:c r="I22" i="1"/>
  <x:c r="I23" i="1"/>
  <x:c r="I24" i="1"/>
  <x:c r="I25" i="1"/>
  <x:c r="I14" i="1"/>
  <x:c r="I15" i="1"/>
  <x:c r="I53" i="1"/>
  <x:c r="H27" i="1"/>
  <x:c r="H12" i="1"/>
  <x:c r="B36" i="1"/>
  <x:c r="B37" i="1" s="1"/>
  <x:c r="B38" i="1" s="1"/>
  <x:c r="B39" i="1" s="1"/>
  <x:c r="B40" i="1" s="1"/>
  <x:c r="B41" i="1" s="1"/>
  <x:c r="B42" i="1" s="1"/>
  <x:c r="I27" i="1" l="1"/>
  <x:c r="I54" i="1" s="1"/>
  <x:c r="E42" i="1"/>
  <x:c r="B43" i="1"/>
  <x:c r="B44" i="1" l="1"/>
  <x:c r="E43" i="1"/>
  <x:c r="E44" i="1" l="1"/>
  <x:c r="B45" i="1"/>
  <x:c r="B46" i="1" l="1"/>
  <x:c r="E45" i="1"/>
  <x:c r="B47" i="1" l="1"/>
  <x:c r="E46" i="1"/>
  <x:c r="E47" i="1" l="1"/>
  <x:c r="B48" i="1"/>
  <x:c r="E48" i="1" l="1"/>
  <x:c r="B49" i="1"/>
  <x:c r="B50" i="1" l="1"/>
  <x:c r="E49" i="1"/>
  <x:c r="E50" i="1" l="1"/>
  <x:c r="B51" i="1"/>
  <x:c r="B52" i="1" l="1"/>
  <x:c r="E51" i="1"/>
  <x:c r="E52" i="1" l="1"/>
  <x:c r="B53" i="1"/>
  <x:c r="B54" i="1" l="1"/>
  <x:c r="B55" i="1" s="1"/>
  <x:c r="B56" i="1" s="1"/>
  <x:c r="B57" i="1" s="1"/>
  <x:c r="B58" i="1" s="1"/>
  <x:c r="B59" i="1" s="1"/>
  <x:c r="B60" i="1" s="1"/>
  <x:c r="B61" i="1" s="1"/>
  <x:c r="B62" i="1" s="1"/>
  <x:c r="B63" i="1" s="1"/>
  <x:c r="B64" i="1" s="1"/>
  <x:c r="B65" i="1" s="1"/>
  <x:c r="B66" i="1" s="1"/>
  <x:c r="B67" i="1" s="1"/>
  <x:c r="B68" i="1" s="1"/>
  <x:c r="B69" i="1" s="1"/>
  <x:c r="B70" i="1" s="1"/>
  <x:c r="B71" i="1" s="1"/>
  <x:c r="B72" i="1" s="1"/>
  <x:c r="B73" i="1" s="1"/>
  <x:c r="B74" i="1" s="1"/>
  <x:c r="B75" i="1" s="1"/>
  <x:c r="B76" i="1" s="1"/>
  <x:c r="B77" i="1" s="1"/>
  <x:c r="B78" i="1" s="1"/>
  <x:c r="B79" i="1" s="1"/>
  <x:c r="B80" i="1" s="1"/>
  <x:c r="B81" i="1" s="1"/>
  <x:c r="B82" i="1" s="1"/>
  <x:c r="B83" i="1" s="1"/>
  <x:c r="B84" i="1" s="1"/>
  <x:c r="B85" i="1" s="1"/>
  <x:c r="B86" i="1" s="1"/>
  <x:c r="B87" i="1" s="1"/>
  <x:c r="B88" i="1" s="1"/>
  <x:c r="B89" i="1" s="1"/>
  <x:c r="B90" i="1" s="1"/>
  <x:c r="B91" i="1" s="1"/>
  <x:c r="B92" i="1" s="1"/>
  <x:c r="B93" i="1" s="1"/>
  <x:c r="E53" i="1"/>
  <x:c r="E54" i="1" s="1"/>
  <x:c r="C18" i="1" l="1"/>
  <x:c r="C27" i="1" l="1"/>
  <x:c r="E23" i="1" s="1"/>
  <x:c r="F23" i="1" s="1"/>
  <x:c r="D27" i="1"/>
  <x:c r="E24" i="1" l="1"/>
  <x:c r="F24" i="1" s="1"/>
  <x:c r="E22" i="1"/>
  <x:c r="F22" i="1" s="1"/>
  <x:c r="E21" i="1"/>
  <x:c r="F21" i="1" s="1"/>
  <x:c r="E20" i="1"/>
  <x:c r="F20" i="1" s="1"/>
  <x:c r="E19" i="1"/>
  <x:c r="F19" i="1" s="1"/>
  <x:c r="E18" i="1"/>
  <x:c r="F18" i="1" s="1"/>
  <x:c r="E16" i="1"/>
  <x:c r="F16" i="1" s="1"/>
  <x:c r="E15" i="1"/>
  <x:c r="E25" i="1"/>
  <x:c r="F25" i="1" s="1"/>
  <x:c r="F15" i="1" l="1"/>
  <x:c r="F27" i="1" s="1"/>
  <x:c r="E27" i="1"/>
  <x:c r="C32" i="1" s="1"/>
  <x:c r="C34" i="1" s="1"/>
  <x:c r="C35" i="1" s="1"/>
  <x:c r="C36" i="1" s="1"/>
  <x:c r="C37" i="1" s="1"/>
  <x:c r="C38" i="1" s="1"/>
  <x:c r="C39" i="1" s="1"/>
  <x:c r="C40" i="1" s="1"/>
  <x:c r="C41" i="1" s="1"/>
  <x:c r="C42" i="1" s="1"/>
  <x:c r="C43" i="1" s="1"/>
  <x:c r="C44" i="1" s="1"/>
  <x:c r="C45" i="1" s="1"/>
  <x:c r="C46" i="1" s="1"/>
  <x:c r="C47" i="1" s="1"/>
  <x:c r="C48" i="1" s="1"/>
  <x:c r="C49" i="1" s="1"/>
  <x:c r="C50" i="1" s="1"/>
  <x:c r="C51" i="1" s="1"/>
  <x:c r="C52" i="1" s="1"/>
  <x:c r="C53" i="1" s="1"/>
  <x:c r="C54" i="1" l="1"/>
  <x:c r="C55" i="1" s="1"/>
  <x:c r="C56" i="1" s="1"/>
  <x:c r="C57" i="1" s="1"/>
  <x:c r="C58" i="1" s="1"/>
  <x:c r="C59" i="1" s="1"/>
  <x:c r="C60" i="1" s="1"/>
  <x:c r="C61" i="1" s="1"/>
  <x:c r="C62" i="1" s="1"/>
  <x:c r="C63" i="1" s="1"/>
  <x:c r="C64" i="1" s="1"/>
  <x:c r="C65" i="1" s="1"/>
  <x:c r="C66" i="1" s="1"/>
  <x:c r="C67" i="1" s="1"/>
  <x:c r="C68" i="1" s="1"/>
  <x:c r="C69" i="1" s="1"/>
  <x:c r="C70" i="1" s="1"/>
  <x:c r="C71" i="1" s="1"/>
  <x:c r="C72" i="1" s="1"/>
  <x:c r="C73" i="1" s="1"/>
  <x:c r="C74" i="1" s="1"/>
  <x:c r="C75" i="1" s="1"/>
  <x:c r="C76" i="1" s="1"/>
  <x:c r="C77" i="1" s="1"/>
  <x:c r="C78" i="1" s="1"/>
  <x:c r="C79" i="1" s="1"/>
  <x:c r="C80" i="1" s="1"/>
  <x:c r="C81" i="1" s="1"/>
  <x:c r="C82" i="1" s="1"/>
  <x:c r="C83" i="1" s="1"/>
  <x:c r="C84" i="1" s="1"/>
  <x:c r="C85" i="1" s="1"/>
  <x:c r="C86" i="1" s="1"/>
  <x:c r="C87" i="1" s="1"/>
  <x:c r="C88" i="1" s="1"/>
  <x:c r="C89" i="1" s="1"/>
  <x:c r="C90" i="1" s="1"/>
  <x:c r="C91" i="1" s="1"/>
  <x:c r="C92" i="1" s="1"/>
  <x:c r="C93" i="1" s="1"/>
  <x:c r="B94" i="1" l="1"/>
  <x:c r="B95" i="1" s="1"/>
  <x:c r="C94" i="1"/>
</x:calcChain>
</file>

<file path=xl/sharedStrings.xml><?xml version="1.0" encoding="utf-8"?>
<sst xmlns="http://schemas.openxmlformats.org/spreadsheetml/2006/main" count="66" uniqueCount="64">
  <si>
    <t>FITDSGRD</t>
  </si>
  <si>
    <t>Guardlights FIT Ref</t>
  </si>
  <si>
    <t>FITDSLPR</t>
  </si>
  <si>
    <t>Primary grtr 10kw FIT Ref</t>
  </si>
  <si>
    <t>FITDSLSC</t>
  </si>
  <si>
    <t>Secondary gtr 10kw FIT Ref</t>
  </si>
  <si>
    <t>FITDSMTL</t>
  </si>
  <si>
    <t>Metered SL FIT Ref</t>
  </si>
  <si>
    <t>FITDSRES</t>
  </si>
  <si>
    <t>Residential FIT Ref</t>
  </si>
  <si>
    <t>FITDSSPR</t>
  </si>
  <si>
    <t>Primary less 10kw FIT Ref</t>
  </si>
  <si>
    <t>FITDSSSC</t>
  </si>
  <si>
    <t>Secondary less 10kw FIT Ref</t>
  </si>
  <si>
    <t>FITDSSUB</t>
  </si>
  <si>
    <t>Primary Substation FIT Ref</t>
  </si>
  <si>
    <t>FITDSTRN</t>
  </si>
  <si>
    <t>Transmission FIT Ref</t>
  </si>
  <si>
    <t>FITDSUML</t>
  </si>
  <si>
    <t>Unmetered SL  FIT Ref</t>
  </si>
  <si>
    <t>FITRFDLS</t>
  </si>
  <si>
    <t>FIT RATE CHANGE REFUND</t>
  </si>
  <si>
    <t>FITRFXFM</t>
  </si>
  <si>
    <t>FIT RATE CHANGE REFUND XFMR</t>
  </si>
  <si>
    <t>FITRLDIS</t>
  </si>
  <si>
    <t>REG LIABILITY FOR FIT CHANGE</t>
  </si>
  <si>
    <t>Docket No. 48325, Item No. 128, Page 13 of 28</t>
  </si>
  <si>
    <t>Refunds to-date incl. cancel/rebills</t>
  </si>
  <si>
    <t>Three projects reflect lighting class.</t>
  </si>
  <si>
    <t>Total</t>
  </si>
  <si>
    <t>Oncor Electric Delivery Company LLC</t>
  </si>
  <si>
    <t>Page 1 of 1</t>
  </si>
  <si>
    <t>Project</t>
  </si>
  <si>
    <t>Project Description</t>
  </si>
  <si>
    <t>Regulatory Liability Account 2541351</t>
  </si>
  <si>
    <t>Over-refund to be collected/(refunded)</t>
  </si>
  <si>
    <t>To be collected/(refunded)</t>
  </si>
  <si>
    <t>for the Tax Refund Factor</t>
  </si>
  <si>
    <t>Balance at Dec 31, 2021</t>
  </si>
  <si>
    <t>Over 5 years</t>
  </si>
  <si>
    <t>2024 Rate Case</t>
  </si>
  <si>
    <t>For Test Year Ending December 31, 2024</t>
  </si>
  <si>
    <t>Docket No. 53601 Approved</t>
  </si>
  <si>
    <t>Docket No. 53601 approved balance</t>
  </si>
  <si>
    <t>Account 928 amortization</t>
  </si>
  <si>
    <t>Approved unamortized balance</t>
  </si>
  <si>
    <t>Docket No. 53601 rates effective May 1, 2023 (billing cycle 4)</t>
  </si>
  <si>
    <t>2024 Test Year Amortization</t>
  </si>
  <si>
    <t>Fully amortized May 2028</t>
  </si>
  <si>
    <t>Balance</t>
  </si>
  <si>
    <t>@ 12-31-2024</t>
  </si>
  <si>
    <t>Cancel/</t>
  </si>
  <si>
    <t>Rebills</t>
  </si>
  <si>
    <t>2022 - 2023</t>
  </si>
  <si>
    <t>Docket No. 53601 Order on Rehearing pages 37, 60, and 62 for approval of other non-tax regulatory liability (over-refund) and tariff Riders WTRF and TRF deleted effective with Docket No. 53601 rates.</t>
  </si>
  <si>
    <t>Balance to be reviewed in this case</t>
  </si>
  <si>
    <t>Approved Unamortized Balance at 12-31-2024</t>
  </si>
  <si>
    <t>Balance at 12-31-2024</t>
  </si>
  <si>
    <t>Over-Refund of Tax Refund Factor (Docket No. 48325 Rider TRF &amp; Rider WTRF - DLS &amp; XFMR) Approved in Docket No. 53601 with Five-Year Collection/Recovery in Docket No. 53601 Base Rates</t>
  </si>
  <si>
    <t>Requested five-year amortization - K&amp;M O&amp;M Adjustment #19</t>
  </si>
  <si>
    <t>Reference Sch II-E-4.1 Line No 49 and II-E-4.1.1 Line No. 50</t>
  </si>
  <si>
    <t>Docket No. 53601 approved amount and amortization - reference Sch II-E-4.1 Line No. 24 and II-E-4.1.1 Line No 24</t>
  </si>
  <si>
    <t>Sponsor:  W. Alan Ledbetter &amp; R. Prachyl</t>
  </si>
  <si>
    <t xml:space="preserve">WP/II-B-12 Tax Refund Factor Over-Refund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</si>
</sst>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u val="sing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57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44" fontId="4" fillId="0" borderId="0" xfId="1" applyFont="1" applyAlignment="1">
      <alignment horizontal="center"/>
    </xf>
    <xf numFmtId="0" fontId="0" fillId="0" borderId="0" xfId="0" applyFont="1"/>
    <xf numFmtId="0" fontId="0" fillId="0" borderId="0" xfId="0" applyFill="1"/>
    <xf numFmtId="44" fontId="0" fillId="0" borderId="0" xfId="0" applyNumberFormat="1" applyFill="1"/>
    <xf numFmtId="164" fontId="0" fillId="0" borderId="0" xfId="1" applyNumberFormat="1" applyFont="1" applyFill="1" applyAlignment="1">
      <alignment horizontal="center"/>
    </xf>
    <xf numFmtId="44" fontId="0" fillId="0" borderId="0" xfId="1" applyFont="1" applyFill="1"/>
    <xf numFmtId="164" fontId="0" fillId="0" borderId="0" xfId="1" applyNumberFormat="1" applyFont="1" applyFill="1"/>
    <xf numFmtId="44" fontId="0" fillId="0" borderId="0" xfId="0" applyNumberFormat="1" applyFill="1" applyAlignment="1">
      <alignment horizontal="right"/>
    </xf>
    <xf numFmtId="0" fontId="5" fillId="0" borderId="0" xfId="0" applyFont="1"/>
    <xf numFmtId="44" fontId="5" fillId="0" borderId="0" xfId="1" applyFont="1"/>
    <xf numFmtId="164" fontId="5" fillId="0" borderId="0" xfId="1" applyNumberFormat="1" applyFont="1"/>
    <xf numFmtId="0" fontId="6" fillId="0" borderId="0" xfId="0" applyFont="1"/>
    <xf numFmtId="44" fontId="6" fillId="0" borderId="0" xfId="1" applyFont="1"/>
    <xf numFmtId="0" fontId="5" fillId="0" borderId="0" xfId="0" applyFont="1" applyAlignment="1">
      <alignment horizontal="center"/>
    </xf>
    <xf numFmtId="44" fontId="5" fillId="0" borderId="0" xfId="1" applyFont="1" applyAlignment="1">
      <alignment horizontal="center"/>
    </xf>
    <xf numFmtId="44" fontId="0" fillId="0" borderId="0" xfId="1" applyNumberFormat="1" applyFont="1" applyFill="1"/>
    <xf numFmtId="164" fontId="0" fillId="0" borderId="1" xfId="1" applyNumberFormat="1" applyFont="1" applyFill="1" applyBorder="1"/>
    <xf numFmtId="44" fontId="0" fillId="0" borderId="1" xfId="1" applyNumberFormat="1" applyFont="1" applyFill="1" applyBorder="1"/>
    <xf numFmtId="44" fontId="0" fillId="0" borderId="1" xfId="1" applyFont="1" applyFill="1" applyBorder="1"/>
    <xf numFmtId="44" fontId="0" fillId="0" borderId="1" xfId="0" applyNumberFormat="1" applyFill="1" applyBorder="1"/>
    <xf numFmtId="0" fontId="0" fillId="0" borderId="0" xfId="0" applyFill="1" applyAlignment="1">
      <alignment horizontal="right"/>
    </xf>
    <xf numFmtId="0" fontId="3" fillId="0" borderId="0" xfId="0" applyFont="1" applyFill="1"/>
    <xf numFmtId="0" fontId="3" fillId="0" borderId="0" xfId="0" applyFont="1"/>
    <xf numFmtId="44" fontId="3" fillId="0" borderId="0" xfId="0" applyNumberFormat="1" applyFont="1"/>
    <xf numFmtId="44" fontId="3" fillId="0" borderId="0" xfId="1" applyFont="1" applyFill="1"/>
    <xf numFmtId="17" fontId="3" fillId="0" borderId="0" xfId="0" applyNumberFormat="1" applyFont="1"/>
    <xf numFmtId="44" fontId="3" fillId="0" borderId="0" xfId="1" applyFont="1"/>
    <xf numFmtId="0" fontId="3" fillId="2" borderId="1" xfId="0" applyFont="1" applyFill="1" applyBorder="1" applyAlignment="1">
      <alignment horizontal="center"/>
    </xf>
    <xf numFmtId="17" fontId="3" fillId="2" borderId="0" xfId="0" applyNumberFormat="1" applyFont="1" applyFill="1"/>
    <xf numFmtId="44" fontId="3" fillId="2" borderId="0" xfId="0" applyNumberFormat="1" applyFont="1" applyFill="1"/>
    <xf numFmtId="44" fontId="6" fillId="0" borderId="0" xfId="0" applyNumberFormat="1" applyFont="1"/>
    <xf numFmtId="44" fontId="3" fillId="2" borderId="1" xfId="0" applyNumberFormat="1" applyFont="1" applyFill="1" applyBorder="1"/>
    <xf numFmtId="44" fontId="3" fillId="0" borderId="1" xfId="0" applyNumberFormat="1" applyFont="1" applyBorder="1"/>
    <xf numFmtId="44" fontId="3" fillId="0" borderId="0" xfId="0" applyNumberFormat="1" applyFont="1" applyAlignment="1">
      <alignment horizontal="center"/>
    </xf>
    <xf numFmtId="44" fontId="3" fillId="0" borderId="1" xfId="1" applyFont="1" applyBorder="1" applyAlignment="1">
      <alignment horizontal="center"/>
    </xf>
    <xf numFmtId="164" fontId="0" fillId="0" borderId="0" xfId="0" applyNumberFormat="1"/>
    <xf numFmtId="44" fontId="3" fillId="0" borderId="0" xfId="0" applyNumberFormat="1" applyFont="1" applyBorder="1"/>
    <xf numFmtId="8" fontId="3" fillId="0" borderId="0" xfId="0" applyNumberFormat="1" applyFont="1"/>
    <xf numFmtId="0" fontId="3" fillId="0" borderId="1" xfId="0" quotePrefix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Fill="1" applyAlignment="1">
      <alignment horizontal="center"/>
    </xf>
    <xf numFmtId="44" fontId="3" fillId="0" borderId="0" xfId="0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0" fontId="5" fillId="0" borderId="0" xfId="0" applyFont="1" applyFill="1"/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44" fontId="6" fillId="0" borderId="0" xfId="1" applyFont="1" applyAlignment="1">
      <alignment wrapText="1"/>
    </xf>
    <xf numFmtId="0" fontId="5" fillId="0" borderId="0" xfId="0" applyFont="1" applyAlignment="1">
      <alignment wrapText="1"/>
    </xf>
  </cellXfs>
  <cellStyles count="3">
    <cellStyle name="Currency" xfId="1" builtinId="4"/>
    <cellStyle name="Normal" xfId="0" builtinId="0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L95"/>
  <x:sheetViews>
    <x:sheetView tabSelected="1" topLeftCell="A10" zoomScaleNormal="100" workbookViewId="0">
      <x:selection activeCell="I1" sqref="I1"/>
    </x:sheetView>
  </x:sheetViews>
  <x:sheetFormatPr defaultRowHeight="14.5" x14ac:dyDescent="0.35"/>
  <x:cols>
    <x:col min="1" max="1" width="9.453125" customWidth="1"/>
    <x:col min="2" max="2" width="28.453125" bestFit="1" customWidth="1"/>
    <x:col min="3" max="3" width="39.453125" bestFit="1" customWidth="1"/>
    <x:col min="4" max="4" width="31.1796875" style="1" bestFit="1" customWidth="1"/>
    <x:col min="5" max="5" width="35.26953125" style="2" bestFit="1" customWidth="1"/>
    <x:col min="6" max="6" width="24.54296875" bestFit="1" customWidth="1"/>
    <x:col min="8" max="8" width="18.08984375" customWidth="1"/>
    <x:col min="9" max="9" width="11.81640625" customWidth="1"/>
    <x:col min="10" max="10" width="10.54296875" bestFit="1" customWidth="1"/>
    <x:col min="12" max="12" width="11" bestFit="1" customWidth="1"/>
  </x:cols>
  <x:sheetData>
    <x:row r="1" spans="1:9" s="17" customFormat="1" x14ac:dyDescent="0.35">
      <x:c r="A1" s="17" t="s">
        <x:v>40</x:v>
      </x:c>
      <x:c r="D1" s="18"/>
      <x:c r="E1" s="19"/>
      <x:c r="I1" s="51" t="s">
        <x:v>63</x:v>
      </x:c>
    </x:row>
    <x:row r="2" spans="1:9" s="17" customFormat="1" x14ac:dyDescent="0.35">
      <x:c r="A2" s="17" t="s">
        <x:v>30</x:v>
      </x:c>
      <x:c r="B2" s="20"/>
      <x:c r="C2" s="20"/>
      <x:c r="D2" s="20"/>
      <x:c r="E2" s="20"/>
      <x:c r="G2" s="21"/>
      <x:c r="H2" s="21"/>
      <x:c r="I2" s="51" t="s">
        <x:v>31</x:v>
      </x:c>
    </x:row>
    <x:row r="3" spans="1:9" s="17" customFormat="1" x14ac:dyDescent="0.35">
      <x:c r="A3" s="17" t="s">
        <x:v>58</x:v>
      </x:c>
      <x:c r="B3" s="20"/>
      <x:c r="C3" s="20"/>
      <x:c r="D3" s="20"/>
      <x:c r="E3" s="20"/>
      <x:c r="G3" s="21"/>
      <x:c r="H3" s="21"/>
    </x:row>
    <x:row r="4" spans="1:9" s="17" customFormat="1" x14ac:dyDescent="0.35">
      <x:c r="A4" s="17" t="s">
        <x:v>41</x:v>
      </x:c>
      <x:c r="D4" s="18"/>
      <x:c r="E4" s="19"/>
    </x:row>
    <x:row r="5" spans="1:9" s="17" customFormat="1" x14ac:dyDescent="0.35">
      <x:c r="A5" s="52" t="s">
        <x:v>62</x:v>
      </x:c>
      <x:c r="B5" s="52"/>
      <x:c r="C5" s="22"/>
      <x:c r="D5" s="23"/>
      <x:c r="E5" s="19"/>
    </x:row>
    <x:row r="6" spans="1:9" s="17" customFormat="1" x14ac:dyDescent="0.35">
      <x:c r="C6" s="22"/>
      <x:c r="D6" s="23"/>
      <x:c r="E6" s="19"/>
    </x:row>
    <x:row r="7" spans="1:9" s="17" customFormat="1" ht="16" x14ac:dyDescent="0.5">
      <x:c r="C7" s="22"/>
      <x:c r="D7" s="23"/>
      <x:c r="E7" s="9" t="s">
        <x:v>42</x:v>
      </x:c>
    </x:row>
    <x:row r="8" spans="1:9" x14ac:dyDescent="0.35">
      <x:c r="A8" s="10"/>
      <x:c r="C8" s="4"/>
      <x:c r="D8" s="5"/>
      <x:c r="E8" s="5" t="s">
        <x:v>34</x:v>
      </x:c>
    </x:row>
    <x:row r="9" spans="1:9" ht="16" x14ac:dyDescent="0.5">
      <x:c r="A9" s="10"/>
      <x:c r="C9" s="4"/>
      <x:c r="D9" s="5"/>
      <x:c r="E9" s="5" t="s">
        <x:v>37</x:v>
      </x:c>
      <x:c r="F9" s="9" t="s">
        <x:v>42</x:v>
      </x:c>
      <x:c r="I9" s="49" t="s">
        <x:v>53</x:v>
      </x:c>
    </x:row>
    <x:row r="10" spans="1:9" x14ac:dyDescent="0.35">
      <x:c r="C10" s="4"/>
      <x:c r="D10" s="5"/>
      <x:c r="E10" s="13" t="s">
        <x:v>38</x:v>
      </x:c>
      <x:c r="F10" s="5" t="s">
        <x:v>36</x:v>
      </x:c>
      <x:c r="H10" s="3" t="s">
        <x:v>49</x:v>
      </x:c>
      <x:c r="I10" s="3" t="s">
        <x:v>51</x:v>
      </x:c>
    </x:row>
    <x:row r="11" spans="1:9" x14ac:dyDescent="0.35">
      <x:c r="A11" s="6" t="s">
        <x:v>32</x:v>
      </x:c>
      <x:c r="B11" s="6" t="s">
        <x:v>33</x:v>
      </x:c>
      <x:c r="C11" s="6" t="s">
        <x:v>26</x:v>
      </x:c>
      <x:c r="D11" s="7" t="s">
        <x:v>27</x:v>
      </x:c>
      <x:c r="E11" s="8" t="s">
        <x:v>35</x:v>
      </x:c>
      <x:c r="F11" s="7" t="s">
        <x:v>39</x:v>
      </x:c>
      <x:c r="H11" s="47" t="s">
        <x:v>50</x:v>
      </x:c>
      <x:c r="I11" s="43" t="s">
        <x:v>52</x:v>
      </x:c>
    </x:row>
    <x:row r="12" spans="1:9" x14ac:dyDescent="0.35">
      <x:c r="A12" t="s">
        <x:v>24</x:v>
      </x:c>
      <x:c r="B12" t="s">
        <x:v>25</x:v>
      </x:c>
      <x:c r="C12" s="2">
        <x:v>-57776722</x:v>
      </x:c>
      <x:c r="H12" s="44">
        <x:f>C12</x:f>
        <x:v>-57776722</x:v>
      </x:c>
    </x:row>
    <x:row r="13" spans="1:9" x14ac:dyDescent="0.35">
      <x:c r="C13" s="2"/>
    </x:row>
    <x:row r="14" spans="1:9" s="11" customFormat="1" x14ac:dyDescent="0.35">
      <x:c r="A14" s="11" t="s">
        <x:v>0</x:v>
      </x:c>
      <x:c r="B14" s="11" t="s">
        <x:v>1</x:v>
      </x:c>
      <x:c r="C14" s="24"/>
      <x:c r="D14" s="24">
        <x:v>136108.92000000001</x:v>
      </x:c>
      <x:c r="E14" s="14"/>
      <x:c r="H14" s="14">
        <x:v>136108.92000000001</x:v>
      </x:c>
      <x:c r="I14" s="14">
        <x:f>H14-D14</x:f>
        <x:v>0</x:v>
      </x:c>
    </x:row>
    <x:row r="15" spans="1:9" s="11" customFormat="1" x14ac:dyDescent="0.35">
      <x:c r="A15" s="11" t="s">
        <x:v>2</x:v>
      </x:c>
      <x:c r="B15" s="11" t="s">
        <x:v>3</x:v>
      </x:c>
      <x:c r="C15" s="15">
        <x:v>-2804446</x:v>
      </x:c>
      <x:c r="D15" s="24">
        <x:v>3206979.02</x:v>
      </x:c>
      <x:c r="E15" s="14">
        <x:f>((C15/C$27)*C$12)+D15</x:f>
        <x:v>402533.02</x:v>
      </x:c>
      <x:c r="F15" s="12">
        <x:f>E15/5</x:f>
        <x:v>80506.604000000007</x:v>
      </x:c>
      <x:c r="H15" s="14">
        <x:v>3207334.92</x:v>
      </x:c>
      <x:c r="I15" s="14">
        <x:f>H15-D15</x:f>
        <x:v>355.89999999990687</x:v>
      </x:c>
    </x:row>
    <x:row r="16" spans="1:9" s="11" customFormat="1" x14ac:dyDescent="0.35">
      <x:c r="A16" s="11" t="s">
        <x:v>4</x:v>
      </x:c>
      <x:c r="B16" s="11" t="s">
        <x:v>5</x:v>
      </x:c>
      <x:c r="C16" s="15">
        <x:v>-20632346</x:v>
      </x:c>
      <x:c r="D16" s="24">
        <x:v>21971226.469999999</x:v>
      </x:c>
      <x:c r="E16" s="14">
        <x:f>((C16/C$27)*C$12)+D16</x:f>
        <x:v>1338880.4699999988</x:v>
      </x:c>
      <x:c r="F16" s="12">
        <x:f>E16/5</x:f>
        <x:v>267776.09399999975</x:v>
      </x:c>
      <x:c r="H16" s="14">
        <x:v>21970173.719999999</x:v>
      </x:c>
      <x:c r="I16" s="14">
        <x:f t="shared" ref="I16:I25" si="0">H16-D16</x:f>
        <x:v>-1052.75</x:v>
      </x:c>
    </x:row>
    <x:row r="17" spans="1:12" s="11" customFormat="1" x14ac:dyDescent="0.35">
      <x:c r="A17" s="11" t="s">
        <x:v>6</x:v>
      </x:c>
      <x:c r="B17" s="11" t="s">
        <x:v>7</x:v>
      </x:c>
      <x:c r="C17" s="15"/>
      <x:c r="D17" s="24">
        <x:v>21018.9</x:v>
      </x:c>
      <x:c r="E17" s="14"/>
      <x:c r="F17" s="12"/>
      <x:c r="H17" s="14">
        <x:v>21018.9</x:v>
      </x:c>
      <x:c r="I17" s="14">
        <x:f t="shared" si="0"/>
        <x:v>0</x:v>
      </x:c>
    </x:row>
    <x:row r="18" spans="1:12" s="11" customFormat="1" x14ac:dyDescent="0.35">
      <x:c r="A18" s="11" t="s">
        <x:v>8</x:v>
      </x:c>
      <x:c r="B18" s="11" t="s">
        <x:v>9</x:v>
      </x:c>
      <x:c r="C18" s="15">
        <x:f>-31765367+1</x:f>
        <x:v>-31765366</x:v>
      </x:c>
      <x:c r="D18" s="24">
        <x:v>32455092.379999999</x:v>
      </x:c>
      <x:c r="E18" s="14">
        <x:f>((C18/C$27)*C$12)+D18</x:f>
        <x:v>689726.37999999523</x:v>
      </x:c>
      <x:c r="F18" s="12">
        <x:f t="shared" ref="F18:F25" si="1">E18/5</x:f>
        <x:v>137945.27599999905</x:v>
      </x:c>
      <x:c r="H18" s="14">
        <x:v>32455055.899999999</x:v>
      </x:c>
      <x:c r="I18" s="14">
        <x:f t="shared" si="0"/>
        <x:v>-36.480000000447035</x:v>
      </x:c>
    </x:row>
    <x:row r="19" spans="1:12" s="11" customFormat="1" x14ac:dyDescent="0.35">
      <x:c r="A19" s="11" t="s">
        <x:v>10</x:v>
      </x:c>
      <x:c r="B19" s="11" t="s">
        <x:v>11</x:v>
      </x:c>
      <x:c r="C19" s="15">
        <x:v>-18590</x:v>
      </x:c>
      <x:c r="D19" s="24">
        <x:v>18992.670000000002</x:v>
      </x:c>
      <x:c r="E19" s="14">
        <x:f>((C19/C$27)*C$12)+D19</x:f>
        <x:v>402.67000000000189</x:v>
      </x:c>
      <x:c r="F19" s="12">
        <x:f t="shared" si="1"/>
        <x:v>80.534000000000376</x:v>
      </x:c>
      <x:c r="H19" s="14">
        <x:v>18992.670000000002</x:v>
      </x:c>
      <x:c r="I19" s="14">
        <x:f t="shared" si="0"/>
        <x:v>0</x:v>
      </x:c>
    </x:row>
    <x:row r="20" spans="1:12" s="11" customFormat="1" x14ac:dyDescent="0.35">
      <x:c r="A20" s="11" t="s">
        <x:v>12</x:v>
      </x:c>
      <x:c r="B20" s="11" t="s">
        <x:v>13</x:v>
      </x:c>
      <x:c r="C20" s="15">
        <x:v>-1431657</x:v>
      </x:c>
      <x:c r="D20" s="24">
        <x:v>1364443</x:v>
      </x:c>
      <x:c r="E20" s="14">
        <x:f>((C20/C$27)*C$12)+D20</x:f>
        <x:v>-67214</x:v>
      </x:c>
      <x:c r="F20" s="12">
        <x:f t="shared" si="1"/>
        <x:v>-13442.8</x:v>
      </x:c>
      <x:c r="H20" s="14">
        <x:v>1364439.44</x:v>
      </x:c>
      <x:c r="I20" s="14">
        <x:f t="shared" si="0"/>
        <x:v>-3.5600000000558794</x:v>
      </x:c>
    </x:row>
    <x:row r="21" spans="1:12" s="11" customFormat="1" x14ac:dyDescent="0.35">
      <x:c r="A21" s="11" t="s">
        <x:v>14</x:v>
      </x:c>
      <x:c r="B21" s="11" t="s">
        <x:v>15</x:v>
      </x:c>
      <x:c r="C21" s="15">
        <x:v>-206308</x:v>
      </x:c>
      <x:c r="D21" s="24">
        <x:v>225329.21</x:v>
      </x:c>
      <x:c r="E21" s="14">
        <x:f>((C21/C$27)*C$12)+D21</x:f>
        <x:v>19021.209999999992</x:v>
      </x:c>
      <x:c r="F21" s="12">
        <x:f t="shared" si="1"/>
        <x:v>3804.2419999999984</x:v>
      </x:c>
      <x:c r="H21" s="14">
        <x:v>225329.21</x:v>
      </x:c>
      <x:c r="I21" s="14">
        <x:f t="shared" si="0"/>
        <x:v>0</x:v>
      </x:c>
    </x:row>
    <x:row r="22" spans="1:12" s="11" customFormat="1" x14ac:dyDescent="0.35">
      <x:c r="A22" s="11" t="s">
        <x:v>16</x:v>
      </x:c>
      <x:c r="B22" s="11" t="s">
        <x:v>17</x:v>
      </x:c>
      <x:c r="C22" s="15">
        <x:v>-129003</x:v>
      </x:c>
      <x:c r="D22" s="24">
        <x:v>128944.39</x:v>
      </x:c>
      <x:c r="E22" s="14">
        <x:f>((C22/C$27)*C$12)+D22</x:f>
        <x:v>-58.610000000000582</x:v>
      </x:c>
      <x:c r="F22" s="12">
        <x:f t="shared" si="1"/>
        <x:v>-11.722000000000117</x:v>
      </x:c>
      <x:c r="H22" s="14">
        <x:v>128939.23</x:v>
      </x:c>
      <x:c r="I22" s="14">
        <x:f t="shared" si="0"/>
        <x:v>-5.1600000000034925</x:v>
      </x:c>
    </x:row>
    <x:row r="23" spans="1:12" s="11" customFormat="1" x14ac:dyDescent="0.35">
      <x:c r="A23" s="11" t="s">
        <x:v>18</x:v>
      </x:c>
      <x:c r="B23" s="11" t="s">
        <x:v>19</x:v>
      </x:c>
      <x:c r="C23" s="15">
        <x:v>-619407</x:v>
      </x:c>
      <x:c r="D23" s="24">
        <x:v>442404.98</x:v>
      </x:c>
      <x:c r="E23" s="14">
        <x:f>((C23/C$27)*C$12)+D23+D17+D14</x:f>
        <x:v>-19874.200000000012</x:v>
      </x:c>
      <x:c r="F23" s="12">
        <x:f t="shared" si="1"/>
        <x:v>-3974.8400000000024</x:v>
      </x:c>
      <x:c r="H23" s="14">
        <x:v>442404.98</x:v>
      </x:c>
      <x:c r="I23" s="14">
        <x:f t="shared" si="0"/>
        <x:v>0</x:v>
      </x:c>
    </x:row>
    <x:row r="24" spans="1:12" s="11" customFormat="1" x14ac:dyDescent="0.35">
      <x:c r="A24" s="11" t="s">
        <x:v>20</x:v>
      </x:c>
      <x:c r="B24" s="11" t="s">
        <x:v>21</x:v>
      </x:c>
      <x:c r="C24" s="15">
        <x:v>-139285</x:v>
      </x:c>
      <x:c r="D24" s="24">
        <x:v>141996.68</x:v>
      </x:c>
      <x:c r="E24" s="14">
        <x:f>((C24/C$27)*C$12)+D24</x:f>
        <x:v>2711.679999999993</x:v>
      </x:c>
      <x:c r="F24" s="12">
        <x:f t="shared" si="1"/>
        <x:v>542.33599999999865</x:v>
      </x:c>
      <x:c r="H24" s="14">
        <x:v>141996.68</x:v>
      </x:c>
      <x:c r="I24" s="14">
        <x:f t="shared" si="0"/>
        <x:v>0</x:v>
      </x:c>
    </x:row>
    <x:row r="25" spans="1:12" s="11" customFormat="1" x14ac:dyDescent="0.35">
      <x:c r="A25" s="11" t="s">
        <x:v>22</x:v>
      </x:c>
      <x:c r="B25" s="11" t="s">
        <x:v>23</x:v>
      </x:c>
      <x:c r="C25" s="25">
        <x:v>-30314</x:v>
      </x:c>
      <x:c r="D25" s="26">
        <x:v>32488.670000000002</x:v>
      </x:c>
      <x:c r="E25" s="27">
        <x:f>((C25/C$27)*C$12)+D25</x:f>
        <x:v>2174.6700000000055</x:v>
      </x:c>
      <x:c r="F25" s="28">
        <x:f t="shared" si="1"/>
        <x:v>434.93400000000111</x:v>
      </x:c>
      <x:c r="H25" s="27">
        <x:v>32488.670000000002</x:v>
      </x:c>
      <x:c r="I25" s="27">
        <x:f t="shared" si="0"/>
        <x:v>0</x:v>
      </x:c>
    </x:row>
    <x:row r="26" spans="1:12" s="11" customFormat="1" x14ac:dyDescent="0.35">
      <x:c r="C26" s="15"/>
      <x:c r="D26" s="14"/>
      <x:c r="E26" s="15"/>
      <x:c r="H26" s="14"/>
      <x:c r="I26" s="14"/>
    </x:row>
    <x:row r="27" spans="1:12" s="11" customFormat="1" x14ac:dyDescent="0.35">
      <x:c r="B27" s="11" t="s">
        <x:v>29</x:v>
      </x:c>
      <x:c r="C27" s="15">
        <x:f>SUM(C14:C26)</x:f>
        <x:v>-57776722</x:v>
      </x:c>
      <x:c r="D27" s="14">
        <x:f>SUM(D14:D26)</x:f>
        <x:v>60145025.289999999</x:v>
      </x:c>
      <x:c r="E27" s="14">
        <x:f>SUM(E14:E26)</x:f>
        <x:v>2368303.289999994</x:v>
      </x:c>
      <x:c r="F27" s="14">
        <x:f>SUM(F14:F26)</x:f>
        <x:v>473660.65799999877</x:v>
      </x:c>
      <x:c r="H27" s="14">
        <x:f>SUM(H12:H25)</x:f>
        <x:v>2367561.2399999993</x:v>
      </x:c>
      <x:c r="I27" s="14">
        <x:f>SUM(I14:I25)</x:f>
        <x:v>-742.05000000059954</x:v>
      </x:c>
    </x:row>
    <x:row r="28" spans="1:12" s="11" customFormat="1" x14ac:dyDescent="0.35">
      <x:c r="D28" s="14"/>
      <x:c r="E28" s="15"/>
      <x:c r="F28" s="29"/>
      <x:c r="I28" s="53" t="s">
        <x:v>55</x:v>
      </x:c>
    </x:row>
    <x:row r="29" spans="1:12" s="11" customFormat="1" x14ac:dyDescent="0.35">
      <x:c r="A29" s="30" t="s">
        <x:v>28</x:v>
      </x:c>
      <x:c r="D29" s="14"/>
      <x:c r="E29" s="15"/>
      <x:c r="F29" s="16"/>
      <x:c r="I29" s="54"/>
    </x:row>
    <x:row r="30" spans="1:12" s="11" customFormat="1" x14ac:dyDescent="0.35">
      <x:c r="D30" s="14"/>
      <x:c r="E30" s="15"/>
      <x:c r="I30" s="54"/>
    </x:row>
    <x:row r="31" spans="1:12" s="11" customFormat="1" x14ac:dyDescent="0.35">
      <x:c r="D31" s="13"/>
      <x:c r="E31" s="13"/>
      <x:c r="H31" s="48" t="s">
        <x:v>59</x:v>
      </x:c>
      <x:c r="I31" s="33">
        <x:f>ROUND(I27/5,2)</x:f>
        <x:v>-148.41</x:v>
      </x:c>
    </x:row>
    <x:row r="32" spans="1:12" x14ac:dyDescent="0.35">
      <x:c r="A32" s="31" t="s">
        <x:v>43</x:v>
      </x:c>
      <x:c r="B32" s="31"/>
      <x:c r="C32" s="32">
        <x:f>E27</x:f>
        <x:v>2368303.289999994</x:v>
      </x:c>
      <x:c r="D32" s="31" t="s">
        <x:v>54</x:v>
      </x:c>
      <x:c r="E32" s="31"/>
      <x:c r="F32" s="31"/>
      <x:c r="G32" s="33"/>
      <x:c r="H32" s="33"/>
      <x:c r="I32" s="31"/>
      <x:c r="J32" s="31"/>
      <x:c r="K32" s="31"/>
      <x:c r="L32" s="31"/>
    </x:row>
    <x:row r="33" spans="1:12" x14ac:dyDescent="0.35">
      <x:c r="A33" s="31"/>
      <x:c r="B33" s="3" t="s">
        <x:v>44</x:v>
      </x:c>
      <x:c r="C33" s="42" t="s">
        <x:v>45</x:v>
      </x:c>
      <x:c r="D33" s="31"/>
      <x:c r="E33" s="31"/>
      <x:c r="F33" s="31"/>
      <x:c r="G33" s="33"/>
      <x:c r="H33" s="33"/>
      <x:c r="I33" s="48" t="s">
        <x:v>60</x:v>
      </x:c>
      <x:c r="J33" s="31"/>
      <x:c r="K33" s="31"/>
      <x:c r="L33" s="31"/>
    </x:row>
    <x:row r="34" spans="1:12" x14ac:dyDescent="0.35">
      <x:c r="A34" s="34">
        <x:v>45047</x:v>
      </x:c>
      <x:c r="B34" s="35">
        <x:v>33843.08</x:v>
      </x:c>
      <x:c r="C34" s="32">
        <x:f>C32-B34</x:f>
        <x:v>2334460.2099999939</x:v>
      </x:c>
      <x:c r="D34" s="31" t="s">
        <x:v>46</x:v>
      </x:c>
      <x:c r="E34" s="31"/>
      <x:c r="F34" s="31"/>
      <x:c r="G34" s="33"/>
      <x:c r="H34" s="33"/>
      <x:c r="I34" s="31"/>
      <x:c r="J34" s="31"/>
      <x:c r="K34" s="31"/>
      <x:c r="L34" s="31"/>
    </x:row>
    <x:row r="35" spans="1:12" x14ac:dyDescent="0.35">
      <x:c r="A35" s="34">
        <x:v>45078</x:v>
      </x:c>
      <x:c r="B35" s="32">
        <x:v>39471.75</x:v>
      </x:c>
      <x:c r="C35" s="32">
        <x:f>C34-B35</x:f>
        <x:v>2294988.4599999939</x:v>
      </x:c>
      <x:c r="D35" s="31"/>
      <x:c r="E35" s="31"/>
      <x:c r="F35" s="31"/>
      <x:c r="G35" s="33"/>
      <x:c r="H35" s="33"/>
      <x:c r="I35" s="31"/>
      <x:c r="J35" s="31"/>
      <x:c r="K35" s="31"/>
      <x:c r="L35" s="31"/>
    </x:row>
    <x:row r="36" spans="1:12" x14ac:dyDescent="0.35">
      <x:c r="A36" s="34">
        <x:v>45108</x:v>
      </x:c>
      <x:c r="B36" s="32">
        <x:f>B35</x:f>
        <x:v>39471.75</x:v>
      </x:c>
      <x:c r="C36" s="32">
        <x:f t="shared" ref="C36:C94" si="2">C35-B36</x:f>
        <x:v>2255516.7099999939</x:v>
      </x:c>
      <x:c r="D36" s="31"/>
      <x:c r="E36" s="31"/>
      <x:c r="F36" s="31"/>
      <x:c r="G36" s="33"/>
      <x:c r="H36" s="33"/>
      <x:c r="I36" s="31"/>
      <x:c r="J36" s="31"/>
      <x:c r="K36" s="31"/>
      <x:c r="L36" s="31"/>
    </x:row>
    <x:row r="37" spans="1:12" x14ac:dyDescent="0.35">
      <x:c r="A37" s="34">
        <x:v>45139</x:v>
      </x:c>
      <x:c r="B37" s="32">
        <x:f t="shared" ref="B37:B93" si="3">B36</x:f>
        <x:v>39471.75</x:v>
      </x:c>
      <x:c r="C37" s="32">
        <x:f t="shared" si="2"/>
        <x:v>2216044.9599999939</x:v>
      </x:c>
      <x:c r="D37" s="31"/>
      <x:c r="E37" s="31"/>
      <x:c r="F37" s="31"/>
      <x:c r="G37" s="35"/>
      <x:c r="H37" s="35"/>
      <x:c r="I37" s="31"/>
      <x:c r="J37" s="31"/>
      <x:c r="K37" s="31"/>
      <x:c r="L37" s="31"/>
    </x:row>
    <x:row r="38" spans="1:12" x14ac:dyDescent="0.35">
      <x:c r="A38" s="34">
        <x:v>45170</x:v>
      </x:c>
      <x:c r="B38" s="32">
        <x:f t="shared" si="3"/>
        <x:v>39471.75</x:v>
      </x:c>
      <x:c r="C38" s="32">
        <x:f t="shared" si="2"/>
        <x:v>2176573.2099999939</x:v>
      </x:c>
      <x:c r="D38" s="31"/>
      <x:c r="E38" s="31"/>
      <x:c r="F38" s="31"/>
      <x:c r="G38" s="35"/>
      <x:c r="H38" s="35"/>
      <x:c r="I38" s="31"/>
      <x:c r="J38" s="31"/>
      <x:c r="K38" s="31"/>
      <x:c r="L38" s="31"/>
    </x:row>
    <x:row r="39" spans="1:12" x14ac:dyDescent="0.35">
      <x:c r="A39" s="34">
        <x:v>45200</x:v>
      </x:c>
      <x:c r="B39" s="32">
        <x:f t="shared" si="3"/>
        <x:v>39471.75</x:v>
      </x:c>
      <x:c r="C39" s="32">
        <x:f t="shared" si="2"/>
        <x:v>2137101.4599999939</x:v>
      </x:c>
      <x:c r="D39" s="31"/>
      <x:c r="E39" s="31"/>
      <x:c r="F39" s="31"/>
      <x:c r="G39" s="35"/>
      <x:c r="H39" s="35"/>
      <x:c r="I39" s="31"/>
      <x:c r="J39" s="31"/>
      <x:c r="K39" s="31"/>
      <x:c r="L39" s="31"/>
    </x:row>
    <x:row r="40" spans="1:12" x14ac:dyDescent="0.35">
      <x:c r="A40" s="34">
        <x:v>45231</x:v>
      </x:c>
      <x:c r="B40" s="32">
        <x:f t="shared" si="3"/>
        <x:v>39471.75</x:v>
      </x:c>
      <x:c r="C40" s="32">
        <x:f t="shared" si="2"/>
        <x:v>2097629.7099999939</x:v>
      </x:c>
      <x:c r="D40" s="31"/>
      <x:c r="E40" s="31"/>
      <x:c r="F40" s="31"/>
      <x:c r="G40" s="35"/>
      <x:c r="H40" s="35"/>
      <x:c r="I40" s="31"/>
      <x:c r="J40" s="31"/>
      <x:c r="K40" s="31"/>
      <x:c r="L40" s="31"/>
    </x:row>
    <x:row r="41" spans="1:12" x14ac:dyDescent="0.35">
      <x:c r="A41" s="34">
        <x:v>45261</x:v>
      </x:c>
      <x:c r="B41" s="32">
        <x:f t="shared" si="3"/>
        <x:v>39471.75</x:v>
      </x:c>
      <x:c r="C41" s="32">
        <x:f t="shared" si="2"/>
        <x:v>2058157.9599999939</x:v>
      </x:c>
      <x:c r="D41" s="31"/>
      <x:c r="E41" s="36" t="s">
        <x:v>47</x:v>
      </x:c>
      <x:c r="F41" s="31"/>
      <x:c r="G41" s="35"/>
      <x:c r="H41" s="35"/>
      <x:c r="I41" s="31"/>
      <x:c r="J41" s="31"/>
      <x:c r="K41" s="31"/>
      <x:c r="L41" s="31"/>
    </x:row>
    <x:row r="42" spans="1:12" x14ac:dyDescent="0.35">
      <x:c r="A42" s="37">
        <x:v>45292</x:v>
      </x:c>
      <x:c r="B42" s="38">
        <x:f t="shared" si="3"/>
        <x:v>39471.75</x:v>
      </x:c>
      <x:c r="C42" s="32">
        <x:f t="shared" si="2"/>
        <x:v>2018686.2099999939</x:v>
      </x:c>
      <x:c r="D42" s="31"/>
      <x:c r="E42" s="38">
        <x:f>B42</x:f>
        <x:v>39471.75</x:v>
      </x:c>
      <x:c r="F42" s="31"/>
      <x:c r="G42" s="35"/>
      <x:c r="H42" s="35"/>
      <x:c r="I42" s="31"/>
      <x:c r="J42" s="31"/>
      <x:c r="K42" s="31"/>
      <x:c r="L42" s="31"/>
    </x:row>
    <x:row r="43" spans="1:12" x14ac:dyDescent="0.35">
      <x:c r="A43" s="37">
        <x:v>45323</x:v>
      </x:c>
      <x:c r="B43" s="38">
        <x:f t="shared" si="3"/>
        <x:v>39471.75</x:v>
      </x:c>
      <x:c r="C43" s="32">
        <x:f t="shared" si="2"/>
        <x:v>1979214.4599999939</x:v>
      </x:c>
      <x:c r="D43" s="35"/>
      <x:c r="E43" s="38">
        <x:f t="shared" ref="E43:E53" si="4">B43</x:f>
        <x:v>39471.75</x:v>
      </x:c>
      <x:c r="F43" s="31"/>
      <x:c r="G43" s="35"/>
      <x:c r="H43" s="35"/>
      <x:c r="I43" s="31"/>
      <x:c r="J43" s="31"/>
      <x:c r="K43" s="31"/>
      <x:c r="L43" s="31"/>
    </x:row>
    <x:row r="44" spans="1:12" x14ac:dyDescent="0.35">
      <x:c r="A44" s="37">
        <x:v>45352</x:v>
      </x:c>
      <x:c r="B44" s="38">
        <x:f t="shared" si="3"/>
        <x:v>39471.75</x:v>
      </x:c>
      <x:c r="C44" s="32">
        <x:f t="shared" si="2"/>
        <x:v>1939742.7099999939</x:v>
      </x:c>
      <x:c r="D44" s="35"/>
      <x:c r="E44" s="38">
        <x:f t="shared" si="4"/>
        <x:v>39471.75</x:v>
      </x:c>
      <x:c r="F44" s="31"/>
      <x:c r="G44" s="35"/>
      <x:c r="H44" s="35"/>
      <x:c r="I44" s="31"/>
      <x:c r="J44" s="31"/>
      <x:c r="K44" s="31"/>
      <x:c r="L44" s="31"/>
    </x:row>
    <x:row r="45" spans="1:12" x14ac:dyDescent="0.35">
      <x:c r="A45" s="37">
        <x:v>45383</x:v>
      </x:c>
      <x:c r="B45" s="38">
        <x:f t="shared" si="3"/>
        <x:v>39471.75</x:v>
      </x:c>
      <x:c r="C45" s="32">
        <x:f t="shared" si="2"/>
        <x:v>1900270.9599999939</x:v>
      </x:c>
      <x:c r="D45" s="35"/>
      <x:c r="E45" s="38">
        <x:f t="shared" si="4"/>
        <x:v>39471.75</x:v>
      </x:c>
      <x:c r="F45" s="31"/>
      <x:c r="G45" s="35"/>
      <x:c r="H45" s="35"/>
      <x:c r="I45" s="31"/>
      <x:c r="J45" s="31"/>
      <x:c r="K45" s="31"/>
      <x:c r="L45" s="31"/>
    </x:row>
    <x:row r="46" spans="1:12" x14ac:dyDescent="0.35">
      <x:c r="A46" s="37">
        <x:v>45413</x:v>
      </x:c>
      <x:c r="B46" s="38">
        <x:f t="shared" si="3"/>
        <x:v>39471.75</x:v>
      </x:c>
      <x:c r="C46" s="32">
        <x:f t="shared" si="2"/>
        <x:v>1860799.2099999939</x:v>
      </x:c>
      <x:c r="D46" s="35"/>
      <x:c r="E46" s="38">
        <x:f t="shared" si="4"/>
        <x:v>39471.75</x:v>
      </x:c>
      <x:c r="F46" s="31"/>
      <x:c r="G46" s="35"/>
      <x:c r="H46" s="35"/>
      <x:c r="I46" s="31"/>
      <x:c r="J46" s="31"/>
      <x:c r="K46" s="31"/>
      <x:c r="L46" s="31"/>
    </x:row>
    <x:row r="47" spans="1:12" x14ac:dyDescent="0.35">
      <x:c r="A47" s="37">
        <x:v>45444</x:v>
      </x:c>
      <x:c r="B47" s="38">
        <x:f t="shared" si="3"/>
        <x:v>39471.75</x:v>
      </x:c>
      <x:c r="C47" s="32">
        <x:f t="shared" si="2"/>
        <x:v>1821327.4599999939</x:v>
      </x:c>
      <x:c r="D47" s="35"/>
      <x:c r="E47" s="38">
        <x:f t="shared" si="4"/>
        <x:v>39471.75</x:v>
      </x:c>
      <x:c r="F47" s="31"/>
      <x:c r="G47" s="35"/>
      <x:c r="H47" s="35"/>
      <x:c r="I47" s="31"/>
      <x:c r="J47" s="31"/>
      <x:c r="K47" s="31"/>
      <x:c r="L47" s="31"/>
    </x:row>
    <x:row r="48" spans="1:12" x14ac:dyDescent="0.35">
      <x:c r="A48" s="37">
        <x:v>45474</x:v>
      </x:c>
      <x:c r="B48" s="38">
        <x:f t="shared" si="3"/>
        <x:v>39471.75</x:v>
      </x:c>
      <x:c r="C48" s="32">
        <x:f t="shared" si="2"/>
        <x:v>1781855.7099999939</x:v>
      </x:c>
      <x:c r="D48" s="35"/>
      <x:c r="E48" s="38">
        <x:f t="shared" si="4"/>
        <x:v>39471.75</x:v>
      </x:c>
      <x:c r="F48" s="31"/>
      <x:c r="G48" s="35"/>
      <x:c r="H48" s="35"/>
      <x:c r="I48" s="31"/>
      <x:c r="J48" s="31"/>
      <x:c r="K48" s="31"/>
      <x:c r="L48" s="31"/>
    </x:row>
    <x:row r="49" spans="1:12" x14ac:dyDescent="0.35">
      <x:c r="A49" s="37">
        <x:v>45505</x:v>
      </x:c>
      <x:c r="B49" s="38">
        <x:f t="shared" si="3"/>
        <x:v>39471.75</x:v>
      </x:c>
      <x:c r="C49" s="32">
        <x:f t="shared" si="2"/>
        <x:v>1742383.9599999939</x:v>
      </x:c>
      <x:c r="D49" s="35"/>
      <x:c r="E49" s="38">
        <x:f t="shared" si="4"/>
        <x:v>39471.75</x:v>
      </x:c>
      <x:c r="F49" s="31"/>
      <x:c r="G49" s="35"/>
      <x:c r="H49" s="35"/>
      <x:c r="I49" s="31"/>
      <x:c r="J49" s="31"/>
      <x:c r="K49" s="31"/>
      <x:c r="L49" s="31"/>
    </x:row>
    <x:row r="50" spans="1:12" x14ac:dyDescent="0.35">
      <x:c r="A50" s="37">
        <x:v>45536</x:v>
      </x:c>
      <x:c r="B50" s="38">
        <x:f t="shared" si="3"/>
        <x:v>39471.75</x:v>
      </x:c>
      <x:c r="C50" s="32">
        <x:f t="shared" si="2"/>
        <x:v>1702912.2099999939</x:v>
      </x:c>
      <x:c r="D50" s="35"/>
      <x:c r="E50" s="38">
        <x:f t="shared" si="4"/>
        <x:v>39471.75</x:v>
      </x:c>
      <x:c r="F50" s="31"/>
      <x:c r="G50" s="35"/>
      <x:c r="H50" s="35"/>
      <x:c r="I50" s="31"/>
      <x:c r="J50" s="31"/>
      <x:c r="K50" s="31"/>
      <x:c r="L50" s="31"/>
    </x:row>
    <x:row r="51" spans="1:12" x14ac:dyDescent="0.35">
      <x:c r="A51" s="37">
        <x:v>45566</x:v>
      </x:c>
      <x:c r="B51" s="38">
        <x:f t="shared" si="3"/>
        <x:v>39471.75</x:v>
      </x:c>
      <x:c r="C51" s="32">
        <x:f t="shared" si="2"/>
        <x:v>1663440.4599999939</x:v>
      </x:c>
      <x:c r="D51" s="35"/>
      <x:c r="E51" s="38">
        <x:f t="shared" si="4"/>
        <x:v>39471.75</x:v>
      </x:c>
      <x:c r="F51" s="31"/>
      <x:c r="G51" s="35"/>
      <x:c r="H51" s="35"/>
      <x:c r="I51" s="31"/>
      <x:c r="J51" s="31"/>
      <x:c r="K51" s="31"/>
      <x:c r="L51" s="31"/>
    </x:row>
    <x:row r="52" spans="1:12" ht="14.5" customHeight="1" x14ac:dyDescent="0.35">
      <x:c r="A52" s="37">
        <x:v>45597</x:v>
      </x:c>
      <x:c r="B52" s="38">
        <x:f t="shared" si="3"/>
        <x:v>39471.75</x:v>
      </x:c>
      <x:c r="C52" s="32">
        <x:f t="shared" si="2"/>
        <x:v>1623968.7099999939</x:v>
      </x:c>
      <x:c r="D52" s="55" t="s">
        <x:v>56</x:v>
      </x:c>
      <x:c r="E52" s="38">
        <x:f t="shared" si="4"/>
        <x:v>39471.75</x:v>
      </x:c>
      <x:c r="F52" s="31"/>
      <x:c r="G52" s="35"/>
      <x:c r="H52" s="35"/>
      <x:c r="I52" s="31"/>
      <x:c r="J52" s="31"/>
      <x:c r="K52" s="31"/>
      <x:c r="L52" s="31"/>
    </x:row>
    <x:row r="53" spans="1:12" x14ac:dyDescent="0.35">
      <x:c r="A53" s="37">
        <x:v>45627</x:v>
      </x:c>
      <x:c r="B53" s="38">
        <x:f t="shared" si="3"/>
        <x:v>39471.75</x:v>
      </x:c>
      <x:c r="C53" s="39">
        <x:f t="shared" si="2"/>
        <x:v>1584496.9599999939</x:v>
      </x:c>
      <x:c r="D53" s="56"/>
      <x:c r="E53" s="40">
        <x:f t="shared" si="4"/>
        <x:v>39471.75</x:v>
      </x:c>
      <x:c r="F53" s="31"/>
      <x:c r="G53" s="35"/>
      <x:c r="H53" s="50" t="s">
        <x:v>56</x:v>
      </x:c>
      <x:c r="I53" s="41">
        <x:f>C53</x:f>
        <x:v>1584496.9599999939</x:v>
      </x:c>
      <x:c r="J53" s="31"/>
      <x:c r="K53" s="31"/>
      <x:c r="L53" s="45"/>
    </x:row>
    <x:row r="54" spans="1:12" x14ac:dyDescent="0.35">
      <x:c r="A54" s="34">
        <x:v>45658</x:v>
      </x:c>
      <x:c r="B54" s="32">
        <x:f t="shared" si="3"/>
        <x:v>39471.75</x:v>
      </x:c>
      <x:c r="C54" s="32">
        <x:f t="shared" si="2"/>
        <x:v>1545025.2099999939</x:v>
      </x:c>
      <x:c r="D54" s="35"/>
      <x:c r="E54" s="38">
        <x:f>SUM(E42:E53)</x:f>
        <x:v>473661</x:v>
      </x:c>
      <x:c r="F54" s="31"/>
      <x:c r="G54" s="35"/>
      <x:c r="H54" s="50" t="s">
        <x:v>57</x:v>
      </x:c>
      <x:c r="I54" s="32">
        <x:f>SUM(I27:I53)</x:f>
        <x:v>1583606.4999999932</x:v>
      </x:c>
      <x:c r="J54" s="46"/>
      <x:c r="K54" s="31"/>
      <x:c r="L54" s="45"/>
    </x:row>
    <x:row r="55" spans="1:12" x14ac:dyDescent="0.35">
      <x:c r="A55" s="34">
        <x:v>45689</x:v>
      </x:c>
      <x:c r="B55" s="32">
        <x:f t="shared" si="3"/>
        <x:v>39471.75</x:v>
      </x:c>
      <x:c r="C55" s="32">
        <x:f t="shared" si="2"/>
        <x:v>1505553.4599999939</x:v>
      </x:c>
      <x:c r="D55" s="35"/>
      <x:c r="E55" s="31" t="s">
        <x:v>61</x:v>
      </x:c>
      <x:c r="F55" s="31"/>
      <x:c r="G55" s="35"/>
      <x:c r="H55" s="35"/>
      <x:c r="I55" s="31"/>
      <x:c r="J55" s="46"/>
      <x:c r="K55" s="31"/>
      <x:c r="L55" s="31"/>
    </x:row>
    <x:row r="56" spans="1:12" x14ac:dyDescent="0.35">
      <x:c r="A56" s="34">
        <x:v>45717</x:v>
      </x:c>
      <x:c r="B56" s="32">
        <x:f t="shared" si="3"/>
        <x:v>39471.75</x:v>
      </x:c>
      <x:c r="C56" s="32">
        <x:f t="shared" si="2"/>
        <x:v>1466081.7099999939</x:v>
      </x:c>
      <x:c r="D56" s="35"/>
      <x:c r="E56" s="31"/>
      <x:c r="F56" s="31"/>
      <x:c r="G56" s="35"/>
      <x:c r="H56" s="35"/>
      <x:c r="I56" s="31"/>
      <x:c r="J56" s="31"/>
      <x:c r="K56" s="31"/>
      <x:c r="L56" s="31"/>
    </x:row>
    <x:row r="57" spans="1:12" x14ac:dyDescent="0.35">
      <x:c r="A57" s="34">
        <x:v>45748</x:v>
      </x:c>
      <x:c r="B57" s="32">
        <x:f t="shared" si="3"/>
        <x:v>39471.75</x:v>
      </x:c>
      <x:c r="C57" s="32">
        <x:f t="shared" si="2"/>
        <x:v>1426609.9599999939</x:v>
      </x:c>
      <x:c r="D57" s="31"/>
      <x:c r="E57" s="31"/>
      <x:c r="F57" s="31"/>
      <x:c r="G57" s="35"/>
      <x:c r="H57" s="35"/>
      <x:c r="I57" s="31"/>
      <x:c r="J57" s="31"/>
      <x:c r="K57" s="31"/>
      <x:c r="L57" s="31"/>
    </x:row>
    <x:row r="58" spans="1:12" x14ac:dyDescent="0.35">
      <x:c r="A58" s="34">
        <x:v>45778</x:v>
      </x:c>
      <x:c r="B58" s="32">
        <x:f t="shared" si="3"/>
        <x:v>39471.75</x:v>
      </x:c>
      <x:c r="C58" s="32">
        <x:f t="shared" si="2"/>
        <x:v>1387138.2099999939</x:v>
      </x:c>
      <x:c r="D58" s="31"/>
      <x:c r="E58" s="31"/>
      <x:c r="F58" s="31"/>
      <x:c r="G58" s="35"/>
      <x:c r="H58" s="35"/>
      <x:c r="I58" s="31"/>
      <x:c r="J58" s="31"/>
      <x:c r="K58" s="31"/>
      <x:c r="L58" s="31"/>
    </x:row>
    <x:row r="59" spans="1:12" x14ac:dyDescent="0.35">
      <x:c r="A59" s="34">
        <x:v>45809</x:v>
      </x:c>
      <x:c r="B59" s="32">
        <x:f t="shared" si="3"/>
        <x:v>39471.75</x:v>
      </x:c>
      <x:c r="C59" s="32">
        <x:f t="shared" si="2"/>
        <x:v>1347666.4599999939</x:v>
      </x:c>
      <x:c r="D59" s="31"/>
      <x:c r="E59" s="31"/>
      <x:c r="F59" s="31"/>
      <x:c r="G59" s="35"/>
      <x:c r="H59" s="35"/>
      <x:c r="I59" s="31"/>
      <x:c r="J59" s="31"/>
      <x:c r="K59" s="31"/>
      <x:c r="L59" s="31"/>
    </x:row>
    <x:row r="60" spans="1:12" x14ac:dyDescent="0.35">
      <x:c r="A60" s="34">
        <x:v>45839</x:v>
      </x:c>
      <x:c r="B60" s="32">
        <x:f t="shared" si="3"/>
        <x:v>39471.75</x:v>
      </x:c>
      <x:c r="C60" s="32">
        <x:f t="shared" si="2"/>
        <x:v>1308194.7099999939</x:v>
      </x:c>
      <x:c r="D60" s="31"/>
      <x:c r="E60" s="31"/>
      <x:c r="F60" s="31"/>
      <x:c r="G60" s="35"/>
      <x:c r="H60" s="35"/>
      <x:c r="I60" s="31"/>
      <x:c r="J60" s="31"/>
      <x:c r="K60" s="31"/>
      <x:c r="L60" s="31"/>
    </x:row>
    <x:row r="61" spans="1:12" x14ac:dyDescent="0.35">
      <x:c r="A61" s="34">
        <x:v>45870</x:v>
      </x:c>
      <x:c r="B61" s="32">
        <x:f t="shared" si="3"/>
        <x:v>39471.75</x:v>
      </x:c>
      <x:c r="C61" s="32">
        <x:f t="shared" si="2"/>
        <x:v>1268722.9599999939</x:v>
      </x:c>
      <x:c r="D61" s="31"/>
      <x:c r="E61" s="31"/>
      <x:c r="F61" s="31"/>
      <x:c r="G61" s="35"/>
      <x:c r="H61" s="35"/>
      <x:c r="I61" s="31"/>
      <x:c r="J61" s="31"/>
      <x:c r="K61" s="31"/>
      <x:c r="L61" s="31"/>
    </x:row>
    <x:row r="62" spans="1:12" x14ac:dyDescent="0.35">
      <x:c r="A62" s="34">
        <x:v>45901</x:v>
      </x:c>
      <x:c r="B62" s="32">
        <x:f t="shared" si="3"/>
        <x:v>39471.75</x:v>
      </x:c>
      <x:c r="C62" s="32">
        <x:f t="shared" si="2"/>
        <x:v>1229251.2099999939</x:v>
      </x:c>
      <x:c r="D62" s="31"/>
      <x:c r="E62" s="31"/>
      <x:c r="F62" s="31"/>
      <x:c r="G62" s="35"/>
      <x:c r="H62" s="35"/>
      <x:c r="I62" s="31"/>
      <x:c r="J62" s="31"/>
      <x:c r="K62" s="31"/>
      <x:c r="L62" s="31"/>
    </x:row>
    <x:row r="63" spans="1:12" x14ac:dyDescent="0.35">
      <x:c r="A63" s="34">
        <x:v>45931</x:v>
      </x:c>
      <x:c r="B63" s="32">
        <x:f t="shared" si="3"/>
        <x:v>39471.75</x:v>
      </x:c>
      <x:c r="C63" s="32">
        <x:f t="shared" si="2"/>
        <x:v>1189779.4599999939</x:v>
      </x:c>
      <x:c r="D63" s="31"/>
      <x:c r="E63" s="31"/>
      <x:c r="F63" s="31"/>
      <x:c r="G63" s="35"/>
      <x:c r="H63" s="35"/>
      <x:c r="I63" s="31"/>
      <x:c r="J63" s="31"/>
      <x:c r="K63" s="31"/>
      <x:c r="L63" s="31"/>
    </x:row>
    <x:row r="64" spans="1:12" x14ac:dyDescent="0.35">
      <x:c r="A64" s="34">
        <x:v>45962</x:v>
      </x:c>
      <x:c r="B64" s="32">
        <x:f t="shared" si="3"/>
        <x:v>39471.75</x:v>
      </x:c>
      <x:c r="C64" s="32">
        <x:f t="shared" si="2"/>
        <x:v>1150307.7099999939</x:v>
      </x:c>
      <x:c r="D64" s="31"/>
      <x:c r="E64" s="31"/>
      <x:c r="F64" s="31"/>
      <x:c r="G64" s="35"/>
      <x:c r="H64" s="35"/>
      <x:c r="I64" s="31"/>
      <x:c r="J64" s="31"/>
      <x:c r="K64" s="31"/>
      <x:c r="L64" s="31"/>
    </x:row>
    <x:row r="65" spans="1:12" x14ac:dyDescent="0.35">
      <x:c r="A65" s="34">
        <x:v>45992</x:v>
      </x:c>
      <x:c r="B65" s="32">
        <x:f t="shared" si="3"/>
        <x:v>39471.75</x:v>
      </x:c>
      <x:c r="C65" s="32">
        <x:f t="shared" si="2"/>
        <x:v>1110835.9599999939</x:v>
      </x:c>
      <x:c r="D65" s="31"/>
      <x:c r="E65" s="31"/>
      <x:c r="F65" s="31"/>
      <x:c r="G65" s="35"/>
      <x:c r="H65" s="35"/>
      <x:c r="I65" s="31"/>
      <x:c r="J65" s="31"/>
      <x:c r="K65" s="31"/>
      <x:c r="L65" s="31"/>
    </x:row>
    <x:row r="66" spans="1:12" x14ac:dyDescent="0.35">
      <x:c r="A66" s="34">
        <x:v>46023</x:v>
      </x:c>
      <x:c r="B66" s="32">
        <x:f t="shared" si="3"/>
        <x:v>39471.75</x:v>
      </x:c>
      <x:c r="C66" s="32">
        <x:f t="shared" si="2"/>
        <x:v>1071364.2099999939</x:v>
      </x:c>
      <x:c r="D66" s="31"/>
      <x:c r="E66" s="31"/>
      <x:c r="F66" s="31"/>
      <x:c r="G66" s="35"/>
      <x:c r="H66" s="35"/>
      <x:c r="I66" s="31"/>
      <x:c r="J66" s="31"/>
      <x:c r="K66" s="31"/>
      <x:c r="L66" s="31"/>
    </x:row>
    <x:row r="67" spans="1:12" x14ac:dyDescent="0.35">
      <x:c r="A67" s="34">
        <x:v>46054</x:v>
      </x:c>
      <x:c r="B67" s="32">
        <x:f t="shared" si="3"/>
        <x:v>39471.75</x:v>
      </x:c>
      <x:c r="C67" s="32">
        <x:f t="shared" si="2"/>
        <x:v>1031892.4599999939</x:v>
      </x:c>
      <x:c r="D67" s="31"/>
      <x:c r="E67" s="31"/>
      <x:c r="F67" s="31"/>
      <x:c r="G67" s="35"/>
      <x:c r="H67" s="35"/>
      <x:c r="I67" s="31"/>
      <x:c r="J67" s="31"/>
      <x:c r="K67" s="31"/>
      <x:c r="L67" s="31"/>
    </x:row>
    <x:row r="68" spans="1:12" x14ac:dyDescent="0.35">
      <x:c r="A68" s="34">
        <x:v>46082</x:v>
      </x:c>
      <x:c r="B68" s="32">
        <x:f t="shared" si="3"/>
        <x:v>39471.75</x:v>
      </x:c>
      <x:c r="C68" s="32">
        <x:f t="shared" si="2"/>
        <x:v>992420.70999999391</x:v>
      </x:c>
      <x:c r="D68" s="31"/>
      <x:c r="E68" s="31"/>
      <x:c r="F68" s="31"/>
      <x:c r="G68" s="35"/>
      <x:c r="H68" s="35"/>
      <x:c r="I68" s="31"/>
      <x:c r="J68" s="31"/>
      <x:c r="K68" s="31"/>
      <x:c r="L68" s="31"/>
    </x:row>
    <x:row r="69" spans="1:12" x14ac:dyDescent="0.35">
      <x:c r="A69" s="34">
        <x:v>46113</x:v>
      </x:c>
      <x:c r="B69" s="32">
        <x:f t="shared" si="3"/>
        <x:v>39471.75</x:v>
      </x:c>
      <x:c r="C69" s="32">
        <x:f t="shared" si="2"/>
        <x:v>952948.95999999391</x:v>
      </x:c>
      <x:c r="D69" s="31"/>
      <x:c r="E69" s="31"/>
      <x:c r="F69" s="31"/>
      <x:c r="G69" s="35"/>
      <x:c r="H69" s="35"/>
      <x:c r="I69" s="31"/>
      <x:c r="J69" s="31"/>
      <x:c r="K69" s="31"/>
      <x:c r="L69" s="31"/>
    </x:row>
    <x:row r="70" spans="1:12" x14ac:dyDescent="0.35">
      <x:c r="A70" s="34">
        <x:v>46143</x:v>
      </x:c>
      <x:c r="B70" s="32">
        <x:f t="shared" si="3"/>
        <x:v>39471.75</x:v>
      </x:c>
      <x:c r="C70" s="32">
        <x:f t="shared" si="2"/>
        <x:v>913477.20999999391</x:v>
      </x:c>
      <x:c r="D70" s="31"/>
      <x:c r="E70" s="31"/>
      <x:c r="F70" s="31"/>
      <x:c r="G70" s="35"/>
      <x:c r="H70" s="35"/>
      <x:c r="I70" s="31"/>
      <x:c r="J70" s="31"/>
      <x:c r="K70" s="31"/>
      <x:c r="L70" s="31"/>
    </x:row>
    <x:row r="71" spans="1:12" x14ac:dyDescent="0.35">
      <x:c r="A71" s="34">
        <x:v>46174</x:v>
      </x:c>
      <x:c r="B71" s="32">
        <x:f t="shared" si="3"/>
        <x:v>39471.75</x:v>
      </x:c>
      <x:c r="C71" s="32">
        <x:f t="shared" si="2"/>
        <x:v>874005.45999999391</x:v>
      </x:c>
      <x:c r="D71" s="31"/>
      <x:c r="E71" s="31"/>
      <x:c r="F71" s="31"/>
      <x:c r="G71" s="35"/>
      <x:c r="H71" s="35"/>
      <x:c r="I71" s="31"/>
      <x:c r="J71" s="31"/>
      <x:c r="K71" s="31"/>
      <x:c r="L71" s="31"/>
    </x:row>
    <x:row r="72" spans="1:12" x14ac:dyDescent="0.35">
      <x:c r="A72" s="34">
        <x:v>46204</x:v>
      </x:c>
      <x:c r="B72" s="32">
        <x:f t="shared" si="3"/>
        <x:v>39471.75</x:v>
      </x:c>
      <x:c r="C72" s="32">
        <x:f t="shared" si="2"/>
        <x:v>834533.70999999391</x:v>
      </x:c>
      <x:c r="D72" s="31"/>
      <x:c r="E72" s="31"/>
      <x:c r="F72" s="31"/>
      <x:c r="G72" s="35"/>
      <x:c r="H72" s="35"/>
      <x:c r="I72" s="31"/>
      <x:c r="J72" s="31"/>
      <x:c r="K72" s="31"/>
      <x:c r="L72" s="31"/>
    </x:row>
    <x:row r="73" spans="1:12" x14ac:dyDescent="0.35">
      <x:c r="A73" s="34">
        <x:v>46235</x:v>
      </x:c>
      <x:c r="B73" s="32">
        <x:f t="shared" si="3"/>
        <x:v>39471.75</x:v>
      </x:c>
      <x:c r="C73" s="32">
        <x:f t="shared" si="2"/>
        <x:v>795061.95999999391</x:v>
      </x:c>
      <x:c r="D73" s="31"/>
      <x:c r="E73" s="31"/>
      <x:c r="F73" s="31"/>
      <x:c r="G73" s="35"/>
      <x:c r="H73" s="35"/>
      <x:c r="I73" s="31"/>
      <x:c r="J73" s="31"/>
      <x:c r="K73" s="31"/>
      <x:c r="L73" s="31"/>
    </x:row>
    <x:row r="74" spans="1:12" x14ac:dyDescent="0.35">
      <x:c r="A74" s="34">
        <x:v>46266</x:v>
      </x:c>
      <x:c r="B74" s="32">
        <x:f t="shared" si="3"/>
        <x:v>39471.75</x:v>
      </x:c>
      <x:c r="C74" s="32">
        <x:f t="shared" si="2"/>
        <x:v>755590.20999999391</x:v>
      </x:c>
      <x:c r="D74" s="31"/>
      <x:c r="E74" s="31"/>
      <x:c r="F74" s="31"/>
      <x:c r="G74" s="35"/>
      <x:c r="H74" s="35"/>
      <x:c r="I74" s="31"/>
      <x:c r="J74" s="31"/>
      <x:c r="K74" s="31"/>
      <x:c r="L74" s="31"/>
    </x:row>
    <x:row r="75" spans="1:12" x14ac:dyDescent="0.35">
      <x:c r="A75" s="34">
        <x:v>46296</x:v>
      </x:c>
      <x:c r="B75" s="32">
        <x:f t="shared" si="3"/>
        <x:v>39471.75</x:v>
      </x:c>
      <x:c r="C75" s="32">
        <x:f t="shared" si="2"/>
        <x:v>716118.45999999391</x:v>
      </x:c>
      <x:c r="D75" s="31"/>
      <x:c r="E75" s="31"/>
      <x:c r="F75" s="31"/>
      <x:c r="G75" s="35"/>
      <x:c r="H75" s="35"/>
      <x:c r="I75" s="31"/>
      <x:c r="J75" s="31"/>
      <x:c r="K75" s="31"/>
      <x:c r="L75" s="31"/>
    </x:row>
    <x:row r="76" spans="1:12" x14ac:dyDescent="0.35">
      <x:c r="A76" s="34">
        <x:v>46327</x:v>
      </x:c>
      <x:c r="B76" s="32">
        <x:f t="shared" si="3"/>
        <x:v>39471.75</x:v>
      </x:c>
      <x:c r="C76" s="32">
        <x:f t="shared" si="2"/>
        <x:v>676646.70999999391</x:v>
      </x:c>
      <x:c r="D76" s="31"/>
      <x:c r="E76" s="31"/>
      <x:c r="F76" s="31"/>
      <x:c r="G76" s="35"/>
      <x:c r="H76" s="35"/>
      <x:c r="I76" s="31"/>
      <x:c r="J76" s="31"/>
      <x:c r="K76" s="31"/>
      <x:c r="L76" s="31"/>
    </x:row>
    <x:row r="77" spans="1:12" x14ac:dyDescent="0.35">
      <x:c r="A77" s="34">
        <x:v>46357</x:v>
      </x:c>
      <x:c r="B77" s="32">
        <x:f t="shared" si="3"/>
        <x:v>39471.75</x:v>
      </x:c>
      <x:c r="C77" s="32">
        <x:f t="shared" si="2"/>
        <x:v>637174.95999999391</x:v>
      </x:c>
      <x:c r="D77" s="31"/>
      <x:c r="E77" s="31"/>
      <x:c r="F77" s="31"/>
      <x:c r="G77" s="35"/>
      <x:c r="H77" s="35"/>
      <x:c r="I77" s="31"/>
      <x:c r="J77" s="31"/>
      <x:c r="K77" s="31"/>
      <x:c r="L77" s="31"/>
    </x:row>
    <x:row r="78" spans="1:12" x14ac:dyDescent="0.35">
      <x:c r="A78" s="34">
        <x:v>46388</x:v>
      </x:c>
      <x:c r="B78" s="32">
        <x:f t="shared" si="3"/>
        <x:v>39471.75</x:v>
      </x:c>
      <x:c r="C78" s="32">
        <x:f t="shared" si="2"/>
        <x:v>597703.20999999391</x:v>
      </x:c>
      <x:c r="D78" s="31"/>
      <x:c r="E78" s="31"/>
      <x:c r="F78" s="31"/>
      <x:c r="G78" s="35"/>
      <x:c r="H78" s="35"/>
      <x:c r="I78" s="31"/>
      <x:c r="J78" s="31"/>
      <x:c r="K78" s="31"/>
      <x:c r="L78" s="31"/>
    </x:row>
    <x:row r="79" spans="1:12" x14ac:dyDescent="0.35">
      <x:c r="A79" s="34">
        <x:v>46419</x:v>
      </x:c>
      <x:c r="B79" s="32">
        <x:f t="shared" si="3"/>
        <x:v>39471.75</x:v>
      </x:c>
      <x:c r="C79" s="32">
        <x:f t="shared" si="2"/>
        <x:v>558231.45999999391</x:v>
      </x:c>
      <x:c r="D79" s="31"/>
      <x:c r="E79" s="31"/>
      <x:c r="F79" s="31"/>
      <x:c r="G79" s="35"/>
      <x:c r="H79" s="35"/>
      <x:c r="I79" s="31"/>
      <x:c r="J79" s="31"/>
      <x:c r="K79" s="31"/>
      <x:c r="L79" s="31"/>
    </x:row>
    <x:row r="80" spans="1:12" x14ac:dyDescent="0.35">
      <x:c r="A80" s="34">
        <x:v>46447</x:v>
      </x:c>
      <x:c r="B80" s="32">
        <x:f t="shared" si="3"/>
        <x:v>39471.75</x:v>
      </x:c>
      <x:c r="C80" s="32">
        <x:f t="shared" si="2"/>
        <x:v>518759.70999999391</x:v>
      </x:c>
      <x:c r="D80" s="31"/>
      <x:c r="E80" s="31"/>
      <x:c r="F80" s="31"/>
      <x:c r="G80" s="35"/>
      <x:c r="H80" s="35"/>
      <x:c r="I80" s="31"/>
      <x:c r="J80" s="31"/>
      <x:c r="K80" s="31"/>
      <x:c r="L80" s="31"/>
    </x:row>
    <x:row r="81" spans="1:12" x14ac:dyDescent="0.35">
      <x:c r="A81" s="34">
        <x:v>46478</x:v>
      </x:c>
      <x:c r="B81" s="32">
        <x:f t="shared" si="3"/>
        <x:v>39471.75</x:v>
      </x:c>
      <x:c r="C81" s="32">
        <x:f t="shared" si="2"/>
        <x:v>479287.95999999391</x:v>
      </x:c>
      <x:c r="D81" s="31"/>
      <x:c r="E81" s="31"/>
      <x:c r="F81" s="31"/>
      <x:c r="G81" s="35"/>
      <x:c r="H81" s="35"/>
      <x:c r="I81" s="31"/>
      <x:c r="J81" s="31"/>
      <x:c r="K81" s="31"/>
      <x:c r="L81" s="31"/>
    </x:row>
    <x:row r="82" spans="1:12" x14ac:dyDescent="0.35">
      <x:c r="A82" s="34">
        <x:v>46508</x:v>
      </x:c>
      <x:c r="B82" s="32">
        <x:f t="shared" si="3"/>
        <x:v>39471.75</x:v>
      </x:c>
      <x:c r="C82" s="32">
        <x:f t="shared" si="2"/>
        <x:v>439816.20999999391</x:v>
      </x:c>
      <x:c r="D82" s="31"/>
      <x:c r="E82" s="31"/>
      <x:c r="F82" s="31"/>
      <x:c r="G82" s="35"/>
      <x:c r="H82" s="35"/>
      <x:c r="I82" s="31"/>
      <x:c r="J82" s="31"/>
      <x:c r="K82" s="31"/>
      <x:c r="L82" s="31"/>
    </x:row>
    <x:row r="83" spans="1:12" x14ac:dyDescent="0.35">
      <x:c r="A83" s="34">
        <x:v>46539</x:v>
      </x:c>
      <x:c r="B83" s="32">
        <x:f t="shared" si="3"/>
        <x:v>39471.75</x:v>
      </x:c>
      <x:c r="C83" s="32">
        <x:f t="shared" si="2"/>
        <x:v>400344.45999999391</x:v>
      </x:c>
      <x:c r="D83" s="31"/>
      <x:c r="E83" s="31"/>
      <x:c r="F83" s="31"/>
      <x:c r="G83" s="35"/>
      <x:c r="H83" s="35"/>
      <x:c r="I83" s="31"/>
      <x:c r="J83" s="31"/>
      <x:c r="K83" s="31"/>
      <x:c r="L83" s="31"/>
    </x:row>
    <x:row r="84" spans="1:12" x14ac:dyDescent="0.35">
      <x:c r="A84" s="34">
        <x:v>46569</x:v>
      </x:c>
      <x:c r="B84" s="32">
        <x:f t="shared" si="3"/>
        <x:v>39471.75</x:v>
      </x:c>
      <x:c r="C84" s="32">
        <x:f t="shared" si="2"/>
        <x:v>360872.70999999391</x:v>
      </x:c>
      <x:c r="D84" s="31"/>
      <x:c r="E84" s="31"/>
      <x:c r="F84" s="31"/>
      <x:c r="G84" s="35"/>
      <x:c r="H84" s="35"/>
      <x:c r="I84" s="31"/>
      <x:c r="J84" s="31"/>
      <x:c r="K84" s="31"/>
      <x:c r="L84" s="31"/>
    </x:row>
    <x:row r="85" spans="1:12" x14ac:dyDescent="0.35">
      <x:c r="A85" s="34">
        <x:v>46600</x:v>
      </x:c>
      <x:c r="B85" s="32">
        <x:f t="shared" si="3"/>
        <x:v>39471.75</x:v>
      </x:c>
      <x:c r="C85" s="32">
        <x:f t="shared" si="2"/>
        <x:v>321400.95999999391</x:v>
      </x:c>
      <x:c r="D85" s="31"/>
      <x:c r="E85" s="31"/>
      <x:c r="F85" s="31"/>
      <x:c r="G85" s="35"/>
      <x:c r="H85" s="35"/>
      <x:c r="I85" s="31"/>
      <x:c r="J85" s="31"/>
      <x:c r="K85" s="31"/>
      <x:c r="L85" s="31"/>
    </x:row>
    <x:row r="86" spans="1:12" x14ac:dyDescent="0.35">
      <x:c r="A86" s="34">
        <x:v>46631</x:v>
      </x:c>
      <x:c r="B86" s="32">
        <x:f t="shared" si="3"/>
        <x:v>39471.75</x:v>
      </x:c>
      <x:c r="C86" s="32">
        <x:f t="shared" si="2"/>
        <x:v>281929.20999999391</x:v>
      </x:c>
      <x:c r="D86" s="31"/>
      <x:c r="E86" s="31"/>
      <x:c r="F86" s="31"/>
      <x:c r="G86" s="35"/>
      <x:c r="H86" s="35"/>
      <x:c r="I86" s="31"/>
      <x:c r="J86" s="31"/>
      <x:c r="K86" s="31"/>
      <x:c r="L86" s="31"/>
    </x:row>
    <x:row r="87" spans="1:12" x14ac:dyDescent="0.35">
      <x:c r="A87" s="34">
        <x:v>46661</x:v>
      </x:c>
      <x:c r="B87" s="32">
        <x:f t="shared" si="3"/>
        <x:v>39471.75</x:v>
      </x:c>
      <x:c r="C87" s="32">
        <x:f t="shared" si="2"/>
        <x:v>242457.45999999391</x:v>
      </x:c>
      <x:c r="D87" s="31"/>
      <x:c r="E87" s="31"/>
      <x:c r="F87" s="31"/>
      <x:c r="G87" s="35"/>
      <x:c r="H87" s="35"/>
      <x:c r="I87" s="31"/>
      <x:c r="J87" s="31"/>
      <x:c r="K87" s="31"/>
      <x:c r="L87" s="31"/>
    </x:row>
    <x:row r="88" spans="1:12" x14ac:dyDescent="0.35">
      <x:c r="A88" s="34">
        <x:v>46692</x:v>
      </x:c>
      <x:c r="B88" s="32">
        <x:f t="shared" si="3"/>
        <x:v>39471.75</x:v>
      </x:c>
      <x:c r="C88" s="32">
        <x:f t="shared" si="2"/>
        <x:v>202985.70999999391</x:v>
      </x:c>
      <x:c r="D88" s="31"/>
      <x:c r="E88" s="31"/>
      <x:c r="F88" s="31"/>
      <x:c r="G88" s="35"/>
      <x:c r="H88" s="35"/>
      <x:c r="I88" s="31"/>
      <x:c r="J88" s="31"/>
      <x:c r="K88" s="31"/>
      <x:c r="L88" s="31"/>
    </x:row>
    <x:row r="89" spans="1:12" x14ac:dyDescent="0.35">
      <x:c r="A89" s="34">
        <x:v>46722</x:v>
      </x:c>
      <x:c r="B89" s="32">
        <x:f t="shared" si="3"/>
        <x:v>39471.75</x:v>
      </x:c>
      <x:c r="C89" s="32">
        <x:f t="shared" si="2"/>
        <x:v>163513.95999999391</x:v>
      </x:c>
      <x:c r="D89" s="31"/>
      <x:c r="E89" s="31"/>
      <x:c r="F89" s="31"/>
      <x:c r="G89" s="35"/>
      <x:c r="H89" s="35"/>
      <x:c r="I89" s="31"/>
      <x:c r="J89" s="31"/>
      <x:c r="K89" s="31"/>
      <x:c r="L89" s="31"/>
    </x:row>
    <x:row r="90" spans="1:12" x14ac:dyDescent="0.35">
      <x:c r="A90" s="34">
        <x:v>46753</x:v>
      </x:c>
      <x:c r="B90" s="32">
        <x:f t="shared" si="3"/>
        <x:v>39471.75</x:v>
      </x:c>
      <x:c r="C90" s="32">
        <x:f t="shared" si="2"/>
        <x:v>124042.20999999391</x:v>
      </x:c>
      <x:c r="D90" s="31"/>
      <x:c r="E90" s="31"/>
      <x:c r="F90" s="31"/>
      <x:c r="G90" s="35"/>
      <x:c r="H90" s="35"/>
      <x:c r="I90" s="31"/>
      <x:c r="J90" s="31"/>
      <x:c r="K90" s="31"/>
      <x:c r="L90" s="31"/>
    </x:row>
    <x:row r="91" spans="1:12" x14ac:dyDescent="0.35">
      <x:c r="A91" s="34">
        <x:v>46784</x:v>
      </x:c>
      <x:c r="B91" s="32">
        <x:f t="shared" si="3"/>
        <x:v>39471.75</x:v>
      </x:c>
      <x:c r="C91" s="32">
        <x:f t="shared" si="2"/>
        <x:v>84570.459999993909</x:v>
      </x:c>
      <x:c r="D91" s="31"/>
      <x:c r="E91" s="31"/>
      <x:c r="F91" s="31"/>
      <x:c r="G91" s="35"/>
      <x:c r="H91" s="35"/>
      <x:c r="I91" s="31"/>
      <x:c r="J91" s="31"/>
      <x:c r="K91" s="31"/>
      <x:c r="L91" s="31"/>
    </x:row>
    <x:row r="92" spans="1:12" x14ac:dyDescent="0.35">
      <x:c r="A92" s="34">
        <x:v>46813</x:v>
      </x:c>
      <x:c r="B92" s="32">
        <x:f t="shared" si="3"/>
        <x:v>39471.75</x:v>
      </x:c>
      <x:c r="C92" s="32">
        <x:f t="shared" si="2"/>
        <x:v>45098.709999993909</x:v>
      </x:c>
      <x:c r="D92" s="31"/>
      <x:c r="E92" s="31"/>
      <x:c r="F92" s="31"/>
      <x:c r="G92" s="35"/>
      <x:c r="H92" s="35"/>
      <x:c r="I92" s="31"/>
      <x:c r="J92" s="31"/>
      <x:c r="K92" s="31"/>
      <x:c r="L92" s="31"/>
    </x:row>
    <x:row r="93" spans="1:12" x14ac:dyDescent="0.35">
      <x:c r="A93" s="34">
        <x:v>46844</x:v>
      </x:c>
      <x:c r="B93" s="32">
        <x:f t="shared" si="3"/>
        <x:v>39471.75</x:v>
      </x:c>
      <x:c r="C93" s="32">
        <x:f t="shared" si="2"/>
        <x:v>5626.9599999939092</x:v>
      </x:c>
      <x:c r="D93" s="31"/>
      <x:c r="E93" s="31"/>
      <x:c r="F93" s="31"/>
      <x:c r="G93" s="35"/>
      <x:c r="H93" s="35"/>
      <x:c r="I93" s="31"/>
      <x:c r="J93" s="31"/>
      <x:c r="K93" s="31"/>
      <x:c r="L93" s="31"/>
    </x:row>
    <x:row r="94" spans="1:12" x14ac:dyDescent="0.35">
      <x:c r="A94" s="34">
        <x:v>46874</x:v>
      </x:c>
      <x:c r="B94" s="41">
        <x:f>C93</x:f>
        <x:v>5626.9599999939092</x:v>
      </x:c>
      <x:c r="C94" s="32">
        <x:f t="shared" si="2"/>
        <x:v>0</x:v>
      </x:c>
      <x:c r="D94" s="31"/>
      <x:c r="E94" s="31"/>
      <x:c r="F94" s="31"/>
      <x:c r="G94" s="35"/>
      <x:c r="H94" s="35"/>
      <x:c r="I94" s="31"/>
      <x:c r="J94" s="31"/>
      <x:c r="K94" s="31"/>
      <x:c r="L94" s="31"/>
    </x:row>
    <x:row r="95" spans="1:12" x14ac:dyDescent="0.35">
      <x:c r="A95" s="34"/>
      <x:c r="B95" s="35">
        <x:f>SUM(B34:B94)</x:f>
        <x:v>2368303.289999994</x:v>
      </x:c>
      <x:c r="C95" s="48" t="s">
        <x:v>48</x:v>
      </x:c>
      <x:c r="D95" s="31"/>
      <x:c r="E95" s="31"/>
      <x:c r="F95" s="31"/>
      <x:c r="G95" s="35"/>
      <x:c r="H95" s="35"/>
      <x:c r="I95" s="31"/>
      <x:c r="J95" s="31"/>
      <x:c r="K95" s="31"/>
      <x:c r="L95" s="31"/>
    </x:row>
  </x:sheetData>
  <x:mergeCells count="2">
    <x:mergeCell ref="I28:I30"/>
    <x:mergeCell ref="D52:D53"/>
  </x:mergeCells>
  <x:printOptions horizontalCentered="1"/>
  <x:pageMargins left="0.25" right="0.25" top="0.75" bottom="0.25" header="0.3" footer="0.3"/>
  <x:pageSetup scale="39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2025-05-01T18:02:21.0000000Z</dcterms:modified>
</coreProperties>
</file>