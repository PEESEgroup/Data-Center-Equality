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10C5E8BC-86DC-475D-97FC-9EC4A5EE95B3}" xr6:coauthVersionLast="47" xr6:coauthVersionMax="47" xr10:uidLastSave="{00000000-0000-0000-0000-000000000000}"/>
  <x:bookViews>
    <x:workbookView xWindow="25974" yWindow="-109" windowWidth="26301" windowHeight="14169" xr2:uid="{9EC1519B-A349-4839-B759-290993118B24}"/>
  </x:bookViews>
  <x:sheets>
    <x:sheet name="WP II-B-5_07" sheetId="1" r:id="rId1"/>
  </x:sheets>
  <x:externalReferences>
    <x:externalReference r:id="rId2"/>
  </x:externalReferences>
  <x:definedNames>
    <x:definedName name="_xlnm.Print_Area" localSheetId="0">'WP II-B-5_07'!$A$3:$N$912</x:definedName>
    <x:definedName name="_xlnm.Print_Titles" localSheetId="0">'WP II-B-5_07'!$A:$B,'WP II-B-5_07'!$2:$2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D97" i="1" l="1"/>
  <x:c r="P548" i="1"/>
  <x:c r="N807" i="1"/>
  <x:c r="N808" i="1"/>
  <x:c r="N809" i="1"/>
  <x:c r="N810" i="1"/>
  <x:c r="N811" i="1"/>
  <x:c r="N812" i="1"/>
  <x:c r="N813" i="1"/>
  <x:c r="N814" i="1"/>
  <x:c r="N815" i="1"/>
  <x:c r="N816" i="1"/>
  <x:c r="N817" i="1"/>
  <x:c r="N818" i="1"/>
  <x:c r="N819" i="1"/>
  <x:c r="N820" i="1"/>
  <x:c r="N821" i="1"/>
  <x:c r="N822" i="1"/>
  <x:c r="N823" i="1"/>
  <x:c r="N824" i="1"/>
  <x:c r="N825" i="1"/>
  <x:c r="N826" i="1"/>
  <x:c r="N827" i="1"/>
  <x:c r="N828" i="1"/>
  <x:c r="N829" i="1"/>
  <x:c r="N830" i="1"/>
  <x:c r="N831" i="1"/>
  <x:c r="N832" i="1"/>
  <x:c r="N833" i="1"/>
  <x:c r="N834" i="1"/>
  <x:c r="N835" i="1"/>
  <x:c r="N836" i="1"/>
  <x:c r="N837" i="1"/>
  <x:c r="N838" i="1"/>
  <x:c r="N839" i="1"/>
  <x:c r="N840" i="1"/>
  <x:c r="N841" i="1"/>
  <x:c r="N842" i="1"/>
  <x:c r="N843" i="1"/>
  <x:c r="N844" i="1"/>
  <x:c r="N845" i="1"/>
  <x:c r="N846" i="1"/>
  <x:c r="N847" i="1"/>
  <x:c r="N848" i="1"/>
  <x:c r="N849" i="1"/>
  <x:c r="N850" i="1"/>
  <x:c r="N851" i="1"/>
  <x:c r="N852" i="1"/>
  <x:c r="N853" i="1"/>
  <x:c r="N854" i="1"/>
  <x:c r="N855" i="1"/>
  <x:c r="N856" i="1"/>
  <x:c r="N857" i="1"/>
  <x:c r="N858" i="1"/>
  <x:c r="N859" i="1"/>
  <x:c r="N860" i="1"/>
  <x:c r="N861" i="1"/>
  <x:c r="N862" i="1"/>
  <x:c r="N863" i="1"/>
  <x:c r="N864" i="1"/>
  <x:c r="N865" i="1"/>
  <x:c r="N866" i="1"/>
  <x:c r="N867" i="1"/>
  <x:c r="N868" i="1"/>
  <x:c r="N869" i="1"/>
  <x:c r="N870" i="1"/>
  <x:c r="N871" i="1"/>
  <x:c r="N872" i="1"/>
  <x:c r="N873" i="1"/>
  <x:c r="N874" i="1"/>
  <x:c r="N875" i="1"/>
  <x:c r="N876" i="1"/>
  <x:c r="N877" i="1"/>
  <x:c r="N878" i="1"/>
  <x:c r="N879" i="1"/>
  <x:c r="N880" i="1"/>
  <x:c r="N881" i="1"/>
  <x:c r="N882" i="1"/>
  <x:c r="N883" i="1"/>
  <x:c r="N884" i="1"/>
  <x:c r="N885" i="1"/>
  <x:c r="N886" i="1"/>
  <x:c r="N887" i="1"/>
  <x:c r="N888" i="1"/>
  <x:c r="N889" i="1"/>
  <x:c r="N890" i="1"/>
  <x:c r="N891" i="1"/>
  <x:c r="N892" i="1"/>
  <x:c r="N893" i="1"/>
  <x:c r="N894" i="1"/>
  <x:c r="N895" i="1"/>
  <x:c r="N896" i="1"/>
  <x:c r="N897" i="1"/>
  <x:c r="N898" i="1"/>
  <x:c r="N899" i="1"/>
  <x:c r="N900" i="1"/>
  <x:c r="N901" i="1"/>
  <x:c r="N902" i="1"/>
  <x:c r="N903" i="1"/>
  <x:c r="N904" i="1"/>
  <x:c r="N905" i="1"/>
  <x:c r="N906" i="1"/>
  <x:c r="N907" i="1"/>
  <x:c r="N908" i="1"/>
  <x:c r="E909" i="1"/>
  <x:c r="C909" i="1"/>
  <x:c r="I907" i="1"/>
  <x:c r="I906" i="1"/>
  <x:c r="I905" i="1"/>
  <x:c r="I904" i="1"/>
  <x:c r="I903" i="1"/>
  <x:c r="I902" i="1"/>
  <x:c r="I901" i="1"/>
  <x:c r="I900" i="1"/>
  <x:c r="I899" i="1"/>
  <x:c r="I898" i="1"/>
  <x:c r="I897" i="1"/>
  <x:c r="I896" i="1"/>
  <x:c r="I895" i="1"/>
  <x:c r="I894" i="1"/>
  <x:c r="I893" i="1"/>
  <x:c r="I892" i="1"/>
  <x:c r="I891" i="1"/>
  <x:c r="I890" i="1"/>
  <x:c r="I889" i="1"/>
  <x:c r="I888" i="1"/>
  <x:c r="I887" i="1"/>
  <x:c r="I886" i="1"/>
  <x:c r="I885" i="1"/>
  <x:c r="I884" i="1"/>
  <x:c r="I883" i="1"/>
  <x:c r="I882" i="1"/>
  <x:c r="I881" i="1"/>
  <x:c r="I880" i="1"/>
  <x:c r="I879" i="1"/>
  <x:c r="I878" i="1"/>
  <x:c r="I877" i="1"/>
  <x:c r="I876" i="1"/>
  <x:c r="I875" i="1"/>
  <x:c r="I874" i="1"/>
  <x:c r="I873" i="1"/>
  <x:c r="I872" i="1"/>
  <x:c r="I871" i="1"/>
  <x:c r="I870" i="1"/>
  <x:c r="I869" i="1"/>
  <x:c r="I868" i="1"/>
  <x:c r="I867" i="1"/>
  <x:c r="I866" i="1"/>
  <x:c r="I865" i="1"/>
  <x:c r="I864" i="1"/>
  <x:c r="I863" i="1"/>
  <x:c r="I862" i="1"/>
  <x:c r="I861" i="1"/>
  <x:c r="I860" i="1"/>
  <x:c r="I859" i="1"/>
  <x:c r="I858" i="1"/>
  <x:c r="I857" i="1"/>
  <x:c r="I856" i="1"/>
  <x:c r="I855" i="1"/>
  <x:c r="I854" i="1"/>
  <x:c r="I853" i="1"/>
  <x:c r="I852" i="1"/>
  <x:c r="I851" i="1"/>
  <x:c r="I850" i="1"/>
  <x:c r="I849" i="1"/>
  <x:c r="I848" i="1"/>
  <x:c r="I847" i="1"/>
  <x:c r="I846" i="1"/>
  <x:c r="I845" i="1"/>
  <x:c r="I844" i="1"/>
  <x:c r="I843" i="1"/>
  <x:c r="I842" i="1"/>
  <x:c r="I841" i="1"/>
  <x:c r="I840" i="1"/>
  <x:c r="I839" i="1"/>
  <x:c r="I838" i="1"/>
  <x:c r="I837" i="1"/>
  <x:c r="I836" i="1"/>
  <x:c r="I835" i="1"/>
  <x:c r="I834" i="1"/>
  <x:c r="I833" i="1"/>
  <x:c r="I832" i="1"/>
  <x:c r="I831" i="1"/>
  <x:c r="I830" i="1"/>
  <x:c r="I829" i="1"/>
  <x:c r="I828" i="1"/>
  <x:c r="I827" i="1"/>
  <x:c r="I826" i="1"/>
  <x:c r="I825" i="1"/>
  <x:c r="I824" i="1"/>
  <x:c r="I823" i="1"/>
  <x:c r="I822" i="1"/>
  <x:c r="I821" i="1"/>
  <x:c r="I820" i="1"/>
  <x:c r="I819" i="1"/>
  <x:c r="I818" i="1"/>
  <x:c r="I817" i="1"/>
  <x:c r="I816" i="1"/>
  <x:c r="I815" i="1"/>
  <x:c r="I814" i="1"/>
  <x:c r="I813" i="1"/>
  <x:c r="I812" i="1"/>
  <x:c r="I811" i="1"/>
  <x:c r="I810" i="1"/>
  <x:c r="I809" i="1"/>
  <x:c r="I808" i="1"/>
  <x:c r="I807" i="1"/>
  <x:c r="H908" i="1"/>
  <x:c r="I908" i="1" s="1"/>
  <x:c r="I909" i="1" l="1"/>
  <x:c r="I639" i="1"/>
  <x:c r="K639" i="1" s="1"/>
  <x:c r="I638" i="1"/>
  <x:c r="K638" i="1" s="1"/>
  <x:c r="I637" i="1"/>
  <x:c r="K637" i="1" s="1"/>
  <x:c r="I636" i="1"/>
  <x:c r="K636" i="1" s="1"/>
  <x:c r="I635" i="1"/>
  <x:c r="K635" i="1" s="1"/>
  <x:c r="I634" i="1"/>
  <x:c r="K634" i="1" s="1"/>
  <x:c r="I633" i="1"/>
  <x:c r="K633" i="1" s="1"/>
  <x:c r="I632" i="1"/>
  <x:c r="K632" i="1" s="1"/>
  <x:c r="I631" i="1"/>
  <x:c r="K631" i="1"/>
  <x:c r="M631" i="1"/>
  <x:c r="N631" i="1"/>
  <x:c r="I719" i="1"/>
  <x:c r="K719" i="1" s="1"/>
  <x:c r="I718" i="1"/>
  <x:c r="K718" i="1" s="1"/>
  <x:c r="I717" i="1"/>
  <x:c r="K717" i="1" s="1"/>
  <x:c r="I716" i="1"/>
  <x:c r="K716" i="1" s="1"/>
  <x:c r="I715" i="1"/>
  <x:c r="K715" i="1" s="1"/>
  <x:c r="I714" i="1"/>
  <x:c r="K714" i="1" s="1"/>
  <x:c r="I713" i="1"/>
  <x:c r="K713" i="1" s="1"/>
  <x:c r="I712" i="1"/>
  <x:c r="K712" i="1" s="1"/>
  <x:c r="I14" i="1"/>
  <x:c r="K14" i="1" s="1"/>
  <x:c r="I12" i="1"/>
  <x:c r="K12" i="1" s="1"/>
  <x:c r="I11" i="1"/>
  <x:c r="K11" i="1" s="1"/>
  <x:c r="I10" i="1"/>
  <x:c r="K10" i="1" s="1"/>
  <x:c r="I9" i="1"/>
  <x:c r="K9" i="1" s="1"/>
  <x:c r="I8" i="1"/>
  <x:c r="K8" i="1" s="1"/>
  <x:c r="I7" i="1"/>
  <x:c r="K7" i="1" s="1"/>
  <x:c r="I6" i="1"/>
  <x:c r="K6" i="1" s="1"/>
  <x:c r="I5" i="1"/>
  <x:c r="K5" i="1" s="1"/>
  <x:c r="I4" i="1"/>
  <x:c r="K4" i="1" s="1"/>
  <x:c r="I3" i="1"/>
  <x:c r="K3" i="1"/>
  <x:c r="M3" i="1"/>
  <x:c r="N3" i="1"/>
  <x:c r="I106" i="1"/>
  <x:c r="K106" i="1" s="1"/>
  <x:c r="I105" i="1"/>
  <x:c r="K105" i="1" s="1"/>
  <x:c r="I104" i="1"/>
  <x:c r="K104" i="1" s="1"/>
  <x:c r="I103" i="1"/>
  <x:c r="K103" i="1" s="1"/>
  <x:c r="I102" i="1"/>
  <x:c r="K102" i="1" s="1"/>
  <x:c r="I101" i="1"/>
  <x:c r="K101" i="1" s="1"/>
  <x:c r="I100" i="1"/>
  <x:c r="K100" i="1" s="1"/>
  <x:c r="I99" i="1"/>
  <x:c r="K99" i="1" s="1"/>
  <x:c r="I194" i="1"/>
  <x:c r="K194" i="1" s="1"/>
  <x:c r="I193" i="1"/>
  <x:c r="K193" i="1" s="1"/>
  <x:c r="I192" i="1"/>
  <x:c r="K192" i="1" s="1"/>
  <x:c r="I191" i="1"/>
  <x:c r="K191" i="1" s="1"/>
  <x:c r="I190" i="1"/>
  <x:c r="K190" i="1" s="1"/>
  <x:c r="I274" i="1"/>
  <x:c r="K274" i="1" s="1"/>
  <x:c r="I273" i="1"/>
  <x:c r="K273" i="1" s="1"/>
  <x:c r="I272" i="1"/>
  <x:c r="K272" i="1" s="1"/>
  <x:c r="I271" i="1"/>
  <x:c r="K271" i="1" s="1"/>
  <x:c r="I270" i="1"/>
  <x:c r="K270" i="1" s="1"/>
  <x:c r="I269" i="1"/>
  <x:c r="K269" i="1" s="1"/>
  <x:c r="I268" i="1"/>
  <x:c r="K268" i="1" s="1"/>
  <x:c r="I361" i="1"/>
  <x:c r="K361" i="1" s="1"/>
  <x:c r="I360" i="1"/>
  <x:c r="K360" i="1" s="1"/>
  <x:c r="I359" i="1"/>
  <x:c r="K359" i="1" s="1"/>
  <x:c r="I358" i="1"/>
  <x:c r="K358" i="1" s="1"/>
  <x:c r="I357" i="1"/>
  <x:c r="K357" i="1" s="1"/>
  <x:c r="I356" i="1"/>
  <x:c r="K356" i="1" s="1"/>
  <x:c r="I443" i="1"/>
  <x:c r="K443" i="1" s="1"/>
  <x:c r="I442" i="1"/>
  <x:c r="K442" i="1" s="1"/>
  <x:c r="I441" i="1"/>
  <x:c r="K441" i="1" s="1"/>
  <x:c r="I440" i="1"/>
  <x:c r="K440" i="1" s="1"/>
  <x:c r="I439" i="1"/>
  <x:c r="K439" i="1" s="1"/>
  <x:c r="I438" i="1"/>
  <x:c r="K438" i="1" s="1"/>
  <x:c r="I437" i="1"/>
  <x:c r="K437" i="1" s="1"/>
  <x:c r="I436" i="1"/>
  <x:c r="K436" i="1" s="1"/>
  <x:c r="I556" i="1"/>
  <x:c r="K556" i="1" s="1"/>
  <x:c r="I555" i="1"/>
  <x:c r="K555" i="1" s="1"/>
  <x:c r="I554" i="1"/>
  <x:c r="K554" i="1" s="1"/>
  <x:c r="I553" i="1"/>
  <x:c r="K553" i="1" s="1"/>
  <x:c r="I552" i="1"/>
  <x:c r="K552" i="1" s="1"/>
  <x:c r="I551" i="1"/>
  <x:c r="K551" i="1" s="1"/>
  <x:c r="I550" i="1"/>
  <x:c r="K550" i="1" s="1"/>
  <x:c r="I795" i="1"/>
  <x:c r="K795" i="1" s="1"/>
  <x:c r="I794" i="1"/>
  <x:c r="K794" i="1" s="1"/>
  <x:c r="I793" i="1"/>
  <x:c r="K793" i="1" s="1"/>
  <x:c r="I792" i="1"/>
  <x:c r="K792" i="1" s="1"/>
  <x:c r="I791" i="1"/>
  <x:c r="K791" i="1" s="1"/>
  <x:c r="I790" i="1"/>
  <x:c r="K790" i="1" s="1"/>
  <x:c r="I789" i="1"/>
  <x:c r="K789" i="1" s="1"/>
  <x:c r="I788" i="1"/>
  <x:c r="K788" i="1" s="1"/>
  <x:c r="I787" i="1"/>
  <x:c r="K787" i="1"/>
  <x:c r="M802" i="1"/>
  <x:c r="I352" i="1"/>
  <x:c r="I351" i="1"/>
  <x:c r="I350" i="1"/>
  <x:c r="I349" i="1"/>
  <x:c r="I348" i="1"/>
  <x:c r="I347" i="1"/>
  <x:c r="I346" i="1"/>
  <x:c r="I345" i="1"/>
  <x:c r="I344" i="1"/>
  <x:c r="I343" i="1"/>
  <x:c r="I342" i="1"/>
  <x:c r="I341" i="1"/>
  <x:c r="I340" i="1"/>
  <x:c r="I339" i="1"/>
  <x:c r="I338" i="1"/>
  <x:c r="I337" i="1"/>
  <x:c r="I336" i="1"/>
  <x:c r="I335" i="1"/>
  <x:c r="I334" i="1"/>
  <x:c r="I333" i="1"/>
  <x:c r="I332" i="1"/>
  <x:c r="I331" i="1"/>
  <x:c r="I330" i="1"/>
  <x:c r="I329" i="1"/>
  <x:c r="I328" i="1"/>
  <x:c r="I327" i="1"/>
  <x:c r="I326" i="1"/>
  <x:c r="I325" i="1"/>
  <x:c r="I324" i="1"/>
  <x:c r="I323" i="1"/>
  <x:c r="I322" i="1"/>
  <x:c r="I321" i="1"/>
  <x:c r="I320" i="1"/>
  <x:c r="I319" i="1"/>
  <x:c r="I318" i="1"/>
  <x:c r="I317" i="1"/>
  <x:c r="I316" i="1"/>
  <x:c r="I315" i="1"/>
  <x:c r="I314" i="1"/>
  <x:c r="I313" i="1"/>
  <x:c r="I312" i="1"/>
  <x:c r="I311" i="1"/>
  <x:c r="I310" i="1"/>
  <x:c r="I309" i="1"/>
  <x:c r="I308" i="1"/>
  <x:c r="I307" i="1"/>
  <x:c r="I306" i="1"/>
  <x:c r="I305" i="1"/>
  <x:c r="I304" i="1"/>
  <x:c r="I303" i="1"/>
  <x:c r="I302" i="1"/>
  <x:c r="I301" i="1"/>
  <x:c r="I300" i="1"/>
  <x:c r="I299" i="1"/>
  <x:c r="I298" i="1"/>
  <x:c r="I297" i="1"/>
  <x:c r="I296" i="1"/>
  <x:c r="I295" i="1"/>
  <x:c r="I294" i="1"/>
  <x:c r="I293" i="1"/>
  <x:c r="I292" i="1"/>
  <x:c r="I291" i="1"/>
  <x:c r="I290" i="1"/>
  <x:c r="I289" i="1"/>
  <x:c r="I288" i="1"/>
  <x:c r="I287" i="1"/>
  <x:c r="I286" i="1"/>
  <x:c r="I285" i="1"/>
  <x:c r="I284" i="1"/>
  <x:c r="I283" i="1"/>
  <x:c r="I282" i="1"/>
  <x:c r="I281" i="1"/>
  <x:c r="I280" i="1"/>
  <x:c r="I279" i="1"/>
  <x:c r="I278" i="1"/>
  <x:c r="I277" i="1"/>
  <x:c r="I276" i="1"/>
  <x:c r="I275" i="1"/>
  <x:c r="I267" i="1"/>
  <x:c r="I263" i="1"/>
  <x:c r="I262" i="1"/>
  <x:c r="I261" i="1"/>
  <x:c r="I260" i="1"/>
  <x:c r="I259" i="1"/>
  <x:c r="I258" i="1"/>
  <x:c r="I257" i="1"/>
  <x:c r="I256" i="1"/>
  <x:c r="I255" i="1"/>
  <x:c r="I801" i="1"/>
  <x:c r="K801" i="1" s="1"/>
  <x:c r="I800" i="1"/>
  <x:c r="K800" i="1" s="1"/>
  <x:c r="I799" i="1"/>
  <x:c r="K799" i="1" s="1"/>
  <x:c r="I798" i="1"/>
  <x:c r="K798" i="1" s="1"/>
  <x:c r="I797" i="1"/>
  <x:c r="K797" i="1" s="1"/>
  <x:c r="I796" i="1"/>
  <x:c r="K796" i="1" s="1"/>
  <x:c r="I785" i="1"/>
  <x:c r="K785" i="1" s="1"/>
  <x:c r="I784" i="1"/>
  <x:c r="K784" i="1" s="1"/>
  <x:c r="I783" i="1"/>
  <x:c r="K783" i="1" s="1"/>
  <x:c r="I782" i="1"/>
  <x:c r="K782" i="1" s="1"/>
  <x:c r="I781" i="1"/>
  <x:c r="K781" i="1" s="1"/>
  <x:c r="I780" i="1"/>
  <x:c r="K780" i="1" s="1"/>
  <x:c r="I779" i="1"/>
  <x:c r="K779" i="1" s="1"/>
  <x:c r="I778" i="1"/>
  <x:c r="K778" i="1" s="1"/>
  <x:c r="I777" i="1"/>
  <x:c r="K777" i="1" s="1"/>
  <x:c r="I776" i="1"/>
  <x:c r="K776" i="1" s="1"/>
  <x:c r="I775" i="1"/>
  <x:c r="K775" i="1" s="1"/>
  <x:c r="I774" i="1"/>
  <x:c r="K774" i="1" s="1"/>
  <x:c r="I773" i="1"/>
  <x:c r="K773" i="1" s="1"/>
  <x:c r="I772" i="1"/>
  <x:c r="K772" i="1" s="1"/>
  <x:c r="I771" i="1"/>
  <x:c r="K771" i="1" s="1"/>
  <x:c r="I770" i="1"/>
  <x:c r="K770" i="1" s="1"/>
  <x:c r="I769" i="1"/>
  <x:c r="K769" i="1" s="1"/>
  <x:c r="I768" i="1"/>
  <x:c r="K768" i="1" s="1"/>
  <x:c r="I767" i="1"/>
  <x:c r="K767" i="1" s="1"/>
  <x:c r="I766" i="1"/>
  <x:c r="K766" i="1" s="1"/>
  <x:c r="I765" i="1"/>
  <x:c r="K765" i="1" s="1"/>
  <x:c r="I764" i="1"/>
  <x:c r="K764" i="1" s="1"/>
  <x:c r="I763" i="1"/>
  <x:c r="K763" i="1" s="1"/>
  <x:c r="I762" i="1"/>
  <x:c r="K762" i="1" s="1"/>
  <x:c r="I761" i="1"/>
  <x:c r="K761" i="1" s="1"/>
  <x:c r="I760" i="1"/>
  <x:c r="K760" i="1" s="1"/>
  <x:c r="I759" i="1"/>
  <x:c r="K759" i="1" s="1"/>
  <x:c r="I758" i="1"/>
  <x:c r="K758" i="1" s="1"/>
  <x:c r="I757" i="1"/>
  <x:c r="K757" i="1" s="1"/>
  <x:c r="I756" i="1"/>
  <x:c r="K756" i="1" s="1"/>
  <x:c r="I755" i="1"/>
  <x:c r="K755" i="1" s="1"/>
  <x:c r="I754" i="1"/>
  <x:c r="K754" i="1" s="1"/>
  <x:c r="I753" i="1"/>
  <x:c r="K753" i="1" s="1"/>
  <x:c r="I752" i="1"/>
  <x:c r="K752" i="1" s="1"/>
  <x:c r="I751" i="1"/>
  <x:c r="K751" i="1" s="1"/>
  <x:c r="I750" i="1"/>
  <x:c r="K750" i="1" s="1"/>
  <x:c r="I749" i="1"/>
  <x:c r="K749" i="1" s="1"/>
  <x:c r="I748" i="1"/>
  <x:c r="K748" i="1" s="1"/>
  <x:c r="I747" i="1"/>
  <x:c r="K747" i="1" s="1"/>
  <x:c r="I746" i="1"/>
  <x:c r="K746" i="1" s="1"/>
  <x:c r="I745" i="1"/>
  <x:c r="K745" i="1" s="1"/>
  <x:c r="I744" i="1"/>
  <x:c r="K744" i="1" s="1"/>
  <x:c r="I743" i="1"/>
  <x:c r="K743" i="1" s="1"/>
  <x:c r="I742" i="1"/>
  <x:c r="K742" i="1" s="1"/>
  <x:c r="I741" i="1"/>
  <x:c r="K741" i="1" s="1"/>
  <x:c r="I740" i="1"/>
  <x:c r="K740" i="1" s="1"/>
  <x:c r="I739" i="1"/>
  <x:c r="K739" i="1" s="1"/>
  <x:c r="I738" i="1"/>
  <x:c r="K738" i="1" s="1"/>
  <x:c r="I737" i="1"/>
  <x:c r="K737" i="1" s="1"/>
  <x:c r="I736" i="1"/>
  <x:c r="K736" i="1" s="1"/>
  <x:c r="I735" i="1"/>
  <x:c r="K735" i="1" s="1"/>
  <x:c r="I734" i="1"/>
  <x:c r="K734" i="1" s="1"/>
  <x:c r="I733" i="1"/>
  <x:c r="K733" i="1" s="1"/>
  <x:c r="I732" i="1"/>
  <x:c r="K732" i="1" s="1"/>
  <x:c r="I731" i="1"/>
  <x:c r="K731" i="1" s="1"/>
  <x:c r="I730" i="1"/>
  <x:c r="K730" i="1" s="1"/>
  <x:c r="I729" i="1"/>
  <x:c r="K729" i="1" s="1"/>
  <x:c r="I728" i="1"/>
  <x:c r="K728" i="1" s="1"/>
  <x:c r="I727" i="1"/>
  <x:c r="K727" i="1" s="1"/>
  <x:c r="I726" i="1"/>
  <x:c r="K726" i="1" s="1"/>
  <x:c r="I725" i="1"/>
  <x:c r="K725" i="1" s="1"/>
  <x:c r="I724" i="1"/>
  <x:c r="K724" i="1" s="1"/>
  <x:c r="I723" i="1"/>
  <x:c r="K723" i="1" s="1"/>
  <x:c r="I722" i="1"/>
  <x:c r="K722" i="1" s="1"/>
  <x:c r="I721" i="1"/>
  <x:c r="K721" i="1" s="1"/>
  <x:c r="I720" i="1"/>
  <x:c r="K720" i="1" s="1"/>
  <x:c r="I711" i="1"/>
  <x:c r="K711" i="1" s="1"/>
  <x:c r="I710" i="1"/>
  <x:c r="K710" i="1" s="1"/>
  <x:c r="I709" i="1"/>
  <x:c r="I707" i="1"/>
  <x:c r="I706" i="1"/>
  <x:c r="K706" i="1" s="1"/>
  <x:c r="I705" i="1"/>
  <x:c r="I704" i="1"/>
  <x:c r="K704" i="1" s="1"/>
  <x:c r="I703" i="1"/>
  <x:c r="I702" i="1"/>
  <x:c r="K702" i="1" s="1"/>
  <x:c r="I701" i="1"/>
  <x:c r="I700" i="1"/>
  <x:c r="K700" i="1" s="1"/>
  <x:c r="I699" i="1"/>
  <x:c r="I698" i="1"/>
  <x:c r="K698" i="1" s="1"/>
  <x:c r="I697" i="1"/>
  <x:c r="I696" i="1"/>
  <x:c r="K696" i="1" s="1"/>
  <x:c r="I695" i="1"/>
  <x:c r="I694" i="1"/>
  <x:c r="K694" i="1" s="1"/>
  <x:c r="I693" i="1"/>
  <x:c r="I692" i="1"/>
  <x:c r="K692" i="1" s="1"/>
  <x:c r="I691" i="1"/>
  <x:c r="I690" i="1"/>
  <x:c r="K690" i="1" s="1"/>
  <x:c r="I689" i="1"/>
  <x:c r="I688" i="1"/>
  <x:c r="K688" i="1" s="1"/>
  <x:c r="I687" i="1"/>
  <x:c r="I686" i="1"/>
  <x:c r="K686" i="1" s="1"/>
  <x:c r="I685" i="1"/>
  <x:c r="I684" i="1"/>
  <x:c r="K684" i="1" s="1"/>
  <x:c r="I683" i="1"/>
  <x:c r="I682" i="1"/>
  <x:c r="K682" i="1" s="1"/>
  <x:c r="I681" i="1"/>
  <x:c r="I680" i="1"/>
  <x:c r="K680" i="1" s="1"/>
  <x:c r="I679" i="1"/>
  <x:c r="I678" i="1"/>
  <x:c r="K678" i="1" s="1"/>
  <x:c r="I677" i="1"/>
  <x:c r="I676" i="1"/>
  <x:c r="K676" i="1" s="1"/>
  <x:c r="I675" i="1"/>
  <x:c r="I674" i="1"/>
  <x:c r="K674" i="1" s="1"/>
  <x:c r="I673" i="1"/>
  <x:c r="I672" i="1"/>
  <x:c r="K672" i="1" s="1"/>
  <x:c r="I671" i="1"/>
  <x:c r="I670" i="1"/>
  <x:c r="K670" i="1" s="1"/>
  <x:c r="I669" i="1"/>
  <x:c r="I668" i="1"/>
  <x:c r="K668" i="1" s="1"/>
  <x:c r="I667" i="1"/>
  <x:c r="I666" i="1"/>
  <x:c r="K666" i="1" s="1"/>
  <x:c r="I665" i="1"/>
  <x:c r="K665" i="1" s="1"/>
  <x:c r="I664" i="1"/>
  <x:c r="K664" i="1" s="1"/>
  <x:c r="I663" i="1"/>
  <x:c r="K663" i="1" s="1"/>
  <x:c r="I662" i="1"/>
  <x:c r="K662" i="1" s="1"/>
  <x:c r="I661" i="1"/>
  <x:c r="K661" i="1" s="1"/>
  <x:c r="I660" i="1"/>
  <x:c r="K660" i="1" s="1"/>
  <x:c r="I659" i="1"/>
  <x:c r="K659" i="1" s="1"/>
  <x:c r="I658" i="1"/>
  <x:c r="K658" i="1" s="1"/>
  <x:c r="I657" i="1"/>
  <x:c r="K657" i="1" s="1"/>
  <x:c r="I656" i="1"/>
  <x:c r="K656" i="1" s="1"/>
  <x:c r="I655" i="1"/>
  <x:c r="K655" i="1" s="1"/>
  <x:c r="I654" i="1"/>
  <x:c r="K654" i="1" s="1"/>
  <x:c r="I653" i="1"/>
  <x:c r="K653" i="1" s="1"/>
  <x:c r="I652" i="1"/>
  <x:c r="K652" i="1" s="1"/>
  <x:c r="I651" i="1"/>
  <x:c r="K651" i="1" s="1"/>
  <x:c r="I650" i="1"/>
  <x:c r="K650" i="1" s="1"/>
  <x:c r="I649" i="1"/>
  <x:c r="K649" i="1" s="1"/>
  <x:c r="I648" i="1"/>
  <x:c r="K648" i="1" s="1"/>
  <x:c r="I647" i="1"/>
  <x:c r="K647" i="1" s="1"/>
  <x:c r="I646" i="1"/>
  <x:c r="K646" i="1" s="1"/>
  <x:c r="I645" i="1"/>
  <x:c r="K645" i="1" s="1"/>
  <x:c r="I644" i="1"/>
  <x:c r="K644" i="1" s="1"/>
  <x:c r="I643" i="1"/>
  <x:c r="K643" i="1" s="1"/>
  <x:c r="I642" i="1"/>
  <x:c r="K642" i="1" s="1"/>
  <x:c r="I641" i="1"/>
  <x:c r="K641" i="1" s="1"/>
  <x:c r="I640" i="1"/>
  <x:c r="K640" i="1" s="1"/>
  <x:c r="I629" i="1"/>
  <x:c r="K629" i="1" s="1"/>
  <x:c r="I628" i="1"/>
  <x:c r="K628" i="1" s="1"/>
  <x:c r="I627" i="1"/>
  <x:c r="K627" i="1" s="1"/>
  <x:c r="I626" i="1"/>
  <x:c r="K626" i="1" s="1"/>
  <x:c r="I625" i="1"/>
  <x:c r="K625" i="1" s="1"/>
  <x:c r="I624" i="1"/>
  <x:c r="K624" i="1" s="1"/>
  <x:c r="I623" i="1"/>
  <x:c r="K623" i="1" s="1"/>
  <x:c r="I622" i="1"/>
  <x:c r="K622" i="1" s="1"/>
  <x:c r="I621" i="1"/>
  <x:c r="K621" i="1" s="1"/>
  <x:c r="I620" i="1"/>
  <x:c r="K620" i="1" s="1"/>
  <x:c r="I619" i="1"/>
  <x:c r="K619" i="1" s="1"/>
  <x:c r="I618" i="1"/>
  <x:c r="K618" i="1" s="1"/>
  <x:c r="I617" i="1"/>
  <x:c r="K617" i="1" s="1"/>
  <x:c r="I616" i="1"/>
  <x:c r="K616" i="1" s="1"/>
  <x:c r="I615" i="1"/>
  <x:c r="K615" i="1" s="1"/>
  <x:c r="I614" i="1"/>
  <x:c r="K614" i="1" s="1"/>
  <x:c r="I613" i="1"/>
  <x:c r="K613" i="1" s="1"/>
  <x:c r="I612" i="1"/>
  <x:c r="K612" i="1" s="1"/>
  <x:c r="I611" i="1"/>
  <x:c r="K611" i="1" s="1"/>
  <x:c r="I610" i="1"/>
  <x:c r="K610" i="1" s="1"/>
  <x:c r="I609" i="1"/>
  <x:c r="K609" i="1" s="1"/>
  <x:c r="I608" i="1"/>
  <x:c r="K608" i="1" s="1"/>
  <x:c r="I607" i="1"/>
  <x:c r="K607" i="1" s="1"/>
  <x:c r="I606" i="1"/>
  <x:c r="K606" i="1" s="1"/>
  <x:c r="I605" i="1"/>
  <x:c r="K605" i="1" s="1"/>
  <x:c r="I604" i="1"/>
  <x:c r="K604" i="1" s="1"/>
  <x:c r="I603" i="1"/>
  <x:c r="K603" i="1" s="1"/>
  <x:c r="I602" i="1"/>
  <x:c r="K602" i="1" s="1"/>
  <x:c r="I601" i="1"/>
  <x:c r="K601" i="1" s="1"/>
  <x:c r="I600" i="1"/>
  <x:c r="K600" i="1" s="1"/>
  <x:c r="I599" i="1"/>
  <x:c r="K599" i="1" s="1"/>
  <x:c r="I598" i="1"/>
  <x:c r="K598" i="1" s="1"/>
  <x:c r="I597" i="1"/>
  <x:c r="K597" i="1" s="1"/>
  <x:c r="I596" i="1"/>
  <x:c r="K596" i="1" s="1"/>
  <x:c r="I595" i="1"/>
  <x:c r="K595" i="1" s="1"/>
  <x:c r="I594" i="1"/>
  <x:c r="K594" i="1" s="1"/>
  <x:c r="I593" i="1"/>
  <x:c r="K593" i="1" s="1"/>
  <x:c r="I592" i="1"/>
  <x:c r="K592" i="1" s="1"/>
  <x:c r="I591" i="1"/>
  <x:c r="K591" i="1" s="1"/>
  <x:c r="I590" i="1"/>
  <x:c r="K590" i="1" s="1"/>
  <x:c r="I589" i="1"/>
  <x:c r="K589" i="1" s="1"/>
  <x:c r="I588" i="1"/>
  <x:c r="K588" i="1" s="1"/>
  <x:c r="I587" i="1"/>
  <x:c r="K587" i="1" s="1"/>
  <x:c r="I586" i="1"/>
  <x:c r="K586" i="1" s="1"/>
  <x:c r="I585" i="1"/>
  <x:c r="K585" i="1" s="1"/>
  <x:c r="I584" i="1"/>
  <x:c r="K584" i="1" s="1"/>
  <x:c r="I583" i="1"/>
  <x:c r="K583" i="1" s="1"/>
  <x:c r="I582" i="1"/>
  <x:c r="K582" i="1" s="1"/>
  <x:c r="I581" i="1"/>
  <x:c r="K581" i="1" s="1"/>
  <x:c r="I580" i="1"/>
  <x:c r="K580" i="1" s="1"/>
  <x:c r="I579" i="1"/>
  <x:c r="K579" i="1" s="1"/>
  <x:c r="I578" i="1"/>
  <x:c r="K578" i="1" s="1"/>
  <x:c r="I577" i="1"/>
  <x:c r="K577" i="1" s="1"/>
  <x:c r="I576" i="1"/>
  <x:c r="K576" i="1" s="1"/>
  <x:c r="I575" i="1"/>
  <x:c r="K575" i="1" s="1"/>
  <x:c r="I574" i="1"/>
  <x:c r="K574" i="1" s="1"/>
  <x:c r="I573" i="1"/>
  <x:c r="K573" i="1" s="1"/>
  <x:c r="I572" i="1"/>
  <x:c r="K572" i="1" s="1"/>
  <x:c r="I571" i="1"/>
  <x:c r="K571" i="1" s="1"/>
  <x:c r="I570" i="1"/>
  <x:c r="K570" i="1" s="1"/>
  <x:c r="I569" i="1"/>
  <x:c r="K569" i="1" s="1"/>
  <x:c r="I568" i="1"/>
  <x:c r="K568" i="1" s="1"/>
  <x:c r="I567" i="1"/>
  <x:c r="K567" i="1" s="1"/>
  <x:c r="I566" i="1"/>
  <x:c r="K566" i="1" s="1"/>
  <x:c r="I565" i="1"/>
  <x:c r="K565" i="1" s="1"/>
  <x:c r="I564" i="1"/>
  <x:c r="K564" i="1" s="1"/>
  <x:c r="I563" i="1"/>
  <x:c r="K563" i="1" s="1"/>
  <x:c r="I562" i="1"/>
  <x:c r="K562" i="1" s="1"/>
  <x:c r="I561" i="1"/>
  <x:c r="K561" i="1" s="1"/>
  <x:c r="I560" i="1"/>
  <x:c r="K560" i="1" s="1"/>
  <x:c r="I559" i="1"/>
  <x:c r="K559" i="1" s="1"/>
  <x:c r="I558" i="1"/>
  <x:c r="K558" i="1" s="1"/>
  <x:c r="I557" i="1"/>
  <x:c r="K557" i="1" s="1"/>
  <x:c r="I549" i="1"/>
  <x:c r="I547" i="1"/>
  <x:c r="K547" i="1" s="1"/>
  <x:c r="I546" i="1"/>
  <x:c r="I545" i="1"/>
  <x:c r="K545" i="1" s="1"/>
  <x:c r="I544" i="1"/>
  <x:c r="I543" i="1"/>
  <x:c r="K543" i="1" s="1"/>
  <x:c r="I542" i="1"/>
  <x:c r="I541" i="1"/>
  <x:c r="K541" i="1" s="1"/>
  <x:c r="I540" i="1"/>
  <x:c r="I539" i="1"/>
  <x:c r="K539" i="1" s="1"/>
  <x:c r="I538" i="1"/>
  <x:c r="I537" i="1"/>
  <x:c r="K537" i="1" s="1"/>
  <x:c r="I536" i="1"/>
  <x:c r="I535" i="1"/>
  <x:c r="K535" i="1" s="1"/>
  <x:c r="I534" i="1"/>
  <x:c r="I533" i="1"/>
  <x:c r="K533" i="1" s="1"/>
  <x:c r="I532" i="1"/>
  <x:c r="I531" i="1"/>
  <x:c r="K531" i="1" s="1"/>
  <x:c r="I530" i="1"/>
  <x:c r="I529" i="1"/>
  <x:c r="K529" i="1" s="1"/>
  <x:c r="I528" i="1"/>
  <x:c r="I527" i="1"/>
  <x:c r="K527" i="1" s="1"/>
  <x:c r="I526" i="1"/>
  <x:c r="K526" i="1" s="1"/>
  <x:c r="I525" i="1"/>
  <x:c r="K525" i="1" s="1"/>
  <x:c r="I524" i="1"/>
  <x:c r="K524" i="1" s="1"/>
  <x:c r="I523" i="1"/>
  <x:c r="K523" i="1" s="1"/>
  <x:c r="I522" i="1"/>
  <x:c r="K522" i="1" s="1"/>
  <x:c r="I521" i="1"/>
  <x:c r="K521" i="1" s="1"/>
  <x:c r="I520" i="1"/>
  <x:c r="K520" i="1" s="1"/>
  <x:c r="I519" i="1"/>
  <x:c r="K519" i="1" s="1"/>
  <x:c r="I518" i="1"/>
  <x:c r="K518" i="1" s="1"/>
  <x:c r="I517" i="1"/>
  <x:c r="K517" i="1" s="1"/>
  <x:c r="I516" i="1"/>
  <x:c r="K516" i="1" s="1"/>
  <x:c r="I515" i="1"/>
  <x:c r="K515" i="1" s="1"/>
  <x:c r="I514" i="1"/>
  <x:c r="K514" i="1" s="1"/>
  <x:c r="I513" i="1"/>
  <x:c r="K513" i="1" s="1"/>
  <x:c r="I512" i="1"/>
  <x:c r="K512" i="1" s="1"/>
  <x:c r="I511" i="1"/>
  <x:c r="K511" i="1" s="1"/>
  <x:c r="I510" i="1"/>
  <x:c r="K510" i="1" s="1"/>
  <x:c r="I509" i="1"/>
  <x:c r="K509" i="1" s="1"/>
  <x:c r="I508" i="1"/>
  <x:c r="K508" i="1" s="1"/>
  <x:c r="I507" i="1"/>
  <x:c r="K507" i="1" s="1"/>
  <x:c r="I506" i="1"/>
  <x:c r="K506" i="1" s="1"/>
  <x:c r="I505" i="1"/>
  <x:c r="K505" i="1" s="1"/>
  <x:c r="I504" i="1"/>
  <x:c r="K504" i="1" s="1"/>
  <x:c r="I503" i="1"/>
  <x:c r="K503" i="1" s="1"/>
  <x:c r="I502" i="1"/>
  <x:c r="K502" i="1" s="1"/>
  <x:c r="I501" i="1"/>
  <x:c r="K501" i="1" s="1"/>
  <x:c r="I500" i="1"/>
  <x:c r="K500" i="1" s="1"/>
  <x:c r="I499" i="1"/>
  <x:c r="K499" i="1" s="1"/>
  <x:c r="I498" i="1"/>
  <x:c r="K498" i="1" s="1"/>
  <x:c r="I497" i="1"/>
  <x:c r="K497" i="1" s="1"/>
  <x:c r="I496" i="1"/>
  <x:c r="K496" i="1" s="1"/>
  <x:c r="I495" i="1"/>
  <x:c r="K495" i="1" s="1"/>
  <x:c r="I494" i="1"/>
  <x:c r="K494" i="1" s="1"/>
  <x:c r="I493" i="1"/>
  <x:c r="K493" i="1" s="1"/>
  <x:c r="I492" i="1"/>
  <x:c r="K492" i="1" s="1"/>
  <x:c r="I491" i="1"/>
  <x:c r="K491" i="1" s="1"/>
  <x:c r="I490" i="1"/>
  <x:c r="K490" i="1" s="1"/>
  <x:c r="I489" i="1"/>
  <x:c r="K489" i="1" s="1"/>
  <x:c r="I488" i="1"/>
  <x:c r="K488" i="1" s="1"/>
  <x:c r="I487" i="1"/>
  <x:c r="K487" i="1" s="1"/>
  <x:c r="I486" i="1"/>
  <x:c r="K486" i="1" s="1"/>
  <x:c r="I485" i="1"/>
  <x:c r="K485" i="1" s="1"/>
  <x:c r="I484" i="1"/>
  <x:c r="K484" i="1" s="1"/>
  <x:c r="I483" i="1"/>
  <x:c r="K483" i="1" s="1"/>
  <x:c r="I482" i="1"/>
  <x:c r="K482" i="1" s="1"/>
  <x:c r="I481" i="1"/>
  <x:c r="K481" i="1" s="1"/>
  <x:c r="I480" i="1"/>
  <x:c r="K480" i="1" s="1"/>
  <x:c r="I479" i="1"/>
  <x:c r="K479" i="1" s="1"/>
  <x:c r="I478" i="1"/>
  <x:c r="K478" i="1" s="1"/>
  <x:c r="I477" i="1"/>
  <x:c r="K477" i="1" s="1"/>
  <x:c r="I476" i="1"/>
  <x:c r="K476" i="1" s="1"/>
  <x:c r="I475" i="1"/>
  <x:c r="K475" i="1" s="1"/>
  <x:c r="I474" i="1"/>
  <x:c r="K474" i="1" s="1"/>
  <x:c r="I473" i="1"/>
  <x:c r="K473" i="1" s="1"/>
  <x:c r="I472" i="1"/>
  <x:c r="K472" i="1" s="1"/>
  <x:c r="I471" i="1"/>
  <x:c r="K471" i="1" s="1"/>
  <x:c r="I470" i="1"/>
  <x:c r="K470" i="1" s="1"/>
  <x:c r="I469" i="1"/>
  <x:c r="K469" i="1" s="1"/>
  <x:c r="I468" i="1"/>
  <x:c r="K468" i="1" s="1"/>
  <x:c r="I467" i="1"/>
  <x:c r="K467" i="1" s="1"/>
  <x:c r="I466" i="1"/>
  <x:c r="K466" i="1" s="1"/>
  <x:c r="I465" i="1"/>
  <x:c r="K465" i="1" s="1"/>
  <x:c r="I464" i="1"/>
  <x:c r="K464" i="1" s="1"/>
  <x:c r="I463" i="1"/>
  <x:c r="K463" i="1" s="1"/>
  <x:c r="I462" i="1"/>
  <x:c r="K462" i="1" s="1"/>
  <x:c r="I461" i="1"/>
  <x:c r="K461" i="1" s="1"/>
  <x:c r="I460" i="1"/>
  <x:c r="K460" i="1" s="1"/>
  <x:c r="I459" i="1"/>
  <x:c r="K459" i="1" s="1"/>
  <x:c r="I458" i="1"/>
  <x:c r="K458" i="1" s="1"/>
  <x:c r="I457" i="1"/>
  <x:c r="K457" i="1" s="1"/>
  <x:c r="I456" i="1"/>
  <x:c r="K456" i="1" s="1"/>
  <x:c r="I455" i="1"/>
  <x:c r="K455" i="1" s="1"/>
  <x:c r="I454" i="1"/>
  <x:c r="K454" i="1" s="1"/>
  <x:c r="I453" i="1"/>
  <x:c r="K453" i="1" s="1"/>
  <x:c r="I452" i="1"/>
  <x:c r="K452" i="1" s="1"/>
  <x:c r="I451" i="1"/>
  <x:c r="K451" i="1" s="1"/>
  <x:c r="I450" i="1"/>
  <x:c r="K450" i="1" s="1"/>
  <x:c r="I449" i="1"/>
  <x:c r="K449" i="1" s="1"/>
  <x:c r="I448" i="1"/>
  <x:c r="K448" i="1" s="1"/>
  <x:c r="I447" i="1"/>
  <x:c r="K447" i="1" s="1"/>
  <x:c r="I446" i="1"/>
  <x:c r="K446" i="1" s="1"/>
  <x:c r="I445" i="1"/>
  <x:c r="K445" i="1" s="1"/>
  <x:c r="I444" i="1"/>
  <x:c r="K444" i="1" s="1"/>
  <x:c r="I435" i="1"/>
  <x:c r="K435" i="1" s="1"/>
  <x:c r="I433" i="1"/>
  <x:c r="I432" i="1"/>
  <x:c r="K432" i="1" s="1"/>
  <x:c r="I431" i="1"/>
  <x:c r="I430" i="1"/>
  <x:c r="K430" i="1" s="1"/>
  <x:c r="I429" i="1"/>
  <x:c r="I428" i="1"/>
  <x:c r="K428" i="1" s="1"/>
  <x:c r="I427" i="1"/>
  <x:c r="I426" i="1"/>
  <x:c r="K426" i="1" s="1"/>
  <x:c r="I425" i="1"/>
  <x:c r="I424" i="1"/>
  <x:c r="K424" i="1" s="1"/>
  <x:c r="I423" i="1"/>
  <x:c r="K423" i="1" s="1"/>
  <x:c r="I422" i="1"/>
  <x:c r="K422" i="1" s="1"/>
  <x:c r="I421" i="1"/>
  <x:c r="K421" i="1" s="1"/>
  <x:c r="I420" i="1"/>
  <x:c r="K420" i="1" s="1"/>
  <x:c r="I419" i="1"/>
  <x:c r="K419" i="1" s="1"/>
  <x:c r="I418" i="1"/>
  <x:c r="K418" i="1" s="1"/>
  <x:c r="I417" i="1"/>
  <x:c r="K417" i="1" s="1"/>
  <x:c r="I416" i="1"/>
  <x:c r="K416" i="1" s="1"/>
  <x:c r="I415" i="1"/>
  <x:c r="K415" i="1" s="1"/>
  <x:c r="I414" i="1"/>
  <x:c r="K414" i="1" s="1"/>
  <x:c r="I413" i="1"/>
  <x:c r="K413" i="1" s="1"/>
  <x:c r="I412" i="1"/>
  <x:c r="K412" i="1" s="1"/>
  <x:c r="I411" i="1"/>
  <x:c r="K411" i="1" s="1"/>
  <x:c r="I410" i="1"/>
  <x:c r="K410" i="1" s="1"/>
  <x:c r="I409" i="1"/>
  <x:c r="K409" i="1" s="1"/>
  <x:c r="I408" i="1"/>
  <x:c r="K408" i="1" s="1"/>
  <x:c r="I407" i="1"/>
  <x:c r="K407" i="1" s="1"/>
  <x:c r="I406" i="1"/>
  <x:c r="K406" i="1" s="1"/>
  <x:c r="I405" i="1"/>
  <x:c r="K405" i="1" s="1"/>
  <x:c r="I404" i="1"/>
  <x:c r="K404" i="1" s="1"/>
  <x:c r="I403" i="1"/>
  <x:c r="K403" i="1" s="1"/>
  <x:c r="I402" i="1"/>
  <x:c r="K402" i="1" s="1"/>
  <x:c r="I401" i="1"/>
  <x:c r="K401" i="1" s="1"/>
  <x:c r="I400" i="1"/>
  <x:c r="K400" i="1" s="1"/>
  <x:c r="I399" i="1"/>
  <x:c r="K399" i="1" s="1"/>
  <x:c r="I398" i="1"/>
  <x:c r="K398" i="1" s="1"/>
  <x:c r="I397" i="1"/>
  <x:c r="K397" i="1" s="1"/>
  <x:c r="I396" i="1"/>
  <x:c r="K396" i="1" s="1"/>
  <x:c r="I395" i="1"/>
  <x:c r="K395" i="1" s="1"/>
  <x:c r="I394" i="1"/>
  <x:c r="K394" i="1" s="1"/>
  <x:c r="I393" i="1"/>
  <x:c r="K393" i="1" s="1"/>
  <x:c r="I392" i="1"/>
  <x:c r="K392" i="1" s="1"/>
  <x:c r="I391" i="1"/>
  <x:c r="K391" i="1" s="1"/>
  <x:c r="I390" i="1"/>
  <x:c r="K390" i="1" s="1"/>
  <x:c r="I389" i="1"/>
  <x:c r="K389" i="1" s="1"/>
  <x:c r="I388" i="1"/>
  <x:c r="K388" i="1" s="1"/>
  <x:c r="I387" i="1"/>
  <x:c r="K387" i="1" s="1"/>
  <x:c r="I386" i="1"/>
  <x:c r="K386" i="1" s="1"/>
  <x:c r="I385" i="1"/>
  <x:c r="K385" i="1" s="1"/>
  <x:c r="I384" i="1"/>
  <x:c r="K384" i="1" s="1"/>
  <x:c r="I383" i="1"/>
  <x:c r="K383" i="1" s="1"/>
  <x:c r="I382" i="1"/>
  <x:c r="K382" i="1" s="1"/>
  <x:c r="I381" i="1"/>
  <x:c r="K381" i="1" s="1"/>
  <x:c r="I380" i="1"/>
  <x:c r="K380" i="1" s="1"/>
  <x:c r="I379" i="1"/>
  <x:c r="K379" i="1" s="1"/>
  <x:c r="I378" i="1"/>
  <x:c r="K378" i="1" s="1"/>
  <x:c r="I377" i="1"/>
  <x:c r="K377" i="1" s="1"/>
  <x:c r="I376" i="1"/>
  <x:c r="K376" i="1" s="1"/>
  <x:c r="I375" i="1"/>
  <x:c r="K375" i="1" s="1"/>
  <x:c r="I374" i="1"/>
  <x:c r="K374" i="1" s="1"/>
  <x:c r="I373" i="1"/>
  <x:c r="K373" i="1" s="1"/>
  <x:c r="I372" i="1"/>
  <x:c r="K372" i="1" s="1"/>
  <x:c r="I371" i="1"/>
  <x:c r="K371" i="1" s="1"/>
  <x:c r="I370" i="1"/>
  <x:c r="K370" i="1" s="1"/>
  <x:c r="I369" i="1"/>
  <x:c r="K369" i="1" s="1"/>
  <x:c r="I368" i="1"/>
  <x:c r="K368" i="1" s="1"/>
  <x:c r="I367" i="1"/>
  <x:c r="K367" i="1" s="1"/>
  <x:c r="I366" i="1"/>
  <x:c r="K366" i="1" s="1"/>
  <x:c r="I365" i="1"/>
  <x:c r="K365" i="1" s="1"/>
  <x:c r="I364" i="1"/>
  <x:c r="K364" i="1" s="1"/>
  <x:c r="I363" i="1"/>
  <x:c r="K363" i="1" s="1"/>
  <x:c r="I362" i="1"/>
  <x:c r="K362" i="1" s="1"/>
  <x:c r="I355" i="1"/>
  <x:c r="K355" i="1" s="1"/>
  <x:c r="I354" i="1"/>
  <x:c r="K354" i="1" s="1"/>
  <x:c r="K307" i="1"/>
  <x:c r="K305" i="1"/>
  <x:c r="K303" i="1"/>
  <x:c r="K301" i="1"/>
  <x:c r="K299" i="1"/>
  <x:c r="K297" i="1"/>
  <x:c r="K295" i="1"/>
  <x:c r="K294" i="1"/>
  <x:c r="K293" i="1"/>
  <x:c r="K292" i="1"/>
  <x:c r="K291" i="1"/>
  <x:c r="K290" i="1"/>
  <x:c r="K289" i="1"/>
  <x:c r="K288" i="1"/>
  <x:c r="K287" i="1"/>
  <x:c r="K286" i="1"/>
  <x:c r="K285" i="1"/>
  <x:c r="K284" i="1"/>
  <x:c r="K283" i="1"/>
  <x:c r="K282" i="1"/>
  <x:c r="K281" i="1"/>
  <x:c r="K280" i="1"/>
  <x:c r="K279" i="1"/>
  <x:c r="K278" i="1"/>
  <x:c r="K277" i="1"/>
  <x:c r="K276" i="1"/>
  <x:c r="K275" i="1"/>
  <x:c r="K267" i="1"/>
  <x:c r="I265" i="1"/>
  <x:c r="I264" i="1"/>
  <x:c r="I254" i="1"/>
  <x:c r="I253" i="1"/>
  <x:c r="I252" i="1"/>
  <x:c r="I251" i="1"/>
  <x:c r="I250" i="1"/>
  <x:c r="I249" i="1"/>
  <x:c r="I248" i="1"/>
  <x:c r="I247" i="1"/>
  <x:c r="I246" i="1"/>
  <x:c r="I245" i="1"/>
  <x:c r="I244" i="1"/>
  <x:c r="I243" i="1"/>
  <x:c r="I242" i="1"/>
  <x:c r="I241" i="1"/>
  <x:c r="I240" i="1"/>
  <x:c r="I239" i="1"/>
  <x:c r="I238" i="1"/>
  <x:c r="I237" i="1"/>
  <x:c r="I236" i="1"/>
  <x:c r="I235" i="1"/>
  <x:c r="I234" i="1"/>
  <x:c r="I233" i="1"/>
  <x:c r="I232" i="1"/>
  <x:c r="I231" i="1"/>
  <x:c r="I230" i="1"/>
  <x:c r="I229" i="1"/>
  <x:c r="I228" i="1"/>
  <x:c r="I227" i="1"/>
  <x:c r="I226" i="1"/>
  <x:c r="I225" i="1"/>
  <x:c r="I224" i="1"/>
  <x:c r="I223" i="1"/>
  <x:c r="I222" i="1"/>
  <x:c r="I221" i="1"/>
  <x:c r="I220" i="1"/>
  <x:c r="I219" i="1"/>
  <x:c r="I218" i="1"/>
  <x:c r="I217" i="1"/>
  <x:c r="I216" i="1"/>
  <x:c r="I215" i="1"/>
  <x:c r="I214" i="1"/>
  <x:c r="I213" i="1"/>
  <x:c r="I212" i="1"/>
  <x:c r="I211" i="1"/>
  <x:c r="I210" i="1"/>
  <x:c r="I209" i="1"/>
  <x:c r="I208" i="1"/>
  <x:c r="I207" i="1"/>
  <x:c r="I206" i="1"/>
  <x:c r="I205" i="1"/>
  <x:c r="I204" i="1"/>
  <x:c r="I203" i="1"/>
  <x:c r="I202" i="1"/>
  <x:c r="I201" i="1"/>
  <x:c r="I200" i="1"/>
  <x:c r="I199" i="1"/>
  <x:c r="I198" i="1"/>
  <x:c r="I197" i="1"/>
  <x:c r="I196" i="1"/>
  <x:c r="I195" i="1"/>
  <x:c r="I189" i="1"/>
  <x:c r="I187" i="1"/>
  <x:c r="I186" i="1"/>
  <x:c r="I185" i="1"/>
  <x:c r="I184" i="1"/>
  <x:c r="I183" i="1"/>
  <x:c r="I182" i="1"/>
  <x:c r="I181" i="1"/>
  <x:c r="I180" i="1"/>
  <x:c r="I179" i="1"/>
  <x:c r="I178" i="1"/>
  <x:c r="I177" i="1"/>
  <x:c r="I176" i="1"/>
  <x:c r="I175" i="1"/>
  <x:c r="I174" i="1"/>
  <x:c r="I173" i="1"/>
  <x:c r="I172" i="1"/>
  <x:c r="I171" i="1"/>
  <x:c r="I170" i="1"/>
  <x:c r="I169" i="1"/>
  <x:c r="I168" i="1"/>
  <x:c r="I167" i="1"/>
  <x:c r="I166" i="1"/>
  <x:c r="I165" i="1"/>
  <x:c r="I164" i="1"/>
  <x:c r="I163" i="1"/>
  <x:c r="I162" i="1"/>
  <x:c r="I161" i="1"/>
  <x:c r="I160" i="1"/>
  <x:c r="I159" i="1"/>
  <x:c r="I158" i="1"/>
  <x:c r="I157" i="1"/>
  <x:c r="I156" i="1"/>
  <x:c r="I155" i="1"/>
  <x:c r="I154" i="1"/>
  <x:c r="I153" i="1"/>
  <x:c r="I152" i="1"/>
  <x:c r="I151" i="1"/>
  <x:c r="I150" i="1"/>
  <x:c r="I149" i="1"/>
  <x:c r="I148" i="1"/>
  <x:c r="I147" i="1"/>
  <x:c r="I146" i="1"/>
  <x:c r="I145" i="1"/>
  <x:c r="I144" i="1"/>
  <x:c r="I143" i="1"/>
  <x:c r="I142" i="1"/>
  <x:c r="I141" i="1"/>
  <x:c r="I140" i="1"/>
  <x:c r="I139" i="1"/>
  <x:c r="I138" i="1"/>
  <x:c r="I137" i="1"/>
  <x:c r="I136" i="1"/>
  <x:c r="I135" i="1"/>
  <x:c r="I134" i="1"/>
  <x:c r="I133" i="1"/>
  <x:c r="I132" i="1"/>
  <x:c r="I131" i="1"/>
  <x:c r="I130" i="1"/>
  <x:c r="I129" i="1"/>
  <x:c r="I128" i="1"/>
  <x:c r="I127" i="1"/>
  <x:c r="I126" i="1"/>
  <x:c r="I125" i="1"/>
  <x:c r="I124" i="1"/>
  <x:c r="I123" i="1"/>
  <x:c r="I122" i="1"/>
  <x:c r="I121" i="1"/>
  <x:c r="I120" i="1"/>
  <x:c r="I119" i="1"/>
  <x:c r="I118" i="1"/>
  <x:c r="I117" i="1"/>
  <x:c r="I116" i="1"/>
  <x:c r="I115" i="1"/>
  <x:c r="I114" i="1"/>
  <x:c r="I113" i="1"/>
  <x:c r="I112" i="1"/>
  <x:c r="I111" i="1"/>
  <x:c r="I110" i="1"/>
  <x:c r="I109" i="1"/>
  <x:c r="I108" i="1"/>
  <x:c r="I107" i="1"/>
  <x:c r="I98" i="1"/>
  <x:c r="I96" i="1"/>
  <x:c r="I95" i="1"/>
  <x:c r="I94" i="1"/>
  <x:c r="I93" i="1"/>
  <x:c r="I92" i="1"/>
  <x:c r="I91" i="1"/>
  <x:c r="I90" i="1"/>
  <x:c r="I89" i="1"/>
  <x:c r="I88" i="1"/>
  <x:c r="I87" i="1"/>
  <x:c r="I86" i="1"/>
  <x:c r="I85" i="1"/>
  <x:c r="I84" i="1"/>
  <x:c r="I83" i="1"/>
  <x:c r="I82" i="1"/>
  <x:c r="I81" i="1"/>
  <x:c r="I80" i="1"/>
  <x:c r="I79" i="1"/>
  <x:c r="I78" i="1"/>
  <x:c r="I77" i="1"/>
  <x:c r="I76" i="1"/>
  <x:c r="I75" i="1"/>
  <x:c r="I74" i="1"/>
  <x:c r="I73" i="1"/>
  <x:c r="I72" i="1"/>
  <x:c r="I71" i="1"/>
  <x:c r="I70" i="1"/>
  <x:c r="I69" i="1"/>
  <x:c r="I68" i="1"/>
  <x:c r="I67" i="1"/>
  <x:c r="I66" i="1"/>
  <x:c r="I65" i="1"/>
  <x:c r="I64" i="1"/>
  <x:c r="I63" i="1"/>
  <x:c r="I62" i="1"/>
  <x:c r="I61" i="1"/>
  <x:c r="I60" i="1"/>
  <x:c r="I59" i="1"/>
  <x:c r="I58" i="1"/>
  <x:c r="I57" i="1"/>
  <x:c r="I56" i="1"/>
  <x:c r="I55" i="1"/>
  <x:c r="I54" i="1"/>
  <x:c r="I53" i="1"/>
  <x:c r="I52" i="1"/>
  <x:c r="I51" i="1"/>
  <x:c r="I50" i="1"/>
  <x:c r="I49" i="1"/>
  <x:c r="I48" i="1"/>
  <x:c r="I47" i="1"/>
  <x:c r="I46" i="1"/>
  <x:c r="I45" i="1"/>
  <x:c r="I44" i="1"/>
  <x:c r="I43" i="1"/>
  <x:c r="I42" i="1"/>
  <x:c r="I41" i="1"/>
  <x:c r="I40" i="1"/>
  <x:c r="I39" i="1"/>
  <x:c r="I38" i="1"/>
  <x:c r="I37" i="1"/>
  <x:c r="I36" i="1"/>
  <x:c r="I35" i="1"/>
  <x:c r="I34" i="1"/>
  <x:c r="I33" i="1"/>
  <x:c r="I32" i="1"/>
  <x:c r="I31" i="1"/>
  <x:c r="I30" i="1"/>
  <x:c r="I29" i="1"/>
  <x:c r="I28" i="1"/>
  <x:c r="I27" i="1"/>
  <x:c r="I26" i="1"/>
  <x:c r="I25" i="1"/>
  <x:c r="I24" i="1"/>
  <x:c r="I23" i="1"/>
  <x:c r="I22" i="1"/>
  <x:c r="I21" i="1"/>
  <x:c r="I20" i="1"/>
  <x:c r="I19" i="1"/>
  <x:c r="I18" i="1"/>
  <x:c r="I17" i="1"/>
  <x:c r="I16" i="1"/>
  <x:c r="I15" i="1"/>
  <x:c r="I13" i="1"/>
  <x:c r="K13" i="1"/>
  <x:c r="K15" i="1"/>
  <x:c r="K16" i="1"/>
  <x:c r="K17" i="1"/>
  <x:c r="K18" i="1"/>
  <x:c r="K19" i="1"/>
  <x:c r="K20" i="1"/>
  <x:c r="K21" i="1"/>
  <x:c r="K22" i="1"/>
  <x:c r="K23" i="1"/>
  <x:c r="K24" i="1"/>
  <x:c r="K25" i="1"/>
  <x:c r="K26" i="1"/>
  <x:c r="K27" i="1"/>
  <x:c r="K28" i="1"/>
  <x:c r="K29" i="1"/>
  <x:c r="K30" i="1"/>
  <x:c r="K31" i="1"/>
  <x:c r="K32" i="1"/>
  <x:c r="K33" i="1"/>
  <x:c r="K34" i="1"/>
  <x:c r="K35" i="1"/>
  <x:c r="K36" i="1"/>
  <x:c r="K37" i="1"/>
  <x:c r="K38" i="1"/>
  <x:c r="K39" i="1"/>
  <x:c r="K40" i="1"/>
  <x:c r="K41" i="1"/>
  <x:c r="K42" i="1"/>
  <x:c r="K43" i="1"/>
  <x:c r="K44" i="1"/>
  <x:c r="K45" i="1"/>
  <x:c r="K46" i="1"/>
  <x:c r="K47" i="1"/>
  <x:c r="K48" i="1"/>
  <x:c r="K49" i="1"/>
  <x:c r="K50" i="1"/>
  <x:c r="K51" i="1"/>
  <x:c r="K52" i="1"/>
  <x:c r="K53" i="1"/>
  <x:c r="K54" i="1"/>
  <x:c r="K55" i="1"/>
  <x:c r="K56" i="1"/>
  <x:c r="K57" i="1"/>
  <x:c r="K58" i="1"/>
  <x:c r="K59" i="1"/>
  <x:c r="K60" i="1"/>
  <x:c r="K61" i="1"/>
  <x:c r="K62" i="1"/>
  <x:c r="K63" i="1"/>
  <x:c r="K64" i="1"/>
  <x:c r="K65" i="1"/>
  <x:c r="K66" i="1"/>
  <x:c r="K67" i="1"/>
  <x:c r="K68" i="1"/>
  <x:c r="K69" i="1"/>
  <x:c r="K70" i="1"/>
  <x:c r="K71" i="1"/>
  <x:c r="K72" i="1"/>
  <x:c r="K73" i="1"/>
  <x:c r="K74" i="1"/>
  <x:c r="K75" i="1"/>
  <x:c r="K76" i="1"/>
  <x:c r="K77" i="1"/>
  <x:c r="K78" i="1"/>
  <x:c r="K79" i="1"/>
  <x:c r="K80" i="1"/>
  <x:c r="K81" i="1"/>
  <x:c r="K82" i="1"/>
  <x:c r="K83" i="1"/>
  <x:c r="K84" i="1"/>
  <x:c r="K85" i="1"/>
  <x:c r="K86" i="1"/>
  <x:c r="K87" i="1"/>
  <x:c r="K88" i="1"/>
  <x:c r="K89" i="1"/>
  <x:c r="K90" i="1"/>
  <x:c r="K91" i="1"/>
  <x:c r="K92" i="1"/>
  <x:c r="K93" i="1"/>
  <x:c r="K94" i="1"/>
  <x:c r="K95" i="1"/>
  <x:c r="K96" i="1"/>
  <x:c r="C802" i="1"/>
  <x:c r="C786" i="1"/>
  <x:c r="C708" i="1"/>
  <x:c r="C630" i="1"/>
  <x:c r="C548" i="1"/>
  <x:c r="C434" i="1"/>
  <x:c r="C353" i="1"/>
  <x:c r="C266" i="1"/>
  <x:c r="C188" i="1"/>
  <x:c r="C97" i="1"/>
  <x:c r="K909" i="1" l="1"/>
  <x:c r="N909" i="1" s="1"/>
  <x:c r="N796" i="1"/>
  <x:c r="N788" i="1"/>
  <x:c r="N789" i="1"/>
  <x:c r="N790" i="1"/>
  <x:c r="N791" i="1"/>
  <x:c r="N792" i="1"/>
  <x:c r="N793" i="1"/>
  <x:c r="N795" i="1"/>
  <x:c r="M190" i="1"/>
  <x:c r="M191" i="1"/>
  <x:c r="M192" i="1"/>
  <x:c r="M193" i="1"/>
  <x:c r="M194" i="1"/>
  <x:c r="N633" i="1"/>
  <x:c r="M633" i="1"/>
  <x:c r="N634" i="1"/>
  <x:c r="M634" i="1"/>
  <x:c r="N635" i="1"/>
  <x:c r="M635" i="1"/>
  <x:c r="N636" i="1"/>
  <x:c r="M636" i="1"/>
  <x:c r="N637" i="1"/>
  <x:c r="M637" i="1"/>
  <x:c r="N638" i="1"/>
  <x:c r="M638" i="1"/>
  <x:c r="N639" i="1"/>
  <x:c r="M639" i="1"/>
  <x:c r="N632" i="1"/>
  <x:c r="M632" i="1"/>
  <x:c r="N715" i="1"/>
  <x:c r="M715" i="1"/>
  <x:c r="N716" i="1"/>
  <x:c r="M716" i="1"/>
  <x:c r="N717" i="1"/>
  <x:c r="M717" i="1"/>
  <x:c r="N718" i="1"/>
  <x:c r="M718" i="1"/>
  <x:c r="N719" i="1"/>
  <x:c r="M719" i="1"/>
  <x:c r="N714" i="1"/>
  <x:c r="M714" i="1"/>
  <x:c r="N713" i="1"/>
  <x:c r="M713" i="1"/>
  <x:c r="N712" i="1"/>
  <x:c r="M712" i="1"/>
  <x:c r="N4" i="1"/>
  <x:c r="M4" i="1"/>
  <x:c r="N5" i="1"/>
  <x:c r="M5" i="1"/>
  <x:c r="N6" i="1"/>
  <x:c r="M6" i="1"/>
  <x:c r="N7" i="1"/>
  <x:c r="M7" i="1"/>
  <x:c r="N8" i="1"/>
  <x:c r="M8" i="1"/>
  <x:c r="N9" i="1"/>
  <x:c r="M9" i="1"/>
  <x:c r="N10" i="1"/>
  <x:c r="M10" i="1"/>
  <x:c r="N11" i="1"/>
  <x:c r="M11" i="1"/>
  <x:c r="N12" i="1"/>
  <x:c r="M12" i="1"/>
  <x:c r="N14" i="1"/>
  <x:c r="M14" i="1"/>
  <x:c r="N99" i="1"/>
  <x:c r="M99" i="1"/>
  <x:c r="N100" i="1"/>
  <x:c r="M100" i="1"/>
  <x:c r="N101" i="1"/>
  <x:c r="M101" i="1"/>
  <x:c r="N102" i="1"/>
  <x:c r="M102" i="1"/>
  <x:c r="N103" i="1"/>
  <x:c r="M103" i="1"/>
  <x:c r="N104" i="1"/>
  <x:c r="M104" i="1"/>
  <x:c r="N105" i="1"/>
  <x:c r="M105" i="1"/>
  <x:c r="N106" i="1"/>
  <x:c r="M106" i="1"/>
  <x:c r="N268" i="1"/>
  <x:c r="M268" i="1"/>
  <x:c r="N269" i="1"/>
  <x:c r="M269" i="1"/>
  <x:c r="N270" i="1"/>
  <x:c r="M270" i="1"/>
  <x:c r="N271" i="1"/>
  <x:c r="M271" i="1"/>
  <x:c r="N272" i="1"/>
  <x:c r="M272" i="1"/>
  <x:c r="N273" i="1"/>
  <x:c r="M273" i="1"/>
  <x:c r="N274" i="1"/>
  <x:c r="M274" i="1"/>
  <x:c r="N356" i="1"/>
  <x:c r="M356" i="1"/>
  <x:c r="N357" i="1"/>
  <x:c r="M357" i="1"/>
  <x:c r="N358" i="1"/>
  <x:c r="M358" i="1"/>
  <x:c r="N359" i="1"/>
  <x:c r="M359" i="1"/>
  <x:c r="N360" i="1"/>
  <x:c r="M360" i="1"/>
  <x:c r="N361" i="1"/>
  <x:c r="M361" i="1"/>
  <x:c r="N436" i="1"/>
  <x:c r="M436" i="1"/>
  <x:c r="N437" i="1"/>
  <x:c r="M437" i="1"/>
  <x:c r="N438" i="1"/>
  <x:c r="M438" i="1"/>
  <x:c r="N439" i="1"/>
  <x:c r="M439" i="1"/>
  <x:c r="N440" i="1"/>
  <x:c r="M440" i="1"/>
  <x:c r="N441" i="1"/>
  <x:c r="M441" i="1"/>
  <x:c r="N442" i="1"/>
  <x:c r="M442" i="1"/>
  <x:c r="N443" i="1"/>
  <x:c r="M443" i="1"/>
  <x:c r="N550" i="1"/>
  <x:c r="M550" i="1"/>
  <x:c r="N551" i="1"/>
  <x:c r="M551" i="1"/>
  <x:c r="N552" i="1"/>
  <x:c r="M552" i="1"/>
  <x:c r="N553" i="1"/>
  <x:c r="M553" i="1"/>
  <x:c r="N554" i="1"/>
  <x:c r="M554" i="1"/>
  <x:c r="N555" i="1"/>
  <x:c r="M555" i="1"/>
  <x:c r="N556" i="1"/>
  <x:c r="M556" i="1"/>
  <x:c r="I353" i="1"/>
  <x:c r="M82" i="1"/>
  <x:c r="M78" i="1"/>
  <x:c r="M72" i="1"/>
  <x:c r="M68" i="1"/>
  <x:c r="M64" i="1"/>
  <x:c r="M60" i="1"/>
  <x:c r="M56" i="1"/>
  <x:c r="M52" i="1"/>
  <x:c r="M48" i="1"/>
  <x:c r="M44" i="1"/>
  <x:c r="M40" i="1"/>
  <x:c r="M36" i="1"/>
  <x:c r="M32" i="1"/>
  <x:c r="M28" i="1"/>
  <x:c r="M24" i="1"/>
  <x:c r="M18" i="1"/>
  <x:c r="M80" i="1"/>
  <x:c r="M76" i="1"/>
  <x:c r="M74" i="1"/>
  <x:c r="M70" i="1"/>
  <x:c r="M66" i="1"/>
  <x:c r="M62" i="1"/>
  <x:c r="M58" i="1"/>
  <x:c r="M54" i="1"/>
  <x:c r="M50" i="1"/>
  <x:c r="M46" i="1"/>
  <x:c r="M42" i="1"/>
  <x:c r="M38" i="1"/>
  <x:c r="M34" i="1"/>
  <x:c r="M30" i="1"/>
  <x:c r="M26" i="1"/>
  <x:c r="M22" i="1"/>
  <x:c r="M20" i="1"/>
  <x:c r="M16" i="1"/>
  <x:c r="M83" i="1"/>
  <x:c r="M81" i="1"/>
  <x:c r="M79" i="1"/>
  <x:c r="M77" i="1"/>
  <x:c r="M75" i="1"/>
  <x:c r="M73" i="1"/>
  <x:c r="M71" i="1"/>
  <x:c r="M69" i="1"/>
  <x:c r="M67" i="1"/>
  <x:c r="M65" i="1"/>
  <x:c r="M63" i="1"/>
  <x:c r="M61" i="1"/>
  <x:c r="M59" i="1"/>
  <x:c r="M57" i="1"/>
  <x:c r="M55" i="1"/>
  <x:c r="M53" i="1"/>
  <x:c r="M51" i="1"/>
  <x:c r="M49" i="1"/>
  <x:c r="M47" i="1"/>
  <x:c r="M45" i="1"/>
  <x:c r="M43" i="1"/>
  <x:c r="M41" i="1"/>
  <x:c r="M39" i="1"/>
  <x:c r="M37" i="1"/>
  <x:c r="M35" i="1"/>
  <x:c r="M33" i="1"/>
  <x:c r="M31" i="1"/>
  <x:c r="M29" i="1"/>
  <x:c r="M27" i="1"/>
  <x:c r="M25" i="1"/>
  <x:c r="M23" i="1"/>
  <x:c r="M21" i="1"/>
  <x:c r="M19" i="1"/>
  <x:c r="M17" i="1"/>
  <x:c r="M15" i="1"/>
  <x:c r="M13" i="1"/>
  <x:c r="I188" i="1"/>
  <x:c r="K264" i="1"/>
  <x:c r="K262" i="1"/>
  <x:c r="K260" i="1"/>
  <x:c r="K258" i="1"/>
  <x:c r="K256" i="1"/>
  <x:c r="K254" i="1"/>
  <x:c r="K252" i="1"/>
  <x:c r="K250" i="1"/>
  <x:c r="K248" i="1"/>
  <x:c r="K246" i="1"/>
  <x:c r="K244" i="1"/>
  <x:c r="K242" i="1"/>
  <x:c r="K240" i="1"/>
  <x:c r="K238" i="1"/>
  <x:c r="K236" i="1"/>
  <x:c r="K234" i="1"/>
  <x:c r="K232" i="1"/>
  <x:c r="K230" i="1"/>
  <x:c r="K228" i="1"/>
  <x:c r="K226" i="1"/>
  <x:c r="K224" i="1"/>
  <x:c r="K222" i="1"/>
  <x:c r="K220" i="1"/>
  <x:c r="K218" i="1"/>
  <x:c r="K216" i="1"/>
  <x:c r="K214" i="1"/>
  <x:c r="K212" i="1"/>
  <x:c r="K210" i="1"/>
  <x:c r="K208" i="1"/>
  <x:c r="K206" i="1"/>
  <x:c r="K204" i="1"/>
  <x:c r="K202" i="1"/>
  <x:c r="K200" i="1"/>
  <x:c r="K198" i="1"/>
  <x:c r="K196" i="1"/>
  <x:c r="K189" i="1"/>
  <x:c r="K265" i="1"/>
  <x:c r="K263" i="1"/>
  <x:c r="K261" i="1"/>
  <x:c r="K259" i="1"/>
  <x:c r="K257" i="1"/>
  <x:c r="K255" i="1"/>
  <x:c r="K253" i="1"/>
  <x:c r="K251" i="1"/>
  <x:c r="K249" i="1"/>
  <x:c r="K247" i="1"/>
  <x:c r="K245" i="1"/>
  <x:c r="K243" i="1"/>
  <x:c r="K241" i="1"/>
  <x:c r="K239" i="1"/>
  <x:c r="K237" i="1"/>
  <x:c r="K235" i="1"/>
  <x:c r="K233" i="1"/>
  <x:c r="K231" i="1"/>
  <x:c r="K229" i="1"/>
  <x:c r="K227" i="1"/>
  <x:c r="K225" i="1"/>
  <x:c r="K223" i="1"/>
  <x:c r="K221" i="1"/>
  <x:c r="K219" i="1"/>
  <x:c r="K217" i="1"/>
  <x:c r="K215" i="1"/>
  <x:c r="K213" i="1"/>
  <x:c r="K211" i="1"/>
  <x:c r="K209" i="1"/>
  <x:c r="K207" i="1"/>
  <x:c r="K205" i="1"/>
  <x:c r="K203" i="1"/>
  <x:c r="K201" i="1"/>
  <x:c r="K199" i="1"/>
  <x:c r="K197" i="1"/>
  <x:c r="K195" i="1"/>
  <x:c r="K266" i="1"/>
  <x:c r="M93" i="1"/>
  <x:c r="N93" i="1"/>
  <x:c r="M89" i="1"/>
  <x:c r="N89" i="1"/>
  <x:c r="M87" i="1"/>
  <x:c r="N87" i="1"/>
  <x:c r="M195" i="1"/>
  <x:c r="N195" i="1"/>
  <x:c r="M199" i="1"/>
  <x:c r="N199" i="1"/>
  <x:c r="M203" i="1"/>
  <x:c r="N203" i="1"/>
  <x:c r="M207" i="1"/>
  <x:c r="N207" i="1"/>
  <x:c r="M211" i="1"/>
  <x:c r="N211" i="1"/>
  <x:c r="M215" i="1"/>
  <x:c r="N215" i="1"/>
  <x:c r="M219" i="1"/>
  <x:c r="N219" i="1"/>
  <x:c r="M223" i="1"/>
  <x:c r="N223" i="1"/>
  <x:c r="M225" i="1"/>
  <x:c r="M227" i="1"/>
  <x:c r="N227" i="1"/>
  <x:c r="M231" i="1"/>
  <x:c r="N231" i="1"/>
  <x:c r="M235" i="1"/>
  <x:c r="N235" i="1"/>
  <x:c r="M239" i="1"/>
  <x:c r="N239" i="1"/>
  <x:c r="M241" i="1"/>
  <x:c r="M243" i="1"/>
  <x:c r="N243" i="1"/>
  <x:c r="M247" i="1"/>
  <x:c r="N247" i="1"/>
  <x:c r="M251" i="1"/>
  <x:c r="N251" i="1"/>
  <x:c r="M255" i="1"/>
  <x:c r="N255" i="1"/>
  <x:c r="M265" i="1"/>
  <x:c r="M267" i="1"/>
  <x:c r="N267" i="1"/>
  <x:c r="M275" i="1"/>
  <x:c r="N275" i="1"/>
  <x:c r="M277" i="1"/>
  <x:c r="N277" i="1"/>
  <x:c r="M279" i="1"/>
  <x:c r="N279" i="1"/>
  <x:c r="M281" i="1"/>
  <x:c r="N281" i="1"/>
  <x:c r="M283" i="1"/>
  <x:c r="N283" i="1"/>
  <x:c r="M285" i="1"/>
  <x:c r="N285" i="1"/>
  <x:c r="M287" i="1"/>
  <x:c r="N287" i="1"/>
  <x:c r="M289" i="1"/>
  <x:c r="N289" i="1"/>
  <x:c r="M291" i="1"/>
  <x:c r="N291" i="1"/>
  <x:c r="M293" i="1"/>
  <x:c r="N293" i="1"/>
  <x:c r="M295" i="1"/>
  <x:c r="N295" i="1"/>
  <x:c r="M299" i="1"/>
  <x:c r="N299" i="1"/>
  <x:c r="M303" i="1"/>
  <x:c r="N303" i="1"/>
  <x:c r="M307" i="1"/>
  <x:c r="N307" i="1"/>
  <x:c r="N355" i="1"/>
  <x:c r="M355" i="1"/>
  <x:c r="N363" i="1"/>
  <x:c r="M363" i="1"/>
  <x:c r="N365" i="1"/>
  <x:c r="M365" i="1"/>
  <x:c r="N367" i="1"/>
  <x:c r="M367" i="1"/>
  <x:c r="N369" i="1"/>
  <x:c r="M369" i="1"/>
  <x:c r="N371" i="1"/>
  <x:c r="M371" i="1"/>
  <x:c r="N373" i="1"/>
  <x:c r="M373" i="1"/>
  <x:c r="N375" i="1"/>
  <x:c r="M375" i="1"/>
  <x:c r="N377" i="1"/>
  <x:c r="M377" i="1"/>
  <x:c r="N379" i="1"/>
  <x:c r="M379" i="1"/>
  <x:c r="N381" i="1"/>
  <x:c r="M381" i="1"/>
  <x:c r="N383" i="1"/>
  <x:c r="M383" i="1"/>
  <x:c r="N385" i="1"/>
  <x:c r="M385" i="1"/>
  <x:c r="N387" i="1"/>
  <x:c r="M387" i="1"/>
  <x:c r="N389" i="1"/>
  <x:c r="M389" i="1"/>
  <x:c r="N391" i="1"/>
  <x:c r="M391" i="1"/>
  <x:c r="N393" i="1"/>
  <x:c r="M393" i="1"/>
  <x:c r="N395" i="1"/>
  <x:c r="M395" i="1"/>
  <x:c r="N397" i="1"/>
  <x:c r="M397" i="1"/>
  <x:c r="N399" i="1"/>
  <x:c r="M399" i="1"/>
  <x:c r="N401" i="1"/>
  <x:c r="M401" i="1"/>
  <x:c r="N403" i="1"/>
  <x:c r="M403" i="1"/>
  <x:c r="N405" i="1"/>
  <x:c r="M405" i="1"/>
  <x:c r="N407" i="1"/>
  <x:c r="M407" i="1"/>
  <x:c r="N409" i="1"/>
  <x:c r="M409" i="1"/>
  <x:c r="N411" i="1"/>
  <x:c r="M411" i="1"/>
  <x:c r="N413" i="1"/>
  <x:c r="M413" i="1"/>
  <x:c r="N415" i="1"/>
  <x:c r="M415" i="1"/>
  <x:c r="N417" i="1"/>
  <x:c r="M417" i="1"/>
  <x:c r="N419" i="1"/>
  <x:c r="M419" i="1"/>
  <x:c r="N421" i="1"/>
  <x:c r="M421" i="1"/>
  <x:c r="N423" i="1"/>
  <x:c r="M423" i="1"/>
  <x:c r="N435" i="1"/>
  <x:c r="M435" i="1"/>
  <x:c r="N445" i="1"/>
  <x:c r="M445" i="1"/>
  <x:c r="N447" i="1"/>
  <x:c r="M447" i="1"/>
  <x:c r="N449" i="1"/>
  <x:c r="M449" i="1"/>
  <x:c r="N451" i="1"/>
  <x:c r="M451" i="1"/>
  <x:c r="N453" i="1"/>
  <x:c r="M453" i="1"/>
  <x:c r="N455" i="1"/>
  <x:c r="M455" i="1"/>
  <x:c r="N457" i="1"/>
  <x:c r="M457" i="1"/>
  <x:c r="N459" i="1"/>
  <x:c r="M459" i="1"/>
  <x:c r="N461" i="1"/>
  <x:c r="M461" i="1"/>
  <x:c r="N463" i="1"/>
  <x:c r="M463" i="1"/>
  <x:c r="N465" i="1"/>
  <x:c r="M465" i="1"/>
  <x:c r="N467" i="1"/>
  <x:c r="M467" i="1"/>
  <x:c r="N469" i="1"/>
  <x:c r="M469" i="1"/>
  <x:c r="N471" i="1"/>
  <x:c r="M471" i="1"/>
  <x:c r="N473" i="1"/>
  <x:c r="M473" i="1"/>
  <x:c r="N475" i="1"/>
  <x:c r="M475" i="1"/>
  <x:c r="N477" i="1"/>
  <x:c r="M477" i="1"/>
  <x:c r="N479" i="1"/>
  <x:c r="M479" i="1"/>
  <x:c r="N481" i="1"/>
  <x:c r="M481" i="1"/>
  <x:c r="N483" i="1"/>
  <x:c r="M483" i="1"/>
  <x:c r="N485" i="1"/>
  <x:c r="M485" i="1"/>
  <x:c r="N487" i="1"/>
  <x:c r="M487" i="1"/>
  <x:c r="N489" i="1"/>
  <x:c r="M489" i="1"/>
  <x:c r="N491" i="1"/>
  <x:c r="M491" i="1"/>
  <x:c r="N493" i="1"/>
  <x:c r="M493" i="1"/>
  <x:c r="N495" i="1"/>
  <x:c r="M495" i="1"/>
  <x:c r="N497" i="1"/>
  <x:c r="M497" i="1"/>
  <x:c r="N499" i="1"/>
  <x:c r="M499" i="1"/>
  <x:c r="N501" i="1"/>
  <x:c r="M501" i="1"/>
  <x:c r="N503" i="1"/>
  <x:c r="M503" i="1"/>
  <x:c r="N505" i="1"/>
  <x:c r="M505" i="1"/>
  <x:c r="N507" i="1"/>
  <x:c r="M507" i="1"/>
  <x:c r="N509" i="1"/>
  <x:c r="M509" i="1"/>
  <x:c r="N511" i="1"/>
  <x:c r="M511" i="1"/>
  <x:c r="N513" i="1"/>
  <x:c r="M513" i="1"/>
  <x:c r="N515" i="1"/>
  <x:c r="M515" i="1"/>
  <x:c r="N517" i="1"/>
  <x:c r="M517" i="1"/>
  <x:c r="N519" i="1"/>
  <x:c r="M519" i="1"/>
  <x:c r="N521" i="1"/>
  <x:c r="M521" i="1"/>
  <x:c r="N523" i="1"/>
  <x:c r="M523" i="1"/>
  <x:c r="N525" i="1"/>
  <x:c r="M525" i="1"/>
  <x:c r="N527" i="1"/>
  <x:c r="M527" i="1"/>
  <x:c r="N529" i="1"/>
  <x:c r="M529" i="1"/>
  <x:c r="N531" i="1"/>
  <x:c r="M531" i="1"/>
  <x:c r="N533" i="1"/>
  <x:c r="M533" i="1"/>
  <x:c r="N535" i="1"/>
  <x:c r="M535" i="1"/>
  <x:c r="N537" i="1"/>
  <x:c r="M537" i="1"/>
  <x:c r="N539" i="1"/>
  <x:c r="M539" i="1"/>
  <x:c r="N541" i="1"/>
  <x:c r="M541" i="1"/>
  <x:c r="N543" i="1"/>
  <x:c r="M543" i="1"/>
  <x:c r="N545" i="1"/>
  <x:c r="M545" i="1"/>
  <x:c r="N547" i="1"/>
  <x:c r="M547" i="1"/>
  <x:c r="K549" i="1"/>
  <x:c r="I630" i="1"/>
  <x:c r="M558" i="1"/>
  <x:c r="N558" i="1"/>
  <x:c r="N560" i="1"/>
  <x:c r="M560" i="1"/>
  <x:c r="N562" i="1"/>
  <x:c r="M562" i="1"/>
  <x:c r="N564" i="1"/>
  <x:c r="M564" i="1"/>
  <x:c r="N566" i="1"/>
  <x:c r="M566" i="1"/>
  <x:c r="N568" i="1"/>
  <x:c r="M568" i="1"/>
  <x:c r="N570" i="1"/>
  <x:c r="M570" i="1"/>
  <x:c r="N572" i="1"/>
  <x:c r="M572" i="1"/>
  <x:c r="N574" i="1"/>
  <x:c r="M574" i="1"/>
  <x:c r="N576" i="1"/>
  <x:c r="M576" i="1"/>
  <x:c r="N578" i="1"/>
  <x:c r="M578" i="1"/>
  <x:c r="N580" i="1"/>
  <x:c r="M580" i="1"/>
  <x:c r="N582" i="1"/>
  <x:c r="M582" i="1"/>
  <x:c r="N584" i="1"/>
  <x:c r="M584" i="1"/>
  <x:c r="N586" i="1"/>
  <x:c r="M586" i="1"/>
  <x:c r="N588" i="1"/>
  <x:c r="M588" i="1"/>
  <x:c r="N590" i="1"/>
  <x:c r="M590" i="1"/>
  <x:c r="N592" i="1"/>
  <x:c r="M592" i="1"/>
  <x:c r="N594" i="1"/>
  <x:c r="M594" i="1"/>
  <x:c r="N596" i="1"/>
  <x:c r="M596" i="1"/>
  <x:c r="N598" i="1"/>
  <x:c r="M598" i="1"/>
  <x:c r="N600" i="1"/>
  <x:c r="M600" i="1"/>
  <x:c r="N602" i="1"/>
  <x:c r="M602" i="1"/>
  <x:c r="N604" i="1"/>
  <x:c r="M604" i="1"/>
  <x:c r="N606" i="1"/>
  <x:c r="M606" i="1"/>
  <x:c r="N608" i="1"/>
  <x:c r="M608" i="1"/>
  <x:c r="N610" i="1"/>
  <x:c r="M610" i="1"/>
  <x:c r="N612" i="1"/>
  <x:c r="M612" i="1"/>
  <x:c r="N614" i="1"/>
  <x:c r="M614" i="1"/>
  <x:c r="N616" i="1"/>
  <x:c r="M616" i="1"/>
  <x:c r="N618" i="1"/>
  <x:c r="M618" i="1"/>
  <x:c r="N620" i="1"/>
  <x:c r="M620" i="1"/>
  <x:c r="N622" i="1"/>
  <x:c r="M622" i="1"/>
  <x:c r="N624" i="1"/>
  <x:c r="M624" i="1"/>
  <x:c r="N626" i="1"/>
  <x:c r="M626" i="1"/>
  <x:c r="N628" i="1"/>
  <x:c r="M628" i="1"/>
  <x:c r="N640" i="1"/>
  <x:c r="M640" i="1"/>
  <x:c r="N642" i="1"/>
  <x:c r="M642" i="1"/>
  <x:c r="M644" i="1"/>
  <x:c r="N644" i="1"/>
  <x:c r="M646" i="1"/>
  <x:c r="N646" i="1"/>
  <x:c r="M648" i="1"/>
  <x:c r="N648" i="1"/>
  <x:c r="M650" i="1"/>
  <x:c r="N650" i="1"/>
  <x:c r="M652" i="1"/>
  <x:c r="N652" i="1"/>
  <x:c r="M654" i="1"/>
  <x:c r="N654" i="1"/>
  <x:c r="M656" i="1"/>
  <x:c r="N656" i="1"/>
  <x:c r="M658" i="1"/>
  <x:c r="N658" i="1"/>
  <x:c r="M660" i="1"/>
  <x:c r="N660" i="1"/>
  <x:c r="M662" i="1"/>
  <x:c r="N662" i="1"/>
  <x:c r="M664" i="1"/>
  <x:c r="N664" i="1"/>
  <x:c r="M666" i="1"/>
  <x:c r="N666" i="1"/>
  <x:c r="M668" i="1"/>
  <x:c r="N668" i="1"/>
  <x:c r="M670" i="1"/>
  <x:c r="N670" i="1"/>
  <x:c r="M672" i="1"/>
  <x:c r="N672" i="1"/>
  <x:c r="M674" i="1"/>
  <x:c r="N674" i="1"/>
  <x:c r="M676" i="1"/>
  <x:c r="N676" i="1"/>
  <x:c r="M678" i="1"/>
  <x:c r="N678" i="1"/>
  <x:c r="M680" i="1"/>
  <x:c r="N680" i="1"/>
  <x:c r="M682" i="1"/>
  <x:c r="N682" i="1"/>
  <x:c r="M684" i="1"/>
  <x:c r="N684" i="1"/>
  <x:c r="M686" i="1"/>
  <x:c r="N686" i="1"/>
  <x:c r="M688" i="1"/>
  <x:c r="N688" i="1"/>
  <x:c r="M690" i="1"/>
  <x:c r="N690" i="1"/>
  <x:c r="M692" i="1"/>
  <x:c r="N692" i="1"/>
  <x:c r="M694" i="1"/>
  <x:c r="N694" i="1"/>
  <x:c r="M696" i="1"/>
  <x:c r="N696" i="1"/>
  <x:c r="M698" i="1"/>
  <x:c r="N698" i="1"/>
  <x:c r="M700" i="1"/>
  <x:c r="N700" i="1"/>
  <x:c r="M702" i="1"/>
  <x:c r="N702" i="1"/>
  <x:c r="M704" i="1"/>
  <x:c r="N704" i="1"/>
  <x:c r="M706" i="1"/>
  <x:c r="N706" i="1"/>
  <x:c r="K709" i="1"/>
  <x:c r="I786" i="1"/>
  <x:c r="M711" i="1"/>
  <x:c r="N711" i="1"/>
  <x:c r="M721" i="1"/>
  <x:c r="N721" i="1"/>
  <x:c r="M723" i="1"/>
  <x:c r="N723" i="1"/>
  <x:c r="M725" i="1"/>
  <x:c r="N725" i="1"/>
  <x:c r="M727" i="1"/>
  <x:c r="N727" i="1"/>
  <x:c r="M729" i="1"/>
  <x:c r="N729" i="1"/>
  <x:c r="M731" i="1"/>
  <x:c r="N731" i="1"/>
  <x:c r="M733" i="1"/>
  <x:c r="N733" i="1"/>
  <x:c r="M735" i="1"/>
  <x:c r="N735" i="1"/>
  <x:c r="M737" i="1"/>
  <x:c r="N737" i="1"/>
  <x:c r="M739" i="1"/>
  <x:c r="N739" i="1"/>
  <x:c r="M741" i="1"/>
  <x:c r="N741" i="1"/>
  <x:c r="M743" i="1"/>
  <x:c r="N743" i="1"/>
  <x:c r="M745" i="1"/>
  <x:c r="N745" i="1"/>
  <x:c r="M747" i="1"/>
  <x:c r="N747" i="1"/>
  <x:c r="M749" i="1"/>
  <x:c r="N749" i="1"/>
  <x:c r="M751" i="1"/>
  <x:c r="N751" i="1"/>
  <x:c r="M753" i="1"/>
  <x:c r="N753" i="1"/>
  <x:c r="M755" i="1"/>
  <x:c r="N755" i="1"/>
  <x:c r="M757" i="1"/>
  <x:c r="N757" i="1"/>
  <x:c r="M759" i="1"/>
  <x:c r="N759" i="1"/>
  <x:c r="M761" i="1"/>
  <x:c r="N761" i="1"/>
  <x:c r="M763" i="1"/>
  <x:c r="N763" i="1"/>
  <x:c r="M765" i="1"/>
  <x:c r="N765" i="1"/>
  <x:c r="M767" i="1"/>
  <x:c r="N767" i="1"/>
  <x:c r="M769" i="1"/>
  <x:c r="N769" i="1"/>
  <x:c r="M771" i="1"/>
  <x:c r="N771" i="1"/>
  <x:c r="M773" i="1"/>
  <x:c r="N773" i="1"/>
  <x:c r="M775" i="1"/>
  <x:c r="N775" i="1"/>
  <x:c r="M777" i="1"/>
  <x:c r="N777" i="1"/>
  <x:c r="M779" i="1"/>
  <x:c r="N779" i="1"/>
  <x:c r="M781" i="1"/>
  <x:c r="N781" i="1"/>
  <x:c r="M783" i="1"/>
  <x:c r="N783" i="1"/>
  <x:c r="M785" i="1"/>
  <x:c r="N785" i="1"/>
  <x:c r="N787" i="1"/>
  <x:c r="N797" i="1"/>
  <x:c r="N799" i="1"/>
  <x:c r="N801" i="1"/>
  <x:c r="M257" i="1"/>
  <x:c r="N257" i="1"/>
  <x:c r="M259" i="1"/>
  <x:c r="N259" i="1"/>
  <x:c r="M261" i="1"/>
  <x:c r="N261" i="1"/>
  <x:c r="M263" i="1"/>
  <x:c r="N263" i="1"/>
  <x:c r="K351" i="1"/>
  <x:c r="K349" i="1"/>
  <x:c r="K347" i="1"/>
  <x:c r="K345" i="1"/>
  <x:c r="K343" i="1"/>
  <x:c r="K341" i="1"/>
  <x:c r="K339" i="1"/>
  <x:c r="K337" i="1"/>
  <x:c r="K335" i="1"/>
  <x:c r="K333" i="1"/>
  <x:c r="I708" i="1"/>
  <x:c r="N16" i="1"/>
  <x:c r="N18" i="1"/>
  <x:c r="N20" i="1"/>
  <x:c r="N22" i="1"/>
  <x:c r="N24" i="1"/>
  <x:c r="N26" i="1"/>
  <x:c r="N28" i="1"/>
  <x:c r="N30" i="1"/>
  <x:c r="N32" i="1"/>
  <x:c r="N34" i="1"/>
  <x:c r="N36" i="1"/>
  <x:c r="N38" i="1"/>
  <x:c r="N40" i="1"/>
  <x:c r="N42" i="1"/>
  <x:c r="N44" i="1"/>
  <x:c r="N46" i="1"/>
  <x:c r="N48" i="1"/>
  <x:c r="N50" i="1"/>
  <x:c r="N52" i="1"/>
  <x:c r="N54" i="1"/>
  <x:c r="N56" i="1"/>
  <x:c r="N58" i="1"/>
  <x:c r="N60" i="1"/>
  <x:c r="N62" i="1"/>
  <x:c r="N64" i="1"/>
  <x:c r="N66" i="1"/>
  <x:c r="N68" i="1"/>
  <x:c r="N70" i="1"/>
  <x:c r="N72" i="1"/>
  <x:c r="N74" i="1"/>
  <x:c r="N76" i="1"/>
  <x:c r="N78" i="1"/>
  <x:c r="N80" i="1"/>
  <x:c r="N82" i="1"/>
  <x:c r="M95" i="1"/>
  <x:c r="N95" i="1"/>
  <x:c r="M91" i="1"/>
  <x:c r="N91" i="1"/>
  <x:c r="M85" i="1"/>
  <x:c r="N85" i="1"/>
  <x:c r="M96" i="1"/>
  <x:c r="N96" i="1"/>
  <x:c r="M94" i="1"/>
  <x:c r="N94" i="1"/>
  <x:c r="M92" i="1"/>
  <x:c r="N92" i="1"/>
  <x:c r="M90" i="1"/>
  <x:c r="N90" i="1"/>
  <x:c r="M88" i="1"/>
  <x:c r="N88" i="1"/>
  <x:c r="M86" i="1"/>
  <x:c r="N86" i="1"/>
  <x:c r="M84" i="1"/>
  <x:c r="N84" i="1"/>
  <x:c r="M189" i="1"/>
  <x:c r="N189" i="1"/>
  <x:c r="M196" i="1"/>
  <x:c r="N196" i="1"/>
  <x:c r="M198" i="1"/>
  <x:c r="N198" i="1"/>
  <x:c r="M200" i="1"/>
  <x:c r="N200" i="1"/>
  <x:c r="M202" i="1"/>
  <x:c r="N202" i="1"/>
  <x:c r="M204" i="1"/>
  <x:c r="N204" i="1"/>
  <x:c r="M206" i="1"/>
  <x:c r="N206" i="1"/>
  <x:c r="M208" i="1"/>
  <x:c r="N208" i="1"/>
  <x:c r="M210" i="1"/>
  <x:c r="N210" i="1"/>
  <x:c r="M212" i="1"/>
  <x:c r="N212" i="1"/>
  <x:c r="M214" i="1"/>
  <x:c r="N214" i="1"/>
  <x:c r="M216" i="1"/>
  <x:c r="N216" i="1"/>
  <x:c r="M218" i="1"/>
  <x:c r="N218" i="1"/>
  <x:c r="M220" i="1"/>
  <x:c r="N220" i="1"/>
  <x:c r="M222" i="1"/>
  <x:c r="N222" i="1"/>
  <x:c r="M224" i="1"/>
  <x:c r="N224" i="1"/>
  <x:c r="M226" i="1"/>
  <x:c r="N226" i="1"/>
  <x:c r="M228" i="1"/>
  <x:c r="N228" i="1"/>
  <x:c r="M232" i="1"/>
  <x:c r="N232" i="1"/>
  <x:c r="M234" i="1"/>
  <x:c r="N234" i="1"/>
  <x:c r="M236" i="1"/>
  <x:c r="N236" i="1"/>
  <x:c r="M238" i="1"/>
  <x:c r="N238" i="1"/>
  <x:c r="M240" i="1"/>
  <x:c r="N240" i="1"/>
  <x:c r="M242" i="1"/>
  <x:c r="N242" i="1"/>
  <x:c r="M244" i="1"/>
  <x:c r="N244" i="1"/>
  <x:c r="M246" i="1"/>
  <x:c r="N246" i="1"/>
  <x:c r="M248" i="1"/>
  <x:c r="N248" i="1"/>
  <x:c r="M250" i="1"/>
  <x:c r="N250" i="1"/>
  <x:c r="M252" i="1"/>
  <x:c r="N252" i="1"/>
  <x:c r="M254" i="1"/>
  <x:c r="N254" i="1"/>
  <x:c r="M264" i="1"/>
  <x:c r="N264" i="1"/>
  <x:c r="M276" i="1"/>
  <x:c r="N276" i="1"/>
  <x:c r="M278" i="1"/>
  <x:c r="N278" i="1"/>
  <x:c r="M280" i="1"/>
  <x:c r="N280" i="1"/>
  <x:c r="M282" i="1"/>
  <x:c r="N282" i="1"/>
  <x:c r="M284" i="1"/>
  <x:c r="N284" i="1"/>
  <x:c r="M286" i="1"/>
  <x:c r="N286" i="1"/>
  <x:c r="M288" i="1"/>
  <x:c r="N288" i="1"/>
  <x:c r="M290" i="1"/>
  <x:c r="N290" i="1"/>
  <x:c r="M292" i="1"/>
  <x:c r="N292" i="1"/>
  <x:c r="M294" i="1"/>
  <x:c r="N294" i="1"/>
  <x:c r="M297" i="1"/>
  <x:c r="N297" i="1"/>
  <x:c r="M301" i="1"/>
  <x:c r="N301" i="1"/>
  <x:c r="M305" i="1"/>
  <x:c r="N305" i="1"/>
  <x:c r="N354" i="1"/>
  <x:c r="M354" i="1"/>
  <x:c r="N362" i="1"/>
  <x:c r="M362" i="1"/>
  <x:c r="N364" i="1"/>
  <x:c r="M364" i="1"/>
  <x:c r="N366" i="1"/>
  <x:c r="M366" i="1"/>
  <x:c r="N368" i="1"/>
  <x:c r="M368" i="1"/>
  <x:c r="N370" i="1"/>
  <x:c r="M370" i="1"/>
  <x:c r="N372" i="1"/>
  <x:c r="M372" i="1"/>
  <x:c r="N374" i="1"/>
  <x:c r="M374" i="1"/>
  <x:c r="N376" i="1"/>
  <x:c r="M376" i="1"/>
  <x:c r="N378" i="1"/>
  <x:c r="M378" i="1"/>
  <x:c r="N380" i="1"/>
  <x:c r="M380" i="1"/>
  <x:c r="N382" i="1"/>
  <x:c r="M382" i="1"/>
  <x:c r="N384" i="1"/>
  <x:c r="M384" i="1"/>
  <x:c r="N386" i="1"/>
  <x:c r="M386" i="1"/>
  <x:c r="N388" i="1"/>
  <x:c r="M388" i="1"/>
  <x:c r="N390" i="1"/>
  <x:c r="M390" i="1"/>
  <x:c r="N392" i="1"/>
  <x:c r="M392" i="1"/>
  <x:c r="N394" i="1"/>
  <x:c r="M394" i="1"/>
  <x:c r="N396" i="1"/>
  <x:c r="M396" i="1"/>
  <x:c r="N398" i="1"/>
  <x:c r="M398" i="1"/>
  <x:c r="N400" i="1"/>
  <x:c r="M400" i="1"/>
  <x:c r="N402" i="1"/>
  <x:c r="M402" i="1"/>
  <x:c r="N404" i="1"/>
  <x:c r="M404" i="1"/>
  <x:c r="N406" i="1"/>
  <x:c r="M406" i="1"/>
  <x:c r="N408" i="1"/>
  <x:c r="M408" i="1"/>
  <x:c r="N410" i="1"/>
  <x:c r="M410" i="1"/>
  <x:c r="N412" i="1"/>
  <x:c r="M412" i="1"/>
  <x:c r="N414" i="1"/>
  <x:c r="M414" i="1"/>
  <x:c r="N416" i="1"/>
  <x:c r="M416" i="1"/>
  <x:c r="N418" i="1"/>
  <x:c r="M418" i="1"/>
  <x:c r="N420" i="1"/>
  <x:c r="M420" i="1"/>
  <x:c r="N422" i="1"/>
  <x:c r="M422" i="1"/>
  <x:c r="N424" i="1"/>
  <x:c r="M424" i="1"/>
  <x:c r="N426" i="1"/>
  <x:c r="M426" i="1"/>
  <x:c r="N428" i="1"/>
  <x:c r="M428" i="1"/>
  <x:c r="N430" i="1"/>
  <x:c r="M430" i="1"/>
  <x:c r="N432" i="1"/>
  <x:c r="M432" i="1"/>
  <x:c r="N444" i="1"/>
  <x:c r="M444" i="1"/>
  <x:c r="N446" i="1"/>
  <x:c r="M446" i="1"/>
  <x:c r="N448" i="1"/>
  <x:c r="M448" i="1"/>
  <x:c r="N450" i="1"/>
  <x:c r="M450" i="1"/>
  <x:c r="N452" i="1"/>
  <x:c r="M452" i="1"/>
  <x:c r="N454" i="1"/>
  <x:c r="M454" i="1"/>
  <x:c r="N456" i="1"/>
  <x:c r="M456" i="1"/>
  <x:c r="N458" i="1"/>
  <x:c r="M458" i="1"/>
  <x:c r="N460" i="1"/>
  <x:c r="M460" i="1"/>
  <x:c r="N462" i="1"/>
  <x:c r="M462" i="1"/>
  <x:c r="N464" i="1"/>
  <x:c r="M464" i="1"/>
  <x:c r="N466" i="1"/>
  <x:c r="M466" i="1"/>
  <x:c r="N468" i="1"/>
  <x:c r="M468" i="1"/>
  <x:c r="N470" i="1"/>
  <x:c r="M470" i="1"/>
  <x:c r="N472" i="1"/>
  <x:c r="M472" i="1"/>
  <x:c r="N474" i="1"/>
  <x:c r="M474" i="1"/>
  <x:c r="N476" i="1"/>
  <x:c r="M476" i="1"/>
  <x:c r="N478" i="1"/>
  <x:c r="M478" i="1"/>
  <x:c r="N480" i="1"/>
  <x:c r="M480" i="1"/>
  <x:c r="N482" i="1"/>
  <x:c r="M482" i="1"/>
  <x:c r="N484" i="1"/>
  <x:c r="M484" i="1"/>
  <x:c r="N486" i="1"/>
  <x:c r="M486" i="1"/>
  <x:c r="N488" i="1"/>
  <x:c r="M488" i="1"/>
  <x:c r="N490" i="1"/>
  <x:c r="M490" i="1"/>
  <x:c r="N492" i="1"/>
  <x:c r="M492" i="1"/>
  <x:c r="N494" i="1"/>
  <x:c r="M494" i="1"/>
  <x:c r="N496" i="1"/>
  <x:c r="M496" i="1"/>
  <x:c r="N498" i="1"/>
  <x:c r="M498" i="1"/>
  <x:c r="N500" i="1"/>
  <x:c r="M500" i="1"/>
  <x:c r="N502" i="1"/>
  <x:c r="M502" i="1"/>
  <x:c r="N504" i="1"/>
  <x:c r="M504" i="1"/>
  <x:c r="N506" i="1"/>
  <x:c r="M506" i="1"/>
  <x:c r="N508" i="1"/>
  <x:c r="M508" i="1"/>
  <x:c r="N510" i="1"/>
  <x:c r="M510" i="1"/>
  <x:c r="N512" i="1"/>
  <x:c r="M512" i="1"/>
  <x:c r="N514" i="1"/>
  <x:c r="M514" i="1"/>
  <x:c r="N516" i="1"/>
  <x:c r="M516" i="1"/>
  <x:c r="N518" i="1"/>
  <x:c r="M518" i="1"/>
  <x:c r="N520" i="1"/>
  <x:c r="M520" i="1"/>
  <x:c r="N522" i="1"/>
  <x:c r="M522" i="1"/>
  <x:c r="N524" i="1"/>
  <x:c r="M524" i="1"/>
  <x:c r="N526" i="1"/>
  <x:c r="M526" i="1"/>
  <x:c r="M557" i="1"/>
  <x:c r="N557" i="1"/>
  <x:c r="M559" i="1"/>
  <x:c r="N559" i="1"/>
  <x:c r="N561" i="1"/>
  <x:c r="M561" i="1"/>
  <x:c r="N563" i="1"/>
  <x:c r="M563" i="1"/>
  <x:c r="N565" i="1"/>
  <x:c r="M565" i="1"/>
  <x:c r="N567" i="1"/>
  <x:c r="M567" i="1"/>
  <x:c r="N569" i="1"/>
  <x:c r="M569" i="1"/>
  <x:c r="N571" i="1"/>
  <x:c r="M571" i="1"/>
  <x:c r="N573" i="1"/>
  <x:c r="M573" i="1"/>
  <x:c r="N575" i="1"/>
  <x:c r="M575" i="1"/>
  <x:c r="N577" i="1"/>
  <x:c r="M577" i="1"/>
  <x:c r="N579" i="1"/>
  <x:c r="M579" i="1"/>
  <x:c r="N581" i="1"/>
  <x:c r="M581" i="1"/>
  <x:c r="N583" i="1"/>
  <x:c r="M583" i="1"/>
  <x:c r="N585" i="1"/>
  <x:c r="M585" i="1"/>
  <x:c r="N587" i="1"/>
  <x:c r="M587" i="1"/>
  <x:c r="N589" i="1"/>
  <x:c r="M589" i="1"/>
  <x:c r="N591" i="1"/>
  <x:c r="M591" i="1"/>
  <x:c r="N593" i="1"/>
  <x:c r="M593" i="1"/>
  <x:c r="N595" i="1"/>
  <x:c r="M595" i="1"/>
  <x:c r="N597" i="1"/>
  <x:c r="M597" i="1"/>
  <x:c r="N599" i="1"/>
  <x:c r="M599" i="1"/>
  <x:c r="N601" i="1"/>
  <x:c r="M601" i="1"/>
  <x:c r="N603" i="1"/>
  <x:c r="M603" i="1"/>
  <x:c r="N605" i="1"/>
  <x:c r="M605" i="1"/>
  <x:c r="N607" i="1"/>
  <x:c r="M607" i="1"/>
  <x:c r="N609" i="1"/>
  <x:c r="M609" i="1"/>
  <x:c r="N611" i="1"/>
  <x:c r="M611" i="1"/>
  <x:c r="N613" i="1"/>
  <x:c r="M613" i="1"/>
  <x:c r="N615" i="1"/>
  <x:c r="M615" i="1"/>
  <x:c r="N617" i="1"/>
  <x:c r="M617" i="1"/>
  <x:c r="N619" i="1"/>
  <x:c r="M619" i="1"/>
  <x:c r="N621" i="1"/>
  <x:c r="M621" i="1"/>
  <x:c r="N623" i="1"/>
  <x:c r="M623" i="1"/>
  <x:c r="N625" i="1"/>
  <x:c r="M625" i="1"/>
  <x:c r="N627" i="1"/>
  <x:c r="M627" i="1"/>
  <x:c r="N629" i="1"/>
  <x:c r="M629" i="1"/>
  <x:c r="N641" i="1"/>
  <x:c r="M641" i="1"/>
  <x:c r="N643" i="1"/>
  <x:c r="M643" i="1"/>
  <x:c r="M645" i="1"/>
  <x:c r="N645" i="1"/>
  <x:c r="M647" i="1"/>
  <x:c r="N647" i="1"/>
  <x:c r="M649" i="1"/>
  <x:c r="N649" i="1"/>
  <x:c r="M651" i="1"/>
  <x:c r="N651" i="1"/>
  <x:c r="M653" i="1"/>
  <x:c r="N653" i="1"/>
  <x:c r="M655" i="1"/>
  <x:c r="N655" i="1"/>
  <x:c r="M657" i="1"/>
  <x:c r="N657" i="1"/>
  <x:c r="M659" i="1"/>
  <x:c r="N659" i="1"/>
  <x:c r="M661" i="1"/>
  <x:c r="N661" i="1"/>
  <x:c r="M663" i="1"/>
  <x:c r="N663" i="1"/>
  <x:c r="M665" i="1"/>
  <x:c r="N665" i="1"/>
  <x:c r="M710" i="1"/>
  <x:c r="N710" i="1"/>
  <x:c r="M720" i="1"/>
  <x:c r="N720" i="1"/>
  <x:c r="M722" i="1"/>
  <x:c r="N722" i="1"/>
  <x:c r="N724" i="1"/>
  <x:c r="M724" i="1"/>
  <x:c r="M726" i="1"/>
  <x:c r="N726" i="1"/>
  <x:c r="M728" i="1"/>
  <x:c r="N728" i="1"/>
  <x:c r="M730" i="1"/>
  <x:c r="N730" i="1"/>
  <x:c r="M732" i="1"/>
  <x:c r="N732" i="1"/>
  <x:c r="M734" i="1"/>
  <x:c r="N734" i="1"/>
  <x:c r="M736" i="1"/>
  <x:c r="N736" i="1"/>
  <x:c r="M738" i="1"/>
  <x:c r="N738" i="1"/>
  <x:c r="M740" i="1"/>
  <x:c r="N740" i="1"/>
  <x:c r="M742" i="1"/>
  <x:c r="N742" i="1"/>
  <x:c r="M744" i="1"/>
  <x:c r="N744" i="1"/>
  <x:c r="M746" i="1"/>
  <x:c r="N746" i="1"/>
  <x:c r="M748" i="1"/>
  <x:c r="N748" i="1"/>
  <x:c r="M750" i="1"/>
  <x:c r="N750" i="1"/>
  <x:c r="M752" i="1"/>
  <x:c r="N752" i="1"/>
  <x:c r="M754" i="1"/>
  <x:c r="N754" i="1"/>
  <x:c r="M756" i="1"/>
  <x:c r="N756" i="1"/>
  <x:c r="M758" i="1"/>
  <x:c r="N758" i="1"/>
  <x:c r="M760" i="1"/>
  <x:c r="N760" i="1"/>
  <x:c r="M762" i="1"/>
  <x:c r="N762" i="1"/>
  <x:c r="M764" i="1"/>
  <x:c r="N764" i="1"/>
  <x:c r="M766" i="1"/>
  <x:c r="N766" i="1"/>
  <x:c r="M768" i="1"/>
  <x:c r="N768" i="1"/>
  <x:c r="M770" i="1"/>
  <x:c r="N770" i="1"/>
  <x:c r="M772" i="1"/>
  <x:c r="N772" i="1"/>
  <x:c r="M774" i="1"/>
  <x:c r="N774" i="1"/>
  <x:c r="M776" i="1"/>
  <x:c r="N776" i="1"/>
  <x:c r="M778" i="1"/>
  <x:c r="N778" i="1"/>
  <x:c r="M780" i="1"/>
  <x:c r="N780" i="1"/>
  <x:c r="M782" i="1"/>
  <x:c r="N782" i="1"/>
  <x:c r="M784" i="1"/>
  <x:c r="N784" i="1"/>
  <x:c r="N794" i="1"/>
  <x:c r="N798" i="1"/>
  <x:c r="N800" i="1"/>
  <x:c r="M256" i="1"/>
  <x:c r="N256" i="1"/>
  <x:c r="M258" i="1"/>
  <x:c r="N258" i="1"/>
  <x:c r="M260" i="1"/>
  <x:c r="N260" i="1"/>
  <x:c r="M262" i="1"/>
  <x:c r="N262" i="1"/>
  <x:c r="K352" i="1"/>
  <x:c r="K350" i="1"/>
  <x:c r="K348" i="1"/>
  <x:c r="K346" i="1"/>
  <x:c r="K344" i="1"/>
  <x:c r="K342" i="1"/>
  <x:c r="K340" i="1"/>
  <x:c r="K338" i="1"/>
  <x:c r="K336" i="1"/>
  <x:c r="K334" i="1"/>
  <x:c r="K332" i="1"/>
  <x:c r="K330" i="1"/>
  <x:c r="K328" i="1"/>
  <x:c r="K326" i="1"/>
  <x:c r="K324" i="1"/>
  <x:c r="K322" i="1"/>
  <x:c r="K320" i="1"/>
  <x:c r="K318" i="1"/>
  <x:c r="K316" i="1"/>
  <x:c r="K314" i="1"/>
  <x:c r="K312" i="1"/>
  <x:c r="K310" i="1"/>
  <x:c r="K308" i="1"/>
  <x:c r="K306" i="1"/>
  <x:c r="K304" i="1"/>
  <x:c r="K302" i="1"/>
  <x:c r="K300" i="1"/>
  <x:c r="K298" i="1"/>
  <x:c r="K296" i="1"/>
  <x:c r="I434" i="1"/>
  <x:c r="I548" i="1"/>
  <x:c r="I802" i="1"/>
  <x:c r="N13" i="1"/>
  <x:c r="N15" i="1"/>
  <x:c r="N17" i="1"/>
  <x:c r="N19" i="1"/>
  <x:c r="N21" i="1"/>
  <x:c r="N23" i="1"/>
  <x:c r="N25" i="1"/>
  <x:c r="N27" i="1"/>
  <x:c r="N29" i="1"/>
  <x:c r="N31" i="1"/>
  <x:c r="N33" i="1"/>
  <x:c r="N35" i="1"/>
  <x:c r="N37" i="1"/>
  <x:c r="N39" i="1"/>
  <x:c r="N41" i="1"/>
  <x:c r="N43" i="1"/>
  <x:c r="N45" i="1"/>
  <x:c r="N47" i="1"/>
  <x:c r="N49" i="1"/>
  <x:c r="N51" i="1"/>
  <x:c r="N53" i="1"/>
  <x:c r="N55" i="1"/>
  <x:c r="N57" i="1"/>
  <x:c r="N59" i="1"/>
  <x:c r="N61" i="1"/>
  <x:c r="N63" i="1"/>
  <x:c r="N65" i="1"/>
  <x:c r="N67" i="1"/>
  <x:c r="N69" i="1"/>
  <x:c r="N71" i="1"/>
  <x:c r="N73" i="1"/>
  <x:c r="N75" i="1"/>
  <x:c r="N77" i="1"/>
  <x:c r="N79" i="1"/>
  <x:c r="N81" i="1"/>
  <x:c r="N83" i="1"/>
  <x:c r="K331" i="1"/>
  <x:c r="K329" i="1"/>
  <x:c r="K327" i="1"/>
  <x:c r="K325" i="1"/>
  <x:c r="K323" i="1"/>
  <x:c r="K321" i="1"/>
  <x:c r="K319" i="1"/>
  <x:c r="K317" i="1"/>
  <x:c r="K315" i="1"/>
  <x:c r="K313" i="1"/>
  <x:c r="K311" i="1"/>
  <x:c r="K309" i="1"/>
  <x:c r="K802" i="1"/>
  <x:c r="K786" i="1"/>
  <x:c r="K667" i="1"/>
  <x:c r="K669" i="1"/>
  <x:c r="K671" i="1"/>
  <x:c r="K673" i="1"/>
  <x:c r="K675" i="1"/>
  <x:c r="K677" i="1"/>
  <x:c r="K679" i="1"/>
  <x:c r="K681" i="1"/>
  <x:c r="K683" i="1"/>
  <x:c r="K685" i="1"/>
  <x:c r="K687" i="1"/>
  <x:c r="K689" i="1"/>
  <x:c r="K691" i="1"/>
  <x:c r="K693" i="1"/>
  <x:c r="K695" i="1"/>
  <x:c r="K697" i="1"/>
  <x:c r="K699" i="1"/>
  <x:c r="K701" i="1"/>
  <x:c r="K703" i="1"/>
  <x:c r="K705" i="1"/>
  <x:c r="K707" i="1"/>
  <x:c r="K630" i="1"/>
  <x:c r="K528" i="1"/>
  <x:c r="K530" i="1"/>
  <x:c r="K532" i="1"/>
  <x:c r="K534" i="1"/>
  <x:c r="K536" i="1"/>
  <x:c r="K538" i="1"/>
  <x:c r="K540" i="1"/>
  <x:c r="K542" i="1"/>
  <x:c r="K544" i="1"/>
  <x:c r="K546" i="1"/>
  <x:c r="K425" i="1"/>
  <x:c r="K427" i="1"/>
  <x:c r="K429" i="1"/>
  <x:c r="K431" i="1"/>
  <x:c r="K433" i="1"/>
  <x:c r="I97" i="1"/>
  <x:c r="K186" i="1"/>
  <x:c r="K184" i="1"/>
  <x:c r="K182" i="1"/>
  <x:c r="K180" i="1"/>
  <x:c r="K178" i="1"/>
  <x:c r="K176" i="1"/>
  <x:c r="K174" i="1"/>
  <x:c r="K172" i="1"/>
  <x:c r="K170" i="1"/>
  <x:c r="K168" i="1"/>
  <x:c r="K166" i="1"/>
  <x:c r="K164" i="1"/>
  <x:c r="K162" i="1"/>
  <x:c r="K160" i="1"/>
  <x:c r="K158" i="1"/>
  <x:c r="K156" i="1"/>
  <x:c r="K154" i="1"/>
  <x:c r="K152" i="1"/>
  <x:c r="K150" i="1"/>
  <x:c r="K148" i="1"/>
  <x:c r="K146" i="1"/>
  <x:c r="K144" i="1"/>
  <x:c r="K142" i="1"/>
  <x:c r="K140" i="1"/>
  <x:c r="K138" i="1"/>
  <x:c r="K136" i="1"/>
  <x:c r="K134" i="1"/>
  <x:c r="K132" i="1"/>
  <x:c r="K130" i="1"/>
  <x:c r="K128" i="1"/>
  <x:c r="K126" i="1"/>
  <x:c r="K124" i="1"/>
  <x:c r="K122" i="1"/>
  <x:c r="K120" i="1"/>
  <x:c r="K118" i="1"/>
  <x:c r="K116" i="1"/>
  <x:c r="K114" i="1"/>
  <x:c r="K112" i="1"/>
  <x:c r="K110" i="1"/>
  <x:c r="K108" i="1"/>
  <x:c r="I266" i="1"/>
  <x:c r="K187" i="1"/>
  <x:c r="K185" i="1"/>
  <x:c r="K183" i="1"/>
  <x:c r="K181" i="1"/>
  <x:c r="K179" i="1"/>
  <x:c r="K177" i="1"/>
  <x:c r="K175" i="1"/>
  <x:c r="K173" i="1"/>
  <x:c r="K171" i="1"/>
  <x:c r="K169" i="1"/>
  <x:c r="K167" i="1"/>
  <x:c r="K165" i="1"/>
  <x:c r="K163" i="1"/>
  <x:c r="K161" i="1"/>
  <x:c r="K159" i="1"/>
  <x:c r="K157" i="1"/>
  <x:c r="K155" i="1"/>
  <x:c r="K153" i="1"/>
  <x:c r="K151" i="1"/>
  <x:c r="K149" i="1"/>
  <x:c r="K147" i="1"/>
  <x:c r="K145" i="1"/>
  <x:c r="K143" i="1"/>
  <x:c r="K141" i="1"/>
  <x:c r="K139" i="1"/>
  <x:c r="K137" i="1"/>
  <x:c r="K135" i="1"/>
  <x:c r="K133" i="1"/>
  <x:c r="K131" i="1"/>
  <x:c r="K129" i="1"/>
  <x:c r="K127" i="1"/>
  <x:c r="K125" i="1"/>
  <x:c r="K123" i="1"/>
  <x:c r="K121" i="1"/>
  <x:c r="K119" i="1"/>
  <x:c r="K117" i="1"/>
  <x:c r="K115" i="1"/>
  <x:c r="K113" i="1"/>
  <x:c r="K111" i="1"/>
  <x:c r="K109" i="1"/>
  <x:c r="K107" i="1"/>
  <x:c r="K98" i="1"/>
  <x:c r="C803" i="1"/>
  <x:c r="K97" i="1"/>
  <x:c r="N197" i="1" l="1"/>
  <x:c r="N201" i="1"/>
  <x:c r="N205" i="1"/>
  <x:c r="N209" i="1"/>
  <x:c r="N213" i="1"/>
  <x:c r="N217" i="1"/>
  <x:c r="N221" i="1"/>
  <x:c r="N225" i="1"/>
  <x:c r="N229" i="1"/>
  <x:c r="N233" i="1"/>
  <x:c r="N237" i="1"/>
  <x:c r="N241" i="1"/>
  <x:c r="N245" i="1"/>
  <x:c r="N249" i="1"/>
  <x:c r="N253" i="1"/>
  <x:c r="N265" i="1"/>
  <x:c r="M249" i="1"/>
  <x:c r="M233" i="1"/>
  <x:c r="M209" i="1"/>
  <x:c r="M217" i="1"/>
  <x:c r="M201" i="1"/>
  <x:c r="K353" i="1"/>
  <x:c r="M253" i="1"/>
  <x:c r="M245" i="1"/>
  <x:c r="M237" i="1"/>
  <x:c r="M229" i="1"/>
  <x:c r="M221" i="1"/>
  <x:c r="M213" i="1"/>
  <x:c r="M205" i="1"/>
  <x:c r="M197" i="1"/>
  <x:c r="I803" i="1"/>
  <x:c r="M97" i="1"/>
  <x:c r="N802" i="1"/>
  <x:c r="M98" i="1"/>
  <x:c r="N98" i="1"/>
  <x:c r="M107" i="1"/>
  <x:c r="N107" i="1"/>
  <x:c r="M115" i="1"/>
  <x:c r="N115" i="1"/>
  <x:c r="M127" i="1"/>
  <x:c r="N127" i="1"/>
  <x:c r="M135" i="1"/>
  <x:c r="N135" i="1"/>
  <x:c r="M143" i="1"/>
  <x:c r="N143" i="1"/>
  <x:c r="M151" i="1"/>
  <x:c r="N151" i="1"/>
  <x:c r="M159" i="1"/>
  <x:c r="N159" i="1"/>
  <x:c r="M167" i="1"/>
  <x:c r="N167" i="1"/>
  <x:c r="M175" i="1"/>
  <x:c r="N175" i="1"/>
  <x:c r="M110" i="1"/>
  <x:c r="N110" i="1"/>
  <x:c r="M114" i="1"/>
  <x:c r="N114" i="1"/>
  <x:c r="M118" i="1"/>
  <x:c r="N118" i="1"/>
  <x:c r="M122" i="1"/>
  <x:c r="N122" i="1"/>
  <x:c r="M126" i="1"/>
  <x:c r="N126" i="1"/>
  <x:c r="M130" i="1"/>
  <x:c r="N130" i="1"/>
  <x:c r="M134" i="1"/>
  <x:c r="N134" i="1"/>
  <x:c r="M138" i="1"/>
  <x:c r="N138" i="1"/>
  <x:c r="M142" i="1"/>
  <x:c r="N142" i="1"/>
  <x:c r="M146" i="1"/>
  <x:c r="N146" i="1"/>
  <x:c r="M150" i="1"/>
  <x:c r="N150" i="1"/>
  <x:c r="M154" i="1"/>
  <x:c r="N154" i="1"/>
  <x:c r="M158" i="1"/>
  <x:c r="N158" i="1"/>
  <x:c r="M162" i="1"/>
  <x:c r="N162" i="1"/>
  <x:c r="M166" i="1"/>
  <x:c r="N166" i="1"/>
  <x:c r="M170" i="1"/>
  <x:c r="N170" i="1"/>
  <x:c r="M174" i="1"/>
  <x:c r="N174" i="1"/>
  <x:c r="M178" i="1"/>
  <x:c r="N178" i="1"/>
  <x:c r="M182" i="1"/>
  <x:c r="N182" i="1"/>
  <x:c r="M186" i="1"/>
  <x:c r="N186" i="1"/>
  <x:c r="N431" i="1"/>
  <x:c r="M431" i="1"/>
  <x:c r="K434" i="1"/>
  <x:c r="N427" i="1"/>
  <x:c r="M427" i="1"/>
  <x:c r="N544" i="1"/>
  <x:c r="M544" i="1"/>
  <x:c r="N540" i="1"/>
  <x:c r="M540" i="1"/>
  <x:c r="N536" i="1"/>
  <x:c r="M536" i="1"/>
  <x:c r="N532" i="1"/>
  <x:c r="M532" i="1"/>
  <x:c r="K548" i="1"/>
  <x:c r="N528" i="1"/>
  <x:c r="M528" i="1"/>
  <x:c r="M707" i="1"/>
  <x:c r="N707" i="1"/>
  <x:c r="M703" i="1"/>
  <x:c r="N703" i="1"/>
  <x:c r="M699" i="1"/>
  <x:c r="N699" i="1"/>
  <x:c r="M695" i="1"/>
  <x:c r="N695" i="1"/>
  <x:c r="M691" i="1"/>
  <x:c r="N691" i="1"/>
  <x:c r="M687" i="1"/>
  <x:c r="N687" i="1"/>
  <x:c r="M683" i="1"/>
  <x:c r="N683" i="1"/>
  <x:c r="M679" i="1"/>
  <x:c r="N679" i="1"/>
  <x:c r="M675" i="1"/>
  <x:c r="N675" i="1"/>
  <x:c r="M671" i="1"/>
  <x:c r="N671" i="1"/>
  <x:c r="M667" i="1"/>
  <x:c r="N667" i="1"/>
  <x:c r="M309" i="1"/>
  <x:c r="N309" i="1"/>
  <x:c r="M313" i="1"/>
  <x:c r="N313" i="1"/>
  <x:c r="M317" i="1"/>
  <x:c r="N317" i="1"/>
  <x:c r="N321" i="1"/>
  <x:c r="M321" i="1"/>
  <x:c r="N325" i="1"/>
  <x:c r="M325" i="1"/>
  <x:c r="N329" i="1"/>
  <x:c r="M329" i="1"/>
  <x:c r="N97" i="1"/>
  <x:c r="M296" i="1"/>
  <x:c r="N296" i="1"/>
  <x:c r="M300" i="1"/>
  <x:c r="N300" i="1"/>
  <x:c r="M304" i="1"/>
  <x:c r="N304" i="1"/>
  <x:c r="M308" i="1"/>
  <x:c r="N308" i="1"/>
  <x:c r="M312" i="1"/>
  <x:c r="N312" i="1"/>
  <x:c r="M316" i="1"/>
  <x:c r="N316" i="1"/>
  <x:c r="N320" i="1"/>
  <x:c r="M320" i="1"/>
  <x:c r="N324" i="1"/>
  <x:c r="M324" i="1"/>
  <x:c r="N328" i="1"/>
  <x:c r="M328" i="1"/>
  <x:c r="N332" i="1"/>
  <x:c r="M332" i="1"/>
  <x:c r="N336" i="1"/>
  <x:c r="M336" i="1"/>
  <x:c r="N340" i="1"/>
  <x:c r="M340" i="1"/>
  <x:c r="N344" i="1"/>
  <x:c r="M344" i="1"/>
  <x:c r="N348" i="1"/>
  <x:c r="M348" i="1"/>
  <x:c r="N352" i="1"/>
  <x:c r="M352" i="1"/>
  <x:c r="N333" i="1"/>
  <x:c r="M333" i="1"/>
  <x:c r="N337" i="1"/>
  <x:c r="M337" i="1"/>
  <x:c r="N341" i="1"/>
  <x:c r="M341" i="1"/>
  <x:c r="N345" i="1"/>
  <x:c r="M345" i="1"/>
  <x:c r="N349" i="1"/>
  <x:c r="M349" i="1"/>
  <x:c r="M709" i="1"/>
  <x:c r="M786" i="1" s="1"/>
  <x:c r="N709" i="1"/>
  <x:c r="N786" i="1" s="1"/>
  <x:c r="M549" i="1"/>
  <x:c r="M630" i="1" s="1"/>
  <x:c r="N549" i="1"/>
  <x:c r="N630" i="1" s="1"/>
  <x:c r="M230" i="1"/>
  <x:c r="M266" i="1" s="1"/>
  <x:c r="N230" i="1"/>
  <x:c r="M111" i="1"/>
  <x:c r="N111" i="1"/>
  <x:c r="M119" i="1"/>
  <x:c r="N119" i="1"/>
  <x:c r="M123" i="1"/>
  <x:c r="N123" i="1"/>
  <x:c r="M131" i="1"/>
  <x:c r="N131" i="1"/>
  <x:c r="M139" i="1"/>
  <x:c r="N139" i="1"/>
  <x:c r="M147" i="1"/>
  <x:c r="N147" i="1"/>
  <x:c r="M155" i="1"/>
  <x:c r="N155" i="1"/>
  <x:c r="M163" i="1"/>
  <x:c r="N163" i="1"/>
  <x:c r="M171" i="1"/>
  <x:c r="N171" i="1"/>
  <x:c r="M179" i="1"/>
  <x:c r="N179" i="1"/>
  <x:c r="M183" i="1"/>
  <x:c r="N183" i="1"/>
  <x:c r="M187" i="1"/>
  <x:c r="N187" i="1"/>
  <x:c r="K188" i="1"/>
  <x:c r="M109" i="1"/>
  <x:c r="N109" i="1"/>
  <x:c r="M113" i="1"/>
  <x:c r="N113" i="1"/>
  <x:c r="M117" i="1"/>
  <x:c r="N117" i="1"/>
  <x:c r="M121" i="1"/>
  <x:c r="N121" i="1"/>
  <x:c r="M125" i="1"/>
  <x:c r="N125" i="1"/>
  <x:c r="M129" i="1"/>
  <x:c r="N129" i="1"/>
  <x:c r="M133" i="1"/>
  <x:c r="N133" i="1"/>
  <x:c r="M137" i="1"/>
  <x:c r="N137" i="1"/>
  <x:c r="M141" i="1"/>
  <x:c r="N141" i="1"/>
  <x:c r="M145" i="1"/>
  <x:c r="N145" i="1"/>
  <x:c r="M149" i="1"/>
  <x:c r="N149" i="1"/>
  <x:c r="M153" i="1"/>
  <x:c r="N153" i="1"/>
  <x:c r="M157" i="1"/>
  <x:c r="N157" i="1"/>
  <x:c r="M161" i="1"/>
  <x:c r="N161" i="1"/>
  <x:c r="M165" i="1"/>
  <x:c r="N165" i="1"/>
  <x:c r="M169" i="1"/>
  <x:c r="N169" i="1"/>
  <x:c r="M173" i="1"/>
  <x:c r="N173" i="1"/>
  <x:c r="M177" i="1"/>
  <x:c r="N177" i="1"/>
  <x:c r="M181" i="1"/>
  <x:c r="N181" i="1"/>
  <x:c r="M185" i="1"/>
  <x:c r="N185" i="1"/>
  <x:c r="M108" i="1"/>
  <x:c r="N108" i="1"/>
  <x:c r="M112" i="1"/>
  <x:c r="N112" i="1"/>
  <x:c r="M116" i="1"/>
  <x:c r="N116" i="1"/>
  <x:c r="M120" i="1"/>
  <x:c r="N120" i="1"/>
  <x:c r="M124" i="1"/>
  <x:c r="N124" i="1"/>
  <x:c r="M128" i="1"/>
  <x:c r="N128" i="1"/>
  <x:c r="M132" i="1"/>
  <x:c r="N132" i="1"/>
  <x:c r="M136" i="1"/>
  <x:c r="N136" i="1"/>
  <x:c r="M140" i="1"/>
  <x:c r="N140" i="1"/>
  <x:c r="M144" i="1"/>
  <x:c r="N144" i="1"/>
  <x:c r="M148" i="1"/>
  <x:c r="N148" i="1"/>
  <x:c r="M152" i="1"/>
  <x:c r="N152" i="1"/>
  <x:c r="M156" i="1"/>
  <x:c r="N156" i="1"/>
  <x:c r="M160" i="1"/>
  <x:c r="N160" i="1"/>
  <x:c r="M164" i="1"/>
  <x:c r="N164" i="1"/>
  <x:c r="M168" i="1"/>
  <x:c r="N168" i="1"/>
  <x:c r="M172" i="1"/>
  <x:c r="N172" i="1"/>
  <x:c r="M176" i="1"/>
  <x:c r="N176" i="1"/>
  <x:c r="M180" i="1"/>
  <x:c r="N180" i="1"/>
  <x:c r="M184" i="1"/>
  <x:c r="N184" i="1"/>
  <x:c r="M353" i="1"/>
  <x:c r="N433" i="1"/>
  <x:c r="M433" i="1"/>
  <x:c r="N429" i="1"/>
  <x:c r="M429" i="1"/>
  <x:c r="N425" i="1"/>
  <x:c r="N434" i="1" s="1"/>
  <x:c r="M425" i="1"/>
  <x:c r="N546" i="1"/>
  <x:c r="M546" i="1"/>
  <x:c r="N542" i="1"/>
  <x:c r="M542" i="1"/>
  <x:c r="N538" i="1"/>
  <x:c r="M538" i="1"/>
  <x:c r="N534" i="1"/>
  <x:c r="M534" i="1"/>
  <x:c r="N530" i="1"/>
  <x:c r="M530" i="1"/>
  <x:c r="K708" i="1"/>
  <x:c r="M705" i="1"/>
  <x:c r="N705" i="1"/>
  <x:c r="M701" i="1"/>
  <x:c r="N701" i="1"/>
  <x:c r="M697" i="1"/>
  <x:c r="N697" i="1"/>
  <x:c r="M693" i="1"/>
  <x:c r="N693" i="1"/>
  <x:c r="M689" i="1"/>
  <x:c r="N689" i="1"/>
  <x:c r="M685" i="1"/>
  <x:c r="N685" i="1"/>
  <x:c r="M681" i="1"/>
  <x:c r="N681" i="1"/>
  <x:c r="M677" i="1"/>
  <x:c r="N677" i="1"/>
  <x:c r="M673" i="1"/>
  <x:c r="N673" i="1"/>
  <x:c r="M669" i="1"/>
  <x:c r="N669" i="1"/>
  <x:c r="M311" i="1"/>
  <x:c r="N311" i="1"/>
  <x:c r="M315" i="1"/>
  <x:c r="N315" i="1"/>
  <x:c r="N319" i="1"/>
  <x:c r="M319" i="1"/>
  <x:c r="N323" i="1"/>
  <x:c r="M323" i="1"/>
  <x:c r="N327" i="1"/>
  <x:c r="M327" i="1"/>
  <x:c r="N331" i="1"/>
  <x:c r="M331" i="1"/>
  <x:c r="M298" i="1"/>
  <x:c r="N298" i="1"/>
  <x:c r="M302" i="1"/>
  <x:c r="N302" i="1"/>
  <x:c r="M306" i="1"/>
  <x:c r="N306" i="1"/>
  <x:c r="M310" i="1"/>
  <x:c r="N310" i="1"/>
  <x:c r="M314" i="1"/>
  <x:c r="N314" i="1"/>
  <x:c r="N318" i="1"/>
  <x:c r="M318" i="1"/>
  <x:c r="N322" i="1"/>
  <x:c r="M322" i="1"/>
  <x:c r="N326" i="1"/>
  <x:c r="M326" i="1"/>
  <x:c r="N330" i="1"/>
  <x:c r="M330" i="1"/>
  <x:c r="N334" i="1"/>
  <x:c r="M334" i="1"/>
  <x:c r="N338" i="1"/>
  <x:c r="M338" i="1"/>
  <x:c r="N342" i="1"/>
  <x:c r="M342" i="1"/>
  <x:c r="N346" i="1"/>
  <x:c r="M346" i="1"/>
  <x:c r="N350" i="1"/>
  <x:c r="M350" i="1"/>
  <x:c r="M434" i="1"/>
  <x:c r="N335" i="1"/>
  <x:c r="M335" i="1"/>
  <x:c r="N339" i="1"/>
  <x:c r="M339" i="1"/>
  <x:c r="N343" i="1"/>
  <x:c r="M343" i="1"/>
  <x:c r="N347" i="1"/>
  <x:c r="M347" i="1"/>
  <x:c r="N351" i="1"/>
  <x:c r="M351" i="1"/>
  <x:c r="N548" i="1" l="1"/>
  <x:c r="M708" i="1"/>
  <x:c r="N708" i="1"/>
  <x:c r="M548" i="1"/>
  <x:c r="K803" i="1"/>
  <x:c r="N266" i="1"/>
  <x:c r="M188" i="1"/>
  <x:c r="N188" i="1"/>
  <x:c r="N803" i="1" l="1"/>
  <x:c r="M803" i="1"/>
</x:calcChain>
</file>

<file path=xl/sharedStrings.xml><?xml version="1.0" encoding="utf-8"?>
<sst xmlns="http://schemas.openxmlformats.org/spreadsheetml/2006/main" count="933" uniqueCount="141">
  <si>
    <t>DIST</t>
  </si>
  <si>
    <t>MET</t>
  </si>
  <si>
    <t>Grand Total</t>
  </si>
  <si>
    <t>364 Total</t>
  </si>
  <si>
    <t>365 Total</t>
  </si>
  <si>
    <t>366 Total</t>
  </si>
  <si>
    <t>367 Total</t>
  </si>
  <si>
    <t>368 Total</t>
  </si>
  <si>
    <t>369 Total</t>
  </si>
  <si>
    <t>371 Total</t>
  </si>
  <si>
    <t>373 Total</t>
  </si>
  <si>
    <t>370 D</t>
  </si>
  <si>
    <t>ASL</t>
  </si>
  <si>
    <t>RL</t>
  </si>
  <si>
    <t>Net Salvage</t>
  </si>
  <si>
    <t>Theo Res</t>
  </si>
  <si>
    <t>Proration Factor</t>
  </si>
  <si>
    <t>Alloc Reserve</t>
  </si>
  <si>
    <t>Acct</t>
  </si>
  <si>
    <t>Vintage</t>
  </si>
  <si>
    <t>360 Total</t>
  </si>
  <si>
    <t>370 D Total</t>
  </si>
  <si>
    <t xml:space="preserve">DIST </t>
  </si>
  <si>
    <t>2024</t>
  </si>
  <si>
    <t>2023</t>
  </si>
  <si>
    <t>2022</t>
  </si>
  <si>
    <t>2021</t>
  </si>
  <si>
    <t>2019</t>
  </si>
  <si>
    <t>2018</t>
  </si>
  <si>
    <t>2017</t>
  </si>
  <si>
    <t>2016</t>
  </si>
  <si>
    <t>2015</t>
  </si>
  <si>
    <t>2014</t>
  </si>
  <si>
    <t>2013</t>
  </si>
  <si>
    <t>2010</t>
  </si>
  <si>
    <t>2009</t>
  </si>
  <si>
    <t>2008</t>
  </si>
  <si>
    <t>2006</t>
  </si>
  <si>
    <t>1999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</si>
  <si>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</si>
  <si>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</si>
  <si>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</si>
  <si>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</si>
  <si>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</si>
  <si>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</si>
  <si>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</si>
  <si>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</si>
  <si>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</si>
  <si>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</si>
  <si>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</si>
  <si>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</si>
  <si>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</si>
  <si>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</si>
  <si>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</si>
  <si>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</si>
  <si>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</si>
  <si>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</si>
  <si>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</si>
  <si>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</si>
  <si>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</si>
  <si>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</si>
  <si>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</si>
  <si>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</si>
  <si>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</si>
  <si>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</si>
  <si>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</si>
  <si>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</si>
  <si>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</si>
  <si>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</si>
  <si>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</si>
  <si>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</si>
  <si>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</si>
  <si>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</si>
  <si>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</si>
  <si>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</si>
  <si>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1961</t>
  </si>
  <si>
    <t>1960</t>
  </si>
  <si>
    <t>1959</t>
  </si>
  <si>
    <t>1958</t>
  </si>
  <si>
    <t>1957</t>
  </si>
  <si>
    <t>1956</t>
  </si>
  <si>
    <t>1955</t>
  </si>
  <si>
    <t>1954</t>
  </si>
  <si>
    <t>1953</t>
  </si>
  <si>
    <t>1952</t>
  </si>
  <si>
    <t>1951</t>
  </si>
  <si>
    <t>1950</t>
  </si>
  <si>
    <t>1949</t>
  </si>
  <si>
    <t>1948</t>
  </si>
  <si>
    <t>1947</t>
  </si>
  <si>
    <t>1946</t>
  </si>
  <si>
    <t>1945</t>
  </si>
  <si>
    <t>1944</t>
  </si>
  <si>
    <t>1943</t>
  </si>
  <si>
    <t>1942</t>
  </si>
  <si>
    <t>1941</t>
  </si>
  <si>
    <t>1940</t>
  </si>
  <si>
    <t>1939</t>
  </si>
  <si>
    <t>1938</t>
  </si>
  <si>
    <t>1937</t>
  </si>
  <si>
    <t>1936</t>
  </si>
  <si>
    <t>1935</t>
  </si>
  <si>
    <t>1934</t>
  </si>
  <si>
    <t>1933</t>
  </si>
  <si>
    <t>1932</t>
  </si>
  <si>
    <t>1931</t>
  </si>
  <si>
    <t>1930</t>
  </si>
  <si>
    <t>1929</t>
  </si>
  <si>
    <t>1928</t>
  </si>
  <si>
    <t>1927</t>
  </si>
  <si>
    <t>1926</t>
  </si>
  <si>
    <t>1925</t>
  </si>
  <si>
    <t>1924</t>
  </si>
  <si>
    <t>1923</t>
  </si>
  <si>
    <t>1922</t>
  </si>
  <si>
    <t>1921</t>
  </si>
  <si>
    <t>1918</t>
  </si>
  <si>
    <t>2020</t>
  </si>
  <si>
    <t>2012</t>
  </si>
  <si>
    <t>2011</t>
  </si>
  <si>
    <t>2007</t>
  </si>
  <si>
    <t>2005</t>
  </si>
  <si>
    <t>2004</t>
  </si>
  <si>
    <t>2003</t>
  </si>
  <si>
    <t>2002</t>
  </si>
  <si>
    <t>2001</t>
  </si>
  <si>
    <t>2000</t>
  </si>
  <si>
    <t>1998</t>
  </si>
  <si>
    <t>1908</t>
  </si>
  <si>
    <t>1902</t>
  </si>
  <si>
    <t>1920</t>
  </si>
  <si>
    <t>1919</t>
  </si>
  <si>
    <t>1916</t>
  </si>
  <si>
    <t>1915</t>
  </si>
  <si>
    <t>1911</t>
  </si>
  <si>
    <t>1905</t>
  </si>
  <si>
    <t>1904</t>
  </si>
  <si>
    <t>1901</t>
  </si>
  <si>
    <t>370 IDR</t>
  </si>
  <si>
    <t>370 AMR</t>
  </si>
  <si>
    <t>370 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</si>
</sst>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43" fontId="2" fillId="0" borderId="0" xfId="1" applyFont="1"/>
    <xf numFmtId="10" fontId="2" fillId="0" borderId="0" xfId="0" applyNumberFormat="1" applyFont="1"/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left" indent="3"/>
    </xf>
    <xf numFmtId="43" fontId="2" fillId="0" borderId="0" xfId="1" applyFont="1" applyFill="1"/>
    <xf numFmtId="0" fontId="2" fillId="0" borderId="0" xfId="0" applyFont="1" applyFill="1"/>
    <xf numFmtId="10" fontId="2" fillId="0" borderId="0" xfId="0" applyNumberFormat="1" applyFont="1" applyFill="1"/>
    <xf numFmtId="39" fontId="2" fillId="0" borderId="0" xfId="0" applyNumberFormat="1" applyFont="1" applyFill="1"/>
    <xf numFmtId="43" fontId="2" fillId="0" borderId="0" xfId="0" applyNumberFormat="1" applyFont="1" applyFill="1"/>
    <xf numFmtId="0" fontId="3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/>
    <xf numFmtId="43" fontId="3" fillId="0" borderId="0" xfId="1" applyFont="1" applyFill="1"/>
    <xf numFmtId="10" fontId="3" fillId="0" borderId="0" xfId="0" applyNumberFormat="1" applyFont="1" applyFill="1"/>
    <xf numFmtId="0" fontId="2" fillId="0" borderId="0" xfId="0" applyFont="1" applyFill="1" applyAlignment="1">
      <alignment horizontal="left" indent="2"/>
    </xf>
    <xf numFmtId="39" fontId="2" fillId="0" borderId="0" xfId="1" applyNumberFormat="1" applyFont="1" applyFill="1"/>
    <xf numFmtId="2" fontId="2" fillId="0" borderId="0" xfId="0" applyNumberFormat="1" applyFont="1"/>
    <xf numFmtId="43" fontId="2" fillId="0" borderId="0" xfId="0" applyNumberFormat="1" applyFont="1"/>
    <xf numFmtId="2" fontId="2" fillId="0" borderId="0" xfId="0" applyNumberFormat="1" applyFont="1" applyFill="1"/>
    <xf numFmtId="2" fontId="3" fillId="0" borderId="0" xfId="0" applyNumberFormat="1" applyFont="1" applyFill="1"/>
    <xf numFmtId="2" fontId="2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externalLink" Target="externalLinks/externalLink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6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\TXU\Oncor%202025\Accrual\Accrual%20Computation%202024%20v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rual Rate "/>
      <sheetName val="Comparison"/>
      <sheetName val="Summary Table"/>
      <sheetName val="Parameters"/>
      <sheetName val="Rate Split"/>
      <sheetName val="Reserve Split"/>
      <sheetName val="Disallowance"/>
      <sheetName val="Plant Recon"/>
      <sheetName val="Intangible ESD"/>
      <sheetName val="Transmission Theo Res"/>
      <sheetName val="Distribution Substation"/>
      <sheetName val="Distribution "/>
      <sheetName val="Gemeral Depr "/>
      <sheetName val="898 Assets"/>
    </sheetNames>
    <sheetDataSet>
      <sheetData sheetId="0"/>
      <sheetData sheetId="1"/>
      <sheetData sheetId="2"/>
      <sheetData sheetId="3">
        <row r="58">
          <cell r="J58">
            <v>-0.15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F4FD143-16DA-4AF7-8F95-3DA0CF4436B9}" mc:Ignorable="x14ac xr xr2 xr3">
  <x:sheetPr>
    <x:pageSetUpPr fitToPage="1"/>
  </x:sheetPr>
  <x:dimension ref="A1:P917"/>
  <x:sheetViews>
    <x:sheetView tabSelected="1" workbookViewId="0"/>
  </x:sheetViews>
  <x:sheetFormatPr defaultColWidth="9.125" defaultRowHeight="15.65" outlineLevelRow="2" x14ac:dyDescent="0.25"/>
  <x:cols>
    <x:col min="1" max="1" width="14.125" style="1" bestFit="1" customWidth="1"/>
    <x:col min="2" max="2" width="23.25" style="1" customWidth="1"/>
    <x:col min="3" max="3" width="22.25" style="2" bestFit="1" customWidth="1"/>
    <x:col min="4" max="4" width="18.875" style="2" bestFit="1" customWidth="1"/>
    <x:col min="5" max="5" width="22.25" style="2" customWidth="1"/>
    <x:col min="6" max="6" width="26.875" style="1" customWidth="1"/>
    <x:col min="7" max="7" width="12.875" style="2" bestFit="1" customWidth="1"/>
    <x:col min="8" max="8" width="14.375" style="3" customWidth="1"/>
    <x:col min="9" max="9" width="20.75" style="2" customWidth="1"/>
    <x:col min="10" max="10" width="19.25" style="19" customWidth="1"/>
    <x:col min="11" max="11" width="20.75" style="1" customWidth="1"/>
    <x:col min="12" max="12" width="1.125" style="2" customWidth="1"/>
    <x:col min="13" max="14" width="20.75" style="1" bestFit="1" customWidth="1"/>
    <x:col min="15" max="15" width="18.125" style="1" bestFit="1" customWidth="1"/>
    <x:col min="16" max="16" width="18.875" style="1" bestFit="1" customWidth="1"/>
    <x:col min="17" max="16384" width="9.125" style="1"/>
  </x:cols>
  <x:sheetData>
    <x:row r="1" spans="1:14" s="7" customFormat="1" x14ac:dyDescent="0.25">
      <x:c r="C1" s="6"/>
      <x:c r="D1" s="6"/>
      <x:c r="E1" s="6"/>
      <x:c r="G1" s="6"/>
      <x:c r="H1" s="8"/>
      <x:c r="I1" s="6"/>
      <x:c r="J1" s="21"/>
      <x:c r="L1" s="6"/>
    </x:row>
    <x:row r="2" spans="1:14" s="14" customFormat="1" x14ac:dyDescent="0.25">
      <x:c r="A2" s="14" t="s">
        <x:v>18</x:v>
      </x:c>
      <x:c r="B2" s="14" t="s">
        <x:v>19</x:v>
      </x:c>
      <x:c r="C2" s="15" t="s">
        <x:v>2</x:v>
      </x:c>
      <x:c r="D2" s="15" t="s">
        <x:v>0</x:v>
      </x:c>
      <x:c r="E2" s="15" t="s">
        <x:v>1</x:v>
      </x:c>
      <x:c r="F2" s="14" t="s">
        <x:v>12</x:v>
      </x:c>
      <x:c r="G2" s="15" t="s">
        <x:v>13</x:v>
      </x:c>
      <x:c r="H2" s="16" t="s">
        <x:v>14</x:v>
      </x:c>
      <x:c r="I2" s="15" t="s">
        <x:v>15</x:v>
      </x:c>
      <x:c r="J2" s="22" t="s">
        <x:v>16</x:v>
      </x:c>
      <x:c r="K2" s="14" t="s">
        <x:v>17</x:v>
      </x:c>
      <x:c r="L2" s="15"/>
      <x:c r="M2" s="14" t="s">
        <x:v>22</x:v>
      </x:c>
      <x:c r="N2" s="14" t="s">
        <x:v>1</x:v>
      </x:c>
    </x:row>
    <x:row r="3" spans="1:14" s="7" customFormat="1" outlineLevel="2" x14ac:dyDescent="0.25">
      <x:c r="A3" s="12">
        <x:v>360</x:v>
      </x:c>
      <x:c r="B3" s="5" t="s">
        <x:v>23</x:v>
      </x:c>
      <x:c r="C3" s="6">
        <x:v>8990.5900000000111</x:v>
      </x:c>
      <x:c r="D3" s="6">
        <x:v>8990.5900000000111</x:v>
      </x:c>
      <x:c r="E3" s="6"/>
      <x:c r="F3" s="7">
        <x:v>70</x:v>
      </x:c>
      <x:c r="G3" s="6">
        <x:v>69.507712999999995</x:v>
      </x:c>
      <x:c r="H3" s="8">
        <x:v>0</x:v>
      </x:c>
      <x:c r="I3" s="6">
        <x:f t="shared" ref="I3:I42" si="0">+C3*(1-H3)*(1-G3/F3)</x:f>
        <x:v>63.227865419000238</x:v>
      </x:c>
      <x:c r="J3" s="21">
        <x:v>1.0732368459910073</x:v>
      </x:c>
      <x:c r="K3" s="9">
        <x:f t="shared" ref="K3:K42" si="1">IF((C3*(1-H3)-I3*J3)&lt;0,C3*(1-H3),I3*J3)</x:f>
        <x:v>67.858474861031695</x:v>
      </x:c>
      <x:c r="L3" s="6"/>
      <x:c r="M3" s="10">
        <x:f t="shared" ref="M3:M42" si="2">+K3/D3*C3</x:f>
        <x:v>67.858474861031695</x:v>
      </x:c>
      <x:c r="N3" s="10">
        <x:f t="shared" ref="N3:N42" si="3">+E3/C3*K3</x:f>
        <x:v>0</x:v>
      </x:c>
    </x:row>
    <x:row r="4" spans="1:14" s="7" customFormat="1" outlineLevel="2" x14ac:dyDescent="0.25">
      <x:c r="A4" s="4">
        <x:v>360</x:v>
      </x:c>
      <x:c r="B4" s="5" t="s">
        <x:v>24</x:v>
      </x:c>
      <x:c r="C4" s="6">
        <x:v>429065.54000000004</x:v>
      </x:c>
      <x:c r="D4" s="6">
        <x:v>429065.54000000004</x:v>
      </x:c>
      <x:c r="E4" s="6"/>
      <x:c r="F4" s="7">
        <x:v>70</x:v>
      </x:c>
      <x:c r="G4" s="6">
        <x:v>68.524195000000006</x:v>
      </x:c>
      <x:c r="H4" s="8">
        <x:v>0</x:v>
      </x:c>
      <x:c r="I4" s="6">
        <x:f t="shared" ref="I4:I12" si="4">+C4*(1-H4)*(1-G4/F4)</x:f>
        <x:v>9045.958132281381</x:v>
      </x:c>
      <x:c r="J4" s="21">
        <x:v>1.0732368459910073</x:v>
      </x:c>
      <x:c r="K4" s="9">
        <x:f t="shared" ref="K4:K11" si="5">IF((C4*(1-H4)-I4*J4)&lt;0,C4*(1-H4),I4*J4)</x:f>
        <x:v>9708.4555748563726</x:v>
      </x:c>
      <x:c r="L4" s="6"/>
      <x:c r="M4" s="10">
        <x:f t="shared" ref="M4:M12" si="6">+K4/D4*C4</x:f>
        <x:v>9708.4555748563726</x:v>
      </x:c>
      <x:c r="N4" s="10">
        <x:f t="shared" ref="N4:N12" si="7">+E4/C4*K4</x:f>
        <x:v>0</x:v>
      </x:c>
    </x:row>
    <x:row r="5" spans="1:14" s="7" customFormat="1" outlineLevel="2" x14ac:dyDescent="0.25">
      <x:c r="A5" s="4">
        <x:v>360</x:v>
      </x:c>
      <x:c r="B5" s="5" t="s">
        <x:v>25</x:v>
      </x:c>
      <x:c r="C5" s="6">
        <x:v>460823.22999999986</x:v>
      </x:c>
      <x:c r="D5" s="6">
        <x:v>460823.22999999986</x:v>
      </x:c>
      <x:c r="E5" s="6"/>
      <x:c r="F5" s="7">
        <x:v>70</x:v>
      </x:c>
      <x:c r="G5" s="6">
        <x:v>67.542586999999997</x:v>
      </x:c>
      <x:c r="H5" s="8">
        <x:v>0</x:v>
      </x:c>
      <x:c r="I5" s="6">
        <x:f t="shared" si="4"/>
        <x:v>16177.614230057006</x:v>
      </x:c>
      <x:c r="J5" s="21">
        <x:v>1.0732368459910073</x:v>
      </x:c>
      <x:c r="K5" s="9">
        <x:f t="shared" si="5"/>
        <x:v>17362.41167192562</x:v>
      </x:c>
      <x:c r="L5" s="6"/>
      <x:c r="M5" s="10">
        <x:f t="shared" si="6"/>
        <x:v>17362.41167192562</x:v>
      </x:c>
      <x:c r="N5" s="10">
        <x:f t="shared" si="7"/>
        <x:v>0</x:v>
      </x:c>
    </x:row>
    <x:row r="6" spans="1:14" s="7" customFormat="1" outlineLevel="2" x14ac:dyDescent="0.25">
      <x:c r="A6" s="4">
        <x:v>360</x:v>
      </x:c>
      <x:c r="B6" s="5" t="s">
        <x:v>26</x:v>
      </x:c>
      <x:c r="C6" s="6">
        <x:v>649473.32999999949</x:v>
      </x:c>
      <x:c r="D6" s="6">
        <x:v>649473.32999999949</x:v>
      </x:c>
      <x:c r="E6" s="6"/>
      <x:c r="F6" s="7">
        <x:v>70</x:v>
      </x:c>
      <x:c r="G6" s="6">
        <x:v>66.562736000000001</x:v>
      </x:c>
      <x:c r="H6" s="8">
        <x:v>0</x:v>
      </x:c>
      <x:c r="I6" s="6">
        <x:f t="shared" si="4"/>
        <x:v>31891.589945273077</x:v>
      </x:c>
      <x:c r="J6" s="21">
        <x:v>1.0732368459910073</x:v>
      </x:c>
      <x:c r="K6" s="9">
        <x:f t="shared" si="5"/>
        <x:v>34227.2294065034</x:v>
      </x:c>
      <x:c r="L6" s="6"/>
      <x:c r="M6" s="10">
        <x:f t="shared" si="6"/>
        <x:v>34227.2294065034</x:v>
      </x:c>
      <x:c r="N6" s="10">
        <x:f t="shared" si="7"/>
        <x:v>0</x:v>
      </x:c>
    </x:row>
    <x:row r="7" spans="1:14" s="7" customFormat="1" outlineLevel="2" x14ac:dyDescent="0.25">
      <x:c r="A7" s="4">
        <x:v>360</x:v>
      </x:c>
      <x:c r="B7" s="5" t="s">
        <x:v>27</x:v>
      </x:c>
      <x:c r="C7" s="6">
        <x:v>278835.33999999997</x:v>
      </x:c>
      <x:c r="D7" s="6">
        <x:v>278835.33999999997</x:v>
      </x:c>
      <x:c r="E7" s="6"/>
      <x:c r="F7" s="7">
        <x:v>70</x:v>
      </x:c>
      <x:c r="G7" s="6">
        <x:v>64.609823000000006</x:v>
      </x:c>
      <x:c r="H7" s="8">
        <x:v>0</x:v>
      </x:c>
      <x:c r="I7" s="6">
        <x:f t="shared" si="4"/>
        <x:v>21471.026235073987</x:v>
      </x:c>
      <x:c r="J7" s="21">
        <x:v>1.0732368459910073</x:v>
      </x:c>
      <x:c r="K7" s="9">
        <x:f t="shared" si="5"/>
        <x:v>23043.496476720979</x:v>
      </x:c>
      <x:c r="L7" s="6"/>
      <x:c r="M7" s="10">
        <x:f t="shared" si="6"/>
        <x:v>23043.496476720979</x:v>
      </x:c>
      <x:c r="N7" s="10">
        <x:f t="shared" si="7"/>
        <x:v>0</x:v>
      </x:c>
    </x:row>
    <x:row r="8" spans="1:14" s="7" customFormat="1" outlineLevel="2" x14ac:dyDescent="0.25">
      <x:c r="A8" s="4">
        <x:v>360</x:v>
      </x:c>
      <x:c r="B8" s="5" t="s">
        <x:v>28</x:v>
      </x:c>
      <x:c r="C8" s="6">
        <x:v>143979.04</x:v>
      </x:c>
      <x:c r="D8" s="6">
        <x:v>143979.04</x:v>
      </x:c>
      <x:c r="E8" s="6"/>
      <x:c r="F8" s="7">
        <x:v>70</x:v>
      </x:c>
      <x:c r="G8" s="6">
        <x:v>63.636930999999997</x:v>
      </x:c>
      <x:c r="H8" s="8">
        <x:v>0</x:v>
      </x:c>
      <x:c r="I8" s="6">
        <x:f t="shared" si="4"/>
        <x:v>13087.836658196575</x:v>
      </x:c>
      <x:c r="J8" s="21">
        <x:v>1.0732368459910073</x:v>
      </x:c>
      <x:c r="K8" s="9">
        <x:f t="shared" si="5"/>
        <x:v>14046.348535888377</x:v>
      </x:c>
      <x:c r="L8" s="6"/>
      <x:c r="M8" s="10">
        <x:f t="shared" si="6"/>
        <x:v>14046.348535888377</x:v>
      </x:c>
      <x:c r="N8" s="10">
        <x:f t="shared" si="7"/>
        <x:v>0</x:v>
      </x:c>
    </x:row>
    <x:row r="9" spans="1:14" s="7" customFormat="1" outlineLevel="2" x14ac:dyDescent="0.25">
      <x:c r="A9" s="4">
        <x:v>360</x:v>
      </x:c>
      <x:c r="B9" s="5" t="s">
        <x:v>29</x:v>
      </x:c>
      <x:c r="C9" s="6">
        <x:v>731241.27999999991</x:v>
      </x:c>
      <x:c r="D9" s="6">
        <x:v>731241.27999999991</x:v>
      </x:c>
      <x:c r="E9" s="6"/>
      <x:c r="F9" s="7">
        <x:v>70</x:v>
      </x:c>
      <x:c r="G9" s="6">
        <x:v>62.666553999999998</x:v>
      </x:c>
      <x:c r="H9" s="8">
        <x:v>0</x:v>
      </x:c>
      <x:c r="I9" s="6">
        <x:f t="shared" si="4"/>
        <x:v>76607.406283583987</x:v>
      </x:c>
      <x:c r="J9" s="21">
        <x:v>1.0732368459910073</x:v>
      </x:c>
      <x:c r="K9" s="9">
        <x:f t="shared" si="5"/>
        <x:v>82217.891099345361</x:v>
      </x:c>
      <x:c r="L9" s="6"/>
      <x:c r="M9" s="10">
        <x:f t="shared" si="6"/>
        <x:v>82217.891099345361</x:v>
      </x:c>
      <x:c r="N9" s="10">
        <x:f t="shared" si="7"/>
        <x:v>0</x:v>
      </x:c>
    </x:row>
    <x:row r="10" spans="1:14" s="7" customFormat="1" outlineLevel="2" x14ac:dyDescent="0.25">
      <x:c r="A10" s="4">
        <x:v>360</x:v>
      </x:c>
      <x:c r="B10" s="5" t="s">
        <x:v>30</x:v>
      </x:c>
      <x:c r="C10" s="6">
        <x:v>1004485.8099999996</x:v>
      </x:c>
      <x:c r="D10" s="6">
        <x:v>1004485.8099999996</x:v>
      </x:c>
      <x:c r="E10" s="6"/>
      <x:c r="F10" s="7">
        <x:v>70</x:v>
      </x:c>
      <x:c r="G10" s="6">
        <x:v>61.698855000000002</x:v>
      </x:c>
      <x:c r="H10" s="8">
        <x:v>0</x:v>
      </x:c>
      <x:c r="I10" s="6">
        <x:f t="shared" si="4"/>
        <x:v>119119.74798932069</x:v>
      </x:c>
      <x:c r="J10" s="21">
        <x:v>1.0732368459910073</x:v>
      </x:c>
      <x:c r="K10" s="9">
        <x:f t="shared" si="5"/>
        <x:v>127843.70262730218</x:v>
      </x:c>
      <x:c r="L10" s="6"/>
      <x:c r="M10" s="10">
        <x:f t="shared" si="6"/>
        <x:v>127843.70262730216</x:v>
      </x:c>
      <x:c r="N10" s="10">
        <x:f t="shared" si="7"/>
        <x:v>0</x:v>
      </x:c>
    </x:row>
    <x:row r="11" spans="1:14" s="7" customFormat="1" outlineLevel="2" x14ac:dyDescent="0.25">
      <x:c r="A11" s="4">
        <x:v>360</x:v>
      </x:c>
      <x:c r="B11" s="5" t="s">
        <x:v>31</x:v>
      </x:c>
      <x:c r="C11" s="6">
        <x:v>845718.17999999993</x:v>
      </x:c>
      <x:c r="D11" s="6">
        <x:v>845718.17999999993</x:v>
      </x:c>
      <x:c r="E11" s="6"/>
      <x:c r="F11" s="7">
        <x:v>70</x:v>
      </x:c>
      <x:c r="G11" s="6">
        <x:v>60.734226999999997</x:v>
      </x:c>
      <x:c r="H11" s="8">
        <x:v>0</x:v>
      </x:c>
      <x:c r="I11" s="6">
        <x:f t="shared" si="4"/>
        <x:v>111946.18111218775</x:v>
      </x:c>
      <x:c r="J11" s="21">
        <x:v>1.0732368459910073</x:v>
      </x:c>
      <x:c r="K11" s="9">
        <x:f t="shared" si="5"/>
        <x:v>120144.76633758246</x:v>
      </x:c>
      <x:c r="L11" s="6"/>
      <x:c r="M11" s="10">
        <x:f t="shared" si="6"/>
        <x:v>120144.76633758248</x:v>
      </x:c>
      <x:c r="N11" s="10">
        <x:f t="shared" si="7"/>
        <x:v>0</x:v>
      </x:c>
    </x:row>
    <x:row r="12" spans="1:14" s="7" customFormat="1" outlineLevel="2" x14ac:dyDescent="0.25">
      <x:c r="A12" s="4">
        <x:v>360</x:v>
      </x:c>
      <x:c r="B12" s="5" t="s">
        <x:v>32</x:v>
      </x:c>
      <x:c r="C12" s="6">
        <x:v>174083.44000000003</x:v>
      </x:c>
      <x:c r="D12" s="6">
        <x:v>174083.44000000003</x:v>
      </x:c>
      <x:c r="E12" s="6"/>
      <x:c r="F12" s="7">
        <x:v>70</x:v>
      </x:c>
      <x:c r="G12" s="6">
        <x:v>59.772351</x:v>
      </x:c>
      <x:c r="H12" s="8">
        <x:v>0</x:v>
      </x:c>
      <x:c r="I12" s="6">
        <x:f t="shared" si="4"/>
        <x:v>25435.204586179436</x:v>
      </x:c>
      <x:c r="J12" s="21">
        <x:v>1.0732368459910073</x:v>
      </x:c>
      <x:c r="K12" s="9">
        <x:f>IF((C12*(1-H12)-I12*J12)&lt;0,C12*(1-H12),I12*J12)</x:f>
        <x:v>27297.998747207221</x:v>
      </x:c>
      <x:c r="L12" s="6"/>
      <x:c r="M12" s="10">
        <x:f t="shared" si="6"/>
        <x:v>27297.998747207221</x:v>
      </x:c>
      <x:c r="N12" s="10">
        <x:f t="shared" si="7"/>
        <x:v>0</x:v>
      </x:c>
    </x:row>
    <x:row r="13" spans="1:14" s="7" customFormat="1" outlineLevel="2" x14ac:dyDescent="0.25">
      <x:c r="A13" s="4">
        <x:v>360</x:v>
      </x:c>
      <x:c r="B13" s="5" t="s">
        <x:v>33</x:v>
      </x:c>
      <x:c r="C13" s="6">
        <x:v>59487.869999999893</x:v>
      </x:c>
      <x:c r="D13" s="6">
        <x:v>59487.869999999893</x:v>
      </x:c>
      <x:c r="E13" s="6"/>
      <x:c r="F13" s="7">
        <x:v>70</x:v>
      </x:c>
      <x:c r="G13" s="6">
        <x:v>58.814194999999998</x:v>
      </x:c>
      <x:c r="H13" s="8">
        <x:v>0</x:v>
      </x:c>
      <x:c r="I13" s="6">
        <x:f t="shared" si="0"/>
        <x:v>9505.9959097907013</x:v>
      </x:c>
      <x:c r="J13" s="21">
        <x:v>1.0732368459910073</x:v>
      </x:c>
      <x:c r="K13" s="9">
        <x:f t="shared" si="1"/>
        <x:v>10202.185068227189</x:v>
      </x:c>
      <x:c r="L13" s="6"/>
      <x:c r="M13" s="10">
        <x:f t="shared" si="2"/>
        <x:v>10202.185068227189</x:v>
      </x:c>
      <x:c r="N13" s="10">
        <x:f t="shared" si="3"/>
        <x:v>0</x:v>
      </x:c>
    </x:row>
    <x:row r="14" spans="1:14" s="7" customFormat="1" outlineLevel="2" x14ac:dyDescent="0.25">
      <x:c r="A14" s="4">
        <x:v>360</x:v>
      </x:c>
      <x:c r="B14" s="5" t="s">
        <x:v>34</x:v>
      </x:c>
      <x:c r="C14" s="6">
        <x:v>24616.949999999899</x:v>
      </x:c>
      <x:c r="D14" s="6">
        <x:v>24616.949999999899</x:v>
      </x:c>
      <x:c r="E14" s="6"/>
      <x:c r="F14" s="7">
        <x:v>70</x:v>
      </x:c>
      <x:c r="G14" s="6">
        <x:v>55.960321999999998</x:v>
      </x:c>
      <x:c r="H14" s="8">
        <x:v>0</x:v>
      </x:c>
      <x:c r="I14" s="6">
        <x:f t="shared" ref="I14" si="8">+C14*(1-H14)*(1-G14/F14)</x:f>
        <x:v>4937.3435906014092</x:v>
      </x:c>
      <x:c r="J14" s="21">
        <x:v>1.0732368459910073</x:v>
      </x:c>
      <x:c r="K14" s="9">
        <x:f t="shared" ref="K14" si="9">IF((C14*(1-H14)-I14*J14)&lt;0,C14*(1-H14),I14*J14)</x:f>
        <x:v>5298.939062750972</x:v>
      </x:c>
      <x:c r="L14" s="6"/>
      <x:c r="M14" s="10">
        <x:f t="shared" ref="M14" si="10">+K14/D14*C14</x:f>
        <x:v>5298.939062750972</x:v>
      </x:c>
      <x:c r="N14" s="10">
        <x:f t="shared" ref="N14" si="11">+E14/C14*K14</x:f>
        <x:v>0</x:v>
      </x:c>
    </x:row>
    <x:row r="15" spans="1:14" s="7" customFormat="1" outlineLevel="2" x14ac:dyDescent="0.25">
      <x:c r="A15" s="4">
        <x:v>360</x:v>
      </x:c>
      <x:c r="B15" s="5" t="s">
        <x:v>35</x:v>
      </x:c>
      <x:c r="C15" s="6">
        <x:v>462672.68000000017</x:v>
      </x:c>
      <x:c r="D15" s="6">
        <x:v>462672.68000000017</x:v>
      </x:c>
      <x:c r="E15" s="6"/>
      <x:c r="F15" s="7">
        <x:v>70</x:v>
      </x:c>
      <x:c r="G15" s="6">
        <x:v>55.016660000000002</x:v>
      </x:c>
      <x:c r="H15" s="8">
        <x:v>0</x:v>
      </x:c>
      <x:c r="I15" s="6">
        <x:f t="shared" si="0"/>
        <x:v>99034.029616445725</x:v>
      </x:c>
      <x:c r="J15" s="21">
        <x:v>1.0732368459910073</x:v>
      </x:c>
      <x:c r="K15" s="9">
        <x:f t="shared" si="1"/>
        <x:v>106286.96959133421</x:v>
      </x:c>
      <x:c r="L15" s="6"/>
      <x:c r="M15" s="10">
        <x:f t="shared" si="2"/>
        <x:v>106286.96959133421</x:v>
      </x:c>
      <x:c r="N15" s="10">
        <x:f t="shared" si="3"/>
        <x:v>0</x:v>
      </x:c>
    </x:row>
    <x:row r="16" spans="1:14" s="7" customFormat="1" outlineLevel="2" x14ac:dyDescent="0.25">
      <x:c r="A16" s="4">
        <x:v>360</x:v>
      </x:c>
      <x:c r="B16" s="5" t="s">
        <x:v>36</x:v>
      </x:c>
      <x:c r="C16" s="6">
        <x:v>444493.60999999795</x:v>
      </x:c>
      <x:c r="D16" s="6">
        <x:v>444493.60999999795</x:v>
      </x:c>
      <x:c r="E16" s="6"/>
      <x:c r="F16" s="7">
        <x:v>70</x:v>
      </x:c>
      <x:c r="G16" s="6">
        <x:v>54.077407999999998</x:v>
      </x:c>
      <x:c r="H16" s="8">
        <x:v>0</x:v>
      </x:c>
      <x:c r="I16" s="6">
        <x:f t="shared" si="0"/>
        <x:v>101107.00569481555</x:v>
      </x:c>
      <x:c r="J16" s="21">
        <x:v>1.0732368459910073</x:v>
      </x:c>
      <x:c r="K16" s="9">
        <x:f t="shared" si="1"/>
        <x:v>108511.76389949866</x:v>
      </x:c>
      <x:c r="L16" s="6"/>
      <x:c r="M16" s="10">
        <x:f t="shared" si="2"/>
        <x:v>108511.76389949866</x:v>
      </x:c>
      <x:c r="N16" s="10">
        <x:f t="shared" si="3"/>
        <x:v>0</x:v>
      </x:c>
    </x:row>
    <x:row r="17" spans="1:14" s="7" customFormat="1" outlineLevel="2" x14ac:dyDescent="0.25">
      <x:c r="A17" s="4">
        <x:v>360</x:v>
      </x:c>
      <x:c r="B17" s="5" t="s">
        <x:v>37</x:v>
      </x:c>
      <x:c r="C17" s="6">
        <x:v>80565.720000000147</x:v>
      </x:c>
      <x:c r="D17" s="6">
        <x:v>80565.720000000147</x:v>
      </x:c>
      <x:c r="E17" s="6"/>
      <x:c r="F17" s="7">
        <x:v>70</x:v>
      </x:c>
      <x:c r="G17" s="6">
        <x:v>52.211801000000001</x:v>
      </x:c>
      <x:c r="H17" s="8">
        <x:v>0</x:v>
      </x:c>
      <x:c r="I17" s="6">
        <x:f t="shared" si="0"/>
        <x:v>20473.12942768975</x:v>
      </x:c>
      <x:c r="J17" s="21">
        <x:v>1.0732368459910073</x:v>
      </x:c>
      <x:c r="K17" s="9">
        <x:f t="shared" si="1"/>
        <x:v>21972.516854539423</x:v>
      </x:c>
      <x:c r="L17" s="6"/>
      <x:c r="M17" s="10">
        <x:f t="shared" si="2"/>
        <x:v>21972.516854539423</x:v>
      </x:c>
      <x:c r="N17" s="10">
        <x:f t="shared" si="3"/>
        <x:v>0</x:v>
      </x:c>
    </x:row>
    <x:row r="18" spans="1:14" s="7" customFormat="1" outlineLevel="2" x14ac:dyDescent="0.25">
      <x:c r="A18" s="4">
        <x:v>360</x:v>
      </x:c>
      <x:c r="B18" s="5" t="s">
        <x:v>38</x:v>
      </x:c>
      <x:c r="C18" s="6">
        <x:v>30065.640000000094</x:v>
      </x:c>
      <x:c r="D18" s="6">
        <x:v>30065.640000000094</x:v>
      </x:c>
      <x:c r="E18" s="6"/>
      <x:c r="F18" s="7">
        <x:v>70</x:v>
      </x:c>
      <x:c r="G18" s="6">
        <x:v>45.839038000000002</x:v>
      </x:c>
      <x:c r="H18" s="8">
        <x:v>0</x:v>
      </x:c>
      <x:c r="I18" s="6">
        <x:f t="shared" si="0"/>
        <x:v>10377.354079224031</x:v>
      </x:c>
      <x:c r="J18" s="21">
        <x:v>1.0732368459910073</x:v>
      </x:c>
      <x:c r="K18" s="9">
        <x:f t="shared" si="1"/>
        <x:v>11137.358761718313</x:v>
      </x:c>
      <x:c r="L18" s="6"/>
      <x:c r="M18" s="10">
        <x:f t="shared" si="2"/>
        <x:v>11137.358761718313</x:v>
      </x:c>
      <x:c r="N18" s="10">
        <x:f t="shared" si="3"/>
        <x:v>0</x:v>
      </x:c>
    </x:row>
    <x:row r="19" spans="1:14" s="7" customFormat="1" outlineLevel="2" x14ac:dyDescent="0.25">
      <x:c r="A19" s="4">
        <x:v>360</x:v>
      </x:c>
      <x:c r="B19" s="5" t="s">
        <x:v>39</x:v>
      </x:c>
      <x:c r="C19" s="6">
        <x:v>7135.6100000000324</x:v>
      </x:c>
      <x:c r="D19" s="6">
        <x:v>7135.6100000000324</x:v>
      </x:c>
      <x:c r="E19" s="6"/>
      <x:c r="F19" s="7">
        <x:v>70</x:v>
      </x:c>
      <x:c r="G19" s="6">
        <x:v>44.068384000000002</x:v>
      </x:c>
      <x:c r="H19" s="8">
        <x:v>0</x:v>
      </x:c>
      <x:c r="I19" s="6">
        <x:f t="shared" si="0"/>
        <x:v>2643.3985492251545</x:v>
      </x:c>
      <x:c r="J19" s="21">
        <x:v>1.0732368459910073</x:v>
      </x:c>
      <x:c r="K19" s="9">
        <x:f t="shared" si="1"/>
        <x:v>2836.9927216676092</x:v>
      </x:c>
      <x:c r="L19" s="6"/>
      <x:c r="M19" s="10">
        <x:f t="shared" si="2"/>
        <x:v>2836.9927216676092</x:v>
      </x:c>
      <x:c r="N19" s="10">
        <x:f t="shared" si="3"/>
        <x:v>0</x:v>
      </x:c>
    </x:row>
    <x:row r="20" spans="1:14" s="7" customFormat="1" outlineLevel="2" x14ac:dyDescent="0.25">
      <x:c r="A20" s="4">
        <x:v>360</x:v>
      </x:c>
      <x:c r="B20" s="5" t="s">
        <x:v>40</x:v>
      </x:c>
      <x:c r="C20" s="6">
        <x:v>344899.17999999976</x:v>
      </x:c>
      <x:c r="D20" s="6">
        <x:v>344899.17999999976</x:v>
      </x:c>
      <x:c r="E20" s="6"/>
      <x:c r="F20" s="7">
        <x:v>70</x:v>
      </x:c>
      <x:c r="G20" s="6">
        <x:v>43.192208999999998</x:v>
      </x:c>
      <x:c r="H20" s="8">
        <x:v>0</x:v>
      </x:c>
      <x:c r="I20" s="6">
        <x:f t="shared" si="0"/>
        <x:v>132085.50190730536</x:v>
      </x:c>
      <x:c r="J20" s="21">
        <x:v>1.0732368459910073</x:v>
      </x:c>
      <x:c r="K20" s="9">
        <x:f t="shared" si="1"/>
        <x:v>141759.02746813558</x:v>
      </x:c>
      <x:c r="L20" s="6"/>
      <x:c r="M20" s="10">
        <x:f t="shared" si="2"/>
        <x:v>141759.02746813558</x:v>
      </x:c>
      <x:c r="N20" s="10">
        <x:f t="shared" si="3"/>
        <x:v>0</x:v>
      </x:c>
    </x:row>
    <x:row r="21" spans="1:14" s="7" customFormat="1" outlineLevel="2" x14ac:dyDescent="0.25">
      <x:c r="A21" s="4">
        <x:v>360</x:v>
      </x:c>
      <x:c r="B21" s="5" t="s">
        <x:v>41</x:v>
      </x:c>
      <x:c r="C21" s="6">
        <x:v>210921.55999999994</x:v>
      </x:c>
      <x:c r="D21" s="6">
        <x:v>210921.55999999994</x:v>
      </x:c>
      <x:c r="E21" s="6"/>
      <x:c r="F21" s="7">
        <x:v>70</x:v>
      </x:c>
      <x:c r="G21" s="6">
        <x:v>42.322127999999999</x:v>
      </x:c>
      <x:c r="H21" s="8">
        <x:v>0</x:v>
      </x:c>
      <x:c r="I21" s="6">
        <x:f t="shared" si="0"/>
        <x:v>83397.999138861705</x:v>
      </x:c>
      <x:c r="J21" s="21">
        <x:v>1.0732368459910073</x:v>
      </x:c>
      <x:c r="K21" s="9">
        <x:f t="shared" si="1"/>
        <x:v>89505.805557752683</x:v>
      </x:c>
      <x:c r="L21" s="6"/>
      <x:c r="M21" s="10">
        <x:f t="shared" si="2"/>
        <x:v>89505.805557752683</x:v>
      </x:c>
      <x:c r="N21" s="10">
        <x:f t="shared" si="3"/>
        <x:v>0</x:v>
      </x:c>
    </x:row>
    <x:row r="22" spans="1:14" s="7" customFormat="1" outlineLevel="2" x14ac:dyDescent="0.25">
      <x:c r="A22" s="4">
        <x:v>360</x:v>
      </x:c>
      <x:c r="B22" s="5" t="s">
        <x:v>42</x:v>
      </x:c>
      <x:c r="C22" s="6">
        <x:v>267500.7699999999</x:v>
      </x:c>
      <x:c r="D22" s="6">
        <x:v>267500.7699999999</x:v>
      </x:c>
      <x:c r="E22" s="6"/>
      <x:c r="F22" s="7">
        <x:v>70</x:v>
      </x:c>
      <x:c r="G22" s="6">
        <x:v>41.458871000000002</x:v>
      </x:c>
      <x:c r="H22" s="8">
        <x:v>0</x:v>
      </x:c>
      <x:c r="I22" s="6">
        <x:f t="shared" si="0"/>
        <x:v>109068.19977384752</x:v>
      </x:c>
      <x:c r="J22" s="21">
        <x:v>1.0732368459910073</x:v>
      </x:c>
      <x:c r="K22" s="9">
        <x:f t="shared" si="1"/>
        <x:v>117056.01072320121</x:v>
      </x:c>
      <x:c r="L22" s="6"/>
      <x:c r="M22" s="10">
        <x:f t="shared" si="2"/>
        <x:v>117056.01072320121</x:v>
      </x:c>
      <x:c r="N22" s="10">
        <x:f t="shared" si="3"/>
        <x:v>0</x:v>
      </x:c>
    </x:row>
    <x:row r="23" spans="1:14" s="7" customFormat="1" outlineLevel="2" x14ac:dyDescent="0.25">
      <x:c r="A23" s="4">
        <x:v>360</x:v>
      </x:c>
      <x:c r="B23" s="5" t="s">
        <x:v>43</x:v>
      </x:c>
      <x:c r="C23" s="6">
        <x:v>423034.03999999992</x:v>
      </x:c>
      <x:c r="D23" s="6">
        <x:v>423034.03999999992</x:v>
      </x:c>
      <x:c r="E23" s="6"/>
      <x:c r="F23" s="7">
        <x:v>70</x:v>
      </x:c>
      <x:c r="G23" s="6">
        <x:v>40.601317000000002</x:v>
      </x:c>
      <x:c r="H23" s="8">
        <x:v>0</x:v>
      </x:c>
      <x:c r="I23" s="6">
        <x:f t="shared" si="0"/>
        <x:v>177666.33771670453</x:v>
      </x:c>
      <x:c r="J23" s="21">
        <x:v>1.0732368459910073</x:v>
      </x:c>
      <x:c r="K23" s="9">
        <x:f t="shared" si="1"/>
        <x:v>190678.05992984911</x:v>
      </x:c>
      <x:c r="L23" s="6"/>
      <x:c r="M23" s="10">
        <x:f t="shared" si="2"/>
        <x:v>190678.05992984911</x:v>
      </x:c>
      <x:c r="N23" s="10">
        <x:f t="shared" si="3"/>
        <x:v>0</x:v>
      </x:c>
    </x:row>
    <x:row r="24" spans="1:14" s="7" customFormat="1" outlineLevel="2" x14ac:dyDescent="0.25">
      <x:c r="A24" s="4">
        <x:v>360</x:v>
      </x:c>
      <x:c r="B24" s="5" t="s">
        <x:v>44</x:v>
      </x:c>
      <x:c r="C24" s="6">
        <x:v>1998763.2500000002</x:v>
      </x:c>
      <x:c r="D24" s="6">
        <x:v>1998763.2500000002</x:v>
      </x:c>
      <x:c r="E24" s="6"/>
      <x:c r="F24" s="7">
        <x:v>70</x:v>
      </x:c>
      <x:c r="G24" s="6">
        <x:v>39.751500999999998</x:v>
      </x:c>
      <x:c r="H24" s="8">
        <x:v>0</x:v>
      </x:c>
      <x:c r="I24" s="6">
        <x:f t="shared" si="0"/>
        <x:v>863708.40241231082</x:v>
      </x:c>
      <x:c r="J24" s="21">
        <x:v>1.0732368459910073</x:v>
      </x:c>
      <x:c r="K24" s="9">
        <x:f t="shared" si="1"/>
        <x:v>926963.68166092027</x:v>
      </x:c>
      <x:c r="L24" s="6"/>
      <x:c r="M24" s="10">
        <x:f t="shared" si="2"/>
        <x:v>926963.68166092027</x:v>
      </x:c>
      <x:c r="N24" s="10">
        <x:f t="shared" si="3"/>
        <x:v>0</x:v>
      </x:c>
    </x:row>
    <x:row r="25" spans="1:14" s="7" customFormat="1" outlineLevel="2" x14ac:dyDescent="0.25">
      <x:c r="A25" s="4">
        <x:v>360</x:v>
      </x:c>
      <x:c r="B25" s="5" t="s">
        <x:v>45</x:v>
      </x:c>
      <x:c r="C25" s="6">
        <x:v>236914.43</x:v>
      </x:c>
      <x:c r="D25" s="6">
        <x:v>236914.43</x:v>
      </x:c>
      <x:c r="E25" s="6"/>
      <x:c r="F25" s="7">
        <x:v>70</x:v>
      </x:c>
      <x:c r="G25" s="6">
        <x:v>38.907595000000001</x:v>
      </x:c>
      <x:c r="H25" s="8">
        <x:v>0</x:v>
      </x:c>
      <x:c r="I25" s="6">
        <x:f t="shared" si="0"/>
        <x:v>105231.99154148786</x:v>
      </x:c>
      <x:c r="J25" s="21">
        <x:v>1.0732368459910073</x:v>
      </x:c>
      <x:c r="K25" s="9">
        <x:f t="shared" si="1"/>
        <x:v>112938.8506993388</x:v>
      </x:c>
      <x:c r="L25" s="6"/>
      <x:c r="M25" s="10">
        <x:f t="shared" si="2"/>
        <x:v>112938.8506993388</x:v>
      </x:c>
      <x:c r="N25" s="10">
        <x:f t="shared" si="3"/>
        <x:v>0</x:v>
      </x:c>
    </x:row>
    <x:row r="26" spans="1:14" s="7" customFormat="1" outlineLevel="2" x14ac:dyDescent="0.25">
      <x:c r="A26" s="4">
        <x:v>360</x:v>
      </x:c>
      <x:c r="B26" s="5" t="s">
        <x:v>46</x:v>
      </x:c>
      <x:c r="C26" s="6">
        <x:v>316131.43999999994</x:v>
      </x:c>
      <x:c r="D26" s="6">
        <x:v>316131.43999999994</x:v>
      </x:c>
      <x:c r="E26" s="6"/>
      <x:c r="F26" s="7">
        <x:v>70</x:v>
      </x:c>
      <x:c r="G26" s="6">
        <x:v>38.071046000000003</x:v>
      </x:c>
      <x:c r="H26" s="8">
        <x:v>0</x:v>
      </x:c>
      <x:c r="I26" s="6">
        <x:f t="shared" si="0"/>
        <x:v>144196.37436733936</x:v>
      </x:c>
      <x:c r="J26" s="21">
        <x:v>1.0732368459910073</x:v>
      </x:c>
      <x:c r="K26" s="9">
        <x:f t="shared" si="1"/>
        <x:v>154756.86202934184</x:v>
      </x:c>
      <x:c r="L26" s="6"/>
      <x:c r="M26" s="10">
        <x:f t="shared" si="2"/>
        <x:v>154756.86202934184</x:v>
      </x:c>
      <x:c r="N26" s="10">
        <x:f t="shared" si="3"/>
        <x:v>0</x:v>
      </x:c>
    </x:row>
    <x:row r="27" spans="1:14" s="7" customFormat="1" outlineLevel="2" x14ac:dyDescent="0.25">
      <x:c r="A27" s="4">
        <x:v>360</x:v>
      </x:c>
      <x:c r="B27" s="5" t="s">
        <x:v>47</x:v>
      </x:c>
      <x:c r="C27" s="6">
        <x:v>157397.79999999999</x:v>
      </x:c>
      <x:c r="D27" s="6">
        <x:v>157397.79999999999</x:v>
      </x:c>
      <x:c r="E27" s="6"/>
      <x:c r="F27" s="7">
        <x:v>70</x:v>
      </x:c>
      <x:c r="G27" s="6">
        <x:v>37.241276999999997</x:v>
      </x:c>
      <x:c r="H27" s="8">
        <x:v>0</x:v>
      </x:c>
      <x:c r="I27" s="6">
        <x:f t="shared" si="0"/>
        <x:v>73659.299014420001</x:v>
      </x:c>
      <x:c r="J27" s="21">
        <x:v>1.0732368459910073</x:v>
      </x:c>
      <x:c r="K27" s="9">
        <x:f t="shared" si="1"/>
        <x:v>79053.873752144631</x:v>
      </x:c>
      <x:c r="L27" s="6"/>
      <x:c r="M27" s="10">
        <x:f t="shared" si="2"/>
        <x:v>79053.873752144631</x:v>
      </x:c>
      <x:c r="N27" s="10">
        <x:f t="shared" si="3"/>
        <x:v>0</x:v>
      </x:c>
    </x:row>
    <x:row r="28" spans="1:14" s="7" customFormat="1" outlineLevel="2" x14ac:dyDescent="0.25">
      <x:c r="A28" s="4">
        <x:v>360</x:v>
      </x:c>
      <x:c r="B28" s="5" t="s">
        <x:v>48</x:v>
      </x:c>
      <x:c r="C28" s="6">
        <x:v>679969.84000000008</x:v>
      </x:c>
      <x:c r="D28" s="6">
        <x:v>679969.84000000008</x:v>
      </x:c>
      <x:c r="E28" s="6"/>
      <x:c r="F28" s="7">
        <x:v>70</x:v>
      </x:c>
      <x:c r="G28" s="6">
        <x:v>36.418394999999997</x:v>
      </x:c>
      <x:c r="H28" s="8">
        <x:v>0</x:v>
      </x:c>
      <x:c r="I28" s="6">
        <x:f t="shared" si="0"/>
        <x:v>326206.83683990297</x:v>
      </x:c>
      <x:c r="J28" s="21">
        <x:v>1.0732368459910073</x:v>
      </x:c>
      <x:c r="K28" s="9">
        <x:f t="shared" si="1"/>
        <x:v>350097.19671076059</x:v>
      </x:c>
      <x:c r="L28" s="6"/>
      <x:c r="M28" s="10">
        <x:f t="shared" si="2"/>
        <x:v>350097.19671076059</x:v>
      </x:c>
      <x:c r="N28" s="10">
        <x:f t="shared" si="3"/>
        <x:v>0</x:v>
      </x:c>
    </x:row>
    <x:row r="29" spans="1:14" s="7" customFormat="1" outlineLevel="2" x14ac:dyDescent="0.25">
      <x:c r="A29" s="4">
        <x:v>360</x:v>
      </x:c>
      <x:c r="B29" s="5" t="s">
        <x:v>49</x:v>
      </x:c>
      <x:c r="C29" s="6">
        <x:v>571398.74</x:v>
      </x:c>
      <x:c r="D29" s="6">
        <x:v>571398.74</x:v>
      </x:c>
      <x:c r="E29" s="6"/>
      <x:c r="F29" s="7">
        <x:v>70</x:v>
      </x:c>
      <x:c r="G29" s="6">
        <x:v>35.603236000000003</x:v>
      </x:c>
      <x:c r="H29" s="8">
        <x:v>0</x:v>
      </x:c>
      <x:c r="I29" s="6">
        <x:f t="shared" si="0"/>
        <x:v>280775.25156681938</x:v>
      </x:c>
      <x:c r="J29" s="21">
        <x:v>1.0732368459910073</x:v>
      </x:c>
      <x:c r="K29" s="9">
        <x:f t="shared" si="1"/>
        <x:v>301338.34542390489</x:v>
      </x:c>
      <x:c r="L29" s="6"/>
      <x:c r="M29" s="10">
        <x:f t="shared" si="2"/>
        <x:v>301338.34542390489</x:v>
      </x:c>
      <x:c r="N29" s="10">
        <x:f t="shared" si="3"/>
        <x:v>0</x:v>
      </x:c>
    </x:row>
    <x:row r="30" spans="1:14" s="7" customFormat="1" outlineLevel="2" x14ac:dyDescent="0.25">
      <x:c r="A30" s="4">
        <x:v>360</x:v>
      </x:c>
      <x:c r="B30" s="5" t="s">
        <x:v>50</x:v>
      </x:c>
      <x:c r="C30" s="6">
        <x:v>554735.64</x:v>
      </x:c>
      <x:c r="D30" s="6">
        <x:v>554735.64</x:v>
      </x:c>
      <x:c r="E30" s="6"/>
      <x:c r="F30" s="7">
        <x:v>70</x:v>
      </x:c>
      <x:c r="G30" s="6">
        <x:v>34.794424999999997</x:v>
      </x:c>
      <x:c r="H30" s="8">
        <x:v>0</x:v>
      </x:c>
      <x:c r="I30" s="6">
        <x:f t="shared" si="0"/>
        <x:v>278996.95970275713</x:v>
      </x:c>
      <x:c r="J30" s="21">
        <x:v>1.0732368459910073</x:v>
      </x:c>
      <x:c r="K30" s="9">
        <x:f t="shared" si="1"/>
        <x:v>299429.81707246724</x:v>
      </x:c>
      <x:c r="L30" s="6"/>
      <x:c r="M30" s="10">
        <x:f t="shared" si="2"/>
        <x:v>299429.81707246724</x:v>
      </x:c>
      <x:c r="N30" s="10">
        <x:f t="shared" si="3"/>
        <x:v>0</x:v>
      </x:c>
    </x:row>
    <x:row r="31" spans="1:14" s="7" customFormat="1" outlineLevel="2" x14ac:dyDescent="0.25">
      <x:c r="A31" s="4">
        <x:v>360</x:v>
      </x:c>
      <x:c r="B31" s="5" t="s">
        <x:v>51</x:v>
      </x:c>
      <x:c r="C31" s="6">
        <x:v>206551.6</x:v>
      </x:c>
      <x:c r="D31" s="6">
        <x:v>206551.6</x:v>
      </x:c>
      <x:c r="E31" s="6"/>
      <x:c r="F31" s="7">
        <x:v>70</x:v>
      </x:c>
      <x:c r="G31" s="6">
        <x:v>33.994346</x:v>
      </x:c>
      <x:c r="H31" s="8">
        <x:v>0</x:v>
      </x:c>
      <x:c r="I31" s="6">
        <x:f t="shared" si="0"/>
        <x:v>106243.22061066287</x:v>
      </x:c>
      <x:c r="J31" s="21">
        <x:v>1.0732368459910073</x:v>
      </x:c>
      <x:c r="K31" s="9">
        <x:f t="shared" si="1"/>
        <x:v>114024.13899611461</x:v>
      </x:c>
      <x:c r="L31" s="6"/>
      <x:c r="M31" s="10">
        <x:f t="shared" si="2"/>
        <x:v>114024.13899611461</x:v>
      </x:c>
      <x:c r="N31" s="10">
        <x:f t="shared" si="3"/>
        <x:v>0</x:v>
      </x:c>
    </x:row>
    <x:row r="32" spans="1:14" s="7" customFormat="1" outlineLevel="2" x14ac:dyDescent="0.25">
      <x:c r="A32" s="4">
        <x:v>360</x:v>
      </x:c>
      <x:c r="B32" s="5" t="s">
        <x:v>52</x:v>
      </x:c>
      <x:c r="C32" s="6">
        <x:v>206900.28</x:v>
      </x:c>
      <x:c r="D32" s="6">
        <x:v>206900.28</x:v>
      </x:c>
      <x:c r="E32" s="6"/>
      <x:c r="F32" s="7">
        <x:v>70</x:v>
      </x:c>
      <x:c r="G32" s="6">
        <x:v>33.200826999999997</x:v>
      </x:c>
      <x:c r="H32" s="8">
        <x:v>0</x:v>
      </x:c>
      <x:c r="I32" s="6">
        <x:f t="shared" si="0"/>
        <x:v>108767.98853526343</x:v>
      </x:c>
      <x:c r="J32" s="21">
        <x:v>1.0732368459910073</x:v>
      </x:c>
      <x:c r="K32" s="9">
        <x:f t="shared" si="1"/>
        <x:v>116733.81296037218</x:v>
      </x:c>
      <x:c r="L32" s="6"/>
      <x:c r="M32" s="10">
        <x:f t="shared" si="2"/>
        <x:v>116733.81296037216</x:v>
      </x:c>
      <x:c r="N32" s="10">
        <x:f t="shared" si="3"/>
        <x:v>0</x:v>
      </x:c>
    </x:row>
    <x:row r="33" spans="1:14" s="7" customFormat="1" outlineLevel="2" x14ac:dyDescent="0.25">
      <x:c r="A33" s="4">
        <x:v>360</x:v>
      </x:c>
      <x:c r="B33" s="5" t="s">
        <x:v>53</x:v>
      </x:c>
      <x:c r="C33" s="6">
        <x:v>206114.31</x:v>
      </x:c>
      <x:c r="D33" s="6">
        <x:v>206114.31</x:v>
      </x:c>
      <x:c r="E33" s="6"/>
      <x:c r="F33" s="7">
        <x:v>70</x:v>
      </x:c>
      <x:c r="G33" s="6">
        <x:v>32.415557999999997</x:v>
      </x:c>
      <x:c r="H33" s="8">
        <x:v>0</x:v>
      </x:c>
      <x:c r="I33" s="6">
        <x:f t="shared" si="0"/>
        <x:v>110667.018993786</x:v>
      </x:c>
      <x:c r="J33" s="21">
        <x:v>1.0732368459910073</x:v>
      </x:c>
      <x:c r="K33" s="9">
        <x:f t="shared" si="1"/>
        <x:v>118771.92242011779</x:v>
      </x:c>
      <x:c r="L33" s="6"/>
      <x:c r="M33" s="10">
        <x:f t="shared" si="2"/>
        <x:v>118771.9224201178</x:v>
      </x:c>
      <x:c r="N33" s="10">
        <x:f t="shared" si="3"/>
        <x:v>0</x:v>
      </x:c>
    </x:row>
    <x:row r="34" spans="1:14" s="7" customFormat="1" outlineLevel="2" x14ac:dyDescent="0.25">
      <x:c r="A34" s="4">
        <x:v>360</x:v>
      </x:c>
      <x:c r="B34" s="5" t="s">
        <x:v>54</x:v>
      </x:c>
      <x:c r="C34" s="6">
        <x:v>187595.7</x:v>
      </x:c>
      <x:c r="D34" s="6">
        <x:v>187595.7</x:v>
      </x:c>
      <x:c r="E34" s="6"/>
      <x:c r="F34" s="7">
        <x:v>70</x:v>
      </x:c>
      <x:c r="G34" s="6">
        <x:v>31.637864</x:v>
      </x:c>
      <x:c r="H34" s="8">
        <x:v>0</x:v>
      </x:c>
      <x:c r="I34" s="6">
        <x:f t="shared" si="0"/>
        <x:v>102808.16794878857</x:v>
      </x:c>
      <x:c r="J34" s="21">
        <x:v>1.0732368459910073</x:v>
      </x:c>
      <x:c r="K34" s="9">
        <x:f t="shared" si="1"/>
        <x:v>110337.51391147161</x:v>
      </x:c>
      <x:c r="L34" s="6"/>
      <x:c r="M34" s="10">
        <x:f t="shared" si="2"/>
        <x:v>110337.51391147161</x:v>
      </x:c>
      <x:c r="N34" s="10">
        <x:f t="shared" si="3"/>
        <x:v>0</x:v>
      </x:c>
    </x:row>
    <x:row r="35" spans="1:14" s="7" customFormat="1" outlineLevel="2" x14ac:dyDescent="0.25">
      <x:c r="A35" s="4">
        <x:v>360</x:v>
      </x:c>
      <x:c r="B35" s="5" t="s">
        <x:v>55</x:v>
      </x:c>
      <x:c r="C35" s="6">
        <x:v>151437.18</x:v>
      </x:c>
      <x:c r="D35" s="6">
        <x:v>151437.18</x:v>
      </x:c>
      <x:c r="E35" s="6"/>
      <x:c r="F35" s="7">
        <x:v>70</x:v>
      </x:c>
      <x:c r="G35" s="6">
        <x:v>30.867882000000002</x:v>
      </x:c>
      <x:c r="H35" s="8">
        <x:v>0</x:v>
      </x:c>
      <x:c r="I35" s="6">
        <x:f t="shared" si="0"/>
        <x:v>84657.96567638914</x:v>
      </x:c>
      <x:c r="J35" s="21">
        <x:v>1.0732368459910073</x:v>
      </x:c>
      <x:c r="K35" s="9">
        <x:f t="shared" si="1"/>
        <x:v>90858.048070542834</x:v>
      </x:c>
      <x:c r="L35" s="6"/>
      <x:c r="M35" s="10">
        <x:f t="shared" si="2"/>
        <x:v>90858.048070542834</x:v>
      </x:c>
      <x:c r="N35" s="10">
        <x:f t="shared" si="3"/>
        <x:v>0</x:v>
      </x:c>
    </x:row>
    <x:row r="36" spans="1:14" s="7" customFormat="1" outlineLevel="2" x14ac:dyDescent="0.25">
      <x:c r="A36" s="4">
        <x:v>360</x:v>
      </x:c>
      <x:c r="B36" s="5" t="s">
        <x:v>56</x:v>
      </x:c>
      <x:c r="C36" s="6">
        <x:v>134155.95000000001</x:v>
      </x:c>
      <x:c r="D36" s="6">
        <x:v>134155.95000000001</x:v>
      </x:c>
      <x:c r="E36" s="6"/>
      <x:c r="F36" s="7">
        <x:v>70</x:v>
      </x:c>
      <x:c r="G36" s="6">
        <x:v>30.106605999999999</x:v>
      </x:c>
      <x:c r="H36" s="8">
        <x:v>0</x:v>
      </x:c>
      <x:c r="I36" s="6">
        <x:f t="shared" si="0"/>
        <x:v>76456.231011347147</x:v>
      </x:c>
      <x:c r="J36" s="21">
        <x:v>1.0732368459910073</x:v>
      </x:c>
      <x:c r="K36" s="9">
        <x:f t="shared" si="1"/>
        <x:v>82055.644226978053</x:v>
      </x:c>
      <x:c r="L36" s="6"/>
      <x:c r="M36" s="10">
        <x:f t="shared" si="2"/>
        <x:v>82055.644226978053</x:v>
      </x:c>
      <x:c r="N36" s="10">
        <x:f t="shared" si="3"/>
        <x:v>0</x:v>
      </x:c>
    </x:row>
    <x:row r="37" spans="1:14" s="7" customFormat="1" outlineLevel="2" x14ac:dyDescent="0.25">
      <x:c r="A37" s="4">
        <x:v>360</x:v>
      </x:c>
      <x:c r="B37" s="5" t="s">
        <x:v>57</x:v>
      </x:c>
      <x:c r="C37" s="6">
        <x:v>87252.74</x:v>
      </x:c>
      <x:c r="D37" s="6">
        <x:v>87252.74</x:v>
      </x:c>
      <x:c r="E37" s="6"/>
      <x:c r="F37" s="7">
        <x:v>70</x:v>
      </x:c>
      <x:c r="G37" s="6">
        <x:v>29.352467000000001</x:v>
      </x:c>
      <x:c r="H37" s="8">
        <x:v>0</x:v>
      </x:c>
      <x:c r="I37" s="6">
        <x:f t="shared" si="0"/>
        <x:v>50665.83754986315</x:v>
      </x:c>
      <x:c r="J37" s="21">
        <x:v>1.0732368459910073</x:v>
      </x:c>
      <x:c r="K37" s="9">
        <x:f t="shared" si="1"/>
        <x:v>54376.443691507877</x:v>
      </x:c>
      <x:c r="L37" s="6"/>
      <x:c r="M37" s="10">
        <x:f t="shared" si="2"/>
        <x:v>54376.443691507877</x:v>
      </x:c>
      <x:c r="N37" s="10">
        <x:f t="shared" si="3"/>
        <x:v>0</x:v>
      </x:c>
    </x:row>
    <x:row r="38" spans="1:14" s="7" customFormat="1" outlineLevel="2" x14ac:dyDescent="0.25">
      <x:c r="A38" s="4">
        <x:v>360</x:v>
      </x:c>
      <x:c r="B38" s="5" t="s">
        <x:v>58</x:v>
      </x:c>
      <x:c r="C38" s="6">
        <x:v>104419.16</x:v>
      </x:c>
      <x:c r="D38" s="6">
        <x:v>104419.16</x:v>
      </x:c>
      <x:c r="E38" s="6"/>
      <x:c r="F38" s="7">
        <x:v>70</x:v>
      </x:c>
      <x:c r="G38" s="6">
        <x:v>28.608287000000001</x:v>
      </x:c>
      <x:c r="H38" s="8">
        <x:v>0</x:v>
      </x:c>
      <x:c r="I38" s="6">
        <x:f t="shared" si="0"/>
        <x:v>61744.112891729717</x:v>
      </x:c>
      <x:c r="J38" s="21">
        <x:v>1.0732368459910073</x:v>
      </x:c>
      <x:c r="K38" s="9">
        <x:f t="shared" si="1"/>
        <x:v>66266.056978432694</x:v>
      </x:c>
      <x:c r="L38" s="6"/>
      <x:c r="M38" s="10">
        <x:f t="shared" si="2"/>
        <x:v>66266.056978432694</x:v>
      </x:c>
      <x:c r="N38" s="10">
        <x:f t="shared" si="3"/>
        <x:v>0</x:v>
      </x:c>
    </x:row>
    <x:row r="39" spans="1:14" s="7" customFormat="1" outlineLevel="2" x14ac:dyDescent="0.25">
      <x:c r="A39" s="4">
        <x:v>360</x:v>
      </x:c>
      <x:c r="B39" s="5" t="s">
        <x:v>59</x:v>
      </x:c>
      <x:c r="C39" s="6">
        <x:v>70392.56</x:v>
      </x:c>
      <x:c r="D39" s="6">
        <x:v>70392.56</x:v>
      </x:c>
      <x:c r="E39" s="6"/>
      <x:c r="F39" s="7">
        <x:v>70</x:v>
      </x:c>
      <x:c r="G39" s="6">
        <x:v>27.871578</x:v>
      </x:c>
      <x:c r="H39" s="8">
        <x:v>0</x:v>
      </x:c>
      <x:c r="I39" s="6">
        <x:f t="shared" si="0"/>
        <x:v>42364.678190576</x:v>
      </x:c>
      <x:c r="J39" s="21">
        <x:v>1.0732368459910073</x:v>
      </x:c>
      <x:c r="K39" s="9">
        <x:f t="shared" si="1"/>
        <x:v>45467.333602677798</x:v>
      </x:c>
      <x:c r="L39" s="6"/>
      <x:c r="M39" s="10">
        <x:f t="shared" si="2"/>
        <x:v>45467.333602677798</x:v>
      </x:c>
      <x:c r="N39" s="10">
        <x:f t="shared" si="3"/>
        <x:v>0</x:v>
      </x:c>
    </x:row>
    <x:row r="40" spans="1:14" s="7" customFormat="1" outlineLevel="2" x14ac:dyDescent="0.25">
      <x:c r="A40" s="4">
        <x:v>360</x:v>
      </x:c>
      <x:c r="B40" s="5" t="s">
        <x:v>60</x:v>
      </x:c>
      <x:c r="C40" s="6">
        <x:v>97104.62000000001</x:v>
      </x:c>
      <x:c r="D40" s="6">
        <x:v>97104.62000000001</x:v>
      </x:c>
      <x:c r="E40" s="6"/>
      <x:c r="F40" s="7">
        <x:v>70</x:v>
      </x:c>
      <x:c r="G40" s="6">
        <x:v>27.144369000000001</x:v>
      </x:c>
      <x:c r="H40" s="8">
        <x:v>0</x:v>
      </x:c>
      <x:c r="I40" s="6">
        <x:f t="shared" si="0"/>
        <x:v>59449.710901645994</x:v>
      </x:c>
      <x:c r="J40" s="21">
        <x:v>1.0732368459910073</x:v>
      </x:c>
      <x:c r="K40" s="9">
        <x:f t="shared" si="1"/>
        <x:v>63803.620223159749</x:v>
      </x:c>
      <x:c r="L40" s="6"/>
      <x:c r="M40" s="10">
        <x:f t="shared" si="2"/>
        <x:v>63803.620223159749</x:v>
      </x:c>
      <x:c r="N40" s="10">
        <x:f t="shared" si="3"/>
        <x:v>0</x:v>
      </x:c>
    </x:row>
    <x:row r="41" spans="1:14" s="7" customFormat="1" outlineLevel="2" x14ac:dyDescent="0.25">
      <x:c r="A41" s="4">
        <x:v>360</x:v>
      </x:c>
      <x:c r="B41" s="5" t="s">
        <x:v>61</x:v>
      </x:c>
      <x:c r="C41" s="6">
        <x:v>59141.54</x:v>
      </x:c>
      <x:c r="D41" s="6">
        <x:v>59141.54</x:v>
      </x:c>
      <x:c r="E41" s="6"/>
      <x:c r="F41" s="7">
        <x:v>70</x:v>
      </x:c>
      <x:c r="G41" s="6">
        <x:v>26.425934999999999</x:v>
      </x:c>
      <x:c r="H41" s="8">
        <x:v>0</x:v>
      </x:c>
      <x:c r="I41" s="6">
        <x:f t="shared" si="0"/>
        <x:v>36814.818688001433</x:v>
      </x:c>
      <x:c r="J41" s="21">
        <x:v>1.0732368459910073</x:v>
      </x:c>
      <x:c r="K41" s="9">
        <x:f t="shared" si="1"/>
        <x:v>39511.019894441451</x:v>
      </x:c>
      <x:c r="L41" s="6"/>
      <x:c r="M41" s="10">
        <x:f t="shared" si="2"/>
        <x:v>39511.019894441451</x:v>
      </x:c>
      <x:c r="N41" s="10">
        <x:f t="shared" si="3"/>
        <x:v>0</x:v>
      </x:c>
    </x:row>
    <x:row r="42" spans="1:14" s="7" customFormat="1" outlineLevel="2" x14ac:dyDescent="0.25">
      <x:c r="A42" s="4">
        <x:v>360</x:v>
      </x:c>
      <x:c r="B42" s="5" t="s">
        <x:v>62</x:v>
      </x:c>
      <x:c r="C42" s="6">
        <x:v>52184.54</x:v>
      </x:c>
      <x:c r="D42" s="6">
        <x:v>52184.54</x:v>
      </x:c>
      <x:c r="E42" s="6"/>
      <x:c r="F42" s="7">
        <x:v>70</x:v>
      </x:c>
      <x:c r="G42" s="6">
        <x:v>25.716498999999999</x:v>
      </x:c>
      <x:c r="H42" s="8">
        <x:v>0</x:v>
      </x:c>
      <x:c r="I42" s="6">
        <x:f t="shared" si="0"/>
        <x:v>33013.058989636287</x:v>
      </x:c>
      <x:c r="J42" s="21">
        <x:v>1.0732368459910073</x:v>
      </x:c>
      <x:c r="K42" s="9">
        <x:f t="shared" si="1"/>
        <x:v>35430.831306552318</x:v>
      </x:c>
      <x:c r="L42" s="6"/>
      <x:c r="M42" s="10">
        <x:f t="shared" si="2"/>
        <x:v>35430.831306552318</x:v>
      </x:c>
      <x:c r="N42" s="10">
        <x:f t="shared" si="3"/>
        <x:v>0</x:v>
      </x:c>
    </x:row>
    <x:row r="43" spans="1:14" s="7" customFormat="1" outlineLevel="2" x14ac:dyDescent="0.25">
      <x:c r="A43" s="4">
        <x:v>360</x:v>
      </x:c>
      <x:c r="B43" s="5" t="s">
        <x:v>63</x:v>
      </x:c>
      <x:c r="C43" s="6">
        <x:v>82548.390000000014</x:v>
      </x:c>
      <x:c r="D43" s="6">
        <x:v>82548.390000000014</x:v>
      </x:c>
      <x:c r="E43" s="6"/>
      <x:c r="F43" s="7">
        <x:v>70</x:v>
      </x:c>
      <x:c r="G43" s="6">
        <x:v>25.017289999999999</x:v>
      </x:c>
      <x:c r="H43" s="8">
        <x:v>0</x:v>
      </x:c>
      <x:c r="I43" s="6">
        <x:f t="shared" ref="I43:I74" si="12">+C43*(1-H43)*(1-G43/F43)</x:f>
        <x:v>53046.432690527159</x:v>
      </x:c>
      <x:c r="J43" s="21">
        <x:v>1.0732368459910073</x:v>
      </x:c>
      <x:c r="K43" s="9">
        <x:f t="shared" ref="K43:K74" si="13">IF((C43*(1-H43)-I43*J43)&lt;0,C43*(1-H43),I43*J43)</x:f>
        <x:v>56931.386111855631</x:v>
      </x:c>
      <x:c r="L43" s="6"/>
      <x:c r="M43" s="10">
        <x:f t="shared" ref="M43:M74" si="14">+K43/D43*C43</x:f>
        <x:v>56931.386111855631</x:v>
      </x:c>
      <x:c r="N43" s="10">
        <x:f t="shared" ref="N43:N74" si="15">+E43/C43*K43</x:f>
        <x:v>0</x:v>
      </x:c>
    </x:row>
    <x:row r="44" spans="1:14" s="7" customFormat="1" outlineLevel="2" x14ac:dyDescent="0.25">
      <x:c r="A44" s="4">
        <x:v>360</x:v>
      </x:c>
      <x:c r="B44" s="5" t="s">
        <x:v>64</x:v>
      </x:c>
      <x:c r="C44" s="6">
        <x:v>89511.08</x:v>
      </x:c>
      <x:c r="D44" s="6">
        <x:v>89511.08</x:v>
      </x:c>
      <x:c r="E44" s="6"/>
      <x:c r="F44" s="7">
        <x:v>70</x:v>
      </x:c>
      <x:c r="G44" s="6">
        <x:v>24.326543000000001</x:v>
      </x:c>
      <x:c r="H44" s="8">
        <x:v>0</x:v>
      </x:c>
      <x:c r="I44" s="6">
        <x:f t="shared" si="12"/>
        <x:v>58404.006620050859</x:v>
      </x:c>
      <x:c r="J44" s="21">
        <x:v>1.0732368459910073</x:v>
      </x:c>
      <x:c r="K44" s="9">
        <x:f t="shared" si="13"/>
        <x:v>62681.331858141297</x:v>
      </x:c>
      <x:c r="L44" s="6"/>
      <x:c r="M44" s="10">
        <x:f t="shared" si="14"/>
        <x:v>62681.331858141304</x:v>
      </x:c>
      <x:c r="N44" s="10">
        <x:f t="shared" si="15"/>
        <x:v>0</x:v>
      </x:c>
    </x:row>
    <x:row r="45" spans="1:14" s="7" customFormat="1" outlineLevel="2" x14ac:dyDescent="0.25">
      <x:c r="A45" s="4">
        <x:v>360</x:v>
      </x:c>
      <x:c r="B45" s="5" t="s">
        <x:v>65</x:v>
      </x:c>
      <x:c r="C45" s="6">
        <x:v>82649.709999999992</x:v>
      </x:c>
      <x:c r="D45" s="6">
        <x:v>82649.709999999992</x:v>
      </x:c>
      <x:c r="E45" s="6"/>
      <x:c r="F45" s="7">
        <x:v>70</x:v>
      </x:c>
      <x:c r="G45" s="6">
        <x:v>23.647621999999998</x:v>
      </x:c>
      <x:c r="H45" s="8">
        <x:v>0</x:v>
      </x:c>
      <x:c r="I45" s="6">
        <x:f t="shared" si="12"/>
        <x:v>54728.72285014829</x:v>
      </x:c>
      <x:c r="J45" s="21">
        <x:v>1.0732368459910073</x:v>
      </x:c>
      <x:c r="K45" s="9">
        <x:f t="shared" si="13"/>
        <x:v>58736.881896809122</x:v>
      </x:c>
      <x:c r="L45" s="6"/>
      <x:c r="M45" s="10">
        <x:f t="shared" si="14"/>
        <x:v>58736.881896809122</x:v>
      </x:c>
      <x:c r="N45" s="10">
        <x:f t="shared" si="15"/>
        <x:v>0</x:v>
      </x:c>
    </x:row>
    <x:row r="46" spans="1:14" s="7" customFormat="1" outlineLevel="2" x14ac:dyDescent="0.25">
      <x:c r="A46" s="4">
        <x:v>360</x:v>
      </x:c>
      <x:c r="B46" s="5" t="s">
        <x:v>66</x:v>
      </x:c>
      <x:c r="C46" s="6">
        <x:v>73707.95</x:v>
      </x:c>
      <x:c r="D46" s="6">
        <x:v>73707.95</x:v>
      </x:c>
      <x:c r="E46" s="6"/>
      <x:c r="F46" s="7">
        <x:v>70</x:v>
      </x:c>
      <x:c r="G46" s="6">
        <x:v>22.977682999999999</x:v>
      </x:c>
      <x:c r="H46" s="8">
        <x:v>0</x:v>
      </x:c>
      <x:c r="I46" s="6">
        <x:f t="shared" si="12"/>
        <x:v>49513.122718859282</x:v>
      </x:c>
      <x:c r="J46" s="21">
        <x:v>1.0732368459910073</x:v>
      </x:c>
      <x:c r="K46" s="9">
        <x:f t="shared" si="13"/>
        <x:v>53139.307661954226</x:v>
      </x:c>
      <x:c r="L46" s="6"/>
      <x:c r="M46" s="10">
        <x:f t="shared" si="14"/>
        <x:v>53139.307661954226</x:v>
      </x:c>
      <x:c r="N46" s="10">
        <x:f t="shared" si="15"/>
        <x:v>0</x:v>
      </x:c>
    </x:row>
    <x:row r="47" spans="1:14" s="7" customFormat="1" outlineLevel="2" x14ac:dyDescent="0.25">
      <x:c r="A47" s="4">
        <x:v>360</x:v>
      </x:c>
      <x:c r="B47" s="5" t="s">
        <x:v>67</x:v>
      </x:c>
      <x:c r="C47" s="6">
        <x:v>57141.760000000002</x:v>
      </x:c>
      <x:c r="D47" s="6">
        <x:v>57141.760000000002</x:v>
      </x:c>
      <x:c r="E47" s="6"/>
      <x:c r="F47" s="7">
        <x:v>70</x:v>
      </x:c>
      <x:c r="G47" s="6">
        <x:v>22.319132</x:v>
      </x:c>
      <x:c r="H47" s="8">
        <x:v>0</x:v>
      </x:c>
      <x:c r="I47" s="6">
        <x:f t="shared" si="12"/>
        <x:v>38922.410226395434</x:v>
      </x:c>
      <x:c r="J47" s="21">
        <x:v>1.0732368459910073</x:v>
      </x:c>
      <x:c r="K47" s="9">
        <x:f t="shared" si="13"/>
        <x:v>41772.964789744765</x:v>
      </x:c>
      <x:c r="L47" s="6"/>
      <x:c r="M47" s="10">
        <x:f t="shared" si="14"/>
        <x:v>41772.964789744765</x:v>
      </x:c>
      <x:c r="N47" s="10">
        <x:f t="shared" si="15"/>
        <x:v>0</x:v>
      </x:c>
    </x:row>
    <x:row r="48" spans="1:14" s="7" customFormat="1" outlineLevel="2" x14ac:dyDescent="0.25">
      <x:c r="A48" s="4">
        <x:v>360</x:v>
      </x:c>
      <x:c r="B48" s="5" t="s">
        <x:v>68</x:v>
      </x:c>
      <x:c r="C48" s="6">
        <x:v>113313.59999999999</x:v>
      </x:c>
      <x:c r="D48" s="6">
        <x:v>113313.59999999999</x:v>
      </x:c>
      <x:c r="E48" s="6"/>
      <x:c r="F48" s="7">
        <x:v>70</x:v>
      </x:c>
      <x:c r="G48" s="6">
        <x:v>21.671178999999999</x:v>
      </x:c>
      <x:c r="H48" s="8">
        <x:v>0</x:v>
      </x:c>
      <x:c r="I48" s="6">
        <x:f t="shared" si="12"/>
        <x:v>78233.038446651422</x:v>
      </x:c>
      <x:c r="J48" s="21">
        <x:v>1.0732368459910073</x:v>
      </x:c>
      <x:c r="K48" s="9">
        <x:f t="shared" si="13"/>
        <x:v>83962.579434777392</x:v>
      </x:c>
      <x:c r="L48" s="6"/>
      <x:c r="M48" s="10">
        <x:f t="shared" si="14"/>
        <x:v>83962.579434777392</x:v>
      </x:c>
      <x:c r="N48" s="10">
        <x:f t="shared" si="15"/>
        <x:v>0</x:v>
      </x:c>
    </x:row>
    <x:row r="49" spans="1:14" s="7" customFormat="1" outlineLevel="2" x14ac:dyDescent="0.25">
      <x:c r="A49" s="4">
        <x:v>360</x:v>
      </x:c>
      <x:c r="B49" s="5" t="s">
        <x:v>69</x:v>
      </x:c>
      <x:c r="C49" s="6">
        <x:v>99452.170000000013</x:v>
      </x:c>
      <x:c r="D49" s="6">
        <x:v>99452.170000000013</x:v>
      </x:c>
      <x:c r="E49" s="6"/>
      <x:c r="F49" s="7">
        <x:v>70</x:v>
      </x:c>
      <x:c r="G49" s="6">
        <x:v>21.034105</x:v>
      </x:c>
      <x:c r="H49" s="8">
        <x:v>0</x:v>
      </x:c>
      <x:c r="I49" s="6">
        <x:f t="shared" si="12"/>
        <x:v>69568.064482030735</x:v>
      </x:c>
      <x:c r="J49" s="21">
        <x:v>1.0732368459910073</x:v>
      </x:c>
      <x:c r="K49" s="9">
        <x:f t="shared" si="13"/>
        <x:v>74663.010106393689</x:v>
      </x:c>
      <x:c r="L49" s="6"/>
      <x:c r="M49" s="10">
        <x:f t="shared" si="14"/>
        <x:v>74663.010106393689</x:v>
      </x:c>
      <x:c r="N49" s="10">
        <x:f t="shared" si="15"/>
        <x:v>0</x:v>
      </x:c>
    </x:row>
    <x:row r="50" spans="1:14" s="7" customFormat="1" outlineLevel="2" x14ac:dyDescent="0.25">
      <x:c r="A50" s="4">
        <x:v>360</x:v>
      </x:c>
      <x:c r="B50" s="5" t="s">
        <x:v>70</x:v>
      </x:c>
      <x:c r="C50" s="6">
        <x:v>112805.97000000002</x:v>
      </x:c>
      <x:c r="D50" s="6">
        <x:v>112805.97000000002</x:v>
      </x:c>
      <x:c r="E50" s="6"/>
      <x:c r="F50" s="7">
        <x:v>70</x:v>
      </x:c>
      <x:c r="G50" s="6">
        <x:v>20.409333</x:v>
      </x:c>
      <x:c r="H50" s="8">
        <x:v>0</x:v>
      </x:c>
      <x:c r="I50" s="6">
        <x:f t="shared" si="12"/>
        <x:v>79916.047055457006</x:v>
      </x:c>
      <x:c r="J50" s="21">
        <x:v>1.0732368459910073</x:v>
      </x:c>
      <x:c r="K50" s="9">
        <x:f t="shared" si="13"/>
        <x:v>85768.846285867607</x:v>
      </x:c>
      <x:c r="L50" s="6"/>
      <x:c r="M50" s="10">
        <x:f t="shared" si="14"/>
        <x:v>85768.846285867607</x:v>
      </x:c>
      <x:c r="N50" s="10">
        <x:f t="shared" si="15"/>
        <x:v>0</x:v>
      </x:c>
    </x:row>
    <x:row r="51" spans="1:14" s="7" customFormat="1" outlineLevel="2" x14ac:dyDescent="0.25">
      <x:c r="A51" s="4">
        <x:v>360</x:v>
      </x:c>
      <x:c r="B51" s="5" t="s">
        <x:v>71</x:v>
      </x:c>
      <x:c r="C51" s="6">
        <x:v>802403.73</x:v>
      </x:c>
      <x:c r="D51" s="6">
        <x:v>802403.73</x:v>
      </x:c>
      <x:c r="E51" s="6"/>
      <x:c r="F51" s="7">
        <x:v>70</x:v>
      </x:c>
      <x:c r="G51" s="6">
        <x:v>19.794875000000001</x:v>
      </x:c>
      <x:c r="H51" s="8">
        <x:v>0</x:v>
      </x:c>
      <x:c r="I51" s="6">
        <x:f t="shared" si="12"/>
        <x:v>575496.85093023209</x:v>
      </x:c>
      <x:c r="J51" s="21">
        <x:v>1.0732368459910073</x:v>
      </x:c>
      <x:c r="K51" s="9">
        <x:f t="shared" si="13"/>
        <x:v>617644.42517011915</x:v>
      </x:c>
      <x:c r="L51" s="6"/>
      <x:c r="M51" s="10">
        <x:f t="shared" si="14"/>
        <x:v>617644.42517011915</x:v>
      </x:c>
      <x:c r="N51" s="10">
        <x:f t="shared" si="15"/>
        <x:v>0</x:v>
      </x:c>
    </x:row>
    <x:row r="52" spans="1:14" s="7" customFormat="1" outlineLevel="2" x14ac:dyDescent="0.25">
      <x:c r="A52" s="4">
        <x:v>360</x:v>
      </x:c>
      <x:c r="B52" s="5" t="s">
        <x:v>72</x:v>
      </x:c>
      <x:c r="C52" s="6">
        <x:v>3378356.59</x:v>
      </x:c>
      <x:c r="D52" s="6">
        <x:v>3378356.59</x:v>
      </x:c>
      <x:c r="E52" s="6"/>
      <x:c r="F52" s="7">
        <x:v>70</x:v>
      </x:c>
      <x:c r="G52" s="6">
        <x:v>19.194443</x:v>
      </x:c>
      <x:c r="H52" s="8">
        <x:v>0</x:v>
      </x:c>
      <x:c r="I52" s="6">
        <x:f t="shared" si="12"/>
        <x:v>2451989.832851009</x:v>
      </x:c>
      <x:c r="J52" s="21">
        <x:v>1.0732368459910073</x:v>
      </x:c>
      <x:c r="K52" s="9">
        <x:f t="shared" si="13"/>
        <x:v>2631565.834611034</x:v>
      </x:c>
      <x:c r="L52" s="6"/>
      <x:c r="M52" s="10">
        <x:f t="shared" si="14"/>
        <x:v>2631565.834611034</x:v>
      </x:c>
      <x:c r="N52" s="10">
        <x:f t="shared" si="15"/>
        <x:v>0</x:v>
      </x:c>
    </x:row>
    <x:row r="53" spans="1:14" s="7" customFormat="1" outlineLevel="2" x14ac:dyDescent="0.25">
      <x:c r="A53" s="4">
        <x:v>360</x:v>
      </x:c>
      <x:c r="B53" s="5" t="s">
        <x:v>73</x:v>
      </x:c>
      <x:c r="C53" s="6">
        <x:v>180295.13999999998</x:v>
      </x:c>
      <x:c r="D53" s="6">
        <x:v>180295.13999999998</x:v>
      </x:c>
      <x:c r="E53" s="6"/>
      <x:c r="F53" s="7">
        <x:v>70</x:v>
      </x:c>
      <x:c r="G53" s="6">
        <x:v>18.604890999999999</x:v>
      </x:c>
      <x:c r="H53" s="8">
        <x:v>0</x:v>
      </x:c>
      <x:c r="I53" s="6">
        <x:f t="shared" si="12"/>
        <x:v>132375.54817814656</x:v>
      </x:c>
      <x:c r="J53" s="21">
        <x:v>1.0732368459910073</x:v>
      </x:c>
      <x:c r="K53" s="9">
        <x:f t="shared" si="13"/>
        <x:v>142070.31581304467</x:v>
      </x:c>
      <x:c r="L53" s="6"/>
      <x:c r="M53" s="10">
        <x:f t="shared" si="14"/>
        <x:v>142070.31581304467</x:v>
      </x:c>
      <x:c r="N53" s="10">
        <x:f t="shared" si="15"/>
        <x:v>0</x:v>
      </x:c>
    </x:row>
    <x:row r="54" spans="1:14" s="7" customFormat="1" outlineLevel="2" x14ac:dyDescent="0.25">
      <x:c r="A54" s="4">
        <x:v>360</x:v>
      </x:c>
      <x:c r="B54" s="5" t="s">
        <x:v>74</x:v>
      </x:c>
      <x:c r="C54" s="6">
        <x:v>36441.919999999998</x:v>
      </x:c>
      <x:c r="D54" s="6">
        <x:v>36441.919999999998</x:v>
      </x:c>
      <x:c r="E54" s="6"/>
      <x:c r="F54" s="7">
        <x:v>70</x:v>
      </x:c>
      <x:c r="G54" s="6">
        <x:v>18.028745000000001</x:v>
      </x:c>
      <x:c r="H54" s="8">
        <x:v>0</x:v>
      </x:c>
      <x:c r="I54" s="6">
        <x:f t="shared" si="12"/>
        <x:v>27056.17595728</x:v>
      </x:c>
      <x:c r="J54" s="21">
        <x:v>1.0732368459910073</x:v>
      </x:c>
      <x:c r="K54" s="9">
        <x:f t="shared" si="13"/>
        <x:v>29037.684948968912</x:v>
      </x:c>
      <x:c r="L54" s="6"/>
      <x:c r="M54" s="10">
        <x:f t="shared" si="14"/>
        <x:v>29037.684948968912</x:v>
      </x:c>
      <x:c r="N54" s="10">
        <x:f t="shared" si="15"/>
        <x:v>0</x:v>
      </x:c>
    </x:row>
    <x:row r="55" spans="1:14" s="7" customFormat="1" outlineLevel="2" x14ac:dyDescent="0.25">
      <x:c r="A55" s="4">
        <x:v>360</x:v>
      </x:c>
      <x:c r="B55" s="5" t="s">
        <x:v>75</x:v>
      </x:c>
      <x:c r="C55" s="6">
        <x:v>14571.12</x:v>
      </x:c>
      <x:c r="D55" s="6">
        <x:v>14571.12</x:v>
      </x:c>
      <x:c r="E55" s="6"/>
      <x:c r="F55" s="7">
        <x:v>70</x:v>
      </x:c>
      <x:c r="G55" s="6">
        <x:v>17.465112999999999</x:v>
      </x:c>
      <x:c r="H55" s="8">
        <x:v>0</x:v>
      </x:c>
      <x:c r="I55" s="6">
        <x:f t="shared" si="12"/>
        <x:v>10935.602038049145</x:v>
      </x:c>
      <x:c r="J55" s="21">
        <x:v>1.0732368459910073</x:v>
      </x:c>
      <x:c r="K55" s="9">
        <x:f t="shared" si="13"/>
        <x:v>11736.491040328696</x:v>
      </x:c>
      <x:c r="L55" s="6"/>
      <x:c r="M55" s="10">
        <x:f t="shared" si="14"/>
        <x:v>11736.491040328696</x:v>
      </x:c>
      <x:c r="N55" s="10">
        <x:f t="shared" si="15"/>
        <x:v>0</x:v>
      </x:c>
    </x:row>
    <x:row r="56" spans="1:14" s="7" customFormat="1" outlineLevel="2" x14ac:dyDescent="0.25">
      <x:c r="A56" s="4">
        <x:v>360</x:v>
      </x:c>
      <x:c r="B56" s="5" t="s">
        <x:v>76</x:v>
      </x:c>
      <x:c r="C56" s="6">
        <x:v>5556.62</x:v>
      </x:c>
      <x:c r="D56" s="6">
        <x:v>5556.62</x:v>
      </x:c>
      <x:c r="E56" s="6"/>
      <x:c r="F56" s="7">
        <x:v>70</x:v>
      </x:c>
      <x:c r="G56" s="6">
        <x:v>16.914197000000001</x:v>
      </x:c>
      <x:c r="H56" s="8">
        <x:v>0</x:v>
      </x:c>
      <x:c r="I56" s="6">
        <x:f t="shared" si="12"/>
        <x:v>4213.9662095122849</x:v>
      </x:c>
      <x:c r="J56" s="21">
        <x:v>1.0732368459910073</x:v>
      </x:c>
      <x:c r="K56" s="9">
        <x:f t="shared" si="13"/>
        <x:v>4522.5838038096454</x:v>
      </x:c>
      <x:c r="L56" s="6"/>
      <x:c r="M56" s="10">
        <x:f t="shared" si="14"/>
        <x:v>4522.5838038096454</x:v>
      </x:c>
      <x:c r="N56" s="10">
        <x:f t="shared" si="15"/>
        <x:v>0</x:v>
      </x:c>
    </x:row>
    <x:row r="57" spans="1:14" s="7" customFormat="1" outlineLevel="2" x14ac:dyDescent="0.25">
      <x:c r="A57" s="4">
        <x:v>360</x:v>
      </x:c>
      <x:c r="B57" s="5" t="s">
        <x:v>77</x:v>
      </x:c>
      <x:c r="C57" s="6">
        <x:v>5256.65</x:v>
      </x:c>
      <x:c r="D57" s="6">
        <x:v>5256.65</x:v>
      </x:c>
      <x:c r="E57" s="6"/>
      <x:c r="F57" s="7">
        <x:v>70</x:v>
      </x:c>
      <x:c r="G57" s="6">
        <x:v>16.377293000000002</x:v>
      </x:c>
      <x:c r="H57" s="8">
        <x:v>0</x:v>
      </x:c>
      <x:c r="I57" s="6">
        <x:f t="shared" si="12"/>
        <x:v>4026.7971821649994</x:v>
      </x:c>
      <x:c r="J57" s="21">
        <x:v>1.0732368459910073</x:v>
      </x:c>
      <x:c r="K57" s="9">
        <x:f t="shared" si="13"/>
        <x:v>4321.7071072322397</x:v>
      </x:c>
      <x:c r="L57" s="6"/>
      <x:c r="M57" s="10">
        <x:f t="shared" si="14"/>
        <x:v>4321.7071072322397</x:v>
      </x:c>
      <x:c r="N57" s="10">
        <x:f t="shared" si="15"/>
        <x:v>0</x:v>
      </x:c>
    </x:row>
    <x:row r="58" spans="1:14" s="7" customFormat="1" outlineLevel="2" x14ac:dyDescent="0.25">
      <x:c r="A58" s="4">
        <x:v>360</x:v>
      </x:c>
      <x:c r="B58" s="5" t="s">
        <x:v>78</x:v>
      </x:c>
      <x:c r="C58" s="6">
        <x:v>6680.01</x:v>
      </x:c>
      <x:c r="D58" s="6">
        <x:v>6680.01</x:v>
      </x:c>
      <x:c r="E58" s="6"/>
      <x:c r="F58" s="7">
        <x:v>70</x:v>
      </x:c>
      <x:c r="G58" s="6">
        <x:v>15.852411</x:v>
      </x:c>
      <x:c r="H58" s="8">
        <x:v>0</x:v>
      </x:c>
      <x:c r="I58" s="6">
        <x:f t="shared" si="12"/>
        <x:v>5167.2347999412859</x:v>
      </x:c>
      <x:c r="J58" s="21">
        <x:v>1.0732368459910073</x:v>
      </x:c>
      <x:c r="K58" s="9">
        <x:f t="shared" si="13"/>
        <x:v>5545.6667791839591</x:v>
      </x:c>
      <x:c r="L58" s="6"/>
      <x:c r="M58" s="10">
        <x:f t="shared" si="14"/>
        <x:v>5545.6667791839591</x:v>
      </x:c>
      <x:c r="N58" s="10">
        <x:f t="shared" si="15"/>
        <x:v>0</x:v>
      </x:c>
    </x:row>
    <x:row r="59" spans="1:14" s="7" customFormat="1" outlineLevel="2" x14ac:dyDescent="0.25">
      <x:c r="A59" s="4">
        <x:v>360</x:v>
      </x:c>
      <x:c r="B59" s="5" t="s">
        <x:v>79</x:v>
      </x:c>
      <x:c r="C59" s="6">
        <x:v>702.06</x:v>
      </x:c>
      <x:c r="D59" s="6">
        <x:v>702.06</x:v>
      </x:c>
      <x:c r="E59" s="6"/>
      <x:c r="F59" s="7">
        <x:v>70</x:v>
      </x:c>
      <x:c r="G59" s="6">
        <x:v>15.342779</x:v>
      </x:c>
      <x:c r="H59" s="8">
        <x:v>0</x:v>
      </x:c>
      <x:c r="I59" s="6">
        <x:f t="shared" si="12"/>
        <x:v>548.18069393228564</x:v>
      </x:c>
      <x:c r="J59" s="21">
        <x:v>1.0732368459910073</x:v>
      </x:c>
      <x:c r="K59" s="9">
        <x:f t="shared" si="13"/>
        <x:v>588.32771898904798</x:v>
      </x:c>
      <x:c r="L59" s="6"/>
      <x:c r="M59" s="10">
        <x:f t="shared" si="14"/>
        <x:v>588.32771898904798</x:v>
      </x:c>
      <x:c r="N59" s="10">
        <x:f t="shared" si="15"/>
        <x:v>0</x:v>
      </x:c>
    </x:row>
    <x:row r="60" spans="1:14" s="7" customFormat="1" outlineLevel="2" x14ac:dyDescent="0.25">
      <x:c r="A60" s="4">
        <x:v>360</x:v>
      </x:c>
      <x:c r="B60" s="5" t="s">
        <x:v>80</x:v>
      </x:c>
      <x:c r="C60" s="6">
        <x:v>719.73</x:v>
      </x:c>
      <x:c r="D60" s="6">
        <x:v>719.73</x:v>
      </x:c>
      <x:c r="E60" s="6"/>
      <x:c r="F60" s="7">
        <x:v>70</x:v>
      </x:c>
      <x:c r="G60" s="6">
        <x:v>14.845492999999999</x:v>
      </x:c>
      <x:c r="H60" s="8">
        <x:v>0</x:v>
      </x:c>
      <x:c r="I60" s="6">
        <x:f t="shared" si="12"/>
        <x:v>567.09076175871428</x:v>
      </x:c>
      <x:c r="J60" s="21">
        <x:v>1.0732368459910073</x:v>
      </x:c>
      <x:c r="K60" s="9">
        <x:f t="shared" si="13"/>
        <x:v>608.62270054056023</x:v>
      </x:c>
      <x:c r="L60" s="6"/>
      <x:c r="M60" s="10">
        <x:f t="shared" si="14"/>
        <x:v>608.62270054056023</x:v>
      </x:c>
      <x:c r="N60" s="10">
        <x:f t="shared" si="15"/>
        <x:v>0</x:v>
      </x:c>
    </x:row>
    <x:row r="61" spans="1:14" s="7" customFormat="1" outlineLevel="2" x14ac:dyDescent="0.25">
      <x:c r="A61" s="4">
        <x:v>360</x:v>
      </x:c>
      <x:c r="B61" s="5" t="s">
        <x:v>81</x:v>
      </x:c>
      <x:c r="C61" s="6">
        <x:v>1365.91</x:v>
      </x:c>
      <x:c r="D61" s="6">
        <x:v>1365.91</x:v>
      </x:c>
      <x:c r="E61" s="6"/>
      <x:c r="F61" s="7">
        <x:v>70</x:v>
      </x:c>
      <x:c r="G61" s="6">
        <x:v>14.362481000000001</x:v>
      </x:c>
      <x:c r="H61" s="8">
        <x:v>0</x:v>
      </x:c>
      <x:c r="I61" s="6">
        <x:f t="shared" si="12"/>
        <x:v>1085.6549082470001</x:v>
      </x:c>
      <x:c r="J61" s="21">
        <x:v>1.0732368459910073</x:v>
      </x:c>
      <x:c r="K61" s="9">
        <x:f t="shared" si="13"/>
        <x:v>1165.1648495616669</x:v>
      </x:c>
      <x:c r="L61" s="6"/>
      <x:c r="M61" s="10">
        <x:f t="shared" si="14"/>
        <x:v>1165.1648495616669</x:v>
      </x:c>
      <x:c r="N61" s="10">
        <x:f t="shared" si="15"/>
        <x:v>0</x:v>
      </x:c>
    </x:row>
    <x:row r="62" spans="1:14" s="7" customFormat="1" outlineLevel="2" x14ac:dyDescent="0.25">
      <x:c r="A62" s="4">
        <x:v>360</x:v>
      </x:c>
      <x:c r="B62" s="5" t="s">
        <x:v>82</x:v>
      </x:c>
      <x:c r="C62" s="6">
        <x:v>234.85</x:v>
      </x:c>
      <x:c r="D62" s="6">
        <x:v>234.85</x:v>
      </x:c>
      <x:c r="E62" s="6"/>
      <x:c r="F62" s="7">
        <x:v>70</x:v>
      </x:c>
      <x:c r="G62" s="6">
        <x:v>13.89288</x:v>
      </x:c>
      <x:c r="H62" s="8">
        <x:v>0</x:v>
      </x:c>
      <x:c r="I62" s="6">
        <x:f t="shared" si="12"/>
        <x:v>188.23938760000001</x:v>
      </x:c>
      <x:c r="J62" s="21">
        <x:v>1.0732368459910073</x:v>
      </x:c>
      <x:c r="K62" s="9">
        <x:f t="shared" si="13"/>
        <x:v>202.02544663910274</x:v>
      </x:c>
      <x:c r="L62" s="6"/>
      <x:c r="M62" s="10">
        <x:f t="shared" si="14"/>
        <x:v>202.02544663910274</x:v>
      </x:c>
      <x:c r="N62" s="10">
        <x:f t="shared" si="15"/>
        <x:v>0</x:v>
      </x:c>
    </x:row>
    <x:row r="63" spans="1:14" s="7" customFormat="1" outlineLevel="2" x14ac:dyDescent="0.25">
      <x:c r="A63" s="4">
        <x:v>360</x:v>
      </x:c>
      <x:c r="B63" s="5" t="s">
        <x:v>83</x:v>
      </x:c>
      <x:c r="C63" s="6">
        <x:v>649.80999999999995</x:v>
      </x:c>
      <x:c r="D63" s="6">
        <x:v>649.80999999999995</x:v>
      </x:c>
      <x:c r="E63" s="6"/>
      <x:c r="F63" s="7">
        <x:v>70</x:v>
      </x:c>
      <x:c r="G63" s="6">
        <x:v>13.436665</x:v>
      </x:c>
      <x:c r="H63" s="8">
        <x:v>0</x:v>
      </x:c>
      <x:c r="I63" s="6">
        <x:f t="shared" si="12"/>
        <x:v>525.07743880499993</x:v>
      </x:c>
      <x:c r="J63" s="21">
        <x:v>1.0732368459910073</x:v>
      </x:c>
      <x:c r="K63" s="9">
        <x:f t="shared" si="13"/>
        <x:v>563.53245432411427</x:v>
      </x:c>
      <x:c r="L63" s="6"/>
      <x:c r="M63" s="10">
        <x:f t="shared" si="14"/>
        <x:v>563.53245432411427</x:v>
      </x:c>
      <x:c r="N63" s="10">
        <x:f t="shared" si="15"/>
        <x:v>0</x:v>
      </x:c>
    </x:row>
    <x:row r="64" spans="1:14" s="7" customFormat="1" outlineLevel="2" x14ac:dyDescent="0.25">
      <x:c r="A64" s="4">
        <x:v>360</x:v>
      </x:c>
      <x:c r="B64" s="5" t="s">
        <x:v>84</x:v>
      </x:c>
      <x:c r="C64" s="6">
        <x:v>1239.25</x:v>
      </x:c>
      <x:c r="D64" s="6">
        <x:v>1239.25</x:v>
      </x:c>
      <x:c r="E64" s="6"/>
      <x:c r="F64" s="7">
        <x:v>70</x:v>
      </x:c>
      <x:c r="G64" s="6">
        <x:v>12.994455</x:v>
      </x:c>
      <x:c r="H64" s="8">
        <x:v>0</x:v>
      </x:c>
      <x:c r="I64" s="6">
        <x:f t="shared" si="12"/>
        <x:v>1009.2017377321428</x:v>
      </x:c>
      <x:c r="J64" s="21">
        <x:v>1.0732368459910073</x:v>
      </x:c>
      <x:c r="K64" s="9">
        <x:f t="shared" si="13"/>
        <x:v>1083.1124899722886</x:v>
      </x:c>
      <x:c r="L64" s="6"/>
      <x:c r="M64" s="10">
        <x:f t="shared" si="14"/>
        <x:v>1083.1124899722886</x:v>
      </x:c>
      <x:c r="N64" s="10">
        <x:f t="shared" si="15"/>
        <x:v>0</x:v>
      </x:c>
    </x:row>
    <x:row r="65" spans="1:14" s="7" customFormat="1" outlineLevel="2" x14ac:dyDescent="0.25">
      <x:c r="A65" s="4">
        <x:v>360</x:v>
      </x:c>
      <x:c r="B65" s="5" t="s">
        <x:v>85</x:v>
      </x:c>
      <x:c r="C65" s="6">
        <x:v>1958.14</x:v>
      </x:c>
      <x:c r="D65" s="6">
        <x:v>1958.14</x:v>
      </x:c>
      <x:c r="E65" s="6"/>
      <x:c r="F65" s="7">
        <x:v>70</x:v>
      </x:c>
      <x:c r="G65" s="6">
        <x:v>12.564968</x:v>
      </x:c>
      <x:c r="H65" s="8">
        <x:v>0</x:v>
      </x:c>
      <x:c r="I65" s="6">
        <x:f t="shared" si="12"/>
        <x:v>1606.6547651497144</x:v>
      </x:c>
      <x:c r="J65" s="21">
        <x:v>1.0732368459910073</x:v>
      </x:c>
      <x:c r="K65" s="9">
        <x:f t="shared" si="13"/>
        <x:v>1724.3210927457021</x:v>
      </x:c>
      <x:c r="L65" s="6"/>
      <x:c r="M65" s="10">
        <x:f t="shared" si="14"/>
        <x:v>1724.3210927457021</x:v>
      </x:c>
      <x:c r="N65" s="10">
        <x:f t="shared" si="15"/>
        <x:v>0</x:v>
      </x:c>
    </x:row>
    <x:row r="66" spans="1:14" s="7" customFormat="1" outlineLevel="2" x14ac:dyDescent="0.25">
      <x:c r="A66" s="4">
        <x:v>360</x:v>
      </x:c>
      <x:c r="B66" s="5" t="s">
        <x:v>86</x:v>
      </x:c>
      <x:c r="C66" s="6">
        <x:v>255.43</x:v>
      </x:c>
      <x:c r="D66" s="6">
        <x:v>255.43</x:v>
      </x:c>
      <x:c r="E66" s="6"/>
      <x:c r="F66" s="7">
        <x:v>70</x:v>
      </x:c>
      <x:c r="G66" s="6">
        <x:v>12.149426999999999</x:v>
      </x:c>
      <x:c r="H66" s="8">
        <x:v>0</x:v>
      </x:c>
      <x:c r="I66" s="6">
        <x:f t="shared" si="12"/>
        <x:v>211.096740877</x:v>
      </x:c>
      <x:c r="J66" s="21">
        <x:v>1.0732368459910073</x:v>
      </x:c>
      <x:c r="K66" s="9">
        <x:f t="shared" si="13"/>
        <x:v>226.55680037781244</x:v>
      </x:c>
      <x:c r="L66" s="6"/>
      <x:c r="M66" s="10">
        <x:f t="shared" si="14"/>
        <x:v>226.55680037781244</x:v>
      </x:c>
      <x:c r="N66" s="10">
        <x:f t="shared" si="15"/>
        <x:v>0</x:v>
      </x:c>
    </x:row>
    <x:row r="67" spans="1:14" s="7" customFormat="1" outlineLevel="2" x14ac:dyDescent="0.25">
      <x:c r="A67" s="4">
        <x:v>360</x:v>
      </x:c>
      <x:c r="B67" s="5" t="s">
        <x:v>87</x:v>
      </x:c>
      <x:c r="C67" s="6">
        <x:v>1063.27</x:v>
      </x:c>
      <x:c r="D67" s="6">
        <x:v>1063.27</x:v>
      </x:c>
      <x:c r="E67" s="6"/>
      <x:c r="F67" s="7">
        <x:v>70</x:v>
      </x:c>
      <x:c r="G67" s="6">
        <x:v>11.746479000000001</x:v>
      </x:c>
      <x:c r="H67" s="8">
        <x:v>0</x:v>
      </x:c>
      <x:c r="I67" s="6">
        <x:f t="shared" si="12"/>
        <x:v>884.84601819528564</x:v>
      </x:c>
      <x:c r="J67" s="21">
        <x:v>1.0732368459910073</x:v>
      </x:c>
      <x:c r="K67" s="9">
        <x:f t="shared" si="13"/>
        <x:v>949.64934975560982</x:v>
      </x:c>
      <x:c r="L67" s="6"/>
      <x:c r="M67" s="10">
        <x:f t="shared" si="14"/>
        <x:v>949.64934975560982</x:v>
      </x:c>
      <x:c r="N67" s="10">
        <x:f t="shared" si="15"/>
        <x:v>0</x:v>
      </x:c>
    </x:row>
    <x:row r="68" spans="1:14" s="7" customFormat="1" outlineLevel="2" x14ac:dyDescent="0.25">
      <x:c r="A68" s="4">
        <x:v>360</x:v>
      </x:c>
      <x:c r="B68" s="5" t="s">
        <x:v>88</x:v>
      </x:c>
      <x:c r="C68" s="6">
        <x:v>341.72</x:v>
      </x:c>
      <x:c r="D68" s="6">
        <x:v>341.72</x:v>
      </x:c>
      <x:c r="E68" s="6"/>
      <x:c r="F68" s="7">
        <x:v>70</x:v>
      </x:c>
      <x:c r="G68" s="6">
        <x:v>11.356337</x:v>
      </x:c>
      <x:c r="H68" s="8">
        <x:v>0</x:v>
      </x:c>
      <x:c r="I68" s="6">
        <x:f t="shared" si="12"/>
        <x:v>286.28160743371433</x:v>
      </x:c>
      <x:c r="J68" s="21">
        <x:v>1.0732368459910073</x:v>
      </x:c>
      <x:c r="K68" s="9">
        <x:f t="shared" si="13"/>
        <x:v>307.24796942739528</x:v>
      </x:c>
      <x:c r="L68" s="6"/>
      <x:c r="M68" s="10">
        <x:f t="shared" si="14"/>
        <x:v>307.24796942739528</x:v>
      </x:c>
      <x:c r="N68" s="10">
        <x:f t="shared" si="15"/>
        <x:v>0</x:v>
      </x:c>
    </x:row>
    <x:row r="69" spans="1:14" s="7" customFormat="1" outlineLevel="2" x14ac:dyDescent="0.25">
      <x:c r="A69" s="4">
        <x:v>360</x:v>
      </x:c>
      <x:c r="B69" s="5" t="s">
        <x:v>89</x:v>
      </x:c>
      <x:c r="C69" s="6">
        <x:v>178.32</x:v>
      </x:c>
      <x:c r="D69" s="6">
        <x:v>178.32</x:v>
      </x:c>
      <x:c r="E69" s="6"/>
      <x:c r="F69" s="7">
        <x:v>70</x:v>
      </x:c>
      <x:c r="G69" s="6">
        <x:v>10.978598</x:v>
      </x:c>
      <x:c r="H69" s="8">
        <x:v>0</x:v>
      </x:c>
      <x:c r="I69" s="6">
        <x:f t="shared" si="12"/>
        <x:v>150.3528057805714</x:v>
      </x:c>
      <x:c r="J69" s="21">
        <x:v>1.0732368459910073</x:v>
      </x:c>
      <x:c r="K69" s="9">
        <x:f t="shared" si="13"/>
        <x:v>161.36417106183893</x:v>
      </x:c>
      <x:c r="L69" s="6"/>
      <x:c r="M69" s="10">
        <x:f t="shared" si="14"/>
        <x:v>161.36417106183893</x:v>
      </x:c>
      <x:c r="N69" s="10">
        <x:f t="shared" si="15"/>
        <x:v>0</x:v>
      </x:c>
    </x:row>
    <x:row r="70" spans="1:14" s="7" customFormat="1" outlineLevel="2" x14ac:dyDescent="0.25">
      <x:c r="A70" s="4">
        <x:v>360</x:v>
      </x:c>
      <x:c r="B70" s="5" t="s">
        <x:v>90</x:v>
      </x:c>
      <x:c r="C70" s="6">
        <x:v>153.66999999999999</x:v>
      </x:c>
      <x:c r="D70" s="6">
        <x:v>153.66999999999999</x:v>
      </x:c>
      <x:c r="E70" s="6"/>
      <x:c r="F70" s="7">
        <x:v>70</x:v>
      </x:c>
      <x:c r="G70" s="6">
        <x:v>10.612942</x:v>
      </x:c>
      <x:c r="H70" s="8">
        <x:v>0</x:v>
      </x:c>
      <x:c r="I70" s="6">
        <x:f t="shared" si="12"/>
        <x:v>130.37156004085713</x:v>
      </x:c>
      <x:c r="J70" s="21">
        <x:v>1.0732368459910073</x:v>
      </x:c>
      <x:c r="K70" s="9">
        <x:f t="shared" si="13"/>
        <x:v>139.91956190517675</x:v>
      </x:c>
      <x:c r="L70" s="6"/>
      <x:c r="M70" s="10">
        <x:f t="shared" si="14"/>
        <x:v>139.91956190517675</x:v>
      </x:c>
      <x:c r="N70" s="10">
        <x:f t="shared" si="15"/>
        <x:v>0</x:v>
      </x:c>
    </x:row>
    <x:row r="71" spans="1:14" s="7" customFormat="1" outlineLevel="2" x14ac:dyDescent="0.25">
      <x:c r="A71" s="4">
        <x:v>360</x:v>
      </x:c>
      <x:c r="B71" s="5" t="s">
        <x:v>91</x:v>
      </x:c>
      <x:c r="C71" s="6">
        <x:v>99.12</x:v>
      </x:c>
      <x:c r="D71" s="6">
        <x:v>99.12</x:v>
      </x:c>
      <x:c r="E71" s="6"/>
      <x:c r="F71" s="7">
        <x:v>70</x:v>
      </x:c>
      <x:c r="G71" s="6">
        <x:v>10.258628</x:v>
      </x:c>
      <x:c r="H71" s="8">
        <x:v>0</x:v>
      </x:c>
      <x:c r="I71" s="6">
        <x:f t="shared" si="12"/>
        <x:v>84.59378275200001</x:v>
      </x:c>
      <x:c r="J71" s="21">
        <x:v>1.0732368459910073</x:v>
      </x:c>
      <x:c r="K71" s="9">
        <x:f t="shared" si="13"/>
        <x:v>90.789164591204965</x:v>
      </x:c>
      <x:c r="L71" s="6"/>
      <x:c r="M71" s="10">
        <x:f t="shared" si="14"/>
        <x:v>90.789164591204965</x:v>
      </x:c>
      <x:c r="N71" s="10">
        <x:f t="shared" si="15"/>
        <x:v>0</x:v>
      </x:c>
    </x:row>
    <x:row r="72" spans="1:14" s="7" customFormat="1" outlineLevel="2" x14ac:dyDescent="0.25">
      <x:c r="A72" s="4">
        <x:v>360</x:v>
      </x:c>
      <x:c r="B72" s="5" t="s">
        <x:v>92</x:v>
      </x:c>
      <x:c r="C72" s="6">
        <x:v>46.33</x:v>
      </x:c>
      <x:c r="D72" s="6">
        <x:v>46.33</x:v>
      </x:c>
      <x:c r="E72" s="6"/>
      <x:c r="F72" s="7">
        <x:v>70</x:v>
      </x:c>
      <x:c r="G72" s="6">
        <x:v>9.9162560000000006</x:v>
      </x:c>
      <x:c r="H72" s="8">
        <x:v>0</x:v>
      </x:c>
      <x:c r="I72" s="6">
        <x:f t="shared" si="12"/>
        <x:v>39.766855135999997</x:v>
      </x:c>
      <x:c r="J72" s="21">
        <x:v>1.0732368459910073</x:v>
      </x:c>
      <x:c r="K72" s="9">
        <x:f t="shared" si="13"/>
        <x:v>42.679254181141928</x:v>
      </x:c>
      <x:c r="L72" s="6"/>
      <x:c r="M72" s="10">
        <x:f t="shared" si="14"/>
        <x:v>42.679254181141928</x:v>
      </x:c>
      <x:c r="N72" s="10">
        <x:f t="shared" si="15"/>
        <x:v>0</x:v>
      </x:c>
    </x:row>
    <x:row r="73" spans="1:14" s="7" customFormat="1" outlineLevel="2" x14ac:dyDescent="0.25">
      <x:c r="A73" s="4">
        <x:v>360</x:v>
      </x:c>
      <x:c r="B73" s="5" t="s">
        <x:v>93</x:v>
      </x:c>
      <x:c r="C73" s="6">
        <x:v>162.38</x:v>
      </x:c>
      <x:c r="D73" s="6">
        <x:v>162.38</x:v>
      </x:c>
      <x:c r="E73" s="6"/>
      <x:c r="F73" s="7">
        <x:v>70</x:v>
      </x:c>
      <x:c r="G73" s="6">
        <x:v>9.5831510000000009</x:v>
      </x:c>
      <x:c r="H73" s="8">
        <x:v>0</x:v>
      </x:c>
      <x:c r="I73" s="6">
        <x:f t="shared" si="12"/>
        <x:v>140.14982772314286</x:v>
      </x:c>
      <x:c r="J73" s="21">
        <x:v>1.0732368459910073</x:v>
      </x:c>
      <x:c r="K73" s="9">
        <x:f t="shared" si="13"/>
        <x:v>150.41395907176889</x:v>
      </x:c>
      <x:c r="L73" s="6"/>
      <x:c r="M73" s="10">
        <x:f t="shared" si="14"/>
        <x:v>150.41395907176889</x:v>
      </x:c>
      <x:c r="N73" s="10">
        <x:f t="shared" si="15"/>
        <x:v>0</x:v>
      </x:c>
    </x:row>
    <x:row r="74" spans="1:14" s="7" customFormat="1" outlineLevel="2" x14ac:dyDescent="0.25">
      <x:c r="A74" s="4">
        <x:v>360</x:v>
      </x:c>
      <x:c r="B74" s="5" t="s">
        <x:v>94</x:v>
      </x:c>
      <x:c r="C74" s="6">
        <x:v>77.459999999999994</x:v>
      </x:c>
      <x:c r="D74" s="6">
        <x:v>77.459999999999994</x:v>
      </x:c>
      <x:c r="E74" s="6"/>
      <x:c r="F74" s="7">
        <x:v>70</x:v>
      </x:c>
      <x:c r="G74" s="6">
        <x:v>9.2612699999999997</x:v>
      </x:c>
      <x:c r="H74" s="8">
        <x:v>0</x:v>
      </x:c>
      <x:c r="I74" s="6">
        <x:f t="shared" si="12"/>
        <x:v>67.211743225714272</x:v>
      </x:c>
      <x:c r="J74" s="21">
        <x:v>1.0732368459910073</x:v>
      </x:c>
      <x:c r="K74" s="9">
        <x:f t="shared" si="13"/>
        <x:v>72.134119313123037</x:v>
      </x:c>
      <x:c r="L74" s="6"/>
      <x:c r="M74" s="10">
        <x:f t="shared" si="14"/>
        <x:v>72.134119313123037</x:v>
      </x:c>
      <x:c r="N74" s="10">
        <x:f t="shared" si="15"/>
        <x:v>0</x:v>
      </x:c>
    </x:row>
    <x:row r="75" spans="1:14" s="7" customFormat="1" outlineLevel="2" x14ac:dyDescent="0.25">
      <x:c r="A75" s="4">
        <x:v>360</x:v>
      </x:c>
      <x:c r="B75" s="5" t="s">
        <x:v>95</x:v>
      </x:c>
      <x:c r="C75" s="6">
        <x:v>113.32</x:v>
      </x:c>
      <x:c r="D75" s="6">
        <x:v>113.32</x:v>
      </x:c>
      <x:c r="E75" s="6"/>
      <x:c r="F75" s="7">
        <x:v>70</x:v>
      </x:c>
      <x:c r="G75" s="6">
        <x:v>8.9479089999999992</x:v>
      </x:c>
      <x:c r="H75" s="8">
        <x:v>0</x:v>
      </x:c>
      <x:c r="I75" s="6">
        <x:f t="shared" ref="I75:I96" si="16">+C75*(1-H75)*(1-G75/F75)</x:f>
        <x:v>98.834613601714281</x:v>
      </x:c>
      <x:c r="J75" s="21">
        <x:v>1.0732368459910073</x:v>
      </x:c>
      <x:c r="K75" s="9">
        <x:f t="shared" ref="K75:K95" si="17">IF((C75*(1-H75)-I75*J75)&lt;0,C75*(1-H75),I75*J75)</x:f>
        <x:v>106.07294897664374</x:v>
      </x:c>
      <x:c r="L75" s="6"/>
      <x:c r="M75" s="10">
        <x:f t="shared" ref="M75:M96" si="18">+K75/D75*C75</x:f>
        <x:v>106.07294897664374</x:v>
      </x:c>
      <x:c r="N75" s="10">
        <x:f t="shared" ref="N75:N96" si="19">+E75/C75*K75</x:f>
        <x:v>0</x:v>
      </x:c>
    </x:row>
    <x:row r="76" spans="1:14" s="7" customFormat="1" outlineLevel="2" x14ac:dyDescent="0.25">
      <x:c r="A76" s="4">
        <x:v>360</x:v>
      </x:c>
      <x:c r="B76" s="5" t="s">
        <x:v>96</x:v>
      </x:c>
      <x:c r="C76" s="6">
        <x:v>233.07</x:v>
      </x:c>
      <x:c r="D76" s="6">
        <x:v>233.07</x:v>
      </x:c>
      <x:c r="E76" s="6"/>
      <x:c r="F76" s="7">
        <x:v>70</x:v>
      </x:c>
      <x:c r="G76" s="6">
        <x:v>8.6436600000000006</x:v>
      </x:c>
      <x:c r="H76" s="8">
        <x:v>0</x:v>
      </x:c>
      <x:c r="I76" s="6">
        <x:f t="shared" si="16"/>
        <x:v>204.29031662571427</x:v>
      </x:c>
      <x:c r="J76" s="21">
        <x:v>1.0732368459910073</x:v>
      </x:c>
      <x:c r="K76" s="9">
        <x:f t="shared" si="17"/>
        <x:v>219.25189508188583</x:v>
      </x:c>
      <x:c r="L76" s="6"/>
      <x:c r="M76" s="10">
        <x:f t="shared" si="18"/>
        <x:v>219.25189508188583</x:v>
      </x:c>
      <x:c r="N76" s="10">
        <x:f t="shared" si="19"/>
        <x:v>0</x:v>
      </x:c>
    </x:row>
    <x:row r="77" spans="1:14" s="7" customFormat="1" outlineLevel="2" x14ac:dyDescent="0.25">
      <x:c r="A77" s="4">
        <x:v>360</x:v>
      </x:c>
      <x:c r="B77" s="5" t="s">
        <x:v>97</x:v>
      </x:c>
      <x:c r="C77" s="6">
        <x:v>173.59</x:v>
      </x:c>
      <x:c r="D77" s="6">
        <x:v>173.59</x:v>
      </x:c>
      <x:c r="E77" s="6"/>
      <x:c r="F77" s="7">
        <x:v>70</x:v>
      </x:c>
      <x:c r="G77" s="6">
        <x:v>8.3479790000000005</x:v>
      </x:c>
      <x:c r="H77" s="8">
        <x:v>0</x:v>
      </x:c>
      <x:c r="I77" s="6">
        <x:f t="shared" si="16"/>
        <x:v>152.88820464842857</x:v>
      </x:c>
      <x:c r="J77" s="21">
        <x:v>1.0732368459910073</x:v>
      </x:c>
      <x:c r="K77" s="9">
        <x:f t="shared" si="17"/>
        <x:v>164.08525454610714</x:v>
      </x:c>
      <x:c r="L77" s="6"/>
      <x:c r="M77" s="10">
        <x:f t="shared" si="18"/>
        <x:v>164.08525454610714</x:v>
      </x:c>
      <x:c r="N77" s="10">
        <x:f t="shared" si="19"/>
        <x:v>0</x:v>
      </x:c>
    </x:row>
    <x:row r="78" spans="1:14" s="7" customFormat="1" outlineLevel="2" x14ac:dyDescent="0.25">
      <x:c r="A78" s="4">
        <x:v>360</x:v>
      </x:c>
      <x:c r="B78" s="5" t="s">
        <x:v>98</x:v>
      </x:c>
      <x:c r="C78" s="6">
        <x:v>209.2</x:v>
      </x:c>
      <x:c r="D78" s="6">
        <x:v>209.2</x:v>
      </x:c>
      <x:c r="E78" s="6"/>
      <x:c r="F78" s="7">
        <x:v>70</x:v>
      </x:c>
      <x:c r="G78" s="6">
        <x:v>8.0581669999999992</x:v>
      </x:c>
      <x:c r="H78" s="8">
        <x:v>0</x:v>
      </x:c>
      <x:c r="I78" s="6">
        <x:f t="shared" si="16"/>
        <x:v>185.11759233714284</x:v>
      </x:c>
      <x:c r="J78" s="21">
        <x:v>1.0732368459910073</x:v>
      </x:c>
      <x:c r="K78" s="9">
        <x:f t="shared" si="17"/>
        <x:v>198.67502093736425</x:v>
      </x:c>
      <x:c r="L78" s="6"/>
      <x:c r="M78" s="10">
        <x:f t="shared" si="18"/>
        <x:v>198.67502093736425</x:v>
      </x:c>
      <x:c r="N78" s="10">
        <x:f t="shared" si="19"/>
        <x:v>0</x:v>
      </x:c>
    </x:row>
    <x:row r="79" spans="1:14" s="7" customFormat="1" outlineLevel="2" x14ac:dyDescent="0.25">
      <x:c r="A79" s="4">
        <x:v>360</x:v>
      </x:c>
      <x:c r="B79" s="5" t="s">
        <x:v>99</x:v>
      </x:c>
      <x:c r="C79" s="6">
        <x:v>315.05</x:v>
      </x:c>
      <x:c r="D79" s="6">
        <x:v>315.05</x:v>
      </x:c>
      <x:c r="E79" s="6"/>
      <x:c r="F79" s="7">
        <x:v>70</x:v>
      </x:c>
      <x:c r="G79" s="6">
        <x:v>7.7778619999999998</x:v>
      </x:c>
      <x:c r="H79" s="8">
        <x:v>0</x:v>
      </x:c>
      <x:c r="I79" s="6">
        <x:f t="shared" si="16"/>
        <x:v>280.04406538428572</x:v>
      </x:c>
      <x:c r="J79" s="21">
        <x:v>1.0732368459910073</x:v>
      </x:c>
      <x:c r="K79" s="9">
        <x:f t="shared" si="17"/>
        <x:v>300.55360947153025</x:v>
      </x:c>
      <x:c r="L79" s="6"/>
      <x:c r="M79" s="10">
        <x:f t="shared" si="18"/>
        <x:v>300.55360947153025</x:v>
      </x:c>
      <x:c r="N79" s="10">
        <x:f t="shared" si="19"/>
        <x:v>0</x:v>
      </x:c>
    </x:row>
    <x:row r="80" spans="1:14" s="7" customFormat="1" outlineLevel="2" x14ac:dyDescent="0.25">
      <x:c r="A80" s="4">
        <x:v>360</x:v>
      </x:c>
      <x:c r="B80" s="5" t="s">
        <x:v>100</x:v>
      </x:c>
      <x:c r="C80" s="6">
        <x:v>82.19</x:v>
      </x:c>
      <x:c r="D80" s="6">
        <x:v>82.19</x:v>
      </x:c>
      <x:c r="E80" s="6"/>
      <x:c r="F80" s="7">
        <x:v>70</x:v>
      </x:c>
      <x:c r="G80" s="6">
        <x:v>7.4990600000000001</x:v>
      </x:c>
      <x:c r="H80" s="8">
        <x:v>0</x:v>
      </x:c>
      <x:c r="I80" s="6">
        <x:f t="shared" si="16"/>
        <x:v>73.385032265714287</x:v>
      </x:c>
      <x:c r="J80" s="21">
        <x:v>1.0732368459910073</x:v>
      </x:c>
      <x:c r="K80" s="9">
        <x:f t="shared" si="17"/>
        <x:v>78.759520571803506</x:v>
      </x:c>
      <x:c r="L80" s="6"/>
      <x:c r="M80" s="10">
        <x:f t="shared" si="18"/>
        <x:v>78.759520571803506</x:v>
      </x:c>
      <x:c r="N80" s="10">
        <x:f t="shared" si="19"/>
        <x:v>0</x:v>
      </x:c>
    </x:row>
    <x:row r="81" spans="1:14" s="7" customFormat="1" outlineLevel="2" x14ac:dyDescent="0.25">
      <x:c r="A81" s="4">
        <x:v>360</x:v>
      </x:c>
      <x:c r="B81" s="5" t="s">
        <x:v>101</x:v>
      </x:c>
      <x:c r="C81" s="6">
        <x:v>33.869999999999997</x:v>
      </x:c>
      <x:c r="D81" s="6">
        <x:v>33.869999999999997</x:v>
      </x:c>
      <x:c r="E81" s="6"/>
      <x:c r="F81" s="7">
        <x:v>70</x:v>
      </x:c>
      <x:c r="G81" s="6">
        <x:v>7.2285089999999999</x:v>
      </x:c>
      <x:c r="H81" s="8">
        <x:v>0</x:v>
      </x:c>
      <x:c r="I81" s="6">
        <x:f t="shared" si="16"/>
        <x:v>30.372434288142856</x:v>
      </x:c>
      <x:c r="J81" s="21">
        <x:v>1.0732368459910073</x:v>
      </x:c>
      <x:c r="K81" s="9">
        <x:f t="shared" si="17"/>
        <x:v>32.596815580475564</x:v>
      </x:c>
      <x:c r="L81" s="6"/>
      <x:c r="M81" s="10">
        <x:f t="shared" si="18"/>
        <x:v>32.596815580475564</x:v>
      </x:c>
      <x:c r="N81" s="10">
        <x:f t="shared" si="19"/>
        <x:v>0</x:v>
      </x:c>
    </x:row>
    <x:row r="82" spans="1:14" s="7" customFormat="1" outlineLevel="2" x14ac:dyDescent="0.25">
      <x:c r="A82" s="4">
        <x:v>360</x:v>
      </x:c>
      <x:c r="B82" s="5" t="s">
        <x:v>102</x:v>
      </x:c>
      <x:c r="C82" s="6">
        <x:v>8.7200000000000006</x:v>
      </x:c>
      <x:c r="D82" s="6">
        <x:v>8.7200000000000006</x:v>
      </x:c>
      <x:c r="E82" s="6"/>
      <x:c r="F82" s="7">
        <x:v>70</x:v>
      </x:c>
      <x:c r="G82" s="6">
        <x:v>6.9600080000000002</x:v>
      </x:c>
      <x:c r="H82" s="8">
        <x:v>0</x:v>
      </x:c>
      <x:c r="I82" s="6">
        <x:f t="shared" si="16"/>
        <x:v>7.852981860571429</x:v>
      </x:c>
      <x:c r="J82" s="21">
        <x:v>1.0732368459910073</x:v>
      </x:c>
      <x:c r="K82" s="9">
        <x:f t="shared" si="17"/>
        <x:v>8.4281094836642723</x:v>
      </x:c>
      <x:c r="L82" s="6"/>
      <x:c r="M82" s="10">
        <x:f t="shared" si="18"/>
        <x:v>8.4281094836642723</x:v>
      </x:c>
      <x:c r="N82" s="10">
        <x:f t="shared" si="19"/>
        <x:v>0</x:v>
      </x:c>
    </x:row>
    <x:row r="83" spans="1:14" s="7" customFormat="1" outlineLevel="2" x14ac:dyDescent="0.25">
      <x:c r="A83" s="4">
        <x:v>360</x:v>
      </x:c>
      <x:c r="B83" s="5" t="s">
        <x:v>103</x:v>
      </x:c>
      <x:c r="C83" s="6">
        <x:v>75.349999999999994</x:v>
      </x:c>
      <x:c r="D83" s="6">
        <x:v>75.349999999999994</x:v>
      </x:c>
      <x:c r="E83" s="6"/>
      <x:c r="F83" s="7">
        <x:v>70</x:v>
      </x:c>
      <x:c r="G83" s="6">
        <x:v>6.6956480000000003</x:v>
      </x:c>
      <x:c r="H83" s="8">
        <x:v>0</x:v>
      </x:c>
      <x:c r="I83" s="6">
        <x:f t="shared" si="16"/>
        <x:v>68.142613188571417</x:v>
      </x:c>
      <x:c r="J83" s="21">
        <x:v>1.0732368459910073</x:v>
      </x:c>
      <x:c r="K83" s="9">
        <x:f t="shared" si="17"/>
        <x:v>73.133163256087613</x:v>
      </x:c>
      <x:c r="L83" s="6"/>
      <x:c r="M83" s="10">
        <x:f t="shared" si="18"/>
        <x:v>73.133163256087613</x:v>
      </x:c>
      <x:c r="N83" s="10">
        <x:f t="shared" si="19"/>
        <x:v>0</x:v>
      </x:c>
    </x:row>
    <x:row r="84" spans="1:14" s="7" customFormat="1" outlineLevel="2" x14ac:dyDescent="0.25">
      <x:c r="A84" s="4">
        <x:v>360</x:v>
      </x:c>
      <x:c r="B84" s="5" t="s">
        <x:v>104</x:v>
      </x:c>
      <x:c r="C84" s="6">
        <x:v>2269.33</x:v>
      </x:c>
      <x:c r="D84" s="6">
        <x:v>2269.33</x:v>
      </x:c>
      <x:c r="E84" s="6"/>
      <x:c r="F84" s="7">
        <x:v>70</x:v>
      </x:c>
      <x:c r="G84" s="6">
        <x:v>6.4350379999999996</x:v>
      </x:c>
      <x:c r="H84" s="8">
        <x:v>0</x:v>
      </x:c>
      <x:c r="I84" s="6">
        <x:f t="shared" si="16"/>
        <x:v>2060.7125030779998</x:v>
      </x:c>
      <x:c r="J84" s="21">
        <x:v>1.0732368459910073</x:v>
      </x:c>
      <x:c r="K84" s="9">
        <x:f t="shared" si="17"/>
        <x:v>2211.6325872976663</x:v>
      </x:c>
      <x:c r="L84" s="6"/>
      <x:c r="M84" s="10">
        <x:f t="shared" si="18"/>
        <x:v>2211.6325872976663</x:v>
      </x:c>
      <x:c r="N84" s="10">
        <x:f t="shared" si="19"/>
        <x:v>0</x:v>
      </x:c>
    </x:row>
    <x:row r="85" spans="1:14" s="7" customFormat="1" outlineLevel="2" x14ac:dyDescent="0.25">
      <x:c r="A85" s="4">
        <x:v>360</x:v>
      </x:c>
      <x:c r="B85" s="5" t="s">
        <x:v>105</x:v>
      </x:c>
      <x:c r="C85" s="6">
        <x:v>101.19</x:v>
      </x:c>
      <x:c r="D85" s="6">
        <x:v>101.19</x:v>
      </x:c>
      <x:c r="E85" s="6"/>
      <x:c r="F85" s="7">
        <x:v>70</x:v>
      </x:c>
      <x:c r="G85" s="6">
        <x:v>6.173629</x:v>
      </x:c>
      <x:c r="H85" s="8">
        <x:v>0</x:v>
      </x:c>
      <x:c r="I85" s="6">
        <x:f t="shared" si="16"/>
        <x:v>92.265578306999998</x:v>
      </x:c>
      <x:c r="J85" s="21">
        <x:v>1.0732368459910073</x:v>
      </x:c>
      <x:c r="K85" s="9">
        <x:f t="shared" si="17"/>
        <x:v>99.022818255740987</x:v>
      </x:c>
      <x:c r="L85" s="6"/>
      <x:c r="M85" s="10">
        <x:f t="shared" si="18"/>
        <x:v>99.022818255740987</x:v>
      </x:c>
      <x:c r="N85" s="10">
        <x:f t="shared" si="19"/>
        <x:v>0</x:v>
      </x:c>
    </x:row>
    <x:row r="86" spans="1:14" s="7" customFormat="1" outlineLevel="2" x14ac:dyDescent="0.25">
      <x:c r="A86" s="4">
        <x:v>360</x:v>
      </x:c>
      <x:c r="B86" s="5" t="s">
        <x:v>106</x:v>
      </x:c>
      <x:c r="C86" s="6">
        <x:v>45.08</x:v>
      </x:c>
      <x:c r="D86" s="6">
        <x:v>45.08</x:v>
      </x:c>
      <x:c r="E86" s="6"/>
      <x:c r="F86" s="7">
        <x:v>70</x:v>
      </x:c>
      <x:c r="G86" s="6">
        <x:v>5.9189100000000003</x:v>
      </x:c>
      <x:c r="H86" s="8">
        <x:v>0</x:v>
      </x:c>
      <x:c r="I86" s="6">
        <x:f t="shared" si="16"/>
        <x:v>41.268221959999998</x:v>
      </x:c>
      <x:c r="J86" s="21">
        <x:v>1.0732368459910073</x:v>
      </x:c>
      <x:c r="K86" s="9">
        <x:f t="shared" si="17"/>
        <x:v>44.290576376007223</x:v>
      </x:c>
      <x:c r="L86" s="6"/>
      <x:c r="M86" s="10">
        <x:f t="shared" si="18"/>
        <x:v>44.290576376007223</x:v>
      </x:c>
      <x:c r="N86" s="10">
        <x:f t="shared" si="19"/>
        <x:v>0</x:v>
      </x:c>
    </x:row>
    <x:row r="87" spans="1:14" s="7" customFormat="1" outlineLevel="2" x14ac:dyDescent="0.25">
      <x:c r="A87" s="4">
        <x:v>360</x:v>
      </x:c>
      <x:c r="B87" s="5" t="s">
        <x:v>107</x:v>
      </x:c>
      <x:c r="C87" s="6">
        <x:v>9.9600000000000009</x:v>
      </x:c>
      <x:c r="D87" s="6">
        <x:v>9.9600000000000009</x:v>
      </x:c>
      <x:c r="E87" s="6"/>
      <x:c r="F87" s="7">
        <x:v>70</x:v>
      </x:c>
      <x:c r="G87" s="6">
        <x:v>5.6578710000000001</x:v>
      </x:c>
      <x:c r="H87" s="8">
        <x:v>0</x:v>
      </x:c>
      <x:c r="I87" s="6">
        <x:f t="shared" si="16"/>
        <x:v>9.1549657834285725</x:v>
      </x:c>
      <x:c r="J87" s="21">
        <x:v>1.0732368459910073</x:v>
      </x:c>
      <x:c r="K87" s="9">
        <x:f t="shared" si="17"/>
        <x:v>9.8254466025624723</x:v>
      </x:c>
      <x:c r="L87" s="6"/>
      <x:c r="M87" s="10">
        <x:f t="shared" si="18"/>
        <x:v>9.8254466025624723</x:v>
      </x:c>
      <x:c r="N87" s="10">
        <x:f t="shared" si="19"/>
        <x:v>0</x:v>
      </x:c>
    </x:row>
    <x:row r="88" spans="1:14" s="7" customFormat="1" outlineLevel="2" x14ac:dyDescent="0.25">
      <x:c r="A88" s="4">
        <x:v>360</x:v>
      </x:c>
      <x:c r="B88" s="5" t="s">
        <x:v>108</x:v>
      </x:c>
      <x:c r="C88" s="6">
        <x:v>10.96</x:v>
      </x:c>
      <x:c r="D88" s="6">
        <x:v>10.96</x:v>
      </x:c>
      <x:c r="E88" s="6"/>
      <x:c r="F88" s="7">
        <x:v>70</x:v>
      </x:c>
      <x:c r="G88" s="6">
        <x:v>5.4027019999999997</x:v>
      </x:c>
      <x:c r="H88" s="8">
        <x:v>0</x:v>
      </x:c>
      <x:c r="I88" s="6">
        <x:f t="shared" si="16"/>
        <x:v>10.114091229714287</x:v>
      </x:c>
      <x:c r="J88" s="21">
        <x:v>1.0732368459910073</x:v>
      </x:c>
      <x:c r="K88" s="9">
        <x:f t="shared" si="17"/>
        <x:v>10.85481537144387</x:v>
      </x:c>
      <x:c r="L88" s="6"/>
      <x:c r="M88" s="10">
        <x:f t="shared" si="18"/>
        <x:v>10.85481537144387</x:v>
      </x:c>
      <x:c r="N88" s="10">
        <x:f t="shared" si="19"/>
        <x:v>0</x:v>
      </x:c>
    </x:row>
    <x:row r="89" spans="1:14" s="7" customFormat="1" outlineLevel="2" x14ac:dyDescent="0.25">
      <x:c r="A89" s="4">
        <x:v>360</x:v>
      </x:c>
      <x:c r="B89" s="5" t="s">
        <x:v>109</x:v>
      </x:c>
      <x:c r="C89" s="6">
        <x:v>16.690000000000001</x:v>
      </x:c>
      <x:c r="D89" s="6">
        <x:v>16.690000000000001</x:v>
      </x:c>
      <x:c r="E89" s="6"/>
      <x:c r="F89" s="7">
        <x:v>70</x:v>
      </x:c>
      <x:c r="G89" s="6">
        <x:v>5.1445090000000002</x:v>
      </x:c>
      <x:c r="H89" s="8">
        <x:v>0</x:v>
      </x:c>
      <x:c r="I89" s="6">
        <x:f t="shared" si="16"/>
        <x:v>15.463402068428572</x:v>
      </x:c>
      <x:c r="J89" s="21">
        <x:v>1.0732368459910073</x:v>
      </x:c>
      <x:c r="K89" s="9">
        <x:f t="shared" si="17"/>
        <x:v>16.595892864211098</x:v>
      </x:c>
      <x:c r="L89" s="6"/>
      <x:c r="M89" s="10">
        <x:f t="shared" si="18"/>
        <x:v>16.595892864211098</x:v>
      </x:c>
      <x:c r="N89" s="10">
        <x:f t="shared" si="19"/>
        <x:v>0</x:v>
      </x:c>
    </x:row>
    <x:row r="90" spans="1:14" s="7" customFormat="1" outlineLevel="2" x14ac:dyDescent="0.25">
      <x:c r="A90" s="4">
        <x:v>360</x:v>
      </x:c>
      <x:c r="B90" s="5" t="s">
        <x:v>110</x:v>
      </x:c>
      <x:c r="C90" s="6">
        <x:v>59.28</x:v>
      </x:c>
      <x:c r="D90" s="6">
        <x:v>59.28</x:v>
      </x:c>
      <x:c r="E90" s="6"/>
      <x:c r="F90" s="7">
        <x:v>70</x:v>
      </x:c>
      <x:c r="G90" s="6">
        <x:v>4.887473</x:v>
      </x:c>
      <x:c r="H90" s="8">
        <x:v>0</x:v>
      </x:c>
      <x:c r="I90" s="6">
        <x:f t="shared" si="16"/>
        <x:v>55.141008579428572</x:v>
      </x:c>
      <x:c r="J90" s="21">
        <x:v>1.0732368459910073</x:v>
      </x:c>
      <x:c r="K90" s="9">
        <x:f t="shared" si="17"/>
        <x:v>59.179362132548995</x:v>
      </x:c>
      <x:c r="L90" s="6"/>
      <x:c r="M90" s="10">
        <x:f t="shared" si="18"/>
        <x:v>59.179362132548995</x:v>
      </x:c>
      <x:c r="N90" s="10">
        <x:f t="shared" si="19"/>
        <x:v>0</x:v>
      </x:c>
    </x:row>
    <x:row r="91" spans="1:14" s="7" customFormat="1" outlineLevel="2" x14ac:dyDescent="0.25">
      <x:c r="A91" s="4">
        <x:v>360</x:v>
      </x:c>
      <x:c r="B91" s="5" t="s">
        <x:v>111</x:v>
      </x:c>
      <x:c r="C91" s="6">
        <x:v>63.76</x:v>
      </x:c>
      <x:c r="D91" s="6">
        <x:v>63.76</x:v>
      </x:c>
      <x:c r="E91" s="6"/>
      <x:c r="F91" s="7">
        <x:v>70</x:v>
      </x:c>
      <x:c r="G91" s="6">
        <x:v>4.6322169999999998</x:v>
      </x:c>
      <x:c r="H91" s="8">
        <x:v>0</x:v>
      </x:c>
      <x:c r="I91" s="6">
        <x:f t="shared" si="16"/>
        <x:v>59.540712058285713</x:v>
      </x:c>
      <x:c r="J91" s="21">
        <x:v>1.0732368459910073</x:v>
      </x:c>
      <x:c r="K91" s="9">
        <x:f t="shared" si="17"/>
        <x:v>63.76</x:v>
      </x:c>
      <x:c r="L91" s="6"/>
      <x:c r="M91" s="10">
        <x:f t="shared" si="18"/>
        <x:v>63.76</x:v>
      </x:c>
      <x:c r="N91" s="10">
        <x:f t="shared" si="19"/>
        <x:v>0</x:v>
      </x:c>
    </x:row>
    <x:row r="92" spans="1:14" s="7" customFormat="1" outlineLevel="2" x14ac:dyDescent="0.25">
      <x:c r="A92" s="4">
        <x:v>360</x:v>
      </x:c>
      <x:c r="B92" s="5" t="s">
        <x:v>112</x:v>
      </x:c>
      <x:c r="C92" s="6">
        <x:v>34.869999999999997</x:v>
      </x:c>
      <x:c r="D92" s="6">
        <x:v>34.869999999999997</x:v>
      </x:c>
      <x:c r="E92" s="6"/>
      <x:c r="F92" s="7">
        <x:v>70</x:v>
      </x:c>
      <x:c r="G92" s="6">
        <x:v>4.3729680000000002</x:v>
      </x:c>
      <x:c r="H92" s="8">
        <x:v>0</x:v>
      </x:c>
      <x:c r="I92" s="6">
        <x:f t="shared" si="16"/>
        <x:v>32.691637226285714</x:v>
      </x:c>
      <x:c r="J92" s="21">
        <x:v>1.0732368459910073</x:v>
      </x:c>
      <x:c r="K92" s="9">
        <x:f t="shared" si="17"/>
        <x:v>34.869999999999997</x:v>
      </x:c>
      <x:c r="L92" s="6"/>
      <x:c r="M92" s="10">
        <x:f t="shared" si="18"/>
        <x:v>34.869999999999997</x:v>
      </x:c>
      <x:c r="N92" s="10">
        <x:f t="shared" si="19"/>
        <x:v>0</x:v>
      </x:c>
    </x:row>
    <x:row r="93" spans="1:14" s="7" customFormat="1" outlineLevel="2" x14ac:dyDescent="0.25">
      <x:c r="A93" s="4">
        <x:v>360</x:v>
      </x:c>
      <x:c r="B93" s="5" t="s">
        <x:v>113</x:v>
      </x:c>
      <x:c r="C93" s="6">
        <x:v>122.15</x:v>
      </x:c>
      <x:c r="D93" s="6">
        <x:v>122.15</x:v>
      </x:c>
      <x:c r="E93" s="6"/>
      <x:c r="F93" s="7">
        <x:v>70</x:v>
      </x:c>
      <x:c r="G93" s="6">
        <x:v>4.1219669999999997</x:v>
      </x:c>
      <x:c r="H93" s="8">
        <x:v>0</x:v>
      </x:c>
      <x:c r="I93" s="6">
        <x:f t="shared" si="16"/>
        <x:v>114.95716758500001</x:v>
      </x:c>
      <x:c r="J93" s="21">
        <x:v>1.0732368459910073</x:v>
      </x:c>
      <x:c r="K93" s="9">
        <x:f t="shared" si="17"/>
        <x:v>122.15</x:v>
      </x:c>
      <x:c r="L93" s="6"/>
      <x:c r="M93" s="10">
        <x:f t="shared" si="18"/>
        <x:v>122.15</x:v>
      </x:c>
      <x:c r="N93" s="10">
        <x:f t="shared" si="19"/>
        <x:v>0</x:v>
      </x:c>
    </x:row>
    <x:row r="94" spans="1:14" s="7" customFormat="1" outlineLevel="2" x14ac:dyDescent="0.25">
      <x:c r="A94" s="4">
        <x:v>360</x:v>
      </x:c>
      <x:c r="B94" s="5" t="s">
        <x:v>114</x:v>
      </x:c>
      <x:c r="C94" s="6">
        <x:v>37.36</x:v>
      </x:c>
      <x:c r="D94" s="6">
        <x:v>37.36</x:v>
      </x:c>
      <x:c r="E94" s="6"/>
      <x:c r="F94" s="7">
        <x:v>70</x:v>
      </x:c>
      <x:c r="G94" s="6">
        <x:v>3.8611339999999998</x:v>
      </x:c>
      <x:c r="H94" s="8">
        <x:v>0</x:v>
      </x:c>
      <x:c r="I94" s="6">
        <x:f t="shared" si="16"/>
        <x:v>35.299257625142857</x:v>
      </x:c>
      <x:c r="J94" s="21">
        <x:v>1.0732368459910073</x:v>
      </x:c>
      <x:c r="K94" s="9">
        <x:f t="shared" si="17"/>
        <x:v>37.36</x:v>
      </x:c>
      <x:c r="L94" s="6"/>
      <x:c r="M94" s="10">
        <x:f t="shared" si="18"/>
        <x:v>37.36</x:v>
      </x:c>
      <x:c r="N94" s="10">
        <x:f t="shared" si="19"/>
        <x:v>0</x:v>
      </x:c>
    </x:row>
    <x:row r="95" spans="1:14" s="7" customFormat="1" outlineLevel="2" x14ac:dyDescent="0.25">
      <x:c r="A95" s="4">
        <x:v>360</x:v>
      </x:c>
      <x:c r="B95" s="5" t="s">
        <x:v>115</x:v>
      </x:c>
      <x:c r="C95" s="6">
        <x:v>76.12</x:v>
      </x:c>
      <x:c r="D95" s="6">
        <x:v>76.12</x:v>
      </x:c>
      <x:c r="E95" s="6"/>
      <x:c r="F95" s="7">
        <x:v>70</x:v>
      </x:c>
      <x:c r="G95" s="6">
        <x:v>3.6091329999999999</x:v>
      </x:c>
      <x:c r="H95" s="8">
        <x:v>0</x:v>
      </x:c>
      <x:c r="I95" s="6">
        <x:f t="shared" si="16"/>
        <x:v>72.195325657714292</x:v>
      </x:c>
      <x:c r="J95" s="21">
        <x:v>1.0732368459910073</x:v>
      </x:c>
      <x:c r="K95" s="9">
        <x:f t="shared" si="17"/>
        <x:v>76.12</x:v>
      </x:c>
      <x:c r="L95" s="6"/>
      <x:c r="M95" s="10">
        <x:f t="shared" si="18"/>
        <x:v>76.12</x:v>
      </x:c>
      <x:c r="N95" s="10">
        <x:f t="shared" si="19"/>
        <x:v>0</x:v>
      </x:c>
    </x:row>
    <x:row r="96" spans="1:14" s="7" customFormat="1" outlineLevel="2" x14ac:dyDescent="0.25">
      <x:c r="A96" s="4">
        <x:v>360</x:v>
      </x:c>
      <x:c r="B96" s="5" t="s">
        <x:v>116</x:v>
      </x:c>
      <x:c r="C96" s="6">
        <x:v>41773.57</x:v>
      </x:c>
      <x:c r="D96" s="6">
        <x:v>41773.57</x:v>
      </x:c>
      <x:c r="E96" s="6"/>
      <x:c r="F96" s="7">
        <x:v>70</x:v>
      </x:c>
      <x:c r="G96" s="6">
        <x:v>2.8550460000000002</x:v>
      </x:c>
      <x:c r="H96" s="8">
        <x:v>0</x:v>
      </x:c>
      <x:c r="I96" s="6">
        <x:f t="shared" si="16"/>
        <x:v>40069.777658082574</x:v>
      </x:c>
      <x:c r="J96" s="21">
        <x:v>1.0732368459910073</x:v>
      </x:c>
      <x:c r="K96" s="9">
        <x:f>IF((C96*(1-H96)-I96*J96)&lt;0,C96*(1-H96),I96*J96)</x:f>
        <x:v>41773.57</x:v>
      </x:c>
      <x:c r="L96" s="6"/>
      <x:c r="M96" s="10">
        <x:f t="shared" si="18"/>
        <x:v>41773.57</x:v>
      </x:c>
      <x:c r="N96" s="10">
        <x:f t="shared" si="19"/>
        <x:v>0</x:v>
      </x:c>
    </x:row>
    <x:row r="97" spans="1:15" s="7" customFormat="1" outlineLevel="1" x14ac:dyDescent="0.25">
      <x:c r="A97" s="11" t="s">
        <x:v>20</x:v>
      </x:c>
      <x:c r="B97" s="5"/>
      <x:c r="C97" s="6">
        <x:f>SUBTOTAL(9,C3:C96)</x:f>
        <x:v>18356455.270000003</x:v>
      </x:c>
      <x:c r="D97" s="6">
        <x:f>SUBTOTAL(9,D3:D96)</x:f>
        <x:v>18356455.270000003</x:v>
      </x:c>
      <x:c r="E97" s="6"/>
      <x:c r="G97" s="6"/>
      <x:c r="H97" s="8"/>
      <x:c r="I97" s="6">
        <x:f>SUBTOTAL(9,I3:I96)</x:f>
        <x:v>7866458.147129097</x:v>
      </x:c>
      <x:c r="J97" s="23">
        <x:v>1.0732368459910073</x:v>
      </x:c>
      <x:c r="K97" s="6">
        <x:f>SUBTOTAL(9,K3:K96)</x:f>
        <x:v>8441338.4685806446</x:v>
      </x:c>
      <x:c r="L97" s="6"/>
      <x:c r="M97" s="6">
        <x:f>SUBTOTAL(9,M3:M96)</x:f>
        <x:v>8441338.4685806446</x:v>
      </x:c>
      <x:c r="N97" s="6">
        <x:f>SUBTOTAL(9,N3:N96)</x:f>
        <x:v>0</x:v>
      </x:c>
      <x:c r="O97" s="10"/>
    </x:row>
    <x:row r="98" spans="1:15" s="7" customFormat="1" outlineLevel="2" x14ac:dyDescent="0.25">
      <x:c r="A98" s="4">
        <x:v>364</x:v>
      </x:c>
      <x:c r="B98" s="5" t="s">
        <x:v>23</x:v>
      </x:c>
      <x:c r="C98" s="6">
        <x:v>382350406.06</x:v>
      </x:c>
      <x:c r="D98" s="6">
        <x:v>382350406.06</x:v>
      </x:c>
      <x:c r="E98" s="6"/>
      <x:c r="F98" s="7">
        <x:v>55</x:v>
      </x:c>
      <x:c r="G98" s="6">
        <x:v>54.689310999999996</x:v>
      </x:c>
      <x:c r="H98" s="8">
        <x:v>-1.1000000000000001</x:v>
      </x:c>
      <x:c r="I98" s="6">
        <x:f t="shared" ref="I98:I134" si="20">+C98*(1-H98)*(1-G98/F98)</x:f>
        <x:v>4535697.0390470764</x:v>
      </x:c>
      <x:c r="J98" s="23">
        <x:v>1.0732147188179053</x:v>
      </x:c>
      <x:c r="K98" s="9">
        <x:f t="shared" ref="K98:K134" si="21">IF((C98*(1-H98)-I98*J98)&lt;0,C98*(1-H98),I98*J98)</x:f>
        <x:v>4867776.8224041136</x:v>
      </x:c>
      <x:c r="L98" s="6"/>
      <x:c r="M98" s="10">
        <x:f t="shared" ref="M98:M134" si="22">+K98/D98*C98</x:f>
        <x:v>4867776.8224041136</x:v>
      </x:c>
      <x:c r="N98" s="10">
        <x:f t="shared" ref="N98:N134" si="23">+E98/C98*K98</x:f>
        <x:v>0</x:v>
      </x:c>
    </x:row>
    <x:row r="99" spans="1:15" s="7" customFormat="1" outlineLevel="2" x14ac:dyDescent="0.25">
      <x:c r="A99" s="4">
        <x:v>364</x:v>
      </x:c>
      <x:c r="B99" s="5" t="s">
        <x:v>24</x:v>
      </x:c>
      <x:c r="C99" s="6">
        <x:v>323543383.29000002</x:v>
      </x:c>
      <x:c r="D99" s="6">
        <x:v>323543383.29000002</x:v>
      </x:c>
      <x:c r="E99" s="6"/>
      <x:c r="F99" s="7">
        <x:v>55</x:v>
      </x:c>
      <x:c r="G99" s="6">
        <x:v>54.069127999999999</x:v>
      </x:c>
      <x:c r="H99" s="8">
        <x:v>-1.1000000000000001</x:v>
      </x:c>
      <x:c r="I99" s="6">
        <x:f t="shared" ref="I99:I106" si="24">+C99*(1-H99)*(1-G99/F99)</x:f>
        <x:v>11499503.640160941</x:v>
      </x:c>
      <x:c r="J99" s="23">
        <x:v>1.0732147188179053</x:v>
      </x:c>
      <x:c r="K99" s="9">
        <x:f t="shared" ref="K99:K106" si="25">IF((C99*(1-H99)-I99*J99)&lt;0,C99*(1-H99),I99*J99)</x:f>
        <x:v>12341436.565720802</x:v>
      </x:c>
      <x:c r="L99" s="6"/>
      <x:c r="M99" s="10">
        <x:f t="shared" ref="M99:M106" si="26">+K99/D99*C99</x:f>
        <x:v>12341436.565720804</x:v>
      </x:c>
      <x:c r="N99" s="10">
        <x:f t="shared" ref="N99:N106" si="27">+E99/C99*K99</x:f>
        <x:v>0</x:v>
      </x:c>
    </x:row>
    <x:row r="100" spans="1:15" s="7" customFormat="1" outlineLevel="2" x14ac:dyDescent="0.25">
      <x:c r="A100" s="4">
        <x:v>364</x:v>
      </x:c>
      <x:c r="B100" s="5" t="s">
        <x:v>25</x:v>
      </x:c>
      <x:c r="C100" s="6">
        <x:v>231955795.94999999</x:v>
      </x:c>
      <x:c r="D100" s="6">
        <x:v>231955795.94999999</x:v>
      </x:c>
      <x:c r="E100" s="6"/>
      <x:c r="F100" s="7">
        <x:v>55</x:v>
      </x:c>
      <x:c r="G100" s="6">
        <x:v>53.450519</x:v>
      </x:c>
      <x:c r="H100" s="8">
        <x:v>-1.1000000000000001</x:v>
      </x:c>
      <x:c r="I100" s="6">
        <x:f t="shared" si="24"/>
        <x:v>13722969.221731713</x:v>
      </x:c>
      <x:c r="J100" s="23">
        <x:v>1.0732147188179053</x:v>
      </x:c>
      <x:c r="K100" s="9">
        <x:f t="shared" si="25"/>
        <x:v>14727692.554647569</x:v>
      </x:c>
      <x:c r="L100" s="6"/>
      <x:c r="M100" s="10">
        <x:f t="shared" si="26"/>
        <x:v>14727692.554647567</x:v>
      </x:c>
      <x:c r="N100" s="10">
        <x:f t="shared" si="27"/>
        <x:v>0</x:v>
      </x:c>
    </x:row>
    <x:row r="101" spans="1:15" s="7" customFormat="1" outlineLevel="2" x14ac:dyDescent="0.25">
      <x:c r="A101" s="4">
        <x:v>364</x:v>
      </x:c>
      <x:c r="B101" s="5" t="s">
        <x:v>26</x:v>
      </x:c>
      <x:c r="C101" s="6">
        <x:v>183280571.94</x:v>
      </x:c>
      <x:c r="D101" s="6">
        <x:v>183280571.94</x:v>
      </x:c>
      <x:c r="E101" s="6"/>
      <x:c r="F101" s="7">
        <x:v>55</x:v>
      </x:c>
      <x:c r="G101" s="6">
        <x:v>52.833464999999997</x:v>
      </x:c>
      <x:c r="H101" s="8">
        <x:v>-1.1000000000000001</x:v>
      </x:c>
      <x:c r="I101" s="6">
        <x:f t="shared" si="24"/>
        <x:v>15161380.459070168</x:v>
      </x:c>
      <x:c r="J101" s="23">
        <x:v>1.0732147188179053</x:v>
      </x:c>
      <x:c r="K101" s="9">
        <x:f t="shared" si="25"/>
        <x:v>16271416.666272275</x:v>
      </x:c>
      <x:c r="L101" s="6"/>
      <x:c r="M101" s="10">
        <x:f t="shared" si="26"/>
        <x:v>16271416.666272275</x:v>
      </x:c>
      <x:c r="N101" s="10">
        <x:f t="shared" si="27"/>
        <x:v>0</x:v>
      </x:c>
    </x:row>
    <x:row r="102" spans="1:15" s="7" customFormat="1" outlineLevel="2" x14ac:dyDescent="0.25">
      <x:c r="A102" s="4">
        <x:v>364</x:v>
      </x:c>
      <x:c r="B102" s="5" t="s">
        <x:v>117</x:v>
      </x:c>
      <x:c r="C102" s="6">
        <x:v>190599480.88999999</x:v>
      </x:c>
      <x:c r="D102" s="6">
        <x:v>190599480.88999999</x:v>
      </x:c>
      <x:c r="E102" s="6"/>
      <x:c r="F102" s="7">
        <x:v>55</x:v>
      </x:c>
      <x:c r="G102" s="6">
        <x:v>52.217942000000001</x:v>
      </x:c>
      <x:c r="H102" s="8">
        <x:v>-1.1000000000000001</x:v>
      </x:c>
      <x:c r="I102" s="6">
        <x:f t="shared" si="24"/>
        <x:v>20246245.495860536</x:v>
      </x:c>
      <x:c r="J102" s="23">
        <x:v>1.0732147188179053</x:v>
      </x:c>
      <x:c r="K102" s="9">
        <x:f t="shared" si="25"/>
        <x:v>21728568.666958246</x:v>
      </x:c>
      <x:c r="L102" s="6"/>
      <x:c r="M102" s="10">
        <x:f t="shared" si="26"/>
        <x:v>21728568.666958246</x:v>
      </x:c>
      <x:c r="N102" s="10">
        <x:f t="shared" si="27"/>
        <x:v>0</x:v>
      </x:c>
    </x:row>
    <x:row r="103" spans="1:15" s="7" customFormat="1" outlineLevel="2" x14ac:dyDescent="0.25">
      <x:c r="A103" s="4">
        <x:v>364</x:v>
      </x:c>
      <x:c r="B103" s="5" t="s">
        <x:v>27</x:v>
      </x:c>
      <x:c r="C103" s="6">
        <x:v>139894346.55000001</x:v>
      </x:c>
      <x:c r="D103" s="6">
        <x:v>139894346.55000001</x:v>
      </x:c>
      <x:c r="E103" s="6"/>
      <x:c r="F103" s="7">
        <x:v>55</x:v>
      </x:c>
      <x:c r="G103" s="6">
        <x:v>51.603928000000003</x:v>
      </x:c>
      <x:c r="H103" s="8">
        <x:v>-1.1000000000000001</x:v>
      </x:c>
      <x:c r="I103" s="6">
        <x:f t="shared" si="24"/>
        <x:v>18139848.616021406</x:v>
      </x:c>
      <x:c r="J103" s="23">
        <x:v>1.0732147188179053</x:v>
      </x:c>
      <x:c r="K103" s="9">
        <x:f t="shared" si="25"/>
        <x:v>19467952.531842783</x:v>
      </x:c>
      <x:c r="L103" s="6"/>
      <x:c r="M103" s="10">
        <x:f t="shared" si="26"/>
        <x:v>19467952.531842783</x:v>
      </x:c>
      <x:c r="N103" s="10">
        <x:f t="shared" si="27"/>
        <x:v>0</x:v>
      </x:c>
    </x:row>
    <x:row r="104" spans="1:15" s="7" customFormat="1" outlineLevel="2" x14ac:dyDescent="0.25">
      <x:c r="A104" s="4">
        <x:v>364</x:v>
      </x:c>
      <x:c r="B104" s="5" t="s">
        <x:v>28</x:v>
      </x:c>
      <x:c r="C104" s="6">
        <x:v>119502168.56</x:v>
      </x:c>
      <x:c r="D104" s="6">
        <x:v>119502168.56</x:v>
      </x:c>
      <x:c r="E104" s="6"/>
      <x:c r="F104" s="7">
        <x:v>55</x:v>
      </x:c>
      <x:c r="G104" s="6">
        <x:v>50.991565000000001</x:v>
      </x:c>
      <x:c r="H104" s="8">
        <x:v>-1.1000000000000001</x:v>
      </x:c>
      <x:c r="I104" s="6">
        <x:f t="shared" si="24"/>
        <x:v>18289727.592123393</x:v>
      </x:c>
      <x:c r="J104" s="23">
        <x:v>1.0732147188179053</x:v>
      </x:c>
      <x:c r="K104" s="9">
        <x:f t="shared" si="25"/>
        <x:v>19628804.855036791</x:v>
      </x:c>
      <x:c r="L104" s="6"/>
      <x:c r="M104" s="10">
        <x:f t="shared" si="26"/>
        <x:v>19628804.855036791</x:v>
      </x:c>
      <x:c r="N104" s="10">
        <x:f t="shared" si="27"/>
        <x:v>0</x:v>
      </x:c>
    </x:row>
    <x:row r="105" spans="1:15" s="7" customFormat="1" outlineLevel="2" x14ac:dyDescent="0.25">
      <x:c r="A105" s="4">
        <x:v>364</x:v>
      </x:c>
      <x:c r="B105" s="5" t="s">
        <x:v>29</x:v>
      </x:c>
      <x:c r="C105" s="6">
        <x:v>119044814.55</x:v>
      </x:c>
      <x:c r="D105" s="6">
        <x:v>119044814.55</x:v>
      </x:c>
      <x:c r="E105" s="6"/>
      <x:c r="F105" s="7">
        <x:v>55</x:v>
      </x:c>
      <x:c r="G105" s="6">
        <x:v>50.380659999999999</x:v>
      </x:c>
      <x:c r="H105" s="8">
        <x:v>-1.1000000000000001</x:v>
      </x:c>
      <x:c r="I105" s="6">
        <x:f t="shared" si="24"/>
        <x:v>20996505.357293356</x:v>
      </x:c>
      <x:c r="J105" s="23">
        <x:v>1.0732147188179053</x:v>
      </x:c>
      <x:c r="K105" s="9">
        <x:f t="shared" si="25"/>
        <x:v>22533758.593186233</x:v>
      </x:c>
      <x:c r="L105" s="6"/>
      <x:c r="M105" s="10">
        <x:f t="shared" si="26"/>
        <x:v>22533758.593186233</x:v>
      </x:c>
      <x:c r="N105" s="10">
        <x:f t="shared" si="27"/>
        <x:v>0</x:v>
      </x:c>
    </x:row>
    <x:row r="106" spans="1:15" s="7" customFormat="1" outlineLevel="2" x14ac:dyDescent="0.25">
      <x:c r="A106" s="4">
        <x:v>364</x:v>
      </x:c>
      <x:c r="B106" s="5" t="s">
        <x:v>30</x:v>
      </x:c>
      <x:c r="C106" s="6">
        <x:v>110072791.89</x:v>
      </x:c>
      <x:c r="D106" s="6">
        <x:v>110072791.89</x:v>
      </x:c>
      <x:c r="E106" s="6"/>
      <x:c r="F106" s="7">
        <x:v>55</x:v>
      </x:c>
      <x:c r="G106" s="6">
        <x:v>49.771172999999997</x:v>
      </x:c>
      <x:c r="H106" s="8">
        <x:v>-1.1000000000000001</x:v>
      </x:c>
      <x:c r="I106" s="6">
        <x:f t="shared" si="24"/>
        <x:v>21975606.018538315</x:v>
      </x:c>
      <x:c r="J106" s="23">
        <x:v>1.0732147188179053</x:v>
      </x:c>
      <x:c r="K106" s="9">
        <x:f t="shared" si="25"/>
        <x:v>23584543.834038664</x:v>
      </x:c>
      <x:c r="L106" s="6"/>
      <x:c r="M106" s="10">
        <x:f t="shared" si="26"/>
        <x:v>23584543.834038664</x:v>
      </x:c>
      <x:c r="N106" s="10">
        <x:f t="shared" si="27"/>
        <x:v>0</x:v>
      </x:c>
    </x:row>
    <x:row r="107" spans="1:15" s="7" customFormat="1" outlineLevel="2" x14ac:dyDescent="0.25">
      <x:c r="A107" s="4">
        <x:v>364</x:v>
      </x:c>
      <x:c r="B107" s="5" t="s">
        <x:v>31</x:v>
      </x:c>
      <x:c r="C107" s="6">
        <x:v>103304535.63</x:v>
      </x:c>
      <x:c r="D107" s="6">
        <x:v>103304535.63</x:v>
      </x:c>
      <x:c r="E107" s="6"/>
      <x:c r="F107" s="7">
        <x:v>55</x:v>
      </x:c>
      <x:c r="G107" s="6">
        <x:v>49.163072999999997</x:v>
      </x:c>
      <x:c r="H107" s="8">
        <x:v>-1.1000000000000001</x:v>
      </x:c>
      <x:c r="I107" s="6">
        <x:f t="shared" si="20"/>
        <x:v>23022912.178300709</x:v>
      </x:c>
      <x:c r="J107" s="23">
        <x:v>1.0732147188179053</x:v>
      </x:c>
      <x:c r="K107" s="9">
        <x:f t="shared" si="21"/>
        <x:v>24708528.219804324</x:v>
      </x:c>
      <x:c r="L107" s="6"/>
      <x:c r="M107" s="10">
        <x:f t="shared" si="22"/>
        <x:v>24708528.219804324</x:v>
      </x:c>
      <x:c r="N107" s="10">
        <x:f t="shared" si="23"/>
        <x:v>0</x:v>
      </x:c>
    </x:row>
    <x:row r="108" spans="1:15" s="7" customFormat="1" outlineLevel="2" x14ac:dyDescent="0.25">
      <x:c r="A108" s="4">
        <x:v>364</x:v>
      </x:c>
      <x:c r="B108" s="5" t="s">
        <x:v>32</x:v>
      </x:c>
      <x:c r="C108" s="6">
        <x:v>76176427.150000006</x:v>
      </x:c>
      <x:c r="D108" s="6">
        <x:v>76176427.150000006</x:v>
      </x:c>
      <x:c r="E108" s="6"/>
      <x:c r="F108" s="7">
        <x:v>55</x:v>
      </x:c>
      <x:c r="G108" s="6">
        <x:v>48.556328999999998</x:v>
      </x:c>
      <x:c r="H108" s="8">
        <x:v>-1.1000000000000001</x:v>
      </x:c>
      <x:c r="I108" s="6">
        <x:f t="shared" si="20"/>
        <x:v>18741768.226748042</x:v>
      </x:c>
      <x:c r="J108" s="23">
        <x:v>1.0732147188179053</x:v>
      </x:c>
      <x:c r="K108" s="9">
        <x:f t="shared" si="21"/>
        <x:v>20113941.517619751</x:v>
      </x:c>
      <x:c r="L108" s="6"/>
      <x:c r="M108" s="10">
        <x:f t="shared" si="22"/>
        <x:v>20113941.517619751</x:v>
      </x:c>
      <x:c r="N108" s="10">
        <x:f t="shared" si="23"/>
        <x:v>0</x:v>
      </x:c>
    </x:row>
    <x:row r="109" spans="1:15" s="7" customFormat="1" outlineLevel="2" x14ac:dyDescent="0.25">
      <x:c r="A109" s="4">
        <x:v>364</x:v>
      </x:c>
      <x:c r="B109" s="5" t="s">
        <x:v>33</x:v>
      </x:c>
      <x:c r="C109" s="6">
        <x:v>73784090.650000006</x:v>
      </x:c>
      <x:c r="D109" s="6">
        <x:v>73784090.650000006</x:v>
      </x:c>
      <x:c r="E109" s="6"/>
      <x:c r="F109" s="7">
        <x:v>55</x:v>
      </x:c>
      <x:c r="G109" s="6">
        <x:v>47.950983000000001</x:v>
      </x:c>
      <x:c r="H109" s="8">
        <x:v>-1.1000000000000001</x:v>
      </x:c>
      <x:c r="I109" s="6">
        <x:f t="shared" si="20"/>
        <x:v>19858566.35590766</x:v>
      </x:c>
      <x:c r="J109" s="23">
        <x:v>1.0732147188179053</x:v>
      </x:c>
      <x:c r="K109" s="9">
        <x:f t="shared" si="21"/>
        <x:v>21312505.707782153</x:v>
      </x:c>
      <x:c r="L109" s="6"/>
      <x:c r="M109" s="10">
        <x:f t="shared" si="22"/>
        <x:v>21312505.707782153</x:v>
      </x:c>
      <x:c r="N109" s="10">
        <x:f t="shared" si="23"/>
        <x:v>0</x:v>
      </x:c>
    </x:row>
    <x:row r="110" spans="1:15" s="7" customFormat="1" outlineLevel="2" x14ac:dyDescent="0.25">
      <x:c r="A110" s="4">
        <x:v>364</x:v>
      </x:c>
      <x:c r="B110" s="5" t="s">
        <x:v>118</x:v>
      </x:c>
      <x:c r="C110" s="6">
        <x:v>88250745.510000005</x:v>
      </x:c>
      <x:c r="D110" s="6">
        <x:v>88250745.510000005</x:v>
      </x:c>
      <x:c r="E110" s="6"/>
      <x:c r="F110" s="7">
        <x:v>55</x:v>
      </x:c>
      <x:c r="G110" s="6">
        <x:v>47.346997999999999</x:v>
      </x:c>
      <x:c r="H110" s="8">
        <x:v>-1.1000000000000001</x:v>
      </x:c>
      <x:c r="I110" s="6">
        <x:f t="shared" si="20"/>
        <x:v>25787355.944872621</x:v>
      </x:c>
      <x:c r="J110" s="23">
        <x:v>1.0732147188179053</x:v>
      </x:c>
      <x:c r="K110" s="9">
        <x:f t="shared" si="21"/>
        <x:v>27675369.959433708</x:v>
      </x:c>
      <x:c r="L110" s="6"/>
      <x:c r="M110" s="10">
        <x:f t="shared" si="22"/>
        <x:v>27675369.959433708</x:v>
      </x:c>
      <x:c r="N110" s="10">
        <x:f t="shared" si="23"/>
        <x:v>0</x:v>
      </x:c>
    </x:row>
    <x:row r="111" spans="1:15" s="7" customFormat="1" outlineLevel="2" x14ac:dyDescent="0.25">
      <x:c r="A111" s="4">
        <x:v>364</x:v>
      </x:c>
      <x:c r="B111" s="5" t="s">
        <x:v>119</x:v>
      </x:c>
      <x:c r="C111" s="6">
        <x:v>66146505.899999999</x:v>
      </x:c>
      <x:c r="D111" s="6">
        <x:v>66146505.899999999</x:v>
      </x:c>
      <x:c r="E111" s="6"/>
      <x:c r="F111" s="7">
        <x:v>55</x:v>
      </x:c>
      <x:c r="G111" s="6">
        <x:v>46.744244999999999</x:v>
      </x:c>
      <x:c r="H111" s="8">
        <x:v>-1.1000000000000001</x:v>
      </x:c>
      <x:c r="I111" s="6">
        <x:f t="shared" si="20"/>
        <x:v>20850684.151173718</x:v>
      </x:c>
      <x:c r="J111" s="23">
        <x:v>1.0732147188179053</x:v>
      </x:c>
      <x:c r="K111" s="9">
        <x:f t="shared" si="21"/>
        <x:v>22377261.128462858</x:v>
      </x:c>
      <x:c r="L111" s="6"/>
      <x:c r="M111" s="10">
        <x:f t="shared" si="22"/>
        <x:v>22377261.128462858</x:v>
      </x:c>
      <x:c r="N111" s="10">
        <x:f t="shared" si="23"/>
        <x:v>0</x:v>
      </x:c>
    </x:row>
    <x:row r="112" spans="1:15" s="7" customFormat="1" outlineLevel="2" x14ac:dyDescent="0.25">
      <x:c r="A112" s="4">
        <x:v>364</x:v>
      </x:c>
      <x:c r="B112" s="5" t="s">
        <x:v>34</x:v>
      </x:c>
      <x:c r="C112" s="6">
        <x:v>61241847.969999999</x:v>
      </x:c>
      <x:c r="D112" s="6">
        <x:v>61241847.969999999</x:v>
      </x:c>
      <x:c r="E112" s="6"/>
      <x:c r="F112" s="7">
        <x:v>55</x:v>
      </x:c>
      <x:c r="G112" s="6">
        <x:v>46.142684000000003</x:v>
      </x:c>
      <x:c r="H112" s="8">
        <x:v>-1.1000000000000001</x:v>
      </x:c>
      <x:c r="I112" s="6">
        <x:f t="shared" si="20"/>
        <x:v>20711284.359598566</x:v>
      </x:c>
      <x:c r="J112" s="23">
        <x:v>1.0732147188179053</x:v>
      </x:c>
      <x:c r="K112" s="9">
        <x:f t="shared" si="21"/>
        <x:v>22227655.220344257</x:v>
      </x:c>
      <x:c r="L112" s="6"/>
      <x:c r="M112" s="10">
        <x:f t="shared" si="22"/>
        <x:v>22227655.220344257</x:v>
      </x:c>
      <x:c r="N112" s="10">
        <x:f t="shared" si="23"/>
        <x:v>0</x:v>
      </x:c>
    </x:row>
    <x:row r="113" spans="1:14" s="7" customFormat="1" outlineLevel="2" x14ac:dyDescent="0.25">
      <x:c r="A113" s="4">
        <x:v>364</x:v>
      </x:c>
      <x:c r="B113" s="5" t="s">
        <x:v>35</x:v>
      </x:c>
      <x:c r="C113" s="6">
        <x:v>65608778.079999998</x:v>
      </x:c>
      <x:c r="D113" s="6">
        <x:v>65608778.079999998</x:v>
      </x:c>
      <x:c r="E113" s="6"/>
      <x:c r="F113" s="7">
        <x:v>55</x:v>
      </x:c>
      <x:c r="G113" s="6">
        <x:v>45.542265999999998</x:v>
      </x:c>
      <x:c r="H113" s="8">
        <x:v>-1.1000000000000001</x:v>
      </x:c>
      <x:c r="I113" s="6">
        <x:f t="shared" si="20"/>
        <x:v>23692214.171016529</x:v>
      </x:c>
      <x:c r="J113" s="23">
        <x:v>1.0732147188179053</x:v>
      </x:c>
      <x:c r="K113" s="9">
        <x:f t="shared" si="21"/>
        <x:v>25426832.969721097</x:v>
      </x:c>
      <x:c r="L113" s="6"/>
      <x:c r="M113" s="10">
        <x:f t="shared" si="22"/>
        <x:v>25426832.969721097</x:v>
      </x:c>
      <x:c r="N113" s="10">
        <x:f t="shared" si="23"/>
        <x:v>0</x:v>
      </x:c>
    </x:row>
    <x:row r="114" spans="1:14" s="7" customFormat="1" outlineLevel="2" x14ac:dyDescent="0.25">
      <x:c r="A114" s="4">
        <x:v>364</x:v>
      </x:c>
      <x:c r="B114" s="5" t="s">
        <x:v>36</x:v>
      </x:c>
      <x:c r="C114" s="6">
        <x:v>70325513.040000007</x:v>
      </x:c>
      <x:c r="D114" s="6">
        <x:v>70325513.040000007</x:v>
      </x:c>
      <x:c r="E114" s="6"/>
      <x:c r="F114" s="7">
        <x:v>55</x:v>
      </x:c>
      <x:c r="G114" s="6">
        <x:v>44.942957</x:v>
      </x:c>
      <x:c r="H114" s="8">
        <x:v>-1.1000000000000001</x:v>
      </x:c>
      <x:c r="I114" s="6">
        <x:f t="shared" si="20"/>
        <x:v>27004728.875358466</x:v>
      </x:c>
      <x:c r="J114" s="23">
        <x:v>1.0732147188179053</x:v>
      </x:c>
      <x:c r="K114" s="9">
        <x:f t="shared" si="21"/>
        <x:v>28981872.506721605</x:v>
      </x:c>
      <x:c r="L114" s="6"/>
      <x:c r="M114" s="10">
        <x:f t="shared" si="22"/>
        <x:v>28981872.506721605</x:v>
      </x:c>
      <x:c r="N114" s="10">
        <x:f t="shared" si="23"/>
        <x:v>0</x:v>
      </x:c>
    </x:row>
    <x:row r="115" spans="1:14" s="7" customFormat="1" outlineLevel="2" x14ac:dyDescent="0.25">
      <x:c r="A115" s="4">
        <x:v>364</x:v>
      </x:c>
      <x:c r="B115" s="5" t="s">
        <x:v>120</x:v>
      </x:c>
      <x:c r="C115" s="6">
        <x:v>69281079.560000002</x:v>
      </x:c>
      <x:c r="D115" s="6">
        <x:v>69281079.560000002</x:v>
      </x:c>
      <x:c r="E115" s="6"/>
      <x:c r="F115" s="7">
        <x:v>55</x:v>
      </x:c>
      <x:c r="G115" s="6">
        <x:v>44.344901999999998</x:v>
      </x:c>
      <x:c r="H115" s="8">
        <x:v>-1.1000000000000001</x:v>
      </x:c>
      <x:c r="I115" s="6">
        <x:f t="shared" si="20"/>
        <x:v>28185691.886199169</x:v>
      </x:c>
      <x:c r="J115" s="23">
        <x:v>1.0732147188179053</x:v>
      </x:c>
      <x:c r="K115" s="9">
        <x:f t="shared" si="21"/>
        <x:v>30249299.392335355</x:v>
      </x:c>
      <x:c r="L115" s="6"/>
      <x:c r="M115" s="10">
        <x:f t="shared" si="22"/>
        <x:v>30249299.392335355</x:v>
      </x:c>
      <x:c r="N115" s="10">
        <x:f t="shared" si="23"/>
        <x:v>0</x:v>
      </x:c>
    </x:row>
    <x:row r="116" spans="1:14" s="7" customFormat="1" outlineLevel="2" x14ac:dyDescent="0.25">
      <x:c r="A116" s="4">
        <x:v>364</x:v>
      </x:c>
      <x:c r="B116" s="5" t="s">
        <x:v>37</x:v>
      </x:c>
      <x:c r="C116" s="6">
        <x:v>68013769.030000001</x:v>
      </x:c>
      <x:c r="D116" s="6">
        <x:v>68013769.030000001</x:v>
      </x:c>
      <x:c r="E116" s="6"/>
      <x:c r="F116" s="7">
        <x:v>55</x:v>
      </x:c>
      <x:c r="G116" s="6">
        <x:v>43.747985999999997</x:v>
      </x:c>
      <x:c r="H116" s="8">
        <x:v>-1.1000000000000001</x:v>
      </x:c>
      <x:c r="I116" s="6">
        <x:f t="shared" si="20"/>
        <x:v>29220235.468517929</x:v>
      </x:c>
      <x:c r="J116" s="23">
        <x:v>1.0732147188179053</x:v>
      </x:c>
      <x:c r="K116" s="9">
        <x:f t="shared" si="21"/>
        <x:v>31359586.792138454</x:v>
      </x:c>
      <x:c r="L116" s="6"/>
      <x:c r="M116" s="10">
        <x:f t="shared" si="22"/>
        <x:v>31359586.792138454</x:v>
      </x:c>
      <x:c r="N116" s="10">
        <x:f t="shared" si="23"/>
        <x:v>0</x:v>
      </x:c>
    </x:row>
    <x:row r="117" spans="1:14" s="7" customFormat="1" outlineLevel="2" x14ac:dyDescent="0.25">
      <x:c r="A117" s="4">
        <x:v>364</x:v>
      </x:c>
      <x:c r="B117" s="5" t="s">
        <x:v>121</x:v>
      </x:c>
      <x:c r="C117" s="6">
        <x:v>79272996.700000003</x:v>
      </x:c>
      <x:c r="D117" s="6">
        <x:v>79272996.700000003</x:v>
      </x:c>
      <x:c r="E117" s="6"/>
      <x:c r="F117" s="7">
        <x:v>55</x:v>
      </x:c>
      <x:c r="G117" s="6">
        <x:v>43.152270000000001</x:v>
      </x:c>
      <x:c r="H117" s="8">
        <x:v>-1.1000000000000001</x:v>
      </x:c>
      <x:c r="I117" s="6">
        <x:f t="shared" si="20"/>
        <x:v>35860556.881895117</x:v>
      </x:c>
      <x:c r="J117" s="23">
        <x:v>1.0732147188179053</x:v>
      </x:c>
      <x:c r="K117" s="9">
        <x:f t="shared" si="21"/>
        <x:v>38486077.470656566</x:v>
      </x:c>
      <x:c r="L117" s="6"/>
      <x:c r="M117" s="10">
        <x:f t="shared" si="22"/>
        <x:v>38486077.470656566</x:v>
      </x:c>
      <x:c r="N117" s="10">
        <x:f t="shared" si="23"/>
        <x:v>0</x:v>
      </x:c>
    </x:row>
    <x:row r="118" spans="1:14" s="7" customFormat="1" outlineLevel="2" x14ac:dyDescent="0.25">
      <x:c r="A118" s="4">
        <x:v>364</x:v>
      </x:c>
      <x:c r="B118" s="5" t="s">
        <x:v>122</x:v>
      </x:c>
      <x:c r="C118" s="6">
        <x:v>94618536.049999997</x:v>
      </x:c>
      <x:c r="D118" s="6">
        <x:v>94618536.049999997</x:v>
      </x:c>
      <x:c r="E118" s="6"/>
      <x:c r="F118" s="7">
        <x:v>55</x:v>
      </x:c>
      <x:c r="G118" s="6">
        <x:v>42.557837999999997</x:v>
      </x:c>
      <x:c r="H118" s="8">
        <x:v>-1.1000000000000001</x:v>
      </x:c>
      <x:c r="I118" s="6">
        <x:f t="shared" si="20"/>
        <x:v>44949894.960865006</x:v>
      </x:c>
      <x:c r="J118" s="23">
        <x:v>1.0732147188179053</x:v>
      </x:c>
      <x:c r="K118" s="9">
        <x:f t="shared" si="21"/>
        <x:v>48240888.881319113</x:v>
      </x:c>
      <x:c r="L118" s="6"/>
      <x:c r="M118" s="10">
        <x:f t="shared" si="22"/>
        <x:v>48240888.881319113</x:v>
      </x:c>
      <x:c r="N118" s="10">
        <x:f t="shared" si="23"/>
        <x:v>0</x:v>
      </x:c>
    </x:row>
    <x:row r="119" spans="1:14" s="7" customFormat="1" outlineLevel="2" x14ac:dyDescent="0.25">
      <x:c r="A119" s="4">
        <x:v>364</x:v>
      </x:c>
      <x:c r="B119" s="5" t="s">
        <x:v>123</x:v>
      </x:c>
      <x:c r="C119" s="6">
        <x:v>35679720.390000001</x:v>
      </x:c>
      <x:c r="D119" s="6">
        <x:v>35679720.390000001</x:v>
      </x:c>
      <x:c r="E119" s="6"/>
      <x:c r="F119" s="7">
        <x:v>55</x:v>
      </x:c>
      <x:c r="G119" s="6">
        <x:v>41.964779</x:v>
      </x:c>
      <x:c r="H119" s="8">
        <x:v>-1.1000000000000001</x:v>
      </x:c>
      <x:c r="I119" s="6">
        <x:f t="shared" si="20"/>
        <x:v>17758097.910070874</x:v>
      </x:c>
      <x:c r="J119" s="23">
        <x:v>1.0732147188179053</x:v>
      </x:c>
      <x:c r="K119" s="9">
        <x:f t="shared" si="21"/>
        <x:v>19058252.055297546</x:v>
      </x:c>
      <x:c r="L119" s="6"/>
      <x:c r="M119" s="10">
        <x:f t="shared" si="22"/>
        <x:v>19058252.055297546</x:v>
      </x:c>
      <x:c r="N119" s="10">
        <x:f t="shared" si="23"/>
        <x:v>0</x:v>
      </x:c>
    </x:row>
    <x:row r="120" spans="1:14" s="7" customFormat="1" outlineLevel="2" x14ac:dyDescent="0.25">
      <x:c r="A120" s="4">
        <x:v>364</x:v>
      </x:c>
      <x:c r="B120" s="5" t="s">
        <x:v>124</x:v>
      </x:c>
      <x:c r="C120" s="6">
        <x:v>36324879.590000004</x:v>
      </x:c>
      <x:c r="D120" s="6">
        <x:v>36324879.590000004</x:v>
      </x:c>
      <x:c r="E120" s="6"/>
      <x:c r="F120" s="7">
        <x:v>55</x:v>
      </x:c>
      <x:c r="G120" s="6">
        <x:v>41.373308999999999</x:v>
      </x:c>
      <x:c r="H120" s="8">
        <x:v>-1.1000000000000001</x:v>
      </x:c>
      <x:c r="I120" s="6">
        <x:f t="shared" si="20"/>
        <x:v>18899538.373614315</x:v>
      </x:c>
      <x:c r="J120" s="23">
        <x:v>1.0732147188179053</x:v>
      </x:c>
      <x:c r="K120" s="9">
        <x:f t="shared" si="21"/>
        <x:v>20283262.761426698</x:v>
      </x:c>
      <x:c r="L120" s="6"/>
      <x:c r="M120" s="10">
        <x:f t="shared" si="22"/>
        <x:v>20283262.761426698</x:v>
      </x:c>
      <x:c r="N120" s="10">
        <x:f t="shared" si="23"/>
        <x:v>0</x:v>
      </x:c>
    </x:row>
    <x:row r="121" spans="1:14" s="7" customFormat="1" outlineLevel="2" x14ac:dyDescent="0.25">
      <x:c r="A121" s="4">
        <x:v>364</x:v>
      </x:c>
      <x:c r="B121" s="5" t="s">
        <x:v>125</x:v>
      </x:c>
      <x:c r="C121" s="6">
        <x:v>34879509.380000003</x:v>
      </x:c>
      <x:c r="D121" s="6">
        <x:v>34879509.380000003</x:v>
      </x:c>
      <x:c r="E121" s="6"/>
      <x:c r="F121" s="7">
        <x:v>55</x:v>
      </x:c>
      <x:c r="G121" s="6">
        <x:v>40.783551000000003</x:v>
      </x:c>
      <x:c r="H121" s="8">
        <x:v>-1.1000000000000001</x:v>
      </x:c>
      <x:c r="I121" s="6">
        <x:f t="shared" si="20"/>
        <x:v>18932941.983930226</x:v>
      </x:c>
      <x:c r="J121" s="23">
        <x:v>1.0732147188179053</x:v>
      </x:c>
      <x:c r="K121" s="9">
        <x:f t="shared" si="21"/>
        <x:v>20319112.007679392</x:v>
      </x:c>
      <x:c r="L121" s="6"/>
      <x:c r="M121" s="10">
        <x:f t="shared" si="22"/>
        <x:v>20319112.007679392</x:v>
      </x:c>
      <x:c r="N121" s="10">
        <x:f t="shared" si="23"/>
        <x:v>0</x:v>
      </x:c>
    </x:row>
    <x:row r="122" spans="1:14" s="7" customFormat="1" outlineLevel="2" x14ac:dyDescent="0.25">
      <x:c r="A122" s="4">
        <x:v>364</x:v>
      </x:c>
      <x:c r="B122" s="5" t="s">
        <x:v>126</x:v>
      </x:c>
      <x:c r="C122" s="6">
        <x:v>34310992.640000001</x:v>
      </x:c>
      <x:c r="D122" s="6">
        <x:v>34310992.640000001</x:v>
      </x:c>
      <x:c r="E122" s="6"/>
      <x:c r="F122" s="7">
        <x:v>55</x:v>
      </x:c>
      <x:c r="G122" s="6">
        <x:v>40.195552999999997</x:v>
      </x:c>
      <x:c r="H122" s="8">
        <x:v>-1.1000000000000001</x:v>
      </x:c>
      <x:c r="I122" s="6">
        <x:f t="shared" si="20"/>
        <x:v>19394655.842148501</x:v>
      </x:c>
      <x:c r="J122" s="23">
        <x:v>1.0732147188179053</x:v>
      </x:c>
      <x:c r="K122" s="9">
        <x:f t="shared" si="21"/>
        <x:v>20814630.116201449</x:v>
      </x:c>
      <x:c r="L122" s="6"/>
      <x:c r="M122" s="10">
        <x:f t="shared" si="22"/>
        <x:v>20814630.116201449</x:v>
      </x:c>
      <x:c r="N122" s="10">
        <x:f t="shared" si="23"/>
        <x:v>0</x:v>
      </x:c>
    </x:row>
    <x:row r="123" spans="1:14" s="7" customFormat="1" outlineLevel="2" x14ac:dyDescent="0.25">
      <x:c r="A123" s="4">
        <x:v>364</x:v>
      </x:c>
      <x:c r="B123" s="5" t="s">
        <x:v>38</x:v>
      </x:c>
      <x:c r="C123" s="6">
        <x:v>37363666.189999998</x:v>
      </x:c>
      <x:c r="D123" s="6">
        <x:v>37363666.189999998</x:v>
      </x:c>
      <x:c r="E123" s="6"/>
      <x:c r="F123" s="7">
        <x:v>55</x:v>
      </x:c>
      <x:c r="G123" s="6">
        <x:v>39.609436000000002</x:v>
      </x:c>
      <x:c r="H123" s="8">
        <x:v>-1.1000000000000001</x:v>
      </x:c>
      <x:c r="I123" s="6">
        <x:f t="shared" si="20"/>
        <x:v>21956374.202197183</x:v>
      </x:c>
      <x:c r="J123" s="23">
        <x:v>1.0732147188179053</x:v>
      </x:c>
      <x:c r="K123" s="9">
        <x:f t="shared" si="21"/>
        <x:v>23563903.965671759</x:v>
      </x:c>
      <x:c r="L123" s="6"/>
      <x:c r="M123" s="10">
        <x:f t="shared" si="22"/>
        <x:v>23563903.965671759</x:v>
      </x:c>
      <x:c r="N123" s="10">
        <x:f t="shared" si="23"/>
        <x:v>0</x:v>
      </x:c>
    </x:row>
    <x:row r="124" spans="1:14" s="7" customFormat="1" outlineLevel="2" x14ac:dyDescent="0.25">
      <x:c r="A124" s="4">
        <x:v>364</x:v>
      </x:c>
      <x:c r="B124" s="5" t="s">
        <x:v>127</x:v>
      </x:c>
      <x:c r="C124" s="6">
        <x:v>31062208.75</x:v>
      </x:c>
      <x:c r="D124" s="6">
        <x:v>31062208.75</x:v>
      </x:c>
      <x:c r="E124" s="6"/>
      <x:c r="F124" s="7">
        <x:v>55</x:v>
      </x:c>
      <x:c r="G124" s="6">
        <x:v>39.025342999999999</x:v>
      </x:c>
      <x:c r="H124" s="8">
        <x:v>-1.1000000000000001</x:v>
      </x:c>
      <x:c r="I124" s="6">
        <x:f t="shared" si="20"/>
        <x:v>18946128.616939317</x:v>
      </x:c>
      <x:c r="J124" s="23">
        <x:v>1.0732147188179053</x:v>
      </x:c>
      <x:c r="K124" s="9">
        <x:f t="shared" si="21"/>
        <x:v>20333264.096316397</x:v>
      </x:c>
      <x:c r="L124" s="6"/>
      <x:c r="M124" s="10">
        <x:f t="shared" si="22"/>
        <x:v>20333264.096316397</x:v>
      </x:c>
      <x:c r="N124" s="10">
        <x:f t="shared" si="23"/>
        <x:v>0</x:v>
      </x:c>
    </x:row>
    <x:row r="125" spans="1:14" s="7" customFormat="1" outlineLevel="2" x14ac:dyDescent="0.25">
      <x:c r="A125" s="4">
        <x:v>364</x:v>
      </x:c>
      <x:c r="B125" s="5" t="s">
        <x:v>39</x:v>
      </x:c>
      <x:c r="C125" s="6">
        <x:v>27575884.370000001</x:v>
      </x:c>
      <x:c r="D125" s="6">
        <x:v>27575884.370000001</x:v>
      </x:c>
      <x:c r="E125" s="6"/>
      <x:c r="F125" s="7">
        <x:v>55</x:v>
      </x:c>
      <x:c r="G125" s="6">
        <x:v>38.443409000000003</x:v>
      </x:c>
      <x:c r="H125" s="8">
        <x:v>-1.1000000000000001</x:v>
      </x:c>
      <x:c r="I125" s="6">
        <x:f t="shared" si="20"/>
        <x:v>17432391.670045517</x:v>
      </x:c>
      <x:c r="J125" s="23">
        <x:v>1.0732147188179053</x:v>
      </x:c>
      <x:c r="K125" s="9">
        <x:f t="shared" si="21"/>
        <x:v>18708699.324491493</x:v>
      </x:c>
      <x:c r="L125" s="6"/>
      <x:c r="M125" s="10">
        <x:f t="shared" si="22"/>
        <x:v>18708699.324491493</x:v>
      </x:c>
      <x:c r="N125" s="10">
        <x:f t="shared" si="23"/>
        <x:v>0</x:v>
      </x:c>
    </x:row>
    <x:row r="126" spans="1:14" s="7" customFormat="1" outlineLevel="2" x14ac:dyDescent="0.25">
      <x:c r="A126" s="4">
        <x:v>364</x:v>
      </x:c>
      <x:c r="B126" s="5" t="s">
        <x:v>40</x:v>
      </x:c>
      <x:c r="C126" s="6">
        <x:v>22763550.02</x:v>
      </x:c>
      <x:c r="D126" s="6">
        <x:v>22763550.02</x:v>
      </x:c>
      <x:c r="E126" s="6"/>
      <x:c r="F126" s="7">
        <x:v>55</x:v>
      </x:c>
      <x:c r="G126" s="6">
        <x:v>37.864001999999999</x:v>
      </x:c>
      <x:c r="H126" s="8">
        <x:v>-1.1000000000000001</x:v>
      </x:c>
      <x:c r="I126" s="6">
        <x:f t="shared" si="20"/>
        <x:v>14893816.545323675</x:v>
      </x:c>
      <x:c r="J126" s="23">
        <x:v>1.0732147188179053</x:v>
      </x:c>
      <x:c r="K126" s="9">
        <x:f t="shared" si="21"/>
        <x:v>15984263.135815015</x:v>
      </x:c>
      <x:c r="L126" s="6"/>
      <x:c r="M126" s="10">
        <x:f t="shared" si="22"/>
        <x:v>15984263.135815015</x:v>
      </x:c>
      <x:c r="N126" s="10">
        <x:f t="shared" si="23"/>
        <x:v>0</x:v>
      </x:c>
    </x:row>
    <x:row r="127" spans="1:14" s="7" customFormat="1" outlineLevel="2" x14ac:dyDescent="0.25">
      <x:c r="A127" s="4">
        <x:v>364</x:v>
      </x:c>
      <x:c r="B127" s="5" t="s">
        <x:v>41</x:v>
      </x:c>
      <x:c r="C127" s="6">
        <x:v>21659604.870000001</x:v>
      </x:c>
      <x:c r="D127" s="6">
        <x:v>21659604.870000001</x:v>
      </x:c>
      <x:c r="E127" s="6"/>
      <x:c r="F127" s="7">
        <x:v>55</x:v>
      </x:c>
      <x:c r="G127" s="6">
        <x:v>37.287053999999998</x:v>
      </x:c>
      <x:c r="H127" s="8">
        <x:v>-1.1000000000000001</x:v>
      </x:c>
      <x:c r="I127" s="6">
        <x:f t="shared" si="20"/>
        <x:v>14648661.164211983</x:v>
      </x:c>
      <x:c r="J127" s="23">
        <x:v>1.0732147188179053</x:v>
      </x:c>
      <x:c r="K127" s="9">
        <x:f t="shared" si="21"/>
        <x:v>15721158.772408532</x:v>
      </x:c>
      <x:c r="L127" s="6"/>
      <x:c r="M127" s="10">
        <x:f t="shared" si="22"/>
        <x:v>15721158.77240853</x:v>
      </x:c>
      <x:c r="N127" s="10">
        <x:f t="shared" si="23"/>
        <x:v>0</x:v>
      </x:c>
    </x:row>
    <x:row r="128" spans="1:14" s="7" customFormat="1" outlineLevel="2" x14ac:dyDescent="0.25">
      <x:c r="A128" s="4">
        <x:v>364</x:v>
      </x:c>
      <x:c r="B128" s="5" t="s">
        <x:v>42</x:v>
      </x:c>
      <x:c r="C128" s="6">
        <x:v>37057326.530000001</x:v>
      </x:c>
      <x:c r="D128" s="6">
        <x:v>37057326.530000001</x:v>
      </x:c>
      <x:c r="E128" s="6"/>
      <x:c r="F128" s="7">
        <x:v>55</x:v>
      </x:c>
      <x:c r="G128" s="6">
        <x:v>36.712688</x:v>
      </x:c>
      <x:c r="H128" s="8">
        <x:v>-1.1000000000000001</x:v>
      </x:c>
      <x:c r="I128" s="6">
        <x:f t="shared" si="20"/>
        <x:v>25875012.245344974</x:v>
      </x:c>
      <x:c r="J128" s="23">
        <x:v>1.0732147188179053</x:v>
      </x:c>
      <x:c r="K128" s="9">
        <x:f t="shared" si="21"/>
        <x:v>27769443.991297763</x:v>
      </x:c>
      <x:c r="L128" s="6"/>
      <x:c r="M128" s="10">
        <x:f t="shared" si="22"/>
        <x:v>27769443.991297763</x:v>
      </x:c>
      <x:c r="N128" s="10">
        <x:f t="shared" si="23"/>
        <x:v>0</x:v>
      </x:c>
    </x:row>
    <x:row r="129" spans="1:14" s="7" customFormat="1" outlineLevel="2" x14ac:dyDescent="0.25">
      <x:c r="A129" s="4">
        <x:v>364</x:v>
      </x:c>
      <x:c r="B129" s="5" t="s">
        <x:v>43</x:v>
      </x:c>
      <x:c r="C129" s="6">
        <x:v>15889218.15</x:v>
      </x:c>
      <x:c r="D129" s="6">
        <x:v>15889218.15</x:v>
      </x:c>
      <x:c r="E129" s="6"/>
      <x:c r="F129" s="7">
        <x:v>55</x:v>
      </x:c>
      <x:c r="G129" s="6">
        <x:v>36.141044000000001</x:v>
      </x:c>
      <x:c r="H129" s="8">
        <x:v>-1.1000000000000001</x:v>
      </x:c>
      <x:c r="I129" s="6">
        <x:f t="shared" si="20"/>
        <x:v>11441337.064127782</x:v>
      </x:c>
      <x:c r="J129" s="23">
        <x:v>1.0732147188179053</x:v>
      </x:c>
      <x:c r="K129" s="9">
        <x:f t="shared" si="21"/>
        <x:v>12279011.340178777</x:v>
      </x:c>
      <x:c r="L129" s="6"/>
      <x:c r="M129" s="10">
        <x:f t="shared" si="22"/>
        <x:v>12279011.340178777</x:v>
      </x:c>
      <x:c r="N129" s="10">
        <x:f t="shared" si="23"/>
        <x:v>0</x:v>
      </x:c>
    </x:row>
    <x:row r="130" spans="1:14" s="7" customFormat="1" outlineLevel="2" x14ac:dyDescent="0.25">
      <x:c r="A130" s="4">
        <x:v>364</x:v>
      </x:c>
      <x:c r="B130" s="5" t="s">
        <x:v>44</x:v>
      </x:c>
      <x:c r="C130" s="6">
        <x:v>14274529.75</x:v>
      </x:c>
      <x:c r="D130" s="6">
        <x:v>14274529.75</x:v>
      </x:c>
      <x:c r="E130" s="6"/>
      <x:c r="F130" s="7">
        <x:v>55</x:v>
      </x:c>
      <x:c r="G130" s="6">
        <x:v>35.572249999999997</x:v>
      </x:c>
      <x:c r="H130" s="8">
        <x:v>-1.1000000000000001</x:v>
      </x:c>
      <x:c r="I130" s="6">
        <x:f t="shared" si="20"/>
        <x:v>10588658.004294207</x:v>
      </x:c>
      <x:c r="J130" s="23">
        <x:v>1.0732147188179053</x:v>
      </x:c>
      <x:c r="K130" s="9">
        <x:f t="shared" si="21"/>
        <x:v>11363903.62273757</x:v>
      </x:c>
      <x:c r="L130" s="6"/>
      <x:c r="M130" s="10">
        <x:f t="shared" si="22"/>
        <x:v>11363903.62273757</x:v>
      </x:c>
      <x:c r="N130" s="10">
        <x:f t="shared" si="23"/>
        <x:v>0</x:v>
      </x:c>
    </x:row>
    <x:row r="131" spans="1:14" s="7" customFormat="1" outlineLevel="2" x14ac:dyDescent="0.25">
      <x:c r="A131" s="4">
        <x:v>364</x:v>
      </x:c>
      <x:c r="B131" s="5" t="s">
        <x:v>45</x:v>
      </x:c>
      <x:c r="C131" s="6">
        <x:v>8513618.7400000002</x:v>
      </x:c>
      <x:c r="D131" s="6">
        <x:v>8513618.7400000002</x:v>
      </x:c>
      <x:c r="E131" s="6"/>
      <x:c r="F131" s="7">
        <x:v>55</x:v>
      </x:c>
      <x:c r="G131" s="6">
        <x:v>35.006559000000003</x:v>
      </x:c>
      <x:c r="H131" s="8">
        <x:v>-1.1000000000000001</x:v>
      </x:c>
      <x:c r="I131" s="6">
        <x:f t="shared" si="20"/>
        <x:v>6499176.7517606746</x:v>
      </x:c>
      <x:c r="J131" s="23">
        <x:v>1.0732147188179053</x:v>
      </x:c>
      <x:c r="K131" s="9">
        <x:f t="shared" si="21"/>
        <x:v>6975012.1501886994</x:v>
      </x:c>
      <x:c r="L131" s="6"/>
      <x:c r="M131" s="10">
        <x:f t="shared" si="22"/>
        <x:v>6975012.1501886994</x:v>
      </x:c>
      <x:c r="N131" s="10">
        <x:f t="shared" si="23"/>
        <x:v>0</x:v>
      </x:c>
    </x:row>
    <x:row r="132" spans="1:14" s="7" customFormat="1" outlineLevel="2" x14ac:dyDescent="0.25">
      <x:c r="A132" s="4">
        <x:v>364</x:v>
      </x:c>
      <x:c r="B132" s="5" t="s">
        <x:v>46</x:v>
      </x:c>
      <x:c r="C132" s="6">
        <x:v>39684893.979999997</x:v>
      </x:c>
      <x:c r="D132" s="6">
        <x:v>39684893.979999997</x:v>
      </x:c>
      <x:c r="E132" s="6"/>
      <x:c r="F132" s="7">
        <x:v>55</x:v>
      </x:c>
      <x:c r="G132" s="6">
        <x:v>34.444108</x:v>
      </x:c>
      <x:c r="H132" s="8">
        <x:v>-1.1000000000000001</x:v>
      </x:c>
      <x:c r="I132" s="6">
        <x:f t="shared" si="20"/>
        <x:v>31147138.706128966</x:v>
      </x:c>
      <x:c r="J132" s="23">
        <x:v>1.0732147188179053</x:v>
      </x:c>
      <x:c r="K132" s="9">
        <x:f t="shared" si="21"/>
        <x:v>33427567.708480492</x:v>
      </x:c>
      <x:c r="L132" s="6"/>
      <x:c r="M132" s="10">
        <x:f t="shared" si="22"/>
        <x:v>33427567.708480492</x:v>
      </x:c>
      <x:c r="N132" s="10">
        <x:f t="shared" si="23"/>
        <x:v>0</x:v>
      </x:c>
    </x:row>
    <x:row r="133" spans="1:14" s="7" customFormat="1" outlineLevel="2" x14ac:dyDescent="0.25">
      <x:c r="A133" s="4">
        <x:v>364</x:v>
      </x:c>
      <x:c r="B133" s="5" t="s">
        <x:v>47</x:v>
      </x:c>
      <x:c r="C133" s="6">
        <x:v>19752280.170000002</x:v>
      </x:c>
      <x:c r="D133" s="6">
        <x:v>19752280.170000002</x:v>
      </x:c>
      <x:c r="E133" s="6"/>
      <x:c r="F133" s="7">
        <x:v>55</x:v>
      </x:c>
      <x:c r="G133" s="6">
        <x:v>33.884875000000001</x:v>
      </x:c>
      <x:c r="H133" s="8">
        <x:v>-1.1000000000000001</x:v>
      </x:c>
      <x:c r="I133" s="6">
        <x:f t="shared" si="20"/>
        <x:v>15924562.11148363</x:v>
      </x:c>
      <x:c r="J133" s="23">
        <x:v>1.0732147188179053</x:v>
      </x:c>
      <x:c r="K133" s="9">
        <x:f t="shared" si="21"/>
        <x:v>17090474.448774174</x:v>
      </x:c>
      <x:c r="L133" s="6"/>
      <x:c r="M133" s="10">
        <x:f t="shared" si="22"/>
        <x:v>17090474.448774174</x:v>
      </x:c>
      <x:c r="N133" s="10">
        <x:f t="shared" si="23"/>
        <x:v>0</x:v>
      </x:c>
    </x:row>
    <x:row r="134" spans="1:14" s="7" customFormat="1" outlineLevel="2" x14ac:dyDescent="0.25">
      <x:c r="A134" s="4">
        <x:v>364</x:v>
      </x:c>
      <x:c r="B134" s="5" t="s">
        <x:v>48</x:v>
      </x:c>
      <x:c r="C134" s="6">
        <x:v>23423804.34</x:v>
      </x:c>
      <x:c r="D134" s="6">
        <x:v>23423804.34</x:v>
      </x:c>
      <x:c r="E134" s="6"/>
      <x:c r="F134" s="7">
        <x:v>55</x:v>
      </x:c>
      <x:c r="G134" s="6">
        <x:v>33.328975999999997</x:v>
      </x:c>
      <x:c r="H134" s="8">
        <x:v>-1.1000000000000001</x:v>
      </x:c>
      <x:c r="I134" s="6">
        <x:f t="shared" si="20"/>
        <x:v>19381771.539076962</x:v>
      </x:c>
      <x:c r="J134" s="23">
        <x:v>1.0732147188179053</x:v>
      </x:c>
      <x:c r="K134" s="9">
        <x:f t="shared" si="21"/>
        <x:v>20800802.49250336</x:v>
      </x:c>
      <x:c r="L134" s="6"/>
      <x:c r="M134" s="10">
        <x:f t="shared" si="22"/>
        <x:v>20800802.49250336</x:v>
      </x:c>
      <x:c r="N134" s="10">
        <x:f t="shared" si="23"/>
        <x:v>0</x:v>
      </x:c>
    </x:row>
    <x:row r="135" spans="1:14" s="7" customFormat="1" outlineLevel="2" x14ac:dyDescent="0.25">
      <x:c r="A135" s="4">
        <x:v>364</x:v>
      </x:c>
      <x:c r="B135" s="5" t="s">
        <x:v>49</x:v>
      </x:c>
      <x:c r="C135" s="6">
        <x:v>24526435.379999999</x:v>
      </x:c>
      <x:c r="D135" s="6">
        <x:v>24526435.379999999</x:v>
      </x:c>
      <x:c r="E135" s="6"/>
      <x:c r="F135" s="7">
        <x:v>55</x:v>
      </x:c>
      <x:c r="G135" s="6">
        <x:v>32.776513000000001</x:v>
      </x:c>
      <x:c r="H135" s="8">
        <x:v>-1.1000000000000001</x:v>
      </x:c>
      <x:c r="I135" s="6">
        <x:f t="shared" ref="I135:I166" si="28">+C135*(1-H135)*(1-G135/F135)</x:f>
        <x:v>20811493.225998491</x:v>
      </x:c>
      <x:c r="J135" s="23">
        <x:v>1.0732147188179053</x:v>
      </x:c>
      <x:c r="K135" s="9">
        <x:f t="shared" ref="K135:K166" si="29">IF((C135*(1-H135)-I135*J135)&lt;0,C135*(1-H135),I135*J135)</x:f>
        <x:v>22335200.850720711</x:v>
      </x:c>
      <x:c r="L135" s="6"/>
      <x:c r="M135" s="10">
        <x:f t="shared" ref="M135:M166" si="30">+K135/D135*C135</x:f>
        <x:v>22335200.850720711</x:v>
      </x:c>
      <x:c r="N135" s="10">
        <x:f t="shared" ref="N135:N166" si="31">+E135/C135*K135</x:f>
        <x:v>0</x:v>
      </x:c>
    </x:row>
    <x:row r="136" spans="1:14" s="7" customFormat="1" outlineLevel="2" x14ac:dyDescent="0.25">
      <x:c r="A136" s="4">
        <x:v>364</x:v>
      </x:c>
      <x:c r="B136" s="5" t="s">
        <x:v>50</x:v>
      </x:c>
      <x:c r="C136" s="6">
        <x:v>33568681.090000004</x:v>
      </x:c>
      <x:c r="D136" s="6">
        <x:v>33568681.090000004</x:v>
      </x:c>
      <x:c r="E136" s="6"/>
      <x:c r="F136" s="7">
        <x:v>55</x:v>
      </x:c>
      <x:c r="G136" s="6">
        <x:v>32.227578000000001</x:v>
      </x:c>
      <x:c r="H136" s="8">
        <x:v>-1.1000000000000001</x:v>
      </x:c>
      <x:c r="I136" s="6">
        <x:f t="shared" si="28"/>
        <x:v>29187715.649205267</x:v>
      </x:c>
      <x:c r="J136" s="23">
        <x:v>1.0732147188179053</x:v>
      </x:c>
      <x:c r="K136" s="9">
        <x:f t="shared" si="29"/>
        <x:v>31324686.043398805</x:v>
      </x:c>
      <x:c r="L136" s="6"/>
      <x:c r="M136" s="10">
        <x:f t="shared" si="30"/>
        <x:v>31324686.043398805</x:v>
      </x:c>
      <x:c r="N136" s="10">
        <x:f t="shared" si="31"/>
        <x:v>0</x:v>
      </x:c>
    </x:row>
    <x:row r="137" spans="1:14" s="7" customFormat="1" outlineLevel="2" x14ac:dyDescent="0.25">
      <x:c r="A137" s="4">
        <x:v>364</x:v>
      </x:c>
      <x:c r="B137" s="5" t="s">
        <x:v>51</x:v>
      </x:c>
      <x:c r="C137" s="6">
        <x:v>37861246.82</x:v>
      </x:c>
      <x:c r="D137" s="6">
        <x:v>37861246.82</x:v>
      </x:c>
      <x:c r="E137" s="6"/>
      <x:c r="F137" s="7">
        <x:v>55</x:v>
      </x:c>
      <x:c r="G137" s="6">
        <x:v>31.682549999999999</x:v>
      </x:c>
      <x:c r="H137" s="8">
        <x:v>-1.1000000000000001</x:v>
      </x:c>
      <x:c r="I137" s="6">
        <x:f t="shared" si="28"/>
        <x:v>33707967.859860346</x:v>
      </x:c>
      <x:c r="J137" s="23">
        <x:v>1.0732147188179053</x:v>
      </x:c>
      <x:c r="K137" s="9">
        <x:f t="shared" si="29"/>
        <x:v>36175887.248643011</x:v>
      </x:c>
      <x:c r="L137" s="6"/>
      <x:c r="M137" s="10">
        <x:f t="shared" si="30"/>
        <x:v>36175887.248643011</x:v>
      </x:c>
      <x:c r="N137" s="10">
        <x:f t="shared" si="31"/>
        <x:v>0</x:v>
      </x:c>
    </x:row>
    <x:row r="138" spans="1:14" s="7" customFormat="1" outlineLevel="2" x14ac:dyDescent="0.25">
      <x:c r="A138" s="4">
        <x:v>364</x:v>
      </x:c>
      <x:c r="B138" s="5" t="s">
        <x:v>52</x:v>
      </x:c>
      <x:c r="C138" s="6">
        <x:v>35345585.670000002</x:v>
      </x:c>
      <x:c r="D138" s="6">
        <x:v>35345585.670000002</x:v>
      </x:c>
      <x:c r="E138" s="6"/>
      <x:c r="F138" s="7">
        <x:v>55</x:v>
      </x:c>
      <x:c r="G138" s="6">
        <x:v>31.141233</x:v>
      </x:c>
      <x:c r="H138" s="8">
        <x:v>-1.1000000000000001</x:v>
      </x:c>
      <x:c r="I138" s="6">
        <x:f t="shared" si="28"/>
        <x:v>32198807.186473541</x:v>
      </x:c>
      <x:c r="J138" s="23">
        <x:v>1.0732147188179053</x:v>
      </x:c>
      <x:c r="K138" s="9">
        <x:f t="shared" si="29"/>
        <x:v>34556233.800903149</x:v>
      </x:c>
      <x:c r="L138" s="6"/>
      <x:c r="M138" s="10">
        <x:f t="shared" si="30"/>
        <x:v>34556233.800903149</x:v>
      </x:c>
      <x:c r="N138" s="10">
        <x:f t="shared" si="31"/>
        <x:v>0</x:v>
      </x:c>
    </x:row>
    <x:row r="139" spans="1:14" s="7" customFormat="1" outlineLevel="2" x14ac:dyDescent="0.25">
      <x:c r="A139" s="4">
        <x:v>364</x:v>
      </x:c>
      <x:c r="B139" s="5" t="s">
        <x:v>53</x:v>
      </x:c>
      <x:c r="C139" s="6">
        <x:v>31640348.34</x:v>
      </x:c>
      <x:c r="D139" s="6">
        <x:v>31640348.34</x:v>
      </x:c>
      <x:c r="E139" s="6"/>
      <x:c r="F139" s="7">
        <x:v>55</x:v>
      </x:c>
      <x:c r="G139" s="6">
        <x:v>30.603708000000001</x:v>
      </x:c>
      <x:c r="H139" s="8">
        <x:v>-1.1000000000000001</x:v>
      </x:c>
      <x:c r="I139" s="6">
        <x:f t="shared" si="28"/>
        <x:v>29472819.488675382</x:v>
      </x:c>
      <x:c r="J139" s="23">
        <x:v>1.0732147188179053</x:v>
      </x:c>
      <x:c r="K139" s="9">
        <x:f t="shared" si="29"/>
        <x:v>31630663.680309631</x:v>
      </x:c>
      <x:c r="L139" s="6"/>
      <x:c r="M139" s="10">
        <x:f t="shared" si="30"/>
        <x:v>31630663.680309631</x:v>
      </x:c>
      <x:c r="N139" s="10">
        <x:f t="shared" si="31"/>
        <x:v>0</x:v>
      </x:c>
    </x:row>
    <x:row r="140" spans="1:14" s="7" customFormat="1" outlineLevel="2" x14ac:dyDescent="0.25">
      <x:c r="A140" s="4">
        <x:v>364</x:v>
      </x:c>
      <x:c r="B140" s="5" t="s">
        <x:v>54</x:v>
      </x:c>
      <x:c r="C140" s="6">
        <x:v>25325434.02</x:v>
      </x:c>
      <x:c r="D140" s="6">
        <x:v>25325434.02</x:v>
      </x:c>
      <x:c r="E140" s="6"/>
      <x:c r="F140" s="7">
        <x:v>55</x:v>
      </x:c>
      <x:c r="G140" s="6">
        <x:v>30.070043999999999</x:v>
      </x:c>
      <x:c r="H140" s="8">
        <x:v>-1.1000000000000001</x:v>
      </x:c>
      <x:c r="I140" s="6">
        <x:f t="shared" si="28"/>
        <x:v>24106547.403253756</x:v>
      </x:c>
      <x:c r="J140" s="23">
        <x:v>1.0732147188179053</x:v>
      </x:c>
      <x:c r="K140" s="9">
        <x:f t="shared" si="29"/>
        <x:v>25871501.493053485</x:v>
      </x:c>
      <x:c r="L140" s="6"/>
      <x:c r="M140" s="10">
        <x:f t="shared" si="30"/>
        <x:v>25871501.493053488</x:v>
      </x:c>
      <x:c r="N140" s="10">
        <x:f t="shared" si="31"/>
        <x:v>0</x:v>
      </x:c>
    </x:row>
    <x:row r="141" spans="1:14" s="7" customFormat="1" outlineLevel="2" x14ac:dyDescent="0.25">
      <x:c r="A141" s="4">
        <x:v>364</x:v>
      </x:c>
      <x:c r="B141" s="5" t="s">
        <x:v>55</x:v>
      </x:c>
      <x:c r="C141" s="6">
        <x:v>19458108.129999999</x:v>
      </x:c>
      <x:c r="D141" s="6">
        <x:v>19458108.129999999</x:v>
      </x:c>
      <x:c r="E141" s="6"/>
      <x:c r="F141" s="7">
        <x:v>55</x:v>
      </x:c>
      <x:c r="G141" s="6">
        <x:v>29.540303999999999</x:v>
      </x:c>
      <x:c r="H141" s="8">
        <x:v>-1.1000000000000001</x:v>
      </x:c>
      <x:c r="I141" s="6">
        <x:f t="shared" si="28"/>
        <x:v>18915177.949497268</x:v>
      </x:c>
      <x:c r="J141" s="23">
        <x:v>1.0732147188179053</x:v>
      </x:c>
      <x:c r="K141" s="9">
        <x:f t="shared" si="29"/>
        <x:v>20300047.384460352</x:v>
      </x:c>
      <x:c r="L141" s="6"/>
      <x:c r="M141" s="10">
        <x:f t="shared" si="30"/>
        <x:v>20300047.384460352</x:v>
      </x:c>
      <x:c r="N141" s="10">
        <x:f t="shared" si="31"/>
        <x:v>0</x:v>
      </x:c>
    </x:row>
    <x:row r="142" spans="1:14" s="7" customFormat="1" outlineLevel="2" x14ac:dyDescent="0.25">
      <x:c r="A142" s="4">
        <x:v>364</x:v>
      </x:c>
      <x:c r="B142" s="5" t="s">
        <x:v>56</x:v>
      </x:c>
      <x:c r="C142" s="6">
        <x:v>15781185.449999999</x:v>
      </x:c>
      <x:c r="D142" s="6">
        <x:v>15781185.449999999</x:v>
      </x:c>
      <x:c r="E142" s="6"/>
      <x:c r="F142" s="7">
        <x:v>55</x:v>
      </x:c>
      <x:c r="G142" s="6">
        <x:v>29.014683999999999</x:v>
      </x:c>
      <x:c r="H142" s="8">
        <x:v>-1.1000000000000001</x:v>
      </x:c>
      <x:c r="I142" s="6">
        <x:f t="shared" si="28"/>
        <x:v>15657565.284054358</x:v>
      </x:c>
      <x:c r="J142" s="23">
        <x:v>1.0732147188179053</x:v>
      </x:c>
      <x:c r="K142" s="9">
        <x:f t="shared" si="29"/>
        <x:v>16803929.523699392</x:v>
      </x:c>
      <x:c r="L142" s="6"/>
      <x:c r="M142" s="10">
        <x:f t="shared" si="30"/>
        <x:v>16803929.523699392</x:v>
      </x:c>
      <x:c r="N142" s="10">
        <x:f t="shared" si="31"/>
        <x:v>0</x:v>
      </x:c>
    </x:row>
    <x:row r="143" spans="1:14" s="7" customFormat="1" outlineLevel="2" x14ac:dyDescent="0.25">
      <x:c r="A143" s="4">
        <x:v>364</x:v>
      </x:c>
      <x:c r="B143" s="5" t="s">
        <x:v>57</x:v>
      </x:c>
      <x:c r="C143" s="6">
        <x:v>14986244.98</x:v>
      </x:c>
      <x:c r="D143" s="6">
        <x:v>14986244.98</x:v>
      </x:c>
      <x:c r="E143" s="6"/>
      <x:c r="F143" s="7">
        <x:v>55</x:v>
      </x:c>
      <x:c r="G143" s="6">
        <x:v>28.493228999999999</x:v>
      </x:c>
      <x:c r="H143" s="8">
        <x:v>-1.1000000000000001</x:v>
      </x:c>
      <x:c r="I143" s="6">
        <x:f t="shared" si="28"/>
        <x:v>15167229.528236274</x:v>
      </x:c>
      <x:c r="J143" s="23">
        <x:v>1.0732147188179053</x:v>
      </x:c>
      <x:c r="K143" s="9">
        <x:f t="shared" si="29"/>
        <x:v>16277693.973392723</x:v>
      </x:c>
      <x:c r="L143" s="6"/>
      <x:c r="M143" s="10">
        <x:f t="shared" si="30"/>
        <x:v>16277693.973392725</x:v>
      </x:c>
      <x:c r="N143" s="10">
        <x:f t="shared" si="31"/>
        <x:v>0</x:v>
      </x:c>
    </x:row>
    <x:row r="144" spans="1:14" s="7" customFormat="1" outlineLevel="2" x14ac:dyDescent="0.25">
      <x:c r="A144" s="4">
        <x:v>364</x:v>
      </x:c>
      <x:c r="B144" s="5" t="s">
        <x:v>58</x:v>
      </x:c>
      <x:c r="C144" s="6">
        <x:v>13310839.439999999</x:v>
      </x:c>
      <x:c r="D144" s="6">
        <x:v>13310839.439999999</x:v>
      </x:c>
      <x:c r="E144" s="6"/>
      <x:c r="F144" s="7">
        <x:v>55</x:v>
      </x:c>
      <x:c r="G144" s="6">
        <x:v>27.975847999999999</x:v>
      </x:c>
      <x:c r="H144" s="8">
        <x:v>-1.1000000000000001</x:v>
      </x:c>
      <x:c r="I144" s="6">
        <x:f t="shared" si="28"/>
        <x:v>13734540.206831368</x:v>
      </x:c>
      <x:c r="J144" s="23">
        <x:v>1.0732147188179053</x:v>
      </x:c>
      <x:c r="K144" s="9">
        <x:f t="shared" si="29"/>
        <x:v>14740110.706167741</x:v>
      </x:c>
      <x:c r="L144" s="6"/>
      <x:c r="M144" s="10">
        <x:f t="shared" si="30"/>
        <x:v>14740110.706167739</x:v>
      </x:c>
      <x:c r="N144" s="10">
        <x:f t="shared" si="31"/>
        <x:v>0</x:v>
      </x:c>
    </x:row>
    <x:row r="145" spans="1:14" s="7" customFormat="1" outlineLevel="2" x14ac:dyDescent="0.25">
      <x:c r="A145" s="4">
        <x:v>364</x:v>
      </x:c>
      <x:c r="B145" s="5" t="s">
        <x:v>59</x:v>
      </x:c>
      <x:c r="C145" s="6">
        <x:v>11488716.91</x:v>
      </x:c>
      <x:c r="D145" s="6">
        <x:v>11488716.91</x:v>
      </x:c>
      <x:c r="E145" s="6"/>
      <x:c r="F145" s="7">
        <x:v>55</x:v>
      </x:c>
      <x:c r="G145" s="6">
        <x:v>27.462575999999999</x:v>
      </x:c>
      <x:c r="H145" s="8">
        <x:v>-1.1000000000000001</x:v>
      </x:c>
      <x:c r="I145" s="6">
        <x:f t="shared" si="28"/>
        <x:v>12079569.171089884</x:v>
      </x:c>
      <x:c r="J145" s="23">
        <x:v>1.0732147188179053</x:v>
      </x:c>
      <x:c r="K145" s="9">
        <x:f t="shared" si="29"/>
        <x:v>12963971.431392668</x:v>
      </x:c>
      <x:c r="L145" s="6"/>
      <x:c r="M145" s="10">
        <x:f t="shared" si="30"/>
        <x:v>12963971.431392668</x:v>
      </x:c>
      <x:c r="N145" s="10">
        <x:f t="shared" si="31"/>
        <x:v>0</x:v>
      </x:c>
    </x:row>
    <x:row r="146" spans="1:14" s="7" customFormat="1" outlineLevel="2" x14ac:dyDescent="0.25">
      <x:c r="A146" s="4">
        <x:v>364</x:v>
      </x:c>
      <x:c r="B146" s="5" t="s">
        <x:v>60</x:v>
      </x:c>
      <x:c r="C146" s="6">
        <x:v>9216579.7599999998</x:v>
      </x:c>
      <x:c r="D146" s="6">
        <x:v>9216579.7599999998</x:v>
      </x:c>
      <x:c r="E146" s="6"/>
      <x:c r="F146" s="7">
        <x:v>55</x:v>
      </x:c>
      <x:c r="G146" s="6">
        <x:v>26.953441999999999</x:v>
      </x:c>
      <x:c r="H146" s="8">
        <x:v>-1.1000000000000001</x:v>
      </x:c>
      <x:c r="I146" s="6">
        <x:f t="shared" si="28"/>
        <x:v>9869745.6632905211</x:v>
      </x:c>
      <x:c r="J146" s="23">
        <x:v>1.0732147188179053</x:v>
      </x:c>
      <x:c r="K146" s="9">
        <x:f t="shared" si="29"/>
        <x:v>10592356.316832578</x:v>
      </x:c>
      <x:c r="L146" s="6"/>
      <x:c r="M146" s="10">
        <x:f t="shared" si="30"/>
        <x:v>10592356.316832578</x:v>
      </x:c>
      <x:c r="N146" s="10">
        <x:f t="shared" si="31"/>
        <x:v>0</x:v>
      </x:c>
    </x:row>
    <x:row r="147" spans="1:14" s="7" customFormat="1" outlineLevel="2" x14ac:dyDescent="0.25">
      <x:c r="A147" s="4">
        <x:v>364</x:v>
      </x:c>
      <x:c r="B147" s="5" t="s">
        <x:v>61</x:v>
      </x:c>
      <x:c r="C147" s="6">
        <x:v>2646185.79</x:v>
      </x:c>
      <x:c r="D147" s="6">
        <x:v>2646185.79</x:v>
      </x:c>
      <x:c r="E147" s="6"/>
      <x:c r="F147" s="7">
        <x:v>55</x:v>
      </x:c>
      <x:c r="G147" s="6">
        <x:v>26.448478000000001</x:v>
      </x:c>
      <x:c r="H147" s="8">
        <x:v>-1.1000000000000001</x:v>
      </x:c>
      <x:c r="I147" s="6">
        <x:f t="shared" si="28"/>
        <x:v>2884736.8505176725</x:v>
      </x:c>
      <x:c r="J147" s="23">
        <x:v>1.0732147188179053</x:v>
      </x:c>
      <x:c r="K147" s="9">
        <x:f t="shared" si="29"/>
        <x:v>3095942.0478919735</x:v>
      </x:c>
      <x:c r="L147" s="6"/>
      <x:c r="M147" s="10">
        <x:f t="shared" si="30"/>
        <x:v>3095942.0478919731</x:v>
      </x:c>
      <x:c r="N147" s="10">
        <x:f t="shared" si="31"/>
        <x:v>0</x:v>
      </x:c>
    </x:row>
    <x:row r="148" spans="1:14" s="7" customFormat="1" outlineLevel="2" x14ac:dyDescent="0.25">
      <x:c r="A148" s="4">
        <x:v>364</x:v>
      </x:c>
      <x:c r="B148" s="5" t="s">
        <x:v>62</x:v>
      </x:c>
      <x:c r="C148" s="6">
        <x:v>2605575.27</x:v>
      </x:c>
      <x:c r="D148" s="6">
        <x:v>2605575.27</x:v>
      </x:c>
      <x:c r="E148" s="6"/>
      <x:c r="F148" s="7">
        <x:v>55</x:v>
      </x:c>
      <x:c r="G148" s="6">
        <x:v>25.947928999999998</x:v>
      </x:c>
      <x:c r="H148" s="8">
        <x:v>-1.1000000000000001</x:v>
      </x:c>
      <x:c r="I148" s="6">
        <x:f t="shared" si="28"/>
        <x:v>2890262.7500683046</x:v>
      </x:c>
      <x:c r="J148" s="23">
        <x:v>1.0732147188179053</x:v>
      </x:c>
      <x:c r="K148" s="9">
        <x:f t="shared" si="29"/>
        <x:v>3101872.5246244213</x:v>
      </x:c>
      <x:c r="L148" s="6"/>
      <x:c r="M148" s="10">
        <x:f t="shared" si="30"/>
        <x:v>3101872.5246244213</x:v>
      </x:c>
      <x:c r="N148" s="10">
        <x:f t="shared" si="31"/>
        <x:v>0</x:v>
      </x:c>
    </x:row>
    <x:row r="149" spans="1:14" s="7" customFormat="1" outlineLevel="2" x14ac:dyDescent="0.25">
      <x:c r="A149" s="4">
        <x:v>364</x:v>
      </x:c>
      <x:c r="B149" s="5" t="s">
        <x:v>63</x:v>
      </x:c>
      <x:c r="C149" s="6">
        <x:v>2560057.66</x:v>
      </x:c>
      <x:c r="D149" s="6">
        <x:v>2560057.66</x:v>
      </x:c>
      <x:c r="E149" s="6"/>
      <x:c r="F149" s="7">
        <x:v>55</x:v>
      </x:c>
      <x:c r="G149" s="6">
        <x:v>25.451561000000002</x:v>
      </x:c>
      <x:c r="H149" s="8">
        <x:v>-1.1000000000000001</x:v>
      </x:c>
      <x:c r="I149" s="6">
        <x:f t="shared" si="28"/>
        <x:v>2888290.6539324503</x:v>
      </x:c>
      <x:c r="J149" s="23">
        <x:v>1.0732147188179053</x:v>
      </x:c>
      <x:c r="K149" s="9">
        <x:f t="shared" si="29"/>
        <x:v>3099756.0420244983</x:v>
      </x:c>
      <x:c r="L149" s="6"/>
      <x:c r="M149" s="10">
        <x:f t="shared" si="30"/>
        <x:v>3099756.0420244983</x:v>
      </x:c>
      <x:c r="N149" s="10">
        <x:f t="shared" si="31"/>
        <x:v>0</x:v>
      </x:c>
    </x:row>
    <x:row r="150" spans="1:14" s="7" customFormat="1" outlineLevel="2" x14ac:dyDescent="0.25">
      <x:c r="A150" s="4">
        <x:v>364</x:v>
      </x:c>
      <x:c r="B150" s="5" t="s">
        <x:v>64</x:v>
      </x:c>
      <x:c r="C150" s="6">
        <x:v>2364832.4</x:v>
      </x:c>
      <x:c r="D150" s="6">
        <x:v>2364832.4</x:v>
      </x:c>
      <x:c r="E150" s="6"/>
      <x:c r="F150" s="7">
        <x:v>55</x:v>
      </x:c>
      <x:c r="G150" s="6">
        <x:v>24.959381</x:v>
      </x:c>
      <x:c r="H150" s="8">
        <x:v>-1.1000000000000001</x:v>
      </x:c>
      <x:c r="I150" s="6">
        <x:f t="shared" si="28"/>
        <x:v>2712475.6575861233</x:v>
      </x:c>
      <x:c r="J150" s="23">
        <x:v>1.0732147188179053</x:v>
      </x:c>
      <x:c r="K150" s="9">
        <x:f t="shared" si="29"/>
        <x:v>2911068.8001567042</x:v>
      </x:c>
      <x:c r="L150" s="6"/>
      <x:c r="M150" s="10">
        <x:f t="shared" si="30"/>
        <x:v>2911068.8001567042</x:v>
      </x:c>
      <x:c r="N150" s="10">
        <x:f t="shared" si="31"/>
        <x:v>0</x:v>
      </x:c>
    </x:row>
    <x:row r="151" spans="1:14" s="7" customFormat="1" outlineLevel="2" x14ac:dyDescent="0.25">
      <x:c r="A151" s="4">
        <x:v>364</x:v>
      </x:c>
      <x:c r="B151" s="5" t="s">
        <x:v>65</x:v>
      </x:c>
      <x:c r="C151" s="6">
        <x:v>2073763.16</x:v>
      </x:c>
      <x:c r="D151" s="6">
        <x:v>2073763.16</x:v>
      </x:c>
      <x:c r="E151" s="6"/>
      <x:c r="F151" s="7">
        <x:v>55</x:v>
      </x:c>
      <x:c r="G151" s="6">
        <x:v>24.471388000000001</x:v>
      </x:c>
      <x:c r="H151" s="8">
        <x:v>-1.1000000000000001</x:v>
      </x:c>
      <x:c r="I151" s="6">
        <x:f t="shared" si="28"/>
        <x:v>2417256.9613131131</x:v>
      </x:c>
      <x:c r="J151" s="23">
        <x:v>1.0732147188179053</x:v>
      </x:c>
      <x:c r="K151" s="9">
        <x:f t="shared" si="29"/>
        <x:v>2594235.750046277</x:v>
      </x:c>
      <x:c r="L151" s="6"/>
      <x:c r="M151" s="10">
        <x:f t="shared" si="30"/>
        <x:v>2594235.750046277</x:v>
      </x:c>
      <x:c r="N151" s="10">
        <x:f t="shared" si="31"/>
        <x:v>0</x:v>
      </x:c>
    </x:row>
    <x:row r="152" spans="1:14" s="7" customFormat="1" outlineLevel="2" x14ac:dyDescent="0.25">
      <x:c r="A152" s="4">
        <x:v>364</x:v>
      </x:c>
      <x:c r="B152" s="5" t="s">
        <x:v>66</x:v>
      </x:c>
      <x:c r="C152" s="6">
        <x:v>1869707.84</x:v>
      </x:c>
      <x:c r="D152" s="6">
        <x:v>1869707.84</x:v>
      </x:c>
      <x:c r="E152" s="6"/>
      <x:c r="F152" s="7">
        <x:v>55</x:v>
      </x:c>
      <x:c r="G152" s="6">
        <x:v>23.987572</x:v>
      </x:c>
      <x:c r="H152" s="8">
        <x:v>-1.1000000000000001</x:v>
      </x:c>
      <x:c r="I152" s="6">
        <x:f t="shared" si="28"/>
        <x:v>2213941.4093631743</x:v>
      </x:c>
      <x:c r="J152" s="23">
        <x:v>1.0732147188179053</x:v>
      </x:c>
      <x:c r="K152" s="9">
        <x:f t="shared" si="29"/>
        <x:v>2376034.5071290163</x:v>
      </x:c>
      <x:c r="L152" s="6"/>
      <x:c r="M152" s="10">
        <x:f t="shared" si="30"/>
        <x:v>2376034.5071290163</x:v>
      </x:c>
      <x:c r="N152" s="10">
        <x:f t="shared" si="31"/>
        <x:v>0</x:v>
      </x:c>
    </x:row>
    <x:row r="153" spans="1:14" s="7" customFormat="1" outlineLevel="2" x14ac:dyDescent="0.25">
      <x:c r="A153" s="4">
        <x:v>364</x:v>
      </x:c>
      <x:c r="B153" s="5" t="s">
        <x:v>67</x:v>
      </x:c>
      <x:c r="C153" s="6">
        <x:v>1858015.77</x:v>
      </x:c>
      <x:c r="D153" s="6">
        <x:v>1858015.77</x:v>
      </x:c>
      <x:c r="E153" s="6"/>
      <x:c r="F153" s="7">
        <x:v>55</x:v>
      </x:c>
      <x:c r="G153" s="6">
        <x:v>23.508016000000001</x:v>
      </x:c>
      <x:c r="H153" s="8">
        <x:v>-1.1000000000000001</x:v>
      </x:c>
      <x:c r="I153" s="6">
        <x:f t="shared" si="28"/>
        <x:v>2234117.5652951659</x:v>
      </x:c>
      <x:c r="J153" s="23">
        <x:v>1.0732147188179053</x:v>
      </x:c>
      <x:c r="K153" s="9">
        <x:f t="shared" si="29"/>
        <x:v>2397687.8546443945</x:v>
      </x:c>
      <x:c r="L153" s="6"/>
      <x:c r="M153" s="10">
        <x:f t="shared" si="30"/>
        <x:v>2397687.8546443945</x:v>
      </x:c>
      <x:c r="N153" s="10">
        <x:f t="shared" si="31"/>
        <x:v>0</x:v>
      </x:c>
    </x:row>
    <x:row r="154" spans="1:14" s="7" customFormat="1" outlineLevel="2" x14ac:dyDescent="0.25">
      <x:c r="A154" s="4">
        <x:v>364</x:v>
      </x:c>
      <x:c r="B154" s="5" t="s">
        <x:v>68</x:v>
      </x:c>
      <x:c r="C154" s="6">
        <x:v>2095205.45</x:v>
      </x:c>
      <x:c r="D154" s="6">
        <x:v>2095205.45</x:v>
      </x:c>
      <x:c r="E154" s="6"/>
      <x:c r="F154" s="7">
        <x:v>55</x:v>
      </x:c>
      <x:c r="G154" s="6">
        <x:v>23.032678000000001</x:v>
      </x:c>
      <x:c r="H154" s="8">
        <x:v>-1.1000000000000001</x:v>
      </x:c>
      <x:c r="I154" s="6">
        <x:f t="shared" si="28"/>
        <x:v>2557345.9141861871</x:v>
      </x:c>
      <x:c r="J154" s="23">
        <x:v>1.0732147188179053</x:v>
      </x:c>
      <x:c r="K154" s="9">
        <x:f t="shared" si="29"/>
        <x:v>2744581.2762134476</x:v>
      </x:c>
      <x:c r="L154" s="6"/>
      <x:c r="M154" s="10">
        <x:f t="shared" si="30"/>
        <x:v>2744581.2762134476</x:v>
      </x:c>
      <x:c r="N154" s="10">
        <x:f t="shared" si="31"/>
        <x:v>0</x:v>
      </x:c>
    </x:row>
    <x:row r="155" spans="1:14" s="7" customFormat="1" outlineLevel="2" x14ac:dyDescent="0.25">
      <x:c r="A155" s="4">
        <x:v>364</x:v>
      </x:c>
      <x:c r="B155" s="5" t="s">
        <x:v>69</x:v>
      </x:c>
      <x:c r="C155" s="6">
        <x:v>3905929.5</x:v>
      </x:c>
      <x:c r="D155" s="6">
        <x:v>3905929.5</x:v>
      </x:c>
      <x:c r="E155" s="6"/>
      <x:c r="F155" s="7">
        <x:v>55</x:v>
      </x:c>
      <x:c r="G155" s="6">
        <x:v>22.561444999999999</x:v>
      </x:c>
      <x:c r="H155" s="8">
        <x:v>-1.1000000000000001</x:v>
      </x:c>
      <x:c r="I155" s="6">
        <x:f t="shared" si="28"/>
        <x:v>4837739.7948169503</x:v>
      </x:c>
      <x:c r="J155" s="23">
        <x:v>1.0732147188179053</x:v>
      </x:c>
      <x:c r="K155" s="9">
        <x:f t="shared" si="29"/>
        <x:v>5191933.5536086643</x:v>
      </x:c>
      <x:c r="L155" s="6"/>
      <x:c r="M155" s="10">
        <x:f t="shared" si="30"/>
        <x:v>5191933.5536086643</x:v>
      </x:c>
      <x:c r="N155" s="10">
        <x:f t="shared" si="31"/>
        <x:v>0</x:v>
      </x:c>
    </x:row>
    <x:row r="156" spans="1:14" s="7" customFormat="1" outlineLevel="2" x14ac:dyDescent="0.25">
      <x:c r="A156" s="4">
        <x:v>364</x:v>
      </x:c>
      <x:c r="B156" s="5" t="s">
        <x:v>70</x:v>
      </x:c>
      <x:c r="C156" s="6">
        <x:v>3213603.62</x:v>
      </x:c>
      <x:c r="D156" s="6">
        <x:v>3213603.62</x:v>
      </x:c>
      <x:c r="E156" s="6"/>
      <x:c r="F156" s="7">
        <x:v>55</x:v>
      </x:c>
      <x:c r="G156" s="6">
        <x:v>22.094287999999999</x:v>
      </x:c>
      <x:c r="H156" s="8">
        <x:v>-1.1000000000000001</x:v>
      </x:c>
      <x:c r="I156" s="6">
        <x:f t="shared" si="28"/>
        <x:v>4037571.3077080483</x:v>
      </x:c>
      <x:c r="J156" s="23">
        <x:v>1.0732147188179053</x:v>
      </x:c>
      <x:c r="K156" s="9">
        <x:f t="shared" si="29"/>
        <x:v>4333180.9557091352</x:v>
      </x:c>
      <x:c r="L156" s="6"/>
      <x:c r="M156" s="10">
        <x:f t="shared" si="30"/>
        <x:v>4333180.9557091352</x:v>
      </x:c>
      <x:c r="N156" s="10">
        <x:f t="shared" si="31"/>
        <x:v>0</x:v>
      </x:c>
    </x:row>
    <x:row r="157" spans="1:14" s="7" customFormat="1" outlineLevel="2" x14ac:dyDescent="0.25">
      <x:c r="A157" s="4">
        <x:v>364</x:v>
      </x:c>
      <x:c r="B157" s="5" t="s">
        <x:v>71</x:v>
      </x:c>
      <x:c r="C157" s="6">
        <x:v>17126178.07</x:v>
      </x:c>
      <x:c r="D157" s="6">
        <x:v>17126178.07</x:v>
      </x:c>
      <x:c r="E157" s="6"/>
      <x:c r="F157" s="7">
        <x:v>55</x:v>
      </x:c>
      <x:c r="G157" s="6">
        <x:v>21.631169</x:v>
      </x:c>
      <x:c r="H157" s="8">
        <x:v>-1.1000000000000001</x:v>
      </x:c>
      <x:c r="I157" s="6">
        <x:f t="shared" si="28"/>
        <x:v>21820166.137397204</x:v>
      </x:c>
      <x:c r="J157" s="23">
        <x:v>1.0732147188179053</x:v>
      </x:c>
      <x:c r="K157" s="9">
        <x:f t="shared" si="29"/>
        <x:v>23417723.465706717</x:v>
      </x:c>
      <x:c r="L157" s="6"/>
      <x:c r="M157" s="10">
        <x:f t="shared" si="30"/>
        <x:v>23417723.465706717</x:v>
      </x:c>
      <x:c r="N157" s="10">
        <x:f t="shared" si="31"/>
        <x:v>0</x:v>
      </x:c>
    </x:row>
    <x:row r="158" spans="1:14" s="7" customFormat="1" outlineLevel="2" x14ac:dyDescent="0.25">
      <x:c r="A158" s="4">
        <x:v>364</x:v>
      </x:c>
      <x:c r="B158" s="5" t="s">
        <x:v>72</x:v>
      </x:c>
      <x:c r="C158" s="6">
        <x:v>32631083.449999999</x:v>
      </x:c>
      <x:c r="D158" s="6">
        <x:v>32631083.449999999</x:v>
      </x:c>
      <x:c r="E158" s="6"/>
      <x:c r="F158" s="7">
        <x:v>55</x:v>
      </x:c>
      <x:c r="G158" s="6">
        <x:v>21.172052000000001</x:v>
      </x:c>
      <x:c r="H158" s="8">
        <x:v>-1.1000000000000001</x:v>
      </x:c>
      <x:c r="I158" s="6">
        <x:f t="shared" si="28"/>
        <x:v>42146717.230428137</x:v>
      </x:c>
      <x:c r="J158" s="23">
        <x:v>1.0732147188179053</x:v>
      </x:c>
      <x:c r="K158" s="9">
        <x:f t="shared" si="29"/>
        <x:v>45232477.281551696</x:v>
      </x:c>
      <x:c r="L158" s="6"/>
      <x:c r="M158" s="10">
        <x:f t="shared" si="30"/>
        <x:v>45232477.281551696</x:v>
      </x:c>
      <x:c r="N158" s="10">
        <x:f t="shared" si="31"/>
        <x:v>0</x:v>
      </x:c>
    </x:row>
    <x:row r="159" spans="1:14" s="7" customFormat="1" outlineLevel="2" x14ac:dyDescent="0.25">
      <x:c r="A159" s="4">
        <x:v>364</x:v>
      </x:c>
      <x:c r="B159" s="5" t="s">
        <x:v>73</x:v>
      </x:c>
      <x:c r="C159" s="6">
        <x:v>15246555.23</x:v>
      </x:c>
      <x:c r="D159" s="6">
        <x:v>15246555.23</x:v>
      </x:c>
      <x:c r="E159" s="6"/>
      <x:c r="F159" s="7">
        <x:v>55</x:v>
      </x:c>
      <x:c r="G159" s="6">
        <x:v>20.716968999999999</x:v>
      </x:c>
      <x:c r="H159" s="8">
        <x:v>-1.1000000000000001</x:v>
      </x:c>
      <x:c r="I159" s="6">
        <x:f t="shared" si="28"/>
        <x:v>19957564.795380626</x:v>
      </x:c>
      <x:c r="J159" s="23">
        <x:v>1.0732147188179053</x:v>
      </x:c>
      <x:c r="K159" s="9">
        <x:f t="shared" si="29"/>
        <x:v>21418752.290164545</x:v>
      </x:c>
      <x:c r="L159" s="6"/>
      <x:c r="M159" s="10">
        <x:f t="shared" si="30"/>
        <x:v>21418752.290164545</x:v>
      </x:c>
      <x:c r="N159" s="10">
        <x:f t="shared" si="31"/>
        <x:v>0</x:v>
      </x:c>
    </x:row>
    <x:row r="160" spans="1:14" s="7" customFormat="1" outlineLevel="2" x14ac:dyDescent="0.25">
      <x:c r="A160" s="4">
        <x:v>364</x:v>
      </x:c>
      <x:c r="B160" s="5" t="s">
        <x:v>74</x:v>
      </x:c>
      <x:c r="C160" s="6">
        <x:v>1499770.52</x:v>
      </x:c>
      <x:c r="D160" s="6">
        <x:v>1499770.52</x:v>
      </x:c>
      <x:c r="E160" s="6"/>
      <x:c r="F160" s="7">
        <x:v>55</x:v>
      </x:c>
      <x:c r="G160" s="6">
        <x:v>20.265754000000001</x:v>
      </x:c>
      <x:c r="H160" s="8">
        <x:v>-1.1000000000000001</x:v>
      </x:c>
      <x:c r="I160" s="6">
        <x:f t="shared" si="28"/>
        <x:v>1989020.6579814299</x:v>
      </x:c>
      <x:c r="J160" s="23">
        <x:v>1.0732147188179053</x:v>
      </x:c>
      <x:c r="K160" s="9">
        <x:f t="shared" si="29"/>
        <x:v>2134646.2461785455</x:v>
      </x:c>
      <x:c r="L160" s="6"/>
      <x:c r="M160" s="10">
        <x:f t="shared" si="30"/>
        <x:v>2134646.2461785455</x:v>
      </x:c>
      <x:c r="N160" s="10">
        <x:f t="shared" si="31"/>
        <x:v>0</x:v>
      </x:c>
    </x:row>
    <x:row r="161" spans="1:14" s="7" customFormat="1" outlineLevel="2" x14ac:dyDescent="0.25">
      <x:c r="A161" s="4">
        <x:v>364</x:v>
      </x:c>
      <x:c r="B161" s="5" t="s">
        <x:v>75</x:v>
      </x:c>
      <x:c r="C161" s="6">
        <x:v>370637.85</x:v>
      </x:c>
      <x:c r="D161" s="6">
        <x:v>370637.85</x:v>
      </x:c>
      <x:c r="E161" s="6"/>
      <x:c r="F161" s="7">
        <x:v>55</x:v>
      </x:c>
      <x:c r="G161" s="6">
        <x:v>19.818352999999998</x:v>
      </x:c>
      <x:c r="H161" s="8">
        <x:v>-1.1000000000000001</x:v>
      </x:c>
      <x:c r="I161" s="6">
        <x:f t="shared" si="28"/>
        <x:v>497877.54558966903</x:v>
      </x:c>
      <x:c r="J161" s="23">
        <x:v>1.0732147188179053</x:v>
      </x:c>
      <x:c r="K161" s="9">
        <x:f t="shared" si="29"/>
        <x:v>534329.51009576546</x:v>
      </x:c>
      <x:c r="L161" s="6"/>
      <x:c r="M161" s="10">
        <x:f t="shared" si="30"/>
        <x:v>534329.51009576546</x:v>
      </x:c>
      <x:c r="N161" s="10">
        <x:f t="shared" si="31"/>
        <x:v>0</x:v>
      </x:c>
    </x:row>
    <x:row r="162" spans="1:14" s="7" customFormat="1" outlineLevel="2" x14ac:dyDescent="0.25">
      <x:c r="A162" s="4">
        <x:v>364</x:v>
      </x:c>
      <x:c r="B162" s="5" t="s">
        <x:v>76</x:v>
      </x:c>
      <x:c r="C162" s="6">
        <x:v>173083.32</x:v>
      </x:c>
      <x:c r="D162" s="6">
        <x:v>173083.32</x:v>
      </x:c>
      <x:c r="E162" s="6"/>
      <x:c r="F162" s="7">
        <x:v>55</x:v>
      </x:c>
      <x:c r="G162" s="6">
        <x:v>19.374704000000001</x:v>
      </x:c>
      <x:c r="H162" s="8">
        <x:v>-1.1000000000000001</x:v>
      </x:c>
      <x:c r="I162" s="6">
        <x:f t="shared" si="28"/>
        <x:v>235434.60847439474</x:v>
      </x:c>
      <x:c r="J162" s="23">
        <x:v>1.0732147188179053</x:v>
      </x:c>
      <x:c r="K162" s="9">
        <x:f t="shared" si="29"/>
        <x:v>252671.88713385118</x:v>
      </x:c>
      <x:c r="L162" s="6"/>
      <x:c r="M162" s="10">
        <x:f t="shared" si="30"/>
        <x:v>252671.88713385118</x:v>
      </x:c>
      <x:c r="N162" s="10">
        <x:f t="shared" si="31"/>
        <x:v>0</x:v>
      </x:c>
    </x:row>
    <x:row r="163" spans="1:14" s="7" customFormat="1" outlineLevel="2" x14ac:dyDescent="0.25">
      <x:c r="A163" s="4">
        <x:v>364</x:v>
      </x:c>
      <x:c r="B163" s="5" t="s">
        <x:v>77</x:v>
      </x:c>
      <x:c r="C163" s="6">
        <x:v>442520.99</x:v>
      </x:c>
      <x:c r="D163" s="6">
        <x:v>442520.99</x:v>
      </x:c>
      <x:c r="E163" s="6"/>
      <x:c r="F163" s="7">
        <x:v>55</x:v>
      </x:c>
      <x:c r="G163" s="6">
        <x:v>18.934736999999998</x:v>
      </x:c>
      <x:c r="H163" s="8">
        <x:v>-1.1000000000000001</x:v>
      </x:c>
      <x:c r="I163" s="6">
        <x:f t="shared" si="28"/>
        <x:v>609367.91569959605</x:v>
      </x:c>
      <x:c r="J163" s="23">
        <x:v>1.0732147188179053</x:v>
      </x:c>
      <x:c r="K163" s="9">
        <x:f t="shared" si="29"/>
        <x:v>653982.61630419502</x:v>
      </x:c>
      <x:c r="L163" s="6"/>
      <x:c r="M163" s="10">
        <x:f t="shared" si="30"/>
        <x:v>653982.61630419502</x:v>
      </x:c>
      <x:c r="N163" s="10">
        <x:f t="shared" si="31"/>
        <x:v>0</x:v>
      </x:c>
    </x:row>
    <x:row r="164" spans="1:14" s="7" customFormat="1" outlineLevel="2" x14ac:dyDescent="0.25">
      <x:c r="A164" s="4">
        <x:v>364</x:v>
      </x:c>
      <x:c r="B164" s="5" t="s">
        <x:v>78</x:v>
      </x:c>
      <x:c r="C164" s="6">
        <x:v>489314.57</x:v>
      </x:c>
      <x:c r="D164" s="6">
        <x:v>489314.57</x:v>
      </x:c>
      <x:c r="E164" s="6"/>
      <x:c r="F164" s="7">
        <x:v>55</x:v>
      </x:c>
      <x:c r="G164" s="6">
        <x:v>18.498369</x:v>
      </x:c>
      <x:c r="H164" s="8">
        <x:v>-1.1000000000000001</x:v>
      </x:c>
      <x:c r="I164" s="6">
        <x:f t="shared" si="28"/>
        <x:v>681957.04985152197</x:v>
      </x:c>
      <x:c r="J164" s="23">
        <x:v>1.0732147188179053</x:v>
      </x:c>
      <x:c r="K164" s="9">
        <x:f t="shared" si="29"/>
        <x:v>731886.34350228938</x:v>
      </x:c>
      <x:c r="L164" s="6"/>
      <x:c r="M164" s="10">
        <x:f t="shared" si="30"/>
        <x:v>731886.34350228938</x:v>
      </x:c>
      <x:c r="N164" s="10">
        <x:f t="shared" si="31"/>
        <x:v>0</x:v>
      </x:c>
    </x:row>
    <x:row r="165" spans="1:14" s="7" customFormat="1" outlineLevel="2" x14ac:dyDescent="0.25">
      <x:c r="A165" s="4">
        <x:v>364</x:v>
      </x:c>
      <x:c r="B165" s="5" t="s">
        <x:v>79</x:v>
      </x:c>
      <x:c r="C165" s="6">
        <x:v>244016.48</x:v>
      </x:c>
      <x:c r="D165" s="6">
        <x:v>244016.48</x:v>
      </x:c>
      <x:c r="E165" s="6"/>
      <x:c r="F165" s="7">
        <x:v>55</x:v>
      </x:c>
      <x:c r="G165" s="6">
        <x:v>18.065486</x:v>
      </x:c>
      <x:c r="H165" s="8">
        <x:v>-1.1000000000000001</x:v>
      </x:c>
      <x:c r="I165" s="6">
        <x:f t="shared" si="28"/>
        <x:v>344118.60369564575</x:v>
      </x:c>
      <x:c r="J165" s="23">
        <x:v>1.0732147188179053</x:v>
      </x:c>
      <x:c r="K165" s="9">
        <x:f t="shared" si="29"/>
        <x:v>369313.15050523262</x:v>
      </x:c>
      <x:c r="L165" s="6"/>
      <x:c r="M165" s="10">
        <x:f t="shared" si="30"/>
        <x:v>369313.15050523262</x:v>
      </x:c>
      <x:c r="N165" s="10">
        <x:f t="shared" si="31"/>
        <x:v>0</x:v>
      </x:c>
    </x:row>
    <x:row r="166" spans="1:14" s="7" customFormat="1" outlineLevel="2" x14ac:dyDescent="0.25">
      <x:c r="A166" s="4">
        <x:v>364</x:v>
      </x:c>
      <x:c r="B166" s="5" t="s">
        <x:v>80</x:v>
      </x:c>
      <x:c r="C166" s="6">
        <x:v>207828.56</x:v>
      </x:c>
      <x:c r="D166" s="6">
        <x:v>207828.56</x:v>
      </x:c>
      <x:c r="E166" s="6"/>
      <x:c r="F166" s="7">
        <x:v>55</x:v>
      </x:c>
      <x:c r="G166" s="6">
        <x:v>17.635998000000001</x:v>
      </x:c>
      <x:c r="H166" s="8">
        <x:v>-1.1000000000000001</x:v>
      </x:c>
      <x:c r="I166" s="6">
        <x:f t="shared" si="28"/>
        <x:v>296493.52974807186</x:v>
      </x:c>
      <x:c r="J166" s="23">
        <x:v>1.0732147188179053</x:v>
      </x:c>
      <x:c r="K166" s="9">
        <x:f t="shared" si="29"/>
        <x:v>318201.22015990521</x:v>
      </x:c>
      <x:c r="L166" s="6"/>
      <x:c r="M166" s="10">
        <x:f t="shared" si="30"/>
        <x:v>318201.22015990521</x:v>
      </x:c>
      <x:c r="N166" s="10">
        <x:f t="shared" si="31"/>
        <x:v>0</x:v>
      </x:c>
    </x:row>
    <x:row r="167" spans="1:14" s="7" customFormat="1" outlineLevel="2" x14ac:dyDescent="0.25">
      <x:c r="A167" s="4">
        <x:v>364</x:v>
      </x:c>
      <x:c r="B167" s="5" t="s">
        <x:v>81</x:v>
      </x:c>
      <x:c r="C167" s="6">
        <x:v>167048.82999999999</x:v>
      </x:c>
      <x:c r="D167" s="6">
        <x:v>167048.82999999999</x:v>
      </x:c>
      <x:c r="E167" s="6"/>
      <x:c r="F167" s="7">
        <x:v>55</x:v>
      </x:c>
      <x:c r="G167" s="6">
        <x:v>17.209816</x:v>
      </x:c>
      <x:c r="H167" s="8">
        <x:v>-1.1000000000000001</x:v>
      </x:c>
      <x:c r="I167" s="6">
        <x:f t="shared" ref="I167:I187" si="32">+C167*(1-H167)*(1-G167/F167)</x:f>
        <x:v>241034.4117752348</x:v>
      </x:c>
      <x:c r="J167" s="23">
        <x:v>1.0732147188179053</x:v>
      </x:c>
      <x:c r="K167" s="9">
        <x:f t="shared" ref="K167:K187" si="33">IF((C167*(1-H167)-I167*J167)&lt;0,C167*(1-H167),I167*J167)</x:f>
        <x:v>258681.6784587978</x:v>
      </x:c>
      <x:c r="L167" s="6"/>
      <x:c r="M167" s="10">
        <x:f t="shared" ref="M167:M187" si="34">+K167/D167*C167</x:f>
        <x:v>258681.6784587978</x:v>
      </x:c>
      <x:c r="N167" s="10">
        <x:f t="shared" ref="N167:N187" si="35">+E167/C167*K167</x:f>
        <x:v>0</x:v>
      </x:c>
    </x:row>
    <x:row r="168" spans="1:14" s="7" customFormat="1" outlineLevel="2" x14ac:dyDescent="0.25">
      <x:c r="A168" s="4">
        <x:v>364</x:v>
      </x:c>
      <x:c r="B168" s="5" t="s">
        <x:v>82</x:v>
      </x:c>
      <x:c r="C168" s="6">
        <x:v>110450.74</x:v>
      </x:c>
      <x:c r="D168" s="6">
        <x:v>110450.74</x:v>
      </x:c>
      <x:c r="E168" s="6"/>
      <x:c r="F168" s="7">
        <x:v>55</x:v>
      </x:c>
      <x:c r="G168" s="6">
        <x:v>16.786842</x:v>
      </x:c>
      <x:c r="H168" s="8">
        <x:v>-1.1000000000000001</x:v>
      </x:c>
      <x:c r="I168" s="6">
        <x:f t="shared" si="32"/>
        <x:v>161152.91482831878</x:v>
      </x:c>
      <x:c r="J168" s="23">
        <x:v>1.0732147188179053</x:v>
      </x:c>
      <x:c r="K168" s="9">
        <x:f t="shared" si="33"/>
        <x:v>172951.68017415999</x:v>
      </x:c>
      <x:c r="L168" s="6"/>
      <x:c r="M168" s="10">
        <x:f t="shared" si="34"/>
        <x:v>172951.68017415999</x:v>
      </x:c>
      <x:c r="N168" s="10">
        <x:f t="shared" si="35"/>
        <x:v>0</x:v>
      </x:c>
    </x:row>
    <x:row r="169" spans="1:14" s="7" customFormat="1" outlineLevel="2" x14ac:dyDescent="0.25">
      <x:c r="A169" s="4">
        <x:v>364</x:v>
      </x:c>
      <x:c r="B169" s="5" t="s">
        <x:v>83</x:v>
      </x:c>
      <x:c r="C169" s="6">
        <x:v>116302.2</x:v>
      </x:c>
      <x:c r="D169" s="6">
        <x:v>116302.2</x:v>
      </x:c>
      <x:c r="E169" s="6"/>
      <x:c r="F169" s="7">
        <x:v>55</x:v>
      </x:c>
      <x:c r="G169" s="6">
        <x:v>16.366973999999999</x:v>
      </x:c>
      <x:c r="H169" s="8">
        <x:v>-1.1000000000000001</x:v>
      </x:c>
      <x:c r="I169" s="6">
        <x:f t="shared" si="32"/>
        <x:v>171554.95317382034</x:v>
      </x:c>
      <x:c r="J169" s="23">
        <x:v>1.0732147188179053</x:v>
      </x:c>
      <x:c r="K169" s="9">
        <x:f t="shared" si="33"/>
        <x:v>184115.30083226052</x:v>
      </x:c>
      <x:c r="L169" s="6"/>
      <x:c r="M169" s="10">
        <x:f t="shared" si="34"/>
        <x:v>184115.30083226052</x:v>
      </x:c>
      <x:c r="N169" s="10">
        <x:f t="shared" si="35"/>
        <x:v>0</x:v>
      </x:c>
    </x:row>
    <x:row r="170" spans="1:14" s="7" customFormat="1" outlineLevel="2" x14ac:dyDescent="0.25">
      <x:c r="A170" s="4">
        <x:v>364</x:v>
      </x:c>
      <x:c r="B170" s="5" t="s">
        <x:v>84</x:v>
      </x:c>
      <x:c r="C170" s="6">
        <x:v>118688.67</x:v>
      </x:c>
      <x:c r="D170" s="6">
        <x:v>118688.67</x:v>
      </x:c>
      <x:c r="E170" s="6"/>
      <x:c r="F170" s="7">
        <x:v>55</x:v>
      </x:c>
      <x:c r="G170" s="6">
        <x:v>15.949911999999999</x:v>
      </x:c>
      <x:c r="H170" s="8">
        <x:v>-1.1000000000000001</x:v>
      </x:c>
      <x:c r="I170" s="6">
        <x:f t="shared" si="32"/>
        <x:v>176965.20576393121</x:v>
      </x:c>
      <x:c r="J170" s="23">
        <x:v>1.0732147188179053</x:v>
      </x:c>
      <x:c r="K170" s="9">
        <x:f t="shared" si="33"/>
        <x:v>189921.66354449021</x:v>
      </x:c>
      <x:c r="L170" s="6"/>
      <x:c r="M170" s="10">
        <x:f t="shared" si="34"/>
        <x:v>189921.66354449021</x:v>
      </x:c>
      <x:c r="N170" s="10">
        <x:f t="shared" si="35"/>
        <x:v>0</x:v>
      </x:c>
    </x:row>
    <x:row r="171" spans="1:14" s="7" customFormat="1" outlineLevel="2" x14ac:dyDescent="0.25">
      <x:c r="A171" s="4">
        <x:v>364</x:v>
      </x:c>
      <x:c r="B171" s="5" t="s">
        <x:v>85</x:v>
      </x:c>
      <x:c r="C171" s="6">
        <x:v>101844.6</x:v>
      </x:c>
      <x:c r="D171" s="6">
        <x:v>101844.6</x:v>
      </x:c>
      <x:c r="E171" s="6"/>
      <x:c r="F171" s="7">
        <x:v>55</x:v>
      </x:c>
      <x:c r="G171" s="6">
        <x:v>15.53565</x:v>
      </x:c>
      <x:c r="H171" s="8">
        <x:v>-1.1000000000000001</x:v>
      </x:c>
      <x:c r="I171" s="6">
        <x:f t="shared" si="32"/>
        <x:v>153461.54498220005</x:v>
      </x:c>
      <x:c r="J171" s="23">
        <x:v>1.0732147188179053</x:v>
      </x:c>
      <x:c r="K171" s="9">
        <x:f t="shared" si="33"/>
        <x:v>164697.18884743316</x:v>
      </x:c>
      <x:c r="L171" s="6"/>
      <x:c r="M171" s="10">
        <x:f t="shared" si="34"/>
        <x:v>164697.18884743316</x:v>
      </x:c>
      <x:c r="N171" s="10">
        <x:f t="shared" si="35"/>
        <x:v>0</x:v>
      </x:c>
    </x:row>
    <x:row r="172" spans="1:14" s="7" customFormat="1" outlineLevel="2" x14ac:dyDescent="0.25">
      <x:c r="A172" s="4">
        <x:v>364</x:v>
      </x:c>
      <x:c r="B172" s="5" t="s">
        <x:v>86</x:v>
      </x:c>
      <x:c r="C172" s="6">
        <x:v>46729.52</x:v>
      </x:c>
      <x:c r="D172" s="6">
        <x:v>46729.52</x:v>
      </x:c>
      <x:c r="E172" s="6"/>
      <x:c r="F172" s="7">
        <x:v>55</x:v>
      </x:c>
      <x:c r="G172" s="6">
        <x:v>15.124060999999999</x:v>
      </x:c>
      <x:c r="H172" s="8">
        <x:v>-1.1000000000000001</x:v>
      </x:c>
      <x:c r="I172" s="6">
        <x:f t="shared" si="32"/>
        <x:v>71147.369580736136</x:v>
      </x:c>
      <x:c r="J172" s="23">
        <x:v>1.0732147188179053</x:v>
      </x:c>
      <x:c r="K172" s="9">
        <x:f t="shared" si="33"/>
        <x:v>76356.404239223324</x:v>
      </x:c>
      <x:c r="L172" s="6"/>
      <x:c r="M172" s="10">
        <x:f t="shared" si="34"/>
        <x:v>76356.404239223324</x:v>
      </x:c>
      <x:c r="N172" s="10">
        <x:f t="shared" si="35"/>
        <x:v>0</x:v>
      </x:c>
    </x:row>
    <x:row r="173" spans="1:14" s="7" customFormat="1" outlineLevel="2" x14ac:dyDescent="0.25">
      <x:c r="A173" s="4">
        <x:v>364</x:v>
      </x:c>
      <x:c r="B173" s="5" t="s">
        <x:v>87</x:v>
      </x:c>
      <x:c r="C173" s="6">
        <x:v>66707.06</x:v>
      </x:c>
      <x:c r="D173" s="6">
        <x:v>66707.06</x:v>
      </x:c>
      <x:c r="E173" s="6"/>
      <x:c r="F173" s="7">
        <x:v>55</x:v>
      </x:c>
      <x:c r="G173" s="6">
        <x:v>14.715011000000001</x:v>
      </x:c>
      <x:c r="H173" s="8">
        <x:v>-1.1000000000000001</x:v>
      </x:c>
      <x:c r="I173" s="6">
        <x:f t="shared" si="32"/>
        <x:v>102605.7395359439</x:v>
      </x:c>
      <x:c r="J173" s="23">
        <x:v>1.0732147188179053</x:v>
      </x:c>
      <x:c r="K173" s="9">
        <x:f t="shared" si="33"/>
        <x:v>110117.98990517126</x:v>
      </x:c>
      <x:c r="L173" s="6"/>
      <x:c r="M173" s="10">
        <x:f t="shared" si="34"/>
        <x:v>110117.98990517126</x:v>
      </x:c>
      <x:c r="N173" s="10">
        <x:f t="shared" si="35"/>
        <x:v>0</x:v>
      </x:c>
    </x:row>
    <x:row r="174" spans="1:14" s="7" customFormat="1" outlineLevel="2" x14ac:dyDescent="0.25">
      <x:c r="A174" s="4">
        <x:v>364</x:v>
      </x:c>
      <x:c r="B174" s="5" t="s">
        <x:v>88</x:v>
      </x:c>
      <x:c r="C174" s="6">
        <x:v>28674.69</x:v>
      </x:c>
      <x:c r="D174" s="6">
        <x:v>28674.69</x:v>
      </x:c>
      <x:c r="E174" s="6"/>
      <x:c r="F174" s="7">
        <x:v>55</x:v>
      </x:c>
      <x:c r="G174" s="6">
        <x:v>14.308355000000001</x:v>
      </x:c>
      <x:c r="H174" s="8">
        <x:v>-1.1000000000000001</x:v>
      </x:c>
      <x:c r="I174" s="6">
        <x:f t="shared" si="32"/>
        <x:v>44551.320773211002</x:v>
      </x:c>
      <x:c r="J174" s="23">
        <x:v>1.0732147188179053</x:v>
      </x:c>
      <x:c r="K174" s="9">
        <x:f t="shared" si="33"/>
        <x:v>47813.133196587951</x:v>
      </x:c>
      <x:c r="L174" s="6"/>
      <x:c r="M174" s="10">
        <x:f t="shared" si="34"/>
        <x:v>47813.133196587951</x:v>
      </x:c>
      <x:c r="N174" s="10">
        <x:f t="shared" si="35"/>
        <x:v>0</x:v>
      </x:c>
    </x:row>
    <x:row r="175" spans="1:14" s="7" customFormat="1" outlineLevel="2" x14ac:dyDescent="0.25">
      <x:c r="A175" s="4">
        <x:v>364</x:v>
      </x:c>
      <x:c r="B175" s="5" t="s">
        <x:v>89</x:v>
      </x:c>
      <x:c r="C175" s="6">
        <x:v>24184.61</x:v>
      </x:c>
      <x:c r="D175" s="6">
        <x:v>24184.61</x:v>
      </x:c>
      <x:c r="E175" s="6"/>
      <x:c r="F175" s="7">
        <x:v>55</x:v>
      </x:c>
      <x:c r="G175" s="6">
        <x:v>13.903753999999999</x:v>
      </x:c>
      <x:c r="H175" s="8">
        <x:v>-1.1000000000000001</x:v>
      </x:c>
      <x:c r="I175" s="6">
        <x:f t="shared" si="32"/>
        <x:v>37948.782402645935</x:v>
      </x:c>
      <x:c r="J175" s="23">
        <x:v>1.0732147188179053</x:v>
      </x:c>
      <x:c r="K175" s="9">
        <x:f t="shared" si="33"/>
        <x:v>40727.191835737533</x:v>
      </x:c>
      <x:c r="L175" s="6"/>
      <x:c r="M175" s="10">
        <x:f t="shared" si="34"/>
        <x:v>40727.191835737533</x:v>
      </x:c>
      <x:c r="N175" s="10">
        <x:f t="shared" si="35"/>
        <x:v>0</x:v>
      </x:c>
    </x:row>
    <x:row r="176" spans="1:14" s="7" customFormat="1" outlineLevel="2" x14ac:dyDescent="0.25">
      <x:c r="A176" s="4">
        <x:v>364</x:v>
      </x:c>
      <x:c r="B176" s="5" t="s">
        <x:v>90</x:v>
      </x:c>
      <x:c r="C176" s="6">
        <x:v>832.24</x:v>
      </x:c>
      <x:c r="D176" s="6">
        <x:v>832.24</x:v>
      </x:c>
      <x:c r="E176" s="6"/>
      <x:c r="F176" s="7">
        <x:v>55</x:v>
      </x:c>
      <x:c r="G176" s="6">
        <x:v>13.500982</x:v>
      </x:c>
      <x:c r="H176" s="8">
        <x:v>-1.1000000000000001</x:v>
      </x:c>
      <x:c r="I176" s="6">
        <x:f t="shared" si="32"/>
        <x:v>1318.6909046304002</x:v>
      </x:c>
      <x:c r="J176" s="23">
        <x:v>1.0732147188179053</x:v>
      </x:c>
      <x:c r="K176" s="9">
        <x:f t="shared" si="33"/>
        <x:v>1415.238488420644</x:v>
      </x:c>
      <x:c r="L176" s="6"/>
      <x:c r="M176" s="10">
        <x:f t="shared" si="34"/>
        <x:v>1415.238488420644</x:v>
      </x:c>
      <x:c r="N176" s="10">
        <x:f t="shared" si="35"/>
        <x:v>0</x:v>
      </x:c>
    </x:row>
    <x:row r="177" spans="1:15" s="7" customFormat="1" outlineLevel="2" x14ac:dyDescent="0.25">
      <x:c r="A177" s="4">
        <x:v>364</x:v>
      </x:c>
      <x:c r="B177" s="5" t="s">
        <x:v>91</x:v>
      </x:c>
      <x:c r="C177" s="6">
        <x:v>1424.29</x:v>
      </x:c>
      <x:c r="D177" s="6">
        <x:v>1424.29</x:v>
      </x:c>
      <x:c r="E177" s="6"/>
      <x:c r="F177" s="7">
        <x:v>55</x:v>
      </x:c>
      <x:c r="G177" s="6">
        <x:v>13.099997999999999</x:v>
      </x:c>
      <x:c r="H177" s="8">
        <x:v>-1.1000000000000001</x:v>
      </x:c>
      <x:c r="I177" s="6">
        <x:f t="shared" si="32"/>
        <x:v>2278.6051469457816</x:v>
      </x:c>
      <x:c r="J177" s="23">
        <x:v>1.0732147188179053</x:v>
      </x:c>
      <x:c r="K177" s="9">
        <x:f t="shared" si="33"/>
        <x:v>2445.4325820764489</x:v>
      </x:c>
      <x:c r="L177" s="6"/>
      <x:c r="M177" s="10">
        <x:f t="shared" si="34"/>
        <x:v>2445.4325820764489</x:v>
      </x:c>
      <x:c r="N177" s="10">
        <x:f t="shared" si="35"/>
        <x:v>0</x:v>
      </x:c>
    </x:row>
    <x:row r="178" spans="1:15" s="7" customFormat="1" outlineLevel="2" x14ac:dyDescent="0.25">
      <x:c r="A178" s="4">
        <x:v>364</x:v>
      </x:c>
      <x:c r="B178" s="5" t="s">
        <x:v>92</x:v>
      </x:c>
      <x:c r="C178" s="6">
        <x:v>3551.28</x:v>
      </x:c>
      <x:c r="D178" s="6">
        <x:v>3551.28</x:v>
      </x:c>
      <x:c r="E178" s="6"/>
      <x:c r="F178" s="7">
        <x:v>55</x:v>
      </x:c>
      <x:c r="G178" s="6">
        <x:v>12.700612</x:v>
      </x:c>
      <x:c r="H178" s="8">
        <x:v>-1.1000000000000001</x:v>
      </x:c>
      <x:c r="I178" s="6">
        <x:f t="shared" si="32"/>
        <x:v>5735.5570599080738</x:v>
      </x:c>
      <x:c r="J178" s="23">
        <x:v>1.0732147188179053</x:v>
      </x:c>
      <x:c r="K178" s="9">
        <x:f t="shared" si="33"/>
        <x:v>6155.4842573132955</x:v>
      </x:c>
      <x:c r="L178" s="6"/>
      <x:c r="M178" s="10">
        <x:f t="shared" si="34"/>
        <x:v>6155.4842573132955</x:v>
      </x:c>
      <x:c r="N178" s="10">
        <x:f t="shared" si="35"/>
        <x:v>0</x:v>
      </x:c>
    </x:row>
    <x:row r="179" spans="1:15" s="7" customFormat="1" outlineLevel="2" x14ac:dyDescent="0.25">
      <x:c r="A179" s="4">
        <x:v>364</x:v>
      </x:c>
      <x:c r="B179" s="5" t="s">
        <x:v>95</x:v>
      </x:c>
      <x:c r="C179" s="6">
        <x:v>2760.96</x:v>
      </x:c>
      <x:c r="D179" s="6">
        <x:v>2760.96</x:v>
      </x:c>
      <x:c r="E179" s="6"/>
      <x:c r="F179" s="7">
        <x:v>55</x:v>
      </x:c>
      <x:c r="G179" s="6">
        <x:v>11.509313000000001</x:v>
      </x:c>
      <x:c r="H179" s="8">
        <x:v>-1.1000000000000001</x:v>
      </x:c>
      <x:c r="I179" s="6">
        <x:f t="shared" si="32"/>
        <x:v>4584.7218013998545</x:v>
      </x:c>
      <x:c r="J179" s="23">
        <x:v>1.0732147188179053</x:v>
      </x:c>
      <x:c r="K179" s="9">
        <x:f t="shared" si="33"/>
        <x:v>4920.3909189476653</x:v>
      </x:c>
      <x:c r="L179" s="6"/>
      <x:c r="M179" s="10">
        <x:f t="shared" si="34"/>
        <x:v>4920.3909189476653</x:v>
      </x:c>
      <x:c r="N179" s="10">
        <x:f t="shared" si="35"/>
        <x:v>0</x:v>
      </x:c>
    </x:row>
    <x:row r="180" spans="1:15" s="7" customFormat="1" outlineLevel="2" x14ac:dyDescent="0.25">
      <x:c r="A180" s="4">
        <x:v>364</x:v>
      </x:c>
      <x:c r="B180" s="5" t="s">
        <x:v>96</x:v>
      </x:c>
      <x:c r="C180" s="6">
        <x:v>50.99</x:v>
      </x:c>
      <x:c r="D180" s="6">
        <x:v>50.99</x:v>
      </x:c>
      <x:c r="E180" s="6"/>
      <x:c r="F180" s="7">
        <x:v>55</x:v>
      </x:c>
      <x:c r="G180" s="6">
        <x:v>11.113377</x:v>
      </x:c>
      <x:c r="H180" s="8">
        <x:v>-1.1000000000000001</x:v>
      </x:c>
      <x:c r="I180" s="6">
        <x:f t="shared" si="32"/>
        <x:v>85.442467349400005</x:v>
      </x:c>
      <x:c r="J180" s="23">
        <x:v>1.0732147188179053</x:v>
      </x:c>
      <x:c r="K180" s="9">
        <x:f t="shared" si="33"/>
        <x:v>91.698113571494375</x:v>
      </x:c>
      <x:c r="L180" s="6"/>
      <x:c r="M180" s="10">
        <x:f t="shared" si="34"/>
        <x:v>91.698113571494375</x:v>
      </x:c>
      <x:c r="N180" s="10">
        <x:f t="shared" si="35"/>
        <x:v>0</x:v>
      </x:c>
    </x:row>
    <x:row r="181" spans="1:15" s="7" customFormat="1" outlineLevel="2" x14ac:dyDescent="0.25">
      <x:c r="A181" s="4">
        <x:v>364</x:v>
      </x:c>
      <x:c r="B181" s="5" t="s">
        <x:v>98</x:v>
      </x:c>
      <x:c r="C181" s="6">
        <x:v>40.24</x:v>
      </x:c>
      <x:c r="D181" s="6">
        <x:v>40.24</x:v>
      </x:c>
      <x:c r="E181" s="6"/>
      <x:c r="F181" s="7">
        <x:v>55</x:v>
      </x:c>
      <x:c r="G181" s="6">
        <x:v>10.322029000000001</x:v>
      </x:c>
      <x:c r="H181" s="8">
        <x:v>-1.1000000000000001</x:v>
      </x:c>
      <x:c r="I181" s="6">
        <x:f t="shared" si="32"/>
        <x:v>68.644859297890903</x:v>
      </x:c>
      <x:c r="J181" s="23">
        <x:v>1.0732147188179053</x:v>
      </x:c>
      <x:c r="K181" s="9">
        <x:f t="shared" si="33"/>
        <x:v>73.670673369680657</x:v>
      </x:c>
      <x:c r="L181" s="6"/>
      <x:c r="M181" s="10">
        <x:f t="shared" si="34"/>
        <x:v>73.670673369680657</x:v>
      </x:c>
      <x:c r="N181" s="10">
        <x:f t="shared" si="35"/>
        <x:v>0</x:v>
      </x:c>
    </x:row>
    <x:row r="182" spans="1:15" s="7" customFormat="1" outlineLevel="2" x14ac:dyDescent="0.25">
      <x:c r="A182" s="4">
        <x:v>364</x:v>
      </x:c>
      <x:c r="B182" s="5" t="s">
        <x:v>101</x:v>
      </x:c>
      <x:c r="C182" s="6">
        <x:v>244.38</x:v>
      </x:c>
      <x:c r="D182" s="6">
        <x:v>244.38</x:v>
      </x:c>
      <x:c r="E182" s="6"/>
      <x:c r="F182" s="7">
        <x:v>55</x:v>
      </x:c>
      <x:c r="G182" s="6">
        <x:v>9.1302400000000006</x:v>
      </x:c>
      <x:c r="H182" s="8">
        <x:v>-1.1000000000000001</x:v>
      </x:c>
      <x:c r="I182" s="6">
        <x:f t="shared" si="32"/>
        <x:v>428.00489259054547</x:v>
      </x:c>
      <x:c r="J182" s="23">
        <x:v>1.0732147188179053</x:v>
      </x:c>
      <x:c r="K182" s="9">
        <x:f t="shared" si="33"/>
        <x:v>459.34115045425</x:v>
      </x:c>
      <x:c r="L182" s="6"/>
      <x:c r="M182" s="10">
        <x:f t="shared" si="34"/>
        <x:v>459.34115045425</x:v>
      </x:c>
      <x:c r="N182" s="10">
        <x:f t="shared" si="35"/>
        <x:v>0</x:v>
      </x:c>
    </x:row>
    <x:row r="183" spans="1:15" s="7" customFormat="1" outlineLevel="2" x14ac:dyDescent="0.25">
      <x:c r="A183" s="4">
        <x:v>364</x:v>
      </x:c>
      <x:c r="B183" s="5" t="s">
        <x:v>102</x:v>
      </x:c>
      <x:c r="C183" s="6">
        <x:v>84.86</x:v>
      </x:c>
      <x:c r="D183" s="6">
        <x:v>84.86</x:v>
      </x:c>
      <x:c r="E183" s="6"/>
      <x:c r="F183" s="7">
        <x:v>55</x:v>
      </x:c>
      <x:c r="G183" s="6">
        <x:v>8.7299860000000002</x:v>
      </x:c>
      <x:c r="H183" s="8">
        <x:v>-1.1000000000000001</x:v>
      </x:c>
      <x:c r="I183" s="6">
        <x:f t="shared" si="32"/>
        <x:v>149.91989299789091</x:v>
      </x:c>
      <x:c r="J183" s="23">
        <x:v>1.0732147188179053</x:v>
      </x:c>
      <x:c r="K183" s="9">
        <x:f t="shared" si="33"/>
        <x:v>160.89623580894195</x:v>
      </x:c>
      <x:c r="L183" s="6"/>
      <x:c r="M183" s="10">
        <x:f t="shared" si="34"/>
        <x:v>160.89623580894195</x:v>
      </x:c>
      <x:c r="N183" s="10">
        <x:f t="shared" si="35"/>
        <x:v>0</x:v>
      </x:c>
    </x:row>
    <x:row r="184" spans="1:15" s="7" customFormat="1" outlineLevel="2" x14ac:dyDescent="0.25">
      <x:c r="A184" s="4">
        <x:v>364</x:v>
      </x:c>
      <x:c r="B184" s="5" t="s">
        <x:v>104</x:v>
      </x:c>
      <x:c r="C184" s="6">
        <x:v>467.79</x:v>
      </x:c>
      <x:c r="D184" s="6">
        <x:v>467.79</x:v>
      </x:c>
      <x:c r="E184" s="6"/>
      <x:c r="F184" s="7">
        <x:v>55</x:v>
      </x:c>
      <x:c r="G184" s="6">
        <x:v>7.9230309999999999</x:v>
      </x:c>
      <x:c r="H184" s="8">
        <x:v>-1.1000000000000001</x:v>
      </x:c>
      <x:c r="I184" s="6">
        <x:f t="shared" si="32"/>
        <x:v>840.84516708856358</x:v>
      </x:c>
      <x:c r="J184" s="23">
        <x:v>1.0732147188179053</x:v>
      </x:c>
      <x:c r="K184" s="9">
        <x:f t="shared" si="33"/>
        <x:v>902.40740956634738</x:v>
      </x:c>
      <x:c r="L184" s="6"/>
      <x:c r="M184" s="10">
        <x:f t="shared" si="34"/>
        <x:v>902.40740956634738</x:v>
      </x:c>
      <x:c r="N184" s="10">
        <x:f t="shared" si="35"/>
        <x:v>0</x:v>
      </x:c>
    </x:row>
    <x:row r="185" spans="1:15" s="7" customFormat="1" outlineLevel="2" x14ac:dyDescent="0.25">
      <x:c r="A185" s="4">
        <x:v>364</x:v>
      </x:c>
      <x:c r="B185" s="5" t="s">
        <x:v>105</x:v>
      </x:c>
      <x:c r="C185" s="6">
        <x:v>70.75</x:v>
      </x:c>
      <x:c r="D185" s="6">
        <x:v>70.75</x:v>
      </x:c>
      <x:c r="E185" s="6"/>
      <x:c r="F185" s="7">
        <x:v>55</x:v>
      </x:c>
      <x:c r="G185" s="6">
        <x:v>7.5154420000000002</x:v>
      </x:c>
      <x:c r="H185" s="8">
        <x:v>-1.1000000000000001</x:v>
      </x:c>
      <x:c r="I185" s="6">
        <x:f t="shared" si="32"/>
        <x:v>128.27305827000001</x:v>
      </x:c>
      <x:c r="J185" s="23">
        <x:v>1.0732147188179053</x:v>
      </x:c>
      <x:c r="K185" s="9">
        <x:f t="shared" si="33"/>
        <x:v>137.66453416315085</x:v>
      </x:c>
      <x:c r="L185" s="6"/>
      <x:c r="M185" s="10">
        <x:f t="shared" si="34"/>
        <x:v>137.66453416315085</x:v>
      </x:c>
      <x:c r="N185" s="10">
        <x:f t="shared" si="35"/>
        <x:v>0</x:v>
      </x:c>
    </x:row>
    <x:row r="186" spans="1:15" s="7" customFormat="1" outlineLevel="2" x14ac:dyDescent="0.25">
      <x:c r="A186" s="4">
        <x:v>364</x:v>
      </x:c>
      <x:c r="B186" s="5" t="s">
        <x:v>106</x:v>
      </x:c>
      <x:c r="C186" s="6">
        <x:v>369.76</x:v>
      </x:c>
      <x:c r="D186" s="6">
        <x:v>369.76</x:v>
      </x:c>
      <x:c r="E186" s="6"/>
      <x:c r="F186" s="7">
        <x:v>55</x:v>
      </x:c>
      <x:c r="G186" s="6">
        <x:v>7.1034059999999997</x:v>
      </x:c>
      <x:c r="H186" s="8">
        <x:v>-1.1000000000000001</x:v>
      </x:c>
      <x:c r="I186" s="6">
        <x:f t="shared" si="32"/>
        <x:v>676.20933917498178</x:v>
      </x:c>
      <x:c r="J186" s="23">
        <x:v>1.0732147188179053</x:v>
      </x:c>
      <x:c r="K186" s="9">
        <x:f t="shared" si="33"/>
        <x:v>725.71781580471963</x:v>
      </x:c>
      <x:c r="L186" s="6"/>
      <x:c r="M186" s="10">
        <x:f t="shared" si="34"/>
        <x:v>725.71781580471963</x:v>
      </x:c>
      <x:c r="N186" s="10">
        <x:f t="shared" si="35"/>
        <x:v>0</x:v>
      </x:c>
    </x:row>
    <x:row r="187" spans="1:15" s="7" customFormat="1" outlineLevel="2" x14ac:dyDescent="0.25">
      <x:c r="A187" s="4">
        <x:v>364</x:v>
      </x:c>
      <x:c r="B187" s="5" t="s">
        <x:v>128</x:v>
      </x:c>
      <x:c r="C187" s="6">
        <x:v>3183.6</x:v>
      </x:c>
      <x:c r="D187" s="6">
        <x:v>3183.6</x:v>
      </x:c>
      <x:c r="E187" s="6"/>
      <x:c r="F187" s="7">
        <x:v>55</x:v>
      </x:c>
      <x:c r="G187" s="6">
        <x:v>0</x:v>
      </x:c>
      <x:c r="H187" s="8">
        <x:v>-1.1000000000000001</x:v>
      </x:c>
      <x:c r="I187" s="6">
        <x:f t="shared" si="32"/>
        <x:v>6685.56</x:v>
      </x:c>
      <x:c r="J187" s="23">
        <x:v>1.0732147188179053</x:v>
      </x:c>
      <x:c r="K187" s="9">
        <x:f t="shared" si="33"/>
        <x:v>6685.56</x:v>
      </x:c>
      <x:c r="L187" s="6"/>
      <x:c r="M187" s="10">
        <x:f t="shared" si="34"/>
        <x:v>6685.56</x:v>
      </x:c>
      <x:c r="N187" s="10">
        <x:f t="shared" si="35"/>
        <x:v>0</x:v>
      </x:c>
    </x:row>
    <x:row r="188" spans="1:15" s="7" customFormat="1" outlineLevel="1" x14ac:dyDescent="0.25">
      <x:c r="A188" s="11" t="s">
        <x:v>3</x:v>
      </x:c>
      <x:c r="B188" s="5"/>
      <x:c r="C188" s="6">
        <x:f>SUBTOTAL(9,C98:C187)</x:f>
        <x:v>3523411256.3599997</x:v>
      </x:c>
      <x:c r="D188" s="6"/>
      <x:c r="E188" s="6"/>
      <x:c r="G188" s="6"/>
      <x:c r="H188" s="8"/>
      <x:c r="I188" s="6">
        <x:f>SUBTOTAL(9,I98:I187)</x:f>
        <x:v>1120518677.9039044</x:v>
      </x:c>
      <x:c r="J188" s="23">
        <x:v>1.0732147188179053</x:v>
      </x:c>
      <x:c r="K188" s="6">
        <x:f>SUBTOTAL(9,K98:K187)</x:f>
        <x:v>1202556648.3554542</x:v>
      </x:c>
      <x:c r="L188" s="6"/>
      <x:c r="M188" s="6">
        <x:f>SUBTOTAL(9,M98:M187)</x:f>
        <x:v>1202556648.3554542</x:v>
      </x:c>
      <x:c r="N188" s="6">
        <x:f>SUBTOTAL(9,N98:N187)</x:f>
        <x:v>0</x:v>
      </x:c>
      <x:c r="O188" s="10"/>
    </x:row>
    <x:row r="189" spans="1:15" s="7" customFormat="1" outlineLevel="2" x14ac:dyDescent="0.25">
      <x:c r="A189" s="4">
        <x:v>365</x:v>
      </x:c>
      <x:c r="B189" s="5" t="s">
        <x:v>23</x:v>
      </x:c>
      <x:c r="C189" s="6">
        <x:v>194079296.65000001</x:v>
      </x:c>
      <x:c r="D189" s="6">
        <x:v>194079296.65000001</x:v>
      </x:c>
      <x:c r="E189" s="6"/>
      <x:c r="F189" s="7">
        <x:v>52</x:v>
      </x:c>
      <x:c r="G189" s="6">
        <x:v>51.689298999999998</x:v>
      </x:c>
      <x:c r="H189" s="8">
        <x:v>-0.85</x:v>
      </x:c>
      <x:c r="I189" s="6">
        <x:f t="shared" ref="I189:I225" si="36">+C189*(1-H189)*(1-G189/F189)</x:f>
        <x:v>2145310.9300891566</x:v>
      </x:c>
      <x:c r="J189" s="23">
        <x:v>1.0549225850286312</x:v>
      </x:c>
      <x:c r="K189" s="9">
        <x:f t="shared" ref="K189:K225" si="37">IF((C189*(1-H189)-I189*J189)&lt;0,C189*(1-H189),I189*J189)</x:f>
        <x:v>2263136.9520598301</x:v>
      </x:c>
      <x:c r="L189" s="6"/>
      <x:c r="M189" s="10">
        <x:f t="shared" ref="M189:M225" si="38">+K189/D189*C189</x:f>
        <x:v>2263136.9520598301</x:v>
      </x:c>
      <x:c r="N189" s="10">
        <x:f t="shared" ref="N189:N225" si="39">+E189/C189*K189</x:f>
        <x:v>0</x:v>
      </x:c>
      <x:c r="O189" s="10"/>
    </x:row>
    <x:row r="190" spans="1:15" s="7" customFormat="1" outlineLevel="2" x14ac:dyDescent="0.25">
      <x:c r="A190" s="4">
        <x:v>365</x:v>
      </x:c>
      <x:c r="B190" s="5" t="s">
        <x:v>24</x:v>
      </x:c>
      <x:c r="C190" s="6">
        <x:v>202389466.36000001</x:v>
      </x:c>
      <x:c r="D190" s="6">
        <x:v>202389466.36000001</x:v>
      </x:c>
      <x:c r="E190" s="6"/>
      <x:c r="F190" s="7">
        <x:v>52</x:v>
      </x:c>
      <x:c r="G190" s="6">
        <x:v>51.069181999999998</x:v>
      </x:c>
      <x:c r="H190" s="8">
        <x:v>-0.85</x:v>
      </x:c>
      <x:c r="I190" s="6">
        <x:f t="shared" ref="I190:I194" si="40">+C190*(1-H190)*(1-G190/F190)</x:f>
        <x:v>6702256.7856119797</x:v>
      </x:c>
      <x:c r="J190" s="23">
        <x:v>1.0549225850286312</x:v>
      </x:c>
      <x:c r="K190" s="9">
        <x:f t="shared" ref="K190:K194" si="41">IF((C190*(1-H190)-I190*J190)&lt;0,C190*(1-H190),I190*J190)</x:f>
        <x:v>7070362.0538034746</x:v>
      </x:c>
      <x:c r="L190" s="6"/>
      <x:c r="M190" s="10">
        <x:f t="shared" ref="M190:M194" si="42">+K190/D190*C190</x:f>
        <x:v>7070362.0538034746</x:v>
      </x:c>
      <x:c r="N190" s="10"/>
      <x:c r="O190" s="10"/>
    </x:row>
    <x:row r="191" spans="1:15" s="7" customFormat="1" outlineLevel="2" x14ac:dyDescent="0.25">
      <x:c r="A191" s="4">
        <x:v>365</x:v>
      </x:c>
      <x:c r="B191" s="5" t="s">
        <x:v>25</x:v>
      </x:c>
      <x:c r="C191" s="6">
        <x:v>175039496.22999999</x:v>
      </x:c>
      <x:c r="D191" s="6">
        <x:v>175039496.22999999</x:v>
      </x:c>
      <x:c r="E191" s="6"/>
      <x:c r="F191" s="7">
        <x:v>52</x:v>
      </x:c>
      <x:c r="G191" s="6">
        <x:v>50.450758</x:v>
      </x:c>
      <x:c r="H191" s="8">
        <x:v>-0.85</x:v>
      </x:c>
      <x:c r="I191" s="6">
        <x:f t="shared" si="40"/>
        <x:v>9647698.0298838764</x:v>
      </x:c>
      <x:c r="J191" s="23">
        <x:v>1.0549225850286312</x:v>
      </x:c>
      <x:c r="K191" s="9">
        <x:f t="shared" si="41"/>
        <x:v>10177574.545260731</x:v>
      </x:c>
      <x:c r="L191" s="6"/>
      <x:c r="M191" s="10">
        <x:f t="shared" si="42"/>
        <x:v>10177574.545260731</x:v>
      </x:c>
      <x:c r="N191" s="10"/>
      <x:c r="O191" s="10"/>
    </x:row>
    <x:row r="192" spans="1:15" s="7" customFormat="1" outlineLevel="2" x14ac:dyDescent="0.25">
      <x:c r="A192" s="4">
        <x:v>365</x:v>
      </x:c>
      <x:c r="B192" s="5" t="s">
        <x:v>26</x:v>
      </x:c>
      <x:c r="C192" s="6">
        <x:v>165314916.22</x:v>
      </x:c>
      <x:c r="D192" s="6">
        <x:v>165314916.22</x:v>
      </x:c>
      <x:c r="E192" s="6"/>
      <x:c r="F192" s="7">
        <x:v>52</x:v>
      </x:c>
      <x:c r="G192" s="6">
        <x:v>49.834004</x:v>
      </x:c>
      <x:c r="H192" s="8">
        <x:v>-0.85</x:v>
      </x:c>
      <x:c r="I192" s="6">
        <x:f t="shared" si="40"/>
        <x:v>12739080.33566889</x:v>
      </x:c>
      <x:c r="J192" s="23">
        <x:v>1.0549225850286312</x:v>
      </x:c>
      <x:c r="K192" s="9">
        <x:f t="shared" si="41"/>
        <x:v>13438743.558591228</x:v>
      </x:c>
      <x:c r="L192" s="6"/>
      <x:c r="M192" s="10">
        <x:f t="shared" si="42"/>
        <x:v>13438743.55859123</x:v>
      </x:c>
      <x:c r="N192" s="10"/>
      <x:c r="O192" s="10"/>
    </x:row>
    <x:row r="193" spans="1:15" s="7" customFormat="1" outlineLevel="2" x14ac:dyDescent="0.25">
      <x:c r="A193" s="4">
        <x:v>365</x:v>
      </x:c>
      <x:c r="B193" s="5" t="s">
        <x:v>117</x:v>
      </x:c>
      <x:c r="C193" s="6">
        <x:v>150856694.80000001</x:v>
      </x:c>
      <x:c r="D193" s="6">
        <x:v>150856694.80000001</x:v>
      </x:c>
      <x:c r="E193" s="6"/>
      <x:c r="F193" s="7">
        <x:v>52</x:v>
      </x:c>
      <x:c r="G193" s="6">
        <x:v>49.218893000000001</x:v>
      </x:c>
      <x:c r="H193" s="8">
        <x:v>-0.85</x:v>
      </x:c>
      <x:c r="I193" s="6">
        <x:f t="shared" si="40"/>
        <x:v>14926248.621625306</x:v>
      </x:c>
      <x:c r="J193" s="23">
        <x:v>1.0549225850286312</x:v>
      </x:c>
      <x:c r="K193" s="9">
        <x:f t="shared" si="41"/>
        <x:v>15746036.780705012</x:v>
      </x:c>
      <x:c r="L193" s="6"/>
      <x:c r="M193" s="10">
        <x:f t="shared" si="42"/>
        <x:v>15746036.780705012</x:v>
      </x:c>
      <x:c r="N193" s="10"/>
      <x:c r="O193" s="10"/>
    </x:row>
    <x:row r="194" spans="1:15" s="7" customFormat="1" outlineLevel="2" x14ac:dyDescent="0.25">
      <x:c r="A194" s="4">
        <x:v>365</x:v>
      </x:c>
      <x:c r="B194" s="5" t="s">
        <x:v>27</x:v>
      </x:c>
      <x:c r="C194" s="6">
        <x:v>114914781.47</x:v>
      </x:c>
      <x:c r="D194" s="6">
        <x:v>114914781.47</x:v>
      </x:c>
      <x:c r="E194" s="6"/>
      <x:c r="F194" s="7">
        <x:v>52</x:v>
      </x:c>
      <x:c r="G194" s="6">
        <x:v>48.605398000000001</x:v>
      </x:c>
      <x:c r="H194" s="8">
        <x:v>-0.85</x:v>
      </x:c>
      <x:c r="I194" s="6">
        <x:f t="shared" si="40"/>
        <x:v>13878200.037771275</x:v>
      </x:c>
      <x:c r="J194" s="23">
        <x:v>1.0549225850286312</x:v>
      </x:c>
      <x:c r="K194" s="9">
        <x:f t="shared" si="41"/>
        <x:v>14640426.659390122</x:v>
      </x:c>
      <x:c r="L194" s="6"/>
      <x:c r="M194" s="10">
        <x:f t="shared" si="42"/>
        <x:v>14640426.659390122</x:v>
      </x:c>
      <x:c r="N194" s="10"/>
      <x:c r="O194" s="10"/>
    </x:row>
    <x:row r="195" spans="1:15" s="7" customFormat="1" outlineLevel="2" x14ac:dyDescent="0.25">
      <x:c r="A195" s="4">
        <x:v>365</x:v>
      </x:c>
      <x:c r="B195" s="5" t="s">
        <x:v>28</x:v>
      </x:c>
      <x:c r="C195" s="6">
        <x:v>71826554.459999993</x:v>
      </x:c>
      <x:c r="D195" s="6">
        <x:v>71826554.459999993</x:v>
      </x:c>
      <x:c r="E195" s="6"/>
      <x:c r="F195" s="7">
        <x:v>52</x:v>
      </x:c>
      <x:c r="G195" s="6">
        <x:v>47.993487999999999</x:v>
      </x:c>
      <x:c r="H195" s="8">
        <x:v>-0.85</x:v>
      </x:c>
      <x:c r="I195" s="6">
        <x:f t="shared" si="36"/>
        <x:v>10238111.766747901</x:v>
      </x:c>
      <x:c r="J195" s="23">
        <x:v>1.0549225850286312</x:v>
      </x:c>
      <x:c r="K195" s="9">
        <x:f t="shared" si="37"/>
        <x:v>10800415.330789743</x:v>
      </x:c>
      <x:c r="L195" s="6"/>
      <x:c r="M195" s="10">
        <x:f t="shared" si="38"/>
        <x:v>10800415.330789743</x:v>
      </x:c>
      <x:c r="N195" s="10">
        <x:f t="shared" si="39"/>
        <x:v>0</x:v>
      </x:c>
      <x:c r="O195" s="10"/>
    </x:row>
    <x:row r="196" spans="1:15" s="7" customFormat="1" outlineLevel="2" x14ac:dyDescent="0.25">
      <x:c r="A196" s="4">
        <x:v>365</x:v>
      </x:c>
      <x:c r="B196" s="5" t="s">
        <x:v>29</x:v>
      </x:c>
      <x:c r="C196" s="6">
        <x:v>70938946.219999999</x:v>
      </x:c>
      <x:c r="D196" s="6">
        <x:v>70938946.219999999</x:v>
      </x:c>
      <x:c r="E196" s="6"/>
      <x:c r="F196" s="7">
        <x:v>52</x:v>
      </x:c>
      <x:c r="G196" s="6">
        <x:v>47.383128999999997</x:v>
      </x:c>
      <x:c r="H196" s="8">
        <x:v>-0.85</x:v>
      </x:c>
      <x:c r="I196" s="6">
        <x:f t="shared" si="36"/>
        <x:v>11652010.242525076</x:v>
      </x:c>
      <x:c r="J196" s="23">
        <x:v>1.0549225850286312</x:v>
      </x:c>
      <x:c r="K196" s="9">
        <x:f t="shared" si="37"/>
        <x:v>12291968.765824642</x:v>
      </x:c>
      <x:c r="L196" s="6"/>
      <x:c r="M196" s="10">
        <x:f t="shared" si="38"/>
        <x:v>12291968.765824642</x:v>
      </x:c>
      <x:c r="N196" s="10">
        <x:f t="shared" si="39"/>
        <x:v>0</x:v>
      </x:c>
      <x:c r="O196" s="10"/>
    </x:row>
    <x:row r="197" spans="1:15" s="7" customFormat="1" outlineLevel="2" x14ac:dyDescent="0.25">
      <x:c r="A197" s="4">
        <x:v>365</x:v>
      </x:c>
      <x:c r="B197" s="5" t="s">
        <x:v>30</x:v>
      </x:c>
      <x:c r="C197" s="6">
        <x:v>50906768.359999999</x:v>
      </x:c>
      <x:c r="D197" s="6">
        <x:v>50906768.359999999</x:v>
      </x:c>
      <x:c r="E197" s="6"/>
      <x:c r="F197" s="7">
        <x:v>52</x:v>
      </x:c>
      <x:c r="G197" s="6">
        <x:v>46.774287000000001</x:v>
      </x:c>
      <x:c r="H197" s="8">
        <x:v>-0.85</x:v>
      </x:c>
      <x:c r="I197" s="6">
        <x:f t="shared" si="36"/>
        <x:v>9464321.1198587511</x:v>
      </x:c>
      <x:c r="J197" s="23">
        <x:v>1.0549225850286312</x:v>
      </x:c>
      <x:c r="K197" s="9">
        <x:f t="shared" si="37"/>
        <x:v>9984126.1013024636</x:v>
      </x:c>
      <x:c r="L197" s="6"/>
      <x:c r="M197" s="10">
        <x:f t="shared" si="38"/>
        <x:v>9984126.1013024636</x:v>
      </x:c>
      <x:c r="N197" s="10">
        <x:f t="shared" si="39"/>
        <x:v>0</x:v>
      </x:c>
      <x:c r="O197" s="10"/>
    </x:row>
    <x:row r="198" spans="1:15" s="7" customFormat="1" outlineLevel="2" x14ac:dyDescent="0.25">
      <x:c r="A198" s="4">
        <x:v>365</x:v>
      </x:c>
      <x:c r="B198" s="5" t="s">
        <x:v>31</x:v>
      </x:c>
      <x:c r="C198" s="6">
        <x:v>54970187.68</x:v>
      </x:c>
      <x:c r="D198" s="6">
        <x:v>54970187.68</x:v>
      </x:c>
      <x:c r="E198" s="6"/>
      <x:c r="F198" s="7">
        <x:v>52</x:v>
      </x:c>
      <x:c r="G198" s="6">
        <x:v>46.166922999999997</x:v>
      </x:c>
      <x:c r="H198" s="8">
        <x:v>-0.85</x:v>
      </x:c>
      <x:c r="I198" s="6">
        <x:f t="shared" si="36"/>
        <x:v>11407574.50514422</x:v>
      </x:c>
      <x:c r="J198" s="23">
        <x:v>1.0549225850286312</x:v>
      </x:c>
      <x:c r="K198" s="9">
        <x:f t="shared" si="37"/>
        <x:v>12034107.98587345</x:v>
      </x:c>
      <x:c r="L198" s="6"/>
      <x:c r="M198" s="10">
        <x:f t="shared" si="38"/>
        <x:v>12034107.98587345</x:v>
      </x:c>
      <x:c r="N198" s="10">
        <x:f t="shared" si="39"/>
        <x:v>0</x:v>
      </x:c>
      <x:c r="O198" s="10"/>
    </x:row>
    <x:row r="199" spans="1:15" s="7" customFormat="1" outlineLevel="2" x14ac:dyDescent="0.25">
      <x:c r="A199" s="4">
        <x:v>365</x:v>
      </x:c>
      <x:c r="B199" s="5" t="s">
        <x:v>32</x:v>
      </x:c>
      <x:c r="C199" s="6">
        <x:v>48718607.880000003</x:v>
      </x:c>
      <x:c r="D199" s="6">
        <x:v>48718607.880000003</x:v>
      </x:c>
      <x:c r="E199" s="6"/>
      <x:c r="F199" s="7">
        <x:v>52</x:v>
      </x:c>
      <x:c r="G199" s="6">
        <x:v>45.560997</x:v>
      </x:c>
      <x:c r="H199" s="8">
        <x:v>-0.85</x:v>
      </x:c>
      <x:c r="I199" s="6">
        <x:f t="shared" si="36"/>
        <x:v>11160454.523961836</x:v>
      </x:c>
      <x:c r="J199" s="23">
        <x:v>1.0549225850286312</x:v>
      </x:c>
      <x:c r="K199" s="9">
        <x:f t="shared" si="37"/>
        <x:v>11773415.536512302</x:v>
      </x:c>
      <x:c r="L199" s="6"/>
      <x:c r="M199" s="10">
        <x:f t="shared" si="38"/>
        <x:v>11773415.536512302</x:v>
      </x:c>
      <x:c r="N199" s="10">
        <x:f t="shared" si="39"/>
        <x:v>0</x:v>
      </x:c>
      <x:c r="O199" s="10"/>
    </x:row>
    <x:row r="200" spans="1:15" s="7" customFormat="1" outlineLevel="2" x14ac:dyDescent="0.25">
      <x:c r="A200" s="4">
        <x:v>365</x:v>
      </x:c>
      <x:c r="B200" s="5" t="s">
        <x:v>33</x:v>
      </x:c>
      <x:c r="C200" s="6">
        <x:v>40957459.659999996</x:v>
      </x:c>
      <x:c r="D200" s="6">
        <x:v>40957459.659999996</x:v>
      </x:c>
      <x:c r="E200" s="6"/>
      <x:c r="F200" s="7">
        <x:v>52</x:v>
      </x:c>
      <x:c r="G200" s="6">
        <x:v>44.956460999999997</x:v>
      </x:c>
      <x:c r="H200" s="8">
        <x:v>-0.85</x:v>
      </x:c>
      <x:c r="I200" s="6">
        <x:f t="shared" si="36"/>
        <x:v>10263425.177766403</x:v>
      </x:c>
      <x:c r="J200" s="23">
        <x:v>1.0549225850286312</x:v>
      </x:c>
      <x:c r="K200" s="9">
        <x:f t="shared" si="37"/>
        <x:v>10827119.019777274</x:v>
      </x:c>
      <x:c r="L200" s="6"/>
      <x:c r="M200" s="10">
        <x:f t="shared" si="38"/>
        <x:v>10827119.019777274</x:v>
      </x:c>
      <x:c r="N200" s="10">
        <x:f t="shared" si="39"/>
        <x:v>0</x:v>
      </x:c>
      <x:c r="O200" s="10"/>
    </x:row>
    <x:row r="201" spans="1:15" s="7" customFormat="1" outlineLevel="2" x14ac:dyDescent="0.25">
      <x:c r="A201" s="4">
        <x:v>365</x:v>
      </x:c>
      <x:c r="B201" s="5" t="s">
        <x:v>118</x:v>
      </x:c>
      <x:c r="C201" s="6">
        <x:v>29708249.719999999</x:v>
      </x:c>
      <x:c r="D201" s="6">
        <x:v>29708249.719999999</x:v>
      </x:c>
      <x:c r="E201" s="6"/>
      <x:c r="F201" s="7">
        <x:v>52</x:v>
      </x:c>
      <x:c r="G201" s="6">
        <x:v>44.353273999999999</x:v>
      </x:c>
      <x:c r="H201" s="8">
        <x:v>-0.85</x:v>
      </x:c>
      <x:c r="I201" s="6">
        <x:f t="shared" si="36"/>
        <x:v>8082039.6973955976</x:v>
      </x:c>
      <x:c r="J201" s="23">
        <x:v>1.0549225850286312</x:v>
      </x:c>
      <x:c r="K201" s="9">
        <x:f t="shared" si="37"/>
        <x:v>8525926.2098805811</x:v>
      </x:c>
      <x:c r="L201" s="6"/>
      <x:c r="M201" s="10">
        <x:f t="shared" si="38"/>
        <x:v>8525926.2098805811</x:v>
      </x:c>
      <x:c r="N201" s="10">
        <x:f t="shared" si="39"/>
        <x:v>0</x:v>
      </x:c>
      <x:c r="O201" s="10"/>
    </x:row>
    <x:row r="202" spans="1:15" s="7" customFormat="1" outlineLevel="2" x14ac:dyDescent="0.25">
      <x:c r="A202" s="4">
        <x:v>365</x:v>
      </x:c>
      <x:c r="B202" s="5" t="s">
        <x:v>119</x:v>
      </x:c>
      <x:c r="C202" s="6">
        <x:v>21203360.039999999</x:v>
      </x:c>
      <x:c r="D202" s="6">
        <x:v>21203360.039999999</x:v>
      </x:c>
      <x:c r="E202" s="6"/>
      <x:c r="F202" s="7">
        <x:v>52</x:v>
      </x:c>
      <x:c r="G202" s="6">
        <x:v>43.751421000000001</x:v>
      </x:c>
      <x:c r="H202" s="8">
        <x:v>-0.85</x:v>
      </x:c>
      <x:c r="I202" s="6">
        <x:f t="shared" si="36"/>
        <x:v>6222318.1184126688</x:v>
      </x:c>
      <x:c r="J202" s="23">
        <x:v>1.0549225850286312</x:v>
      </x:c>
      <x:c r="K202" s="9">
        <x:f t="shared" si="37"/>
        <x:v>6564063.9143463811</x:v>
      </x:c>
      <x:c r="L202" s="6"/>
      <x:c r="M202" s="10">
        <x:f t="shared" si="38"/>
        <x:v>6564063.9143463811</x:v>
      </x:c>
      <x:c r="N202" s="10">
        <x:f t="shared" si="39"/>
        <x:v>0</x:v>
      </x:c>
      <x:c r="O202" s="10"/>
    </x:row>
    <x:row r="203" spans="1:15" s="7" customFormat="1" outlineLevel="2" x14ac:dyDescent="0.25">
      <x:c r="A203" s="4">
        <x:v>365</x:v>
      </x:c>
      <x:c r="B203" s="5" t="s">
        <x:v>34</x:v>
      </x:c>
      <x:c r="C203" s="6">
        <x:v>21764226.309999999</x:v>
      </x:c>
      <x:c r="D203" s="6">
        <x:v>21764226.309999999</x:v>
      </x:c>
      <x:c r="E203" s="6"/>
      <x:c r="F203" s="7">
        <x:v>52</x:v>
      </x:c>
      <x:c r="G203" s="6">
        <x:v>43.150843999999999</x:v>
      </x:c>
      <x:c r="H203" s="8">
        <x:v>-0.85</x:v>
      </x:c>
      <x:c r="I203" s="6">
        <x:f t="shared" si="36"/>
        <x:v>6851938.7037983565</x:v>
      </x:c>
      <x:c r="J203" s="23">
        <x:v>1.0549225850286312</x:v>
      </x:c>
      <x:c r="K203" s="9">
        <x:f t="shared" si="37"/>
        <x:v>7228264.8898686906</x:v>
      </x:c>
      <x:c r="L203" s="6"/>
      <x:c r="M203" s="10">
        <x:f t="shared" si="38"/>
        <x:v>7228264.8898686906</x:v>
      </x:c>
      <x:c r="N203" s="10">
        <x:f t="shared" si="39"/>
        <x:v>0</x:v>
      </x:c>
      <x:c r="O203" s="10"/>
    </x:row>
    <x:row r="204" spans="1:15" s="7" customFormat="1" outlineLevel="2" x14ac:dyDescent="0.25">
      <x:c r="A204" s="4">
        <x:v>365</x:v>
      </x:c>
      <x:c r="B204" s="5" t="s">
        <x:v>35</x:v>
      </x:c>
      <x:c r="C204" s="6">
        <x:v>22224415.48</x:v>
      </x:c>
      <x:c r="D204" s="6">
        <x:v>22224415.48</x:v>
      </x:c>
      <x:c r="E204" s="6"/>
      <x:c r="F204" s="7">
        <x:v>52</x:v>
      </x:c>
      <x:c r="G204" s="6">
        <x:v>42.551470999999999</x:v>
      </x:c>
      <x:c r="H204" s="8">
        <x:v>-0.85</x:v>
      </x:c>
      <x:c r="I204" s="6">
        <x:f t="shared" si="36"/>
        <x:v>7470728.1387698762</x:v>
      </x:c>
      <x:c r="J204" s="23">
        <x:v>1.0549225850286312</x:v>
      </x:c>
      <x:c r="K204" s="9">
        <x:f t="shared" si="37"/>
        <x:v>7881039.840197253</x:v>
      </x:c>
      <x:c r="L204" s="6"/>
      <x:c r="M204" s="10">
        <x:f t="shared" si="38"/>
        <x:v>7881039.840197253</x:v>
      </x:c>
      <x:c r="N204" s="10">
        <x:f t="shared" si="39"/>
        <x:v>0</x:v>
      </x:c>
      <x:c r="O204" s="10"/>
    </x:row>
    <x:row r="205" spans="1:15" s="7" customFormat="1" outlineLevel="2" x14ac:dyDescent="0.25">
      <x:c r="A205" s="4">
        <x:v>365</x:v>
      </x:c>
      <x:c r="B205" s="5" t="s">
        <x:v>36</x:v>
      </x:c>
      <x:c r="C205" s="6">
        <x:v>29959203.030000001</x:v>
      </x:c>
      <x:c r="D205" s="6">
        <x:v>29959203.030000001</x:v>
      </x:c>
      <x:c r="E205" s="6"/>
      <x:c r="F205" s="7">
        <x:v>52</x:v>
      </x:c>
      <x:c r="G205" s="6">
        <x:v>41.953282999999999</x:v>
      </x:c>
      <x:c r="H205" s="8">
        <x:v>-0.85</x:v>
      </x:c>
      <x:c r="I205" s="6">
        <x:f t="shared" si="36"/>
        <x:v>10708356.223417545</x:v>
      </x:c>
      <x:c r="J205" s="23">
        <x:v>1.0549225850286312</x:v>
      </x:c>
      <x:c r="K205" s="9">
        <x:f t="shared" si="37"/>
        <x:v>11296486.828615068</x:v>
      </x:c>
      <x:c r="L205" s="6"/>
      <x:c r="M205" s="10">
        <x:f t="shared" si="38"/>
        <x:v>11296486.828615068</x:v>
      </x:c>
      <x:c r="N205" s="10">
        <x:f t="shared" si="39"/>
        <x:v>0</x:v>
      </x:c>
      <x:c r="O205" s="10"/>
    </x:row>
    <x:row r="206" spans="1:15" s="7" customFormat="1" outlineLevel="2" x14ac:dyDescent="0.25">
      <x:c r="A206" s="4">
        <x:v>365</x:v>
      </x:c>
      <x:c r="B206" s="5" t="s">
        <x:v>120</x:v>
      </x:c>
      <x:c r="C206" s="6">
        <x:v>28574334.710000001</x:v>
      </x:c>
      <x:c r="D206" s="6">
        <x:v>28574334.710000001</x:v>
      </x:c>
      <x:c r="E206" s="6"/>
      <x:c r="F206" s="7">
        <x:v>52</x:v>
      </x:c>
      <x:c r="G206" s="6">
        <x:v>41.356321999999999</x:v>
      </x:c>
      <x:c r="H206" s="8">
        <x:v>-0.85</x:v>
      </x:c>
      <x:c r="I206" s="6">
        <x:f t="shared" si="36"/>
        <x:v>10820223.707255913</x:v>
      </x:c>
      <x:c r="J206" s="23">
        <x:v>1.0549225850286312</x:v>
      </x:c>
      <x:c r="K206" s="9">
        <x:f t="shared" si="37"/>
        <x:v>11414498.363846486</x:v>
      </x:c>
      <x:c r="L206" s="6"/>
      <x:c r="M206" s="10">
        <x:f t="shared" si="38"/>
        <x:v>11414498.363846486</x:v>
      </x:c>
      <x:c r="N206" s="10">
        <x:f t="shared" si="39"/>
        <x:v>0</x:v>
      </x:c>
      <x:c r="O206" s="10"/>
    </x:row>
    <x:row r="207" spans="1:15" s="7" customFormat="1" outlineLevel="2" x14ac:dyDescent="0.25">
      <x:c r="A207" s="4">
        <x:v>365</x:v>
      </x:c>
      <x:c r="B207" s="5" t="s">
        <x:v>37</x:v>
      </x:c>
      <x:c r="C207" s="6">
        <x:v>34937476.340000004</x:v>
      </x:c>
      <x:c r="D207" s="6">
        <x:v>34937476.340000004</x:v>
      </x:c>
      <x:c r="E207" s="6"/>
      <x:c r="F207" s="7">
        <x:v>52</x:v>
      </x:c>
      <x:c r="G207" s="6">
        <x:v>40.760655999999997</x:v>
      </x:c>
      <x:c r="H207" s="8">
        <x:v>-0.85</x:v>
      </x:c>
      <x:c r="I207" s="6">
        <x:f t="shared" si="36"/>
        <x:v>13970143.901782196</x:v>
      </x:c>
      <x:c r="J207" s="23">
        <x:v>1.0549225850286312</x:v>
      </x:c>
      <x:c r="K207" s="9">
        <x:f t="shared" si="37"/>
        <x:v>14737420.318090042</x:v>
      </x:c>
      <x:c r="L207" s="6"/>
      <x:c r="M207" s="10">
        <x:f t="shared" si="38"/>
        <x:v>14737420.318090042</x:v>
      </x:c>
      <x:c r="N207" s="10">
        <x:f t="shared" si="39"/>
        <x:v>0</x:v>
      </x:c>
      <x:c r="O207" s="10"/>
    </x:row>
    <x:row r="208" spans="1:15" s="7" customFormat="1" outlineLevel="2" x14ac:dyDescent="0.25">
      <x:c r="A208" s="4">
        <x:v>365</x:v>
      </x:c>
      <x:c r="B208" s="5" t="s">
        <x:v>121</x:v>
      </x:c>
      <x:c r="C208" s="6">
        <x:v>33315870.550000001</x:v>
      </x:c>
      <x:c r="D208" s="6">
        <x:v>33315870.550000001</x:v>
      </x:c>
      <x:c r="E208" s="6"/>
      <x:c r="F208" s="7">
        <x:v>52</x:v>
      </x:c>
      <x:c r="G208" s="6">
        <x:v>40.166384000000001</x:v>
      </x:c>
      <x:c r="H208" s="8">
        <x:v>-0.85</x:v>
      </x:c>
      <x:c r="I208" s="6">
        <x:f t="shared" si="36"/>
        <x:v>14026102.976339547</x:v>
      </x:c>
      <x:c r="J208" s="23">
        <x:v>1.0549225850286312</x:v>
      </x:c>
      <x:c r="K208" s="9">
        <x:f t="shared" si="37"/>
        <x:v>14796452.809677893</x:v>
      </x:c>
      <x:c r="L208" s="6"/>
      <x:c r="M208" s="10">
        <x:f t="shared" si="38"/>
        <x:v>14796452.809677893</x:v>
      </x:c>
      <x:c r="N208" s="10">
        <x:f t="shared" si="39"/>
        <x:v>0</x:v>
      </x:c>
      <x:c r="O208" s="10"/>
    </x:row>
    <x:row r="209" spans="1:15" s="7" customFormat="1" outlineLevel="2" x14ac:dyDescent="0.25">
      <x:c r="A209" s="4">
        <x:v>365</x:v>
      </x:c>
      <x:c r="B209" s="5" t="s">
        <x:v>122</x:v>
      </x:c>
      <x:c r="C209" s="6">
        <x:v>58953225.880000003</x:v>
      </x:c>
      <x:c r="D209" s="6">
        <x:v>58953225.880000003</x:v>
      </x:c>
      <x:c r="E209" s="6"/>
      <x:c r="F209" s="7">
        <x:v>52</x:v>
      </x:c>
      <x:c r="G209" s="6">
        <x:v>39.573611999999997</x:v>
      </x:c>
      <x:c r="H209" s="8">
        <x:v>-0.85</x:v>
      </x:c>
      <x:c r="I209" s="6">
        <x:f t="shared" si="36"/>
        <x:v>26062787.855337795</x:v>
      </x:c>
      <x:c r="J209" s="23">
        <x:v>1.0549225850286312</x:v>
      </x:c>
      <x:c r="K209" s="9">
        <x:f t="shared" si="37"/>
        <x:v>27494223.537405763</x:v>
      </x:c>
      <x:c r="L209" s="6"/>
      <x:c r="M209" s="10">
        <x:f t="shared" si="38"/>
        <x:v>27494223.537405763</x:v>
      </x:c>
      <x:c r="N209" s="10">
        <x:f t="shared" si="39"/>
        <x:v>0</x:v>
      </x:c>
      <x:c r="O209" s="10"/>
    </x:row>
    <x:row r="210" spans="1:15" s="7" customFormat="1" outlineLevel="2" x14ac:dyDescent="0.25">
      <x:c r="A210" s="4">
        <x:v>365</x:v>
      </x:c>
      <x:c r="B210" s="5" t="s">
        <x:v>123</x:v>
      </x:c>
      <x:c r="C210" s="6">
        <x:v>18340945.879999999</x:v>
      </x:c>
      <x:c r="D210" s="6">
        <x:v>18340945.879999999</x:v>
      </x:c>
      <x:c r="E210" s="6"/>
      <x:c r="F210" s="7">
        <x:v>52</x:v>
      </x:c>
      <x:c r="G210" s="6">
        <x:v>38.982478999999998</x:v>
      </x:c>
      <x:c r="H210" s="8">
        <x:v>-0.85</x:v>
      </x:c>
      <x:c r="I210" s="6">
        <x:f t="shared" si="36"/>
        <x:v>8494120.1746656243</x:v>
      </x:c>
      <x:c r="J210" s="23">
        <x:v>1.0549225850286312</x:v>
      </x:c>
      <x:c r="K210" s="9">
        <x:f t="shared" si="37"/>
        <x:v>8960639.2122021094</x:v>
      </x:c>
      <x:c r="L210" s="6"/>
      <x:c r="M210" s="10">
        <x:f t="shared" si="38"/>
        <x:v>8960639.2122021094</x:v>
      </x:c>
      <x:c r="N210" s="10">
        <x:f t="shared" si="39"/>
        <x:v>0</x:v>
      </x:c>
      <x:c r="O210" s="10"/>
    </x:row>
    <x:row r="211" spans="1:15" s="7" customFormat="1" outlineLevel="2" x14ac:dyDescent="0.25">
      <x:c r="A211" s="4">
        <x:v>365</x:v>
      </x:c>
      <x:c r="B211" s="5" t="s">
        <x:v>124</x:v>
      </x:c>
      <x:c r="C211" s="6">
        <x:v>15074829.630000001</x:v>
      </x:c>
      <x:c r="D211" s="6">
        <x:v>15074829.630000001</x:v>
      </x:c>
      <x:c r="E211" s="6"/>
      <x:c r="F211" s="7">
        <x:v>52</x:v>
      </x:c>
      <x:c r="G211" s="6">
        <x:v>38.393118999999999</x:v>
      </x:c>
      <x:c r="H211" s="8">
        <x:v>-0.85</x:v>
      </x:c>
      <x:c r="I211" s="6">
        <x:f t="shared" si="36"/>
        <x:v>7297588.7271301057</x:v>
      </x:c>
      <x:c r="J211" s="23">
        <x:v>1.0549225850286312</x:v>
      </x:c>
      <x:c r="K211" s="9">
        <x:f t="shared" si="37"/>
        <x:v>7698391.1644998901</x:v>
      </x:c>
      <x:c r="L211" s="6"/>
      <x:c r="M211" s="10">
        <x:f t="shared" si="38"/>
        <x:v>7698391.1644998901</x:v>
      </x:c>
      <x:c r="N211" s="10">
        <x:f t="shared" si="39"/>
        <x:v>0</x:v>
      </x:c>
      <x:c r="O211" s="10"/>
    </x:row>
    <x:row r="212" spans="1:15" s="7" customFormat="1" outlineLevel="2" x14ac:dyDescent="0.25">
      <x:c r="A212" s="4">
        <x:v>365</x:v>
      </x:c>
      <x:c r="B212" s="5" t="s">
        <x:v>125</x:v>
      </x:c>
      <x:c r="C212" s="6">
        <x:v>21452206.059999999</x:v>
      </x:c>
      <x:c r="D212" s="6">
        <x:v>21452206.059999999</x:v>
      </x:c>
      <x:c r="E212" s="6"/>
      <x:c r="F212" s="7">
        <x:v>52</x:v>
      </x:c>
      <x:c r="G212" s="6">
        <x:v>37.805683999999999</x:v>
      </x:c>
      <x:c r="H212" s="8">
        <x:v>-0.85</x:v>
      </x:c>
      <x:c r="I212" s="6">
        <x:f t="shared" si="36"/>
        <x:v>10833151.435934555</x:v>
      </x:c>
      <x:c r="J212" s="23">
        <x:v>1.0549225850286312</x:v>
      </x:c>
      <x:c r="K212" s="9">
        <x:f t="shared" si="37"/>
        <x:v>11428136.116802709</x:v>
      </x:c>
      <x:c r="L212" s="6"/>
      <x:c r="M212" s="10">
        <x:f t="shared" si="38"/>
        <x:v>11428136.116802709</x:v>
      </x:c>
      <x:c r="N212" s="10">
        <x:f t="shared" si="39"/>
        <x:v>0</x:v>
      </x:c>
      <x:c r="O212" s="10"/>
    </x:row>
    <x:row r="213" spans="1:15" s="7" customFormat="1" outlineLevel="2" x14ac:dyDescent="0.25">
      <x:c r="A213" s="4">
        <x:v>365</x:v>
      </x:c>
      <x:c r="B213" s="5" t="s">
        <x:v>126</x:v>
      </x:c>
      <x:c r="C213" s="6">
        <x:v>19628129.550000001</x:v>
      </x:c>
      <x:c r="D213" s="6">
        <x:v>19628129.550000001</x:v>
      </x:c>
      <x:c r="E213" s="6"/>
      <x:c r="F213" s="7">
        <x:v>52</x:v>
      </x:c>
      <x:c r="G213" s="6">
        <x:v>37.220322000000003</x:v>
      </x:c>
      <x:c r="H213" s="8">
        <x:v>-0.85</x:v>
      </x:c>
      <x:c r="I213" s="6">
        <x:f t="shared" si="36"/>
        <x:v>10320774.111709174</x:v>
      </x:c>
      <x:c r="J213" s="23">
        <x:v>1.0549225850286312</x:v>
      </x:c>
      <x:c r="K213" s="9">
        <x:f t="shared" si="37"/>
        <x:v>10887617.705420816</x:v>
      </x:c>
      <x:c r="L213" s="6"/>
      <x:c r="M213" s="10">
        <x:f t="shared" si="38"/>
        <x:v>10887617.705420814</x:v>
      </x:c>
      <x:c r="N213" s="10">
        <x:f t="shared" si="39"/>
        <x:v>0</x:v>
      </x:c>
      <x:c r="O213" s="10"/>
    </x:row>
    <x:row r="214" spans="1:15" s="7" customFormat="1" outlineLevel="2" x14ac:dyDescent="0.25">
      <x:c r="A214" s="4">
        <x:v>365</x:v>
      </x:c>
      <x:c r="B214" s="5" t="s">
        <x:v>38</x:v>
      </x:c>
      <x:c r="C214" s="6">
        <x:v>20095086.059999999</x:v>
      </x:c>
      <x:c r="D214" s="6">
        <x:v>20095086.059999999</x:v>
      </x:c>
      <x:c r="E214" s="6"/>
      <x:c r="F214" s="7">
        <x:v>52</x:v>
      </x:c>
      <x:c r="G214" s="6">
        <x:v>36.637194999999998</x:v>
      </x:c>
      <x:c r="H214" s="8">
        <x:v>-0.85</x:v>
      </x:c>
      <x:c r="I214" s="6">
        <x:f t="shared" si="36"/>
        <x:v>10983196.998198019</x:v>
      </x:c>
      <x:c r="J214" s="23">
        <x:v>1.0549225850286312</x:v>
      </x:c>
      <x:c r="K214" s="9">
        <x:f t="shared" si="37"/>
        <x:v>11586422.569217758</x:v>
      </x:c>
      <x:c r="L214" s="6"/>
      <x:c r="M214" s="10">
        <x:f t="shared" si="38"/>
        <x:v>11586422.569217758</x:v>
      </x:c>
      <x:c r="N214" s="10">
        <x:f t="shared" si="39"/>
        <x:v>0</x:v>
      </x:c>
      <x:c r="O214" s="10"/>
    </x:row>
    <x:row r="215" spans="1:15" s="7" customFormat="1" outlineLevel="2" x14ac:dyDescent="0.25">
      <x:c r="A215" s="4">
        <x:v>365</x:v>
      </x:c>
      <x:c r="B215" s="5" t="s">
        <x:v>127</x:v>
      </x:c>
      <x:c r="C215" s="6">
        <x:v>18150931.370000001</x:v>
      </x:c>
      <x:c r="D215" s="6">
        <x:v>18150931.370000001</x:v>
      </x:c>
      <x:c r="E215" s="6"/>
      <x:c r="F215" s="7">
        <x:v>52</x:v>
      </x:c>
      <x:c r="G215" s="6">
        <x:v>36.056510000000003</x:v>
      </x:c>
      <x:c r="H215" s="8">
        <x:v>-0.85</x:v>
      </x:c>
      <x:c r="I215" s="6">
        <x:f t="shared" si="36"/>
        <x:v>10295577.051121546</x:v>
      </x:c>
      <x:c r="J215" s="23">
        <x:v>1.0549225850286312</x:v>
      </x:c>
      <x:c r="K215" s="9">
        <x:f t="shared" si="37"/>
        <x:v>10861036.757130593</x:v>
      </x:c>
      <x:c r="L215" s="6"/>
      <x:c r="M215" s="10">
        <x:f t="shared" si="38"/>
        <x:v>10861036.757130593</x:v>
      </x:c>
      <x:c r="N215" s="10">
        <x:f t="shared" si="39"/>
        <x:v>0</x:v>
      </x:c>
      <x:c r="O215" s="10"/>
    </x:row>
    <x:row r="216" spans="1:15" s="7" customFormat="1" outlineLevel="2" x14ac:dyDescent="0.25">
      <x:c r="A216" s="4">
        <x:v>365</x:v>
      </x:c>
      <x:c r="B216" s="5" t="s">
        <x:v>39</x:v>
      </x:c>
      <x:c r="C216" s="6">
        <x:v>36539287.5</x:v>
      </x:c>
      <x:c r="D216" s="6">
        <x:v>36539287.5</x:v>
      </x:c>
      <x:c r="E216" s="6"/>
      <x:c r="F216" s="7">
        <x:v>52</x:v>
      </x:c>
      <x:c r="G216" s="6">
        <x:v>35.478425000000001</x:v>
      </x:c>
      <x:c r="H216" s="8">
        <x:v>-0.85</x:v>
      </x:c>
      <x:c r="I216" s="6">
        <x:f t="shared" si="36"/>
        <x:v>21477310.979306787</x:v>
      </x:c>
      <x:c r="J216" s="23">
        <x:v>1.0549225850286312</x:v>
      </x:c>
      <x:c r="K216" s="9">
        <x:f t="shared" si="37"/>
        <x:v>22656900.417754121</x:v>
      </x:c>
      <x:c r="L216" s="6"/>
      <x:c r="M216" s="10">
        <x:f t="shared" si="38"/>
        <x:v>22656900.417754121</x:v>
      </x:c>
      <x:c r="N216" s="10">
        <x:f t="shared" si="39"/>
        <x:v>0</x:v>
      </x:c>
      <x:c r="O216" s="10"/>
    </x:row>
    <x:row r="217" spans="1:15" s="7" customFormat="1" outlineLevel="2" x14ac:dyDescent="0.25">
      <x:c r="A217" s="4">
        <x:v>365</x:v>
      </x:c>
      <x:c r="B217" s="5" t="s">
        <x:v>40</x:v>
      </x:c>
      <x:c r="C217" s="6">
        <x:v>42017310.369999997</x:v>
      </x:c>
      <x:c r="D217" s="6">
        <x:v>42017310.369999997</x:v>
      </x:c>
      <x:c r="E217" s="6"/>
      <x:c r="F217" s="7">
        <x:v>52</x:v>
      </x:c>
      <x:c r="G217" s="6">
        <x:v>34.903053999999997</x:v>
      </x:c>
      <x:c r="H217" s="8">
        <x:v>-0.85</x:v>
      </x:c>
      <x:c r="I217" s="6">
        <x:f t="shared" si="36"/>
        <x:v>25557311.922174819</x:v>
      </x:c>
      <x:c r="J217" s="23">
        <x:v>1.0549225850286312</x:v>
      </x:c>
      <x:c r="K217" s="9">
        <x:f t="shared" si="37"/>
        <x:v>26960985.559323717</x:v>
      </x:c>
      <x:c r="L217" s="6"/>
      <x:c r="M217" s="10">
        <x:f t="shared" si="38"/>
        <x:v>26960985.559323717</x:v>
      </x:c>
      <x:c r="N217" s="10">
        <x:f t="shared" si="39"/>
        <x:v>0</x:v>
      </x:c>
      <x:c r="O217" s="10"/>
    </x:row>
    <x:row r="218" spans="1:15" s="7" customFormat="1" outlineLevel="2" x14ac:dyDescent="0.25">
      <x:c r="A218" s="4">
        <x:v>365</x:v>
      </x:c>
      <x:c r="B218" s="5" t="s">
        <x:v>41</x:v>
      </x:c>
      <x:c r="C218" s="6">
        <x:v>16173473.449999999</x:v>
      </x:c>
      <x:c r="D218" s="6">
        <x:v>16173473.449999999</x:v>
      </x:c>
      <x:c r="E218" s="6"/>
      <x:c r="F218" s="7">
        <x:v>52</x:v>
      </x:c>
      <x:c r="G218" s="6">
        <x:v>34.330551</x:v>
      </x:c>
      <x:c r="H218" s="8">
        <x:v>-0.85</x:v>
      </x:c>
      <x:c r="I218" s="6">
        <x:f t="shared" si="36"/>
        <x:v>10167043.729107955</x:v>
      </x:c>
      <x:c r="J218" s="23">
        <x:v>1.0549225850286312</x:v>
      </x:c>
      <x:c r="K218" s="9">
        <x:f t="shared" si="37"/>
        <x:v>10725444.052809699</x:v>
      </x:c>
      <x:c r="L218" s="6"/>
      <x:c r="M218" s="10">
        <x:f t="shared" si="38"/>
        <x:v>10725444.052809699</x:v>
      </x:c>
      <x:c r="N218" s="10">
        <x:f t="shared" si="39"/>
        <x:v>0</x:v>
      </x:c>
      <x:c r="O218" s="10"/>
    </x:row>
    <x:row r="219" spans="1:15" s="7" customFormat="1" outlineLevel="2" x14ac:dyDescent="0.25">
      <x:c r="A219" s="4">
        <x:v>365</x:v>
      </x:c>
      <x:c r="B219" s="5" t="s">
        <x:v>42</x:v>
      </x:c>
      <x:c r="C219" s="6">
        <x:v>11942336.85</x:v>
      </x:c>
      <x:c r="D219" s="6">
        <x:v>11942336.85</x:v>
      </x:c>
      <x:c r="E219" s="6"/>
      <x:c r="F219" s="7">
        <x:v>52</x:v>
      </x:c>
      <x:c r="G219" s="6">
        <x:v>33.761069999999997</x:v>
      </x:c>
      <x:c r="H219" s="8">
        <x:v>-0.85</x:v>
      </x:c>
      <x:c r="I219" s="6">
        <x:f t="shared" si="36"/>
        <x:v>7749203.3617424136</x:v>
      </x:c>
      <x:c r="J219" s="23">
        <x:v>1.0549225850286312</x:v>
      </x:c>
      <x:c r="K219" s="9">
        <x:f t="shared" si="37"/>
        <x:v>8174809.6422818666</x:v>
      </x:c>
      <x:c r="L219" s="6"/>
      <x:c r="M219" s="10">
        <x:f t="shared" si="38"/>
        <x:v>8174809.6422818676</x:v>
      </x:c>
      <x:c r="N219" s="10">
        <x:f t="shared" si="39"/>
        <x:v>0</x:v>
      </x:c>
      <x:c r="O219" s="10"/>
    </x:row>
    <x:row r="220" spans="1:15" s="7" customFormat="1" outlineLevel="2" x14ac:dyDescent="0.25">
      <x:c r="A220" s="4">
        <x:v>365</x:v>
      </x:c>
      <x:c r="B220" s="5" t="s">
        <x:v>43</x:v>
      </x:c>
      <x:c r="C220" s="6">
        <x:v>9663262.9800000004</x:v>
      </x:c>
      <x:c r="D220" s="6">
        <x:v>9663262.9800000004</x:v>
      </x:c>
      <x:c r="E220" s="6"/>
      <x:c r="F220" s="7">
        <x:v>52</x:v>
      </x:c>
      <x:c r="G220" s="6">
        <x:v>33.194747999999997</x:v>
      </x:c>
      <x:c r="H220" s="8">
        <x:v>-0.85</x:v>
      </x:c>
      <x:c r="I220" s="6">
        <x:f t="shared" si="36"/>
        <x:v>6465041.8584647374</x:v>
      </x:c>
      <x:c r="J220" s="23">
        <x:v>1.0549225850286312</x:v>
      </x:c>
      <x:c r="K220" s="9">
        <x:f t="shared" si="37"/>
        <x:v>6820118.6696499269</x:v>
      </x:c>
      <x:c r="L220" s="6"/>
      <x:c r="M220" s="10">
        <x:f t="shared" si="38"/>
        <x:v>6820118.6696499269</x:v>
      </x:c>
      <x:c r="N220" s="10">
        <x:f t="shared" si="39"/>
        <x:v>0</x:v>
      </x:c>
      <x:c r="O220" s="10"/>
    </x:row>
    <x:row r="221" spans="1:15" s="7" customFormat="1" outlineLevel="2" x14ac:dyDescent="0.25">
      <x:c r="A221" s="4">
        <x:v>365</x:v>
      </x:c>
      <x:c r="B221" s="5" t="s">
        <x:v>44</x:v>
      </x:c>
      <x:c r="C221" s="6">
        <x:v>18340308.32</x:v>
      </x:c>
      <x:c r="D221" s="6">
        <x:v>18340308.32</x:v>
      </x:c>
      <x:c r="E221" s="6"/>
      <x:c r="F221" s="7">
        <x:v>52</x:v>
      </x:c>
      <x:c r="G221" s="6">
        <x:v>32.631731000000002</x:v>
      </x:c>
      <x:c r="H221" s="8">
        <x:v>-0.85</x:v>
      </x:c>
      <x:c r="I221" s="6">
        <x:f t="shared" si="36"/>
        <x:v>12637635.507820988</x:v>
      </x:c>
      <x:c r="J221" s="23">
        <x:v>1.0549225850286312</x:v>
      </x:c>
      <x:c r="K221" s="9">
        <x:f t="shared" si="37"/>
        <x:v>13331727.118560135</x:v>
      </x:c>
      <x:c r="L221" s="6"/>
      <x:c r="M221" s="10">
        <x:f t="shared" si="38"/>
        <x:v>13331727.118560135</x:v>
      </x:c>
      <x:c r="N221" s="10">
        <x:f t="shared" si="39"/>
        <x:v>0</x:v>
      </x:c>
      <x:c r="O221" s="10"/>
    </x:row>
    <x:row r="222" spans="1:15" s="7" customFormat="1" outlineLevel="2" x14ac:dyDescent="0.25">
      <x:c r="A222" s="4">
        <x:v>365</x:v>
      </x:c>
      <x:c r="B222" s="5" t="s">
        <x:v>45</x:v>
      </x:c>
      <x:c r="C222" s="6">
        <x:v>21208852.57</x:v>
      </x:c>
      <x:c r="D222" s="6">
        <x:v>21208852.57</x:v>
      </x:c>
      <x:c r="E222" s="6"/>
      <x:c r="F222" s="7">
        <x:v>52</x:v>
      </x:c>
      <x:c r="G222" s="6">
        <x:v>32.072144000000002</x:v>
      </x:c>
      <x:c r="H222" s="8">
        <x:v>-0.85</x:v>
      </x:c>
      <x:c r="I222" s="6">
        <x:f t="shared" si="36"/>
        <x:v>15036478.382487528</x:v>
      </x:c>
      <x:c r="J222" s="23">
        <x:v>1.0549225850286312</x:v>
      </x:c>
      <x:c r="K222" s="9">
        <x:f t="shared" si="37"/>
        <x:v>15862320.644980874</x:v>
      </x:c>
      <x:c r="L222" s="6"/>
      <x:c r="M222" s="10">
        <x:f t="shared" si="38"/>
        <x:v>15862320.644980874</x:v>
      </x:c>
      <x:c r="N222" s="10">
        <x:f t="shared" si="39"/>
        <x:v>0</x:v>
      </x:c>
      <x:c r="O222" s="10"/>
    </x:row>
    <x:row r="223" spans="1:15" s="7" customFormat="1" outlineLevel="2" x14ac:dyDescent="0.25">
      <x:c r="A223" s="4">
        <x:v>365</x:v>
      </x:c>
      <x:c r="B223" s="5" t="s">
        <x:v>46</x:v>
      </x:c>
      <x:c r="C223" s="6">
        <x:v>19594816.48</x:v>
      </x:c>
      <x:c r="D223" s="6">
        <x:v>19594816.48</x:v>
      </x:c>
      <x:c r="E223" s="6"/>
      <x:c r="F223" s="7">
        <x:v>52</x:v>
      </x:c>
      <x:c r="G223" s="6">
        <x:v>31.516116</x:v>
      </x:c>
      <x:c r="H223" s="8">
        <x:v>-0.85</x:v>
      </x:c>
      <x:c r="I223" s="6">
        <x:f t="shared" si="36"/>
        <x:v>14279792.37285722</x:v>
      </x:c>
      <x:c r="J223" s="23">
        <x:v>1.0549225850286312</x:v>
      </x:c>
      <x:c r="K223" s="9">
        <x:f t="shared" si="37"/>
        <x:v>15064075.48364667</x:v>
      </x:c>
      <x:c r="L223" s="6"/>
      <x:c r="M223" s="10">
        <x:f t="shared" si="38"/>
        <x:v>15064075.483646668</x:v>
      </x:c>
      <x:c r="N223" s="10">
        <x:f t="shared" si="39"/>
        <x:v>0</x:v>
      </x:c>
      <x:c r="O223" s="10"/>
    </x:row>
    <x:row r="224" spans="1:15" s="7" customFormat="1" outlineLevel="2" x14ac:dyDescent="0.25">
      <x:c r="A224" s="4">
        <x:v>365</x:v>
      </x:c>
      <x:c r="B224" s="5" t="s">
        <x:v>47</x:v>
      </x:c>
      <x:c r="C224" s="6">
        <x:v>17989310.399999999</x:v>
      </x:c>
      <x:c r="D224" s="6">
        <x:v>17989310.399999999</x:v>
      </x:c>
      <x:c r="E224" s="6"/>
      <x:c r="F224" s="7">
        <x:v>52</x:v>
      </x:c>
      <x:c r="G224" s="6">
        <x:v>30.963764999999999</x:v>
      </x:c>
      <x:c r="H224" s="8">
        <x:v>-0.85</x:v>
      </x:c>
      <x:c r="I224" s="6">
        <x:f t="shared" si="36"/>
        <x:v>13463281.114718007</x:v>
      </x:c>
      <x:c r="J224" s="23">
        <x:v>1.0549225850286312</x:v>
      </x:c>
      <x:c r="K224" s="9">
        <x:f t="shared" si="37"/>
        <x:v>14202719.316505471</x:v>
      </x:c>
      <x:c r="L224" s="6"/>
      <x:c r="M224" s="10">
        <x:f t="shared" si="38"/>
        <x:v>14202719.316505471</x:v>
      </x:c>
      <x:c r="N224" s="10">
        <x:f t="shared" si="39"/>
        <x:v>0</x:v>
      </x:c>
      <x:c r="O224" s="10"/>
    </x:row>
    <x:row r="225" spans="1:15" s="7" customFormat="1" outlineLevel="2" x14ac:dyDescent="0.25">
      <x:c r="A225" s="4">
        <x:v>365</x:v>
      </x:c>
      <x:c r="B225" s="5" t="s">
        <x:v>48</x:v>
      </x:c>
      <x:c r="C225" s="6">
        <x:v>19373717.829999998</x:v>
      </x:c>
      <x:c r="D225" s="6">
        <x:v>19373717.829999998</x:v>
      </x:c>
      <x:c r="E225" s="6"/>
      <x:c r="F225" s="7">
        <x:v>52</x:v>
      </x:c>
      <x:c r="G225" s="6">
        <x:v>30.415199999999999</x:v>
      </x:c>
      <x:c r="H225" s="8">
        <x:v>-0.85</x:v>
      </x:c>
      <x:c r="I225" s="6">
        <x:f t="shared" si="36"/>
        <x:v>14877480.298873471</x:v>
      </x:c>
      <x:c r="J225" s="23">
        <x:v>1.0549225850286312</x:v>
      </x:c>
      <x:c r="K225" s="9">
        <x:f t="shared" si="37"/>
        <x:v>15694589.975600135</x:v>
      </x:c>
      <x:c r="L225" s="6"/>
      <x:c r="M225" s="10">
        <x:f t="shared" si="38"/>
        <x:v>15694589.975600135</x:v>
      </x:c>
      <x:c r="N225" s="10">
        <x:f t="shared" si="39"/>
        <x:v>0</x:v>
      </x:c>
      <x:c r="O225" s="10"/>
    </x:row>
    <x:row r="226" spans="1:15" s="7" customFormat="1" outlineLevel="2" x14ac:dyDescent="0.25">
      <x:c r="A226" s="4">
        <x:v>365</x:v>
      </x:c>
      <x:c r="B226" s="5" t="s">
        <x:v>49</x:v>
      </x:c>
      <x:c r="C226" s="6">
        <x:v>16458778.67</x:v>
      </x:c>
      <x:c r="D226" s="6">
        <x:v>16458778.67</x:v>
      </x:c>
      <x:c r="E226" s="6"/>
      <x:c r="F226" s="7">
        <x:v>52</x:v>
      </x:c>
      <x:c r="G226" s="6">
        <x:v>29.870528</x:v>
      </x:c>
      <x:c r="H226" s="8">
        <x:v>-0.85</x:v>
      </x:c>
      <x:c r="I226" s="6">
        <x:f t="shared" ref="I226:I257" si="43">+C226*(1-H226)*(1-G226/F226)</x:f>
        <x:v>12957972.138540965</x:v>
      </x:c>
      <x:c r="J226" s="23">
        <x:v>1.0549225850286312</x:v>
      </x:c>
      <x:c r="K226" s="9">
        <x:f t="shared" ref="K226:K257" si="44">IF((C226*(1-H226)-I226*J226)&lt;0,C226*(1-H226),I226*J226)</x:f>
        <x:v>13669657.465118615</x:v>
      </x:c>
      <x:c r="L226" s="6"/>
      <x:c r="M226" s="10">
        <x:f t="shared" ref="M226:M257" si="45">+K226/D226*C226</x:f>
        <x:v>13669657.465118615</x:v>
      </x:c>
      <x:c r="N226" s="10">
        <x:f t="shared" ref="N226:N257" si="46">+E226/C226*K226</x:f>
        <x:v>0</x:v>
      </x:c>
      <x:c r="O226" s="10"/>
    </x:row>
    <x:row r="227" spans="1:15" s="7" customFormat="1" outlineLevel="2" x14ac:dyDescent="0.25">
      <x:c r="A227" s="4">
        <x:v>365</x:v>
      </x:c>
      <x:c r="B227" s="5" t="s">
        <x:v>50</x:v>
      </x:c>
      <x:c r="C227" s="6">
        <x:v>20722044.84</x:v>
      </x:c>
      <x:c r="D227" s="6">
        <x:v>20722044.84</x:v>
      </x:c>
      <x:c r="E227" s="6"/>
      <x:c r="F227" s="7">
        <x:v>52</x:v>
      </x:c>
      <x:c r="G227" s="6">
        <x:v>29.329834999999999</x:v>
      </x:c>
      <x:c r="H227" s="8">
        <x:v>-0.85</x:v>
      </x:c>
      <x:c r="I227" s="6">
        <x:f t="shared" si="43"/>
        <x:v>16713048.55714168</x:v>
      </x:c>
      <x:c r="J227" s="23">
        <x:v>1.0549225850286312</x:v>
      </x:c>
      <x:c r="K227" s="9">
        <x:f t="shared" si="44"/>
        <x:v>17630972.387608938</x:v>
      </x:c>
      <x:c r="L227" s="6"/>
      <x:c r="M227" s="10">
        <x:f t="shared" si="45"/>
        <x:v>17630972.387608938</x:v>
      </x:c>
      <x:c r="N227" s="10">
        <x:f t="shared" si="46"/>
        <x:v>0</x:v>
      </x:c>
      <x:c r="O227" s="10"/>
    </x:row>
    <x:row r="228" spans="1:15" s="7" customFormat="1" outlineLevel="2" x14ac:dyDescent="0.25">
      <x:c r="A228" s="4">
        <x:v>365</x:v>
      </x:c>
      <x:c r="B228" s="5" t="s">
        <x:v>51</x:v>
      </x:c>
      <x:c r="C228" s="6">
        <x:v>24432656.18</x:v>
      </x:c>
      <x:c r="D228" s="6">
        <x:v>24432656.18</x:v>
      </x:c>
      <x:c r="E228" s="6"/>
      <x:c r="F228" s="7">
        <x:v>52</x:v>
      </x:c>
      <x:c r="G228" s="6">
        <x:v>28.793268999999999</x:v>
      </x:c>
      <x:c r="H228" s="8">
        <x:v>-0.85</x:v>
      </x:c>
      <x:c r="I228" s="6">
        <x:f t="shared" si="43"/>
        <x:v>20172189.369841985</x:v>
      </x:c>
      <x:c r="J228" s="23">
        <x:v>1.0549225850286312</x:v>
      </x:c>
      <x:c r="K228" s="9">
        <x:f t="shared" si="44"/>
        <x:v>21280098.155720782</x:v>
      </x:c>
      <x:c r="L228" s="6"/>
      <x:c r="M228" s="10">
        <x:f t="shared" si="45"/>
        <x:v>21280098.155720782</x:v>
      </x:c>
      <x:c r="N228" s="10">
        <x:f t="shared" si="46"/>
        <x:v>0</x:v>
      </x:c>
      <x:c r="O228" s="10"/>
    </x:row>
    <x:row r="229" spans="1:15" s="7" customFormat="1" outlineLevel="2" x14ac:dyDescent="0.25">
      <x:c r="A229" s="4">
        <x:v>365</x:v>
      </x:c>
      <x:c r="B229" s="5" t="s">
        <x:v>52</x:v>
      </x:c>
      <x:c r="C229" s="6">
        <x:v>16964235.02</x:v>
      </x:c>
      <x:c r="D229" s="6">
        <x:v>16964235.02</x:v>
      </x:c>
      <x:c r="E229" s="6"/>
      <x:c r="F229" s="7">
        <x:v>52</x:v>
      </x:c>
      <x:c r="G229" s="6">
        <x:v>28.260905000000001</x:v>
      </x:c>
      <x:c r="H229" s="8">
        <x:v>-0.85</x:v>
      </x:c>
      <x:c r="I229" s="6">
        <x:f t="shared" si="43"/>
        <x:v>14327381.45140188</x:v>
      </x:c>
      <x:c r="J229" s="23">
        <x:v>1.0549225850286312</x:v>
      </x:c>
      <x:c r="K229" s="9">
        <x:f t="shared" si="44"/>
        <x:v>15114278.277404133</x:v>
      </x:c>
      <x:c r="L229" s="6"/>
      <x:c r="M229" s="10">
        <x:f t="shared" si="45"/>
        <x:v>15114278.277404133</x:v>
      </x:c>
      <x:c r="N229" s="10">
        <x:f t="shared" si="46"/>
        <x:v>0</x:v>
      </x:c>
      <x:c r="O229" s="10"/>
    </x:row>
    <x:row r="230" spans="1:15" s="7" customFormat="1" outlineLevel="2" x14ac:dyDescent="0.25">
      <x:c r="A230" s="4">
        <x:v>365</x:v>
      </x:c>
      <x:c r="B230" s="5" t="s">
        <x:v>53</x:v>
      </x:c>
      <x:c r="C230" s="6">
        <x:v>14715266.859999999</x:v>
      </x:c>
      <x:c r="D230" s="6">
        <x:v>14715266.859999999</x:v>
      </x:c>
      <x:c r="E230" s="6"/>
      <x:c r="F230" s="7">
        <x:v>52</x:v>
      </x:c>
      <x:c r="G230" s="6">
        <x:v>27.732762999999998</x:v>
      </x:c>
      <x:c r="H230" s="8">
        <x:v>-0.85</x:v>
      </x:c>
      <x:c r="I230" s="6">
        <x:f t="shared" si="43"/>
        <x:v>12704478.972274074</x:v>
      </x:c>
      <x:c r="J230" s="23">
        <x:v>1.0549225850286312</x:v>
      </x:c>
      <x:c r="K230" s="9">
        <x:f t="shared" si="44"/>
        <x:v>13402241.798873255</x:v>
      </x:c>
      <x:c r="L230" s="6"/>
      <x:c r="M230" s="10">
        <x:f t="shared" si="45"/>
        <x:v>13402241.798873255</x:v>
      </x:c>
      <x:c r="N230" s="10">
        <x:f t="shared" si="46"/>
        <x:v>0</x:v>
      </x:c>
      <x:c r="O230" s="10"/>
    </x:row>
    <x:row r="231" spans="1:15" s="7" customFormat="1" outlineLevel="2" x14ac:dyDescent="0.25">
      <x:c r="A231" s="4">
        <x:v>365</x:v>
      </x:c>
      <x:c r="B231" s="5" t="s">
        <x:v>54</x:v>
      </x:c>
      <x:c r="C231" s="6">
        <x:v>15168540.68</x:v>
      </x:c>
      <x:c r="D231" s="6">
        <x:v>15168540.68</x:v>
      </x:c>
      <x:c r="E231" s="6"/>
      <x:c r="F231" s="7">
        <x:v>52</x:v>
      </x:c>
      <x:c r="G231" s="6">
        <x:v>27.208894999999998</x:v>
      </x:c>
      <x:c r="H231" s="8">
        <x:v>-0.85</x:v>
      </x:c>
      <x:c r="I231" s="6">
        <x:f t="shared" si="43"/>
        <x:v>13378519.936252022</x:v>
      </x:c>
      <x:c r="J231" s="23">
        <x:v>1.0549225850286312</x:v>
      </x:c>
      <x:c r="K231" s="9">
        <x:f t="shared" si="44"/>
        <x:v>14113302.835008062</x:v>
      </x:c>
      <x:c r="L231" s="6"/>
      <x:c r="M231" s="10">
        <x:f t="shared" si="45"/>
        <x:v>14113302.835008062</x:v>
      </x:c>
      <x:c r="N231" s="10">
        <x:f t="shared" si="46"/>
        <x:v>0</x:v>
      </x:c>
      <x:c r="O231" s="10"/>
    </x:row>
    <x:row r="232" spans="1:15" s="7" customFormat="1" outlineLevel="2" x14ac:dyDescent="0.25">
      <x:c r="A232" s="4">
        <x:v>365</x:v>
      </x:c>
      <x:c r="B232" s="5" t="s">
        <x:v>55</x:v>
      </x:c>
      <x:c r="C232" s="6">
        <x:v>12691365.65</x:v>
      </x:c>
      <x:c r="D232" s="6">
        <x:v>12691365.65</x:v>
      </x:c>
      <x:c r="E232" s="6"/>
      <x:c r="F232" s="7">
        <x:v>52</x:v>
      </x:c>
      <x:c r="G232" s="6">
        <x:v>26.689359</x:v>
      </x:c>
      <x:c r="H232" s="8">
        <x:v>-0.85</x:v>
      </x:c>
      <x:c r="I232" s="6">
        <x:f t="shared" si="43"/>
        <x:v>11428254.030167906</x:v>
      </x:c>
      <x:c r="J232" s="23">
        <x:v>1.0549225850286312</x:v>
      </x:c>
      <x:c r="K232" s="9">
        <x:f t="shared" si="44"/>
        <x:v>12055923.2838686</x:v>
      </x:c>
      <x:c r="L232" s="6"/>
      <x:c r="M232" s="10">
        <x:f t="shared" si="45"/>
        <x:v>12055923.2838686</x:v>
      </x:c>
      <x:c r="N232" s="10">
        <x:f t="shared" si="46"/>
        <x:v>0</x:v>
      </x:c>
      <x:c r="O232" s="10"/>
    </x:row>
    <x:row r="233" spans="1:15" s="7" customFormat="1" outlineLevel="2" x14ac:dyDescent="0.25">
      <x:c r="A233" s="4">
        <x:v>365</x:v>
      </x:c>
      <x:c r="B233" s="5" t="s">
        <x:v>56</x:v>
      </x:c>
      <x:c r="C233" s="6">
        <x:v>10652472.09</x:v>
      </x:c>
      <x:c r="D233" s="6">
        <x:v>10652472.09</x:v>
      </x:c>
      <x:c r="E233" s="6"/>
      <x:c r="F233" s="7">
        <x:v>52</x:v>
      </x:c>
      <x:c r="G233" s="6">
        <x:v>26.174192999999999</x:v>
      </x:c>
      <x:c r="H233" s="8">
        <x:v>-0.85</x:v>
      </x:c>
      <x:c r="I233" s="6">
        <x:f t="shared" si="43"/>
        <x:v>9787520.6403474882</x:v>
      </x:c>
      <x:c r="J233" s="23">
        <x:v>1.0549225850286312</x:v>
      </x:c>
      <x:c r="K233" s="9">
        <x:f t="shared" si="44"/>
        <x:v>10325076.574936457</x:v>
      </x:c>
      <x:c r="L233" s="6"/>
      <x:c r="M233" s="10">
        <x:f t="shared" si="45"/>
        <x:v>10325076.574936457</x:v>
      </x:c>
      <x:c r="N233" s="10">
        <x:f t="shared" si="46"/>
        <x:v>0</x:v>
      </x:c>
      <x:c r="O233" s="10"/>
    </x:row>
    <x:row r="234" spans="1:15" s="7" customFormat="1" outlineLevel="2" x14ac:dyDescent="0.25">
      <x:c r="A234" s="4">
        <x:v>365</x:v>
      </x:c>
      <x:c r="B234" s="5" t="s">
        <x:v>57</x:v>
      </x:c>
      <x:c r="C234" s="6">
        <x:v>10065338.01</x:v>
      </x:c>
      <x:c r="D234" s="6">
        <x:v>10065338.01</x:v>
      </x:c>
      <x:c r="E234" s="6"/>
      <x:c r="F234" s="7">
        <x:v>52</x:v>
      </x:c>
      <x:c r="G234" s="6">
        <x:v>25.663433000000001</x:v>
      </x:c>
      <x:c r="H234" s="8">
        <x:v>-0.85</x:v>
      </x:c>
      <x:c r="I234" s="6">
        <x:f t="shared" si="43"/>
        <x:v>9430960.2004677225</x:v>
      </x:c>
      <x:c r="J234" s="23">
        <x:v>1.0549225850286312</x:v>
      </x:c>
      <x:c r="K234" s="9">
        <x:f t="shared" si="44"/>
        <x:v>9948932.913979549</x:v>
      </x:c>
      <x:c r="L234" s="6"/>
      <x:c r="M234" s="10">
        <x:f t="shared" si="45"/>
        <x:v>9948932.913979549</x:v>
      </x:c>
      <x:c r="N234" s="10">
        <x:f t="shared" si="46"/>
        <x:v>0</x:v>
      </x:c>
      <x:c r="O234" s="10"/>
    </x:row>
    <x:row r="235" spans="1:15" s="7" customFormat="1" outlineLevel="2" x14ac:dyDescent="0.25">
      <x:c r="A235" s="4">
        <x:v>365</x:v>
      </x:c>
      <x:c r="B235" s="5" t="s">
        <x:v>58</x:v>
      </x:c>
      <x:c r="C235" s="6">
        <x:v>8425632.4100000001</x:v>
      </x:c>
      <x:c r="D235" s="6">
        <x:v>8425632.4100000001</x:v>
      </x:c>
      <x:c r="E235" s="6"/>
      <x:c r="F235" s="7">
        <x:v>52</x:v>
      </x:c>
      <x:c r="G235" s="6">
        <x:v>25.157108000000001</x:v>
      </x:c>
      <x:c r="H235" s="8">
        <x:v>-0.85</x:v>
      </x:c>
      <x:c r="I235" s="6">
        <x:f t="shared" si="43"/>
        <x:v>8046373.6635511555</x:v>
      </x:c>
      <x:c r="J235" s="23">
        <x:v>1.0549225850286312</x:v>
      </x:c>
      <x:c r="K235" s="9">
        <x:f t="shared" si="44"/>
        <x:v>8488301.3052596822</x:v>
      </x:c>
      <x:c r="L235" s="6"/>
      <x:c r="M235" s="10">
        <x:f t="shared" si="45"/>
        <x:v>8488301.3052596822</x:v>
      </x:c>
      <x:c r="N235" s="10">
        <x:f t="shared" si="46"/>
        <x:v>0</x:v>
      </x:c>
      <x:c r="O235" s="10"/>
    </x:row>
    <x:row r="236" spans="1:15" s="7" customFormat="1" outlineLevel="2" x14ac:dyDescent="0.25">
      <x:c r="A236" s="4">
        <x:v>365</x:v>
      </x:c>
      <x:c r="B236" s="5" t="s">
        <x:v>59</x:v>
      </x:c>
      <x:c r="C236" s="6">
        <x:v>6775146.9100000001</x:v>
      </x:c>
      <x:c r="D236" s="6">
        <x:v>6775146.9100000001</x:v>
      </x:c>
      <x:c r="E236" s="6"/>
      <x:c r="F236" s="7">
        <x:v>52</x:v>
      </x:c>
      <x:c r="G236" s="6">
        <x:v>24.655238000000001</x:v>
      </x:c>
      <x:c r="H236" s="8">
        <x:v>-0.85</x:v>
      </x:c>
      <x:c r="I236" s="6">
        <x:f t="shared" si="43"/>
        <x:v>6591150.8187042894</x:v>
      </x:c>
      <x:c r="J236" s="23">
        <x:v>1.0549225850286312</x:v>
      </x:c>
      <x:c r="K236" s="9">
        <x:f t="shared" si="44"/>
        <x:v>6953153.8599811085</x:v>
      </x:c>
      <x:c r="L236" s="6"/>
      <x:c r="M236" s="10">
        <x:f t="shared" si="45"/>
        <x:v>6953153.8599811075</x:v>
      </x:c>
      <x:c r="N236" s="10">
        <x:f t="shared" si="46"/>
        <x:v>0</x:v>
      </x:c>
      <x:c r="O236" s="10"/>
    </x:row>
    <x:row r="237" spans="1:15" s="7" customFormat="1" outlineLevel="2" x14ac:dyDescent="0.25">
      <x:c r="A237" s="4">
        <x:v>365</x:v>
      </x:c>
      <x:c r="B237" s="5" t="s">
        <x:v>60</x:v>
      </x:c>
      <x:c r="C237" s="6">
        <x:v>5040686.49</x:v>
      </x:c>
      <x:c r="D237" s="6">
        <x:v>5040686.49</x:v>
      </x:c>
      <x:c r="E237" s="6"/>
      <x:c r="F237" s="7">
        <x:v>52</x:v>
      </x:c>
      <x:c r="G237" s="6">
        <x:v>24.157831000000002</x:v>
      </x:c>
      <x:c r="H237" s="8">
        <x:v>-0.85</x:v>
      </x:c>
      <x:c r="I237" s="6">
        <x:f t="shared" si="43"/>
        <x:v>4992995.0671462324</x:v>
      </x:c>
      <x:c r="J237" s="23">
        <x:v>1.0549225850286312</x:v>
      </x:c>
      <x:c r="K237" s="9">
        <x:f t="shared" si="44"/>
        <x:v>5267223.2632691078</x:v>
      </x:c>
      <x:c r="L237" s="6"/>
      <x:c r="M237" s="10">
        <x:f t="shared" si="45"/>
        <x:v>5267223.2632691078</x:v>
      </x:c>
      <x:c r="N237" s="10">
        <x:f t="shared" si="46"/>
        <x:v>0</x:v>
      </x:c>
      <x:c r="O237" s="10"/>
    </x:row>
    <x:row r="238" spans="1:15" s="7" customFormat="1" outlineLevel="2" x14ac:dyDescent="0.25">
      <x:c r="A238" s="4">
        <x:v>365</x:v>
      </x:c>
      <x:c r="B238" s="5" t="s">
        <x:v>61</x:v>
      </x:c>
      <x:c r="C238" s="6">
        <x:v>3474792.53</x:v>
      </x:c>
      <x:c r="D238" s="6">
        <x:v>3474792.53</x:v>
      </x:c>
      <x:c r="E238" s="6"/>
      <x:c r="F238" s="7">
        <x:v>52</x:v>
      </x:c>
      <x:c r="G238" s="6">
        <x:v>23.664894</x:v>
      </x:c>
      <x:c r="H238" s="8">
        <x:v>-0.85</x:v>
      </x:c>
      <x:c r="I238" s="6">
        <x:f t="shared" si="43"/>
        <x:v>3502854.5602169735</x:v>
      </x:c>
      <x:c r="J238" s="23">
        <x:v>1.0549225850286312</x:v>
      </x:c>
      <x:c r="K238" s="9">
        <x:f t="shared" si="44"/>
        <x:v>3695240.3876434187</x:v>
      </x:c>
      <x:c r="L238" s="6"/>
      <x:c r="M238" s="10">
        <x:f t="shared" si="45"/>
        <x:v>3695240.3876434192</x:v>
      </x:c>
      <x:c r="N238" s="10">
        <x:f t="shared" si="46"/>
        <x:v>0</x:v>
      </x:c>
      <x:c r="O238" s="10"/>
    </x:row>
    <x:row r="239" spans="1:15" s="7" customFormat="1" outlineLevel="2" x14ac:dyDescent="0.25">
      <x:c r="A239" s="4">
        <x:v>365</x:v>
      </x:c>
      <x:c r="B239" s="5" t="s">
        <x:v>62</x:v>
      </x:c>
      <x:c r="C239" s="6">
        <x:v>3226099.47</x:v>
      </x:c>
      <x:c r="D239" s="6">
        <x:v>3226099.47</x:v>
      </x:c>
      <x:c r="E239" s="6"/>
      <x:c r="F239" s="7">
        <x:v>52</x:v>
      </x:c>
      <x:c r="G239" s="6">
        <x:v>23.17642</x:v>
      </x:c>
      <x:c r="H239" s="8">
        <x:v>-0.85</x:v>
      </x:c>
      <x:c r="I239" s="6">
        <x:f t="shared" si="43"/>
        <x:v>3308217.5365149966</x:v>
      </x:c>
      <x:c r="J239" s="23">
        <x:v>1.0549225850286312</x:v>
      </x:c>
      <x:c r="K239" s="9">
        <x:f t="shared" si="44"/>
        <x:v>3489913.3954574503</x:v>
      </x:c>
      <x:c r="L239" s="6"/>
      <x:c r="M239" s="10">
        <x:f t="shared" si="45"/>
        <x:v>3489913.3954574503</x:v>
      </x:c>
      <x:c r="N239" s="10">
        <x:f t="shared" si="46"/>
        <x:v>0</x:v>
      </x:c>
      <x:c r="O239" s="10"/>
    </x:row>
    <x:row r="240" spans="1:15" s="7" customFormat="1" outlineLevel="2" x14ac:dyDescent="0.25">
      <x:c r="A240" s="4">
        <x:v>365</x:v>
      </x:c>
      <x:c r="B240" s="5" t="s">
        <x:v>63</x:v>
      </x:c>
      <x:c r="C240" s="6">
        <x:v>3420252.56</x:v>
      </x:c>
      <x:c r="D240" s="6">
        <x:v>3420252.56</x:v>
      </x:c>
      <x:c r="E240" s="6"/>
      <x:c r="F240" s="7">
        <x:v>52</x:v>
      </x:c>
      <x:c r="G240" s="6">
        <x:v>22.692397</x:v>
      </x:c>
      <x:c r="H240" s="8">
        <x:v>-0.85</x:v>
      </x:c>
      <x:c r="I240" s="6">
        <x:f t="shared" si="43"/>
        <x:v>3566209.5720806797</x:v>
      </x:c>
      <x:c r="J240" s="23">
        <x:v>1.0549225850286312</x:v>
      </x:c>
      <x:c r="K240" s="9">
        <x:f t="shared" si="44"/>
        <x:v>3762075.0205331994</x:v>
      </x:c>
      <x:c r="L240" s="6"/>
      <x:c r="M240" s="10">
        <x:f t="shared" si="45"/>
        <x:v>3762075.0205331994</x:v>
      </x:c>
      <x:c r="N240" s="10">
        <x:f t="shared" si="46"/>
        <x:v>0</x:v>
      </x:c>
      <x:c r="O240" s="10"/>
    </x:row>
    <x:row r="241" spans="1:15" s="7" customFormat="1" outlineLevel="2" x14ac:dyDescent="0.25">
      <x:c r="A241" s="4">
        <x:v>365</x:v>
      </x:c>
      <x:c r="B241" s="5" t="s">
        <x:v>64</x:v>
      </x:c>
      <x:c r="C241" s="6">
        <x:v>3044695.86</x:v>
      </x:c>
      <x:c r="D241" s="6">
        <x:v>3044695.86</x:v>
      </x:c>
      <x:c r="E241" s="6"/>
      <x:c r="F241" s="7">
        <x:v>52</x:v>
      </x:c>
      <x:c r="G241" s="6">
        <x:v>22.212848000000001</x:v>
      </x:c>
      <x:c r="H241" s="8">
        <x:v>-0.85</x:v>
      </x:c>
      <x:c r="I241" s="6">
        <x:f t="shared" si="43"/>
        <x:v>3226571.4229777465</x:v>
      </x:c>
      <x:c r="J241" s="23">
        <x:v>1.0549225850286312</x:v>
      </x:c>
      <x:c r="K241" s="9">
        <x:f t="shared" si="44"/>
        <x:v>3403783.0663071936</x:v>
      </x:c>
      <x:c r="L241" s="6"/>
      <x:c r="M241" s="10">
        <x:f t="shared" si="45"/>
        <x:v>3403783.0663071936</x:v>
      </x:c>
      <x:c r="N241" s="10">
        <x:f t="shared" si="46"/>
        <x:v>0</x:v>
      </x:c>
      <x:c r="O241" s="10"/>
    </x:row>
    <x:row r="242" spans="1:15" s="7" customFormat="1" outlineLevel="2" x14ac:dyDescent="0.25">
      <x:c r="A242" s="4">
        <x:v>365</x:v>
      </x:c>
      <x:c r="B242" s="5" t="s">
        <x:v>65</x:v>
      </x:c>
      <x:c r="C242" s="6">
        <x:v>3070455.28</x:v>
      </x:c>
      <x:c r="D242" s="6">
        <x:v>3070455.28</x:v>
      </x:c>
      <x:c r="E242" s="6"/>
      <x:c r="F242" s="7">
        <x:v>52</x:v>
      </x:c>
      <x:c r="G242" s="6">
        <x:v>21.737731</x:v>
      </x:c>
      <x:c r="H242" s="8">
        <x:v>-0.85</x:v>
      </x:c>
      <x:c r="I242" s="6">
        <x:f t="shared" si="43"/>
        <x:v>3305770.110120886</x:v>
      </x:c>
      <x:c r="J242" s="23">
        <x:v>1.0549225850286312</x:v>
      </x:c>
      <x:c r="K242" s="9">
        <x:f t="shared" si="44"/>
        <x:v>3487331.5500791082</x:v>
      </x:c>
      <x:c r="L242" s="6"/>
      <x:c r="M242" s="10">
        <x:f t="shared" si="45"/>
        <x:v>3487331.5500791082</x:v>
      </x:c>
      <x:c r="N242" s="10">
        <x:f t="shared" si="46"/>
        <x:v>0</x:v>
      </x:c>
      <x:c r="O242" s="10"/>
    </x:row>
    <x:row r="243" spans="1:15" s="7" customFormat="1" outlineLevel="2" x14ac:dyDescent="0.25">
      <x:c r="A243" s="4">
        <x:v>365</x:v>
      </x:c>
      <x:c r="B243" s="5" t="s">
        <x:v>66</x:v>
      </x:c>
      <x:c r="C243" s="6">
        <x:v>2913777.71</x:v>
      </x:c>
      <x:c r="D243" s="6">
        <x:v>2913777.71</x:v>
      </x:c>
      <x:c r="E243" s="6"/>
      <x:c r="F243" s="7">
        <x:v>52</x:v>
      </x:c>
      <x:c r="G243" s="6">
        <x:v>21.266983</x:v>
      </x:c>
      <x:c r="H243" s="8">
        <x:v>-0.85</x:v>
      </x:c>
      <x:c r="I243" s="6">
        <x:f t="shared" si="43"/>
        <x:v>3185884.2847491247</x:v>
      </x:c>
      <x:c r="J243" s="23">
        <x:v>1.0549225850286312</x:v>
      </x:c>
      <x:c r="K243" s="9">
        <x:f t="shared" si="44"/>
        <x:v>3360861.2852696385</x:v>
      </x:c>
      <x:c r="L243" s="6"/>
      <x:c r="M243" s="10">
        <x:f t="shared" si="45"/>
        <x:v>3360861.2852696385</x:v>
      </x:c>
      <x:c r="N243" s="10">
        <x:f t="shared" si="46"/>
        <x:v>0</x:v>
      </x:c>
      <x:c r="O243" s="10"/>
    </x:row>
    <x:row r="244" spans="1:15" s="7" customFormat="1" outlineLevel="2" x14ac:dyDescent="0.25">
      <x:c r="A244" s="4">
        <x:v>365</x:v>
      </x:c>
      <x:c r="B244" s="5" t="s">
        <x:v>67</x:v>
      </x:c>
      <x:c r="C244" s="6">
        <x:v>2487599.0499999998</x:v>
      </x:c>
      <x:c r="D244" s="6">
        <x:v>2487599.0499999998</x:v>
      </x:c>
      <x:c r="E244" s="6"/>
      <x:c r="F244" s="7">
        <x:v>52</x:v>
      </x:c>
      <x:c r="G244" s="6">
        <x:v>20.800560999999998</x:v>
      </x:c>
      <x:c r="H244" s="8">
        <x:v>-0.85</x:v>
      </x:c>
      <x:c r="I244" s="6">
        <x:f t="shared" si="43"/>
        <x:v>2761185.2963716527</x:v>
      </x:c>
      <x:c r="J244" s="23">
        <x:v>1.0549225850286312</x:v>
      </x:c>
      <x:c r="K244" s="9">
        <x:f t="shared" si="44"/>
        <x:v>2912836.7305914313</x:v>
      </x:c>
      <x:c r="L244" s="6"/>
      <x:c r="M244" s="10">
        <x:f t="shared" si="45"/>
        <x:v>2912836.7305914313</x:v>
      </x:c>
      <x:c r="N244" s="10">
        <x:f t="shared" si="46"/>
        <x:v>0</x:v>
      </x:c>
      <x:c r="O244" s="10"/>
    </x:row>
    <x:row r="245" spans="1:15" s="7" customFormat="1" outlineLevel="2" x14ac:dyDescent="0.25">
      <x:c r="A245" s="4">
        <x:v>365</x:v>
      </x:c>
      <x:c r="B245" s="5" t="s">
        <x:v>68</x:v>
      </x:c>
      <x:c r="C245" s="6">
        <x:v>2587656.0299999998</x:v>
      </x:c>
      <x:c r="D245" s="6">
        <x:v>2587656.0299999998</x:v>
      </x:c>
      <x:c r="E245" s="6"/>
      <x:c r="F245" s="7">
        <x:v>52</x:v>
      </x:c>
      <x:c r="G245" s="6">
        <x:v>20.338417</x:v>
      </x:c>
      <x:c r="H245" s="8">
        <x:v>-0.85</x:v>
      </x:c>
      <x:c r="I245" s="6">
        <x:f t="shared" si="43"/>
        <x:v>2914791.9117922429</x:v>
      </x:c>
      <x:c r="J245" s="23">
        <x:v>1.0549225850286312</x:v>
      </x:c>
      <x:c r="K245" s="9">
        <x:f t="shared" si="44"/>
        <x:v>3074879.8184084189</x:v>
      </x:c>
      <x:c r="L245" s="6"/>
      <x:c r="M245" s="10">
        <x:f t="shared" si="45"/>
        <x:v>3074879.8184084189</x:v>
      </x:c>
      <x:c r="N245" s="10">
        <x:f t="shared" si="46"/>
        <x:v>0</x:v>
      </x:c>
      <x:c r="O245" s="10"/>
    </x:row>
    <x:row r="246" spans="1:15" s="7" customFormat="1" outlineLevel="2" x14ac:dyDescent="0.25">
      <x:c r="A246" s="4">
        <x:v>365</x:v>
      </x:c>
      <x:c r="B246" s="5" t="s">
        <x:v>69</x:v>
      </x:c>
      <x:c r="C246" s="6">
        <x:v>2504067.37</x:v>
      </x:c>
      <x:c r="D246" s="6">
        <x:v>2504067.37</x:v>
      </x:c>
      <x:c r="E246" s="6"/>
      <x:c r="F246" s="7">
        <x:v>52</x:v>
      </x:c>
      <x:c r="G246" s="6">
        <x:v>19.880493999999999</x:v>
      </x:c>
      <x:c r="H246" s="8">
        <x:v>-0.85</x:v>
      </x:c>
      <x:c r="I246" s="6">
        <x:f t="shared" si="43"/>
        <x:v>2861430.8229417424</x:v>
      </x:c>
      <x:c r="J246" s="23">
        <x:v>1.0549225850286312</x:v>
      </x:c>
      <x:c r="K246" s="9">
        <x:f t="shared" si="44"/>
        <x:v>3018588.0006183065</x:v>
      </x:c>
      <x:c r="L246" s="6"/>
      <x:c r="M246" s="10">
        <x:f t="shared" si="45"/>
        <x:v>3018588.0006183065</x:v>
      </x:c>
      <x:c r="N246" s="10">
        <x:f t="shared" si="46"/>
        <x:v>0</x:v>
      </x:c>
      <x:c r="O246" s="10"/>
    </x:row>
    <x:row r="247" spans="1:15" s="7" customFormat="1" outlineLevel="2" x14ac:dyDescent="0.25">
      <x:c r="A247" s="4">
        <x:v>365</x:v>
      </x:c>
      <x:c r="B247" s="5" t="s">
        <x:v>70</x:v>
      </x:c>
      <x:c r="C247" s="6">
        <x:v>2370199.2999999998</x:v>
      </x:c>
      <x:c r="D247" s="6">
        <x:v>2370199.2999999998</x:v>
      </x:c>
      <x:c r="E247" s="6"/>
      <x:c r="F247" s="7">
        <x:v>52</x:v>
      </x:c>
      <x:c r="G247" s="6">
        <x:v>19.426732999999999</x:v>
      </x:c>
      <x:c r="H247" s="8">
        <x:v>-0.85</x:v>
      </x:c>
      <x:c r="I247" s="6">
        <x:f t="shared" si="43"/>
        <x:v>2746721.1363059469</x:v>
      </x:c>
      <x:c r="J247" s="23">
        <x:v>1.0549225850286312</x:v>
      </x:c>
      <x:c r="K247" s="9">
        <x:f t="shared" si="44"/>
        <x:v>2897578.1614646488</x:v>
      </x:c>
      <x:c r="L247" s="6"/>
      <x:c r="M247" s="10">
        <x:f t="shared" si="45"/>
        <x:v>2897578.1614646488</x:v>
      </x:c>
      <x:c r="N247" s="10">
        <x:f t="shared" si="46"/>
        <x:v>0</x:v>
      </x:c>
      <x:c r="O247" s="10"/>
    </x:row>
    <x:row r="248" spans="1:15" s="7" customFormat="1" outlineLevel="2" x14ac:dyDescent="0.25">
      <x:c r="A248" s="4">
        <x:v>365</x:v>
      </x:c>
      <x:c r="B248" s="5" t="s">
        <x:v>71</x:v>
      </x:c>
      <x:c r="C248" s="6">
        <x:v>23525357.93</x:v>
      </x:c>
      <x:c r="D248" s="6">
        <x:v>23525357.93</x:v>
      </x:c>
      <x:c r="E248" s="6"/>
      <x:c r="F248" s="7">
        <x:v>52</x:v>
      </x:c>
      <x:c r="G248" s="6">
        <x:v>18.977060000000002</x:v>
      </x:c>
      <x:c r="H248" s="8">
        <x:v>-0.85</x:v>
      </x:c>
      <x:c r="I248" s="6">
        <x:f t="shared" si="43"/>
        <x:v>27638874.890224833</x:v>
      </x:c>
      <x:c r="J248" s="23">
        <x:v>1.0549225850286312</x:v>
      </x:c>
      <x:c r="K248" s="9">
        <x:f t="shared" si="44"/>
        <x:v>29156873.346478906</x:v>
      </x:c>
      <x:c r="L248" s="6"/>
      <x:c r="M248" s="10">
        <x:f t="shared" si="45"/>
        <x:v>29156873.346478902</x:v>
      </x:c>
      <x:c r="N248" s="10">
        <x:f t="shared" si="46"/>
        <x:v>0</x:v>
      </x:c>
      <x:c r="O248" s="10"/>
    </x:row>
    <x:row r="249" spans="1:15" s="7" customFormat="1" outlineLevel="2" x14ac:dyDescent="0.25">
      <x:c r="A249" s="4">
        <x:v>365</x:v>
      </x:c>
      <x:c r="B249" s="5" t="s">
        <x:v>72</x:v>
      </x:c>
      <x:c r="C249" s="6">
        <x:v>1030284.6</x:v>
      </x:c>
      <x:c r="D249" s="6">
        <x:v>1030284.6</x:v>
      </x:c>
      <x:c r="E249" s="6"/>
      <x:c r="F249" s="7">
        <x:v>52</x:v>
      </x:c>
      <x:c r="G249" s="6">
        <x:v>18.531407999999999</x:v>
      </x:c>
      <x:c r="H249" s="8">
        <x:v>-0.85</x:v>
      </x:c>
      <x:c r="I249" s="6">
        <x:f t="shared" si="43"/>
        <x:v>1226769.6846994983</x:v>
      </x:c>
      <x:c r="J249" s="23">
        <x:v>1.0549225850286312</x:v>
      </x:c>
      <x:c r="K249" s="9">
        <x:f t="shared" si="44"/>
        <x:v>1294147.0470179536</x:v>
      </x:c>
      <x:c r="L249" s="6"/>
      <x:c r="M249" s="10">
        <x:f t="shared" si="45"/>
        <x:v>1294147.0470179536</x:v>
      </x:c>
      <x:c r="N249" s="10">
        <x:f t="shared" si="46"/>
        <x:v>0</x:v>
      </x:c>
      <x:c r="O249" s="10"/>
    </x:row>
    <x:row r="250" spans="1:15" s="7" customFormat="1" outlineLevel="2" x14ac:dyDescent="0.25">
      <x:c r="A250" s="4">
        <x:v>365</x:v>
      </x:c>
      <x:c r="B250" s="5" t="s">
        <x:v>73</x:v>
      </x:c>
      <x:c r="C250" s="6">
        <x:v>8204005.1600000001</x:v>
      </x:c>
      <x:c r="D250" s="6">
        <x:v>8204005.1600000001</x:v>
      </x:c>
      <x:c r="E250" s="6"/>
      <x:c r="F250" s="7">
        <x:v>52</x:v>
      </x:c>
      <x:c r="G250" s="6">
        <x:v>18.089690999999998</x:v>
      </x:c>
      <x:c r="H250" s="8">
        <x:v>-0.85</x:v>
      </x:c>
      <x:c r="I250" s="6">
        <x:f t="shared" si="43"/>
        <x:v>9897512.4523924962</x:v>
      </x:c>
      <x:c r="J250" s="23">
        <x:v>1.0549225850286312</x:v>
      </x:c>
      <x:c r="K250" s="9">
        <x:f t="shared" si="44"/>
        <x:v>10441109.42163096</x:v>
      </x:c>
      <x:c r="L250" s="6"/>
      <x:c r="M250" s="10">
        <x:f t="shared" si="45"/>
        <x:v>10441109.42163096</x:v>
      </x:c>
      <x:c r="N250" s="10">
        <x:f t="shared" si="46"/>
        <x:v>0</x:v>
      </x:c>
      <x:c r="O250" s="10"/>
    </x:row>
    <x:row r="251" spans="1:15" s="7" customFormat="1" outlineLevel="2" x14ac:dyDescent="0.25">
      <x:c r="A251" s="4">
        <x:v>365</x:v>
      </x:c>
      <x:c r="B251" s="5" t="s">
        <x:v>74</x:v>
      </x:c>
      <x:c r="C251" s="6">
        <x:v>3795113.45</x:v>
      </x:c>
      <x:c r="D251" s="6">
        <x:v>3795113.45</x:v>
      </x:c>
      <x:c r="E251" s="6"/>
      <x:c r="F251" s="7">
        <x:v>52</x:v>
      </x:c>
      <x:c r="G251" s="6">
        <x:v>17.651816</x:v>
      </x:c>
      <x:c r="H251" s="8">
        <x:v>-0.85</x:v>
      </x:c>
      <x:c r="I251" s="6">
        <x:f t="shared" si="43"/>
        <x:v>4637638.8827063153</x:v>
      </x:c>
      <x:c r="J251" s="23">
        <x:v>1.0549225850286312</x:v>
      </x:c>
      <x:c r="K251" s="9">
        <x:f t="shared" si="44"/>
        <x:v>4892349.9985738397</x:v>
      </x:c>
      <x:c r="L251" s="6"/>
      <x:c r="M251" s="10">
        <x:f t="shared" si="45"/>
        <x:v>4892349.9985738397</x:v>
      </x:c>
      <x:c r="N251" s="10">
        <x:f t="shared" si="46"/>
        <x:v>0</x:v>
      </x:c>
      <x:c r="O251" s="10"/>
    </x:row>
    <x:row r="252" spans="1:15" s="7" customFormat="1" outlineLevel="2" x14ac:dyDescent="0.25">
      <x:c r="A252" s="4">
        <x:v>365</x:v>
      </x:c>
      <x:c r="B252" s="5" t="s">
        <x:v>75</x:v>
      </x:c>
      <x:c r="C252" s="6">
        <x:v>5800737.2300000004</x:v>
      </x:c>
      <x:c r="D252" s="6">
        <x:v>5800737.2300000004</x:v>
      </x:c>
      <x:c r="E252" s="6"/>
      <x:c r="F252" s="7">
        <x:v>52</x:v>
      </x:c>
      <x:c r="G252" s="6">
        <x:v>17.217690000000001</x:v>
      </x:c>
      <x:c r="H252" s="8">
        <x:v>-0.85</x:v>
      </x:c>
      <x:c r="I252" s="6">
        <x:f t="shared" si="43"/>
        <x:v>7178108.1738546612</x:v>
      </x:c>
      <x:c r="J252" s="23">
        <x:v>1.0549225850286312</x:v>
      </x:c>
      <x:c r="K252" s="9">
        <x:f t="shared" si="44"/>
        <x:v>7572348.4303779071</x:v>
      </x:c>
      <x:c r="L252" s="6"/>
      <x:c r="M252" s="10">
        <x:f t="shared" si="45"/>
        <x:v>7572348.4303779062</x:v>
      </x:c>
      <x:c r="N252" s="10">
        <x:f t="shared" si="46"/>
        <x:v>0</x:v>
      </x:c>
      <x:c r="O252" s="10"/>
    </x:row>
    <x:row r="253" spans="1:15" s="7" customFormat="1" outlineLevel="2" x14ac:dyDescent="0.25">
      <x:c r="A253" s="4">
        <x:v>365</x:v>
      </x:c>
      <x:c r="B253" s="5" t="s">
        <x:v>76</x:v>
      </x:c>
      <x:c r="C253" s="6">
        <x:v>1555301.91</x:v>
      </x:c>
      <x:c r="D253" s="6">
        <x:v>1555301.91</x:v>
      </x:c>
      <x:c r="E253" s="6"/>
      <x:c r="F253" s="7">
        <x:v>52</x:v>
      </x:c>
      <x:c r="G253" s="6">
        <x:v>16.787209000000001</x:v>
      </x:c>
      <x:c r="H253" s="8">
        <x:v>-0.85</x:v>
      </x:c>
      <x:c r="I253" s="6">
        <x:f t="shared" si="43"/>
        <x:v>1948424.3083202308</x:v>
      </x:c>
      <x:c r="J253" s="23">
        <x:v>1.0549225850286312</x:v>
      </x:c>
      <x:c r="K253" s="9">
        <x:f t="shared" si="44"/>
        <x:v>2055436.8080658007</x:v>
      </x:c>
      <x:c r="L253" s="6"/>
      <x:c r="M253" s="10">
        <x:f t="shared" si="45"/>
        <x:v>2055436.8080658005</x:v>
      </x:c>
      <x:c r="N253" s="10">
        <x:f t="shared" si="46"/>
        <x:v>0</x:v>
      </x:c>
      <x:c r="O253" s="10"/>
    </x:row>
    <x:row r="254" spans="1:15" s="7" customFormat="1" outlineLevel="2" x14ac:dyDescent="0.25">
      <x:c r="A254" s="4">
        <x:v>365</x:v>
      </x:c>
      <x:c r="B254" s="5" t="s">
        <x:v>77</x:v>
      </x:c>
      <x:c r="C254" s="6">
        <x:v>143037.57999999999</x:v>
      </x:c>
      <x:c r="D254" s="6">
        <x:v>143037.57999999999</x:v>
      </x:c>
      <x:c r="E254" s="6"/>
      <x:c r="F254" s="7">
        <x:v>52</x:v>
      </x:c>
      <x:c r="G254" s="6">
        <x:v>16.360239</x:v>
      </x:c>
      <x:c r="H254" s="8">
        <x:v>-0.85</x:v>
      </x:c>
      <x:c r="I254" s="6">
        <x:f t="shared" si="43"/>
        <x:v>181364.93376257698</x:v>
      </x:c>
      <x:c r="J254" s="23">
        <x:v>1.0549225850286312</x:v>
      </x:c>
      <x:c r="K254" s="9">
        <x:f t="shared" si="44"/>
        <x:v>191325.96475836419</x:v>
      </x:c>
      <x:c r="L254" s="6"/>
      <x:c r="M254" s="10">
        <x:f t="shared" si="45"/>
        <x:v>191325.96475836419</x:v>
      </x:c>
      <x:c r="N254" s="10">
        <x:f t="shared" si="46"/>
        <x:v>0</x:v>
      </x:c>
      <x:c r="O254" s="10"/>
    </x:row>
    <x:row r="255" spans="1:15" s="7" customFormat="1" outlineLevel="2" x14ac:dyDescent="0.25">
      <x:c r="A255" s="4">
        <x:v>365</x:v>
      </x:c>
      <x:c r="B255" s="5" t="s">
        <x:v>78</x:v>
      </x:c>
      <x:c r="C255" s="6">
        <x:v>57376.72</x:v>
      </x:c>
      <x:c r="D255" s="6">
        <x:v>57376.72</x:v>
      </x:c>
      <x:c r="E255" s="6"/>
      <x:c r="F255" s="7">
        <x:v>52</x:v>
      </x:c>
      <x:c r="G255" s="6">
        <x:v>15.936640000000001</x:v>
      </x:c>
      <x:c r="H255" s="8">
        <x:v>-0.85</x:v>
      </x:c>
      <x:c r="I255" s="6">
        <x:f t="shared" si="43"/>
        <x:v>73615.67349252924</x:v>
      </x:c>
      <x:c r="J255" s="23">
        <x:v>1.0549225850286312</x:v>
      </x:c>
      <x:c r="K255" s="9">
        <x:f t="shared" si="44"/>
        <x:v>77658.836579362629</x:v>
      </x:c>
      <x:c r="L255" s="6"/>
      <x:c r="M255" s="10">
        <x:f t="shared" si="45"/>
        <x:v>77658.836579362629</x:v>
      </x:c>
      <x:c r="N255" s="10">
        <x:f t="shared" si="46"/>
        <x:v>0</x:v>
      </x:c>
      <x:c r="O255" s="10"/>
    </x:row>
    <x:row r="256" spans="1:15" s="7" customFormat="1" outlineLevel="2" x14ac:dyDescent="0.25">
      <x:c r="A256" s="4">
        <x:v>365</x:v>
      </x:c>
      <x:c r="B256" s="5" t="s">
        <x:v>79</x:v>
      </x:c>
      <x:c r="C256" s="6">
        <x:v>58016.71</x:v>
      </x:c>
      <x:c r="D256" s="6">
        <x:v>58016.71</x:v>
      </x:c>
      <x:c r="E256" s="6"/>
      <x:c r="F256" s="7">
        <x:v>52</x:v>
      </x:c>
      <x:c r="G256" s="6">
        <x:v>15.516294</x:v>
      </x:c>
      <x:c r="H256" s="8">
        <x:v>-0.85</x:v>
      </x:c>
      <x:c r="I256" s="6">
        <x:f t="shared" si="43"/>
        <x:v>75304.413323950605</x:v>
      </x:c>
      <x:c r="J256" s="23">
        <x:v>1.0549225850286312</x:v>
      </x:c>
      <x:c r="K256" s="9">
        <x:f t="shared" si="44"/>
        <x:v>79440.326367766465</x:v>
      </x:c>
      <x:c r="L256" s="6"/>
      <x:c r="M256" s="10">
        <x:f t="shared" si="45"/>
        <x:v>79440.326367766465</x:v>
      </x:c>
      <x:c r="N256" s="10">
        <x:f t="shared" si="46"/>
        <x:v>0</x:v>
      </x:c>
      <x:c r="O256" s="10"/>
    </x:row>
    <x:row r="257" spans="1:15" s="7" customFormat="1" outlineLevel="2" x14ac:dyDescent="0.25">
      <x:c r="A257" s="4">
        <x:v>365</x:v>
      </x:c>
      <x:c r="B257" s="5" t="s">
        <x:v>80</x:v>
      </x:c>
      <x:c r="C257" s="6">
        <x:v>18513.89</x:v>
      </x:c>
      <x:c r="D257" s="6">
        <x:v>18513.89</x:v>
      </x:c>
      <x:c r="E257" s="6"/>
      <x:c r="F257" s="7">
        <x:v>52</x:v>
      </x:c>
      <x:c r="G257" s="6">
        <x:v>15.099062999999999</x:v>
      </x:c>
      <x:c r="H257" s="8">
        <x:v>-0.85</x:v>
      </x:c>
      <x:c r="I257" s="6">
        <x:f t="shared" si="43"/>
        <x:v>24305.438341396544</x:v>
      </x:c>
      <x:c r="J257" s="23">
        <x:v>1.0549225850286312</x:v>
      </x:c>
      <x:c r="K257" s="9">
        <x:f t="shared" si="44"/>
        <x:v>25640.355845360049</x:v>
      </x:c>
      <x:c r="L257" s="6"/>
      <x:c r="M257" s="10">
        <x:f t="shared" si="45"/>
        <x:v>25640.355845360049</x:v>
      </x:c>
      <x:c r="N257" s="10">
        <x:f t="shared" si="46"/>
        <x:v>0</x:v>
      </x:c>
      <x:c r="O257" s="10"/>
    </x:row>
    <x:row r="258" spans="1:15" s="7" customFormat="1" outlineLevel="2" x14ac:dyDescent="0.25">
      <x:c r="A258" s="4">
        <x:v>365</x:v>
      </x:c>
      <x:c r="B258" s="5" t="s">
        <x:v>81</x:v>
      </x:c>
      <x:c r="C258" s="6">
        <x:v>59427.26</x:v>
      </x:c>
      <x:c r="D258" s="6">
        <x:v>59427.26</x:v>
      </x:c>
      <x:c r="E258" s="6"/>
      <x:c r="F258" s="7">
        <x:v>52</x:v>
      </x:c>
      <x:c r="G258" s="6">
        <x:v>14.684789</x:v>
      </x:c>
      <x:c r="H258" s="8">
        <x:v>-0.85</x:v>
      </x:c>
      <x:c r="I258" s="6">
        <x:f t="shared" ref="I258:I263" si="47">+C258*(1-H258)*(1-G258/F258)</x:f>
        <x:v>78893.276542229636</x:v>
      </x:c>
      <x:c r="J258" s="23">
        <x:v>1.0549225850286312</x:v>
      </x:c>
      <x:c r="K258" s="9">
        <x:f t="shared" ref="K258:K265" si="48">IF((C258*(1-H258)-I258*J258)&lt;0,C258*(1-H258),I258*J258)</x:f>
        <x:v>83226.299231307567</x:v>
      </x:c>
      <x:c r="L258" s="6"/>
      <x:c r="M258" s="10">
        <x:f t="shared" ref="M258:M265" si="49">+K258/D258*C258</x:f>
        <x:v>83226.299231307567</x:v>
      </x:c>
      <x:c r="N258" s="10">
        <x:f t="shared" ref="N258:N265" si="50">+E258/C258*K258</x:f>
        <x:v>0</x:v>
      </x:c>
      <x:c r="O258" s="10"/>
    </x:row>
    <x:row r="259" spans="1:15" s="7" customFormat="1" outlineLevel="2" x14ac:dyDescent="0.25">
      <x:c r="A259" s="4">
        <x:v>365</x:v>
      </x:c>
      <x:c r="B259" s="5" t="s">
        <x:v>82</x:v>
      </x:c>
      <x:c r="C259" s="6">
        <x:v>-4.2300000000000004</x:v>
      </x:c>
      <x:c r="D259" s="6">
        <x:v>-4.2300000000000004</x:v>
      </x:c>
      <x:c r="E259" s="6"/>
      <x:c r="F259" s="7">
        <x:v>52</x:v>
      </x:c>
      <x:c r="G259" s="6">
        <x:v>14.2746265</x:v>
      </x:c>
      <x:c r="H259" s="8">
        <x:v>-0.85</x:v>
      </x:c>
      <x:c r="I259" s="6">
        <x:f t="shared" si="47"/>
        <x:v>-5.6773059677740392</x:v>
      </x:c>
      <x:c r="J259" s="23">
        <x:v>1.0549225850286312</x:v>
      </x:c>
      <x:c r="K259" s="9">
        <x:f t="shared" si="48"/>
        <x:v>-7.8255000000000008</x:v>
      </x:c>
      <x:c r="L259" s="6"/>
      <x:c r="M259" s="10">
        <x:f t="shared" si="49"/>
        <x:v>-7.8255000000000008</x:v>
      </x:c>
      <x:c r="N259" s="10">
        <x:f t="shared" si="50"/>
        <x:v>0</x:v>
      </x:c>
      <x:c r="O259" s="10"/>
    </x:row>
    <x:row r="260" spans="1:15" s="7" customFormat="1" outlineLevel="2" x14ac:dyDescent="0.25">
      <x:c r="A260" s="4">
        <x:v>365</x:v>
      </x:c>
      <x:c r="B260" s="5" t="s">
        <x:v>83</x:v>
      </x:c>
      <x:c r="C260" s="6">
        <x:v>3891.3</x:v>
      </x:c>
      <x:c r="D260" s="6">
        <x:v>3891.3</x:v>
      </x:c>
      <x:c r="E260" s="6"/>
      <x:c r="F260" s="7">
        <x:v>52</x:v>
      </x:c>
      <x:c r="G260" s="6">
        <x:v>13.864464</x:v>
      </x:c>
      <x:c r="H260" s="8">
        <x:v>-0.85</x:v>
      </x:c>
      <x:c r="I260" s="6">
        <x:f t="shared" si="47"/>
        <x:v>5279.501938232308</x:v>
      </x:c>
      <x:c r="J260" s="23">
        <x:v>1.0549225850286312</x:v>
      </x:c>
      <x:c r="K260" s="9">
        <x:f t="shared" si="48"/>
        <x:v>5569.4658323436952</x:v>
      </x:c>
      <x:c r="L260" s="6"/>
      <x:c r="M260" s="10">
        <x:f t="shared" si="49"/>
        <x:v>5569.4658323436952</x:v>
      </x:c>
      <x:c r="N260" s="10">
        <x:f t="shared" si="50"/>
        <x:v>0</x:v>
      </x:c>
      <x:c r="O260" s="10"/>
    </x:row>
    <x:row r="261" spans="1:15" s="7" customFormat="1" outlineLevel="2" x14ac:dyDescent="0.25">
      <x:c r="A261" s="4">
        <x:v>365</x:v>
      </x:c>
      <x:c r="B261" s="5" t="s">
        <x:v>84</x:v>
      </x:c>
      <x:c r="C261" s="6">
        <x:v>9413.3799999999992</x:v>
      </x:c>
      <x:c r="D261" s="6">
        <x:v>9413.3799999999992</x:v>
      </x:c>
      <x:c r="E261" s="6"/>
      <x:c r="F261" s="7">
        <x:v>52</x:v>
      </x:c>
      <x:c r="G261" s="6">
        <x:v>13.458057</x:v>
      </x:c>
      <x:c r="H261" s="8">
        <x:v>-0.85</x:v>
      </x:c>
      <x:c r="I261" s="6">
        <x:f t="shared" si="47"/>
        <x:v>12907.661874713058</x:v>
      </x:c>
      <x:c r="J261" s="23">
        <x:v>1.0549225850286312</x:v>
      </x:c>
      <x:c r="K261" s="9">
        <x:f t="shared" si="48"/>
        <x:v>13616.584031547807</x:v>
      </x:c>
      <x:c r="L261" s="6"/>
      <x:c r="M261" s="10">
        <x:f t="shared" si="49"/>
        <x:v>13616.584031547809</x:v>
      </x:c>
      <x:c r="N261" s="10">
        <x:f t="shared" si="50"/>
        <x:v>0</x:v>
      </x:c>
      <x:c r="O261" s="10"/>
    </x:row>
    <x:row r="262" spans="1:15" s="7" customFormat="1" outlineLevel="2" x14ac:dyDescent="0.25">
      <x:c r="A262" s="4">
        <x:v>365</x:v>
      </x:c>
      <x:c r="B262" s="5" t="s">
        <x:v>86</x:v>
      </x:c>
      <x:c r="C262" s="6">
        <x:v>228.45</x:v>
      </x:c>
      <x:c r="D262" s="6">
        <x:v>228.45</x:v>
      </x:c>
      <x:c r="E262" s="6"/>
      <x:c r="F262" s="7">
        <x:v>52</x:v>
      </x:c>
      <x:c r="G262" s="6">
        <x:v>12.651756000000001</x:v>
      </x:c>
      <x:c r="H262" s="8">
        <x:v>-0.85</x:v>
      </x:c>
      <x:c r="I262" s="6">
        <x:f t="shared" si="47"/>
        <x:v>319.80474485249999</x:v>
      </x:c>
      <x:c r="J262" s="23">
        <x:v>1.0549225850286312</x:v>
      </x:c>
      <x:c r="K262" s="9">
        <x:f t="shared" si="48"/>
        <x:v>337.36924814422116</x:v>
      </x:c>
      <x:c r="L262" s="6"/>
      <x:c r="M262" s="10">
        <x:f t="shared" si="49"/>
        <x:v>337.36924814422116</x:v>
      </x:c>
      <x:c r="N262" s="10">
        <x:f t="shared" si="50"/>
        <x:v>0</x:v>
      </x:c>
      <x:c r="O262" s="10"/>
    </x:row>
    <x:row r="263" spans="1:15" s="7" customFormat="1" outlineLevel="2" x14ac:dyDescent="0.25">
      <x:c r="A263" s="4">
        <x:v>365</x:v>
      </x:c>
      <x:c r="B263" s="5" t="s">
        <x:v>87</x:v>
      </x:c>
      <x:c r="C263" s="6">
        <x:v>4606.91</x:v>
      </x:c>
      <x:c r="D263" s="6">
        <x:v>4606.91</x:v>
      </x:c>
      <x:c r="E263" s="6"/>
      <x:c r="F263" s="7">
        <x:v>52</x:v>
      </x:c>
      <x:c r="G263" s="6">
        <x:v>12.25142</x:v>
      </x:c>
      <x:c r="H263" s="8">
        <x:v>-0.85</x:v>
      </x:c>
      <x:c r="I263" s="6">
        <x:f t="shared" si="47"/>
        <x:v>6514.7796494698077</x:v>
      </x:c>
      <x:c r="J263" s="23">
        <x:v>1.0549225850286312</x:v>
      </x:c>
      <x:c r="K263" s="9">
        <x:f t="shared" si="48"/>
        <x:v>6872.5881887106098</x:v>
      </x:c>
      <x:c r="L263" s="6"/>
      <x:c r="M263" s="10">
        <x:f t="shared" si="49"/>
        <x:v>6872.5881887106098</x:v>
      </x:c>
      <x:c r="N263" s="10">
        <x:f t="shared" si="50"/>
        <x:v>0</x:v>
      </x:c>
      <x:c r="O263" s="10"/>
    </x:row>
    <x:row r="264" spans="1:15" s="7" customFormat="1" outlineLevel="2" x14ac:dyDescent="0.25">
      <x:c r="A264" s="4">
        <x:v>365</x:v>
      </x:c>
      <x:c r="B264" s="5" t="s">
        <x:v>88</x:v>
      </x:c>
      <x:c r="C264" s="6">
        <x:v>2545.91</x:v>
      </x:c>
      <x:c r="D264" s="6">
        <x:v>2545.91</x:v>
      </x:c>
      <x:c r="E264" s="6"/>
      <x:c r="F264" s="7">
        <x:v>52</x:v>
      </x:c>
      <x:c r="G264" s="6">
        <x:v>11.852641999999999</x:v>
      </x:c>
      <x:c r="H264" s="8">
        <x:v>-0.85</x:v>
      </x:c>
      <x:c r="I264" s="6">
        <x:f>+C263*(1-H264)*(1-G264/F264)</x:f>
        <x:v>6580.1392371344809</x:v>
      </x:c>
      <x:c r="J264" s="23">
        <x:v>1.0549225850286312</x:v>
      </x:c>
      <x:c r="K264" s="9">
        <x:f t="shared" si="48"/>
        <x:v>4709.9335000000001</x:v>
      </x:c>
      <x:c r="L264" s="6"/>
      <x:c r="M264" s="10">
        <x:f t="shared" si="49"/>
        <x:v>4709.9335000000001</x:v>
      </x:c>
      <x:c r="N264" s="10">
        <x:f t="shared" si="50"/>
        <x:v>0</x:v>
      </x:c>
      <x:c r="O264" s="10"/>
    </x:row>
    <x:row r="265" spans="1:15" s="7" customFormat="1" outlineLevel="2" x14ac:dyDescent="0.25">
      <x:c r="A265" s="4">
        <x:v>365</x:v>
      </x:c>
      <x:c r="B265" s="5" t="s">
        <x:v>95</x:v>
      </x:c>
      <x:c r="C265" s="6">
        <x:v>436.5</x:v>
      </x:c>
      <x:c r="D265" s="6">
        <x:v>436.5</x:v>
      </x:c>
      <x:c r="E265" s="6"/>
      <x:c r="F265" s="7">
        <x:v>52</x:v>
      </x:c>
      <x:c r="G265" s="6">
        <x:v>9.0780709999999996</x:v>
      </x:c>
      <x:c r="H265" s="8">
        <x:v>-0.85</x:v>
      </x:c>
      <x:c r="I265" s="6">
        <x:f>+C264*(1-H265)*(1-G265/F265)</x:f>
        <x:v>3887.6813708023369</x:v>
      </x:c>
      <x:c r="J265" s="23">
        <x:v>1.0549225850286312</x:v>
      </x:c>
      <x:c r="K265" s="9">
        <x:f t="shared" si="48"/>
        <x:v>807.52500000000009</x:v>
      </x:c>
      <x:c r="L265" s="6"/>
      <x:c r="M265" s="10">
        <x:f t="shared" si="49"/>
        <x:v>807.52500000000009</x:v>
      </x:c>
      <x:c r="N265" s="10">
        <x:f t="shared" si="50"/>
        <x:v>0</x:v>
      </x:c>
      <x:c r="O265" s="10"/>
    </x:row>
    <x:row r="266" spans="1:15" s="7" customFormat="1" outlineLevel="1" x14ac:dyDescent="0.25">
      <x:c r="A266" s="11" t="s">
        <x:v>4</x:v>
      </x:c>
      <x:c r="B266" s="5"/>
      <x:c r="C266" s="6">
        <x:f>SUBTOTAL(9,C189:C265)</x:f>
        <x:v>2182618392.9799986</x:v>
      </x:c>
      <x:c r="D266" s="6"/>
      <x:c r="E266" s="6"/>
      <x:c r="G266" s="6"/>
      <x:c r="H266" s="8"/>
      <x:c r="I266" s="6">
        <x:f>SUBTOTAL(9,I189:I265)</x:f>
        <x:v>653281096.94455683</x:v>
      </x:c>
      <x:c r="J266" s="23">
        <x:v>1.0549225850286312</x:v>
      </x:c>
      <x:c r="K266" s="6">
        <x:f>SUBTOTAL(9,K189:K265)</x:f>
        <x:v>689155456.4208343</x:v>
      </x:c>
      <x:c r="L266" s="6"/>
      <x:c r="M266" s="6">
        <x:f>SUBTOTAL(9,M189:M265)</x:f>
        <x:v>689155456.4208343</x:v>
      </x:c>
      <x:c r="N266" s="6">
        <x:f>SUBTOTAL(9,N189:N265)</x:f>
        <x:v>0</x:v>
      </x:c>
      <x:c r="O266" s="10"/>
    </x:row>
    <x:row r="267" spans="1:15" s="7" customFormat="1" outlineLevel="2" x14ac:dyDescent="0.25">
      <x:c r="A267" s="4">
        <x:v>366</x:v>
      </x:c>
      <x:c r="B267" s="5" t="s">
        <x:v>23</x:v>
      </x:c>
      <x:c r="C267" s="6">
        <x:v>253032778.52000001</x:v>
      </x:c>
      <x:c r="D267" s="6">
        <x:v>253032778.52000001</x:v>
      </x:c>
      <x:c r="E267" s="6"/>
      <x:c r="F267" s="7">
        <x:v>60</x:v>
      </x:c>
      <x:c r="G267" s="6">
        <x:v>59.507708999999998</x:v>
      </x:c>
      <x:c r="H267" s="8">
        <x:v>-0.5</x:v>
      </x:c>
      <x:c r="I267" s="6">
        <x:f t="shared" ref="I267:I304" si="51">+C267*(1-H267)*(1-G267/F267)</x:f>
        <x:v>3114143.9892597487</x:v>
      </x:c>
      <x:c r="J267" s="23">
        <x:v>1.0732014893307753</x:v>
      </x:c>
      <x:c r="K267" s="9">
        <x:f t="shared" ref="K267:K304" si="52">IF((C267*(1-H267)-I267*J267)&lt;0,C267*(1-H267),I267*J267)</x:f>
        <x:v>3342103.9672640441</x:v>
      </x:c>
      <x:c r="L267" s="6"/>
      <x:c r="M267" s="10">
        <x:f t="shared" ref="M267:M304" si="53">+K267/D267*C267</x:f>
        <x:v>3342103.9672640441</x:v>
      </x:c>
      <x:c r="N267" s="10">
        <x:f t="shared" ref="N267:N304" si="54">+E267/C267*K267</x:f>
        <x:v>0</x:v>
      </x:c>
      <x:c r="O267" s="10"/>
    </x:row>
    <x:row r="268" spans="1:15" s="7" customFormat="1" outlineLevel="2" x14ac:dyDescent="0.25">
      <x:c r="A268" s="4">
        <x:v>366</x:v>
      </x:c>
      <x:c r="B268" s="5" t="s">
        <x:v>24</x:v>
      </x:c>
      <x:c r="C268" s="6">
        <x:v>169166595.81</x:v>
      </x:c>
      <x:c r="D268" s="6">
        <x:v>169166595.81</x:v>
      </x:c>
      <x:c r="E268" s="6"/>
      <x:c r="F268" s="7">
        <x:v>60</x:v>
      </x:c>
      <x:c r="G268" s="6">
        <x:v>58.524571999999999</x:v>
      </x:c>
      <x:c r="H268" s="8">
        <x:v>-0.5</x:v>
      </x:c>
      <x:c r="I268" s="6">
        <x:f t="shared" ref="I268:I274" si="55">+C268*(1-H268)*(1-G268/F268)</x:f>
        <x:v>6239828.3030689117</x:v>
      </x:c>
      <x:c r="J268" s="23">
        <x:v>1.0732014893307753</x:v>
      </x:c>
      <x:c r="K268" s="9">
        <x:f t="shared" ref="K268:K274" si="56">IF((C268*(1-H268)-I268*J268)&lt;0,C268*(1-H268),I268*J268)</x:f>
        <x:v>6696593.0280218804</x:v>
      </x:c>
      <x:c r="L268" s="6"/>
      <x:c r="M268" s="10">
        <x:f t="shared" ref="M268:M274" si="57">+K268/D268*C268</x:f>
        <x:v>6696593.0280218804</x:v>
      </x:c>
      <x:c r="N268" s="10">
        <x:f t="shared" ref="N268:N274" si="58">+E268/C268*K268</x:f>
        <x:v>0</x:v>
      </x:c>
      <x:c r="O268" s="10"/>
    </x:row>
    <x:row r="269" spans="1:15" s="7" customFormat="1" outlineLevel="2" x14ac:dyDescent="0.25">
      <x:c r="A269" s="4">
        <x:v>366</x:v>
      </x:c>
      <x:c r="B269" s="5" t="s">
        <x:v>25</x:v>
      </x:c>
      <x:c r="C269" s="6">
        <x:v>129954505.76000001</x:v>
      </x:c>
      <x:c r="D269" s="6">
        <x:v>129954505.76000001</x:v>
      </x:c>
      <x:c r="E269" s="6"/>
      <x:c r="F269" s="7">
        <x:v>60</x:v>
      </x:c>
      <x:c r="G269" s="6">
        <x:v>57.543491000000003</x:v>
      </x:c>
      <x:c r="H269" s="8">
        <x:v>-0.5</x:v>
      </x:c>
      <x:c r="I269" s="6">
        <x:f t="shared" si="55"/>
        <x:v>7980860.3247497892</x:v>
      </x:c>
      <x:c r="J269" s="23">
        <x:v>1.0732014893307753</x:v>
      </x:c>
      <x:c r="K269" s="9">
        <x:f t="shared" si="56"/>
        <x:v>8565071.1866623685</x:v>
      </x:c>
      <x:c r="L269" s="6"/>
      <x:c r="M269" s="10">
        <x:f t="shared" si="57"/>
        <x:v>8565071.1866623685</x:v>
      </x:c>
      <x:c r="N269" s="10">
        <x:f t="shared" si="58"/>
        <x:v>0</x:v>
      </x:c>
      <x:c r="O269" s="10"/>
    </x:row>
    <x:row r="270" spans="1:15" s="7" customFormat="1" outlineLevel="2" x14ac:dyDescent="0.25">
      <x:c r="A270" s="4">
        <x:v>366</x:v>
      </x:c>
      <x:c r="B270" s="5" t="s">
        <x:v>26</x:v>
      </x:c>
      <x:c r="C270" s="6">
        <x:v>67467885.260000005</x:v>
      </x:c>
      <x:c r="D270" s="6">
        <x:v>67467885.260000005</x:v>
      </x:c>
      <x:c r="E270" s="6"/>
      <x:c r="F270" s="7">
        <x:v>60</x:v>
      </x:c>
      <x:c r="G270" s="6">
        <x:v>56.564810999999999</x:v>
      </x:c>
      <x:c r="H270" s="8">
        <x:v>-0.5</x:v>
      </x:c>
      <x:c r="I270" s="6">
        <x:f t="shared" si="55"/>
        <x:v>5794123.4324603518</x:v>
      </x:c>
      <x:c r="J270" s="23">
        <x:v>1.0732014893307753</x:v>
      </x:c>
      <x:c r="K270" s="9">
        <x:f t="shared" si="56"/>
        <x:v>6218261.8970827935</x:v>
      </x:c>
      <x:c r="L270" s="6"/>
      <x:c r="M270" s="10">
        <x:f t="shared" si="57"/>
        <x:v>6218261.8970827935</x:v>
      </x:c>
      <x:c r="N270" s="10">
        <x:f t="shared" si="58"/>
        <x:v>0</x:v>
      </x:c>
      <x:c r="O270" s="10"/>
    </x:row>
    <x:row r="271" spans="1:15" s="7" customFormat="1" outlineLevel="2" x14ac:dyDescent="0.25">
      <x:c r="A271" s="4">
        <x:v>366</x:v>
      </x:c>
      <x:c r="B271" s="5" t="s">
        <x:v>117</x:v>
      </x:c>
      <x:c r="C271" s="6">
        <x:v>56152323.32</x:v>
      </x:c>
      <x:c r="D271" s="6">
        <x:v>56152323.32</x:v>
      </x:c>
      <x:c r="E271" s="6"/>
      <x:c r="F271" s="7">
        <x:v>60</x:v>
      </x:c>
      <x:c r="G271" s="6">
        <x:v>55.588745000000003</x:v>
      </x:c>
      <x:c r="H271" s="8">
        <x:v>-0.5</x:v>
      </x:c>
      <x:c r="I271" s="6">
        <x:f t="shared" si="55"/>
        <x:v>6192555.4251741599</x:v>
      </x:c>
      <x:c r="J271" s="23">
        <x:v>1.0732014893307753</x:v>
      </x:c>
      <x:c r="K271" s="9">
        <x:f t="shared" si="56"/>
        <x:v>6645859.7050602809</x:v>
      </x:c>
      <x:c r="L271" s="6"/>
      <x:c r="M271" s="10">
        <x:f t="shared" si="57"/>
        <x:v>6645859.7050602809</x:v>
      </x:c>
      <x:c r="N271" s="10">
        <x:f t="shared" si="58"/>
        <x:v>0</x:v>
      </x:c>
      <x:c r="O271" s="10"/>
    </x:row>
    <x:row r="272" spans="1:15" s="7" customFormat="1" outlineLevel="2" x14ac:dyDescent="0.25">
      <x:c r="A272" s="4">
        <x:v>366</x:v>
      </x:c>
      <x:c r="B272" s="5" t="s">
        <x:v>27</x:v>
      </x:c>
      <x:c r="C272" s="6">
        <x:v>48195721.310000002</x:v>
      </x:c>
      <x:c r="D272" s="6">
        <x:v>48195721.310000002</x:v>
      </x:c>
      <x:c r="E272" s="6"/>
      <x:c r="F272" s="7">
        <x:v>60</x:v>
      </x:c>
      <x:c r="G272" s="6">
        <x:v>54.615321999999999</x:v>
      </x:c>
      <x:c r="H272" s="8">
        <x:v>-0.5</x:v>
      </x:c>
      <x:c r="I272" s="6">
        <x:f t="shared" si="55"/>
        <x:v>6487961.0058022086</x:v>
      </x:c>
      <x:c r="J272" s="23">
        <x:v>1.0732014893307753</x:v>
      </x:c>
      <x:c r="K272" s="9">
        <x:f t="shared" si="56"/>
        <x:v>6962889.4141469253</x:v>
      </x:c>
      <x:c r="L272" s="6"/>
      <x:c r="M272" s="10">
        <x:f t="shared" si="57"/>
        <x:v>6962889.4141469244</x:v>
      </x:c>
      <x:c r="N272" s="10">
        <x:f t="shared" si="58"/>
        <x:v>0</x:v>
      </x:c>
      <x:c r="O272" s="10"/>
    </x:row>
    <x:row r="273" spans="1:15" s="7" customFormat="1" outlineLevel="2" x14ac:dyDescent="0.25">
      <x:c r="A273" s="4">
        <x:v>366</x:v>
      </x:c>
      <x:c r="B273" s="5" t="s">
        <x:v>28</x:v>
      </x:c>
      <x:c r="C273" s="6">
        <x:v>43862645.369999997</x:v>
      </x:c>
      <x:c r="D273" s="6">
        <x:v>43862645.369999997</x:v>
      </x:c>
      <x:c r="E273" s="6"/>
      <x:c r="F273" s="7">
        <x:v>60</x:v>
      </x:c>
      <x:c r="G273" s="6">
        <x:v>53.644945</x:v>
      </x:c>
      <x:c r="H273" s="8">
        <x:v>-0.5</x:v>
      </x:c>
      <x:c r="I273" s="6">
        <x:f t="shared" si="55"/>
        <x:v>6968738.0942961331</x:v>
      </x:c>
      <x:c r="J273" s="23">
        <x:v>1.0732014893307753</x:v>
      </x:c>
      <x:c r="K273" s="9">
        <x:f t="shared" si="56"/>
        <x:v>7478860.1015547188</x:v>
      </x:c>
      <x:c r="L273" s="6"/>
      <x:c r="M273" s="10">
        <x:f t="shared" si="57"/>
        <x:v>7478860.1015547188</x:v>
      </x:c>
      <x:c r="N273" s="10">
        <x:f t="shared" si="58"/>
        <x:v>0</x:v>
      </x:c>
      <x:c r="O273" s="10"/>
    </x:row>
    <x:row r="274" spans="1:15" s="7" customFormat="1" outlineLevel="2" x14ac:dyDescent="0.25">
      <x:c r="A274" s="4">
        <x:v>366</x:v>
      </x:c>
      <x:c r="B274" s="5" t="s">
        <x:v>29</x:v>
      </x:c>
      <x:c r="C274" s="6">
        <x:v>69579263.430000007</x:v>
      </x:c>
      <x:c r="D274" s="6">
        <x:v>69579263.430000007</x:v>
      </x:c>
      <x:c r="E274" s="6"/>
      <x:c r="F274" s="7">
        <x:v>60</x:v>
      </x:c>
      <x:c r="G274" s="6">
        <x:v>52.677866999999999</x:v>
      </x:c>
      <x:c r="H274" s="8">
        <x:v>-0.5</x:v>
      </x:c>
      <x:c r="I274" s="6">
        <x:f t="shared" si="55"/>
        <x:v>12736715.521912405</x:v>
      </x:c>
      <x:c r="J274" s="23">
        <x:v>1.0732014893307753</x:v>
      </x:c>
      <x:c r="K274" s="9">
        <x:f t="shared" si="56"/>
        <x:v>13669062.067298796</x:v>
      </x:c>
      <x:c r="L274" s="6"/>
      <x:c r="M274" s="10">
        <x:f t="shared" si="57"/>
        <x:v>13669062.067298796</x:v>
      </x:c>
      <x:c r="N274" s="10">
        <x:f t="shared" si="58"/>
        <x:v>0</x:v>
      </x:c>
      <x:c r="O274" s="10"/>
    </x:row>
    <x:row r="275" spans="1:15" s="7" customFormat="1" outlineLevel="2" x14ac:dyDescent="0.25">
      <x:c r="A275" s="4">
        <x:v>366</x:v>
      </x:c>
      <x:c r="B275" s="5" t="s">
        <x:v>30</x:v>
      </x:c>
      <x:c r="C275" s="6">
        <x:v>30752682.5</x:v>
      </x:c>
      <x:c r="D275" s="6">
        <x:v>30752682.5</x:v>
      </x:c>
      <x:c r="E275" s="6"/>
      <x:c r="F275" s="7">
        <x:v>60</x:v>
      </x:c>
      <x:c r="G275" s="6">
        <x:v>51.714063000000003</x:v>
      </x:c>
      <x:c r="H275" s="8">
        <x:v>-0.5</x:v>
      </x:c>
      <x:c r="I275" s="6">
        <x:f t="shared" si="51"/>
        <x:v>6370369.7444000598</x:v>
      </x:c>
      <x:c r="J275" s="23">
        <x:v>1.0732014893307753</x:v>
      </x:c>
      <x:c r="K275" s="9">
        <x:f t="shared" si="52"/>
        <x:v>6836690.2972778548</x:v>
      </x:c>
      <x:c r="L275" s="6"/>
      <x:c r="M275" s="10">
        <x:f t="shared" si="53"/>
        <x:v>6836690.2972778548</x:v>
      </x:c>
      <x:c r="N275" s="10">
        <x:f t="shared" si="54"/>
        <x:v>0</x:v>
      </x:c>
      <x:c r="O275" s="10"/>
    </x:row>
    <x:row r="276" spans="1:15" s="7" customFormat="1" outlineLevel="2" x14ac:dyDescent="0.25">
      <x:c r="A276" s="4">
        <x:v>366</x:v>
      </x:c>
      <x:c r="B276" s="5" t="s">
        <x:v>31</x:v>
      </x:c>
      <x:c r="C276" s="6">
        <x:v>28198187.690000001</x:v>
      </x:c>
      <x:c r="D276" s="6">
        <x:v>28198187.690000001</x:v>
      </x:c>
      <x:c r="E276" s="6"/>
      <x:c r="F276" s="7">
        <x:v>60</x:v>
      </x:c>
      <x:c r="G276" s="6">
        <x:v>50.754021999999999</x:v>
      </x:c>
      <x:c r="H276" s="8">
        <x:v>-0.5</x:v>
      </x:c>
      <x:c r="I276" s="6">
        <x:f t="shared" si="51"/>
        <x:v>6517995.5755402707</x:v>
      </x:c>
      <x:c r="J276" s="23">
        <x:v>1.0732014893307753</x:v>
      </x:c>
      <x:c r="K276" s="9">
        <x:f t="shared" si="52"/>
        <x:v>6995122.5591212222</x:v>
      </x:c>
      <x:c r="L276" s="6"/>
      <x:c r="M276" s="10">
        <x:f t="shared" si="53"/>
        <x:v>6995122.5591212222</x:v>
      </x:c>
      <x:c r="N276" s="10">
        <x:f t="shared" si="54"/>
        <x:v>0</x:v>
      </x:c>
      <x:c r="O276" s="10"/>
    </x:row>
    <x:row r="277" spans="1:15" s="7" customFormat="1" outlineLevel="2" x14ac:dyDescent="0.25">
      <x:c r="A277" s="4">
        <x:v>366</x:v>
      </x:c>
      <x:c r="B277" s="5" t="s">
        <x:v>32</x:v>
      </x:c>
      <x:c r="C277" s="6">
        <x:v>24831324.66</x:v>
      </x:c>
      <x:c r="D277" s="6">
        <x:v>24831324.66</x:v>
      </x:c>
      <x:c r="E277" s="6"/>
      <x:c r="F277" s="7">
        <x:v>60</x:v>
      </x:c>
      <x:c r="G277" s="6">
        <x:v>49.798006999999998</x:v>
      </x:c>
      <x:c r="H277" s="8">
        <x:v>-0.5</x:v>
      </x:c>
      <x:c r="I277" s="6">
        <x:f t="shared" si="51"/>
        <x:v>6333225.009051186</x:v>
      </x:c>
      <x:c r="J277" s="23">
        <x:v>1.0732014893307753</x:v>
      </x:c>
      <x:c r="K277" s="9">
        <x:f t="shared" si="52"/>
        <x:v>6796826.5119806454</x:v>
      </x:c>
      <x:c r="L277" s="6"/>
      <x:c r="M277" s="10">
        <x:f t="shared" si="53"/>
        <x:v>6796826.5119806454</x:v>
      </x:c>
      <x:c r="N277" s="10">
        <x:f t="shared" si="54"/>
        <x:v>0</x:v>
      </x:c>
      <x:c r="O277" s="10"/>
    </x:row>
    <x:row r="278" spans="1:15" s="7" customFormat="1" outlineLevel="2" x14ac:dyDescent="0.25">
      <x:c r="A278" s="4">
        <x:v>366</x:v>
      </x:c>
      <x:c r="B278" s="5" t="s">
        <x:v>33</x:v>
      </x:c>
      <x:c r="C278" s="6">
        <x:v>22213762.59</x:v>
      </x:c>
      <x:c r="D278" s="6">
        <x:v>22213762.59</x:v>
      </x:c>
      <x:c r="E278" s="6"/>
      <x:c r="F278" s="7">
        <x:v>60</x:v>
      </x:c>
      <x:c r="G278" s="6">
        <x:v>48.845956999999999</x:v>
      </x:c>
      <x:c r="H278" s="8">
        <x:v>-0.5</x:v>
      </x:c>
      <x:c r="I278" s="6">
        <x:f t="shared" si="51"/>
        <x:v>6194331.5780162867</x:v>
      </x:c>
      <x:c r="J278" s="23">
        <x:v>1.0732014893307753</x:v>
      </x:c>
      <x:c r="K278" s="9">
        <x:f t="shared" si="52"/>
        <x:v>6647765.8749357304</x:v>
      </x:c>
      <x:c r="L278" s="6"/>
      <x:c r="M278" s="10">
        <x:f t="shared" si="53"/>
        <x:v>6647765.8749357304</x:v>
      </x:c>
      <x:c r="N278" s="10">
        <x:f t="shared" si="54"/>
        <x:v>0</x:v>
      </x:c>
      <x:c r="O278" s="10"/>
    </x:row>
    <x:row r="279" spans="1:15" s="7" customFormat="1" outlineLevel="2" x14ac:dyDescent="0.25">
      <x:c r="A279" s="4">
        <x:v>366</x:v>
      </x:c>
      <x:c r="B279" s="5" t="s">
        <x:v>118</x:v>
      </x:c>
      <x:c r="C279" s="6">
        <x:v>18477431.440000001</x:v>
      </x:c>
      <x:c r="D279" s="6">
        <x:v>18477431.440000001</x:v>
      </x:c>
      <x:c r="E279" s="6"/>
      <x:c r="F279" s="7">
        <x:v>60</x:v>
      </x:c>
      <x:c r="G279" s="6">
        <x:v>47.898415</x:v>
      </x:c>
      <x:c r="H279" s="8">
        <x:v>-0.5</x:v>
      </x:c>
      <x:c r="I279" s="6">
        <x:f t="shared" si="51"/>
        <x:v>5590155.1788208112</x:v>
      </x:c>
      <x:c r="J279" s="23">
        <x:v>1.0732014893307753</x:v>
      </x:c>
      <x:c r="K279" s="9">
        <x:f t="shared" si="52"/>
        <x:v>5999362.8635006407</x:v>
      </x:c>
      <x:c r="L279" s="6"/>
      <x:c r="M279" s="10">
        <x:f t="shared" si="53"/>
        <x:v>5999362.8635006407</x:v>
      </x:c>
      <x:c r="N279" s="10">
        <x:f t="shared" si="54"/>
        <x:v>0</x:v>
      </x:c>
      <x:c r="O279" s="10"/>
    </x:row>
    <x:row r="280" spans="1:15" s="7" customFormat="1" outlineLevel="2" x14ac:dyDescent="0.25">
      <x:c r="A280" s="4">
        <x:v>366</x:v>
      </x:c>
      <x:c r="B280" s="5" t="s">
        <x:v>119</x:v>
      </x:c>
      <x:c r="C280" s="6">
        <x:v>13748021.880000001</x:v>
      </x:c>
      <x:c r="D280" s="6">
        <x:v>13748021.880000001</x:v>
      </x:c>
      <x:c r="E280" s="6"/>
      <x:c r="F280" s="7">
        <x:v>60</x:v>
      </x:c>
      <x:c r="G280" s="6">
        <x:v>46.955655999999998</x:v>
      </x:c>
      <x:c r="H280" s="8">
        <x:v>-0.5</x:v>
      </x:c>
      <x:c r="I280" s="6">
        <x:f t="shared" si="51"/>
        <x:v>4483348.1680561686</x:v>
      </x:c>
      <x:c r="J280" s="23">
        <x:v>1.0732014893307753</x:v>
      </x:c>
      <x:c r="K280" s="9">
        <x:f t="shared" si="52"/>
        <x:v>4811535.9311462836</x:v>
      </x:c>
      <x:c r="L280" s="6"/>
      <x:c r="M280" s="10">
        <x:f t="shared" si="53"/>
        <x:v>4811535.9311462836</x:v>
      </x:c>
      <x:c r="N280" s="10">
        <x:f t="shared" si="54"/>
        <x:v>0</x:v>
      </x:c>
      <x:c r="O280" s="10"/>
    </x:row>
    <x:row r="281" spans="1:15" s="7" customFormat="1" outlineLevel="2" x14ac:dyDescent="0.25">
      <x:c r="A281" s="4">
        <x:v>366</x:v>
      </x:c>
      <x:c r="B281" s="5" t="s">
        <x:v>34</x:v>
      </x:c>
      <x:c r="C281" s="6">
        <x:v>14701687.18</x:v>
      </x:c>
      <x:c r="D281" s="6">
        <x:v>14701687.18</x:v>
      </x:c>
      <x:c r="E281" s="6"/>
      <x:c r="F281" s="7">
        <x:v>60</x:v>
      </x:c>
      <x:c r="G281" s="6">
        <x:v>46.017558999999999</x:v>
      </x:c>
      <x:c r="H281" s="8">
        <x:v>-0.5</x:v>
      </x:c>
      <x:c r="I281" s="6">
        <x:f t="shared" si="51"/>
        <x:v>5139136.8398701604</x:v>
      </x:c>
      <x:c r="J281" s="23">
        <x:v>1.0732014893307753</x:v>
      </x:c>
      <x:c r="K281" s="9">
        <x:f t="shared" si="52"/>
        <x:v>5515329.3104233099</x:v>
      </x:c>
      <x:c r="L281" s="6"/>
      <x:c r="M281" s="10">
        <x:f t="shared" si="53"/>
        <x:v>5515329.3104233099</x:v>
      </x:c>
      <x:c r="N281" s="10">
        <x:f t="shared" si="54"/>
        <x:v>0</x:v>
      </x:c>
      <x:c r="O281" s="10"/>
    </x:row>
    <x:row r="282" spans="1:15" s="7" customFormat="1" outlineLevel="2" x14ac:dyDescent="0.25">
      <x:c r="A282" s="4">
        <x:v>366</x:v>
      </x:c>
      <x:c r="B282" s="5" t="s">
        <x:v>35</x:v>
      </x:c>
      <x:c r="C282" s="6">
        <x:v>19184832.789999999</x:v>
      </x:c>
      <x:c r="D282" s="6">
        <x:v>19184832.789999999</x:v>
      </x:c>
      <x:c r="E282" s="6"/>
      <x:c r="F282" s="7">
        <x:v>60</x:v>
      </x:c>
      <x:c r="G282" s="6">
        <x:v>45.08473</x:v>
      </x:c>
      <x:c r="H282" s="8">
        <x:v>-0.5</x:v>
      </x:c>
      <x:c r="I282" s="6">
        <x:f t="shared" si="51"/>
        <x:v>7153674.0241925828</x:v>
      </x:c>
      <x:c r="J282" s="23">
        <x:v>1.0732014893307753</x:v>
      </x:c>
      <x:c r="K282" s="9">
        <x:f t="shared" si="52"/>
        <x:v>7677333.6169503611</x:v>
      </x:c>
      <x:c r="L282" s="6"/>
      <x:c r="M282" s="10">
        <x:f t="shared" si="53"/>
        <x:v>7677333.6169503601</x:v>
      </x:c>
      <x:c r="N282" s="10">
        <x:f t="shared" si="54"/>
        <x:v>0</x:v>
      </x:c>
      <x:c r="O282" s="10"/>
    </x:row>
    <x:row r="283" spans="1:15" s="7" customFormat="1" outlineLevel="2" x14ac:dyDescent="0.25">
      <x:c r="A283" s="4">
        <x:v>366</x:v>
      </x:c>
      <x:c r="B283" s="5" t="s">
        <x:v>36</x:v>
      </x:c>
      <x:c r="C283" s="6">
        <x:v>25418574.719999999</x:v>
      </x:c>
      <x:c r="D283" s="6">
        <x:v>25418574.719999999</x:v>
      </x:c>
      <x:c r="E283" s="6"/>
      <x:c r="F283" s="7">
        <x:v>60</x:v>
      </x:c>
      <x:c r="G283" s="6">
        <x:v>44.157442000000003</x:v>
      </x:c>
      <x:c r="H283" s="8">
        <x:v>-0.5</x:v>
      </x:c>
      <x:c r="I283" s="6">
        <x:f t="shared" si="51"/>
        <x:v>10067381.106973343</x:v>
      </x:c>
      <x:c r="J283" s="23">
        <x:v>1.0732014893307753</x:v>
      </x:c>
      <x:c r="K283" s="9">
        <x:f t="shared" si="52"/>
        <x:v>10804328.397664301</x:v>
      </x:c>
      <x:c r="L283" s="6"/>
      <x:c r="M283" s="10">
        <x:f t="shared" si="53"/>
        <x:v>10804328.397664301</x:v>
      </x:c>
      <x:c r="N283" s="10">
        <x:f t="shared" si="54"/>
        <x:v>0</x:v>
      </x:c>
      <x:c r="O283" s="10"/>
    </x:row>
    <x:row r="284" spans="1:15" s="7" customFormat="1" outlineLevel="2" x14ac:dyDescent="0.25">
      <x:c r="A284" s="4">
        <x:v>366</x:v>
      </x:c>
      <x:c r="B284" s="5" t="s">
        <x:v>120</x:v>
      </x:c>
      <x:c r="C284" s="6">
        <x:v>22819147.969999999</x:v>
      </x:c>
      <x:c r="D284" s="6">
        <x:v>22819147.969999999</x:v>
      </x:c>
      <x:c r="E284" s="6"/>
      <x:c r="F284" s="7">
        <x:v>60</x:v>
      </x:c>
      <x:c r="G284" s="6">
        <x:v>43.235500999999999</x:v>
      </x:c>
      <x:c r="H284" s="8">
        <x:v>-0.5</x:v>
      </x:c>
      <x:c r="I284" s="6">
        <x:f t="shared" si="51"/>
        <x:v>9563789.5830979254</x:v>
      </x:c>
      <x:c r="J284" s="23">
        <x:v>1.0732014893307753</x:v>
      </x:c>
      <x:c r="K284" s="9">
        <x:f t="shared" si="52"/>
        <x:v>10263873.224226847</x:v>
      </x:c>
      <x:c r="L284" s="6"/>
      <x:c r="M284" s="10">
        <x:f t="shared" si="53"/>
        <x:v>10263873.224226847</x:v>
      </x:c>
      <x:c r="N284" s="10">
        <x:f t="shared" si="54"/>
        <x:v>0</x:v>
      </x:c>
      <x:c r="O284" s="10"/>
    </x:row>
    <x:row r="285" spans="1:15" s="7" customFormat="1" outlineLevel="2" x14ac:dyDescent="0.25">
      <x:c r="A285" s="4">
        <x:v>366</x:v>
      </x:c>
      <x:c r="B285" s="5" t="s">
        <x:v>37</x:v>
      </x:c>
      <x:c r="C285" s="6">
        <x:v>34242989.259999998</x:v>
      </x:c>
      <x:c r="D285" s="6">
        <x:v>34242989.259999998</x:v>
      </x:c>
      <x:c r="E285" s="6"/>
      <x:c r="F285" s="7">
        <x:v>60</x:v>
      </x:c>
      <x:c r="G285" s="6">
        <x:v>42.319561</x:v>
      </x:c>
      <x:c r="H285" s="8">
        <x:v>-0.5</x:v>
      </x:c>
      <x:c r="I285" s="6">
        <x:f t="shared" si="51"/>
        <x:v>15135777.069727127</x:v>
      </x:c>
      <x:c r="J285" s="23">
        <x:v>1.0732014893307753</x:v>
      </x:c>
      <x:c r="K285" s="9">
        <x:f t="shared" si="52"/>
        <x:v>16243738.493409751</x:v>
      </x:c>
      <x:c r="L285" s="6"/>
      <x:c r="M285" s="10">
        <x:f t="shared" si="53"/>
        <x:v>16243738.493409751</x:v>
      </x:c>
      <x:c r="N285" s="10">
        <x:f t="shared" si="54"/>
        <x:v>0</x:v>
      </x:c>
      <x:c r="O285" s="10"/>
    </x:row>
    <x:row r="286" spans="1:15" s="7" customFormat="1" outlineLevel="2" x14ac:dyDescent="0.25">
      <x:c r="A286" s="4">
        <x:v>366</x:v>
      </x:c>
      <x:c r="B286" s="5" t="s">
        <x:v>121</x:v>
      </x:c>
      <x:c r="C286" s="6">
        <x:v>39409356.399999999</x:v>
      </x:c>
      <x:c r="D286" s="6">
        <x:v>39409356.399999999</x:v>
      </x:c>
      <x:c r="E286" s="6"/>
      <x:c r="F286" s="7">
        <x:v>60</x:v>
      </x:c>
      <x:c r="G286" s="6">
        <x:v>41.409889</x:v>
      </x:c>
      <x:c r="H286" s="8">
        <x:v>-0.5</x:v>
      </x:c>
      <x:c r="I286" s="6">
        <x:f t="shared" si="51"/>
        <x:v>18315607.747864012</x:v>
      </x:c>
      <x:c r="J286" s="23">
        <x:v>1.0732014893307753</x:v>
      </x:c>
      <x:c r="K286" s="9">
        <x:f t="shared" si="52"/>
        <x:v>19656337.513005946</x:v>
      </x:c>
      <x:c r="L286" s="6"/>
      <x:c r="M286" s="10">
        <x:f t="shared" si="53"/>
        <x:v>19656337.513005946</x:v>
      </x:c>
      <x:c r="N286" s="10">
        <x:f t="shared" si="54"/>
        <x:v>0</x:v>
      </x:c>
      <x:c r="O286" s="10"/>
    </x:row>
    <x:row r="287" spans="1:15" s="7" customFormat="1" outlineLevel="2" x14ac:dyDescent="0.25">
      <x:c r="A287" s="4">
        <x:v>366</x:v>
      </x:c>
      <x:c r="B287" s="5" t="s">
        <x:v>122</x:v>
      </x:c>
      <x:c r="C287" s="6">
        <x:v>24812367.260000002</x:v>
      </x:c>
      <x:c r="D287" s="6">
        <x:v>24812367.260000002</x:v>
      </x:c>
      <x:c r="E287" s="6"/>
      <x:c r="F287" s="7">
        <x:v>60</x:v>
      </x:c>
      <x:c r="G287" s="6">
        <x:v>40.506208999999998</x:v>
      </x:c>
      <x:c r="H287" s="8">
        <x:v>-0.5</x:v>
      </x:c>
      <x:c r="I287" s="6">
        <x:f t="shared" si="51"/>
        <x:v>12092177.53954207</x:v>
      </x:c>
      <x:c r="J287" s="23">
        <x:v>1.0732014893307753</x:v>
      </x:c>
      <x:c r="K287" s="9">
        <x:f t="shared" si="52"/>
        <x:v>12977342.9446887</x:v>
      </x:c>
      <x:c r="L287" s="6"/>
      <x:c r="M287" s="10">
        <x:f t="shared" si="53"/>
        <x:v>12977342.9446887</x:v>
      </x:c>
      <x:c r="N287" s="10">
        <x:f t="shared" si="54"/>
        <x:v>0</x:v>
      </x:c>
      <x:c r="O287" s="10"/>
    </x:row>
    <x:row r="288" spans="1:15" s="7" customFormat="1" outlineLevel="2" x14ac:dyDescent="0.25">
      <x:c r="A288" s="4">
        <x:v>366</x:v>
      </x:c>
      <x:c r="B288" s="5" t="s">
        <x:v>123</x:v>
      </x:c>
      <x:c r="C288" s="6">
        <x:v>26459062.050000001</x:v>
      </x:c>
      <x:c r="D288" s="6">
        <x:v>26459062.050000001</x:v>
      </x:c>
      <x:c r="E288" s="6"/>
      <x:c r="F288" s="7">
        <x:v>60</x:v>
      </x:c>
      <x:c r="G288" s="6">
        <x:v>39.609220999999998</x:v>
      </x:c>
      <x:c r="H288" s="8">
        <x:v>-0.5</x:v>
      </x:c>
      <x:c r="I288" s="6">
        <x:f t="shared" si="51"/>
        <x:v>13488022.170220925</x:v>
      </x:c>
      <x:c r="J288" s="23">
        <x:v>1.0732014893307753</x:v>
      </x:c>
      <x:c r="K288" s="9">
        <x:f t="shared" si="52"/>
        <x:v>14475365.481207613</x:v>
      </x:c>
      <x:c r="L288" s="6"/>
      <x:c r="M288" s="10">
        <x:f t="shared" si="53"/>
        <x:v>14475365.481207611</x:v>
      </x:c>
      <x:c r="N288" s="10">
        <x:f t="shared" si="54"/>
        <x:v>0</x:v>
      </x:c>
      <x:c r="O288" s="10"/>
    </x:row>
    <x:row r="289" spans="1:15" s="7" customFormat="1" outlineLevel="2" x14ac:dyDescent="0.25">
      <x:c r="A289" s="4">
        <x:v>366</x:v>
      </x:c>
      <x:c r="B289" s="5" t="s">
        <x:v>124</x:v>
      </x:c>
      <x:c r="C289" s="6">
        <x:v>26550870.420000002</x:v>
      </x:c>
      <x:c r="D289" s="6">
        <x:v>26550870.420000002</x:v>
      </x:c>
      <x:c r="E289" s="6"/>
      <x:c r="F289" s="7">
        <x:v>60</x:v>
      </x:c>
      <x:c r="G289" s="6">
        <x:v>38.719163000000002</x:v>
      </x:c>
      <x:c r="H289" s="8">
        <x:v>-0.5</x:v>
      </x:c>
      <x:c r="I289" s="6">
        <x:f t="shared" si="51"/>
        <x:v>14125618.640403537</x:v>
      </x:c>
      <x:c r="J289" s="23">
        <x:v>1.0732014893307753</x:v>
      </x:c>
      <x:c r="K289" s="9">
        <x:f t="shared" si="52"/>
        <x:v>15159634.962599637</x:v>
      </x:c>
      <x:c r="L289" s="6"/>
      <x:c r="M289" s="10">
        <x:f t="shared" si="53"/>
        <x:v>15159634.962599637</x:v>
      </x:c>
      <x:c r="N289" s="10">
        <x:f t="shared" si="54"/>
        <x:v>0</x:v>
      </x:c>
      <x:c r="O289" s="10"/>
    </x:row>
    <x:row r="290" spans="1:15" s="7" customFormat="1" outlineLevel="2" x14ac:dyDescent="0.25">
      <x:c r="A290" s="4">
        <x:v>366</x:v>
      </x:c>
      <x:c r="B290" s="5" t="s">
        <x:v>125</x:v>
      </x:c>
      <x:c r="C290" s="6">
        <x:v>34346535.450000003</x:v>
      </x:c>
      <x:c r="D290" s="6">
        <x:v>34346535.450000003</x:v>
      </x:c>
      <x:c r="E290" s="6"/>
      <x:c r="F290" s="7">
        <x:v>60</x:v>
      </x:c>
      <x:c r="G290" s="6">
        <x:v>37.835684000000001</x:v>
      </x:c>
      <x:c r="H290" s="8">
        <x:v>-0.5</x:v>
      </x:c>
      <x:c r="I290" s="6">
        <x:f t="shared" si="51"/>
        <x:v>19031686.630475055</x:v>
      </x:c>
      <x:c r="J290" s="23">
        <x:v>1.0732014893307753</x:v>
      </x:c>
      <x:c r="K290" s="9">
        <x:f t="shared" si="52"/>
        <x:v>20424834.436302435</x:v>
      </x:c>
      <x:c r="L290" s="6"/>
      <x:c r="M290" s="10">
        <x:f t="shared" si="53"/>
        <x:v>20424834.436302435</x:v>
      </x:c>
      <x:c r="N290" s="10">
        <x:f t="shared" si="54"/>
        <x:v>0</x:v>
      </x:c>
      <x:c r="O290" s="10"/>
    </x:row>
    <x:row r="291" spans="1:15" s="7" customFormat="1" outlineLevel="2" x14ac:dyDescent="0.25">
      <x:c r="A291" s="4">
        <x:v>366</x:v>
      </x:c>
      <x:c r="B291" s="5" t="s">
        <x:v>126</x:v>
      </x:c>
      <x:c r="C291" s="6">
        <x:v>37938456.469999999</x:v>
      </x:c>
      <x:c r="D291" s="6">
        <x:v>37938456.469999999</x:v>
      </x:c>
      <x:c r="E291" s="6"/>
      <x:c r="F291" s="7">
        <x:v>60</x:v>
      </x:c>
      <x:c r="G291" s="6">
        <x:v>36.959510000000002</x:v>
      </x:c>
      <x:c r="H291" s="8">
        <x:v>-0.5</x:v>
      </x:c>
      <x:c r="I291" s="6">
        <x:f t="shared" si="51"/>
        <x:v>21853015.672811754</x:v>
      </x:c>
      <x:c r="J291" s="23">
        <x:v>1.0732014893307753</x:v>
      </x:c>
      <x:c r="K291" s="9">
        <x:f t="shared" si="52"/>
        <x:v>23452688.966430347</x:v>
      </x:c>
      <x:c r="L291" s="6"/>
      <x:c r="M291" s="10">
        <x:f t="shared" si="53"/>
        <x:v>23452688.966430344</x:v>
      </x:c>
      <x:c r="N291" s="10">
        <x:f t="shared" si="54"/>
        <x:v>0</x:v>
      </x:c>
      <x:c r="O291" s="10"/>
    </x:row>
    <x:row r="292" spans="1:15" s="7" customFormat="1" outlineLevel="2" x14ac:dyDescent="0.25">
      <x:c r="A292" s="4">
        <x:v>366</x:v>
      </x:c>
      <x:c r="B292" s="5" t="s">
        <x:v>38</x:v>
      </x:c>
      <x:c r="C292" s="6">
        <x:v>38317009.549999997</x:v>
      </x:c>
      <x:c r="D292" s="6">
        <x:v>38317009.549999997</x:v>
      </x:c>
      <x:c r="E292" s="6"/>
      <x:c r="F292" s="7">
        <x:v>60</x:v>
      </x:c>
      <x:c r="G292" s="6">
        <x:v>36.090868</x:v>
      </x:c>
      <x:c r="H292" s="8">
        <x:v>-0.5</x:v>
      </x:c>
      <x:c r="I292" s="6">
        <x:f t="shared" si="51"/>
        <x:v>22903160.979405265</x:v>
      </x:c>
      <x:c r="J292" s="23">
        <x:v>1.0732014893307753</x:v>
      </x:c>
      <x:c r="K292" s="9">
        <x:f t="shared" si="52"/>
        <x:v>24579706.473480228</x:v>
      </x:c>
      <x:c r="L292" s="6"/>
      <x:c r="M292" s="10">
        <x:f t="shared" si="53"/>
        <x:v>24579706.473480232</x:v>
      </x:c>
      <x:c r="N292" s="10">
        <x:f t="shared" si="54"/>
        <x:v>0</x:v>
      </x:c>
      <x:c r="O292" s="10"/>
    </x:row>
    <x:row r="293" spans="1:15" s="7" customFormat="1" outlineLevel="2" x14ac:dyDescent="0.25">
      <x:c r="A293" s="4">
        <x:v>366</x:v>
      </x:c>
      <x:c r="B293" s="5" t="s">
        <x:v>127</x:v>
      </x:c>
      <x:c r="C293" s="6">
        <x:v>24917971.129999999</x:v>
      </x:c>
      <x:c r="D293" s="6">
        <x:v>24917971.129999999</x:v>
      </x:c>
      <x:c r="E293" s="6"/>
      <x:c r="F293" s="7">
        <x:v>60</x:v>
      </x:c>
      <x:c r="G293" s="6">
        <x:v>35.229312</x:v>
      </x:c>
      <x:c r="H293" s="8">
        <x:v>-0.5</x:v>
      </x:c>
      <x:c r="I293" s="6">
        <x:f t="shared" si="51"/>
        <x:v>15430882.211355936</x:v>
      </x:c>
      <x:c r="J293" s="23">
        <x:v>1.0732014893307753</x:v>
      </x:c>
      <x:c r="K293" s="9">
        <x:f t="shared" si="52"/>
        <x:v>16560445.770914957</x:v>
      </x:c>
      <x:c r="L293" s="6"/>
      <x:c r="M293" s="10">
        <x:f t="shared" si="53"/>
        <x:v>16560445.770914955</x:v>
      </x:c>
      <x:c r="N293" s="10">
        <x:f t="shared" si="54"/>
        <x:v>0</x:v>
      </x:c>
      <x:c r="O293" s="10"/>
    </x:row>
    <x:row r="294" spans="1:15" s="7" customFormat="1" outlineLevel="2" x14ac:dyDescent="0.25">
      <x:c r="A294" s="4">
        <x:v>366</x:v>
      </x:c>
      <x:c r="B294" s="5" t="s">
        <x:v>39</x:v>
      </x:c>
      <x:c r="C294" s="6">
        <x:v>29282034.91</x:v>
      </x:c>
      <x:c r="D294" s="6">
        <x:v>29282034.91</x:v>
      </x:c>
      <x:c r="E294" s="6"/>
      <x:c r="F294" s="7">
        <x:v>60</x:v>
      </x:c>
      <x:c r="G294" s="6">
        <x:v>34.375610000000002</x:v>
      </x:c>
      <x:c r="H294" s="8">
        <x:v>-0.5</x:v>
      </x:c>
      <x:c r="I294" s="6">
        <x:f t="shared" si="51"/>
        <x:v>18758357.06318637</x:v>
      </x:c>
      <x:c r="J294" s="23">
        <x:v>1.0732014893307753</x:v>
      </x:c>
      <x:c r="K294" s="9">
        <x:f t="shared" si="52"/>
        <x:v>20131496.737610079</x:v>
      </x:c>
      <x:c r="L294" s="6"/>
      <x:c r="M294" s="10">
        <x:f t="shared" si="53"/>
        <x:v>20131496.737610079</x:v>
      </x:c>
      <x:c r="N294" s="10">
        <x:f t="shared" si="54"/>
        <x:v>0</x:v>
      </x:c>
      <x:c r="O294" s="10"/>
    </x:row>
    <x:row r="295" spans="1:15" s="7" customFormat="1" outlineLevel="2" x14ac:dyDescent="0.25">
      <x:c r="A295" s="4">
        <x:v>366</x:v>
      </x:c>
      <x:c r="B295" s="5" t="s">
        <x:v>40</x:v>
      </x:c>
      <x:c r="C295" s="6">
        <x:v>44256943.079999998</x:v>
      </x:c>
      <x:c r="D295" s="6">
        <x:v>44256943.079999998</x:v>
      </x:c>
      <x:c r="E295" s="6"/>
      <x:c r="F295" s="7">
        <x:v>60</x:v>
      </x:c>
      <x:c r="G295" s="6">
        <x:v>33.529964</x:v>
      </x:c>
      <x:c r="H295" s="8">
        <x:v>-0.5</x:v>
      </x:c>
      <x:c r="I295" s="6">
        <x:f t="shared" si="51"/>
        <x:v>29287071.914438773</x:v>
      </x:c>
      <x:c r="J295" s="23">
        <x:v>1.0732014893307753</x:v>
      </x:c>
      <x:c r="K295" s="9">
        <x:f t="shared" si="52"/>
        <x:v>31430929.196713213</x:v>
      </x:c>
      <x:c r="L295" s="6"/>
      <x:c r="M295" s="10">
        <x:f t="shared" si="53"/>
        <x:v>31430929.196713217</x:v>
      </x:c>
      <x:c r="N295" s="10">
        <x:f t="shared" si="54"/>
        <x:v>0</x:v>
      </x:c>
      <x:c r="O295" s="10"/>
    </x:row>
    <x:row r="296" spans="1:15" s="7" customFormat="1" outlineLevel="2" x14ac:dyDescent="0.25">
      <x:c r="A296" s="4">
        <x:v>366</x:v>
      </x:c>
      <x:c r="B296" s="5" t="s">
        <x:v>41</x:v>
      </x:c>
      <x:c r="C296" s="6">
        <x:v>30308204.5</x:v>
      </x:c>
      <x:c r="D296" s="6">
        <x:v>30308204.5</x:v>
      </x:c>
      <x:c r="E296" s="6"/>
      <x:c r="F296" s="7">
        <x:v>60</x:v>
      </x:c>
      <x:c r="G296" s="6">
        <x:v>32.691851</x:v>
      </x:c>
      <x:c r="H296" s="8">
        <x:v>-0.5</x:v>
      </x:c>
      <x:c r="I296" s="6">
        <x:f t="shared" si="51"/>
        <x:v>20691524.110211764</x:v>
      </x:c>
      <x:c r="J296" s="23">
        <x:v>1.0732014893307753</x:v>
      </x:c>
      <x:c r="K296" s="9">
        <x:f t="shared" si="52"/>
        <x:v>22206174.491602909</x:v>
      </x:c>
      <x:c r="L296" s="6"/>
      <x:c r="M296" s="10">
        <x:f t="shared" si="53"/>
        <x:v>22206174.491602909</x:v>
      </x:c>
      <x:c r="N296" s="10">
        <x:f t="shared" si="54"/>
        <x:v>0</x:v>
      </x:c>
      <x:c r="O296" s="10"/>
    </x:row>
    <x:row r="297" spans="1:15" s="7" customFormat="1" outlineLevel="2" x14ac:dyDescent="0.25">
      <x:c r="A297" s="4">
        <x:v>366</x:v>
      </x:c>
      <x:c r="B297" s="5" t="s">
        <x:v>42</x:v>
      </x:c>
      <x:c r="C297" s="6">
        <x:v>16632933.35</x:v>
      </x:c>
      <x:c r="D297" s="6">
        <x:v>16632933.35</x:v>
      </x:c>
      <x:c r="E297" s="6"/>
      <x:c r="F297" s="7">
        <x:v>60</x:v>
      </x:c>
      <x:c r="G297" s="6">
        <x:v>31.862083999999999</x:v>
      </x:c>
      <x:c r="H297" s="8">
        <x:v>-0.5</x:v>
      </x:c>
      <x:c r="I297" s="6">
        <x:f t="shared" si="51"/>
        <x:v>11700402.035897465</x:v>
      </x:c>
      <x:c r="J297" s="23">
        <x:v>1.0732014893307753</x:v>
      </x:c>
      <x:c r="K297" s="9">
        <x:f t="shared" si="52"/>
        <x:v>12556888.890693996</x:v>
      </x:c>
      <x:c r="L297" s="6"/>
      <x:c r="M297" s="10">
        <x:f t="shared" si="53"/>
        <x:v>12556888.890693996</x:v>
      </x:c>
      <x:c r="N297" s="10">
        <x:f t="shared" si="54"/>
        <x:v>0</x:v>
      </x:c>
      <x:c r="O297" s="10"/>
    </x:row>
    <x:row r="298" spans="1:15" s="7" customFormat="1" outlineLevel="2" x14ac:dyDescent="0.25">
      <x:c r="A298" s="4">
        <x:v>366</x:v>
      </x:c>
      <x:c r="B298" s="5" t="s">
        <x:v>43</x:v>
      </x:c>
      <x:c r="C298" s="6">
        <x:v>12615594.35</x:v>
      </x:c>
      <x:c r="D298" s="6">
        <x:v>12615594.35</x:v>
      </x:c>
      <x:c r="E298" s="6"/>
      <x:c r="F298" s="7">
        <x:v>60</x:v>
      </x:c>
      <x:c r="G298" s="6">
        <x:v>31.040854</x:v>
      </x:c>
      <x:c r="H298" s="8">
        <x:v>-0.5</x:v>
      </x:c>
      <x:c r="I298" s="6">
        <x:f t="shared" si="51"/>
        <x:v>9133420.9664606266</x:v>
      </x:c>
      <x:c r="J298" s="23">
        <x:v>1.0732014893307753</x:v>
      </x:c>
      <x:c r="K298" s="9">
        <x:f t="shared" si="52"/>
        <x:v>9802000.9838904738</x:v>
      </x:c>
      <x:c r="L298" s="6"/>
      <x:c r="M298" s="10">
        <x:f t="shared" si="53"/>
        <x:v>9802000.9838904738</x:v>
      </x:c>
      <x:c r="N298" s="10">
        <x:f t="shared" si="54"/>
        <x:v>0</x:v>
      </x:c>
      <x:c r="O298" s="10"/>
    </x:row>
    <x:row r="299" spans="1:15" s="7" customFormat="1" outlineLevel="2" x14ac:dyDescent="0.25">
      <x:c r="A299" s="4">
        <x:v>366</x:v>
      </x:c>
      <x:c r="B299" s="5" t="s">
        <x:v>44</x:v>
      </x:c>
      <x:c r="C299" s="6">
        <x:v>11161838.529999999</x:v>
      </x:c>
      <x:c r="D299" s="6">
        <x:v>11161838.529999999</x:v>
      </x:c>
      <x:c r="E299" s="6"/>
      <x:c r="F299" s="7">
        <x:v>60</x:v>
      </x:c>
      <x:c r="G299" s="6">
        <x:v>30.227575000000002</x:v>
      </x:c>
      <x:c r="H299" s="8">
        <x:v>-0.5</x:v>
      </x:c>
      <x:c r="I299" s="6">
        <x:f t="shared" si="51"/>
        <x:v>8307875.0124133797</x:v>
      </x:c>
      <x:c r="J299" s="23">
        <x:v>1.0732014893307753</x:v>
      </x:c>
      <x:c r="K299" s="9">
        <x:f t="shared" si="52"/>
        <x:v>8916023.8364959732</x:v>
      </x:c>
      <x:c r="L299" s="6"/>
      <x:c r="M299" s="10">
        <x:f t="shared" si="53"/>
        <x:v>8916023.8364959732</x:v>
      </x:c>
      <x:c r="N299" s="10">
        <x:f t="shared" si="54"/>
        <x:v>0</x:v>
      </x:c>
      <x:c r="O299" s="10"/>
    </x:row>
    <x:row r="300" spans="1:15" s="7" customFormat="1" outlineLevel="2" x14ac:dyDescent="0.25">
      <x:c r="A300" s="4">
        <x:v>366</x:v>
      </x:c>
      <x:c r="B300" s="5" t="s">
        <x:v>45</x:v>
      </x:c>
      <x:c r="C300" s="6">
        <x:v>7920587.5700000003</x:v>
      </x:c>
      <x:c r="D300" s="6">
        <x:v>7920587.5700000003</x:v>
      </x:c>
      <x:c r="E300" s="6"/>
      <x:c r="F300" s="7">
        <x:v>60</x:v>
      </x:c>
      <x:c r="G300" s="6">
        <x:v>29.423117999999999</x:v>
      </x:c>
      <x:c r="H300" s="8">
        <x:v>-0.5</x:v>
      </x:c>
      <x:c r="I300" s="6">
        <x:f t="shared" si="51"/>
        <x:v>6054671.7874639183</x:v>
      </x:c>
      <x:c r="J300" s="23">
        <x:v>1.0732014893307753</x:v>
      </x:c>
      <x:c r="K300" s="9">
        <x:f t="shared" si="52"/>
        <x:v>6497882.7797153043</x:v>
      </x:c>
      <x:c r="L300" s="6"/>
      <x:c r="M300" s="10">
        <x:f t="shared" si="53"/>
        <x:v>6497882.7797153043</x:v>
      </x:c>
      <x:c r="N300" s="10">
        <x:f t="shared" si="54"/>
        <x:v>0</x:v>
      </x:c>
      <x:c r="O300" s="10"/>
    </x:row>
    <x:row r="301" spans="1:15" s="7" customFormat="1" outlineLevel="2" x14ac:dyDescent="0.25">
      <x:c r="A301" s="4">
        <x:v>366</x:v>
      </x:c>
      <x:c r="B301" s="5" t="s">
        <x:v>46</x:v>
      </x:c>
      <x:c r="C301" s="6">
        <x:v>9884106.0099999998</x:v>
      </x:c>
      <x:c r="D301" s="6">
        <x:v>9884106.0099999998</x:v>
      </x:c>
      <x:c r="E301" s="6"/>
      <x:c r="F301" s="7">
        <x:v>60</x:v>
      </x:c>
      <x:c r="G301" s="6">
        <x:v>28.627683999999999</x:v>
      </x:c>
      <x:c r="H301" s="8">
        <x:v>-0.5</x:v>
      </x:c>
      <x:c r="I301" s="6">
        <x:f t="shared" si="51"/>
        <x:v>7752182.4280804796</x:v>
      </x:c>
      <x:c r="J301" s="23">
        <x:v>1.0732014893307753</x:v>
      </x:c>
      <x:c r="K301" s="9">
        <x:f t="shared" si="52"/>
        <x:v>8319653.7273798371</x:v>
      </x:c>
      <x:c r="L301" s="6"/>
      <x:c r="M301" s="10">
        <x:f t="shared" si="53"/>
        <x:v>8319653.7273798371</x:v>
      </x:c>
      <x:c r="N301" s="10">
        <x:f t="shared" si="54"/>
        <x:v>0</x:v>
      </x:c>
      <x:c r="O301" s="10"/>
    </x:row>
    <x:row r="302" spans="1:15" s="7" customFormat="1" outlineLevel="2" x14ac:dyDescent="0.25">
      <x:c r="A302" s="4">
        <x:v>366</x:v>
      </x:c>
      <x:c r="B302" s="5" t="s">
        <x:v>47</x:v>
      </x:c>
      <x:c r="C302" s="6">
        <x:v>9922273.0600000005</x:v>
      </x:c>
      <x:c r="D302" s="6">
        <x:v>9922273.0600000005</x:v>
      </x:c>
      <x:c r="E302" s="6"/>
      <x:c r="F302" s="7">
        <x:v>60</x:v>
      </x:c>
      <x:c r="G302" s="6">
        <x:v>27.840646</x:v>
      </x:c>
      <x:c r="H302" s="8">
        <x:v>-0.5</x:v>
      </x:c>
      <x:c r="I302" s="6">
        <x:f t="shared" si="51"/>
        <x:v>7977347.2955300817</x:v>
      </x:c>
      <x:c r="J302" s="23">
        <x:v>1.0732014893307753</x:v>
      </x:c>
      <x:c r="K302" s="9">
        <x:f t="shared" si="52"/>
        <x:v>8561300.9984717164</x:v>
      </x:c>
      <x:c r="L302" s="6"/>
      <x:c r="M302" s="10">
        <x:f t="shared" si="53"/>
        <x:v>8561300.9984717164</x:v>
      </x:c>
      <x:c r="N302" s="10">
        <x:f t="shared" si="54"/>
        <x:v>0</x:v>
      </x:c>
      <x:c r="O302" s="10"/>
    </x:row>
    <x:row r="303" spans="1:15" s="7" customFormat="1" outlineLevel="2" x14ac:dyDescent="0.25">
      <x:c r="A303" s="4">
        <x:v>366</x:v>
      </x:c>
      <x:c r="B303" s="5" t="s">
        <x:v>48</x:v>
      </x:c>
      <x:c r="C303" s="6">
        <x:v>9508155.9800000004</x:v>
      </x:c>
      <x:c r="D303" s="6">
        <x:v>9508155.9800000004</x:v>
      </x:c>
      <x:c r="E303" s="6"/>
      <x:c r="F303" s="7">
        <x:v>60</x:v>
      </x:c>
      <x:c r="G303" s="6">
        <x:v>27.062957000000001</x:v>
      </x:c>
      <x:c r="H303" s="8">
        <x:v>-0.5</x:v>
      </x:c>
      <x:c r="I303" s="6">
        <x:f t="shared" si="51"/>
        <x:v>7829263.5590991797</x:v>
      </x:c>
      <x:c r="J303" s="23">
        <x:v>1.0732014893307753</x:v>
      </x:c>
      <x:c r="K303" s="9">
        <x:f t="shared" si="52"/>
        <x:v>8402377.3119884059</x:v>
      </x:c>
      <x:c r="L303" s="6"/>
      <x:c r="M303" s="10">
        <x:f t="shared" si="53"/>
        <x:v>8402377.3119884059</x:v>
      </x:c>
      <x:c r="N303" s="10">
        <x:f t="shared" si="54"/>
        <x:v>0</x:v>
      </x:c>
      <x:c r="O303" s="10"/>
    </x:row>
    <x:row r="304" spans="1:15" s="7" customFormat="1" outlineLevel="2" x14ac:dyDescent="0.25">
      <x:c r="A304" s="4">
        <x:v>366</x:v>
      </x:c>
      <x:c r="B304" s="5" t="s">
        <x:v>49</x:v>
      </x:c>
      <x:c r="C304" s="6">
        <x:v>7041573.6200000001</x:v>
      </x:c>
      <x:c r="D304" s="6">
        <x:v>7041573.6200000001</x:v>
      </x:c>
      <x:c r="E304" s="6"/>
      <x:c r="F304" s="7">
        <x:v>60</x:v>
      </x:c>
      <x:c r="G304" s="6">
        <x:v>26.294854000000001</x:v>
      </x:c>
      <x:c r="H304" s="8">
        <x:v>-0.5</x:v>
      </x:c>
      <x:c r="I304" s="6">
        <x:f t="shared" si="51"/>
        <x:v>5933431.6732962122</x:v>
      </x:c>
      <x:c r="J304" s="23">
        <x:v>1.0732014893307753</x:v>
      </x:c>
      <x:c r="K304" s="9">
        <x:f t="shared" si="52"/>
        <x:v>6367767.7086238889</x:v>
      </x:c>
      <x:c r="L304" s="6"/>
      <x:c r="M304" s="10">
        <x:f t="shared" si="53"/>
        <x:v>6367767.7086238889</x:v>
      </x:c>
      <x:c r="N304" s="10">
        <x:f t="shared" si="54"/>
        <x:v>0</x:v>
      </x:c>
      <x:c r="O304" s="10"/>
    </x:row>
    <x:row r="305" spans="1:15" s="7" customFormat="1" outlineLevel="2" x14ac:dyDescent="0.25">
      <x:c r="A305" s="4">
        <x:v>366</x:v>
      </x:c>
      <x:c r="B305" s="5" t="s">
        <x:v>50</x:v>
      </x:c>
      <x:c r="C305" s="6">
        <x:v>11257662.140000001</x:v>
      </x:c>
      <x:c r="D305" s="6">
        <x:v>11257662.140000001</x:v>
      </x:c>
      <x:c r="E305" s="6"/>
      <x:c r="F305" s="7">
        <x:v>60</x:v>
      </x:c>
      <x:c r="G305" s="6">
        <x:v>25.535681</x:v>
      </x:c>
      <x:c r="H305" s="8">
        <x:v>-0.5</x:v>
      </x:c>
      <x:c r="I305" s="6">
        <x:f t="shared" ref="I305:I336" si="59">+C305*(1-H305)*(1-G305/F305)</x:f>
        <x:v>9699691.4796795677</x:v>
      </x:c>
      <x:c r="J305" s="23">
        <x:v>1.0732014893307753</x:v>
      </x:c>
      <x:c r="K305" s="9">
        <x:f t="shared" ref="K305:K336" si="60">IF((C305*(1-H305)-I305*J305)&lt;0,C305*(1-H305),I305*J305)</x:f>
        <x:v>10409723.342041144</x:v>
      </x:c>
      <x:c r="L305" s="6"/>
      <x:c r="M305" s="10">
        <x:f t="shared" ref="M305:M336" si="61">+K305/D305*C305</x:f>
        <x:v>10409723.342041144</x:v>
      </x:c>
      <x:c r="N305" s="10">
        <x:f t="shared" ref="N305:N336" si="62">+E305/C305*K305</x:f>
        <x:v>0</x:v>
      </x:c>
      <x:c r="O305" s="10"/>
    </x:row>
    <x:row r="306" spans="1:15" s="7" customFormat="1" outlineLevel="2" x14ac:dyDescent="0.25">
      <x:c r="A306" s="4">
        <x:v>366</x:v>
      </x:c>
      <x:c r="B306" s="5" t="s">
        <x:v>51</x:v>
      </x:c>
      <x:c r="C306" s="6">
        <x:v>10406388.9</x:v>
      </x:c>
      <x:c r="D306" s="6">
        <x:v>10406388.9</x:v>
      </x:c>
      <x:c r="E306" s="6"/>
      <x:c r="F306" s="7">
        <x:v>60</x:v>
      </x:c>
      <x:c r="G306" s="6">
        <x:v>24.786505999999999</x:v>
      </x:c>
      <x:c r="H306" s="8">
        <x:v>-0.5</x:v>
      </x:c>
      <x:c r="I306" s="6">
        <x:f t="shared" si="59"/>
        <x:v>9161132.827295417</x:v>
      </x:c>
      <x:c r="J306" s="23">
        <x:v>1.0732014893307753</x:v>
      </x:c>
      <x:c r="K306" s="9">
        <x:f t="shared" si="60"/>
        <x:v>9831741.3942104969</x:v>
      </x:c>
      <x:c r="L306" s="6"/>
      <x:c r="M306" s="10">
        <x:f t="shared" si="61"/>
        <x:v>9831741.3942104969</x:v>
      </x:c>
      <x:c r="N306" s="10">
        <x:f t="shared" si="62"/>
        <x:v>0</x:v>
      </x:c>
      <x:c r="O306" s="10"/>
    </x:row>
    <x:row r="307" spans="1:15" s="7" customFormat="1" outlineLevel="2" x14ac:dyDescent="0.25">
      <x:c r="A307" s="4">
        <x:v>366</x:v>
      </x:c>
      <x:c r="B307" s="5" t="s">
        <x:v>52</x:v>
      </x:c>
      <x:c r="C307" s="6">
        <x:v>8317774.3899999997</x:v>
      </x:c>
      <x:c r="D307" s="6">
        <x:v>8317774.3899999997</x:v>
      </x:c>
      <x:c r="E307" s="6"/>
      <x:c r="F307" s="7">
        <x:v>60</x:v>
      </x:c>
      <x:c r="G307" s="6">
        <x:v>24.047625</x:v>
      </x:c>
      <x:c r="H307" s="8">
        <x:v>-0.5</x:v>
      </x:c>
      <x:c r="I307" s="6">
        <x:f t="shared" si="59"/>
        <x:v>7476093.6008669045</x:v>
      </x:c>
      <x:c r="J307" s="23">
        <x:v>1.0732014893307753</x:v>
      </x:c>
      <x:c r="K307" s="9">
        <x:f t="shared" si="60"/>
        <x:v>8023354.7868266404</x:v>
      </x:c>
      <x:c r="L307" s="6"/>
      <x:c r="M307" s="10">
        <x:f t="shared" si="61"/>
        <x:v>8023354.7868266404</x:v>
      </x:c>
      <x:c r="N307" s="10">
        <x:f t="shared" si="62"/>
        <x:v>0</x:v>
      </x:c>
      <x:c r="O307" s="10"/>
    </x:row>
    <x:row r="308" spans="1:15" s="7" customFormat="1" outlineLevel="2" x14ac:dyDescent="0.25">
      <x:c r="A308" s="4">
        <x:v>366</x:v>
      </x:c>
      <x:c r="B308" s="5" t="s">
        <x:v>53</x:v>
      </x:c>
      <x:c r="C308" s="6">
        <x:v>7381868.0099999998</x:v>
      </x:c>
      <x:c r="D308" s="6">
        <x:v>7381868.0099999998</x:v>
      </x:c>
      <x:c r="E308" s="6"/>
      <x:c r="F308" s="7">
        <x:v>60</x:v>
      </x:c>
      <x:c r="G308" s="6">
        <x:v>23.318372</x:v>
      </x:c>
      <x:c r="H308" s="8">
        <x:v>-0.5</x:v>
      </x:c>
      <x:c r="I308" s="6">
        <x:f t="shared" si="59"/>
        <x:v>6769473.4071980072</x:v>
      </x:c>
      <x:c r="J308" s="23">
        <x:v>1.0732014893307753</x:v>
      </x:c>
      <x:c r="K308" s="9">
        <x:f t="shared" si="60"/>
        <x:v>7265008.9425899796</x:v>
      </x:c>
      <x:c r="L308" s="6"/>
      <x:c r="M308" s="10">
        <x:f t="shared" si="61"/>
        <x:v>7265008.9425899796</x:v>
      </x:c>
      <x:c r="N308" s="10">
        <x:f t="shared" si="62"/>
        <x:v>0</x:v>
      </x:c>
      <x:c r="O308" s="10"/>
    </x:row>
    <x:row r="309" spans="1:15" s="7" customFormat="1" outlineLevel="2" x14ac:dyDescent="0.25">
      <x:c r="A309" s="4">
        <x:v>366</x:v>
      </x:c>
      <x:c r="B309" s="5" t="s">
        <x:v>54</x:v>
      </x:c>
      <x:c r="C309" s="6">
        <x:v>6677056.1699999999</x:v>
      </x:c>
      <x:c r="D309" s="6">
        <x:v>6677056.1699999999</x:v>
      </x:c>
      <x:c r="E309" s="6"/>
      <x:c r="F309" s="7">
        <x:v>60</x:v>
      </x:c>
      <x:c r="G309" s="6">
        <x:v>22.599948000000001</x:v>
      </x:c>
      <x:c r="H309" s="8">
        <x:v>-0.5</x:v>
      </x:c>
      <x:c r="I309" s="6">
        <x:f t="shared" si="59"/>
        <x:v>6243056.1991230203</x:v>
      </x:c>
      <x:c r="J309" s="23">
        <x:v>1.0732014893307753</x:v>
      </x:c>
      <x:c r="K309" s="9">
        <x:f t="shared" si="60"/>
        <x:v>6700057.2108745547</x:v>
      </x:c>
      <x:c r="L309" s="6"/>
      <x:c r="M309" s="10">
        <x:f t="shared" si="61"/>
        <x:v>6700057.2108745547</x:v>
      </x:c>
      <x:c r="N309" s="10">
        <x:f t="shared" si="62"/>
        <x:v>0</x:v>
      </x:c>
      <x:c r="O309" s="10"/>
    </x:row>
    <x:row r="310" spans="1:15" s="7" customFormat="1" outlineLevel="2" x14ac:dyDescent="0.25">
      <x:c r="A310" s="4">
        <x:v>366</x:v>
      </x:c>
      <x:c r="B310" s="5" t="s">
        <x:v>55</x:v>
      </x:c>
      <x:c r="C310" s="6">
        <x:v>6881038.8099999996</x:v>
      </x:c>
      <x:c r="D310" s="6">
        <x:v>6881038.8099999996</x:v>
      </x:c>
      <x:c r="E310" s="6"/>
      <x:c r="F310" s="7">
        <x:v>60</x:v>
      </x:c>
      <x:c r="G310" s="6">
        <x:v>21.892720000000001</x:v>
      </x:c>
      <x:c r="H310" s="8">
        <x:v>-0.5</x:v>
      </x:c>
      <x:c r="I310" s="6">
        <x:f t="shared" si="59"/>
        <x:v>6555441.8155884193</x:v>
      </x:c>
      <x:c r="J310" s="23">
        <x:v>1.0732014893307753</x:v>
      </x:c>
      <x:c r="K310" s="9">
        <x:f t="shared" si="60"/>
        <x:v>7035309.919710733</x:v>
      </x:c>
      <x:c r="L310" s="6"/>
      <x:c r="M310" s="10">
        <x:f t="shared" si="61"/>
        <x:v>7035309.919710733</x:v>
      </x:c>
      <x:c r="N310" s="10">
        <x:f t="shared" si="62"/>
        <x:v>0</x:v>
      </x:c>
      <x:c r="O310" s="10"/>
    </x:row>
    <x:row r="311" spans="1:15" s="7" customFormat="1" outlineLevel="2" x14ac:dyDescent="0.25">
      <x:c r="A311" s="4">
        <x:v>366</x:v>
      </x:c>
      <x:c r="B311" s="5" t="s">
        <x:v>56</x:v>
      </x:c>
      <x:c r="C311" s="6">
        <x:v>4017549.98</x:v>
      </x:c>
      <x:c r="D311" s="6">
        <x:v>4017549.98</x:v>
      </x:c>
      <x:c r="E311" s="6"/>
      <x:c r="F311" s="7">
        <x:v>60</x:v>
      </x:c>
      <x:c r="G311" s="6">
        <x:v>21.196007999999999</x:v>
      </x:c>
      <x:c r="H311" s="8">
        <x:v>-0.5</x:v>
      </x:c>
      <x:c r="I311" s="6">
        <x:f t="shared" si="59"/>
        <x:v>3897424.432088004</x:v>
      </x:c>
      <x:c r="J311" s="23">
        <x:v>1.0732014893307753</x:v>
      </x:c>
      <x:c r="K311" s="9">
        <x:f t="shared" si="60"/>
        <x:v>4182721.7050709971</x:v>
      </x:c>
      <x:c r="L311" s="6"/>
      <x:c r="M311" s="10">
        <x:f t="shared" si="61"/>
        <x:v>4182721.7050709971</x:v>
      </x:c>
      <x:c r="N311" s="10">
        <x:f t="shared" si="62"/>
        <x:v>0</x:v>
      </x:c>
      <x:c r="O311" s="10"/>
    </x:row>
    <x:row r="312" spans="1:15" s="7" customFormat="1" outlineLevel="2" x14ac:dyDescent="0.25">
      <x:c r="A312" s="4">
        <x:v>366</x:v>
      </x:c>
      <x:c r="B312" s="5" t="s">
        <x:v>57</x:v>
      </x:c>
      <x:c r="C312" s="6">
        <x:v>3039641.6000000001</x:v>
      </x:c>
      <x:c r="D312" s="6">
        <x:v>3039641.6000000001</x:v>
      </x:c>
      <x:c r="E312" s="6"/>
      <x:c r="F312" s="7">
        <x:v>60</x:v>
      </x:c>
      <x:c r="G312" s="6">
        <x:v>20.511156</x:v>
      </x:c>
      <x:c r="H312" s="8">
        <x:v>-0.5</x:v>
      </x:c>
      <x:c r="I312" s="6">
        <x:f t="shared" si="59"/>
        <x:v>3000798.3239577604</x:v>
      </x:c>
      <x:c r="J312" s="23">
        <x:v>1.0732014893307753</x:v>
      </x:c>
      <x:c r="K312" s="9">
        <x:f t="shared" si="60"/>
        <x:v>3220461.2304527629</x:v>
      </x:c>
      <x:c r="L312" s="6"/>
      <x:c r="M312" s="10">
        <x:f t="shared" si="61"/>
        <x:v>3220461.2304527625</x:v>
      </x:c>
      <x:c r="N312" s="10">
        <x:f t="shared" si="62"/>
        <x:v>0</x:v>
      </x:c>
      <x:c r="O312" s="10"/>
    </x:row>
    <x:row r="313" spans="1:15" s="7" customFormat="1" outlineLevel="2" x14ac:dyDescent="0.25">
      <x:c r="A313" s="4">
        <x:v>366</x:v>
      </x:c>
      <x:c r="B313" s="5" t="s">
        <x:v>58</x:v>
      </x:c>
      <x:c r="C313" s="6">
        <x:v>2585017.91</x:v>
      </x:c>
      <x:c r="D313" s="6">
        <x:v>2585017.91</x:v>
      </x:c>
      <x:c r="E313" s="6"/>
      <x:c r="F313" s="7">
        <x:v>60</x:v>
      </x:c>
      <x:c r="G313" s="6">
        <x:v>19.838592999999999</x:v>
      </x:c>
      <x:c r="H313" s="8">
        <x:v>-0.5</x:v>
      </x:c>
      <x:c r="I313" s="6">
        <x:f t="shared" si="59"/>
        <x:v>2595448.9096449846</x:v>
      </x:c>
      <x:c r="J313" s="23">
        <x:v>1.0732014893307753</x:v>
      </x:c>
      <x:c r="K313" s="9">
        <x:f t="shared" si="60"/>
        <x:v>2785439.6353129344</x:v>
      </x:c>
      <x:c r="L313" s="6"/>
      <x:c r="M313" s="10">
        <x:f t="shared" si="61"/>
        <x:v>2785439.6353129344</x:v>
      </x:c>
      <x:c r="N313" s="10">
        <x:f t="shared" si="62"/>
        <x:v>0</x:v>
      </x:c>
      <x:c r="O313" s="10"/>
    </x:row>
    <x:row r="314" spans="1:15" s="7" customFormat="1" outlineLevel="2" x14ac:dyDescent="0.25">
      <x:c r="A314" s="4">
        <x:v>366</x:v>
      </x:c>
      <x:c r="B314" s="5" t="s">
        <x:v>59</x:v>
      </x:c>
      <x:c r="C314" s="6">
        <x:v>1063096.25</x:v>
      </x:c>
      <x:c r="D314" s="6">
        <x:v>1063096.25</x:v>
      </x:c>
      <x:c r="E314" s="6"/>
      <x:c r="F314" s="7">
        <x:v>60</x:v>
      </x:c>
      <x:c r="G314" s="6">
        <x:v>19.177617000000001</x:v>
      </x:c>
      <x:c r="H314" s="8">
        <x:v>-0.5</x:v>
      </x:c>
      <x:c r="I314" s="6">
        <x:f t="shared" si="59"/>
        <x:v>1084953.0570840938</x:v>
      </x:c>
      <x:c r="J314" s="23">
        <x:v>1.0732014893307753</x:v>
      </x:c>
      <x:c r="K314" s="9">
        <x:f t="shared" si="60"/>
        <x:v>1164373.2367166271</x:v>
      </x:c>
      <x:c r="L314" s="6"/>
      <x:c r="M314" s="10">
        <x:f t="shared" si="61"/>
        <x:v>1164373.2367166271</x:v>
      </x:c>
      <x:c r="N314" s="10">
        <x:f t="shared" si="62"/>
        <x:v>0</x:v>
      </x:c>
      <x:c r="O314" s="10"/>
    </x:row>
    <x:row r="315" spans="1:15" s="7" customFormat="1" outlineLevel="2" x14ac:dyDescent="0.25">
      <x:c r="A315" s="4">
        <x:v>366</x:v>
      </x:c>
      <x:c r="B315" s="5" t="s">
        <x:v>60</x:v>
      </x:c>
      <x:c r="C315" s="6">
        <x:v>1865495.53</x:v>
      </x:c>
      <x:c r="D315" s="6">
        <x:v>1865495.53</x:v>
      </x:c>
      <x:c r="E315" s="6"/>
      <x:c r="F315" s="7">
        <x:v>60</x:v>
      </x:c>
      <x:c r="G315" s="6">
        <x:v>18.529684</x:v>
      </x:c>
      <x:c r="H315" s="8">
        <x:v>-0.5</x:v>
      </x:c>
      <x:c r="I315" s="6">
        <x:f t="shared" si="59"/>
        <x:v>1934067.2281421868</x:v>
      </x:c>
      <x:c r="J315" s="23">
        <x:v>1.0732014893307753</x:v>
      </x:c>
      <x:c r="K315" s="9">
        <x:f t="shared" si="60"/>
        <x:v>2075643.8297080393</x:v>
      </x:c>
      <x:c r="L315" s="6"/>
      <x:c r="M315" s="10">
        <x:f t="shared" si="61"/>
        <x:v>2075643.8297080391</x:v>
      </x:c>
      <x:c r="N315" s="10">
        <x:f t="shared" si="62"/>
        <x:v>0</x:v>
      </x:c>
      <x:c r="O315" s="10"/>
    </x:row>
    <x:row r="316" spans="1:15" s="7" customFormat="1" outlineLevel="2" x14ac:dyDescent="0.25">
      <x:c r="A316" s="4">
        <x:v>366</x:v>
      </x:c>
      <x:c r="B316" s="5" t="s">
        <x:v>61</x:v>
      </x:c>
      <x:c r="C316" s="6">
        <x:v>3147903.12</x:v>
      </x:c>
      <x:c r="D316" s="6">
        <x:v>3147903.12</x:v>
      </x:c>
      <x:c r="E316" s="6"/>
      <x:c r="F316" s="7">
        <x:v>60</x:v>
      </x:c>
      <x:c r="G316" s="6">
        <x:v>17.895242</x:v>
      </x:c>
      <x:c r="H316" s="8">
        <x:v>-0.5</x:v>
      </x:c>
      <x:c r="I316" s="6">
        <x:f t="shared" si="59"/>
        <x:v>3313542.4768761238</x:v>
      </x:c>
      <x:c r="J316" s="23">
        <x:v>1.0732014893307753</x:v>
      </x:c>
      <x:c r="K316" s="9">
        <x:f t="shared" si="60"/>
        <x:v>3556098.7211442422</x:v>
      </x:c>
      <x:c r="L316" s="6"/>
      <x:c r="M316" s="10">
        <x:f t="shared" si="61"/>
        <x:v>3556098.7211442422</x:v>
      </x:c>
      <x:c r="N316" s="10">
        <x:f t="shared" si="62"/>
        <x:v>0</x:v>
      </x:c>
      <x:c r="O316" s="10"/>
    </x:row>
    <x:row r="317" spans="1:15" s="7" customFormat="1" outlineLevel="2" x14ac:dyDescent="0.25">
      <x:c r="A317" s="4">
        <x:v>366</x:v>
      </x:c>
      <x:c r="B317" s="5" t="s">
        <x:v>62</x:v>
      </x:c>
      <x:c r="C317" s="6">
        <x:v>6935510.3399999999</x:v>
      </x:c>
      <x:c r="D317" s="6">
        <x:v>6935510.3399999999</x:v>
      </x:c>
      <x:c r="E317" s="6"/>
      <x:c r="F317" s="7">
        <x:v>60</x:v>
      </x:c>
      <x:c r="G317" s="6">
        <x:v>17.273548999999999</x:v>
      </x:c>
      <x:c r="H317" s="8">
        <x:v>-0.5</x:v>
      </x:c>
      <x:c r="I317" s="6">
        <x:f t="shared" si="59"/>
        <x:v>7408243.5675500827</x:v>
      </x:c>
      <x:c r="J317" s="23">
        <x:v>1.0732014893307753</x:v>
      </x:c>
      <x:c r="K317" s="9">
        <x:f t="shared" si="60"/>
        <x:v>7950538.0300198849</x:v>
      </x:c>
      <x:c r="L317" s="6"/>
      <x:c r="M317" s="10">
        <x:f t="shared" si="61"/>
        <x:v>7950538.030019884</x:v>
      </x:c>
      <x:c r="N317" s="10">
        <x:f t="shared" si="62"/>
        <x:v>0</x:v>
      </x:c>
      <x:c r="O317" s="10"/>
    </x:row>
    <x:row r="318" spans="1:15" s="7" customFormat="1" outlineLevel="2" x14ac:dyDescent="0.25">
      <x:c r="A318" s="4">
        <x:v>366</x:v>
      </x:c>
      <x:c r="B318" s="5" t="s">
        <x:v>63</x:v>
      </x:c>
      <x:c r="C318" s="6">
        <x:v>3528605.84</x:v>
      </x:c>
      <x:c r="D318" s="6">
        <x:v>3528605.84</x:v>
      </x:c>
      <x:c r="E318" s="6"/>
      <x:c r="F318" s="7">
        <x:v>60</x:v>
      </x:c>
      <x:c r="G318" s="6">
        <x:v>16.66611</x:v>
      </x:c>
      <x:c r="H318" s="8">
        <x:v>-0.5</x:v>
      </x:c>
      <x:c r="I318" s="6">
        <x:f t="shared" si="59"/>
        <x:v>3822705.4330979399</x:v>
      </x:c>
      <x:c r="J318" s="23">
        <x:v>1.0732014893307753</x:v>
      </x:c>
      <x:c r="K318" s="9">
        <x:f t="shared" si="60"/>
        <x:v>4102533.1640735557</x:v>
      </x:c>
      <x:c r="L318" s="6"/>
      <x:c r="M318" s="10">
        <x:f t="shared" si="61"/>
        <x:v>4102533.1640735557</x:v>
      </x:c>
      <x:c r="N318" s="10">
        <x:f t="shared" si="62"/>
        <x:v>0</x:v>
      </x:c>
      <x:c r="O318" s="10"/>
    </x:row>
    <x:row r="319" spans="1:15" s="7" customFormat="1" outlineLevel="2" x14ac:dyDescent="0.25">
      <x:c r="A319" s="4">
        <x:v>366</x:v>
      </x:c>
      <x:c r="B319" s="5" t="s">
        <x:v>64</x:v>
      </x:c>
      <x:c r="C319" s="6">
        <x:v>5455250.7999999998</x:v>
      </x:c>
      <x:c r="D319" s="6">
        <x:v>5455250.7999999998</x:v>
      </x:c>
      <x:c r="E319" s="6"/>
      <x:c r="F319" s="7">
        <x:v>60</x:v>
      </x:c>
      <x:c r="G319" s="6">
        <x:v>16.073336999999999</x:v>
      </x:c>
      <x:c r="H319" s="8">
        <x:v>-0.5</x:v>
      </x:c>
      <x:c r="I319" s="6">
        <x:f t="shared" si="59"/>
        <x:v>5990774.0868020104</x:v>
      </x:c>
      <x:c r="J319" s="23">
        <x:v>1.0732014893307753</x:v>
      </x:c>
      <x:c r="K319" s="9">
        <x:f t="shared" si="60"/>
        <x:v>6429307.6722001331</x:v>
      </x:c>
      <x:c r="L319" s="6"/>
      <x:c r="M319" s="10">
        <x:f t="shared" si="61"/>
        <x:v>6429307.6722001331</x:v>
      </x:c>
      <x:c r="N319" s="10">
        <x:f t="shared" si="62"/>
        <x:v>0</x:v>
      </x:c>
      <x:c r="O319" s="10"/>
    </x:row>
    <x:row r="320" spans="1:15" s="7" customFormat="1" outlineLevel="2" x14ac:dyDescent="0.25">
      <x:c r="A320" s="4">
        <x:v>366</x:v>
      </x:c>
      <x:c r="B320" s="5" t="s">
        <x:v>65</x:v>
      </x:c>
      <x:c r="C320" s="6">
        <x:v>4335592.46</x:v>
      </x:c>
      <x:c r="D320" s="6">
        <x:v>4335592.46</x:v>
      </x:c>
      <x:c r="E320" s="6"/>
      <x:c r="F320" s="7">
        <x:v>60</x:v>
      </x:c>
      <x:c r="G320" s="6">
        <x:v>15.494424</x:v>
      </x:c>
      <x:c r="H320" s="8">
        <x:v>-0.5</x:v>
      </x:c>
      <x:c r="I320" s="6">
        <x:f t="shared" si="59"/>
        <x:v>4823950.993338923</x:v>
      </x:c>
      <x:c r="J320" s="23">
        <x:v>1.0732014893307753</x:v>
      </x:c>
      <x:c r="K320" s="9">
        <x:f t="shared" si="60"/>
        <x:v>5177071.3905100049</x:v>
      </x:c>
      <x:c r="L320" s="6"/>
      <x:c r="M320" s="10">
        <x:f t="shared" si="61"/>
        <x:v>5177071.3905100049</x:v>
      </x:c>
      <x:c r="N320" s="10">
        <x:f t="shared" si="62"/>
        <x:v>0</x:v>
      </x:c>
      <x:c r="O320" s="10"/>
    </x:row>
    <x:row r="321" spans="1:15" s="7" customFormat="1" outlineLevel="2" x14ac:dyDescent="0.25">
      <x:c r="A321" s="4">
        <x:v>366</x:v>
      </x:c>
      <x:c r="B321" s="5" t="s">
        <x:v>66</x:v>
      </x:c>
      <x:c r="C321" s="6">
        <x:v>2883941.74</x:v>
      </x:c>
      <x:c r="D321" s="6">
        <x:v>2883941.74</x:v>
      </x:c>
      <x:c r="E321" s="6"/>
      <x:c r="F321" s="7">
        <x:v>60</x:v>
      </x:c>
      <x:c r="G321" s="6">
        <x:v>14.930831</x:v>
      </x:c>
      <x:c r="H321" s="8">
        <x:v>-0.5</x:v>
      </x:c>
      <x:c r="I321" s="6">
        <x:f t="shared" si="59"/>
        <x:v>3249421.4416553518</x:v>
      </x:c>
      <x:c r="J321" s="23">
        <x:v>1.0732014893307753</x:v>
      </x:c>
      <x:c r="K321" s="9">
        <x:f t="shared" si="60"/>
        <x:v>3487283.9306478784</x:v>
      </x:c>
      <x:c r="L321" s="6"/>
      <x:c r="M321" s="10">
        <x:f t="shared" si="61"/>
        <x:v>3487283.9306478789</x:v>
      </x:c>
      <x:c r="N321" s="10">
        <x:f t="shared" si="62"/>
        <x:v>0</x:v>
      </x:c>
      <x:c r="O321" s="10"/>
    </x:row>
    <x:row r="322" spans="1:15" s="7" customFormat="1" outlineLevel="2" x14ac:dyDescent="0.25">
      <x:c r="A322" s="4">
        <x:v>366</x:v>
      </x:c>
      <x:c r="B322" s="5" t="s">
        <x:v>67</x:v>
      </x:c>
      <x:c r="C322" s="6">
        <x:v>2727683.85</x:v>
      </x:c>
      <x:c r="D322" s="6">
        <x:v>2727683.85</x:v>
      </x:c>
      <x:c r="E322" s="6"/>
      <x:c r="F322" s="7">
        <x:v>60</x:v>
      </x:c>
      <x:c r="G322" s="6">
        <x:v>14.382849</x:v>
      </x:c>
      <x:c r="H322" s="8">
        <x:v>-0.5</x:v>
      </x:c>
      <x:c r="I322" s="6">
        <x:f t="shared" si="59"/>
        <x:v>3110729.151642784</x:v>
      </x:c>
      <x:c r="J322" s="23">
        <x:v>1.0732014893307753</x:v>
      </x:c>
      <x:c r="K322" s="9">
        <x:f t="shared" si="60"/>
        <x:v>3338439.158447695</x:v>
      </x:c>
      <x:c r="L322" s="6"/>
      <x:c r="M322" s="10">
        <x:f t="shared" si="61"/>
        <x:v>3338439.158447695</x:v>
      </x:c>
      <x:c r="N322" s="10">
        <x:f t="shared" si="62"/>
        <x:v>0</x:v>
      </x:c>
      <x:c r="O322" s="10"/>
    </x:row>
    <x:row r="323" spans="1:15" s="7" customFormat="1" outlineLevel="2" x14ac:dyDescent="0.25">
      <x:c r="A323" s="4">
        <x:v>366</x:v>
      </x:c>
      <x:c r="B323" s="5" t="s">
        <x:v>68</x:v>
      </x:c>
      <x:c r="C323" s="6">
        <x:v>1401625.11</x:v>
      </x:c>
      <x:c r="D323" s="6">
        <x:v>1401625.11</x:v>
      </x:c>
      <x:c r="E323" s="6"/>
      <x:c r="F323" s="7">
        <x:v>60</x:v>
      </x:c>
      <x:c r="G323" s="6">
        <x:v>13.849626000000001</x:v>
      </x:c>
      <x:c r="H323" s="8">
        <x:v>-0.5</x:v>
      </x:c>
      <x:c r="I323" s="6">
        <x:f t="shared" si="59"/>
        <x:v>1617138.0758572787</x:v>
      </x:c>
      <x:c r="J323" s="23">
        <x:v>1.0732014893307753</x:v>
      </x:c>
      <x:c r="K323" s="9">
        <x:f t="shared" si="60"/>
        <x:v>1735514.9914635357</x:v>
      </x:c>
      <x:c r="L323" s="6"/>
      <x:c r="M323" s="10">
        <x:f t="shared" si="61"/>
        <x:v>1735514.9914635357</x:v>
      </x:c>
      <x:c r="N323" s="10">
        <x:f t="shared" si="62"/>
        <x:v>0</x:v>
      </x:c>
      <x:c r="O323" s="10"/>
    </x:row>
    <x:row r="324" spans="1:15" s="7" customFormat="1" outlineLevel="2" x14ac:dyDescent="0.25">
      <x:c r="A324" s="4">
        <x:v>366</x:v>
      </x:c>
      <x:c r="B324" s="5" t="s">
        <x:v>69</x:v>
      </x:c>
      <x:c r="C324" s="6">
        <x:v>1934777.31</x:v>
      </x:c>
      <x:c r="D324" s="6">
        <x:v>1934777.31</x:v>
      </x:c>
      <x:c r="E324" s="6"/>
      <x:c r="F324" s="7">
        <x:v>60</x:v>
      </x:c>
      <x:c r="G324" s="6">
        <x:v>13.332444000000001</x:v>
      </x:c>
      <x:c r="H324" s="8">
        <x:v>-0.5</x:v>
      </x:c>
      <x:c r="I324" s="6">
        <x:f t="shared" si="59"/>
        <x:v>2257283.2115488588</x:v>
      </x:c>
      <x:c r="J324" s="23">
        <x:v>1.0732014893307753</x:v>
      </x:c>
      <x:c r="K324" s="9">
        <x:f t="shared" si="60"/>
        <x:v>2422519.704475591</x:v>
      </x:c>
      <x:c r="L324" s="6"/>
      <x:c r="M324" s="10">
        <x:f t="shared" si="61"/>
        <x:v>2422519.704475591</x:v>
      </x:c>
      <x:c r="N324" s="10">
        <x:f t="shared" si="62"/>
        <x:v>0</x:v>
      </x:c>
      <x:c r="O324" s="10"/>
    </x:row>
    <x:row r="325" spans="1:15" s="7" customFormat="1" outlineLevel="2" x14ac:dyDescent="0.25">
      <x:c r="A325" s="4">
        <x:v>366</x:v>
      </x:c>
      <x:c r="B325" s="5" t="s">
        <x:v>70</x:v>
      </x:c>
      <x:c r="C325" s="6">
        <x:v>737734.27</x:v>
      </x:c>
      <x:c r="D325" s="6">
        <x:v>737734.27</x:v>
      </x:c>
      <x:c r="E325" s="6"/>
      <x:c r="F325" s="7">
        <x:v>60</x:v>
      </x:c>
      <x:c r="G325" s="6">
        <x:v>12.831396</x:v>
      </x:c>
      <x:c r="H325" s="8">
        <x:v>-0.5</x:v>
      </x:c>
      <x:c r="I325" s="6">
        <x:f t="shared" si="59"/>
        <x:v>869947.39097147703</x:v>
      </x:c>
      <x:c r="J325" s="23">
        <x:v>1.0732014893307753</x:v>
      </x:c>
      <x:c r="K325" s="9">
        <x:f t="shared" si="60"/>
        <x:v>933628.8356300114</x:v>
      </x:c>
      <x:c r="L325" s="6"/>
      <x:c r="M325" s="10">
        <x:f t="shared" si="61"/>
        <x:v>933628.8356300114</x:v>
      </x:c>
      <x:c r="N325" s="10">
        <x:f t="shared" si="62"/>
        <x:v>0</x:v>
      </x:c>
      <x:c r="O325" s="10"/>
    </x:row>
    <x:row r="326" spans="1:15" s="7" customFormat="1" outlineLevel="2" x14ac:dyDescent="0.25">
      <x:c r="A326" s="4">
        <x:v>366</x:v>
      </x:c>
      <x:c r="B326" s="5" t="s">
        <x:v>71</x:v>
      </x:c>
      <x:c r="C326" s="6">
        <x:v>6215167.21</x:v>
      </x:c>
      <x:c r="D326" s="6">
        <x:v>6215167.21</x:v>
      </x:c>
      <x:c r="E326" s="6"/>
      <x:c r="F326" s="7">
        <x:v>60</x:v>
      </x:c>
      <x:c r="G326" s="6">
        <x:v>12.345637999999999</x:v>
      </x:c>
      <x:c r="H326" s="8">
        <x:v>-0.5</x:v>
      </x:c>
      <x:c r="I326" s="6">
        <x:f t="shared" si="59"/>
        <x:v>7404495.7028967505</x:v>
      </x:c>
      <x:c r="J326" s="23">
        <x:v>1.0732014893307753</x:v>
      </x:c>
      <x:c r="K326" s="9">
        <x:f t="shared" si="60"/>
        <x:v>7946515.8160921186</x:v>
      </x:c>
      <x:c r="L326" s="6"/>
      <x:c r="M326" s="10">
        <x:f t="shared" si="61"/>
        <x:v>7946515.8160921186</x:v>
      </x:c>
      <x:c r="N326" s="10">
        <x:f t="shared" si="62"/>
        <x:v>0</x:v>
      </x:c>
      <x:c r="O326" s="10"/>
    </x:row>
    <x:row r="327" spans="1:15" s="7" customFormat="1" outlineLevel="2" x14ac:dyDescent="0.25">
      <x:c r="A327" s="4">
        <x:v>366</x:v>
      </x:c>
      <x:c r="B327" s="5" t="s">
        <x:v>72</x:v>
      </x:c>
      <x:c r="C327" s="6">
        <x:v>2109.11</x:v>
      </x:c>
      <x:c r="D327" s="6">
        <x:v>2109.11</x:v>
      </x:c>
      <x:c r="E327" s="6"/>
      <x:c r="F327" s="7">
        <x:v>60</x:v>
      </x:c>
      <x:c r="G327" s="6">
        <x:v>11.876113</x:v>
      </x:c>
      <x:c r="H327" s="8">
        <x:v>-0.5</x:v>
      </x:c>
      <x:c r="I327" s="6">
        <x:f t="shared" si="59"/>
        <x:v>2537.4642827642497</x:v>
      </x:c>
      <x:c r="J327" s="23">
        <x:v>1.0732014893307753</x:v>
      </x:c>
      <x:c r="K327" s="9">
        <x:f t="shared" si="60"/>
        <x:v>2723.2104473862405</x:v>
      </x:c>
      <x:c r="L327" s="6"/>
      <x:c r="M327" s="10">
        <x:f t="shared" si="61"/>
        <x:v>2723.2104473862405</x:v>
      </x:c>
      <x:c r="N327" s="10">
        <x:f t="shared" si="62"/>
        <x:v>0</x:v>
      </x:c>
      <x:c r="O327" s="10"/>
    </x:row>
    <x:row r="328" spans="1:15" s="7" customFormat="1" outlineLevel="2" x14ac:dyDescent="0.25">
      <x:c r="A328" s="4">
        <x:v>366</x:v>
      </x:c>
      <x:c r="B328" s="5" t="s">
        <x:v>73</x:v>
      </x:c>
      <x:c r="C328" s="6">
        <x:v>46114.36</x:v>
      </x:c>
      <x:c r="D328" s="6">
        <x:v>46114.36</x:v>
      </x:c>
      <x:c r="E328" s="6"/>
      <x:c r="F328" s="7">
        <x:v>60</x:v>
      </x:c>
      <x:c r="G328" s="6">
        <x:v>11.422666</x:v>
      </x:c>
      <x:c r="H328" s="8">
        <x:v>-0.5</x:v>
      </x:c>
      <x:c r="I328" s="6">
        <x:f t="shared" si="59"/>
        <x:v>56002.816697906012</x:v>
      </x:c>
      <x:c r="J328" s="23">
        <x:v>1.0732014893307753</x:v>
      </x:c>
      <x:c r="K328" s="9">
        <x:f t="shared" si="60"/>
        <x:v>60102.306286911145</x:v>
      </x:c>
      <x:c r="L328" s="6"/>
      <x:c r="M328" s="10">
        <x:f t="shared" si="61"/>
        <x:v>60102.306286911145</x:v>
      </x:c>
      <x:c r="N328" s="10">
        <x:f t="shared" si="62"/>
        <x:v>0</x:v>
      </x:c>
      <x:c r="O328" s="10"/>
    </x:row>
    <x:row r="329" spans="1:15" s="7" customFormat="1" outlineLevel="2" x14ac:dyDescent="0.25">
      <x:c r="A329" s="4">
        <x:v>366</x:v>
      </x:c>
      <x:c r="B329" s="5" t="s">
        <x:v>74</x:v>
      </x:c>
      <x:c r="C329" s="6">
        <x:v>14957.81</x:v>
      </x:c>
      <x:c r="D329" s="6">
        <x:v>14957.81</x:v>
      </x:c>
      <x:c r="E329" s="6"/>
      <x:c r="F329" s="7">
        <x:v>60</x:v>
      </x:c>
      <x:c r="G329" s="6">
        <x:v>10.984548</x:v>
      </x:c>
      <x:c r="H329" s="8">
        <x:v>-0.5</x:v>
      </x:c>
      <x:c r="I329" s="6">
        <x:f t="shared" si="59"/>
        <x:v>18329.095452002999</x:v>
      </x:c>
      <x:c r="J329" s="23">
        <x:v>1.0732014893307753</x:v>
      </x:c>
      <x:c r="K329" s="9">
        <x:f t="shared" si="60"/>
        <x:v>19670.81253717556</x:v>
      </x:c>
      <x:c r="L329" s="6"/>
      <x:c r="M329" s="10">
        <x:f t="shared" si="61"/>
        <x:v>19670.81253717556</x:v>
      </x:c>
      <x:c r="N329" s="10">
        <x:f t="shared" si="62"/>
        <x:v>0</x:v>
      </x:c>
      <x:c r="O329" s="10"/>
    </x:row>
    <x:row r="330" spans="1:15" s="7" customFormat="1" outlineLevel="2" x14ac:dyDescent="0.25">
      <x:c r="A330" s="4">
        <x:v>366</x:v>
      </x:c>
      <x:c r="B330" s="5" t="s">
        <x:v>75</x:v>
      </x:c>
      <x:c r="C330" s="6">
        <x:v>9722.02</x:v>
      </x:c>
      <x:c r="D330" s="6">
        <x:v>9722.02</x:v>
      </x:c>
      <x:c r="E330" s="6"/>
      <x:c r="F330" s="7">
        <x:v>60</x:v>
      </x:c>
      <x:c r="G330" s="6">
        <x:v>10.56221</x:v>
      </x:c>
      <x:c r="H330" s="8">
        <x:v>-0.5</x:v>
      </x:c>
      <x:c r="I330" s="6">
        <x:f t="shared" si="59"/>
        <x:v>12015.879578395001</x:v>
      </x:c>
      <x:c r="J330" s="23">
        <x:v>1.0732014893307753</x:v>
      </x:c>
      <x:c r="K330" s="9">
        <x:f t="shared" si="60"/>
        <x:v>12895.459859152763</x:v>
      </x:c>
      <x:c r="L330" s="6"/>
      <x:c r="M330" s="10">
        <x:f t="shared" si="61"/>
        <x:v>12895.459859152763</x:v>
      </x:c>
      <x:c r="N330" s="10">
        <x:f t="shared" si="62"/>
        <x:v>0</x:v>
      </x:c>
      <x:c r="O330" s="10"/>
    </x:row>
    <x:row r="331" spans="1:15" s="7" customFormat="1" outlineLevel="2" x14ac:dyDescent="0.25">
      <x:c r="A331" s="4">
        <x:v>366</x:v>
      </x:c>
      <x:c r="B331" s="5" t="s">
        <x:v>76</x:v>
      </x:c>
      <x:c r="C331" s="6">
        <x:v>34964.120000000003</x:v>
      </x:c>
      <x:c r="D331" s="6">
        <x:v>34964.120000000003</x:v>
      </x:c>
      <x:c r="E331" s="6"/>
      <x:c r="F331" s="7">
        <x:v>60</x:v>
      </x:c>
      <x:c r="G331" s="6">
        <x:v>10.155196</x:v>
      </x:c>
      <x:c r="H331" s="8">
        <x:v>-0.5</x:v>
      </x:c>
      <x:c r="I331" s="6">
        <x:f t="shared" si="59"/>
        <x:v>43569.49271081201</x:v>
      </x:c>
      <x:c r="J331" s="23">
        <x:v>1.0732014893307753</x:v>
      </x:c>
      <x:c r="K331" s="9">
        <x:f t="shared" si="60"/>
        <x:v>46758.844466629809</x:v>
      </x:c>
      <x:c r="L331" s="6"/>
      <x:c r="M331" s="10">
        <x:f t="shared" si="61"/>
        <x:v>46758.844466629809</x:v>
      </x:c>
      <x:c r="N331" s="10">
        <x:f t="shared" si="62"/>
        <x:v>0</x:v>
      </x:c>
      <x:c r="O331" s="10"/>
    </x:row>
    <x:row r="332" spans="1:15" s="7" customFormat="1" outlineLevel="2" x14ac:dyDescent="0.25">
      <x:c r="A332" s="4">
        <x:v>366</x:v>
      </x:c>
      <x:c r="B332" s="5" t="s">
        <x:v>77</x:v>
      </x:c>
      <x:c r="C332" s="6">
        <x:v>15767.83</x:v>
      </x:c>
      <x:c r="D332" s="6">
        <x:v>15767.83</x:v>
      </x:c>
      <x:c r="E332" s="6"/>
      <x:c r="F332" s="7">
        <x:v>60</x:v>
      </x:c>
      <x:c r="G332" s="6">
        <x:v>9.7629929999999998</x:v>
      </x:c>
      <x:c r="H332" s="8">
        <x:v>-0.5</x:v>
      </x:c>
      <x:c r="I332" s="6">
        <x:f t="shared" si="59"/>
        <x:v>19803.214652120249</x:v>
      </x:c>
      <x:c r="J332" s="23">
        <x:v>1.0732014893307753</x:v>
      </x:c>
      <x:c r="K332" s="9">
        <x:f t="shared" si="60"/>
        <x:v>21252.83945819248</x:v>
      </x:c>
      <x:c r="L332" s="6"/>
      <x:c r="M332" s="10">
        <x:f t="shared" si="61"/>
        <x:v>21252.83945819248</x:v>
      </x:c>
      <x:c r="N332" s="10">
        <x:f t="shared" si="62"/>
        <x:v>0</x:v>
      </x:c>
      <x:c r="O332" s="10"/>
    </x:row>
    <x:row r="333" spans="1:15" s="7" customFormat="1" outlineLevel="2" x14ac:dyDescent="0.25">
      <x:c r="A333" s="4">
        <x:v>366</x:v>
      </x:c>
      <x:c r="B333" s="5" t="s">
        <x:v>78</x:v>
      </x:c>
      <x:c r="C333" s="6">
        <x:v>7068.63</x:v>
      </x:c>
      <x:c r="D333" s="6">
        <x:v>7068.63</x:v>
      </x:c>
      <x:c r="E333" s="6"/>
      <x:c r="F333" s="7">
        <x:v>60</x:v>
      </x:c>
      <x:c r="G333" s="6">
        <x:v>9.3853869999999997</x:v>
      </x:c>
      <x:c r="H333" s="8">
        <x:v>-0.5</x:v>
      </x:c>
      <x:c r="I333" s="6">
        <x:f t="shared" si="59"/>
        <x:v>8944.3992972547494</x:v>
      </x:c>
      <x:c r="J333" s="23">
        <x:v>1.0732014893307753</x:v>
      </x:c>
      <x:c r="K333" s="9">
        <x:f t="shared" si="60"/>
        <x:v>9599.1426469829366</x:v>
      </x:c>
      <x:c r="L333" s="6"/>
      <x:c r="M333" s="10">
        <x:f t="shared" si="61"/>
        <x:v>9599.1426469829366</x:v>
      </x:c>
      <x:c r="N333" s="10">
        <x:f t="shared" si="62"/>
        <x:v>0</x:v>
      </x:c>
      <x:c r="O333" s="10"/>
    </x:row>
    <x:row r="334" spans="1:15" s="7" customFormat="1" outlineLevel="2" x14ac:dyDescent="0.25">
      <x:c r="A334" s="4">
        <x:v>366</x:v>
      </x:c>
      <x:c r="B334" s="5" t="s">
        <x:v>79</x:v>
      </x:c>
      <x:c r="C334" s="6">
        <x:v>1227.23</x:v>
      </x:c>
      <x:c r="D334" s="6">
        <x:v>1227.23</x:v>
      </x:c>
      <x:c r="E334" s="6"/>
      <x:c r="F334" s="7">
        <x:v>60</x:v>
      </x:c>
      <x:c r="G334" s="6">
        <x:v>9.0215990000000001</x:v>
      </x:c>
      <x:c r="H334" s="8">
        <x:v>-0.5</x:v>
      </x:c>
      <x:c r="I334" s="6">
        <x:f t="shared" si="59"/>
        <x:v>1564.05557648075</x:v>
      </x:c>
      <x:c r="J334" s="23">
        <x:v>1.0732014893307753</x:v>
      </x:c>
      <x:c r="K334" s="9">
        <x:f t="shared" si="60"/>
        <x:v>1678.5467740752451</x:v>
      </x:c>
      <x:c r="L334" s="6"/>
      <x:c r="M334" s="10">
        <x:f t="shared" si="61"/>
        <x:v>1678.5467740752449</x:v>
      </x:c>
      <x:c r="N334" s="10">
        <x:f t="shared" si="62"/>
        <x:v>0</x:v>
      </x:c>
      <x:c r="O334" s="10"/>
    </x:row>
    <x:row r="335" spans="1:15" s="7" customFormat="1" outlineLevel="2" x14ac:dyDescent="0.25">
      <x:c r="A335" s="4">
        <x:v>366</x:v>
      </x:c>
      <x:c r="B335" s="5" t="s">
        <x:v>80</x:v>
      </x:c>
      <x:c r="C335" s="6">
        <x:v>585.16999999999996</x:v>
      </x:c>
      <x:c r="D335" s="6">
        <x:v>585.16999999999996</x:v>
      </x:c>
      <x:c r="E335" s="6"/>
      <x:c r="F335" s="7">
        <x:v>60</x:v>
      </x:c>
      <x:c r="G335" s="6">
        <x:v>8.6714929999999999</x:v>
      </x:c>
      <x:c r="H335" s="8">
        <x:v>-0.5</x:v>
      </x:c>
      <x:c r="I335" s="6">
        <x:f t="shared" si="59"/>
        <x:v>750.89756102974991</x:v>
      </x:c>
      <x:c r="J335" s="23">
        <x:v>1.0732014893307753</x:v>
      </x:c>
      <x:c r="K335" s="9">
        <x:f t="shared" si="60"/>
        <x:v>805.86438083197436</x:v>
      </x:c>
      <x:c r="L335" s="6"/>
      <x:c r="M335" s="10">
        <x:f t="shared" si="61"/>
        <x:v>805.86438083197424</x:v>
      </x:c>
      <x:c r="N335" s="10">
        <x:f t="shared" si="62"/>
        <x:v>0</x:v>
      </x:c>
      <x:c r="O335" s="10"/>
    </x:row>
    <x:row r="336" spans="1:15" s="7" customFormat="1" outlineLevel="2" x14ac:dyDescent="0.25">
      <x:c r="A336" s="4">
        <x:v>366</x:v>
      </x:c>
      <x:c r="B336" s="5" t="s">
        <x:v>81</x:v>
      </x:c>
      <x:c r="C336" s="6">
        <x:v>18344.509999999998</x:v>
      </x:c>
      <x:c r="D336" s="6">
        <x:v>18344.509999999998</x:v>
      </x:c>
      <x:c r="E336" s="6"/>
      <x:c r="F336" s="7">
        <x:v>60</x:v>
      </x:c>
      <x:c r="G336" s="6">
        <x:v>8.3340329999999998</x:v>
      </x:c>
      <x:c r="H336" s="8">
        <x:v>-0.5</x:v>
      </x:c>
      <x:c r="I336" s="6">
        <x:f t="shared" si="59"/>
        <x:v>23694.671207279251</x:v>
      </x:c>
      <x:c r="J336" s="23">
        <x:v>1.0732014893307753</x:v>
      </x:c>
      <x:c r="K336" s="9">
        <x:f t="shared" si="60"/>
        <x:v>25429.156428855131</x:v>
      </x:c>
      <x:c r="L336" s="6"/>
      <x:c r="M336" s="10">
        <x:f t="shared" si="61"/>
        <x:v>25429.156428855131</x:v>
      </x:c>
      <x:c r="N336" s="10">
        <x:f t="shared" si="62"/>
        <x:v>0</x:v>
      </x:c>
      <x:c r="O336" s="10"/>
    </x:row>
    <x:row r="337" spans="1:15" s="7" customFormat="1" outlineLevel="2" x14ac:dyDescent="0.25">
      <x:c r="A337" s="4">
        <x:v>366</x:v>
      </x:c>
      <x:c r="B337" s="5" t="s">
        <x:v>82</x:v>
      </x:c>
      <x:c r="C337" s="6">
        <x:v>25675.759999999998</x:v>
      </x:c>
      <x:c r="D337" s="6">
        <x:v>25675.759999999998</x:v>
      </x:c>
      <x:c r="E337" s="6"/>
      <x:c r="F337" s="7">
        <x:v>60</x:v>
      </x:c>
      <x:c r="G337" s="6">
        <x:v>8.0081199999999999</x:v>
      </x:c>
      <x:c r="H337" s="8">
        <x:v>-0.5</x:v>
      </x:c>
      <x:c r="I337" s="6">
        <x:f t="shared" ref="I337:I352" si="63">+C337*(1-H337)*(1-G337/F337)</x:f>
        <x:v>33373.275820720002</x:v>
      </x:c>
      <x:c r="J337" s="23">
        <x:v>1.0732014893307753</x:v>
      </x:c>
      <x:c r="K337" s="9">
        <x:f t="shared" ref="K337:K352" si="64">IF((C337*(1-H337)-I337*J337)&lt;0,C337*(1-H337),I337*J337)</x:f>
        <x:v>35816.249314643457</x:v>
      </x:c>
      <x:c r="L337" s="6"/>
      <x:c r="M337" s="10">
        <x:f t="shared" ref="M337:M352" si="65">+K337/D337*C337</x:f>
        <x:v>35816.249314643457</x:v>
      </x:c>
      <x:c r="N337" s="10">
        <x:f t="shared" ref="N337:N352" si="66">+E337/C337*K337</x:f>
        <x:v>0</x:v>
      </x:c>
      <x:c r="O337" s="10"/>
    </x:row>
    <x:row r="338" spans="1:15" s="7" customFormat="1" outlineLevel="2" x14ac:dyDescent="0.25">
      <x:c r="A338" s="4">
        <x:v>366</x:v>
      </x:c>
      <x:c r="B338" s="5" t="s">
        <x:v>83</x:v>
      </x:c>
      <x:c r="C338" s="6">
        <x:v>22874.76</x:v>
      </x:c>
      <x:c r="D338" s="6">
        <x:v>22874.76</x:v>
      </x:c>
      <x:c r="E338" s="6"/>
      <x:c r="F338" s="7">
        <x:v>60</x:v>
      </x:c>
      <x:c r="G338" s="6">
        <x:v>7.6941459999999999</x:v>
      </x:c>
      <x:c r="H338" s="8">
        <x:v>-0.5</x:v>
      </x:c>
      <x:c r="I338" s="6">
        <x:f t="shared" si="63"/>
        <x:v>29912.096421126</x:v>
      </x:c>
      <x:c r="J338" s="23">
        <x:v>1.0732014893307753</x:v>
      </x:c>
      <x:c r="K338" s="9">
        <x:f t="shared" si="64"/>
        <x:v>32101.706428158177</x:v>
      </x:c>
      <x:c r="L338" s="6"/>
      <x:c r="M338" s="10">
        <x:f t="shared" si="65"/>
        <x:v>32101.706428158177</x:v>
      </x:c>
      <x:c r="N338" s="10">
        <x:f t="shared" si="66"/>
        <x:v>0</x:v>
      </x:c>
      <x:c r="O338" s="10"/>
    </x:row>
    <x:row r="339" spans="1:15" s="7" customFormat="1" outlineLevel="2" x14ac:dyDescent="0.25">
      <x:c r="A339" s="4">
        <x:v>366</x:v>
      </x:c>
      <x:c r="B339" s="5" t="s">
        <x:v>84</x:v>
      </x:c>
      <x:c r="C339" s="6">
        <x:v>70646</x:v>
      </x:c>
      <x:c r="D339" s="6">
        <x:v>70646</x:v>
      </x:c>
      <x:c r="E339" s="6"/>
      <x:c r="F339" s="7">
        <x:v>60</x:v>
      </x:c>
      <x:c r="G339" s="6">
        <x:v>7.3901110000000001</x:v>
      </x:c>
      <x:c r="H339" s="8">
        <x:v>-0.5</x:v>
      </x:c>
      <x:c r="I339" s="6">
        <x:f t="shared" si="63"/>
        <x:v>92916.955457349992</x:v>
      </x:c>
      <x:c r="J339" s="23">
        <x:v>1.0732014893307753</x:v>
      </x:c>
      <x:c r="K339" s="9">
        <x:f t="shared" si="64"/>
        <x:v>99718.614980909319</x:v>
      </x:c>
      <x:c r="L339" s="6"/>
      <x:c r="M339" s="10">
        <x:f t="shared" si="65"/>
        <x:v>99718.614980909319</x:v>
      </x:c>
      <x:c r="N339" s="10">
        <x:f t="shared" si="66"/>
        <x:v>0</x:v>
      </x:c>
      <x:c r="O339" s="10"/>
    </x:row>
    <x:row r="340" spans="1:15" s="7" customFormat="1" outlineLevel="2" x14ac:dyDescent="0.25">
      <x:c r="A340" s="4">
        <x:v>366</x:v>
      </x:c>
      <x:c r="B340" s="5" t="s">
        <x:v>85</x:v>
      </x:c>
      <x:c r="C340" s="6">
        <x:v>1726.74</x:v>
      </x:c>
      <x:c r="D340" s="6">
        <x:v>1726.74</x:v>
      </x:c>
      <x:c r="E340" s="6"/>
      <x:c r="F340" s="7">
        <x:v>60</x:v>
      </x:c>
      <x:c r="G340" s="6">
        <x:v>7.0946350000000002</x:v>
      </x:c>
      <x:c r="H340" s="8">
        <x:v>-0.5</x:v>
      </x:c>
      <x:c r="I340" s="6">
        <x:f t="shared" si="63"/>
        <x:v>2283.8452490025002</x:v>
      </x:c>
      <x:c r="J340" s="23">
        <x:v>1.0732014893307753</x:v>
      </x:c>
      <x:c r="K340" s="9">
        <x:f t="shared" si="64"/>
        <x:v>2451.0261226304988</x:v>
      </x:c>
      <x:c r="L340" s="6"/>
      <x:c r="M340" s="10">
        <x:f t="shared" si="65"/>
        <x:v>2451.0261226304988</x:v>
      </x:c>
      <x:c r="N340" s="10">
        <x:f t="shared" si="66"/>
        <x:v>0</x:v>
      </x:c>
      <x:c r="O340" s="10"/>
    </x:row>
    <x:row r="341" spans="1:15" s="7" customFormat="1" outlineLevel="2" x14ac:dyDescent="0.25">
      <x:c r="A341" s="4">
        <x:v>366</x:v>
      </x:c>
      <x:c r="B341" s="5" t="s">
        <x:v>86</x:v>
      </x:c>
      <x:c r="C341" s="6">
        <x:v>5487.16</x:v>
      </x:c>
      <x:c r="D341" s="6">
        <x:v>5487.16</x:v>
      </x:c>
      <x:c r="E341" s="6"/>
      <x:c r="F341" s="7">
        <x:v>60</x:v>
      </x:c>
      <x:c r="G341" s="6">
        <x:v>6.8087869999999997</x:v>
      </x:c>
      <x:c r="H341" s="8">
        <x:v>-0.5</x:v>
      </x:c>
      <x:c r="I341" s="6">
        <x:f t="shared" si="63"/>
        <x:v>7296.7174081270005</x:v>
      </x:c>
      <x:c r="J341" s="23">
        <x:v>1.0732014893307753</x:v>
      </x:c>
      <x:c r="K341" s="9">
        <x:f t="shared" si="64"/>
        <x:v>7830.8479896276913</x:v>
      </x:c>
      <x:c r="L341" s="6"/>
      <x:c r="M341" s="10">
        <x:f t="shared" si="65"/>
        <x:v>7830.8479896276913</x:v>
      </x:c>
      <x:c r="N341" s="10">
        <x:f t="shared" si="66"/>
        <x:v>0</x:v>
      </x:c>
      <x:c r="O341" s="10"/>
    </x:row>
    <x:row r="342" spans="1:15" s="7" customFormat="1" outlineLevel="2" x14ac:dyDescent="0.25">
      <x:c r="A342" s="4">
        <x:v>366</x:v>
      </x:c>
      <x:c r="B342" s="5" t="s">
        <x:v>87</x:v>
      </x:c>
      <x:c r="C342" s="6">
        <x:v>40738.089999999997</x:v>
      </x:c>
      <x:c r="D342" s="6">
        <x:v>40738.089999999997</x:v>
      </x:c>
      <x:c r="E342" s="6"/>
      <x:c r="F342" s="7">
        <x:v>60</x:v>
      </x:c>
      <x:c r="G342" s="6">
        <x:v>6.5295639999999997</x:v>
      </x:c>
      <x:c r="H342" s="8">
        <x:v>-0.5</x:v>
      </x:c>
      <x:c r="I342" s="6">
        <x:f t="shared" si="63"/>
        <x:v>54457.08585268099</x:v>
      </x:c>
      <x:c r="J342" s="23">
        <x:v>1.0732014893307753</x:v>
      </x:c>
      <x:c r="K342" s="9">
        <x:f t="shared" si="64"/>
        <x:v>58443.425641711132</x:v>
      </x:c>
      <x:c r="L342" s="6"/>
      <x:c r="M342" s="10">
        <x:f t="shared" si="65"/>
        <x:v>58443.425641711132</x:v>
      </x:c>
      <x:c r="N342" s="10">
        <x:f t="shared" si="66"/>
        <x:v>0</x:v>
      </x:c>
      <x:c r="O342" s="10"/>
    </x:row>
    <x:row r="343" spans="1:15" s="7" customFormat="1" outlineLevel="2" x14ac:dyDescent="0.25">
      <x:c r="A343" s="4">
        <x:v>366</x:v>
      </x:c>
      <x:c r="B343" s="5" t="s">
        <x:v>88</x:v>
      </x:c>
      <x:c r="C343" s="6">
        <x:v>32442.87</x:v>
      </x:c>
      <x:c r="D343" s="6">
        <x:v>32442.87</x:v>
      </x:c>
      <x:c r="E343" s="6"/>
      <x:c r="F343" s="7">
        <x:v>60</x:v>
      </x:c>
      <x:c r="G343" s="6">
        <x:v>6.2554230000000004</x:v>
      </x:c>
      <x:c r="H343" s="8">
        <x:v>-0.5</x:v>
      </x:c>
      <x:c r="I343" s="6">
        <x:f t="shared" si="63"/>
        <x:v>43590.708120399751</x:v>
      </x:c>
      <x:c r="J343" s="23">
        <x:v>1.0732014893307753</x:v>
      </x:c>
      <x:c r="K343" s="9">
        <x:f t="shared" si="64"/>
        <x:v>46781.612875796134</x:v>
      </x:c>
      <x:c r="L343" s="6"/>
      <x:c r="M343" s="10">
        <x:f t="shared" si="65"/>
        <x:v>46781.612875796134</x:v>
      </x:c>
      <x:c r="N343" s="10">
        <x:f t="shared" si="66"/>
        <x:v>0</x:v>
      </x:c>
      <x:c r="O343" s="10"/>
    </x:row>
    <x:row r="344" spans="1:15" s="7" customFormat="1" outlineLevel="2" x14ac:dyDescent="0.25">
      <x:c r="A344" s="4">
        <x:v>366</x:v>
      </x:c>
      <x:c r="B344" s="5" t="s">
        <x:v>89</x:v>
      </x:c>
      <x:c r="C344" s="6">
        <x:v>4997.5</x:v>
      </x:c>
      <x:c r="D344" s="6">
        <x:v>4997.5</x:v>
      </x:c>
      <x:c r="E344" s="6"/>
      <x:c r="F344" s="7">
        <x:v>60</x:v>
      </x:c>
      <x:c r="G344" s="6">
        <x:v>5.9882749999999998</x:v>
      </x:c>
      <x:c r="H344" s="8">
        <x:v>-0.5</x:v>
      </x:c>
      <x:c r="I344" s="6">
        <x:f t="shared" si="63"/>
        <x:v>6748.0898921875005</x:v>
      </x:c>
      <x:c r="J344" s="23">
        <x:v>1.0732014893307753</x:v>
      </x:c>
      <x:c r="K344" s="9">
        <x:f t="shared" si="64"/>
        <x:v>7242.0601224335769</x:v>
      </x:c>
      <x:c r="L344" s="6"/>
      <x:c r="M344" s="10">
        <x:f t="shared" si="65"/>
        <x:v>7242.0601224335769</x:v>
      </x:c>
      <x:c r="N344" s="10">
        <x:f t="shared" si="66"/>
        <x:v>0</x:v>
      </x:c>
      <x:c r="O344" s="10"/>
    </x:row>
    <x:row r="345" spans="1:15" s="7" customFormat="1" outlineLevel="2" x14ac:dyDescent="0.25">
      <x:c r="A345" s="4">
        <x:v>366</x:v>
      </x:c>
      <x:c r="B345" s="5" t="s">
        <x:v>90</x:v>
      </x:c>
      <x:c r="C345" s="6">
        <x:v>575.98</x:v>
      </x:c>
      <x:c r="D345" s="6">
        <x:v>575.98</x:v>
      </x:c>
      <x:c r="E345" s="6"/>
      <x:c r="F345" s="7">
        <x:v>60</x:v>
      </x:c>
      <x:c r="G345" s="6">
        <x:v>5.7242470000000001</x:v>
      </x:c>
      <x:c r="H345" s="8">
        <x:v>-0.5</x:v>
      </x:c>
      <x:c r="I345" s="6">
        <x:f t="shared" si="63"/>
        <x:v>781.54370532350003</x:v>
      </x:c>
      <x:c r="J345" s="23">
        <x:v>1.0732014893307753</x:v>
      </x:c>
      <x:c r="K345" s="9">
        <x:f t="shared" si="64"/>
        <x:v>838.75386853027283</x:v>
      </x:c>
      <x:c r="L345" s="6"/>
      <x:c r="M345" s="10">
        <x:f t="shared" si="65"/>
        <x:v>838.75386853027283</x:v>
      </x:c>
      <x:c r="N345" s="10">
        <x:f t="shared" si="66"/>
        <x:v>0</x:v>
      </x:c>
      <x:c r="O345" s="10"/>
    </x:row>
    <x:row r="346" spans="1:15" s="7" customFormat="1" outlineLevel="2" x14ac:dyDescent="0.25">
      <x:c r="A346" s="4">
        <x:v>366</x:v>
      </x:c>
      <x:c r="B346" s="5" t="s">
        <x:v>91</x:v>
      </x:c>
      <x:c r="C346" s="6">
        <x:v>885.49</x:v>
      </x:c>
      <x:c r="D346" s="6">
        <x:v>885.49</x:v>
      </x:c>
      <x:c r="E346" s="6"/>
      <x:c r="F346" s="7">
        <x:v>60</x:v>
      </x:c>
      <x:c r="G346" s="6">
        <x:v>5.4618580000000003</x:v>
      </x:c>
      <x:c r="H346" s="8">
        <x:v>-0.5</x:v>
      </x:c>
      <x:c r="I346" s="6">
        <x:f t="shared" si="63"/>
        <x:v>1207.3244839895001</x:v>
      </x:c>
      <x:c r="J346" s="23">
        <x:v>1.0732014893307753</x:v>
      </x:c>
      <x:c r="K346" s="9">
        <x:f t="shared" si="64"/>
        <x:v>1295.7024343230412</x:v>
      </x:c>
      <x:c r="L346" s="6"/>
      <x:c r="M346" s="10">
        <x:f t="shared" si="65"/>
        <x:v>1295.7024343230412</x:v>
      </x:c>
      <x:c r="N346" s="10">
        <x:f t="shared" si="66"/>
        <x:v>0</x:v>
      </x:c>
      <x:c r="O346" s="10"/>
    </x:row>
    <x:row r="347" spans="1:15" s="7" customFormat="1" outlineLevel="2" x14ac:dyDescent="0.25">
      <x:c r="A347" s="4">
        <x:v>366</x:v>
      </x:c>
      <x:c r="B347" s="5" t="s">
        <x:v>92</x:v>
      </x:c>
      <x:c r="C347" s="6">
        <x:v>835.35</x:v>
      </x:c>
      <x:c r="D347" s="6">
        <x:v>835.35</x:v>
      </x:c>
      <x:c r="E347" s="6"/>
      <x:c r="F347" s="7">
        <x:v>60</x:v>
      </x:c>
      <x:c r="G347" s="6">
        <x:v>5.2040870000000004</x:v>
      </x:c>
      <x:c r="H347" s="8">
        <x:v>-0.5</x:v>
      </x:c>
      <x:c r="I347" s="6">
        <x:f t="shared" si="63"/>
        <x:v>1144.34414811375</x:v>
      </x:c>
      <x:c r="J347" s="23">
        <x:v>1.0732014893307753</x:v>
      </x:c>
      <x:c r="K347" s="9">
        <x:f t="shared" si="64"/>
        <x:v>1228.1118440626337</x:v>
      </x:c>
      <x:c r="L347" s="6"/>
      <x:c r="M347" s="10">
        <x:f t="shared" si="65"/>
        <x:v>1228.1118440626337</x:v>
      </x:c>
      <x:c r="N347" s="10">
        <x:f t="shared" si="66"/>
        <x:v>0</x:v>
      </x:c>
      <x:c r="O347" s="10"/>
    </x:row>
    <x:row r="348" spans="1:15" s="7" customFormat="1" outlineLevel="2" x14ac:dyDescent="0.25">
      <x:c r="A348" s="4">
        <x:v>366</x:v>
      </x:c>
      <x:c r="B348" s="5" t="s">
        <x:v>104</x:v>
      </x:c>
      <x:c r="C348" s="6">
        <x:v>1404.52</x:v>
      </x:c>
      <x:c r="D348" s="6">
        <x:v>1404.52</x:v>
      </x:c>
      <x:c r="E348" s="6"/>
      <x:c r="F348" s="7">
        <x:v>60</x:v>
      </x:c>
      <x:c r="G348" s="6">
        <x:v>2.156714</x:v>
      </x:c>
      <x:c r="H348" s="8">
        <x:v>-0.5</x:v>
      </x:c>
      <x:c r="I348" s="6">
        <x:f t="shared" si="63"/>
        <x:v>2031.0513013179998</x:v>
      </x:c>
      <x:c r="J348" s="23">
        <x:v>1.0732014893307753</x:v>
      </x:c>
      <x:c r="K348" s="9">
        <x:f t="shared" si="64"/>
        <x:v>2106.7799999999997</x:v>
      </x:c>
      <x:c r="L348" s="6"/>
      <x:c r="M348" s="10">
        <x:f t="shared" si="65"/>
        <x:v>2106.7799999999997</x:v>
      </x:c>
      <x:c r="N348" s="10">
        <x:f t="shared" si="66"/>
        <x:v>0</x:v>
      </x:c>
      <x:c r="O348" s="10"/>
    </x:row>
    <x:row r="349" spans="1:15" s="7" customFormat="1" outlineLevel="2" x14ac:dyDescent="0.25">
      <x:c r="A349" s="4">
        <x:v>366</x:v>
      </x:c>
      <x:c r="B349" s="5" t="s">
        <x:v>106</x:v>
      </x:c>
      <x:c r="C349" s="6">
        <x:v>829150.61</x:v>
      </x:c>
      <x:c r="D349" s="6">
        <x:v>829150.61</x:v>
      </x:c>
      <x:c r="E349" s="6"/>
      <x:c r="F349" s="7">
        <x:v>60</x:v>
      </x:c>
      <x:c r="G349" s="6">
        <x:v>1.675554</x:v>
      </x:c>
      <x:c r="H349" s="8">
        <x:v>-0.5</x:v>
      </x:c>
      <x:c r="I349" s="6">
        <x:f t="shared" si="63"/>
        <x:v>1208993.7494703017</x:v>
      </x:c>
      <x:c r="J349" s="23">
        <x:v>1.0732014893307753</x:v>
      </x:c>
      <x:c r="K349" s="9">
        <x:f t="shared" si="64"/>
        <x:v>1243725.915</x:v>
      </x:c>
      <x:c r="L349" s="6"/>
      <x:c r="M349" s="10">
        <x:f t="shared" si="65"/>
        <x:v>1243725.915</x:v>
      </x:c>
      <x:c r="N349" s="10">
        <x:f t="shared" si="66"/>
        <x:v>0</x:v>
      </x:c>
      <x:c r="O349" s="10"/>
    </x:row>
    <x:row r="350" spans="1:15" s="7" customFormat="1" outlineLevel="2" x14ac:dyDescent="0.25">
      <x:c r="A350" s="4">
        <x:v>366</x:v>
      </x:c>
      <x:c r="B350" s="5" t="s">
        <x:v>110</x:v>
      </x:c>
      <x:c r="C350" s="6">
        <x:v>-226.39</x:v>
      </x:c>
      <x:c r="D350" s="6">
        <x:v>-226.39</x:v>
      </x:c>
      <x:c r="E350" s="6"/>
      <x:c r="F350" s="7">
        <x:v>60</x:v>
      </x:c>
      <x:c r="G350" s="6">
        <x:v>0</x:v>
      </x:c>
      <x:c r="H350" s="8">
        <x:v>-0.5</x:v>
      </x:c>
      <x:c r="I350" s="6">
        <x:f t="shared" si="63"/>
        <x:v>-339.58499999999998</x:v>
      </x:c>
      <x:c r="J350" s="23">
        <x:v>1.0732014893307753</x:v>
      </x:c>
      <x:c r="K350" s="9">
        <x:f t="shared" si="64"/>
        <x:v>-364.4431277543913</x:v>
      </x:c>
      <x:c r="L350" s="6"/>
      <x:c r="M350" s="10">
        <x:f t="shared" si="65"/>
        <x:v>-364.4431277543913</x:v>
      </x:c>
      <x:c r="N350" s="10">
        <x:f t="shared" si="66"/>
        <x:v>0</x:v>
      </x:c>
      <x:c r="O350" s="10"/>
    </x:row>
    <x:row r="351" spans="1:15" s="7" customFormat="1" outlineLevel="2" x14ac:dyDescent="0.25">
      <x:c r="A351" s="4">
        <x:v>366</x:v>
      </x:c>
      <x:c r="B351" s="5" t="s">
        <x:v>115</x:v>
      </x:c>
      <x:c r="C351" s="6">
        <x:v>30865.97</x:v>
      </x:c>
      <x:c r="D351" s="6">
        <x:v>30865.97</x:v>
      </x:c>
      <x:c r="E351" s="6"/>
      <x:c r="F351" s="7">
        <x:v>60</x:v>
      </x:c>
      <x:c r="G351" s="6">
        <x:v>0</x:v>
      </x:c>
      <x:c r="H351" s="8">
        <x:v>-0.5</x:v>
      </x:c>
      <x:c r="I351" s="6">
        <x:f t="shared" si="63"/>
        <x:v>46298.955000000002</x:v>
      </x:c>
      <x:c r="J351" s="23">
        <x:v>1.0732014893307753</x:v>
      </x:c>
      <x:c r="K351" s="9">
        <x:f t="shared" si="64"/>
        <x:v>46298.955000000002</x:v>
      </x:c>
      <x:c r="L351" s="6"/>
      <x:c r="M351" s="10">
        <x:f t="shared" si="65"/>
        <x:v>46298.955000000002</x:v>
      </x:c>
      <x:c r="N351" s="10">
        <x:f t="shared" si="66"/>
        <x:v>0</x:v>
      </x:c>
      <x:c r="O351" s="10"/>
    </x:row>
    <x:row r="352" spans="1:15" s="7" customFormat="1" outlineLevel="2" x14ac:dyDescent="0.25">
      <x:c r="A352" s="4">
        <x:v>366</x:v>
      </x:c>
      <x:c r="B352" s="5" t="s">
        <x:v>129</x:v>
      </x:c>
      <x:c r="C352" s="6">
        <x:v>21280</x:v>
      </x:c>
      <x:c r="D352" s="6">
        <x:v>21280</x:v>
      </x:c>
      <x:c r="E352" s="6"/>
      <x:c r="F352" s="7">
        <x:v>60</x:v>
      </x:c>
      <x:c r="G352" s="6">
        <x:v>0</x:v>
      </x:c>
      <x:c r="H352" s="8">
        <x:v>-0.5</x:v>
      </x:c>
      <x:c r="I352" s="6">
        <x:f t="shared" si="63"/>
        <x:v>31920</x:v>
      </x:c>
      <x:c r="J352" s="23">
        <x:v>1.0732014893307753</x:v>
      </x:c>
      <x:c r="K352" s="9">
        <x:f t="shared" si="64"/>
        <x:v>31920</x:v>
      </x:c>
      <x:c r="L352" s="6"/>
      <x:c r="M352" s="10">
        <x:f t="shared" si="65"/>
        <x:v>31920</x:v>
      </x:c>
      <x:c r="N352" s="10">
        <x:f t="shared" si="66"/>
        <x:v>0</x:v>
      </x:c>
      <x:c r="O352" s="10"/>
    </x:row>
    <x:row r="353" spans="1:15" s="7" customFormat="1" outlineLevel="1" x14ac:dyDescent="0.25">
      <x:c r="A353" s="11" t="s">
        <x:v>5</x:v>
      </x:c>
      <x:c r="B353" s="5"/>
      <x:c r="C353" s="6">
        <x:f>SUBTOTAL(9,C267:C352)</x:f>
        <x:v>1637322838.089999</x:v>
      </x:c>
      <x:c r="D353" s="6"/>
      <x:c r="E353" s="6"/>
      <x:c r="G353" s="6"/>
      <x:c r="H353" s="8"/>
      <x:c r="I353" s="6">
        <x:f>SUBTOTAL(9,I267:I352)</x:f>
        <x:v>512765470.36987925</x:v>
      </x:c>
      <x:c r="J353" s="23">
        <x:v>1.0732014893307753</x:v>
      </x:c>
      <x:c r="K353" s="6">
        <x:f>SUBTOTAL(9,K267:K352)</x:f>
        <x:v>550241099.80954576</x:v>
      </x:c>
      <x:c r="L353" s="6"/>
      <x:c r="M353" s="6">
        <x:f>SUBTOTAL(9,K267:K352)</x:f>
        <x:v>550241099.80954576</x:v>
      </x:c>
      <x:c r="N353" s="6"/>
      <x:c r="O353" s="10"/>
    </x:row>
    <x:row r="354" spans="1:15" s="7" customFormat="1" outlineLevel="2" x14ac:dyDescent="0.25">
      <x:c r="A354" s="4">
        <x:v>367</x:v>
      </x:c>
      <x:c r="B354" s="5" t="s">
        <x:v>23</x:v>
      </x:c>
      <x:c r="C354" s="6">
        <x:v>265822920.81</x:v>
      </x:c>
      <x:c r="D354" s="6">
        <x:v>265822920.81</x:v>
      </x:c>
      <x:c r="E354" s="6"/>
      <x:c r="F354" s="7">
        <x:v>51</x:v>
      </x:c>
      <x:c r="G354" s="6">
        <x:v>50.689295000000001</x:v>
      </x:c>
      <x:c r="H354" s="8">
        <x:v>-0.3</x:v>
      </x:c>
      <x:c r="I354" s="6">
        <x:f t="shared" ref="I354:I391" si="67">+C354*(1-H354)*(1-G354/F354)</x:f>
        <x:v>2105299.2900657202</x:v>
      </x:c>
      <x:c r="J354" s="23">
        <x:v>1.0730906994608425</x:v>
      </x:c>
      <x:c r="K354" s="9">
        <x:f t="shared" ref="K354:K391" si="68">IF((C354*(1-H354)-I354*J354)&lt;0,C354*(1-H354),I354*J354)</x:f>
        <x:v>2259177.0877510388</x:v>
      </x:c>
      <x:c r="L354" s="6"/>
      <x:c r="M354" s="10">
        <x:f t="shared" ref="M354:M391" si="69">+K354/D354*C354</x:f>
        <x:v>2259177.0877510388</x:v>
      </x:c>
      <x:c r="N354" s="10">
        <x:f t="shared" ref="N354:N391" si="70">+E354/C354*K354</x:f>
        <x:v>0</x:v>
      </x:c>
      <x:c r="O354" s="10"/>
    </x:row>
    <x:row r="355" spans="1:15" s="7" customFormat="1" outlineLevel="2" x14ac:dyDescent="0.25">
      <x:c r="A355" s="4">
        <x:v>367</x:v>
      </x:c>
      <x:c r="B355" s="5" t="s">
        <x:v>24</x:v>
      </x:c>
      <x:c r="C355" s="6">
        <x:v>218194064.43000001</x:v>
      </x:c>
      <x:c r="D355" s="6">
        <x:v>218194064.43000001</x:v>
      </x:c>
      <x:c r="E355" s="6"/>
      <x:c r="F355" s="7">
        <x:v>51</x:v>
      </x:c>
      <x:c r="G355" s="6">
        <x:v>50.069197000000003</x:v>
      </x:c>
      <x:c r="H355" s="8">
        <x:v>-0.3</x:v>
      </x:c>
      <x:c r="I355" s="6">
        <x:f t="shared" si="67"/>
        <x:v>5176948.9545044787</x:v>
      </x:c>
      <x:c r="J355" s="23">
        <x:v>1.0730906994608425</x:v>
      </x:c>
      <x:c r="K355" s="9">
        <x:f t="shared" si="68"/>
        <x:v>5555335.7746622879</x:v>
      </x:c>
      <x:c r="L355" s="6"/>
      <x:c r="M355" s="10">
        <x:f t="shared" si="69"/>
        <x:v>5555335.7746622879</x:v>
      </x:c>
      <x:c r="N355" s="10">
        <x:f t="shared" si="70"/>
        <x:v>0</x:v>
      </x:c>
      <x:c r="O355" s="10"/>
    </x:row>
    <x:row r="356" spans="1:15" s="7" customFormat="1" outlineLevel="2" x14ac:dyDescent="0.25">
      <x:c r="A356" s="4">
        <x:v>367</x:v>
      </x:c>
      <x:c r="B356" s="5" t="s">
        <x:v>25</x:v>
      </x:c>
      <x:c r="C356" s="6">
        <x:v>202522531.36000001</x:v>
      </x:c>
      <x:c r="D356" s="6">
        <x:v>202522531.36000001</x:v>
      </x:c>
      <x:c r="E356" s="6"/>
      <x:c r="F356" s="7">
        <x:v>51</x:v>
      </x:c>
      <x:c r="G356" s="6">
        <x:v>49.450828999999999</x:v>
      </x:c>
      <x:c r="H356" s="8">
        <x:v>-0.3</x:v>
      </x:c>
      <x:c r="I356" s="6">
        <x:f t="shared" ref="I356:I361" si="71">+C356*(1-H356)*(1-G356/F356)</x:f>
        <x:v>7997345.9246735983</x:v>
      </x:c>
      <x:c r="J356" s="23">
        <x:v>1.0730906994608425</x:v>
      </x:c>
      <x:c r="K356" s="9">
        <x:f t="shared" ref="K356:K361" si="72">IF((C356*(1-H356)-I356*J356)&lt;0,C356*(1-H356),I356*J356)</x:f>
        <x:v>8581877.5321383104</x:v>
      </x:c>
      <x:c r="L356" s="6"/>
      <x:c r="M356" s="10">
        <x:f t="shared" ref="M356:M361" si="73">+K356/D356*C356</x:f>
        <x:v>8581877.5321383104</x:v>
      </x:c>
      <x:c r="N356" s="10">
        <x:f t="shared" ref="N356:N361" si="74">+E356/C356*K356</x:f>
        <x:v>0</x:v>
      </x:c>
      <x:c r="O356" s="10"/>
    </x:row>
    <x:row r="357" spans="1:15" s="7" customFormat="1" outlineLevel="2" x14ac:dyDescent="0.25">
      <x:c r="A357" s="4">
        <x:v>367</x:v>
      </x:c>
      <x:c r="B357" s="5" t="s">
        <x:v>26</x:v>
      </x:c>
      <x:c r="C357" s="6">
        <x:v>186811034.19</x:v>
      </x:c>
      <x:c r="D357" s="6">
        <x:v>186811034.19</x:v>
      </x:c>
      <x:c r="E357" s="6"/>
      <x:c r="F357" s="7">
        <x:v>51</x:v>
      </x:c>
      <x:c r="G357" s="6">
        <x:v>48.834167999999998</x:v>
      </x:c>
      <x:c r="H357" s="8">
        <x:v>-0.3</x:v>
      </x:c>
      <x:c r="I357" s="6">
        <x:f t="shared" si="71"/>
        <x:v>10313366.873379113</x:v>
      </x:c>
      <x:c r="J357" s="23">
        <x:v>1.0730906994608425</x:v>
      </x:c>
      <x:c r="K357" s="9">
        <x:f t="shared" si="72"/>
        <x:v>11067178.071950674</x:v>
      </x:c>
      <x:c r="L357" s="6"/>
      <x:c r="M357" s="10">
        <x:f t="shared" si="73"/>
        <x:v>11067178.071950674</x:v>
      </x:c>
      <x:c r="N357" s="10">
        <x:f t="shared" si="74"/>
        <x:v>0</x:v>
      </x:c>
      <x:c r="O357" s="10"/>
    </x:row>
    <x:row r="358" spans="1:15" s="7" customFormat="1" outlineLevel="2" x14ac:dyDescent="0.25">
      <x:c r="A358" s="4">
        <x:v>367</x:v>
      </x:c>
      <x:c r="B358" s="5" t="s">
        <x:v>117</x:v>
      </x:c>
      <x:c r="C358" s="6">
        <x:v>178809379.34</x:v>
      </x:c>
      <x:c r="D358" s="6">
        <x:v>178809379.34</x:v>
      </x:c>
      <x:c r="E358" s="6"/>
      <x:c r="F358" s="7">
        <x:v>51</x:v>
      </x:c>
      <x:c r="G358" s="6">
        <x:v>48.219183999999998</x:v>
      </x:c>
      <x:c r="H358" s="8">
        <x:v>-0.3</x:v>
      </x:c>
      <x:c r="I358" s="6">
        <x:f t="shared" si="71"/>
        <x:v>12674642.704399308</x:v>
      </x:c>
      <x:c r="J358" s="23">
        <x:v>1.0730906994608425</x:v>
      </x:c>
      <x:c r="K358" s="9">
        <x:f t="shared" si="72"/>
        <x:v>13601041.205080118</x:v>
      </x:c>
      <x:c r="L358" s="6"/>
      <x:c r="M358" s="10">
        <x:f t="shared" si="73"/>
        <x:v>13601041.205080118</x:v>
      </x:c>
      <x:c r="N358" s="10">
        <x:f t="shared" si="74"/>
        <x:v>0</x:v>
      </x:c>
      <x:c r="O358" s="10"/>
    </x:row>
    <x:row r="359" spans="1:15" s="7" customFormat="1" outlineLevel="2" x14ac:dyDescent="0.25">
      <x:c r="A359" s="4">
        <x:v>367</x:v>
      </x:c>
      <x:c r="B359" s="5" t="s">
        <x:v>27</x:v>
      </x:c>
      <x:c r="C359" s="6">
        <x:v>170557514.97999999</x:v>
      </x:c>
      <x:c r="D359" s="6">
        <x:v>170557514.97999999</x:v>
      </x:c>
      <x:c r="E359" s="6"/>
      <x:c r="F359" s="7">
        <x:v>51</x:v>
      </x:c>
      <x:c r="G359" s="6">
        <x:v>47.605846999999997</x:v>
      </x:c>
      <x:c r="H359" s="8">
        <x:v>-0.3</x:v>
      </x:c>
      <x:c r="I359" s="6">
        <x:f t="shared" si="71"/>
        <x:v>14756231.205578158</x:v>
      </x:c>
      <x:c r="J359" s="23">
        <x:v>1.0730906994608425</x:v>
      </x:c>
      <x:c r="K359" s="9">
        <x:f t="shared" si="72"/>
        <x:v>15834774.465799775</x:v>
      </x:c>
      <x:c r="L359" s="6"/>
      <x:c r="M359" s="10">
        <x:f t="shared" si="73"/>
        <x:v>15834774.465799775</x:v>
      </x:c>
      <x:c r="N359" s="10">
        <x:f t="shared" si="74"/>
        <x:v>0</x:v>
      </x:c>
      <x:c r="O359" s="10"/>
    </x:row>
    <x:row r="360" spans="1:15" s="7" customFormat="1" outlineLevel="2" x14ac:dyDescent="0.25">
      <x:c r="A360" s="4">
        <x:v>367</x:v>
      </x:c>
      <x:c r="B360" s="5" t="s">
        <x:v>28</x:v>
      </x:c>
      <x:c r="C360" s="6">
        <x:v>141737892.02000001</x:v>
      </x:c>
      <x:c r="D360" s="6">
        <x:v>141737892.02000001</x:v>
      </x:c>
      <x:c r="E360" s="6"/>
      <x:c r="F360" s="7">
        <x:v>51</x:v>
      </x:c>
      <x:c r="G360" s="6">
        <x:v>46.994129000000001</x:v>
      </x:c>
      <x:c r="H360" s="8">
        <x:v>-0.3</x:v>
      </x:c>
      <x:c r="I360" s="6">
        <x:f t="shared" si="71"/>
        <x:v>14472918.129750274</x:v>
      </x:c>
      <x:c r="J360" s="23">
        <x:v>1.0730906994608425</x:v>
      </x:c>
      <x:c r="K360" s="9">
        <x:f t="shared" si="72"/>
        <x:v>15530753.839093229</x:v>
      </x:c>
      <x:c r="L360" s="6"/>
      <x:c r="M360" s="10">
        <x:f t="shared" si="73"/>
        <x:v>15530753.839093229</x:v>
      </x:c>
      <x:c r="N360" s="10">
        <x:f t="shared" si="74"/>
        <x:v>0</x:v>
      </x:c>
      <x:c r="O360" s="10"/>
    </x:row>
    <x:row r="361" spans="1:15" s="7" customFormat="1" outlineLevel="2" x14ac:dyDescent="0.25">
      <x:c r="A361" s="4">
        <x:v>367</x:v>
      </x:c>
      <x:c r="B361" s="5" t="s">
        <x:v>29</x:v>
      </x:c>
      <x:c r="C361" s="6">
        <x:v>135019568.11000001</x:v>
      </x:c>
      <x:c r="D361" s="6">
        <x:v>135019568.11000001</x:v>
      </x:c>
      <x:c r="E361" s="6"/>
      <x:c r="F361" s="7">
        <x:v>51</x:v>
      </x:c>
      <x:c r="G361" s="6">
        <x:v>46.383991000000002</x:v>
      </x:c>
      <x:c r="H361" s="8">
        <x:v>-0.3</x:v>
      </x:c>
      <x:c r="I361" s="6">
        <x:f t="shared" si="71"/>
        <x:v>15886804.000851665</x:v>
      </x:c>
      <x:c r="J361" s="23">
        <x:v>1.0730906994608425</x:v>
      </x:c>
      <x:c r="K361" s="9">
        <x:f t="shared" si="72"/>
        <x:v>17047981.617471222</x:v>
      </x:c>
      <x:c r="L361" s="6"/>
      <x:c r="M361" s="10">
        <x:f t="shared" si="73"/>
        <x:v>17047981.617471226</x:v>
      </x:c>
      <x:c r="N361" s="10">
        <x:f t="shared" si="74"/>
        <x:v>0</x:v>
      </x:c>
      <x:c r="O361" s="10"/>
    </x:row>
    <x:row r="362" spans="1:15" s="7" customFormat="1" ht="14.3" customHeight="1" outlineLevel="2" x14ac:dyDescent="0.25">
      <x:c r="A362" s="4">
        <x:v>367</x:v>
      </x:c>
      <x:c r="B362" s="5" t="s">
        <x:v>30</x:v>
      </x:c>
      <x:c r="C362" s="6">
        <x:v>118446172.93000001</x:v>
      </x:c>
      <x:c r="D362" s="6">
        <x:v>118446172.93000001</x:v>
      </x:c>
      <x:c r="E362" s="6"/>
      <x:c r="F362" s="7">
        <x:v>51</x:v>
      </x:c>
      <x:c r="G362" s="6">
        <x:v>45.775399</x:v>
      </x:c>
      <x:c r="H362" s="8">
        <x:v>-0.3</x:v>
      </x:c>
      <x:c r="I362" s="6">
        <x:f t="shared" si="67"/>
        <x:v>15774199.835237768</x:v>
      </x:c>
      <x:c r="J362" s="23">
        <x:v>1.0730906994608425</x:v>
      </x:c>
      <x:c r="K362" s="9">
        <x:f t="shared" si="68"/>
        <x:v>16927147.134630401</x:v>
      </x:c>
      <x:c r="L362" s="6"/>
      <x:c r="M362" s="10">
        <x:f t="shared" si="69"/>
        <x:v>16927147.134630401</x:v>
      </x:c>
      <x:c r="N362" s="10">
        <x:f t="shared" si="70"/>
        <x:v>0</x:v>
      </x:c>
      <x:c r="O362" s="10"/>
    </x:row>
    <x:row r="363" spans="1:15" s="7" customFormat="1" outlineLevel="2" x14ac:dyDescent="0.25">
      <x:c r="A363" s="4">
        <x:v>367</x:v>
      </x:c>
      <x:c r="B363" s="5" t="s">
        <x:v>31</x:v>
      </x:c>
      <x:c r="C363" s="6">
        <x:v>95107121.890000001</x:v>
      </x:c>
      <x:c r="D363" s="6">
        <x:v>95107121.890000001</x:v>
      </x:c>
      <x:c r="E363" s="6"/>
      <x:c r="F363" s="7">
        <x:v>51</x:v>
      </x:c>
      <x:c r="G363" s="6">
        <x:v>45.168311000000003</x:v>
      </x:c>
      <x:c r="H363" s="8">
        <x:v>-0.3</x:v>
      </x:c>
      <x:c r="I363" s="6">
        <x:f t="shared" si="67"/>
        <x:v>14137758.892389089</x:v>
      </x:c>
      <x:c r="J363" s="23">
        <x:v>1.0730906994608425</x:v>
      </x:c>
      <x:c r="K363" s="9">
        <x:f t="shared" si="68"/>
        <x:v>15171097.578642553</x:v>
      </x:c>
      <x:c r="L363" s="6"/>
      <x:c r="M363" s="10">
        <x:f t="shared" si="69"/>
        <x:v>15171097.578642553</x:v>
      </x:c>
      <x:c r="N363" s="10">
        <x:f t="shared" si="70"/>
        <x:v>0</x:v>
      </x:c>
      <x:c r="O363" s="10"/>
    </x:row>
    <x:row r="364" spans="1:15" s="7" customFormat="1" outlineLevel="2" x14ac:dyDescent="0.25">
      <x:c r="A364" s="4">
        <x:v>367</x:v>
      </x:c>
      <x:c r="B364" s="5" t="s">
        <x:v>32</x:v>
      </x:c>
      <x:c r="C364" s="6">
        <x:v>71875616.900000006</x:v>
      </x:c>
      <x:c r="D364" s="6">
        <x:v>71875616.900000006</x:v>
      </x:c>
      <x:c r="E364" s="6"/>
      <x:c r="F364" s="7">
        <x:v>51</x:v>
      </x:c>
      <x:c r="G364" s="6">
        <x:v>44.562683999999997</x:v>
      </x:c>
      <x:c r="H364" s="8">
        <x:v>-0.3</x:v>
      </x:c>
      <x:c r="I364" s="6">
        <x:f t="shared" si="67"/>
        <x:v>11793958.358515935</x:v>
      </x:c>
      <x:c r="J364" s="23">
        <x:v>1.0730906994608425</x:v>
      </x:c>
      <x:c r="K364" s="9">
        <x:f t="shared" si="68"/>
        <x:v>12655987.024351913</x:v>
      </x:c>
      <x:c r="L364" s="6"/>
      <x:c r="M364" s="10">
        <x:f t="shared" si="69"/>
        <x:v>12655987.024351913</x:v>
      </x:c>
      <x:c r="N364" s="10">
        <x:f t="shared" si="70"/>
        <x:v>0</x:v>
      </x:c>
      <x:c r="O364" s="10"/>
    </x:row>
    <x:row r="365" spans="1:15" s="7" customFormat="1" outlineLevel="2" x14ac:dyDescent="0.25">
      <x:c r="A365" s="4">
        <x:v>367</x:v>
      </x:c>
      <x:c r="B365" s="5" t="s">
        <x:v>33</x:v>
      </x:c>
      <x:c r="C365" s="6">
        <x:v>66616873.200000003</x:v>
      </x:c>
      <x:c r="D365" s="6">
        <x:v>66616873.200000003</x:v>
      </x:c>
      <x:c r="E365" s="6"/>
      <x:c r="F365" s="7">
        <x:v>51</x:v>
      </x:c>
      <x:c r="G365" s="6">
        <x:v>43.958472</x:v>
      </x:c>
      <x:c r="H365" s="8">
        <x:v>-0.3</x:v>
      </x:c>
      <x:c r="I365" s="6">
        <x:f t="shared" si="67"/>
        <x:v>11957057.868300483</x:v>
      </x:c>
      <x:c r="J365" s="23">
        <x:v>1.0730906994608425</x:v>
      </x:c>
      <x:c r="K365" s="9">
        <x:f t="shared" si="68"/>
        <x:v>12831007.591388335</x:v>
      </x:c>
      <x:c r="L365" s="6"/>
      <x:c r="M365" s="10">
        <x:f t="shared" si="69"/>
        <x:v>12831007.591388335</x:v>
      </x:c>
      <x:c r="N365" s="10">
        <x:f t="shared" si="70"/>
        <x:v>0</x:v>
      </x:c>
      <x:c r="O365" s="10"/>
    </x:row>
    <x:row r="366" spans="1:15" s="7" customFormat="1" outlineLevel="2" x14ac:dyDescent="0.25">
      <x:c r="A366" s="4">
        <x:v>367</x:v>
      </x:c>
      <x:c r="B366" s="5" t="s">
        <x:v>118</x:v>
      </x:c>
      <x:c r="C366" s="6">
        <x:v>60469853.119999997</x:v>
      </x:c>
      <x:c r="D366" s="6">
        <x:v>60469853.119999997</x:v>
      </x:c>
      <x:c r="E366" s="6"/>
      <x:c r="F366" s="7">
        <x:v>51</x:v>
      </x:c>
      <x:c r="G366" s="6">
        <x:v>43.355626000000001</x:v>
      </x:c>
      <x:c r="H366" s="8">
        <x:v>-0.3</x:v>
      </x:c>
      <x:c r="I366" s="6">
        <x:f t="shared" si="67"/>
        <x:v>11782949.507189235</x:v>
      </x:c>
      <x:c r="J366" s="23">
        <x:v>1.0730906994608425</x:v>
      </x:c>
      <x:c r="K366" s="9">
        <x:f t="shared" si="68"/>
        <x:v>12644173.528381485</x:v>
      </x:c>
      <x:c r="L366" s="6"/>
      <x:c r="M366" s="10">
        <x:f t="shared" si="69"/>
        <x:v>12644173.528381485</x:v>
      </x:c>
      <x:c r="N366" s="10">
        <x:f t="shared" si="70"/>
        <x:v>0</x:v>
      </x:c>
      <x:c r="O366" s="10"/>
    </x:row>
    <x:row r="367" spans="1:15" s="7" customFormat="1" outlineLevel="2" x14ac:dyDescent="0.25">
      <x:c r="A367" s="4">
        <x:v>367</x:v>
      </x:c>
      <x:c r="B367" s="5" t="s">
        <x:v>119</x:v>
      </x:c>
      <x:c r="C367" s="6">
        <x:v>52753643.109999999</x:v>
      </x:c>
      <x:c r="D367" s="6">
        <x:v>52753643.109999999</x:v>
      </x:c>
      <x:c r="E367" s="6"/>
      <x:c r="F367" s="7">
        <x:v>51</x:v>
      </x:c>
      <x:c r="G367" s="6">
        <x:v>42.754095999999997</x:v>
      </x:c>
      <x:c r="H367" s="8">
        <x:v>-0.3</x:v>
      </x:c>
      <x:c r="I367" s="6">
        <x:f t="shared" si="67"/>
        <x:v>11088272.936390551</x:v>
      </x:c>
      <x:c r="J367" s="23">
        <x:v>1.0730906994608425</x:v>
      </x:c>
      <x:c r="K367" s="9">
        <x:f t="shared" si="68"/>
        <x:v>11898722.561124066</x:v>
      </x:c>
      <x:c r="L367" s="6"/>
      <x:c r="M367" s="10">
        <x:f t="shared" si="69"/>
        <x:v>11898722.561124066</x:v>
      </x:c>
      <x:c r="N367" s="10">
        <x:f t="shared" si="70"/>
        <x:v>0</x:v>
      </x:c>
      <x:c r="O367" s="10"/>
    </x:row>
    <x:row r="368" spans="1:15" s="7" customFormat="1" outlineLevel="2" x14ac:dyDescent="0.25">
      <x:c r="A368" s="4">
        <x:v>367</x:v>
      </x:c>
      <x:c r="B368" s="5" t="s">
        <x:v>34</x:v>
      </x:c>
      <x:c r="C368" s="6">
        <x:v>46460699.700000003</x:v>
      </x:c>
      <x:c r="D368" s="6">
        <x:v>46460699.700000003</x:v>
      </x:c>
      <x:c r="E368" s="6"/>
      <x:c r="F368" s="7">
        <x:v>51</x:v>
      </x:c>
      <x:c r="G368" s="6">
        <x:v>42.153827</x:v>
      </x:c>
      <x:c r="H368" s="8">
        <x:v>-0.3</x:v>
      </x:c>
      <x:c r="I368" s="6">
        <x:f t="shared" si="67"/>
        <x:v>10476454.969047504</x:v>
      </x:c>
      <x:c r="J368" s="23">
        <x:v>1.0730906994608425</x:v>
      </x:c>
      <x:c r="K368" s="9">
        <x:f t="shared" si="68"/>
        <x:v>11242186.390605204</x:v>
      </x:c>
      <x:c r="L368" s="6"/>
      <x:c r="M368" s="10">
        <x:f t="shared" si="69"/>
        <x:v>11242186.390605204</x:v>
      </x:c>
      <x:c r="N368" s="10">
        <x:f t="shared" si="70"/>
        <x:v>0</x:v>
      </x:c>
      <x:c r="O368" s="10"/>
    </x:row>
    <x:row r="369" spans="1:15" s="7" customFormat="1" outlineLevel="2" x14ac:dyDescent="0.25">
      <x:c r="A369" s="4">
        <x:v>367</x:v>
      </x:c>
      <x:c r="B369" s="5" t="s">
        <x:v>35</x:v>
      </x:c>
      <x:c r="C369" s="6">
        <x:v>55058400.259999998</x:v>
      </x:c>
      <x:c r="D369" s="6">
        <x:v>55058400.259999998</x:v>
      </x:c>
      <x:c r="E369" s="6"/>
      <x:c r="F369" s="7">
        <x:v>51</x:v>
      </x:c>
      <x:c r="G369" s="6">
        <x:v>41.554780000000001</x:v>
      </x:c>
      <x:c r="H369" s="8">
        <x:v>-0.3</x:v>
      </x:c>
      <x:c r="I369" s="6">
        <x:f t="shared" si="67"/>
        <x:v>13255888.515585963</x:v>
      </x:c>
      <x:c r="J369" s="23">
        <x:v>1.0730906994608425</x:v>
      </x:c>
      <x:c r="K369" s="9">
        <x:f t="shared" si="68"/>
        <x:v>14224770.67916509</x:v>
      </x:c>
      <x:c r="L369" s="6"/>
      <x:c r="M369" s="10">
        <x:f t="shared" si="69"/>
        <x:v>14224770.679165088</x:v>
      </x:c>
      <x:c r="N369" s="10">
        <x:f t="shared" si="70"/>
        <x:v>0</x:v>
      </x:c>
      <x:c r="O369" s="10"/>
    </x:row>
    <x:row r="370" spans="1:15" s="7" customFormat="1" outlineLevel="2" x14ac:dyDescent="0.25">
      <x:c r="A370" s="4">
        <x:v>367</x:v>
      </x:c>
      <x:c r="B370" s="5" t="s">
        <x:v>36</x:v>
      </x:c>
      <x:c r="C370" s="6">
        <x:v>74908777.730000004</x:v>
      </x:c>
      <x:c r="D370" s="6">
        <x:v>74908777.730000004</x:v>
      </x:c>
      <x:c r="E370" s="6"/>
      <x:c r="F370" s="7">
        <x:v>51</x:v>
      </x:c>
      <x:c r="G370" s="6">
        <x:v>40.956952999999999</x:v>
      </x:c>
      <x:c r="H370" s="8">
        <x:v>-0.3</x:v>
      </x:c>
      <x:c r="I370" s="6">
        <x:f t="shared" si="67"/>
        <x:v>19176589.962576989</x:v>
      </x:c>
      <x:c r="J370" s="23">
        <x:v>1.0730906994608425</x:v>
      </x:c>
      <x:c r="K370" s="9">
        <x:f t="shared" si="68"/>
        <x:v>20578220.336215511</x:v>
      </x:c>
      <x:c r="L370" s="6"/>
      <x:c r="M370" s="10">
        <x:f t="shared" si="69"/>
        <x:v>20578220.336215511</x:v>
      </x:c>
      <x:c r="N370" s="10">
        <x:f t="shared" si="70"/>
        <x:v>0</x:v>
      </x:c>
      <x:c r="O370" s="10"/>
    </x:row>
    <x:row r="371" spans="1:15" s="7" customFormat="1" outlineLevel="2" x14ac:dyDescent="0.25">
      <x:c r="A371" s="4">
        <x:v>367</x:v>
      </x:c>
      <x:c r="B371" s="5" t="s">
        <x:v>120</x:v>
      </x:c>
      <x:c r="C371" s="6">
        <x:v>49427754.399999999</x:v>
      </x:c>
      <x:c r="D371" s="6">
        <x:v>49427754.399999999</x:v>
      </x:c>
      <x:c r="E371" s="6"/>
      <x:c r="F371" s="7">
        <x:v>51</x:v>
      </x:c>
      <x:c r="G371" s="6">
        <x:v>40.360399999999998</x:v>
      </x:c>
      <x:c r="H371" s="8">
        <x:v>-0.3</x:v>
      </x:c>
      <x:c r="I371" s="6">
        <x:f t="shared" si="67"/>
        <x:v>13405078.361343373</x:v>
      </x:c>
      <x:c r="J371" s="23">
        <x:v>1.0730906994608425</x:v>
      </x:c>
      <x:c r="K371" s="9">
        <x:f t="shared" si="68"/>
        <x:v>14384864.915101364</x:v>
      </x:c>
      <x:c r="L371" s="6"/>
      <x:c r="M371" s="10">
        <x:f t="shared" si="69"/>
        <x:v>14384864.915101364</x:v>
      </x:c>
      <x:c r="N371" s="10">
        <x:f t="shared" si="70"/>
        <x:v>0</x:v>
      </x:c>
      <x:c r="O371" s="10"/>
    </x:row>
    <x:row r="372" spans="1:15" s="7" customFormat="1" outlineLevel="2" x14ac:dyDescent="0.25">
      <x:c r="A372" s="4">
        <x:v>367</x:v>
      </x:c>
      <x:c r="B372" s="5" t="s">
        <x:v>37</x:v>
      </x:c>
      <x:c r="C372" s="6">
        <x:v>63104898.840000004</x:v>
      </x:c>
      <x:c r="D372" s="6">
        <x:v>63104898.840000004</x:v>
      </x:c>
      <x:c r="E372" s="6"/>
      <x:c r="F372" s="7">
        <x:v>51</x:v>
      </x:c>
      <x:c r="G372" s="6">
        <x:v>39.765197999999998</x:v>
      </x:c>
      <x:c r="H372" s="8">
        <x:v>-0.3</x:v>
      </x:c>
      <x:c r="I372" s="6">
        <x:f t="shared" si="67"/>
        <x:v>18071810.917777628</x:v>
      </x:c>
      <x:c r="J372" s="23">
        <x:v>1.0730906994608425</x:v>
      </x:c>
      <x:c r="K372" s="9">
        <x:f t="shared" si="68"/>
        <x:v>19392692.218282085</x:v>
      </x:c>
      <x:c r="L372" s="6"/>
      <x:c r="M372" s="10">
        <x:f t="shared" si="69"/>
        <x:v>19392692.218282085</x:v>
      </x:c>
      <x:c r="N372" s="10">
        <x:f t="shared" si="70"/>
        <x:v>0</x:v>
      </x:c>
      <x:c r="O372" s="10"/>
    </x:row>
    <x:row r="373" spans="1:15" s="7" customFormat="1" outlineLevel="2" x14ac:dyDescent="0.25">
      <x:c r="A373" s="4">
        <x:v>367</x:v>
      </x:c>
      <x:c r="B373" s="5" t="s">
        <x:v>121</x:v>
      </x:c>
      <x:c r="C373" s="6">
        <x:v>74300213.349999994</x:v>
      </x:c>
      <x:c r="D373" s="6">
        <x:v>74300213.349999994</x:v>
      </x:c>
      <x:c r="E373" s="6"/>
      <x:c r="F373" s="7">
        <x:v>51</x:v>
      </x:c>
      <x:c r="G373" s="6">
        <x:v>39.171463000000003</x:v>
      </x:c>
      <x:c r="H373" s="8">
        <x:v>-0.3</x:v>
      </x:c>
      <x:c r="I373" s="6">
        <x:f t="shared" si="67"/>
        <x:v>22402385.67713489</x:v>
      </x:c>
      <x:c r="J373" s="23">
        <x:v>1.0730906994608425</x:v>
      </x:c>
      <x:c r="K373" s="9">
        <x:f t="shared" si="68"/>
        <x:v>24039791.715868238</x:v>
      </x:c>
      <x:c r="L373" s="6"/>
      <x:c r="M373" s="10">
        <x:f t="shared" si="69"/>
        <x:v>24039791.715868238</x:v>
      </x:c>
      <x:c r="N373" s="10">
        <x:f t="shared" si="70"/>
        <x:v>0</x:v>
      </x:c>
      <x:c r="O373" s="10"/>
    </x:row>
    <x:row r="374" spans="1:15" s="7" customFormat="1" outlineLevel="2" x14ac:dyDescent="0.25">
      <x:c r="A374" s="4">
        <x:v>367</x:v>
      </x:c>
      <x:c r="B374" s="5" t="s">
        <x:v>122</x:v>
      </x:c>
      <x:c r="C374" s="6">
        <x:v>47395421.75</x:v>
      </x:c>
      <x:c r="D374" s="6">
        <x:v>47395421.75</x:v>
      </x:c>
      <x:c r="E374" s="6"/>
      <x:c r="F374" s="7">
        <x:v>51</x:v>
      </x:c>
      <x:c r="G374" s="6">
        <x:v>38.57931</x:v>
      </x:c>
      <x:c r="H374" s="8">
        <x:v>-0.3</x:v>
      </x:c>
      <x:c r="I374" s="6">
        <x:f t="shared" si="67"/>
        <x:v>15005666.534682542</x:v>
      </x:c>
      <x:c r="J374" s="23">
        <x:v>1.0730906994608425</x:v>
      </x:c>
      <x:c r="K374" s="9">
        <x:f t="shared" si="68"/>
        <x:v>16102441.197578644</x:v>
      </x:c>
      <x:c r="L374" s="6"/>
      <x:c r="M374" s="10">
        <x:f t="shared" si="69"/>
        <x:v>16102441.197578644</x:v>
      </x:c>
      <x:c r="N374" s="10">
        <x:f t="shared" si="70"/>
        <x:v>0</x:v>
      </x:c>
      <x:c r="O374" s="10"/>
    </x:row>
    <x:row r="375" spans="1:15" s="7" customFormat="1" outlineLevel="2" x14ac:dyDescent="0.25">
      <x:c r="A375" s="4">
        <x:v>367</x:v>
      </x:c>
      <x:c r="B375" s="5" t="s">
        <x:v>123</x:v>
      </x:c>
      <x:c r="C375" s="6">
        <x:v>49762299.439999998</x:v>
      </x:c>
      <x:c r="D375" s="6">
        <x:v>49762299.439999998</x:v>
      </x:c>
      <x:c r="E375" s="6"/>
      <x:c r="F375" s="7">
        <x:v>51</x:v>
      </x:c>
      <x:c r="G375" s="6">
        <x:v>37.988885000000003</x:v>
      </x:c>
      <x:c r="H375" s="8">
        <x:v>-0.3</x:v>
      </x:c>
      <x:c r="I375" s="6">
        <x:f t="shared" si="67"/>
        <x:v>16503958.840818787</x:v>
      </x:c>
      <x:c r="J375" s="23">
        <x:v>1.0730906994608425</x:v>
      </x:c>
      <x:c r="K375" s="9">
        <x:f t="shared" si="68"/>
        <x:v>17710244.736367188</x:v>
      </x:c>
      <x:c r="L375" s="6"/>
      <x:c r="M375" s="10">
        <x:f t="shared" si="69"/>
        <x:v>17710244.736367188</x:v>
      </x:c>
      <x:c r="N375" s="10">
        <x:f t="shared" si="70"/>
        <x:v>0</x:v>
      </x:c>
      <x:c r="O375" s="10"/>
    </x:row>
    <x:row r="376" spans="1:15" s="7" customFormat="1" outlineLevel="2" x14ac:dyDescent="0.25">
      <x:c r="A376" s="4">
        <x:v>367</x:v>
      </x:c>
      <x:c r="B376" s="5" t="s">
        <x:v>124</x:v>
      </x:c>
      <x:c r="C376" s="6">
        <x:v>54023283.630000003</x:v>
      </x:c>
      <x:c r="D376" s="6">
        <x:v>54023283.630000003</x:v>
      </x:c>
      <x:c r="E376" s="6"/>
      <x:c r="F376" s="7">
        <x:v>51</x:v>
      </x:c>
      <x:c r="G376" s="6">
        <x:v>37.40034</x:v>
      </x:c>
      <x:c r="H376" s="8">
        <x:v>-0.3</x:v>
      </x:c>
      <x:c r="I376" s="6">
        <x:f t="shared" si="67"/>
        <x:v>18727603.456608545</x:v>
      </x:c>
      <x:c r="J376" s="23">
        <x:v>1.0730906994608425</x:v>
      </x:c>
      <x:c r="K376" s="9">
        <x:f t="shared" si="68"/>
        <x:v>20096417.092477355</x:v>
      </x:c>
      <x:c r="L376" s="6"/>
      <x:c r="M376" s="10">
        <x:f t="shared" si="69"/>
        <x:v>20096417.092477355</x:v>
      </x:c>
      <x:c r="N376" s="10">
        <x:f t="shared" si="70"/>
        <x:v>0</x:v>
      </x:c>
      <x:c r="O376" s="10"/>
    </x:row>
    <x:row r="377" spans="1:15" s="7" customFormat="1" outlineLevel="2" x14ac:dyDescent="0.25">
      <x:c r="A377" s="4">
        <x:v>367</x:v>
      </x:c>
      <x:c r="B377" s="5" t="s">
        <x:v>125</x:v>
      </x:c>
      <x:c r="C377" s="6">
        <x:v>58184456.259999998</x:v>
      </x:c>
      <x:c r="D377" s="6">
        <x:v>58184456.259999998</x:v>
      </x:c>
      <x:c r="E377" s="6"/>
      <x:c r="F377" s="7">
        <x:v>51</x:v>
      </x:c>
      <x:c r="G377" s="6">
        <x:v>36.813825999999999</x:v>
      </x:c>
      <x:c r="H377" s="8">
        <x:v>-0.3</x:v>
      </x:c>
      <x:c r="I377" s="6">
        <x:f t="shared" si="67"/>
        <x:v>21039985.623130865</x:v>
      </x:c>
      <x:c r="J377" s="23">
        <x:v>1.0730906994608425</x:v>
      </x:c>
      <x:c r="K377" s="9">
        <x:f t="shared" si="68"/>
        <x:v>22577812.888971571</x:v>
      </x:c>
      <x:c r="L377" s="6"/>
      <x:c r="M377" s="10">
        <x:f t="shared" si="69"/>
        <x:v>22577812.888971571</x:v>
      </x:c>
      <x:c r="N377" s="10">
        <x:f t="shared" si="70"/>
        <x:v>0</x:v>
      </x:c>
      <x:c r="O377" s="10"/>
    </x:row>
    <x:row r="378" spans="1:15" s="7" customFormat="1" outlineLevel="2" x14ac:dyDescent="0.25">
      <x:c r="A378" s="4">
        <x:v>367</x:v>
      </x:c>
      <x:c r="B378" s="5" t="s">
        <x:v>126</x:v>
      </x:c>
      <x:c r="C378" s="6">
        <x:v>66685621.219999999</x:v>
      </x:c>
      <x:c r="D378" s="6">
        <x:v>66685621.219999999</x:v>
      </x:c>
      <x:c r="E378" s="6"/>
      <x:c r="F378" s="7">
        <x:v>51</x:v>
      </x:c>
      <x:c r="G378" s="6">
        <x:v>36.229511000000002</x:v>
      </x:c>
      <x:c r="H378" s="8">
        <x:v>-0.3</x:v>
      </x:c>
      <x:c r="I378" s="6">
        <x:f t="shared" si="67"/>
        <x:v>25107313.825384893</x:v>
      </x:c>
      <x:c r="J378" s="23">
        <x:v>1.0730906994608425</x:v>
      </x:c>
      <x:c r="K378" s="9">
        <x:f t="shared" si="68"/>
        <x:v>26942424.954465155</x:v>
      </x:c>
      <x:c r="L378" s="6"/>
      <x:c r="M378" s="10">
        <x:f t="shared" si="69"/>
        <x:v>26942424.954465155</x:v>
      </x:c>
      <x:c r="N378" s="10">
        <x:f t="shared" si="70"/>
        <x:v>0</x:v>
      </x:c>
      <x:c r="O378" s="10"/>
    </x:row>
    <x:row r="379" spans="1:15" s="7" customFormat="1" outlineLevel="2" x14ac:dyDescent="0.25">
      <x:c r="A379" s="4">
        <x:v>367</x:v>
      </x:c>
      <x:c r="B379" s="5" t="s">
        <x:v>38</x:v>
      </x:c>
      <x:c r="C379" s="6">
        <x:v>65183823.600000001</x:v>
      </x:c>
      <x:c r="D379" s="6">
        <x:v>65183823.600000001</x:v>
      </x:c>
      <x:c r="E379" s="6"/>
      <x:c r="F379" s="7">
        <x:v>51</x:v>
      </x:c>
      <x:c r="G379" s="6">
        <x:v>35.647559000000001</x:v>
      </x:c>
      <x:c r="H379" s="8">
        <x:v>-0.3</x:v>
      </x:c>
      <x:c r="I379" s="6">
        <x:f t="shared" si="67"/>
        <x:v>25508824.465988819</x:v>
      </x:c>
      <x:c r="J379" s="23">
        <x:v>1.0730906994608425</x:v>
      </x:c>
      <x:c r="K379" s="9">
        <x:f t="shared" si="68"/>
        <x:v>27373282.288631793</x:v>
      </x:c>
      <x:c r="L379" s="6"/>
      <x:c r="M379" s="10">
        <x:f t="shared" si="69"/>
        <x:v>27373282.288631793</x:v>
      </x:c>
      <x:c r="N379" s="10">
        <x:f t="shared" si="70"/>
        <x:v>0</x:v>
      </x:c>
      <x:c r="O379" s="10"/>
    </x:row>
    <x:row r="380" spans="1:15" s="7" customFormat="1" outlineLevel="2" x14ac:dyDescent="0.25">
      <x:c r="A380" s="4">
        <x:v>367</x:v>
      </x:c>
      <x:c r="B380" s="5" t="s">
        <x:v>127</x:v>
      </x:c>
      <x:c r="C380" s="6">
        <x:v>49704065.380000003</x:v>
      </x:c>
      <x:c r="D380" s="6">
        <x:v>49704065.380000003</x:v>
      </x:c>
      <x:c r="E380" s="6"/>
      <x:c r="F380" s="7">
        <x:v>51</x:v>
      </x:c>
      <x:c r="G380" s="6">
        <x:v>35.068176999999999</x:v>
      </x:c>
      <x:c r="H380" s="8">
        <x:v>-0.3</x:v>
      </x:c>
      <x:c r="I380" s="6">
        <x:f t="shared" si="67"/>
        <x:v>20185083.992528714</x:v>
      </x:c>
      <x:c r="J380" s="23">
        <x:v>1.0730906994608425</x:v>
      </x:c>
      <x:c r="K380" s="9">
        <x:f t="shared" si="68"/>
        <x:v>21660425.900218494</x:v>
      </x:c>
      <x:c r="L380" s="6"/>
      <x:c r="M380" s="10">
        <x:f t="shared" si="69"/>
        <x:v>21660425.900218494</x:v>
      </x:c>
      <x:c r="N380" s="10">
        <x:f t="shared" si="70"/>
        <x:v>0</x:v>
      </x:c>
      <x:c r="O380" s="10"/>
    </x:row>
    <x:row r="381" spans="1:15" s="7" customFormat="1" outlineLevel="2" x14ac:dyDescent="0.25">
      <x:c r="A381" s="4">
        <x:v>367</x:v>
      </x:c>
      <x:c r="B381" s="5" t="s">
        <x:v>39</x:v>
      </x:c>
      <x:c r="C381" s="6">
        <x:v>44987126.43</x:v>
      </x:c>
      <x:c r="D381" s="6">
        <x:v>44987126.43</x:v>
      </x:c>
      <x:c r="E381" s="6"/>
      <x:c r="F381" s="7">
        <x:v>51</x:v>
      </x:c>
      <x:c r="G381" s="6">
        <x:v>34.491497000000003</x:v>
      </x:c>
      <x:c r="H381" s="8">
        <x:v>-0.3</x:v>
      </x:c>
      <x:c r="I381" s="6">
        <x:f t="shared" si="67"/>
        <x:v>18930806.767065577</x:v>
      </x:c>
      <x:c r="J381" s="23">
        <x:v>1.0730906994608425</x:v>
      </x:c>
      <x:c r="K381" s="9">
        <x:f t="shared" si="68"/>
        <x:v>20314472.675028451</x:v>
      </x:c>
      <x:c r="L381" s="6"/>
      <x:c r="M381" s="10">
        <x:f t="shared" si="69"/>
        <x:v>20314472.675028451</x:v>
      </x:c>
      <x:c r="N381" s="10">
        <x:f t="shared" si="70"/>
        <x:v>0</x:v>
      </x:c>
      <x:c r="O381" s="10"/>
    </x:row>
    <x:row r="382" spans="1:15" s="7" customFormat="1" outlineLevel="2" x14ac:dyDescent="0.25">
      <x:c r="A382" s="4">
        <x:v>367</x:v>
      </x:c>
      <x:c r="B382" s="5" t="s">
        <x:v>40</x:v>
      </x:c>
      <x:c r="C382" s="6">
        <x:v>52654058.259999998</x:v>
      </x:c>
      <x:c r="D382" s="6">
        <x:v>52654058.259999998</x:v>
      </x:c>
      <x:c r="E382" s="6"/>
      <x:c r="F382" s="7">
        <x:v>51</x:v>
      </x:c>
      <x:c r="G382" s="6">
        <x:v>33.917670000000001</x:v>
      </x:c>
      <x:c r="H382" s="8">
        <x:v>-0.3</x:v>
      </x:c>
      <x:c r="I382" s="6">
        <x:f t="shared" si="67"/>
        <x:v>22927258.798970778</x:v>
      </x:c>
      <x:c r="J382" s="23">
        <x:v>1.0730906994608425</x:v>
      </x:c>
      <x:c r="K382" s="9">
        <x:f t="shared" si="68"/>
        <x:v>24603028.181307305</x:v>
      </x:c>
      <x:c r="L382" s="6"/>
      <x:c r="M382" s="10">
        <x:f t="shared" si="69"/>
        <x:v>24603028.181307305</x:v>
      </x:c>
      <x:c r="N382" s="10">
        <x:f t="shared" si="70"/>
        <x:v>0</x:v>
      </x:c>
      <x:c r="O382" s="10"/>
    </x:row>
    <x:row r="383" spans="1:15" s="7" customFormat="1" outlineLevel="2" x14ac:dyDescent="0.25">
      <x:c r="A383" s="4">
        <x:v>367</x:v>
      </x:c>
      <x:c r="B383" s="5" t="s">
        <x:v>41</x:v>
      </x:c>
      <x:c r="C383" s="6">
        <x:v>45878690.869999997</x:v>
      </x:c>
      <x:c r="D383" s="6">
        <x:v>45878690.869999997</x:v>
      </x:c>
      <x:c r="E383" s="6"/>
      <x:c r="F383" s="7">
        <x:v>51</x:v>
      </x:c>
      <x:c r="G383" s="6">
        <x:v>33.34686</x:v>
      </x:c>
      <x:c r="H383" s="8">
        <x:v>-0.3</x:v>
      </x:c>
      <x:c r="I383" s="6">
        <x:f t="shared" si="67"/>
        <x:v>20644585.075064339</x:v>
      </x:c>
      <x:c r="J383" s="23">
        <x:v>1.0730906994608425</x:v>
      </x:c>
      <x:c r="K383" s="9">
        <x:f t="shared" si="68"/>
        <x:v>22153512.238279659</x:v>
      </x:c>
      <x:c r="L383" s="6"/>
      <x:c r="M383" s="10">
        <x:f t="shared" si="69"/>
        <x:v>22153512.238279659</x:v>
      </x:c>
      <x:c r="N383" s="10">
        <x:f t="shared" si="70"/>
        <x:v>0</x:v>
      </x:c>
      <x:c r="O383" s="10"/>
    </x:row>
    <x:row r="384" spans="1:15" s="7" customFormat="1" outlineLevel="2" x14ac:dyDescent="0.25">
      <x:c r="A384" s="4">
        <x:v>367</x:v>
      </x:c>
      <x:c r="B384" s="5" t="s">
        <x:v>42</x:v>
      </x:c>
      <x:c r="C384" s="6">
        <x:v>34467449.619999997</x:v>
      </x:c>
      <x:c r="D384" s="6">
        <x:v>34467449.619999997</x:v>
      </x:c>
      <x:c r="E384" s="6"/>
      <x:c r="F384" s="7">
        <x:v>51</x:v>
      </x:c>
      <x:c r="G384" s="6">
        <x:v>32.779221</x:v>
      </x:c>
      <x:c r="H384" s="8">
        <x:v>-0.3</x:v>
      </x:c>
      <x:c r="I384" s="6">
        <x:f t="shared" si="67"/>
        <x:v>16008449.350697061</x:v>
      </x:c>
      <x:c r="J384" s="23">
        <x:v>1.0730906994608425</x:v>
      </x:c>
      <x:c r="K384" s="9">
        <x:f t="shared" si="68"/>
        <x:v>17178518.111022979</x:v>
      </x:c>
      <x:c r="L384" s="6"/>
      <x:c r="M384" s="10">
        <x:f t="shared" si="69"/>
        <x:v>17178518.111022979</x:v>
      </x:c>
      <x:c r="N384" s="10">
        <x:f t="shared" si="70"/>
        <x:v>0</x:v>
      </x:c>
      <x:c r="O384" s="10"/>
    </x:row>
    <x:row r="385" spans="1:15" s="7" customFormat="1" outlineLevel="2" x14ac:dyDescent="0.25">
      <x:c r="A385" s="4">
        <x:v>367</x:v>
      </x:c>
      <x:c r="B385" s="5" t="s">
        <x:v>43</x:v>
      </x:c>
      <x:c r="C385" s="6">
        <x:v>17884507.879999999</x:v>
      </x:c>
      <x:c r="D385" s="6">
        <x:v>17884507.879999999</x:v>
      </x:c>
      <x:c r="E385" s="6"/>
      <x:c r="F385" s="7">
        <x:v>51</x:v>
      </x:c>
      <x:c r="G385" s="6">
        <x:v>32.214897999999998</x:v>
      </x:c>
      <x:c r="H385" s="8">
        <x:v>-0.3</x:v>
      </x:c>
      <x:c r="I385" s="6">
        <x:f t="shared" si="67"/>
        <x:v>8563745.0229271539</x:v>
      </x:c>
      <x:c r="J385" s="23">
        <x:v>1.0730906994608425</x:v>
      </x:c>
      <x:c r="K385" s="9">
        <x:f t="shared" si="68"/>
        <x:v>9189675.1366572082</x:v>
      </x:c>
      <x:c r="L385" s="6"/>
      <x:c r="M385" s="10">
        <x:f t="shared" si="69"/>
        <x:v>9189675.1366572082</x:v>
      </x:c>
      <x:c r="N385" s="10">
        <x:f t="shared" si="70"/>
        <x:v>0</x:v>
      </x:c>
      <x:c r="O385" s="10"/>
    </x:row>
    <x:row r="386" spans="1:15" s="7" customFormat="1" outlineLevel="2" x14ac:dyDescent="0.25">
      <x:c r="A386" s="4">
        <x:v>367</x:v>
      </x:c>
      <x:c r="B386" s="5" t="s">
        <x:v>44</x:v>
      </x:c>
      <x:c r="C386" s="6">
        <x:v>21303786.719999999</x:v>
      </x:c>
      <x:c r="D386" s="6">
        <x:v>21303786.719999999</x:v>
      </x:c>
      <x:c r="E386" s="6"/>
      <x:c r="F386" s="7">
        <x:v>51</x:v>
      </x:c>
      <x:c r="G386" s="6">
        <x:v>31.654032999999998</x:v>
      </x:c>
      <x:c r="H386" s="8">
        <x:v>-0.3</x:v>
      </x:c>
      <x:c r="I386" s="6">
        <x:f t="shared" si="67"/>
        <x:v>10505589.437611878</x:v>
      </x:c>
      <x:c r="J386" s="23">
        <x:v>1.0730906994608425</x:v>
      </x:c>
      <x:c r="K386" s="9">
        <x:f t="shared" si="68"/>
        <x:v>11273450.317855369</x:v>
      </x:c>
      <x:c r="L386" s="6"/>
      <x:c r="M386" s="10">
        <x:f t="shared" si="69"/>
        <x:v>11273450.317855369</x:v>
      </x:c>
      <x:c r="N386" s="10">
        <x:f t="shared" si="70"/>
        <x:v>0</x:v>
      </x:c>
      <x:c r="O386" s="10"/>
    </x:row>
    <x:row r="387" spans="1:15" s="7" customFormat="1" outlineLevel="2" x14ac:dyDescent="0.25">
      <x:c r="A387" s="4">
        <x:v>367</x:v>
      </x:c>
      <x:c r="B387" s="5" t="s">
        <x:v>45</x:v>
      </x:c>
      <x:c r="C387" s="6">
        <x:v>22204826.510000002</x:v>
      </x:c>
      <x:c r="D387" s="6">
        <x:v>22204826.510000002</x:v>
      </x:c>
      <x:c r="E387" s="6"/>
      <x:c r="F387" s="7">
        <x:v>51</x:v>
      </x:c>
      <x:c r="G387" s="6">
        <x:v>31.096754000000001</x:v>
      </x:c>
      <x:c r="H387" s="8">
        <x:v>-0.3</x:v>
      </x:c>
      <x:c r="I387" s="6">
        <x:f t="shared" si="67"/>
        <x:v>11265344.347855037</x:v>
      </x:c>
      <x:c r="J387" s="23">
        <x:v>1.0730906994608425</x:v>
      </x:c>
      <x:c r="K387" s="9">
        <x:f t="shared" si="68"/>
        <x:v>12088736.245907011</x:v>
      </x:c>
      <x:c r="L387" s="6"/>
      <x:c r="M387" s="10">
        <x:f t="shared" si="69"/>
        <x:v>12088736.245907011</x:v>
      </x:c>
      <x:c r="N387" s="10">
        <x:f t="shared" si="70"/>
        <x:v>0</x:v>
      </x:c>
      <x:c r="O387" s="10"/>
    </x:row>
    <x:row r="388" spans="1:15" s="7" customFormat="1" outlineLevel="2" x14ac:dyDescent="0.25">
      <x:c r="A388" s="4">
        <x:v>367</x:v>
      </x:c>
      <x:c r="B388" s="5" t="s">
        <x:v>46</x:v>
      </x:c>
      <x:c r="C388" s="6">
        <x:v>20758524.309999999</x:v>
      </x:c>
      <x:c r="D388" s="6">
        <x:v>20758524.309999999</x:v>
      </x:c>
      <x:c r="E388" s="6"/>
      <x:c r="F388" s="7">
        <x:v>51</x:v>
      </x:c>
      <x:c r="G388" s="6">
        <x:v>30.543192999999999</x:v>
      </x:c>
      <x:c r="H388" s="8">
        <x:v>-0.3</x:v>
      </x:c>
      <x:c r="I388" s="6">
        <x:f t="shared" si="67"/>
        <x:v>10824491.432133758</x:v>
      </x:c>
      <x:c r="J388" s="23">
        <x:v>1.0730906994608425</x:v>
      </x:c>
      <x:c r="K388" s="9">
        <x:f t="shared" si="68"/>
        <x:v>11615661.082216311</x:v>
      </x:c>
      <x:c r="L388" s="6"/>
      <x:c r="M388" s="10">
        <x:f t="shared" si="69"/>
        <x:v>11615661.082216311</x:v>
      </x:c>
      <x:c r="N388" s="10">
        <x:f t="shared" si="70"/>
        <x:v>0</x:v>
      </x:c>
      <x:c r="O388" s="10"/>
    </x:row>
    <x:row r="389" spans="1:15" s="7" customFormat="1" outlineLevel="2" x14ac:dyDescent="0.25">
      <x:c r="A389" s="4">
        <x:v>367</x:v>
      </x:c>
      <x:c r="B389" s="5" t="s">
        <x:v>47</x:v>
      </x:c>
      <x:c r="C389" s="6">
        <x:v>16781855.84</x:v>
      </x:c>
      <x:c r="D389" s="6">
        <x:v>16781855.84</x:v>
      </x:c>
      <x:c r="E389" s="6"/>
      <x:c r="F389" s="7">
        <x:v>51</x:v>
      </x:c>
      <x:c r="G389" s="6">
        <x:v>29.993463999999999</x:v>
      </x:c>
      <x:c r="H389" s="8">
        <x:v>-0.3</x:v>
      </x:c>
      <x:c r="I389" s="6">
        <x:f t="shared" si="67"/>
        <x:v>8986024.6373470854</x:v>
      </x:c>
      <x:c r="J389" s="23">
        <x:v>1.0730906994608425</x:v>
      </x:c>
      <x:c r="K389" s="9">
        <x:f t="shared" si="68"/>
        <x:v>9642819.4634631462</x:v>
      </x:c>
      <x:c r="L389" s="6"/>
      <x:c r="M389" s="10">
        <x:f t="shared" si="69"/>
        <x:v>9642819.4634631462</x:v>
      </x:c>
      <x:c r="N389" s="10">
        <x:f t="shared" si="70"/>
        <x:v>0</x:v>
      </x:c>
      <x:c r="O389" s="10"/>
    </x:row>
    <x:row r="390" spans="1:15" s="7" customFormat="1" outlineLevel="2" x14ac:dyDescent="0.25">
      <x:c r="A390" s="4">
        <x:v>367</x:v>
      </x:c>
      <x:c r="B390" s="5" t="s">
        <x:v>48</x:v>
      </x:c>
      <x:c r="C390" s="6">
        <x:v>14008702.939999999</x:v>
      </x:c>
      <x:c r="D390" s="6">
        <x:v>14008702.939999999</x:v>
      </x:c>
      <x:c r="E390" s="6"/>
      <x:c r="F390" s="7">
        <x:v>51</x:v>
      </x:c>
      <x:c r="G390" s="6">
        <x:v>29.447682</x:v>
      </x:c>
      <x:c r="H390" s="8">
        <x:v>-0.3</x:v>
      </x:c>
      <x:c r="I390" s="6">
        <x:f t="shared" si="67"/>
        <x:v>7696000.5233243024</x:v>
      </x:c>
      <x:c r="J390" s="23">
        <x:v>1.0730906994608425</x:v>
      </x:c>
      <x:c r="K390" s="9">
        <x:f t="shared" si="68"/>
        <x:v>8258506.5846250849</x:v>
      </x:c>
      <x:c r="L390" s="6"/>
      <x:c r="M390" s="10">
        <x:f t="shared" si="69"/>
        <x:v>8258506.5846250849</x:v>
      </x:c>
      <x:c r="N390" s="10">
        <x:f t="shared" si="70"/>
        <x:v>0</x:v>
      </x:c>
      <x:c r="O390" s="10"/>
    </x:row>
    <x:row r="391" spans="1:15" s="7" customFormat="1" outlineLevel="2" x14ac:dyDescent="0.25">
      <x:c r="A391" s="4">
        <x:v>367</x:v>
      </x:c>
      <x:c r="B391" s="5" t="s">
        <x:v>49</x:v>
      </x:c>
      <x:c r="C391" s="6">
        <x:v>11140781.119999999</x:v>
      </x:c>
      <x:c r="D391" s="6">
        <x:v>11140781.119999999</x:v>
      </x:c>
      <x:c r="E391" s="6"/>
      <x:c r="F391" s="7">
        <x:v>51</x:v>
      </x:c>
      <x:c r="G391" s="6">
        <x:v>28.905940999999999</x:v>
      </x:c>
      <x:c r="H391" s="8">
        <x:v>-0.3</x:v>
      </x:c>
      <x:c r="I391" s="6">
        <x:f t="shared" si="67"/>
        <x:v>6274286.2349563912</x:v>
      </x:c>
      <x:c r="J391" s="23">
        <x:v>1.0730906994608425</x:v>
      </x:c>
      <x:c r="K391" s="9">
        <x:f t="shared" si="68"/>
        <x:v>6732878.2044868898</x:v>
      </x:c>
      <x:c r="L391" s="6"/>
      <x:c r="M391" s="10">
        <x:f t="shared" si="69"/>
        <x:v>6732878.2044868898</x:v>
      </x:c>
      <x:c r="N391" s="10">
        <x:f t="shared" si="70"/>
        <x:v>0</x:v>
      </x:c>
      <x:c r="O391" s="10"/>
    </x:row>
    <x:row r="392" spans="1:15" s="7" customFormat="1" outlineLevel="2" x14ac:dyDescent="0.25">
      <x:c r="A392" s="4">
        <x:v>367</x:v>
      </x:c>
      <x:c r="B392" s="5" t="s">
        <x:v>50</x:v>
      </x:c>
      <x:c r="C392" s="6">
        <x:v>19178420.530000001</x:v>
      </x:c>
      <x:c r="D392" s="6">
        <x:v>19178420.530000001</x:v>
      </x:c>
      <x:c r="E392" s="6"/>
      <x:c r="F392" s="7">
        <x:v>51</x:v>
      </x:c>
      <x:c r="G392" s="6">
        <x:v>28.368331999999999</x:v>
      </x:c>
      <x:c r="H392" s="8">
        <x:v>-0.3</x:v>
      </x:c>
      <x:c r="I392" s="6">
        <x:f t="shared" ref="I392:I423" si="75">+C392*(1-H392)*(1-G392/F392)</x:f>
        <x:v>11063755.687434262</x:v>
      </x:c>
      <x:c r="J392" s="23">
        <x:v>1.0730906994608425</x:v>
      </x:c>
      <x:c r="K392" s="9">
        <x:f t="shared" ref="K392:K423" si="76">IF((C392*(1-H392)-I392*J392)&lt;0,C392*(1-H392),I392*J392)</x:f>
        <x:v>11872413.329292705</x:v>
      </x:c>
      <x:c r="L392" s="6"/>
      <x:c r="M392" s="10">
        <x:f t="shared" ref="M392:M423" si="77">+K392/D392*C392</x:f>
        <x:v>11872413.329292705</x:v>
      </x:c>
      <x:c r="N392" s="10">
        <x:f t="shared" ref="N392:N423" si="78">+E392/C392*K392</x:f>
        <x:v>0</x:v>
      </x:c>
      <x:c r="O392" s="10"/>
    </x:row>
    <x:row r="393" spans="1:15" s="7" customFormat="1" outlineLevel="2" x14ac:dyDescent="0.25">
      <x:c r="A393" s="4">
        <x:v>367</x:v>
      </x:c>
      <x:c r="B393" s="5" t="s">
        <x:v>51</x:v>
      </x:c>
      <x:c r="C393" s="6">
        <x:v>20998673.379999999</x:v>
      </x:c>
      <x:c r="D393" s="6">
        <x:v>20998673.379999999</x:v>
      </x:c>
      <x:c r="E393" s="6"/>
      <x:c r="F393" s="7">
        <x:v>51</x:v>
      </x:c>
      <x:c r="G393" s="6">
        <x:v>27.834942000000002</x:v>
      </x:c>
      <x:c r="H393" s="8">
        <x:v>-0.3</x:v>
      </x:c>
      <x:c r="I393" s="6">
        <x:f t="shared" si="75"/>
        <x:v>12399335.937293781</x:v>
      </x:c>
      <x:c r="J393" s="23">
        <x:v>1.0730906994608425</x:v>
      </x:c>
      <x:c r="K393" s="9">
        <x:f t="shared" si="76"/>
        <x:v>13305612.073800543</x:v>
      </x:c>
      <x:c r="L393" s="6"/>
      <x:c r="M393" s="10">
        <x:f t="shared" si="77"/>
        <x:v>13305612.073800543</x:v>
      </x:c>
      <x:c r="N393" s="10">
        <x:f t="shared" si="78"/>
        <x:v>0</x:v>
      </x:c>
      <x:c r="O393" s="10"/>
    </x:row>
    <x:row r="394" spans="1:15" s="7" customFormat="1" outlineLevel="2" x14ac:dyDescent="0.25">
      <x:c r="A394" s="4">
        <x:v>367</x:v>
      </x:c>
      <x:c r="B394" s="5" t="s">
        <x:v>52</x:v>
      </x:c>
      <x:c r="C394" s="6">
        <x:v>16335782.199999999</x:v>
      </x:c>
      <x:c r="D394" s="6">
        <x:v>16335782.199999999</x:v>
      </x:c>
      <x:c r="E394" s="6"/>
      <x:c r="F394" s="7">
        <x:v>51</x:v>
      </x:c>
      <x:c r="G394" s="6">
        <x:v>27.305844</x:v>
      </x:c>
      <x:c r="H394" s="8">
        <x:v>-0.3</x:v>
      </x:c>
      <x:c r="I394" s="6">
        <x:f t="shared" si="75"/>
        <x:v>9866300.8505386319</x:v>
      </x:c>
      <x:c r="J394" s="23">
        <x:v>1.0730906994608425</x:v>
      </x:c>
      <x:c r="K394" s="9">
        <x:f t="shared" si="76"/>
        <x:v>10587435.680795606</x:v>
      </x:c>
      <x:c r="L394" s="6"/>
      <x:c r="M394" s="10">
        <x:f t="shared" si="77"/>
        <x:v>10587435.680795606</x:v>
      </x:c>
      <x:c r="N394" s="10">
        <x:f t="shared" si="78"/>
        <x:v>0</x:v>
      </x:c>
      <x:c r="O394" s="10"/>
    </x:row>
    <x:row r="395" spans="1:15" s="7" customFormat="1" outlineLevel="2" x14ac:dyDescent="0.25">
      <x:c r="A395" s="4">
        <x:v>367</x:v>
      </x:c>
      <x:c r="B395" s="5" t="s">
        <x:v>53</x:v>
      </x:c>
      <x:c r="C395" s="6">
        <x:v>12232958.699999999</x:v>
      </x:c>
      <x:c r="D395" s="6">
        <x:v>12232958.699999999</x:v>
      </x:c>
      <x:c r="E395" s="6"/>
      <x:c r="F395" s="7">
        <x:v>51</x:v>
      </x:c>
      <x:c r="G395" s="6">
        <x:v>26.781101</x:v>
      </x:c>
      <x:c r="H395" s="8">
        <x:v>-0.3</x:v>
      </x:c>
      <x:c r="I395" s="6">
        <x:f t="shared" si="75"/>
        <x:v>7551949.5802826006</x:v>
      </x:c>
      <x:c r="J395" s="23">
        <x:v>1.0730906994608425</x:v>
      </x:c>
      <x:c r="K395" s="9">
        <x:f t="shared" si="76"/>
        <x:v>8103926.8573984718</x:v>
      </x:c>
      <x:c r="L395" s="6"/>
      <x:c r="M395" s="10">
        <x:f t="shared" si="77"/>
        <x:v>8103926.8573984718</x:v>
      </x:c>
      <x:c r="N395" s="10">
        <x:f t="shared" si="78"/>
        <x:v>0</x:v>
      </x:c>
      <x:c r="O395" s="10"/>
    </x:row>
    <x:row r="396" spans="1:15" s="7" customFormat="1" outlineLevel="2" x14ac:dyDescent="0.25">
      <x:c r="A396" s="4">
        <x:v>367</x:v>
      </x:c>
      <x:c r="B396" s="5" t="s">
        <x:v>54</x:v>
      </x:c>
      <x:c r="C396" s="6">
        <x:v>9405159.6199999992</x:v>
      </x:c>
      <x:c r="D396" s="6">
        <x:v>9405159.6199999992</x:v>
      </x:c>
      <x:c r="E396" s="6"/>
      <x:c r="F396" s="7">
        <x:v>51</x:v>
      </x:c>
      <x:c r="G396" s="6">
        <x:v>26.260770999999998</x:v>
      </x:c>
      <x:c r="H396" s="8">
        <x:v>-0.3</x:v>
      </x:c>
      <x:c r="I396" s="6">
        <x:f t="shared" si="75"/>
        <x:v>5930966.9981755475</x:v>
      </x:c>
      <x:c r="J396" s="23">
        <x:v>1.0730906994608425</x:v>
      </x:c>
      <x:c r="K396" s="9">
        <x:f t="shared" si="76"/>
        <x:v>6364465.5245513711</x:v>
      </x:c>
      <x:c r="L396" s="6"/>
      <x:c r="M396" s="10">
        <x:f t="shared" si="77"/>
        <x:v>6364465.5245513711</x:v>
      </x:c>
      <x:c r="N396" s="10">
        <x:f t="shared" si="78"/>
        <x:v>0</x:v>
      </x:c>
      <x:c r="O396" s="10"/>
    </x:row>
    <x:row r="397" spans="1:15" s="7" customFormat="1" outlineLevel="2" x14ac:dyDescent="0.25">
      <x:c r="A397" s="4">
        <x:v>367</x:v>
      </x:c>
      <x:c r="B397" s="5" t="s">
        <x:v>55</x:v>
      </x:c>
      <x:c r="C397" s="6">
        <x:v>12218362.279999999</x:v>
      </x:c>
      <x:c r="D397" s="6">
        <x:v>12218362.279999999</x:v>
      </x:c>
      <x:c r="E397" s="6"/>
      <x:c r="F397" s="7">
        <x:v>51</x:v>
      </x:c>
      <x:c r="G397" s="6">
        <x:v>25.744896000000001</x:v>
      </x:c>
      <x:c r="H397" s="8">
        <x:v>-0.3</x:v>
      </x:c>
      <x:c r="I397" s="6">
        <x:f t="shared" si="75"/>
        <x:v>7865663.002321573</x:v>
      </x:c>
      <x:c r="J397" s="23">
        <x:v>1.0730906994608425</x:v>
      </x:c>
      <x:c r="K397" s="9">
        <x:f t="shared" si="76"/>
        <x:v>8440569.8128845263</x:v>
      </x:c>
      <x:c r="L397" s="6"/>
      <x:c r="M397" s="10">
        <x:f t="shared" si="77"/>
        <x:v>8440569.8128845263</x:v>
      </x:c>
      <x:c r="N397" s="10">
        <x:f t="shared" si="78"/>
        <x:v>0</x:v>
      </x:c>
      <x:c r="O397" s="10"/>
    </x:row>
    <x:row r="398" spans="1:15" s="7" customFormat="1" outlineLevel="2" x14ac:dyDescent="0.25">
      <x:c r="A398" s="4">
        <x:v>367</x:v>
      </x:c>
      <x:c r="B398" s="5" t="s">
        <x:v>56</x:v>
      </x:c>
      <x:c r="C398" s="6">
        <x:v>6216129.1699999999</x:v>
      </x:c>
      <x:c r="D398" s="6">
        <x:v>6216129.1699999999</x:v>
      </x:c>
      <x:c r="E398" s="6"/>
      <x:c r="F398" s="7">
        <x:v>51</x:v>
      </x:c>
      <x:c r="G398" s="6">
        <x:v>25.233515000000001</x:v>
      </x:c>
      <x:c r="H398" s="8">
        <x:v>-0.3</x:v>
      </x:c>
      <x:c r="I398" s="6">
        <x:f t="shared" si="75"/>
        <x:v>4082708.6023907382</x:v>
      </x:c>
      <x:c r="J398" s="23">
        <x:v>1.0730906994608425</x:v>
      </x:c>
      <x:c r="K398" s="9">
        <x:f t="shared" si="76"/>
        <x:v>4381116.6298342757</x:v>
      </x:c>
      <x:c r="L398" s="6"/>
      <x:c r="M398" s="10">
        <x:f t="shared" si="77"/>
        <x:v>4381116.6298342757</x:v>
      </x:c>
      <x:c r="N398" s="10">
        <x:f t="shared" si="78"/>
        <x:v>0</x:v>
      </x:c>
      <x:c r="O398" s="10"/>
    </x:row>
    <x:row r="399" spans="1:15" s="7" customFormat="1" outlineLevel="2" x14ac:dyDescent="0.25">
      <x:c r="A399" s="4">
        <x:v>367</x:v>
      </x:c>
      <x:c r="B399" s="5" t="s">
        <x:v>57</x:v>
      </x:c>
      <x:c r="C399" s="6">
        <x:v>6249281.4699999997</x:v>
      </x:c>
      <x:c r="D399" s="6">
        <x:v>6249281.4699999997</x:v>
      </x:c>
      <x:c r="E399" s="6"/>
      <x:c r="F399" s="7">
        <x:v>51</x:v>
      </x:c>
      <x:c r="G399" s="6">
        <x:v>24.726658</x:v>
      </x:c>
      <x:c r="H399" s="8">
        <x:v>-0.3</x:v>
      </x:c>
      <x:c r="I399" s="6">
        <x:f t="shared" si="75"/>
        <x:v>4185222.7864753832</x:v>
      </x:c>
      <x:c r="J399" s="23">
        <x:v>1.0730906994608425</x:v>
      </x:c>
      <x:c r="K399" s="9">
        <x:f t="shared" si="76"/>
        <x:v>4491123.6473383252</x:v>
      </x:c>
      <x:c r="L399" s="6"/>
      <x:c r="M399" s="10">
        <x:f t="shared" si="77"/>
        <x:v>4491123.6473383252</x:v>
      </x:c>
      <x:c r="N399" s="10">
        <x:f t="shared" si="78"/>
        <x:v>0</x:v>
      </x:c>
      <x:c r="O399" s="10"/>
    </x:row>
    <x:row r="400" spans="1:15" s="7" customFormat="1" outlineLevel="2" x14ac:dyDescent="0.25">
      <x:c r="A400" s="4">
        <x:v>367</x:v>
      </x:c>
      <x:c r="B400" s="5" t="s">
        <x:v>58</x:v>
      </x:c>
      <x:c r="C400" s="6">
        <x:v>4525002.7300000004</x:v>
      </x:c>
      <x:c r="D400" s="6">
        <x:v>4525002.7300000004</x:v>
      </x:c>
      <x:c r="E400" s="6"/>
      <x:c r="F400" s="7">
        <x:v>51</x:v>
      </x:c>
      <x:c r="G400" s="6">
        <x:v>24.224349</x:v>
      </x:c>
      <x:c r="H400" s="8">
        <x:v>-0.3</x:v>
      </x:c>
      <x:c r="I400" s="6">
        <x:f t="shared" si="75"/>
        <x:v>3088389.4516526558</x:v>
      </x:c>
      <x:c r="J400" s="23">
        <x:v>1.0730906994608425</x:v>
      </x:c>
      <x:c r="K400" s="9">
        <x:f t="shared" si="76"/>
        <x:v>3314121.9968814361</x:v>
      </x:c>
      <x:c r="L400" s="6"/>
      <x:c r="M400" s="10">
        <x:f t="shared" si="77"/>
        <x:v>3314121.9968814361</x:v>
      </x:c>
      <x:c r="N400" s="10">
        <x:f t="shared" si="78"/>
        <x:v>0</x:v>
      </x:c>
      <x:c r="O400" s="10"/>
    </x:row>
    <x:row r="401" spans="1:15" s="7" customFormat="1" outlineLevel="2" x14ac:dyDescent="0.25">
      <x:c r="A401" s="4">
        <x:v>367</x:v>
      </x:c>
      <x:c r="B401" s="5" t="s">
        <x:v>59</x:v>
      </x:c>
      <x:c r="C401" s="6">
        <x:v>3593527.14</x:v>
      </x:c>
      <x:c r="D401" s="6">
        <x:v>3593527.14</x:v>
      </x:c>
      <x:c r="E401" s="6"/>
      <x:c r="F401" s="7">
        <x:v>51</x:v>
      </x:c>
      <x:c r="G401" s="6">
        <x:v>23.726595</x:v>
      </x:c>
      <x:c r="H401" s="8">
        <x:v>-0.3</x:v>
      </x:c>
      <x:c r="I401" s="6">
        <x:f t="shared" si="75"/>
        <x:v>2498236.0272161812</x:v>
      </x:c>
      <x:c r="J401" s="23">
        <x:v>1.0730906994608425</x:v>
      </x:c>
      <x:c r="K401" s="9">
        <x:f t="shared" si="76"/>
        <x:v>2680833.8458636883</x:v>
      </x:c>
      <x:c r="L401" s="6"/>
      <x:c r="M401" s="10">
        <x:f t="shared" si="77"/>
        <x:v>2680833.8458636883</x:v>
      </x:c>
      <x:c r="N401" s="10">
        <x:f t="shared" si="78"/>
        <x:v>0</x:v>
      </x:c>
      <x:c r="O401" s="10"/>
    </x:row>
    <x:row r="402" spans="1:15" s="7" customFormat="1" outlineLevel="2" x14ac:dyDescent="0.25">
      <x:c r="A402" s="4">
        <x:v>367</x:v>
      </x:c>
      <x:c r="B402" s="5" t="s">
        <x:v>60</x:v>
      </x:c>
      <x:c r="C402" s="6">
        <x:v>4410027.96</x:v>
      </x:c>
      <x:c r="D402" s="6">
        <x:v>4410027.96</x:v>
      </x:c>
      <x:c r="E402" s="6"/>
      <x:c r="F402" s="7">
        <x:v>51</x:v>
      </x:c>
      <x:c r="G402" s="6">
        <x:v>23.233405000000001</x:v>
      </x:c>
      <x:c r="H402" s="8">
        <x:v>-0.3</x:v>
      </x:c>
      <x:c r="I402" s="6">
        <x:f t="shared" si="75"/>
        <x:v>3121311.7332391189</x:v>
      </x:c>
      <x:c r="J402" s="23">
        <x:v>1.0730906994608425</x:v>
      </x:c>
      <x:c r="K402" s="9">
        <x:f t="shared" si="76"/>
        <x:v>3349450.5910569006</x:v>
      </x:c>
      <x:c r="L402" s="6"/>
      <x:c r="M402" s="10">
        <x:f t="shared" si="77"/>
        <x:v>3349450.5910569006</x:v>
      </x:c>
      <x:c r="N402" s="10">
        <x:f t="shared" si="78"/>
        <x:v>0</x:v>
      </x:c>
      <x:c r="O402" s="10"/>
    </x:row>
    <x:row r="403" spans="1:15" s="7" customFormat="1" outlineLevel="2" x14ac:dyDescent="0.25">
      <x:c r="A403" s="4">
        <x:v>367</x:v>
      </x:c>
      <x:c r="B403" s="5" t="s">
        <x:v>61</x:v>
      </x:c>
      <x:c r="C403" s="6">
        <x:v>3996007.52</x:v>
      </x:c>
      <x:c r="D403" s="6">
        <x:v>3996007.52</x:v>
      </x:c>
      <x:c r="E403" s="6"/>
      <x:c r="F403" s="7">
        <x:v>51</x:v>
      </x:c>
      <x:c r="G403" s="6">
        <x:v>22.744769999999999</x:v>
      </x:c>
      <x:c r="H403" s="8">
        <x:v>-0.3</x:v>
      </x:c>
      <x:c r="I403" s="6">
        <x:f t="shared" si="75"/>
        <x:v>2878049.9024927155</x:v>
      </x:c>
      <x:c r="J403" s="23">
        <x:v>1.0730906994608425</x:v>
      </x:c>
      <x:c r="K403" s="9">
        <x:f t="shared" si="76"/>
        <x:v>3088408.5829491173</x:v>
      </x:c>
      <x:c r="L403" s="6"/>
      <x:c r="M403" s="10">
        <x:f t="shared" si="77"/>
        <x:v>3088408.5829491173</x:v>
      </x:c>
      <x:c r="N403" s="10">
        <x:f t="shared" si="78"/>
        <x:v>0</x:v>
      </x:c>
      <x:c r="O403" s="10"/>
    </x:row>
    <x:row r="404" spans="1:15" s="7" customFormat="1" outlineLevel="2" x14ac:dyDescent="0.25">
      <x:c r="A404" s="4">
        <x:v>367</x:v>
      </x:c>
      <x:c r="B404" s="5" t="s">
        <x:v>62</x:v>
      </x:c>
      <x:c r="C404" s="6">
        <x:v>5772569.2699999996</x:v>
      </x:c>
      <x:c r="D404" s="6">
        <x:v>5772569.2699999996</x:v>
      </x:c>
      <x:c r="E404" s="6"/>
      <x:c r="F404" s="7">
        <x:v>51</x:v>
      </x:c>
      <x:c r="G404" s="6">
        <x:v>22.260677000000001</x:v>
      </x:c>
      <x:c r="H404" s="8">
        <x:v>-0.3</x:v>
      </x:c>
      <x:c r="I404" s="6">
        <x:f t="shared" si="75"/>
        <x:v>4228816.7181867743</x:v>
      </x:c>
      <x:c r="J404" s="23">
        <x:v>1.0730906994608425</x:v>
      </x:c>
      <x:c r="K404" s="9">
        <x:f t="shared" si="76"/>
        <x:v>4537903.8900107499</x:v>
      </x:c>
      <x:c r="L404" s="6"/>
      <x:c r="M404" s="10">
        <x:f t="shared" si="77"/>
        <x:v>4537903.8900107499</x:v>
      </x:c>
      <x:c r="N404" s="10">
        <x:f t="shared" si="78"/>
        <x:v>0</x:v>
      </x:c>
      <x:c r="O404" s="10"/>
    </x:row>
    <x:row r="405" spans="1:15" s="7" customFormat="1" outlineLevel="2" x14ac:dyDescent="0.25">
      <x:c r="A405" s="4">
        <x:v>367</x:v>
      </x:c>
      <x:c r="B405" s="5" t="s">
        <x:v>63</x:v>
      </x:c>
      <x:c r="C405" s="6">
        <x:v>4879472.88</x:v>
      </x:c>
      <x:c r="D405" s="6">
        <x:v>4879472.88</x:v>
      </x:c>
      <x:c r="E405" s="6"/>
      <x:c r="F405" s="7">
        <x:v>51</x:v>
      </x:c>
      <x:c r="G405" s="6">
        <x:v>21.781130000000001</x:v>
      </x:c>
      <x:c r="H405" s="8">
        <x:v>-0.3</x:v>
      </x:c>
      <x:c r="I405" s="6">
        <x:f t="shared" si="75"/>
        <x:v>3634205.6641964563</x:v>
      </x:c>
      <x:c r="J405" s="23">
        <x:v>1.0730906994608425</x:v>
      </x:c>
      <x:c r="K405" s="9">
        <x:f t="shared" si="76"/>
        <x:v>3899832.298177131</x:v>
      </x:c>
      <x:c r="L405" s="6"/>
      <x:c r="M405" s="10">
        <x:f t="shared" si="77"/>
        <x:v>3899832.298177131</x:v>
      </x:c>
      <x:c r="N405" s="10">
        <x:f t="shared" si="78"/>
        <x:v>0</x:v>
      </x:c>
      <x:c r="O405" s="10"/>
    </x:row>
    <x:row r="406" spans="1:15" s="7" customFormat="1" outlineLevel="2" x14ac:dyDescent="0.25">
      <x:c r="A406" s="4">
        <x:v>367</x:v>
      </x:c>
      <x:c r="B406" s="5" t="s">
        <x:v>64</x:v>
      </x:c>
      <x:c r="C406" s="6">
        <x:v>10318732.220000001</x:v>
      </x:c>
      <x:c r="D406" s="6">
        <x:v>10318732.220000001</x:v>
      </x:c>
      <x:c r="E406" s="6"/>
      <x:c r="F406" s="7">
        <x:v>51</x:v>
      </x:c>
      <x:c r="G406" s="6">
        <x:v>21.306090000000001</x:v>
      </x:c>
      <x:c r="H406" s="8">
        <x:v>-0.3</x:v>
      </x:c>
      <x:c r="I406" s="6">
        <x:f t="shared" si="75"/>
        <x:v>7810285.4433571426</x:v>
      </x:c>
      <x:c r="J406" s="23">
        <x:v>1.0730906994608425</x:v>
      </x:c>
      <x:c r="K406" s="9">
        <x:f t="shared" si="76"/>
        <x:v>8381144.6694009518</x:v>
      </x:c>
      <x:c r="L406" s="6"/>
      <x:c r="M406" s="10">
        <x:f t="shared" si="77"/>
        <x:v>8381144.6694009528</x:v>
      </x:c>
      <x:c r="N406" s="10">
        <x:f t="shared" si="78"/>
        <x:v>0</x:v>
      </x:c>
      <x:c r="O406" s="10"/>
    </x:row>
    <x:row r="407" spans="1:15" s="7" customFormat="1" outlineLevel="2" x14ac:dyDescent="0.25">
      <x:c r="A407" s="4">
        <x:v>367</x:v>
      </x:c>
      <x:c r="B407" s="5" t="s">
        <x:v>65</x:v>
      </x:c>
      <x:c r="C407" s="6">
        <x:v>3651314.43</x:v>
      </x:c>
      <x:c r="D407" s="6">
        <x:v>3651314.43</x:v>
      </x:c>
      <x:c r="E407" s="6"/>
      <x:c r="F407" s="7">
        <x:v>51</x:v>
      </x:c>
      <x:c r="G407" s="6">
        <x:v>20.835508000000001</x:v>
      </x:c>
      <x:c r="H407" s="8">
        <x:v>-0.3</x:v>
      </x:c>
      <x:c r="I407" s="6">
        <x:f t="shared" si="75"/>
        <x:v>2807491.3409252046</x:v>
      </x:c>
      <x:c r="J407" s="23">
        <x:v>1.0730906994608425</x:v>
      </x:c>
      <x:c r="K407" s="9">
        <x:f t="shared" si="76"/>
        <x:v>3012692.8467636863</x:v>
      </x:c>
      <x:c r="L407" s="6"/>
      <x:c r="M407" s="10">
        <x:f t="shared" si="77"/>
        <x:v>3012692.8467636863</x:v>
      </x:c>
      <x:c r="N407" s="10">
        <x:f t="shared" si="78"/>
        <x:v>0</x:v>
      </x:c>
      <x:c r="O407" s="10"/>
    </x:row>
    <x:row r="408" spans="1:15" s="7" customFormat="1" outlineLevel="2" x14ac:dyDescent="0.25">
      <x:c r="A408" s="4">
        <x:v>367</x:v>
      </x:c>
      <x:c r="B408" s="5" t="s">
        <x:v>66</x:v>
      </x:c>
      <x:c r="C408" s="6">
        <x:v>2483514.44</x:v>
      </x:c>
      <x:c r="D408" s="6">
        <x:v>2483514.44</x:v>
      </x:c>
      <x:c r="E408" s="6"/>
      <x:c r="F408" s="7">
        <x:v>51</x:v>
      </x:c>
      <x:c r="G408" s="6">
        <x:v>20.369340000000001</x:v>
      </x:c>
      <x:c r="H408" s="8">
        <x:v>-0.3</x:v>
      </x:c>
      <x:c r="I408" s="6">
        <x:f t="shared" si="75"/>
        <x:v>1939082.2027794023</x:v>
      </x:c>
      <x:c r="J408" s="23">
        <x:v>1.0730906994608425</x:v>
      </x:c>
      <x:c r="K408" s="9">
        <x:f t="shared" si="76"/>
        <x:v>2080811.07729262</x:v>
      </x:c>
      <x:c r="L408" s="6"/>
      <x:c r="M408" s="10">
        <x:f t="shared" si="77"/>
        <x:v>2080811.07729262</x:v>
      </x:c>
      <x:c r="N408" s="10">
        <x:f t="shared" si="78"/>
        <x:v>0</x:v>
      </x:c>
      <x:c r="O408" s="10"/>
    </x:row>
    <x:row r="409" spans="1:15" s="7" customFormat="1" outlineLevel="2" x14ac:dyDescent="0.25">
      <x:c r="A409" s="4">
        <x:v>367</x:v>
      </x:c>
      <x:c r="B409" s="5" t="s">
        <x:v>67</x:v>
      </x:c>
      <x:c r="C409" s="6">
        <x:v>2441560.52</x:v>
      </x:c>
      <x:c r="D409" s="6">
        <x:v>2441560.52</x:v>
      </x:c>
      <x:c r="E409" s="6"/>
      <x:c r="F409" s="7">
        <x:v>51</x:v>
      </x:c>
      <x:c r="G409" s="6">
        <x:v>19.907533999999998</x:v>
      </x:c>
      <x:c r="H409" s="8">
        <x:v>-0.3</x:v>
      </x:c>
      <x:c r="I409" s="6">
        <x:f t="shared" si="75"/>
        <x:v>1935066.2488540201</x:v>
      </x:c>
      <x:c r="J409" s="23">
        <x:v>1.0730906994608425</x:v>
      </x:c>
      <x:c r="K409" s="9">
        <x:f t="shared" si="76"/>
        <x:v>2076501.5944858291</x:v>
      </x:c>
      <x:c r="L409" s="6"/>
      <x:c r="M409" s="10">
        <x:f t="shared" si="77"/>
        <x:v>2076501.5944858291</x:v>
      </x:c>
      <x:c r="N409" s="10">
        <x:f t="shared" si="78"/>
        <x:v>0</x:v>
      </x:c>
      <x:c r="O409" s="10"/>
    </x:row>
    <x:row r="410" spans="1:15" s="7" customFormat="1" outlineLevel="2" x14ac:dyDescent="0.25">
      <x:c r="A410" s="4">
        <x:v>367</x:v>
      </x:c>
      <x:c r="B410" s="5" t="s">
        <x:v>68</x:v>
      </x:c>
      <x:c r="C410" s="6">
        <x:v>1291970.83</x:v>
      </x:c>
      <x:c r="D410" s="6">
        <x:v>1291970.83</x:v>
      </x:c>
      <x:c r="E410" s="6"/>
      <x:c r="F410" s="7">
        <x:v>51</x:v>
      </x:c>
      <x:c r="G410" s="6">
        <x:v>19.450030000000002</x:v>
      </x:c>
      <x:c r="H410" s="8">
        <x:v>-0.3</x:v>
      </x:c>
      <x:c r="I410" s="6">
        <x:f t="shared" si="75"/>
        <x:v>1039022.2197174045</x:v>
      </x:c>
      <x:c r="J410" s="23">
        <x:v>1.0730906994608425</x:v>
      </x:c>
      <x:c r="K410" s="9">
        <x:f t="shared" si="76"/>
        <x:v>1114965.0805119066</x:v>
      </x:c>
      <x:c r="L410" s="6"/>
      <x:c r="M410" s="10">
        <x:f t="shared" si="77"/>
        <x:v>1114965.0805119066</x:v>
      </x:c>
      <x:c r="N410" s="10">
        <x:f t="shared" si="78"/>
        <x:v>0</x:v>
      </x:c>
      <x:c r="O410" s="10"/>
    </x:row>
    <x:row r="411" spans="1:15" s="7" customFormat="1" outlineLevel="2" x14ac:dyDescent="0.25">
      <x:c r="A411" s="4">
        <x:v>367</x:v>
      </x:c>
      <x:c r="B411" s="5" t="s">
        <x:v>69</x:v>
      </x:c>
      <x:c r="C411" s="6">
        <x:v>2629107.36</x:v>
      </x:c>
      <x:c r="D411" s="6">
        <x:v>2629107.36</x:v>
      </x:c>
      <x:c r="E411" s="6"/>
      <x:c r="F411" s="7">
        <x:v>51</x:v>
      </x:c>
      <x:c r="G411" s="6">
        <x:v>18.996763000000001</x:v>
      </x:c>
      <x:c r="H411" s="8">
        <x:v>-0.3</x:v>
      </x:c>
      <x:c r="I411" s="6">
        <x:f t="shared" si="75"/>
        <x:v>2144743.7200525803</x:v>
      </x:c>
      <x:c r="J411" s="23">
        <x:v>1.0730906994608425</x:v>
      </x:c>
      <x:c r="K411" s="9">
        <x:f t="shared" si="76"/>
        <x:v>2301504.5387154729</x:v>
      </x:c>
      <x:c r="L411" s="6"/>
      <x:c r="M411" s="10">
        <x:f t="shared" si="77"/>
        <x:v>2301504.5387154729</x:v>
      </x:c>
      <x:c r="N411" s="10">
        <x:f t="shared" si="78"/>
        <x:v>0</x:v>
      </x:c>
      <x:c r="O411" s="10"/>
    </x:row>
    <x:row r="412" spans="1:15" s="7" customFormat="1" outlineLevel="2" x14ac:dyDescent="0.25">
      <x:c r="A412" s="4">
        <x:v>367</x:v>
      </x:c>
      <x:c r="B412" s="5" t="s">
        <x:v>70</x:v>
      </x:c>
      <x:c r="C412" s="6">
        <x:v>728600.94</x:v>
      </x:c>
      <x:c r="D412" s="6">
        <x:v>728600.94</x:v>
      </x:c>
      <x:c r="E412" s="6"/>
      <x:c r="F412" s="7">
        <x:v>51</x:v>
      </x:c>
      <x:c r="G412" s="6">
        <x:v>18.547656</x:v>
      </x:c>
      <x:c r="H412" s="8">
        <x:v>-0.3</x:v>
      </x:c>
      <x:c r="I412" s="6">
        <x:f t="shared" si="75"/>
        <x:v>602710.80091537966</x:v>
      </x:c>
      <x:c r="J412" s="23">
        <x:v>1.0730906994608425</x:v>
      </x:c>
      <x:c r="K412" s="9">
        <x:f t="shared" si="76"/>
        <x:v>646763.3549268893</x:v>
      </x:c>
      <x:c r="L412" s="6"/>
      <x:c r="M412" s="10">
        <x:f t="shared" si="77"/>
        <x:v>646763.3549268893</x:v>
      </x:c>
      <x:c r="N412" s="10">
        <x:f t="shared" si="78"/>
        <x:v>0</x:v>
      </x:c>
      <x:c r="O412" s="10"/>
    </x:row>
    <x:row r="413" spans="1:15" s="7" customFormat="1" outlineLevel="2" x14ac:dyDescent="0.25">
      <x:c r="A413" s="4">
        <x:v>367</x:v>
      </x:c>
      <x:c r="B413" s="5" t="s">
        <x:v>71</x:v>
      </x:c>
      <x:c r="C413" s="6">
        <x:v>1744502.01</x:v>
      </x:c>
      <x:c r="D413" s="6">
        <x:v>1744502.01</x:v>
      </x:c>
      <x:c r="E413" s="6"/>
      <x:c r="F413" s="7">
        <x:v>51</x:v>
      </x:c>
      <x:c r="G413" s="6">
        <x:v>18.102634999999999</x:v>
      </x:c>
      <x:c r="H413" s="8">
        <x:v>-0.3</x:v>
      </x:c>
      <x:c r="I413" s="6">
        <x:f t="shared" si="75"/>
        <x:v>1462870.1014914657</x:v>
      </x:c>
      <x:c r="J413" s="23">
        <x:v>1.0730906994608425</x:v>
      </x:c>
      <x:c r="K413" s="9">
        <x:f t="shared" si="76"/>
        <x:v>1569792.3004298306</x:v>
      </x:c>
      <x:c r="L413" s="6"/>
      <x:c r="M413" s="10">
        <x:f t="shared" si="77"/>
        <x:v>1569792.3004298306</x:v>
      </x:c>
      <x:c r="N413" s="10">
        <x:f t="shared" si="78"/>
        <x:v>0</x:v>
      </x:c>
      <x:c r="O413" s="10"/>
    </x:row>
    <x:row r="414" spans="1:15" s="7" customFormat="1" outlineLevel="2" x14ac:dyDescent="0.25">
      <x:c r="A414" s="4">
        <x:v>367</x:v>
      </x:c>
      <x:c r="B414" s="5" t="s">
        <x:v>72</x:v>
      </x:c>
      <x:c r="C414" s="6">
        <x:v>13069.59</x:v>
      </x:c>
      <x:c r="D414" s="6">
        <x:v>13069.59</x:v>
      </x:c>
      <x:c r="E414" s="6"/>
      <x:c r="F414" s="7">
        <x:v>51</x:v>
      </x:c>
      <x:c r="G414" s="6">
        <x:v>17.661605000000002</x:v>
      </x:c>
      <x:c r="H414" s="8">
        <x:v>-0.3</x:v>
      </x:c>
      <x:c r="I414" s="6">
        <x:f t="shared" si="75"/>
        <x:v>11106.566668244412</x:v>
      </x:c>
      <x:c r="J414" s="23">
        <x:v>1.0730906994608425</x:v>
      </x:c>
      <x:c r="K414" s="9">
        <x:f t="shared" si="76"/>
        <x:v>11918.353394634874</x:v>
      </x:c>
      <x:c r="L414" s="6"/>
      <x:c r="M414" s="10">
        <x:f t="shared" si="77"/>
        <x:v>11918.353394634874</x:v>
      </x:c>
      <x:c r="N414" s="10">
        <x:f t="shared" si="78"/>
        <x:v>0</x:v>
      </x:c>
      <x:c r="O414" s="10"/>
    </x:row>
    <x:row r="415" spans="1:15" s="7" customFormat="1" outlineLevel="2" x14ac:dyDescent="0.25">
      <x:c r="A415" s="4">
        <x:v>367</x:v>
      </x:c>
      <x:c r="B415" s="5" t="s">
        <x:v>73</x:v>
      </x:c>
      <x:c r="C415" s="6">
        <x:v>12222.93</x:v>
      </x:c>
      <x:c r="D415" s="6">
        <x:v>12222.93</x:v>
      </x:c>
      <x:c r="E415" s="6"/>
      <x:c r="F415" s="7">
        <x:v>51</x:v>
      </x:c>
      <x:c r="G415" s="6">
        <x:v>17.224471000000001</x:v>
      </x:c>
      <x:c r="H415" s="8">
        <x:v>-0.3</x:v>
      </x:c>
      <x:c r="I415" s="6">
        <x:f t="shared" si="75"/>
        <x:v>10523.268719293354</x:v>
      </x:c>
      <x:c r="J415" s="23">
        <x:v>1.0730906994608425</x:v>
      </x:c>
      <x:c r="K415" s="9">
        <x:f t="shared" si="76"/>
        <x:v>11292.421790600909</x:v>
      </x:c>
      <x:c r="L415" s="6"/>
      <x:c r="M415" s="10">
        <x:f t="shared" si="77"/>
        <x:v>11292.421790600909</x:v>
      </x:c>
      <x:c r="N415" s="10">
        <x:f t="shared" si="78"/>
        <x:v>0</x:v>
      </x:c>
      <x:c r="O415" s="10"/>
    </x:row>
    <x:row r="416" spans="1:15" s="7" customFormat="1" outlineLevel="2" x14ac:dyDescent="0.25">
      <x:c r="A416" s="4">
        <x:v>367</x:v>
      </x:c>
      <x:c r="B416" s="5" t="s">
        <x:v>74</x:v>
      </x:c>
      <x:c r="C416" s="6">
        <x:v>4553.6400000000003</x:v>
      </x:c>
      <x:c r="D416" s="6">
        <x:v>4553.6400000000003</x:v>
      </x:c>
      <x:c r="E416" s="6"/>
      <x:c r="F416" s="7">
        <x:v>51</x:v>
      </x:c>
      <x:c r="G416" s="6">
        <x:v>16.791129999999999</x:v>
      </x:c>
      <x:c r="H416" s="8">
        <x:v>-0.3</x:v>
      </x:c>
      <x:c r="I416" s="6">
        <x:f t="shared" si="75"/>
        <x:v>3970.7322043694126</x:v>
      </x:c>
      <x:c r="J416" s="23">
        <x:v>1.0730906994608425</x:v>
      </x:c>
      <x:c r="K416" s="9">
        <x:f t="shared" si="76"/>
        <x:v>4260.9557985584661</x:v>
      </x:c>
      <x:c r="L416" s="6"/>
      <x:c r="M416" s="10">
        <x:f t="shared" si="77"/>
        <x:v>4260.9557985584661</x:v>
      </x:c>
      <x:c r="N416" s="10">
        <x:f t="shared" si="78"/>
        <x:v>0</x:v>
      </x:c>
      <x:c r="O416" s="10"/>
    </x:row>
    <x:row r="417" spans="1:15" s="7" customFormat="1" outlineLevel="2" x14ac:dyDescent="0.25">
      <x:c r="A417" s="4">
        <x:v>367</x:v>
      </x:c>
      <x:c r="B417" s="5" t="s">
        <x:v>75</x:v>
      </x:c>
      <x:c r="C417" s="6">
        <x:v>38605.17</x:v>
      </x:c>
      <x:c r="D417" s="6">
        <x:v>38605.17</x:v>
      </x:c>
      <x:c r="E417" s="6"/>
      <x:c r="F417" s="7">
        <x:v>51</x:v>
      </x:c>
      <x:c r="G417" s="6">
        <x:v>16.361466</x:v>
      </x:c>
      <x:c r="H417" s="8">
        <x:v>-0.3</x:v>
      </x:c>
      <x:c r="I417" s="6">
        <x:f t="shared" si="75"/>
        <x:v>34086.165523666939</x:v>
      </x:c>
      <x:c r="J417" s="23">
        <x:v>1.0730906994608425</x:v>
      </x:c>
      <x:c r="K417" s="9">
        <x:f t="shared" si="76"/>
        <x:v>36577.54720372981</x:v>
      </x:c>
      <x:c r="L417" s="6"/>
      <x:c r="M417" s="10">
        <x:f t="shared" si="77"/>
        <x:v>36577.54720372981</x:v>
      </x:c>
      <x:c r="N417" s="10">
        <x:f t="shared" si="78"/>
        <x:v>0</x:v>
      </x:c>
      <x:c r="O417" s="10"/>
    </x:row>
    <x:row r="418" spans="1:15" s="7" customFormat="1" outlineLevel="2" x14ac:dyDescent="0.25">
      <x:c r="A418" s="4">
        <x:v>367</x:v>
      </x:c>
      <x:c r="B418" s="5" t="s">
        <x:v>76</x:v>
      </x:c>
      <x:c r="C418" s="6">
        <x:v>14378.72</x:v>
      </x:c>
      <x:c r="D418" s="6">
        <x:v>14378.72</x:v>
      </x:c>
      <x:c r="E418" s="6"/>
      <x:c r="F418" s="7">
        <x:v>51</x:v>
      </x:c>
      <x:c r="G418" s="6">
        <x:v>15.935357</x:v>
      </x:c>
      <x:c r="H418" s="8">
        <x:v>-0.3</x:v>
      </x:c>
      <x:c r="I418" s="6">
        <x:f t="shared" si="75"/>
        <x:v>12851.766444628392</x:v>
      </x:c>
      <x:c r="J418" s="23">
        <x:v>1.0730906994608425</x:v>
      </x:c>
      <x:c r="K418" s="9">
        <x:f t="shared" si="76"/>
        <x:v>13791.111043373667</x:v>
      </x:c>
      <x:c r="L418" s="6"/>
      <x:c r="M418" s="10">
        <x:f t="shared" si="77"/>
        <x:v>13791.111043373667</x:v>
      </x:c>
      <x:c r="N418" s="10">
        <x:f t="shared" si="78"/>
        <x:v>0</x:v>
      </x:c>
      <x:c r="O418" s="10"/>
    </x:row>
    <x:row r="419" spans="1:15" s="7" customFormat="1" outlineLevel="2" x14ac:dyDescent="0.25">
      <x:c r="A419" s="4">
        <x:v>367</x:v>
      </x:c>
      <x:c r="B419" s="5" t="s">
        <x:v>77</x:v>
      </x:c>
      <x:c r="C419" s="6">
        <x:v>22779.13</x:v>
      </x:c>
      <x:c r="D419" s="6">
        <x:v>22779.13</x:v>
      </x:c>
      <x:c r="E419" s="6"/>
      <x:c r="F419" s="7">
        <x:v>51</x:v>
      </x:c>
      <x:c r="G419" s="6">
        <x:v>15.512672999999999</x:v>
      </x:c>
      <x:c r="H419" s="8">
        <x:v>-0.3</x:v>
      </x:c>
      <x:c r="I419" s="6">
        <x:f t="shared" si="75"/>
        <x:v>20605.520894336529</x:v>
      </x:c>
      <x:c r="J419" s="23">
        <x:v>1.0730906994608425</x:v>
      </x:c>
      <x:c r="K419" s="9">
        <x:f t="shared" si="76"/>
        <x:v>22111.592829258589</x:v>
      </x:c>
      <x:c r="L419" s="6"/>
      <x:c r="M419" s="10">
        <x:f t="shared" si="77"/>
        <x:v>22111.592829258589</x:v>
      </x:c>
      <x:c r="N419" s="10">
        <x:f t="shared" si="78"/>
        <x:v>0</x:v>
      </x:c>
      <x:c r="O419" s="10"/>
    </x:row>
    <x:row r="420" spans="1:15" s="7" customFormat="1" outlineLevel="2" x14ac:dyDescent="0.25">
      <x:c r="A420" s="4">
        <x:v>367</x:v>
      </x:c>
      <x:c r="B420" s="5" t="s">
        <x:v>78</x:v>
      </x:c>
      <x:c r="C420" s="6">
        <x:v>18191.98</x:v>
      </x:c>
      <x:c r="D420" s="6">
        <x:v>18191.98</x:v>
      </x:c>
      <x:c r="E420" s="6"/>
      <x:c r="F420" s="7">
        <x:v>51</x:v>
      </x:c>
      <x:c r="G420" s="6">
        <x:v>15.093275</x:v>
      </x:c>
      <x:c r="H420" s="8">
        <x:v>-0.3</x:v>
      </x:c>
      <x:c r="I420" s="6">
        <x:f t="shared" si="75"/>
        <x:v>16650.563725199019</x:v>
      </x:c>
      <x:c r="J420" s="23">
        <x:v>1.0730906994608425</x:v>
      </x:c>
      <x:c r="K420" s="9">
        <x:f t="shared" si="76"/>
        <x:v>17867.565074291146</x:v>
      </x:c>
      <x:c r="L420" s="6"/>
      <x:c r="M420" s="10">
        <x:f t="shared" si="77"/>
        <x:v>17867.565074291146</x:v>
      </x:c>
      <x:c r="N420" s="10">
        <x:f t="shared" si="78"/>
        <x:v>0</x:v>
      </x:c>
      <x:c r="O420" s="10"/>
    </x:row>
    <x:row r="421" spans="1:15" s="7" customFormat="1" outlineLevel="2" x14ac:dyDescent="0.25">
      <x:c r="A421" s="4">
        <x:v>367</x:v>
      </x:c>
      <x:c r="B421" s="5" t="s">
        <x:v>79</x:v>
      </x:c>
      <x:c r="C421" s="6">
        <x:v>33455.910000000003</x:v>
      </x:c>
      <x:c r="D421" s="6">
        <x:v>33455.910000000003</x:v>
      </x:c>
      <x:c r="E421" s="6"/>
      <x:c r="F421" s="7">
        <x:v>51</x:v>
      </x:c>
      <x:c r="G421" s="6">
        <x:v>14.677008000000001</x:v>
      </x:c>
      <x:c r="H421" s="8">
        <x:v>-0.3</x:v>
      </x:c>
      <x:c r="I421" s="6">
        <x:f t="shared" si="75"/>
        <x:v>30976.164248383062</x:v>
      </x:c>
      <x:c r="J421" s="23">
        <x:v>1.0730906994608425</x:v>
      </x:c>
      <x:c r="K421" s="9">
        <x:f t="shared" si="76"/>
        <x:v>33240.233759911323</x:v>
      </x:c>
      <x:c r="L421" s="6"/>
      <x:c r="M421" s="10">
        <x:f t="shared" si="77"/>
        <x:v>33240.233759911323</x:v>
      </x:c>
      <x:c r="N421" s="10">
        <x:f t="shared" si="78"/>
        <x:v>0</x:v>
      </x:c>
      <x:c r="O421" s="10"/>
    </x:row>
    <x:row r="422" spans="1:15" s="7" customFormat="1" outlineLevel="2" x14ac:dyDescent="0.25">
      <x:c r="A422" s="4">
        <x:v>367</x:v>
      </x:c>
      <x:c r="B422" s="5" t="s">
        <x:v>80</x:v>
      </x:c>
      <x:c r="C422" s="6">
        <x:v>12245.96</x:v>
      </x:c>
      <x:c r="D422" s="6">
        <x:v>12245.96</x:v>
      </x:c>
      <x:c r="E422" s="6"/>
      <x:c r="F422" s="7">
        <x:v>51</x:v>
      </x:c>
      <x:c r="G422" s="6">
        <x:v>14.263712999999999</x:v>
      </x:c>
      <x:c r="H422" s="8">
        <x:v>-0.3</x:v>
      </x:c>
      <x:c r="I422" s="6">
        <x:f t="shared" si="75"/>
        <x:v>11467.302578346587</x:v>
      </x:c>
      <x:c r="J422" s="23">
        <x:v>1.0730906994608425</x:v>
      </x:c>
      <x:c r="K422" s="9">
        <x:f t="shared" si="76"/>
        <x:v>12305.455744727062</x:v>
      </x:c>
      <x:c r="L422" s="6"/>
      <x:c r="M422" s="10">
        <x:f t="shared" si="77"/>
        <x:v>12305.455744727062</x:v>
      </x:c>
      <x:c r="N422" s="10">
        <x:f t="shared" si="78"/>
        <x:v>0</x:v>
      </x:c>
      <x:c r="O422" s="10"/>
    </x:row>
    <x:row r="423" spans="1:15" s="7" customFormat="1" outlineLevel="2" x14ac:dyDescent="0.25">
      <x:c r="A423" s="4">
        <x:v>367</x:v>
      </x:c>
      <x:c r="B423" s="5" t="s">
        <x:v>81</x:v>
      </x:c>
      <x:c r="C423" s="6">
        <x:v>32705.8</x:v>
      </x:c>
      <x:c r="D423" s="6">
        <x:v>32705.8</x:v>
      </x:c>
      <x:c r="E423" s="6"/>
      <x:c r="F423" s="7">
        <x:v>51</x:v>
      </x:c>
      <x:c r="G423" s="6">
        <x:v>13.853211999999999</x:v>
      </x:c>
      <x:c r="H423" s="8">
        <x:v>-0.3</x:v>
      </x:c>
      <x:c r="I423" s="6">
        <x:f t="shared" si="75"/>
        <x:v>30968.4322482651</x:v>
      </x:c>
      <x:c r="J423" s="23">
        <x:v>1.0730906994608425</x:v>
      </x:c>
      <x:c r="K423" s="9">
        <x:f t="shared" si="76"/>
        <x:v>33231.936622496505</x:v>
      </x:c>
      <x:c r="L423" s="6"/>
      <x:c r="M423" s="10">
        <x:f t="shared" si="77"/>
        <x:v>33231.936622496505</x:v>
      </x:c>
      <x:c r="N423" s="10">
        <x:f t="shared" si="78"/>
        <x:v>0</x:v>
      </x:c>
      <x:c r="O423" s="10"/>
    </x:row>
    <x:row r="424" spans="1:15" s="7" customFormat="1" outlineLevel="2" x14ac:dyDescent="0.25">
      <x:c r="A424" s="4">
        <x:v>367</x:v>
      </x:c>
      <x:c r="B424" s="5" t="s">
        <x:v>82</x:v>
      </x:c>
      <x:c r="C424" s="6">
        <x:v>89821.1</x:v>
      </x:c>
      <x:c r="D424" s="6">
        <x:v>89821.1</x:v>
      </x:c>
      <x:c r="E424" s="6"/>
      <x:c r="F424" s="7">
        <x:v>51</x:v>
      </x:c>
      <x:c r="G424" s="6">
        <x:v>13.445323</x:v>
      </x:c>
      <x:c r="H424" s="8">
        <x:v>-0.3</x:v>
      </x:c>
      <x:c r="I424" s="6">
        <x:f t="shared" ref="I424:I433" si="79">+C424*(1-H424)*(1-G424/F424)</x:f>
        <x:v>85983.590544511957</x:v>
      </x:c>
      <x:c r="J424" s="23">
        <x:v>1.0730906994608425</x:v>
      </x:c>
      <x:c r="K424" s="9">
        <x:f t="shared" ref="K424:K433" si="80">IF((C424*(1-H424)-I424*J424)&lt;0,C424*(1-H424),I424*J424)</x:f>
        <x:v>92268.191319565012</x:v>
      </x:c>
      <x:c r="L424" s="6"/>
      <x:c r="M424" s="10">
        <x:f t="shared" ref="M424:M433" si="81">+K424/D424*C424</x:f>
        <x:v>92268.191319564998</x:v>
      </x:c>
      <x:c r="N424" s="10">
        <x:f t="shared" ref="N424:N433" si="82">+E424/C424*K424</x:f>
        <x:v>0</x:v>
      </x:c>
      <x:c r="O424" s="10"/>
    </x:row>
    <x:row r="425" spans="1:15" s="7" customFormat="1" outlineLevel="2" x14ac:dyDescent="0.25">
      <x:c r="A425" s="4">
        <x:v>367</x:v>
      </x:c>
      <x:c r="B425" s="5" t="s">
        <x:v>83</x:v>
      </x:c>
      <x:c r="C425" s="6">
        <x:v>21520.65</x:v>
      </x:c>
      <x:c r="D425" s="6">
        <x:v>21520.65</x:v>
      </x:c>
      <x:c r="E425" s="6"/>
      <x:c r="F425" s="7">
        <x:v>51</x:v>
      </x:c>
      <x:c r="G425" s="6">
        <x:v>13.039845</x:v>
      </x:c>
      <x:c r="H425" s="8">
        <x:v>-0.3</x:v>
      </x:c>
      <x:c r="I425" s="6">
        <x:f t="shared" si="79"/>
        <x:v>20823.634757077944</x:v>
      </x:c>
      <x:c r="J425" s="23">
        <x:v>1.0730906994608425</x:v>
      </x:c>
      <x:c r="K425" s="9">
        <x:f t="shared" si="80"/>
        <x:v>22345.64878678988</x:v>
      </x:c>
      <x:c r="L425" s="6"/>
      <x:c r="M425" s="10">
        <x:f t="shared" si="81"/>
        <x:v>22345.64878678988</x:v>
      </x:c>
      <x:c r="N425" s="10">
        <x:f t="shared" si="82"/>
        <x:v>0</x:v>
      </x:c>
      <x:c r="O425" s="10"/>
    </x:row>
    <x:row r="426" spans="1:15" s="7" customFormat="1" outlineLevel="2" x14ac:dyDescent="0.25">
      <x:c r="A426" s="4">
        <x:v>367</x:v>
      </x:c>
      <x:c r="B426" s="5" t="s">
        <x:v>84</x:v>
      </x:c>
      <x:c r="C426" s="6">
        <x:v>53815.360000000001</x:v>
      </x:c>
      <x:c r="D426" s="6">
        <x:v>53815.360000000001</x:v>
      </x:c>
      <x:c r="E426" s="6"/>
      <x:c r="F426" s="7">
        <x:v>51</x:v>
      </x:c>
      <x:c r="G426" s="6">
        <x:v>12.636564999999999</x:v>
      </x:c>
      <x:c r="H426" s="8">
        <x:v>-0.3</x:v>
      </x:c>
      <x:c r="I426" s="6">
        <x:f t="shared" si="79"/>
        <x:v>52625.582058236869</x:v>
      </x:c>
      <x:c r="J426" s="23">
        <x:v>1.0730906994608425</x:v>
      </x:c>
      <x:c r="K426" s="9">
        <x:f t="shared" si="80"/>
        <x:v>56472.022660407361</x:v>
      </x:c>
      <x:c r="L426" s="6"/>
      <x:c r="M426" s="10">
        <x:f t="shared" si="81"/>
        <x:v>56472.022660407354</x:v>
      </x:c>
      <x:c r="N426" s="10">
        <x:f t="shared" si="82"/>
        <x:v>0</x:v>
      </x:c>
      <x:c r="O426" s="10"/>
    </x:row>
    <x:row r="427" spans="1:15" s="7" customFormat="1" outlineLevel="2" x14ac:dyDescent="0.25">
      <x:c r="A427" s="4">
        <x:v>367</x:v>
      </x:c>
      <x:c r="B427" s="5" t="s">
        <x:v>85</x:v>
      </x:c>
      <x:c r="C427" s="6">
        <x:v>7637.67</x:v>
      </x:c>
      <x:c r="D427" s="6">
        <x:v>7637.67</x:v>
      </x:c>
      <x:c r="E427" s="6"/>
      <x:c r="F427" s="7">
        <x:v>51</x:v>
      </x:c>
      <x:c r="G427" s="6">
        <x:v>12.235249</x:v>
      </x:c>
      <x:c r="H427" s="8">
        <x:v>-0.3</x:v>
      </x:c>
      <x:c r="I427" s="6">
        <x:f t="shared" si="79"/>
        <x:v>7546.9429117886475</x:v>
      </x:c>
      <x:c r="J427" s="23">
        <x:v>1.0730906994608425</x:v>
      </x:c>
      <x:c r="K427" s="9">
        <x:f t="shared" si="80"/>
        <x:v>8098.5542480023269</x:v>
      </x:c>
      <x:c r="L427" s="6"/>
      <x:c r="M427" s="10">
        <x:f t="shared" si="81"/>
        <x:v>8098.5542480023278</x:v>
      </x:c>
      <x:c r="N427" s="10">
        <x:f t="shared" si="82"/>
        <x:v>0</x:v>
      </x:c>
      <x:c r="O427" s="10"/>
    </x:row>
    <x:row r="428" spans="1:15" s="7" customFormat="1" outlineLevel="2" x14ac:dyDescent="0.25">
      <x:c r="A428" s="4">
        <x:v>367</x:v>
      </x:c>
      <x:c r="B428" s="5" t="s">
        <x:v>86</x:v>
      </x:c>
      <x:c r="C428" s="6">
        <x:v>18048.3</x:v>
      </x:c>
      <x:c r="D428" s="6">
        <x:v>18048.3</x:v>
      </x:c>
      <x:c r="E428" s="6"/>
      <x:c r="F428" s="7">
        <x:v>51</x:v>
      </x:c>
      <x:c r="G428" s="6">
        <x:v>11.835653000000001</x:v>
      </x:c>
      <x:c r="H428" s="8">
        <x:v>-0.3</x:v>
      </x:c>
      <x:c r="I428" s="6">
        <x:f t="shared" si="79"/>
        <x:v>18017.742140159411</x:v>
      </x:c>
      <x:c r="J428" s="23">
        <x:v>1.0730906994608425</x:v>
      </x:c>
      <x:c r="K428" s="9">
        <x:f t="shared" si="80"/>
        <x:v>19334.67151588876</x:v>
      </x:c>
      <x:c r="L428" s="6"/>
      <x:c r="M428" s="10">
        <x:f t="shared" si="81"/>
        <x:v>19334.67151588876</x:v>
      </x:c>
      <x:c r="N428" s="10">
        <x:f t="shared" si="82"/>
        <x:v>0</x:v>
      </x:c>
      <x:c r="O428" s="10"/>
    </x:row>
    <x:row r="429" spans="1:15" s="7" customFormat="1" outlineLevel="2" x14ac:dyDescent="0.25">
      <x:c r="A429" s="4">
        <x:v>367</x:v>
      </x:c>
      <x:c r="B429" s="5" t="s">
        <x:v>87</x:v>
      </x:c>
      <x:c r="C429" s="6">
        <x:v>31174.05</x:v>
      </x:c>
      <x:c r="D429" s="6">
        <x:v>31174.05</x:v>
      </x:c>
      <x:c r="E429" s="6"/>
      <x:c r="F429" s="7">
        <x:v>51</x:v>
      </x:c>
      <x:c r="G429" s="6">
        <x:v>11.437506000000001</x:v>
      </x:c>
      <x:c r="H429" s="8">
        <x:v>-0.3</x:v>
      </x:c>
      <x:c r="I429" s="6">
        <x:f t="shared" si="79"/>
        <x:v>31437.649331468823</x:v>
      </x:c>
      <x:c r="J429" s="23">
        <x:v>1.0730906994608425</x:v>
      </x:c>
      <x:c r="K429" s="9">
        <x:f t="shared" si="80"/>
        <x:v>33735.449110510563</x:v>
      </x:c>
      <x:c r="L429" s="6"/>
      <x:c r="M429" s="10">
        <x:f t="shared" si="81"/>
        <x:v>33735.449110510563</x:v>
      </x:c>
      <x:c r="N429" s="10">
        <x:f t="shared" si="82"/>
        <x:v>0</x:v>
      </x:c>
      <x:c r="O429" s="10"/>
    </x:row>
    <x:row r="430" spans="1:15" s="7" customFormat="1" outlineLevel="2" x14ac:dyDescent="0.25">
      <x:c r="A430" s="4">
        <x:v>367</x:v>
      </x:c>
      <x:c r="B430" s="5" t="s">
        <x:v>88</x:v>
      </x:c>
      <x:c r="C430" s="6">
        <x:v>28653.38</x:v>
      </x:c>
      <x:c r="D430" s="6">
        <x:v>28653.38</x:v>
      </x:c>
      <x:c r="E430" s="6"/>
      <x:c r="F430" s="7">
        <x:v>51</x:v>
      </x:c>
      <x:c r="G430" s="6">
        <x:v>11.040526</x:v>
      </x:c>
      <x:c r="H430" s="8">
        <x:v>-0.3</x:v>
      </x:c>
      <x:c r="I430" s="6">
        <x:f t="shared" si="79"/>
        <x:v>29185.611589387372</x:v>
      </x:c>
      <x:c r="J430" s="23">
        <x:v>1.0730906994608425</x:v>
      </x:c>
      <x:c r="K430" s="9">
        <x:f t="shared" si="80"/>
        <x:v>31318.808354648165</x:v>
      </x:c>
      <x:c r="L430" s="6"/>
      <x:c r="M430" s="10">
        <x:f t="shared" si="81"/>
        <x:v>31318.808354648161</x:v>
      </x:c>
      <x:c r="N430" s="10">
        <x:f t="shared" si="82"/>
        <x:v>0</x:v>
      </x:c>
      <x:c r="O430" s="10"/>
    </x:row>
    <x:row r="431" spans="1:15" s="7" customFormat="1" outlineLevel="2" x14ac:dyDescent="0.25">
      <x:c r="A431" s="4">
        <x:v>367</x:v>
      </x:c>
      <x:c r="B431" s="5" t="s">
        <x:v>89</x:v>
      </x:c>
      <x:c r="C431" s="6">
        <x:v>4359.8999999999996</x:v>
      </x:c>
      <x:c r="D431" s="6">
        <x:v>4359.8999999999996</x:v>
      </x:c>
      <x:c r="E431" s="6"/>
      <x:c r="F431" s="7">
        <x:v>51</x:v>
      </x:c>
      <x:c r="G431" s="6">
        <x:v>10.644287</x:v>
      </x:c>
      <x:c r="H431" s="8">
        <x:v>-0.3</x:v>
      </x:c>
      <x:c r="I431" s="6">
        <x:f t="shared" si="79"/>
        <x:v>4484.9202949276469</x:v>
      </x:c>
      <x:c r="J431" s="23">
        <x:v>1.0730906994608425</x:v>
      </x:c>
      <x:c r="K431" s="9">
        <x:f t="shared" si="80"/>
        <x:v>4812.7262563100367</x:v>
      </x:c>
      <x:c r="L431" s="6"/>
      <x:c r="M431" s="10">
        <x:f t="shared" si="81"/>
        <x:v>4812.7262563100367</x:v>
      </x:c>
      <x:c r="N431" s="10">
        <x:f t="shared" si="82"/>
        <x:v>0</x:v>
      </x:c>
      <x:c r="O431" s="10"/>
    </x:row>
    <x:row r="432" spans="1:15" s="7" customFormat="1" outlineLevel="2" x14ac:dyDescent="0.25">
      <x:c r="A432" s="4">
        <x:v>367</x:v>
      </x:c>
      <x:c r="B432" s="5" t="s">
        <x:v>106</x:v>
      </x:c>
      <x:c r="C432" s="6">
        <x:v>149956.74</x:v>
      </x:c>
      <x:c r="D432" s="6">
        <x:v>149956.74</x:v>
      </x:c>
      <x:c r="E432" s="6"/>
      <x:c r="F432" s="7">
        <x:v>51</x:v>
      </x:c>
      <x:c r="G432" s="6">
        <x:v>3.6079699999999999</x:v>
      </x:c>
      <x:c r="H432" s="8">
        <x:v>-0.3</x:v>
      </x:c>
      <x:c r="I432" s="6">
        <x:f t="shared" si="79"/>
        <x:v>181152.56111797763</x:v>
      </x:c>
      <x:c r="J432" s="23">
        <x:v>1.0730906994608425</x:v>
      </x:c>
      <x:c r="K432" s="9">
        <x:f t="shared" si="80"/>
        <x:v>194393.12851921364</x:v>
      </x:c>
      <x:c r="L432" s="6"/>
      <x:c r="M432" s="10">
        <x:f t="shared" si="81"/>
        <x:v>194393.12851921364</x:v>
      </x:c>
      <x:c r="N432" s="10">
        <x:f t="shared" si="82"/>
        <x:v>0</x:v>
      </x:c>
      <x:c r="O432" s="10"/>
    </x:row>
    <x:row r="433" spans="1:15" s="7" customFormat="1" outlineLevel="2" x14ac:dyDescent="0.25">
      <x:c r="A433" s="4">
        <x:v>367</x:v>
      </x:c>
      <x:c r="B433" s="5" t="s">
        <x:v>115</x:v>
      </x:c>
      <x:c r="C433" s="6">
        <x:v>1232.78</x:v>
      </x:c>
      <x:c r="D433" s="6">
        <x:v>1232.78</x:v>
      </x:c>
      <x:c r="E433" s="6"/>
      <x:c r="F433" s="7">
        <x:v>51</x:v>
      </x:c>
      <x:c r="G433" s="6">
        <x:v>0</x:v>
      </x:c>
      <x:c r="H433" s="8">
        <x:v>-0.3</x:v>
      </x:c>
      <x:c r="I433" s="6">
        <x:f t="shared" si="79"/>
        <x:v>1602.614</x:v>
      </x:c>
      <x:c r="J433" s="23">
        <x:v>1.0730906994608425</x:v>
      </x:c>
      <x:c r="K433" s="9">
        <x:f t="shared" si="80"/>
        <x:v>1602.614</x:v>
      </x:c>
      <x:c r="L433" s="6"/>
      <x:c r="M433" s="10">
        <x:f t="shared" si="81"/>
        <x:v>1602.614</x:v>
      </x:c>
      <x:c r="N433" s="10">
        <x:f t="shared" si="82"/>
        <x:v>0</x:v>
      </x:c>
      <x:c r="O433" s="10"/>
    </x:row>
    <x:row r="434" spans="1:15" s="7" customFormat="1" outlineLevel="1" x14ac:dyDescent="0.25">
      <x:c r="A434" s="11" t="s">
        <x:v>6</x:v>
      </x:c>
      <x:c r="B434" s="5"/>
      <x:c r="C434" s="6">
        <x:f>SUBTOTAL(9,C354:C433)</x:f>
        <x:v>3176923318.8100009</x:v>
      </x:c>
      <x:c r="D434" s="6"/>
      <x:c r="E434" s="6"/>
      <x:c r="G434" s="6"/>
      <x:c r="H434" s="8"/>
      <x:c r="I434" s="6">
        <x:f>SUBTOTAL(9,I354:I433)</x:f>
        <x:v>644163233.60377741</x:v>
      </x:c>
      <x:c r="J434" s="23">
        <x:v>1.0730906994608425</x:v>
      </x:c>
      <x:c r="K434" s="6">
        <x:f>SUBTOTAL(9,K354:K433)</x:f>
        <x:v>691245457.77865756</x:v>
      </x:c>
      <x:c r="L434" s="2"/>
      <x:c r="M434" s="6">
        <x:f>SUBTOTAL(9,M354:M433)</x:f>
        <x:v>691245457.77865756</x:v>
      </x:c>
      <x:c r="N434" s="6">
        <x:f>SUBTOTAL(9,N354:N433)</x:f>
        <x:v>0</x:v>
      </x:c>
      <x:c r="O434" s="10"/>
    </x:row>
    <x:row r="435" spans="1:15" s="7" customFormat="1" outlineLevel="2" x14ac:dyDescent="0.25">
      <x:c r="A435" s="4">
        <x:v>368</x:v>
      </x:c>
      <x:c r="B435" s="5" t="s">
        <x:v>23</x:v>
      </x:c>
      <x:c r="C435" s="6">
        <x:v>308804738.55999994</x:v>
      </x:c>
      <x:c r="D435" s="6">
        <x:v>308804738.55999994</x:v>
      </x:c>
      <x:c r="E435" s="6"/>
      <x:c r="F435" s="7">
        <x:v>50</x:v>
      </x:c>
      <x:c r="G435" s="6">
        <x:v>49.546653999999997</x:v>
      </x:c>
      <x:c r="H435" s="8">
        <x:v>-0.2</x:v>
      </x:c>
      <x:c r="I435" s="6">
        <x:f t="shared" ref="I435:I474" si="83">+C435*(1-H435)*(1-G435/F435)</x:f>
        <x:v>3359889.4321733546</x:v>
      </x:c>
      <x:c r="J435" s="23">
        <x:v>1.0732366603984522</x:v>
      </x:c>
      <x:c r="K435" s="9">
        <x:f t="shared" ref="K435:K474" si="84">IF((C435*(1-H435)-I435*J435)&lt;0,C435*(1-H435),I435*J435)</x:f>
        <x:v>3605956.5134937828</x:v>
      </x:c>
      <x:c r="L435" s="6"/>
      <x:c r="M435" s="10">
        <x:f t="shared" ref="M435:M474" si="85">+K435/D435*C435</x:f>
        <x:v>3605956.5134937828</x:v>
      </x:c>
      <x:c r="N435" s="10">
        <x:f t="shared" ref="N435:N474" si="86">+E435/C435*K435</x:f>
        <x:v>0</x:v>
      </x:c>
      <x:c r="O435" s="10"/>
    </x:row>
    <x:row r="436" spans="1:15" s="7" customFormat="1" outlineLevel="2" x14ac:dyDescent="0.25">
      <x:c r="A436" s="4">
        <x:v>368</x:v>
      </x:c>
      <x:c r="B436" s="5" t="s">
        <x:v>24</x:v>
      </x:c>
      <x:c r="C436" s="6">
        <x:v>264136986.09999999</x:v>
      </x:c>
      <x:c r="D436" s="6">
        <x:v>264136986.09999999</x:v>
      </x:c>
      <x:c r="E436" s="6"/>
      <x:c r="F436" s="7">
        <x:v>50</x:v>
      </x:c>
      <x:c r="G436" s="6">
        <x:v>48.684268000000003</x:v>
      </x:c>
      <x:c r="H436" s="8">
        <x:v>-0.2</x:v>
      </x:c>
      <x:c r="I436" s="6">
        <x:f t="shared" ref="I436:I443" si="87">+C436*(1-H436)*(1-G436/F436)</x:f>
        <x:v>8340803.6398877874</x:v>
      </x:c>
      <x:c r="J436" s="23">
        <x:v>1.0732366603984522</x:v>
      </x:c>
      <x:c r="K436" s="9">
        <x:f t="shared" ref="K436:K443" si="88">IF((C436*(1-H436)-I436*J436)&lt;0,C436*(1-H436),I436*J436)</x:f>
        <x:v>8951656.2435124237</x:v>
      </x:c>
      <x:c r="L436" s="6"/>
      <x:c r="M436" s="10">
        <x:f t="shared" ref="M436:M443" si="89">+K436/D436*C436</x:f>
        <x:v>8951656.2435124237</x:v>
      </x:c>
      <x:c r="N436" s="10">
        <x:f t="shared" ref="N436:N443" si="90">+E436/C436*K436</x:f>
        <x:v>0</x:v>
      </x:c>
      <x:c r="O436" s="10"/>
    </x:row>
    <x:row r="437" spans="1:15" s="7" customFormat="1" outlineLevel="2" x14ac:dyDescent="0.25">
      <x:c r="A437" s="4">
        <x:v>368</x:v>
      </x:c>
      <x:c r="B437" s="5" t="s">
        <x:v>25</x:v>
      </x:c>
      <x:c r="C437" s="6">
        <x:v>186845667.69</x:v>
      </x:c>
      <x:c r="D437" s="6">
        <x:v>186845667.69</x:v>
      </x:c>
      <x:c r="E437" s="6"/>
      <x:c r="F437" s="7">
        <x:v>50</x:v>
      </x:c>
      <x:c r="G437" s="6">
        <x:v>47.860689000000001</x:v>
      </x:c>
      <x:c r="H437" s="8">
        <x:v>-0.2</x:v>
      </x:c>
      <x:c r="I437" s="6">
        <x:f t="shared" si="87"/>
        <x:v>9593303.8125974741</x:v>
      </x:c>
      <x:c r="J437" s="23">
        <x:v>1.0732366603984522</x:v>
      </x:c>
      <x:c r="K437" s="9">
        <x:f t="shared" si="88"/>
        <x:v>10295885.346019853</x:v>
      </x:c>
      <x:c r="L437" s="6"/>
      <x:c r="M437" s="10">
        <x:f t="shared" si="89"/>
        <x:v>10295885.346019853</x:v>
      </x:c>
      <x:c r="N437" s="10">
        <x:f t="shared" si="90"/>
        <x:v>0</x:v>
      </x:c>
      <x:c r="O437" s="10"/>
    </x:row>
    <x:row r="438" spans="1:15" s="7" customFormat="1" outlineLevel="2" x14ac:dyDescent="0.25">
      <x:c r="A438" s="4">
        <x:v>368</x:v>
      </x:c>
      <x:c r="B438" s="5" t="s">
        <x:v>26</x:v>
      </x:c>
      <x:c r="C438" s="6">
        <x:v>122327866.02</x:v>
      </x:c>
      <x:c r="D438" s="6">
        <x:v>122327866.02</x:v>
      </x:c>
      <x:c r="E438" s="6"/>
      <x:c r="F438" s="7">
        <x:v>50</x:v>
      </x:c>
      <x:c r="G438" s="6">
        <x:v>47.067028000000001</x:v>
      </x:c>
      <x:c r="H438" s="8">
        <x:v>-0.2</x:v>
      </x:c>
      <x:c r="I438" s="6">
        <x:f t="shared" si="87"/>
        <x:v>8610820.9405538738</x:v>
      </x:c>
      <x:c r="J438" s="23">
        <x:v>1.0732366603984522</x:v>
      </x:c>
      <x:c r="K438" s="9">
        <x:f t="shared" si="88"/>
        <x:v>9241448.7095290981</x:v>
      </x:c>
      <x:c r="L438" s="6"/>
      <x:c r="M438" s="10">
        <x:f t="shared" si="89"/>
        <x:v>9241448.7095290981</x:v>
      </x:c>
      <x:c r="N438" s="10">
        <x:f t="shared" si="90"/>
        <x:v>0</x:v>
      </x:c>
      <x:c r="O438" s="10"/>
    </x:row>
    <x:row r="439" spans="1:15" s="7" customFormat="1" outlineLevel="2" x14ac:dyDescent="0.25">
      <x:c r="A439" s="4">
        <x:v>368</x:v>
      </x:c>
      <x:c r="B439" s="5" t="s">
        <x:v>117</x:v>
      </x:c>
      <x:c r="C439" s="6">
        <x:v>109989495.58</x:v>
      </x:c>
      <x:c r="D439" s="6">
        <x:v>109989495.58</x:v>
      </x:c>
      <x:c r="E439" s="6"/>
      <x:c r="F439" s="7">
        <x:v>50</x:v>
      </x:c>
      <x:c r="G439" s="6">
        <x:v>46.299014999999997</x:v>
      </x:c>
      <x:c r="H439" s="8">
        <x:v>-0.2</x:v>
      </x:c>
      <x:c r="I439" s="6">
        <x:f t="shared" si="87"/>
        <x:v>9769667.3591795135</x:v>
      </x:c>
      <x:c r="J439" s="23">
        <x:v>1.0732366603984522</x:v>
      </x:c>
      <x:c r="K439" s="9">
        <x:f t="shared" si="88"/>
        <x:v>10485165.169769587</x:v>
      </x:c>
      <x:c r="L439" s="6"/>
      <x:c r="M439" s="10">
        <x:f t="shared" si="89"/>
        <x:v>10485165.169769587</x:v>
      </x:c>
      <x:c r="N439" s="10">
        <x:f t="shared" si="90"/>
        <x:v>0</x:v>
      </x:c>
      <x:c r="O439" s="10"/>
    </x:row>
    <x:row r="440" spans="1:15" s="7" customFormat="1" outlineLevel="2" x14ac:dyDescent="0.25">
      <x:c r="A440" s="4">
        <x:v>368</x:v>
      </x:c>
      <x:c r="B440" s="5" t="s">
        <x:v>27</x:v>
      </x:c>
      <x:c r="C440" s="6">
        <x:v>120901100.09</x:v>
      </x:c>
      <x:c r="D440" s="6">
        <x:v>120901100.09</x:v>
      </x:c>
      <x:c r="E440" s="6"/>
      <x:c r="F440" s="7">
        <x:v>50</x:v>
      </x:c>
      <x:c r="G440" s="6">
        <x:v>45.554161000000001</x:v>
      </x:c>
      <x:c r="H440" s="8">
        <x:v>-0.2</x:v>
      </x:c>
      <x:c r="I440" s="6">
        <x:f t="shared" si="87"/>
        <x:v>12900163.822152616</x:v>
      </x:c>
      <x:c r="J440" s="23">
        <x:v>1.0732366603984522</x:v>
      </x:c>
      <x:c r="K440" s="9">
        <x:f t="shared" si="88"/>
        <x:v>13844928.739080006</x:v>
      </x:c>
      <x:c r="L440" s="6"/>
      <x:c r="M440" s="10">
        <x:f t="shared" si="89"/>
        <x:v>13844928.739080006</x:v>
      </x:c>
      <x:c r="N440" s="10">
        <x:f t="shared" si="90"/>
        <x:v>0</x:v>
      </x:c>
      <x:c r="O440" s="10"/>
    </x:row>
    <x:row r="441" spans="1:15" s="7" customFormat="1" outlineLevel="2" x14ac:dyDescent="0.25">
      <x:c r="A441" s="4">
        <x:v>368</x:v>
      </x:c>
      <x:c r="B441" s="5" t="s">
        <x:v>28</x:v>
      </x:c>
      <x:c r="C441" s="6">
        <x:v>103974493.53</x:v>
      </x:c>
      <x:c r="D441" s="6">
        <x:v>103974493.53</x:v>
      </x:c>
      <x:c r="E441" s="6"/>
      <x:c r="F441" s="7">
        <x:v>50</x:v>
      </x:c>
      <x:c r="G441" s="6">
        <x:v>44.830908999999998</x:v>
      </x:c>
      <x:c r="H441" s="8">
        <x:v>-0.2</x:v>
      </x:c>
      <x:c r="I441" s="6">
        <x:f t="shared" si="87"/>
        <x:v>12898886.849651558</x:v>
      </x:c>
      <x:c r="J441" s="23">
        <x:v>1.0732366603984522</x:v>
      </x:c>
      <x:c r="K441" s="9">
        <x:f t="shared" si="88"/>
        <x:v>13843558.24537755</x:v>
      </x:c>
      <x:c r="L441" s="6"/>
      <x:c r="M441" s="10">
        <x:f t="shared" si="89"/>
        <x:v>13843558.245377552</x:v>
      </x:c>
      <x:c r="N441" s="10">
        <x:f t="shared" si="90"/>
        <x:v>0</x:v>
      </x:c>
      <x:c r="O441" s="10"/>
    </x:row>
    <x:row r="442" spans="1:15" s="7" customFormat="1" outlineLevel="2" x14ac:dyDescent="0.25">
      <x:c r="A442" s="4">
        <x:v>368</x:v>
      </x:c>
      <x:c r="B442" s="5" t="s">
        <x:v>29</x:v>
      </x:c>
      <x:c r="C442" s="6">
        <x:v>95650485.969999999</x:v>
      </x:c>
      <x:c r="D442" s="6">
        <x:v>95650485.969999999</x:v>
      </x:c>
      <x:c r="E442" s="6"/>
      <x:c r="F442" s="7">
        <x:v>50</x:v>
      </x:c>
      <x:c r="G442" s="6">
        <x:v>44.128194999999998</x:v>
      </x:c>
      <x:c r="H442" s="8">
        <x:v>-0.2</x:v>
      </x:c>
      <x:c r="I442" s="6">
        <x:f t="shared" si="87"/>
        <x:v>13479384.042505825</x:v>
      </x:c>
      <x:c r="J442" s="23">
        <x:v>1.0732366603984522</x:v>
      </x:c>
      <x:c r="K442" s="9">
        <x:f t="shared" si="88"/>
        <x:v>14466569.11400714</x:v>
      </x:c>
      <x:c r="L442" s="6"/>
      <x:c r="M442" s="10">
        <x:f t="shared" si="89"/>
        <x:v>14466569.11400714</x:v>
      </x:c>
      <x:c r="N442" s="10">
        <x:f t="shared" si="90"/>
        <x:v>0</x:v>
      </x:c>
      <x:c r="O442" s="10"/>
    </x:row>
    <x:row r="443" spans="1:15" s="7" customFormat="1" outlineLevel="2" x14ac:dyDescent="0.25">
      <x:c r="A443" s="4">
        <x:v>368</x:v>
      </x:c>
      <x:c r="B443" s="5" t="s">
        <x:v>30</x:v>
      </x:c>
      <x:c r="C443" s="6">
        <x:v>118919604.7</x:v>
      </x:c>
      <x:c r="D443" s="6">
        <x:v>118919604.7</x:v>
      </x:c>
      <x:c r="E443" s="6"/>
      <x:c r="F443" s="7">
        <x:v>50</x:v>
      </x:c>
      <x:c r="G443" s="6">
        <x:v>43.445310999999997</x:v>
      </x:c>
      <x:c r="H443" s="8">
        <x:v>-0.2</x:v>
      </x:c>
      <x:c r="I443" s="6">
        <x:f t="shared" si="87"/>
        <x:v>18707544.595474523</x:v>
      </x:c>
      <x:c r="J443" s="23">
        <x:v>1.0732366603984522</x:v>
      </x:c>
      <x:c r="K443" s="9">
        <x:f t="shared" si="88"/>
        <x:v>20077622.685902189</x:v>
      </x:c>
      <x:c r="L443" s="6"/>
      <x:c r="M443" s="10">
        <x:f t="shared" si="89"/>
        <x:v>20077622.685902189</x:v>
      </x:c>
      <x:c r="N443" s="10">
        <x:f t="shared" si="90"/>
        <x:v>0</x:v>
      </x:c>
      <x:c r="O443" s="10"/>
    </x:row>
    <x:row r="444" spans="1:15" s="7" customFormat="1" outlineLevel="2" x14ac:dyDescent="0.25">
      <x:c r="A444" s="4">
        <x:v>368</x:v>
      </x:c>
      <x:c r="B444" s="5" t="s">
        <x:v>31</x:v>
      </x:c>
      <x:c r="C444" s="6">
        <x:v>94297567.459999993</x:v>
      </x:c>
      <x:c r="D444" s="6">
        <x:v>94297567.459999993</x:v>
      </x:c>
      <x:c r="E444" s="6"/>
      <x:c r="F444" s="7">
        <x:v>50</x:v>
      </x:c>
      <x:c r="G444" s="6">
        <x:v>42.781726999999997</x:v>
      </x:c>
      <x:c r="H444" s="8">
        <x:v>-0.2</x:v>
      </x:c>
      <x:c r="I444" s="6">
        <x:f t="shared" si="83"/>
        <x:v>16335974.043892723</x:v>
      </x:c>
      <x:c r="J444" s="23">
        <x:v>1.0732366603984522</x:v>
      </x:c>
      <x:c r="K444" s="9">
        <x:f t="shared" si="84"/>
        <x:v>17532366.227223225</x:v>
      </x:c>
      <x:c r="L444" s="6"/>
      <x:c r="M444" s="10">
        <x:f t="shared" si="85"/>
        <x:v>17532366.227223225</x:v>
      </x:c>
      <x:c r="N444" s="10">
        <x:f t="shared" si="86"/>
        <x:v>0</x:v>
      </x:c>
      <x:c r="O444" s="10"/>
    </x:row>
    <x:row r="445" spans="1:15" s="7" customFormat="1" outlineLevel="2" x14ac:dyDescent="0.25">
      <x:c r="A445" s="4">
        <x:v>368</x:v>
      </x:c>
      <x:c r="B445" s="5" t="s">
        <x:v>32</x:v>
      </x:c>
      <x:c r="C445" s="6">
        <x:v>78352761.900000006</x:v>
      </x:c>
      <x:c r="D445" s="6">
        <x:v>78352761.900000006</x:v>
      </x:c>
      <x:c r="E445" s="6"/>
      <x:c r="F445" s="7">
        <x:v>50</x:v>
      </x:c>
      <x:c r="G445" s="6">
        <x:v>42.137053000000002</x:v>
      </x:c>
      <x:c r="H445" s="8">
        <x:v>-0.2</x:v>
      </x:c>
      <x:c r="I445" s="6">
        <x:f t="shared" si="83"/>
        <x:v>14786006.738959659</x:v>
      </x:c>
      <x:c r="J445" s="23">
        <x:v>1.0732366603984522</x:v>
      </x:c>
      <x:c r="K445" s="9">
        <x:f t="shared" si="84"/>
        <x:v>15868884.493150074</x:v>
      </x:c>
      <x:c r="L445" s="6"/>
      <x:c r="M445" s="10">
        <x:f t="shared" si="85"/>
        <x:v>15868884.493150074</x:v>
      </x:c>
      <x:c r="N445" s="10">
        <x:f t="shared" si="86"/>
        <x:v>0</x:v>
      </x:c>
      <x:c r="O445" s="10"/>
    </x:row>
    <x:row r="446" spans="1:15" s="7" customFormat="1" outlineLevel="2" x14ac:dyDescent="0.25">
      <x:c r="A446" s="4">
        <x:v>368</x:v>
      </x:c>
      <x:c r="B446" s="5" t="s">
        <x:v>33</x:v>
      </x:c>
      <x:c r="C446" s="6">
        <x:v>78177369.400000006</x:v>
      </x:c>
      <x:c r="D446" s="6">
        <x:v>78177369.400000006</x:v>
      </x:c>
      <x:c r="E446" s="6"/>
      <x:c r="F446" s="7">
        <x:v>50</x:v>
      </x:c>
      <x:c r="G446" s="6">
        <x:v>41.510976999999997</x:v>
      </x:c>
      <x:c r="H446" s="8">
        <x:v>-0.2</x:v>
      </x:c>
      <x:c r="I446" s="6">
        <x:f t="shared" si="83"/>
        <x:v>15927587.68598631</x:v>
      </x:c>
      <x:c r="J446" s="23">
        <x:v>1.0732366603984522</x:v>
      </x:c>
      <x:c r="K446" s="9">
        <x:f t="shared" si="84"/>
        <x:v>17094071.016311459</x:v>
      </x:c>
      <x:c r="L446" s="6"/>
      <x:c r="M446" s="10">
        <x:f t="shared" si="85"/>
        <x:v>17094071.016311459</x:v>
      </x:c>
      <x:c r="N446" s="10">
        <x:f t="shared" si="86"/>
        <x:v>0</x:v>
      </x:c>
      <x:c r="O446" s="10"/>
    </x:row>
    <x:row r="447" spans="1:15" s="7" customFormat="1" outlineLevel="2" x14ac:dyDescent="0.25">
      <x:c r="A447" s="4">
        <x:v>368</x:v>
      </x:c>
      <x:c r="B447" s="5" t="s">
        <x:v>118</x:v>
      </x:c>
      <x:c r="C447" s="6">
        <x:v>68799912.75</x:v>
      </x:c>
      <x:c r="D447" s="6">
        <x:v>68799912.75</x:v>
      </x:c>
      <x:c r="E447" s="6"/>
      <x:c r="F447" s="7">
        <x:v>50</x:v>
      </x:c>
      <x:c r="G447" s="6">
        <x:v>40.903224000000002</x:v>
      </x:c>
      <x:c r="H447" s="8">
        <x:v>-0.2</x:v>
      </x:c>
      <x:c r="I447" s="6">
        <x:f t="shared" si="83"/>
        <x:v>15020577.482551057</x:v>
      </x:c>
      <x:c r="J447" s="23">
        <x:v>1.0732366603984522</x:v>
      </x:c>
      <x:c r="K447" s="9">
        <x:f t="shared" si="84"/>
        <x:v>16120634.414629288</x:v>
      </x:c>
      <x:c r="L447" s="6"/>
      <x:c r="M447" s="10">
        <x:f t="shared" si="85"/>
        <x:v>16120634.414629288</x:v>
      </x:c>
      <x:c r="N447" s="10">
        <x:f t="shared" si="86"/>
        <x:v>0</x:v>
      </x:c>
      <x:c r="O447" s="10"/>
    </x:row>
    <x:row r="448" spans="1:15" s="7" customFormat="1" outlineLevel="2" x14ac:dyDescent="0.25">
      <x:c r="A448" s="4">
        <x:v>368</x:v>
      </x:c>
      <x:c r="B448" s="5" t="s">
        <x:v>119</x:v>
      </x:c>
      <x:c r="C448" s="6">
        <x:v>71078243.280000001</x:v>
      </x:c>
      <x:c r="D448" s="6">
        <x:v>71078243.280000001</x:v>
      </x:c>
      <x:c r="E448" s="6"/>
      <x:c r="F448" s="7">
        <x:v>50</x:v>
      </x:c>
      <x:c r="G448" s="6">
        <x:v>40.313519999999997</x:v>
      </x:c>
      <x:c r="H448" s="8">
        <x:v>-0.2</x:v>
      </x:c>
      <x:c r="I448" s="6">
        <x:f t="shared" si="83"/>
        <x:v>16523951.567204511</x:v>
      </x:c>
      <x:c r="J448" s="23">
        <x:v>1.0732366603984522</x:v>
      </x:c>
      <x:c r="K448" s="9">
        <x:f t="shared" si="84"/>
        <x:v>17734110.59657234</x:v>
      </x:c>
      <x:c r="L448" s="6"/>
      <x:c r="M448" s="10">
        <x:f t="shared" si="85"/>
        <x:v>17734110.59657234</x:v>
      </x:c>
      <x:c r="N448" s="10">
        <x:f t="shared" si="86"/>
        <x:v>0</x:v>
      </x:c>
      <x:c r="O448" s="10"/>
    </x:row>
    <x:row r="449" spans="1:15" s="7" customFormat="1" outlineLevel="2" x14ac:dyDescent="0.25">
      <x:c r="A449" s="4">
        <x:v>368</x:v>
      </x:c>
      <x:c r="B449" s="5" t="s">
        <x:v>34</x:v>
      </x:c>
      <x:c r="C449" s="6">
        <x:v>53310288.520000003</x:v>
      </x:c>
      <x:c r="D449" s="6">
        <x:v>53310288.520000003</x:v>
      </x:c>
      <x:c r="E449" s="6"/>
      <x:c r="F449" s="7">
        <x:v>50</x:v>
      </x:c>
      <x:c r="G449" s="6">
        <x:v>39.741591999999997</x:v>
      </x:c>
      <x:c r="H449" s="8">
        <x:v>-0.2</x:v>
      </x:c>
      <x:c r="I449" s="6">
        <x:f t="shared" si="83"/>
        <x:v>13125088.56566103</x:v>
      </x:c>
      <x:c r="J449" s="23">
        <x:v>1.0732366603984522</x:v>
      </x:c>
      <x:c r="K449" s="9">
        <x:f t="shared" si="84"/>
        <x:v>14086326.219643956</x:v>
      </x:c>
      <x:c r="L449" s="6"/>
      <x:c r="M449" s="10">
        <x:f t="shared" si="85"/>
        <x:v>14086326.219643956</x:v>
      </x:c>
      <x:c r="N449" s="10">
        <x:f t="shared" si="86"/>
        <x:v>0</x:v>
      </x:c>
      <x:c r="O449" s="10"/>
    </x:row>
    <x:row r="450" spans="1:15" s="7" customFormat="1" outlineLevel="2" x14ac:dyDescent="0.25">
      <x:c r="A450" s="4">
        <x:v>368</x:v>
      </x:c>
      <x:c r="B450" s="5" t="s">
        <x:v>35</x:v>
      </x:c>
      <x:c r="C450" s="6">
        <x:v>54559564.780000001</x:v>
      </x:c>
      <x:c r="D450" s="6">
        <x:v>54559564.780000001</x:v>
      </x:c>
      <x:c r="E450" s="6"/>
      <x:c r="F450" s="7">
        <x:v>50</x:v>
      </x:c>
      <x:c r="G450" s="6">
        <x:v>39.187137999999997</x:v>
      </x:c>
      <x:c r="H450" s="8">
        <x:v>-0.2</x:v>
      </x:c>
      <x:c r="I450" s="6">
        <x:f t="shared" si="83"/>
        <x:v>14158681.07390881</x:v>
      </x:c>
      <x:c r="J450" s="23">
        <x:v>1.0732366603984522</x:v>
      </x:c>
      <x:c r="K450" s="9">
        <x:f t="shared" si="84"/>
        <x:v>15195615.591408662</x:v>
      </x:c>
      <x:c r="L450" s="6"/>
      <x:c r="M450" s="10">
        <x:f t="shared" si="85"/>
        <x:v>15195615.591408662</x:v>
      </x:c>
      <x:c r="N450" s="10">
        <x:f t="shared" si="86"/>
        <x:v>0</x:v>
      </x:c>
      <x:c r="O450" s="10"/>
    </x:row>
    <x:row r="451" spans="1:15" s="7" customFormat="1" outlineLevel="2" x14ac:dyDescent="0.25">
      <x:c r="A451" s="4">
        <x:v>368</x:v>
      </x:c>
      <x:c r="B451" s="5" t="s">
        <x:v>36</x:v>
      </x:c>
      <x:c r="C451" s="6">
        <x:v>68074750.310000002</x:v>
      </x:c>
      <x:c r="D451" s="6">
        <x:v>68074750.310000002</x:v>
      </x:c>
      <x:c r="E451" s="6"/>
      <x:c r="F451" s="7">
        <x:v>50</x:v>
      </x:c>
      <x:c r="G451" s="6">
        <x:v>38.649794999999997</x:v>
      </x:c>
      <x:c r="H451" s="8">
        <x:v>-0.2</x:v>
      </x:c>
      <x:c r="I451" s="6">
        <x:f t="shared" si="83"/>
        <x:v>18543896.912215527</x:v>
      </x:c>
      <x:c r="J451" s="23">
        <x:v>1.0732366603984522</x:v>
      </x:c>
      <x:c r="K451" s="9">
        <x:f t="shared" si="84"/>
        <x:v>19901989.992839362</x:v>
      </x:c>
      <x:c r="L451" s="6"/>
      <x:c r="M451" s="10">
        <x:f t="shared" si="85"/>
        <x:v>19901989.992839362</x:v>
      </x:c>
      <x:c r="N451" s="10">
        <x:f t="shared" si="86"/>
        <x:v>0</x:v>
      </x:c>
      <x:c r="O451" s="10"/>
    </x:row>
    <x:row r="452" spans="1:15" s="7" customFormat="1" outlineLevel="2" x14ac:dyDescent="0.25">
      <x:c r="A452" s="4">
        <x:v>368</x:v>
      </x:c>
      <x:c r="B452" s="5" t="s">
        <x:v>120</x:v>
      </x:c>
      <x:c r="C452" s="6">
        <x:v>71602586.480000004</x:v>
      </x:c>
      <x:c r="D452" s="6">
        <x:v>71602586.480000004</x:v>
      </x:c>
      <x:c r="E452" s="6"/>
      <x:c r="F452" s="7">
        <x:v>50</x:v>
      </x:c>
      <x:c r="G452" s="6">
        <x:v>38.129167000000002</x:v>
      </x:c>
      <x:c r="H452" s="8">
        <x:v>-0.2</x:v>
      </x:c>
      <x:c r="I452" s="6">
        <x:f t="shared" si="83"/>
        <x:v>20399576.315331306</x:v>
      </x:c>
      <x:c r="J452" s="23">
        <x:v>1.0732366603984522</x:v>
      </x:c>
      <x:c r="K452" s="9">
        <x:f t="shared" si="84"/>
        <x:v>21893573.158209536</x:v>
      </x:c>
      <x:c r="L452" s="6"/>
      <x:c r="M452" s="10">
        <x:f t="shared" si="85"/>
        <x:v>21893573.158209536</x:v>
      </x:c>
      <x:c r="N452" s="10">
        <x:f t="shared" si="86"/>
        <x:v>0</x:v>
      </x:c>
      <x:c r="O452" s="10"/>
    </x:row>
    <x:row r="453" spans="1:15" s="7" customFormat="1" outlineLevel="2" x14ac:dyDescent="0.25">
      <x:c r="A453" s="4">
        <x:v>368</x:v>
      </x:c>
      <x:c r="B453" s="5" t="s">
        <x:v>37</x:v>
      </x:c>
      <x:c r="C453" s="6">
        <x:v>62686914.189999998</x:v>
      </x:c>
      <x:c r="D453" s="6">
        <x:v>62686914.189999998</x:v>
      </x:c>
      <x:c r="E453" s="6"/>
      <x:c r="F453" s="7">
        <x:v>50</x:v>
      </x:c>
      <x:c r="G453" s="6">
        <x:v>37.624785000000003</x:v>
      </x:c>
      <x:c r="H453" s="8">
        <x:v>-0.2</x:v>
      </x:c>
      <x:c r="I453" s="6">
        <x:f t="shared" si="83"/>
        <x:v>18618336.978907213</x:v>
      </x:c>
      <x:c r="J453" s="23">
        <x:v>1.0732366603984522</x:v>
      </x:c>
      <x:c r="K453" s="9">
        <x:f t="shared" si="84"/>
        <x:v>19981881.801415384</x:v>
      </x:c>
      <x:c r="L453" s="6"/>
      <x:c r="M453" s="10">
        <x:f t="shared" si="85"/>
        <x:v>19981881.801415384</x:v>
      </x:c>
      <x:c r="N453" s="10">
        <x:f t="shared" si="86"/>
        <x:v>0</x:v>
      </x:c>
      <x:c r="O453" s="10"/>
    </x:row>
    <x:row r="454" spans="1:15" s="7" customFormat="1" outlineLevel="2" x14ac:dyDescent="0.25">
      <x:c r="A454" s="4">
        <x:v>368</x:v>
      </x:c>
      <x:c r="B454" s="5" t="s">
        <x:v>121</x:v>
      </x:c>
      <x:c r="C454" s="6">
        <x:v>60182274.090000004</x:v>
      </x:c>
      <x:c r="D454" s="6">
        <x:v>60182274.090000004</x:v>
      </x:c>
      <x:c r="E454" s="6"/>
      <x:c r="F454" s="7">
        <x:v>50</x:v>
      </x:c>
      <x:c r="G454" s="6">
        <x:v>37.136108</x:v>
      </x:c>
      <x:c r="H454" s="8">
        <x:v>-0.2</x:v>
      </x:c>
      <x:c r="I454" s="6">
        <x:f t="shared" si="83"/>
        <x:v>18580278.580995798</x:v>
      </x:c>
      <x:c r="J454" s="23">
        <x:v>1.0732366603984522</x:v>
      </x:c>
      <x:c r="K454" s="9">
        <x:f t="shared" si="84"/>
        <x:v>19941036.133540824</x:v>
      </x:c>
      <x:c r="L454" s="6"/>
      <x:c r="M454" s="10">
        <x:f t="shared" si="85"/>
        <x:v>19941036.133540824</x:v>
      </x:c>
      <x:c r="N454" s="10">
        <x:f t="shared" si="86"/>
        <x:v>0</x:v>
      </x:c>
      <x:c r="O454" s="10"/>
    </x:row>
    <x:row r="455" spans="1:15" s="7" customFormat="1" outlineLevel="2" x14ac:dyDescent="0.25">
      <x:c r="A455" s="4">
        <x:v>368</x:v>
      </x:c>
      <x:c r="B455" s="5" t="s">
        <x:v>122</x:v>
      </x:c>
      <x:c r="C455" s="6">
        <x:v>50225624.420000002</x:v>
      </x:c>
      <x:c r="D455" s="6">
        <x:v>50225624.420000002</x:v>
      </x:c>
      <x:c r="E455" s="6"/>
      <x:c r="F455" s="7">
        <x:v>50</x:v>
      </x:c>
      <x:c r="G455" s="6">
        <x:v>36.662514999999999</x:v>
      </x:c>
      <x:c r="H455" s="8">
        <x:v>-0.2</x:v>
      </x:c>
      <x:c r="I455" s="6">
        <x:f t="shared" si="83"/>
        <x:v>16077204.295617206</x:v>
      </x:c>
      <x:c r="J455" s="23">
        <x:v>1.0732366603984522</x:v>
      </x:c>
      <x:c r="K455" s="9">
        <x:f t="shared" si="84"/>
        <x:v>17254645.046771862</x:v>
      </x:c>
      <x:c r="L455" s="6"/>
      <x:c r="M455" s="10">
        <x:f t="shared" si="85"/>
        <x:v>17254645.046771862</x:v>
      </x:c>
      <x:c r="N455" s="10">
        <x:f t="shared" si="86"/>
        <x:v>0</x:v>
      </x:c>
      <x:c r="O455" s="10"/>
    </x:row>
    <x:row r="456" spans="1:15" s="7" customFormat="1" outlineLevel="2" x14ac:dyDescent="0.25">
      <x:c r="A456" s="4">
        <x:v>368</x:v>
      </x:c>
      <x:c r="B456" s="5" t="s">
        <x:v>123</x:v>
      </x:c>
      <x:c r="C456" s="6">
        <x:v>43719866.799999997</x:v>
      </x:c>
      <x:c r="D456" s="6">
        <x:v>43719866.799999997</x:v>
      </x:c>
      <x:c r="E456" s="6"/>
      <x:c r="F456" s="7">
        <x:v>50</x:v>
      </x:c>
      <x:c r="G456" s="6">
        <x:v>36.203294999999997</x:v>
      </x:c>
      <x:c r="H456" s="8">
        <x:v>-0.2</x:v>
      </x:c>
      <x:c r="I456" s="6">
        <x:f t="shared" si="83"/>
        <x:v>14476562.517093459</x:v>
      </x:c>
      <x:c r="J456" s="23">
        <x:v>1.0732366603984522</x:v>
      </x:c>
      <x:c r="K456" s="9">
        <x:f t="shared" si="84"/>
        <x:v>15536777.609894795</x:v>
      </x:c>
      <x:c r="L456" s="6"/>
      <x:c r="M456" s="10">
        <x:f t="shared" si="85"/>
        <x:v>15536777.609894795</x:v>
      </x:c>
      <x:c r="N456" s="10">
        <x:f t="shared" si="86"/>
        <x:v>0</x:v>
      </x:c>
      <x:c r="O456" s="10"/>
    </x:row>
    <x:row r="457" spans="1:15" s="7" customFormat="1" outlineLevel="2" x14ac:dyDescent="0.25">
      <x:c r="A457" s="4">
        <x:v>368</x:v>
      </x:c>
      <x:c r="B457" s="5" t="s">
        <x:v>124</x:v>
      </x:c>
      <x:c r="C457" s="6">
        <x:v>40074942.07</x:v>
      </x:c>
      <x:c r="D457" s="6">
        <x:v>40074942.07</x:v>
      </x:c>
      <x:c r="E457" s="6"/>
      <x:c r="F457" s="7">
        <x:v>50</x:v>
      </x:c>
      <x:c r="G457" s="6">
        <x:v>35.757657000000002</x:v>
      </x:c>
      <x:c r="H457" s="8">
        <x:v>-0.2</x:v>
      </x:c>
      <x:c r="I457" s="6">
        <x:f t="shared" si="83"/>
        <x:v>13698265.695985677</x:v>
      </x:c>
      <x:c r="J457" s="23">
        <x:v>1.0732366603984522</x:v>
      </x:c>
      <x:c r="K457" s="9">
        <x:f t="shared" si="84"/>
        <x:v>14701480.928810347</x:v>
      </x:c>
      <x:c r="L457" s="6"/>
      <x:c r="M457" s="10">
        <x:f t="shared" si="85"/>
        <x:v>14701480.928810347</x:v>
      </x:c>
      <x:c r="N457" s="10">
        <x:f t="shared" si="86"/>
        <x:v>0</x:v>
      </x:c>
      <x:c r="O457" s="10"/>
    </x:row>
    <x:row r="458" spans="1:15" s="7" customFormat="1" outlineLevel="2" x14ac:dyDescent="0.25">
      <x:c r="A458" s="4">
        <x:v>368</x:v>
      </x:c>
      <x:c r="B458" s="5" t="s">
        <x:v>125</x:v>
      </x:c>
      <x:c r="C458" s="6">
        <x:v>40767720.899999999</x:v>
      </x:c>
      <x:c r="D458" s="6">
        <x:v>40767720.899999999</x:v>
      </x:c>
      <x:c r="E458" s="6"/>
      <x:c r="F458" s="7">
        <x:v>50</x:v>
      </x:c>
      <x:c r="G458" s="6">
        <x:v>35.324693000000003</x:v>
      </x:c>
      <x:c r="H458" s="8">
        <x:v>-0.2</x:v>
      </x:c>
      <x:c r="I458" s="6">
        <x:f t="shared" si="83"/>
        <x:v>14358691.677547589</x:v>
      </x:c>
      <x:c r="J458" s="23">
        <x:v>1.0732366603984522</x:v>
      </x:c>
      <x:c r="K458" s="9">
        <x:f t="shared" si="84"/>
        <x:v>15410274.303702224</x:v>
      </x:c>
      <x:c r="L458" s="6"/>
      <x:c r="M458" s="10">
        <x:f t="shared" si="85"/>
        <x:v>15410274.303702224</x:v>
      </x:c>
      <x:c r="N458" s="10">
        <x:f t="shared" si="86"/>
        <x:v>0</x:v>
      </x:c>
      <x:c r="O458" s="10"/>
    </x:row>
    <x:row r="459" spans="1:15" s="7" customFormat="1" outlineLevel="2" x14ac:dyDescent="0.25">
      <x:c r="A459" s="4">
        <x:v>368</x:v>
      </x:c>
      <x:c r="B459" s="5" t="s">
        <x:v>126</x:v>
      </x:c>
      <x:c r="C459" s="6">
        <x:v>41332700.75</x:v>
      </x:c>
      <x:c r="D459" s="6">
        <x:v>41332700.75</x:v>
      </x:c>
      <x:c r="E459" s="6"/>
      <x:c r="F459" s="7">
        <x:v>50</x:v>
      </x:c>
      <x:c r="G459" s="6">
        <x:v>34.903404999999999</x:v>
      </x:c>
      <x:c r="H459" s="8">
        <x:v>-0.2</x:v>
      </x:c>
      <x:c r="I459" s="6">
        <x:f t="shared" si="83"/>
        <x:v>14975593.043494711</x:v>
      </x:c>
      <x:c r="J459" s="23">
        <x:v>1.0732366603984522</x:v>
      </x:c>
      <x:c r="K459" s="9">
        <x:f t="shared" si="84"/>
        <x:v>16072355.465486556</x:v>
      </x:c>
      <x:c r="L459" s="6"/>
      <x:c r="M459" s="10">
        <x:f t="shared" si="85"/>
        <x:v>16072355.465486556</x:v>
      </x:c>
      <x:c r="N459" s="10">
        <x:f t="shared" si="86"/>
        <x:v>0</x:v>
      </x:c>
      <x:c r="O459" s="10"/>
    </x:row>
    <x:row r="460" spans="1:15" s="7" customFormat="1" outlineLevel="2" x14ac:dyDescent="0.25">
      <x:c r="A460" s="4">
        <x:v>368</x:v>
      </x:c>
      <x:c r="B460" s="5" t="s">
        <x:v>38</x:v>
      </x:c>
      <x:c r="C460" s="6">
        <x:v>48221418.689999998</x:v>
      </x:c>
      <x:c r="D460" s="6">
        <x:v>48221418.689999998</x:v>
      </x:c>
      <x:c r="E460" s="6"/>
      <x:c r="F460" s="7">
        <x:v>50</x:v>
      </x:c>
      <x:c r="G460" s="6">
        <x:v>34.492708</x:v>
      </x:c>
      <x:c r="H460" s="8">
        <x:v>-0.2</x:v>
      </x:c>
      <x:c r="I460" s="6">
        <x:f t="shared" si="83"/>
        <x:v>17946806.886722099</x:v>
      </x:c>
      <x:c r="J460" s="23">
        <x:v>1.0732366603984522</x:v>
      </x:c>
      <x:c r="K460" s="9">
        <x:f t="shared" si="84"/>
        <x:v>19261171.087921567</x:v>
      </x:c>
      <x:c r="L460" s="6"/>
      <x:c r="M460" s="10">
        <x:f t="shared" si="85"/>
        <x:v>19261171.087921567</x:v>
      </x:c>
      <x:c r="N460" s="10">
        <x:f t="shared" si="86"/>
        <x:v>0</x:v>
      </x:c>
      <x:c r="O460" s="10"/>
    </x:row>
    <x:row r="461" spans="1:15" s="7" customFormat="1" outlineLevel="2" x14ac:dyDescent="0.25">
      <x:c r="A461" s="4">
        <x:v>368</x:v>
      </x:c>
      <x:c r="B461" s="5" t="s">
        <x:v>127</x:v>
      </x:c>
      <x:c r="C461" s="6">
        <x:v>50130563.219999999</x:v>
      </x:c>
      <x:c r="D461" s="6">
        <x:v>50130563.219999999</x:v>
      </x:c>
      <x:c r="E461" s="6"/>
      <x:c r="F461" s="7">
        <x:v>50</x:v>
      </x:c>
      <x:c r="G461" s="6">
        <x:v>34.091591000000001</x:v>
      </x:c>
      <x:c r="H461" s="8">
        <x:v>-0.2</x:v>
      </x:c>
      <x:c r="I461" s="6">
        <x:f t="shared" si="83"/>
        <x:v>19139940.07449881</x:v>
      </x:c>
      <x:c r="J461" s="23">
        <x:v>1.0732366603984522</x:v>
      </x:c>
      <x:c r="K461" s="9">
        <x:f t="shared" si="84"/>
        <x:v>20541685.365781605</x:v>
      </x:c>
      <x:c r="L461" s="6"/>
      <x:c r="M461" s="10">
        <x:f t="shared" si="85"/>
        <x:v>20541685.365781605</x:v>
      </x:c>
      <x:c r="N461" s="10">
        <x:f t="shared" si="86"/>
        <x:v>0</x:v>
      </x:c>
      <x:c r="O461" s="10"/>
    </x:row>
    <x:row r="462" spans="1:15" s="7" customFormat="1" outlineLevel="2" x14ac:dyDescent="0.25">
      <x:c r="A462" s="4">
        <x:v>368</x:v>
      </x:c>
      <x:c r="B462" s="5" t="s">
        <x:v>39</x:v>
      </x:c>
      <x:c r="C462" s="6">
        <x:v>50605571.549999997</x:v>
      </x:c>
      <x:c r="D462" s="6">
        <x:v>50605571.549999997</x:v>
      </x:c>
      <x:c r="E462" s="6"/>
      <x:c r="F462" s="7">
        <x:v>50</x:v>
      </x:c>
      <x:c r="G462" s="6">
        <x:v>33.699021999999999</x:v>
      </x:c>
      <x:c r="H462" s="8">
        <x:v>-0.2</x:v>
      </x:c>
      <x:c r="I462" s="6">
        <x:f t="shared" si="83"/>
        <x:v>19798087.404335417</x:v>
      </x:c>
      <x:c r="J462" s="23">
        <x:v>1.0732366603984522</x:v>
      </x:c>
      <x:c r="K462" s="9">
        <x:f t="shared" si="84"/>
        <x:v>21248033.208105605</x:v>
      </x:c>
      <x:c r="L462" s="6"/>
      <x:c r="M462" s="10">
        <x:f t="shared" si="85"/>
        <x:v>21248033.208105605</x:v>
      </x:c>
      <x:c r="N462" s="10">
        <x:f t="shared" si="86"/>
        <x:v>0</x:v>
      </x:c>
      <x:c r="O462" s="10"/>
    </x:row>
    <x:row r="463" spans="1:15" s="7" customFormat="1" outlineLevel="2" x14ac:dyDescent="0.25">
      <x:c r="A463" s="4">
        <x:v>368</x:v>
      </x:c>
      <x:c r="B463" s="5" t="s">
        <x:v>40</x:v>
      </x:c>
      <x:c r="C463" s="6">
        <x:v>33112131.34</x:v>
      </x:c>
      <x:c r="D463" s="6">
        <x:v>33112131.34</x:v>
      </x:c>
      <x:c r="E463" s="6"/>
      <x:c r="F463" s="7">
        <x:v>50</x:v>
      </x:c>
      <x:c r="G463" s="6">
        <x:v>33.313879999999997</x:v>
      </x:c>
      <x:c r="H463" s="8">
        <x:v>-0.2</x:v>
      </x:c>
      <x:c r="I463" s="6">
        <x:f t="shared" si="83"/>
        <x:v>13260311.927880021</x:v>
      </x:c>
      <x:c r="J463" s="23">
        <x:v>1.0732366603984522</x:v>
      </x:c>
      <x:c r="K463" s="9">
        <x:f t="shared" si="84"/>
        <x:v>14231452.889319716</x:v>
      </x:c>
      <x:c r="L463" s="6"/>
      <x:c r="M463" s="10">
        <x:f t="shared" si="85"/>
        <x:v>14231452.889319716</x:v>
      </x:c>
      <x:c r="N463" s="10">
        <x:f t="shared" si="86"/>
        <x:v>0</x:v>
      </x:c>
      <x:c r="O463" s="10"/>
    </x:row>
    <x:row r="464" spans="1:15" s="7" customFormat="1" outlineLevel="2" x14ac:dyDescent="0.25">
      <x:c r="A464" s="4">
        <x:v>368</x:v>
      </x:c>
      <x:c r="B464" s="5" t="s">
        <x:v>41</x:v>
      </x:c>
      <x:c r="C464" s="6">
        <x:v>36706057.759999998</x:v>
      </x:c>
      <x:c r="D464" s="6">
        <x:v>36706057.759999998</x:v>
      </x:c>
      <x:c r="E464" s="6"/>
      <x:c r="F464" s="7">
        <x:v>50</x:v>
      </x:c>
      <x:c r="G464" s="6">
        <x:v>32.934944999999999</x:v>
      </x:c>
      <x:c r="H464" s="8">
        <x:v>-0.2</x:v>
      </x:c>
      <x:c r="I464" s="6">
        <x:f t="shared" si="83"/>
        <x:v>15033381.468181845</x:v>
      </x:c>
      <x:c r="J464" s="23">
        <x:v>1.0732366603984522</x:v>
      </x:c>
      <x:c r="K464" s="9">
        <x:f t="shared" si="84"/>
        <x:v>16134376.121407464</x:v>
      </x:c>
      <x:c r="L464" s="6"/>
      <x:c r="M464" s="10">
        <x:f t="shared" si="85"/>
        <x:v>16134376.121407464</x:v>
      </x:c>
      <x:c r="N464" s="10">
        <x:f t="shared" si="86"/>
        <x:v>0</x:v>
      </x:c>
      <x:c r="O464" s="10"/>
    </x:row>
    <x:row r="465" spans="1:15" s="7" customFormat="1" outlineLevel="2" x14ac:dyDescent="0.25">
      <x:c r="A465" s="4">
        <x:v>368</x:v>
      </x:c>
      <x:c r="B465" s="5" t="s">
        <x:v>42</x:v>
      </x:c>
      <x:c r="C465" s="6">
        <x:v>16206201.890000001</x:v>
      </x:c>
      <x:c r="D465" s="6">
        <x:v>16206201.890000001</x:v>
      </x:c>
      <x:c r="E465" s="6"/>
      <x:c r="F465" s="7">
        <x:v>50</x:v>
      </x:c>
      <x:c r="G465" s="6">
        <x:v>32.560929000000002</x:v>
      </x:c>
      <x:c r="H465" s="8">
        <x:v>-0.2</x:v>
      </x:c>
      <x:c r="I465" s="6">
        <x:f t="shared" si="83"/>
        <x:v>6782906.5296010608</x:v>
      </x:c>
      <x:c r="J465" s="23">
        <x:v>1.0732366603984522</x:v>
      </x:c>
      <x:c r="K465" s="9">
        <x:f t="shared" si="84"/>
        <x:v>7279663.951623898</x:v>
      </x:c>
      <x:c r="L465" s="6"/>
      <x:c r="M465" s="10">
        <x:f t="shared" si="85"/>
        <x:v>7279663.951623898</x:v>
      </x:c>
      <x:c r="N465" s="10">
        <x:f t="shared" si="86"/>
        <x:v>0</x:v>
      </x:c>
      <x:c r="O465" s="10"/>
    </x:row>
    <x:row r="466" spans="1:15" s="7" customFormat="1" outlineLevel="2" x14ac:dyDescent="0.25">
      <x:c r="A466" s="4">
        <x:v>368</x:v>
      </x:c>
      <x:c r="B466" s="5" t="s">
        <x:v>43</x:v>
      </x:c>
      <x:c r="C466" s="6">
        <x:v>71962090.469999999</x:v>
      </x:c>
      <x:c r="D466" s="6">
        <x:v>71962090.469999999</x:v>
      </x:c>
      <x:c r="E466" s="6"/>
      <x:c r="F466" s="7">
        <x:v>50</x:v>
      </x:c>
      <x:c r="G466" s="6">
        <x:v>32.191122999999997</x:v>
      </x:c>
      <x:c r="H466" s="8">
        <x:v>-0.2</x:v>
      </x:c>
      <x:c r="I466" s="6">
        <x:f t="shared" si="83"/>
        <x:v>30757536.428234451</x:v>
      </x:c>
      <x:c r="J466" s="23">
        <x:v>1.0732366603984522</x:v>
      </x:c>
      <x:c r="K466" s="9">
        <x:f t="shared" si="84"/>
        <x:v>33010115.678322081</x:v>
      </x:c>
      <x:c r="L466" s="6"/>
      <x:c r="M466" s="10">
        <x:f t="shared" si="85"/>
        <x:v>33010115.678322081</x:v>
      </x:c>
      <x:c r="N466" s="10">
        <x:f t="shared" si="86"/>
        <x:v>0</x:v>
      </x:c>
      <x:c r="O466" s="10"/>
    </x:row>
    <x:row r="467" spans="1:15" s="7" customFormat="1" outlineLevel="2" x14ac:dyDescent="0.25">
      <x:c r="A467" s="4">
        <x:v>368</x:v>
      </x:c>
      <x:c r="B467" s="5" t="s">
        <x:v>44</x:v>
      </x:c>
      <x:c r="C467" s="6">
        <x:v>26852811.210000001</x:v>
      </x:c>
      <x:c r="D467" s="6">
        <x:v>26852811.210000001</x:v>
      </x:c>
      <x:c r="E467" s="6"/>
      <x:c r="F467" s="7">
        <x:v>50</x:v>
      </x:c>
      <x:c r="G467" s="6">
        <x:v>31.825465000000001</x:v>
      </x:c>
      <x:c r="H467" s="8">
        <x:v>-0.2</x:v>
      </x:c>
      <x:c r="I467" s="6">
        <x:f t="shared" si="83"/>
        <x:v>11712896.572428895</x:v>
      </x:c>
      <x:c r="J467" s="23">
        <x:v>1.0732366603984522</x:v>
      </x:c>
      <x:c r="K467" s="9">
        <x:f t="shared" si="84"/>
        <x:v>12570710.000986066</x:v>
      </x:c>
      <x:c r="L467" s="6"/>
      <x:c r="M467" s="10">
        <x:f t="shared" si="85"/>
        <x:v>12570710.000986066</x:v>
      </x:c>
      <x:c r="N467" s="10">
        <x:f t="shared" si="86"/>
        <x:v>0</x:v>
      </x:c>
      <x:c r="O467" s="10"/>
    </x:row>
    <x:row r="468" spans="1:15" s="7" customFormat="1" outlineLevel="2" x14ac:dyDescent="0.25">
      <x:c r="A468" s="4">
        <x:v>368</x:v>
      </x:c>
      <x:c r="B468" s="5" t="s">
        <x:v>45</x:v>
      </x:c>
      <x:c r="C468" s="6">
        <x:v>25032240.379999999</x:v>
      </x:c>
      <x:c r="D468" s="6">
        <x:v>25032240.379999999</x:v>
      </x:c>
      <x:c r="E468" s="6"/>
      <x:c r="F468" s="7">
        <x:v>50</x:v>
      </x:c>
      <x:c r="G468" s="6">
        <x:v>31.463892000000001</x:v>
      </x:c>
      <x:c r="H468" s="8">
        <x:v>-0.2</x:v>
      </x:c>
      <x:c r="I468" s="6">
        <x:f t="shared" si="83"/>
        <x:v>11136007.467975384</x:v>
      </x:c>
      <x:c r="J468" s="23">
        <x:v>1.0732366603984522</x:v>
      </x:c>
      <x:c r="K468" s="9">
        <x:f t="shared" si="84"/>
        <x:v>11951571.465102125</x:v>
      </x:c>
      <x:c r="L468" s="6"/>
      <x:c r="M468" s="10">
        <x:f t="shared" si="85"/>
        <x:v>11951571.465102125</x:v>
      </x:c>
      <x:c r="N468" s="10">
        <x:f t="shared" si="86"/>
        <x:v>0</x:v>
      </x:c>
      <x:c r="O468" s="10"/>
    </x:row>
    <x:row r="469" spans="1:15" s="7" customFormat="1" outlineLevel="2" x14ac:dyDescent="0.25">
      <x:c r="A469" s="4">
        <x:v>368</x:v>
      </x:c>
      <x:c r="B469" s="5" t="s">
        <x:v>46</x:v>
      </x:c>
      <x:c r="C469" s="6">
        <x:v>26183252.079999998</x:v>
      </x:c>
      <x:c r="D469" s="6">
        <x:v>26183252.079999998</x:v>
      </x:c>
      <x:c r="E469" s="6"/>
      <x:c r="F469" s="7">
        <x:v>50</x:v>
      </x:c>
      <x:c r="G469" s="6">
        <x:v>31.106359999999999</x:v>
      </x:c>
      <x:c r="H469" s="8">
        <x:v>-0.2</x:v>
      </x:c>
      <x:c r="I469" s="6">
        <x:f t="shared" si="83"/>
        <x:v>11872726.531890508</x:v>
      </x:c>
      <x:c r="J469" s="23">
        <x:v>1.0732366603984522</x:v>
      </x:c>
      <x:c r="K469" s="9">
        <x:f t="shared" si="84"/>
        <x:v>12742245.372910267</x:v>
      </x:c>
      <x:c r="L469" s="6"/>
      <x:c r="M469" s="10">
        <x:f t="shared" si="85"/>
        <x:v>12742245.372910267</x:v>
      </x:c>
      <x:c r="N469" s="10">
        <x:f t="shared" si="86"/>
        <x:v>0</x:v>
      </x:c>
      <x:c r="O469" s="10"/>
    </x:row>
    <x:row r="470" spans="1:15" s="7" customFormat="1" outlineLevel="2" x14ac:dyDescent="0.25">
      <x:c r="A470" s="4">
        <x:v>368</x:v>
      </x:c>
      <x:c r="B470" s="5" t="s">
        <x:v>47</x:v>
      </x:c>
      <x:c r="C470" s="6">
        <x:v>19653583.789999999</x:v>
      </x:c>
      <x:c r="D470" s="6">
        <x:v>19653583.789999999</x:v>
      </x:c>
      <x:c r="E470" s="6"/>
      <x:c r="F470" s="7">
        <x:v>50</x:v>
      </x:c>
      <x:c r="G470" s="6">
        <x:v>30.752814999999998</x:v>
      </x:c>
      <x:c r="H470" s="8">
        <x:v>-0.2</x:v>
      </x:c>
      <x:c r="I470" s="6">
        <x:f t="shared" si="83"/>
        <x:v>9078627.9148591459</x:v>
      </x:c>
      <x:c r="J470" s="23">
        <x:v>1.0732366603984522</x:v>
      </x:c>
      <x:c r="K470" s="9">
        <x:f t="shared" si="84"/>
        <x:v>9743516.3043435942</x:v>
      </x:c>
      <x:c r="L470" s="6"/>
      <x:c r="M470" s="10">
        <x:f t="shared" si="85"/>
        <x:v>9743516.3043435942</x:v>
      </x:c>
      <x:c r="N470" s="10">
        <x:f t="shared" si="86"/>
        <x:v>0</x:v>
      </x:c>
      <x:c r="O470" s="10"/>
    </x:row>
    <x:row r="471" spans="1:15" s="7" customFormat="1" outlineLevel="2" x14ac:dyDescent="0.25">
      <x:c r="A471" s="4">
        <x:v>368</x:v>
      </x:c>
      <x:c r="B471" s="5" t="s">
        <x:v>48</x:v>
      </x:c>
      <x:c r="C471" s="6">
        <x:v>20438168.170000002</x:v>
      </x:c>
      <x:c r="D471" s="6">
        <x:v>20438168.170000002</x:v>
      </x:c>
      <x:c r="E471" s="6"/>
      <x:c r="F471" s="7">
        <x:v>50</x:v>
      </x:c>
      <x:c r="G471" s="6">
        <x:v>30.403213000000001</x:v>
      </x:c>
      <x:c r="H471" s="8">
        <x:v>-0.2</x:v>
      </x:c>
      <x:c r="I471" s="6">
        <x:f t="shared" si="83"/>
        <x:v>9612538.2791440748</x:v>
      </x:c>
      <x:c r="J471" s="23">
        <x:v>1.0732366603984522</x:v>
      </x:c>
      <x:c r="K471" s="9">
        <x:f t="shared" si="84"/>
        <x:v>10316528.480660873</x:v>
      </x:c>
      <x:c r="L471" s="6"/>
      <x:c r="M471" s="10">
        <x:f t="shared" si="85"/>
        <x:v>10316528.480660873</x:v>
      </x:c>
      <x:c r="N471" s="10">
        <x:f t="shared" si="86"/>
        <x:v>0</x:v>
      </x:c>
      <x:c r="O471" s="10"/>
    </x:row>
    <x:row r="472" spans="1:15" s="7" customFormat="1" outlineLevel="2" x14ac:dyDescent="0.25">
      <x:c r="A472" s="4">
        <x:v>368</x:v>
      </x:c>
      <x:c r="B472" s="5" t="s">
        <x:v>49</x:v>
      </x:c>
      <x:c r="C472" s="6">
        <x:v>20687274.91</x:v>
      </x:c>
      <x:c r="D472" s="6">
        <x:v>20687274.91</x:v>
      </x:c>
      <x:c r="E472" s="6"/>
      <x:c r="F472" s="7">
        <x:v>50</x:v>
      </x:c>
      <x:c r="G472" s="6">
        <x:v>30.057501999999999</x:v>
      </x:c>
      <x:c r="H472" s="8">
        <x:v>-0.2</x:v>
      </x:c>
      <x:c r="I472" s="6">
        <x:f t="shared" si="83"/>
        <x:v>9901342.5244350061</x:v>
      </x:c>
      <x:c r="J472" s="23">
        <x:v>1.0732366603984522</x:v>
      </x:c>
      <x:c r="K472" s="9">
        <x:f t="shared" si="84"/>
        <x:v>10626483.784385806</x:v>
      </x:c>
      <x:c r="L472" s="6"/>
      <x:c r="M472" s="10">
        <x:f t="shared" si="85"/>
        <x:v>10626483.784385806</x:v>
      </x:c>
      <x:c r="N472" s="10">
        <x:f t="shared" si="86"/>
        <x:v>0</x:v>
      </x:c>
      <x:c r="O472" s="10"/>
    </x:row>
    <x:row r="473" spans="1:15" s="7" customFormat="1" outlineLevel="2" x14ac:dyDescent="0.25">
      <x:c r="A473" s="4">
        <x:v>368</x:v>
      </x:c>
      <x:c r="B473" s="5" t="s">
        <x:v>50</x:v>
      </x:c>
      <x:c r="C473" s="6">
        <x:v>31496471.809999999</x:v>
      </x:c>
      <x:c r="D473" s="6">
        <x:v>31496471.809999999</x:v>
      </x:c>
      <x:c r="E473" s="6"/>
      <x:c r="F473" s="7">
        <x:v>50</x:v>
      </x:c>
      <x:c r="G473" s="6">
        <x:v>29.715623999999998</x:v>
      </x:c>
      <x:c r="H473" s="8">
        <x:v>-0.2</x:v>
      </x:c>
      <x:c r="I473" s="6">
        <x:f t="shared" si="83"/>
        <x:v>15333270.644818576</x:v>
      </x:c>
      <x:c r="J473" s="23">
        <x:v>1.0732366603984522</x:v>
      </x:c>
      <x:c r="K473" s="9">
        <x:f t="shared" si="84"/>
        <x:v>16456228.179830711</x:v>
      </x:c>
      <x:c r="L473" s="6"/>
      <x:c r="M473" s="10">
        <x:f t="shared" si="85"/>
        <x:v>16456228.179830713</x:v>
      </x:c>
      <x:c r="N473" s="10">
        <x:f t="shared" si="86"/>
        <x:v>0</x:v>
      </x:c>
      <x:c r="O473" s="10"/>
    </x:row>
    <x:row r="474" spans="1:15" s="7" customFormat="1" outlineLevel="2" x14ac:dyDescent="0.25">
      <x:c r="A474" s="4">
        <x:v>368</x:v>
      </x:c>
      <x:c r="B474" s="5" t="s">
        <x:v>51</x:v>
      </x:c>
      <x:c r="C474" s="6">
        <x:v>40782414.880000003</x:v>
      </x:c>
      <x:c r="D474" s="6">
        <x:v>40782414.880000003</x:v>
      </x:c>
      <x:c r="E474" s="6"/>
      <x:c r="F474" s="7">
        <x:v>50</x:v>
      </x:c>
      <x:c r="G474" s="6">
        <x:v>29.377549999999999</x:v>
      </x:c>
      <x:c r="H474" s="8">
        <x:v>-0.2</x:v>
      </x:c>
      <x:c r="I474" s="6">
        <x:f t="shared" si="83"/>
        <x:v>20184799.481809348</x:v>
      </x:c>
      <x:c r="J474" s="23">
        <x:v>1.0732366603984522</x:v>
      </x:c>
      <x:c r="K474" s="9">
        <x:f t="shared" si="84"/>
        <x:v>21663066.786669474</x:v>
      </x:c>
      <x:c r="L474" s="6"/>
      <x:c r="M474" s="10">
        <x:f t="shared" si="85"/>
        <x:v>21663066.786669474</x:v>
      </x:c>
      <x:c r="N474" s="10">
        <x:f t="shared" si="86"/>
        <x:v>0</x:v>
      </x:c>
      <x:c r="O474" s="10"/>
    </x:row>
    <x:row r="475" spans="1:15" s="7" customFormat="1" outlineLevel="2" x14ac:dyDescent="0.25">
      <x:c r="A475" s="4">
        <x:v>368</x:v>
      </x:c>
      <x:c r="B475" s="5" t="s">
        <x:v>52</x:v>
      </x:c>
      <x:c r="C475" s="6">
        <x:v>35444120.259999998</x:v>
      </x:c>
      <x:c r="D475" s="6">
        <x:v>35444120.259999998</x:v>
      </x:c>
      <x:c r="E475" s="6"/>
      <x:c r="F475" s="7">
        <x:v>50</x:v>
      </x:c>
      <x:c r="G475" s="6">
        <x:v>29.043223999999999</x:v>
      </x:c>
      <x:c r="H475" s="8">
        <x:v>-0.2</x:v>
      </x:c>
      <x:c r="I475" s="6">
        <x:f t="shared" ref="I475:I506" si="91">+C475*(1-H475)*(1-G475/F475)</x:f>
        <x:v>17827067.731341161</x:v>
      </x:c>
      <x:c r="J475" s="23">
        <x:v>1.0732366603984522</x:v>
      </x:c>
      <x:c r="K475" s="9">
        <x:f t="shared" ref="K475:K506" si="92">IF((C475*(1-H475)-I475*J475)&lt;0,C475*(1-H475),I475*J475)</x:f>
        <x:v>19132662.636681601</x:v>
      </x:c>
      <x:c r="L475" s="6"/>
      <x:c r="M475" s="10">
        <x:f t="shared" ref="M475:M506" si="93">+K475/D475*C475</x:f>
        <x:v>19132662.636681601</x:v>
      </x:c>
      <x:c r="N475" s="10">
        <x:f t="shared" ref="N475:N506" si="94">+E475/C475*K475</x:f>
        <x:v>0</x:v>
      </x:c>
      <x:c r="O475" s="10"/>
    </x:row>
    <x:row r="476" spans="1:15" s="7" customFormat="1" outlineLevel="2" x14ac:dyDescent="0.25">
      <x:c r="A476" s="4">
        <x:v>368</x:v>
      </x:c>
      <x:c r="B476" s="5" t="s">
        <x:v>53</x:v>
      </x:c>
      <x:c r="C476" s="6">
        <x:v>29322588.300000001</x:v>
      </x:c>
      <x:c r="D476" s="6">
        <x:v>29322588.300000001</x:v>
      </x:c>
      <x:c r="E476" s="6"/>
      <x:c r="F476" s="7">
        <x:v>50</x:v>
      </x:c>
      <x:c r="G476" s="6">
        <x:v>28.712596000000001</x:v>
      </x:c>
      <x:c r="H476" s="8">
        <x:v>-0.2</x:v>
      </x:c>
      <x:c r="I476" s="6">
        <x:f t="shared" si="91"/>
        <x:v>14980842.803226557</x:v>
      </x:c>
      <x:c r="J476" s="23">
        <x:v>1.0732366603984522</x:v>
      </x:c>
      <x:c r="K476" s="9">
        <x:f t="shared" si="92"/>
        <x:v>16077989.700089058</x:v>
      </x:c>
      <x:c r="L476" s="6"/>
      <x:c r="M476" s="10">
        <x:f t="shared" si="93"/>
        <x:v>16077989.70008906</x:v>
      </x:c>
      <x:c r="N476" s="10">
        <x:f t="shared" si="94"/>
        <x:v>0</x:v>
      </x:c>
      <x:c r="O476" s="10"/>
    </x:row>
    <x:row r="477" spans="1:15" s="7" customFormat="1" outlineLevel="2" x14ac:dyDescent="0.25">
      <x:c r="A477" s="4">
        <x:v>368</x:v>
      </x:c>
      <x:c r="B477" s="5" t="s">
        <x:v>54</x:v>
      </x:c>
      <x:c r="C477" s="6">
        <x:v>21222985.969999999</x:v>
      </x:c>
      <x:c r="D477" s="6">
        <x:v>21222985.969999999</x:v>
      </x:c>
      <x:c r="E477" s="6"/>
      <x:c r="F477" s="7">
        <x:v>50</x:v>
      </x:c>
      <x:c r="G477" s="6">
        <x:v>28.385626999999999</x:v>
      </x:c>
      <x:c r="H477" s="8">
        <x:v>-0.2</x:v>
      </x:c>
      <x:c r="I477" s="6">
        <x:f t="shared" si="91"/>
        <x:v>11009316.83830432</x:v>
      </x:c>
      <x:c r="J477" s="23">
        <x:v>1.0732366603984522</x:v>
      </x:c>
      <x:c r="K477" s="9">
        <x:f t="shared" si="92"/>
        <x:v>11815602.436810175</x:v>
      </x:c>
      <x:c r="L477" s="6"/>
      <x:c r="M477" s="10">
        <x:f t="shared" si="93"/>
        <x:v>11815602.436810177</x:v>
      </x:c>
      <x:c r="N477" s="10">
        <x:f t="shared" si="94"/>
        <x:v>0</x:v>
      </x:c>
      <x:c r="O477" s="10"/>
    </x:row>
    <x:row r="478" spans="1:15" s="7" customFormat="1" outlineLevel="2" x14ac:dyDescent="0.25">
      <x:c r="A478" s="4">
        <x:v>368</x:v>
      </x:c>
      <x:c r="B478" s="5" t="s">
        <x:v>55</x:v>
      </x:c>
      <x:c r="C478" s="6">
        <x:v>19501731.829999998</x:v>
      </x:c>
      <x:c r="D478" s="6">
        <x:v>19501731.829999998</x:v>
      </x:c>
      <x:c r="E478" s="6"/>
      <x:c r="F478" s="7">
        <x:v>50</x:v>
      </x:c>
      <x:c r="G478" s="6">
        <x:v>28.062275</x:v>
      </x:c>
      <x:c r="H478" s="8">
        <x:v>-0.2</x:v>
      </x:c>
      <x:c r="I478" s="6">
        <x:f t="shared" si="91"/>
        <x:v>10267767.117846882</x:v>
      </x:c>
      <x:c r="J478" s="23">
        <x:v>1.0732366603984522</x:v>
      </x:c>
      <x:c r="K478" s="9">
        <x:f t="shared" si="92"/>
        <x:v>11019744.091307029</x:v>
      </x:c>
      <x:c r="L478" s="6"/>
      <x:c r="M478" s="10">
        <x:f t="shared" si="93"/>
        <x:v>11019744.091307029</x:v>
      </x:c>
      <x:c r="N478" s="10">
        <x:f t="shared" si="94"/>
        <x:v>0</x:v>
      </x:c>
      <x:c r="O478" s="10"/>
    </x:row>
    <x:row r="479" spans="1:15" s="7" customFormat="1" outlineLevel="2" x14ac:dyDescent="0.25">
      <x:c r="A479" s="4">
        <x:v>368</x:v>
      </x:c>
      <x:c r="B479" s="5" t="s">
        <x:v>56</x:v>
      </x:c>
      <x:c r="C479" s="6">
        <x:v>14881687.77</x:v>
      </x:c>
      <x:c r="D479" s="6">
        <x:v>14881687.77</x:v>
      </x:c>
      <x:c r="E479" s="6"/>
      <x:c r="F479" s="7">
        <x:v>50</x:v>
      </x:c>
      <x:c r="G479" s="6">
        <x:v>27.742488000000002</x:v>
      </x:c>
      <x:c r="H479" s="8">
        <x:v>-0.2</x:v>
      </x:c>
      <x:c r="I479" s="6">
        <x:f t="shared" si="91"/>
        <x:v>7949504.258904675</x:v>
      </x:c>
      <x:c r="J479" s="23">
        <x:v>1.0732366603984522</x:v>
      </x:c>
      <x:c r="K479" s="9">
        <x:f t="shared" si="92"/>
        <x:v>8531699.4026501272</x:v>
      </x:c>
      <x:c r="L479" s="6"/>
      <x:c r="M479" s="10">
        <x:f t="shared" si="93"/>
        <x:v>8531699.4026501272</x:v>
      </x:c>
      <x:c r="N479" s="10">
        <x:f t="shared" si="94"/>
        <x:v>0</x:v>
      </x:c>
      <x:c r="O479" s="10"/>
    </x:row>
    <x:row r="480" spans="1:15" s="7" customFormat="1" outlineLevel="2" x14ac:dyDescent="0.25">
      <x:c r="A480" s="4">
        <x:v>368</x:v>
      </x:c>
      <x:c r="B480" s="5" t="s">
        <x:v>57</x:v>
      </x:c>
      <x:c r="C480" s="6">
        <x:v>13012428.35</x:v>
      </x:c>
      <x:c r="D480" s="6">
        <x:v>13012428.35</x:v>
      </x:c>
      <x:c r="E480" s="6"/>
      <x:c r="F480" s="7">
        <x:v>50</x:v>
      </x:c>
      <x:c r="G480" s="6">
        <x:v>27.426227999999998</x:v>
      </x:c>
      <x:c r="H480" s="8">
        <x:v>-0.2</x:v>
      </x:c>
      <x:c r="I480" s="6">
        <x:f t="shared" si="91"/>
        <x:v>7049750.1777416691</x:v>
      </x:c>
      <x:c r="J480" s="23">
        <x:v>1.0732366603984522</x:v>
      </x:c>
      <x:c r="K480" s="9">
        <x:f t="shared" si="92"/>
        <x:v>7566050.3374028644</x:v>
      </x:c>
      <x:c r="L480" s="6"/>
      <x:c r="M480" s="10">
        <x:f t="shared" si="93"/>
        <x:v>7566050.3374028644</x:v>
      </x:c>
      <x:c r="N480" s="10">
        <x:f t="shared" si="94"/>
        <x:v>0</x:v>
      </x:c>
      <x:c r="O480" s="10"/>
    </x:row>
    <x:row r="481" spans="1:15" s="7" customFormat="1" outlineLevel="2" x14ac:dyDescent="0.25">
      <x:c r="A481" s="4">
        <x:v>368</x:v>
      </x:c>
      <x:c r="B481" s="5" t="s">
        <x:v>58</x:v>
      </x:c>
      <x:c r="C481" s="6">
        <x:v>11053998.08</x:v>
      </x:c>
      <x:c r="D481" s="6">
        <x:v>11053998.08</x:v>
      </x:c>
      <x:c r="E481" s="6"/>
      <x:c r="F481" s="7">
        <x:v>50</x:v>
      </x:c>
      <x:c r="G481" s="6">
        <x:v>27.113454000000001</x:v>
      </x:c>
      <x:c r="H481" s="8">
        <x:v>-0.2</x:v>
      </x:c>
      <x:c r="I481" s="6">
        <x:f t="shared" si="91"/>
        <x:v>6071708.0530039594</x:v>
      </x:c>
      <x:c r="J481" s="23">
        <x:v>1.0732366603984522</x:v>
      </x:c>
      <x:c r="K481" s="9">
        <x:f t="shared" si="92"/>
        <x:v>6516379.6737203579</x:v>
      </x:c>
      <x:c r="L481" s="6"/>
      <x:c r="M481" s="10">
        <x:f t="shared" si="93"/>
        <x:v>6516379.6737203579</x:v>
      </x:c>
      <x:c r="N481" s="10">
        <x:f t="shared" si="94"/>
        <x:v>0</x:v>
      </x:c>
      <x:c r="O481" s="10"/>
    </x:row>
    <x:row r="482" spans="1:15" s="7" customFormat="1" outlineLevel="2" x14ac:dyDescent="0.25">
      <x:c r="A482" s="4">
        <x:v>368</x:v>
      </x:c>
      <x:c r="B482" s="5" t="s">
        <x:v>59</x:v>
      </x:c>
      <x:c r="C482" s="6">
        <x:v>7696752.6299999999</x:v>
      </x:c>
      <x:c r="D482" s="6">
        <x:v>7696752.6299999999</x:v>
      </x:c>
      <x:c r="E482" s="6"/>
      <x:c r="F482" s="7">
        <x:v>50</x:v>
      </x:c>
      <x:c r="G482" s="6">
        <x:v>26.804124000000002</x:v>
      </x:c>
      <x:c r="H482" s="8">
        <x:v>-0.2</x:v>
      </x:c>
      <x:c r="I482" s="6">
        <x:f t="shared" si="91"/>
        <x:v>4284790.0705956928</x:v>
      </x:c>
      <x:c r="J482" s="23">
        <x:v>1.0732366603984522</x:v>
      </x:c>
      <x:c r="K482" s="9">
        <x:f t="shared" si="92"/>
        <x:v>4598593.7858745698</x:v>
      </x:c>
      <x:c r="L482" s="6"/>
      <x:c r="M482" s="10">
        <x:f t="shared" si="93"/>
        <x:v>4598593.7858745698</x:v>
      </x:c>
      <x:c r="N482" s="10">
        <x:f t="shared" si="94"/>
        <x:v>0</x:v>
      </x:c>
      <x:c r="O482" s="10"/>
    </x:row>
    <x:row r="483" spans="1:15" s="7" customFormat="1" outlineLevel="2" x14ac:dyDescent="0.25">
      <x:c r="A483" s="4">
        <x:v>368</x:v>
      </x:c>
      <x:c r="B483" s="5" t="s">
        <x:v>60</x:v>
      </x:c>
      <x:c r="C483" s="6">
        <x:v>5083594.62</x:v>
      </x:c>
      <x:c r="D483" s="6">
        <x:v>5083594.62</x:v>
      </x:c>
      <x:c r="E483" s="6"/>
      <x:c r="F483" s="7">
        <x:v>50</x:v>
      </x:c>
      <x:c r="G483" s="6">
        <x:v>26.498194999999999</x:v>
      </x:c>
      <x:c r="H483" s="8">
        <x:v>-0.2</x:v>
      </x:c>
      <x:c r="I483" s="6">
        <x:f t="shared" si="91"/>
        <x:v>2867367.5869989386</x:v>
      </x:c>
      <x:c r="J483" s="23">
        <x:v>1.0732366603984522</x:v>
      </x:c>
      <x:c r="K483" s="9">
        <x:f t="shared" si="92"/>
        <x:v>3077364.0132055092</x:v>
      </x:c>
      <x:c r="L483" s="6"/>
      <x:c r="M483" s="10">
        <x:f t="shared" si="93"/>
        <x:v>3077364.0132055092</x:v>
      </x:c>
      <x:c r="N483" s="10">
        <x:f t="shared" si="94"/>
        <x:v>0</x:v>
      </x:c>
      <x:c r="O483" s="10"/>
    </x:row>
    <x:row r="484" spans="1:15" s="7" customFormat="1" outlineLevel="2" x14ac:dyDescent="0.25">
      <x:c r="A484" s="4">
        <x:v>368</x:v>
      </x:c>
      <x:c r="B484" s="5" t="s">
        <x:v>61</x:v>
      </x:c>
      <x:c r="C484" s="6">
        <x:v>4524000.4000000004</x:v>
      </x:c>
      <x:c r="D484" s="6">
        <x:v>4524000.4000000004</x:v>
      </x:c>
      <x:c r="E484" s="6"/>
      <x:c r="F484" s="7">
        <x:v>50</x:v>
      </x:c>
      <x:c r="G484" s="6">
        <x:v>26.195632</x:v>
      </x:c>
      <x:c r="H484" s="8">
        <x:v>-0.2</x:v>
      </x:c>
      <x:c r="I484" s="6">
        <x:f t="shared" si="91"/>
        <x:v>2584583.2884899327</x:v>
      </x:c>
      <x:c r="J484" s="23">
        <x:v>1.0732366603984522</x:v>
      </x:c>
      <x:c r="K484" s="9">
        <x:f t="shared" si="92"/>
        <x:v>2773869.5370605849</x:v>
      </x:c>
      <x:c r="L484" s="6"/>
      <x:c r="M484" s="10">
        <x:f t="shared" si="93"/>
        <x:v>2773869.5370605844</x:v>
      </x:c>
      <x:c r="N484" s="10">
        <x:f t="shared" si="94"/>
        <x:v>0</x:v>
      </x:c>
      <x:c r="O484" s="10"/>
    </x:row>
    <x:row r="485" spans="1:15" s="7" customFormat="1" outlineLevel="2" x14ac:dyDescent="0.25">
      <x:c r="A485" s="4">
        <x:v>368</x:v>
      </x:c>
      <x:c r="B485" s="5" t="s">
        <x:v>62</x:v>
      </x:c>
      <x:c r="C485" s="6">
        <x:v>8274093.3600000003</x:v>
      </x:c>
      <x:c r="D485" s="6">
        <x:v>8274093.3600000003</x:v>
      </x:c>
      <x:c r="E485" s="6"/>
      <x:c r="F485" s="7">
        <x:v>50</x:v>
      </x:c>
      <x:c r="G485" s="6">
        <x:v>25.896398999999999</x:v>
      </x:c>
      <x:c r="H485" s="8">
        <x:v>-0.2</x:v>
      </x:c>
      <x:c r="I485" s="6">
        <x:f t="shared" si="91"/>
        <x:v>4786450.6796685448</x:v>
      </x:c>
      <x:c r="J485" s="23">
        <x:v>1.0732366603984522</x:v>
      </x:c>
      <x:c r="K485" s="9">
        <x:f t="shared" si="92"/>
        <x:v>5136994.3426093711</x:v>
      </x:c>
      <x:c r="L485" s="6"/>
      <x:c r="M485" s="10">
        <x:f t="shared" si="93"/>
        <x:v>5136994.3426093711</x:v>
      </x:c>
      <x:c r="N485" s="10">
        <x:f t="shared" si="94"/>
        <x:v>0</x:v>
      </x:c>
      <x:c r="O485" s="10"/>
    </x:row>
    <x:row r="486" spans="1:15" s="7" customFormat="1" outlineLevel="2" x14ac:dyDescent="0.25">
      <x:c r="A486" s="4">
        <x:v>368</x:v>
      </x:c>
      <x:c r="B486" s="5" t="s">
        <x:v>63</x:v>
      </x:c>
      <x:c r="C486" s="6">
        <x:v>8134025.7400000002</x:v>
      </x:c>
      <x:c r="D486" s="6">
        <x:v>8134025.7400000002</x:v>
      </x:c>
      <x:c r="E486" s="6"/>
      <x:c r="F486" s="7">
        <x:v>50</x:v>
      </x:c>
      <x:c r="G486" s="6">
        <x:v>25.600455</x:v>
      </x:c>
      <x:c r="H486" s="8">
        <x:v>-0.2</x:v>
      </x:c>
      <x:c r="I486" s="6">
        <x:f t="shared" si="91"/>
        <x:v>4763196.6497829193</x:v>
      </x:c>
      <x:c r="J486" s="23">
        <x:v>1.0732366603984522</x:v>
      </x:c>
      <x:c r="K486" s="9">
        <x:f t="shared" si="92"/>
        <x:v>5112037.2652341165</x:v>
      </x:c>
      <x:c r="L486" s="6"/>
      <x:c r="M486" s="10">
        <x:f t="shared" si="93"/>
        <x:v>5112037.2652341165</x:v>
      </x:c>
      <x:c r="N486" s="10">
        <x:f t="shared" si="94"/>
        <x:v>0</x:v>
      </x:c>
      <x:c r="O486" s="10"/>
    </x:row>
    <x:row r="487" spans="1:15" s="7" customFormat="1" outlineLevel="2" x14ac:dyDescent="0.25">
      <x:c r="A487" s="4">
        <x:v>368</x:v>
      </x:c>
      <x:c r="B487" s="5" t="s">
        <x:v>64</x:v>
      </x:c>
      <x:c r="C487" s="6">
        <x:v>6447725.4000000004</x:v>
      </x:c>
      <x:c r="D487" s="6">
        <x:v>6447725.4000000004</x:v>
      </x:c>
      <x:c r="E487" s="6"/>
      <x:c r="F487" s="7">
        <x:v>50</x:v>
      </x:c>
      <x:c r="G487" s="6">
        <x:v>25.307760999999999</x:v>
      </x:c>
      <x:c r="H487" s="8">
        <x:v>-0.2</x:v>
      </x:c>
      <x:c r="I487" s="6">
        <x:f t="shared" si="91"/>
        <x:v>3821010.6379960943</x:v>
      </x:c>
      <x:c r="J487" s="23">
        <x:v>1.0732366603984522</x:v>
      </x:c>
      <x:c r="K487" s="9">
        <x:f t="shared" si="92"/>
        <x:v>4100848.6964698876</x:v>
      </x:c>
      <x:c r="L487" s="6"/>
      <x:c r="M487" s="10">
        <x:f t="shared" si="93"/>
        <x:v>4100848.6964698876</x:v>
      </x:c>
      <x:c r="N487" s="10">
        <x:f t="shared" si="94"/>
        <x:v>0</x:v>
      </x:c>
      <x:c r="O487" s="10"/>
    </x:row>
    <x:row r="488" spans="1:15" s="7" customFormat="1" outlineLevel="2" x14ac:dyDescent="0.25">
      <x:c r="A488" s="4">
        <x:v>368</x:v>
      </x:c>
      <x:c r="B488" s="5" t="s">
        <x:v>65</x:v>
      </x:c>
      <x:c r="C488" s="6">
        <x:v>4993700.7</x:v>
      </x:c>
      <x:c r="D488" s="6">
        <x:v>4993700.7</x:v>
      </x:c>
      <x:c r="E488" s="6"/>
      <x:c r="F488" s="7">
        <x:v>50</x:v>
      </x:c>
      <x:c r="G488" s="6">
        <x:v>25.018284999999999</x:v>
      </x:c>
      <x:c r="H488" s="8">
        <x:v>-0.2</x:v>
      </x:c>
      <x:c r="I488" s="6">
        <x:f t="shared" si="91"/>
        <x:v>2994028.9843848119</x:v>
      </x:c>
      <x:c r="J488" s="23">
        <x:v>1.0732366603984522</x:v>
      </x:c>
      <x:c r="K488" s="9">
        <x:f t="shared" si="92"/>
        <x:v>3213301.6683373251</x:v>
      </x:c>
      <x:c r="L488" s="6"/>
      <x:c r="M488" s="10">
        <x:f t="shared" si="93"/>
        <x:v>3213301.6683373251</x:v>
      </x:c>
      <x:c r="N488" s="10">
        <x:f t="shared" si="94"/>
        <x:v>0</x:v>
      </x:c>
      <x:c r="O488" s="10"/>
    </x:row>
    <x:row r="489" spans="1:15" s="7" customFormat="1" outlineLevel="2" x14ac:dyDescent="0.25">
      <x:c r="A489" s="4">
        <x:v>368</x:v>
      </x:c>
      <x:c r="B489" s="5" t="s">
        <x:v>66</x:v>
      </x:c>
      <x:c r="C489" s="6">
        <x:v>6428065.8300000001</x:v>
      </x:c>
      <x:c r="D489" s="6">
        <x:v>6428065.8300000001</x:v>
      </x:c>
      <x:c r="E489" s="6"/>
      <x:c r="F489" s="7">
        <x:v>50</x:v>
      </x:c>
      <x:c r="G489" s="6">
        <x:v>24.731985000000002</x:v>
      </x:c>
      <x:c r="H489" s="8">
        <x:v>-0.2</x:v>
      </x:c>
      <x:c r="I489" s="6">
        <x:f t="shared" si="91"/>
        <x:v>3898187.1315222583</x:v>
      </x:c>
      <x:c r="J489" s="23">
        <x:v>1.0732366603984522</x:v>
      </x:c>
      <x:c r="K489" s="9">
        <x:f t="shared" si="92"/>
        <x:v>4183677.3386431704</x:v>
      </x:c>
      <x:c r="L489" s="6"/>
      <x:c r="M489" s="10">
        <x:f t="shared" si="93"/>
        <x:v>4183677.3386431704</x:v>
      </x:c>
      <x:c r="N489" s="10">
        <x:f t="shared" si="94"/>
        <x:v>0</x:v>
      </x:c>
      <x:c r="O489" s="10"/>
    </x:row>
    <x:row r="490" spans="1:15" s="7" customFormat="1" outlineLevel="2" x14ac:dyDescent="0.25">
      <x:c r="A490" s="4">
        <x:v>368</x:v>
      </x:c>
      <x:c r="B490" s="5" t="s">
        <x:v>67</x:v>
      </x:c>
      <x:c r="C490" s="6">
        <x:v>5436777.8099999996</x:v>
      </x:c>
      <x:c r="D490" s="6">
        <x:v>5436777.8099999996</x:v>
      </x:c>
      <x:c r="E490" s="6"/>
      <x:c r="F490" s="7">
        <x:v>50</x:v>
      </x:c>
      <x:c r="G490" s="6">
        <x:v>24.448844000000001</x:v>
      </x:c>
      <x:c r="H490" s="8">
        <x:v>-0.2</x:v>
      </x:c>
      <x:c r="I490" s="6">
        <x:f t="shared" si="91"/>
        <x:v>3333982.9910555598</x:v>
      </x:c>
      <x:c r="J490" s="23">
        <x:v>1.0732366603984522</x:v>
      </x:c>
      <x:c r="K490" s="9">
        <x:f t="shared" si="92"/>
        <x:v>3578152.7711457117</x:v>
      </x:c>
      <x:c r="L490" s="6"/>
      <x:c r="M490" s="10">
        <x:f t="shared" si="93"/>
        <x:v>3578152.7711457121</x:v>
      </x:c>
      <x:c r="N490" s="10">
        <x:f t="shared" si="94"/>
        <x:v>0</x:v>
      </x:c>
      <x:c r="O490" s="10"/>
    </x:row>
    <x:row r="491" spans="1:15" s="7" customFormat="1" outlineLevel="2" x14ac:dyDescent="0.25">
      <x:c r="A491" s="4">
        <x:v>368</x:v>
      </x:c>
      <x:c r="B491" s="5" t="s">
        <x:v>68</x:v>
      </x:c>
      <x:c r="C491" s="6">
        <x:v>3502784.96</x:v>
      </x:c>
      <x:c r="D491" s="6">
        <x:v>3502784.96</x:v>
      </x:c>
      <x:c r="E491" s="6"/>
      <x:c r="F491" s="7">
        <x:v>50</x:v>
      </x:c>
      <x:c r="G491" s="6">
        <x:v>24.168814000000001</x:v>
      </x:c>
      <x:c r="H491" s="8">
        <x:v>-0.2</x:v>
      </x:c>
      <x:c r="I491" s="6">
        <x:f t="shared" si="91"/>
        <x:v>2171546.1556743006</x:v>
      </x:c>
      <x:c r="J491" s="23">
        <x:v>1.0732366603984522</x:v>
      </x:c>
      <x:c r="K491" s="9">
        <x:f t="shared" si="92"/>
        <x:v>2330582.9440169837</x:v>
      </x:c>
      <x:c r="L491" s="6"/>
      <x:c r="M491" s="10">
        <x:f t="shared" si="93"/>
        <x:v>2330582.9440169837</x:v>
      </x:c>
      <x:c r="N491" s="10">
        <x:f t="shared" si="94"/>
        <x:v>0</x:v>
      </x:c>
      <x:c r="O491" s="10"/>
    </x:row>
    <x:row r="492" spans="1:15" s="7" customFormat="1" outlineLevel="2" x14ac:dyDescent="0.25">
      <x:c r="A492" s="4">
        <x:v>368</x:v>
      </x:c>
      <x:c r="B492" s="5" t="s">
        <x:v>69</x:v>
      </x:c>
      <x:c r="C492" s="6">
        <x:v>3795527.5</x:v>
      </x:c>
      <x:c r="D492" s="6">
        <x:v>3795527.5</x:v>
      </x:c>
      <x:c r="E492" s="6"/>
      <x:c r="F492" s="7">
        <x:v>50</x:v>
      </x:c>
      <x:c r="G492" s="6">
        <x:v>23.891863000000001</x:v>
      </x:c>
      <x:c r="H492" s="8">
        <x:v>-0.2</x:v>
      </x:c>
      <x:c r="I492" s="6">
        <x:f t="shared" si="91"/>
        <x:v>2378259.6469744197</x:v>
      </x:c>
      <x:c r="J492" s="23">
        <x:v>1.0732366603984522</x:v>
      </x:c>
      <x:c r="K492" s="9">
        <x:f t="shared" si="92"/>
        <x:v>2552435.4410792282</x:v>
      </x:c>
      <x:c r="L492" s="6"/>
      <x:c r="M492" s="10">
        <x:f t="shared" si="93"/>
        <x:v>2552435.4410792282</x:v>
      </x:c>
      <x:c r="N492" s="10">
        <x:f t="shared" si="94"/>
        <x:v>0</x:v>
      </x:c>
      <x:c r="O492" s="10"/>
    </x:row>
    <x:row r="493" spans="1:15" s="7" customFormat="1" outlineLevel="2" x14ac:dyDescent="0.25">
      <x:c r="A493" s="4">
        <x:v>368</x:v>
      </x:c>
      <x:c r="B493" s="5" t="s">
        <x:v>70</x:v>
      </x:c>
      <x:c r="C493" s="6">
        <x:v>2841916.66</x:v>
      </x:c>
      <x:c r="D493" s="6">
        <x:v>2841916.66</x:v>
      </x:c>
      <x:c r="E493" s="6"/>
      <x:c r="F493" s="7">
        <x:v>50</x:v>
      </x:c>
      <x:c r="G493" s="6">
        <x:v>23.617968000000001</x:v>
      </x:c>
      <x:c r="H493" s="8">
        <x:v>-0.2</x:v>
      </x:c>
      <x:c r="I493" s="6">
        <x:f t="shared" si="91"/>
        <x:v>1799412.8703708749</x:v>
      </x:c>
      <x:c r="J493" s="23">
        <x:v>1.0732366603984522</x:v>
      </x:c>
      <x:c r="K493" s="9">
        <x:f t="shared" si="92"/>
        <x:v>1931195.8596748307</x:v>
      </x:c>
      <x:c r="L493" s="6"/>
      <x:c r="M493" s="10">
        <x:f t="shared" si="93"/>
        <x:v>1931195.8596748309</x:v>
      </x:c>
      <x:c r="N493" s="10">
        <x:f t="shared" si="94"/>
        <x:v>0</x:v>
      </x:c>
      <x:c r="O493" s="10"/>
    </x:row>
    <x:row r="494" spans="1:15" s="7" customFormat="1" outlineLevel="2" x14ac:dyDescent="0.25">
      <x:c r="A494" s="4">
        <x:v>368</x:v>
      </x:c>
      <x:c r="B494" s="5" t="s">
        <x:v>71</x:v>
      </x:c>
      <x:c r="C494" s="6">
        <x:v>2798127.89</x:v>
      </x:c>
      <x:c r="D494" s="6">
        <x:v>2798127.89</x:v>
      </x:c>
      <x:c r="E494" s="6"/>
      <x:c r="F494" s="7">
        <x:v>50</x:v>
      </x:c>
      <x:c r="G494" s="6">
        <x:v>23.347096000000001</x:v>
      </x:c>
      <x:c r="H494" s="8">
        <x:v>-0.2</x:v>
      </x:c>
      <x:c r="I494" s="6">
        <x:f t="shared" si="91"/>
        <x:v>1789877.6167654213</x:v>
      </x:c>
      <x:c r="J494" s="23">
        <x:v>1.0732366603984522</x:v>
      </x:c>
      <x:c r="K494" s="9">
        <x:f t="shared" si="92"/>
        <x:v>1920962.2759392615</x:v>
      </x:c>
      <x:c r="L494" s="6"/>
      <x:c r="M494" s="10">
        <x:f t="shared" si="93"/>
        <x:v>1920962.2759392615</x:v>
      </x:c>
      <x:c r="N494" s="10">
        <x:f t="shared" si="94"/>
        <x:v>0</x:v>
      </x:c>
      <x:c r="O494" s="10"/>
    </x:row>
    <x:row r="495" spans="1:15" s="7" customFormat="1" outlineLevel="2" x14ac:dyDescent="0.25">
      <x:c r="A495" s="4">
        <x:v>368</x:v>
      </x:c>
      <x:c r="B495" s="5" t="s">
        <x:v>72</x:v>
      </x:c>
      <x:c r="C495" s="6">
        <x:v>2294348.46</x:v>
      </x:c>
      <x:c r="D495" s="6">
        <x:v>2294348.46</x:v>
      </x:c>
      <x:c r="E495" s="6"/>
      <x:c r="F495" s="7">
        <x:v>50</x:v>
      </x:c>
      <x:c r="G495" s="6">
        <x:v>23.079222000000001</x:v>
      </x:c>
      <x:c r="H495" s="8">
        <x:v>-0.2</x:v>
      </x:c>
      <x:c r="I495" s="6">
        <x:f t="shared" si="91"/>
        <x:v>1482375.4931112451</x:v>
      </x:c>
      <x:c r="J495" s="23">
        <x:v>1.0732366603984522</x:v>
      </x:c>
      <x:c r="K495" s="9">
        <x:f t="shared" si="92"/>
        <x:v>1590939.7236832215</x:v>
      </x:c>
      <x:c r="L495" s="6"/>
      <x:c r="M495" s="10">
        <x:f t="shared" si="93"/>
        <x:v>1590939.7236832213</x:v>
      </x:c>
      <x:c r="N495" s="10">
        <x:f t="shared" si="94"/>
        <x:v>0</x:v>
      </x:c>
      <x:c r="O495" s="10"/>
    </x:row>
    <x:row r="496" spans="1:15" s="7" customFormat="1" outlineLevel="2" x14ac:dyDescent="0.25">
      <x:c r="A496" s="4">
        <x:v>368</x:v>
      </x:c>
      <x:c r="B496" s="5" t="s">
        <x:v>73</x:v>
      </x:c>
      <x:c r="C496" s="6">
        <x:v>2052968.69</x:v>
      </x:c>
      <x:c r="D496" s="6">
        <x:v>2052968.69</x:v>
      </x:c>
      <x:c r="E496" s="6"/>
      <x:c r="F496" s="7">
        <x:v>50</x:v>
      </x:c>
      <x:c r="G496" s="6">
        <x:v>22.814302000000001</x:v>
      </x:c>
      <x:c r="H496" s="8">
        <x:v>-0.2</x:v>
      </x:c>
      <x:c r="I496" s="6">
        <x:f t="shared" si="91"/>
        <x:v>1339473.2834350949</x:v>
      </x:c>
      <x:c r="J496" s="23">
        <x:v>1.0732366603984522</x:v>
      </x:c>
      <x:c r="K496" s="9">
        <x:f t="shared" si="92"/>
        <x:v>1437571.8334068307</x:v>
      </x:c>
      <x:c r="L496" s="6"/>
      <x:c r="M496" s="10">
        <x:f t="shared" si="93"/>
        <x:v>1437571.8334068307</x:v>
      </x:c>
      <x:c r="N496" s="10">
        <x:f t="shared" si="94"/>
        <x:v>0</x:v>
      </x:c>
      <x:c r="O496" s="10"/>
    </x:row>
    <x:row r="497" spans="1:15" s="7" customFormat="1" outlineLevel="2" x14ac:dyDescent="0.25">
      <x:c r="A497" s="4">
        <x:v>368</x:v>
      </x:c>
      <x:c r="B497" s="5" t="s">
        <x:v>74</x:v>
      </x:c>
      <x:c r="C497" s="6">
        <x:v>1493564.7</x:v>
      </x:c>
      <x:c r="D497" s="6">
        <x:v>1493564.7</x:v>
      </x:c>
      <x:c r="E497" s="6"/>
      <x:c r="F497" s="7">
        <x:v>50</x:v>
      </x:c>
      <x:c r="G497" s="6">
        <x:v>22.552329</x:v>
      </x:c>
      <x:c r="H497" s="8">
        <x:v>-0.2</x:v>
      </x:c>
      <x:c r="I497" s="6">
        <x:f t="shared" si="91"/>
        <x:v>983876.94006752863</x:v>
      </x:c>
      <x:c r="J497" s="23">
        <x:v>1.0732366603984522</x:v>
      </x:c>
      <x:c r="K497" s="9">
        <x:f t="shared" si="92"/>
        <x:v>1055932.8014011225</x:v>
      </x:c>
      <x:c r="L497" s="6"/>
      <x:c r="M497" s="10">
        <x:f t="shared" si="93"/>
        <x:v>1055932.8014011225</x:v>
      </x:c>
      <x:c r="N497" s="10">
        <x:f t="shared" si="94"/>
        <x:v>0</x:v>
      </x:c>
      <x:c r="O497" s="10"/>
    </x:row>
    <x:row r="498" spans="1:15" s="7" customFormat="1" outlineLevel="2" x14ac:dyDescent="0.25">
      <x:c r="A498" s="4">
        <x:v>368</x:v>
      </x:c>
      <x:c r="B498" s="5" t="s">
        <x:v>75</x:v>
      </x:c>
      <x:c r="C498" s="6">
        <x:v>1661319.68</x:v>
      </x:c>
      <x:c r="D498" s="6">
        <x:v>1661319.68</x:v>
      </x:c>
      <x:c r="E498" s="6"/>
      <x:c r="F498" s="7">
        <x:v>50</x:v>
      </x:c>
      <x:c r="G498" s="6">
        <x:v>22.293268999999999</x:v>
      </x:c>
      <x:c r="H498" s="8">
        <x:v>-0.2</x:v>
      </x:c>
      <x:c r="I498" s="6">
        <x:f t="shared" si="91"/>
        <x:v>1104713.6994903858</x:v>
      </x:c>
      <x:c r="J498" s="23">
        <x:v>1.0732366603984522</x:v>
      </x:c>
      <x:c r="K498" s="9">
        <x:f t="shared" si="92"/>
        <x:v>1185619.2415374811</x:v>
      </x:c>
      <x:c r="L498" s="6"/>
      <x:c r="M498" s="10">
        <x:f t="shared" si="93"/>
        <x:v>1185619.2415374811</x:v>
      </x:c>
      <x:c r="N498" s="10">
        <x:f t="shared" si="94"/>
        <x:v>0</x:v>
      </x:c>
      <x:c r="O498" s="10"/>
    </x:row>
    <x:row r="499" spans="1:15" s="7" customFormat="1" outlineLevel="2" x14ac:dyDescent="0.25">
      <x:c r="A499" s="4">
        <x:v>368</x:v>
      </x:c>
      <x:c r="B499" s="5" t="s">
        <x:v>76</x:v>
      </x:c>
      <x:c r="C499" s="6">
        <x:v>1954692.06</x:v>
      </x:c>
      <x:c r="D499" s="6">
        <x:v>1954692.06</x:v>
      </x:c>
      <x:c r="E499" s="6"/>
      <x:c r="F499" s="7">
        <x:v>50</x:v>
      </x:c>
      <x:c r="G499" s="6">
        <x:v>22.037091</x:v>
      </x:c>
      <x:c r="H499" s="8">
        <x:v>-0.2</x:v>
      </x:c>
      <x:c r="I499" s="6">
        <x:f t="shared" si="91"/>
        <x:v>1311813.0287232611</x:v>
      </x:c>
      <x:c r="J499" s="23">
        <x:v>1.0732366603984522</x:v>
      </x:c>
      <x:c r="K499" s="9">
        <x:f t="shared" si="92"/>
        <x:v>1407885.8340141317</x:v>
      </x:c>
      <x:c r="L499" s="6"/>
      <x:c r="M499" s="10">
        <x:f t="shared" si="93"/>
        <x:v>1407885.8340141317</x:v>
      </x:c>
      <x:c r="N499" s="10">
        <x:f t="shared" si="94"/>
        <x:v>0</x:v>
      </x:c>
      <x:c r="O499" s="10"/>
    </x:row>
    <x:row r="500" spans="1:15" s="7" customFormat="1" outlineLevel="2" x14ac:dyDescent="0.25">
      <x:c r="A500" s="4">
        <x:v>368</x:v>
      </x:c>
      <x:c r="B500" s="5" t="s">
        <x:v>77</x:v>
      </x:c>
      <x:c r="C500" s="6">
        <x:v>2161952.81</x:v>
      </x:c>
      <x:c r="D500" s="6">
        <x:v>2161952.81</x:v>
      </x:c>
      <x:c r="E500" s="6"/>
      <x:c r="F500" s="7">
        <x:v>50</x:v>
      </x:c>
      <x:c r="G500" s="6">
        <x:v>21.783778999999999</x:v>
      </x:c>
      <x:c r="H500" s="8">
        <x:v>-0.2</x:v>
      </x:c>
      <x:c r="I500" s="6">
        <x:f t="shared" si="91"/>
        <x:v>1464051.318684744</x:v>
      </x:c>
      <x:c r="J500" s="23">
        <x:v>1.0732366603984522</x:v>
      </x:c>
      <x:c r="K500" s="9">
        <x:f t="shared" si="92"/>
        <x:v>1571273.5479171646</x:v>
      </x:c>
      <x:c r="L500" s="6"/>
      <x:c r="M500" s="10">
        <x:f t="shared" si="93"/>
        <x:v>1571273.5479171646</x:v>
      </x:c>
      <x:c r="N500" s="10">
        <x:f t="shared" si="94"/>
        <x:v>0</x:v>
      </x:c>
      <x:c r="O500" s="10"/>
    </x:row>
    <x:row r="501" spans="1:15" s="7" customFormat="1" outlineLevel="2" x14ac:dyDescent="0.25">
      <x:c r="A501" s="4">
        <x:v>368</x:v>
      </x:c>
      <x:c r="B501" s="5" t="s">
        <x:v>78</x:v>
      </x:c>
      <x:c r="C501" s="6">
        <x:v>1878189.03</x:v>
      </x:c>
      <x:c r="D501" s="6">
        <x:v>1878189.03</x:v>
      </x:c>
      <x:c r="E501" s="6"/>
      <x:c r="F501" s="7">
        <x:v>50</x:v>
      </x:c>
      <x:c r="G501" s="6">
        <x:v>21.533311000000001</x:v>
      </x:c>
      <x:c r="H501" s="8">
        <x:v>-0.2</x:v>
      </x:c>
      <x:c r="I501" s="6">
        <x:f t="shared" si="91"/>
        <x:v>1283179.7520053203</x:v>
      </x:c>
      <x:c r="J501" s="23">
        <x:v>1.0732366603984522</x:v>
      </x:c>
      <x:c r="K501" s="9">
        <x:f t="shared" si="92"/>
        <x:v>1377155.551733104</x:v>
      </x:c>
      <x:c r="L501" s="6"/>
      <x:c r="M501" s="10">
        <x:f t="shared" si="93"/>
        <x:v>1377155.551733104</x:v>
      </x:c>
      <x:c r="N501" s="10">
        <x:f t="shared" si="94"/>
        <x:v>0</x:v>
      </x:c>
      <x:c r="O501" s="10"/>
    </x:row>
    <x:row r="502" spans="1:15" s="7" customFormat="1" outlineLevel="2" x14ac:dyDescent="0.25">
      <x:c r="A502" s="4">
        <x:v>368</x:v>
      </x:c>
      <x:c r="B502" s="5" t="s">
        <x:v>79</x:v>
      </x:c>
      <x:c r="C502" s="6">
        <x:v>2011316.87</x:v>
      </x:c>
      <x:c r="D502" s="6">
        <x:v>2011316.87</x:v>
      </x:c>
      <x:c r="E502" s="6"/>
      <x:c r="F502" s="7">
        <x:v>50</x:v>
      </x:c>
      <x:c r="G502" s="6">
        <x:v>21.285658999999999</x:v>
      </x:c>
      <x:c r="H502" s="8">
        <x:v>-0.2</x:v>
      </x:c>
      <x:c r="I502" s="6">
        <x:f t="shared" si="91"/>
        <x:v>1386087.3231415839</x:v>
      </x:c>
      <x:c r="J502" s="23">
        <x:v>1.0732366603984522</x:v>
      </x:c>
      <x:c r="K502" s="9">
        <x:f t="shared" si="92"/>
        <x:v>1487599.7297091039</x:v>
      </x:c>
      <x:c r="L502" s="6"/>
      <x:c r="M502" s="10">
        <x:f t="shared" si="93"/>
        <x:v>1487599.7297091039</x:v>
      </x:c>
      <x:c r="N502" s="10">
        <x:f t="shared" si="94"/>
        <x:v>0</x:v>
      </x:c>
      <x:c r="O502" s="10"/>
    </x:row>
    <x:row r="503" spans="1:15" s="7" customFormat="1" outlineLevel="2" x14ac:dyDescent="0.25">
      <x:c r="A503" s="4">
        <x:v>368</x:v>
      </x:c>
      <x:c r="B503" s="5" t="s">
        <x:v>80</x:v>
      </x:c>
      <x:c r="C503" s="6">
        <x:v>1558728.95</x:v>
      </x:c>
      <x:c r="D503" s="6">
        <x:v>1558728.95</x:v>
      </x:c>
      <x:c r="E503" s="6"/>
      <x:c r="F503" s="7">
        <x:v>50</x:v>
      </x:c>
      <x:c r="G503" s="6">
        <x:v>21.040803</x:v>
      </x:c>
      <x:c r="H503" s="8">
        <x:v>-0.2</x:v>
      </x:c>
      <x:c r="I503" s="6">
        <x:f t="shared" si="91"/>
        <x:v>1083348.9295836757</x:v>
      </x:c>
      <x:c r="J503" s="23">
        <x:v>1.0732366603984522</x:v>
      </x:c>
      <x:c r="K503" s="9">
        <x:f t="shared" si="92"/>
        <x:v>1162689.787232622</x:v>
      </x:c>
      <x:c r="L503" s="6"/>
      <x:c r="M503" s="10">
        <x:f t="shared" si="93"/>
        <x:v>1162689.787232622</x:v>
      </x:c>
      <x:c r="N503" s="10">
        <x:f t="shared" si="94"/>
        <x:v>0</x:v>
      </x:c>
      <x:c r="O503" s="10"/>
    </x:row>
    <x:row r="504" spans="1:15" s="7" customFormat="1" outlineLevel="2" x14ac:dyDescent="0.25">
      <x:c r="A504" s="4">
        <x:v>368</x:v>
      </x:c>
      <x:c r="B504" s="5" t="s">
        <x:v>81</x:v>
      </x:c>
      <x:c r="C504" s="6">
        <x:v>1936206.07</x:v>
      </x:c>
      <x:c r="D504" s="6">
        <x:v>1936206.07</x:v>
      </x:c>
      <x:c r="E504" s="6"/>
      <x:c r="F504" s="7">
        <x:v>50</x:v>
      </x:c>
      <x:c r="G504" s="6">
        <x:v>20.798734</x:v>
      </x:c>
      <x:c r="H504" s="8">
        <x:v>-0.2</x:v>
      </x:c>
      <x:c r="I504" s="6">
        <x:f t="shared" si="91"/>
        <x:v>1356952.043541231</x:v>
      </x:c>
      <x:c r="J504" s="23">
        <x:v>1.0732366603984522</x:v>
      </x:c>
      <x:c r="K504" s="9">
        <x:f t="shared" si="92"/>
        <x:v>1456330.679531046</x:v>
      </x:c>
      <x:c r="L504" s="6"/>
      <x:c r="M504" s="10">
        <x:f t="shared" si="93"/>
        <x:v>1456330.679531046</x:v>
      </x:c>
      <x:c r="N504" s="10">
        <x:f t="shared" si="94"/>
        <x:v>0</x:v>
      </x:c>
      <x:c r="O504" s="10"/>
    </x:row>
    <x:row r="505" spans="1:15" s="7" customFormat="1" outlineLevel="2" x14ac:dyDescent="0.25">
      <x:c r="A505" s="4">
        <x:v>368</x:v>
      </x:c>
      <x:c r="B505" s="5" t="s">
        <x:v>82</x:v>
      </x:c>
      <x:c r="C505" s="6">
        <x:v>1585972.22</x:v>
      </x:c>
      <x:c r="D505" s="6">
        <x:v>1585972.22</x:v>
      </x:c>
      <x:c r="E505" s="6"/>
      <x:c r="F505" s="7">
        <x:v>50</x:v>
      </x:c>
      <x:c r="G505" s="6">
        <x:v>20.559418000000001</x:v>
      </x:c>
      <x:c r="H505" s="8">
        <x:v>-0.2</x:v>
      </x:c>
      <x:c r="I505" s="6">
        <x:f t="shared" si="91"/>
        <x:v>1120606.6846231688</x:v>
      </x:c>
      <x:c r="J505" s="23">
        <x:v>1.0732366603984522</x:v>
      </x:c>
      <x:c r="K505" s="9">
        <x:f t="shared" si="92"/>
        <x:v>1202676.1758251511</x:v>
      </x:c>
      <x:c r="L505" s="6"/>
      <x:c r="M505" s="10">
        <x:f t="shared" si="93"/>
        <x:v>1202676.1758251511</x:v>
      </x:c>
      <x:c r="N505" s="10">
        <x:f t="shared" si="94"/>
        <x:v>0</x:v>
      </x:c>
      <x:c r="O505" s="10"/>
    </x:row>
    <x:row r="506" spans="1:15" s="7" customFormat="1" outlineLevel="2" x14ac:dyDescent="0.25">
      <x:c r="A506" s="4">
        <x:v>368</x:v>
      </x:c>
      <x:c r="B506" s="5" t="s">
        <x:v>83</x:v>
      </x:c>
      <x:c r="C506" s="6">
        <x:v>1011526.53</x:v>
      </x:c>
      <x:c r="D506" s="6">
        <x:v>1011526.53</x:v>
      </x:c>
      <x:c r="E506" s="6"/>
      <x:c r="F506" s="7">
        <x:v>50</x:v>
      </x:c>
      <x:c r="G506" s="6">
        <x:v>20.322841</x:v>
      </x:c>
      <x:c r="H506" s="8">
        <x:v>-0.2</x:v>
      </x:c>
      <x:c r="I506" s="6">
        <x:f t="shared" si="91"/>
        <x:v>720461.60792467836</x:v>
      </x:c>
      <x:c r="J506" s="23">
        <x:v>1.0732366603984522</x:v>
      </x:c>
      <x:c r="K506" s="9">
        <x:f t="shared" si="92"/>
        <x:v>773225.81003438088</x:v>
      </x:c>
      <x:c r="L506" s="6"/>
      <x:c r="M506" s="10">
        <x:f t="shared" si="93"/>
        <x:v>773225.81003438088</x:v>
      </x:c>
      <x:c r="N506" s="10">
        <x:f t="shared" si="94"/>
        <x:v>0</x:v>
      </x:c>
      <x:c r="O506" s="10"/>
    </x:row>
    <x:row r="507" spans="1:15" s="7" customFormat="1" outlineLevel="2" x14ac:dyDescent="0.25">
      <x:c r="A507" s="4">
        <x:v>368</x:v>
      </x:c>
      <x:c r="B507" s="5" t="s">
        <x:v>84</x:v>
      </x:c>
      <x:c r="C507" s="6">
        <x:v>1162187.32</x:v>
      </x:c>
      <x:c r="D507" s="6">
        <x:v>1162187.32</x:v>
      </x:c>
      <x:c r="E507" s="6"/>
      <x:c r="F507" s="7">
        <x:v>50</x:v>
      </x:c>
      <x:c r="G507" s="6">
        <x:v>20.088996999999999</x:v>
      </x:c>
      <x:c r="H507" s="8">
        <x:v>-0.2</x:v>
      </x:c>
      <x:c r="I507" s="6">
        <x:f t="shared" ref="I507:I538" si="95">+C507*(1-H507)*(1-G507/F507)</x:f>
        <x:v>834292.52196196711</x:v>
      </x:c>
      <x:c r="J507" s="23">
        <x:v>1.0732366603984522</x:v>
      </x:c>
      <x:c r="K507" s="9">
        <x:f t="shared" ref="K507:K538" si="96">IF((C507*(1-H507)-I507*J507)&lt;0,C507*(1-H507),I507*J507)</x:f>
        <x:v>895393.3200658639</x:v>
      </x:c>
      <x:c r="L507" s="6"/>
      <x:c r="M507" s="10">
        <x:f t="shared" ref="M507:M538" si="97">+K507/D507*C507</x:f>
        <x:v>895393.3200658639</x:v>
      </x:c>
      <x:c r="N507" s="10">
        <x:f t="shared" ref="N507:N538" si="98">+E507/C507*K507</x:f>
        <x:v>0</x:v>
      </x:c>
      <x:c r="O507" s="10"/>
    </x:row>
    <x:row r="508" spans="1:15" s="7" customFormat="1" outlineLevel="2" x14ac:dyDescent="0.25">
      <x:c r="A508" s="4">
        <x:v>368</x:v>
      </x:c>
      <x:c r="B508" s="5" t="s">
        <x:v>85</x:v>
      </x:c>
      <x:c r="C508" s="6">
        <x:v>1074702.93</x:v>
      </x:c>
      <x:c r="D508" s="6">
        <x:v>1074702.93</x:v>
      </x:c>
      <x:c r="E508" s="6"/>
      <x:c r="F508" s="7">
        <x:v>50</x:v>
      </x:c>
      <x:c r="G508" s="6">
        <x:v>19.857866000000001</x:v>
      </x:c>
      <x:c r="H508" s="8">
        <x:v>-0.2</x:v>
      </x:c>
      <x:c r="I508" s="6">
        <x:f t="shared" si="95"/>
        <x:v>777452.1534300627</x:v>
      </x:c>
      <x:c r="J508" s="23">
        <x:v>1.0732366603984522</x:v>
      </x:c>
      <x:c r="K508" s="9">
        <x:f t="shared" si="96"/>
        <x:v>834390.15276686556</x:v>
      </x:c>
      <x:c r="L508" s="6"/>
      <x:c r="M508" s="10">
        <x:f t="shared" si="97"/>
        <x:v>834390.15276686556</x:v>
      </x:c>
      <x:c r="N508" s="10">
        <x:f t="shared" si="98"/>
        <x:v>0</x:v>
      </x:c>
      <x:c r="O508" s="10"/>
    </x:row>
    <x:row r="509" spans="1:15" s="7" customFormat="1" outlineLevel="2" x14ac:dyDescent="0.25">
      <x:c r="A509" s="4">
        <x:v>368</x:v>
      </x:c>
      <x:c r="B509" s="5" t="s">
        <x:v>86</x:v>
      </x:c>
      <x:c r="C509" s="6">
        <x:v>543916.43000000005</x:v>
      </x:c>
      <x:c r="D509" s="6">
        <x:v>543916.43000000005</x:v>
      </x:c>
      <x:c r="E509" s="6"/>
      <x:c r="F509" s="7">
        <x:v>50</x:v>
      </x:c>
      <x:c r="G509" s="6">
        <x:v>19.629427</x:v>
      </x:c>
      <x:c r="H509" s="8">
        <x:v>-0.2</x:v>
      </x:c>
      <x:c r="I509" s="6">
        <x:f t="shared" si="95"/>
        <x:v>396457.28743714537</x:v>
      </x:c>
      <x:c r="J509" s="23">
        <x:v>1.0732366603984522</x:v>
      </x:c>
      <x:c r="K509" s="9">
        <x:f t="shared" si="96"/>
        <x:v>425492.49515967112</x:v>
      </x:c>
      <x:c r="L509" s="6"/>
      <x:c r="M509" s="10">
        <x:f t="shared" si="97"/>
        <x:v>425492.49515967118</x:v>
      </x:c>
      <x:c r="N509" s="10">
        <x:f t="shared" si="98"/>
        <x:v>0</x:v>
      </x:c>
      <x:c r="O509" s="10"/>
    </x:row>
    <x:row r="510" spans="1:15" s="7" customFormat="1" outlineLevel="2" x14ac:dyDescent="0.25">
      <x:c r="A510" s="4">
        <x:v>368</x:v>
      </x:c>
      <x:c r="B510" s="5" t="s">
        <x:v>87</x:v>
      </x:c>
      <x:c r="C510" s="6">
        <x:v>458407.76</x:v>
      </x:c>
      <x:c r="D510" s="6">
        <x:v>458407.76</x:v>
      </x:c>
      <x:c r="E510" s="6"/>
      <x:c r="F510" s="7">
        <x:v>50</x:v>
      </x:c>
      <x:c r="G510" s="6">
        <x:v>19.403661</x:v>
      </x:c>
      <x:c r="H510" s="8">
        <x:v>-0.2</x:v>
      </x:c>
      <x:c r="I510" s="6">
        <x:f t="shared" si="95"/>
        <x:v>336614.38140457537</x:v>
      </x:c>
      <x:c r="J510" s="23">
        <x:v>1.0732366603984522</x:v>
      </x:c>
      <x:c r="K510" s="9">
        <x:f t="shared" si="96"/>
        <x:v>361266.89454073732</x:v>
      </x:c>
      <x:c r="L510" s="6"/>
      <x:c r="M510" s="10">
        <x:f t="shared" si="97"/>
        <x:v>361266.89454073732</x:v>
      </x:c>
      <x:c r="N510" s="10">
        <x:f t="shared" si="98"/>
        <x:v>0</x:v>
      </x:c>
      <x:c r="O510" s="10"/>
    </x:row>
    <x:row r="511" spans="1:15" s="7" customFormat="1" outlineLevel="2" x14ac:dyDescent="0.25">
      <x:c r="A511" s="4">
        <x:v>368</x:v>
      </x:c>
      <x:c r="B511" s="5" t="s">
        <x:v>88</x:v>
      </x:c>
      <x:c r="C511" s="6">
        <x:v>561390.67000000004</x:v>
      </x:c>
      <x:c r="D511" s="6">
        <x:v>561390.67000000004</x:v>
      </x:c>
      <x:c r="E511" s="6"/>
      <x:c r="F511" s="7">
        <x:v>50</x:v>
      </x:c>
      <x:c r="G511" s="6">
        <x:v>19.180582999999999</x:v>
      </x:c>
      <x:c r="H511" s="8">
        <x:v>-0.2</x:v>
      </x:c>
      <x:c r="I511" s="6">
        <x:f t="shared" si="95"/>
        <x:v>415241.59580734541</x:v>
      </x:c>
      <x:c r="J511" s="23">
        <x:v>1.0732366603984522</x:v>
      </x:c>
      <x:c r="K511" s="9">
        <x:f t="shared" si="96"/>
        <x:v>445652.50354279933</x:v>
      </x:c>
      <x:c r="L511" s="6"/>
      <x:c r="M511" s="10">
        <x:f t="shared" si="97"/>
        <x:v>445652.50354279933</x:v>
      </x:c>
      <x:c r="N511" s="10">
        <x:f t="shared" si="98"/>
        <x:v>0</x:v>
      </x:c>
      <x:c r="O511" s="10"/>
    </x:row>
    <x:row r="512" spans="1:15" s="7" customFormat="1" outlineLevel="2" x14ac:dyDescent="0.25">
      <x:c r="A512" s="4">
        <x:v>368</x:v>
      </x:c>
      <x:c r="B512" s="5" t="s">
        <x:v>89</x:v>
      </x:c>
      <x:c r="C512" s="6">
        <x:v>258054.52</x:v>
      </x:c>
      <x:c r="D512" s="6">
        <x:v>258054.52</x:v>
      </x:c>
      <x:c r="E512" s="6"/>
      <x:c r="F512" s="7">
        <x:v>50</x:v>
      </x:c>
      <x:c r="G512" s="6">
        <x:v>18.960156000000001</x:v>
      </x:c>
      <x:c r="H512" s="8">
        <x:v>-0.2</x:v>
      </x:c>
      <x:c r="I512" s="6">
        <x:f t="shared" si="95"/>
        <x:v>192239.32906307711</x:v>
      </x:c>
      <x:c r="J512" s="23">
        <x:v>1.0732366603984522</x:v>
      </x:c>
      <x:c r="K512" s="9">
        <x:f t="shared" si="96"/>
        <x:v>206318.295520896</x:v>
      </x:c>
      <x:c r="L512" s="6"/>
      <x:c r="M512" s="10">
        <x:f t="shared" si="97"/>
        <x:v>206318.295520896</x:v>
      </x:c>
      <x:c r="N512" s="10">
        <x:f t="shared" si="98"/>
        <x:v>0</x:v>
      </x:c>
      <x:c r="O512" s="10"/>
    </x:row>
    <x:row r="513" spans="1:15" s="7" customFormat="1" outlineLevel="2" x14ac:dyDescent="0.25">
      <x:c r="A513" s="4">
        <x:v>368</x:v>
      </x:c>
      <x:c r="B513" s="5" t="s">
        <x:v>90</x:v>
      </x:c>
      <x:c r="C513" s="6">
        <x:v>71589.22</x:v>
      </x:c>
      <x:c r="D513" s="6">
        <x:v>71589.22</x:v>
      </x:c>
      <x:c r="E513" s="6"/>
      <x:c r="F513" s="7">
        <x:v>50</x:v>
      </x:c>
      <x:c r="G513" s="6">
        <x:v>18.742391000000001</x:v>
      </x:c>
      <x:c r="H513" s="8">
        <x:v>-0.2</x:v>
      </x:c>
      <x:c r="I513" s="6">
        <x:f t="shared" si="95"/>
        <x:v>53704.988336999515</x:v>
      </x:c>
      <x:c r="J513" s="23">
        <x:v>1.0732366603984522</x:v>
      </x:c>
      <x:c r="K513" s="9">
        <x:f t="shared" si="96"/>
        <x:v>57638.162329539184</x:v>
      </x:c>
      <x:c r="L513" s="6"/>
      <x:c r="M513" s="10">
        <x:f t="shared" si="97"/>
        <x:v>57638.162329539184</x:v>
      </x:c>
      <x:c r="N513" s="10">
        <x:f t="shared" si="98"/>
        <x:v>0</x:v>
      </x:c>
      <x:c r="O513" s="10"/>
    </x:row>
    <x:row r="514" spans="1:15" s="7" customFormat="1" outlineLevel="2" x14ac:dyDescent="0.25">
      <x:c r="A514" s="4">
        <x:v>368</x:v>
      </x:c>
      <x:c r="B514" s="5" t="s">
        <x:v>91</x:v>
      </x:c>
      <x:c r="C514" s="6">
        <x:v>44880.959999999999</x:v>
      </x:c>
      <x:c r="D514" s="6">
        <x:v>44880.959999999999</x:v>
      </x:c>
      <x:c r="E514" s="6"/>
      <x:c r="F514" s="7">
        <x:v>50</x:v>
      </x:c>
      <x:c r="G514" s="6">
        <x:v>18.527266999999998</x:v>
      </x:c>
      <x:c r="H514" s="8">
        <x:v>-0.2</x:v>
      </x:c>
      <x:c r="I514" s="6">
        <x:f t="shared" si="95"/>
        <x:v>33900.635300728318</x:v>
      </x:c>
      <x:c r="J514" s="23">
        <x:v>1.0732366603984522</x:v>
      </x:c>
      <x:c r="K514" s="9">
        <x:f t="shared" si="96"/>
        <x:v>36383.404615539541</x:v>
      </x:c>
      <x:c r="L514" s="6"/>
      <x:c r="M514" s="10">
        <x:f t="shared" si="97"/>
        <x:v>36383.404615539541</x:v>
      </x:c>
      <x:c r="N514" s="10">
        <x:f t="shared" si="98"/>
        <x:v>0</x:v>
      </x:c>
      <x:c r="O514" s="10"/>
    </x:row>
    <x:row r="515" spans="1:15" s="7" customFormat="1" outlineLevel="2" x14ac:dyDescent="0.25">
      <x:c r="A515" s="4">
        <x:v>368</x:v>
      </x:c>
      <x:c r="B515" s="5" t="s">
        <x:v>92</x:v>
      </x:c>
      <x:c r="C515" s="6">
        <x:v>17932.39</x:v>
      </x:c>
      <x:c r="D515" s="6">
        <x:v>17932.39</x:v>
      </x:c>
      <x:c r="E515" s="6"/>
      <x:c r="F515" s="7">
        <x:v>50</x:v>
      </x:c>
      <x:c r="G515" s="6">
        <x:v>18.314778</x:v>
      </x:c>
      <x:c r="H515" s="8">
        <x:v>-0.2</x:v>
      </x:c>
      <x:c r="I515" s="6">
        <x:f t="shared" si="95"/>
        <x:v>13636.60219537392</x:v>
      </x:c>
      <x:c r="J515" s="23">
        <x:v>1.0732366603984522</x:v>
      </x:c>
      <x:c r="K515" s="9">
        <x:f t="shared" si="96"/>
        <x:v>14635.301399345308</x:v>
      </x:c>
      <x:c r="L515" s="6"/>
      <x:c r="M515" s="10">
        <x:f t="shared" si="97"/>
        <x:v>14635.301399345308</x:v>
      </x:c>
      <x:c r="N515" s="10">
        <x:f t="shared" si="98"/>
        <x:v>0</x:v>
      </x:c>
      <x:c r="O515" s="10"/>
    </x:row>
    <x:row r="516" spans="1:15" s="7" customFormat="1" outlineLevel="2" x14ac:dyDescent="0.25">
      <x:c r="A516" s="4">
        <x:v>368</x:v>
      </x:c>
      <x:c r="B516" s="5" t="s">
        <x:v>93</x:v>
      </x:c>
      <x:c r="C516" s="6">
        <x:v>10438.83</x:v>
      </x:c>
      <x:c r="D516" s="6">
        <x:v>10438.83</x:v>
      </x:c>
      <x:c r="E516" s="6"/>
      <x:c r="F516" s="7">
        <x:v>50</x:v>
      </x:c>
      <x:c r="G516" s="6">
        <x:v>18.104921000000001</x:v>
      </x:c>
      <x:c r="H516" s="8">
        <x:v>-0.2</x:v>
      </x:c>
      <x:c r="I516" s="6">
        <x:f t="shared" si="95"/>
        <x:v>7990.7353804216791</x:v>
      </x:c>
      <x:c r="J516" s="23">
        <x:v>1.0732366603984522</x:v>
      </x:c>
      <x:c r="K516" s="9">
        <x:f t="shared" si="96"/>
        <x:v>8575.9501538115182</x:v>
      </x:c>
      <x:c r="L516" s="6"/>
      <x:c r="M516" s="10">
        <x:f t="shared" si="97"/>
        <x:v>8575.9501538115182</x:v>
      </x:c>
      <x:c r="N516" s="10">
        <x:f t="shared" si="98"/>
        <x:v>0</x:v>
      </x:c>
      <x:c r="O516" s="10"/>
    </x:row>
    <x:row r="517" spans="1:15" s="7" customFormat="1" outlineLevel="2" x14ac:dyDescent="0.25">
      <x:c r="A517" s="4">
        <x:v>368</x:v>
      </x:c>
      <x:c r="B517" s="5" t="s">
        <x:v>94</x:v>
      </x:c>
      <x:c r="C517" s="6">
        <x:v>22401.09</x:v>
      </x:c>
      <x:c r="D517" s="6">
        <x:v>22401.09</x:v>
      </x:c>
      <x:c r="E517" s="6"/>
      <x:c r="F517" s="7">
        <x:v>50</x:v>
      </x:c>
      <x:c r="G517" s="6">
        <x:v>17.897684000000002</x:v>
      </x:c>
      <x:c r="H517" s="8">
        <x:v>-0.2</x:v>
      </x:c>
      <x:c r="I517" s="6">
        <x:f t="shared" si="95"/>
        <x:v>17259.04487818656</x:v>
      </x:c>
      <x:c r="J517" s="23">
        <x:v>1.0732366603984522</x:v>
      </x:c>
      <x:c r="K517" s="9">
        <x:f t="shared" si="96"/>
        <x:v>18523.039686731954</x:v>
      </x:c>
      <x:c r="L517" s="6"/>
      <x:c r="M517" s="10">
        <x:f t="shared" si="97"/>
        <x:v>18523.039686731954</x:v>
      </x:c>
      <x:c r="N517" s="10">
        <x:f t="shared" si="98"/>
        <x:v>0</x:v>
      </x:c>
      <x:c r="O517" s="10"/>
    </x:row>
    <x:row r="518" spans="1:15" s="7" customFormat="1" outlineLevel="2" x14ac:dyDescent="0.25">
      <x:c r="A518" s="4">
        <x:v>368</x:v>
      </x:c>
      <x:c r="B518" s="5" t="s">
        <x:v>95</x:v>
      </x:c>
      <x:c r="C518" s="6">
        <x:v>36126.94</x:v>
      </x:c>
      <x:c r="D518" s="6">
        <x:v>36126.94</x:v>
      </x:c>
      <x:c r="E518" s="6"/>
      <x:c r="F518" s="7">
        <x:v>50</x:v>
      </x:c>
      <x:c r="G518" s="6">
        <x:v>17.693072999999998</x:v>
      </x:c>
      <x:c r="H518" s="8">
        <x:v>-0.2</x:v>
      </x:c>
      <x:c r="I518" s="6">
        <x:f t="shared" si="95"/>
        <x:v>28011.609919521121</x:v>
      </x:c>
      <x:c r="J518" s="23">
        <x:v>1.0732366603984522</x:v>
      </x:c>
      <x:c r="K518" s="9">
        <x:f t="shared" si="96"/>
        <x:v>30063.086682411005</x:v>
      </x:c>
      <x:c r="L518" s="6"/>
      <x:c r="M518" s="10">
        <x:f t="shared" si="97"/>
        <x:v>30063.086682411005</x:v>
      </x:c>
      <x:c r="N518" s="10">
        <x:f t="shared" si="98"/>
        <x:v>0</x:v>
      </x:c>
      <x:c r="O518" s="10"/>
    </x:row>
    <x:row r="519" spans="1:15" s="7" customFormat="1" outlineLevel="2" x14ac:dyDescent="0.25">
      <x:c r="A519" s="4">
        <x:v>368</x:v>
      </x:c>
      <x:c r="B519" s="5" t="s">
        <x:v>96</x:v>
      </x:c>
      <x:c r="C519" s="6">
        <x:v>18818.490000000002</x:v>
      </x:c>
      <x:c r="D519" s="6">
        <x:v>18818.490000000002</x:v>
      </x:c>
      <x:c r="E519" s="6"/>
      <x:c r="F519" s="7">
        <x:v>50</x:v>
      </x:c>
      <x:c r="G519" s="6">
        <x:v>17.491088999999999</x:v>
      </x:c>
      <x:c r="H519" s="8">
        <x:v>-0.2</x:v>
      </x:c>
      <x:c r="I519" s="6">
        <x:f t="shared" si="95"/>
        <x:v>14682.446797545363</x:v>
      </x:c>
      <x:c r="J519" s="23">
        <x:v>1.0732366603984522</x:v>
      </x:c>
      <x:c r="K519" s="9">
        <x:f t="shared" si="96"/>
        <x:v>15757.740167475535</x:v>
      </x:c>
      <x:c r="L519" s="6"/>
      <x:c r="M519" s="10">
        <x:f t="shared" si="97"/>
        <x:v>15757.740167475535</x:v>
      </x:c>
      <x:c r="N519" s="10">
        <x:f t="shared" si="98"/>
        <x:v>0</x:v>
      </x:c>
      <x:c r="O519" s="10"/>
    </x:row>
    <x:row r="520" spans="1:15" s="7" customFormat="1" outlineLevel="2" x14ac:dyDescent="0.25">
      <x:c r="A520" s="4">
        <x:v>368</x:v>
      </x:c>
      <x:c r="B520" s="5" t="s">
        <x:v>97</x:v>
      </x:c>
      <x:c r="C520" s="6">
        <x:v>14975.89</x:v>
      </x:c>
      <x:c r="D520" s="6">
        <x:v>14975.89</x:v>
      </x:c>
      <x:c r="E520" s="6"/>
      <x:c r="F520" s="7">
        <x:v>50</x:v>
      </x:c>
      <x:c r="G520" s="6">
        <x:v>17.291722</x:v>
      </x:c>
      <x:c r="H520" s="8">
        <x:v>-0.2</x:v>
      </x:c>
      <x:c r="I520" s="6">
        <x:f t="shared" si="95"/>
        <x:v>11756.05376201808</x:v>
      </x:c>
      <x:c r="J520" s="23">
        <x:v>1.0732366603984522</x:v>
      </x:c>
      <x:c r="K520" s="9">
        <x:f t="shared" si="96"/>
        <x:v>12617.027879012945</x:v>
      </x:c>
      <x:c r="L520" s="6"/>
      <x:c r="M520" s="10">
        <x:f t="shared" si="97"/>
        <x:v>12617.027879012945</x:v>
      </x:c>
      <x:c r="N520" s="10">
        <x:f t="shared" si="98"/>
        <x:v>0</x:v>
      </x:c>
      <x:c r="O520" s="10"/>
    </x:row>
    <x:row r="521" spans="1:15" s="7" customFormat="1" outlineLevel="2" x14ac:dyDescent="0.25">
      <x:c r="A521" s="4">
        <x:v>368</x:v>
      </x:c>
      <x:c r="B521" s="5" t="s">
        <x:v>98</x:v>
      </x:c>
      <x:c r="C521" s="6">
        <x:v>18992.29</x:v>
      </x:c>
      <x:c r="D521" s="6">
        <x:v>18992.29</x:v>
      </x:c>
      <x:c r="E521" s="6"/>
      <x:c r="F521" s="7">
        <x:v>50</x:v>
      </x:c>
      <x:c r="G521" s="6">
        <x:v>17.094985000000001</x:v>
      </x:c>
      <x:c r="H521" s="8">
        <x:v>-0.2</x:v>
      </x:c>
      <x:c r="I521" s="6">
        <x:f t="shared" si="95"/>
        <x:v>14998.5980960244</x:v>
      </x:c>
      <x:c r="J521" s="23">
        <x:v>1.0732366603984522</x:v>
      </x:c>
      <x:c r="K521" s="9">
        <x:f t="shared" si="96"/>
        <x:v>16097.045331235811</x:v>
      </x:c>
      <x:c r="L521" s="6"/>
      <x:c r="M521" s="10">
        <x:f t="shared" si="97"/>
        <x:v>16097.045331235811</x:v>
      </x:c>
      <x:c r="N521" s="10">
        <x:f t="shared" si="98"/>
        <x:v>0</x:v>
      </x:c>
      <x:c r="O521" s="10"/>
    </x:row>
    <x:row r="522" spans="1:15" s="7" customFormat="1" outlineLevel="2" x14ac:dyDescent="0.25">
      <x:c r="A522" s="4">
        <x:v>368</x:v>
      </x:c>
      <x:c r="B522" s="5" t="s">
        <x:v>99</x:v>
      </x:c>
      <x:c r="C522" s="6">
        <x:v>21355.23</x:v>
      </x:c>
      <x:c r="D522" s="6">
        <x:v>21355.23</x:v>
      </x:c>
      <x:c r="E522" s="6"/>
      <x:c r="F522" s="7">
        <x:v>50</x:v>
      </x:c>
      <x:c r="G522" s="6">
        <x:v>16.900856000000001</x:v>
      </x:c>
      <x:c r="H522" s="8">
        <x:v>-0.2</x:v>
      </x:c>
      <x:c r="I522" s="6">
        <x:f t="shared" si="95"/>
        <x:v>16964.155990154879</x:v>
      </x:c>
      <x:c r="J522" s="23">
        <x:v>1.0732366603984522</x:v>
      </x:c>
      <x:c r="K522" s="9">
        <x:f t="shared" si="96"/>
        <x:v>18206.554121352219</x:v>
      </x:c>
      <x:c r="L522" s="6"/>
      <x:c r="M522" s="10">
        <x:f t="shared" si="97"/>
        <x:v>18206.554121352219</x:v>
      </x:c>
      <x:c r="N522" s="10">
        <x:f t="shared" si="98"/>
        <x:v>0</x:v>
      </x:c>
      <x:c r="O522" s="10"/>
    </x:row>
    <x:row r="523" spans="1:15" s="7" customFormat="1" outlineLevel="2" x14ac:dyDescent="0.25">
      <x:c r="A523" s="4">
        <x:v>368</x:v>
      </x:c>
      <x:c r="B523" s="5" t="s">
        <x:v>100</x:v>
      </x:c>
      <x:c r="C523" s="6">
        <x:v>3663.93</x:v>
      </x:c>
      <x:c r="D523" s="6">
        <x:v>3663.93</x:v>
      </x:c>
      <x:c r="E523" s="6"/>
      <x:c r="F523" s="7">
        <x:v>50</x:v>
      </x:c>
      <x:c r="G523" s="6">
        <x:v>16.70936</x:v>
      </x:c>
      <x:c r="H523" s="8">
        <x:v>-0.2</x:v>
      </x:c>
      <x:c r="I523" s="6">
        <x:f t="shared" si="95"/>
        <x:v>2927.3897907647997</x:v>
      </x:c>
      <x:c r="J523" s="23">
        <x:v>1.0732366603984522</x:v>
      </x:c>
      <x:c r="K523" s="9">
        <x:f t="shared" si="96"/>
        <x:v>3141.7820427249376</x:v>
      </x:c>
      <x:c r="L523" s="6"/>
      <x:c r="M523" s="10">
        <x:f t="shared" si="97"/>
        <x:v>3141.7820427249376</x:v>
      </x:c>
      <x:c r="N523" s="10">
        <x:f t="shared" si="98"/>
        <x:v>0</x:v>
      </x:c>
      <x:c r="O523" s="10"/>
    </x:row>
    <x:row r="524" spans="1:15" s="7" customFormat="1" outlineLevel="2" x14ac:dyDescent="0.25">
      <x:c r="A524" s="4">
        <x:v>368</x:v>
      </x:c>
      <x:c r="B524" s="5" t="s">
        <x:v>101</x:v>
      </x:c>
      <x:c r="C524" s="6">
        <x:v>611.82000000000005</x:v>
      </x:c>
      <x:c r="D524" s="6">
        <x:v>611.82000000000005</x:v>
      </x:c>
      <x:c r="E524" s="6"/>
      <x:c r="F524" s="7">
        <x:v>50</x:v>
      </x:c>
      <x:c r="G524" s="6">
        <x:v>16.520492999999998</x:v>
      </x:c>
      <x:c r="H524" s="8">
        <x:v>-0.2</x:v>
      </x:c>
      <x:c r="I524" s="6">
        <x:f t="shared" si="95"/>
        <x:v>491.60236734576011</x:v>
      </x:c>
      <x:c r="J524" s="23">
        <x:v>1.0732366603984522</x:v>
      </x:c>
      <x:c r="K524" s="9">
        <x:f t="shared" si="96"/>
        <x:v>527.6056829741367</x:v>
      </x:c>
      <x:c r="L524" s="6"/>
      <x:c r="M524" s="10">
        <x:f t="shared" si="97"/>
        <x:v>527.6056829741367</x:v>
      </x:c>
      <x:c r="N524" s="10">
        <x:f t="shared" si="98"/>
        <x:v>0</x:v>
      </x:c>
      <x:c r="O524" s="10"/>
    </x:row>
    <x:row r="525" spans="1:15" s="7" customFormat="1" outlineLevel="2" x14ac:dyDescent="0.25">
      <x:c r="A525" s="4">
        <x:v>368</x:v>
      </x:c>
      <x:c r="B525" s="5" t="s">
        <x:v>102</x:v>
      </x:c>
      <x:c r="C525" s="6">
        <x:v>995.22</x:v>
      </x:c>
      <x:c r="D525" s="6">
        <x:v>995.22</x:v>
      </x:c>
      <x:c r="E525" s="6"/>
      <x:c r="F525" s="7">
        <x:v>50</x:v>
      </x:c>
      <x:c r="G525" s="6">
        <x:v>16.334257000000001</x:v>
      </x:c>
      <x:c r="H525" s="8">
        <x:v>-0.2</x:v>
      </x:c>
      <x:c r="I525" s="6">
        <x:f t="shared" si="95"/>
        <x:v>804.11569796303991</x:v>
      </x:c>
      <x:c r="J525" s="23">
        <x:v>1.0732366603984522</x:v>
      </x:c>
      <x:c r="K525" s="9">
        <x:f t="shared" si="96"/>
        <x:v>863.00644625582345</x:v>
      </x:c>
      <x:c r="L525" s="6"/>
      <x:c r="M525" s="10">
        <x:f t="shared" si="97"/>
        <x:v>863.00644625582345</x:v>
      </x:c>
      <x:c r="N525" s="10">
        <x:f t="shared" si="98"/>
        <x:v>0</x:v>
      </x:c>
      <x:c r="O525" s="10"/>
    </x:row>
    <x:row r="526" spans="1:15" s="7" customFormat="1" outlineLevel="2" x14ac:dyDescent="0.25">
      <x:c r="A526" s="4">
        <x:v>368</x:v>
      </x:c>
      <x:c r="B526" s="5" t="s">
        <x:v>103</x:v>
      </x:c>
      <x:c r="C526" s="6">
        <x:v>325.52</x:v>
      </x:c>
      <x:c r="D526" s="6">
        <x:v>325.52</x:v>
      </x:c>
      <x:c r="E526" s="6"/>
      <x:c r="F526" s="7">
        <x:v>50</x:v>
      </x:c>
      <x:c r="G526" s="6">
        <x:v>16.150668</x:v>
      </x:c>
      <x:c r="H526" s="8">
        <x:v>-0.2</x:v>
      </x:c>
      <x:c r="I526" s="6">
        <x:f t="shared" si="95"/>
        <x:v>264.44722926335999</x:v>
      </x:c>
      <x:c r="J526" s="23">
        <x:v>1.0732366603984522</x:v>
      </x:c>
      <x:c r="K526" s="9">
        <x:f t="shared" si="96"/>
        <x:v>283.81446118623234</x:v>
      </x:c>
      <x:c r="L526" s="6"/>
      <x:c r="M526" s="10">
        <x:f t="shared" si="97"/>
        <x:v>283.81446118623234</x:v>
      </x:c>
      <x:c r="N526" s="10">
        <x:f t="shared" si="98"/>
        <x:v>0</x:v>
      </x:c>
      <x:c r="O526" s="10"/>
    </x:row>
    <x:row r="527" spans="1:15" s="7" customFormat="1" outlineLevel="2" x14ac:dyDescent="0.25">
      <x:c r="A527" s="4">
        <x:v>368</x:v>
      </x:c>
      <x:c r="B527" s="5" t="s">
        <x:v>104</x:v>
      </x:c>
      <x:c r="C527" s="6">
        <x:v>1258.6099999999999</x:v>
      </x:c>
      <x:c r="D527" s="6">
        <x:v>1258.6099999999999</x:v>
      </x:c>
      <x:c r="E527" s="6"/>
      <x:c r="F527" s="7">
        <x:v>50</x:v>
      </x:c>
      <x:c r="G527" s="6">
        <x:v>15.969739000000001</x:v>
      </x:c>
      <x:c r="H527" s="8">
        <x:v>-0.2</x:v>
      </x:c>
      <x:c r="I527" s="6">
        <x:f t="shared" si="95"/>
        <x:v>1027.9398431330399</x:v>
      </x:c>
      <x:c r="J527" s="23">
        <x:v>1.0732366603984522</x:v>
      </x:c>
      <x:c r="K527" s="9">
        <x:f t="shared" si="96"/>
        <x:v>1103.2227243346126</x:v>
      </x:c>
      <x:c r="L527" s="6"/>
      <x:c r="M527" s="10">
        <x:f t="shared" si="97"/>
        <x:v>1103.2227243346126</x:v>
      </x:c>
      <x:c r="N527" s="10">
        <x:f t="shared" si="98"/>
        <x:v>0</x:v>
      </x:c>
      <x:c r="O527" s="10"/>
    </x:row>
    <x:row r="528" spans="1:15" s="7" customFormat="1" outlineLevel="2" x14ac:dyDescent="0.25">
      <x:c r="A528" s="4">
        <x:v>368</x:v>
      </x:c>
      <x:c r="B528" s="5" t="s">
        <x:v>105</x:v>
      </x:c>
      <x:c r="C528" s="6">
        <x:v>16713.93</x:v>
      </x:c>
      <x:c r="D528" s="6">
        <x:v>16713.93</x:v>
      </x:c>
      <x:c r="E528" s="6"/>
      <x:c r="F528" s="7">
        <x:v>50</x:v>
      </x:c>
      <x:c r="G528" s="6">
        <x:v>15.791441000000001</x:v>
      </x:c>
      <x:c r="H528" s="8">
        <x:v>-0.2</x:v>
      </x:c>
      <x:c r="I528" s="6">
        <x:f t="shared" si="95"/>
        <x:v>13722.227052644879</x:v>
      </x:c>
      <x:c r="J528" s="23">
        <x:v>1.0732366603984522</x:v>
      </x:c>
      <x:c r="K528" s="9">
        <x:f t="shared" si="96"/>
        <x:v>14727.197135209886</x:v>
      </x:c>
      <x:c r="L528" s="6"/>
      <x:c r="M528" s="10">
        <x:f t="shared" si="97"/>
        <x:v>14727.197135209886</x:v>
      </x:c>
      <x:c r="N528" s="10">
        <x:f t="shared" si="98"/>
        <x:v>0</x:v>
      </x:c>
      <x:c r="O528" s="10"/>
    </x:row>
    <x:row r="529" spans="1:15" s="7" customFormat="1" outlineLevel="2" x14ac:dyDescent="0.25">
      <x:c r="A529" s="4">
        <x:v>368</x:v>
      </x:c>
      <x:c r="B529" s="5" t="s">
        <x:v>106</x:v>
      </x:c>
      <x:c r="C529" s="6">
        <x:v>67922.94</x:v>
      </x:c>
      <x:c r="D529" s="6">
        <x:v>67922.94</x:v>
      </x:c>
      <x:c r="E529" s="6"/>
      <x:c r="F529" s="7">
        <x:v>50</x:v>
      </x:c>
      <x:c r="G529" s="6">
        <x:v>15.615835000000001</x:v>
      </x:c>
      <x:c r="H529" s="8">
        <x:v>-0.2</x:v>
      </x:c>
      <x:c r="I529" s="6">
        <x:f t="shared" si="95"/>
        <x:v>56051.365829882401</x:v>
      </x:c>
      <x:c r="J529" s="23">
        <x:v>1.0732366603984522</x:v>
      </x:c>
      <x:c r="K529" s="9">
        <x:f t="shared" si="96"/>
        <x:v>60156.38067403491</x:v>
      </x:c>
      <x:c r="L529" s="6"/>
      <x:c r="M529" s="10">
        <x:f t="shared" si="97"/>
        <x:v>60156.38067403491</x:v>
      </x:c>
      <x:c r="N529" s="10">
        <x:f t="shared" si="98"/>
        <x:v>0</x:v>
      </x:c>
      <x:c r="O529" s="10"/>
    </x:row>
    <x:row r="530" spans="1:15" s="7" customFormat="1" outlineLevel="2" x14ac:dyDescent="0.25">
      <x:c r="A530" s="4">
        <x:v>368</x:v>
      </x:c>
      <x:c r="B530" s="5" t="s">
        <x:v>107</x:v>
      </x:c>
      <x:c r="C530" s="6">
        <x:v>12336.68</x:v>
      </x:c>
      <x:c r="D530" s="6">
        <x:v>12336.68</x:v>
      </x:c>
      <x:c r="E530" s="6"/>
      <x:c r="F530" s="7">
        <x:v>50</x:v>
      </x:c>
      <x:c r="G530" s="6">
        <x:v>15.442909999999999</x:v>
      </x:c>
      <x:c r="H530" s="8">
        <x:v>-0.2</x:v>
      </x:c>
      <x:c r="I530" s="6">
        <x:f t="shared" si="95"/>
        <x:v>10231.674265468801</x:v>
      </x:c>
      <x:c r="J530" s="23">
        <x:v>1.0732366603984522</x:v>
      </x:c>
      <x:c r="K530" s="9">
        <x:f t="shared" si="96"/>
        <x:v>10981.007918956522</x:v>
      </x:c>
      <x:c r="L530" s="6"/>
      <x:c r="M530" s="10">
        <x:f t="shared" si="97"/>
        <x:v>10981.007918956522</x:v>
      </x:c>
      <x:c r="N530" s="10">
        <x:f t="shared" si="98"/>
        <x:v>0</x:v>
      </x:c>
      <x:c r="O530" s="10"/>
    </x:row>
    <x:row r="531" spans="1:15" s="7" customFormat="1" outlineLevel="2" x14ac:dyDescent="0.25">
      <x:c r="A531" s="4">
        <x:v>368</x:v>
      </x:c>
      <x:c r="B531" s="5" t="s">
        <x:v>108</x:v>
      </x:c>
      <x:c r="C531" s="6">
        <x:v>21833.58</x:v>
      </x:c>
      <x:c r="D531" s="6">
        <x:v>21833.58</x:v>
      </x:c>
      <x:c r="E531" s="6"/>
      <x:c r="F531" s="7">
        <x:v>50</x:v>
      </x:c>
      <x:c r="G531" s="6">
        <x:v>15.272669</x:v>
      </x:c>
      <x:c r="H531" s="8">
        <x:v>-0.2</x:v>
      </x:c>
      <x:c r="I531" s="6">
        <x:f t="shared" si="95"/>
        <x:v>18197.327029799522</x:v>
      </x:c>
      <x:c r="J531" s="23">
        <x:v>1.0732366603984522</x:v>
      </x:c>
      <x:c r="K531" s="9">
        <x:f t="shared" si="96"/>
        <x:v>19530.038489640527</x:v>
      </x:c>
      <x:c r="L531" s="6"/>
      <x:c r="M531" s="10">
        <x:f t="shared" si="97"/>
        <x:v>19530.038489640527</x:v>
      </x:c>
      <x:c r="N531" s="10">
        <x:f t="shared" si="98"/>
        <x:v>0</x:v>
      </x:c>
      <x:c r="O531" s="10"/>
    </x:row>
    <x:row r="532" spans="1:15" s="7" customFormat="1" outlineLevel="2" x14ac:dyDescent="0.25">
      <x:c r="A532" s="4">
        <x:v>368</x:v>
      </x:c>
      <x:c r="B532" s="5" t="s">
        <x:v>109</x:v>
      </x:c>
      <x:c r="C532" s="6">
        <x:v>5164.8599999999997</x:v>
      </x:c>
      <x:c r="D532" s="6">
        <x:v>5164.8599999999997</x:v>
      </x:c>
      <x:c r="E532" s="6"/>
      <x:c r="F532" s="7">
        <x:v>50</x:v>
      </x:c>
      <x:c r="G532" s="6">
        <x:v>15.105138</x:v>
      </x:c>
      <x:c r="H532" s="8">
        <x:v>-0.2</x:v>
      </x:c>
      <x:c r="I532" s="6">
        <x:f t="shared" si="95"/>
        <x:v>4325.4498467836793</x:v>
      </x:c>
      <x:c r="J532" s="23">
        <x:v>1.0732366603984522</x:v>
      </x:c>
      <x:c r="K532" s="9">
        <x:f t="shared" si="96"/>
        <x:v>4642.2313482831132</x:v>
      </x:c>
      <x:c r="L532" s="6"/>
      <x:c r="M532" s="10">
        <x:f t="shared" si="97"/>
        <x:v>4642.2313482831132</x:v>
      </x:c>
      <x:c r="N532" s="10">
        <x:f t="shared" si="98"/>
        <x:v>0</x:v>
      </x:c>
      <x:c r="O532" s="10"/>
    </x:row>
    <x:row r="533" spans="1:15" s="7" customFormat="1" outlineLevel="2" x14ac:dyDescent="0.25">
      <x:c r="A533" s="4">
        <x:v>368</x:v>
      </x:c>
      <x:c r="B533" s="5" t="s">
        <x:v>110</x:v>
      </x:c>
      <x:c r="C533" s="6">
        <x:v>6087.13</x:v>
      </x:c>
      <x:c r="D533" s="6">
        <x:v>6087.13</x:v>
      </x:c>
      <x:c r="E533" s="6"/>
      <x:c r="F533" s="7">
        <x:v>50</x:v>
      </x:c>
      <x:c r="G533" s="6">
        <x:v>14.940300000000001</x:v>
      </x:c>
      <x:c r="H533" s="8">
        <x:v>-0.2</x:v>
      </x:c>
      <x:c r="I533" s="6">
        <x:f t="shared" si="95"/>
        <x:v>5121.9108398639992</x:v>
      </x:c>
      <x:c r="J533" s="23">
        <x:v>1.0732366603984522</x:v>
      </x:c>
      <x:c r="K533" s="9">
        <x:f t="shared" si="96"/>
        <x:v>5497.0224846342699</x:v>
      </x:c>
      <x:c r="L533" s="6"/>
      <x:c r="M533" s="10">
        <x:f t="shared" si="97"/>
        <x:v>5497.0224846342699</x:v>
      </x:c>
      <x:c r="N533" s="10">
        <x:f t="shared" si="98"/>
        <x:v>0</x:v>
      </x:c>
      <x:c r="O533" s="10"/>
    </x:row>
    <x:row r="534" spans="1:15" s="7" customFormat="1" outlineLevel="2" x14ac:dyDescent="0.25">
      <x:c r="A534" s="4">
        <x:v>368</x:v>
      </x:c>
      <x:c r="B534" s="5" t="s">
        <x:v>111</x:v>
      </x:c>
      <x:c r="C534" s="6">
        <x:v>6222.22</x:v>
      </x:c>
      <x:c r="D534" s="6">
        <x:v>6222.22</x:v>
      </x:c>
      <x:c r="E534" s="6"/>
      <x:c r="F534" s="7">
        <x:v>50</x:v>
      </x:c>
      <x:c r="G534" s="6">
        <x:v>14.77821</x:v>
      </x:c>
      <x:c r="H534" s="8">
        <x:v>-0.2</x:v>
      </x:c>
      <x:c r="I534" s="6">
        <x:f t="shared" si="95"/>
        <x:v>5259.7854281711998</x:v>
      </x:c>
      <x:c r="J534" s="23">
        <x:v>1.0732366603984522</x:v>
      </x:c>
      <x:c r="K534" s="9">
        <x:f t="shared" si="96"/>
        <x:v>5644.9945473429016</x:v>
      </x:c>
      <x:c r="L534" s="6"/>
      <x:c r="M534" s="10">
        <x:f t="shared" si="97"/>
        <x:v>5644.9945473429016</x:v>
      </x:c>
      <x:c r="N534" s="10">
        <x:f t="shared" si="98"/>
        <x:v>0</x:v>
      </x:c>
      <x:c r="O534" s="10"/>
    </x:row>
    <x:row r="535" spans="1:15" s="7" customFormat="1" outlineLevel="2" x14ac:dyDescent="0.25">
      <x:c r="A535" s="4">
        <x:v>368</x:v>
      </x:c>
      <x:c r="B535" s="5" t="s">
        <x:v>112</x:v>
      </x:c>
      <x:c r="C535" s="6">
        <x:v>5177.91</x:v>
      </x:c>
      <x:c r="D535" s="6">
        <x:v>5177.91</x:v>
      </x:c>
      <x:c r="E535" s="6"/>
      <x:c r="F535" s="7">
        <x:v>50</x:v>
      </x:c>
      <x:c r="G535" s="6">
        <x:v>14.618888999999999</x:v>
      </x:c>
      <x:c r="H535" s="8">
        <x:v>-0.2</x:v>
      </x:c>
      <x:c r="I535" s="6">
        <x:f t="shared" si="95"/>
        <x:v>4396.8050029922397</x:v>
      </x:c>
      <x:c r="J535" s="23">
        <x:v>1.0732366603984522</x:v>
      </x:c>
      <x:c r="K535" s="9">
        <x:f t="shared" si="96"/>
        <x:v>4718.8123178345977</x:v>
      </x:c>
      <x:c r="L535" s="6"/>
      <x:c r="M535" s="10">
        <x:f t="shared" si="97"/>
        <x:v>4718.8123178345977</x:v>
      </x:c>
      <x:c r="N535" s="10">
        <x:f t="shared" si="98"/>
        <x:v>0</x:v>
      </x:c>
      <x:c r="O535" s="10"/>
    </x:row>
    <x:row r="536" spans="1:15" s="7" customFormat="1" outlineLevel="2" x14ac:dyDescent="0.25">
      <x:c r="A536" s="4">
        <x:v>368</x:v>
      </x:c>
      <x:c r="B536" s="5" t="s">
        <x:v>113</x:v>
      </x:c>
      <x:c r="C536" s="6">
        <x:v>634.55999999999995</x:v>
      </x:c>
      <x:c r="D536" s="6">
        <x:v>634.55999999999995</x:v>
      </x:c>
      <x:c r="E536" s="6"/>
      <x:c r="F536" s="7">
        <x:v>50</x:v>
      </x:c>
      <x:c r="G536" s="6">
        <x:v>14.462308</x:v>
      </x:c>
      <x:c r="H536" s="8">
        <x:v>-0.2</x:v>
      </x:c>
      <x:c r="I536" s="6">
        <x:f t="shared" si="95"/>
        <x:v>541.21914805247991</x:v>
      </x:c>
      <x:c r="J536" s="23">
        <x:v>1.0732366603984522</x:v>
      </x:c>
      <x:c r="K536" s="9">
        <x:f t="shared" si="96"/>
        <x:v>580.85623099953898</x:v>
      </x:c>
      <x:c r="L536" s="6"/>
      <x:c r="M536" s="10">
        <x:f t="shared" si="97"/>
        <x:v>580.85623099953898</x:v>
      </x:c>
      <x:c r="N536" s="10">
        <x:f t="shared" si="98"/>
        <x:v>0</x:v>
      </x:c>
      <x:c r="O536" s="10"/>
    </x:row>
    <x:row r="537" spans="1:15" s="7" customFormat="1" outlineLevel="2" x14ac:dyDescent="0.25">
      <x:c r="A537" s="4">
        <x:v>368</x:v>
      </x:c>
      <x:c r="B537" s="5" t="s">
        <x:v>114</x:v>
      </x:c>
      <x:c r="C537" s="6">
        <x:v>977.3</x:v>
      </x:c>
      <x:c r="D537" s="6">
        <x:v>977.3</x:v>
      </x:c>
      <x:c r="E537" s="6"/>
      <x:c r="F537" s="7">
        <x:v>50</x:v>
      </x:c>
      <x:c r="G537" s="6">
        <x:v>14.308526000000001</x:v>
      </x:c>
      <x:c r="H537" s="8">
        <x:v>-0.2</x:v>
      </x:c>
      <x:c r="I537" s="6">
        <x:f t="shared" si="95"/>
        <x:v>837.15066096480007</x:v>
      </x:c>
      <x:c r="J537" s="23">
        <x:v>1.0732366603984522</x:v>
      </x:c>
      <x:c r="K537" s="9">
        <x:f t="shared" si="96"/>
        <x:v>898.46077962421896</x:v>
      </x:c>
      <x:c r="L537" s="6"/>
      <x:c r="M537" s="10">
        <x:f t="shared" si="97"/>
        <x:v>898.46077962421896</x:v>
      </x:c>
      <x:c r="N537" s="10">
        <x:f t="shared" si="98"/>
        <x:v>0</x:v>
      </x:c>
      <x:c r="O537" s="10"/>
    </x:row>
    <x:row r="538" spans="1:15" s="7" customFormat="1" outlineLevel="2" x14ac:dyDescent="0.25">
      <x:c r="A538" s="4">
        <x:v>368</x:v>
      </x:c>
      <x:c r="B538" s="5" t="s">
        <x:v>130</x:v>
      </x:c>
      <x:c r="C538" s="6">
        <x:v>532.12</x:v>
      </x:c>
      <x:c r="D538" s="6">
        <x:v>532.12</x:v>
      </x:c>
      <x:c r="E538" s="6"/>
      <x:c r="F538" s="7">
        <x:v>50</x:v>
      </x:c>
      <x:c r="G538" s="6">
        <x:v>14.009334000000001</x:v>
      </x:c>
      <x:c r="H538" s="8">
        <x:v>-0.2</x:v>
      </x:c>
      <x:c r="I538" s="6">
        <x:f t="shared" si="95"/>
        <x:v>459.63247660607999</x:v>
      </x:c>
      <x:c r="J538" s="23">
        <x:v>1.0732366603984522</x:v>
      </x:c>
      <x:c r="K538" s="9">
        <x:f t="shared" si="96"/>
        <x:v>493.29442420337898</x:v>
      </x:c>
      <x:c r="L538" s="6"/>
      <x:c r="M538" s="10">
        <x:f t="shared" si="97"/>
        <x:v>493.29442420337898</x:v>
      </x:c>
      <x:c r="N538" s="10">
        <x:f t="shared" si="98"/>
        <x:v>0</x:v>
      </x:c>
      <x:c r="O538" s="10"/>
    </x:row>
    <x:row r="539" spans="1:15" s="7" customFormat="1" outlineLevel="2" x14ac:dyDescent="0.25">
      <x:c r="A539" s="4">
        <x:v>368</x:v>
      </x:c>
      <x:c r="B539" s="5" t="s">
        <x:v>131</x:v>
      </x:c>
      <x:c r="C539" s="6">
        <x:v>200745.73</x:v>
      </x:c>
      <x:c r="D539" s="6">
        <x:v>200745.73</x:v>
      </x:c>
      <x:c r="E539" s="6"/>
      <x:c r="F539" s="7">
        <x:v>50</x:v>
      </x:c>
      <x:c r="G539" s="6">
        <x:v>13.864003</x:v>
      </x:c>
      <x:c r="H539" s="8">
        <x:v>-0.2</x:v>
      </x:c>
      <x:c r="I539" s="6">
        <x:f t="shared" ref="I539:I547" si="99">+C539*(1-H539)*(1-G539/F539)</x:f>
        <x:v>174099.53032902742</x:v>
      </x:c>
      <x:c r="J539" s="23">
        <x:v>1.0732366603984522</x:v>
      </x:c>
      <x:c r="K539" s="9">
        <x:f t="shared" ref="K539:K547" si="100">IF((C539*(1-H539)-I539*J539)&lt;0,C539*(1-H539),I539*J539)</x:f>
        <x:v>186849.99850726442</x:v>
      </x:c>
      <x:c r="L539" s="6"/>
      <x:c r="M539" s="10">
        <x:f t="shared" ref="M539:M547" si="101">+K539/D539*C539</x:f>
        <x:v>186849.99850726442</x:v>
      </x:c>
      <x:c r="N539" s="10">
        <x:f t="shared" ref="N539:N547" si="102">+E539/C539*K539</x:f>
        <x:v>0</x:v>
      </x:c>
      <x:c r="O539" s="10"/>
    </x:row>
    <x:row r="540" spans="1:15" s="7" customFormat="1" outlineLevel="2" x14ac:dyDescent="0.25">
      <x:c r="A540" s="4">
        <x:v>368</x:v>
      </x:c>
      <x:c r="B540" s="5" t="s">
        <x:v>116</x:v>
      </x:c>
      <x:c r="C540" s="6">
        <x:v>1846.68</x:v>
      </x:c>
      <x:c r="D540" s="6">
        <x:v>1846.68</x:v>
      </x:c>
      <x:c r="E540" s="6"/>
      <x:c r="F540" s="7">
        <x:v>50</x:v>
      </x:c>
      <x:c r="G540" s="6">
        <x:v>13.721484</x:v>
      </x:c>
      <x:c r="H540" s="8">
        <x:v>-0.2</x:v>
      </x:c>
      <x:c r="I540" s="6">
        <x:f t="shared" si="99"/>
        <x:v>1607.87543824512</x:v>
      </x:c>
      <x:c r="J540" s="23">
        <x:v>1.0732366603984522</x:v>
      </x:c>
      <x:c r="K540" s="9">
        <x:f t="shared" si="100"/>
        <x:v>1725.6308656788904</x:v>
      </x:c>
      <x:c r="L540" s="6"/>
      <x:c r="M540" s="10">
        <x:f t="shared" si="101"/>
        <x:v>1725.6308656788904</x:v>
      </x:c>
      <x:c r="N540" s="10">
        <x:f t="shared" si="102"/>
        <x:v>0</x:v>
      </x:c>
      <x:c r="O540" s="10"/>
    </x:row>
    <x:row r="541" spans="1:15" s="7" customFormat="1" outlineLevel="2" x14ac:dyDescent="0.25">
      <x:c r="A541" s="4">
        <x:v>368</x:v>
      </x:c>
      <x:c r="B541" s="5" t="s">
        <x:v>132</x:v>
      </x:c>
      <x:c r="C541" s="6">
        <x:v>269.12</x:v>
      </x:c>
      <x:c r="D541" s="6">
        <x:v>269.12</x:v>
      </x:c>
      <x:c r="E541" s="6"/>
      <x:c r="F541" s="7">
        <x:v>50</x:v>
      </x:c>
      <x:c r="G541" s="6">
        <x:v>13.445079</x:v>
      </x:c>
      <x:c r="H541" s="8">
        <x:v>-0.2</x:v>
      </x:c>
      <x:c r="I541" s="6">
        <x:f t="shared" si="99"/>
        <x:v>236.10384814848001</x:v>
      </x:c>
      <x:c r="J541" s="23">
        <x:v>1.0732366603984522</x:v>
      </x:c>
      <x:c r="K541" s="9">
        <x:f t="shared" si="100"/>
        <x:v>253.39530549409798</x:v>
      </x:c>
      <x:c r="L541" s="6"/>
      <x:c r="M541" s="10">
        <x:f t="shared" si="101"/>
        <x:v>253.39530549409798</x:v>
      </x:c>
      <x:c r="N541" s="10">
        <x:f t="shared" si="102"/>
        <x:v>0</x:v>
      </x:c>
      <x:c r="O541" s="10"/>
    </x:row>
    <x:row r="542" spans="1:15" s="7" customFormat="1" outlineLevel="2" x14ac:dyDescent="0.25">
      <x:c r="A542" s="4">
        <x:v>368</x:v>
      </x:c>
      <x:c r="B542" s="5" t="s">
        <x:v>133</x:v>
      </x:c>
      <x:c r="C542" s="6">
        <x:v>539.38</x:v>
      </x:c>
      <x:c r="D542" s="6">
        <x:v>539.38</x:v>
      </x:c>
      <x:c r="E542" s="6"/>
      <x:c r="F542" s="7">
        <x:v>50</x:v>
      </x:c>
      <x:c r="G542" s="6">
        <x:v>13.311187</x:v>
      </x:c>
      <x:c r="H542" s="8">
        <x:v>-0.2</x:v>
      </x:c>
      <x:c r="I542" s="6">
        <x:f t="shared" si="99"/>
        <x:v>474.94108694255993</x:v>
      </x:c>
      <x:c r="J542" s="23">
        <x:v>1.0732366603984522</x:v>
      </x:c>
      <x:c r="K542" s="9">
        <x:f t="shared" si="100"/>
        <x:v>509.72418603624396</x:v>
      </x:c>
      <x:c r="L542" s="6"/>
      <x:c r="M542" s="10">
        <x:f t="shared" si="101"/>
        <x:v>509.72418603624396</x:v>
      </x:c>
      <x:c r="N542" s="10">
        <x:f t="shared" si="102"/>
        <x:v>0</x:v>
      </x:c>
      <x:c r="O542" s="10"/>
    </x:row>
    <x:row r="543" spans="1:15" s="7" customFormat="1" outlineLevel="2" x14ac:dyDescent="0.25">
      <x:c r="A543" s="4">
        <x:v>368</x:v>
      </x:c>
      <x:c r="B543" s="5" t="s">
        <x:v>134</x:v>
      </x:c>
      <x:c r="C543" s="6">
        <x:v>156.12</x:v>
      </x:c>
      <x:c r="D543" s="6">
        <x:v>156.12</x:v>
      </x:c>
      <x:c r="E543" s="6"/>
      <x:c r="F543" s="7">
        <x:v>50</x:v>
      </x:c>
      <x:c r="G543" s="6">
        <x:v>12.804805999999999</x:v>
      </x:c>
      <x:c r="H543" s="8">
        <x:v>-0.2</x:v>
      </x:c>
      <x:c r="I543" s="6">
        <x:f t="shared" si="99"/>
        <x:v>139.36592849471998</x:v>
      </x:c>
      <x:c r="J543" s="23">
        <x:v>1.0732366603984522</x:v>
      </x:c>
      <x:c r="K543" s="9">
        <x:f t="shared" si="100"/>
        <x:v>149.57262367100276</x:v>
      </x:c>
      <x:c r="L543" s="6"/>
      <x:c r="M543" s="10">
        <x:f t="shared" si="101"/>
        <x:v>149.57262367100276</x:v>
      </x:c>
      <x:c r="N543" s="10">
        <x:f t="shared" si="102"/>
        <x:v>0</x:v>
      </x:c>
      <x:c r="O543" s="10"/>
    </x:row>
    <x:row r="544" spans="1:15" s="7" customFormat="1" outlineLevel="2" x14ac:dyDescent="0.25">
      <x:c r="A544" s="4">
        <x:v>368</x:v>
      </x:c>
      <x:c r="B544" s="5" t="s">
        <x:v>128</x:v>
      </x:c>
      <x:c r="C544" s="6">
        <x:v>27413.45</x:v>
      </x:c>
      <x:c r="D544" s="6">
        <x:v>27413.45</x:v>
      </x:c>
      <x:c r="E544" s="6"/>
      <x:c r="F544" s="7">
        <x:v>50</x:v>
      </x:c>
      <x:c r="G544" s="6">
        <x:v>12.455793</x:v>
      </x:c>
      <x:c r="H544" s="8">
        <x:v>-0.2</x:v>
      </x:c>
      <x:c r="I544" s="6">
        <x:f t="shared" si="99"/>
        <x:v>24701.189793219601</x:v>
      </x:c>
      <x:c r="J544" s="23">
        <x:v>1.0732366603984522</x:v>
      </x:c>
      <x:c r="K544" s="9">
        <x:f t="shared" si="100"/>
        <x:v>26510.222441543337</x:v>
      </x:c>
      <x:c r="L544" s="6"/>
      <x:c r="M544" s="10">
        <x:f t="shared" si="101"/>
        <x:v>26510.222441543337</x:v>
      </x:c>
      <x:c r="N544" s="10">
        <x:f t="shared" si="102"/>
        <x:v>0</x:v>
      </x:c>
      <x:c r="O544" s="10"/>
    </x:row>
    <x:row r="545" spans="1:16" s="7" customFormat="1" outlineLevel="2" x14ac:dyDescent="0.25">
      <x:c r="A545" s="4">
        <x:v>368</x:v>
      </x:c>
      <x:c r="B545" s="5" t="s">
        <x:v>135</x:v>
      </x:c>
      <x:c r="C545" s="6">
        <x:v>10526.89</x:v>
      </x:c>
      <x:c r="D545" s="6">
        <x:v>10526.89</x:v>
      </x:c>
      <x:c r="E545" s="6"/>
      <x:c r="F545" s="7">
        <x:v>50</x:v>
      </x:c>
      <x:c r="G545" s="6">
        <x:v>12.133082</x:v>
      </x:c>
      <x:c r="H545" s="8">
        <x:v>-0.2</x:v>
      </x:c>
      <x:c r="I545" s="6">
        <x:f t="shared" si="99"/>
        <x:v>9566.9011302004783</x:v>
      </x:c>
      <x:c r="J545" s="23">
        <x:v>1.0732366603984522</x:v>
      </x:c>
      <x:c r="K545" s="9">
        <x:f t="shared" si="100"/>
        <x:v>10267.549019338539</x:v>
      </x:c>
      <x:c r="L545" s="6"/>
      <x:c r="M545" s="10">
        <x:f t="shared" si="101"/>
        <x:v>10267.549019338539</x:v>
      </x:c>
      <x:c r="N545" s="10">
        <x:f t="shared" si="102"/>
        <x:v>0</x:v>
      </x:c>
      <x:c r="O545" s="10"/>
    </x:row>
    <x:row r="546" spans="1:16" s="7" customFormat="1" outlineLevel="2" x14ac:dyDescent="0.25">
      <x:c r="A546" s="4">
        <x:v>368</x:v>
      </x:c>
      <x:c r="B546" s="5" t="s">
        <x:v>136</x:v>
      </x:c>
      <x:c r="C546" s="6">
        <x:v>8942.0300000000007</x:v>
      </x:c>
      <x:c r="D546" s="6">
        <x:v>8942.0300000000007</x:v>
      </x:c>
      <x:c r="E546" s="6"/>
      <x:c r="F546" s="7">
        <x:v>50</x:v>
      </x:c>
      <x:c r="G546" s="6">
        <x:v>12.031338999999999</x:v>
      </x:c>
      <x:c r="H546" s="8">
        <x:v>-0.2</x:v>
      </x:c>
      <x:c r="I546" s="6">
        <x:f t="shared" si="99"/>
        <x:v>8148.4057373239202</x:v>
      </x:c>
      <x:c r="J546" s="23">
        <x:v>1.0732366603984522</x:v>
      </x:c>
      <x:c r="K546" s="9">
        <x:f t="shared" si="100"/>
        <x:v>8745.167761097111</x:v>
      </x:c>
      <x:c r="L546" s="6"/>
      <x:c r="M546" s="10">
        <x:f t="shared" si="101"/>
        <x:v>8745.167761097111</x:v>
      </x:c>
      <x:c r="N546" s="10">
        <x:f t="shared" si="102"/>
        <x:v>0</x:v>
      </x:c>
      <x:c r="O546" s="10"/>
    </x:row>
    <x:row r="547" spans="1:16" s="7" customFormat="1" outlineLevel="2" x14ac:dyDescent="0.25">
      <x:c r="A547" s="4">
        <x:v>368</x:v>
      </x:c>
      <x:c r="B547" s="5" t="s">
        <x:v>137</x:v>
      </x:c>
      <x:c r="C547" s="6">
        <x:v>67658.259999999995</x:v>
      </x:c>
      <x:c r="D547" s="6">
        <x:v>67658.259999999995</x:v>
      </x:c>
      <x:c r="E547" s="6"/>
      <x:c r="F547" s="7">
        <x:v>50</x:v>
      </x:c>
      <x:c r="G547" s="6">
        <x:v>11.743221999999999</x:v>
      </x:c>
      <x:c r="H547" s="8">
        <x:v>-0.2</x:v>
      </x:c>
      <x:c r="I547" s="6">
        <x:f t="shared" si="99"/>
        <x:v>62121.288784470722</x:v>
      </x:c>
      <x:c r="J547" s="23">
        <x:v>1.0732366603984522</x:v>
      </x:c>
      <x:c r="K547" s="9">
        <x:f t="shared" si="100"/>
        <x:v>66670.844514693177</x:v>
      </x:c>
      <x:c r="L547" s="6"/>
      <x:c r="M547" s="10">
        <x:f t="shared" si="101"/>
        <x:v>66670.844514693177</x:v>
      </x:c>
      <x:c r="N547" s="10">
        <x:f t="shared" si="102"/>
        <x:v>0</x:v>
      </x:c>
      <x:c r="O547" s="10"/>
    </x:row>
    <x:row r="548" spans="1:16" s="7" customFormat="1" outlineLevel="1" x14ac:dyDescent="0.25">
      <x:c r="A548" s="11" t="s">
        <x:v>7</x:v>
      </x:c>
      <x:c r="B548" s="5"/>
      <x:c r="C548" s="6">
        <x:f>SUBTOTAL(9,C435:C547)</x:f>
        <x:v>3167665925.5699987</x:v>
      </x:c>
      <x:c r="D548" s="6"/>
      <x:c r="E548" s="6"/>
      <x:c r="G548" s="6"/>
      <x:c r="H548" s="8"/>
      <x:c r="I548" s="6">
        <x:f>SUBTOTAL(9,I435:I547)</x:f>
        <x:v>709654466.98567152</x:v>
      </x:c>
      <x:c r="J548" s="23">
        <x:v>1.0732366603984522</x:v>
      </x:c>
      <x:c r="K548" s="6">
        <x:f>SUBTOTAL(9,K435:K547)</x:f>
        <x:v>761627190.18454635</x:v>
      </x:c>
      <x:c r="L548" s="2"/>
      <x:c r="M548" s="6">
        <x:f>SUBTOTAL(9,M435:M547)</x:f>
        <x:v>761627190.18454635</x:v>
      </x:c>
      <x:c r="N548" s="6">
        <x:f>SUBTOTAL(9,N435:N547)</x:f>
        <x:v>0</x:v>
      </x:c>
      <x:c r="O548" s="10">
        <x:v>960.56</x:v>
      </x:c>
      <x:c r="P548" s="10">
        <x:f>+M548+O548</x:f>
        <x:v>761628150.74454629</x:v>
      </x:c>
    </x:row>
    <x:row r="549" spans="1:16" s="7" customFormat="1" outlineLevel="2" x14ac:dyDescent="0.25">
      <x:c r="A549" s="4">
        <x:v>369</x:v>
      </x:c>
      <x:c r="B549" s="5" t="s">
        <x:v>23</x:v>
      </x:c>
      <x:c r="C549" s="6">
        <x:v>120618638.83</x:v>
      </x:c>
      <x:c r="D549" s="6">
        <x:v>120618638.83</x:v>
      </x:c>
      <x:c r="E549" s="6"/>
      <x:c r="F549" s="7">
        <x:v>38</x:v>
      </x:c>
      <x:c r="G549" s="6">
        <x:v>37.5</x:v>
      </x:c>
      <x:c r="H549" s="8">
        <x:v>-0.4</x:v>
      </x:c>
      <x:c r="I549" s="6">
        <x:f t="shared" ref="I549:I587" si="103">+C549*(1-H549)*(1-G549/F549)</x:f>
        <x:v>2221922.2942368491</x:v>
      </x:c>
      <x:c r="J549" s="23">
        <x:v>1.0732368459863886</x:v>
      </x:c>
      <x:c r="K549" s="9">
        <x:f t="shared" ref="K549:K587" si="104">IF((C549*(1-H549)-I549*J549)&lt;0,C549*(1-H549),I549*J549)</x:f>
        <x:v>2384648.8750935965</x:v>
      </x:c>
      <x:c r="L549" s="6"/>
      <x:c r="M549" s="10">
        <x:f t="shared" ref="M549:M587" si="105">+K549/D549*C549</x:f>
        <x:v>2384648.8750935965</x:v>
      </x:c>
      <x:c r="N549" s="10">
        <x:f t="shared" ref="N549:N587" si="106">+E549/C549*K549</x:f>
        <x:v>0</x:v>
      </x:c>
      <x:c r="O549" s="10">
        <x:v>960.56</x:v>
      </x:c>
    </x:row>
    <x:row r="550" spans="1:16" s="7" customFormat="1" outlineLevel="2" x14ac:dyDescent="0.25">
      <x:c r="A550" s="4">
        <x:v>369</x:v>
      </x:c>
      <x:c r="B550" s="5" t="s">
        <x:v>24</x:v>
      </x:c>
      <x:c r="C550" s="6">
        <x:v>108357223.52</x:v>
      </x:c>
      <x:c r="D550" s="6">
        <x:v>108357223.52</x:v>
      </x:c>
      <x:c r="E550" s="6"/>
      <x:c r="F550" s="7">
        <x:v>38</x:v>
      </x:c>
      <x:c r="G550" s="6">
        <x:v>36.5</x:v>
      </x:c>
      <x:c r="H550" s="8">
        <x:v>-0.4</x:v>
      </x:c>
      <x:c r="I550" s="6">
        <x:f t="shared" ref="I550:I556" si="107">+C550*(1-H550)*(1-G550/F550)</x:f>
        <x:v>5988162.3524210537</x:v>
      </x:c>
      <x:c r="J550" s="23">
        <x:v>1.0732368459863886</x:v>
      </x:c>
      <x:c r="K550" s="9">
        <x:f t="shared" ref="K550:K556" si="108">IF((C550*(1-H550)-I550*J550)&lt;0,C550*(1-H550),I550*J550)</x:f>
        <x:v>6426716.4763668049</x:v>
      </x:c>
      <x:c r="L550" s="6"/>
      <x:c r="M550" s="10">
        <x:f t="shared" ref="M550:M556" si="109">+K550/D550*C550</x:f>
        <x:v>6426716.4763668049</x:v>
      </x:c>
      <x:c r="N550" s="10">
        <x:f t="shared" ref="N550:N556" si="110">+E550/C550*K550</x:f>
        <x:v>0</x:v>
      </x:c>
      <x:c r="O550" s="10"/>
    </x:row>
    <x:row r="551" spans="1:16" s="7" customFormat="1" outlineLevel="2" x14ac:dyDescent="0.25">
      <x:c r="A551" s="4">
        <x:v>369</x:v>
      </x:c>
      <x:c r="B551" s="5" t="s">
        <x:v>25</x:v>
      </x:c>
      <x:c r="C551" s="6">
        <x:v>106075755.33</x:v>
      </x:c>
      <x:c r="D551" s="6">
        <x:v>106075755.33</x:v>
      </x:c>
      <x:c r="E551" s="6"/>
      <x:c r="F551" s="7">
        <x:v>38</x:v>
      </x:c>
      <x:c r="G551" s="6">
        <x:v>35.5</x:v>
      </x:c>
      <x:c r="H551" s="8">
        <x:v>-0.4</x:v>
      </x:c>
      <x:c r="I551" s="6">
        <x:f t="shared" si="107"/>
        <x:v>9770135.359342102</x:v>
      </x:c>
      <x:c r="J551" s="23">
        <x:v>1.0732368459863886</x:v>
      </x:c>
      <x:c r="K551" s="9">
        <x:f t="shared" si="108"/>
        <x:v>10485669.257920409</x:v>
      </x:c>
      <x:c r="L551" s="6"/>
      <x:c r="M551" s="10">
        <x:f t="shared" si="109"/>
        <x:v>10485669.257920409</x:v>
      </x:c>
      <x:c r="N551" s="10">
        <x:f t="shared" si="110"/>
        <x:v>0</x:v>
      </x:c>
      <x:c r="O551" s="10"/>
    </x:row>
    <x:row r="552" spans="1:16" s="7" customFormat="1" outlineLevel="2" x14ac:dyDescent="0.25">
      <x:c r="A552" s="4">
        <x:v>369</x:v>
      </x:c>
      <x:c r="B552" s="5" t="s">
        <x:v>26</x:v>
      </x:c>
      <x:c r="C552" s="6">
        <x:v>83864832.359999999</x:v>
      </x:c>
      <x:c r="D552" s="6">
        <x:v>83864832.359999999</x:v>
      </x:c>
      <x:c r="E552" s="6"/>
      <x:c r="F552" s="7">
        <x:v>38</x:v>
      </x:c>
      <x:c r="G552" s="6">
        <x:v>34.5</x:v>
      </x:c>
      <x:c r="H552" s="8">
        <x:v>-0.4</x:v>
      </x:c>
      <x:c r="I552" s="6">
        <x:f t="shared" si="107"/>
        <x:v>10814149.43589473</x:v>
      </x:c>
      <x:c r="J552" s="23">
        <x:v>1.0732368459863886</x:v>
      </x:c>
      <x:c r="K552" s="9">
        <x:f t="shared" si="108"/>
        <x:v>11606143.632605143</x:v>
      </x:c>
      <x:c r="L552" s="6"/>
      <x:c r="M552" s="10">
        <x:f t="shared" si="109"/>
        <x:v>11606143.632605145</x:v>
      </x:c>
      <x:c r="N552" s="10">
        <x:f t="shared" si="110"/>
        <x:v>0</x:v>
      </x:c>
      <x:c r="O552" s="10"/>
    </x:row>
    <x:row r="553" spans="1:16" s="7" customFormat="1" outlineLevel="2" x14ac:dyDescent="0.25">
      <x:c r="A553" s="4">
        <x:v>369</x:v>
      </x:c>
      <x:c r="B553" s="5" t="s">
        <x:v>117</x:v>
      </x:c>
      <x:c r="C553" s="6">
        <x:v>78598352.200000003</x:v>
      </x:c>
      <x:c r="D553" s="6">
        <x:v>78598352.200000003</x:v>
      </x:c>
      <x:c r="E553" s="6"/>
      <x:c r="F553" s="7">
        <x:v>38</x:v>
      </x:c>
      <x:c r="G553" s="6">
        <x:v>33.5</x:v>
      </x:c>
      <x:c r="H553" s="8">
        <x:v>-0.4</x:v>
      </x:c>
      <x:c r="I553" s="6">
        <x:f t="shared" si="107"/>
        <x:v>13030779.443684215</x:v>
      </x:c>
      <x:c r="J553" s="23">
        <x:v>1.0732368459863886</x:v>
      </x:c>
      <x:c r="K553" s="9">
        <x:f t="shared" si="108"/>
        <x:v>13985112.630883913</x:v>
      </x:c>
      <x:c r="L553" s="6"/>
      <x:c r="M553" s="10">
        <x:f t="shared" si="109"/>
        <x:v>13985112.630883913</x:v>
      </x:c>
      <x:c r="N553" s="10">
        <x:f t="shared" si="110"/>
        <x:v>0</x:v>
      </x:c>
      <x:c r="O553" s="10"/>
    </x:row>
    <x:row r="554" spans="1:16" s="7" customFormat="1" outlineLevel="2" x14ac:dyDescent="0.25">
      <x:c r="A554" s="4">
        <x:v>369</x:v>
      </x:c>
      <x:c r="B554" s="5" t="s">
        <x:v>27</x:v>
      </x:c>
      <x:c r="C554" s="6">
        <x:v>67597028.230000004</x:v>
      </x:c>
      <x:c r="D554" s="6">
        <x:v>67597028.230000004</x:v>
      </x:c>
      <x:c r="E554" s="6"/>
      <x:c r="F554" s="7">
        <x:v>38</x:v>
      </x:c>
      <x:c r="G554" s="6">
        <x:v>32.5</x:v>
      </x:c>
      <x:c r="H554" s="8">
        <x:v>-0.4</x:v>
      </x:c>
      <x:c r="I554" s="6">
        <x:f t="shared" si="107"/>
        <x:v>13697292.562394738</x:v>
      </x:c>
      <x:c r="J554" s="23">
        <x:v>1.0732368459863886</x:v>
      </x:c>
      <x:c r="K554" s="9">
        <x:f t="shared" si="108"/>
        <x:v>14700439.068217348</x:v>
      </x:c>
      <x:c r="L554" s="6"/>
      <x:c r="M554" s="10">
        <x:f t="shared" si="109"/>
        <x:v>14700439.068217348</x:v>
      </x:c>
      <x:c r="N554" s="10">
        <x:f t="shared" si="110"/>
        <x:v>0</x:v>
      </x:c>
      <x:c r="O554" s="10"/>
    </x:row>
    <x:row r="555" spans="1:16" s="7" customFormat="1" outlineLevel="2" x14ac:dyDescent="0.25">
      <x:c r="A555" s="4">
        <x:v>369</x:v>
      </x:c>
      <x:c r="B555" s="5" t="s">
        <x:v>28</x:v>
      </x:c>
      <x:c r="C555" s="6">
        <x:v>60422369.25</x:v>
      </x:c>
      <x:c r="D555" s="6">
        <x:v>60422369.25</x:v>
      </x:c>
      <x:c r="E555" s="6"/>
      <x:c r="F555" s="7">
        <x:v>38</x:v>
      </x:c>
      <x:c r="G555" s="6">
        <x:v>31.5</x:v>
      </x:c>
      <x:c r="H555" s="8">
        <x:v>-0.4</x:v>
      </x:c>
      <x:c r="I555" s="6">
        <x:f t="shared" si="107"/>
        <x:v>14469567.373026311</x:v>
      </x:c>
      <x:c r="J555" s="23">
        <x:v>1.0732368459863886</x:v>
      </x:c>
      <x:c r="K555" s="9">
        <x:f t="shared" si="108"/>
        <x:v>15529272.850214312</x:v>
      </x:c>
      <x:c r="L555" s="6"/>
      <x:c r="M555" s="10">
        <x:f t="shared" si="109"/>
        <x:v>15529272.85021431</x:v>
      </x:c>
      <x:c r="N555" s="10">
        <x:f t="shared" si="110"/>
        <x:v>0</x:v>
      </x:c>
      <x:c r="O555" s="10"/>
    </x:row>
    <x:row r="556" spans="1:16" s="7" customFormat="1" outlineLevel="2" x14ac:dyDescent="0.25">
      <x:c r="A556" s="4">
        <x:v>369</x:v>
      </x:c>
      <x:c r="B556" s="5" t="s">
        <x:v>29</x:v>
      </x:c>
      <x:c r="C556" s="6">
        <x:v>53889956.75</x:v>
      </x:c>
      <x:c r="D556" s="6">
        <x:v>53889956.75</x:v>
      </x:c>
      <x:c r="E556" s="6"/>
      <x:c r="F556" s="7">
        <x:v>38</x:v>
      </x:c>
      <x:c r="G556" s="6">
        <x:v>30.5</x:v>
      </x:c>
      <x:c r="H556" s="8">
        <x:v>-0.4</x:v>
      </x:c>
      <x:c r="I556" s="6">
        <x:f t="shared" si="107"/>
        <x:v>14890645.944078941</x:v>
      </x:c>
      <x:c r="J556" s="23">
        <x:v>1.0732368459863886</x:v>
      </x:c>
      <x:c r="K556" s="9">
        <x:f t="shared" si="108"/>
        <x:v>15981189.887723291</x:v>
      </x:c>
      <x:c r="L556" s="6"/>
      <x:c r="M556" s="10">
        <x:f t="shared" si="109"/>
        <x:v>15981189.887723291</x:v>
      </x:c>
      <x:c r="N556" s="10">
        <x:f t="shared" si="110"/>
        <x:v>0</x:v>
      </x:c>
      <x:c r="O556" s="10"/>
    </x:row>
    <x:row r="557" spans="1:16" s="7" customFormat="1" outlineLevel="2" x14ac:dyDescent="0.25">
      <x:c r="A557" s="4">
        <x:v>369</x:v>
      </x:c>
      <x:c r="B557" s="5" t="s">
        <x:v>30</x:v>
      </x:c>
      <x:c r="C557" s="6">
        <x:v>49925772.259999998</x:v>
      </x:c>
      <x:c r="D557" s="6">
        <x:v>49925772.259999998</x:v>
      </x:c>
      <x:c r="E557" s="6"/>
      <x:c r="F557" s="7">
        <x:v>38</x:v>
      </x:c>
      <x:c r="G557" s="6">
        <x:v>29.5</x:v>
      </x:c>
      <x:c r="H557" s="8">
        <x:v>-0.4</x:v>
      </x:c>
      <x:c r="I557" s="6">
        <x:f t="shared" si="103"/>
        <x:v>15634649.734052632</x:v>
      </x:c>
      <x:c r="J557" s="23">
        <x:v>1.0732368459863886</x:v>
      </x:c>
      <x:c r="K557" s="9">
        <x:f t="shared" si="104"/>
        <x:v>16779682.168676578</x:v>
      </x:c>
      <x:c r="L557" s="6"/>
      <x:c r="M557" s="10">
        <x:f t="shared" si="105"/>
        <x:v>16779682.168676578</x:v>
      </x:c>
      <x:c r="N557" s="10">
        <x:f t="shared" si="106"/>
        <x:v>0</x:v>
      </x:c>
      <x:c r="O557" s="10"/>
    </x:row>
    <x:row r="558" spans="1:16" s="7" customFormat="1" outlineLevel="2" x14ac:dyDescent="0.25">
      <x:c r="A558" s="4">
        <x:v>369</x:v>
      </x:c>
      <x:c r="B558" s="5" t="s">
        <x:v>31</x:v>
      </x:c>
      <x:c r="C558" s="6">
        <x:v>48988119.399999999</x:v>
      </x:c>
      <x:c r="D558" s="6">
        <x:v>48988119.399999999</x:v>
      </x:c>
      <x:c r="E558" s="6"/>
      <x:c r="F558" s="7">
        <x:v>38</x:v>
      </x:c>
      <x:c r="G558" s="6">
        <x:v>28.5</x:v>
      </x:c>
      <x:c r="H558" s="8">
        <x:v>-0.4</x:v>
      </x:c>
      <x:c r="I558" s="6">
        <x:f t="shared" si="103"/>
        <x:v>17145841.789999999</x:v>
      </x:c>
      <x:c r="J558" s="23">
        <x:v>1.0732368459863886</x:v>
      </x:c>
      <x:c r="K558" s="9">
        <x:f t="shared" si="104"/>
        <x:v>18401549.164481215</x:v>
      </x:c>
      <x:c r="L558" s="6"/>
      <x:c r="M558" s="10">
        <x:f t="shared" si="105"/>
        <x:v>18401549.164481215</x:v>
      </x:c>
      <x:c r="N558" s="10">
        <x:f t="shared" si="106"/>
        <x:v>0</x:v>
      </x:c>
      <x:c r="O558" s="10"/>
    </x:row>
    <x:row r="559" spans="1:16" s="7" customFormat="1" outlineLevel="2" x14ac:dyDescent="0.25">
      <x:c r="A559" s="4">
        <x:v>369</x:v>
      </x:c>
      <x:c r="B559" s="5" t="s">
        <x:v>32</x:v>
      </x:c>
      <x:c r="C559" s="6">
        <x:v>47655605.630000003</x:v>
      </x:c>
      <x:c r="D559" s="6">
        <x:v>47655605.630000003</x:v>
      </x:c>
      <x:c r="E559" s="6"/>
      <x:c r="F559" s="7">
        <x:v>38</x:v>
      </x:c>
      <x:c r="G559" s="6">
        <x:v>27.5</x:v>
      </x:c>
      <x:c r="H559" s="8">
        <x:v>-0.4</x:v>
      </x:c>
      <x:c r="I559" s="6">
        <x:f t="shared" si="103"/>
        <x:v>18435194.809499998</x:v>
      </x:c>
      <x:c r="J559" s="23">
        <x:v>1.0732368459863886</x:v>
      </x:c>
      <x:c r="K559" s="9">
        <x:f t="shared" si="104"/>
        <x:v>19785330.332492419</x:v>
      </x:c>
      <x:c r="L559" s="6"/>
      <x:c r="M559" s="10">
        <x:f t="shared" si="105"/>
        <x:v>19785330.332492419</x:v>
      </x:c>
      <x:c r="N559" s="10">
        <x:f t="shared" si="106"/>
        <x:v>0</x:v>
      </x:c>
      <x:c r="O559" s="10"/>
    </x:row>
    <x:row r="560" spans="1:16" s="7" customFormat="1" outlineLevel="2" x14ac:dyDescent="0.25">
      <x:c r="A560" s="4">
        <x:v>369</x:v>
      </x:c>
      <x:c r="B560" s="5" t="s">
        <x:v>33</x:v>
      </x:c>
      <x:c r="C560" s="6">
        <x:v>43945674.100000001</x:v>
      </x:c>
      <x:c r="D560" s="6">
        <x:v>43945674.100000001</x:v>
      </x:c>
      <x:c r="E560" s="6"/>
      <x:c r="F560" s="7">
        <x:v>38</x:v>
      </x:c>
      <x:c r="G560" s="6">
        <x:v>26.5</x:v>
      </x:c>
      <x:c r="H560" s="8">
        <x:v>-0.4</x:v>
      </x:c>
      <x:c r="I560" s="6">
        <x:f t="shared" si="103"/>
        <x:v>18619088.237105265</x:v>
      </x:c>
      <x:c r="J560" s="23">
        <x:v>1.0732368459863886</x:v>
      </x:c>
      <x:c r="K560" s="9">
        <x:f t="shared" si="104"/>
        <x:v>19982691.534733124</x:v>
      </x:c>
      <x:c r="L560" s="6"/>
      <x:c r="M560" s="10">
        <x:f t="shared" si="105"/>
        <x:v>19982691.534733124</x:v>
      </x:c>
      <x:c r="N560" s="10">
        <x:f t="shared" si="106"/>
        <x:v>0</x:v>
      </x:c>
      <x:c r="O560" s="10"/>
    </x:row>
    <x:row r="561" spans="1:15" s="7" customFormat="1" outlineLevel="2" x14ac:dyDescent="0.25">
      <x:c r="A561" s="4">
        <x:v>369</x:v>
      </x:c>
      <x:c r="B561" s="5" t="s">
        <x:v>118</x:v>
      </x:c>
      <x:c r="C561" s="6">
        <x:v>35970423.079999998</x:v>
      </x:c>
      <x:c r="D561" s="6">
        <x:v>35970423.079999998</x:v>
      </x:c>
      <x:c r="E561" s="6"/>
      <x:c r="F561" s="7">
        <x:v>38</x:v>
      </x:c>
      <x:c r="G561" s="6">
        <x:v>25.5</x:v>
      </x:c>
      <x:c r="H561" s="8">
        <x:v>-0.4</x:v>
      </x:c>
      <x:c r="I561" s="6">
        <x:f t="shared" si="103"/>
        <x:v>16565326.418421051</x:v>
      </x:c>
      <x:c r="J561" s="23">
        <x:v>1.0732368459863886</x:v>
      </x:c>
      <x:c r="K561" s="9">
        <x:f t="shared" si="104"/>
        <x:v>17778518.678041209</x:v>
      </x:c>
      <x:c r="L561" s="6"/>
      <x:c r="M561" s="10">
        <x:f t="shared" si="105"/>
        <x:v>17778518.678041209</x:v>
      </x:c>
      <x:c r="N561" s="10">
        <x:f t="shared" si="106"/>
        <x:v>0</x:v>
      </x:c>
      <x:c r="O561" s="10"/>
    </x:row>
    <x:row r="562" spans="1:15" s="7" customFormat="1" outlineLevel="2" x14ac:dyDescent="0.25">
      <x:c r="A562" s="4">
        <x:v>369</x:v>
      </x:c>
      <x:c r="B562" s="5" t="s">
        <x:v>119</x:v>
      </x:c>
      <x:c r="C562" s="6">
        <x:v>36428737.280000001</x:v>
      </x:c>
      <x:c r="D562" s="6">
        <x:v>36428737.280000001</x:v>
      </x:c>
      <x:c r="E562" s="6"/>
      <x:c r="F562" s="7">
        <x:v>38</x:v>
      </x:c>
      <x:c r="G562" s="6">
        <x:v>24.5</x:v>
      </x:c>
      <x:c r="H562" s="8">
        <x:v>-0.4</x:v>
      </x:c>
      <x:c r="I562" s="6">
        <x:f t="shared" si="103"/>
        <x:v>18118503.541894738</x:v>
      </x:c>
      <x:c r="J562" s="23">
        <x:v>1.0732368459863886</x:v>
      </x:c>
      <x:c r="K562" s="9">
        <x:f t="shared" si="104"/>
        <x:v>19445445.59529632</x:v>
      </x:c>
      <x:c r="L562" s="6"/>
      <x:c r="M562" s="10">
        <x:f t="shared" si="105"/>
        <x:v>19445445.59529632</x:v>
      </x:c>
      <x:c r="N562" s="10">
        <x:f t="shared" si="106"/>
        <x:v>0</x:v>
      </x:c>
      <x:c r="O562" s="10"/>
    </x:row>
    <x:row r="563" spans="1:15" s="7" customFormat="1" outlineLevel="2" x14ac:dyDescent="0.25">
      <x:c r="A563" s="4">
        <x:v>369</x:v>
      </x:c>
      <x:c r="B563" s="5" t="s">
        <x:v>34</x:v>
      </x:c>
      <x:c r="C563" s="6">
        <x:v>32707471.68</x:v>
      </x:c>
      <x:c r="D563" s="6">
        <x:v>32707471.68</x:v>
      </x:c>
      <x:c r="E563" s="6"/>
      <x:c r="F563" s="7">
        <x:v>38</x:v>
      </x:c>
      <x:c r="G563" s="6">
        <x:v>23.5</x:v>
      </x:c>
      <x:c r="H563" s="8">
        <x:v>-0.4</x:v>
      </x:c>
      <x:c r="I563" s="6">
        <x:f t="shared" si="103"/>
        <x:v>17472675.660631578</x:v>
      </x:c>
      <x:c r="J563" s="23">
        <x:v>1.0732368459863886</x:v>
      </x:c>
      <x:c r="K563" s="9">
        <x:f t="shared" si="104"/>
        <x:v>18752319.316959374</x:v>
      </x:c>
      <x:c r="L563" s="6"/>
      <x:c r="M563" s="10">
        <x:f t="shared" si="105"/>
        <x:v>18752319.316959374</x:v>
      </x:c>
      <x:c r="N563" s="10">
        <x:f t="shared" si="106"/>
        <x:v>0</x:v>
      </x:c>
      <x:c r="O563" s="10"/>
    </x:row>
    <x:row r="564" spans="1:15" s="7" customFormat="1" outlineLevel="2" x14ac:dyDescent="0.25">
      <x:c r="A564" s="4">
        <x:v>369</x:v>
      </x:c>
      <x:c r="B564" s="5" t="s">
        <x:v>35</x:v>
      </x:c>
      <x:c r="C564" s="6">
        <x:v>34158235.850000001</x:v>
      </x:c>
      <x:c r="D564" s="6">
        <x:v>34158235.850000001</x:v>
      </x:c>
      <x:c r="E564" s="6"/>
      <x:c r="F564" s="7">
        <x:v>38</x:v>
      </x:c>
      <x:c r="G564" s="6">
        <x:v>22.5</x:v>
      </x:c>
      <x:c r="H564" s="8">
        <x:v>-0.4</x:v>
      </x:c>
      <x:c r="I564" s="6">
        <x:f t="shared" si="103"/>
        <x:v>19506150.472236842</x:v>
      </x:c>
      <x:c r="J564" s="23">
        <x:v>1.0732368459863886</x:v>
      </x:c>
      <x:c r="K564" s="9">
        <x:f t="shared" si="104"/>
        <x:v>20934719.410159372</x:v>
      </x:c>
      <x:c r="L564" s="6"/>
      <x:c r="M564" s="10">
        <x:f t="shared" si="105"/>
        <x:v>20934719.410159372</x:v>
      </x:c>
      <x:c r="N564" s="10">
        <x:f t="shared" si="106"/>
        <x:v>0</x:v>
      </x:c>
      <x:c r="O564" s="10"/>
    </x:row>
    <x:row r="565" spans="1:15" s="7" customFormat="1" outlineLevel="2" x14ac:dyDescent="0.25">
      <x:c r="A565" s="4">
        <x:v>369</x:v>
      </x:c>
      <x:c r="B565" s="5" t="s">
        <x:v>36</x:v>
      </x:c>
      <x:c r="C565" s="6">
        <x:v>39401895.82</x:v>
      </x:c>
      <x:c r="D565" s="6">
        <x:v>39401895.82</x:v>
      </x:c>
      <x:c r="E565" s="6"/>
      <x:c r="F565" s="7">
        <x:v>38</x:v>
      </x:c>
      <x:c r="G565" s="6">
        <x:v>21.5</x:v>
      </x:c>
      <x:c r="H565" s="8">
        <x:v>-0.4</x:v>
      </x:c>
      <x:c r="I565" s="6">
        <x:f t="shared" si="103"/>
        <x:v>23952205.090578947</x:v>
      </x:c>
      <x:c r="J565" s="23">
        <x:v>1.0732368459863886</x:v>
      </x:c>
      <x:c r="K565" s="9">
        <x:f t="shared" si="104"/>
        <x:v>25706389.045832071</x:v>
      </x:c>
      <x:c r="L565" s="6"/>
      <x:c r="M565" s="10">
        <x:f t="shared" si="105"/>
        <x:v>25706389.045832071</x:v>
      </x:c>
      <x:c r="N565" s="10">
        <x:f t="shared" si="106"/>
        <x:v>0</x:v>
      </x:c>
      <x:c r="O565" s="10"/>
    </x:row>
    <x:row r="566" spans="1:15" s="7" customFormat="1" outlineLevel="2" x14ac:dyDescent="0.25">
      <x:c r="A566" s="4">
        <x:v>369</x:v>
      </x:c>
      <x:c r="B566" s="5" t="s">
        <x:v>120</x:v>
      </x:c>
      <x:c r="C566" s="6">
        <x:v>44305217.43</x:v>
      </x:c>
      <x:c r="D566" s="6">
        <x:v>44305217.43</x:v>
      </x:c>
      <x:c r="E566" s="6"/>
      <x:c r="F566" s="7">
        <x:v>38</x:v>
      </x:c>
      <x:c r="G566" s="6">
        <x:v>20.5</x:v>
      </x:c>
      <x:c r="H566" s="8">
        <x:v>-0.4</x:v>
      </x:c>
      <x:c r="I566" s="6">
        <x:f t="shared" si="103"/>
        <x:v>28565205.974605259</x:v>
      </x:c>
      <x:c r="J566" s="23">
        <x:v>1.0732368459863886</x:v>
      </x:c>
      <x:c r="K566" s="9">
        <x:f t="shared" si="104"/>
        <x:v>30657231.565136891</x:v>
      </x:c>
      <x:c r="L566" s="6"/>
      <x:c r="M566" s="10">
        <x:f t="shared" si="105"/>
        <x:v>30657231.565136895</x:v>
      </x:c>
      <x:c r="N566" s="10">
        <x:f t="shared" si="106"/>
        <x:v>0</x:v>
      </x:c>
      <x:c r="O566" s="10"/>
    </x:row>
    <x:row r="567" spans="1:15" s="7" customFormat="1" outlineLevel="2" x14ac:dyDescent="0.25">
      <x:c r="A567" s="4">
        <x:v>369</x:v>
      </x:c>
      <x:c r="B567" s="5" t="s">
        <x:v>37</x:v>
      </x:c>
      <x:c r="C567" s="6">
        <x:v>50246455.640000001</x:v>
      </x:c>
      <x:c r="D567" s="6">
        <x:v>50246455.640000001</x:v>
      </x:c>
      <x:c r="E567" s="6"/>
      <x:c r="F567" s="7">
        <x:v>38</x:v>
      </x:c>
      <x:c r="G567" s="6">
        <x:v>19.5</x:v>
      </x:c>
      <x:c r="H567" s="8">
        <x:v>-0.4</x:v>
      </x:c>
      <x:c r="I567" s="6">
        <x:f t="shared" si="103"/>
        <x:v>34246926.344105259</x:v>
      </x:c>
      <x:c r="J567" s="23">
        <x:v>1.0732368459863886</x:v>
      </x:c>
      <x:c r="K567" s="9">
        <x:f t="shared" si="104"/>
        <x:v>36755063.214275688</x:v>
      </x:c>
      <x:c r="L567" s="6"/>
      <x:c r="M567" s="10">
        <x:f t="shared" si="105"/>
        <x:v>36755063.214275688</x:v>
      </x:c>
      <x:c r="N567" s="10">
        <x:f t="shared" si="106"/>
        <x:v>0</x:v>
      </x:c>
      <x:c r="O567" s="10"/>
    </x:row>
    <x:row r="568" spans="1:15" s="7" customFormat="1" outlineLevel="2" x14ac:dyDescent="0.25">
      <x:c r="A568" s="4">
        <x:v>369</x:v>
      </x:c>
      <x:c r="B568" s="5" t="s">
        <x:v>121</x:v>
      </x:c>
      <x:c r="C568" s="6">
        <x:v>47982525.170000002</x:v>
      </x:c>
      <x:c r="D568" s="6">
        <x:v>47982525.170000002</x:v>
      </x:c>
      <x:c r="E568" s="6"/>
      <x:c r="F568" s="7">
        <x:v>38</x:v>
      </x:c>
      <x:c r="G568" s="6">
        <x:v>18.5</x:v>
      </x:c>
      <x:c r="H568" s="8">
        <x:v>-0.4</x:v>
      </x:c>
      <x:c r="I568" s="6">
        <x:f t="shared" si="103"/>
        <x:v>34471656.240552627</x:v>
      </x:c>
      <x:c r="J568" s="23">
        <x:v>1.0732368459863886</x:v>
      </x:c>
      <x:c r="K568" s="9">
        <x:f t="shared" si="104"/>
        <x:v>36996251.619537711</x:v>
      </x:c>
      <x:c r="L568" s="6"/>
      <x:c r="M568" s="10">
        <x:f t="shared" si="105"/>
        <x:v>36996251.619537711</x:v>
      </x:c>
      <x:c r="N568" s="10">
        <x:f t="shared" si="106"/>
        <x:v>0</x:v>
      </x:c>
      <x:c r="O568" s="10"/>
    </x:row>
    <x:row r="569" spans="1:15" s="7" customFormat="1" outlineLevel="2" x14ac:dyDescent="0.25">
      <x:c r="A569" s="4">
        <x:v>369</x:v>
      </x:c>
      <x:c r="B569" s="5" t="s">
        <x:v>122</x:v>
      </x:c>
      <x:c r="C569" s="6">
        <x:v>64336006.979999997</x:v>
      </x:c>
      <x:c r="D569" s="6">
        <x:v>64336006.979999997</x:v>
      </x:c>
      <x:c r="E569" s="6"/>
      <x:c r="F569" s="7">
        <x:v>38</x:v>
      </x:c>
      <x:c r="G569" s="6">
        <x:v>17.5</x:v>
      </x:c>
      <x:c r="H569" s="8">
        <x:v>-0.4</x:v>
      </x:c>
      <x:c r="I569" s="6">
        <x:f t="shared" si="103"/>
        <x:v>48590615.798052624</x:v>
      </x:c>
      <x:c r="J569" s="23">
        <x:v>1.0732368459863886</x:v>
      </x:c>
      <x:c r="K569" s="9">
        <x:f t="shared" si="104"/>
        <x:v>52149239.243638381</x:v>
      </x:c>
      <x:c r="L569" s="6"/>
      <x:c r="M569" s="10">
        <x:f t="shared" si="105"/>
        <x:v>52149239.243638381</x:v>
      </x:c>
      <x:c r="N569" s="10">
        <x:f t="shared" si="106"/>
        <x:v>0</x:v>
      </x:c>
      <x:c r="O569" s="10"/>
    </x:row>
    <x:row r="570" spans="1:15" s="7" customFormat="1" outlineLevel="2" x14ac:dyDescent="0.25">
      <x:c r="A570" s="4">
        <x:v>369</x:v>
      </x:c>
      <x:c r="B570" s="5" t="s">
        <x:v>123</x:v>
      </x:c>
      <x:c r="C570" s="6">
        <x:v>45943841.079999998</x:v>
      </x:c>
      <x:c r="D570" s="6">
        <x:v>45943841.079999998</x:v>
      </x:c>
      <x:c r="E570" s="6"/>
      <x:c r="F570" s="7">
        <x:v>38</x:v>
      </x:c>
      <x:c r="G570" s="6">
        <x:v>16.5</x:v>
      </x:c>
      <x:c r="H570" s="8">
        <x:v>-0.4</x:v>
      </x:c>
      <x:c r="I570" s="6">
        <x:f t="shared" si="103"/>
        <x:v>36392358.329157889</x:v>
      </x:c>
      <x:c r="J570" s="23">
        <x:v>1.0732368459863886</x:v>
      </x:c>
      <x:c r="K570" s="9">
        <x:f t="shared" si="104"/>
        <x:v>39057619.871191889</x:v>
      </x:c>
      <x:c r="L570" s="6"/>
      <x:c r="M570" s="10">
        <x:f t="shared" si="105"/>
        <x:v>39057619.871191889</x:v>
      </x:c>
      <x:c r="N570" s="10">
        <x:f t="shared" si="106"/>
        <x:v>0</x:v>
      </x:c>
      <x:c r="O570" s="10"/>
    </x:row>
    <x:row r="571" spans="1:15" s="7" customFormat="1" outlineLevel="2" x14ac:dyDescent="0.25">
      <x:c r="A571" s="4">
        <x:v>369</x:v>
      </x:c>
      <x:c r="B571" s="5" t="s">
        <x:v>124</x:v>
      </x:c>
      <x:c r="C571" s="6">
        <x:v>46503898.490000002</x:v>
      </x:c>
      <x:c r="D571" s="6">
        <x:v>46503898.490000002</x:v>
      </x:c>
      <x:c r="E571" s="6"/>
      <x:c r="F571" s="7">
        <x:v>38</x:v>
      </x:c>
      <x:c r="G571" s="6">
        <x:v>15.5</x:v>
      </x:c>
      <x:c r="H571" s="8">
        <x:v>-0.4</x:v>
      </x:c>
      <x:c r="I571" s="6">
        <x:f t="shared" si="103"/>
        <x:v>38549284.274605259</x:v>
      </x:c>
      <x:c r="J571" s="23">
        <x:v>1.0732368459863886</x:v>
      </x:c>
      <x:c r="K571" s="9">
        <x:f t="shared" si="104"/>
        <x:v>41372512.269910038</x:v>
      </x:c>
      <x:c r="L571" s="6"/>
      <x:c r="M571" s="10">
        <x:f t="shared" si="105"/>
        <x:v>41372512.269910038</x:v>
      </x:c>
      <x:c r="N571" s="10">
        <x:f t="shared" si="106"/>
        <x:v>0</x:v>
      </x:c>
      <x:c r="O571" s="10"/>
    </x:row>
    <x:row r="572" spans="1:15" s="7" customFormat="1" outlineLevel="2" x14ac:dyDescent="0.25">
      <x:c r="A572" s="4">
        <x:v>369</x:v>
      </x:c>
      <x:c r="B572" s="5" t="s">
        <x:v>125</x:v>
      </x:c>
      <x:c r="C572" s="6">
        <x:v>49385837.060000002</x:v>
      </x:c>
      <x:c r="D572" s="6">
        <x:v>49385837.060000002</x:v>
      </x:c>
      <x:c r="E572" s="6"/>
      <x:c r="F572" s="7">
        <x:v>38</x:v>
      </x:c>
      <x:c r="G572" s="6">
        <x:v>14.5</x:v>
      </x:c>
      <x:c r="H572" s="8">
        <x:v>-0.4</x:v>
      </x:c>
      <x:c r="I572" s="6">
        <x:f t="shared" si="103"/>
        <x:v>42757737.875631586</x:v>
      </x:c>
      <x:c r="J572" s="23">
        <x:v>1.0732368459863886</x:v>
      </x:c>
      <x:c r="K572" s="9">
        <x:f t="shared" si="104"/>
        <x:v>45889179.739155591</x:v>
      </x:c>
      <x:c r="L572" s="6"/>
      <x:c r="M572" s="10">
        <x:f t="shared" si="105"/>
        <x:v>45889179.739155591</x:v>
      </x:c>
      <x:c r="N572" s="10">
        <x:f t="shared" si="106"/>
        <x:v>0</x:v>
      </x:c>
      <x:c r="O572" s="10"/>
    </x:row>
    <x:row r="573" spans="1:15" s="7" customFormat="1" outlineLevel="2" x14ac:dyDescent="0.25">
      <x:c r="A573" s="4">
        <x:v>369</x:v>
      </x:c>
      <x:c r="B573" s="5" t="s">
        <x:v>126</x:v>
      </x:c>
      <x:c r="C573" s="6">
        <x:v>50350348.859999999</x:v>
      </x:c>
      <x:c r="D573" s="6">
        <x:v>50350348.859999999</x:v>
      </x:c>
      <x:c r="E573" s="6"/>
      <x:c r="F573" s="7">
        <x:v>38</x:v>
      </x:c>
      <x:c r="G573" s="6">
        <x:v>13.500004000000001</x:v>
      </x:c>
      <x:c r="H573" s="8">
        <x:v>-0.4</x:v>
      </x:c>
      <x:c r="I573" s="6">
        <x:f t="shared" si="103"/>
        <x:v>45447807.472001225</x:v>
      </x:c>
      <x:c r="J573" s="23">
        <x:v>1.0732368459863886</x:v>
      </x:c>
      <x:c r="K573" s="9">
        <x:f t="shared" si="104"/>
        <x:v>48776261.548247218</x:v>
      </x:c>
      <x:c r="L573" s="6"/>
      <x:c r="M573" s="10">
        <x:f t="shared" si="105"/>
        <x:v>48776261.548247218</x:v>
      </x:c>
      <x:c r="N573" s="10">
        <x:f t="shared" si="106"/>
        <x:v>0</x:v>
      </x:c>
      <x:c r="O573" s="10"/>
    </x:row>
    <x:row r="574" spans="1:15" s="7" customFormat="1" outlineLevel="2" x14ac:dyDescent="0.25">
      <x:c r="A574" s="4">
        <x:v>369</x:v>
      </x:c>
      <x:c r="B574" s="5" t="s">
        <x:v>38</x:v>
      </x:c>
      <x:c r="C574" s="6">
        <x:v>58818421.329999998</x:v>
      </x:c>
      <x:c r="D574" s="6">
        <x:v>58818421.329999998</x:v>
      </x:c>
      <x:c r="E574" s="6"/>
      <x:c r="F574" s="7">
        <x:v>38</x:v>
      </x:c>
      <x:c r="G574" s="6">
        <x:v>12.500028</x:v>
      </x:c>
      <x:c r="H574" s="8">
        <x:v>-0.4</x:v>
      </x:c>
      <x:c r="I574" s="6">
        <x:f t="shared" si="103"/>
        <x:v>55258298.310496926</x:v>
      </x:c>
      <x:c r="J574" s="23">
        <x:v>1.0732368459863886</x:v>
      </x:c>
      <x:c r="K574" s="9">
        <x:f t="shared" si="104"/>
        <x:v>59305241.793332703</x:v>
      </x:c>
      <x:c r="L574" s="6"/>
      <x:c r="M574" s="10">
        <x:f t="shared" si="105"/>
        <x:v>59305241.793332696</x:v>
      </x:c>
      <x:c r="N574" s="10">
        <x:f t="shared" si="106"/>
        <x:v>0</x:v>
      </x:c>
      <x:c r="O574" s="10"/>
    </x:row>
    <x:row r="575" spans="1:15" s="7" customFormat="1" outlineLevel="2" x14ac:dyDescent="0.25">
      <x:c r="A575" s="4">
        <x:v>369</x:v>
      </x:c>
      <x:c r="B575" s="5" t="s">
        <x:v>127</x:v>
      </x:c>
      <x:c r="C575" s="6">
        <x:v>49954712.119999997</x:v>
      </x:c>
      <x:c r="D575" s="6">
        <x:v>49954712.119999997</x:v>
      </x:c>
      <x:c r="E575" s="6"/>
      <x:c r="F575" s="7">
        <x:v>38</x:v>
      </x:c>
      <x:c r="G575" s="6">
        <x:v>11.500173999999999</x:v>
      </x:c>
      <x:c r="H575" s="8">
        <x:v>-0.4</x:v>
      </x:c>
      <x:c r="I575" s="6">
        <x:f t="shared" si="103"/>
        <x:v>48771253.96537178</x:v>
      </x:c>
      <x:c r="J575" s="23">
        <x:v>1.0732368459863886</x:v>
      </x:c>
      <x:c r="K575" s="9">
        <x:f t="shared" si="104"/>
        <x:v>52343106.780596755</x:v>
      </x:c>
      <x:c r="L575" s="6"/>
      <x:c r="M575" s="10">
        <x:f t="shared" si="105"/>
        <x:v>52343106.780596755</x:v>
      </x:c>
      <x:c r="N575" s="10">
        <x:f t="shared" si="106"/>
        <x:v>0</x:v>
      </x:c>
      <x:c r="O575" s="10"/>
    </x:row>
    <x:row r="576" spans="1:15" s="7" customFormat="1" outlineLevel="2" x14ac:dyDescent="0.25">
      <x:c r="A576" s="4">
        <x:v>369</x:v>
      </x:c>
      <x:c r="B576" s="5" t="s">
        <x:v>39</x:v>
      </x:c>
      <x:c r="C576" s="6">
        <x:v>43159774.880000003</x:v>
      </x:c>
      <x:c r="D576" s="6">
        <x:v>43159774.880000003</x:v>
      </x:c>
      <x:c r="E576" s="6"/>
      <x:c r="F576" s="7">
        <x:v>38</x:v>
      </x:c>
      <x:c r="G576" s="6">
        <x:v>10.500869</x:v>
      </x:c>
      <x:c r="H576" s="8">
        <x:v>-0.4</x:v>
      </x:c>
      <x:c r="I576" s="6">
        <x:f t="shared" si="103"/>
        <x:v>43726284.860470548</x:v>
      </x:c>
      <x:c r="J576" s="23">
        <x:v>1.0732368459863886</x:v>
      </x:c>
      <x:c r="K576" s="9">
        <x:f t="shared" si="104"/>
        <x:v>46928660.050353788</x:v>
      </x:c>
      <x:c r="L576" s="6"/>
      <x:c r="M576" s="10">
        <x:f t="shared" si="105"/>
        <x:v>46928660.050353788</x:v>
      </x:c>
      <x:c r="N576" s="10">
        <x:f t="shared" si="106"/>
        <x:v>0</x:v>
      </x:c>
      <x:c r="O576" s="10"/>
    </x:row>
    <x:row r="577" spans="1:15" s="7" customFormat="1" outlineLevel="2" x14ac:dyDescent="0.25">
      <x:c r="A577" s="4">
        <x:v>369</x:v>
      </x:c>
      <x:c r="B577" s="5" t="s">
        <x:v>40</x:v>
      </x:c>
      <x:c r="C577" s="6">
        <x:v>37689753.950000003</x:v>
      </x:c>
      <x:c r="D577" s="6">
        <x:v>37689753.950000003</x:v>
      </x:c>
      <x:c r="E577" s="6"/>
      <x:c r="F577" s="7">
        <x:v>38</x:v>
      </x:c>
      <x:c r="G577" s="6">
        <x:v>9.5034139999999994</x:v>
      </x:c>
      <x:c r="H577" s="8">
        <x:v>-0.4</x:v>
      </x:c>
      <x:c r="I577" s="6">
        <x:f t="shared" si="103"/>
        <x:v>39569501.069921598</x:v>
      </x:c>
      <x:c r="J577" s="23">
        <x:v>1.0732368459863886</x:v>
      </x:c>
      <x:c r="K577" s="9">
        <x:f t="shared" si="104"/>
        <x:v>42467446.525537685</x:v>
      </x:c>
      <x:c r="L577" s="6"/>
      <x:c r="M577" s="10">
        <x:f t="shared" si="105"/>
        <x:v>42467446.525537685</x:v>
      </x:c>
      <x:c r="N577" s="10">
        <x:f t="shared" si="106"/>
        <x:v>0</x:v>
      </x:c>
      <x:c r="O577" s="10"/>
    </x:row>
    <x:row r="578" spans="1:15" s="7" customFormat="1" outlineLevel="2" x14ac:dyDescent="0.25">
      <x:c r="A578" s="4">
        <x:v>369</x:v>
      </x:c>
      <x:c r="B578" s="5" t="s">
        <x:v>41</x:v>
      </x:c>
      <x:c r="C578" s="6">
        <x:v>40191928.159999996</x:v>
      </x:c>
      <x:c r="D578" s="6">
        <x:v>40191928.159999996</x:v>
      </x:c>
      <x:c r="E578" s="6"/>
      <x:c r="F578" s="7">
        <x:v>38</x:v>
      </x:c>
      <x:c r="G578" s="6">
        <x:v>8.5119100000000003</x:v>
      </x:c>
      <x:c r="H578" s="8">
        <x:v>-0.4</x:v>
      </x:c>
      <x:c r="I578" s="6">
        <x:f t="shared" si="103"/>
        <x:v>43664644.020996317</x:v>
      </x:c>
      <x:c r="J578" s="23">
        <x:v>1.0732368459863886</x:v>
      </x:c>
      <x:c r="K578" s="9">
        <x:f t="shared" si="104"/>
        <x:v>46862504.830212504</x:v>
      </x:c>
      <x:c r="L578" s="6"/>
      <x:c r="M578" s="10">
        <x:f t="shared" si="105"/>
        <x:v>46862504.830212504</x:v>
      </x:c>
      <x:c r="N578" s="10">
        <x:f t="shared" si="106"/>
        <x:v>0</x:v>
      </x:c>
      <x:c r="O578" s="10"/>
    </x:row>
    <x:row r="579" spans="1:15" s="7" customFormat="1" outlineLevel="2" x14ac:dyDescent="0.25">
      <x:c r="A579" s="4">
        <x:v>369</x:v>
      </x:c>
      <x:c r="B579" s="5" t="s">
        <x:v>42</x:v>
      </x:c>
      <x:c r="C579" s="6">
        <x:v>33841911.060000002</x:v>
      </x:c>
      <x:c r="D579" s="6">
        <x:v>33841911.060000002</x:v>
      </x:c>
      <x:c r="E579" s="6"/>
      <x:c r="F579" s="7">
        <x:v>38</x:v>
      </x:c>
      <x:c r="G579" s="6">
        <x:v>7.5343309999999999</x:v>
      </x:c>
      <x:c r="H579" s="8">
        <x:v>-0.4</x:v>
      </x:c>
      <x:c r="I579" s="6">
        <x:f t="shared" si="103"/>
        <x:v>37984816.972472601</x:v>
      </x:c>
      <x:c r="J579" s="23">
        <x:v>1.0732368459863886</x:v>
      </x:c>
      <x:c r="K579" s="9">
        <x:f t="shared" si="104"/>
        <x:v>40766705.162906736</x:v>
      </x:c>
      <x:c r="L579" s="6"/>
      <x:c r="M579" s="10">
        <x:f t="shared" si="105"/>
        <x:v>40766705.162906736</x:v>
      </x:c>
      <x:c r="N579" s="10">
        <x:f t="shared" si="106"/>
        <x:v>0</x:v>
      </x:c>
      <x:c r="O579" s="10"/>
    </x:row>
    <x:row r="580" spans="1:15" s="7" customFormat="1" outlineLevel="2" x14ac:dyDescent="0.25">
      <x:c r="A580" s="4">
        <x:v>369</x:v>
      </x:c>
      <x:c r="B580" s="5" t="s">
        <x:v>43</x:v>
      </x:c>
      <x:c r="C580" s="6">
        <x:v>21498369.68</x:v>
      </x:c>
      <x:c r="D580" s="6">
        <x:v>21498369.68</x:v>
      </x:c>
      <x:c r="E580" s="6"/>
      <x:c r="F580" s="7">
        <x:v>38</x:v>
      </x:c>
      <x:c r="G580" s="6">
        <x:v>6.5849099999999998</x:v>
      </x:c>
      <x:c r="H580" s="8">
        <x:v>-0.4</x:v>
      </x:c>
      <x:c r="I580" s="6">
        <x:f t="shared" si="103"/>
        <x:v>24882171.202385776</x:v>
      </x:c>
      <x:c r="J580" s="23">
        <x:v>1.0732368459863886</x:v>
      </x:c>
      <x:c r="K580" s="9">
        <x:f t="shared" si="104"/>
        <x:v>26704462.942541856</x:v>
      </x:c>
      <x:c r="L580" s="6"/>
      <x:c r="M580" s="10">
        <x:f t="shared" si="105"/>
        <x:v>26704462.942541856</x:v>
      </x:c>
      <x:c r="N580" s="10">
        <x:f t="shared" si="106"/>
        <x:v>0</x:v>
      </x:c>
      <x:c r="O580" s="10"/>
    </x:row>
    <x:row r="581" spans="1:15" s="7" customFormat="1" outlineLevel="2" x14ac:dyDescent="0.25">
      <x:c r="A581" s="4">
        <x:v>369</x:v>
      </x:c>
      <x:c r="B581" s="5" t="s">
        <x:v>44</x:v>
      </x:c>
      <x:c r="C581" s="6">
        <x:v>47702724.079999998</x:v>
      </x:c>
      <x:c r="D581" s="6">
        <x:v>47702724.079999998</x:v>
      </x:c>
      <x:c r="E581" s="6"/>
      <x:c r="F581" s="7">
        <x:v>38</x:v>
      </x:c>
      <x:c r="G581" s="6">
        <x:v>5.6859479999999998</x:v>
      </x:c>
      <x:c r="H581" s="8">
        <x:v>-0.4</x:v>
      </x:c>
      <x:c r="I581" s="6">
        <x:f t="shared" si="103"/>
        <x:v>56790937.606523179</x:v>
      </x:c>
      <x:c r="J581" s="23">
        <x:v>1.0732368459863886</x:v>
      </x:c>
      <x:c r="K581" s="9">
        <x:f t="shared" si="104"/>
        <x:v>60950126.757434718</x:v>
      </x:c>
      <x:c r="L581" s="6"/>
      <x:c r="M581" s="10">
        <x:f t="shared" si="105"/>
        <x:v>60950126.757434711</x:v>
      </x:c>
      <x:c r="N581" s="10">
        <x:f t="shared" si="106"/>
        <x:v>0</x:v>
      </x:c>
      <x:c r="O581" s="10"/>
    </x:row>
    <x:row r="582" spans="1:15" s="7" customFormat="1" outlineLevel="2" x14ac:dyDescent="0.25">
      <x:c r="A582" s="4">
        <x:v>369</x:v>
      </x:c>
      <x:c r="B582" s="5" t="s">
        <x:v>45</x:v>
      </x:c>
      <x:c r="C582" s="6">
        <x:v>25131648.52</x:v>
      </x:c>
      <x:c r="D582" s="6">
        <x:v>25131648.52</x:v>
      </x:c>
      <x:c r="E582" s="6"/>
      <x:c r="F582" s="7">
        <x:v>38</x:v>
      </x:c>
      <x:c r="G582" s="6">
        <x:v>4.8572249999999997</x:v>
      </x:c>
      <x:c r="H582" s="8">
        <x:v>-0.4</x:v>
      </x:c>
      <x:c r="I582" s="6">
        <x:f t="shared" si="103"/>
        <x:v>30686989.504958425</x:v>
      </x:c>
      <x:c r="J582" s="23">
        <x:v>1.0732368459863886</x:v>
      </x:c>
      <x:c r="K582" s="9">
        <x:f t="shared" si="104"/>
        <x:v>32934407.829118986</x:v>
      </x:c>
      <x:c r="L582" s="6"/>
      <x:c r="M582" s="10">
        <x:f t="shared" si="105"/>
        <x:v>32934407.829118989</x:v>
      </x:c>
      <x:c r="N582" s="10">
        <x:f t="shared" si="106"/>
        <x:v>0</x:v>
      </x:c>
      <x:c r="O582" s="10"/>
    </x:row>
    <x:row r="583" spans="1:15" s="7" customFormat="1" outlineLevel="2" x14ac:dyDescent="0.25">
      <x:c r="A583" s="4">
        <x:v>369</x:v>
      </x:c>
      <x:c r="B583" s="5" t="s">
        <x:v>46</x:v>
      </x:c>
      <x:c r="C583" s="6">
        <x:v>30040887.640000001</x:v>
      </x:c>
      <x:c r="D583" s="6">
        <x:v>30040887.640000001</x:v>
      </x:c>
      <x:c r="E583" s="6"/>
      <x:c r="F583" s="7">
        <x:v>38</x:v>
      </x:c>
      <x:c r="G583" s="6">
        <x:v>4.1201999999999996</x:v>
      </x:c>
      <x:c r="H583" s="8">
        <x:v>-0.4</x:v>
      </x:c>
      <x:c r="I583" s="6">
        <x:f t="shared" si="103"/>
        <x:v>37497130.818208963</x:v>
      </x:c>
      <x:c r="J583" s="23">
        <x:v>1.0732368459863886</x:v>
      </x:c>
      <x:c r="K583" s="9">
        <x:f t="shared" si="104"/>
        <x:v>40243302.412873596</x:v>
      </x:c>
      <x:c r="L583" s="6"/>
      <x:c r="M583" s="10">
        <x:f t="shared" si="105"/>
        <x:v>40243302.412873596</x:v>
      </x:c>
      <x:c r="N583" s="10">
        <x:f t="shared" si="106"/>
        <x:v>0</x:v>
      </x:c>
      <x:c r="O583" s="10"/>
    </x:row>
    <x:row r="584" spans="1:15" s="7" customFormat="1" outlineLevel="2" x14ac:dyDescent="0.25">
      <x:c r="A584" s="4">
        <x:v>369</x:v>
      </x:c>
      <x:c r="B584" s="5" t="s">
        <x:v>47</x:v>
      </x:c>
      <x:c r="C584" s="6">
        <x:v>22843915.100000001</x:v>
      </x:c>
      <x:c r="D584" s="6">
        <x:v>22843915.100000001</x:v>
      </x:c>
      <x:c r="E584" s="6"/>
      <x:c r="F584" s="7">
        <x:v>38</x:v>
      </x:c>
      <x:c r="G584" s="6">
        <x:v>3.4846460000000001</x:v>
      </x:c>
      <x:c r="H584" s="8">
        <x:v>-0.4</x:v>
      </x:c>
      <x:c r="I584" s="6">
        <x:f t="shared" si="103"/>
        <x:v>29048740.605037466</x:v>
      </x:c>
      <x:c r="J584" s="23">
        <x:v>1.0732368459863886</x:v>
      </x:c>
      <x:c r="K584" s="9">
        <x:f t="shared" si="104"/>
        <x:v>31176178.746827148</x:v>
      </x:c>
      <x:c r="L584" s="6"/>
      <x:c r="M584" s="10">
        <x:f t="shared" si="105"/>
        <x:v>31176178.746827148</x:v>
      </x:c>
      <x:c r="N584" s="10">
        <x:f t="shared" si="106"/>
        <x:v>0</x:v>
      </x:c>
      <x:c r="O584" s="10"/>
    </x:row>
    <x:row r="585" spans="1:15" s="7" customFormat="1" outlineLevel="2" x14ac:dyDescent="0.25">
      <x:c r="A585" s="4">
        <x:v>369</x:v>
      </x:c>
      <x:c r="B585" s="5" t="s">
        <x:v>48</x:v>
      </x:c>
      <x:c r="C585" s="6">
        <x:v>15764303.859999999</x:v>
      </x:c>
      <x:c r="D585" s="6">
        <x:v>15764303.859999999</x:v>
      </x:c>
      <x:c r="E585" s="6"/>
      <x:c r="F585" s="7">
        <x:v>38</x:v>
      </x:c>
      <x:c r="G585" s="6">
        <x:v>2.9478249999999999</x:v>
      </x:c>
      <x:c r="H585" s="8">
        <x:v>-0.4</x:v>
      </x:c>
      <x:c r="I585" s="6">
        <x:f t="shared" si="103"/>
        <x:v>20357957.703038253</x:v>
      </x:c>
      <x:c r="J585" s="23">
        <x:v>1.0732368459863886</x:v>
      </x:c>
      <x:c r="K585" s="9">
        <x:f t="shared" si="104"/>
        <x:v>21848910.315933079</x:v>
      </x:c>
      <x:c r="L585" s="6"/>
      <x:c r="M585" s="10">
        <x:f t="shared" si="105"/>
        <x:v>21848910.315933079</x:v>
      </x:c>
      <x:c r="N585" s="10">
        <x:f t="shared" si="106"/>
        <x:v>0</x:v>
      </x:c>
      <x:c r="O585" s="10"/>
    </x:row>
    <x:row r="586" spans="1:15" s="7" customFormat="1" outlineLevel="2" x14ac:dyDescent="0.25">
      <x:c r="A586" s="4">
        <x:v>369</x:v>
      </x:c>
      <x:c r="B586" s="5" t="s">
        <x:v>49</x:v>
      </x:c>
      <x:c r="C586" s="6">
        <x:v>6817584.2699999996</x:v>
      </x:c>
      <x:c r="D586" s="6">
        <x:v>6817584.2699999996</x:v>
      </x:c>
      <x:c r="E586" s="6"/>
      <x:c r="F586" s="7">
        <x:v>38</x:v>
      </x:c>
      <x:c r="G586" s="6">
        <x:v>2.5064679999999999</x:v>
      </x:c>
      <x:c r="H586" s="8">
        <x:v>-0.4</x:v>
      </x:c>
      <x:c r="I586" s="6">
        <x:f t="shared" si="103"/>
        <x:v>8915057.9902610052</x:v>
      </x:c>
      <x:c r="J586" s="23">
        <x:v>1.0732368459863886</x:v>
      </x:c>
      <x:c r="K586" s="9">
        <x:f t="shared" si="104"/>
        <x:v>9544617.9779999983</x:v>
      </x:c>
      <x:c r="L586" s="6"/>
      <x:c r="M586" s="10">
        <x:f t="shared" si="105"/>
        <x:v>9544617.9779999983</x:v>
      </x:c>
      <x:c r="N586" s="10">
        <x:f t="shared" si="106"/>
        <x:v>0</x:v>
      </x:c>
      <x:c r="O586" s="10"/>
    </x:row>
    <x:row r="587" spans="1:15" s="7" customFormat="1" outlineLevel="2" x14ac:dyDescent="0.25">
      <x:c r="A587" s="4">
        <x:v>369</x:v>
      </x:c>
      <x:c r="B587" s="5" t="s">
        <x:v>50</x:v>
      </x:c>
      <x:c r="C587" s="6">
        <x:v>5189507.18</x:v>
      </x:c>
      <x:c r="D587" s="6">
        <x:v>5189507.18</x:v>
      </x:c>
      <x:c r="E587" s="6"/>
      <x:c r="F587" s="7">
        <x:v>38</x:v>
      </x:c>
      <x:c r="G587" s="6">
        <x:v>2.144787</x:v>
      </x:c>
      <x:c r="H587" s="8">
        <x:v>-0.4</x:v>
      </x:c>
      <x:c r="I587" s="6">
        <x:f t="shared" si="103"/>
        <x:v>6855243.142776343</x:v>
      </x:c>
      <x:c r="J587" s="23">
        <x:v>1.0732368459863886</x:v>
      </x:c>
      <x:c r="K587" s="9">
        <x:f t="shared" si="104"/>
        <x:v>7265310.0519999992</x:v>
      </x:c>
      <x:c r="L587" s="6"/>
      <x:c r="M587" s="10">
        <x:f t="shared" si="105"/>
        <x:v>7265310.0519999992</x:v>
      </x:c>
      <x:c r="N587" s="10">
        <x:f t="shared" si="106"/>
        <x:v>0</x:v>
      </x:c>
      <x:c r="O587" s="10"/>
    </x:row>
    <x:row r="588" spans="1:15" s="7" customFormat="1" outlineLevel="2" x14ac:dyDescent="0.25">
      <x:c r="A588" s="4">
        <x:v>369</x:v>
      </x:c>
      <x:c r="B588" s="5" t="s">
        <x:v>51</x:v>
      </x:c>
      <x:c r="C588" s="6">
        <x:v>3673626.07</x:v>
      </x:c>
      <x:c r="D588" s="6">
        <x:v>3673626.07</x:v>
      </x:c>
      <x:c r="E588" s="6"/>
      <x:c r="F588" s="7">
        <x:v>38</x:v>
      </x:c>
      <x:c r="G588" s="6">
        <x:v>1.8524670000000001</x:v>
      </x:c>
      <x:c r="H588" s="8">
        <x:v>-0.4</x:v>
      </x:c>
      <x:c r="I588" s="6">
        <x:f t="shared" ref="I588:I619" si="111">+C588*(1-H588)*(1-G588/F588)</x:f>
        <x:v>4892355.9850784056</x:v>
      </x:c>
      <x:c r="J588" s="23">
        <x:v>1.0732368459863886</x:v>
      </x:c>
      <x:c r="K588" s="9">
        <x:f t="shared" ref="K588:K619" si="112">IF((C588*(1-H588)-I588*J588)&lt;0,C588*(1-H588),I588*J588)</x:f>
        <x:v>5143076.4979999997</x:v>
      </x:c>
      <x:c r="L588" s="6"/>
      <x:c r="M588" s="10">
        <x:f t="shared" ref="M588:M619" si="113">+K588/D588*C588</x:f>
        <x:v>5143076.4979999997</x:v>
      </x:c>
      <x:c r="N588" s="10">
        <x:f t="shared" ref="N588:N619" si="114">+E588/C588*K588</x:f>
        <x:v>0</x:v>
      </x:c>
      <x:c r="O588" s="10"/>
    </x:row>
    <x:row r="589" spans="1:15" s="7" customFormat="1" outlineLevel="2" x14ac:dyDescent="0.25">
      <x:c r="A589" s="4">
        <x:v>369</x:v>
      </x:c>
      <x:c r="B589" s="5" t="s">
        <x:v>52</x:v>
      </x:c>
      <x:c r="C589" s="6">
        <x:v>7112786.1399999997</x:v>
      </x:c>
      <x:c r="D589" s="6">
        <x:v>7112786.1399999997</x:v>
      </x:c>
      <x:c r="E589" s="6"/>
      <x:c r="F589" s="7">
        <x:v>38</x:v>
      </x:c>
      <x:c r="G589" s="6">
        <x:v>1.611049</x:v>
      </x:c>
      <x:c r="H589" s="8">
        <x:v>-0.4</x:v>
      </x:c>
      <x:c r="I589" s="6">
        <x:f t="shared" si="111"/>
        <x:v>9535725.1802819669</x:v>
      </x:c>
      <x:c r="J589" s="23">
        <x:v>1.0732368459863886</x:v>
      </x:c>
      <x:c r="K589" s="9">
        <x:f t="shared" si="112"/>
        <x:v>9957900.595999999</x:v>
      </x:c>
      <x:c r="L589" s="6"/>
      <x:c r="M589" s="10">
        <x:f t="shared" si="113"/>
        <x:v>9957900.595999999</x:v>
      </x:c>
      <x:c r="N589" s="10">
        <x:f t="shared" si="114"/>
        <x:v>0</x:v>
      </x:c>
      <x:c r="O589" s="10"/>
    </x:row>
    <x:row r="590" spans="1:15" s="7" customFormat="1" outlineLevel="2" x14ac:dyDescent="0.25">
      <x:c r="A590" s="4">
        <x:v>369</x:v>
      </x:c>
      <x:c r="B590" s="5" t="s">
        <x:v>53</x:v>
      </x:c>
      <x:c r="C590" s="6">
        <x:v>7464700.5300000003</x:v>
      </x:c>
      <x:c r="D590" s="6">
        <x:v>7464700.5300000003</x:v>
      </x:c>
      <x:c r="E590" s="6"/>
      <x:c r="F590" s="7">
        <x:v>38</x:v>
      </x:c>
      <x:c r="G590" s="6">
        <x:v>1.4166380000000001</x:v>
      </x:c>
      <x:c r="H590" s="8">
        <x:v>-0.4</x:v>
      </x:c>
      <x:c r="I590" s="6">
        <x:f t="shared" si="111"/>
        <x:v>10060983.641968805</x:v>
      </x:c>
      <x:c r="J590" s="23">
        <x:v>1.0732368459863886</x:v>
      </x:c>
      <x:c r="K590" s="9">
        <x:f t="shared" si="112"/>
        <x:v>10450580.742000001</x:v>
      </x:c>
      <x:c r="L590" s="6"/>
      <x:c r="M590" s="10">
        <x:f t="shared" si="113"/>
        <x:v>10450580.742000001</x:v>
      </x:c>
      <x:c r="N590" s="10">
        <x:f t="shared" si="114"/>
        <x:v>0</x:v>
      </x:c>
      <x:c r="O590" s="10"/>
    </x:row>
    <x:row r="591" spans="1:15" s="7" customFormat="1" outlineLevel="2" x14ac:dyDescent="0.25">
      <x:c r="A591" s="4">
        <x:v>369</x:v>
      </x:c>
      <x:c r="B591" s="5" t="s">
        <x:v>54</x:v>
      </x:c>
      <x:c r="C591" s="6">
        <x:v>5223219.68</x:v>
      </x:c>
      <x:c r="D591" s="6">
        <x:v>5223219.68</x:v>
      </x:c>
      <x:c r="E591" s="6"/>
      <x:c r="F591" s="7">
        <x:v>38</x:v>
      </x:c>
      <x:c r="G591" s="6">
        <x:v>1.2575430000000001</x:v>
      </x:c>
      <x:c r="H591" s="8">
        <x:v>-0.4</x:v>
      </x:c>
      <x:c r="I591" s="6">
        <x:f t="shared" si="111"/>
        <x:v>7070513.0076719793</x:v>
      </x:c>
      <x:c r="J591" s="23">
        <x:v>1.0732368459863886</x:v>
      </x:c>
      <x:c r="K591" s="9">
        <x:f t="shared" si="112"/>
        <x:v>7312507.5519999992</x:v>
      </x:c>
      <x:c r="L591" s="6"/>
      <x:c r="M591" s="10">
        <x:f t="shared" si="113"/>
        <x:v>7312507.5519999992</x:v>
      </x:c>
      <x:c r="N591" s="10">
        <x:f t="shared" si="114"/>
        <x:v>0</x:v>
      </x:c>
      <x:c r="O591" s="10"/>
    </x:row>
    <x:row r="592" spans="1:15" s="7" customFormat="1" outlineLevel="2" x14ac:dyDescent="0.25">
      <x:c r="A592" s="4">
        <x:v>369</x:v>
      </x:c>
      <x:c r="B592" s="5" t="s">
        <x:v>55</x:v>
      </x:c>
      <x:c r="C592" s="6">
        <x:v>5664536.5800000001</x:v>
      </x:c>
      <x:c r="D592" s="6">
        <x:v>5664536.5800000001</x:v>
      </x:c>
      <x:c r="E592" s="6"/>
      <x:c r="F592" s="7">
        <x:v>38</x:v>
      </x:c>
      <x:c r="G592" s="6">
        <x:v>1.119761</x:v>
      </x:c>
      <x:c r="H592" s="8">
        <x:v>-0.4</x:v>
      </x:c>
      <x:c r="I592" s="6">
        <x:f t="shared" si="111"/>
        <x:v>7696664.4224342015</x:v>
      </x:c>
      <x:c r="J592" s="23">
        <x:v>1.0732368459863886</x:v>
      </x:c>
      <x:c r="K592" s="9">
        <x:f t="shared" si="112"/>
        <x:v>7930351.2119999994</x:v>
      </x:c>
      <x:c r="L592" s="6"/>
      <x:c r="M592" s="10">
        <x:f t="shared" si="113"/>
        <x:v>7930351.2119999994</x:v>
      </x:c>
      <x:c r="N592" s="10">
        <x:f t="shared" si="114"/>
        <x:v>0</x:v>
      </x:c>
      <x:c r="O592" s="10"/>
    </x:row>
    <x:row r="593" spans="1:15" s="7" customFormat="1" outlineLevel="2" x14ac:dyDescent="0.25">
      <x:c r="A593" s="4">
        <x:v>369</x:v>
      </x:c>
      <x:c r="B593" s="5" t="s">
        <x:v>56</x:v>
      </x:c>
      <x:c r="C593" s="6">
        <x:v>3728608.88</x:v>
      </x:c>
      <x:c r="D593" s="6">
        <x:v>3728608.88</x:v>
      </x:c>
      <x:c r="E593" s="6"/>
      <x:c r="F593" s="7">
        <x:v>38</x:v>
      </x:c>
      <x:c r="G593" s="6">
        <x:v>1.015771</x:v>
      </x:c>
      <x:c r="H593" s="8">
        <x:v>-0.4</x:v>
      </x:c>
      <x:c r="I593" s="6">
        <x:f t="shared" si="111"/>
        <x:v>5080516.1720288135</x:v>
      </x:c>
      <x:c r="J593" s="23">
        <x:v>1.0732368459863886</x:v>
      </x:c>
      <x:c r="K593" s="9">
        <x:f t="shared" si="112"/>
        <x:v>5220052.4319999991</x:v>
      </x:c>
      <x:c r="L593" s="6"/>
      <x:c r="M593" s="10">
        <x:f t="shared" si="113"/>
        <x:v>5220052.4319999991</x:v>
      </x:c>
      <x:c r="N593" s="10">
        <x:f t="shared" si="114"/>
        <x:v>0</x:v>
      </x:c>
      <x:c r="O593" s="10"/>
    </x:row>
    <x:row r="594" spans="1:15" s="7" customFormat="1" outlineLevel="2" x14ac:dyDescent="0.25">
      <x:c r="A594" s="4">
        <x:v>369</x:v>
      </x:c>
      <x:c r="B594" s="5" t="s">
        <x:v>57</x:v>
      </x:c>
      <x:c r="C594" s="6">
        <x:v>3060799.22</x:v>
      </x:c>
      <x:c r="D594" s="6">
        <x:v>3060799.22</x:v>
      </x:c>
      <x:c r="E594" s="6"/>
      <x:c r="F594" s="7">
        <x:v>38</x:v>
      </x:c>
      <x:c r="G594" s="6">
        <x:v>0.91869000000000001</x:v>
      </x:c>
      <x:c r="H594" s="8">
        <x:v>-0.4</x:v>
      </x:c>
      <x:c r="I594" s="6">
        <x:f t="shared" si="111"/>
        <x:v>4181521.6477476177</x:v>
      </x:c>
      <x:c r="J594" s="23">
        <x:v>1.0732368459863886</x:v>
      </x:c>
      <x:c r="K594" s="9">
        <x:f t="shared" si="112"/>
        <x:v>4285118.9079999998</x:v>
      </x:c>
      <x:c r="L594" s="6"/>
      <x:c r="M594" s="10">
        <x:f t="shared" si="113"/>
        <x:v>4285118.9079999998</x:v>
      </x:c>
      <x:c r="N594" s="10">
        <x:f t="shared" si="114"/>
        <x:v>0</x:v>
      </x:c>
      <x:c r="O594" s="10"/>
    </x:row>
    <x:row r="595" spans="1:15" s="7" customFormat="1" outlineLevel="2" x14ac:dyDescent="0.25">
      <x:c r="A595" s="4">
        <x:v>369</x:v>
      </x:c>
      <x:c r="B595" s="5" t="s">
        <x:v>58</x:v>
      </x:c>
      <x:c r="C595" s="6">
        <x:v>3800870.96</x:v>
      </x:c>
      <x:c r="D595" s="6">
        <x:v>3800870.96</x:v>
      </x:c>
      <x:c r="E595" s="6"/>
      <x:c r="F595" s="7">
        <x:v>38</x:v>
      </x:c>
      <x:c r="G595" s="6">
        <x:v>0.834422</x:v>
      </x:c>
      <x:c r="H595" s="8">
        <x:v>-0.4</x:v>
      </x:c>
      <x:c r="I595" s="6">
        <x:f t="shared" si="111"/>
        <x:v>5204373.4890668634</x:v>
      </x:c>
      <x:c r="J595" s="23">
        <x:v>1.0732368459863886</x:v>
      </x:c>
      <x:c r="K595" s="9">
        <x:f t="shared" si="112"/>
        <x:v>5321219.3439999996</x:v>
      </x:c>
      <x:c r="L595" s="6"/>
      <x:c r="M595" s="10">
        <x:f t="shared" si="113"/>
        <x:v>5321219.3439999996</x:v>
      </x:c>
      <x:c r="N595" s="10">
        <x:f t="shared" si="114"/>
        <x:v>0</x:v>
      </x:c>
      <x:c r="O595" s="10"/>
    </x:row>
    <x:row r="596" spans="1:15" s="7" customFormat="1" outlineLevel="2" x14ac:dyDescent="0.25">
      <x:c r="A596" s="4">
        <x:v>369</x:v>
      </x:c>
      <x:c r="B596" s="5" t="s">
        <x:v>59</x:v>
      </x:c>
      <x:c r="C596" s="6">
        <x:v>2931988.62</x:v>
      </x:c>
      <x:c r="D596" s="6">
        <x:v>2931988.62</x:v>
      </x:c>
      <x:c r="E596" s="6"/>
      <x:c r="F596" s="7">
        <x:v>38</x:v>
      </x:c>
      <x:c r="G596" s="6">
        <x:v>0.78400499999999995</x:v>
      </x:c>
      <x:c r="H596" s="8">
        <x:v>-0.4</x:v>
      </x:c>
      <x:c r="I596" s="6">
        <x:f t="shared" si="111"/>
        <x:v>4020095.3513359912</x:v>
      </x:c>
      <x:c r="J596" s="23">
        <x:v>1.0732368459863886</x:v>
      </x:c>
      <x:c r="K596" s="9">
        <x:f t="shared" si="112"/>
        <x:v>4104784.068</x:v>
      </x:c>
      <x:c r="L596" s="6"/>
      <x:c r="M596" s="10">
        <x:f t="shared" si="113"/>
        <x:v>4104784.068</x:v>
      </x:c>
      <x:c r="N596" s="10">
        <x:f t="shared" si="114"/>
        <x:v>0</x:v>
      </x:c>
      <x:c r="O596" s="10"/>
    </x:row>
    <x:row r="597" spans="1:15" s="7" customFormat="1" outlineLevel="2" x14ac:dyDescent="0.25">
      <x:c r="A597" s="4">
        <x:v>369</x:v>
      </x:c>
      <x:c r="B597" s="5" t="s">
        <x:v>60</x:v>
      </x:c>
      <x:c r="C597" s="6">
        <x:v>3113561.64</x:v>
      </x:c>
      <x:c r="D597" s="6">
        <x:v>3113561.64</x:v>
      </x:c>
      <x:c r="E597" s="6"/>
      <x:c r="F597" s="7">
        <x:v>38</x:v>
      </x:c>
      <x:c r="G597" s="6">
        <x:v>0.71596099999999996</x:v>
      </x:c>
      <x:c r="H597" s="8">
        <x:v>-0.4</x:v>
      </x:c>
      <x:c r="I597" s="6">
        <x:f t="shared" si="111"/>
        <x:v>4276858.2910665674</x:v>
      </x:c>
      <x:c r="J597" s="23">
        <x:v>1.0732368459863886</x:v>
      </x:c>
      <x:c r="K597" s="9">
        <x:f t="shared" si="112"/>
        <x:v>4358986.2960000001</x:v>
      </x:c>
      <x:c r="L597" s="6"/>
      <x:c r="M597" s="10">
        <x:f t="shared" si="113"/>
        <x:v>4358986.2960000001</x:v>
      </x:c>
      <x:c r="N597" s="10">
        <x:f t="shared" si="114"/>
        <x:v>0</x:v>
      </x:c>
      <x:c r="O597" s="10"/>
    </x:row>
    <x:row r="598" spans="1:15" s="7" customFormat="1" outlineLevel="2" x14ac:dyDescent="0.25">
      <x:c r="A598" s="4">
        <x:v>369</x:v>
      </x:c>
      <x:c r="B598" s="5" t="s">
        <x:v>61</x:v>
      </x:c>
      <x:c r="C598" s="6">
        <x:v>2361248.48</x:v>
      </x:c>
      <x:c r="D598" s="6">
        <x:v>2361248.48</x:v>
      </x:c>
      <x:c r="E598" s="6"/>
      <x:c r="F598" s="7">
        <x:v>38</x:v>
      </x:c>
      <x:c r="G598" s="6">
        <x:v>0.66745399999999999</x:v>
      </x:c>
      <x:c r="H598" s="8">
        <x:v>-0.4</x:v>
      </x:c>
      <x:c r="I598" s="6">
        <x:f t="shared" si="111"/>
        <x:v>3247683.802522161</x:v>
      </x:c>
      <x:c r="J598" s="23">
        <x:v>1.0732368459863886</x:v>
      </x:c>
      <x:c r="K598" s="9">
        <x:f t="shared" si="112"/>
        <x:v>3305747.872</x:v>
      </x:c>
      <x:c r="L598" s="6"/>
      <x:c r="M598" s="10">
        <x:f t="shared" si="113"/>
        <x:v>3305747.872</x:v>
      </x:c>
      <x:c r="N598" s="10">
        <x:f t="shared" si="114"/>
        <x:v>0</x:v>
      </x:c>
      <x:c r="O598" s="10"/>
    </x:row>
    <x:row r="599" spans="1:15" s="7" customFormat="1" outlineLevel="2" x14ac:dyDescent="0.25">
      <x:c r="A599" s="4">
        <x:v>369</x:v>
      </x:c>
      <x:c r="B599" s="5" t="s">
        <x:v>62</x:v>
      </x:c>
      <x:c r="C599" s="6">
        <x:v>2369942.36</x:v>
      </x:c>
      <x:c r="D599" s="6">
        <x:v>2369942.36</x:v>
      </x:c>
      <x:c r="E599" s="6"/>
      <x:c r="F599" s="7">
        <x:v>38</x:v>
      </x:c>
      <x:c r="G599" s="6">
        <x:v>0.63268800000000003</x:v>
      </x:c>
      <x:c r="H599" s="8">
        <x:v>-0.4</x:v>
      </x:c>
      <x:c r="I599" s="6">
        <x:f t="shared" si="111"/>
        <x:v>3262676.9953523902</x:v>
      </x:c>
      <x:c r="J599" s="23">
        <x:v>1.0732368459863886</x:v>
      </x:c>
      <x:c r="K599" s="9">
        <x:f t="shared" si="112"/>
        <x:v>3317919.3039999995</x:v>
      </x:c>
      <x:c r="L599" s="6"/>
      <x:c r="M599" s="10">
        <x:f t="shared" si="113"/>
        <x:v>3317919.3039999995</x:v>
      </x:c>
      <x:c r="N599" s="10">
        <x:f t="shared" si="114"/>
        <x:v>0</x:v>
      </x:c>
      <x:c r="O599" s="10"/>
    </x:row>
    <x:row r="600" spans="1:15" s="7" customFormat="1" outlineLevel="2" x14ac:dyDescent="0.25">
      <x:c r="A600" s="4">
        <x:v>369</x:v>
      </x:c>
      <x:c r="B600" s="5" t="s">
        <x:v>63</x:v>
      </x:c>
      <x:c r="C600" s="6">
        <x:v>2669698.25</x:v>
      </x:c>
      <x:c r="D600" s="6">
        <x:v>2669698.25</x:v>
      </x:c>
      <x:c r="E600" s="6"/>
      <x:c r="F600" s="7">
        <x:v>38</x:v>
      </x:c>
      <x:c r="G600" s="6">
        <x:v>0.47</x:v>
      </x:c>
      <x:c r="H600" s="8">
        <x:v>-0.4</x:v>
      </x:c>
      <x:c r="I600" s="6">
        <x:f t="shared" si="111"/>
        <x:v>3691349.6171447365</x:v>
      </x:c>
      <x:c r="J600" s="23">
        <x:v>1.0732368459863886</x:v>
      </x:c>
      <x:c r="K600" s="9">
        <x:f t="shared" si="112"/>
        <x:v>3737577.55</x:v>
      </x:c>
      <x:c r="L600" s="6"/>
      <x:c r="M600" s="10">
        <x:f t="shared" si="113"/>
        <x:v>3737577.55</x:v>
      </x:c>
      <x:c r="N600" s="10">
        <x:f t="shared" si="114"/>
        <x:v>0</x:v>
      </x:c>
      <x:c r="O600" s="10"/>
    </x:row>
    <x:row r="601" spans="1:15" s="7" customFormat="1" outlineLevel="2" x14ac:dyDescent="0.25">
      <x:c r="A601" s="4">
        <x:v>369</x:v>
      </x:c>
      <x:c r="B601" s="5" t="s">
        <x:v>64</x:v>
      </x:c>
      <x:c r="C601" s="6">
        <x:v>2983576.38</x:v>
      </x:c>
      <x:c r="D601" s="6">
        <x:v>2983576.38</x:v>
      </x:c>
      <x:c r="E601" s="6"/>
      <x:c r="F601" s="7">
        <x:v>38</x:v>
      </x:c>
      <x:c r="G601" s="6">
        <x:v>0</x:v>
      </x:c>
      <x:c r="H601" s="8">
        <x:v>-0.4</x:v>
      </x:c>
      <x:c r="I601" s="6">
        <x:f t="shared" si="111"/>
        <x:v>4177006.9319999996</x:v>
      </x:c>
      <x:c r="J601" s="23">
        <x:v>1.0732368459863886</x:v>
      </x:c>
      <x:c r="K601" s="9">
        <x:f t="shared" si="112"/>
        <x:v>4177006.9319999996</x:v>
      </x:c>
      <x:c r="L601" s="6"/>
      <x:c r="M601" s="10">
        <x:f t="shared" si="113"/>
        <x:v>4177006.9319999996</x:v>
      </x:c>
      <x:c r="N601" s="10">
        <x:f t="shared" si="114"/>
        <x:v>0</x:v>
      </x:c>
      <x:c r="O601" s="10"/>
    </x:row>
    <x:row r="602" spans="1:15" s="7" customFormat="1" outlineLevel="2" x14ac:dyDescent="0.25">
      <x:c r="A602" s="4">
        <x:v>369</x:v>
      </x:c>
      <x:c r="B602" s="5" t="s">
        <x:v>65</x:v>
      </x:c>
      <x:c r="C602" s="6">
        <x:v>2116561.59</x:v>
      </x:c>
      <x:c r="D602" s="6">
        <x:v>2116561.59</x:v>
      </x:c>
      <x:c r="E602" s="6"/>
      <x:c r="F602" s="7">
        <x:v>38</x:v>
      </x:c>
      <x:c r="G602" s="6">
        <x:v>0</x:v>
      </x:c>
      <x:c r="H602" s="8">
        <x:v>-0.4</x:v>
      </x:c>
      <x:c r="I602" s="6">
        <x:f t="shared" si="111"/>
        <x:v>2963186.2259999998</x:v>
      </x:c>
      <x:c r="J602" s="23">
        <x:v>1.0732368459863886</x:v>
      </x:c>
      <x:c r="K602" s="9">
        <x:f t="shared" si="112"/>
        <x:v>2963186.2259999998</x:v>
      </x:c>
      <x:c r="L602" s="6"/>
      <x:c r="M602" s="10">
        <x:f t="shared" si="113"/>
        <x:v>2963186.2259999998</x:v>
      </x:c>
      <x:c r="N602" s="10">
        <x:f t="shared" si="114"/>
        <x:v>0</x:v>
      </x:c>
      <x:c r="O602" s="10"/>
    </x:row>
    <x:row r="603" spans="1:15" s="7" customFormat="1" outlineLevel="2" x14ac:dyDescent="0.25">
      <x:c r="A603" s="4">
        <x:v>369</x:v>
      </x:c>
      <x:c r="B603" s="5" t="s">
        <x:v>66</x:v>
      </x:c>
      <x:c r="C603" s="6">
        <x:v>3113525.12</x:v>
      </x:c>
      <x:c r="D603" s="6">
        <x:v>3113525.12</x:v>
      </x:c>
      <x:c r="E603" s="6"/>
      <x:c r="F603" s="7">
        <x:v>38</x:v>
      </x:c>
      <x:c r="G603" s="6">
        <x:v>0</x:v>
      </x:c>
      <x:c r="H603" s="8">
        <x:v>-0.4</x:v>
      </x:c>
      <x:c r="I603" s="6">
        <x:f t="shared" si="111"/>
        <x:v>4358935.1679999996</x:v>
      </x:c>
      <x:c r="J603" s="23">
        <x:v>1.0732368459863886</x:v>
      </x:c>
      <x:c r="K603" s="9">
        <x:f t="shared" si="112"/>
        <x:v>4358935.1679999996</x:v>
      </x:c>
      <x:c r="L603" s="6"/>
      <x:c r="M603" s="10">
        <x:f t="shared" si="113"/>
        <x:v>4358935.1679999996</x:v>
      </x:c>
      <x:c r="N603" s="10">
        <x:f t="shared" si="114"/>
        <x:v>0</x:v>
      </x:c>
      <x:c r="O603" s="10"/>
    </x:row>
    <x:row r="604" spans="1:15" s="7" customFormat="1" outlineLevel="2" x14ac:dyDescent="0.25">
      <x:c r="A604" s="4">
        <x:v>369</x:v>
      </x:c>
      <x:c r="B604" s="5" t="s">
        <x:v>67</x:v>
      </x:c>
      <x:c r="C604" s="6">
        <x:v>2911769.08</x:v>
      </x:c>
      <x:c r="D604" s="6">
        <x:v>2911769.08</x:v>
      </x:c>
      <x:c r="E604" s="6"/>
      <x:c r="F604" s="7">
        <x:v>38</x:v>
      </x:c>
      <x:c r="G604" s="6">
        <x:v>0</x:v>
      </x:c>
      <x:c r="H604" s="8">
        <x:v>-0.4</x:v>
      </x:c>
      <x:c r="I604" s="6">
        <x:f t="shared" si="111"/>
        <x:v>4076476.7119999998</x:v>
      </x:c>
      <x:c r="J604" s="23">
        <x:v>1.0732368459863886</x:v>
      </x:c>
      <x:c r="K604" s="9">
        <x:f t="shared" si="112"/>
        <x:v>4076476.7119999998</x:v>
      </x:c>
      <x:c r="L604" s="6"/>
      <x:c r="M604" s="10">
        <x:f t="shared" si="113"/>
        <x:v>4076476.7119999998</x:v>
      </x:c>
      <x:c r="N604" s="10">
        <x:f t="shared" si="114"/>
        <x:v>0</x:v>
      </x:c>
      <x:c r="O604" s="10"/>
    </x:row>
    <x:row r="605" spans="1:15" s="7" customFormat="1" outlineLevel="2" x14ac:dyDescent="0.25">
      <x:c r="A605" s="4">
        <x:v>369</x:v>
      </x:c>
      <x:c r="B605" s="5" t="s">
        <x:v>68</x:v>
      </x:c>
      <x:c r="C605" s="6">
        <x:v>5738614.0999999996</x:v>
      </x:c>
      <x:c r="D605" s="6">
        <x:v>5738614.0999999996</x:v>
      </x:c>
      <x:c r="E605" s="6"/>
      <x:c r="F605" s="7">
        <x:v>38</x:v>
      </x:c>
      <x:c r="G605" s="6">
        <x:v>0</x:v>
      </x:c>
      <x:c r="H605" s="8">
        <x:v>-0.4</x:v>
      </x:c>
      <x:c r="I605" s="6">
        <x:f t="shared" si="111"/>
        <x:v>8034059.7399999993</x:v>
      </x:c>
      <x:c r="J605" s="23">
        <x:v>1.0732368459863886</x:v>
      </x:c>
      <x:c r="K605" s="9">
        <x:f t="shared" si="112"/>
        <x:v>8034059.7399999993</x:v>
      </x:c>
      <x:c r="L605" s="6"/>
      <x:c r="M605" s="10">
        <x:f t="shared" si="113"/>
        <x:v>8034059.7399999993</x:v>
      </x:c>
      <x:c r="N605" s="10">
        <x:f t="shared" si="114"/>
        <x:v>0</x:v>
      </x:c>
      <x:c r="O605" s="10"/>
    </x:row>
    <x:row r="606" spans="1:15" s="7" customFormat="1" outlineLevel="2" x14ac:dyDescent="0.25">
      <x:c r="A606" s="4">
        <x:v>369</x:v>
      </x:c>
      <x:c r="B606" s="5" t="s">
        <x:v>69</x:v>
      </x:c>
      <x:c r="C606" s="6">
        <x:v>3292037.4</x:v>
      </x:c>
      <x:c r="D606" s="6">
        <x:v>3292037.4</x:v>
      </x:c>
      <x:c r="E606" s="6"/>
      <x:c r="F606" s="7">
        <x:v>38</x:v>
      </x:c>
      <x:c r="G606" s="6">
        <x:v>0</x:v>
      </x:c>
      <x:c r="H606" s="8">
        <x:v>-0.4</x:v>
      </x:c>
      <x:c r="I606" s="6">
        <x:f t="shared" si="111"/>
        <x:v>4608852.3599999994</x:v>
      </x:c>
      <x:c r="J606" s="23">
        <x:v>1.0732368459863886</x:v>
      </x:c>
      <x:c r="K606" s="9">
        <x:f t="shared" si="112"/>
        <x:v>4608852.3599999994</x:v>
      </x:c>
      <x:c r="L606" s="6"/>
      <x:c r="M606" s="10">
        <x:f t="shared" si="113"/>
        <x:v>4608852.3599999994</x:v>
      </x:c>
      <x:c r="N606" s="10">
        <x:f t="shared" si="114"/>
        <x:v>0</x:v>
      </x:c>
      <x:c r="O606" s="10"/>
    </x:row>
    <x:row r="607" spans="1:15" s="7" customFormat="1" outlineLevel="2" x14ac:dyDescent="0.25">
      <x:c r="A607" s="4">
        <x:v>369</x:v>
      </x:c>
      <x:c r="B607" s="5" t="s">
        <x:v>70</x:v>
      </x:c>
      <x:c r="C607" s="6">
        <x:v>4766005.84</x:v>
      </x:c>
      <x:c r="D607" s="6">
        <x:v>4766005.84</x:v>
      </x:c>
      <x:c r="E607" s="6"/>
      <x:c r="F607" s="7">
        <x:v>38</x:v>
      </x:c>
      <x:c r="G607" s="6">
        <x:v>0</x:v>
      </x:c>
      <x:c r="H607" s="8">
        <x:v>-0.4</x:v>
      </x:c>
      <x:c r="I607" s="6">
        <x:f t="shared" si="111"/>
        <x:v>6672408.175999999</x:v>
      </x:c>
      <x:c r="J607" s="23">
        <x:v>1.0732368459863886</x:v>
      </x:c>
      <x:c r="K607" s="9">
        <x:f t="shared" si="112"/>
        <x:v>6672408.175999999</x:v>
      </x:c>
      <x:c r="L607" s="6"/>
      <x:c r="M607" s="10">
        <x:f t="shared" si="113"/>
        <x:v>6672408.175999999</x:v>
      </x:c>
      <x:c r="N607" s="10">
        <x:f t="shared" si="114"/>
        <x:v>0</x:v>
      </x:c>
      <x:c r="O607" s="10"/>
    </x:row>
    <x:row r="608" spans="1:15" s="7" customFormat="1" outlineLevel="2" x14ac:dyDescent="0.25">
      <x:c r="A608" s="4">
        <x:v>369</x:v>
      </x:c>
      <x:c r="B608" s="5" t="s">
        <x:v>71</x:v>
      </x:c>
      <x:c r="C608" s="6">
        <x:v>5839898.4900000002</x:v>
      </x:c>
      <x:c r="D608" s="6">
        <x:v>5839898.4900000002</x:v>
      </x:c>
      <x:c r="E608" s="6"/>
      <x:c r="F608" s="7">
        <x:v>38</x:v>
      </x:c>
      <x:c r="G608" s="6">
        <x:v>0</x:v>
      </x:c>
      <x:c r="H608" s="8">
        <x:v>-0.4</x:v>
      </x:c>
      <x:c r="I608" s="6">
        <x:f t="shared" si="111"/>
        <x:v>8175857.8859999999</x:v>
      </x:c>
      <x:c r="J608" s="23">
        <x:v>1.0732368459863886</x:v>
      </x:c>
      <x:c r="K608" s="9">
        <x:f t="shared" si="112"/>
        <x:v>8175857.8859999999</x:v>
      </x:c>
      <x:c r="L608" s="6"/>
      <x:c r="M608" s="10">
        <x:f t="shared" si="113"/>
        <x:v>8175857.8859999999</x:v>
      </x:c>
      <x:c r="N608" s="10">
        <x:f t="shared" si="114"/>
        <x:v>0</x:v>
      </x:c>
      <x:c r="O608" s="10"/>
    </x:row>
    <x:row r="609" spans="1:15" s="7" customFormat="1" outlineLevel="2" x14ac:dyDescent="0.25">
      <x:c r="A609" s="4">
        <x:v>369</x:v>
      </x:c>
      <x:c r="B609" s="5" t="s">
        <x:v>72</x:v>
      </x:c>
      <x:c r="C609" s="6">
        <x:v>16890.72</x:v>
      </x:c>
      <x:c r="D609" s="6">
        <x:v>16890.72</x:v>
      </x:c>
      <x:c r="E609" s="6"/>
      <x:c r="F609" s="7">
        <x:v>38</x:v>
      </x:c>
      <x:c r="G609" s="6">
        <x:v>0</x:v>
      </x:c>
      <x:c r="H609" s="8">
        <x:v>-0.4</x:v>
      </x:c>
      <x:c r="I609" s="6">
        <x:f t="shared" si="111"/>
        <x:v>23647.008000000002</x:v>
      </x:c>
      <x:c r="J609" s="23">
        <x:v>1.0732368459863886</x:v>
      </x:c>
      <x:c r="K609" s="9">
        <x:f t="shared" si="112"/>
        <x:v>23647.008000000002</x:v>
      </x:c>
      <x:c r="L609" s="6"/>
      <x:c r="M609" s="10">
        <x:f t="shared" si="113"/>
        <x:v>23647.008000000002</x:v>
      </x:c>
      <x:c r="N609" s="10">
        <x:f t="shared" si="114"/>
        <x:v>0</x:v>
      </x:c>
      <x:c r="O609" s="10"/>
    </x:row>
    <x:row r="610" spans="1:15" s="7" customFormat="1" outlineLevel="2" x14ac:dyDescent="0.25">
      <x:c r="A610" s="4">
        <x:v>369</x:v>
      </x:c>
      <x:c r="B610" s="5" t="s">
        <x:v>73</x:v>
      </x:c>
      <x:c r="C610" s="6">
        <x:v>11859.38</x:v>
      </x:c>
      <x:c r="D610" s="6">
        <x:v>11859.38</x:v>
      </x:c>
      <x:c r="E610" s="6"/>
      <x:c r="F610" s="7">
        <x:v>38</x:v>
      </x:c>
      <x:c r="G610" s="6">
        <x:v>0</x:v>
      </x:c>
      <x:c r="H610" s="8">
        <x:v>-0.4</x:v>
      </x:c>
      <x:c r="I610" s="6">
        <x:f t="shared" si="111"/>
        <x:v>16603.131999999998</x:v>
      </x:c>
      <x:c r="J610" s="23">
        <x:v>1.0732368459863886</x:v>
      </x:c>
      <x:c r="K610" s="9">
        <x:f t="shared" si="112"/>
        <x:v>16603.131999999998</x:v>
      </x:c>
      <x:c r="L610" s="6"/>
      <x:c r="M610" s="10">
        <x:f t="shared" si="113"/>
        <x:v>16603.131999999998</x:v>
      </x:c>
      <x:c r="N610" s="10">
        <x:f t="shared" si="114"/>
        <x:v>0</x:v>
      </x:c>
      <x:c r="O610" s="10"/>
    </x:row>
    <x:row r="611" spans="1:15" s="7" customFormat="1" outlineLevel="2" x14ac:dyDescent="0.25">
      <x:c r="A611" s="4">
        <x:v>369</x:v>
      </x:c>
      <x:c r="B611" s="5" t="s">
        <x:v>74</x:v>
      </x:c>
      <x:c r="C611" s="6">
        <x:v>16222.05</x:v>
      </x:c>
      <x:c r="D611" s="6">
        <x:v>16222.05</x:v>
      </x:c>
      <x:c r="E611" s="6"/>
      <x:c r="F611" s="7">
        <x:v>38</x:v>
      </x:c>
      <x:c r="G611" s="6">
        <x:v>0</x:v>
      </x:c>
      <x:c r="H611" s="8">
        <x:v>-0.4</x:v>
      </x:c>
      <x:c r="I611" s="6">
        <x:f t="shared" si="111"/>
        <x:v>22710.87</x:v>
      </x:c>
      <x:c r="J611" s="23">
        <x:v>1.0732368459863886</x:v>
      </x:c>
      <x:c r="K611" s="9">
        <x:f t="shared" si="112"/>
        <x:v>22710.87</x:v>
      </x:c>
      <x:c r="L611" s="6"/>
      <x:c r="M611" s="10">
        <x:f t="shared" si="113"/>
        <x:v>22710.87</x:v>
      </x:c>
      <x:c r="N611" s="10">
        <x:f t="shared" si="114"/>
        <x:v>0</x:v>
      </x:c>
      <x:c r="O611" s="10"/>
    </x:row>
    <x:row r="612" spans="1:15" s="7" customFormat="1" outlineLevel="2" x14ac:dyDescent="0.25">
      <x:c r="A612" s="4">
        <x:v>369</x:v>
      </x:c>
      <x:c r="B612" s="5" t="s">
        <x:v>75</x:v>
      </x:c>
      <x:c r="C612" s="6">
        <x:v>10641.01</x:v>
      </x:c>
      <x:c r="D612" s="6">
        <x:v>10641.01</x:v>
      </x:c>
      <x:c r="E612" s="6"/>
      <x:c r="F612" s="7">
        <x:v>38</x:v>
      </x:c>
      <x:c r="G612" s="6">
        <x:v>0</x:v>
      </x:c>
      <x:c r="H612" s="8">
        <x:v>-0.4</x:v>
      </x:c>
      <x:c r="I612" s="6">
        <x:f t="shared" si="111"/>
        <x:v>14897.413999999999</x:v>
      </x:c>
      <x:c r="J612" s="23">
        <x:v>1.0732368459863886</x:v>
      </x:c>
      <x:c r="K612" s="9">
        <x:f t="shared" si="112"/>
        <x:v>14897.413999999999</x:v>
      </x:c>
      <x:c r="L612" s="6"/>
      <x:c r="M612" s="10">
        <x:f t="shared" si="113"/>
        <x:v>14897.413999999999</x:v>
      </x:c>
      <x:c r="N612" s="10">
        <x:f t="shared" si="114"/>
        <x:v>0</x:v>
      </x:c>
      <x:c r="O612" s="10"/>
    </x:row>
    <x:row r="613" spans="1:15" s="7" customFormat="1" outlineLevel="2" x14ac:dyDescent="0.25">
      <x:c r="A613" s="4">
        <x:v>369</x:v>
      </x:c>
      <x:c r="B613" s="5" t="s">
        <x:v>76</x:v>
      </x:c>
      <x:c r="C613" s="6">
        <x:v>6477.54</x:v>
      </x:c>
      <x:c r="D613" s="6">
        <x:v>6477.54</x:v>
      </x:c>
      <x:c r="E613" s="6"/>
      <x:c r="F613" s="7">
        <x:v>38</x:v>
      </x:c>
      <x:c r="G613" s="6">
        <x:v>0</x:v>
      </x:c>
      <x:c r="H613" s="8">
        <x:v>-0.4</x:v>
      </x:c>
      <x:c r="I613" s="6">
        <x:f t="shared" si="111"/>
        <x:v>9068.5559999999987</x:v>
      </x:c>
      <x:c r="J613" s="23">
        <x:v>1.0732368459863886</x:v>
      </x:c>
      <x:c r="K613" s="9">
        <x:f t="shared" si="112"/>
        <x:v>9068.5559999999987</x:v>
      </x:c>
      <x:c r="L613" s="6"/>
      <x:c r="M613" s="10">
        <x:f t="shared" si="113"/>
        <x:v>9068.5559999999987</x:v>
      </x:c>
      <x:c r="N613" s="10">
        <x:f t="shared" si="114"/>
        <x:v>0</x:v>
      </x:c>
      <x:c r="O613" s="10"/>
    </x:row>
    <x:row r="614" spans="1:15" s="7" customFormat="1" outlineLevel="2" x14ac:dyDescent="0.25">
      <x:c r="A614" s="4">
        <x:v>369</x:v>
      </x:c>
      <x:c r="B614" s="5" t="s">
        <x:v>77</x:v>
      </x:c>
      <x:c r="C614" s="6">
        <x:v>4845.97</x:v>
      </x:c>
      <x:c r="D614" s="6">
        <x:v>4845.97</x:v>
      </x:c>
      <x:c r="E614" s="6"/>
      <x:c r="F614" s="7">
        <x:v>38</x:v>
      </x:c>
      <x:c r="G614" s="6">
        <x:v>0</x:v>
      </x:c>
      <x:c r="H614" s="8">
        <x:v>-0.4</x:v>
      </x:c>
      <x:c r="I614" s="6">
        <x:f t="shared" si="111"/>
        <x:v>6784.3580000000002</x:v>
      </x:c>
      <x:c r="J614" s="23">
        <x:v>1.0732368459863886</x:v>
      </x:c>
      <x:c r="K614" s="9">
        <x:f t="shared" si="112"/>
        <x:v>6784.3580000000002</x:v>
      </x:c>
      <x:c r="L614" s="6"/>
      <x:c r="M614" s="10">
        <x:f t="shared" si="113"/>
        <x:v>6784.3580000000002</x:v>
      </x:c>
      <x:c r="N614" s="10">
        <x:f t="shared" si="114"/>
        <x:v>0</x:v>
      </x:c>
      <x:c r="O614" s="10"/>
    </x:row>
    <x:row r="615" spans="1:15" s="7" customFormat="1" outlineLevel="2" x14ac:dyDescent="0.25">
      <x:c r="A615" s="4">
        <x:v>369</x:v>
      </x:c>
      <x:c r="B615" s="5" t="s">
        <x:v>78</x:v>
      </x:c>
      <x:c r="C615" s="6">
        <x:v>11288.65</x:v>
      </x:c>
      <x:c r="D615" s="6">
        <x:v>11288.65</x:v>
      </x:c>
      <x:c r="E615" s="6"/>
      <x:c r="F615" s="7">
        <x:v>38</x:v>
      </x:c>
      <x:c r="G615" s="6">
        <x:v>0</x:v>
      </x:c>
      <x:c r="H615" s="8">
        <x:v>-0.4</x:v>
      </x:c>
      <x:c r="I615" s="6">
        <x:f t="shared" si="111"/>
        <x:v>15804.109999999999</x:v>
      </x:c>
      <x:c r="J615" s="23">
        <x:v>1.0732368459863886</x:v>
      </x:c>
      <x:c r="K615" s="9">
        <x:f t="shared" si="112"/>
        <x:v>15804.109999999999</x:v>
      </x:c>
      <x:c r="L615" s="6"/>
      <x:c r="M615" s="10">
        <x:f t="shared" si="113"/>
        <x:v>15804.109999999999</x:v>
      </x:c>
      <x:c r="N615" s="10">
        <x:f t="shared" si="114"/>
        <x:v>0</x:v>
      </x:c>
      <x:c r="O615" s="10"/>
    </x:row>
    <x:row r="616" spans="1:15" s="7" customFormat="1" outlineLevel="2" x14ac:dyDescent="0.25">
      <x:c r="A616" s="4">
        <x:v>369</x:v>
      </x:c>
      <x:c r="B616" s="5" t="s">
        <x:v>79</x:v>
      </x:c>
      <x:c r="C616" s="6">
        <x:v>3499.19</x:v>
      </x:c>
      <x:c r="D616" s="6">
        <x:v>3499.19</x:v>
      </x:c>
      <x:c r="E616" s="6"/>
      <x:c r="F616" s="7">
        <x:v>38</x:v>
      </x:c>
      <x:c r="G616" s="6">
        <x:v>0</x:v>
      </x:c>
      <x:c r="H616" s="8">
        <x:v>-0.4</x:v>
      </x:c>
      <x:c r="I616" s="6">
        <x:f t="shared" si="111"/>
        <x:v>4898.866</x:v>
      </x:c>
      <x:c r="J616" s="23">
        <x:v>1.0732368459863886</x:v>
      </x:c>
      <x:c r="K616" s="9">
        <x:f t="shared" si="112"/>
        <x:v>4898.866</x:v>
      </x:c>
      <x:c r="L616" s="6"/>
      <x:c r="M616" s="10">
        <x:f t="shared" si="113"/>
        <x:v>4898.866</x:v>
      </x:c>
      <x:c r="N616" s="10">
        <x:f t="shared" si="114"/>
        <x:v>0</x:v>
      </x:c>
      <x:c r="O616" s="10"/>
    </x:row>
    <x:row r="617" spans="1:15" s="7" customFormat="1" outlineLevel="2" x14ac:dyDescent="0.25">
      <x:c r="A617" s="4">
        <x:v>369</x:v>
      </x:c>
      <x:c r="B617" s="5" t="s">
        <x:v>80</x:v>
      </x:c>
      <x:c r="C617" s="6">
        <x:v>5288.82</x:v>
      </x:c>
      <x:c r="D617" s="6">
        <x:v>5288.82</x:v>
      </x:c>
      <x:c r="E617" s="6"/>
      <x:c r="F617" s="7">
        <x:v>38</x:v>
      </x:c>
      <x:c r="G617" s="6">
        <x:v>0</x:v>
      </x:c>
      <x:c r="H617" s="8">
        <x:v>-0.4</x:v>
      </x:c>
      <x:c r="I617" s="6">
        <x:f t="shared" si="111"/>
        <x:v>7404.347999999999</x:v>
      </x:c>
      <x:c r="J617" s="23">
        <x:v>1.0732368459863886</x:v>
      </x:c>
      <x:c r="K617" s="9">
        <x:f t="shared" si="112"/>
        <x:v>7404.347999999999</x:v>
      </x:c>
      <x:c r="L617" s="6"/>
      <x:c r="M617" s="10">
        <x:f t="shared" si="113"/>
        <x:v>7404.347999999999</x:v>
      </x:c>
      <x:c r="N617" s="10">
        <x:f t="shared" si="114"/>
        <x:v>0</x:v>
      </x:c>
      <x:c r="O617" s="10"/>
    </x:row>
    <x:row r="618" spans="1:15" s="7" customFormat="1" outlineLevel="2" x14ac:dyDescent="0.25">
      <x:c r="A618" s="4">
        <x:v>369</x:v>
      </x:c>
      <x:c r="B618" s="5" t="s">
        <x:v>81</x:v>
      </x:c>
      <x:c r="C618" s="6">
        <x:v>2068.17</x:v>
      </x:c>
      <x:c r="D618" s="6">
        <x:v>2068.17</x:v>
      </x:c>
      <x:c r="E618" s="6"/>
      <x:c r="F618" s="7">
        <x:v>38</x:v>
      </x:c>
      <x:c r="G618" s="6">
        <x:v>0</x:v>
      </x:c>
      <x:c r="H618" s="8">
        <x:v>-0.4</x:v>
      </x:c>
      <x:c r="I618" s="6">
        <x:f t="shared" si="111"/>
        <x:v>2895.4380000000001</x:v>
      </x:c>
      <x:c r="J618" s="23">
        <x:v>1.0732368459863886</x:v>
      </x:c>
      <x:c r="K618" s="9">
        <x:f t="shared" si="112"/>
        <x:v>2895.4380000000001</x:v>
      </x:c>
      <x:c r="L618" s="6"/>
      <x:c r="M618" s="10">
        <x:f t="shared" si="113"/>
        <x:v>2895.4380000000001</x:v>
      </x:c>
      <x:c r="N618" s="10">
        <x:f t="shared" si="114"/>
        <x:v>0</x:v>
      </x:c>
      <x:c r="O618" s="10"/>
    </x:row>
    <x:row r="619" spans="1:15" s="7" customFormat="1" outlineLevel="2" x14ac:dyDescent="0.25">
      <x:c r="A619" s="4">
        <x:v>369</x:v>
      </x:c>
      <x:c r="B619" s="5" t="s">
        <x:v>82</x:v>
      </x:c>
      <x:c r="C619" s="6">
        <x:v>1270.06</x:v>
      </x:c>
      <x:c r="D619" s="6">
        <x:v>1270.06</x:v>
      </x:c>
      <x:c r="E619" s="6"/>
      <x:c r="F619" s="7">
        <x:v>38</x:v>
      </x:c>
      <x:c r="G619" s="6">
        <x:v>0</x:v>
      </x:c>
      <x:c r="H619" s="8">
        <x:v>-0.4</x:v>
      </x:c>
      <x:c r="I619" s="6">
        <x:f t="shared" si="111"/>
        <x:v>1778.0839999999998</x:v>
      </x:c>
      <x:c r="J619" s="23">
        <x:v>1.0732368459863886</x:v>
      </x:c>
      <x:c r="K619" s="9">
        <x:f t="shared" si="112"/>
        <x:v>1778.0839999999998</x:v>
      </x:c>
      <x:c r="L619" s="6"/>
      <x:c r="M619" s="10">
        <x:f t="shared" si="113"/>
        <x:v>1778.0839999999998</x:v>
      </x:c>
      <x:c r="N619" s="10">
        <x:f t="shared" si="114"/>
        <x:v>0</x:v>
      </x:c>
      <x:c r="O619" s="10"/>
    </x:row>
    <x:row r="620" spans="1:15" s="7" customFormat="1" outlineLevel="2" x14ac:dyDescent="0.25">
      <x:c r="A620" s="4">
        <x:v>369</x:v>
      </x:c>
      <x:c r="B620" s="5" t="s">
        <x:v>83</x:v>
      </x:c>
      <x:c r="C620" s="6">
        <x:v>883.18</x:v>
      </x:c>
      <x:c r="D620" s="6">
        <x:v>883.18</x:v>
      </x:c>
      <x:c r="E620" s="6"/>
      <x:c r="F620" s="7">
        <x:v>38</x:v>
      </x:c>
      <x:c r="G620" s="6">
        <x:v>0</x:v>
      </x:c>
      <x:c r="H620" s="8">
        <x:v>-0.4</x:v>
      </x:c>
      <x:c r="I620" s="6">
        <x:f t="shared" ref="I620:I629" si="115">+C620*(1-H620)*(1-G620/F620)</x:f>
        <x:v>1236.4519999999998</x:v>
      </x:c>
      <x:c r="J620" s="23">
        <x:v>1.0732368459863886</x:v>
      </x:c>
      <x:c r="K620" s="9">
        <x:f t="shared" ref="K620:K629" si="116">IF((C620*(1-H620)-I620*J620)&lt;0,C620*(1-H620),I620*J620)</x:f>
        <x:v>1236.4519999999998</x:v>
      </x:c>
      <x:c r="L620" s="6"/>
      <x:c r="M620" s="10">
        <x:f t="shared" ref="M620:M629" si="117">+K620/D620*C620</x:f>
        <x:v>1236.4519999999998</x:v>
      </x:c>
      <x:c r="N620" s="10">
        <x:f t="shared" ref="N620:N629" si="118">+E620/C620*K620</x:f>
        <x:v>0</x:v>
      </x:c>
      <x:c r="O620" s="10"/>
    </x:row>
    <x:row r="621" spans="1:15" s="7" customFormat="1" outlineLevel="2" x14ac:dyDescent="0.25">
      <x:c r="A621" s="4">
        <x:v>369</x:v>
      </x:c>
      <x:c r="B621" s="5" t="s">
        <x:v>84</x:v>
      </x:c>
      <x:c r="C621" s="6">
        <x:v>953.81</x:v>
      </x:c>
      <x:c r="D621" s="6">
        <x:v>953.81</x:v>
      </x:c>
      <x:c r="E621" s="6"/>
      <x:c r="F621" s="7">
        <x:v>38</x:v>
      </x:c>
      <x:c r="G621" s="6">
        <x:v>0</x:v>
      </x:c>
      <x:c r="H621" s="8">
        <x:v>-0.4</x:v>
      </x:c>
      <x:c r="I621" s="6">
        <x:f t="shared" si="115"/>
        <x:v>1335.3339999999998</x:v>
      </x:c>
      <x:c r="J621" s="23">
        <x:v>1.0732368459863886</x:v>
      </x:c>
      <x:c r="K621" s="9">
        <x:f t="shared" si="116"/>
        <x:v>1335.3339999999998</x:v>
      </x:c>
      <x:c r="L621" s="6"/>
      <x:c r="M621" s="10">
        <x:f t="shared" si="117"/>
        <x:v>1335.3339999999998</x:v>
      </x:c>
      <x:c r="N621" s="10">
        <x:f t="shared" si="118"/>
        <x:v>0</x:v>
      </x:c>
      <x:c r="O621" s="10"/>
    </x:row>
    <x:row r="622" spans="1:15" s="7" customFormat="1" outlineLevel="2" x14ac:dyDescent="0.25">
      <x:c r="A622" s="4">
        <x:v>369</x:v>
      </x:c>
      <x:c r="B622" s="5" t="s">
        <x:v>85</x:v>
      </x:c>
      <x:c r="C622" s="6">
        <x:v>2223.9299999999998</x:v>
      </x:c>
      <x:c r="D622" s="6">
        <x:v>2223.9299999999998</x:v>
      </x:c>
      <x:c r="E622" s="6"/>
      <x:c r="F622" s="7">
        <x:v>38</x:v>
      </x:c>
      <x:c r="G622" s="6">
        <x:v>0</x:v>
      </x:c>
      <x:c r="H622" s="8">
        <x:v>-0.4</x:v>
      </x:c>
      <x:c r="I622" s="6">
        <x:f t="shared" si="115"/>
        <x:v>3113.5019999999995</x:v>
      </x:c>
      <x:c r="J622" s="23">
        <x:v>1.0732368459863886</x:v>
      </x:c>
      <x:c r="K622" s="9">
        <x:f t="shared" si="116"/>
        <x:v>3113.5019999999995</x:v>
      </x:c>
      <x:c r="L622" s="6"/>
      <x:c r="M622" s="10">
        <x:f t="shared" si="117"/>
        <x:v>3113.5019999999995</x:v>
      </x:c>
      <x:c r="N622" s="10">
        <x:f t="shared" si="118"/>
        <x:v>0</x:v>
      </x:c>
      <x:c r="O622" s="10"/>
    </x:row>
    <x:row r="623" spans="1:15" s="7" customFormat="1" outlineLevel="2" x14ac:dyDescent="0.25">
      <x:c r="A623" s="4">
        <x:v>369</x:v>
      </x:c>
      <x:c r="B623" s="5" t="s">
        <x:v>86</x:v>
      </x:c>
      <x:c r="C623" s="6">
        <x:v>715.18</x:v>
      </x:c>
      <x:c r="D623" s="6">
        <x:v>715.18</x:v>
      </x:c>
      <x:c r="E623" s="6"/>
      <x:c r="F623" s="7">
        <x:v>38</x:v>
      </x:c>
      <x:c r="G623" s="6">
        <x:v>0</x:v>
      </x:c>
      <x:c r="H623" s="8">
        <x:v>-0.4</x:v>
      </x:c>
      <x:c r="I623" s="6">
        <x:f t="shared" si="115"/>
        <x:v>1001.2519999999998</x:v>
      </x:c>
      <x:c r="J623" s="23">
        <x:v>1.0732368459863886</x:v>
      </x:c>
      <x:c r="K623" s="9">
        <x:f t="shared" si="116"/>
        <x:v>1001.2519999999998</x:v>
      </x:c>
      <x:c r="L623" s="6"/>
      <x:c r="M623" s="10">
        <x:f t="shared" si="117"/>
        <x:v>1001.2519999999998</x:v>
      </x:c>
      <x:c r="N623" s="10">
        <x:f t="shared" si="118"/>
        <x:v>0</x:v>
      </x:c>
      <x:c r="O623" s="10"/>
    </x:row>
    <x:row r="624" spans="1:15" s="7" customFormat="1" outlineLevel="2" x14ac:dyDescent="0.25">
      <x:c r="A624" s="4">
        <x:v>369</x:v>
      </x:c>
      <x:c r="B624" s="5" t="s">
        <x:v>87</x:v>
      </x:c>
      <x:c r="C624" s="6">
        <x:v>823.74</x:v>
      </x:c>
      <x:c r="D624" s="6">
        <x:v>823.74</x:v>
      </x:c>
      <x:c r="E624" s="6"/>
      <x:c r="F624" s="7">
        <x:v>38</x:v>
      </x:c>
      <x:c r="G624" s="6">
        <x:v>0</x:v>
      </x:c>
      <x:c r="H624" s="8">
        <x:v>-0.4</x:v>
      </x:c>
      <x:c r="I624" s="6">
        <x:f t="shared" si="115"/>
        <x:v>1153.2359999999999</x:v>
      </x:c>
      <x:c r="J624" s="23">
        <x:v>1.0732368459863886</x:v>
      </x:c>
      <x:c r="K624" s="9">
        <x:f t="shared" si="116"/>
        <x:v>1153.2359999999999</x:v>
      </x:c>
      <x:c r="L624" s="6"/>
      <x:c r="M624" s="10">
        <x:f t="shared" si="117"/>
        <x:v>1153.2359999999999</x:v>
      </x:c>
      <x:c r="N624" s="10">
        <x:f t="shared" si="118"/>
        <x:v>0</x:v>
      </x:c>
      <x:c r="O624" s="10"/>
    </x:row>
    <x:row r="625" spans="1:15" s="7" customFormat="1" outlineLevel="2" x14ac:dyDescent="0.25">
      <x:c r="A625" s="4">
        <x:v>369</x:v>
      </x:c>
      <x:c r="B625" s="5" t="s">
        <x:v>88</x:v>
      </x:c>
      <x:c r="C625" s="6">
        <x:v>583.49</x:v>
      </x:c>
      <x:c r="D625" s="6">
        <x:v>583.49</x:v>
      </x:c>
      <x:c r="E625" s="6"/>
      <x:c r="F625" s="7">
        <x:v>38</x:v>
      </x:c>
      <x:c r="G625" s="6">
        <x:v>0</x:v>
      </x:c>
      <x:c r="H625" s="8">
        <x:v>-0.4</x:v>
      </x:c>
      <x:c r="I625" s="6">
        <x:f t="shared" si="115"/>
        <x:v>816.88599999999997</x:v>
      </x:c>
      <x:c r="J625" s="23">
        <x:v>1.0732368459863886</x:v>
      </x:c>
      <x:c r="K625" s="9">
        <x:f t="shared" si="116"/>
        <x:v>816.88599999999997</x:v>
      </x:c>
      <x:c r="L625" s="6"/>
      <x:c r="M625" s="10">
        <x:f t="shared" si="117"/>
        <x:v>816.88599999999997</x:v>
      </x:c>
      <x:c r="N625" s="10">
        <x:f t="shared" si="118"/>
        <x:v>0</x:v>
      </x:c>
      <x:c r="O625" s="10"/>
    </x:row>
    <x:row r="626" spans="1:15" s="7" customFormat="1" outlineLevel="2" x14ac:dyDescent="0.25">
      <x:c r="A626" s="4">
        <x:v>369</x:v>
      </x:c>
      <x:c r="B626" s="5" t="s">
        <x:v>89</x:v>
      </x:c>
      <x:c r="C626" s="6">
        <x:v>848.71</x:v>
      </x:c>
      <x:c r="D626" s="6">
        <x:v>848.71</x:v>
      </x:c>
      <x:c r="E626" s="6"/>
      <x:c r="F626" s="7">
        <x:v>38</x:v>
      </x:c>
      <x:c r="G626" s="6">
        <x:v>0</x:v>
      </x:c>
      <x:c r="H626" s="8">
        <x:v>-0.4</x:v>
      </x:c>
      <x:c r="I626" s="6">
        <x:f t="shared" si="115"/>
        <x:v>1188.194</x:v>
      </x:c>
      <x:c r="J626" s="23">
        <x:v>1.0732368459863886</x:v>
      </x:c>
      <x:c r="K626" s="9">
        <x:f t="shared" si="116"/>
        <x:v>1188.194</x:v>
      </x:c>
      <x:c r="L626" s="6"/>
      <x:c r="M626" s="10">
        <x:f t="shared" si="117"/>
        <x:v>1188.194</x:v>
      </x:c>
      <x:c r="N626" s="10">
        <x:f t="shared" si="118"/>
        <x:v>0</x:v>
      </x:c>
      <x:c r="O626" s="10"/>
    </x:row>
    <x:row r="627" spans="1:15" s="7" customFormat="1" outlineLevel="2" x14ac:dyDescent="0.25">
      <x:c r="A627" s="4">
        <x:v>369</x:v>
      </x:c>
      <x:c r="B627" s="5" t="s">
        <x:v>90</x:v>
      </x:c>
      <x:c r="C627" s="6">
        <x:v>1883.51</x:v>
      </x:c>
      <x:c r="D627" s="6">
        <x:v>1883.51</x:v>
      </x:c>
      <x:c r="E627" s="6"/>
      <x:c r="F627" s="7">
        <x:v>38</x:v>
      </x:c>
      <x:c r="G627" s="6">
        <x:v>0</x:v>
      </x:c>
      <x:c r="H627" s="8">
        <x:v>-0.4</x:v>
      </x:c>
      <x:c r="I627" s="6">
        <x:f t="shared" si="115"/>
        <x:v>2636.9139999999998</x:v>
      </x:c>
      <x:c r="J627" s="23">
        <x:v>1.0732368459863886</x:v>
      </x:c>
      <x:c r="K627" s="9">
        <x:f t="shared" si="116"/>
        <x:v>2636.9139999999998</x:v>
      </x:c>
      <x:c r="L627" s="6"/>
      <x:c r="M627" s="10">
        <x:f t="shared" si="117"/>
        <x:v>2636.9139999999998</x:v>
      </x:c>
      <x:c r="N627" s="10">
        <x:f t="shared" si="118"/>
        <x:v>0</x:v>
      </x:c>
      <x:c r="O627" s="10"/>
    </x:row>
    <x:row r="628" spans="1:15" s="7" customFormat="1" outlineLevel="2" x14ac:dyDescent="0.25">
      <x:c r="A628" s="4">
        <x:v>369</x:v>
      </x:c>
      <x:c r="B628" s="5" t="s">
        <x:v>91</x:v>
      </x:c>
      <x:c r="C628" s="6">
        <x:v>132.62</x:v>
      </x:c>
      <x:c r="D628" s="6">
        <x:v>132.62</x:v>
      </x:c>
      <x:c r="E628" s="6"/>
      <x:c r="F628" s="7">
        <x:v>38</x:v>
      </x:c>
      <x:c r="G628" s="6">
        <x:v>0</x:v>
      </x:c>
      <x:c r="H628" s="8">
        <x:v>-0.4</x:v>
      </x:c>
      <x:c r="I628" s="6">
        <x:f t="shared" si="115"/>
        <x:v>185.66800000000001</x:v>
      </x:c>
      <x:c r="J628" s="23">
        <x:v>1.0732368459863886</x:v>
      </x:c>
      <x:c r="K628" s="9">
        <x:f t="shared" si="116"/>
        <x:v>185.66800000000001</x:v>
      </x:c>
      <x:c r="L628" s="6"/>
      <x:c r="M628" s="10">
        <x:f t="shared" si="117"/>
        <x:v>185.66800000000001</x:v>
      </x:c>
      <x:c r="N628" s="10">
        <x:f t="shared" si="118"/>
        <x:v>0</x:v>
      </x:c>
      <x:c r="O628" s="10"/>
    </x:row>
    <x:row r="629" spans="1:15" s="7" customFormat="1" outlineLevel="2" x14ac:dyDescent="0.25">
      <x:c r="A629" s="4">
        <x:v>369</x:v>
      </x:c>
      <x:c r="B629" s="5" t="s">
        <x:v>128</x:v>
      </x:c>
      <x:c r="C629" s="6">
        <x:v>1303.33</x:v>
      </x:c>
      <x:c r="D629" s="6">
        <x:v>1303.33</x:v>
      </x:c>
      <x:c r="E629" s="6"/>
      <x:c r="F629" s="7">
        <x:v>38</x:v>
      </x:c>
      <x:c r="G629" s="6">
        <x:v>0</x:v>
      </x:c>
      <x:c r="H629" s="8">
        <x:v>-0.4</x:v>
      </x:c>
      <x:c r="I629" s="6">
        <x:f t="shared" si="115"/>
        <x:v>1824.6619999999998</x:v>
      </x:c>
      <x:c r="J629" s="23">
        <x:v>1.0732368459863886</x:v>
      </x:c>
      <x:c r="K629" s="9">
        <x:f t="shared" si="116"/>
        <x:v>1824.6619999999998</x:v>
      </x:c>
      <x:c r="L629" s="6"/>
      <x:c r="M629" s="10">
        <x:f t="shared" si="117"/>
        <x:v>1824.6619999999998</x:v>
      </x:c>
      <x:c r="N629" s="10">
        <x:f t="shared" si="118"/>
        <x:v>0</x:v>
      </x:c>
      <x:c r="O629" s="10"/>
    </x:row>
    <x:row r="630" spans="1:15" s="7" customFormat="1" outlineLevel="1" x14ac:dyDescent="0.25">
      <x:c r="A630" s="11" t="s">
        <x:v>8</x:v>
      </x:c>
      <x:c r="B630" s="5"/>
      <x:c r="C630" s="6">
        <x:f>SUBTOTAL(9,C549:C629)</x:f>
        <x:v>1970343942.5799999</x:v>
      </x:c>
      <x:c r="D630" s="6"/>
      <x:c r="E630" s="6"/>
      <x:c r="G630" s="6"/>
      <x:c r="H630" s="8"/>
      <x:c r="I630" s="6">
        <x:f>SUBTOTAL(9,I549:I629)</x:f>
        <x:v>1158791995.6888311</x:v>
      </x:c>
      <x:c r="J630" s="23">
        <x:v>1.0732368459863886</x:v>
      </x:c>
      <x:c r="K630" s="6">
        <x:f>SUBTOTAL(9,K549:K629)</x:f>
        <x:v>1237313769.032459</x:v>
      </x:c>
      <x:c r="L630" s="2"/>
      <x:c r="M630" s="6">
        <x:f>SUBTOTAL(9,M549:M629)</x:f>
        <x:v>1237313769.032459</x:v>
      </x:c>
      <x:c r="N630" s="6">
        <x:f>SUBTOTAL(9,N549:N629)</x:f>
        <x:v>0</x:v>
      </x:c>
      <x:c r="O630" s="10"/>
    </x:row>
    <x:row r="631" spans="1:15" s="7" customFormat="1" outlineLevel="2" x14ac:dyDescent="0.25">
      <x:c r="A631" s="4">
        <x:v>371</x:v>
      </x:c>
      <x:c r="B631" s="5" t="s">
        <x:v>23</x:v>
      </x:c>
      <x:c r="C631" s="6">
        <x:v>1064286.95</x:v>
      </x:c>
      <x:c r="D631" s="6">
        <x:v>1064286.95</x:v>
      </x:c>
      <x:c r="E631" s="6"/>
      <x:c r="F631" s="7">
        <x:v>30</x:v>
      </x:c>
      <x:c r="G631" s="6">
        <x:v>29.5</x:v>
      </x:c>
      <x:c r="H631" s="8">
        <x:v>-0.7</x:v>
      </x:c>
      <x:c r="I631" s="6">
        <x:f t="shared" ref="I631:I669" si="119">+C631*(1-H631)*(1-G631/F631)</x:f>
        <x:v>30154.796916666761</x:v>
      </x:c>
      <x:c r="J631" s="23">
        <x:v>1.073236845991006</x:v>
      </x:c>
      <x:c r="K631" s="9">
        <x:f t="shared" ref="K631:K669" si="120">IF((C631*(1-H631)-I631*J631)&lt;0,C631*(1-H631),I631*J631)</x:f>
        <x:v>32363.239134342748</x:v>
      </x:c>
      <x:c r="L631" s="6"/>
      <x:c r="M631" s="10">
        <x:f t="shared" ref="M631:M669" si="121">+K631/D631*C631</x:f>
        <x:v>32363.239134342748</x:v>
      </x:c>
      <x:c r="N631" s="10">
        <x:f t="shared" ref="N631:N669" si="122">+E631/C631*K631</x:f>
        <x:v>0</x:v>
      </x:c>
      <x:c r="O631" s="10"/>
    </x:row>
    <x:row r="632" spans="1:15" s="7" customFormat="1" outlineLevel="2" x14ac:dyDescent="0.25">
      <x:c r="A632" s="4">
        <x:v>371</x:v>
      </x:c>
      <x:c r="B632" s="5" t="s">
        <x:v>24</x:v>
      </x:c>
      <x:c r="C632" s="6">
        <x:v>1336148.97</x:v>
      </x:c>
      <x:c r="D632" s="6">
        <x:v>1336148.97</x:v>
      </x:c>
      <x:c r="E632" s="6"/>
      <x:c r="F632" s="7">
        <x:v>30</x:v>
      </x:c>
      <x:c r="G632" s="6">
        <x:v>28.5</x:v>
      </x:c>
      <x:c r="H632" s="8">
        <x:v>-0.7</x:v>
      </x:c>
      <x:c r="I632" s="6">
        <x:f t="shared" ref="I632:I639" si="123">+C632*(1-H632)*(1-G632/F632)</x:f>
        <x:v>113572.66245000009</x:v>
      </x:c>
      <x:c r="J632" s="23">
        <x:v>1.073236845991006</x:v>
      </x:c>
      <x:c r="K632" s="9">
        <x:f t="shared" ref="K632:K639" si="124">IF((C632*(1-H632)-I632*J632)&lt;0,C632*(1-H632),I632*J632)</x:f>
        <x:v>121890.36603863926</x:v>
      </x:c>
      <x:c r="L632" s="6"/>
      <x:c r="M632" s="10">
        <x:f t="shared" ref="M632:M639" si="125">+K632/D632*C632</x:f>
        <x:v>121890.36603863926</x:v>
      </x:c>
      <x:c r="N632" s="10">
        <x:f t="shared" ref="N632:N639" si="126">+E632/C632*K632</x:f>
        <x:v>0</x:v>
      </x:c>
      <x:c r="O632" s="10"/>
    </x:row>
    <x:row r="633" spans="1:15" s="7" customFormat="1" outlineLevel="2" x14ac:dyDescent="0.25">
      <x:c r="A633" s="4">
        <x:v>371</x:v>
      </x:c>
      <x:c r="B633" s="5" t="s">
        <x:v>25</x:v>
      </x:c>
      <x:c r="C633" s="6">
        <x:v>1106717.31</x:v>
      </x:c>
      <x:c r="D633" s="6">
        <x:v>1106717.31</x:v>
      </x:c>
      <x:c r="E633" s="6"/>
      <x:c r="F633" s="7">
        <x:v>30</x:v>
      </x:c>
      <x:c r="G633" s="6">
        <x:v>27.5</x:v>
      </x:c>
      <x:c r="H633" s="8">
        <x:v>-0.7</x:v>
      </x:c>
      <x:c r="I633" s="6">
        <x:f t="shared" si="123"/>
        <x:v>156784.95225000009</x:v>
      </x:c>
      <x:c r="J633" s="23">
        <x:v>1.073236845991006</x:v>
      </x:c>
      <x:c r="K633" s="9">
        <x:f t="shared" si="124"/>
        <x:v>168267.38765164057</x:v>
      </x:c>
      <x:c r="L633" s="6"/>
      <x:c r="M633" s="10">
        <x:f t="shared" si="125"/>
        <x:v>168267.38765164057</x:v>
      </x:c>
      <x:c r="N633" s="10">
        <x:f t="shared" si="126"/>
        <x:v>0</x:v>
      </x:c>
      <x:c r="O633" s="10"/>
    </x:row>
    <x:row r="634" spans="1:15" s="7" customFormat="1" outlineLevel="2" x14ac:dyDescent="0.25">
      <x:c r="A634" s="4">
        <x:v>371</x:v>
      </x:c>
      <x:c r="B634" s="5" t="s">
        <x:v>26</x:v>
      </x:c>
      <x:c r="C634" s="6">
        <x:v>794692.58</x:v>
      </x:c>
      <x:c r="D634" s="6">
        <x:v>794692.58</x:v>
      </x:c>
      <x:c r="E634" s="6"/>
      <x:c r="F634" s="7">
        <x:v>30</x:v>
      </x:c>
      <x:c r="G634" s="6">
        <x:v>26.5</x:v>
      </x:c>
      <x:c r="H634" s="8">
        <x:v>-0.7</x:v>
      </x:c>
      <x:c r="I634" s="6">
        <x:f t="shared" si="123"/>
        <x:v>157614.02836666669</x:v>
      </x:c>
      <x:c r="J634" s="23">
        <x:v>1.073236845991006</x:v>
      </x:c>
      <x:c r="K634" s="9">
        <x:f t="shared" si="124"/>
        <x:v>169157.18268817832</x:v>
      </x:c>
      <x:c r="L634" s="6"/>
      <x:c r="M634" s="10">
        <x:f t="shared" si="125"/>
        <x:v>169157.18268817832</x:v>
      </x:c>
      <x:c r="N634" s="10">
        <x:f t="shared" si="126"/>
        <x:v>0</x:v>
      </x:c>
      <x:c r="O634" s="10"/>
    </x:row>
    <x:row r="635" spans="1:15" s="7" customFormat="1" outlineLevel="2" x14ac:dyDescent="0.25">
      <x:c r="A635" s="4">
        <x:v>371</x:v>
      </x:c>
      <x:c r="B635" s="5" t="s">
        <x:v>117</x:v>
      </x:c>
      <x:c r="C635" s="6">
        <x:v>1023843.72</x:v>
      </x:c>
      <x:c r="D635" s="6">
        <x:v>1023843.72</x:v>
      </x:c>
      <x:c r="E635" s="6"/>
      <x:c r="F635" s="7">
        <x:v>30</x:v>
      </x:c>
      <x:c r="G635" s="6">
        <x:v>25.5</x:v>
      </x:c>
      <x:c r="H635" s="8">
        <x:v>-0.7</x:v>
      </x:c>
      <x:c r="I635" s="6">
        <x:f t="shared" si="123"/>
        <x:v>261080.14860000004</x:v>
      </x:c>
      <x:c r="J635" s="23">
        <x:v>1.073236845991006</x:v>
      </x:c>
      <x:c r="K635" s="9">
        <x:f t="shared" si="124"/>
        <x:v>280200.83523432718</x:v>
      </x:c>
      <x:c r="L635" s="6"/>
      <x:c r="M635" s="10">
        <x:f t="shared" si="125"/>
        <x:v>280200.83523432718</x:v>
      </x:c>
      <x:c r="N635" s="10">
        <x:f t="shared" si="126"/>
        <x:v>0</x:v>
      </x:c>
      <x:c r="O635" s="10"/>
    </x:row>
    <x:row r="636" spans="1:15" s="7" customFormat="1" outlineLevel="2" x14ac:dyDescent="0.25">
      <x:c r="A636" s="4">
        <x:v>371</x:v>
      </x:c>
      <x:c r="B636" s="5" t="s">
        <x:v>27</x:v>
      </x:c>
      <x:c r="C636" s="6">
        <x:v>793383.32</x:v>
      </x:c>
      <x:c r="D636" s="6">
        <x:v>793383.32</x:v>
      </x:c>
      <x:c r="E636" s="6"/>
      <x:c r="F636" s="7">
        <x:v>30</x:v>
      </x:c>
      <x:c r="G636" s="6">
        <x:v>24.5</x:v>
      </x:c>
      <x:c r="H636" s="8">
        <x:v>-0.7</x:v>
      </x:c>
      <x:c r="I636" s="6">
        <x:f t="shared" si="123"/>
        <x:v>247271.13473333334</x:v>
      </x:c>
      <x:c r="J636" s="23">
        <x:v>1.073236845991006</x:v>
      </x:c>
      <x:c r="K636" s="9">
        <x:f t="shared" si="124"/>
        <x:v>265380.49274581979</x:v>
      </x:c>
      <x:c r="L636" s="6"/>
      <x:c r="M636" s="10">
        <x:f t="shared" si="125"/>
        <x:v>265380.49274581979</x:v>
      </x:c>
      <x:c r="N636" s="10">
        <x:f t="shared" si="126"/>
        <x:v>0</x:v>
      </x:c>
      <x:c r="O636" s="10"/>
    </x:row>
    <x:row r="637" spans="1:15" s="7" customFormat="1" outlineLevel="2" x14ac:dyDescent="0.25">
      <x:c r="A637" s="4">
        <x:v>371</x:v>
      </x:c>
      <x:c r="B637" s="5" t="s">
        <x:v>28</x:v>
      </x:c>
      <x:c r="C637" s="6">
        <x:v>747131.15</x:v>
      </x:c>
      <x:c r="D637" s="6">
        <x:v>747131.15</x:v>
      </x:c>
      <x:c r="E637" s="6"/>
      <x:c r="F637" s="7">
        <x:v>30</x:v>
      </x:c>
      <x:c r="G637" s="6">
        <x:v>23.5</x:v>
      </x:c>
      <x:c r="H637" s="8">
        <x:v>-0.7</x:v>
      </x:c>
      <x:c r="I637" s="6">
        <x:f t="shared" si="123"/>
        <x:v>275193.30691666668</x:v>
      </x:c>
      <x:c r="J637" s="23">
        <x:v>1.073236845991006</x:v>
      </x:c>
      <x:c r="K637" s="9">
        <x:f t="shared" si="124"/>
        <x:v>295347.59675307822</x:v>
      </x:c>
      <x:c r="L637" s="6"/>
      <x:c r="M637" s="10">
        <x:f t="shared" si="125"/>
        <x:v>295347.59675307822</x:v>
      </x:c>
      <x:c r="N637" s="10">
        <x:f t="shared" si="126"/>
        <x:v>0</x:v>
      </x:c>
      <x:c r="O637" s="10"/>
    </x:row>
    <x:row r="638" spans="1:15" s="7" customFormat="1" outlineLevel="2" x14ac:dyDescent="0.25">
      <x:c r="A638" s="4">
        <x:v>371</x:v>
      </x:c>
      <x:c r="B638" s="5" t="s">
        <x:v>29</x:v>
      </x:c>
      <x:c r="C638" s="6">
        <x:v>575745.77</x:v>
      </x:c>
      <x:c r="D638" s="6">
        <x:v>575745.77</x:v>
      </x:c>
      <x:c r="E638" s="6"/>
      <x:c r="F638" s="7">
        <x:v>30</x:v>
      </x:c>
      <x:c r="G638" s="6">
        <x:v>22.5</x:v>
      </x:c>
      <x:c r="H638" s="8">
        <x:v>-0.7</x:v>
      </x:c>
      <x:c r="I638" s="6">
        <x:f t="shared" si="123"/>
        <x:v>244691.95225</x:v>
      </x:c>
      <x:c r="J638" s="23">
        <x:v>1.073236845991006</x:v>
      </x:c>
      <x:c r="K638" s="9">
        <x:f t="shared" si="124"/>
        <x:v>262612.41907217185</x:v>
      </x:c>
      <x:c r="L638" s="6"/>
      <x:c r="M638" s="10">
        <x:f t="shared" si="125"/>
        <x:v>262612.41907217185</x:v>
      </x:c>
      <x:c r="N638" s="10">
        <x:f t="shared" si="126"/>
        <x:v>0</x:v>
      </x:c>
      <x:c r="O638" s="10"/>
    </x:row>
    <x:row r="639" spans="1:15" s="7" customFormat="1" outlineLevel="2" x14ac:dyDescent="0.25">
      <x:c r="A639" s="4">
        <x:v>371</x:v>
      </x:c>
      <x:c r="B639" s="5" t="s">
        <x:v>30</x:v>
      </x:c>
      <x:c r="C639" s="6">
        <x:v>781806.77</x:v>
      </x:c>
      <x:c r="D639" s="6">
        <x:v>781806.77</x:v>
      </x:c>
      <x:c r="E639" s="6"/>
      <x:c r="F639" s="7">
        <x:v>30</x:v>
      </x:c>
      <x:c r="G639" s="6">
        <x:v>21.5</x:v>
      </x:c>
      <x:c r="H639" s="8">
        <x:v>-0.7</x:v>
      </x:c>
      <x:c r="I639" s="6">
        <x:f t="shared" si="123"/>
        <x:v>376570.26088333334</x:v>
      </x:c>
      <x:c r="J639" s="23">
        <x:v>1.073236845991006</x:v>
      </x:c>
      <x:c r="K639" s="9">
        <x:f t="shared" si="124"/>
        <x:v>404149.07908443897</x:v>
      </x:c>
      <x:c r="L639" s="6"/>
      <x:c r="M639" s="10">
        <x:f t="shared" si="125"/>
        <x:v>404149.07908443897</x:v>
      </x:c>
      <x:c r="N639" s="10">
        <x:f t="shared" si="126"/>
        <x:v>0</x:v>
      </x:c>
      <x:c r="O639" s="10"/>
    </x:row>
    <x:row r="640" spans="1:15" s="7" customFormat="1" outlineLevel="2" x14ac:dyDescent="0.25">
      <x:c r="A640" s="4">
        <x:v>371</x:v>
      </x:c>
      <x:c r="B640" s="5" t="s">
        <x:v>31</x:v>
      </x:c>
      <x:c r="C640" s="6">
        <x:v>719797.96</x:v>
      </x:c>
      <x:c r="D640" s="6">
        <x:v>719797.96</x:v>
      </x:c>
      <x:c r="E640" s="6"/>
      <x:c r="F640" s="7">
        <x:v>30</x:v>
      </x:c>
      <x:c r="G640" s="6">
        <x:v>20.5</x:v>
      </x:c>
      <x:c r="H640" s="8">
        <x:v>-0.7</x:v>
      </x:c>
      <x:c r="I640" s="6">
        <x:f t="shared" si="119"/>
        <x:v>387491.23513333331</x:v>
      </x:c>
      <x:c r="J640" s="23">
        <x:v>1.073236845991006</x:v>
      </x:c>
      <x:c r="K640" s="9">
        <x:f t="shared" si="120"/>
        <x:v>415869.87104365794</x:v>
      </x:c>
      <x:c r="L640" s="6"/>
      <x:c r="M640" s="10">
        <x:f t="shared" si="121"/>
        <x:v>415869.87104365794</x:v>
      </x:c>
      <x:c r="N640" s="10">
        <x:f t="shared" si="122"/>
        <x:v>0</x:v>
      </x:c>
      <x:c r="O640" s="10"/>
    </x:row>
    <x:row r="641" spans="1:15" s="7" customFormat="1" outlineLevel="2" x14ac:dyDescent="0.25">
      <x:c r="A641" s="4">
        <x:v>371</x:v>
      </x:c>
      <x:c r="B641" s="5" t="s">
        <x:v>32</x:v>
      </x:c>
      <x:c r="C641" s="6">
        <x:v>601187.31999999995</x:v>
      </x:c>
      <x:c r="D641" s="6">
        <x:v>601187.31999999995</x:v>
      </x:c>
      <x:c r="E641" s="6"/>
      <x:c r="F641" s="7">
        <x:v>30</x:v>
      </x:c>
      <x:c r="G641" s="6">
        <x:v>19.5</x:v>
      </x:c>
      <x:c r="H641" s="8">
        <x:v>-0.7</x:v>
      </x:c>
      <x:c r="I641" s="6">
        <x:f t="shared" si="119"/>
        <x:v>357706.45539999992</x:v>
      </x:c>
      <x:c r="J641" s="23">
        <x:v>1.073236845991006</x:v>
      </x:c>
      <x:c r="K641" s="9">
        <x:f t="shared" si="120"/>
        <x:v>383903.74798411835</x:v>
      </x:c>
      <x:c r="L641" s="6"/>
      <x:c r="M641" s="10">
        <x:f t="shared" si="121"/>
        <x:v>383903.74798411835</x:v>
      </x:c>
      <x:c r="N641" s="10">
        <x:f t="shared" si="122"/>
        <x:v>0</x:v>
      </x:c>
      <x:c r="O641" s="10"/>
    </x:row>
    <x:row r="642" spans="1:15" s="7" customFormat="1" outlineLevel="2" x14ac:dyDescent="0.25">
      <x:c r="A642" s="4">
        <x:v>371</x:v>
      </x:c>
      <x:c r="B642" s="5" t="s">
        <x:v>33</x:v>
      </x:c>
      <x:c r="C642" s="6">
        <x:v>624741.14</x:v>
      </x:c>
      <x:c r="D642" s="6">
        <x:v>624741.14</x:v>
      </x:c>
      <x:c r="E642" s="6"/>
      <x:c r="F642" s="7">
        <x:v>30</x:v>
      </x:c>
      <x:c r="G642" s="6">
        <x:v>18.5</x:v>
      </x:c>
      <x:c r="H642" s="8">
        <x:v>-0.7</x:v>
      </x:c>
      <x:c r="I642" s="6">
        <x:f t="shared" si="119"/>
        <x:v>407122.97623333335</x:v>
      </x:c>
      <x:c r="J642" s="23">
        <x:v>1.073236845991006</x:v>
      </x:c>
      <x:c r="K642" s="9">
        <x:f t="shared" si="120"/>
        <x:v>436939.37894313398</x:v>
      </x:c>
      <x:c r="L642" s="6"/>
      <x:c r="M642" s="10">
        <x:f t="shared" si="121"/>
        <x:v>436939.37894313398</x:v>
      </x:c>
      <x:c r="N642" s="10">
        <x:f t="shared" si="122"/>
        <x:v>0</x:v>
      </x:c>
      <x:c r="O642" s="10"/>
    </x:row>
    <x:row r="643" spans="1:15" s="7" customFormat="1" outlineLevel="2" x14ac:dyDescent="0.25">
      <x:c r="A643" s="4">
        <x:v>371</x:v>
      </x:c>
      <x:c r="B643" s="5" t="s">
        <x:v>118</x:v>
      </x:c>
      <x:c r="C643" s="6">
        <x:v>598852.42000000004</x:v>
      </x:c>
      <x:c r="D643" s="6">
        <x:v>598852.42000000004</x:v>
      </x:c>
      <x:c r="E643" s="6"/>
      <x:c r="F643" s="7">
        <x:v>30</x:v>
      </x:c>
      <x:c r="G643" s="6">
        <x:v>17.5</x:v>
      </x:c>
      <x:c r="H643" s="8">
        <x:v>-0.7</x:v>
      </x:c>
      <x:c r="I643" s="6">
        <x:f t="shared" si="119"/>
        <x:v>424187.1308333333</x:v>
      </x:c>
      <x:c r="J643" s="23">
        <x:v>1.073236845991006</x:v>
      </x:c>
      <x:c r="K643" s="9">
        <x:f t="shared" si="120"/>
        <x:v>455253.25840554084</x:v>
      </x:c>
      <x:c r="L643" s="6"/>
      <x:c r="M643" s="10">
        <x:f t="shared" si="121"/>
        <x:v>455253.25840554084</x:v>
      </x:c>
      <x:c r="N643" s="10">
        <x:f t="shared" si="122"/>
        <x:v>0</x:v>
      </x:c>
      <x:c r="O643" s="10"/>
    </x:row>
    <x:row r="644" spans="1:15" s="7" customFormat="1" outlineLevel="2" x14ac:dyDescent="0.25">
      <x:c r="A644" s="4">
        <x:v>371</x:v>
      </x:c>
      <x:c r="B644" s="5" t="s">
        <x:v>119</x:v>
      </x:c>
      <x:c r="C644" s="6">
        <x:v>488735.14</x:v>
      </x:c>
      <x:c r="D644" s="6">
        <x:v>488735.14</x:v>
      </x:c>
      <x:c r="E644" s="6"/>
      <x:c r="F644" s="7">
        <x:v>30</x:v>
      </x:c>
      <x:c r="G644" s="6">
        <x:v>16.5</x:v>
      </x:c>
      <x:c r="H644" s="8">
        <x:v>-0.7</x:v>
      </x:c>
      <x:c r="I644" s="6">
        <x:f t="shared" si="119"/>
        <x:v>373882.38209999999</x:v>
      </x:c>
      <x:c r="J644" s="23">
        <x:v>1.073236845991006</x:v>
      </x:c>
      <x:c r="K644" s="9">
        <x:f t="shared" si="120"/>
        <x:v>401264.34853660816</x:v>
      </x:c>
      <x:c r="L644" s="6"/>
      <x:c r="M644" s="10">
        <x:f t="shared" si="121"/>
        <x:v>401264.34853660816</x:v>
      </x:c>
      <x:c r="N644" s="10">
        <x:f t="shared" si="122"/>
        <x:v>0</x:v>
      </x:c>
      <x:c r="O644" s="10"/>
    </x:row>
    <x:row r="645" spans="1:15" s="7" customFormat="1" outlineLevel="2" x14ac:dyDescent="0.25">
      <x:c r="A645" s="4">
        <x:v>371</x:v>
      </x:c>
      <x:c r="B645" s="5" t="s">
        <x:v>34</x:v>
      </x:c>
      <x:c r="C645" s="6">
        <x:v>534912.25</x:v>
      </x:c>
      <x:c r="D645" s="6">
        <x:v>534912.25</x:v>
      </x:c>
      <x:c r="E645" s="6"/>
      <x:c r="F645" s="7">
        <x:v>30</x:v>
      </x:c>
      <x:c r="G645" s="6">
        <x:v>15.5</x:v>
      </x:c>
      <x:c r="H645" s="8">
        <x:v>-0.7</x:v>
      </x:c>
      <x:c r="I645" s="6">
        <x:f t="shared" si="119"/>
        <x:v>439519.56541666662</x:v>
      </x:c>
      <x:c r="J645" s="23">
        <x:v>1.073236845991006</x:v>
      </x:c>
      <x:c r="K645" s="9">
        <x:f t="shared" si="120"/>
        <x:v>471708.59213912091</x:v>
      </x:c>
      <x:c r="L645" s="6"/>
      <x:c r="M645" s="10">
        <x:f t="shared" si="121"/>
        <x:v>471708.59213912091</x:v>
      </x:c>
      <x:c r="N645" s="10">
        <x:f t="shared" si="122"/>
        <x:v>0</x:v>
      </x:c>
      <x:c r="O645" s="10"/>
    </x:row>
    <x:row r="646" spans="1:15" s="7" customFormat="1" outlineLevel="2" x14ac:dyDescent="0.25">
      <x:c r="A646" s="4">
        <x:v>371</x:v>
      </x:c>
      <x:c r="B646" s="5" t="s">
        <x:v>35</x:v>
      </x:c>
      <x:c r="C646" s="6">
        <x:v>651347.99</x:v>
      </x:c>
      <x:c r="D646" s="6">
        <x:v>651347.99</x:v>
      </x:c>
      <x:c r="E646" s="6"/>
      <x:c r="F646" s="7">
        <x:v>30</x:v>
      </x:c>
      <x:c r="G646" s="6">
        <x:v>14.5</x:v>
      </x:c>
      <x:c r="H646" s="8">
        <x:v>-0.7</x:v>
      </x:c>
      <x:c r="I646" s="6">
        <x:f t="shared" si="119"/>
        <x:v>572100.65121666656</x:v>
      </x:c>
      <x:c r="J646" s="23">
        <x:v>1.073236845991006</x:v>
      </x:c>
      <x:c r="K646" s="9">
        <x:f t="shared" si="120"/>
        <x:v>613999.49850117578</x:v>
      </x:c>
      <x:c r="L646" s="6"/>
      <x:c r="M646" s="10">
        <x:f t="shared" si="121"/>
        <x:v>613999.49850117578</x:v>
      </x:c>
      <x:c r="N646" s="10">
        <x:f t="shared" si="122"/>
        <x:v>0</x:v>
      </x:c>
      <x:c r="O646" s="10"/>
    </x:row>
    <x:row r="647" spans="1:15" s="7" customFormat="1" outlineLevel="2" x14ac:dyDescent="0.25">
      <x:c r="A647" s="4">
        <x:v>371</x:v>
      </x:c>
      <x:c r="B647" s="5" t="s">
        <x:v>36</x:v>
      </x:c>
      <x:c r="C647" s="6">
        <x:v>645628.82999999996</x:v>
      </x:c>
      <x:c r="D647" s="6">
        <x:v>645628.82999999996</x:v>
      </x:c>
      <x:c r="E647" s="6"/>
      <x:c r="F647" s="7">
        <x:v>30</x:v>
      </x:c>
      <x:c r="G647" s="6">
        <x:v>13.5</x:v>
      </x:c>
      <x:c r="H647" s="8">
        <x:v>-0.7</x:v>
      </x:c>
      <x:c r="I647" s="6">
        <x:f t="shared" si="119"/>
        <x:v>603662.95605000004</x:v>
      </x:c>
      <x:c r="J647" s="23">
        <x:v>1.073236845991006</x:v>
      </x:c>
      <x:c r="K647" s="9">
        <x:f t="shared" si="120"/>
        <x:v>647873.32699270931</x:v>
      </x:c>
      <x:c r="L647" s="6"/>
      <x:c r="M647" s="10">
        <x:f t="shared" si="121"/>
        <x:v>647873.32699270931</x:v>
      </x:c>
      <x:c r="N647" s="10">
        <x:f t="shared" si="122"/>
        <x:v>0</x:v>
      </x:c>
      <x:c r="O647" s="10"/>
    </x:row>
    <x:row r="648" spans="1:15" s="7" customFormat="1" outlineLevel="2" x14ac:dyDescent="0.25">
      <x:c r="A648" s="4">
        <x:v>371</x:v>
      </x:c>
      <x:c r="B648" s="5" t="s">
        <x:v>120</x:v>
      </x:c>
      <x:c r="C648" s="6">
        <x:v>681104.95</x:v>
      </x:c>
      <x:c r="D648" s="6">
        <x:v>681104.95</x:v>
      </x:c>
      <x:c r="E648" s="6"/>
      <x:c r="F648" s="7">
        <x:v>30</x:v>
      </x:c>
      <x:c r="G648" s="6">
        <x:v>12.5</x:v>
      </x:c>
      <x:c r="H648" s="8">
        <x:v>-0.7</x:v>
      </x:c>
      <x:c r="I648" s="6">
        <x:f t="shared" si="119"/>
        <x:v>675429.07541666646</x:v>
      </x:c>
      <x:c r="J648" s="23">
        <x:v>1.073236845991006</x:v>
      </x:c>
      <x:c r="K648" s="9">
        <x:f t="shared" si="120"/>
        <x:v>724895.37059080438</x:v>
      </x:c>
      <x:c r="L648" s="6"/>
      <x:c r="M648" s="10">
        <x:f t="shared" si="121"/>
        <x:v>724895.37059080438</x:v>
      </x:c>
      <x:c r="N648" s="10">
        <x:f t="shared" si="122"/>
        <x:v>0</x:v>
      </x:c>
      <x:c r="O648" s="10"/>
    </x:row>
    <x:row r="649" spans="1:15" s="7" customFormat="1" outlineLevel="2" x14ac:dyDescent="0.25">
      <x:c r="A649" s="4">
        <x:v>371</x:v>
      </x:c>
      <x:c r="B649" s="5" t="s">
        <x:v>37</x:v>
      </x:c>
      <x:c r="C649" s="6">
        <x:v>589477.68999999994</x:v>
      </x:c>
      <x:c r="D649" s="6">
        <x:v>589477.68999999994</x:v>
      </x:c>
      <x:c r="E649" s="6"/>
      <x:c r="F649" s="7">
        <x:v>30</x:v>
      </x:c>
      <x:c r="G649" s="6">
        <x:v>11.5</x:v>
      </x:c>
      <x:c r="H649" s="8">
        <x:v>-0.7</x:v>
      </x:c>
      <x:c r="I649" s="6">
        <x:f t="shared" si="119"/>
        <x:v>617969.11168333329</x:v>
      </x:c>
      <x:c r="J649" s="23">
        <x:v>1.073236845991006</x:v>
      </x:c>
      <x:c r="K649" s="9">
        <x:f t="shared" si="120"/>
        <x:v>663227.22034288431</x:v>
      </x:c>
      <x:c r="L649" s="6"/>
      <x:c r="M649" s="10">
        <x:f t="shared" si="121"/>
        <x:v>663227.22034288431</x:v>
      </x:c>
      <x:c r="N649" s="10">
        <x:f t="shared" si="122"/>
        <x:v>0</x:v>
      </x:c>
      <x:c r="O649" s="10"/>
    </x:row>
    <x:row r="650" spans="1:15" s="7" customFormat="1" outlineLevel="2" x14ac:dyDescent="0.25">
      <x:c r="A650" s="4">
        <x:v>371</x:v>
      </x:c>
      <x:c r="B650" s="5" t="s">
        <x:v>121</x:v>
      </x:c>
      <x:c r="C650" s="6">
        <x:v>655640.32999999996</x:v>
      </x:c>
      <x:c r="D650" s="6">
        <x:v>655640.32999999996</x:v>
      </x:c>
      <x:c r="E650" s="6"/>
      <x:c r="F650" s="7">
        <x:v>30</x:v>
      </x:c>
      <x:c r="G650" s="6">
        <x:v>10.500004000000001</x:v>
      </x:c>
      <x:c r="H650" s="8">
        <x:v>-0.7</x:v>
      </x:c>
      <x:c r="I650" s="6">
        <x:f t="shared" si="119"/>
        <x:v>724482.41603819188</x:v>
      </x:c>
      <x:c r="J650" s="23">
        <x:v>1.073236845991006</x:v>
      </x:c>
      <x:c r="K650" s="9">
        <x:f t="shared" si="120"/>
        <x:v>777541.22316477285</x:v>
      </x:c>
      <x:c r="L650" s="6"/>
      <x:c r="M650" s="10">
        <x:f t="shared" si="121"/>
        <x:v>777541.22316477285</x:v>
      </x:c>
      <x:c r="N650" s="10">
        <x:f t="shared" si="122"/>
        <x:v>0</x:v>
      </x:c>
      <x:c r="O650" s="10"/>
    </x:row>
    <x:row r="651" spans="1:15" s="7" customFormat="1" outlineLevel="2" x14ac:dyDescent="0.25">
      <x:c r="A651" s="4">
        <x:v>371</x:v>
      </x:c>
      <x:c r="B651" s="5" t="s">
        <x:v>122</x:v>
      </x:c>
      <x:c r="C651" s="6">
        <x:v>1120893.6299999999</x:v>
      </x:c>
      <x:c r="D651" s="6">
        <x:v>1120893.6299999999</x:v>
      </x:c>
      <x:c r="E651" s="6"/>
      <x:c r="F651" s="7">
        <x:v>30</x:v>
      </x:c>
      <x:c r="G651" s="6">
        <x:v>9.5000549999999997</x:v>
      </x:c>
      <x:c r="H651" s="8">
        <x:v>-0.7</x:v>
      </x:c>
      <x:c r="I651" s="6">
        <x:f t="shared" si="119"/>
        <x:v>1302101.2733981863</x:v>
      </x:c>
      <x:c r="J651" s="23">
        <x:v>1.073236845991006</x:v>
      </x:c>
      <x:c r="K651" s="9">
        <x:f t="shared" si="120"/>
        <x:v>1397463.0638227421</x:v>
      </x:c>
      <x:c r="L651" s="6"/>
      <x:c r="M651" s="10">
        <x:f t="shared" si="121"/>
        <x:v>1397463.0638227421</x:v>
      </x:c>
      <x:c r="N651" s="10">
        <x:f t="shared" si="122"/>
        <x:v>0</x:v>
      </x:c>
      <x:c r="O651" s="10"/>
    </x:row>
    <x:row r="652" spans="1:15" s="7" customFormat="1" outlineLevel="2" x14ac:dyDescent="0.25">
      <x:c r="A652" s="4">
        <x:v>371</x:v>
      </x:c>
      <x:c r="B652" s="5" t="s">
        <x:v>123</x:v>
      </x:c>
      <x:c r="C652" s="6">
        <x:v>505995.74</x:v>
      </x:c>
      <x:c r="D652" s="6">
        <x:v>505995.74</x:v>
      </x:c>
      <x:c r="E652" s="6"/>
      <x:c r="F652" s="7">
        <x:v>30</x:v>
      </x:c>
      <x:c r="G652" s="6">
        <x:v>8.5004580000000001</x:v>
      </x:c>
      <x:c r="H652" s="8">
        <x:v>-0.7</x:v>
      </x:c>
      <x:c r="I652" s="6">
        <x:f t="shared" si="119"/>
        <x:v>616458.34429056104</x:v>
      </x:c>
      <x:c r="J652" s="23">
        <x:v>1.073236845991006</x:v>
      </x:c>
      <x:c r="K652" s="9">
        <x:f t="shared" si="120"/>
        <x:v>661605.80911123939</x:v>
      </x:c>
      <x:c r="L652" s="6"/>
      <x:c r="M652" s="10">
        <x:f t="shared" si="121"/>
        <x:v>661605.80911123939</x:v>
      </x:c>
      <x:c r="N652" s="10">
        <x:f t="shared" si="122"/>
        <x:v>0</x:v>
      </x:c>
      <x:c r="O652" s="10"/>
    </x:row>
    <x:row r="653" spans="1:15" s="7" customFormat="1" outlineLevel="2" x14ac:dyDescent="0.25">
      <x:c r="A653" s="4">
        <x:v>371</x:v>
      </x:c>
      <x:c r="B653" s="5" t="s">
        <x:v>124</x:v>
      </x:c>
      <x:c r="C653" s="6">
        <x:v>143047.10999999999</x:v>
      </x:c>
      <x:c r="D653" s="6">
        <x:v>143047.10999999999</x:v>
      </x:c>
      <x:c r="E653" s="6"/>
      <x:c r="F653" s="7">
        <x:v>30</x:v>
      </x:c>
      <x:c r="G653" s="6">
        <x:v>7.5027119999999998</x:v>
      </x:c>
      <x:c r="H653" s="8">
        <x:v>-0.7</x:v>
      </x:c>
      <x:c r="I653" s="6">
        <x:f t="shared" si="119"/>
        <x:v>182363.08177013521</x:v>
      </x:c>
      <x:c r="J653" s="23">
        <x:v>1.073236845991006</x:v>
      </x:c>
      <x:c r="K653" s="9">
        <x:f t="shared" si="120"/>
        <x:v>195718.77870417983</x:v>
      </x:c>
      <x:c r="L653" s="6"/>
      <x:c r="M653" s="10">
        <x:f t="shared" si="121"/>
        <x:v>195718.77870417983</x:v>
      </x:c>
      <x:c r="N653" s="10">
        <x:f t="shared" si="122"/>
        <x:v>0</x:v>
      </x:c>
      <x:c r="O653" s="10"/>
    </x:row>
    <x:row r="654" spans="1:15" s="7" customFormat="1" outlineLevel="2" x14ac:dyDescent="0.25">
      <x:c r="A654" s="4">
        <x:v>371</x:v>
      </x:c>
      <x:c r="B654" s="5" t="s">
        <x:v>125</x:v>
      </x:c>
      <x:c r="C654" s="6">
        <x:v>611206.07999999996</x:v>
      </x:c>
      <x:c r="D654" s="6">
        <x:v>611206.07999999996</x:v>
      </x:c>
      <x:c r="E654" s="6"/>
      <x:c r="F654" s="7">
        <x:v>30</x:v>
      </x:c>
      <x:c r="G654" s="6">
        <x:v>6.512753</x:v>
      </x:c>
      <x:c r="H654" s="8">
        <x:v>-0.7</x:v>
      </x:c>
      <x:c r="I654" s="6">
        <x:f t="shared" si="119"/>
        <x:v>813481.06290216639</x:v>
      </x:c>
      <x:c r="J654" s="23">
        <x:v>1.073236845991006</x:v>
      </x:c>
      <x:c r="K654" s="9">
        <x:f t="shared" si="120"/>
        <x:v>873057.85022253217</x:v>
      </x:c>
      <x:c r="L654" s="6"/>
      <x:c r="M654" s="10">
        <x:f t="shared" si="121"/>
        <x:v>873057.85022253217</x:v>
      </x:c>
      <x:c r="N654" s="10">
        <x:f t="shared" si="122"/>
        <x:v>0</x:v>
      </x:c>
      <x:c r="O654" s="10"/>
    </x:row>
    <x:row r="655" spans="1:15" s="7" customFormat="1" outlineLevel="2" x14ac:dyDescent="0.25">
      <x:c r="A655" s="4">
        <x:v>371</x:v>
      </x:c>
      <x:c r="B655" s="5" t="s">
        <x:v>126</x:v>
      </x:c>
      <x:c r="C655" s="6">
        <x:v>2825581.45</x:v>
      </x:c>
      <x:c r="D655" s="6">
        <x:v>2825581.45</x:v>
      </x:c>
      <x:c r="E655" s="6"/>
      <x:c r="F655" s="7">
        <x:v>30</x:v>
      </x:c>
      <x:c r="G655" s="6">
        <x:v>5.5451730000000001</x:v>
      </x:c>
      <x:c r="H655" s="8">
        <x:v>-0.7</x:v>
      </x:c>
      <x:c r="I655" s="6">
        <x:f t="shared" si="119"/>
        <x:v>3915615.9802690181</x:v>
      </x:c>
      <x:c r="J655" s="23">
        <x:v>1.073236845991006</x:v>
      </x:c>
      <x:c r="K655" s="9">
        <x:f t="shared" si="120"/>
        <x:v>4202383.3447759021</x:v>
      </x:c>
      <x:c r="L655" s="6"/>
      <x:c r="M655" s="10">
        <x:f t="shared" si="121"/>
        <x:v>4202383.3447759021</x:v>
      </x:c>
      <x:c r="N655" s="10">
        <x:f t="shared" si="122"/>
        <x:v>0</x:v>
      </x:c>
      <x:c r="O655" s="10"/>
    </x:row>
    <x:row r="656" spans="1:15" s="7" customFormat="1" outlineLevel="2" x14ac:dyDescent="0.25">
      <x:c r="A656" s="4">
        <x:v>371</x:v>
      </x:c>
      <x:c r="B656" s="5" t="s">
        <x:v>38</x:v>
      </x:c>
      <x:c r="C656" s="6">
        <x:v>6637698.9100000001</x:v>
      </x:c>
      <x:c r="D656" s="6">
        <x:v>6637698.9100000001</x:v>
      </x:c>
      <x:c r="E656" s="6"/>
      <x:c r="F656" s="7">
        <x:v>30</x:v>
      </x:c>
      <x:c r="G656" s="6">
        <x:v>4.6265320000000001</x:v>
      </x:c>
      <x:c r="H656" s="8">
        <x:v>-0.7</x:v>
      </x:c>
      <x:c r="I656" s="6">
        <x:f t="shared" si="119"/>
        <x:v>9543881.650236126</x:v>
      </x:c>
      <x:c r="J656" s="23">
        <x:v>1.073236845991006</x:v>
      </x:c>
      <x:c r="K656" s="9">
        <x:f t="shared" si="120"/>
        <x:v>10242845.440810857</x:v>
      </x:c>
      <x:c r="L656" s="6"/>
      <x:c r="M656" s="10">
        <x:f t="shared" si="121"/>
        <x:v>10242845.440810857</x:v>
      </x:c>
      <x:c r="N656" s="10">
        <x:f t="shared" si="122"/>
        <x:v>0</x:v>
      </x:c>
      <x:c r="O656" s="10"/>
    </x:row>
    <x:row r="657" spans="1:15" s="7" customFormat="1" outlineLevel="2" x14ac:dyDescent="0.25">
      <x:c r="A657" s="4">
        <x:v>371</x:v>
      </x:c>
      <x:c r="B657" s="5" t="s">
        <x:v>127</x:v>
      </x:c>
      <x:c r="C657" s="6">
        <x:v>5181468.16</x:v>
      </x:c>
      <x:c r="D657" s="6">
        <x:v>5181468.16</x:v>
      </x:c>
      <x:c r="E657" s="6"/>
      <x:c r="F657" s="7">
        <x:v>30</x:v>
      </x:c>
      <x:c r="G657" s="6">
        <x:v>3.7957589999999999</x:v>
      </x:c>
      <x:c r="H657" s="8">
        <x:v>-0.7</x:v>
      </x:c>
      <x:c r="I657" s="6">
        <x:f t="shared" si="119"/>
        <x:v>7693998.2892464381</x:v>
      </x:c>
      <x:c r="J657" s="23">
        <x:v>1.073236845991006</x:v>
      </x:c>
      <x:c r="K657" s="9">
        <x:f t="shared" si="120"/>
        <x:v>8257482.4570110431</x:v>
      </x:c>
      <x:c r="L657" s="6"/>
      <x:c r="M657" s="10">
        <x:f t="shared" si="121"/>
        <x:v>8257482.4570110431</x:v>
      </x:c>
      <x:c r="N657" s="10">
        <x:f t="shared" si="122"/>
        <x:v>0</x:v>
      </x:c>
      <x:c r="O657" s="10"/>
    </x:row>
    <x:row r="658" spans="1:15" s="7" customFormat="1" outlineLevel="2" x14ac:dyDescent="0.25">
      <x:c r="A658" s="4">
        <x:v>371</x:v>
      </x:c>
      <x:c r="B658" s="5" t="s">
        <x:v>39</x:v>
      </x:c>
      <x:c r="C658" s="6">
        <x:v>4102379.14</x:v>
      </x:c>
      <x:c r="D658" s="6">
        <x:v>4102379.14</x:v>
      </x:c>
      <x:c r="E658" s="6"/>
      <x:c r="F658" s="7">
        <x:v>30</x:v>
      </x:c>
      <x:c r="G658" s="6">
        <x:v>3.0802640000000001</x:v>
      </x:c>
      <x:c r="H658" s="8">
        <x:v>-0.7</x:v>
      </x:c>
      <x:c r="I658" s="6">
        <x:f t="shared" si="119"/>
        <x:v>6257981.2605067315</x:v>
      </x:c>
      <x:c r="J658" s="23">
        <x:v>1.073236845991006</x:v>
      </x:c>
      <x:c r="K658" s="9">
        <x:f t="shared" si="120"/>
        <x:v>6716296.0702970643</x:v>
      </x:c>
      <x:c r="L658" s="6"/>
      <x:c r="M658" s="10">
        <x:f t="shared" si="121"/>
        <x:v>6716296.0702970643</x:v>
      </x:c>
      <x:c r="N658" s="10">
        <x:f t="shared" si="122"/>
        <x:v>0</x:v>
      </x:c>
      <x:c r="O658" s="10"/>
    </x:row>
    <x:row r="659" spans="1:15" s="7" customFormat="1" outlineLevel="2" x14ac:dyDescent="0.25">
      <x:c r="A659" s="4">
        <x:v>371</x:v>
      </x:c>
      <x:c r="B659" s="5" t="s">
        <x:v>40</x:v>
      </x:c>
      <x:c r="C659" s="6">
        <x:v>2829047.78</x:v>
      </x:c>
      <x:c r="D659" s="6">
        <x:v>2829047.78</x:v>
      </x:c>
      <x:c r="E659" s="6"/>
      <x:c r="F659" s="7">
        <x:v>30</x:v>
      </x:c>
      <x:c r="G659" s="6">
        <x:v>2.4924140000000001</x:v>
      </x:c>
      <x:c r="H659" s="8">
        <x:v>-0.7</x:v>
      </x:c>
      <x:c r="I659" s="6">
        <x:f t="shared" si="119"/>
        <x:v>4409815.5893660141</x:v>
      </x:c>
      <x:c r="J659" s="23">
        <x:v>1.073236845991006</x:v>
      </x:c>
      <x:c r="K659" s="9">
        <x:f t="shared" si="120"/>
        <x:v>4732776.5745331505</x:v>
      </x:c>
      <x:c r="L659" s="6"/>
      <x:c r="M659" s="10">
        <x:f t="shared" si="121"/>
        <x:v>4732776.5745331505</x:v>
      </x:c>
      <x:c r="N659" s="10">
        <x:f t="shared" si="122"/>
        <x:v>0</x:v>
      </x:c>
      <x:c r="O659" s="10"/>
    </x:row>
    <x:row r="660" spans="1:15" s="7" customFormat="1" outlineLevel="2" x14ac:dyDescent="0.25">
      <x:c r="A660" s="4">
        <x:v>371</x:v>
      </x:c>
      <x:c r="B660" s="5" t="s">
        <x:v>41</x:v>
      </x:c>
      <x:c r="C660" s="6">
        <x:v>2100438.65</x:v>
      </x:c>
      <x:c r="D660" s="6">
        <x:v>2100438.65</x:v>
      </x:c>
      <x:c r="E660" s="6"/>
      <x:c r="F660" s="7">
        <x:v>30</x:v>
      </x:c>
      <x:c r="G660" s="6">
        <x:v>2.0302099999999998</x:v>
      </x:c>
      <x:c r="H660" s="8">
        <x:v>-0.7</x:v>
      </x:c>
      <x:c r="I660" s="6">
        <x:f t="shared" si="119"/>
        <x:v>3329100.250408398</x:v>
      </x:c>
      <x:c r="J660" s="23">
        <x:v>1.073236845991006</x:v>
      </x:c>
      <x:c r="K660" s="9">
        <x:f t="shared" si="120"/>
        <x:v>3570745.7049999996</x:v>
      </x:c>
      <x:c r="L660" s="6"/>
      <x:c r="M660" s="10">
        <x:f t="shared" si="121"/>
        <x:v>3570745.7049999996</x:v>
      </x:c>
      <x:c r="N660" s="10">
        <x:f t="shared" si="122"/>
        <x:v>0</x:v>
      </x:c>
      <x:c r="O660" s="10"/>
    </x:row>
    <x:row r="661" spans="1:15" s="7" customFormat="1" outlineLevel="2" x14ac:dyDescent="0.25">
      <x:c r="A661" s="4">
        <x:v>371</x:v>
      </x:c>
      <x:c r="B661" s="5" t="s">
        <x:v>42</x:v>
      </x:c>
      <x:c r="C661" s="6">
        <x:v>1871182.06</x:v>
      </x:c>
      <x:c r="D661" s="6">
        <x:v>1871182.06</x:v>
      </x:c>
      <x:c r="E661" s="6"/>
      <x:c r="F661" s="7">
        <x:v>30</x:v>
      </x:c>
      <x:c r="G661" s="6">
        <x:v>1.6720360000000001</x:v>
      </x:c>
      <x:c r="H661" s="8">
        <x:v>-0.7</x:v>
      </x:c>
      <x:c r="I661" s="6">
        <x:f t="shared" si="119"/>
        <x:v>3003717.4218771309</x:v>
      </x:c>
      <x:c r="J661" s="23">
        <x:v>1.073236845991006</x:v>
      </x:c>
      <x:c r="K661" s="9">
        <x:f t="shared" si="120"/>
        <x:v>3181009.5019999999</x:v>
      </x:c>
      <x:c r="L661" s="6"/>
      <x:c r="M661" s="10">
        <x:f t="shared" si="121"/>
        <x:v>3181009.5019999999</x:v>
      </x:c>
      <x:c r="N661" s="10">
        <x:f t="shared" si="122"/>
        <x:v>0</x:v>
      </x:c>
      <x:c r="O661" s="10"/>
    </x:row>
    <x:row r="662" spans="1:15" s="7" customFormat="1" outlineLevel="2" x14ac:dyDescent="0.25">
      <x:c r="A662" s="4">
        <x:v>371</x:v>
      </x:c>
      <x:c r="B662" s="5" t="s">
        <x:v>43</x:v>
      </x:c>
      <x:c r="C662" s="6">
        <x:v>1308626.29</x:v>
      </x:c>
      <x:c r="D662" s="6">
        <x:v>1308626.29</x:v>
      </x:c>
      <x:c r="E662" s="6"/>
      <x:c r="F662" s="7">
        <x:v>30</x:v>
      </x:c>
      <x:c r="G662" s="6">
        <x:v>1.399994</x:v>
      </x:c>
      <x:c r="H662" s="8">
        <x:v>-0.7</x:v>
      </x:c>
      <x:c r="I662" s="6">
        <x:f t="shared" si="119"/>
        <x:v>2120847.4522596053</x:v>
      </x:c>
      <x:c r="J662" s="23">
        <x:v>1.073236845991006</x:v>
      </x:c>
      <x:c r="K662" s="9">
        <x:f t="shared" si="120"/>
        <x:v>2224664.693</x:v>
      </x:c>
      <x:c r="L662" s="6"/>
      <x:c r="M662" s="10">
        <x:f t="shared" si="121"/>
        <x:v>2224664.693</x:v>
      </x:c>
      <x:c r="N662" s="10">
        <x:f t="shared" si="122"/>
        <x:v>0</x:v>
      </x:c>
      <x:c r="O662" s="10"/>
    </x:row>
    <x:row r="663" spans="1:15" s="7" customFormat="1" outlineLevel="2" x14ac:dyDescent="0.25">
      <x:c r="A663" s="4">
        <x:v>371</x:v>
      </x:c>
      <x:c r="B663" s="5" t="s">
        <x:v>44</x:v>
      </x:c>
      <x:c r="C663" s="6">
        <x:v>981137.92000000004</x:v>
      </x:c>
      <x:c r="D663" s="6">
        <x:v>981137.92000000004</x:v>
      </x:c>
      <x:c r="E663" s="6"/>
      <x:c r="F663" s="7">
        <x:v>30</x:v>
      </x:c>
      <x:c r="G663" s="6">
        <x:v>1.1877899999999999</x:v>
      </x:c>
      <x:c r="H663" s="8">
        <x:v>-0.7</x:v>
      </x:c>
      <x:c r="I663" s="6">
        <x:f t="shared" si="119"/>
        <x:v>1601895.9347668479</x:v>
      </x:c>
      <x:c r="J663" s="23">
        <x:v>1.073236845991006</x:v>
      </x:c>
      <x:c r="K663" s="9">
        <x:f t="shared" si="120"/>
        <x:v>1667934.4639999999</x:v>
      </x:c>
      <x:c r="L663" s="6"/>
      <x:c r="M663" s="10">
        <x:f t="shared" si="121"/>
        <x:v>1667934.4639999999</x:v>
      </x:c>
      <x:c r="N663" s="10">
        <x:f t="shared" si="122"/>
        <x:v>0</x:v>
      </x:c>
      <x:c r="O663" s="10"/>
    </x:row>
    <x:row r="664" spans="1:15" s="7" customFormat="1" outlineLevel="2" x14ac:dyDescent="0.25">
      <x:c r="A664" s="4">
        <x:v>371</x:v>
      </x:c>
      <x:c r="B664" s="5" t="s">
        <x:v>45</x:v>
      </x:c>
      <x:c r="C664" s="6">
        <x:v>701671.88</x:v>
      </x:c>
      <x:c r="D664" s="6">
        <x:v>701671.88</x:v>
      </x:c>
      <x:c r="E664" s="6"/>
      <x:c r="F664" s="7">
        <x:v>30</x:v>
      </x:c>
      <x:c r="G664" s="6">
        <x:v>1.0237670000000001</x:v>
      </x:c>
      <x:c r="H664" s="8">
        <x:v>-0.7</x:v>
      </x:c>
      <x:c r="I664" s="6">
        <x:f t="shared" si="119"/>
        <x:v>1152135.780117589</x:v>
      </x:c>
      <x:c r="J664" s="23">
        <x:v>1.073236845991006</x:v>
      </x:c>
      <x:c r="K664" s="9">
        <x:f t="shared" si="120"/>
        <x:v>1192842.196</x:v>
      </x:c>
      <x:c r="L664" s="6"/>
      <x:c r="M664" s="10">
        <x:f t="shared" si="121"/>
        <x:v>1192842.196</x:v>
      </x:c>
      <x:c r="N664" s="10">
        <x:f t="shared" si="122"/>
        <x:v>0</x:v>
      </x:c>
      <x:c r="O664" s="10"/>
    </x:row>
    <x:row r="665" spans="1:15" s="7" customFormat="1" outlineLevel="2" x14ac:dyDescent="0.25">
      <x:c r="A665" s="4">
        <x:v>371</x:v>
      </x:c>
      <x:c r="B665" s="5" t="s">
        <x:v>46</x:v>
      </x:c>
      <x:c r="C665" s="6">
        <x:v>1123045.17</x:v>
      </x:c>
      <x:c r="D665" s="6">
        <x:v>1123045.17</x:v>
      </x:c>
      <x:c r="E665" s="6"/>
      <x:c r="F665" s="7">
        <x:v>30</x:v>
      </x:c>
      <x:c r="G665" s="6">
        <x:v>0.90517000000000003</x:v>
      </x:c>
      <x:c r="H665" s="8">
        <x:v>-0.7</x:v>
      </x:c>
      <x:c r="I665" s="6">
        <x:f t="shared" si="119"/>
        <x:v>1851572.4705300289</x:v>
      </x:c>
      <x:c r="J665" s="23">
        <x:v>1.073236845991006</x:v>
      </x:c>
      <x:c r="K665" s="9">
        <x:f t="shared" si="120"/>
        <x:v>1909176.7889999999</x:v>
      </x:c>
      <x:c r="L665" s="6"/>
      <x:c r="M665" s="10">
        <x:f t="shared" si="121"/>
        <x:v>1909176.7889999999</x:v>
      </x:c>
      <x:c r="N665" s="10">
        <x:f t="shared" si="122"/>
        <x:v>0</x:v>
      </x:c>
      <x:c r="O665" s="10"/>
    </x:row>
    <x:row r="666" spans="1:15" s="7" customFormat="1" outlineLevel="2" x14ac:dyDescent="0.25">
      <x:c r="A666" s="4">
        <x:v>371</x:v>
      </x:c>
      <x:c r="B666" s="5" t="s">
        <x:v>47</x:v>
      </x:c>
      <x:c r="C666" s="6">
        <x:v>570594.80000000005</x:v>
      </x:c>
      <x:c r="D666" s="6">
        <x:v>570594.80000000005</x:v>
      </x:c>
      <x:c r="E666" s="6"/>
      <x:c r="F666" s="7">
        <x:v>30</x:v>
      </x:c>
      <x:c r="G666" s="6">
        <x:v>0.80227300000000001</x:v>
      </x:c>
      <x:c r="H666" s="8">
        <x:v>-0.7</x:v>
      </x:c>
      <x:c r="I666" s="6">
        <x:f t="shared" si="119"/>
        <x:v>944070.70122111065</x:v>
      </x:c>
      <x:c r="J666" s="23">
        <x:v>1.073236845991006</x:v>
      </x:c>
      <x:c r="K666" s="9">
        <x:f t="shared" si="120"/>
        <x:v>970011.16</x:v>
      </x:c>
      <x:c r="L666" s="6"/>
      <x:c r="M666" s="10">
        <x:f t="shared" si="121"/>
        <x:v>970011.16</x:v>
      </x:c>
      <x:c r="N666" s="10">
        <x:f t="shared" si="122"/>
        <x:v>0</x:v>
      </x:c>
      <x:c r="O666" s="10"/>
    </x:row>
    <x:row r="667" spans="1:15" s="7" customFormat="1" outlineLevel="2" x14ac:dyDescent="0.25">
      <x:c r="A667" s="4">
        <x:v>371</x:v>
      </x:c>
      <x:c r="B667" s="5" t="s">
        <x:v>48</x:v>
      </x:c>
      <x:c r="C667" s="6">
        <x:v>325153.11</x:v>
      </x:c>
      <x:c r="D667" s="6">
        <x:v>325153.11</x:v>
      </x:c>
      <x:c r="E667" s="6"/>
      <x:c r="F667" s="7">
        <x:v>30</x:v>
      </x:c>
      <x:c r="G667" s="6">
        <x:v>0.72004299999999999</x:v>
      </x:c>
      <x:c r="H667" s="8">
        <x:v>-0.7</x:v>
      </x:c>
      <x:c r="I667" s="6">
        <x:f t="shared" si="119"/>
        <x:v>539493.24782225525</x:v>
      </x:c>
      <x:c r="J667" s="23">
        <x:v>1.073236845991006</x:v>
      </x:c>
      <x:c r="K667" s="9">
        <x:f t="shared" si="120"/>
        <x:v>552760.28700000001</x:v>
      </x:c>
      <x:c r="L667" s="6"/>
      <x:c r="M667" s="10">
        <x:f t="shared" si="121"/>
        <x:v>552760.28700000001</x:v>
      </x:c>
      <x:c r="N667" s="10">
        <x:f t="shared" si="122"/>
        <x:v>0</x:v>
      </x:c>
      <x:c r="O667" s="10"/>
    </x:row>
    <x:row r="668" spans="1:15" s="7" customFormat="1" outlineLevel="2" x14ac:dyDescent="0.25">
      <x:c r="A668" s="4">
        <x:v>371</x:v>
      </x:c>
      <x:c r="B668" s="5" t="s">
        <x:v>49</x:v>
      </x:c>
      <x:c r="C668" s="6">
        <x:v>1624673.9</x:v>
      </x:c>
      <x:c r="D668" s="6">
        <x:v>1624673.9</x:v>
      </x:c>
      <x:c r="E668" s="6"/>
      <x:c r="F668" s="7">
        <x:v>30</x:v>
      </x:c>
      <x:c r="G668" s="6">
        <x:v>0.66896699999999998</x:v>
      </x:c>
      <x:c r="H668" s="8">
        <x:v>-0.7</x:v>
      </x:c>
      <x:c r="I668" s="6">
        <x:f t="shared" si="119"/>
        <x:v>2700357.2805911927</x:v>
      </x:c>
      <x:c r="J668" s="23">
        <x:v>1.073236845991006</x:v>
      </x:c>
      <x:c r="K668" s="9">
        <x:f t="shared" si="120"/>
        <x:v>2761945.63</x:v>
      </x:c>
      <x:c r="L668" s="6"/>
      <x:c r="M668" s="10">
        <x:f t="shared" si="121"/>
        <x:v>2761945.63</x:v>
      </x:c>
      <x:c r="N668" s="10">
        <x:f t="shared" si="122"/>
        <x:v>0</x:v>
      </x:c>
      <x:c r="O668" s="10"/>
    </x:row>
    <x:row r="669" spans="1:15" s="7" customFormat="1" outlineLevel="2" x14ac:dyDescent="0.25">
      <x:c r="A669" s="4">
        <x:v>371</x:v>
      </x:c>
      <x:c r="B669" s="5" t="s">
        <x:v>50</x:v>
      </x:c>
      <x:c r="C669" s="6">
        <x:v>671194.01</x:v>
      </x:c>
      <x:c r="D669" s="6">
        <x:v>671194.01</x:v>
      </x:c>
      <x:c r="E669" s="6"/>
      <x:c r="F669" s="7">
        <x:v>30</x:v>
      </x:c>
      <x:c r="G669" s="6">
        <x:v>0.61557600000000001</x:v>
      </x:c>
      <x:c r="H669" s="8">
        <x:v>-0.7</x:v>
      </x:c>
      <x:c r="I669" s="6">
        <x:f t="shared" si="119"/>
        <x:v>1117616.7979790138</x:v>
      </x:c>
      <x:c r="J669" s="23">
        <x:v>1.073236845991006</x:v>
      </x:c>
      <x:c r="K669" s="9">
        <x:f t="shared" si="120"/>
        <x:v>1141029.817</x:v>
      </x:c>
      <x:c r="L669" s="6"/>
      <x:c r="M669" s="10">
        <x:f t="shared" si="121"/>
        <x:v>1141029.817</x:v>
      </x:c>
      <x:c r="N669" s="10">
        <x:f t="shared" si="122"/>
        <x:v>0</x:v>
      </x:c>
      <x:c r="O669" s="10"/>
    </x:row>
    <x:row r="670" spans="1:15" s="7" customFormat="1" outlineLevel="2" x14ac:dyDescent="0.25">
      <x:c r="A670" s="4">
        <x:v>371</x:v>
      </x:c>
      <x:c r="B670" s="5" t="s">
        <x:v>51</x:v>
      </x:c>
      <x:c r="C670" s="6">
        <x:v>728780.23</x:v>
      </x:c>
      <x:c r="D670" s="6">
        <x:v>728780.23</x:v>
      </x:c>
      <x:c r="E670" s="6"/>
      <x:c r="F670" s="7">
        <x:v>30</x:v>
      </x:c>
      <x:c r="G670" s="6">
        <x:v>0.56998199999999999</x:v>
      </x:c>
      <x:c r="H670" s="8">
        <x:v>-0.7</x:v>
      </x:c>
      <x:c r="I670" s="6">
        <x:f t="shared" ref="I670:I701" si="127">+C670*(1-H670)*(1-G670/F670)</x:f>
        <x:v>1215387.5329268344</x:v>
      </x:c>
      <x:c r="J670" s="23">
        <x:v>1.073236845991006</x:v>
      </x:c>
      <x:c r="K670" s="9">
        <x:f t="shared" ref="K670:K701" si="128">IF((C670*(1-H670)-I670*J670)&lt;0,C670*(1-H670),I670*J670)</x:f>
        <x:v>1238926.3909999998</x:v>
      </x:c>
      <x:c r="L670" s="6"/>
      <x:c r="M670" s="10">
        <x:f t="shared" ref="M670:M701" si="129">+K670/D670*C670</x:f>
        <x:v>1238926.3909999998</x:v>
      </x:c>
      <x:c r="N670" s="10">
        <x:f t="shared" ref="N670:N701" si="130">+E670/C670*K670</x:f>
        <x:v>0</x:v>
      </x:c>
      <x:c r="O670" s="10"/>
    </x:row>
    <x:row r="671" spans="1:15" s="7" customFormat="1" outlineLevel="2" x14ac:dyDescent="0.25">
      <x:c r="A671" s="4">
        <x:v>371</x:v>
      </x:c>
      <x:c r="B671" s="5" t="s">
        <x:v>52</x:v>
      </x:c>
      <x:c r="C671" s="6">
        <x:v>470333.29</x:v>
      </x:c>
      <x:c r="D671" s="6">
        <x:v>470333.29</x:v>
      </x:c>
      <x:c r="E671" s="6"/>
      <x:c r="F671" s="7">
        <x:v>30</x:v>
      </x:c>
      <x:c r="G671" s="6">
        <x:v>0.45</x:v>
      </x:c>
      <x:c r="H671" s="8">
        <x:v>-0.7</x:v>
      </x:c>
      <x:c r="I671" s="6">
        <x:f t="shared" si="127"/>
        <x:v>787573.09410500003</x:v>
      </x:c>
      <x:c r="J671" s="23">
        <x:v>1.073236845991006</x:v>
      </x:c>
      <x:c r="K671" s="9">
        <x:f t="shared" si="128"/>
        <x:v>799566.59299999999</x:v>
      </x:c>
      <x:c r="L671" s="6"/>
      <x:c r="M671" s="10">
        <x:f t="shared" si="129"/>
        <x:v>799566.59299999999</x:v>
      </x:c>
      <x:c r="N671" s="10">
        <x:f t="shared" si="130"/>
        <x:v>0</x:v>
      </x:c>
      <x:c r="O671" s="10"/>
    </x:row>
    <x:row r="672" spans="1:15" s="7" customFormat="1" outlineLevel="2" x14ac:dyDescent="0.25">
      <x:c r="A672" s="4">
        <x:v>371</x:v>
      </x:c>
      <x:c r="B672" s="5" t="s">
        <x:v>53</x:v>
      </x:c>
      <x:c r="C672" s="6">
        <x:v>449893.99</x:v>
      </x:c>
      <x:c r="D672" s="6">
        <x:v>449893.99</x:v>
      </x:c>
      <x:c r="E672" s="6"/>
      <x:c r="F672" s="7">
        <x:v>30</x:v>
      </x:c>
      <x:c r="G672" s="6">
        <x:v>0</x:v>
      </x:c>
      <x:c r="H672" s="8">
        <x:v>-0.7</x:v>
      </x:c>
      <x:c r="I672" s="6">
        <x:f t="shared" si="127"/>
        <x:v>764819.78299999994</x:v>
      </x:c>
      <x:c r="J672" s="23">
        <x:v>1.073236845991006</x:v>
      </x:c>
      <x:c r="K672" s="9">
        <x:f t="shared" si="128"/>
        <x:v>764819.78299999994</x:v>
      </x:c>
      <x:c r="L672" s="6"/>
      <x:c r="M672" s="10">
        <x:f t="shared" si="129"/>
        <x:v>764819.78299999994</x:v>
      </x:c>
      <x:c r="N672" s="10">
        <x:f t="shared" si="130"/>
        <x:v>0</x:v>
      </x:c>
      <x:c r="O672" s="10"/>
    </x:row>
    <x:row r="673" spans="1:15" s="7" customFormat="1" outlineLevel="2" x14ac:dyDescent="0.25">
      <x:c r="A673" s="4">
        <x:v>371</x:v>
      </x:c>
      <x:c r="B673" s="5" t="s">
        <x:v>54</x:v>
      </x:c>
      <x:c r="C673" s="6">
        <x:v>455271.16</x:v>
      </x:c>
      <x:c r="D673" s="6">
        <x:v>455271.16</x:v>
      </x:c>
      <x:c r="E673" s="6"/>
      <x:c r="F673" s="7">
        <x:v>30</x:v>
      </x:c>
      <x:c r="G673" s="6">
        <x:v>0</x:v>
      </x:c>
      <x:c r="H673" s="8">
        <x:v>-0.7</x:v>
      </x:c>
      <x:c r="I673" s="6">
        <x:f t="shared" si="127"/>
        <x:v>773960.97199999995</x:v>
      </x:c>
      <x:c r="J673" s="23">
        <x:v>1.073236845991006</x:v>
      </x:c>
      <x:c r="K673" s="9">
        <x:f t="shared" si="128"/>
        <x:v>773960.97199999995</x:v>
      </x:c>
      <x:c r="L673" s="6"/>
      <x:c r="M673" s="10">
        <x:f t="shared" si="129"/>
        <x:v>773960.97199999995</x:v>
      </x:c>
      <x:c r="N673" s="10">
        <x:f t="shared" si="130"/>
        <x:v>0</x:v>
      </x:c>
      <x:c r="O673" s="10"/>
    </x:row>
    <x:row r="674" spans="1:15" s="7" customFormat="1" outlineLevel="2" x14ac:dyDescent="0.25">
      <x:c r="A674" s="4">
        <x:v>371</x:v>
      </x:c>
      <x:c r="B674" s="5" t="s">
        <x:v>55</x:v>
      </x:c>
      <x:c r="C674" s="6">
        <x:v>374955.34</x:v>
      </x:c>
      <x:c r="D674" s="6">
        <x:v>374955.34</x:v>
      </x:c>
      <x:c r="E674" s="6"/>
      <x:c r="F674" s="7">
        <x:v>30</x:v>
      </x:c>
      <x:c r="G674" s="6">
        <x:v>0</x:v>
      </x:c>
      <x:c r="H674" s="8">
        <x:v>-0.7</x:v>
      </x:c>
      <x:c r="I674" s="6">
        <x:f t="shared" si="127"/>
        <x:v>637424.07799999998</x:v>
      </x:c>
      <x:c r="J674" s="23">
        <x:v>1.073236845991006</x:v>
      </x:c>
      <x:c r="K674" s="9">
        <x:f t="shared" si="128"/>
        <x:v>637424.07799999998</x:v>
      </x:c>
      <x:c r="L674" s="6"/>
      <x:c r="M674" s="10">
        <x:f t="shared" si="129"/>
        <x:v>637424.07799999998</x:v>
      </x:c>
      <x:c r="N674" s="10">
        <x:f t="shared" si="130"/>
        <x:v>0</x:v>
      </x:c>
      <x:c r="O674" s="10"/>
    </x:row>
    <x:row r="675" spans="1:15" s="7" customFormat="1" outlineLevel="2" x14ac:dyDescent="0.25">
      <x:c r="A675" s="4">
        <x:v>371</x:v>
      </x:c>
      <x:c r="B675" s="5" t="s">
        <x:v>56</x:v>
      </x:c>
      <x:c r="C675" s="6">
        <x:v>284752.62</x:v>
      </x:c>
      <x:c r="D675" s="6">
        <x:v>284752.62</x:v>
      </x:c>
      <x:c r="E675" s="6"/>
      <x:c r="F675" s="7">
        <x:v>30</x:v>
      </x:c>
      <x:c r="G675" s="6">
        <x:v>0</x:v>
      </x:c>
      <x:c r="H675" s="8">
        <x:v>-0.7</x:v>
      </x:c>
      <x:c r="I675" s="6">
        <x:f t="shared" si="127"/>
        <x:v>484079.45399999997</x:v>
      </x:c>
      <x:c r="J675" s="23">
        <x:v>1.073236845991006</x:v>
      </x:c>
      <x:c r="K675" s="9">
        <x:f t="shared" si="128"/>
        <x:v>484079.45399999997</x:v>
      </x:c>
      <x:c r="L675" s="6"/>
      <x:c r="M675" s="10">
        <x:f t="shared" si="129"/>
        <x:v>484079.45399999997</x:v>
      </x:c>
      <x:c r="N675" s="10">
        <x:f t="shared" si="130"/>
        <x:v>0</x:v>
      </x:c>
      <x:c r="O675" s="10"/>
    </x:row>
    <x:row r="676" spans="1:15" s="7" customFormat="1" outlineLevel="2" x14ac:dyDescent="0.25">
      <x:c r="A676" s="4">
        <x:v>371</x:v>
      </x:c>
      <x:c r="B676" s="5" t="s">
        <x:v>57</x:v>
      </x:c>
      <x:c r="C676" s="6">
        <x:v>223105.5</x:v>
      </x:c>
      <x:c r="D676" s="6">
        <x:v>223105.5</x:v>
      </x:c>
      <x:c r="E676" s="6"/>
      <x:c r="F676" s="7">
        <x:v>30</x:v>
      </x:c>
      <x:c r="G676" s="6">
        <x:v>0</x:v>
      </x:c>
      <x:c r="H676" s="8">
        <x:v>-0.7</x:v>
      </x:c>
      <x:c r="I676" s="6">
        <x:f t="shared" si="127"/>
        <x:v>379279.35</x:v>
      </x:c>
      <x:c r="J676" s="23">
        <x:v>1.073236845991006</x:v>
      </x:c>
      <x:c r="K676" s="9">
        <x:f t="shared" si="128"/>
        <x:v>379279.35</x:v>
      </x:c>
      <x:c r="L676" s="6"/>
      <x:c r="M676" s="10">
        <x:f t="shared" si="129"/>
        <x:v>379279.35</x:v>
      </x:c>
      <x:c r="N676" s="10">
        <x:f t="shared" si="130"/>
        <x:v>0</x:v>
      </x:c>
      <x:c r="O676" s="10"/>
    </x:row>
    <x:row r="677" spans="1:15" s="7" customFormat="1" outlineLevel="2" x14ac:dyDescent="0.25">
      <x:c r="A677" s="4">
        <x:v>371</x:v>
      </x:c>
      <x:c r="B677" s="5" t="s">
        <x:v>58</x:v>
      </x:c>
      <x:c r="C677" s="6">
        <x:v>206351.88</x:v>
      </x:c>
      <x:c r="D677" s="6">
        <x:v>206351.88</x:v>
      </x:c>
      <x:c r="E677" s="6"/>
      <x:c r="F677" s="7">
        <x:v>30</x:v>
      </x:c>
      <x:c r="G677" s="6">
        <x:v>0</x:v>
      </x:c>
      <x:c r="H677" s="8">
        <x:v>-0.7</x:v>
      </x:c>
      <x:c r="I677" s="6">
        <x:f t="shared" si="127"/>
        <x:v>350798.196</x:v>
      </x:c>
      <x:c r="J677" s="23">
        <x:v>1.073236845991006</x:v>
      </x:c>
      <x:c r="K677" s="9">
        <x:f t="shared" si="128"/>
        <x:v>350798.196</x:v>
      </x:c>
      <x:c r="L677" s="6"/>
      <x:c r="M677" s="10">
        <x:f t="shared" si="129"/>
        <x:v>350798.196</x:v>
      </x:c>
      <x:c r="N677" s="10">
        <x:f t="shared" si="130"/>
        <x:v>0</x:v>
      </x:c>
      <x:c r="O677" s="10"/>
    </x:row>
    <x:row r="678" spans="1:15" s="7" customFormat="1" outlineLevel="2" x14ac:dyDescent="0.25">
      <x:c r="A678" s="4">
        <x:v>371</x:v>
      </x:c>
      <x:c r="B678" s="5" t="s">
        <x:v>59</x:v>
      </x:c>
      <x:c r="C678" s="6">
        <x:v>190071.74</x:v>
      </x:c>
      <x:c r="D678" s="6">
        <x:v>190071.74</x:v>
      </x:c>
      <x:c r="E678" s="6"/>
      <x:c r="F678" s="7">
        <x:v>25</x:v>
      </x:c>
      <x:c r="G678" s="6">
        <x:v>0</x:v>
      </x:c>
      <x:c r="H678" s="8">
        <x:v>-0.7</x:v>
      </x:c>
      <x:c r="I678" s="6">
        <x:f t="shared" si="127"/>
        <x:v>323121.95799999998</x:v>
      </x:c>
      <x:c r="J678" s="23">
        <x:v>1.073236845991006</x:v>
      </x:c>
      <x:c r="K678" s="9">
        <x:f t="shared" si="128"/>
        <x:v>323121.95799999998</x:v>
      </x:c>
      <x:c r="L678" s="6"/>
      <x:c r="M678" s="10">
        <x:f t="shared" si="129"/>
        <x:v>323121.95799999998</x:v>
      </x:c>
      <x:c r="N678" s="10">
        <x:f t="shared" si="130"/>
        <x:v>0</x:v>
      </x:c>
      <x:c r="O678" s="10"/>
    </x:row>
    <x:row r="679" spans="1:15" s="7" customFormat="1" outlineLevel="2" x14ac:dyDescent="0.25">
      <x:c r="A679" s="4">
        <x:v>371</x:v>
      </x:c>
      <x:c r="B679" s="5" t="s">
        <x:v>60</x:v>
      </x:c>
      <x:c r="C679" s="6">
        <x:v>204606.18</x:v>
      </x:c>
      <x:c r="D679" s="6">
        <x:v>204606.18</x:v>
      </x:c>
      <x:c r="E679" s="6"/>
      <x:c r="F679" s="7">
        <x:v>25</x:v>
      </x:c>
      <x:c r="G679" s="6">
        <x:v>0</x:v>
      </x:c>
      <x:c r="H679" s="8">
        <x:v>-0.7</x:v>
      </x:c>
      <x:c r="I679" s="6">
        <x:f t="shared" si="127"/>
        <x:v>347830.50599999999</x:v>
      </x:c>
      <x:c r="J679" s="23">
        <x:v>1.073236845991006</x:v>
      </x:c>
      <x:c r="K679" s="9">
        <x:f t="shared" si="128"/>
        <x:v>347830.50599999999</x:v>
      </x:c>
      <x:c r="L679" s="6"/>
      <x:c r="M679" s="10">
        <x:f t="shared" si="129"/>
        <x:v>347830.50599999999</x:v>
      </x:c>
      <x:c r="N679" s="10">
        <x:f t="shared" si="130"/>
        <x:v>0</x:v>
      </x:c>
      <x:c r="O679" s="10"/>
    </x:row>
    <x:row r="680" spans="1:15" s="7" customFormat="1" outlineLevel="2" x14ac:dyDescent="0.25">
      <x:c r="A680" s="4">
        <x:v>371</x:v>
      </x:c>
      <x:c r="B680" s="5" t="s">
        <x:v>61</x:v>
      </x:c>
      <x:c r="C680" s="6">
        <x:v>101145.44</x:v>
      </x:c>
      <x:c r="D680" s="6">
        <x:v>101145.44</x:v>
      </x:c>
      <x:c r="E680" s="6"/>
      <x:c r="F680" s="7">
        <x:v>25</x:v>
      </x:c>
      <x:c r="G680" s="6">
        <x:v>0</x:v>
      </x:c>
      <x:c r="H680" s="8">
        <x:v>-0.7</x:v>
      </x:c>
      <x:c r="I680" s="6">
        <x:f t="shared" si="127"/>
        <x:v>171947.24799999999</x:v>
      </x:c>
      <x:c r="J680" s="23">
        <x:v>1.073236845991006</x:v>
      </x:c>
      <x:c r="K680" s="9">
        <x:f t="shared" si="128"/>
        <x:v>171947.24799999999</x:v>
      </x:c>
      <x:c r="L680" s="6"/>
      <x:c r="M680" s="10">
        <x:f t="shared" si="129"/>
        <x:v>171947.24799999999</x:v>
      </x:c>
      <x:c r="N680" s="10">
        <x:f t="shared" si="130"/>
        <x:v>0</x:v>
      </x:c>
      <x:c r="O680" s="10"/>
    </x:row>
    <x:row r="681" spans="1:15" s="7" customFormat="1" outlineLevel="2" x14ac:dyDescent="0.25">
      <x:c r="A681" s="4">
        <x:v>371</x:v>
      </x:c>
      <x:c r="B681" s="5" t="s">
        <x:v>62</x:v>
      </x:c>
      <x:c r="C681" s="6">
        <x:v>78803.7</x:v>
      </x:c>
      <x:c r="D681" s="6">
        <x:v>78803.7</x:v>
      </x:c>
      <x:c r="E681" s="6"/>
      <x:c r="F681" s="7">
        <x:v>25</x:v>
      </x:c>
      <x:c r="G681" s="6">
        <x:v>0</x:v>
      </x:c>
      <x:c r="H681" s="8">
        <x:v>-0.7</x:v>
      </x:c>
      <x:c r="I681" s="6">
        <x:f t="shared" si="127"/>
        <x:v>133966.28999999998</x:v>
      </x:c>
      <x:c r="J681" s="23">
        <x:v>1.073236845991006</x:v>
      </x:c>
      <x:c r="K681" s="9">
        <x:f t="shared" si="128"/>
        <x:v>133966.28999999998</x:v>
      </x:c>
      <x:c r="L681" s="6"/>
      <x:c r="M681" s="10">
        <x:f t="shared" si="129"/>
        <x:v>133966.28999999998</x:v>
      </x:c>
      <x:c r="N681" s="10">
        <x:f t="shared" si="130"/>
        <x:v>0</x:v>
      </x:c>
      <x:c r="O681" s="10"/>
    </x:row>
    <x:row r="682" spans="1:15" s="7" customFormat="1" outlineLevel="2" x14ac:dyDescent="0.25">
      <x:c r="A682" s="4">
        <x:v>371</x:v>
      </x:c>
      <x:c r="B682" s="5" t="s">
        <x:v>63</x:v>
      </x:c>
      <x:c r="C682" s="6">
        <x:v>117304.39</x:v>
      </x:c>
      <x:c r="D682" s="6">
        <x:v>117304.39</x:v>
      </x:c>
      <x:c r="E682" s="6"/>
      <x:c r="F682" s="7">
        <x:v>25</x:v>
      </x:c>
      <x:c r="G682" s="6">
        <x:v>0</x:v>
      </x:c>
      <x:c r="H682" s="8">
        <x:v>-0.7</x:v>
      </x:c>
      <x:c r="I682" s="6">
        <x:f t="shared" si="127"/>
        <x:v>199417.46299999999</x:v>
      </x:c>
      <x:c r="J682" s="23">
        <x:v>1.073236845991006</x:v>
      </x:c>
      <x:c r="K682" s="9">
        <x:f t="shared" si="128"/>
        <x:v>199417.46299999999</x:v>
      </x:c>
      <x:c r="L682" s="6"/>
      <x:c r="M682" s="10">
        <x:f t="shared" si="129"/>
        <x:v>199417.46299999999</x:v>
      </x:c>
      <x:c r="N682" s="10">
        <x:f t="shared" si="130"/>
        <x:v>0</x:v>
      </x:c>
      <x:c r="O682" s="10"/>
    </x:row>
    <x:row r="683" spans="1:15" s="7" customFormat="1" outlineLevel="2" x14ac:dyDescent="0.25">
      <x:c r="A683" s="4">
        <x:v>371</x:v>
      </x:c>
      <x:c r="B683" s="5" t="s">
        <x:v>64</x:v>
      </x:c>
      <x:c r="C683" s="6">
        <x:v>152008.56</x:v>
      </x:c>
      <x:c r="D683" s="6">
        <x:v>152008.56</x:v>
      </x:c>
      <x:c r="E683" s="6"/>
      <x:c r="F683" s="7">
        <x:v>25</x:v>
      </x:c>
      <x:c r="G683" s="6">
        <x:v>0</x:v>
      </x:c>
      <x:c r="H683" s="8">
        <x:v>-0.7</x:v>
      </x:c>
      <x:c r="I683" s="6">
        <x:f t="shared" si="127"/>
        <x:v>258414.552</x:v>
      </x:c>
      <x:c r="J683" s="23">
        <x:v>1.073236845991006</x:v>
      </x:c>
      <x:c r="K683" s="9">
        <x:f t="shared" si="128"/>
        <x:v>258414.552</x:v>
      </x:c>
      <x:c r="L683" s="6"/>
      <x:c r="M683" s="10">
        <x:f t="shared" si="129"/>
        <x:v>258414.552</x:v>
      </x:c>
      <x:c r="N683" s="10">
        <x:f t="shared" si="130"/>
        <x:v>0</x:v>
      </x:c>
      <x:c r="O683" s="10"/>
    </x:row>
    <x:row r="684" spans="1:15" s="7" customFormat="1" outlineLevel="2" x14ac:dyDescent="0.25">
      <x:c r="A684" s="4">
        <x:v>371</x:v>
      </x:c>
      <x:c r="B684" s="5" t="s">
        <x:v>65</x:v>
      </x:c>
      <x:c r="C684" s="6">
        <x:v>176970.77</x:v>
      </x:c>
      <x:c r="D684" s="6">
        <x:v>176970.77</x:v>
      </x:c>
      <x:c r="E684" s="6"/>
      <x:c r="F684" s="7">
        <x:v>25</x:v>
      </x:c>
      <x:c r="G684" s="6">
        <x:v>0</x:v>
      </x:c>
      <x:c r="H684" s="8">
        <x:v>-0.7</x:v>
      </x:c>
      <x:c r="I684" s="6">
        <x:f t="shared" si="127"/>
        <x:v>300850.30899999995</x:v>
      </x:c>
      <x:c r="J684" s="23">
        <x:v>1.073236845991006</x:v>
      </x:c>
      <x:c r="K684" s="9">
        <x:f t="shared" si="128"/>
        <x:v>300850.30899999995</x:v>
      </x:c>
      <x:c r="L684" s="6"/>
      <x:c r="M684" s="10">
        <x:f t="shared" si="129"/>
        <x:v>300850.30899999995</x:v>
      </x:c>
      <x:c r="N684" s="10">
        <x:f t="shared" si="130"/>
        <x:v>0</x:v>
      </x:c>
      <x:c r="O684" s="10"/>
    </x:row>
    <x:row r="685" spans="1:15" s="7" customFormat="1" outlineLevel="2" x14ac:dyDescent="0.25">
      <x:c r="A685" s="4">
        <x:v>371</x:v>
      </x:c>
      <x:c r="B685" s="5" t="s">
        <x:v>66</x:v>
      </x:c>
      <x:c r="C685" s="6">
        <x:v>209011.54</x:v>
      </x:c>
      <x:c r="D685" s="6">
        <x:v>209011.54</x:v>
      </x:c>
      <x:c r="E685" s="6"/>
      <x:c r="F685" s="7">
        <x:v>25</x:v>
      </x:c>
      <x:c r="G685" s="6">
        <x:v>0</x:v>
      </x:c>
      <x:c r="H685" s="8">
        <x:v>-0.7</x:v>
      </x:c>
      <x:c r="I685" s="6">
        <x:f t="shared" si="127"/>
        <x:v>355319.61800000002</x:v>
      </x:c>
      <x:c r="J685" s="23">
        <x:v>1.073236845991006</x:v>
      </x:c>
      <x:c r="K685" s="9">
        <x:f t="shared" si="128"/>
        <x:v>355319.61800000002</x:v>
      </x:c>
      <x:c r="L685" s="6"/>
      <x:c r="M685" s="10">
        <x:f t="shared" si="129"/>
        <x:v>355319.61800000002</x:v>
      </x:c>
      <x:c r="N685" s="10">
        <x:f t="shared" si="130"/>
        <x:v>0</x:v>
      </x:c>
      <x:c r="O685" s="10"/>
    </x:row>
    <x:row r="686" spans="1:15" s="7" customFormat="1" outlineLevel="2" x14ac:dyDescent="0.25">
      <x:c r="A686" s="4">
        <x:v>371</x:v>
      </x:c>
      <x:c r="B686" s="5" t="s">
        <x:v>67</x:v>
      </x:c>
      <x:c r="C686" s="6">
        <x:v>285515.36</x:v>
      </x:c>
      <x:c r="D686" s="6">
        <x:v>285515.36</x:v>
      </x:c>
      <x:c r="E686" s="6"/>
      <x:c r="F686" s="7">
        <x:v>25</x:v>
      </x:c>
      <x:c r="G686" s="6">
        <x:v>0</x:v>
      </x:c>
      <x:c r="H686" s="8">
        <x:v>-0.7</x:v>
      </x:c>
      <x:c r="I686" s="6">
        <x:f t="shared" si="127"/>
        <x:v>485376.11199999996</x:v>
      </x:c>
      <x:c r="J686" s="23">
        <x:v>1.073236845991006</x:v>
      </x:c>
      <x:c r="K686" s="9">
        <x:f t="shared" si="128"/>
        <x:v>485376.11199999996</x:v>
      </x:c>
      <x:c r="L686" s="6"/>
      <x:c r="M686" s="10">
        <x:f t="shared" si="129"/>
        <x:v>485376.11199999996</x:v>
      </x:c>
      <x:c r="N686" s="10">
        <x:f t="shared" si="130"/>
        <x:v>0</x:v>
      </x:c>
      <x:c r="O686" s="10"/>
    </x:row>
    <x:row r="687" spans="1:15" s="7" customFormat="1" outlineLevel="2" x14ac:dyDescent="0.25">
      <x:c r="A687" s="4">
        <x:v>371</x:v>
      </x:c>
      <x:c r="B687" s="5" t="s">
        <x:v>68</x:v>
      </x:c>
      <x:c r="C687" s="6">
        <x:v>879252.35</x:v>
      </x:c>
      <x:c r="D687" s="6">
        <x:v>879252.35</x:v>
      </x:c>
      <x:c r="E687" s="6"/>
      <x:c r="F687" s="7">
        <x:v>25</x:v>
      </x:c>
      <x:c r="G687" s="6">
        <x:v>0</x:v>
      </x:c>
      <x:c r="H687" s="8">
        <x:v>-0.7</x:v>
      </x:c>
      <x:c r="I687" s="6">
        <x:f t="shared" si="127"/>
        <x:v>1494728.9949999999</x:v>
      </x:c>
      <x:c r="J687" s="23">
        <x:v>1.073236845991006</x:v>
      </x:c>
      <x:c r="K687" s="9">
        <x:f t="shared" si="128"/>
        <x:v>1494728.9949999999</x:v>
      </x:c>
      <x:c r="L687" s="6"/>
      <x:c r="M687" s="10">
        <x:f t="shared" si="129"/>
        <x:v>1494728.9949999999</x:v>
      </x:c>
      <x:c r="N687" s="10">
        <x:f t="shared" si="130"/>
        <x:v>0</x:v>
      </x:c>
      <x:c r="O687" s="10"/>
    </x:row>
    <x:row r="688" spans="1:15" s="7" customFormat="1" outlineLevel="2" x14ac:dyDescent="0.25">
      <x:c r="A688" s="4">
        <x:v>371</x:v>
      </x:c>
      <x:c r="B688" s="5" t="s">
        <x:v>69</x:v>
      </x:c>
      <x:c r="C688" s="6">
        <x:v>184158.74</x:v>
      </x:c>
      <x:c r="D688" s="6">
        <x:v>184158.74</x:v>
      </x:c>
      <x:c r="E688" s="6"/>
      <x:c r="F688" s="7">
        <x:v>25</x:v>
      </x:c>
      <x:c r="G688" s="6">
        <x:v>0</x:v>
      </x:c>
      <x:c r="H688" s="8">
        <x:v>-0.7</x:v>
      </x:c>
      <x:c r="I688" s="6">
        <x:f t="shared" si="127"/>
        <x:v>313069.85799999995</x:v>
      </x:c>
      <x:c r="J688" s="23">
        <x:v>1.073236845991006</x:v>
      </x:c>
      <x:c r="K688" s="9">
        <x:f t="shared" si="128"/>
        <x:v>313069.85799999995</x:v>
      </x:c>
      <x:c r="L688" s="6"/>
      <x:c r="M688" s="10">
        <x:f t="shared" si="129"/>
        <x:v>313069.85799999995</x:v>
      </x:c>
      <x:c r="N688" s="10">
        <x:f t="shared" si="130"/>
        <x:v>0</x:v>
      </x:c>
      <x:c r="O688" s="10"/>
    </x:row>
    <x:row r="689" spans="1:15" s="7" customFormat="1" outlineLevel="2" x14ac:dyDescent="0.25">
      <x:c r="A689" s="4">
        <x:v>371</x:v>
      </x:c>
      <x:c r="B689" s="5" t="s">
        <x:v>70</x:v>
      </x:c>
      <x:c r="C689" s="6">
        <x:v>75880.69</x:v>
      </x:c>
      <x:c r="D689" s="6">
        <x:v>75880.69</x:v>
      </x:c>
      <x:c r="E689" s="6"/>
      <x:c r="F689" s="7">
        <x:v>25</x:v>
      </x:c>
      <x:c r="G689" s="6">
        <x:v>0</x:v>
      </x:c>
      <x:c r="H689" s="8">
        <x:v>-0.7</x:v>
      </x:c>
      <x:c r="I689" s="6">
        <x:f t="shared" si="127"/>
        <x:v>128997.173</x:v>
      </x:c>
      <x:c r="J689" s="23">
        <x:v>1.073236845991006</x:v>
      </x:c>
      <x:c r="K689" s="9">
        <x:f t="shared" si="128"/>
        <x:v>128997.173</x:v>
      </x:c>
      <x:c r="L689" s="6"/>
      <x:c r="M689" s="10">
        <x:f t="shared" si="129"/>
        <x:v>128997.173</x:v>
      </x:c>
      <x:c r="N689" s="10">
        <x:f t="shared" si="130"/>
        <x:v>0</x:v>
      </x:c>
      <x:c r="O689" s="10"/>
    </x:row>
    <x:row r="690" spans="1:15" s="7" customFormat="1" outlineLevel="2" x14ac:dyDescent="0.25">
      <x:c r="A690" s="4">
        <x:v>371</x:v>
      </x:c>
      <x:c r="B690" s="5" t="s">
        <x:v>71</x:v>
      </x:c>
      <x:c r="C690" s="6">
        <x:v>93229.69</x:v>
      </x:c>
      <x:c r="D690" s="6">
        <x:v>93229.69</x:v>
      </x:c>
      <x:c r="E690" s="6"/>
      <x:c r="F690" s="7">
        <x:v>25</x:v>
      </x:c>
      <x:c r="G690" s="6">
        <x:v>0</x:v>
      </x:c>
      <x:c r="H690" s="8">
        <x:v>-0.7</x:v>
      </x:c>
      <x:c r="I690" s="6">
        <x:f t="shared" si="127"/>
        <x:v>158490.473</x:v>
      </x:c>
      <x:c r="J690" s="23">
        <x:v>1.073236845991006</x:v>
      </x:c>
      <x:c r="K690" s="9">
        <x:f t="shared" si="128"/>
        <x:v>158490.473</x:v>
      </x:c>
      <x:c r="L690" s="6"/>
      <x:c r="M690" s="10">
        <x:f t="shared" si="129"/>
        <x:v>158490.473</x:v>
      </x:c>
      <x:c r="N690" s="10">
        <x:f t="shared" si="130"/>
        <x:v>0</x:v>
      </x:c>
      <x:c r="O690" s="10"/>
    </x:row>
    <x:row r="691" spans="1:15" s="7" customFormat="1" outlineLevel="2" x14ac:dyDescent="0.25">
      <x:c r="A691" s="4">
        <x:v>371</x:v>
      </x:c>
      <x:c r="B691" s="5" t="s">
        <x:v>72</x:v>
      </x:c>
      <x:c r="C691" s="6">
        <x:v>50747.99</x:v>
      </x:c>
      <x:c r="D691" s="6">
        <x:v>50747.99</x:v>
      </x:c>
      <x:c r="E691" s="6"/>
      <x:c r="F691" s="7">
        <x:v>25</x:v>
      </x:c>
      <x:c r="G691" s="6">
        <x:v>0</x:v>
      </x:c>
      <x:c r="H691" s="8">
        <x:v>-0.7</x:v>
      </x:c>
      <x:c r="I691" s="6">
        <x:f t="shared" si="127"/>
        <x:v>86271.582999999999</x:v>
      </x:c>
      <x:c r="J691" s="23">
        <x:v>1.073236845991006</x:v>
      </x:c>
      <x:c r="K691" s="9">
        <x:f t="shared" si="128"/>
        <x:v>86271.582999999999</x:v>
      </x:c>
      <x:c r="L691" s="6"/>
      <x:c r="M691" s="10">
        <x:f t="shared" si="129"/>
        <x:v>86271.582999999999</x:v>
      </x:c>
      <x:c r="N691" s="10">
        <x:f t="shared" si="130"/>
        <x:v>0</x:v>
      </x:c>
      <x:c r="O691" s="10"/>
    </x:row>
    <x:row r="692" spans="1:15" s="7" customFormat="1" outlineLevel="2" x14ac:dyDescent="0.25">
      <x:c r="A692" s="4">
        <x:v>371</x:v>
      </x:c>
      <x:c r="B692" s="5" t="s">
        <x:v>73</x:v>
      </x:c>
      <x:c r="C692" s="6">
        <x:v>31078.33</x:v>
      </x:c>
      <x:c r="D692" s="6">
        <x:v>31078.33</x:v>
      </x:c>
      <x:c r="E692" s="6"/>
      <x:c r="F692" s="7">
        <x:v>25</x:v>
      </x:c>
      <x:c r="G692" s="6">
        <x:v>0</x:v>
      </x:c>
      <x:c r="H692" s="8">
        <x:v>-0.7</x:v>
      </x:c>
      <x:c r="I692" s="6">
        <x:f t="shared" si="127"/>
        <x:v>52833.161</x:v>
      </x:c>
      <x:c r="J692" s="23">
        <x:v>1.073236845991006</x:v>
      </x:c>
      <x:c r="K692" s="9">
        <x:f t="shared" si="128"/>
        <x:v>52833.161</x:v>
      </x:c>
      <x:c r="L692" s="6"/>
      <x:c r="M692" s="10">
        <x:f t="shared" si="129"/>
        <x:v>52833.161</x:v>
      </x:c>
      <x:c r="N692" s="10">
        <x:f t="shared" si="130"/>
        <x:v>0</x:v>
      </x:c>
      <x:c r="O692" s="10"/>
    </x:row>
    <x:row r="693" spans="1:15" s="7" customFormat="1" outlineLevel="2" x14ac:dyDescent="0.25">
      <x:c r="A693" s="4">
        <x:v>371</x:v>
      </x:c>
      <x:c r="B693" s="5" t="s">
        <x:v>74</x:v>
      </x:c>
      <x:c r="C693" s="6">
        <x:v>53442.67</x:v>
      </x:c>
      <x:c r="D693" s="6">
        <x:v>53442.67</x:v>
      </x:c>
      <x:c r="E693" s="6"/>
      <x:c r="F693" s="7">
        <x:v>25</x:v>
      </x:c>
      <x:c r="G693" s="6">
        <x:v>0</x:v>
      </x:c>
      <x:c r="H693" s="8">
        <x:v>-0.7</x:v>
      </x:c>
      <x:c r="I693" s="6">
        <x:f t="shared" si="127"/>
        <x:v>90852.53899999999</x:v>
      </x:c>
      <x:c r="J693" s="23">
        <x:v>1.073236845991006</x:v>
      </x:c>
      <x:c r="K693" s="9">
        <x:f t="shared" si="128"/>
        <x:v>90852.53899999999</x:v>
      </x:c>
      <x:c r="L693" s="6"/>
      <x:c r="M693" s="10">
        <x:f t="shared" si="129"/>
        <x:v>90852.53899999999</x:v>
      </x:c>
      <x:c r="N693" s="10">
        <x:f t="shared" si="130"/>
        <x:v>0</x:v>
      </x:c>
      <x:c r="O693" s="10"/>
    </x:row>
    <x:row r="694" spans="1:15" s="7" customFormat="1" outlineLevel="2" x14ac:dyDescent="0.25">
      <x:c r="A694" s="4">
        <x:v>371</x:v>
      </x:c>
      <x:c r="B694" s="5" t="s">
        <x:v>75</x:v>
      </x:c>
      <x:c r="C694" s="6">
        <x:v>3893.46</x:v>
      </x:c>
      <x:c r="D694" s="6">
        <x:v>3893.46</x:v>
      </x:c>
      <x:c r="E694" s="6"/>
      <x:c r="F694" s="7">
        <x:v>25</x:v>
      </x:c>
      <x:c r="G694" s="6">
        <x:v>0</x:v>
      </x:c>
      <x:c r="H694" s="8">
        <x:v>-0.7</x:v>
      </x:c>
      <x:c r="I694" s="6">
        <x:f t="shared" si="127"/>
        <x:v>6618.8819999999996</x:v>
      </x:c>
      <x:c r="J694" s="23">
        <x:v>1.073236845991006</x:v>
      </x:c>
      <x:c r="K694" s="9">
        <x:f t="shared" si="128"/>
        <x:v>6618.8819999999996</x:v>
      </x:c>
      <x:c r="L694" s="6"/>
      <x:c r="M694" s="10">
        <x:f t="shared" si="129"/>
        <x:v>6618.8819999999996</x:v>
      </x:c>
      <x:c r="N694" s="10">
        <x:f t="shared" si="130"/>
        <x:v>0</x:v>
      </x:c>
      <x:c r="O694" s="10"/>
    </x:row>
    <x:row r="695" spans="1:15" s="7" customFormat="1" outlineLevel="2" x14ac:dyDescent="0.25">
      <x:c r="A695" s="4">
        <x:v>371</x:v>
      </x:c>
      <x:c r="B695" s="5" t="s">
        <x:v>76</x:v>
      </x:c>
      <x:c r="C695" s="6">
        <x:v>3.11</x:v>
      </x:c>
      <x:c r="D695" s="6">
        <x:v>3.11</x:v>
      </x:c>
      <x:c r="E695" s="6"/>
      <x:c r="F695" s="7">
        <x:v>25</x:v>
      </x:c>
      <x:c r="G695" s="6">
        <x:v>0</x:v>
      </x:c>
      <x:c r="H695" s="8">
        <x:v>-0.7</x:v>
      </x:c>
      <x:c r="I695" s="6">
        <x:f t="shared" si="127"/>
        <x:v>5.2869999999999999</x:v>
      </x:c>
      <x:c r="J695" s="23">
        <x:v>1.073236845991006</x:v>
      </x:c>
      <x:c r="K695" s="9">
        <x:f t="shared" si="128"/>
        <x:v>5.2869999999999999</x:v>
      </x:c>
      <x:c r="L695" s="6"/>
      <x:c r="M695" s="10">
        <x:f t="shared" si="129"/>
        <x:v>5.2869999999999999</x:v>
      </x:c>
      <x:c r="N695" s="10">
        <x:f t="shared" si="130"/>
        <x:v>0</x:v>
      </x:c>
      <x:c r="O695" s="10"/>
    </x:row>
    <x:row r="696" spans="1:15" s="7" customFormat="1" outlineLevel="2" x14ac:dyDescent="0.25">
      <x:c r="A696" s="4">
        <x:v>371</x:v>
      </x:c>
      <x:c r="B696" s="5" t="s">
        <x:v>77</x:v>
      </x:c>
      <x:c r="C696" s="6">
        <x:v>4.7300000000000004</x:v>
      </x:c>
      <x:c r="D696" s="6">
        <x:v>4.7300000000000004</x:v>
      </x:c>
      <x:c r="E696" s="6"/>
      <x:c r="F696" s="7">
        <x:v>25</x:v>
      </x:c>
      <x:c r="G696" s="6">
        <x:v>0</x:v>
      </x:c>
      <x:c r="H696" s="8">
        <x:v>-0.7</x:v>
      </x:c>
      <x:c r="I696" s="6">
        <x:f t="shared" si="127"/>
        <x:v>8.0410000000000004</x:v>
      </x:c>
      <x:c r="J696" s="23">
        <x:v>1.073236845991006</x:v>
      </x:c>
      <x:c r="K696" s="9">
        <x:f t="shared" si="128"/>
        <x:v>8.0410000000000004</x:v>
      </x:c>
      <x:c r="L696" s="6"/>
      <x:c r="M696" s="10">
        <x:f t="shared" si="129"/>
        <x:v>8.0410000000000004</x:v>
      </x:c>
      <x:c r="N696" s="10">
        <x:f t="shared" si="130"/>
        <x:v>0</x:v>
      </x:c>
      <x:c r="O696" s="10"/>
    </x:row>
    <x:row r="697" spans="1:15" s="7" customFormat="1" outlineLevel="2" x14ac:dyDescent="0.25">
      <x:c r="A697" s="4">
        <x:v>371</x:v>
      </x:c>
      <x:c r="B697" s="5" t="s">
        <x:v>78</x:v>
      </x:c>
      <x:c r="C697" s="6">
        <x:v>2111.77</x:v>
      </x:c>
      <x:c r="D697" s="6">
        <x:v>2111.77</x:v>
      </x:c>
      <x:c r="E697" s="6"/>
      <x:c r="F697" s="7">
        <x:v>25</x:v>
      </x:c>
      <x:c r="G697" s="6">
        <x:v>0</x:v>
      </x:c>
      <x:c r="H697" s="8">
        <x:v>-0.7</x:v>
      </x:c>
      <x:c r="I697" s="6">
        <x:f t="shared" si="127"/>
        <x:v>3590.009</x:v>
      </x:c>
      <x:c r="J697" s="23">
        <x:v>1.073236845991006</x:v>
      </x:c>
      <x:c r="K697" s="9">
        <x:f t="shared" si="128"/>
        <x:v>3590.009</x:v>
      </x:c>
      <x:c r="L697" s="6"/>
      <x:c r="M697" s="10">
        <x:f t="shared" si="129"/>
        <x:v>3590.009</x:v>
      </x:c>
      <x:c r="N697" s="10">
        <x:f t="shared" si="130"/>
        <x:v>0</x:v>
      </x:c>
      <x:c r="O697" s="10"/>
    </x:row>
    <x:row r="698" spans="1:15" s="7" customFormat="1" outlineLevel="2" x14ac:dyDescent="0.25">
      <x:c r="A698" s="4">
        <x:v>371</x:v>
      </x:c>
      <x:c r="B698" s="5" t="s">
        <x:v>79</x:v>
      </x:c>
      <x:c r="C698" s="6">
        <x:v>2.54</x:v>
      </x:c>
      <x:c r="D698" s="6">
        <x:v>2.54</x:v>
      </x:c>
      <x:c r="E698" s="6"/>
      <x:c r="F698" s="7">
        <x:v>25</x:v>
      </x:c>
      <x:c r="G698" s="6">
        <x:v>0</x:v>
      </x:c>
      <x:c r="H698" s="8">
        <x:v>-0.7</x:v>
      </x:c>
      <x:c r="I698" s="6">
        <x:f t="shared" si="127"/>
        <x:v>4.3179999999999996</x:v>
      </x:c>
      <x:c r="J698" s="23">
        <x:v>1.073236845991006</x:v>
      </x:c>
      <x:c r="K698" s="9">
        <x:f t="shared" si="128"/>
        <x:v>4.3179999999999996</x:v>
      </x:c>
      <x:c r="L698" s="6"/>
      <x:c r="M698" s="10">
        <x:f t="shared" si="129"/>
        <x:v>4.3179999999999996</x:v>
      </x:c>
      <x:c r="N698" s="10">
        <x:f t="shared" si="130"/>
        <x:v>0</x:v>
      </x:c>
      <x:c r="O698" s="10"/>
    </x:row>
    <x:row r="699" spans="1:15" s="7" customFormat="1" outlineLevel="2" x14ac:dyDescent="0.25">
      <x:c r="A699" s="4">
        <x:v>371</x:v>
      </x:c>
      <x:c r="B699" s="5" t="s">
        <x:v>80</x:v>
      </x:c>
      <x:c r="C699" s="6">
        <x:v>1.95</x:v>
      </x:c>
      <x:c r="D699" s="6">
        <x:v>1.95</x:v>
      </x:c>
      <x:c r="E699" s="6"/>
      <x:c r="F699" s="7">
        <x:v>25</x:v>
      </x:c>
      <x:c r="G699" s="6">
        <x:v>0</x:v>
      </x:c>
      <x:c r="H699" s="8">
        <x:v>-0.7</x:v>
      </x:c>
      <x:c r="I699" s="6">
        <x:f t="shared" si="127"/>
        <x:v>3.3149999999999999</x:v>
      </x:c>
      <x:c r="J699" s="23">
        <x:v>1.073236845991006</x:v>
      </x:c>
      <x:c r="K699" s="9">
        <x:f t="shared" si="128"/>
        <x:v>3.3149999999999999</x:v>
      </x:c>
      <x:c r="L699" s="6"/>
      <x:c r="M699" s="10">
        <x:f t="shared" si="129"/>
        <x:v>3.3149999999999999</x:v>
      </x:c>
      <x:c r="N699" s="10">
        <x:f t="shared" si="130"/>
        <x:v>0</x:v>
      </x:c>
      <x:c r="O699" s="10"/>
    </x:row>
    <x:row r="700" spans="1:15" s="7" customFormat="1" outlineLevel="2" x14ac:dyDescent="0.25">
      <x:c r="A700" s="4">
        <x:v>371</x:v>
      </x:c>
      <x:c r="B700" s="5" t="s">
        <x:v>81</x:v>
      </x:c>
      <x:c r="C700" s="6">
        <x:v>2.57</x:v>
      </x:c>
      <x:c r="D700" s="6">
        <x:v>2.57</x:v>
      </x:c>
      <x:c r="E700" s="6"/>
      <x:c r="F700" s="7">
        <x:v>25</x:v>
      </x:c>
      <x:c r="G700" s="6">
        <x:v>0</x:v>
      </x:c>
      <x:c r="H700" s="8">
        <x:v>-0.7</x:v>
      </x:c>
      <x:c r="I700" s="6">
        <x:f t="shared" si="127"/>
        <x:v>4.3689999999999998</x:v>
      </x:c>
      <x:c r="J700" s="23">
        <x:v>1.073236845991006</x:v>
      </x:c>
      <x:c r="K700" s="9">
        <x:f t="shared" si="128"/>
        <x:v>4.3689999999999998</x:v>
      </x:c>
      <x:c r="L700" s="6"/>
      <x:c r="M700" s="10">
        <x:f t="shared" si="129"/>
        <x:v>4.3689999999999998</x:v>
      </x:c>
      <x:c r="N700" s="10">
        <x:f t="shared" si="130"/>
        <x:v>0</x:v>
      </x:c>
      <x:c r="O700" s="10"/>
    </x:row>
    <x:row r="701" spans="1:15" s="7" customFormat="1" outlineLevel="2" x14ac:dyDescent="0.25">
      <x:c r="A701" s="4">
        <x:v>371</x:v>
      </x:c>
      <x:c r="B701" s="5" t="s">
        <x:v>83</x:v>
      </x:c>
      <x:c r="C701" s="6">
        <x:v>0.47</x:v>
      </x:c>
      <x:c r="D701" s="6">
        <x:v>0.47</x:v>
      </x:c>
      <x:c r="E701" s="6"/>
      <x:c r="F701" s="7">
        <x:v>25</x:v>
      </x:c>
      <x:c r="G701" s="6">
        <x:v>0</x:v>
      </x:c>
      <x:c r="H701" s="8">
        <x:v>-0.7</x:v>
      </x:c>
      <x:c r="I701" s="6">
        <x:f t="shared" si="127"/>
        <x:v>0.79899999999999993</x:v>
      </x:c>
      <x:c r="J701" s="23">
        <x:v>1.073236845991006</x:v>
      </x:c>
      <x:c r="K701" s="9">
        <x:f t="shared" si="128"/>
        <x:v>0.79899999999999993</x:v>
      </x:c>
      <x:c r="L701" s="6"/>
      <x:c r="M701" s="10">
        <x:f t="shared" si="129"/>
        <x:v>0.79899999999999993</x:v>
      </x:c>
      <x:c r="N701" s="10">
        <x:f t="shared" si="130"/>
        <x:v>0</x:v>
      </x:c>
      <x:c r="O701" s="10"/>
    </x:row>
    <x:row r="702" spans="1:15" s="7" customFormat="1" outlineLevel="2" x14ac:dyDescent="0.25">
      <x:c r="A702" s="4">
        <x:v>371</x:v>
      </x:c>
      <x:c r="B702" s="5" t="s">
        <x:v>84</x:v>
      </x:c>
      <x:c r="C702" s="6">
        <x:v>0.93</x:v>
      </x:c>
      <x:c r="D702" s="6">
        <x:v>0.93</x:v>
      </x:c>
      <x:c r="E702" s="6"/>
      <x:c r="F702" s="7">
        <x:v>25</x:v>
      </x:c>
      <x:c r="G702" s="6">
        <x:v>0</x:v>
      </x:c>
      <x:c r="H702" s="8">
        <x:v>-0.7</x:v>
      </x:c>
      <x:c r="I702" s="6">
        <x:f t="shared" ref="I702:I707" si="131">+C702*(1-H702)*(1-G702/F702)</x:f>
        <x:v>1.581</x:v>
      </x:c>
      <x:c r="J702" s="23">
        <x:v>1.073236845991006</x:v>
      </x:c>
      <x:c r="K702" s="9">
        <x:f t="shared" ref="K702:K707" si="132">IF((C702*(1-H702)-I702*J702)&lt;0,C702*(1-H702),I702*J702)</x:f>
        <x:v>1.581</x:v>
      </x:c>
      <x:c r="L702" s="6"/>
      <x:c r="M702" s="10">
        <x:f t="shared" ref="M702:M707" si="133">+K702/D702*C702</x:f>
        <x:v>1.581</x:v>
      </x:c>
      <x:c r="N702" s="10">
        <x:f t="shared" ref="N702:N707" si="134">+E702/C702*K702</x:f>
        <x:v>0</x:v>
      </x:c>
      <x:c r="O702" s="10"/>
    </x:row>
    <x:row r="703" spans="1:15" s="7" customFormat="1" outlineLevel="2" x14ac:dyDescent="0.25">
      <x:c r="A703" s="4">
        <x:v>371</x:v>
      </x:c>
      <x:c r="B703" s="5" t="s">
        <x:v>85</x:v>
      </x:c>
      <x:c r="C703" s="6">
        <x:v>47.52</x:v>
      </x:c>
      <x:c r="D703" s="6">
        <x:v>47.52</x:v>
      </x:c>
      <x:c r="E703" s="6"/>
      <x:c r="F703" s="7">
        <x:v>25</x:v>
      </x:c>
      <x:c r="G703" s="6">
        <x:v>0</x:v>
      </x:c>
      <x:c r="H703" s="8">
        <x:v>-0.7</x:v>
      </x:c>
      <x:c r="I703" s="6">
        <x:f t="shared" si="131"/>
        <x:v>80.784000000000006</x:v>
      </x:c>
      <x:c r="J703" s="23">
        <x:v>1.073236845991006</x:v>
      </x:c>
      <x:c r="K703" s="9">
        <x:f t="shared" si="132"/>
        <x:v>80.784000000000006</x:v>
      </x:c>
      <x:c r="L703" s="6"/>
      <x:c r="M703" s="10">
        <x:f t="shared" si="133"/>
        <x:v>80.784000000000006</x:v>
      </x:c>
      <x:c r="N703" s="10">
        <x:f t="shared" si="134"/>
        <x:v>0</x:v>
      </x:c>
      <x:c r="O703" s="10"/>
    </x:row>
    <x:row r="704" spans="1:15" s="7" customFormat="1" outlineLevel="2" x14ac:dyDescent="0.25">
      <x:c r="A704" s="4">
        <x:v>371</x:v>
      </x:c>
      <x:c r="B704" s="5" t="s">
        <x:v>86</x:v>
      </x:c>
      <x:c r="C704" s="6">
        <x:v>0.17</x:v>
      </x:c>
      <x:c r="D704" s="6">
        <x:v>0.17</x:v>
      </x:c>
      <x:c r="E704" s="6"/>
      <x:c r="F704" s="7">
        <x:v>25</x:v>
      </x:c>
      <x:c r="G704" s="6">
        <x:v>0</x:v>
      </x:c>
      <x:c r="H704" s="8">
        <x:v>-0.7</x:v>
      </x:c>
      <x:c r="I704" s="6">
        <x:f t="shared" si="131"/>
        <x:v>0.28900000000000003</x:v>
      </x:c>
      <x:c r="J704" s="23">
        <x:v>1.073236845991006</x:v>
      </x:c>
      <x:c r="K704" s="9">
        <x:f t="shared" si="132"/>
        <x:v>0.28900000000000003</x:v>
      </x:c>
      <x:c r="L704" s="6"/>
      <x:c r="M704" s="10">
        <x:f t="shared" si="133"/>
        <x:v>0.28900000000000003</x:v>
      </x:c>
      <x:c r="N704" s="10">
        <x:f t="shared" si="134"/>
        <x:v>0</x:v>
      </x:c>
      <x:c r="O704" s="10"/>
    </x:row>
    <x:row r="705" spans="1:15" s="7" customFormat="1" outlineLevel="2" x14ac:dyDescent="0.25">
      <x:c r="A705" s="4">
        <x:v>371</x:v>
      </x:c>
      <x:c r="B705" s="5" t="s">
        <x:v>87</x:v>
      </x:c>
      <x:c r="C705" s="6">
        <x:v>0.21</x:v>
      </x:c>
      <x:c r="D705" s="6">
        <x:v>0.21</x:v>
      </x:c>
      <x:c r="E705" s="6"/>
      <x:c r="F705" s="7">
        <x:v>25</x:v>
      </x:c>
      <x:c r="G705" s="6">
        <x:v>0</x:v>
      </x:c>
      <x:c r="H705" s="8">
        <x:v>-0.7</x:v>
      </x:c>
      <x:c r="I705" s="6">
        <x:f t="shared" si="131"/>
        <x:v>0.35699999999999998</x:v>
      </x:c>
      <x:c r="J705" s="23">
        <x:v>1.073236845991006</x:v>
      </x:c>
      <x:c r="K705" s="9">
        <x:f t="shared" si="132"/>
        <x:v>0.35699999999999998</x:v>
      </x:c>
      <x:c r="L705" s="6"/>
      <x:c r="M705" s="10">
        <x:f t="shared" si="133"/>
        <x:v>0.35699999999999998</x:v>
      </x:c>
      <x:c r="N705" s="10">
        <x:f t="shared" si="134"/>
        <x:v>0</x:v>
      </x:c>
      <x:c r="O705" s="10"/>
    </x:row>
    <x:row r="706" spans="1:15" s="7" customFormat="1" outlineLevel="2" x14ac:dyDescent="0.25">
      <x:c r="A706" s="4">
        <x:v>371</x:v>
      </x:c>
      <x:c r="B706" s="5" t="s">
        <x:v>88</x:v>
      </x:c>
      <x:c r="C706" s="6">
        <x:v>0.21</x:v>
      </x:c>
      <x:c r="D706" s="6">
        <x:v>0.21</x:v>
      </x:c>
      <x:c r="E706" s="6"/>
      <x:c r="F706" s="7">
        <x:v>25</x:v>
      </x:c>
      <x:c r="G706" s="6">
        <x:v>0</x:v>
      </x:c>
      <x:c r="H706" s="8">
        <x:v>-0.7</x:v>
      </x:c>
      <x:c r="I706" s="6">
        <x:f t="shared" si="131"/>
        <x:v>0.35699999999999998</x:v>
      </x:c>
      <x:c r="J706" s="23">
        <x:v>1.073236845991006</x:v>
      </x:c>
      <x:c r="K706" s="9">
        <x:f t="shared" si="132"/>
        <x:v>0.35699999999999998</x:v>
      </x:c>
      <x:c r="L706" s="6"/>
      <x:c r="M706" s="10">
        <x:f t="shared" si="133"/>
        <x:v>0.35699999999999998</x:v>
      </x:c>
      <x:c r="N706" s="10">
        <x:f t="shared" si="134"/>
        <x:v>0</x:v>
      </x:c>
      <x:c r="O706" s="10"/>
    </x:row>
    <x:row r="707" spans="1:15" s="7" customFormat="1" outlineLevel="2" x14ac:dyDescent="0.25">
      <x:c r="A707" s="4">
        <x:v>371</x:v>
      </x:c>
      <x:c r="B707" s="5" t="s">
        <x:v>89</x:v>
      </x:c>
      <x:c r="C707" s="6">
        <x:v>0.42</x:v>
      </x:c>
      <x:c r="D707" s="6">
        <x:v>0.42</x:v>
      </x:c>
      <x:c r="E707" s="6"/>
      <x:c r="F707" s="7">
        <x:v>25</x:v>
      </x:c>
      <x:c r="G707" s="6">
        <x:v>0</x:v>
      </x:c>
      <x:c r="H707" s="8">
        <x:v>-0.7</x:v>
      </x:c>
      <x:c r="I707" s="6">
        <x:f t="shared" si="131"/>
        <x:v>0.71399999999999997</x:v>
      </x:c>
      <x:c r="J707" s="23">
        <x:v>1.073236845991006</x:v>
      </x:c>
      <x:c r="K707" s="9">
        <x:f t="shared" si="132"/>
        <x:v>0.71399999999999997</x:v>
      </x:c>
      <x:c r="L707" s="6"/>
      <x:c r="M707" s="10">
        <x:f t="shared" si="133"/>
        <x:v>0.71399999999999997</x:v>
      </x:c>
      <x:c r="N707" s="10">
        <x:f t="shared" si="134"/>
        <x:v>0</x:v>
      </x:c>
      <x:c r="O707" s="10"/>
    </x:row>
    <x:row r="708" spans="1:15" s="7" customFormat="1" outlineLevel="1" x14ac:dyDescent="0.25">
      <x:c r="A708" s="11" t="s">
        <x:v>9</x:v>
      </x:c>
      <x:c r="B708" s="5"/>
      <x:c r="C708" s="6">
        <x:f>SUBTOTAL(9,C631:C707)</x:f>
        <x:v>56332960.560000017</x:v>
      </x:c>
      <x:c r="D708" s="6"/>
      <x:c r="E708" s="6"/>
      <x:c r="G708" s="6"/>
      <x:c r="H708" s="8"/>
      <x:c r="I708" s="6">
        <x:f>SUBTOTAL(9,I631:I707)</x:f>
        <x:v>70848120.468478575</x:v>
      </x:c>
      <x:c r="J708" s="23">
        <x:v>1.073236845991006</x:v>
      </x:c>
      <x:c r="K708" s="6">
        <x:f>SUBTOTAL(9,K631:K707)</x:f>
        <x:v>74784255.824335858</x:v>
      </x:c>
      <x:c r="L708" s="2"/>
      <x:c r="M708" s="6">
        <x:f>SUBTOTAL(9,M631:M707)</x:f>
        <x:v>74784255.824335858</x:v>
      </x:c>
      <x:c r="N708" s="6">
        <x:f>SUBTOTAL(9,N631:N707)</x:f>
        <x:v>0</x:v>
      </x:c>
      <x:c r="O708" s="10"/>
    </x:row>
    <x:row r="709" spans="1:15" s="7" customFormat="1" outlineLevel="2" x14ac:dyDescent="0.25">
      <x:c r="A709" s="4">
        <x:v>373</x:v>
      </x:c>
      <x:c r="B709" s="5" t="s">
        <x:v>23</x:v>
      </x:c>
      <x:c r="C709" s="6">
        <x:v>52268546.969999999</x:v>
      </x:c>
      <x:c r="D709" s="6">
        <x:v>52268546.969999999</x:v>
      </x:c>
      <x:c r="E709" s="6"/>
      <x:c r="F709" s="7">
        <x:v>30</x:v>
      </x:c>
      <x:c r="G709" s="6">
        <x:v>29.5</x:v>
      </x:c>
      <x:c r="H709" s="8">
        <x:v>-0.5</x:v>
      </x:c>
      <x:c r="I709" s="6">
        <x:f t="shared" ref="I709:I748" si="135">+C709*(1-H709)*(1-G709/F709)</x:f>
        <x:v>1306713.6742500041</x:v>
      </x:c>
      <x:c r="J709" s="21">
        <x:v>1.073235249600101</x:v>
      </x:c>
      <x:c r="K709" s="9">
        <x:f t="shared" ref="K709:K748" si="136">IF((C709*(1-H709)-I709*J709)&lt;0,C709*(1-H709),I709*J709)</x:f>
        <x:v>1402411.1763395681</x:v>
      </x:c>
      <x:c r="L709" s="6"/>
      <x:c r="M709" s="10">
        <x:f t="shared" ref="M709:M748" si="137">+K709/D709*C709</x:f>
        <x:v>1402411.1763395681</x:v>
      </x:c>
      <x:c r="N709" s="10">
        <x:f t="shared" ref="N709:N748" si="138">+E709/C709*K709</x:f>
        <x:v>0</x:v>
      </x:c>
      <x:c r="O709" s="10"/>
    </x:row>
    <x:row r="710" spans="1:15" s="7" customFormat="1" outlineLevel="2" x14ac:dyDescent="0.25">
      <x:c r="A710" s="4">
        <x:v>373</x:v>
      </x:c>
      <x:c r="B710" s="5" t="s">
        <x:v>24</x:v>
      </x:c>
      <x:c r="C710" s="6">
        <x:v>47151639.200000003</x:v>
      </x:c>
      <x:c r="D710" s="6">
        <x:v>47151639.200000003</x:v>
      </x:c>
      <x:c r="E710" s="6"/>
      <x:c r="F710" s="7">
        <x:v>30</x:v>
      </x:c>
      <x:c r="G710" s="6">
        <x:v>28.5</x:v>
      </x:c>
      <x:c r="H710" s="8">
        <x:v>-0.5</x:v>
      </x:c>
      <x:c r="I710" s="6">
        <x:f t="shared" si="135"/>
        <x:v>3536372.9400000037</x:v>
      </x:c>
      <x:c r="J710" s="21">
        <x:v>1.073235249600101</x:v>
      </x:c>
      <x:c r="K710" s="9">
        <x:f t="shared" si="136"/>
        <x:v>3795360.0949399467</x:v>
      </x:c>
      <x:c r="L710" s="6"/>
      <x:c r="M710" s="10">
        <x:f t="shared" si="137"/>
        <x:v>3795360.0949399471</x:v>
      </x:c>
      <x:c r="N710" s="10">
        <x:f t="shared" si="138"/>
        <x:v>0</x:v>
      </x:c>
      <x:c r="O710" s="10"/>
    </x:row>
    <x:row r="711" spans="1:15" s="7" customFormat="1" outlineLevel="2" x14ac:dyDescent="0.25">
      <x:c r="A711" s="4">
        <x:v>373</x:v>
      </x:c>
      <x:c r="B711" s="5" t="s">
        <x:v>25</x:v>
      </x:c>
      <x:c r="C711" s="6">
        <x:v>34044187.340000004</x:v>
      </x:c>
      <x:c r="D711" s="6">
        <x:v>34044187.340000004</x:v>
      </x:c>
      <x:c r="E711" s="6"/>
      <x:c r="F711" s="7">
        <x:v>30</x:v>
      </x:c>
      <x:c r="G711" s="6">
        <x:v>27.5</x:v>
      </x:c>
      <x:c r="H711" s="8">
        <x:v>-0.5</x:v>
      </x:c>
      <x:c r="I711" s="6">
        <x:f t="shared" si="135"/>
        <x:v>4255523.4175000023</x:v>
      </x:c>
      <x:c r="J711" s="21">
        <x:v>1.073235249600101</x:v>
      </x:c>
      <x:c r="K711" s="9">
        <x:f t="shared" si="136"/>
        <x:v>4567177.7371596899</x:v>
      </x:c>
      <x:c r="L711" s="6"/>
      <x:c r="M711" s="10">
        <x:f t="shared" si="137"/>
        <x:v>4567177.7371596899</x:v>
      </x:c>
      <x:c r="N711" s="10">
        <x:f t="shared" si="138"/>
        <x:v>0</x:v>
      </x:c>
      <x:c r="O711" s="10"/>
    </x:row>
    <x:row r="712" spans="1:15" s="7" customFormat="1" outlineLevel="2" x14ac:dyDescent="0.25">
      <x:c r="A712" s="4">
        <x:v>373</x:v>
      </x:c>
      <x:c r="B712" s="5" t="s">
        <x:v>26</x:v>
      </x:c>
      <x:c r="C712" s="6">
        <x:v>26541208.530000001</x:v>
      </x:c>
      <x:c r="D712" s="6">
        <x:v>26541208.530000001</x:v>
      </x:c>
      <x:c r="E712" s="6"/>
      <x:c r="F712" s="7">
        <x:v>30</x:v>
      </x:c>
      <x:c r="G712" s="6">
        <x:v>26.5</x:v>
      </x:c>
      <x:c r="H712" s="8">
        <x:v>-0.5</x:v>
      </x:c>
      <x:c r="I712" s="6">
        <x:f t="shared" ref="I712:I719" si="139">+C712*(1-H712)*(1-G712/F712)</x:f>
        <x:v>4644711.4927500011</x:v>
      </x:c>
      <x:c r="J712" s="21">
        <x:v>1.073235249600101</x:v>
      </x:c>
      <x:c r="K712" s="9">
        <x:f t="shared" ref="K712:K719" si="140">IF((C712*(1-H712)-I712*J712)&lt;0,C712*(1-H712),I712*J712)</x:f>
        <x:v>4984868.0982420053</x:v>
      </x:c>
      <x:c r="L712" s="6"/>
      <x:c r="M712" s="10">
        <x:f t="shared" ref="M712:M719" si="141">+K712/D712*C712</x:f>
        <x:v>4984868.0982420053</x:v>
      </x:c>
      <x:c r="N712" s="10">
        <x:f t="shared" ref="N712:N719" si="142">+E712/C712*K712</x:f>
        <x:v>0</x:v>
      </x:c>
      <x:c r="O712" s="10"/>
    </x:row>
    <x:row r="713" spans="1:15" s="7" customFormat="1" outlineLevel="2" x14ac:dyDescent="0.25">
      <x:c r="A713" s="4">
        <x:v>373</x:v>
      </x:c>
      <x:c r="B713" s="5" t="s">
        <x:v>117</x:v>
      </x:c>
      <x:c r="C713" s="6">
        <x:v>25030091.210000001</x:v>
      </x:c>
      <x:c r="D713" s="6">
        <x:v>25030091.210000001</x:v>
      </x:c>
      <x:c r="E713" s="6"/>
      <x:c r="F713" s="7">
        <x:v>30</x:v>
      </x:c>
      <x:c r="G713" s="6">
        <x:v>25.5</x:v>
      </x:c>
      <x:c r="H713" s="8">
        <x:v>-0.5</x:v>
      </x:c>
      <x:c r="I713" s="6">
        <x:f t="shared" si="139"/>
        <x:v>5631770.5222500004</x:v>
      </x:c>
      <x:c r="J713" s="21">
        <x:v>1.073235249600101</x:v>
      </x:c>
      <x:c r="K713" s="9">
        <x:f t="shared" si="140"/>
        <x:v>6044214.6421374697</x:v>
      </x:c>
      <x:c r="L713" s="6"/>
      <x:c r="M713" s="10">
        <x:f t="shared" si="141"/>
        <x:v>6044214.6421374697</x:v>
      </x:c>
      <x:c r="N713" s="10">
        <x:f t="shared" si="142"/>
        <x:v>0</x:v>
      </x:c>
      <x:c r="O713" s="10"/>
    </x:row>
    <x:row r="714" spans="1:15" s="7" customFormat="1" outlineLevel="2" x14ac:dyDescent="0.25">
      <x:c r="A714" s="4">
        <x:v>373</x:v>
      </x:c>
      <x:c r="B714" s="5" t="s">
        <x:v>27</x:v>
      </x:c>
      <x:c r="C714" s="6">
        <x:v>26345936.579999998</x:v>
      </x:c>
      <x:c r="D714" s="6">
        <x:v>26345936.579999998</x:v>
      </x:c>
      <x:c r="E714" s="6"/>
      <x:c r="F714" s="7">
        <x:v>30</x:v>
      </x:c>
      <x:c r="G714" s="6">
        <x:v>24.5</x:v>
      </x:c>
      <x:c r="H714" s="8">
        <x:v>-0.5</x:v>
      </x:c>
      <x:c r="I714" s="6">
        <x:f t="shared" si="139"/>
        <x:v>7245132.5595000004</x:v>
      </x:c>
      <x:c r="J714" s="21">
        <x:v>1.073235249600101</x:v>
      </x:c>
      <x:c r="K714" s="9">
        <x:f t="shared" si="140"/>
        <x:v>7775731.6508808015</x:v>
      </x:c>
      <x:c r="L714" s="6"/>
      <x:c r="M714" s="10">
        <x:f t="shared" si="141"/>
        <x:v>7775731.6508808006</x:v>
      </x:c>
      <x:c r="N714" s="10">
        <x:f t="shared" si="142"/>
        <x:v>0</x:v>
      </x:c>
      <x:c r="O714" s="10"/>
    </x:row>
    <x:row r="715" spans="1:15" s="7" customFormat="1" outlineLevel="2" x14ac:dyDescent="0.25">
      <x:c r="A715" s="4">
        <x:v>373</x:v>
      </x:c>
      <x:c r="B715" s="5" t="s">
        <x:v>28</x:v>
      </x:c>
      <x:c r="C715" s="6">
        <x:v>20933733.760000002</x:v>
      </x:c>
      <x:c r="D715" s="6">
        <x:v>20933733.760000002</x:v>
      </x:c>
      <x:c r="E715" s="6"/>
      <x:c r="F715" s="7">
        <x:v>30</x:v>
      </x:c>
      <x:c r="G715" s="6">
        <x:v>23.5</x:v>
      </x:c>
      <x:c r="H715" s="8">
        <x:v>-0.5</x:v>
      </x:c>
      <x:c r="I715" s="6">
        <x:f t="shared" si="139"/>
        <x:v>6803463.4720000001</x:v>
      </x:c>
      <x:c r="J715" s="21">
        <x:v>1.073235249600101</x:v>
      </x:c>
      <x:c r="K715" s="9">
        <x:f t="shared" si="140"/>
        <x:v>7301716.8175170897</x:v>
      </x:c>
      <x:c r="L715" s="6"/>
      <x:c r="M715" s="10">
        <x:f t="shared" si="141"/>
        <x:v>7301716.8175170897</x:v>
      </x:c>
      <x:c r="N715" s="10">
        <x:f t="shared" si="142"/>
        <x:v>0</x:v>
      </x:c>
      <x:c r="O715" s="10"/>
    </x:row>
    <x:row r="716" spans="1:15" s="7" customFormat="1" outlineLevel="2" x14ac:dyDescent="0.25">
      <x:c r="A716" s="4">
        <x:v>373</x:v>
      </x:c>
      <x:c r="B716" s="5" t="s">
        <x:v>29</x:v>
      </x:c>
      <x:c r="C716" s="6">
        <x:v>14901243.27</x:v>
      </x:c>
      <x:c r="D716" s="6">
        <x:v>14901243.27</x:v>
      </x:c>
      <x:c r="E716" s="6"/>
      <x:c r="F716" s="7">
        <x:v>30</x:v>
      </x:c>
      <x:c r="G716" s="6">
        <x:v>22.5</x:v>
      </x:c>
      <x:c r="H716" s="8">
        <x:v>-0.5</x:v>
      </x:c>
      <x:c r="I716" s="6">
        <x:f t="shared" si="139"/>
        <x:v>5587966.2262500003</x:v>
      </x:c>
      <x:c r="J716" s="21">
        <x:v>1.073235249600101</x:v>
      </x:c>
      <x:c r="K716" s="9">
        <x:f t="shared" si="140"/>
        <x:v>5997202.3275863538</x:v>
      </x:c>
      <x:c r="L716" s="6"/>
      <x:c r="M716" s="10">
        <x:f t="shared" si="141"/>
        <x:v>5997202.3275863538</x:v>
      </x:c>
      <x:c r="N716" s="10">
        <x:f t="shared" si="142"/>
        <x:v>0</x:v>
      </x:c>
      <x:c r="O716" s="10"/>
    </x:row>
    <x:row r="717" spans="1:15" s="7" customFormat="1" outlineLevel="2" x14ac:dyDescent="0.25">
      <x:c r="A717" s="4">
        <x:v>373</x:v>
      </x:c>
      <x:c r="B717" s="5" t="s">
        <x:v>30</x:v>
      </x:c>
      <x:c r="C717" s="6">
        <x:v>12742046.42</x:v>
      </x:c>
      <x:c r="D717" s="6">
        <x:v>12742046.42</x:v>
      </x:c>
      <x:c r="E717" s="6"/>
      <x:c r="F717" s="7">
        <x:v>30</x:v>
      </x:c>
      <x:c r="G717" s="6">
        <x:v>21.5</x:v>
      </x:c>
      <x:c r="H717" s="8">
        <x:v>-0.5</x:v>
      </x:c>
      <x:c r="I717" s="6">
        <x:f t="shared" si="139"/>
        <x:v>5415369.7284999993</x:v>
      </x:c>
      <x:c r="J717" s="21">
        <x:v>1.073235249600101</x:v>
      </x:c>
      <x:c r="K717" s="9">
        <x:f t="shared" si="140"/>
        <x:v>5811965.6822435278</x:v>
      </x:c>
      <x:c r="L717" s="6"/>
      <x:c r="M717" s="10">
        <x:f t="shared" si="141"/>
        <x:v>5811965.6822435278</x:v>
      </x:c>
      <x:c r="N717" s="10">
        <x:f t="shared" si="142"/>
        <x:v>0</x:v>
      </x:c>
      <x:c r="O717" s="10"/>
    </x:row>
    <x:row r="718" spans="1:15" s="7" customFormat="1" outlineLevel="2" x14ac:dyDescent="0.25">
      <x:c r="A718" s="4">
        <x:v>373</x:v>
      </x:c>
      <x:c r="B718" s="5" t="s">
        <x:v>31</x:v>
      </x:c>
      <x:c r="C718" s="6">
        <x:v>13233879.49</x:v>
      </x:c>
      <x:c r="D718" s="6">
        <x:v>13233879.49</x:v>
      </x:c>
      <x:c r="E718" s="6"/>
      <x:c r="F718" s="7">
        <x:v>30</x:v>
      </x:c>
      <x:c r="G718" s="6">
        <x:v>20.5</x:v>
      </x:c>
      <x:c r="H718" s="8">
        <x:v>-0.5</x:v>
      </x:c>
      <x:c r="I718" s="6">
        <x:f t="shared" si="139"/>
        <x:v>6286092.7577499999</x:v>
      </x:c>
      <x:c r="J718" s="21">
        <x:v>1.073235249600101</x:v>
      </x:c>
      <x:c r="K718" s="9">
        <x:f t="shared" si="140"/>
        <x:v>6746456.329873208</x:v>
      </x:c>
      <x:c r="L718" s="6"/>
      <x:c r="M718" s="10">
        <x:f t="shared" si="141"/>
        <x:v>6746456.329873208</x:v>
      </x:c>
      <x:c r="N718" s="10">
        <x:f t="shared" si="142"/>
        <x:v>0</x:v>
      </x:c>
      <x:c r="O718" s="10"/>
    </x:row>
    <x:row r="719" spans="1:15" s="7" customFormat="1" outlineLevel="2" x14ac:dyDescent="0.25">
      <x:c r="A719" s="4">
        <x:v>373</x:v>
      </x:c>
      <x:c r="B719" s="5" t="s">
        <x:v>32</x:v>
      </x:c>
      <x:c r="C719" s="6">
        <x:v>10001217.560000001</x:v>
      </x:c>
      <x:c r="D719" s="6">
        <x:v>10001217.560000001</x:v>
      </x:c>
      <x:c r="E719" s="6"/>
      <x:c r="F719" s="7">
        <x:v>30</x:v>
      </x:c>
      <x:c r="G719" s="6">
        <x:v>19.5</x:v>
      </x:c>
      <x:c r="H719" s="8">
        <x:v>-0.5</x:v>
      </x:c>
      <x:c r="I719" s="6">
        <x:f t="shared" si="139"/>
        <x:v>5250639.2189999996</x:v>
      </x:c>
      <x:c r="J719" s="21">
        <x:v>1.073235249600101</x:v>
      </x:c>
      <x:c r="K719" s="9">
        <x:f t="shared" si="140"/>
        <x:v>5635171.0927635441</x:v>
      </x:c>
      <x:c r="L719" s="6"/>
      <x:c r="M719" s="10">
        <x:f t="shared" si="141"/>
        <x:v>5635171.0927635441</x:v>
      </x:c>
      <x:c r="N719" s="10">
        <x:f t="shared" si="142"/>
        <x:v>0</x:v>
      </x:c>
      <x:c r="O719" s="10"/>
    </x:row>
    <x:row r="720" spans="1:15" s="7" customFormat="1" outlineLevel="2" x14ac:dyDescent="0.25">
      <x:c r="A720" s="4">
        <x:v>373</x:v>
      </x:c>
      <x:c r="B720" s="5" t="s">
        <x:v>33</x:v>
      </x:c>
      <x:c r="C720" s="6">
        <x:v>10152381.380000001</x:v>
      </x:c>
      <x:c r="D720" s="6">
        <x:v>10152381.380000001</x:v>
      </x:c>
      <x:c r="E720" s="6"/>
      <x:c r="F720" s="7">
        <x:v>30</x:v>
      </x:c>
      <x:c r="G720" s="6">
        <x:v>18.5</x:v>
      </x:c>
      <x:c r="H720" s="8">
        <x:v>-0.5</x:v>
      </x:c>
      <x:c r="I720" s="6">
        <x:f t="shared" si="135"/>
        <x:v>5837619.2934999997</x:v>
      </x:c>
      <x:c r="J720" s="21">
        <x:v>1.073235249600101</x:v>
      </x:c>
      <x:c r="K720" s="9">
        <x:f t="shared" si="136"/>
        <x:v>6265138.7995298374</x:v>
      </x:c>
      <x:c r="L720" s="6"/>
      <x:c r="M720" s="10">
        <x:f t="shared" si="137"/>
        <x:v>6265138.7995298374</x:v>
      </x:c>
      <x:c r="N720" s="10">
        <x:f t="shared" si="138"/>
        <x:v>0</x:v>
      </x:c>
      <x:c r="O720" s="10"/>
    </x:row>
    <x:row r="721" spans="1:15" s="7" customFormat="1" outlineLevel="2" x14ac:dyDescent="0.25">
      <x:c r="A721" s="4">
        <x:v>373</x:v>
      </x:c>
      <x:c r="B721" s="5" t="s">
        <x:v>118</x:v>
      </x:c>
      <x:c r="C721" s="6">
        <x:v>8485552.9900000002</x:v>
      </x:c>
      <x:c r="D721" s="6">
        <x:v>8485552.9900000002</x:v>
      </x:c>
      <x:c r="E721" s="6"/>
      <x:c r="F721" s="7">
        <x:v>30</x:v>
      </x:c>
      <x:c r="G721" s="6">
        <x:v>17.5</x:v>
      </x:c>
      <x:c r="H721" s="8">
        <x:v>-0.5</x:v>
      </x:c>
      <x:c r="I721" s="6">
        <x:f t="shared" si="135"/>
        <x:v>5303470.6187499994</x:v>
      </x:c>
      <x:c r="J721" s="21">
        <x:v>1.073235249600101</x:v>
      </x:c>
      <x:c r="K721" s="9">
        <x:f t="shared" si="136"/>
        <x:v>5691871.6132609574</x:v>
      </x:c>
      <x:c r="L721" s="6"/>
      <x:c r="M721" s="10">
        <x:f t="shared" si="137"/>
        <x:v>5691871.6132609574</x:v>
      </x:c>
      <x:c r="N721" s="10">
        <x:f t="shared" si="138"/>
        <x:v>0</x:v>
      </x:c>
      <x:c r="O721" s="10"/>
    </x:row>
    <x:row r="722" spans="1:15" s="7" customFormat="1" outlineLevel="2" x14ac:dyDescent="0.25">
      <x:c r="A722" s="4">
        <x:v>373</x:v>
      </x:c>
      <x:c r="B722" s="5" t="s">
        <x:v>119</x:v>
      </x:c>
      <x:c r="C722" s="6">
        <x:v>7099146.8600000003</x:v>
      </x:c>
      <x:c r="D722" s="6">
        <x:v>7099146.8600000003</x:v>
      </x:c>
      <x:c r="E722" s="6"/>
      <x:c r="F722" s="7">
        <x:v>30</x:v>
      </x:c>
      <x:c r="G722" s="6">
        <x:v>16.5</x:v>
      </x:c>
      <x:c r="H722" s="8">
        <x:v>-0.5</x:v>
      </x:c>
      <x:c r="I722" s="6">
        <x:f t="shared" si="135"/>
        <x:v>4791924.1305</x:v>
      </x:c>
      <x:c r="J722" s="21">
        <x:v>1.073235249600101</x:v>
      </x:c>
      <x:c r="K722" s="9">
        <x:f t="shared" si="136"/>
        <x:v>5142861.8902619146</x:v>
      </x:c>
      <x:c r="L722" s="6"/>
      <x:c r="M722" s="10">
        <x:f t="shared" si="137"/>
        <x:v>5142861.8902619146</x:v>
      </x:c>
      <x:c r="N722" s="10">
        <x:f t="shared" si="138"/>
        <x:v>0</x:v>
      </x:c>
      <x:c r="O722" s="10"/>
    </x:row>
    <x:row r="723" spans="1:15" s="7" customFormat="1" outlineLevel="2" x14ac:dyDescent="0.25">
      <x:c r="A723" s="4">
        <x:v>373</x:v>
      </x:c>
      <x:c r="B723" s="5" t="s">
        <x:v>34</x:v>
      </x:c>
      <x:c r="C723" s="6">
        <x:v>7093735.9400000004</x:v>
      </x:c>
      <x:c r="D723" s="6">
        <x:v>7093735.9400000004</x:v>
      </x:c>
      <x:c r="E723" s="6"/>
      <x:c r="F723" s="7">
        <x:v>30</x:v>
      </x:c>
      <x:c r="G723" s="6">
        <x:v>15.5</x:v>
      </x:c>
      <x:c r="H723" s="8">
        <x:v>-0.5</x:v>
      </x:c>
      <x:c r="I723" s="6">
        <x:f t="shared" si="135"/>
        <x:v>5142958.5564999999</x:v>
      </x:c>
      <x:c r="J723" s="21">
        <x:v>1.073235249600101</x:v>
      </x:c>
      <x:c r="K723" s="9">
        <x:f t="shared" si="136"/>
        <x:v>5519604.4100682521</x:v>
      </x:c>
      <x:c r="L723" s="6"/>
      <x:c r="M723" s="10">
        <x:f t="shared" si="137"/>
        <x:v>5519604.4100682521</x:v>
      </x:c>
      <x:c r="N723" s="10">
        <x:f t="shared" si="138"/>
        <x:v>0</x:v>
      </x:c>
      <x:c r="O723" s="10"/>
    </x:row>
    <x:row r="724" spans="1:15" s="7" customFormat="1" outlineLevel="2" x14ac:dyDescent="0.25">
      <x:c r="A724" s="4">
        <x:v>373</x:v>
      </x:c>
      <x:c r="B724" s="5" t="s">
        <x:v>35</x:v>
      </x:c>
      <x:c r="C724" s="6">
        <x:v>7095402.2800000003</x:v>
      </x:c>
      <x:c r="D724" s="6">
        <x:v>7095402.2800000003</x:v>
      </x:c>
      <x:c r="E724" s="6"/>
      <x:c r="F724" s="7">
        <x:v>30</x:v>
      </x:c>
      <x:c r="G724" s="6">
        <x:v>14.5</x:v>
      </x:c>
      <x:c r="H724" s="8">
        <x:v>-0.5</x:v>
      </x:c>
      <x:c r="I724" s="6">
        <x:f t="shared" si="135"/>
        <x:v>5498936.7669999991</x:v>
      </x:c>
      <x:c r="J724" s="21">
        <x:v>1.073235249600101</x:v>
      </x:c>
      <x:c r="K724" s="9">
        <x:f t="shared" si="136"/>
        <x:v>5901652.7736664163</x:v>
      </x:c>
      <x:c r="L724" s="6"/>
      <x:c r="M724" s="10">
        <x:f t="shared" si="137"/>
        <x:v>5901652.7736664163</x:v>
      </x:c>
      <x:c r="N724" s="10">
        <x:f t="shared" si="138"/>
        <x:v>0</x:v>
      </x:c>
      <x:c r="O724" s="10"/>
    </x:row>
    <x:row r="725" spans="1:15" s="7" customFormat="1" outlineLevel="2" x14ac:dyDescent="0.25">
      <x:c r="A725" s="4">
        <x:v>373</x:v>
      </x:c>
      <x:c r="B725" s="5" t="s">
        <x:v>36</x:v>
      </x:c>
      <x:c r="C725" s="6">
        <x:v>8554969.4199999999</x:v>
      </x:c>
      <x:c r="D725" s="6">
        <x:v>8554969.4199999999</x:v>
      </x:c>
      <x:c r="E725" s="6"/>
      <x:c r="F725" s="7">
        <x:v>30</x:v>
      </x:c>
      <x:c r="G725" s="6">
        <x:v>13.5</x:v>
      </x:c>
      <x:c r="H725" s="8">
        <x:v>-0.5</x:v>
      </x:c>
      <x:c r="I725" s="6">
        <x:f t="shared" si="135"/>
        <x:v>7057849.7714999998</x:v>
      </x:c>
      <x:c r="J725" s="21">
        <x:v>1.073235249600101</x:v>
      </x:c>
      <x:c r="K725" s="9">
        <x:f t="shared" si="136"/>
        <x:v>7574733.161155818</x:v>
      </x:c>
      <x:c r="L725" s="6"/>
      <x:c r="M725" s="10">
        <x:f t="shared" si="137"/>
        <x:v>7574733.161155818</x:v>
      </x:c>
      <x:c r="N725" s="10">
        <x:f t="shared" si="138"/>
        <x:v>0</x:v>
      </x:c>
      <x:c r="O725" s="10"/>
    </x:row>
    <x:row r="726" spans="1:15" s="7" customFormat="1" outlineLevel="2" x14ac:dyDescent="0.25">
      <x:c r="A726" s="4">
        <x:v>373</x:v>
      </x:c>
      <x:c r="B726" s="5" t="s">
        <x:v>120</x:v>
      </x:c>
      <x:c r="C726" s="6">
        <x:v>7965602.3600000003</x:v>
      </x:c>
      <x:c r="D726" s="6">
        <x:v>7965602.3600000003</x:v>
      </x:c>
      <x:c r="E726" s="6"/>
      <x:c r="F726" s="7">
        <x:v>30</x:v>
      </x:c>
      <x:c r="G726" s="6">
        <x:v>12.5</x:v>
      </x:c>
      <x:c r="H726" s="8">
        <x:v>-0.5</x:v>
      </x:c>
      <x:c r="I726" s="6">
        <x:f t="shared" si="135"/>
        <x:v>6969902.0649999995</x:v>
      </x:c>
      <x:c r="J726" s="21">
        <x:v>1.073235249600101</x:v>
      </x:c>
      <x:c r="K726" s="9">
        <x:f t="shared" si="136"/>
        <x:v>7480344.582418534</x:v>
      </x:c>
      <x:c r="L726" s="6"/>
      <x:c r="M726" s="10">
        <x:f t="shared" si="137"/>
        <x:v>7480344.582418534</x:v>
      </x:c>
      <x:c r="N726" s="10">
        <x:f t="shared" si="138"/>
        <x:v>0</x:v>
      </x:c>
      <x:c r="O726" s="10"/>
    </x:row>
    <x:row r="727" spans="1:15" s="7" customFormat="1" outlineLevel="2" x14ac:dyDescent="0.25">
      <x:c r="A727" s="4">
        <x:v>373</x:v>
      </x:c>
      <x:c r="B727" s="5" t="s">
        <x:v>37</x:v>
      </x:c>
      <x:c r="C727" s="6">
        <x:v>8616202.9000000004</x:v>
      </x:c>
      <x:c r="D727" s="6">
        <x:v>8616202.9000000004</x:v>
      </x:c>
      <x:c r="E727" s="6"/>
      <x:c r="F727" s="7">
        <x:v>30</x:v>
      </x:c>
      <x:c r="G727" s="6">
        <x:v>11.5</x:v>
      </x:c>
      <x:c r="H727" s="8">
        <x:v>-0.5</x:v>
      </x:c>
      <x:c r="I727" s="6">
        <x:f t="shared" si="135"/>
        <x:v>7969987.682500001</x:v>
      </x:c>
      <x:c r="J727" s="21">
        <x:v>1.073235249600101</x:v>
      </x:c>
      <x:c r="K727" s="9">
        <x:f t="shared" si="136"/>
        <x:v>8553671.7197376192</x:v>
      </x:c>
      <x:c r="L727" s="6"/>
      <x:c r="M727" s="10">
        <x:f t="shared" si="137"/>
        <x:v>8553671.7197376192</x:v>
      </x:c>
      <x:c r="N727" s="10">
        <x:f t="shared" si="138"/>
        <x:v>0</x:v>
      </x:c>
      <x:c r="O727" s="10"/>
    </x:row>
    <x:row r="728" spans="1:15" s="7" customFormat="1" outlineLevel="2" x14ac:dyDescent="0.25">
      <x:c r="A728" s="4">
        <x:v>373</x:v>
      </x:c>
      <x:c r="B728" s="5" t="s">
        <x:v>121</x:v>
      </x:c>
      <x:c r="C728" s="6">
        <x:v>9832085.1600000001</x:v>
      </x:c>
      <x:c r="D728" s="6">
        <x:v>9832085.1600000001</x:v>
      </x:c>
      <x:c r="E728" s="6"/>
      <x:c r="F728" s="7">
        <x:v>30</x:v>
      </x:c>
      <x:c r="G728" s="6">
        <x:v>10.500004000000001</x:v>
      </x:c>
      <x:c r="H728" s="8">
        <x:v>-0.5</x:v>
      </x:c>
      <x:c r="I728" s="6">
        <x:f t="shared" si="135"/>
        <x:v>9586281.0645829681</x:v>
      </x:c>
      <x:c r="J728" s="21">
        <x:v>1.073235249600101</x:v>
      </x:c>
      <x:c r="K728" s="9">
        <x:f t="shared" si="136"/>
        <x:v>10288334.751084423</x:v>
      </x:c>
      <x:c r="L728" s="6"/>
      <x:c r="M728" s="10">
        <x:f t="shared" si="137"/>
        <x:v>10288334.751084423</x:v>
      </x:c>
      <x:c r="N728" s="10">
        <x:f t="shared" si="138"/>
        <x:v>0</x:v>
      </x:c>
      <x:c r="O728" s="10"/>
    </x:row>
    <x:row r="729" spans="1:15" s="7" customFormat="1" outlineLevel="2" x14ac:dyDescent="0.25">
      <x:c r="A729" s="4">
        <x:v>373</x:v>
      </x:c>
      <x:c r="B729" s="5" t="s">
        <x:v>122</x:v>
      </x:c>
      <x:c r="C729" s="6">
        <x:v>7916555.9100000001</x:v>
      </x:c>
      <x:c r="D729" s="6">
        <x:v>7916555.9100000001</x:v>
      </x:c>
      <x:c r="E729" s="6"/>
      <x:c r="F729" s="7">
        <x:v>30</x:v>
      </x:c>
      <x:c r="G729" s="6">
        <x:v>9.5000549999999997</x:v>
      </x:c>
      <x:c r="H729" s="8">
        <x:v>-0.5</x:v>
      </x:c>
      <x:c r="I729" s="6">
        <x:f t="shared" si="135"/>
        <x:v>8114448.0372212473</x:v>
      </x:c>
      <x:c r="J729" s="21">
        <x:v>1.073235249600101</x:v>
      </x:c>
      <x:c r="K729" s="9">
        <x:f t="shared" si="136"/>
        <x:v>8708711.6645941939</x:v>
      </x:c>
      <x:c r="L729" s="6"/>
      <x:c r="M729" s="10">
        <x:f t="shared" si="137"/>
        <x:v>8708711.6645941939</x:v>
      </x:c>
      <x:c r="N729" s="10">
        <x:f t="shared" si="138"/>
        <x:v>0</x:v>
      </x:c>
      <x:c r="O729" s="10"/>
    </x:row>
    <x:row r="730" spans="1:15" s="7" customFormat="1" outlineLevel="2" x14ac:dyDescent="0.25">
      <x:c r="A730" s="4">
        <x:v>373</x:v>
      </x:c>
      <x:c r="B730" s="5" t="s">
        <x:v>123</x:v>
      </x:c>
      <x:c r="C730" s="6">
        <x:v>9617387.7799999993</x:v>
      </x:c>
      <x:c r="D730" s="6">
        <x:v>9617387.7799999993</x:v>
      </x:c>
      <x:c r="E730" s="6"/>
      <x:c r="F730" s="7">
        <x:v>30</x:v>
      </x:c>
      <x:c r="G730" s="6">
        <x:v>8.5004580000000001</x:v>
      </x:c>
      <x:c r="H730" s="8">
        <x:v>-0.5</x:v>
      </x:c>
      <x:c r="I730" s="6">
        <x:f t="shared" si="135"/>
        <x:v>10338471.625319835</x:v>
      </x:c>
      <x:c r="J730" s="21">
        <x:v>1.073235249600101</x:v>
      </x:c>
      <x:c r="K730" s="9">
        <x:f t="shared" si="136"/>
        <x:v>11095612.175283695</x:v>
      </x:c>
      <x:c r="L730" s="6"/>
      <x:c r="M730" s="10">
        <x:f t="shared" si="137"/>
        <x:v>11095612.175283695</x:v>
      </x:c>
      <x:c r="N730" s="10">
        <x:f t="shared" si="138"/>
        <x:v>0</x:v>
      </x:c>
      <x:c r="O730" s="10"/>
    </x:row>
    <x:row r="731" spans="1:15" s="7" customFormat="1" outlineLevel="2" x14ac:dyDescent="0.25">
      <x:c r="A731" s="4">
        <x:v>373</x:v>
      </x:c>
      <x:c r="B731" s="5" t="s">
        <x:v>124</x:v>
      </x:c>
      <x:c r="C731" s="6">
        <x:v>11955605.529999999</x:v>
      </x:c>
      <x:c r="D731" s="6">
        <x:v>11955605.529999999</x:v>
      </x:c>
      <x:c r="E731" s="6"/>
      <x:c r="F731" s="7">
        <x:v>30</x:v>
      </x:c>
      <x:c r="G731" s="6">
        <x:v>7.5027119999999998</x:v>
      </x:c>
      <x:c r="H731" s="8">
        <x:v>-0.5</x:v>
      </x:c>
      <x:c r="I731" s="6">
        <x:f t="shared" si="135"/>
        <x:v>13448435.041140132</x:v>
      </x:c>
      <x:c r="J731" s="21">
        <x:v>1.073235249600101</x:v>
      </x:c>
      <x:c r="K731" s="9">
        <x:f t="shared" si="136"/>
        <x:v>14433334.538108774</x:v>
      </x:c>
      <x:c r="L731" s="6"/>
      <x:c r="M731" s="10">
        <x:f t="shared" si="137"/>
        <x:v>14433334.538108774</x:v>
      </x:c>
      <x:c r="N731" s="10">
        <x:f t="shared" si="138"/>
        <x:v>0</x:v>
      </x:c>
      <x:c r="O731" s="10"/>
    </x:row>
    <x:row r="732" spans="1:15" s="7" customFormat="1" outlineLevel="2" x14ac:dyDescent="0.25">
      <x:c r="A732" s="4">
        <x:v>373</x:v>
      </x:c>
      <x:c r="B732" s="5" t="s">
        <x:v>125</x:v>
      </x:c>
      <x:c r="C732" s="6">
        <x:v>11345075.939999999</x:v>
      </x:c>
      <x:c r="D732" s="6">
        <x:v>11345075.939999999</x:v>
      </x:c>
      <x:c r="E732" s="6"/>
      <x:c r="F732" s="7">
        <x:v>30</x:v>
      </x:c>
      <x:c r="G732" s="6">
        <x:v>6.512753</x:v>
      </x:c>
      <x:c r="H732" s="8">
        <x:v>-0.5</x:v>
      </x:c>
      <x:c r="I732" s="6">
        <x:f t="shared" si="135"/>
        <x:v>13323230.041826859</x:v>
      </x:c>
      <x:c r="J732" s="21">
        <x:v>1.073235249600101</x:v>
      </x:c>
      <x:c r="K732" s="9">
        <x:f t="shared" si="136"/>
        <x:v>14298960.119419612</x:v>
      </x:c>
      <x:c r="L732" s="6"/>
      <x:c r="M732" s="10">
        <x:f t="shared" si="137"/>
        <x:v>14298960.119419614</x:v>
      </x:c>
      <x:c r="N732" s="10">
        <x:f t="shared" si="138"/>
        <x:v>0</x:v>
      </x:c>
      <x:c r="O732" s="10"/>
    </x:row>
    <x:row r="733" spans="1:15" s="7" customFormat="1" outlineLevel="2" x14ac:dyDescent="0.25">
      <x:c r="A733" s="4">
        <x:v>373</x:v>
      </x:c>
      <x:c r="B733" s="5" t="s">
        <x:v>126</x:v>
      </x:c>
      <x:c r="C733" s="6">
        <x:v>16440690.369999999</x:v>
      </x:c>
      <x:c r="D733" s="6">
        <x:v>16440690.369999999</x:v>
      </x:c>
      <x:c r="E733" s="6"/>
      <x:c r="F733" s="7">
        <x:v>30</x:v>
      </x:c>
      <x:c r="G733" s="6">
        <x:v>5.5451730000000001</x:v>
      </x:c>
      <x:c r="H733" s="8">
        <x:v>-0.5</x:v>
      </x:c>
      <x:c r="I733" s="6">
        <x:f t="shared" si="135"/>
        <x:v>20102711.937945798</x:v>
      </x:c>
      <x:c r="J733" s="21">
        <x:v>1.073235249600101</x:v>
      </x:c>
      <x:c r="K733" s="9">
        <x:f t="shared" si="136"/>
        <x:v>21574939.064360186</x:v>
      </x:c>
      <x:c r="L733" s="6"/>
      <x:c r="M733" s="10">
        <x:f t="shared" si="137"/>
        <x:v>21574939.064360186</x:v>
      </x:c>
      <x:c r="N733" s="10">
        <x:f t="shared" si="138"/>
        <x:v>0</x:v>
      </x:c>
      <x:c r="O733" s="10"/>
    </x:row>
    <x:row r="734" spans="1:15" s="7" customFormat="1" outlineLevel="2" x14ac:dyDescent="0.25">
      <x:c r="A734" s="4">
        <x:v>373</x:v>
      </x:c>
      <x:c r="B734" s="5" t="s">
        <x:v>38</x:v>
      </x:c>
      <x:c r="C734" s="6">
        <x:v>23249704.899999999</x:v>
      </x:c>
      <x:c r="D734" s="6">
        <x:v>23249704.899999999</x:v>
      </x:c>
      <x:c r="E734" s="6"/>
      <x:c r="F734" s="7">
        <x:v>30</x:v>
      </x:c>
      <x:c r="G734" s="6">
        <x:v>4.6265320000000001</x:v>
      </x:c>
      <x:c r="H734" s="8">
        <x:v>-0.5</x:v>
      </x:c>
      <x:c r="I734" s="6">
        <x:f t="shared" si="135"/>
        <x:v>29496282.164479654</x:v>
      </x:c>
      <x:c r="J734" s="21">
        <x:v>1.073235249600101</x:v>
      </x:c>
      <x:c r="K734" s="9">
        <x:f t="shared" si="136"/>
        <x:v>31656449.751070328</x:v>
      </x:c>
      <x:c r="L734" s="6"/>
      <x:c r="M734" s="10">
        <x:f t="shared" si="137"/>
        <x:v>31656449.751070324</x:v>
      </x:c>
      <x:c r="N734" s="10">
        <x:f t="shared" si="138"/>
        <x:v>0</x:v>
      </x:c>
      <x:c r="O734" s="10"/>
    </x:row>
    <x:row r="735" spans="1:15" s="7" customFormat="1" outlineLevel="2" x14ac:dyDescent="0.25">
      <x:c r="A735" s="4">
        <x:v>373</x:v>
      </x:c>
      <x:c r="B735" s="5" t="s">
        <x:v>127</x:v>
      </x:c>
      <x:c r="C735" s="6">
        <x:v>20413368.289999999</x:v>
      </x:c>
      <x:c r="D735" s="6">
        <x:v>20413368.289999999</x:v>
      </x:c>
      <x:c r="E735" s="6"/>
      <x:c r="F735" s="7">
        <x:v>30</x:v>
      </x:c>
      <x:c r="G735" s="6">
        <x:v>3.7957589999999999</x:v>
      </x:c>
      <x:c r="H735" s="8">
        <x:v>-0.5</x:v>
      </x:c>
      <x:c r="I735" s="6">
        <x:f t="shared" si="135"/>
        <x:v>26745841.114645895</x:v>
      </x:c>
      <x:c r="J735" s="21">
        <x:v>1.073235249600101</x:v>
      </x:c>
      <x:c r="K735" s="9">
        <x:f t="shared" si="136"/>
        <x:v>28704579.464441631</x:v>
      </x:c>
      <x:c r="L735" s="6"/>
      <x:c r="M735" s="10">
        <x:f t="shared" si="137"/>
        <x:v>28704579.464441631</x:v>
      </x:c>
      <x:c r="N735" s="10">
        <x:f t="shared" si="138"/>
        <x:v>0</x:v>
      </x:c>
      <x:c r="O735" s="10"/>
    </x:row>
    <x:row r="736" spans="1:15" s="7" customFormat="1" outlineLevel="2" x14ac:dyDescent="0.25">
      <x:c r="A736" s="4">
        <x:v>373</x:v>
      </x:c>
      <x:c r="B736" s="5" t="s">
        <x:v>39</x:v>
      </x:c>
      <x:c r="C736" s="6">
        <x:v>11565579.880000001</x:v>
      </x:c>
      <x:c r="D736" s="6">
        <x:v>11565579.880000001</x:v>
      </x:c>
      <x:c r="E736" s="6"/>
      <x:c r="F736" s="7">
        <x:v>30</x:v>
      </x:c>
      <x:c r="G736" s="6">
        <x:v>3.0802640000000001</x:v>
      </x:c>
      <x:c r="H736" s="8">
        <x:v>-0.5</x:v>
      </x:c>
      <x:c r="I736" s="6">
        <x:f t="shared" si="135"/>
        <x:v>15567117.852825584</x:v>
      </x:c>
      <x:c r="J736" s="21">
        <x:v>1.073235249600101</x:v>
      </x:c>
      <x:c r="K736" s="9">
        <x:f t="shared" si="136"/>
        <x:v>16707179.614331454</x:v>
      </x:c>
      <x:c r="L736" s="6"/>
      <x:c r="M736" s="10">
        <x:f t="shared" si="137"/>
        <x:v>16707179.614331452</x:v>
      </x:c>
      <x:c r="N736" s="10">
        <x:f t="shared" si="138"/>
        <x:v>0</x:v>
      </x:c>
      <x:c r="O736" s="10"/>
    </x:row>
    <x:row r="737" spans="1:15" s="7" customFormat="1" outlineLevel="2" x14ac:dyDescent="0.25">
      <x:c r="A737" s="4">
        <x:v>373</x:v>
      </x:c>
      <x:c r="B737" s="5" t="s">
        <x:v>40</x:v>
      </x:c>
      <x:c r="C737" s="6">
        <x:v>7174631.46</x:v>
      </x:c>
      <x:c r="D737" s="6">
        <x:v>7174631.46</x:v>
      </x:c>
      <x:c r="E737" s="6"/>
      <x:c r="F737" s="7">
        <x:v>30</x:v>
      </x:c>
      <x:c r="G737" s="6">
        <x:v>2.4924140000000001</x:v>
      </x:c>
      <x:c r="H737" s="8">
        <x:v>-0.5</x:v>
      </x:c>
      <x:c r="I737" s="6">
        <x:f t="shared" si="135"/>
        <x:v>9867839.5952127781</x:v>
      </x:c>
      <x:c r="J737" s="21">
        <x:v>1.073235249600101</x:v>
      </x:c>
      <x:c r="K737" s="9">
        <x:f t="shared" si="136"/>
        <x:v>10590513.290981945</x:v>
      </x:c>
      <x:c r="L737" s="6"/>
      <x:c r="M737" s="10">
        <x:f t="shared" si="137"/>
        <x:v>10590513.290981945</x:v>
      </x:c>
      <x:c r="N737" s="10">
        <x:f t="shared" si="138"/>
        <x:v>0</x:v>
      </x:c>
      <x:c r="O737" s="10"/>
    </x:row>
    <x:row r="738" spans="1:15" s="7" customFormat="1" outlineLevel="2" x14ac:dyDescent="0.25">
      <x:c r="A738" s="4">
        <x:v>373</x:v>
      </x:c>
      <x:c r="B738" s="5" t="s">
        <x:v>41</x:v>
      </x:c>
      <x:c r="C738" s="6">
        <x:v>6129637.6699999999</x:v>
      </x:c>
      <x:c r="D738" s="6">
        <x:v>6129637.6699999999</x:v>
      </x:c>
      <x:c r="E738" s="6"/>
      <x:c r="F738" s="7">
        <x:v>30</x:v>
      </x:c>
      <x:c r="G738" s="6">
        <x:v>2.0302099999999998</x:v>
      </x:c>
      <x:c r="H738" s="8">
        <x:v>-0.5</x:v>
      </x:c>
      <x:c r="I738" s="6">
        <x:f t="shared" si="135"/>
        <x:v>8572233.9202994648</x:v>
      </x:c>
      <x:c r="J738" s="21">
        <x:v>1.073235249600101</x:v>
      </x:c>
      <x:c r="K738" s="9">
        <x:f t="shared" si="136"/>
        <x:v>9194456.504999999</x:v>
      </x:c>
      <x:c r="L738" s="6"/>
      <x:c r="M738" s="10">
        <x:f t="shared" si="137"/>
        <x:v>9194456.504999999</x:v>
      </x:c>
      <x:c r="N738" s="10">
        <x:f t="shared" si="138"/>
        <x:v>0</x:v>
      </x:c>
      <x:c r="O738" s="10"/>
    </x:row>
    <x:row r="739" spans="1:15" s="7" customFormat="1" outlineLevel="2" x14ac:dyDescent="0.25">
      <x:c r="A739" s="4">
        <x:v>373</x:v>
      </x:c>
      <x:c r="B739" s="5" t="s">
        <x:v>42</x:v>
      </x:c>
      <x:c r="C739" s="6">
        <x:v>6132053.96</x:v>
      </x:c>
      <x:c r="D739" s="6">
        <x:v>6132053.96</x:v>
      </x:c>
      <x:c r="E739" s="6"/>
      <x:c r="F739" s="7">
        <x:v>30</x:v>
      </x:c>
      <x:c r="G739" s="6">
        <x:v>1.6720360000000001</x:v>
      </x:c>
      <x:c r="H739" s="8">
        <x:v>-0.5</x:v>
      </x:c>
      <x:c r="I739" s="6">
        <x:f t="shared" si="135"/>
        <x:v>8685430.1912468709</x:v>
      </x:c>
      <x:c r="J739" s="21">
        <x:v>1.073235249600101</x:v>
      </x:c>
      <x:c r="K739" s="9">
        <x:f t="shared" si="136"/>
        <x:v>9198080.9399999995</x:v>
      </x:c>
      <x:c r="L739" s="6"/>
      <x:c r="M739" s="10">
        <x:f t="shared" si="137"/>
        <x:v>9198080.9399999995</x:v>
      </x:c>
      <x:c r="N739" s="10">
        <x:f t="shared" si="138"/>
        <x:v>0</x:v>
      </x:c>
      <x:c r="O739" s="10"/>
    </x:row>
    <x:row r="740" spans="1:15" s="7" customFormat="1" outlineLevel="2" x14ac:dyDescent="0.25">
      <x:c r="A740" s="4">
        <x:v>373</x:v>
      </x:c>
      <x:c r="B740" s="5" t="s">
        <x:v>43</x:v>
      </x:c>
      <x:c r="C740" s="6">
        <x:v>3205070.91</x:v>
      </x:c>
      <x:c r="D740" s="6">
        <x:v>3205070.91</x:v>
      </x:c>
      <x:c r="E740" s="6"/>
      <x:c r="F740" s="7">
        <x:v>30</x:v>
      </x:c>
      <x:c r="G740" s="6">
        <x:v>1.399994</x:v>
      </x:c>
      <x:c r="H740" s="8">
        <x:v>-0.5</x:v>
      </x:c>
      <x:c r="I740" s="6">
        <x:f t="shared" si="135"/>
        <x:v>4583252.3628212735</x:v>
      </x:c>
      <x:c r="J740" s="21">
        <x:v>1.073235249600101</x:v>
      </x:c>
      <x:c r="K740" s="9">
        <x:f t="shared" si="136"/>
        <x:v>4807606.3650000002</x:v>
      </x:c>
      <x:c r="L740" s="6"/>
      <x:c r="M740" s="10">
        <x:f t="shared" si="137"/>
        <x:v>4807606.3650000002</x:v>
      </x:c>
      <x:c r="N740" s="10">
        <x:f t="shared" si="138"/>
        <x:v>0</x:v>
      </x:c>
      <x:c r="O740" s="10"/>
    </x:row>
    <x:row r="741" spans="1:15" s="7" customFormat="1" outlineLevel="2" x14ac:dyDescent="0.25">
      <x:c r="A741" s="4">
        <x:v>373</x:v>
      </x:c>
      <x:c r="B741" s="5" t="s">
        <x:v>44</x:v>
      </x:c>
      <x:c r="C741" s="6">
        <x:v>4694214.26</x:v>
      </x:c>
      <x:c r="D741" s="6">
        <x:v>4694214.26</x:v>
      </x:c>
      <x:c r="E741" s="6"/>
      <x:c r="F741" s="7">
        <x:v>30</x:v>
      </x:c>
      <x:c r="G741" s="6">
        <x:v>1.1877899999999999</x:v>
      </x:c>
      <x:c r="H741" s="8">
        <x:v>-0.5</x:v>
      </x:c>
      <x:c r="I741" s="6">
        <x:f t="shared" si="135"/>
        <x:v>6762534.35220573</x:v>
      </x:c>
      <x:c r="J741" s="21">
        <x:v>1.073235249600101</x:v>
      </x:c>
      <x:c r="K741" s="9">
        <x:f t="shared" si="136"/>
        <x:v>7041321.3899999997</x:v>
      </x:c>
      <x:c r="L741" s="6"/>
      <x:c r="M741" s="10">
        <x:f t="shared" si="137"/>
        <x:v>7041321.3899999997</x:v>
      </x:c>
      <x:c r="N741" s="10">
        <x:f t="shared" si="138"/>
        <x:v>0</x:v>
      </x:c>
      <x:c r="O741" s="10"/>
    </x:row>
    <x:row r="742" spans="1:15" s="7" customFormat="1" outlineLevel="2" x14ac:dyDescent="0.25">
      <x:c r="A742" s="4">
        <x:v>373</x:v>
      </x:c>
      <x:c r="B742" s="5" t="s">
        <x:v>45</x:v>
      </x:c>
      <x:c r="C742" s="6">
        <x:v>2008883.8</x:v>
      </x:c>
      <x:c r="D742" s="6">
        <x:v>2008883.8</x:v>
      </x:c>
      <x:c r="E742" s="6"/>
      <x:c r="F742" s="7">
        <x:v>30</x:v>
      </x:c>
      <x:c r="G742" s="6">
        <x:v>1.0237670000000001</x:v>
      </x:c>
      <x:c r="H742" s="8">
        <x:v>-0.5</x:v>
      </x:c>
      <x:c r="I742" s="6">
        <x:f t="shared" si="135"/>
        <x:v>2910494.2529362701</x:v>
      </x:c>
      <x:c r="J742" s="21">
        <x:v>1.073235249600101</x:v>
      </x:c>
      <x:c r="K742" s="9">
        <x:f t="shared" si="136"/>
        <x:v>3013325.7</x:v>
      </x:c>
      <x:c r="L742" s="6"/>
      <x:c r="M742" s="10">
        <x:f t="shared" si="137"/>
        <x:v>3013325.7</x:v>
      </x:c>
      <x:c r="N742" s="10">
        <x:f t="shared" si="138"/>
        <x:v>0</x:v>
      </x:c>
      <x:c r="O742" s="10"/>
    </x:row>
    <x:row r="743" spans="1:15" s="7" customFormat="1" outlineLevel="2" x14ac:dyDescent="0.25">
      <x:c r="A743" s="4">
        <x:v>373</x:v>
      </x:c>
      <x:c r="B743" s="5" t="s">
        <x:v>46</x:v>
      </x:c>
      <x:c r="C743" s="6">
        <x:v>4300451.2</x:v>
      </x:c>
      <x:c r="D743" s="6">
        <x:v>4300451.2</x:v>
      </x:c>
      <x:c r="E743" s="6"/>
      <x:c r="F743" s="7">
        <x:v>30</x:v>
      </x:c>
      <x:c r="G743" s="6">
        <x:v>0.90517000000000003</x:v>
      </x:c>
      <x:c r="H743" s="8">
        <x:v>-0.5</x:v>
      </x:c>
      <x:c r="I743" s="6">
        <x:f t="shared" si="135"/>
        <x:v>6256044.8293648008</x:v>
      </x:c>
      <x:c r="J743" s="21">
        <x:v>1.073235249600101</x:v>
      </x:c>
      <x:c r="K743" s="9">
        <x:f t="shared" si="136"/>
        <x:v>6450676.8000000007</x:v>
      </x:c>
      <x:c r="L743" s="6"/>
      <x:c r="M743" s="10">
        <x:f t="shared" si="137"/>
        <x:v>6450676.8000000007</x:v>
      </x:c>
      <x:c r="N743" s="10">
        <x:f t="shared" si="138"/>
        <x:v>0</x:v>
      </x:c>
      <x:c r="O743" s="10"/>
    </x:row>
    <x:row r="744" spans="1:15" s="7" customFormat="1" outlineLevel="2" x14ac:dyDescent="0.25">
      <x:c r="A744" s="4">
        <x:v>373</x:v>
      </x:c>
      <x:c r="B744" s="5" t="s">
        <x:v>47</x:v>
      </x:c>
      <x:c r="C744" s="6">
        <x:v>3989322.62</x:v>
      </x:c>
      <x:c r="D744" s="6">
        <x:v>3989322.62</x:v>
      </x:c>
      <x:c r="E744" s="6"/>
      <x:c r="F744" s="7">
        <x:v>30</x:v>
      </x:c>
      <x:c r="G744" s="6">
        <x:v>0.80227300000000001</x:v>
      </x:c>
      <x:c r="H744" s="8">
        <x:v>-0.5</x:v>
      </x:c>
      <x:c r="I744" s="6">
        <x:f t="shared" si="135"/>
        <x:v>5823957.6386842364</x:v>
      </x:c>
      <x:c r="J744" s="21">
        <x:v>1.073235249600101</x:v>
      </x:c>
      <x:c r="K744" s="9">
        <x:f t="shared" si="136"/>
        <x:v>5983983.9299999997</x:v>
      </x:c>
      <x:c r="L744" s="6"/>
      <x:c r="M744" s="10">
        <x:f t="shared" si="137"/>
        <x:v>5983983.9299999997</x:v>
      </x:c>
      <x:c r="N744" s="10">
        <x:f t="shared" si="138"/>
        <x:v>0</x:v>
      </x:c>
      <x:c r="O744" s="10"/>
    </x:row>
    <x:row r="745" spans="1:15" s="7" customFormat="1" outlineLevel="2" x14ac:dyDescent="0.25">
      <x:c r="A745" s="4">
        <x:v>373</x:v>
      </x:c>
      <x:c r="B745" s="5" t="s">
        <x:v>48</x:v>
      </x:c>
      <x:c r="C745" s="6">
        <x:v>1731233.38</x:v>
      </x:c>
      <x:c r="D745" s="6">
        <x:v>1731233.38</x:v>
      </x:c>
      <x:c r="E745" s="6"/>
      <x:c r="F745" s="7">
        <x:v>30</x:v>
      </x:c>
      <x:c r="G745" s="6">
        <x:v>0.72004299999999999</x:v>
      </x:c>
      <x:c r="H745" s="8">
        <x:v>-0.5</x:v>
      </x:c>
      <x:c r="I745" s="6">
        <x:f t="shared" si="135"/>
        <x:v>2534521.9461682327</x:v>
      </x:c>
      <x:c r="J745" s="21">
        <x:v>1.073235249600101</x:v>
      </x:c>
      <x:c r="K745" s="9">
        <x:f t="shared" si="136"/>
        <x:v>2596850.0699999998</x:v>
      </x:c>
      <x:c r="L745" s="6"/>
      <x:c r="M745" s="10">
        <x:f t="shared" si="137"/>
        <x:v>2596850.0699999998</x:v>
      </x:c>
      <x:c r="N745" s="10">
        <x:f t="shared" si="138"/>
        <x:v>0</x:v>
      </x:c>
      <x:c r="O745" s="10"/>
    </x:row>
    <x:row r="746" spans="1:15" s="7" customFormat="1" outlineLevel="2" x14ac:dyDescent="0.25">
      <x:c r="A746" s="4">
        <x:v>373</x:v>
      </x:c>
      <x:c r="B746" s="5" t="s">
        <x:v>49</x:v>
      </x:c>
      <x:c r="C746" s="6">
        <x:v>2014731.81</x:v>
      </x:c>
      <x:c r="D746" s="6">
        <x:v>2014731.81</x:v>
      </x:c>
      <x:c r="E746" s="6"/>
      <x:c r="F746" s="7">
        <x:v>30</x:v>
      </x:c>
      <x:c r="G746" s="6">
        <x:v>0.66896699999999998</x:v>
      </x:c>
      <x:c r="H746" s="8">
        <x:v>-0.5</x:v>
      </x:c>
      <x:c r="I746" s="6">
        <x:f t="shared" si="135"/>
        <x:v>2954708.2602629862</x:v>
      </x:c>
      <x:c r="J746" s="21">
        <x:v>1.073235249600101</x:v>
      </x:c>
      <x:c r="K746" s="9">
        <x:f t="shared" si="136"/>
        <x:v>3022097.7149999999</x:v>
      </x:c>
      <x:c r="L746" s="6"/>
      <x:c r="M746" s="10">
        <x:f t="shared" si="137"/>
        <x:v>3022097.7149999999</x:v>
      </x:c>
      <x:c r="N746" s="10">
        <x:f t="shared" si="138"/>
        <x:v>0</x:v>
      </x:c>
      <x:c r="O746" s="10"/>
    </x:row>
    <x:row r="747" spans="1:15" s="7" customFormat="1" outlineLevel="2" x14ac:dyDescent="0.25">
      <x:c r="A747" s="4">
        <x:v>373</x:v>
      </x:c>
      <x:c r="B747" s="5" t="s">
        <x:v>50</x:v>
      </x:c>
      <x:c r="C747" s="6">
        <x:v>3183616.2</x:v>
      </x:c>
      <x:c r="D747" s="6">
        <x:v>3183616.2</x:v>
      </x:c>
      <x:c r="E747" s="6"/>
      <x:c r="F747" s="7">
        <x:v>30</x:v>
      </x:c>
      <x:c r="G747" s="6">
        <x:v>0.61557600000000001</x:v>
      </x:c>
      <x:c r="H747" s="8">
        <x:v>-0.5</x:v>
      </x:c>
      <x:c r="I747" s="6">
        <x:f t="shared" si="135"/>
        <x:v>4677436.4137034407</x:v>
      </x:c>
      <x:c r="J747" s="21">
        <x:v>1.073235249600101</x:v>
      </x:c>
      <x:c r="K747" s="9">
        <x:f t="shared" si="136"/>
        <x:v>4775424.3000000007</x:v>
      </x:c>
      <x:c r="L747" s="6"/>
      <x:c r="M747" s="10">
        <x:f t="shared" si="137"/>
        <x:v>4775424.3000000007</x:v>
      </x:c>
      <x:c r="N747" s="10">
        <x:f t="shared" si="138"/>
        <x:v>0</x:v>
      </x:c>
      <x:c r="O747" s="10"/>
    </x:row>
    <x:row r="748" spans="1:15" s="7" customFormat="1" outlineLevel="2" x14ac:dyDescent="0.25">
      <x:c r="A748" s="4">
        <x:v>373</x:v>
      </x:c>
      <x:c r="B748" s="5" t="s">
        <x:v>51</x:v>
      </x:c>
      <x:c r="C748" s="6">
        <x:v>3004104.23</x:v>
      </x:c>
      <x:c r="D748" s="6">
        <x:v>3004104.23</x:v>
      </x:c>
      <x:c r="E748" s="6"/>
      <x:c r="F748" s="7">
        <x:v>30</x:v>
      </x:c>
      <x:c r="G748" s="6">
        <x:v>0.56998199999999999</x:v>
      </x:c>
      <x:c r="H748" s="8">
        <x:v>-0.5</x:v>
      </x:c>
      <x:c r="I748" s="6">
        <x:f t="shared" si="135"/>
        <x:v>4420542.0781388069</x:v>
      </x:c>
      <x:c r="J748" s="21">
        <x:v>1.073235249600101</x:v>
      </x:c>
      <x:c r="K748" s="9">
        <x:f t="shared" si="136"/>
        <x:v>4506156.3449999997</x:v>
      </x:c>
      <x:c r="L748" s="6"/>
      <x:c r="M748" s="10">
        <x:f t="shared" si="137"/>
        <x:v>4506156.3449999997</x:v>
      </x:c>
      <x:c r="N748" s="10">
        <x:f t="shared" si="138"/>
        <x:v>0</x:v>
      </x:c>
      <x:c r="O748" s="10"/>
    </x:row>
    <x:row r="749" spans="1:15" s="7" customFormat="1" outlineLevel="2" x14ac:dyDescent="0.25">
      <x:c r="A749" s="4">
        <x:v>373</x:v>
      </x:c>
      <x:c r="B749" s="5" t="s">
        <x:v>52</x:v>
      </x:c>
      <x:c r="C749" s="6">
        <x:v>3142271.47</x:v>
      </x:c>
      <x:c r="D749" s="6">
        <x:v>3142271.47</x:v>
      </x:c>
      <x:c r="E749" s="6"/>
      <x:c r="F749" s="7">
        <x:v>30</x:v>
      </x:c>
      <x:c r="G749" s="6">
        <x:v>0.45</x:v>
      </x:c>
      <x:c r="H749" s="8">
        <x:v>-0.5</x:v>
      </x:c>
      <x:c r="I749" s="6">
        <x:f t="shared" ref="I749:I780" si="143">+C749*(1-H749)*(1-G749/F749)</x:f>
        <x:v>4642706.0969249997</x:v>
      </x:c>
      <x:c r="J749" s="21">
        <x:v>1.073235249600101</x:v>
      </x:c>
      <x:c r="K749" s="9">
        <x:f t="shared" ref="K749:K780" si="144">IF((C749*(1-H749)-I749*J749)&lt;0,C749*(1-H749),I749*J749)</x:f>
        <x:v>4713407.2050000001</x:v>
      </x:c>
      <x:c r="L749" s="6"/>
      <x:c r="M749" s="10">
        <x:f t="shared" ref="M749:M780" si="145">+K749/D749*C749</x:f>
        <x:v>4713407.2050000001</x:v>
      </x:c>
      <x:c r="N749" s="10">
        <x:f t="shared" ref="N749:N780" si="146">+E749/C749*K749</x:f>
        <x:v>0</x:v>
      </x:c>
      <x:c r="O749" s="10"/>
    </x:row>
    <x:row r="750" spans="1:15" s="7" customFormat="1" outlineLevel="2" x14ac:dyDescent="0.25">
      <x:c r="A750" s="4">
        <x:v>373</x:v>
      </x:c>
      <x:c r="B750" s="5" t="s">
        <x:v>53</x:v>
      </x:c>
      <x:c r="C750" s="6">
        <x:v>1386877.21</x:v>
      </x:c>
      <x:c r="D750" s="6">
        <x:v>1386877.21</x:v>
      </x:c>
      <x:c r="E750" s="6"/>
      <x:c r="F750" s="7">
        <x:v>30</x:v>
      </x:c>
      <x:c r="G750" s="6">
        <x:v>0</x:v>
      </x:c>
      <x:c r="H750" s="8">
        <x:v>-0.5</x:v>
      </x:c>
      <x:c r="I750" s="6">
        <x:f t="shared" si="143"/>
        <x:v>2080315.8149999999</x:v>
      </x:c>
      <x:c r="J750" s="21">
        <x:v>1.073235249600101</x:v>
      </x:c>
      <x:c r="K750" s="9">
        <x:f t="shared" si="144"/>
        <x:v>2080315.8149999999</x:v>
      </x:c>
      <x:c r="L750" s="6"/>
      <x:c r="M750" s="10">
        <x:f t="shared" si="145"/>
        <x:v>2080315.8149999999</x:v>
      </x:c>
      <x:c r="N750" s="10">
        <x:f t="shared" si="146"/>
        <x:v>0</x:v>
      </x:c>
      <x:c r="O750" s="10"/>
    </x:row>
    <x:row r="751" spans="1:15" s="7" customFormat="1" outlineLevel="2" x14ac:dyDescent="0.25">
      <x:c r="A751" s="4">
        <x:v>373</x:v>
      </x:c>
      <x:c r="B751" s="5" t="s">
        <x:v>54</x:v>
      </x:c>
      <x:c r="C751" s="6">
        <x:v>1703922.7</x:v>
      </x:c>
      <x:c r="D751" s="6">
        <x:v>1703922.7</x:v>
      </x:c>
      <x:c r="E751" s="6"/>
      <x:c r="F751" s="7">
        <x:v>30</x:v>
      </x:c>
      <x:c r="G751" s="6">
        <x:v>0</x:v>
      </x:c>
      <x:c r="H751" s="8">
        <x:v>-0.5</x:v>
      </x:c>
      <x:c r="I751" s="6">
        <x:f t="shared" si="143"/>
        <x:v>2555884.0499999998</x:v>
      </x:c>
      <x:c r="J751" s="21">
        <x:v>1.073235249600101</x:v>
      </x:c>
      <x:c r="K751" s="9">
        <x:f t="shared" si="144"/>
        <x:v>2555884.0499999998</x:v>
      </x:c>
      <x:c r="L751" s="6"/>
      <x:c r="M751" s="10">
        <x:f t="shared" si="145"/>
        <x:v>2555884.0499999998</x:v>
      </x:c>
      <x:c r="N751" s="10">
        <x:f t="shared" si="146"/>
        <x:v>0</x:v>
      </x:c>
      <x:c r="O751" s="10"/>
    </x:row>
    <x:row r="752" spans="1:15" s="7" customFormat="1" outlineLevel="2" x14ac:dyDescent="0.25">
      <x:c r="A752" s="4">
        <x:v>373</x:v>
      </x:c>
      <x:c r="B752" s="5" t="s">
        <x:v>55</x:v>
      </x:c>
      <x:c r="C752" s="6">
        <x:v>2542608.88</x:v>
      </x:c>
      <x:c r="D752" s="6">
        <x:v>2542608.88</x:v>
      </x:c>
      <x:c r="E752" s="6"/>
      <x:c r="F752" s="7">
        <x:v>30</x:v>
      </x:c>
      <x:c r="G752" s="6">
        <x:v>0</x:v>
      </x:c>
      <x:c r="H752" s="8">
        <x:v>-0.5</x:v>
      </x:c>
      <x:c r="I752" s="6">
        <x:f t="shared" si="143"/>
        <x:v>3813913.32</x:v>
      </x:c>
      <x:c r="J752" s="21">
        <x:v>1.073235249600101</x:v>
      </x:c>
      <x:c r="K752" s="9">
        <x:f t="shared" si="144"/>
        <x:v>3813913.32</x:v>
      </x:c>
      <x:c r="L752" s="6"/>
      <x:c r="M752" s="10">
        <x:f t="shared" si="145"/>
        <x:v>3813913.32</x:v>
      </x:c>
      <x:c r="N752" s="10">
        <x:f t="shared" si="146"/>
        <x:v>0</x:v>
      </x:c>
      <x:c r="O752" s="10"/>
    </x:row>
    <x:row r="753" spans="1:15" s="7" customFormat="1" outlineLevel="2" x14ac:dyDescent="0.25">
      <x:c r="A753" s="4">
        <x:v>373</x:v>
      </x:c>
      <x:c r="B753" s="5" t="s">
        <x:v>56</x:v>
      </x:c>
      <x:c r="C753" s="6">
        <x:v>1395557.1</x:v>
      </x:c>
      <x:c r="D753" s="6">
        <x:v>1395557.1</x:v>
      </x:c>
      <x:c r="E753" s="6"/>
      <x:c r="F753" s="7">
        <x:v>30</x:v>
      </x:c>
      <x:c r="G753" s="6">
        <x:v>0</x:v>
      </x:c>
      <x:c r="H753" s="8">
        <x:v>-0.5</x:v>
      </x:c>
      <x:c r="I753" s="6">
        <x:f t="shared" si="143"/>
        <x:v>2093335.6500000001</x:v>
      </x:c>
      <x:c r="J753" s="21">
        <x:v>1.073235249600101</x:v>
      </x:c>
      <x:c r="K753" s="9">
        <x:f t="shared" si="144"/>
        <x:v>2093335.6500000001</x:v>
      </x:c>
      <x:c r="L753" s="6"/>
      <x:c r="M753" s="10">
        <x:f t="shared" si="145"/>
        <x:v>2093335.6500000001</x:v>
      </x:c>
      <x:c r="N753" s="10">
        <x:f t="shared" si="146"/>
        <x:v>0</x:v>
      </x:c>
      <x:c r="O753" s="10"/>
    </x:row>
    <x:row r="754" spans="1:15" s="7" customFormat="1" outlineLevel="2" x14ac:dyDescent="0.25">
      <x:c r="A754" s="4">
        <x:v>373</x:v>
      </x:c>
      <x:c r="B754" s="5" t="s">
        <x:v>57</x:v>
      </x:c>
      <x:c r="C754" s="6">
        <x:v>1142293.8999999999</x:v>
      </x:c>
      <x:c r="D754" s="6">
        <x:v>1142293.8999999999</x:v>
      </x:c>
      <x:c r="E754" s="6"/>
      <x:c r="F754" s="7">
        <x:v>30</x:v>
      </x:c>
      <x:c r="G754" s="6">
        <x:v>0</x:v>
      </x:c>
      <x:c r="H754" s="8">
        <x:v>-0.5</x:v>
      </x:c>
      <x:c r="I754" s="6">
        <x:f t="shared" si="143"/>
        <x:v>1713440.8499999999</x:v>
      </x:c>
      <x:c r="J754" s="21">
        <x:v>1.073235249600101</x:v>
      </x:c>
      <x:c r="K754" s="9">
        <x:f t="shared" si="144"/>
        <x:v>1713440.8499999999</x:v>
      </x:c>
      <x:c r="L754" s="6"/>
      <x:c r="M754" s="10">
        <x:f t="shared" si="145"/>
        <x:v>1713440.8499999999</x:v>
      </x:c>
      <x:c r="N754" s="10">
        <x:f t="shared" si="146"/>
        <x:v>0</x:v>
      </x:c>
      <x:c r="O754" s="10"/>
    </x:row>
    <x:row r="755" spans="1:15" s="7" customFormat="1" outlineLevel="2" x14ac:dyDescent="0.25">
      <x:c r="A755" s="4">
        <x:v>373</x:v>
      </x:c>
      <x:c r="B755" s="5" t="s">
        <x:v>58</x:v>
      </x:c>
      <x:c r="C755" s="6">
        <x:v>1414468.22</x:v>
      </x:c>
      <x:c r="D755" s="6">
        <x:v>1414468.22</x:v>
      </x:c>
      <x:c r="E755" s="6"/>
      <x:c r="F755" s="7">
        <x:v>30</x:v>
      </x:c>
      <x:c r="G755" s="6">
        <x:v>0</x:v>
      </x:c>
      <x:c r="H755" s="8">
        <x:v>-0.5</x:v>
      </x:c>
      <x:c r="I755" s="6">
        <x:f t="shared" si="143"/>
        <x:v>2121702.33</x:v>
      </x:c>
      <x:c r="J755" s="21">
        <x:v>1.073235249600101</x:v>
      </x:c>
      <x:c r="K755" s="9">
        <x:f t="shared" si="144"/>
        <x:v>2121702.33</x:v>
      </x:c>
      <x:c r="L755" s="6"/>
      <x:c r="M755" s="10">
        <x:f t="shared" si="145"/>
        <x:v>2121702.33</x:v>
      </x:c>
      <x:c r="N755" s="10">
        <x:f t="shared" si="146"/>
        <x:v>0</x:v>
      </x:c>
      <x:c r="O755" s="10"/>
    </x:row>
    <x:row r="756" spans="1:15" s="7" customFormat="1" outlineLevel="2" x14ac:dyDescent="0.25">
      <x:c r="A756" s="4">
        <x:v>373</x:v>
      </x:c>
      <x:c r="B756" s="5" t="s">
        <x:v>59</x:v>
      </x:c>
      <x:c r="C756" s="6">
        <x:v>874260.9</x:v>
      </x:c>
      <x:c r="D756" s="6">
        <x:v>874260.9</x:v>
      </x:c>
      <x:c r="E756" s="6"/>
      <x:c r="F756" s="7">
        <x:v>30</x:v>
      </x:c>
      <x:c r="G756" s="6">
        <x:v>0</x:v>
      </x:c>
      <x:c r="H756" s="8">
        <x:v>-0.5</x:v>
      </x:c>
      <x:c r="I756" s="6">
        <x:f t="shared" si="143"/>
        <x:v>1311391.3500000001</x:v>
      </x:c>
      <x:c r="J756" s="21">
        <x:v>1.073235249600101</x:v>
      </x:c>
      <x:c r="K756" s="9">
        <x:f t="shared" si="144"/>
        <x:v>1311391.3500000001</x:v>
      </x:c>
      <x:c r="L756" s="6"/>
      <x:c r="M756" s="10">
        <x:f t="shared" si="145"/>
        <x:v>1311391.3500000001</x:v>
      </x:c>
      <x:c r="N756" s="10">
        <x:f t="shared" si="146"/>
        <x:v>0</x:v>
      </x:c>
      <x:c r="O756" s="10"/>
    </x:row>
    <x:row r="757" spans="1:15" s="7" customFormat="1" outlineLevel="2" x14ac:dyDescent="0.25">
      <x:c r="A757" s="4">
        <x:v>373</x:v>
      </x:c>
      <x:c r="B757" s="5" t="s">
        <x:v>60</x:v>
      </x:c>
      <x:c r="C757" s="6">
        <x:v>1448907.4</x:v>
      </x:c>
      <x:c r="D757" s="6">
        <x:v>1448907.4</x:v>
      </x:c>
      <x:c r="E757" s="6"/>
      <x:c r="F757" s="7">
        <x:v>30</x:v>
      </x:c>
      <x:c r="G757" s="6">
        <x:v>0</x:v>
      </x:c>
      <x:c r="H757" s="8">
        <x:v>-0.5</x:v>
      </x:c>
      <x:c r="I757" s="6">
        <x:f t="shared" si="143"/>
        <x:v>2173361.0999999996</x:v>
      </x:c>
      <x:c r="J757" s="21">
        <x:v>1.073235249600101</x:v>
      </x:c>
      <x:c r="K757" s="9">
        <x:f t="shared" si="144"/>
        <x:v>2173361.0999999996</x:v>
      </x:c>
      <x:c r="L757" s="6"/>
      <x:c r="M757" s="10">
        <x:f t="shared" si="145"/>
        <x:v>2173361.0999999996</x:v>
      </x:c>
      <x:c r="N757" s="10">
        <x:f t="shared" si="146"/>
        <x:v>0</x:v>
      </x:c>
      <x:c r="O757" s="10"/>
    </x:row>
    <x:row r="758" spans="1:15" s="7" customFormat="1" outlineLevel="2" x14ac:dyDescent="0.25">
      <x:c r="A758" s="4">
        <x:v>373</x:v>
      </x:c>
      <x:c r="B758" s="5" t="s">
        <x:v>61</x:v>
      </x:c>
      <x:c r="C758" s="6">
        <x:v>1292529.6499999999</x:v>
      </x:c>
      <x:c r="D758" s="6">
        <x:v>1292529.6499999999</x:v>
      </x:c>
      <x:c r="E758" s="6"/>
      <x:c r="F758" s="7">
        <x:v>30</x:v>
      </x:c>
      <x:c r="G758" s="6">
        <x:v>0</x:v>
      </x:c>
      <x:c r="H758" s="8">
        <x:v>-0.5</x:v>
      </x:c>
      <x:c r="I758" s="6">
        <x:f t="shared" si="143"/>
        <x:v>1938794.4749999999</x:v>
      </x:c>
      <x:c r="J758" s="21">
        <x:v>1.073235249600101</x:v>
      </x:c>
      <x:c r="K758" s="9">
        <x:f t="shared" si="144"/>
        <x:v>1938794.4749999999</x:v>
      </x:c>
      <x:c r="L758" s="6"/>
      <x:c r="M758" s="10">
        <x:f t="shared" si="145"/>
        <x:v>1938794.4749999999</x:v>
      </x:c>
      <x:c r="N758" s="10">
        <x:f t="shared" si="146"/>
        <x:v>0</x:v>
      </x:c>
      <x:c r="O758" s="10"/>
    </x:row>
    <x:row r="759" spans="1:15" s="7" customFormat="1" outlineLevel="2" x14ac:dyDescent="0.25">
      <x:c r="A759" s="4">
        <x:v>373</x:v>
      </x:c>
      <x:c r="B759" s="5" t="s">
        <x:v>62</x:v>
      </x:c>
      <x:c r="C759" s="6">
        <x:v>1224955.02</x:v>
      </x:c>
      <x:c r="D759" s="6">
        <x:v>1224955.02</x:v>
      </x:c>
      <x:c r="E759" s="6"/>
      <x:c r="F759" s="7">
        <x:v>30</x:v>
      </x:c>
      <x:c r="G759" s="6">
        <x:v>0</x:v>
      </x:c>
      <x:c r="H759" s="8">
        <x:v>-0.5</x:v>
      </x:c>
      <x:c r="I759" s="6">
        <x:f t="shared" si="143"/>
        <x:v>1837432.53</x:v>
      </x:c>
      <x:c r="J759" s="21">
        <x:v>1.073235249600101</x:v>
      </x:c>
      <x:c r="K759" s="9">
        <x:f t="shared" si="144"/>
        <x:v>1837432.53</x:v>
      </x:c>
      <x:c r="L759" s="6"/>
      <x:c r="M759" s="10">
        <x:f t="shared" si="145"/>
        <x:v>1837432.53</x:v>
      </x:c>
      <x:c r="N759" s="10">
        <x:f t="shared" si="146"/>
        <x:v>0</x:v>
      </x:c>
      <x:c r="O759" s="10"/>
    </x:row>
    <x:row r="760" spans="1:15" s="7" customFormat="1" outlineLevel="2" x14ac:dyDescent="0.25">
      <x:c r="A760" s="4">
        <x:v>373</x:v>
      </x:c>
      <x:c r="B760" s="5" t="s">
        <x:v>63</x:v>
      </x:c>
      <x:c r="C760" s="6">
        <x:v>994331.88</x:v>
      </x:c>
      <x:c r="D760" s="6">
        <x:v>994331.88</x:v>
      </x:c>
      <x:c r="E760" s="6"/>
      <x:c r="F760" s="7">
        <x:v>30</x:v>
      </x:c>
      <x:c r="G760" s="6">
        <x:v>0</x:v>
      </x:c>
      <x:c r="H760" s="8">
        <x:v>-0.5</x:v>
      </x:c>
      <x:c r="I760" s="6">
        <x:f t="shared" si="143"/>
        <x:v>1491497.82</x:v>
      </x:c>
      <x:c r="J760" s="21">
        <x:v>1.073235249600101</x:v>
      </x:c>
      <x:c r="K760" s="9">
        <x:f t="shared" si="144"/>
        <x:v>1491497.82</x:v>
      </x:c>
      <x:c r="L760" s="6"/>
      <x:c r="M760" s="10">
        <x:f t="shared" si="145"/>
        <x:v>1491497.82</x:v>
      </x:c>
      <x:c r="N760" s="10">
        <x:f t="shared" si="146"/>
        <x:v>0</x:v>
      </x:c>
      <x:c r="O760" s="10"/>
    </x:row>
    <x:row r="761" spans="1:15" s="7" customFormat="1" outlineLevel="2" x14ac:dyDescent="0.25">
      <x:c r="A761" s="4">
        <x:v>373</x:v>
      </x:c>
      <x:c r="B761" s="5" t="s">
        <x:v>64</x:v>
      </x:c>
      <x:c r="C761" s="6">
        <x:v>979094.05</x:v>
      </x:c>
      <x:c r="D761" s="6">
        <x:v>979094.05</x:v>
      </x:c>
      <x:c r="E761" s="6"/>
      <x:c r="F761" s="7">
        <x:v>30</x:v>
      </x:c>
      <x:c r="G761" s="6">
        <x:v>0</x:v>
      </x:c>
      <x:c r="H761" s="8">
        <x:v>-0.5</x:v>
      </x:c>
      <x:c r="I761" s="6">
        <x:f t="shared" si="143"/>
        <x:v>1468641.0750000002</x:v>
      </x:c>
      <x:c r="J761" s="21">
        <x:v>1.073235249600101</x:v>
      </x:c>
      <x:c r="K761" s="9">
        <x:f t="shared" si="144"/>
        <x:v>1468641.0750000002</x:v>
      </x:c>
      <x:c r="L761" s="6"/>
      <x:c r="M761" s="10">
        <x:f t="shared" si="145"/>
        <x:v>1468641.0750000002</x:v>
      </x:c>
      <x:c r="N761" s="10">
        <x:f t="shared" si="146"/>
        <x:v>0</x:v>
      </x:c>
      <x:c r="O761" s="10"/>
    </x:row>
    <x:row r="762" spans="1:15" s="7" customFormat="1" outlineLevel="2" x14ac:dyDescent="0.25">
      <x:c r="A762" s="4">
        <x:v>373</x:v>
      </x:c>
      <x:c r="B762" s="5" t="s">
        <x:v>65</x:v>
      </x:c>
      <x:c r="C762" s="6">
        <x:v>486566.52</x:v>
      </x:c>
      <x:c r="D762" s="6">
        <x:v>486566.52</x:v>
      </x:c>
      <x:c r="E762" s="6"/>
      <x:c r="F762" s="7">
        <x:v>30</x:v>
      </x:c>
      <x:c r="G762" s="6">
        <x:v>0</x:v>
      </x:c>
      <x:c r="H762" s="8">
        <x:v>-0.5</x:v>
      </x:c>
      <x:c r="I762" s="6">
        <x:f t="shared" si="143"/>
        <x:v>729849.78</x:v>
      </x:c>
      <x:c r="J762" s="21">
        <x:v>1.073235249600101</x:v>
      </x:c>
      <x:c r="K762" s="9">
        <x:f t="shared" si="144"/>
        <x:v>729849.78</x:v>
      </x:c>
      <x:c r="L762" s="6"/>
      <x:c r="M762" s="10">
        <x:f t="shared" si="145"/>
        <x:v>729849.78</x:v>
      </x:c>
      <x:c r="N762" s="10">
        <x:f t="shared" si="146"/>
        <x:v>0</x:v>
      </x:c>
      <x:c r="O762" s="10"/>
    </x:row>
    <x:row r="763" spans="1:15" s="7" customFormat="1" outlineLevel="2" x14ac:dyDescent="0.25">
      <x:c r="A763" s="4">
        <x:v>373</x:v>
      </x:c>
      <x:c r="B763" s="5" t="s">
        <x:v>66</x:v>
      </x:c>
      <x:c r="C763" s="6">
        <x:v>831487.38</x:v>
      </x:c>
      <x:c r="D763" s="6">
        <x:v>831487.38</x:v>
      </x:c>
      <x:c r="E763" s="6"/>
      <x:c r="F763" s="7">
        <x:v>30</x:v>
      </x:c>
      <x:c r="G763" s="6">
        <x:v>0</x:v>
      </x:c>
      <x:c r="H763" s="8">
        <x:v>-0.5</x:v>
      </x:c>
      <x:c r="I763" s="6">
        <x:f t="shared" si="143"/>
        <x:v>1247231.07</x:v>
      </x:c>
      <x:c r="J763" s="21">
        <x:v>1.073235249600101</x:v>
      </x:c>
      <x:c r="K763" s="9">
        <x:f t="shared" si="144"/>
        <x:v>1247231.07</x:v>
      </x:c>
      <x:c r="L763" s="6"/>
      <x:c r="M763" s="10">
        <x:f t="shared" si="145"/>
        <x:v>1247231.07</x:v>
      </x:c>
      <x:c r="N763" s="10">
        <x:f t="shared" si="146"/>
        <x:v>0</x:v>
      </x:c>
      <x:c r="O763" s="10"/>
    </x:row>
    <x:row r="764" spans="1:15" s="7" customFormat="1" outlineLevel="2" x14ac:dyDescent="0.25">
      <x:c r="A764" s="4">
        <x:v>373</x:v>
      </x:c>
      <x:c r="B764" s="5" t="s">
        <x:v>67</x:v>
      </x:c>
      <x:c r="C764" s="6">
        <x:v>1267913.21</x:v>
      </x:c>
      <x:c r="D764" s="6">
        <x:v>1267913.21</x:v>
      </x:c>
      <x:c r="E764" s="6"/>
      <x:c r="F764" s="7">
        <x:v>30</x:v>
      </x:c>
      <x:c r="G764" s="6">
        <x:v>0</x:v>
      </x:c>
      <x:c r="H764" s="8">
        <x:v>-0.5</x:v>
      </x:c>
      <x:c r="I764" s="6">
        <x:f t="shared" si="143"/>
        <x:v>1901869.8149999999</x:v>
      </x:c>
      <x:c r="J764" s="21">
        <x:v>1.073235249600101</x:v>
      </x:c>
      <x:c r="K764" s="9">
        <x:f t="shared" si="144"/>
        <x:v>1901869.8149999999</x:v>
      </x:c>
      <x:c r="L764" s="6"/>
      <x:c r="M764" s="10">
        <x:f t="shared" si="145"/>
        <x:v>1901869.8149999999</x:v>
      </x:c>
      <x:c r="N764" s="10">
        <x:f t="shared" si="146"/>
        <x:v>0</x:v>
      </x:c>
      <x:c r="O764" s="10"/>
    </x:row>
    <x:row r="765" spans="1:15" s="7" customFormat="1" outlineLevel="2" x14ac:dyDescent="0.25">
      <x:c r="A765" s="4">
        <x:v>373</x:v>
      </x:c>
      <x:c r="B765" s="5" t="s">
        <x:v>68</x:v>
      </x:c>
      <x:c r="C765" s="6">
        <x:v>1086970.2</x:v>
      </x:c>
      <x:c r="D765" s="6">
        <x:v>1086970.2</x:v>
      </x:c>
      <x:c r="E765" s="6"/>
      <x:c r="F765" s="7">
        <x:v>30</x:v>
      </x:c>
      <x:c r="G765" s="6">
        <x:v>0</x:v>
      </x:c>
      <x:c r="H765" s="8">
        <x:v>-0.5</x:v>
      </x:c>
      <x:c r="I765" s="6">
        <x:f t="shared" si="143"/>
        <x:v>1630455.2999999998</x:v>
      </x:c>
      <x:c r="J765" s="21">
        <x:v>1.073235249600101</x:v>
      </x:c>
      <x:c r="K765" s="9">
        <x:f t="shared" si="144"/>
        <x:v>1630455.2999999998</x:v>
      </x:c>
      <x:c r="L765" s="6"/>
      <x:c r="M765" s="10">
        <x:f t="shared" si="145"/>
        <x:v>1630455.2999999998</x:v>
      </x:c>
      <x:c r="N765" s="10">
        <x:f t="shared" si="146"/>
        <x:v>0</x:v>
      </x:c>
      <x:c r="O765" s="10"/>
    </x:row>
    <x:row r="766" spans="1:15" s="7" customFormat="1" outlineLevel="2" x14ac:dyDescent="0.25">
      <x:c r="A766" s="4">
        <x:v>373</x:v>
      </x:c>
      <x:c r="B766" s="5" t="s">
        <x:v>69</x:v>
      </x:c>
      <x:c r="C766" s="6">
        <x:v>491142.36</x:v>
      </x:c>
      <x:c r="D766" s="6">
        <x:v>491142.36</x:v>
      </x:c>
      <x:c r="E766" s="6"/>
      <x:c r="F766" s="7">
        <x:v>30</x:v>
      </x:c>
      <x:c r="G766" s="6">
        <x:v>0</x:v>
      </x:c>
      <x:c r="H766" s="8">
        <x:v>-0.5</x:v>
      </x:c>
      <x:c r="I766" s="6">
        <x:f t="shared" si="143"/>
        <x:v>736713.54</x:v>
      </x:c>
      <x:c r="J766" s="21">
        <x:v>1.073235249600101</x:v>
      </x:c>
      <x:c r="K766" s="9">
        <x:f t="shared" si="144"/>
        <x:v>736713.54</x:v>
      </x:c>
      <x:c r="L766" s="6"/>
      <x:c r="M766" s="10">
        <x:f t="shared" si="145"/>
        <x:v>736713.54</x:v>
      </x:c>
      <x:c r="N766" s="10">
        <x:f t="shared" si="146"/>
        <x:v>0</x:v>
      </x:c>
      <x:c r="O766" s="10"/>
    </x:row>
    <x:row r="767" spans="1:15" s="7" customFormat="1" outlineLevel="2" x14ac:dyDescent="0.25">
      <x:c r="A767" s="4">
        <x:v>373</x:v>
      </x:c>
      <x:c r="B767" s="5" t="s">
        <x:v>70</x:v>
      </x:c>
      <x:c r="C767" s="6">
        <x:v>158907.46</x:v>
      </x:c>
      <x:c r="D767" s="6">
        <x:v>158907.46</x:v>
      </x:c>
      <x:c r="E767" s="6"/>
      <x:c r="F767" s="7">
        <x:v>30</x:v>
      </x:c>
      <x:c r="G767" s="6">
        <x:v>0</x:v>
      </x:c>
      <x:c r="H767" s="8">
        <x:v>-0.5</x:v>
      </x:c>
      <x:c r="I767" s="6">
        <x:f t="shared" si="143"/>
        <x:v>238361.19</x:v>
      </x:c>
      <x:c r="J767" s="21">
        <x:v>1.073235249600101</x:v>
      </x:c>
      <x:c r="K767" s="9">
        <x:f t="shared" si="144"/>
        <x:v>238361.19</x:v>
      </x:c>
      <x:c r="L767" s="6"/>
      <x:c r="M767" s="10">
        <x:f t="shared" si="145"/>
        <x:v>238361.19</x:v>
      </x:c>
      <x:c r="N767" s="10">
        <x:f t="shared" si="146"/>
        <x:v>0</x:v>
      </x:c>
      <x:c r="O767" s="10"/>
    </x:row>
    <x:row r="768" spans="1:15" s="7" customFormat="1" outlineLevel="2" x14ac:dyDescent="0.25">
      <x:c r="A768" s="4">
        <x:v>373</x:v>
      </x:c>
      <x:c r="B768" s="5" t="s">
        <x:v>71</x:v>
      </x:c>
      <x:c r="C768" s="6">
        <x:v>1698113.79</x:v>
      </x:c>
      <x:c r="D768" s="6">
        <x:v>1698113.79</x:v>
      </x:c>
      <x:c r="E768" s="6"/>
      <x:c r="F768" s="7">
        <x:v>30</x:v>
      </x:c>
      <x:c r="G768" s="6">
        <x:v>0</x:v>
      </x:c>
      <x:c r="H768" s="8">
        <x:v>-0.5</x:v>
      </x:c>
      <x:c r="I768" s="6">
        <x:f t="shared" si="143"/>
        <x:v>2547170.6850000001</x:v>
      </x:c>
      <x:c r="J768" s="21">
        <x:v>1.073235249600101</x:v>
      </x:c>
      <x:c r="K768" s="9">
        <x:f t="shared" si="144"/>
        <x:v>2547170.6850000001</x:v>
      </x:c>
      <x:c r="L768" s="6"/>
      <x:c r="M768" s="10">
        <x:f t="shared" si="145"/>
        <x:v>2547170.6850000001</x:v>
      </x:c>
      <x:c r="N768" s="10">
        <x:f t="shared" si="146"/>
        <x:v>0</x:v>
      </x:c>
      <x:c r="O768" s="10"/>
    </x:row>
    <x:row r="769" spans="1:15" s="7" customFormat="1" outlineLevel="2" x14ac:dyDescent="0.25">
      <x:c r="A769" s="4">
        <x:v>373</x:v>
      </x:c>
      <x:c r="B769" s="5" t="s">
        <x:v>72</x:v>
      </x:c>
      <x:c r="C769" s="6">
        <x:v>9481.43</x:v>
      </x:c>
      <x:c r="D769" s="6">
        <x:v>9481.43</x:v>
      </x:c>
      <x:c r="E769" s="6"/>
      <x:c r="F769" s="7">
        <x:v>30</x:v>
      </x:c>
      <x:c r="G769" s="6">
        <x:v>0</x:v>
      </x:c>
      <x:c r="H769" s="8">
        <x:v>-0.5</x:v>
      </x:c>
      <x:c r="I769" s="6">
        <x:f t="shared" si="143"/>
        <x:v>14222.145</x:v>
      </x:c>
      <x:c r="J769" s="21">
        <x:v>1.073235249600101</x:v>
      </x:c>
      <x:c r="K769" s="9">
        <x:f t="shared" si="144"/>
        <x:v>14222.145</x:v>
      </x:c>
      <x:c r="L769" s="6"/>
      <x:c r="M769" s="10">
        <x:f t="shared" si="145"/>
        <x:v>14222.145</x:v>
      </x:c>
      <x:c r="N769" s="10">
        <x:f t="shared" si="146"/>
        <x:v>0</x:v>
      </x:c>
      <x:c r="O769" s="10"/>
    </x:row>
    <x:row r="770" spans="1:15" s="7" customFormat="1" outlineLevel="2" x14ac:dyDescent="0.25">
      <x:c r="A770" s="4">
        <x:v>373</x:v>
      </x:c>
      <x:c r="B770" s="5" t="s">
        <x:v>73</x:v>
      </x:c>
      <x:c r="C770" s="6">
        <x:v>1412.32</x:v>
      </x:c>
      <x:c r="D770" s="6">
        <x:v>1412.32</x:v>
      </x:c>
      <x:c r="E770" s="6"/>
      <x:c r="F770" s="7">
        <x:v>30</x:v>
      </x:c>
      <x:c r="G770" s="6">
        <x:v>0</x:v>
      </x:c>
      <x:c r="H770" s="8">
        <x:v>-0.5</x:v>
      </x:c>
      <x:c r="I770" s="6">
        <x:f t="shared" si="143"/>
        <x:v>2118.48</x:v>
      </x:c>
      <x:c r="J770" s="21">
        <x:v>1.073235249600101</x:v>
      </x:c>
      <x:c r="K770" s="9">
        <x:f t="shared" si="144"/>
        <x:v>2118.48</x:v>
      </x:c>
      <x:c r="L770" s="6"/>
      <x:c r="M770" s="10">
        <x:f t="shared" si="145"/>
        <x:v>2118.48</x:v>
      </x:c>
      <x:c r="N770" s="10">
        <x:f t="shared" si="146"/>
        <x:v>0</x:v>
      </x:c>
      <x:c r="O770" s="10"/>
    </x:row>
    <x:row r="771" spans="1:15" s="7" customFormat="1" outlineLevel="2" x14ac:dyDescent="0.25">
      <x:c r="A771" s="4">
        <x:v>373</x:v>
      </x:c>
      <x:c r="B771" s="5" t="s">
        <x:v>74</x:v>
      </x:c>
      <x:c r="C771" s="6">
        <x:v>0.8</x:v>
      </x:c>
      <x:c r="D771" s="6">
        <x:v>0.8</x:v>
      </x:c>
      <x:c r="E771" s="6"/>
      <x:c r="F771" s="7">
        <x:v>30</x:v>
      </x:c>
      <x:c r="G771" s="6">
        <x:v>0</x:v>
      </x:c>
      <x:c r="H771" s="8">
        <x:v>-0.5</x:v>
      </x:c>
      <x:c r="I771" s="6">
        <x:f t="shared" si="143"/>
        <x:v>1.2000000000000002</x:v>
      </x:c>
      <x:c r="J771" s="21">
        <x:v>1.073235249600101</x:v>
      </x:c>
      <x:c r="K771" s="9">
        <x:f t="shared" si="144"/>
        <x:v>1.2000000000000002</x:v>
      </x:c>
      <x:c r="L771" s="6"/>
      <x:c r="M771" s="10">
        <x:f t="shared" si="145"/>
        <x:v>1.2000000000000002</x:v>
      </x:c>
      <x:c r="N771" s="10">
        <x:f t="shared" si="146"/>
        <x:v>0</x:v>
      </x:c>
      <x:c r="O771" s="10"/>
    </x:row>
    <x:row r="772" spans="1:15" s="7" customFormat="1" outlineLevel="2" x14ac:dyDescent="0.25">
      <x:c r="A772" s="4">
        <x:v>373</x:v>
      </x:c>
      <x:c r="B772" s="5" t="s">
        <x:v>75</x:v>
      </x:c>
      <x:c r="C772" s="6">
        <x:v>143.11000000000001</x:v>
      </x:c>
      <x:c r="D772" s="6">
        <x:v>143.11000000000001</x:v>
      </x:c>
      <x:c r="E772" s="6"/>
      <x:c r="F772" s="7">
        <x:v>30</x:v>
      </x:c>
      <x:c r="G772" s="6">
        <x:v>0</x:v>
      </x:c>
      <x:c r="H772" s="8">
        <x:v>-0.5</x:v>
      </x:c>
      <x:c r="I772" s="6">
        <x:f t="shared" si="143"/>
        <x:v>214.66500000000002</x:v>
      </x:c>
      <x:c r="J772" s="21">
        <x:v>1.073235249600101</x:v>
      </x:c>
      <x:c r="K772" s="9">
        <x:f t="shared" si="144"/>
        <x:v>214.66500000000002</x:v>
      </x:c>
      <x:c r="L772" s="6"/>
      <x:c r="M772" s="10">
        <x:f t="shared" si="145"/>
        <x:v>214.66500000000002</x:v>
      </x:c>
      <x:c r="N772" s="10">
        <x:f t="shared" si="146"/>
        <x:v>0</x:v>
      </x:c>
      <x:c r="O772" s="10"/>
    </x:row>
    <x:row r="773" spans="1:15" s="7" customFormat="1" outlineLevel="2" x14ac:dyDescent="0.25">
      <x:c r="A773" s="4">
        <x:v>373</x:v>
      </x:c>
      <x:c r="B773" s="5" t="s">
        <x:v>76</x:v>
      </x:c>
      <x:c r="C773" s="6">
        <x:v>10.53</x:v>
      </x:c>
      <x:c r="D773" s="6">
        <x:v>10.53</x:v>
      </x:c>
      <x:c r="E773" s="6"/>
      <x:c r="F773" s="7">
        <x:v>30</x:v>
      </x:c>
      <x:c r="G773" s="6">
        <x:v>0</x:v>
      </x:c>
      <x:c r="H773" s="8">
        <x:v>-0.5</x:v>
      </x:c>
      <x:c r="I773" s="6">
        <x:f t="shared" si="143"/>
        <x:v>15.794999999999998</x:v>
      </x:c>
      <x:c r="J773" s="21">
        <x:v>1.073235249600101</x:v>
      </x:c>
      <x:c r="K773" s="9">
        <x:f t="shared" si="144"/>
        <x:v>15.794999999999998</x:v>
      </x:c>
      <x:c r="L773" s="6"/>
      <x:c r="M773" s="10">
        <x:f t="shared" si="145"/>
        <x:v>15.794999999999998</x:v>
      </x:c>
      <x:c r="N773" s="10">
        <x:f t="shared" si="146"/>
        <x:v>0</x:v>
      </x:c>
      <x:c r="O773" s="10"/>
    </x:row>
    <x:row r="774" spans="1:15" s="7" customFormat="1" outlineLevel="2" x14ac:dyDescent="0.25">
      <x:c r="A774" s="4">
        <x:v>373</x:v>
      </x:c>
      <x:c r="B774" s="5" t="s">
        <x:v>77</x:v>
      </x:c>
      <x:c r="C774" s="6">
        <x:v>0.47</x:v>
      </x:c>
      <x:c r="D774" s="6">
        <x:v>0.47</x:v>
      </x:c>
      <x:c r="E774" s="6"/>
      <x:c r="F774" s="7">
        <x:v>30</x:v>
      </x:c>
      <x:c r="G774" s="6">
        <x:v>0</x:v>
      </x:c>
      <x:c r="H774" s="8">
        <x:v>-0.5</x:v>
      </x:c>
      <x:c r="I774" s="6">
        <x:f t="shared" si="143"/>
        <x:v>0.70499999999999996</x:v>
      </x:c>
      <x:c r="J774" s="21">
        <x:v>1.073235249600101</x:v>
      </x:c>
      <x:c r="K774" s="9">
        <x:f t="shared" si="144"/>
        <x:v>0.70499999999999996</x:v>
      </x:c>
      <x:c r="L774" s="6"/>
      <x:c r="M774" s="10">
        <x:f t="shared" si="145"/>
        <x:v>0.70499999999999996</x:v>
      </x:c>
      <x:c r="N774" s="10">
        <x:f t="shared" si="146"/>
        <x:v>0</x:v>
      </x:c>
      <x:c r="O774" s="10"/>
    </x:row>
    <x:row r="775" spans="1:15" s="7" customFormat="1" outlineLevel="2" x14ac:dyDescent="0.25">
      <x:c r="A775" s="4">
        <x:v>373</x:v>
      </x:c>
      <x:c r="B775" s="5" t="s">
        <x:v>78</x:v>
      </x:c>
      <x:c r="C775" s="6">
        <x:v>-427.17</x:v>
      </x:c>
      <x:c r="D775" s="6">
        <x:v>-427.17</x:v>
      </x:c>
      <x:c r="E775" s="6"/>
      <x:c r="F775" s="7">
        <x:v>30</x:v>
      </x:c>
      <x:c r="G775" s="6">
        <x:v>0</x:v>
      </x:c>
      <x:c r="H775" s="8">
        <x:v>-0.5</x:v>
      </x:c>
      <x:c r="I775" s="6">
        <x:f t="shared" si="143"/>
        <x:v>-640.755</x:v>
      </x:c>
      <x:c r="J775" s="21">
        <x:v>1.073235249600101</x:v>
      </x:c>
      <x:c r="K775" s="9">
        <x:f t="shared" si="144"/>
        <x:v>-687.68085235751266</x:v>
      </x:c>
      <x:c r="L775" s="6"/>
      <x:c r="M775" s="10">
        <x:f t="shared" si="145"/>
        <x:v>-687.68085235751266</x:v>
      </x:c>
      <x:c r="N775" s="10">
        <x:f t="shared" si="146"/>
        <x:v>0</x:v>
      </x:c>
      <x:c r="O775" s="10"/>
    </x:row>
    <x:row r="776" spans="1:15" s="7" customFormat="1" outlineLevel="2" x14ac:dyDescent="0.25">
      <x:c r="A776" s="4">
        <x:v>373</x:v>
      </x:c>
      <x:c r="B776" s="5" t="s">
        <x:v>79</x:v>
      </x:c>
      <x:c r="C776" s="6">
        <x:v>263.67</x:v>
      </x:c>
      <x:c r="D776" s="6">
        <x:v>263.67</x:v>
      </x:c>
      <x:c r="E776" s="6"/>
      <x:c r="F776" s="7">
        <x:v>30</x:v>
      </x:c>
      <x:c r="G776" s="6">
        <x:v>0</x:v>
      </x:c>
      <x:c r="H776" s="8">
        <x:v>-0.5</x:v>
      </x:c>
      <x:c r="I776" s="6">
        <x:f t="shared" si="143"/>
        <x:v>395.505</x:v>
      </x:c>
      <x:c r="J776" s="21">
        <x:v>1.073235249600101</x:v>
      </x:c>
      <x:c r="K776" s="9">
        <x:f t="shared" si="144"/>
        <x:v>395.505</x:v>
      </x:c>
      <x:c r="L776" s="6"/>
      <x:c r="M776" s="10">
        <x:f t="shared" si="145"/>
        <x:v>395.505</x:v>
      </x:c>
      <x:c r="N776" s="10">
        <x:f t="shared" si="146"/>
        <x:v>0</x:v>
      </x:c>
      <x:c r="O776" s="10"/>
    </x:row>
    <x:row r="777" spans="1:15" s="7" customFormat="1" outlineLevel="2" x14ac:dyDescent="0.25">
      <x:c r="A777" s="4">
        <x:v>373</x:v>
      </x:c>
      <x:c r="B777" s="5" t="s">
        <x:v>80</x:v>
      </x:c>
      <x:c r="C777" s="6">
        <x:v>364.22</x:v>
      </x:c>
      <x:c r="D777" s="6">
        <x:v>364.22</x:v>
      </x:c>
      <x:c r="E777" s="6"/>
      <x:c r="F777" s="7">
        <x:v>30</x:v>
      </x:c>
      <x:c r="G777" s="6">
        <x:v>0</x:v>
      </x:c>
      <x:c r="H777" s="8">
        <x:v>-0.5</x:v>
      </x:c>
      <x:c r="I777" s="6">
        <x:f t="shared" si="143"/>
        <x:v>546.33000000000004</x:v>
      </x:c>
      <x:c r="J777" s="21">
        <x:v>1.073235249600101</x:v>
      </x:c>
      <x:c r="K777" s="9">
        <x:f t="shared" si="144"/>
        <x:v>546.33000000000004</x:v>
      </x:c>
      <x:c r="L777" s="6"/>
      <x:c r="M777" s="10">
        <x:f t="shared" si="145"/>
        <x:v>546.33000000000004</x:v>
      </x:c>
      <x:c r="N777" s="10">
        <x:f t="shared" si="146"/>
        <x:v>0</x:v>
      </x:c>
      <x:c r="O777" s="10"/>
    </x:row>
    <x:row r="778" spans="1:15" s="7" customFormat="1" outlineLevel="2" x14ac:dyDescent="0.25">
      <x:c r="A778" s="4">
        <x:v>373</x:v>
      </x:c>
      <x:c r="B778" s="5" t="s">
        <x:v>81</x:v>
      </x:c>
      <x:c r="C778" s="6">
        <x:v>27.3</x:v>
      </x:c>
      <x:c r="D778" s="6">
        <x:v>27.3</x:v>
      </x:c>
      <x:c r="E778" s="6"/>
      <x:c r="F778" s="7">
        <x:v>30</x:v>
      </x:c>
      <x:c r="G778" s="6">
        <x:v>0</x:v>
      </x:c>
      <x:c r="H778" s="8">
        <x:v>-0.5</x:v>
      </x:c>
      <x:c r="I778" s="6">
        <x:f t="shared" si="143"/>
        <x:v>40.950000000000003</x:v>
      </x:c>
      <x:c r="J778" s="21">
        <x:v>1.073235249600101</x:v>
      </x:c>
      <x:c r="K778" s="9">
        <x:f t="shared" si="144"/>
        <x:v>40.950000000000003</x:v>
      </x:c>
      <x:c r="L778" s="6"/>
      <x:c r="M778" s="10">
        <x:f t="shared" si="145"/>
        <x:v>40.950000000000003</x:v>
      </x:c>
      <x:c r="N778" s="10">
        <x:f t="shared" si="146"/>
        <x:v>0</x:v>
      </x:c>
      <x:c r="O778" s="10"/>
    </x:row>
    <x:row r="779" spans="1:15" s="7" customFormat="1" outlineLevel="2" x14ac:dyDescent="0.25">
      <x:c r="A779" s="4">
        <x:v>373</x:v>
      </x:c>
      <x:c r="B779" s="5" t="s">
        <x:v>82</x:v>
      </x:c>
      <x:c r="C779" s="6">
        <x:v>87.61</x:v>
      </x:c>
      <x:c r="D779" s="6">
        <x:v>87.61</x:v>
      </x:c>
      <x:c r="E779" s="6"/>
      <x:c r="F779" s="7">
        <x:v>30</x:v>
      </x:c>
      <x:c r="G779" s="6">
        <x:v>0</x:v>
      </x:c>
      <x:c r="H779" s="8">
        <x:v>-0.5</x:v>
      </x:c>
      <x:c r="I779" s="6">
        <x:f t="shared" si="143"/>
        <x:v>131.41499999999999</x:v>
      </x:c>
      <x:c r="J779" s="21">
        <x:v>1.073235249600101</x:v>
      </x:c>
      <x:c r="K779" s="9">
        <x:f t="shared" si="144"/>
        <x:v>131.41499999999999</x:v>
      </x:c>
      <x:c r="L779" s="6"/>
      <x:c r="M779" s="10">
        <x:f t="shared" si="145"/>
        <x:v>131.41499999999999</x:v>
      </x:c>
      <x:c r="N779" s="10">
        <x:f t="shared" si="146"/>
        <x:v>0</x:v>
      </x:c>
      <x:c r="O779" s="10"/>
    </x:row>
    <x:row r="780" spans="1:15" s="7" customFormat="1" outlineLevel="2" x14ac:dyDescent="0.25">
      <x:c r="A780" s="4">
        <x:v>373</x:v>
      </x:c>
      <x:c r="B780" s="5" t="s">
        <x:v>83</x:v>
      </x:c>
      <x:c r="C780" s="6">
        <x:v>32109.759999999998</x:v>
      </x:c>
      <x:c r="D780" s="6">
        <x:v>32109.759999999998</x:v>
      </x:c>
      <x:c r="E780" s="6"/>
      <x:c r="F780" s="7">
        <x:v>30</x:v>
      </x:c>
      <x:c r="G780" s="6">
        <x:v>0</x:v>
      </x:c>
      <x:c r="H780" s="8">
        <x:v>-0.5</x:v>
      </x:c>
      <x:c r="I780" s="6">
        <x:f t="shared" si="143"/>
        <x:v>48164.639999999999</x:v>
      </x:c>
      <x:c r="J780" s="21">
        <x:v>1.073235249600101</x:v>
      </x:c>
      <x:c r="K780" s="9">
        <x:f t="shared" si="144"/>
        <x:v>48164.639999999999</x:v>
      </x:c>
      <x:c r="L780" s="6"/>
      <x:c r="M780" s="10">
        <x:f t="shared" si="145"/>
        <x:v>48164.639999999999</x:v>
      </x:c>
      <x:c r="N780" s="10">
        <x:f t="shared" si="146"/>
        <x:v>0</x:v>
      </x:c>
      <x:c r="O780" s="10"/>
    </x:row>
    <x:row r="781" spans="1:15" s="7" customFormat="1" outlineLevel="2" x14ac:dyDescent="0.25">
      <x:c r="A781" s="4">
        <x:v>373</x:v>
      </x:c>
      <x:c r="B781" s="5" t="s">
        <x:v>84</x:v>
      </x:c>
      <x:c r="C781" s="6">
        <x:v>352.21</x:v>
      </x:c>
      <x:c r="D781" s="6">
        <x:v>352.21</x:v>
      </x:c>
      <x:c r="E781" s="6"/>
      <x:c r="F781" s="7">
        <x:v>30</x:v>
      </x:c>
      <x:c r="G781" s="6">
        <x:v>0</x:v>
      </x:c>
      <x:c r="H781" s="8">
        <x:v>-0.5</x:v>
      </x:c>
      <x:c r="I781" s="6">
        <x:f t="shared" ref="I781:I785" si="147">+C781*(1-H781)*(1-G781/F781)</x:f>
        <x:v>528.31499999999994</x:v>
      </x:c>
      <x:c r="J781" s="21">
        <x:v>1.073235249600101</x:v>
      </x:c>
      <x:c r="K781" s="9">
        <x:f t="shared" ref="K781:K785" si="148">IF((C781*(1-H781)-I781*J781)&lt;0,C781*(1-H781),I781*J781)</x:f>
        <x:v>528.31499999999994</x:v>
      </x:c>
      <x:c r="L781" s="6"/>
      <x:c r="M781" s="10">
        <x:f t="shared" ref="M781:M785" si="149">+K781/D781*C781</x:f>
        <x:v>528.31499999999994</x:v>
      </x:c>
      <x:c r="N781" s="10">
        <x:f t="shared" ref="N781:N785" si="150">+E781/C781*K781</x:f>
        <x:v>0</x:v>
      </x:c>
      <x:c r="O781" s="10"/>
    </x:row>
    <x:row r="782" spans="1:15" s="7" customFormat="1" outlineLevel="2" x14ac:dyDescent="0.25">
      <x:c r="A782" s="4">
        <x:v>373</x:v>
      </x:c>
      <x:c r="B782" s="5" t="s">
        <x:v>85</x:v>
      </x:c>
      <x:c r="C782" s="6">
        <x:v>77.98</x:v>
      </x:c>
      <x:c r="D782" s="6">
        <x:v>77.98</x:v>
      </x:c>
      <x:c r="E782" s="6"/>
      <x:c r="F782" s="7">
        <x:v>30</x:v>
      </x:c>
      <x:c r="G782" s="6">
        <x:v>0</x:v>
      </x:c>
      <x:c r="H782" s="8">
        <x:v>-0.5</x:v>
      </x:c>
      <x:c r="I782" s="6">
        <x:f t="shared" si="147"/>
        <x:v>116.97</x:v>
      </x:c>
      <x:c r="J782" s="21">
        <x:v>1.073235249600101</x:v>
      </x:c>
      <x:c r="K782" s="9">
        <x:f t="shared" si="148"/>
        <x:v>116.97</x:v>
      </x:c>
      <x:c r="L782" s="6"/>
      <x:c r="M782" s="10">
        <x:f t="shared" si="149"/>
        <x:v>116.97</x:v>
      </x:c>
      <x:c r="N782" s="10">
        <x:f t="shared" si="150"/>
        <x:v>0</x:v>
      </x:c>
      <x:c r="O782" s="10"/>
    </x:row>
    <x:row r="783" spans="1:15" s="7" customFormat="1" outlineLevel="2" x14ac:dyDescent="0.25">
      <x:c r="A783" s="4">
        <x:v>373</x:v>
      </x:c>
      <x:c r="B783" s="5" t="s">
        <x:v>86</x:v>
      </x:c>
      <x:c r="C783" s="6">
        <x:v>118.94</x:v>
      </x:c>
      <x:c r="D783" s="6">
        <x:v>118.94</x:v>
      </x:c>
      <x:c r="E783" s="6"/>
      <x:c r="F783" s="7">
        <x:v>30</x:v>
      </x:c>
      <x:c r="G783" s="6">
        <x:v>0</x:v>
      </x:c>
      <x:c r="H783" s="8">
        <x:v>-0.5</x:v>
      </x:c>
      <x:c r="I783" s="6">
        <x:f t="shared" si="147"/>
        <x:v>178.41</x:v>
      </x:c>
      <x:c r="J783" s="21">
        <x:v>1.073235249600101</x:v>
      </x:c>
      <x:c r="K783" s="9">
        <x:f t="shared" si="148"/>
        <x:v>178.41</x:v>
      </x:c>
      <x:c r="L783" s="6"/>
      <x:c r="M783" s="10">
        <x:f t="shared" si="149"/>
        <x:v>178.41</x:v>
      </x:c>
      <x:c r="N783" s="10">
        <x:f t="shared" si="150"/>
        <x:v>0</x:v>
      </x:c>
      <x:c r="O783" s="10"/>
    </x:row>
    <x:row r="784" spans="1:15" s="7" customFormat="1" outlineLevel="2" x14ac:dyDescent="0.25">
      <x:c r="A784" s="4">
        <x:v>373</x:v>
      </x:c>
      <x:c r="B784" s="5" t="s">
        <x:v>96</x:v>
      </x:c>
      <x:c r="C784" s="6">
        <x:v>15.29</x:v>
      </x:c>
      <x:c r="D784" s="6">
        <x:v>15.29</x:v>
      </x:c>
      <x:c r="E784" s="6"/>
      <x:c r="F784" s="7">
        <x:v>30</x:v>
      </x:c>
      <x:c r="G784" s="6">
        <x:v>0</x:v>
      </x:c>
      <x:c r="H784" s="8">
        <x:v>-0.5</x:v>
      </x:c>
      <x:c r="I784" s="6">
        <x:f t="shared" si="147"/>
        <x:v>22.934999999999999</x:v>
      </x:c>
      <x:c r="J784" s="21">
        <x:v>1.073235249600101</x:v>
      </x:c>
      <x:c r="K784" s="9">
        <x:f t="shared" si="148"/>
        <x:v>22.934999999999999</x:v>
      </x:c>
      <x:c r="L784" s="6"/>
      <x:c r="M784" s="10">
        <x:f t="shared" si="149"/>
        <x:v>22.934999999999999</x:v>
      </x:c>
      <x:c r="N784" s="10">
        <x:f t="shared" si="150"/>
        <x:v>0</x:v>
      </x:c>
      <x:c r="O784" s="10"/>
    </x:row>
    <x:row r="785" spans="1:15" s="7" customFormat="1" outlineLevel="2" x14ac:dyDescent="0.25">
      <x:c r="A785" s="4">
        <x:v>373</x:v>
      </x:c>
      <x:c r="B785" s="5" t="s">
        <x:v>128</x:v>
      </x:c>
      <x:c r="C785" s="6">
        <x:v>137.74</x:v>
      </x:c>
      <x:c r="D785" s="6">
        <x:v>137.74</x:v>
      </x:c>
      <x:c r="E785" s="6"/>
      <x:c r="F785" s="7">
        <x:v>30</x:v>
      </x:c>
      <x:c r="G785" s="6">
        <x:v>0</x:v>
      </x:c>
      <x:c r="H785" s="8">
        <x:v>-0.5</x:v>
      </x:c>
      <x:c r="I785" s="6">
        <x:f t="shared" si="147"/>
        <x:v>206.61</x:v>
      </x:c>
      <x:c r="J785" s="21">
        <x:v>1.073235249600101</x:v>
      </x:c>
      <x:c r="K785" s="9">
        <x:f t="shared" si="148"/>
        <x:v>206.61</x:v>
      </x:c>
      <x:c r="L785" s="6"/>
      <x:c r="M785" s="10">
        <x:f t="shared" si="149"/>
        <x:v>206.61</x:v>
      </x:c>
      <x:c r="N785" s="10">
        <x:f t="shared" si="150"/>
        <x:v>0</x:v>
      </x:c>
      <x:c r="O785" s="10"/>
    </x:row>
    <x:row r="786" spans="1:15" s="7" customFormat="1" outlineLevel="1" x14ac:dyDescent="0.25">
      <x:c r="A786" s="11" t="s">
        <x:v>10</x:v>
      </x:c>
      <x:c r="B786" s="5"/>
      <x:c r="C786" s="6">
        <x:f>SUBTOTAL(9,C709:C785)</x:f>
        <x:v>543768085.23000002</x:v>
      </x:c>
      <x:c r="D786" s="6"/>
      <x:c r="E786" s="6"/>
      <x:c r="G786" s="6"/>
      <x:c r="H786" s="8"/>
      <x:c r="I786" s="6">
        <x:f>SUBTOTAL(9,I709:I785)</x:f>
        <x:v>357648551.77295792</x:v>
      </x:c>
      <x:c r="J786" s="23">
        <x:v>1.073235249600101</x:v>
      </x:c>
      <x:c r="K786" s="6">
        <x:f>SUBTOTAL(9,K709:K785)</x:f>
        <x:v>379251735.43260646</x:v>
      </x:c>
      <x:c r="L786" s="2"/>
      <x:c r="M786" s="6">
        <x:f>SUBTOTAL(9,M709:M785)</x:f>
        <x:v>379251735.43260646</x:v>
      </x:c>
      <x:c r="N786" s="6">
        <x:f>SUBTOTAL(9,N709:N785)</x:f>
        <x:v>0</x:v>
      </x:c>
      <x:c r="O786" s="10"/>
    </x:row>
    <x:row r="787" spans="1:15" s="7" customFormat="1" outlineLevel="2" x14ac:dyDescent="0.25">
      <x:c r="A787" s="12" t="s">
        <x:v>11</x:v>
      </x:c>
      <x:c r="B787" s="5" t="s">
        <x:v>23</x:v>
      </x:c>
      <x:c r="C787" s="6">
        <x:v>30025705.25</x:v>
      </x:c>
      <x:c r="D787" s="6"/>
      <x:c r="E787" s="6">
        <x:v>30025705.25</x:v>
      </x:c>
      <x:c r="F787" s="7">
        <x:v>20</x:v>
      </x:c>
      <x:c r="G787" s="6">
        <x:v>19.689674</x:v>
      </x:c>
      <x:c r="H787" s="8">
        <x:v>-7.0000000000000007E-2</x:v>
      </x:c>
      <x:c r="I787" s="6">
        <x:f t="shared" ref="I787:I801" si="151">+C787*(1-H787)*(1-G787/F787)</x:f>
        <x:v>498499.99989651656</x:v>
      </x:c>
      <x:c r="J787" s="21">
        <x:v>1.0732368459910058</x:v>
      </x:c>
      <x:c r="K787" s="9">
        <x:f t="shared" ref="K787:K801" si="152">IF((C787*(1-H787)-I787*J787)&lt;0,C787*(1-H787),I787*J787)</x:f>
        <x:v>535008.56761545409</x:v>
      </x:c>
      <x:c r="L787" s="6"/>
      <x:c r="M787" s="10">
        <x:v>0</x:v>
      </x:c>
      <x:c r="N787" s="10">
        <x:f>+E787/C787*K787</x:f>
        <x:v>535008.56761545409</x:v>
      </x:c>
      <x:c r="O787" s="10"/>
    </x:row>
    <x:row r="788" spans="1:15" s="7" customFormat="1" outlineLevel="2" x14ac:dyDescent="0.25">
      <x:c r="A788" s="12" t="s">
        <x:v>11</x:v>
      </x:c>
      <x:c r="B788" s="5" t="s">
        <x:v>24</x:v>
      </x:c>
      <x:c r="C788" s="6">
        <x:v>29497530.699999999</x:v>
      </x:c>
      <x:c r="D788" s="6"/>
      <x:c r="E788" s="6">
        <x:v>29497530.699999999</x:v>
      </x:c>
      <x:c r="F788" s="7">
        <x:v>20</x:v>
      </x:c>
      <x:c r="G788" s="6">
        <x:v>19.072261999999998</x:v>
      </x:c>
      <x:c r="H788" s="8">
        <x:v>-7.0000000000000007E-2</x:v>
      </x:c>
      <x:c r="I788" s="6">
        <x:f t="shared" ref="I788:I795" si="153">+C788*(1-H788)*(1-G788/F788)</x:f>
        <x:v>1464079.9373057818</x:v>
      </x:c>
      <x:c r="J788" s="21">
        <x:v>1.0732368459910058</x:v>
      </x:c>
      <x:c r="K788" s="9">
        <x:f t="shared" ref="K788:K795" si="154">IF((C788*(1-H788)-I788*J788)&lt;0,C788*(1-H788),I788*J788)</x:f>
        <x:v>1571304.5341927668</x:v>
      </x:c>
      <x:c r="L788" s="6"/>
      <x:c r="M788" s="10">
        <x:v>0</x:v>
      </x:c>
      <x:c r="N788" s="10">
        <x:f t="shared" ref="N788:N793" si="155">+E788/C788*K788</x:f>
        <x:v>1571304.5341927668</x:v>
      </x:c>
      <x:c r="O788" s="10"/>
    </x:row>
    <x:row r="789" spans="1:15" s="7" customFormat="1" outlineLevel="2" x14ac:dyDescent="0.25">
      <x:c r="A789" s="12" t="s">
        <x:v>11</x:v>
      </x:c>
      <x:c r="B789" s="5" t="s">
        <x:v>25</x:v>
      </x:c>
      <x:c r="C789" s="6">
        <x:v>27893814.859999999</x:v>
      </x:c>
      <x:c r="D789" s="6"/>
      <x:c r="E789" s="6">
        <x:v>27893814.859999999</x:v>
      </x:c>
      <x:c r="F789" s="7">
        <x:v>20</x:v>
      </x:c>
      <x:c r="G789" s="6">
        <x:v>18.459108000000001</x:v>
      </x:c>
      <x:c r="H789" s="8">
        <x:v>-7.0000000000000007E-2</x:v>
      </x:c>
      <x:c r="I789" s="6">
        <x:f t="shared" si="153"/>
        <x:v>2299502.5549481497</x:v>
      </x:c>
      <x:c r="J789" s="21">
        <x:v>1.0732368459910058</x:v>
      </x:c>
      <x:c r="K789" s="9">
        <x:f t="shared" si="154"/>
        <x:v>2467910.8694208115</x:v>
      </x:c>
      <x:c r="L789" s="6"/>
      <x:c r="M789" s="10">
        <x:v>0</x:v>
      </x:c>
      <x:c r="N789" s="10">
        <x:f t="shared" si="155"/>
        <x:v>2467910.8694208115</x:v>
      </x:c>
      <x:c r="O789" s="10"/>
    </x:row>
    <x:row r="790" spans="1:15" s="7" customFormat="1" outlineLevel="2" x14ac:dyDescent="0.25">
      <x:c r="A790" s="12" t="s">
        <x:v>11</x:v>
      </x:c>
      <x:c r="B790" s="5" t="s">
        <x:v>26</x:v>
      </x:c>
      <x:c r="C790" s="6">
        <x:v>28295861.280000001</x:v>
      </x:c>
      <x:c r="D790" s="6"/>
      <x:c r="E790" s="6">
        <x:v>28295861.280000001</x:v>
      </x:c>
      <x:c r="F790" s="7">
        <x:v>20</x:v>
      </x:c>
      <x:c r="G790" s="6">
        <x:v>17.850002</x:v>
      </x:c>
      <x:c r="H790" s="8">
        <x:v>-7.0000000000000007E-2</x:v>
      </x:c>
      <x:c r="I790" s="6">
        <x:f t="shared" si="153"/>
        <x:v>3254728.4160748431</x:v>
      </x:c>
      <x:c r="J790" s="21">
        <x:v>1.0732368459910058</x:v>
      </x:c>
      <x:c r="K790" s="9">
        <x:f t="shared" si="154"/>
        <x:v>3493094.4598254664</x:v>
      </x:c>
      <x:c r="L790" s="6"/>
      <x:c r="M790" s="10">
        <x:v>0</x:v>
      </x:c>
      <x:c r="N790" s="10">
        <x:f t="shared" si="155"/>
        <x:v>3493094.4598254664</x:v>
      </x:c>
      <x:c r="O790" s="10"/>
    </x:row>
    <x:row r="791" spans="1:15" s="7" customFormat="1" outlineLevel="2" x14ac:dyDescent="0.25">
      <x:c r="A791" s="12" t="s">
        <x:v>11</x:v>
      </x:c>
      <x:c r="B791" s="5" t="s">
        <x:v>117</x:v>
      </x:c>
      <x:c r="C791" s="6">
        <x:v>36583732.130000003</x:v>
      </x:c>
      <x:c r="D791" s="6"/>
      <x:c r="E791" s="6">
        <x:v>36583732.130000003</x:v>
      </x:c>
      <x:c r="F791" s="7">
        <x:v>20</x:v>
      </x:c>
      <x:c r="G791" s="6">
        <x:v>17.244688</x:v>
      </x:c>
      <x:c r="H791" s="8">
        <x:v>-7.0000000000000007E-2</x:v>
      </x:c>
      <x:c r="I791" s="6">
        <x:f t="shared" si="153"/>
        <x:v>5392778.3936277414</x:v>
      </x:c>
      <x:c r="J791" s="21">
        <x:v>1.0732368459910058</x:v>
      </x:c>
      <x:c r="K791" s="9">
        <x:f t="shared" si="154"/>
        <x:v>5787728.4743054798</x:v>
      </x:c>
      <x:c r="L791" s="6"/>
      <x:c r="M791" s="10">
        <x:v>0</x:v>
      </x:c>
      <x:c r="N791" s="10">
        <x:f t="shared" si="155"/>
        <x:v>5787728.4743054798</x:v>
      </x:c>
      <x:c r="O791" s="10"/>
    </x:row>
    <x:row r="792" spans="1:15" s="7" customFormat="1" outlineLevel="2" x14ac:dyDescent="0.25">
      <x:c r="A792" s="12" t="s">
        <x:v>11</x:v>
      </x:c>
      <x:c r="B792" s="5" t="s">
        <x:v>27</x:v>
      </x:c>
      <x:c r="C792" s="6">
        <x:v>35455933.409999996</x:v>
      </x:c>
      <x:c r="D792" s="6"/>
      <x:c r="E792" s="6">
        <x:v>35455933.409999996</x:v>
      </x:c>
      <x:c r="F792" s="7">
        <x:v>20</x:v>
      </x:c>
      <x:c r="G792" s="6">
        <x:v>16.642863999999999</x:v>
      </x:c>
      <x:c r="H792" s="8">
        <x:v>-7.0000000000000007E-2</x:v>
      </x:c>
      <x:c r="I792" s="6">
        <x:f t="shared" si="153"/>
        <x:v>6368125.8898407873</x:v>
      </x:c>
      <x:c r="J792" s="21">
        <x:v>1.0732368459910058</x:v>
      </x:c>
      <x:c r="K792" s="9">
        <x:f t="shared" si="154"/>
        <x:v>6834507.3448863933</x:v>
      </x:c>
      <x:c r="L792" s="6"/>
      <x:c r="M792" s="10">
        <x:v>0</x:v>
      </x:c>
      <x:c r="N792" s="10">
        <x:f t="shared" si="155"/>
        <x:v>6834507.3448863933</x:v>
      </x:c>
      <x:c r="O792" s="10"/>
    </x:row>
    <x:row r="793" spans="1:15" s="7" customFormat="1" outlineLevel="2" x14ac:dyDescent="0.25">
      <x:c r="A793" s="12" t="s">
        <x:v>11</x:v>
      </x:c>
      <x:c r="B793" s="5" t="s">
        <x:v>28</x:v>
      </x:c>
      <x:c r="C793" s="6">
        <x:v>36010258.009999998</x:v>
      </x:c>
      <x:c r="D793" s="6"/>
      <x:c r="E793" s="6">
        <x:v>36010258.009999998</x:v>
      </x:c>
      <x:c r="F793" s="7">
        <x:v>20</x:v>
      </x:c>
      <x:c r="G793" s="6">
        <x:v>16.044233999999999</x:v>
      </x:c>
      <x:c r="H793" s="8">
        <x:v>-7.0000000000000007E-2</x:v>
      </x:c>
      <x:c r="I793" s="6">
        <x:f t="shared" si="153"/>
        <x:v>7620976.2543644337</x:v>
      </x:c>
      <x:c r="J793" s="21">
        <x:v>1.0732368459910058</x:v>
      </x:c>
      <x:c r="K793" s="9">
        <x:f t="shared" si="154"/>
        <x:v>8179112.5186064336</x:v>
      </x:c>
      <x:c r="L793" s="6"/>
      <x:c r="M793" s="10">
        <x:v>0</x:v>
      </x:c>
      <x:c r="N793" s="10">
        <x:f t="shared" si="155"/>
        <x:v>8179112.5186064336</x:v>
      </x:c>
      <x:c r="O793" s="10"/>
    </x:row>
    <x:row r="794" spans="1:15" s="7" customFormat="1" outlineLevel="2" x14ac:dyDescent="0.25">
      <x:c r="A794" s="12" t="s">
        <x:v>11</x:v>
      </x:c>
      <x:c r="B794" s="5" t="s">
        <x:v>29</x:v>
      </x:c>
      <x:c r="C794" s="6">
        <x:v>19652700.120000001</x:v>
      </x:c>
      <x:c r="D794" s="6"/>
      <x:c r="E794" s="6">
        <x:v>19652700.120000001</x:v>
      </x:c>
      <x:c r="F794" s="7">
        <x:v>20</x:v>
      </x:c>
      <x:c r="G794" s="6">
        <x:v>15.448909</x:v>
      </x:c>
      <x:c r="H794" s="8">
        <x:v>-7.0000000000000007E-2</x:v>
      </x:c>
      <x:c r="I794" s="6">
        <x:f t="shared" si="153"/>
        <x:v>4785105.6253379546</x:v>
      </x:c>
      <x:c r="J794" s="21">
        <x:v>1.0732368459910058</x:v>
      </x:c>
      <x:c r="K794" s="9">
        <x:f t="shared" si="154"/>
        <x:v>5135551.6690715253</x:v>
      </x:c>
      <x:c r="L794" s="6"/>
      <x:c r="M794" s="10">
        <x:v>0</x:v>
      </x:c>
      <x:c r="N794" s="10">
        <x:f>+E794/C794*K794</x:f>
        <x:v>5135551.6690715253</x:v>
      </x:c>
      <x:c r="O794" s="10"/>
    </x:row>
    <x:row r="795" spans="1:15" s="7" customFormat="1" outlineLevel="2" x14ac:dyDescent="0.25">
      <x:c r="A795" s="12" t="s">
        <x:v>11</x:v>
      </x:c>
      <x:c r="B795" s="5" t="s">
        <x:v>30</x:v>
      </x:c>
      <x:c r="C795" s="6">
        <x:v>17181197.43</x:v>
      </x:c>
      <x:c r="D795" s="6"/>
      <x:c r="E795" s="6">
        <x:v>17181197.43</x:v>
      </x:c>
      <x:c r="F795" s="7">
        <x:v>20</x:v>
      </x:c>
      <x:c r="G795" s="6">
        <x:v>14.857538</x:v>
      </x:c>
      <x:c r="H795" s="8">
        <x:v>-7.0000000000000007E-2</x:v>
      </x:c>
      <x:c r="I795" s="6">
        <x:f t="shared" si="153"/>
        <x:v>4726920.5370575888</x:v>
      </x:c>
      <x:c r="J795" s="21">
        <x:v>1.0732368459910058</x:v>
      </x:c>
      <x:c r="K795" s="9">
        <x:f t="shared" si="154"/>
        <x:v>5073105.2884417977</x:v>
      </x:c>
      <x:c r="L795" s="6"/>
      <x:c r="M795" s="10">
        <x:v>0</x:v>
      </x:c>
      <x:c r="N795" s="10">
        <x:f t="shared" ref="N795:N796" si="156">+E795/C795*K795</x:f>
        <x:v>5073105.2884417977</x:v>
      </x:c>
      <x:c r="O795" s="10"/>
    </x:row>
    <x:row r="796" spans="1:15" s="7" customFormat="1" outlineLevel="2" x14ac:dyDescent="0.25">
      <x:c r="A796" s="12" t="s">
        <x:v>11</x:v>
      </x:c>
      <x:c r="B796" s="5" t="s">
        <x:v>31</x:v>
      </x:c>
      <x:c r="C796" s="6">
        <x:v>7232807.25</x:v>
      </x:c>
      <x:c r="D796" s="6"/>
      <x:c r="E796" s="6">
        <x:v>7232807.25</x:v>
      </x:c>
      <x:c r="F796" s="7">
        <x:v>20</x:v>
      </x:c>
      <x:c r="G796" s="6">
        <x:v>14.271051999999999</x:v>
      </x:c>
      <x:c r="H796" s="8">
        <x:v>-7.0000000000000007E-2</x:v>
      </x:c>
      <x:c r="I796" s="6">
        <x:f t="shared" si="151"/>
        <x:v>2216846.1496661059</x:v>
      </x:c>
      <x:c r="J796" s="21">
        <x:v>1.0732368459910058</x:v>
      </x:c>
      <x:c r="K796" s="9">
        <x:f t="shared" si="152"/>
        <x:v>2379200.9697149564</x:v>
      </x:c>
      <x:c r="L796" s="6"/>
      <x:c r="M796" s="10">
        <x:v>0</x:v>
      </x:c>
      <x:c r="N796" s="10">
        <x:f t="shared" si="156"/>
        <x:v>2379200.9697149564</x:v>
      </x:c>
      <x:c r="O796" s="10"/>
    </x:row>
    <x:row r="797" spans="1:15" s="7" customFormat="1" outlineLevel="2" x14ac:dyDescent="0.25">
      <x:c r="A797" s="12" t="s">
        <x:v>11</x:v>
      </x:c>
      <x:c r="B797" s="5" t="s">
        <x:v>32</x:v>
      </x:c>
      <x:c r="C797" s="6">
        <x:v>4610001.5</x:v>
      </x:c>
      <x:c r="D797" s="6"/>
      <x:c r="E797" s="6">
        <x:v>4610001.5</x:v>
      </x:c>
      <x:c r="F797" s="7">
        <x:v>20</x:v>
      </x:c>
      <x:c r="G797" s="6">
        <x:v>13.690493999999999</x:v>
      </x:c>
      <x:c r="H797" s="8">
        <x:v>-7.0000000000000007E-2</x:v>
      </x:c>
      <x:c r="I797" s="6">
        <x:f t="shared" si="151"/>
        <x:v>1556145.5186478568</x:v>
      </x:c>
      <x:c r="J797" s="21">
        <x:v>1.0732368459910058</x:v>
      </x:c>
      <x:c r="K797" s="9">
        <x:f t="shared" si="152"/>
        <x:v>1670112.7083366637</x:v>
      </x:c>
      <x:c r="L797" s="6"/>
      <x:c r="M797" s="10">
        <x:v>0</x:v>
      </x:c>
      <x:c r="N797" s="10">
        <x:f t="shared" ref="N797:N801" si="157">+E797/C797*K797</x:f>
        <x:v>1670112.7083366637</x:v>
      </x:c>
      <x:c r="O797" s="10"/>
    </x:row>
    <x:row r="798" spans="1:15" s="7" customFormat="1" outlineLevel="2" x14ac:dyDescent="0.25">
      <x:c r="A798" s="12" t="s">
        <x:v>11</x:v>
      </x:c>
      <x:c r="B798" s="5" t="s">
        <x:v>33</x:v>
      </x:c>
      <x:c r="C798" s="6">
        <x:v>2946070.49</x:v>
      </x:c>
      <x:c r="D798" s="6"/>
      <x:c r="E798" s="6">
        <x:v>2946070.49</x:v>
      </x:c>
      <x:c r="F798" s="7">
        <x:v>20</x:v>
      </x:c>
      <x:c r="G798" s="6">
        <x:v>13.116935</x:v>
      </x:c>
      <x:c r="H798" s="8">
        <x:v>-7.0000000000000007E-2</x:v>
      </x:c>
      <x:c r="I798" s="6">
        <x:f t="shared" si="151"/>
        <x:v>1084872.7152329742</x:v>
      </x:c>
      <x:c r="J798" s="21">
        <x:v>1.0732368459910058</x:v>
      </x:c>
      <x:c r="K798" s="9">
        <x:f t="shared" si="152"/>
        <x:v>1164325.3711983357</x:v>
      </x:c>
      <x:c r="L798" s="6"/>
      <x:c r="M798" s="10">
        <x:v>0</x:v>
      </x:c>
      <x:c r="N798" s="10">
        <x:f t="shared" si="157"/>
        <x:v>1164325.3711983357</x:v>
      </x:c>
      <x:c r="O798" s="10"/>
    </x:row>
    <x:row r="799" spans="1:15" s="7" customFormat="1" outlineLevel="2" x14ac:dyDescent="0.25">
      <x:c r="A799" s="12" t="s">
        <x:v>11</x:v>
      </x:c>
      <x:c r="B799" s="5" t="s">
        <x:v>118</x:v>
      </x:c>
      <x:c r="C799" s="6">
        <x:v>1625.34</x:v>
      </x:c>
      <x:c r="D799" s="6"/>
      <x:c r="E799" s="6">
        <x:v>1625.34</x:v>
      </x:c>
      <x:c r="F799" s="7">
        <x:v>20</x:v>
      </x:c>
      <x:c r="G799" s="6">
        <x:v>12.551399</x:v>
      </x:c>
      <x:c r="H799" s="8">
        <x:v>-7.0000000000000007E-2</x:v>
      </x:c>
      <x:c r="I799" s="6">
        <x:f t="shared" si="151"/>
        <x:v>647.69823948968997</x:v>
      </x:c>
      <x:c r="J799" s="21">
        <x:v>1.0732368459910058</x:v>
      </x:c>
      <x:c r="K799" s="9">
        <x:f t="shared" si="152"/>
        <x:v>695.133615703842</x:v>
      </x:c>
      <x:c r="L799" s="6"/>
      <x:c r="M799" s="10">
        <x:v>0</x:v>
      </x:c>
      <x:c r="N799" s="10">
        <x:f t="shared" si="157"/>
        <x:v>695.133615703842</x:v>
      </x:c>
      <x:c r="O799" s="10"/>
    </x:row>
    <x:row r="800" spans="1:15" s="7" customFormat="1" outlineLevel="2" x14ac:dyDescent="0.25">
      <x:c r="A800" s="12" t="s">
        <x:v>11</x:v>
      </x:c>
      <x:c r="B800" s="5" t="s">
        <x:v>119</x:v>
      </x:c>
      <x:c r="C800" s="6">
        <x:v>1625.34</x:v>
      </x:c>
      <x:c r="D800" s="6"/>
      <x:c r="E800" s="6">
        <x:v>1625.34</x:v>
      </x:c>
      <x:c r="F800" s="7">
        <x:v>20</x:v>
      </x:c>
      <x:c r="G800" s="6">
        <x:v>11.994816</x:v>
      </x:c>
      <x:c r="H800" s="8">
        <x:v>-7.0000000000000007E-2</x:v>
      </x:c>
      <x:c r="I800" s="6">
        <x:f t="shared" si="151"/>
        <x:v>696.09629829696007</x:v>
      </x:c>
      <x:c r="J800" s="21">
        <x:v>1.0732368459910058</x:v>
      </x:c>
      <x:c r="K800" s="9">
        <x:f t="shared" si="152"/>
        <x:v>747.07619569024371</x:v>
      </x:c>
      <x:c r="L800" s="6"/>
      <x:c r="M800" s="10">
        <x:v>0</x:v>
      </x:c>
      <x:c r="N800" s="10">
        <x:f t="shared" si="157"/>
        <x:v>747.07619569024371</x:v>
      </x:c>
      <x:c r="O800" s="10"/>
    </x:row>
    <x:row r="801" spans="1:15" s="7" customFormat="1" outlineLevel="2" x14ac:dyDescent="0.25">
      <x:c r="A801" s="12" t="s">
        <x:v>11</x:v>
      </x:c>
      <x:c r="B801" s="5" t="s">
        <x:v>34</x:v>
      </x:c>
      <x:c r="C801" s="6">
        <x:v>1625.34</x:v>
      </x:c>
      <x:c r="D801" s="6"/>
      <x:c r="E801" s="6">
        <x:v>1625.34</x:v>
      </x:c>
      <x:c r="F801" s="7">
        <x:v>20</x:v>
      </x:c>
      <x:c r="G801" s="6">
        <x:v>11.447997000000001</x:v>
      </x:c>
      <x:c r="H801" s="8">
        <x:v>-7.0000000000000007E-2</x:v>
      </x:c>
      <x:c r="I801" s="6">
        <x:f t="shared" si="151"/>
        <x:v>743.64532174706994</x:v>
      </x:c>
      <x:c r="J801" s="21">
        <x:v>1.0732368459910058</x:v>
      </x:c>
      <x:c r="K801" s="9">
        <x:f t="shared" si="152"/>
        <x:v>798.10755964779207</x:v>
      </x:c>
      <x:c r="L801" s="6"/>
      <x:c r="M801" s="10">
        <x:v>0</x:v>
      </x:c>
      <x:c r="N801" s="10">
        <x:f t="shared" si="157"/>
        <x:v>798.10755964779207</x:v>
      </x:c>
      <x:c r="O801" s="10"/>
    </x:row>
    <x:row r="802" spans="1:15" s="7" customFormat="1" outlineLevel="1" x14ac:dyDescent="0.25">
      <x:c r="A802" s="13" t="s">
        <x:v>21</x:v>
      </x:c>
      <x:c r="B802" s="5"/>
      <x:c r="C802" s="6">
        <x:f>SUBTOTAL(9,C787:C801)</x:f>
        <x:v>275390488.44999993</x:v>
      </x:c>
      <x:c r="D802" s="6"/>
      <x:c r="E802" s="6"/>
      <x:c r="G802" s="6"/>
      <x:c r="H802" s="8"/>
      <x:c r="I802" s="6">
        <x:f>SUBTOTAL(9,I787:I801)</x:f>
        <x:v>41270669.431860276</x:v>
      </x:c>
      <x:c r="J802" s="23">
        <x:v>1.0732368459910058</x:v>
      </x:c>
      <x:c r="K802" s="6">
        <x:f>SUBTOTAL(9,K787:K801)</x:f>
        <x:v>44293203.092987128</x:v>
      </x:c>
      <x:c r="L802" s="6"/>
      <x:c r="M802" s="6">
        <x:f>SUBTOTAL(9,M787:M801)</x:f>
        <x:v>0</x:v>
      </x:c>
      <x:c r="N802" s="6">
        <x:f>SUBTOTAL(9,N787:N801)</x:f>
        <x:v>44293203.092987128</x:v>
      </x:c>
      <x:c r="O802" s="10"/>
    </x:row>
    <x:row r="803" spans="1:15" s="7" customFormat="1" x14ac:dyDescent="0.25">
      <x:c r="A803" s="13" t="s">
        <x:v>2</x:v>
      </x:c>
      <x:c r="B803" s="5"/>
      <x:c r="C803" s="6">
        <x:f>SUBTOTAL(9,C3:C801)</x:f>
        <x:v>16552133663.899998</x:v>
      </x:c>
      <x:c r="D803" s="6"/>
      <x:c r="E803" s="6"/>
      <x:c r="G803" s="6"/>
      <x:c r="H803" s="8"/>
      <x:c r="I803" s="6">
        <x:f>SUBTOTAL(9,I3:I801)</x:f>
        <x:v>5276808741.3170357</x:v>
      </x:c>
      <x:c r="J803" s="21"/>
      <x:c r="K803" s="6">
        <x:f>SUBTOTAL(9,K3:K801)</x:f>
        <x:v>5638910154.4000044</x:v>
      </x:c>
      <x:c r="L803" s="6"/>
      <x:c r="M803" s="6">
        <x:f>SUBTOTAL(9,M3:M801)</x:f>
        <x:v>5594616951.3070173</x:v>
      </x:c>
      <x:c r="N803" s="6">
        <x:f>SUBTOTAL(9,N3:N801)</x:f>
        <x:v>44293203.092987128</x:v>
      </x:c>
      <x:c r="O803" s="10"/>
    </x:row>
    <x:row r="804" spans="1:15" s="7" customFormat="1" x14ac:dyDescent="0.25">
      <x:c r="B804" s="17"/>
      <x:c r="C804" s="6"/>
      <x:c r="D804" s="6"/>
      <x:c r="E804" s="6"/>
      <x:c r="G804" s="6"/>
      <x:c r="H804" s="8"/>
      <x:c r="I804" s="6"/>
      <x:c r="J804" s="21"/>
      <x:c r="L804" s="6"/>
    </x:row>
    <x:row r="805" spans="1:15" s="7" customFormat="1" x14ac:dyDescent="0.25">
      <x:c r="C805" s="6"/>
      <x:c r="D805" s="6"/>
      <x:c r="E805" s="6"/>
      <x:c r="G805" s="6"/>
      <x:c r="H805" s="8"/>
      <x:c r="I805" s="6"/>
      <x:c r="J805" s="21"/>
      <x:c r="K805" s="6"/>
      <x:c r="L805" s="6"/>
      <x:c r="N805" s="10"/>
    </x:row>
    <x:row r="806" spans="1:15" s="7" customFormat="1" x14ac:dyDescent="0.25">
      <x:c r="A806" s="17"/>
      <x:c r="C806" s="6"/>
      <x:c r="D806" s="6"/>
      <x:c r="E806" s="6"/>
      <x:c r="G806" s="6"/>
      <x:c r="H806" s="8"/>
      <x:c r="I806" s="6"/>
      <x:c r="J806" s="21"/>
      <x:c r="K806" s="6"/>
      <x:c r="L806" s="6"/>
    </x:row>
    <x:row r="807" spans="1:15" s="7" customFormat="1" x14ac:dyDescent="0.25">
      <x:c r="A807" s="7" t="s">
        <x:v>138</x:v>
      </x:c>
      <x:c r="B807" s="7">
        <x:v>2024</x:v>
      </x:c>
      <x:c r="C807" s="6">
        <x:v>20601820.440000001</x:v>
      </x:c>
      <x:c r="D807" s="6"/>
      <x:c r="E807" s="6">
        <x:v>20601820.440000001</x:v>
      </x:c>
      <x:c r="F807" s="7">
        <x:v>30</x:v>
      </x:c>
      <x:c r="G807" s="6">
        <x:v>29.689501</x:v>
      </x:c>
      <x:c r="H807" s="8">
        <x:v>-0.15</x:v>
      </x:c>
      <x:c r="I807" s="6">
        <x:f t="shared" ref="I807:I870" si="158">+C807*(1-H807)*(1-G807/F807)</x:f>
        <x:v>245212.37805064951</x:v>
      </x:c>
      <x:c r="J807" s="21">
        <x:v>1.7962356735427776</x:v>
      </x:c>
      <x:c r="K807" s="6">
        <x:v>440459.22104883462</x:v>
      </x:c>
      <x:c r="N807" s="10">
        <x:f t="shared" ref="N807:N838" si="159">K807</x:f>
        <x:v>440459.22104883462</x:v>
      </x:c>
    </x:row>
    <x:row r="808" spans="1:15" s="7" customFormat="1" x14ac:dyDescent="0.25">
      <x:c r="A808" s="7" t="s">
        <x:v>138</x:v>
      </x:c>
      <x:c r="B808" s="7">
        <x:v>2023</x:v>
      </x:c>
      <x:c r="C808" s="6">
        <x:v>16147658.57</x:v>
      </x:c>
      <x:c r="D808" s="6"/>
      <x:c r="E808" s="6">
        <x:v>16147658.57</x:v>
      </x:c>
      <x:c r="F808" s="7">
        <x:v>30</x:v>
      </x:c>
      <x:c r="G808" s="6">
        <x:v>29.070550999999998</x:v>
      </x:c>
      <x:c r="H808" s="8">
        <x:v>-0.15</x:v>
      </x:c>
      <x:c r="I808" s="6">
        <x:f t="shared" si="158"/>
        <x:v>575322.96255873796</x:v>
      </x:c>
      <x:c r="J808" s="21">
        <x:v>1.7962356735427776</x:v>
      </x:c>
      <x:c r="K808" s="6">
        <x:v>1033415.6291563208</x:v>
      </x:c>
      <x:c r="N808" s="10">
        <x:f t="shared" si="159"/>
        <x:v>1033415.6291563208</x:v>
      </x:c>
    </x:row>
    <x:row r="809" spans="1:15" s="7" customFormat="1" x14ac:dyDescent="0.25">
      <x:c r="A809" s="7" t="s">
        <x:v>138</x:v>
      </x:c>
      <x:c r="B809" s="7">
        <x:v>2022</x:v>
      </x:c>
      <x:c r="C809" s="6">
        <x:v>11804195.32</x:v>
      </x:c>
      <x:c r="D809" s="6"/>
      <x:c r="E809" s="6">
        <x:v>11804195.32</x:v>
      </x:c>
      <x:c r="F809" s="7">
        <x:v>30</x:v>
      </x:c>
      <x:c r="G809" s="6">
        <x:v>28.454619000000001</x:v>
      </x:c>
      <x:c r="H809" s="8">
        <x:v>-0.15</x:v>
      </x:c>
      <x:c r="I809" s="6">
        <x:f t="shared" si="158"/>
        <x:v>699275.86809964804</x:v>
      </x:c>
      <x:c r="J809" s="21">
        <x:v>1.7962356735427776</x:v>
      </x:c>
      <x:c r="K809" s="6">
        <x:v>1256064.259928182</x:v>
      </x:c>
      <x:c r="N809" s="10">
        <x:f t="shared" si="159"/>
        <x:v>1256064.259928182</x:v>
      </x:c>
    </x:row>
    <x:row r="810" spans="1:15" x14ac:dyDescent="0.25">
      <x:c r="A810" s="1" t="s">
        <x:v>138</x:v>
      </x:c>
      <x:c r="B810" s="1">
        <x:v>2021</x:v>
      </x:c>
      <x:c r="C810" s="2">
        <x:v>9062014.25</x:v>
      </x:c>
      <x:c r="E810" s="2">
        <x:v>9062014.25</x:v>
      </x:c>
      <x:c r="F810" s="7">
        <x:v>30</x:v>
      </x:c>
      <x:c r="G810" s="6">
        <x:v>27.841446000000001</x:v>
      </x:c>
      <x:c r="H810" s="8">
        <x:v>-0.15</x:v>
      </x:c>
      <x:c r="I810" s="6">
        <x:f t="shared" si="158"/>
        <x:v>749832.47245012259</x:v>
      </x:c>
      <x:c r="J810" s="19">
        <x:v>1.7962356735427776</x:v>
      </x:c>
      <x:c r="K810" s="6">
        <x:v>1346875.836195692</x:v>
      </x:c>
      <x:c r="N810" s="20">
        <x:f t="shared" si="159"/>
        <x:v>1346875.836195692</x:v>
      </x:c>
    </x:row>
    <x:row r="811" spans="1:15" x14ac:dyDescent="0.25">
      <x:c r="A811" s="1" t="s">
        <x:v>138</x:v>
      </x:c>
      <x:c r="B811" s="1">
        <x:v>2020</x:v>
      </x:c>
      <x:c r="C811" s="2">
        <x:v>10258857.029999999</x:v>
      </x:c>
      <x:c r="E811" s="2">
        <x:v>10258857.029999999</x:v>
      </x:c>
      <x:c r="F811" s="7">
        <x:v>30</x:v>
      </x:c>
      <x:c r="G811" s="6">
        <x:v>27.230938999999999</x:v>
      </x:c>
      <x:c r="H811" s="8">
        <x:v>-0.15</x:v>
      </x:c>
      <x:c r="I811" s="6">
        <x:f t="shared" si="158"/>
        <x:v>1088950.3680767047</x:v>
      </x:c>
      <x:c r="J811" s="19">
        <x:v>1.7962356735427776</x:v>
      </x:c>
      <x:c r="K811" s="6">
        <x:v>1956011.4978569152</x:v>
      </x:c>
      <x:c r="N811" s="20">
        <x:f t="shared" si="159"/>
        <x:v>1956011.4978569152</x:v>
      </x:c>
    </x:row>
    <x:row r="812" spans="1:15" x14ac:dyDescent="0.25">
      <x:c r="A812" s="1" t="s">
        <x:v>138</x:v>
      </x:c>
      <x:c r="B812" s="1">
        <x:v>2019</x:v>
      </x:c>
      <x:c r="C812" s="2">
        <x:v>10645371.800000001</x:v>
      </x:c>
      <x:c r="E812" s="2">
        <x:v>10645371.800000001</x:v>
      </x:c>
      <x:c r="F812" s="7">
        <x:v>30</x:v>
      </x:c>
      <x:c r="G812" s="6">
        <x:v>26.623166000000001</x:v>
      </x:c>
      <x:c r="H812" s="8">
        <x:v>-0.15</x:v>
      </x:c>
      <x:c r="I812" s="6">
        <x:f t="shared" si="158"/>
        <x:v>1377993.3817471121</x:v>
      </x:c>
      <x:c r="J812" s="19">
        <x:v>1.7962356735427776</x:v>
      </x:c>
      <x:c r="K812" s="6">
        <x:v>2475200.8702000137</x:v>
      </x:c>
      <x:c r="N812" s="20">
        <x:f t="shared" si="159"/>
        <x:v>2475200.8702000137</x:v>
      </x:c>
    </x:row>
    <x:row r="813" spans="1:15" x14ac:dyDescent="0.25">
      <x:c r="A813" s="1" t="s">
        <x:v>138</x:v>
      </x:c>
      <x:c r="B813" s="1">
        <x:v>2018</x:v>
      </x:c>
      <x:c r="C813" s="2">
        <x:v>8498813.4299999997</x:v>
      </x:c>
      <x:c r="E813" s="2">
        <x:v>8498813.4299999997</x:v>
      </x:c>
      <x:c r="F813" s="7">
        <x:v>30</x:v>
      </x:c>
      <x:c r="G813" s="6">
        <x:v>26.017831000000001</x:v>
      </x:c>
      <x:c r="H813" s="8">
        <x:v>-0.15</x:v>
      </x:c>
      <x:c r="I813" s="6">
        <x:f t="shared" si="158"/>
        <x:v>1297342.2694796368</x:v>
      </x:c>
      <x:c r="J813" s="19">
        <x:v>1.7962356735427776</x:v>
      </x:c>
      <x:c r="K813" s="6">
        <x:v>2330332.4652342708</x:v>
      </x:c>
      <x:c r="N813" s="20">
        <x:f t="shared" si="159"/>
        <x:v>2330332.4652342708</x:v>
      </x:c>
    </x:row>
    <x:row r="814" spans="1:15" x14ac:dyDescent="0.25">
      <x:c r="A814" s="1" t="s">
        <x:v>138</x:v>
      </x:c>
      <x:c r="B814" s="1">
        <x:v>2017</x:v>
      </x:c>
      <x:c r="C814" s="2">
        <x:v>8815596.5</x:v>
      </x:c>
      <x:c r="E814" s="2">
        <x:v>8815596.5</x:v>
      </x:c>
      <x:c r="F814" s="7">
        <x:v>30</x:v>
      </x:c>
      <x:c r="G814" s="6">
        <x:v>25.414807</x:v>
      </x:c>
      <x:c r="H814" s="8">
        <x:v>-0.15</x:v>
      </x:c>
      <x:c r="I814" s="6">
        <x:f t="shared" si="158"/>
        <x:v>1549479.7689006056</x:v>
      </x:c>
      <x:c r="J814" s="19">
        <x:v>1.7962356735427776</x:v>
      </x:c>
      <x:c r="K814" s="6">
        <x:v>2783230.8363320865</x:v>
      </x:c>
      <x:c r="N814" s="20">
        <x:f t="shared" si="159"/>
        <x:v>2783230.8363320865</x:v>
      </x:c>
    </x:row>
    <x:row r="815" spans="1:15" x14ac:dyDescent="0.25">
      <x:c r="A815" s="1" t="s">
        <x:v>138</x:v>
      </x:c>
      <x:c r="B815" s="1">
        <x:v>2016</x:v>
      </x:c>
      <x:c r="C815" s="2">
        <x:v>6511361.1399999997</x:v>
      </x:c>
      <x:c r="E815" s="2">
        <x:v>6511361.1399999997</x:v>
      </x:c>
      <x:c r="F815" s="7">
        <x:v>30</x:v>
      </x:c>
      <x:c r="G815" s="6">
        <x:v>24.814105000000001</x:v>
      </x:c>
      <x:c r="H815" s="8">
        <x:v>-0.15</x:v>
      </x:c>
      <x:c r="I815" s="6">
        <x:f t="shared" si="158"/>
        <x:v>1294410.6818662772</x:v>
      </x:c>
      <x:c r="J815" s="19">
        <x:v>1.7962356735427776</x:v>
      </x:c>
      <x:c r="K815" s="6">
        <x:v>1953905.5181739563</x:v>
      </x:c>
      <x:c r="N815" s="20">
        <x:f t="shared" si="159"/>
        <x:v>1953905.5181739563</x:v>
      </x:c>
    </x:row>
    <x:row r="816" spans="1:15" x14ac:dyDescent="0.25">
      <x:c r="A816" s="1" t="s">
        <x:v>138</x:v>
      </x:c>
      <x:c r="B816" s="1">
        <x:v>2015</x:v>
      </x:c>
      <x:c r="C816" s="2">
        <x:v>5331082.45</x:v>
      </x:c>
      <x:c r="E816" s="2">
        <x:v>5331082.45</x:v>
      </x:c>
      <x:c r="F816" s="7">
        <x:v>30</x:v>
      </x:c>
      <x:c r="G816" s="6">
        <x:v>24.215440999999998</x:v>
      </x:c>
      <x:c r="H816" s="8">
        <x:v>-0.15</x:v>
      </x:c>
      <x:c r="I816" s="6">
        <x:f t="shared" si="158"/>
        <x:v>1182121.8370257663</x:v>
      </x:c>
      <x:c r="J816" s="19">
        <x:v>1.7962356735427776</x:v>
      </x:c>
      <x:c r="K816" s="6">
        <x:v>2123369.4141396028</x:v>
      </x:c>
      <x:c r="N816" s="20">
        <x:f t="shared" si="159"/>
        <x:v>2123369.4141396028</x:v>
      </x:c>
    </x:row>
    <x:row r="817" spans="1:14" x14ac:dyDescent="0.25">
      <x:c r="A817" s="1" t="s">
        <x:v>138</x:v>
      </x:c>
      <x:c r="B817" s="1">
        <x:v>2014</x:v>
      </x:c>
      <x:c r="C817" s="2">
        <x:v>4431870.8899999997</x:v>
      </x:c>
      <x:c r="E817" s="2">
        <x:v>4431870.8899999997</x:v>
      </x:c>
      <x:c r="F817" s="7">
        <x:v>30</x:v>
      </x:c>
      <x:c r="G817" s="6">
        <x:v>23.618859</x:v>
      </x:c>
      <x:c r="H817" s="8">
        <x:v>-0.15</x:v>
      </x:c>
      <x:c r="I817" s="6">
        <x:f t="shared" si="158"/>
        <x:v>1084081.7333106101</x:v>
      </x:c>
      <x:c r="J817" s="19">
        <x:v>1.7962356735427776</x:v>
      </x:c>
      <x:c r="K817" s="6">
        <x:v>1947266.2824086058</x:v>
      </x:c>
      <x:c r="N817" s="20">
        <x:f t="shared" si="159"/>
        <x:v>1947266.2824086058</x:v>
      </x:c>
    </x:row>
    <x:row r="818" spans="1:14" x14ac:dyDescent="0.25">
      <x:c r="A818" s="1" t="s">
        <x:v>138</x:v>
      </x:c>
      <x:c r="B818" s="1">
        <x:v>2013</x:v>
      </x:c>
      <x:c r="C818" s="2">
        <x:v>5626532.3700000001</x:v>
      </x:c>
      <x:c r="E818" s="2">
        <x:v>5626532.3700000001</x:v>
      </x:c>
      <x:c r="F818" s="7">
        <x:v>30</x:v>
      </x:c>
      <x:c r="G818" s="6">
        <x:v>23.024763</x:v>
      </x:c>
      <x:c r="H818" s="8">
        <x:v>-0.15</x:v>
      </x:c>
      <x:c r="I818" s="6">
        <x:f t="shared" si="158"/>
        <x:v>1504445.2094753312</x:v>
      </x:c>
      <x:c r="J818" s="19">
        <x:v>1.7962356735427776</x:v>
      </x:c>
      <x:c r="K818" s="6">
        <x:v>2702338.1541501265</x:v>
      </x:c>
      <x:c r="N818" s="20">
        <x:f t="shared" si="159"/>
        <x:v>2702338.1541501265</x:v>
      </x:c>
    </x:row>
    <x:row r="819" spans="1:14" x14ac:dyDescent="0.25">
      <x:c r="A819" s="1" t="s">
        <x:v>138</x:v>
      </x:c>
      <x:c r="B819" s="1">
        <x:v>2012</x:v>
      </x:c>
      <x:c r="C819" s="2">
        <x:v>4190564.45</x:v>
      </x:c>
      <x:c r="E819" s="2">
        <x:v>4190564.45</x:v>
      </x:c>
      <x:c r="F819" s="7">
        <x:v>30</x:v>
      </x:c>
      <x:c r="G819" s="6">
        <x:v>22.433329000000001</x:v>
      </x:c>
      <x:c r="H819" s="8">
        <x:v>-0.15</x:v>
      </x:c>
      <x:c r="I819" s="6">
        <x:f t="shared" si="158"/>
        <x:v>1215497.1957354278</x:v>
      </x:c>
      <x:c r="J819" s="19">
        <x:v>1.7962356735427776</x:v>
      </x:c>
      <x:c r="K819" s="6">
        <x:v>2183319.4240711839</x:v>
      </x:c>
      <x:c r="N819" s="20">
        <x:f t="shared" si="159"/>
        <x:v>2183319.4240711839</x:v>
      </x:c>
    </x:row>
    <x:row r="820" spans="1:14" x14ac:dyDescent="0.25">
      <x:c r="A820" s="1" t="s">
        <x:v>138</x:v>
      </x:c>
      <x:c r="B820" s="1">
        <x:v>2011</x:v>
      </x:c>
      <x:c r="C820" s="2">
        <x:v>5787114.3799999999</x:v>
      </x:c>
      <x:c r="E820" s="2">
        <x:v>5787114.3799999999</x:v>
      </x:c>
      <x:c r="F820" s="7">
        <x:v>30</x:v>
      </x:c>
      <x:c r="G820" s="6">
        <x:v>21.844964999999998</x:v>
      </x:c>
      <x:c r="H820" s="8">
        <x:v>-0.15</x:v>
      </x:c>
      <x:c r="I820" s="6">
        <x:f t="shared" si="158"/>
        <x:v>1809107.9455196271</x:v>
      </x:c>
      <x:c r="J820" s="19">
        <x:v>1.7962356735427776</x:v>
      </x:c>
      <x:c r="K820" s="6">
        <x:v>3249584.2290320378</x:v>
      </x:c>
      <x:c r="N820" s="20">
        <x:f t="shared" si="159"/>
        <x:v>3249584.2290320378</x:v>
      </x:c>
    </x:row>
    <x:row r="821" spans="1:14" x14ac:dyDescent="0.25">
      <x:c r="A821" s="1" t="s">
        <x:v>138</x:v>
      </x:c>
      <x:c r="B821" s="1">
        <x:v>2010</x:v>
      </x:c>
      <x:c r="C821" s="2">
        <x:v>4314789.7</x:v>
      </x:c>
      <x:c r="E821" s="2">
        <x:v>4314789.7</x:v>
      </x:c>
      <x:c r="F821" s="7">
        <x:v>30</x:v>
      </x:c>
      <x:c r="G821" s="6">
        <x:v>21.260325999999999</x:v>
      </x:c>
      <x:c r="H821" s="8">
        <x:v>-0.15</x:v>
      </x:c>
      <x:c r="I821" s="6">
        <x:f t="shared" si="158"/>
        <x:v>1445544.455334716</x:v>
      </x:c>
      <x:c r="J821" s="19">
        <x:v>1.7962356735427776</x:v>
      </x:c>
      <x:c r="K821" s="6">
        <x:v>2596538.5183641813</x:v>
      </x:c>
      <x:c r="N821" s="20">
        <x:f t="shared" si="159"/>
        <x:v>2596538.5183641813</x:v>
      </x:c>
    </x:row>
    <x:row r="822" spans="1:14" x14ac:dyDescent="0.25">
      <x:c r="A822" s="1" t="s">
        <x:v>138</x:v>
      </x:c>
      <x:c r="B822" s="1">
        <x:v>2009</x:v>
      </x:c>
      <x:c r="C822" s="2">
        <x:v>2615600.0699999998</x:v>
      </x:c>
      <x:c r="E822" s="2">
        <x:v>2615600.0699999998</x:v>
      </x:c>
      <x:c r="F822" s="7">
        <x:v>30</x:v>
      </x:c>
      <x:c r="G822" s="6">
        <x:v>20.679687999999999</x:v>
      </x:c>
      <x:c r="H822" s="8">
        <x:v>-0.15</x:v>
      </x:c>
      <x:c r="I822" s="6">
        <x:f t="shared" si="158"/>
        <x:v>934498.00091883726</x:v>
      </x:c>
      <x:c r="J822" s="19">
        <x:v>1.7962356735427776</x:v>
      </x:c>
      <x:c r="K822" s="6">
        <x:v>1678578.6461048268</x:v>
      </x:c>
      <x:c r="N822" s="20">
        <x:f t="shared" si="159"/>
        <x:v>1678578.6461048268</x:v>
      </x:c>
    </x:row>
    <x:row r="823" spans="1:14" x14ac:dyDescent="0.25">
      <x:c r="A823" s="1" t="s">
        <x:v>138</x:v>
      </x:c>
      <x:c r="B823" s="1">
        <x:v>2008</x:v>
      </x:c>
      <x:c r="C823" s="2">
        <x:v>2486396.52</x:v>
      </x:c>
      <x:c r="E823" s="2">
        <x:v>2486396.52</x:v>
      </x:c>
      <x:c r="F823" s="7">
        <x:v>30</x:v>
      </x:c>
      <x:c r="G823" s="6">
        <x:v>20.103511000000001</x:v>
      </x:c>
      <x:c r="H823" s="8">
        <x:v>-0.15</x:v>
      </x:c>
      <x:c r="I823" s="6">
        <x:f t="shared" si="158"/>
        <x:v>943252.83937636716</x:v>
      </x:c>
      <x:c r="J823" s="19">
        <x:v>1.7962356735427776</x:v>
      </x:c>
      <x:c r="K823" s="6">
        <x:v>1694304.3992583463</x:v>
      </x:c>
      <x:c r="N823" s="20">
        <x:f t="shared" si="159"/>
        <x:v>1694304.3992583463</x:v>
      </x:c>
    </x:row>
    <x:row r="824" spans="1:14" x14ac:dyDescent="0.25">
      <x:c r="A824" s="1" t="s">
        <x:v>138</x:v>
      </x:c>
      <x:c r="B824" s="1">
        <x:v>2007</x:v>
      </x:c>
      <x:c r="C824" s="2">
        <x:v>2333389.5</x:v>
      </x:c>
      <x:c r="E824" s="2">
        <x:v>2333389.5</x:v>
      </x:c>
      <x:c r="F824" s="7">
        <x:v>30</x:v>
      </x:c>
      <x:c r="G824" s="6">
        <x:v>19.532506000000001</x:v>
      </x:c>
      <x:c r="H824" s="8">
        <x:v>-0.15</x:v>
      </x:c>
      <x:c r="I824" s="6">
        <x:f t="shared" si="158"/>
        <x:v>936281.72265166487</x:v>
      </x:c>
      <x:c r="J824" s="19">
        <x:v>1.7962356735427776</x:v>
      </x:c>
      <x:c r="K824" s="6">
        <x:v>1681782.6307130053</x:v>
      </x:c>
      <x:c r="N824" s="20">
        <x:f t="shared" si="159"/>
        <x:v>1681782.6307130053</x:v>
      </x:c>
    </x:row>
    <x:row r="825" spans="1:14" x14ac:dyDescent="0.25">
      <x:c r="A825" s="1" t="s">
        <x:v>138</x:v>
      </x:c>
      <x:c r="B825" s="1">
        <x:v>2006</x:v>
      </x:c>
      <x:c r="C825" s="2">
        <x:v>3676798.65</x:v>
      </x:c>
      <x:c r="E825" s="2">
        <x:v>3676798.65</x:v>
      </x:c>
      <x:c r="F825" s="7">
        <x:v>30</x:v>
      </x:c>
      <x:c r="G825" s="6">
        <x:v>18.966875000000002</x:v>
      </x:c>
      <x:c r="H825" s="8">
        <x:v>-0.15</x:v>
      </x:c>
      <x:c r="I825" s="6">
        <x:f t="shared" si="158"/>
        <x:v>1555052.199035781</x:v>
      </x:c>
      <x:c r="J825" s="19">
        <x:v>1.7962356735427776</x:v>
      </x:c>
      <x:c r="K825" s="6">
        <x:v>2793240.2341292128</x:v>
      </x:c>
      <x:c r="N825" s="20">
        <x:f t="shared" si="159"/>
        <x:v>2793240.2341292128</x:v>
      </x:c>
    </x:row>
    <x:row r="826" spans="1:14" x14ac:dyDescent="0.25">
      <x:c r="A826" s="1" t="s">
        <x:v>138</x:v>
      </x:c>
      <x:c r="B826" s="1">
        <x:v>2005</x:v>
      </x:c>
      <x:c r="C826" s="2">
        <x:v>2295405.25</x:v>
      </x:c>
      <x:c r="E826" s="2">
        <x:v>2295405.25</x:v>
      </x:c>
      <x:c r="F826" s="7">
        <x:v>30</x:v>
      </x:c>
      <x:c r="G826" s="6">
        <x:v>18.407018999999998</x:v>
      </x:c>
      <x:c r="H826" s="8">
        <x:v>-0.15</x:v>
      </x:c>
      <x:c r="I826" s="6">
        <x:f t="shared" si="158"/>
        <x:v>1020072.5956044263</x:v>
      </x:c>
      <x:c r="J826" s="19">
        <x:v>1.7962356735427776</x:v>
      </x:c>
      <x:c r="K826" s="6">
        <x:v>1832290.785828046</x:v>
      </x:c>
      <x:c r="N826" s="20">
        <x:f t="shared" si="159"/>
        <x:v>1832290.785828046</x:v>
      </x:c>
    </x:row>
    <x:row r="827" spans="1:14" x14ac:dyDescent="0.25">
      <x:c r="A827" s="1" t="s">
        <x:v>138</x:v>
      </x:c>
      <x:c r="B827" s="1">
        <x:v>2004</x:v>
      </x:c>
      <x:c r="C827" s="2">
        <x:v>2549726.31</x:v>
      </x:c>
      <x:c r="E827" s="2">
        <x:v>2549726.31</x:v>
      </x:c>
      <x:c r="F827" s="7">
        <x:v>30</x:v>
      </x:c>
      <x:c r="G827" s="6">
        <x:v>17.853593</x:v>
      </x:c>
      <x:c r="H827" s="8">
        <x:v>-0.15</x:v>
      </x:c>
      <x:c r="I827" s="6">
        <x:f t="shared" si="158"/>
        <x:v>1187183.8508282797</x:v>
      </x:c>
      <x:c r="J827" s="19">
        <x:v>1.7962356735427776</x:v>
      </x:c>
      <x:c r="K827" s="6">
        <x:v>2132461.9839116433</x:v>
      </x:c>
      <x:c r="N827" s="20">
        <x:f t="shared" si="159"/>
        <x:v>2132461.9839116433</x:v>
      </x:c>
    </x:row>
    <x:row r="828" spans="1:14" x14ac:dyDescent="0.25">
      <x:c r="A828" s="1" t="s">
        <x:v>138</x:v>
      </x:c>
      <x:c r="B828" s="1">
        <x:v>2003</x:v>
      </x:c>
      <x:c r="C828" s="2">
        <x:v>1982372.66</x:v>
      </x:c>
      <x:c r="E828" s="2">
        <x:v>1982372.66</x:v>
      </x:c>
      <x:c r="F828" s="7">
        <x:v>30</x:v>
      </x:c>
      <x:c r="G828" s="6">
        <x:v>17.306666</x:v>
      </x:c>
      <x:c r="H828" s="8">
        <x:v>-0.15</x:v>
      </x:c>
      <x:c r="I828" s="6">
        <x:f t="shared" si="158"/>
        <x:v>964578.53429085691</x:v>
      </x:c>
      <x:c r="J828" s="19">
        <x:v>1.7962356735427776</x:v>
      </x:c>
      <x:c r="K828" s="6">
        <x:v>1732610.3732268426</x:v>
      </x:c>
      <x:c r="N828" s="20">
        <x:f t="shared" si="159"/>
        <x:v>1732610.3732268426</x:v>
      </x:c>
    </x:row>
    <x:row r="829" spans="1:14" x14ac:dyDescent="0.25">
      <x:c r="A829" s="1" t="s">
        <x:v>138</x:v>
      </x:c>
      <x:c r="B829" s="1">
        <x:v>2002</x:v>
      </x:c>
      <x:c r="C829" s="2">
        <x:v>2772631.56</x:v>
      </x:c>
      <x:c r="E829" s="2">
        <x:v>2772631.56</x:v>
      </x:c>
      <x:c r="F829" s="7">
        <x:v>30</x:v>
      </x:c>
      <x:c r="G829" s="6">
        <x:v>16.766529999999999</x:v>
      </x:c>
      <x:c r="H829" s="8">
        <x:v>-0.15</x:v>
      </x:c>
      <x:c r="I829" s="6">
        <x:f t="shared" si="158"/>
        <x:v>1406508.9018620059</x:v>
      </x:c>
      <x:c r="J829" s="19">
        <x:v>1.7962356735427776</x:v>
      </x:c>
      <x:c r="K829" s="6">
        <x:v>2526421.4646800132</x:v>
      </x:c>
      <x:c r="N829" s="20">
        <x:f t="shared" si="159"/>
        <x:v>2526421.4646800132</x:v>
      </x:c>
    </x:row>
    <x:row r="830" spans="1:14" x14ac:dyDescent="0.25">
      <x:c r="A830" s="1" t="s">
        <x:v>138</x:v>
      </x:c>
      <x:c r="B830" s="1">
        <x:v>2001</x:v>
      </x:c>
      <x:c r="C830" s="2">
        <x:v>3583863.19</x:v>
      </x:c>
      <x:c r="E830" s="2">
        <x:v>3583863.19</x:v>
      </x:c>
      <x:c r="F830" s="7">
        <x:v>30</x:v>
      </x:c>
      <x:c r="G830" s="6">
        <x:v>16.233720000000002</x:v>
      </x:c>
      <x:c r="H830" s="8">
        <x:v>-0.15</x:v>
      </x:c>
      <x:c r="I830" s="6">
        <x:f t="shared" si="158"/>
        <x:v>1891231.1259506056</x:v>
      </x:c>
      <x:c r="J830" s="19">
        <x:v>1.7962356735427776</x:v>
      </x:c>
      <x:c r="K830" s="6">
        <x:v>3397096.8153469521</x:v>
      </x:c>
      <x:c r="N830" s="20">
        <x:f t="shared" si="159"/>
        <x:v>3397096.8153469521</x:v>
      </x:c>
    </x:row>
    <x:row r="831" spans="1:14" x14ac:dyDescent="0.25">
      <x:c r="A831" s="1" t="s">
        <x:v>138</x:v>
      </x:c>
      <x:c r="B831" s="1">
        <x:v>2000</x:v>
      </x:c>
      <x:c r="C831" s="2">
        <x:v>3711955.17</x:v>
      </x:c>
      <x:c r="E831" s="2">
        <x:v>3711955.17</x:v>
      </x:c>
      <x:c r="F831" s="7">
        <x:v>30</x:v>
      </x:c>
      <x:c r="G831" s="6">
        <x:v>15.708171999999999</x:v>
      </x:c>
      <x:c r="H831" s="8">
        <x:v>-0.15</x:v>
      </x:c>
      <x:c r="I831" s="6">
        <x:f t="shared" si="158"/>
        <x:v>2033607.2852784458</x:v>
      </x:c>
      <x:c r="J831" s="19">
        <x:v>1.7962356735427776</x:v>
      </x:c>
      <x:c r="K831" s="6">
        <x:v>3652837.9517936287</x:v>
      </x:c>
      <x:c r="N831" s="20">
        <x:f t="shared" si="159"/>
        <x:v>3652837.9517936287</x:v>
      </x:c>
    </x:row>
    <x:row r="832" spans="1:14" x14ac:dyDescent="0.25">
      <x:c r="A832" s="1" t="s">
        <x:v>138</x:v>
      </x:c>
      <x:c r="B832" s="1">
        <x:v>1999</x:v>
      </x:c>
      <x:c r="C832" s="2">
        <x:v>3410868.47</x:v>
      </x:c>
      <x:c r="E832" s="2">
        <x:v>3410868.47</x:v>
      </x:c>
      <x:c r="F832" s="7">
        <x:v>30</x:v>
      </x:c>
      <x:c r="G832" s="6">
        <x:v>15.190053000000001</x:v>
      </x:c>
      <x:c r="H832" s="8">
        <x:v>-0.15</x:v>
      </x:c>
      <x:c r="I832" s="6">
        <x:f t="shared" si="158"/>
        <x:v>1936399.9484790582</x:v>
      </x:c>
      <x:c r="J832" s="19">
        <x:v>1.7962356735427776</x:v>
      </x:c>
      <x:c r="K832" s="6">
        <x:v>3478230.6657044813</x:v>
      </x:c>
      <x:c r="N832" s="20">
        <x:f t="shared" si="159"/>
        <x:v>3478230.6657044813</x:v>
      </x:c>
    </x:row>
    <x:row r="833" spans="1:14" x14ac:dyDescent="0.25">
      <x:c r="A833" s="1" t="s">
        <x:v>138</x:v>
      </x:c>
      <x:c r="B833" s="1">
        <x:v>1998</x:v>
      </x:c>
      <x:c r="C833" s="2">
        <x:v>3531088.41</x:v>
      </x:c>
      <x:c r="E833" s="2">
        <x:v>3531088.41</x:v>
      </x:c>
      <x:c r="F833" s="7">
        <x:v>30</x:v>
      </x:c>
      <x:c r="G833" s="6">
        <x:v>14.679739</x:v>
      </x:c>
      <x:c r="H833" s="8">
        <x:v>-0.15</x:v>
      </x:c>
      <x:c r="I833" s="6">
        <x:f t="shared" si="158"/>
        <x:v>2073725.848785542</x:v>
      </x:c>
      <x:c r="J833" s="19">
        <x:v>1.7962356735427776</x:v>
      </x:c>
      <x:c r="K833" s="6">
        <x:v>3724900.3467363659</x:v>
      </x:c>
      <x:c r="N833" s="20">
        <x:f t="shared" si="159"/>
        <x:v>3724900.3467363659</x:v>
      </x:c>
    </x:row>
    <x:row r="834" spans="1:14" x14ac:dyDescent="0.25">
      <x:c r="A834" s="1" t="s">
        <x:v>138</x:v>
      </x:c>
      <x:c r="B834" s="1">
        <x:v>1997</x:v>
      </x:c>
      <x:c r="C834" s="2">
        <x:v>3292393.16</x:v>
      </x:c>
      <x:c r="E834" s="2">
        <x:v>3292393.16</x:v>
      </x:c>
      <x:c r="F834" s="7">
        <x:v>30</x:v>
      </x:c>
      <x:c r="G834" s="6">
        <x:v>14.177065000000001</x:v>
      </x:c>
      <x:c r="H834" s="8">
        <x:v>-0.15</x:v>
      </x:c>
      <x:c r="I834" s="6">
        <x:f t="shared" si="158"/>
        <x:v>1996987.3803297763</x:v>
      </x:c>
      <x:c r="J834" s="19">
        <x:v>1.7962356735427776</x:v>
      </x:c>
      <x:c r="K834" s="6">
        <x:v>3587059.9721630826</x:v>
      </x:c>
      <x:c r="N834" s="20">
        <x:f t="shared" si="159"/>
        <x:v>3587059.9721630826</x:v>
      </x:c>
    </x:row>
    <x:row r="835" spans="1:14" x14ac:dyDescent="0.25">
      <x:c r="A835" s="1" t="s">
        <x:v>138</x:v>
      </x:c>
      <x:c r="B835" s="1">
        <x:v>1996</x:v>
      </x:c>
      <x:c r="C835" s="2">
        <x:v>2648620.34</x:v>
      </x:c>
      <x:c r="E835" s="2">
        <x:v>2648620.34</x:v>
      </x:c>
      <x:c r="F835" s="7">
        <x:v>30</x:v>
      </x:c>
      <x:c r="G835" s="6">
        <x:v>13.682069</x:v>
      </x:c>
      <x:c r="H835" s="8">
        <x:v>-0.15</x:v>
      </x:c>
      <x:c r="I835" s="6">
        <x:f t="shared" si="158"/>
        <x:v>1656766.8182104672</x:v>
      </x:c>
      <x:c r="J835" s="19">
        <x:v>1.7962356735427776</x:v>
      </x:c>
      <x:c r="K835" s="6">
        <x:v>2975943.6616116031</x:v>
      </x:c>
      <x:c r="N835" s="20">
        <x:f t="shared" si="159"/>
        <x:v>2975943.6616116031</x:v>
      </x:c>
    </x:row>
    <x:row r="836" spans="1:14" x14ac:dyDescent="0.25">
      <x:c r="A836" s="1" t="s">
        <x:v>138</x:v>
      </x:c>
      <x:c r="B836" s="1">
        <x:v>1995</x:v>
      </x:c>
      <x:c r="C836" s="2">
        <x:v>3411809</x:v>
      </x:c>
      <x:c r="E836" s="2">
        <x:v>3411809</x:v>
      </x:c>
      <x:c r="F836" s="7">
        <x:v>30</x:v>
      </x:c>
      <x:c r="G836" s="6">
        <x:v>13.194964000000001</x:v>
      </x:c>
      <x:c r="H836" s="8">
        <x:v>-0.15</x:v>
      </x:c>
      <x:c r="I836" s="6">
        <x:f t="shared" si="158"/>
        <x:v>2197863.634354753</x:v>
      </x:c>
      <x:c r="J836" s="19">
        <x:v>1.7962356735427776</x:v>
      </x:c>
      <x:c r="K836" s="6">
        <x:v>3923580.3499999996</x:v>
      </x:c>
      <x:c r="N836" s="20">
        <x:f t="shared" si="159"/>
        <x:v>3923580.3499999996</x:v>
      </x:c>
    </x:row>
    <x:row r="837" spans="1:14" x14ac:dyDescent="0.25">
      <x:c r="A837" s="1" t="s">
        <x:v>138</x:v>
      </x:c>
      <x:c r="B837" s="1">
        <x:v>1994</x:v>
      </x:c>
      <x:c r="C837" s="2">
        <x:v>1098698.47</x:v>
      </x:c>
      <x:c r="E837" s="2">
        <x:v>1098698.47</x:v>
      </x:c>
      <x:c r="F837" s="7">
        <x:v>30</x:v>
      </x:c>
      <x:c r="G837" s="6">
        <x:v>12.7155</x:v>
      </x:c>
      <x:c r="H837" s="8">
        <x:v>-0.15</x:v>
      </x:c>
      <x:c r="I837" s="6">
        <x:f t="shared" si="158"/>
        <x:v>727967.39201407484</x:v>
      </x:c>
      <x:c r="J837" s="19">
        <x:v>1.7962356735427776</x:v>
      </x:c>
      <x:c r="K837" s="6">
        <x:v>1263503.2404999998</x:v>
      </x:c>
      <x:c r="N837" s="20">
        <x:f t="shared" si="159"/>
        <x:v>1263503.2404999998</x:v>
      </x:c>
    </x:row>
    <x:row r="838" spans="1:14" x14ac:dyDescent="0.25">
      <x:c r="A838" s="1" t="s">
        <x:v>138</x:v>
      </x:c>
      <x:c r="B838" s="1">
        <x:v>1993</x:v>
      </x:c>
      <x:c r="C838" s="2">
        <x:v>1023521.19</x:v>
      </x:c>
      <x:c r="E838" s="2">
        <x:v>1023521.19</x:v>
      </x:c>
      <x:c r="F838" s="7">
        <x:v>30</x:v>
      </x:c>
      <x:c r="G838" s="6">
        <x:v>12.243607000000001</x:v>
      </x:c>
      <x:c r="H838" s="8">
        <x:v>-0.15</x:v>
      </x:c>
      <x:c r="I838" s="6">
        <x:f t="shared" si="158"/>
        <x:v>696671.70558292721</x:v>
      </x:c>
      <x:c r="J838" s="19">
        <x:v>1.7962356735427776</x:v>
      </x:c>
      <x:c r="K838" s="6">
        <x:v>1177049.3684999999</x:v>
      </x:c>
      <x:c r="N838" s="20">
        <x:f t="shared" si="159"/>
        <x:v>1177049.3684999999</x:v>
      </x:c>
    </x:row>
    <x:row r="839" spans="1:14" x14ac:dyDescent="0.25">
      <x:c r="A839" s="1" t="s">
        <x:v>138</x:v>
      </x:c>
      <x:c r="B839" s="1">
        <x:v>1992</x:v>
      </x:c>
      <x:c r="C839" s="2">
        <x:v>775186.43</x:v>
      </x:c>
      <x:c r="E839" s="2">
        <x:v>775186.43</x:v>
      </x:c>
      <x:c r="F839" s="7">
        <x:v>30</x:v>
      </x:c>
      <x:c r="G839" s="6">
        <x:v>11.779318</x:v>
      </x:c>
      <x:c r="H839" s="8">
        <x:v>-0.15</x:v>
      </x:c>
      <x:c r="I839" s="6">
        <x:f t="shared" si="158"/>
        <x:v>541436.30821690161</x:v>
      </x:c>
      <x:c r="J839" s="19">
        <x:v>1.7962356735427776</x:v>
      </x:c>
      <x:c r="K839" s="6">
        <x:v>891464.39449999994</x:v>
      </x:c>
      <x:c r="N839" s="20">
        <x:f t="shared" ref="N839:N870" si="160">K839</x:f>
        <x:v>891464.39449999994</x:v>
      </x:c>
    </x:row>
    <x:row r="840" spans="1:14" x14ac:dyDescent="0.25">
      <x:c r="A840" s="1" t="s">
        <x:v>138</x:v>
      </x:c>
      <x:c r="B840" s="1">
        <x:v>1991</x:v>
      </x:c>
      <x:c r="C840" s="2">
        <x:v>1080778</x:v>
      </x:c>
      <x:c r="E840" s="2">
        <x:v>1080778</x:v>
      </x:c>
      <x:c r="F840" s="7">
        <x:v>30</x:v>
      </x:c>
      <x:c r="G840" s="6">
        <x:v>11.322331999999999</x:v>
      </x:c>
      <x:c r="H840" s="8">
        <x:v>-0.15</x:v>
      </x:c>
      <x:c r="I840" s="6">
        <x:f t="shared" si="158"/>
        <x:v>773812.48551865341</x:v>
      </x:c>
      <x:c r="J840" s="19">
        <x:v>1.7962356735427776</x:v>
      </x:c>
      <x:c r="K840" s="6">
        <x:v>1242894.7</x:v>
      </x:c>
      <x:c r="N840" s="20">
        <x:f t="shared" si="160"/>
        <x:v>1242894.7</x:v>
      </x:c>
    </x:row>
    <x:row r="841" spans="1:14" x14ac:dyDescent="0.25">
      <x:c r="A841" s="1" t="s">
        <x:v>138</x:v>
      </x:c>
      <x:c r="B841" s="1">
        <x:v>1990</x:v>
      </x:c>
      <x:c r="C841" s="2">
        <x:v>1708746.14</x:v>
      </x:c>
      <x:c r="E841" s="2">
        <x:v>1708746.14</x:v>
      </x:c>
      <x:c r="F841" s="7">
        <x:v>30</x:v>
      </x:c>
      <x:c r="G841" s="6">
        <x:v>10.872484999999999</x:v>
      </x:c>
      <x:c r="H841" s="8">
        <x:v>-0.15</x:v>
      </x:c>
      <x:c r="I841" s="6">
        <x:f t="shared" si="158"/>
        <x:v>1252889.2512549472</x:v>
      </x:c>
      <x:c r="J841" s="19">
        <x:v>1.7962356735427776</x:v>
      </x:c>
      <x:c r="K841" s="6">
        <x:v>1965058.0609999998</x:v>
      </x:c>
      <x:c r="N841" s="20">
        <x:f t="shared" si="160"/>
        <x:v>1965058.0609999998</x:v>
      </x:c>
    </x:row>
    <x:row r="842" spans="1:14" x14ac:dyDescent="0.25">
      <x:c r="A842" s="1" t="s">
        <x:v>138</x:v>
      </x:c>
      <x:c r="B842" s="1">
        <x:v>1989</x:v>
      </x:c>
      <x:c r="C842" s="2">
        <x:v>6784281.1299999999</x:v>
      </x:c>
      <x:c r="E842" s="2">
        <x:v>6784281.1299999999</x:v>
      </x:c>
      <x:c r="F842" s="7">
        <x:v>30</x:v>
      </x:c>
      <x:c r="G842" s="6">
        <x:v>10.429593000000001</x:v>
      </x:c>
      <x:c r="H842" s="8">
        <x:v>-0.15</x:v>
      </x:c>
      <x:c r="I842" s="6">
        <x:f t="shared" si="158"/>
        <x:v>5089560.4784665965</x:v>
      </x:c>
      <x:c r="J842" s="19">
        <x:v>1.7962356735427776</x:v>
      </x:c>
      <x:c r="K842" s="6">
        <x:v>7801923.2994999997</x:v>
      </x:c>
      <x:c r="N842" s="20">
        <x:f t="shared" si="160"/>
        <x:v>7801923.2994999997</x:v>
      </x:c>
    </x:row>
    <x:row r="843" spans="1:14" x14ac:dyDescent="0.25">
      <x:c r="A843" s="1" t="s">
        <x:v>138</x:v>
      </x:c>
      <x:c r="B843" s="1">
        <x:v>1988</x:v>
      </x:c>
      <x:c r="C843" s="2">
        <x:v>1512782.07</x:v>
      </x:c>
      <x:c r="E843" s="2">
        <x:v>1512782.07</x:v>
      </x:c>
      <x:c r="F843" s="7">
        <x:v>30</x:v>
      </x:c>
      <x:c r="G843" s="6">
        <x:v>9.9933440000000004</x:v>
      </x:c>
      <x:c r="H843" s="8">
        <x:v>-0.15</x:v>
      </x:c>
      <x:c r="I843" s="6">
        <x:f t="shared" si="158"/>
        <x:v>1160185.5683025536</x:v>
      </x:c>
      <x:c r="J843" s="19">
        <x:v>1.7962356735427776</x:v>
      </x:c>
      <x:c r="K843" s="6">
        <x:v>1739699.3805</x:v>
      </x:c>
      <x:c r="N843" s="20">
        <x:f t="shared" si="160"/>
        <x:v>1739699.3805</x:v>
      </x:c>
    </x:row>
    <x:row r="844" spans="1:14" x14ac:dyDescent="0.25">
      <x:c r="A844" s="1" t="s">
        <x:v>138</x:v>
      </x:c>
      <x:c r="B844" s="1">
        <x:v>1987</x:v>
      </x:c>
      <x:c r="C844" s="2">
        <x:v>1406111.66</x:v>
      </x:c>
      <x:c r="E844" s="2">
        <x:v>1406111.66</x:v>
      </x:c>
      <x:c r="F844" s="7">
        <x:v>30</x:v>
      </x:c>
      <x:c r="G844" s="6">
        <x:v>9.5634700000000006</x:v>
      </x:c>
      <x:c r="H844" s="8">
        <x:v>-0.15</x:v>
      </x:c>
      <x:c r="I844" s="6">
        <x:f t="shared" si="158"/>
        <x:v>1101548.3197126922</x:v>
      </x:c>
      <x:c r="J844" s="19">
        <x:v>1.7962356735427776</x:v>
      </x:c>
      <x:c r="K844" s="6">
        <x:v>1617028.4089999998</x:v>
      </x:c>
      <x:c r="N844" s="20">
        <x:f t="shared" si="160"/>
        <x:v>1617028.4089999998</x:v>
      </x:c>
    </x:row>
    <x:row r="845" spans="1:14" x14ac:dyDescent="0.25">
      <x:c r="A845" s="1" t="s">
        <x:v>138</x:v>
      </x:c>
      <x:c r="B845" s="1">
        <x:v>1986</x:v>
      </x:c>
      <x:c r="C845" s="2">
        <x:v>1233254.81</x:v>
      </x:c>
      <x:c r="E845" s="2">
        <x:v>1233254.81</x:v>
      </x:c>
      <x:c r="F845" s="7">
        <x:v>30</x:v>
      </x:c>
      <x:c r="G845" s="6">
        <x:v>9.1395359999999997</x:v>
      </x:c>
      <x:c r="H845" s="8">
        <x:v>-0.15</x:v>
      </x:c>
      <x:c r="I845" s="6">
        <x:f t="shared" si="158"/>
        <x:v>986173.59006188717</x:v>
      </x:c>
      <x:c r="J845" s="19">
        <x:v>1.7962356735427776</x:v>
      </x:c>
      <x:c r="K845" s="6">
        <x:v>1418243.0315</x:v>
      </x:c>
      <x:c r="N845" s="20">
        <x:f t="shared" si="160"/>
        <x:v>1418243.0315</x:v>
      </x:c>
    </x:row>
    <x:row r="846" spans="1:14" x14ac:dyDescent="0.25">
      <x:c r="A846" s="1" t="s">
        <x:v>138</x:v>
      </x:c>
      <x:c r="B846" s="1">
        <x:v>1985</x:v>
      </x:c>
      <x:c r="C846" s="2">
        <x:v>1733262.18</x:v>
      </x:c>
      <x:c r="E846" s="2">
        <x:v>1733262.18</x:v>
      </x:c>
      <x:c r="F846" s="7">
        <x:v>30</x:v>
      </x:c>
      <x:c r="G846" s="6">
        <x:v>8.7212289999999992</x:v>
      </x:c>
      <x:c r="H846" s="8">
        <x:v>-0.15</x:v>
      </x:c>
      <x:c r="I846" s="6">
        <x:f t="shared" si="158"/>
        <x:v>1413798.0787619296</x:v>
      </x:c>
      <x:c r="J846" s="19">
        <x:v>1.7962356735427776</x:v>
      </x:c>
      <x:c r="K846" s="6">
        <x:v>1993251.5069999998</x:v>
      </x:c>
      <x:c r="N846" s="20">
        <x:f t="shared" si="160"/>
        <x:v>1993251.5069999998</x:v>
      </x:c>
    </x:row>
    <x:row r="847" spans="1:14" x14ac:dyDescent="0.25">
      <x:c r="A847" s="1" t="s">
        <x:v>138</x:v>
      </x:c>
      <x:c r="B847" s="1">
        <x:v>1984</x:v>
      </x:c>
      <x:c r="C847" s="2">
        <x:v>1185459.31</x:v>
      </x:c>
      <x:c r="E847" s="2">
        <x:v>1185459.31</x:v>
      </x:c>
      <x:c r="F847" s="7">
        <x:v>30</x:v>
      </x:c>
      <x:c r="G847" s="6">
        <x:v>8.3081499999999995</x:v>
      </x:c>
      <x:c r="H847" s="8">
        <x:v>-0.15</x:v>
      </x:c>
      <x:c r="I847" s="6">
        <x:f t="shared" si="158"/>
        <x:v>985734.21212223417</x:v>
      </x:c>
      <x:c r="J847" s="19">
        <x:v>1.7962356735427776</x:v>
      </x:c>
      <x:c r="K847" s="6">
        <x:v>1363278.2064999999</x:v>
      </x:c>
      <x:c r="N847" s="20">
        <x:f t="shared" si="160"/>
        <x:v>1363278.2064999999</x:v>
      </x:c>
    </x:row>
    <x:row r="848" spans="1:14" x14ac:dyDescent="0.25">
      <x:c r="A848" s="1" t="s">
        <x:v>138</x:v>
      </x:c>
      <x:c r="B848" s="1">
        <x:v>1983</x:v>
      </x:c>
      <x:c r="C848" s="2">
        <x:v>693851.89</x:v>
      </x:c>
      <x:c r="E848" s="2">
        <x:v>693851.89</x:v>
      </x:c>
      <x:c r="F848" s="7">
        <x:v>30</x:v>
      </x:c>
      <x:c r="G848" s="6">
        <x:v>7.8995579999999999</x:v>
      </x:c>
      <x:c r="H848" s="8">
        <x:v>-0.15</x:v>
      </x:c>
      <x:c r="I848" s="6">
        <x:f t="shared" si="158"/>
        <x:v>587819.94897552277</x:v>
      </x:c>
      <x:c r="J848" s="19">
        <x:v>1.7962356735427776</x:v>
      </x:c>
      <x:c r="K848" s="6">
        <x:v>797929.67349999992</x:v>
      </x:c>
      <x:c r="N848" s="20">
        <x:f t="shared" si="160"/>
        <x:v>797929.67349999992</x:v>
      </x:c>
    </x:row>
    <x:row r="849" spans="1:14" x14ac:dyDescent="0.25">
      <x:c r="A849" s="1" t="s">
        <x:v>138</x:v>
      </x:c>
      <x:c r="B849" s="1">
        <x:v>1982</x:v>
      </x:c>
      <x:c r="C849" s="2">
        <x:v>901013.04</x:v>
      </x:c>
      <x:c r="E849" s="2">
        <x:v>901013.04</x:v>
      </x:c>
      <x:c r="F849" s="7">
        <x:v>30</x:v>
      </x:c>
      <x:c r="G849" s="6">
        <x:v>7.4951160000000003</x:v>
      </x:c>
      <x:c r="H849" s="8">
        <x:v>-0.15</x:v>
      </x:c>
      <x:c r="I849" s="6">
        <x:f t="shared" si="158"/>
        <x:v>777292.43466134882</x:v>
      </x:c>
      <x:c r="J849" s="19">
        <x:v>1.7962356735427776</x:v>
      </x:c>
      <x:c r="K849" s="6">
        <x:v>1036164.9959999999</x:v>
      </x:c>
      <x:c r="N849" s="20">
        <x:f t="shared" si="160"/>
        <x:v>1036164.9959999999</x:v>
      </x:c>
    </x:row>
    <x:row r="850" spans="1:14" x14ac:dyDescent="0.25">
      <x:c r="A850" s="1" t="s">
        <x:v>138</x:v>
      </x:c>
      <x:c r="B850" s="1">
        <x:v>1981</x:v>
      </x:c>
      <x:c r="C850" s="2">
        <x:v>960321.25</x:v>
      </x:c>
      <x:c r="E850" s="2">
        <x:v>960321.25</x:v>
      </x:c>
      <x:c r="F850" s="7">
        <x:v>30</x:v>
      </x:c>
      <x:c r="G850" s="6">
        <x:v>7.0942540000000003</x:v>
      </x:c>
      <x:c r="H850" s="8">
        <x:v>-0.15</x:v>
      </x:c>
      <x:c r="I850" s="6">
        <x:f t="shared" si="158"/>
        <x:v>843213.52751792909</x:v>
      </x:c>
      <x:c r="J850" s="19">
        <x:v>1.7962356735427776</x:v>
      </x:c>
      <x:c r="K850" s="6">
        <x:v>1104369.4375</x:v>
      </x:c>
      <x:c r="N850" s="20">
        <x:f t="shared" si="160"/>
        <x:v>1104369.4375</x:v>
      </x:c>
    </x:row>
    <x:row r="851" spans="1:14" x14ac:dyDescent="0.25">
      <x:c r="A851" s="1" t="s">
        <x:v>138</x:v>
      </x:c>
      <x:c r="B851" s="1">
        <x:v>1980</x:v>
      </x:c>
      <x:c r="C851" s="2">
        <x:v>771566.51</x:v>
      </x:c>
      <x:c r="E851" s="2">
        <x:v>771566.51</x:v>
      </x:c>
      <x:c r="F851" s="7">
        <x:v>30</x:v>
      </x:c>
      <x:c r="G851" s="6">
        <x:v>6.6958130000000002</x:v>
      </x:c>
      <x:c r="H851" s="8">
        <x:v>-0.15</x:v>
      </x:c>
      <x:c r="I851" s="6">
        <x:f t="shared" si="158"/>
        <x:v>689261.3255591325</x:v>
      </x:c>
      <x:c r="J851" s="19">
        <x:v>1.7962356735427776</x:v>
      </x:c>
      <x:c r="K851" s="6">
        <x:v>887301.4865</x:v>
      </x:c>
      <x:c r="N851" s="20">
        <x:f t="shared" si="160"/>
        <x:v>887301.4865</x:v>
      </x:c>
    </x:row>
    <x:row r="852" spans="1:14" x14ac:dyDescent="0.25">
      <x:c r="A852" s="1" t="s">
        <x:v>138</x:v>
      </x:c>
      <x:c r="B852" s="1">
        <x:v>1979</x:v>
      </x:c>
      <x:c r="C852" s="2">
        <x:v>533041.18000000005</x:v>
      </x:c>
      <x:c r="E852" s="2">
        <x:v>533041.18000000005</x:v>
      </x:c>
      <x:c r="F852" s="7">
        <x:v>30</x:v>
      </x:c>
      <x:c r="G852" s="6">
        <x:v>6.2993860000000002</x:v>
      </x:c>
      <x:c r="H852" s="8">
        <x:v>-0.15</x:v>
      </x:c>
      <x:c r="I852" s="6">
        <x:f t="shared" si="158"/>
        <x:v>484280.45804257324</x:v>
      </x:c>
      <x:c r="J852" s="19">
        <x:v>1.7962356735427776</x:v>
      </x:c>
      <x:c r="K852" s="6">
        <x:v>612997.35699999996</x:v>
      </x:c>
      <x:c r="N852" s="20">
        <x:f t="shared" si="160"/>
        <x:v>612997.35699999996</x:v>
      </x:c>
    </x:row>
    <x:row r="853" spans="1:14" x14ac:dyDescent="0.25">
      <x:c r="A853" s="1" t="s">
        <x:v>138</x:v>
      </x:c>
      <x:c r="B853" s="1">
        <x:v>1978</x:v>
      </x:c>
      <x:c r="C853" s="2">
        <x:v>380196.67</x:v>
      </x:c>
      <x:c r="E853" s="2">
        <x:v>380196.67</x:v>
      </x:c>
      <x:c r="F853" s="7">
        <x:v>30</x:v>
      </x:c>
      <x:c r="G853" s="6">
        <x:v>5.9041389999999998</x:v>
      </x:c>
      <x:c r="H853" s="8">
        <x:v>-0.15</x:v>
      </x:c>
      <x:c r="I853" s="6">
        <x:f t="shared" si="158"/>
        <x:v>351178.03433101001</x:v>
      </x:c>
      <x:c r="J853" s="19">
        <x:v>1.7962356735427776</x:v>
      </x:c>
      <x:c r="K853" s="6">
        <x:v>437226.17049999995</x:v>
      </x:c>
      <x:c r="N853" s="20">
        <x:f t="shared" si="160"/>
        <x:v>437226.17049999995</x:v>
      </x:c>
    </x:row>
    <x:row r="854" spans="1:14" x14ac:dyDescent="0.25">
      <x:c r="A854" s="1" t="s">
        <x:v>138</x:v>
      </x:c>
      <x:c r="B854" s="1">
        <x:v>1977</x:v>
      </x:c>
      <x:c r="C854" s="2">
        <x:v>361148.09</x:v>
      </x:c>
      <x:c r="E854" s="2">
        <x:v>361148.09</x:v>
      </x:c>
      <x:c r="F854" s="7">
        <x:v>30</x:v>
      </x:c>
      <x:c r="G854" s="6">
        <x:v>5.5083609999999998</x:v>
      </x:c>
      <x:c r="H854" s="8">
        <x:v>-0.15</x:v>
      </x:c>
      <x:c r="I854" s="6">
        <x:f t="shared" si="158"/>
        <x:v>339062.49808974785</x:v>
      </x:c>
      <x:c r="J854" s="19">
        <x:v>1.7962356735427776</x:v>
      </x:c>
      <x:c r="K854" s="6">
        <x:v>415320.30349999998</x:v>
      </x:c>
      <x:c r="N854" s="20">
        <x:f t="shared" si="160"/>
        <x:v>415320.30349999998</x:v>
      </x:c>
    </x:row>
    <x:row r="855" spans="1:14" x14ac:dyDescent="0.25">
      <x:c r="A855" s="1" t="s">
        <x:v>138</x:v>
      </x:c>
      <x:c r="B855" s="1">
        <x:v>1976</x:v>
      </x:c>
      <x:c r="C855" s="2">
        <x:v>293340.3</x:v>
      </x:c>
      <x:c r="E855" s="2">
        <x:v>293340.3</x:v>
      </x:c>
      <x:c r="F855" s="7">
        <x:v>30</x:v>
      </x:c>
      <x:c r="G855" s="6">
        <x:v>5.1114870000000003</x:v>
      </x:c>
      <x:c r="H855" s="8">
        <x:v>-0.15</x:v>
      </x:c>
      <x:c r="I855" s="6">
        <x:f t="shared" si="158"/>
        <x:v>279864.1483489995</x:v>
      </x:c>
      <x:c r="J855" s="19">
        <x:v>1.7962356735427776</x:v>
      </x:c>
      <x:c r="K855" s="6">
        <x:v>337341.34499999997</x:v>
      </x:c>
      <x:c r="N855" s="20">
        <x:f t="shared" si="160"/>
        <x:v>337341.34499999997</x:v>
      </x:c>
    </x:row>
    <x:row r="856" spans="1:14" x14ac:dyDescent="0.25">
      <x:c r="A856" s="1" t="s">
        <x:v>138</x:v>
      </x:c>
      <x:c r="B856" s="1">
        <x:v>1975</x:v>
      </x:c>
      <x:c r="C856" s="2">
        <x:v>332199.59000000003</x:v>
      </x:c>
      <x:c r="E856" s="2">
        <x:v>332199.59000000003</x:v>
      </x:c>
      <x:c r="F856" s="7">
        <x:v>30</x:v>
      </x:c>
      <x:c r="G856" s="6">
        <x:v>4.712294</x:v>
      </x:c>
      <x:c r="H856" s="8">
        <x:v>-0.15</x:v>
      </x:c>
      <x:c r="I856" s="6">
        <x:f t="shared" si="158"/>
        <x:v>322021.68000088737</x:v>
      </x:c>
      <x:c r="J856" s="19">
        <x:v>1.7962356735427776</x:v>
      </x:c>
      <x:c r="K856" s="6">
        <x:v>382029.52850000001</x:v>
      </x:c>
      <x:c r="N856" s="20">
        <x:f t="shared" si="160"/>
        <x:v>382029.52850000001</x:v>
      </x:c>
    </x:row>
    <x:row r="857" spans="1:14" x14ac:dyDescent="0.25">
      <x:c r="A857" s="1" t="s">
        <x:v>138</x:v>
      </x:c>
      <x:c r="B857" s="1">
        <x:v>1974</x:v>
      </x:c>
      <x:c r="C857" s="2">
        <x:v>379169.21</x:v>
      </x:c>
      <x:c r="E857" s="2">
        <x:v>379169.21</x:v>
      </x:c>
      <x:c r="F857" s="7">
        <x:v>30</x:v>
      </x:c>
      <x:c r="G857" s="6">
        <x:v>4.3084009999999999</x:v>
      </x:c>
      <x:c r="H857" s="8">
        <x:v>-0.15</x:v>
      </x:c>
      <x:c r="I857" s="6">
        <x:f t="shared" si="158"/>
        <x:v>373422.75969789358</x:v>
      </x:c>
      <x:c r="J857" s="19">
        <x:v>1.7962356735427776</x:v>
      </x:c>
      <x:c r="K857" s="6">
        <x:v>436044.59149999998</x:v>
      </x:c>
      <x:c r="N857" s="20">
        <x:f t="shared" si="160"/>
        <x:v>436044.59149999998</x:v>
      </x:c>
    </x:row>
    <x:row r="858" spans="1:14" x14ac:dyDescent="0.25">
      <x:c r="A858" s="1" t="s">
        <x:v>138</x:v>
      </x:c>
      <x:c r="B858" s="1">
        <x:v>1973</x:v>
      </x:c>
      <x:c r="C858" s="2">
        <x:v>287232.46000000002</x:v>
      </x:c>
      <x:c r="E858" s="2">
        <x:v>287232.46000000002</x:v>
      </x:c>
      <x:c r="F858" s="7">
        <x:v>30</x:v>
      </x:c>
      <x:c r="G858" s="6">
        <x:v>3.8990079999999998</x:v>
      </x:c>
      <x:c r="H858" s="8">
        <x:v>-0.15</x:v>
      </x:c>
      <x:c r="I858" s="6">
        <x:f t="shared" si="158"/>
        <x:v>287386.99872301228</x:v>
      </x:c>
      <x:c r="J858" s="19">
        <x:v>1.7962356735427776</x:v>
      </x:c>
      <x:c r="K858" s="6">
        <x:v>330317.32900000003</x:v>
      </x:c>
      <x:c r="N858" s="20">
        <x:f t="shared" si="160"/>
        <x:v>330317.32900000003</x:v>
      </x:c>
    </x:row>
    <x:row r="859" spans="1:14" x14ac:dyDescent="0.25">
      <x:c r="A859" s="1" t="s">
        <x:v>138</x:v>
      </x:c>
      <x:c r="B859" s="1">
        <x:v>1972</x:v>
      </x:c>
      <x:c r="C859" s="2">
        <x:v>189667.56</x:v>
      </x:c>
      <x:c r="E859" s="2">
        <x:v>189667.56</x:v>
      </x:c>
      <x:c r="F859" s="7">
        <x:v>30</x:v>
      </x:c>
      <x:c r="G859" s="6">
        <x:v>3.482529</x:v>
      </x:c>
      <x:c r="H859" s="8">
        <x:v>-0.15</x:v>
      </x:c>
      <x:c r="I859" s="6">
        <x:f t="shared" si="158"/>
        <x:v>192797.65417439578</x:v>
      </x:c>
      <x:c r="J859" s="19">
        <x:v>1.7962356735427776</x:v>
      </x:c>
      <x:c r="K859" s="6">
        <x:v>218117.69399999999</x:v>
      </x:c>
      <x:c r="N859" s="20">
        <x:f t="shared" si="160"/>
        <x:v>218117.69399999999</x:v>
      </x:c>
    </x:row>
    <x:row r="860" spans="1:14" x14ac:dyDescent="0.25">
      <x:c r="A860" s="1" t="s">
        <x:v>138</x:v>
      </x:c>
      <x:c r="B860" s="1">
        <x:v>1971</x:v>
      </x:c>
      <x:c r="C860" s="2">
        <x:v>175511.52</x:v>
      </x:c>
      <x:c r="E860" s="2">
        <x:v>175511.52</x:v>
      </x:c>
      <x:c r="F860" s="7">
        <x:v>30</x:v>
      </x:c>
      <x:c r="G860" s="6">
        <x:v>3.0561180000000001</x:v>
      </x:c>
      <x:c r="H860" s="8">
        <x:v>-0.15</x:v>
      </x:c>
      <x:c r="I860" s="6">
        <x:f t="shared" si="158"/>
        <x:v>181276.86457329115</x:v>
      </x:c>
      <x:c r="J860" s="19">
        <x:v>1.7962356735427776</x:v>
      </x:c>
      <x:c r="K860" s="6">
        <x:v>201838.24799999996</x:v>
      </x:c>
      <x:c r="N860" s="20">
        <x:f t="shared" si="160"/>
        <x:v>201838.24799999996</x:v>
      </x:c>
    </x:row>
    <x:row r="861" spans="1:14" x14ac:dyDescent="0.25">
      <x:c r="A861" s="1" t="s">
        <x:v>138</x:v>
      </x:c>
      <x:c r="B861" s="1">
        <x:v>1970</x:v>
      </x:c>
      <x:c r="C861" s="2">
        <x:v>183593.19</x:v>
      </x:c>
      <x:c r="E861" s="2">
        <x:v>183593.19</x:v>
      </x:c>
      <x:c r="F861" s="7">
        <x:v>30</x:v>
      </x:c>
      <x:c r="G861" s="6">
        <x:v>2.6192310000000001</x:v>
      </x:c>
      <x:c r="H861" s="8">
        <x:v>-0.15</x:v>
      </x:c>
      <x:c r="I861" s="6">
        <x:f t="shared" si="158"/>
        <x:v>192698.70447225255</x:v>
      </x:c>
      <x:c r="J861" s="19">
        <x:v>1.7962356735427776</x:v>
      </x:c>
      <x:c r="K861" s="6">
        <x:v>211132.1685</x:v>
      </x:c>
      <x:c r="N861" s="20">
        <x:f t="shared" si="160"/>
        <x:v>211132.1685</x:v>
      </x:c>
    </x:row>
    <x:row r="862" spans="1:14" x14ac:dyDescent="0.25">
      <x:c r="A862" s="1" t="s">
        <x:v>138</x:v>
      </x:c>
      <x:c r="B862" s="1">
        <x:v>1969</x:v>
      </x:c>
      <x:c r="C862" s="2">
        <x:v>181747.16</x:v>
      </x:c>
      <x:c r="E862" s="2">
        <x:v>181747.16</x:v>
      </x:c>
      <x:c r="F862" s="7">
        <x:v>30</x:v>
      </x:c>
      <x:c r="G862" s="6">
        <x:v>2.1711360000000002</x:v>
      </x:c>
      <x:c r="H862" s="8">
        <x:v>-0.15</x:v>
      </x:c>
      <x:c r="I862" s="6">
        <x:f t="shared" si="158"/>
        <x:v>193882.98492433919</x:v>
      </x:c>
      <x:c r="J862" s="19">
        <x:v>1.7962356735427776</x:v>
      </x:c>
      <x:c r="K862" s="6">
        <x:v>209009.234</x:v>
      </x:c>
      <x:c r="N862" s="20">
        <x:f t="shared" si="160"/>
        <x:v>209009.234</x:v>
      </x:c>
    </x:row>
    <x:row r="863" spans="1:14" x14ac:dyDescent="0.25">
      <x:c r="A863" s="1" t="s">
        <x:v>138</x:v>
      </x:c>
      <x:c r="B863" s="1">
        <x:v>1968</x:v>
      </x:c>
      <x:c r="C863" s="2">
        <x:v>132125.14000000001</x:v>
      </x:c>
      <x:c r="E863" s="2">
        <x:v>132125.14000000001</x:v>
      </x:c>
      <x:c r="F863" s="7">
        <x:v>30</x:v>
      </x:c>
      <x:c r="G863" s="6">
        <x:v>1.7120629999999999</x:v>
      </x:c>
      <x:c r="H863" s="8">
        <x:v>-0.15</x:v>
      </x:c>
      <x:c r="I863" s="6">
        <x:f t="shared" si="158"/>
        <x:v>143272.65939672021</x:v>
      </x:c>
      <x:c r="J863" s="19">
        <x:v>1.7962356735427776</x:v>
      </x:c>
      <x:c r="K863" s="6">
        <x:v>151943.91099999999</x:v>
      </x:c>
      <x:c r="N863" s="20">
        <x:f t="shared" si="160"/>
        <x:v>151943.91099999999</x:v>
      </x:c>
    </x:row>
    <x:row r="864" spans="1:14" x14ac:dyDescent="0.25">
      <x:c r="A864" s="1" t="s">
        <x:v>138</x:v>
      </x:c>
      <x:c r="B864" s="1">
        <x:v>1967</x:v>
      </x:c>
      <x:c r="C864" s="2">
        <x:v>161436.37</x:v>
      </x:c>
      <x:c r="E864" s="2">
        <x:v>161436.37</x:v>
      </x:c>
      <x:c r="F864" s="7">
        <x:v>30</x:v>
      </x:c>
      <x:c r="G864" s="6">
        <x:v>1.2487710000000001</x:v>
      </x:c>
      <x:c r="H864" s="8">
        <x:v>-0.15</x:v>
      </x:c>
      <x:c r="I864" s="6">
        <x:f t="shared" si="158"/>
        <x:v>177923.93830728464</x:v>
      </x:c>
      <x:c r="J864" s="19">
        <x:v>1.7962356735427776</x:v>
      </x:c>
      <x:c r="K864" s="6">
        <x:v>185651.82549999998</x:v>
      </x:c>
      <x:c r="N864" s="20">
        <x:f t="shared" si="160"/>
        <x:v>185651.82549999998</x:v>
      </x:c>
    </x:row>
    <x:row r="865" spans="1:14" x14ac:dyDescent="0.25">
      <x:c r="A865" s="1" t="s">
        <x:v>138</x:v>
      </x:c>
      <x:c r="B865" s="1">
        <x:v>1966</x:v>
      </x:c>
      <x:c r="C865" s="2">
        <x:v>111936.68</x:v>
      </x:c>
      <x:c r="E865" s="2">
        <x:v>111936.68</x:v>
      </x:c>
      <x:c r="F865" s="7">
        <x:v>30</x:v>
      </x:c>
      <x:c r="G865" s="6">
        <x:v>0.78914700000000004</x:v>
      </x:c>
      <x:c r="H865" s="8">
        <x:v>-0.15</x:v>
      </x:c>
      <x:c r="I865" s="6">
        <x:f t="shared" si="158"/>
        <x:v>125341.02635020819</x:v>
      </x:c>
      <x:c r="J865" s="19">
        <x:v>1.7962356735427776</x:v>
      </x:c>
      <x:c r="K865" s="6">
        <x:v>128727.18199999999</x:v>
      </x:c>
      <x:c r="N865" s="20">
        <x:f t="shared" si="160"/>
        <x:v>128727.18199999999</x:v>
      </x:c>
    </x:row>
    <x:row r="866" spans="1:14" x14ac:dyDescent="0.25">
      <x:c r="A866" s="1" t="s">
        <x:v>138</x:v>
      </x:c>
      <x:c r="B866" s="1">
        <x:v>1965</x:v>
      </x:c>
      <x:c r="C866" s="2">
        <x:v>642702.29</x:v>
      </x:c>
      <x:c r="E866" s="2">
        <x:v>642702.29</x:v>
      </x:c>
      <x:c r="F866" s="7">
        <x:v>30</x:v>
      </x:c>
      <x:c r="G866" s="6">
        <x:v>0.39752100000000001</x:v>
      </x:c>
      <x:c r="H866" s="8">
        <x:v>-0.15</x:v>
      </x:c>
      <x:c r="I866" s="6">
        <x:f t="shared" si="158"/>
        <x:v>729313.93998078164</x:v>
      </x:c>
      <x:c r="J866" s="19">
        <x:v>1.7962356735427776</x:v>
      </x:c>
      <x:c r="K866" s="6">
        <x:v>739107.6335</x:v>
      </x:c>
      <x:c r="N866" s="20">
        <x:f t="shared" si="160"/>
        <x:v>739107.6335</x:v>
      </x:c>
    </x:row>
    <x:row r="867" spans="1:14" x14ac:dyDescent="0.25">
      <x:c r="A867" s="1" t="s">
        <x:v>138</x:v>
      </x:c>
      <x:c r="B867" s="1">
        <x:v>1964</x:v>
      </x:c>
      <x:c r="C867" s="2">
        <x:v>40383.08</x:v>
      </x:c>
      <x:c r="E867" s="2">
        <x:v>40383.08</x:v>
      </x:c>
      <x:c r="F867" s="7">
        <x:v>30</x:v>
      </x:c>
      <x:c r="G867" s="6">
        <x:v>0</x:v>
      </x:c>
      <x:c r="H867" s="8">
        <x:v>-0.15</x:v>
      </x:c>
      <x:c r="I867" s="6">
        <x:f t="shared" si="158"/>
        <x:v>46440.542000000001</x:v>
      </x:c>
      <x:c r="J867" s="19">
        <x:v>1.7962356735427776</x:v>
      </x:c>
      <x:c r="K867" s="6">
        <x:v>46440.542000000001</x:v>
      </x:c>
      <x:c r="N867" s="20">
        <x:f t="shared" si="160"/>
        <x:v>46440.542000000001</x:v>
      </x:c>
    </x:row>
    <x:row r="868" spans="1:14" x14ac:dyDescent="0.25">
      <x:c r="A868" s="1" t="s">
        <x:v>138</x:v>
      </x:c>
      <x:c r="B868" s="1">
        <x:v>1963</x:v>
      </x:c>
      <x:c r="C868" s="2">
        <x:v>41533.75</x:v>
      </x:c>
      <x:c r="E868" s="2">
        <x:v>41533.75</x:v>
      </x:c>
      <x:c r="F868" s="7">
        <x:v>30</x:v>
      </x:c>
      <x:c r="G868" s="6">
        <x:v>0</x:v>
      </x:c>
      <x:c r="H868" s="8">
        <x:v>-0.15</x:v>
      </x:c>
      <x:c r="I868" s="6">
        <x:f t="shared" si="158"/>
        <x:v>47763.812499999993</x:v>
      </x:c>
      <x:c r="J868" s="19">
        <x:v>1.7962356735427776</x:v>
      </x:c>
      <x:c r="K868" s="6">
        <x:v>47763.812499999993</x:v>
      </x:c>
      <x:c r="N868" s="20">
        <x:f t="shared" si="160"/>
        <x:v>47763.812499999993</x:v>
      </x:c>
    </x:row>
    <x:row r="869" spans="1:14" x14ac:dyDescent="0.25">
      <x:c r="A869" s="1" t="s">
        <x:v>138</x:v>
      </x:c>
      <x:c r="B869" s="1">
        <x:v>1962</x:v>
      </x:c>
      <x:c r="C869" s="2">
        <x:v>26145.8</x:v>
      </x:c>
      <x:c r="E869" s="2">
        <x:v>26145.8</x:v>
      </x:c>
      <x:c r="F869" s="7">
        <x:v>30</x:v>
      </x:c>
      <x:c r="G869" s="6">
        <x:v>0</x:v>
      </x:c>
      <x:c r="H869" s="8">
        <x:v>-0.15</x:v>
      </x:c>
      <x:c r="I869" s="6">
        <x:f t="shared" si="158"/>
        <x:v>30067.67</x:v>
      </x:c>
      <x:c r="J869" s="19">
        <x:v>1.7962356735427776</x:v>
      </x:c>
      <x:c r="K869" s="6">
        <x:v>30067.67</x:v>
      </x:c>
      <x:c r="N869" s="20">
        <x:f t="shared" si="160"/>
        <x:v>30067.67</x:v>
      </x:c>
    </x:row>
    <x:row r="870" spans="1:14" x14ac:dyDescent="0.25">
      <x:c r="A870" s="1" t="s">
        <x:v>138</x:v>
      </x:c>
      <x:c r="B870" s="1">
        <x:v>1961</x:v>
      </x:c>
      <x:c r="C870" s="2">
        <x:v>22201.93</x:v>
      </x:c>
      <x:c r="E870" s="2">
        <x:v>22201.93</x:v>
      </x:c>
      <x:c r="F870" s="7">
        <x:v>30</x:v>
      </x:c>
      <x:c r="G870" s="6">
        <x:v>0</x:v>
      </x:c>
      <x:c r="H870" s="8">
        <x:v>-0.15</x:v>
      </x:c>
      <x:c r="I870" s="6">
        <x:f t="shared" si="158"/>
        <x:v>25532.219499999999</x:v>
      </x:c>
      <x:c r="J870" s="19">
        <x:v>1.7962356735427776</x:v>
      </x:c>
      <x:c r="K870" s="6">
        <x:v>25532.219499999999</x:v>
      </x:c>
      <x:c r="N870" s="20">
        <x:f t="shared" si="160"/>
        <x:v>25532.219499999999</x:v>
      </x:c>
    </x:row>
    <x:row r="871" spans="1:14" x14ac:dyDescent="0.25">
      <x:c r="A871" s="1" t="s">
        <x:v>138</x:v>
      </x:c>
      <x:c r="B871" s="1">
        <x:v>1960</x:v>
      </x:c>
      <x:c r="C871" s="2">
        <x:v>18385.509999999998</x:v>
      </x:c>
      <x:c r="E871" s="2">
        <x:v>18385.509999999998</x:v>
      </x:c>
      <x:c r="F871" s="7">
        <x:v>30</x:v>
      </x:c>
      <x:c r="G871" s="6">
        <x:v>0</x:v>
      </x:c>
      <x:c r="H871" s="8">
        <x:v>-0.15</x:v>
      </x:c>
      <x:c r="I871" s="6">
        <x:f t="shared" ref="I871:I908" si="161">+C871*(1-H871)*(1-G871/F871)</x:f>
        <x:v>21143.336499999998</x:v>
      </x:c>
      <x:c r="J871" s="19">
        <x:v>1.7962356735427776</x:v>
      </x:c>
      <x:c r="K871" s="6">
        <x:v>21143.336499999998</x:v>
      </x:c>
      <x:c r="N871" s="20">
        <x:f t="shared" ref="N871:N902" si="162">K871</x:f>
        <x:v>21143.336499999998</x:v>
      </x:c>
    </x:row>
    <x:row r="872" spans="1:14" x14ac:dyDescent="0.25">
      <x:c r="A872" s="1" t="s">
        <x:v>138</x:v>
      </x:c>
      <x:c r="B872" s="1">
        <x:v>1959</x:v>
      </x:c>
      <x:c r="C872" s="2">
        <x:v>17645.599999999999</x:v>
      </x:c>
      <x:c r="E872" s="2">
        <x:v>17645.599999999999</x:v>
      </x:c>
      <x:c r="F872" s="7">
        <x:v>30</x:v>
      </x:c>
      <x:c r="G872" s="6">
        <x:v>0</x:v>
      </x:c>
      <x:c r="H872" s="8">
        <x:v>-0.15</x:v>
      </x:c>
      <x:c r="I872" s="6">
        <x:f t="shared" si="161"/>
        <x:v>20292.439999999995</x:v>
      </x:c>
      <x:c r="J872" s="19">
        <x:v>1.7962356735427776</x:v>
      </x:c>
      <x:c r="K872" s="6">
        <x:v>20292.439999999995</x:v>
      </x:c>
      <x:c r="N872" s="20">
        <x:f t="shared" si="162"/>
        <x:v>20292.439999999995</x:v>
      </x:c>
    </x:row>
    <x:row r="873" spans="1:14" x14ac:dyDescent="0.25">
      <x:c r="A873" s="1" t="s">
        <x:v>138</x:v>
      </x:c>
      <x:c r="B873" s="1">
        <x:v>1958</x:v>
      </x:c>
      <x:c r="C873" s="2">
        <x:v>15706.36</x:v>
      </x:c>
      <x:c r="E873" s="2">
        <x:v>15706.36</x:v>
      </x:c>
      <x:c r="F873" s="7">
        <x:v>30</x:v>
      </x:c>
      <x:c r="G873" s="6">
        <x:v>0</x:v>
      </x:c>
      <x:c r="H873" s="8">
        <x:v>-0.15</x:v>
      </x:c>
      <x:c r="I873" s="6">
        <x:f t="shared" si="161"/>
        <x:v>18062.313999999998</x:v>
      </x:c>
      <x:c r="J873" s="19">
        <x:v>1.7962356735427776</x:v>
      </x:c>
      <x:c r="K873" s="6">
        <x:v>18062.313999999998</x:v>
      </x:c>
      <x:c r="N873" s="20">
        <x:f t="shared" si="162"/>
        <x:v>18062.313999999998</x:v>
      </x:c>
    </x:row>
    <x:row r="874" spans="1:14" x14ac:dyDescent="0.25">
      <x:c r="A874" s="1" t="s">
        <x:v>138</x:v>
      </x:c>
      <x:c r="B874" s="1">
        <x:v>1957</x:v>
      </x:c>
      <x:c r="C874" s="2">
        <x:v>11233.02</x:v>
      </x:c>
      <x:c r="E874" s="2">
        <x:v>11233.02</x:v>
      </x:c>
      <x:c r="F874" s="7">
        <x:v>30</x:v>
      </x:c>
      <x:c r="G874" s="6">
        <x:v>0</x:v>
      </x:c>
      <x:c r="H874" s="8">
        <x:v>-0.15</x:v>
      </x:c>
      <x:c r="I874" s="6">
        <x:f t="shared" si="161"/>
        <x:v>12917.973</x:v>
      </x:c>
      <x:c r="J874" s="19">
        <x:v>1.7962356735427776</x:v>
      </x:c>
      <x:c r="K874" s="6">
        <x:v>12917.973</x:v>
      </x:c>
      <x:c r="N874" s="20">
        <x:f t="shared" si="162"/>
        <x:v>12917.973</x:v>
      </x:c>
    </x:row>
    <x:row r="875" spans="1:14" x14ac:dyDescent="0.25">
      <x:c r="A875" s="1" t="s">
        <x:v>138</x:v>
      </x:c>
      <x:c r="B875" s="1">
        <x:v>1956</x:v>
      </x:c>
      <x:c r="C875" s="2">
        <x:v>13905.57</x:v>
      </x:c>
      <x:c r="E875" s="2">
        <x:v>13905.57</x:v>
      </x:c>
      <x:c r="F875" s="7">
        <x:v>30</x:v>
      </x:c>
      <x:c r="G875" s="6">
        <x:v>0</x:v>
      </x:c>
      <x:c r="H875" s="8">
        <x:v>-0.15</x:v>
      </x:c>
      <x:c r="I875" s="6">
        <x:f t="shared" si="161"/>
        <x:v>15991.405499999999</x:v>
      </x:c>
      <x:c r="J875" s="19">
        <x:v>1.7962356735427776</x:v>
      </x:c>
      <x:c r="K875" s="6">
        <x:v>15991.405499999999</x:v>
      </x:c>
      <x:c r="N875" s="20">
        <x:f t="shared" si="162"/>
        <x:v>15991.405499999999</x:v>
      </x:c>
    </x:row>
    <x:row r="876" spans="1:14" x14ac:dyDescent="0.25">
      <x:c r="A876" s="1" t="s">
        <x:v>138</x:v>
      </x:c>
      <x:c r="B876" s="1">
        <x:v>1955</x:v>
      </x:c>
      <x:c r="C876" s="2">
        <x:v>10400.86</x:v>
      </x:c>
      <x:c r="E876" s="2">
        <x:v>10400.86</x:v>
      </x:c>
      <x:c r="F876" s="7">
        <x:v>30</x:v>
      </x:c>
      <x:c r="G876" s="6">
        <x:v>0</x:v>
      </x:c>
      <x:c r="H876" s="8">
        <x:v>-0.15</x:v>
      </x:c>
      <x:c r="I876" s="6">
        <x:f t="shared" si="161"/>
        <x:v>11960.989</x:v>
      </x:c>
      <x:c r="J876" s="19">
        <x:v>1.7962356735427776</x:v>
      </x:c>
      <x:c r="K876" s="6">
        <x:v>11960.989</x:v>
      </x:c>
      <x:c r="N876" s="20">
        <x:f t="shared" si="162"/>
        <x:v>11960.989</x:v>
      </x:c>
    </x:row>
    <x:row r="877" spans="1:14" x14ac:dyDescent="0.25">
      <x:c r="A877" s="1" t="s">
        <x:v>138</x:v>
      </x:c>
      <x:c r="B877" s="1">
        <x:v>1954</x:v>
      </x:c>
      <x:c r="C877" s="2">
        <x:v>11248.9</x:v>
      </x:c>
      <x:c r="E877" s="2">
        <x:v>11248.9</x:v>
      </x:c>
      <x:c r="F877" s="7">
        <x:v>30</x:v>
      </x:c>
      <x:c r="G877" s="6">
        <x:v>0</x:v>
      </x:c>
      <x:c r="H877" s="8">
        <x:v>-0.15</x:v>
      </x:c>
      <x:c r="I877" s="6">
        <x:f t="shared" si="161"/>
        <x:v>12936.234999999999</x:v>
      </x:c>
      <x:c r="J877" s="19">
        <x:v>1.7962356735427776</x:v>
      </x:c>
      <x:c r="K877" s="6">
        <x:v>12936.234999999999</x:v>
      </x:c>
      <x:c r="N877" s="20">
        <x:f t="shared" si="162"/>
        <x:v>12936.234999999999</x:v>
      </x:c>
    </x:row>
    <x:row r="878" spans="1:14" x14ac:dyDescent="0.25">
      <x:c r="A878" s="1" t="s">
        <x:v>138</x:v>
      </x:c>
      <x:c r="B878" s="1">
        <x:v>1953</x:v>
      </x:c>
      <x:c r="C878" s="2">
        <x:v>10690.38</x:v>
      </x:c>
      <x:c r="E878" s="2">
        <x:v>10690.38</x:v>
      </x:c>
      <x:c r="F878" s="7">
        <x:v>30</x:v>
      </x:c>
      <x:c r="G878" s="6">
        <x:v>0</x:v>
      </x:c>
      <x:c r="H878" s="8">
        <x:v>-0.15</x:v>
      </x:c>
      <x:c r="I878" s="6">
        <x:f t="shared" si="161"/>
        <x:v>12293.936999999998</x:v>
      </x:c>
      <x:c r="J878" s="19">
        <x:v>1.7962356735427776</x:v>
      </x:c>
      <x:c r="K878" s="6">
        <x:v>12293.936999999998</x:v>
      </x:c>
      <x:c r="N878" s="20">
        <x:f t="shared" si="162"/>
        <x:v>12293.936999999998</x:v>
      </x:c>
    </x:row>
    <x:row r="879" spans="1:14" x14ac:dyDescent="0.25">
      <x:c r="A879" s="1" t="s">
        <x:v>138</x:v>
      </x:c>
      <x:c r="B879" s="1">
        <x:v>1952</x:v>
      </x:c>
      <x:c r="C879" s="2">
        <x:v>9016.76</x:v>
      </x:c>
      <x:c r="E879" s="2">
        <x:v>9016.76</x:v>
      </x:c>
      <x:c r="F879" s="7">
        <x:v>30</x:v>
      </x:c>
      <x:c r="G879" s="6">
        <x:v>0</x:v>
      </x:c>
      <x:c r="H879" s="8">
        <x:v>-0.15</x:v>
      </x:c>
      <x:c r="I879" s="6">
        <x:f t="shared" si="161"/>
        <x:v>10369.273999999999</x:v>
      </x:c>
      <x:c r="J879" s="19">
        <x:v>1.7962356735427776</x:v>
      </x:c>
      <x:c r="K879" s="6">
        <x:v>10369.273999999999</x:v>
      </x:c>
      <x:c r="N879" s="20">
        <x:f t="shared" si="162"/>
        <x:v>10369.273999999999</x:v>
      </x:c>
    </x:row>
    <x:row r="880" spans="1:14" x14ac:dyDescent="0.25">
      <x:c r="A880" s="1" t="s">
        <x:v>138</x:v>
      </x:c>
      <x:c r="B880" s="1">
        <x:v>1951</x:v>
      </x:c>
      <x:c r="C880" s="2">
        <x:v>4931.43</x:v>
      </x:c>
      <x:c r="E880" s="2">
        <x:v>4931.43</x:v>
      </x:c>
      <x:c r="F880" s="7">
        <x:v>30</x:v>
      </x:c>
      <x:c r="G880" s="6">
        <x:v>0</x:v>
      </x:c>
      <x:c r="H880" s="8">
        <x:v>-0.15</x:v>
      </x:c>
      <x:c r="I880" s="6">
        <x:f t="shared" si="161"/>
        <x:v>5671.1445000000003</x:v>
      </x:c>
      <x:c r="J880" s="19">
        <x:v>1.7962356735427776</x:v>
      </x:c>
      <x:c r="K880" s="6">
        <x:v>5671.1445000000003</x:v>
      </x:c>
      <x:c r="N880" s="20">
        <x:f t="shared" si="162"/>
        <x:v>5671.1445000000003</x:v>
      </x:c>
    </x:row>
    <x:row r="881" spans="1:14" x14ac:dyDescent="0.25">
      <x:c r="A881" s="1" t="s">
        <x:v>138</x:v>
      </x:c>
      <x:c r="B881" s="1">
        <x:v>1950</x:v>
      </x:c>
      <x:c r="C881" s="2">
        <x:v>5802.77</x:v>
      </x:c>
      <x:c r="E881" s="2">
        <x:v>5802.77</x:v>
      </x:c>
      <x:c r="F881" s="7">
        <x:v>30</x:v>
      </x:c>
      <x:c r="G881" s="6">
        <x:v>0</x:v>
      </x:c>
      <x:c r="H881" s="8">
        <x:v>-0.15</x:v>
      </x:c>
      <x:c r="I881" s="6">
        <x:f t="shared" si="161"/>
        <x:v>6673.1854999999996</x:v>
      </x:c>
      <x:c r="J881" s="19">
        <x:v>1.7962356735427776</x:v>
      </x:c>
      <x:c r="K881" s="6">
        <x:v>6673.1854999999996</x:v>
      </x:c>
      <x:c r="N881" s="20">
        <x:f t="shared" si="162"/>
        <x:v>6673.1854999999996</x:v>
      </x:c>
    </x:row>
    <x:row r="882" spans="1:14" x14ac:dyDescent="0.25">
      <x:c r="A882" s="1" t="s">
        <x:v>138</x:v>
      </x:c>
      <x:c r="B882" s="1">
        <x:v>1949</x:v>
      </x:c>
      <x:c r="C882" s="2">
        <x:v>9075.2999999999993</x:v>
      </x:c>
      <x:c r="E882" s="2">
        <x:v>9075.2999999999993</x:v>
      </x:c>
      <x:c r="F882" s="7">
        <x:v>30</x:v>
      </x:c>
      <x:c r="G882" s="6">
        <x:v>0</x:v>
      </x:c>
      <x:c r="H882" s="8">
        <x:v>-0.15</x:v>
      </x:c>
      <x:c r="I882" s="6">
        <x:f t="shared" si="161"/>
        <x:v>10436.594999999998</x:v>
      </x:c>
      <x:c r="J882" s="19">
        <x:v>1.7962356735427776</x:v>
      </x:c>
      <x:c r="K882" s="6">
        <x:v>10436.594999999998</x:v>
      </x:c>
      <x:c r="N882" s="20">
        <x:f t="shared" si="162"/>
        <x:v>10436.594999999998</x:v>
      </x:c>
    </x:row>
    <x:row r="883" spans="1:14" x14ac:dyDescent="0.25">
      <x:c r="A883" s="1" t="s">
        <x:v>138</x:v>
      </x:c>
      <x:c r="B883" s="1">
        <x:v>1948</x:v>
      </x:c>
      <x:c r="C883" s="2">
        <x:v>4687.55</x:v>
      </x:c>
      <x:c r="E883" s="2">
        <x:v>4687.55</x:v>
      </x:c>
      <x:c r="F883" s="7">
        <x:v>30</x:v>
      </x:c>
      <x:c r="G883" s="6">
        <x:v>0</x:v>
      </x:c>
      <x:c r="H883" s="8">
        <x:v>-0.15</x:v>
      </x:c>
      <x:c r="I883" s="6">
        <x:f t="shared" si="161"/>
        <x:v>5390.6824999999999</x:v>
      </x:c>
      <x:c r="J883" s="19">
        <x:v>1.7962356735427776</x:v>
      </x:c>
      <x:c r="K883" s="6">
        <x:v>5390.6824999999999</x:v>
      </x:c>
      <x:c r="N883" s="20">
        <x:f t="shared" si="162"/>
        <x:v>5390.6824999999999</x:v>
      </x:c>
    </x:row>
    <x:row r="884" spans="1:14" x14ac:dyDescent="0.25">
      <x:c r="A884" s="1" t="s">
        <x:v>138</x:v>
      </x:c>
      <x:c r="B884" s="1">
        <x:v>1947</x:v>
      </x:c>
      <x:c r="C884" s="2">
        <x:v>5741.19</x:v>
      </x:c>
      <x:c r="E884" s="2">
        <x:v>5741.19</x:v>
      </x:c>
      <x:c r="F884" s="7">
        <x:v>30</x:v>
      </x:c>
      <x:c r="G884" s="6">
        <x:v>0</x:v>
      </x:c>
      <x:c r="H884" s="8">
        <x:v>-0.15</x:v>
      </x:c>
      <x:c r="I884" s="6">
        <x:f t="shared" si="161"/>
        <x:v>6602.3684999999987</x:v>
      </x:c>
      <x:c r="J884" s="19">
        <x:v>1.7962356735427776</x:v>
      </x:c>
      <x:c r="K884" s="6">
        <x:v>6602.3684999999987</x:v>
      </x:c>
      <x:c r="N884" s="20">
        <x:f t="shared" si="162"/>
        <x:v>6602.3684999999987</x:v>
      </x:c>
    </x:row>
    <x:row r="885" spans="1:14" x14ac:dyDescent="0.25">
      <x:c r="A885" s="1" t="s">
        <x:v>138</x:v>
      </x:c>
      <x:c r="B885" s="1">
        <x:v>1946</x:v>
      </x:c>
      <x:c r="C885" s="2">
        <x:v>4659.57</x:v>
      </x:c>
      <x:c r="E885" s="2">
        <x:v>4659.57</x:v>
      </x:c>
      <x:c r="F885" s="7">
        <x:v>30</x:v>
      </x:c>
      <x:c r="G885" s="6">
        <x:v>0</x:v>
      </x:c>
      <x:c r="H885" s="8">
        <x:v>-0.15</x:v>
      </x:c>
      <x:c r="I885" s="6">
        <x:f t="shared" si="161"/>
        <x:v>5358.5054999999993</x:v>
      </x:c>
      <x:c r="J885" s="19">
        <x:v>1.7962356735427776</x:v>
      </x:c>
      <x:c r="K885" s="6">
        <x:v>5358.5054999999993</x:v>
      </x:c>
      <x:c r="N885" s="20">
        <x:f t="shared" si="162"/>
        <x:v>5358.5054999999993</x:v>
      </x:c>
    </x:row>
    <x:row r="886" spans="1:14" x14ac:dyDescent="0.25">
      <x:c r="A886" s="1" t="s">
        <x:v>138</x:v>
      </x:c>
      <x:c r="B886" s="1">
        <x:v>1945</x:v>
      </x:c>
      <x:c r="C886" s="2">
        <x:v>1543.37</x:v>
      </x:c>
      <x:c r="E886" s="2">
        <x:v>1543.37</x:v>
      </x:c>
      <x:c r="F886" s="7">
        <x:v>30</x:v>
      </x:c>
      <x:c r="G886" s="6">
        <x:v>0</x:v>
      </x:c>
      <x:c r="H886" s="8">
        <x:v>-0.15</x:v>
      </x:c>
      <x:c r="I886" s="6">
        <x:f t="shared" si="161"/>
        <x:v>1774.8754999999996</x:v>
      </x:c>
      <x:c r="J886" s="19">
        <x:v>1.7962356735427776</x:v>
      </x:c>
      <x:c r="K886" s="6">
        <x:v>1774.8754999999996</x:v>
      </x:c>
      <x:c r="N886" s="20">
        <x:f t="shared" si="162"/>
        <x:v>1774.8754999999996</x:v>
      </x:c>
    </x:row>
    <x:row r="887" spans="1:14" x14ac:dyDescent="0.25">
      <x:c r="A887" s="1" t="s">
        <x:v>138</x:v>
      </x:c>
      <x:c r="B887" s="1">
        <x:v>1944</x:v>
      </x:c>
      <x:c r="C887" s="2">
        <x:v>20.47</x:v>
      </x:c>
      <x:c r="E887" s="2">
        <x:v>20.47</x:v>
      </x:c>
      <x:c r="F887" s="7">
        <x:v>30</x:v>
      </x:c>
      <x:c r="G887" s="6">
        <x:v>0</x:v>
      </x:c>
      <x:c r="H887" s="8">
        <x:v>-0.15</x:v>
      </x:c>
      <x:c r="I887" s="6">
        <x:f t="shared" si="161"/>
        <x:v>23.540499999999998</x:v>
      </x:c>
      <x:c r="J887" s="19">
        <x:v>1.7962356735427776</x:v>
      </x:c>
      <x:c r="K887" s="6">
        <x:v>23.540499999999998</x:v>
      </x:c>
      <x:c r="N887" s="20">
        <x:f t="shared" si="162"/>
        <x:v>23.540499999999998</x:v>
      </x:c>
    </x:row>
    <x:row r="888" spans="1:14" x14ac:dyDescent="0.25">
      <x:c r="A888" s="1" t="s">
        <x:v>138</x:v>
      </x:c>
      <x:c r="B888" s="1">
        <x:v>1943</x:v>
      </x:c>
      <x:c r="C888" s="2">
        <x:v>652.33000000000004</x:v>
      </x:c>
      <x:c r="E888" s="2">
        <x:v>652.33000000000004</x:v>
      </x:c>
      <x:c r="F888" s="7">
        <x:v>30</x:v>
      </x:c>
      <x:c r="G888" s="6">
        <x:v>0</x:v>
      </x:c>
      <x:c r="H888" s="8">
        <x:v>-0.15</x:v>
      </x:c>
      <x:c r="I888" s="6">
        <x:f t="shared" si="161"/>
        <x:v>750.17949999999996</x:v>
      </x:c>
      <x:c r="J888" s="19">
        <x:v>1.7962356735427776</x:v>
      </x:c>
      <x:c r="K888" s="6">
        <x:v>750.17949999999996</x:v>
      </x:c>
      <x:c r="N888" s="20">
        <x:f t="shared" si="162"/>
        <x:v>750.17949999999996</x:v>
      </x:c>
    </x:row>
    <x:row r="889" spans="1:14" x14ac:dyDescent="0.25">
      <x:c r="A889" s="1" t="s">
        <x:v>138</x:v>
      </x:c>
      <x:c r="B889" s="1">
        <x:v>1942</x:v>
      </x:c>
      <x:c r="C889" s="2">
        <x:v>428.08</x:v>
      </x:c>
      <x:c r="E889" s="2">
        <x:v>428.08</x:v>
      </x:c>
      <x:c r="F889" s="7">
        <x:v>30</x:v>
      </x:c>
      <x:c r="G889" s="6">
        <x:v>0</x:v>
      </x:c>
      <x:c r="H889" s="8">
        <x:v>-0.15</x:v>
      </x:c>
      <x:c r="I889" s="6">
        <x:f t="shared" si="161"/>
        <x:v>492.29199999999992</x:v>
      </x:c>
      <x:c r="J889" s="19">
        <x:v>1.7962356735427776</x:v>
      </x:c>
      <x:c r="K889" s="6">
        <x:v>492.29199999999992</x:v>
      </x:c>
      <x:c r="N889" s="20">
        <x:f t="shared" si="162"/>
        <x:v>492.29199999999992</x:v>
      </x:c>
    </x:row>
    <x:row r="890" spans="1:14" x14ac:dyDescent="0.25">
      <x:c r="A890" s="1" t="s">
        <x:v>138</x:v>
      </x:c>
      <x:c r="B890" s="1">
        <x:v>1941</x:v>
      </x:c>
      <x:c r="C890" s="2">
        <x:v>623.66999999999996</x:v>
      </x:c>
      <x:c r="E890" s="2">
        <x:v>623.66999999999996</x:v>
      </x:c>
      <x:c r="F890" s="7">
        <x:v>30</x:v>
      </x:c>
      <x:c r="G890" s="6">
        <x:v>0</x:v>
      </x:c>
      <x:c r="H890" s="8">
        <x:v>-0.15</x:v>
      </x:c>
      <x:c r="I890" s="6">
        <x:f t="shared" si="161"/>
        <x:v>717.2204999999999</x:v>
      </x:c>
      <x:c r="J890" s="19">
        <x:v>1.7962356735427776</x:v>
      </x:c>
      <x:c r="K890" s="6">
        <x:v>717.2204999999999</x:v>
      </x:c>
      <x:c r="N890" s="20">
        <x:f t="shared" si="162"/>
        <x:v>717.2204999999999</x:v>
      </x:c>
    </x:row>
    <x:row r="891" spans="1:14" x14ac:dyDescent="0.25">
      <x:c r="A891" s="1" t="s">
        <x:v>138</x:v>
      </x:c>
      <x:c r="B891" s="1">
        <x:v>1940</x:v>
      </x:c>
      <x:c r="C891" s="2">
        <x:v>263.56</x:v>
      </x:c>
      <x:c r="E891" s="2">
        <x:v>263.56</x:v>
      </x:c>
      <x:c r="F891" s="7">
        <x:v>30</x:v>
      </x:c>
      <x:c r="G891" s="6">
        <x:v>0</x:v>
      </x:c>
      <x:c r="H891" s="8">
        <x:v>-0.15</x:v>
      </x:c>
      <x:c r="I891" s="6">
        <x:f t="shared" si="161"/>
        <x:v>303.09399999999999</x:v>
      </x:c>
      <x:c r="J891" s="19">
        <x:v>1.7962356735427776</x:v>
      </x:c>
      <x:c r="K891" s="6">
        <x:v>303.09399999999999</x:v>
      </x:c>
      <x:c r="N891" s="20">
        <x:f t="shared" si="162"/>
        <x:v>303.09399999999999</x:v>
      </x:c>
    </x:row>
    <x:row r="892" spans="1:14" x14ac:dyDescent="0.25">
      <x:c r="A892" s="1" t="s">
        <x:v>138</x:v>
      </x:c>
      <x:c r="B892" s="1">
        <x:v>1939</x:v>
      </x:c>
      <x:c r="C892" s="2">
        <x:v>427.31</x:v>
      </x:c>
      <x:c r="E892" s="2">
        <x:v>427.31</x:v>
      </x:c>
      <x:c r="F892" s="7">
        <x:v>30</x:v>
      </x:c>
      <x:c r="G892" s="6">
        <x:v>0</x:v>
      </x:c>
      <x:c r="H892" s="8">
        <x:v>-0.15</x:v>
      </x:c>
      <x:c r="I892" s="6">
        <x:f t="shared" si="161"/>
        <x:v>491.40649999999994</x:v>
      </x:c>
      <x:c r="J892" s="19">
        <x:v>1.7962356735427776</x:v>
      </x:c>
      <x:c r="K892" s="6">
        <x:v>491.40649999999994</x:v>
      </x:c>
      <x:c r="N892" s="20">
        <x:f t="shared" si="162"/>
        <x:v>491.40649999999994</x:v>
      </x:c>
    </x:row>
    <x:row r="893" spans="1:14" x14ac:dyDescent="0.25">
      <x:c r="A893" s="1" t="s">
        <x:v>138</x:v>
      </x:c>
      <x:c r="B893" s="1">
        <x:v>1938</x:v>
      </x:c>
      <x:c r="C893" s="2">
        <x:v>486.49</x:v>
      </x:c>
      <x:c r="E893" s="2">
        <x:v>486.49</x:v>
      </x:c>
      <x:c r="F893" s="7">
        <x:v>30</x:v>
      </x:c>
      <x:c r="G893" s="6">
        <x:v>0</x:v>
      </x:c>
      <x:c r="H893" s="8">
        <x:v>-0.15</x:v>
      </x:c>
      <x:c r="I893" s="6">
        <x:f t="shared" si="161"/>
        <x:v>559.46349999999995</x:v>
      </x:c>
      <x:c r="J893" s="19">
        <x:v>1.7962356735427776</x:v>
      </x:c>
      <x:c r="K893" s="6">
        <x:v>559.46349999999995</x:v>
      </x:c>
      <x:c r="N893" s="20">
        <x:f t="shared" si="162"/>
        <x:v>559.46349999999995</x:v>
      </x:c>
    </x:row>
    <x:row r="894" spans="1:14" x14ac:dyDescent="0.25">
      <x:c r="A894" s="1" t="s">
        <x:v>138</x:v>
      </x:c>
      <x:c r="B894" s="1">
        <x:v>1936</x:v>
      </x:c>
      <x:c r="C894" s="2">
        <x:v>129.16</x:v>
      </x:c>
      <x:c r="E894" s="2">
        <x:v>129.16</x:v>
      </x:c>
      <x:c r="F894" s="7">
        <x:v>30</x:v>
      </x:c>
      <x:c r="G894" s="6">
        <x:v>0</x:v>
      </x:c>
      <x:c r="H894" s="8">
        <x:v>-0.15</x:v>
      </x:c>
      <x:c r="I894" s="6">
        <x:f t="shared" si="161"/>
        <x:v>148.53399999999999</x:v>
      </x:c>
      <x:c r="J894" s="19">
        <x:v>1.7962356735427776</x:v>
      </x:c>
      <x:c r="K894" s="6">
        <x:v>148.53399999999999</x:v>
      </x:c>
      <x:c r="N894" s="20">
        <x:f t="shared" si="162"/>
        <x:v>148.53399999999999</x:v>
      </x:c>
    </x:row>
    <x:row r="895" spans="1:14" x14ac:dyDescent="0.25">
      <x:c r="A895" s="1" t="s">
        <x:v>138</x:v>
      </x:c>
      <x:c r="B895" s="1">
        <x:v>1935</x:v>
      </x:c>
      <x:c r="C895" s="2">
        <x:v>70.55</x:v>
      </x:c>
      <x:c r="E895" s="2">
        <x:v>70.55</x:v>
      </x:c>
      <x:c r="F895" s="7">
        <x:v>30</x:v>
      </x:c>
      <x:c r="G895" s="6">
        <x:v>0</x:v>
      </x:c>
      <x:c r="H895" s="8">
        <x:v>-0.15</x:v>
      </x:c>
      <x:c r="I895" s="6">
        <x:f t="shared" si="161"/>
        <x:v>81.132499999999993</x:v>
      </x:c>
      <x:c r="J895" s="19">
        <x:v>1.7962356735427776</x:v>
      </x:c>
      <x:c r="K895" s="6">
        <x:v>81.132499999999993</x:v>
      </x:c>
      <x:c r="N895" s="20">
        <x:f t="shared" si="162"/>
        <x:v>81.132499999999993</x:v>
      </x:c>
    </x:row>
    <x:row r="896" spans="1:14" x14ac:dyDescent="0.25">
      <x:c r="A896" s="1" t="s">
        <x:v>138</x:v>
      </x:c>
      <x:c r="B896" s="1">
        <x:v>1934</x:v>
      </x:c>
      <x:c r="C896" s="2">
        <x:v>71.81</x:v>
      </x:c>
      <x:c r="E896" s="2">
        <x:v>71.81</x:v>
      </x:c>
      <x:c r="F896" s="7">
        <x:v>30</x:v>
      </x:c>
      <x:c r="G896" s="6">
        <x:v>0</x:v>
      </x:c>
      <x:c r="H896" s="8">
        <x:v>-0.15</x:v>
      </x:c>
      <x:c r="I896" s="6">
        <x:f t="shared" si="161"/>
        <x:v>82.581499999999991</x:v>
      </x:c>
      <x:c r="J896" s="19">
        <x:v>1.7962356735427776</x:v>
      </x:c>
      <x:c r="K896" s="6">
        <x:v>82.581499999999991</x:v>
      </x:c>
      <x:c r="N896" s="20">
        <x:f t="shared" si="162"/>
        <x:v>82.581499999999991</x:v>
      </x:c>
    </x:row>
    <x:row r="897" spans="1:14" x14ac:dyDescent="0.25">
      <x:c r="A897" s="1" t="s">
        <x:v>138</x:v>
      </x:c>
      <x:c r="B897" s="1">
        <x:v>1933</x:v>
      </x:c>
      <x:c r="C897" s="2">
        <x:v>55.41</x:v>
      </x:c>
      <x:c r="E897" s="2">
        <x:v>55.41</x:v>
      </x:c>
      <x:c r="F897" s="7">
        <x:v>30</x:v>
      </x:c>
      <x:c r="G897" s="6">
        <x:v>0</x:v>
      </x:c>
      <x:c r="H897" s="8">
        <x:v>-0.15</x:v>
      </x:c>
      <x:c r="I897" s="6">
        <x:f t="shared" si="161"/>
        <x:v>63.721499999999992</x:v>
      </x:c>
      <x:c r="J897" s="19">
        <x:v>1.7962356735427776</x:v>
      </x:c>
      <x:c r="K897" s="6">
        <x:v>63.721499999999992</x:v>
      </x:c>
      <x:c r="N897" s="20">
        <x:f t="shared" si="162"/>
        <x:v>63.721499999999992</x:v>
      </x:c>
    </x:row>
    <x:row r="898" spans="1:14" x14ac:dyDescent="0.25">
      <x:c r="A898" s="1" t="s">
        <x:v>138</x:v>
      </x:c>
      <x:c r="B898" s="1">
        <x:v>1932</x:v>
      </x:c>
      <x:c r="C898" s="2">
        <x:v>21.16</x:v>
      </x:c>
      <x:c r="E898" s="2">
        <x:v>21.16</x:v>
      </x:c>
      <x:c r="F898" s="7">
        <x:v>30</x:v>
      </x:c>
      <x:c r="G898" s="6">
        <x:v>0</x:v>
      </x:c>
      <x:c r="H898" s="8">
        <x:v>-0.15</x:v>
      </x:c>
      <x:c r="I898" s="6">
        <x:f t="shared" si="161"/>
        <x:v>24.334</x:v>
      </x:c>
      <x:c r="J898" s="19">
        <x:v>1.7962356735427776</x:v>
      </x:c>
      <x:c r="K898" s="6">
        <x:v>24.334</x:v>
      </x:c>
      <x:c r="N898" s="20">
        <x:f t="shared" si="162"/>
        <x:v>24.334</x:v>
      </x:c>
    </x:row>
    <x:row r="899" spans="1:14" x14ac:dyDescent="0.25">
      <x:c r="A899" s="1" t="s">
        <x:v>138</x:v>
      </x:c>
      <x:c r="B899" s="1">
        <x:v>1931</x:v>
      </x:c>
      <x:c r="C899" s="2">
        <x:v>87.33</x:v>
      </x:c>
      <x:c r="E899" s="2">
        <x:v>87.33</x:v>
      </x:c>
      <x:c r="F899" s="7">
        <x:v>30</x:v>
      </x:c>
      <x:c r="G899" s="6">
        <x:v>0</x:v>
      </x:c>
      <x:c r="H899" s="8">
        <x:v>-0.15</x:v>
      </x:c>
      <x:c r="I899" s="6">
        <x:f t="shared" si="161"/>
        <x:v>100.42949999999999</x:v>
      </x:c>
      <x:c r="J899" s="19">
        <x:v>1.7962356735427776</x:v>
      </x:c>
      <x:c r="K899" s="6">
        <x:v>100.42949999999999</x:v>
      </x:c>
      <x:c r="N899" s="20">
        <x:f t="shared" si="162"/>
        <x:v>100.42949999999999</x:v>
      </x:c>
    </x:row>
    <x:row r="900" spans="1:14" x14ac:dyDescent="0.25">
      <x:c r="A900" s="1" t="s">
        <x:v>138</x:v>
      </x:c>
      <x:c r="B900" s="1">
        <x:v>1930</x:v>
      </x:c>
      <x:c r="C900" s="2">
        <x:v>253.02</x:v>
      </x:c>
      <x:c r="E900" s="2">
        <x:v>253.02</x:v>
      </x:c>
      <x:c r="F900" s="7">
        <x:v>30</x:v>
      </x:c>
      <x:c r="G900" s="6">
        <x:v>0</x:v>
      </x:c>
      <x:c r="H900" s="8">
        <x:v>-0.15</x:v>
      </x:c>
      <x:c r="I900" s="6">
        <x:f t="shared" si="161"/>
        <x:v>290.97300000000001</x:v>
      </x:c>
      <x:c r="J900" s="19">
        <x:v>1.7962356735427776</x:v>
      </x:c>
      <x:c r="K900" s="6">
        <x:v>290.97300000000001</x:v>
      </x:c>
      <x:c r="N900" s="20">
        <x:f t="shared" si="162"/>
        <x:v>290.97300000000001</x:v>
      </x:c>
    </x:row>
    <x:row r="901" spans="1:14" x14ac:dyDescent="0.25">
      <x:c r="A901" s="1" t="s">
        <x:v>138</x:v>
      </x:c>
      <x:c r="B901" s="1">
        <x:v>1929</x:v>
      </x:c>
      <x:c r="C901" s="2">
        <x:v>189.34</x:v>
      </x:c>
      <x:c r="E901" s="2">
        <x:v>189.34</x:v>
      </x:c>
      <x:c r="F901" s="7">
        <x:v>30</x:v>
      </x:c>
      <x:c r="G901" s="6">
        <x:v>0</x:v>
      </x:c>
      <x:c r="H901" s="8">
        <x:v>-0.15</x:v>
      </x:c>
      <x:c r="I901" s="6">
        <x:f t="shared" si="161"/>
        <x:v>217.74099999999999</x:v>
      </x:c>
      <x:c r="J901" s="19">
        <x:v>1.7962356735427776</x:v>
      </x:c>
      <x:c r="K901" s="6">
        <x:v>217.74099999999999</x:v>
      </x:c>
      <x:c r="N901" s="20">
        <x:f t="shared" si="162"/>
        <x:v>217.74099999999999</x:v>
      </x:c>
    </x:row>
    <x:row r="902" spans="1:14" x14ac:dyDescent="0.25">
      <x:c r="A902" s="1" t="s">
        <x:v>138</x:v>
      </x:c>
      <x:c r="B902" s="1">
        <x:v>1928</x:v>
      </x:c>
      <x:c r="C902" s="2">
        <x:v>43.71</x:v>
      </x:c>
      <x:c r="E902" s="2">
        <x:v>43.71</x:v>
      </x:c>
      <x:c r="F902" s="7">
        <x:v>30</x:v>
      </x:c>
      <x:c r="G902" s="6">
        <x:v>0</x:v>
      </x:c>
      <x:c r="H902" s="8">
        <x:v>-0.15</x:v>
      </x:c>
      <x:c r="I902" s="6">
        <x:f t="shared" si="161"/>
        <x:v>50.266500000000001</x:v>
      </x:c>
      <x:c r="J902" s="19">
        <x:v>1.7962356735427776</x:v>
      </x:c>
      <x:c r="K902" s="6">
        <x:v>50.266500000000001</x:v>
      </x:c>
      <x:c r="N902" s="20">
        <x:f t="shared" si="162"/>
        <x:v>50.266500000000001</x:v>
      </x:c>
    </x:row>
    <x:row r="903" spans="1:14" x14ac:dyDescent="0.25">
      <x:c r="A903" s="1" t="s">
        <x:v>138</x:v>
      </x:c>
      <x:c r="B903" s="1">
        <x:v>1926</x:v>
      </x:c>
      <x:c r="C903" s="2">
        <x:v>149.11000000000001</x:v>
      </x:c>
      <x:c r="E903" s="2">
        <x:v>149.11000000000001</x:v>
      </x:c>
      <x:c r="F903" s="7">
        <x:v>30</x:v>
      </x:c>
      <x:c r="G903" s="6">
        <x:v>0</x:v>
      </x:c>
      <x:c r="H903" s="8">
        <x:v>-0.15</x:v>
      </x:c>
      <x:c r="I903" s="6">
        <x:f t="shared" si="161"/>
        <x:v>171.47650000000002</x:v>
      </x:c>
      <x:c r="J903" s="19">
        <x:v>1.7962356735427776</x:v>
      </x:c>
      <x:c r="K903" s="6">
        <x:v>171.47650000000002</x:v>
      </x:c>
      <x:c r="N903" s="20">
        <x:f t="shared" ref="N903:N909" si="163">K903</x:f>
        <x:v>171.47650000000002</x:v>
      </x:c>
    </x:row>
    <x:row r="904" spans="1:14" x14ac:dyDescent="0.25">
      <x:c r="A904" s="1" t="s">
        <x:v>138</x:v>
      </x:c>
      <x:c r="B904" s="1">
        <x:v>1925</x:v>
      </x:c>
      <x:c r="C904" s="2">
        <x:v>102.03</x:v>
      </x:c>
      <x:c r="E904" s="2">
        <x:v>102.03</x:v>
      </x:c>
      <x:c r="F904" s="7">
        <x:v>30</x:v>
      </x:c>
      <x:c r="G904" s="6">
        <x:v>0</x:v>
      </x:c>
      <x:c r="H904" s="8">
        <x:v>-0.15</x:v>
      </x:c>
      <x:c r="I904" s="6">
        <x:f t="shared" si="161"/>
        <x:v>117.33449999999999</x:v>
      </x:c>
      <x:c r="J904" s="19">
        <x:v>1.7962356735427776</x:v>
      </x:c>
      <x:c r="K904" s="6">
        <x:v>117.33449999999999</x:v>
      </x:c>
      <x:c r="N904" s="20">
        <x:f t="shared" si="163"/>
        <x:v>117.33449999999999</x:v>
      </x:c>
    </x:row>
    <x:row r="905" spans="1:14" x14ac:dyDescent="0.25">
      <x:c r="A905" s="1" t="s">
        <x:v>138</x:v>
      </x:c>
      <x:c r="B905" s="1">
        <x:v>1924</x:v>
      </x:c>
      <x:c r="C905" s="2">
        <x:v>11.47</x:v>
      </x:c>
      <x:c r="E905" s="2">
        <x:v>11.47</x:v>
      </x:c>
      <x:c r="F905" s="7">
        <x:v>30</x:v>
      </x:c>
      <x:c r="G905" s="6">
        <x:v>0</x:v>
      </x:c>
      <x:c r="H905" s="8">
        <x:v>-0.15</x:v>
      </x:c>
      <x:c r="I905" s="6">
        <x:f t="shared" si="161"/>
        <x:v>13.1905</x:v>
      </x:c>
      <x:c r="J905" s="19">
        <x:v>1.7962356735427776</x:v>
      </x:c>
      <x:c r="K905" s="6">
        <x:v>13.1905</x:v>
      </x:c>
      <x:c r="N905" s="20">
        <x:f t="shared" si="163"/>
        <x:v>13.1905</x:v>
      </x:c>
    </x:row>
    <x:row r="906" spans="1:14" x14ac:dyDescent="0.25">
      <x:c r="A906" s="1" t="s">
        <x:v>138</x:v>
      </x:c>
      <x:c r="B906" s="1">
        <x:v>1923</x:v>
      </x:c>
      <x:c r="C906" s="2">
        <x:v>11.47</x:v>
      </x:c>
      <x:c r="E906" s="2">
        <x:v>11.47</x:v>
      </x:c>
      <x:c r="F906" s="7">
        <x:v>30</x:v>
      </x:c>
      <x:c r="G906" s="6">
        <x:v>0</x:v>
      </x:c>
      <x:c r="H906" s="8">
        <x:v>-0.15</x:v>
      </x:c>
      <x:c r="I906" s="6">
        <x:f t="shared" si="161"/>
        <x:v>13.1905</x:v>
      </x:c>
      <x:c r="J906" s="19">
        <x:v>1.7962356735427776</x:v>
      </x:c>
      <x:c r="K906" s="6">
        <x:v>13.1905</x:v>
      </x:c>
      <x:c r="N906" s="20">
        <x:f t="shared" si="163"/>
        <x:v>13.1905</x:v>
      </x:c>
    </x:row>
    <x:row r="907" spans="1:14" x14ac:dyDescent="0.25">
      <x:c r="A907" s="1" t="s">
        <x:v>138</x:v>
      </x:c>
      <x:c r="B907" s="1">
        <x:v>1922</x:v>
      </x:c>
      <x:c r="C907" s="2">
        <x:v>34.409999999999997</x:v>
      </x:c>
      <x:c r="E907" s="2">
        <x:v>34.409999999999997</x:v>
      </x:c>
      <x:c r="F907" s="7">
        <x:v>30</x:v>
      </x:c>
      <x:c r="G907" s="6">
        <x:v>0</x:v>
      </x:c>
      <x:c r="H907" s="8">
        <x:v>-0.15</x:v>
      </x:c>
      <x:c r="I907" s="6">
        <x:f t="shared" si="161"/>
        <x:v>39.571499999999993</x:v>
      </x:c>
      <x:c r="J907" s="19">
        <x:v>1.7962356735427776</x:v>
      </x:c>
      <x:c r="K907" s="6">
        <x:v>39.571499999999993</x:v>
      </x:c>
      <x:c r="N907" s="20">
        <x:f t="shared" si="163"/>
        <x:v>39.571499999999993</x:v>
      </x:c>
    </x:row>
    <x:row r="908" spans="1:14" x14ac:dyDescent="0.25">
      <x:c r="A908" s="1" t="s">
        <x:v>138</x:v>
      </x:c>
      <x:c r="B908" s="1">
        <x:v>1919</x:v>
      </x:c>
      <x:c r="C908" s="1">
        <x:v>137.66999999999999</x:v>
      </x:c>
      <x:c r="D908" s="18"/>
      <x:c r="E908" s="18">
        <x:v>137.66999999999999</x:v>
      </x:c>
      <x:c r="F908" s="7">
        <x:v>30</x:v>
      </x:c>
      <x:c r="G908" s="6">
        <x:v>0</x:v>
      </x:c>
      <x:c r="H908" s="8">
        <x:f>[1]Parameters!$J$58</x:f>
        <x:v>-0.15</x:v>
      </x:c>
      <x:c r="I908" s="6">
        <x:f t="shared" si="161"/>
        <x:v>158.32049999999998</x:v>
      </x:c>
      <x:c r="J908" s="19">
        <x:v>1.7962356735427776</x:v>
      </x:c>
      <x:c r="K908" s="6">
        <x:v>158.32049999999998</x:v>
      </x:c>
      <x:c r="N908" s="20">
        <x:f t="shared" si="163"/>
        <x:v>158.32049999999998</x:v>
      </x:c>
    </x:row>
    <x:row r="909" spans="1:14" x14ac:dyDescent="0.25">
      <x:c r="C909" s="20">
        <x:f>SUM(C807:C908)</x:f>
        <x:v>203833650.73000014</x:v>
      </x:c>
      <x:c r="D909" s="18"/>
      <x:c r="E909" s="20">
        <x:f>SUM(E807:E908)</x:f>
        <x:v>203833650.73000014</x:v>
      </x:c>
      <x:c r="F909" s="7"/>
      <x:c r="G909" s="6"/>
      <x:c r="H909" s="8"/>
      <x:c r="I909" s="20">
        <x:f>SUM(I807:I908)</x:f>
        <x:v>62186307.688730568</x:v>
      </x:c>
      <x:c r="K909" s="6">
        <x:f>SUM(K807:K908)</x:f>
        <x:v>102817805.65000002</x:v>
      </x:c>
      <x:c r="N909" s="20">
        <x:f t="shared" si="163"/>
        <x:v>102817805.65000002</x:v>
      </x:c>
    </x:row>
    <x:row r="910" spans="1:14" x14ac:dyDescent="0.25">
      <x:c r="K910" s="6"/>
    </x:row>
    <x:row r="911" spans="1:14" x14ac:dyDescent="0.25">
      <x:c r="A911" s="1" t="s">
        <x:v>139</x:v>
      </x:c>
      <x:c r="C911" s="2">
        <x:v>23433.739999999998</x:v>
      </x:c>
      <x:c r="E911" s="2">
        <x:v>23433.739999999998</x:v>
      </x:c>
      <x:c r="I911" s="6">
        <x:v>5352513.82</x:v>
      </x:c>
      <x:c r="N911" s="2">
        <x:v>5352513.82</x:v>
      </x:c>
    </x:row>
    <x:row r="912" spans="1:14" x14ac:dyDescent="0.25">
      <x:c r="A912" s="1" t="s">
        <x:v>140</x:v>
      </x:c>
      <x:c r="C912" s="2">
        <x:v>146470777.38999999</x:v>
      </x:c>
      <x:c r="E912" s="2">
        <x:v>146470777.38999999</x:v>
      </x:c>
      <x:c r="I912" s="6">
        <x:v>146206964.44999999</x:v>
      </x:c>
      <x:c r="N912" s="2">
        <x:v>146206964.44999999</x:v>
      </x:c>
    </x:row>
    <x:row r="913" spans="1:14" x14ac:dyDescent="0.25">
      <x:c r="K913" s="6"/>
    </x:row>
    <x:row r="917" spans="1:14" x14ac:dyDescent="0.25">
      <x:c r="A917" s="1">
        <x:v>363.3</x:v>
      </x:c>
      <x:c r="C917" s="2">
        <x:v>38191350.260000005</x:v>
      </x:c>
      <x:c r="E917" s="2">
        <x:v>38191350.260000005</x:v>
      </x:c>
      <x:c r="F917" s="2"/>
      <x:c r="H917" s="2"/>
      <x:c r="I917" s="2">
        <x:v>39392672.700000003</x:v>
      </x:c>
      <x:c r="J917" s="2"/>
      <x:c r="K917" s="2">
        <x:v>39392672.700000003</x:v>
      </x:c>
      <x:c r="M917" s="2"/>
      <x:c r="N917" s="2">
        <x:v>39392672.700000003</x:v>
      </x:c>
    </x:row>
  </x:sheetData>
  <x:sortState xmlns:xlrd2="http://schemas.microsoft.com/office/spreadsheetml/2017/richdata2" ref="A3:I801">
    <x:sortCondition ref="A3:A801"/>
    <x:sortCondition descending="1" ref="B3:B801"/>
  </x:sortState>
  <x:pageMargins left="0.75" right="0.75" top="2" bottom="1" header="0.75" footer="0.5"/>
  <x:pageSetup scale="53" fitToWidth="2" fitToHeight="20" orientation="landscape" r:id="rId1"/>
  <x:headerFooter>
    <x:oddHeader>&amp;C
2025 RATE CASE
ONCOR ELECTRIC DELVIERY COMPANY LLC
WP/II-B-5_7 ONCOR LEGACY DISTRIBUTION PLANT
TEST YEAR ENDING DECEMBER 31, 2024
SPONSOR: D.A. WATSON&amp;RWP/B-5/7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2025-04-04T19:04:30.0000000Z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