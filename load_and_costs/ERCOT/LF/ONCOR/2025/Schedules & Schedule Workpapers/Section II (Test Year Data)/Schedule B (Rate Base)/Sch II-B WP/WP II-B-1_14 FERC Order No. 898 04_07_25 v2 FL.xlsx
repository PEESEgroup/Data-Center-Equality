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810C910B-8705-4113-B831-BFD27C0746D7}" xr6:coauthVersionLast="47" xr6:coauthVersionMax="47" xr10:uidLastSave="{00000000-0000-0000-0000-000000000000}"/>
  <x:bookViews>
    <x:workbookView xWindow="25974" yWindow="-109" windowWidth="26301" windowHeight="14169" xr2:uid="{00602457-5A22-401F-9347-E32074CC5D8C}"/>
  </x:bookViews>
  <x:sheets>
    <x:sheet name="WP II-B-1_14" sheetId="1" r:id="rId1"/>
  </x:sheets>
  <x:externalReferences>
    <x:externalReference r:id="rId2"/>
  </x:externalReferences>
  <x:definedNames>
    <x:definedName name="APN">'[1]Balance Sheet'!#REF!</x:definedName>
    <x:definedName name="ASD">'[1]Balance Sheet'!$AU$6</x:definedName>
    <x:definedName name="FY">'[1]Balance Sheet'!#REF!</x:definedName>
    <x:definedName name="NvsASD">"V2024-12-31"</x:definedName>
    <x:definedName name="NvsAutoDrillOk">"VN"</x:definedName>
    <x:definedName name="NvsElapsedTime">0.000150462961755693</x:definedName>
    <x:definedName name="NvsEndTime">45672.8787847222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"%,X,RZF.ACCOUNT.nPlosion,CZF.."</x:definedName>
    <x:definedName name="NvsPanelBusUnit">"V"</x:definedName>
    <x:definedName name="NvsPanelEffdt">"V3000-01-01"</x:definedName>
    <x:definedName name="NvsPanelSetid">"VSHARE"</x:definedName>
    <x:definedName name="NvsReqBU">"VX0001"</x:definedName>
    <x:definedName name="NvsReqBUOnly">"VN"</x:definedName>
    <x:definedName name="NvsTransLed">"VN"</x:definedName>
    <x:definedName name="NvsTree.F_ACNT_D_NONRG">"YSNYN"</x:definedName>
    <x:definedName name="NvsTree.F_BU_D_BASE_FCR">"YSNNN"</x:definedName>
    <x:definedName name="NvsTreeASD">"V2024-12-31"</x:definedName>
    <x:definedName name="NvsValTbl.ACCOUNT">"GL_ACCOUNT_TBL"</x:definedName>
    <x:definedName name="NvsValTbl.BUSINESS_UNIT">"BUS_UNIT_TBL_FS"</x:definedName>
    <x:definedName name="NvsValTbl.CURRENCY_CD">"CURRENCY_CD_VW"</x:definedName>
    <x:definedName name="NvsValTbl.PF_SCENARIO_ID">"PF_SCENARIO_VW"</x:definedName>
    <x:definedName name="NvsValTbl.SCENARIO">"SCENARIO_ALL_VW"</x:definedName>
    <x:definedName name="PED">'[1]Balance Sheet'!#REF!</x:definedName>
    <x:definedName name="_xlnm.Print_Area" localSheetId="0">'WP II-B-1_14'!$A$6:$D$24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20" i="1" l="1"/>
</x:calcChain>
</file>

<file path=xl/sharedStrings.xml><?xml version="1.0" encoding="utf-8"?>
<sst xmlns="http://schemas.openxmlformats.org/spreadsheetml/2006/main" count="21" uniqueCount="16">
  <si>
    <t>FERC Order No. 898</t>
  </si>
  <si>
    <t>Known &amp; Measurable Adjustment</t>
  </si>
  <si>
    <t>FERC Account</t>
  </si>
  <si>
    <t>Amount</t>
  </si>
  <si>
    <t>Reclassify 303 - Intangible to 351, 363 or 397</t>
  </si>
  <si>
    <t>Correct misclassification of computer equipment as software</t>
  </si>
  <si>
    <t xml:space="preserve">                                    Explanation</t>
  </si>
  <si>
    <t>Plant Impact</t>
  </si>
  <si>
    <t>Reclassify 303 - Intangible to 351 - Transmission</t>
  </si>
  <si>
    <t>Reclassify 303 - Intangible to 363 - Distribution</t>
  </si>
  <si>
    <t>Reclassify 397 function AMG to 363.3 MET</t>
  </si>
  <si>
    <t>reclassify 391.0215 Computer equipment to 397.1</t>
  </si>
  <si>
    <t>Reclassify 303 - Intangible to 397.2 - General</t>
  </si>
  <si>
    <t>Reclassify Transmission SCADA 397 to 351.3</t>
  </si>
  <si>
    <t>Rule Effective January 1, 2025</t>
  </si>
  <si>
    <t xml:space="preserve">Account 397 includes Computer Hardware, Computer Software, and Communication Equipment that supports more than one function.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</si>
</sst>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4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wrapText="1"/>
    </xf>
    <xf numFmtId="40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 wrapText="1"/>
    </xf>
    <xf numFmtId="39" fontId="0" fillId="0" borderId="0" xfId="0" applyNumberFormat="1"/>
    <xf numFmtId="3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39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externalLink" Target="externalLinks/externalLink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VD2%20-%20Frank%20Lewis/Rate%20Cases/12-31-24/Schedules/Support/ESD%20NTUSU%20RACSA%20TRN%20Trial%20Balance%20Dec%202024%20Sup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D"/>
      <sheetName val="TRN"/>
      <sheetName val="NTUSU"/>
      <sheetName val="RACSA"/>
      <sheetName val="Balance Sheet"/>
      <sheetName val="KC Evidence"/>
    </sheetNames>
    <sheetDataSet>
      <sheetData sheetId="0"/>
      <sheetData sheetId="1"/>
      <sheetData sheetId="2"/>
      <sheetData sheetId="3"/>
      <sheetData sheetId="4">
        <row r="6">
          <cell r="AU6" t="str">
            <v>2024-12-31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78CEEF-E024-478D-B121-EA4471C0ADB5}" mc:Ignorable="x14ac xr xr2 xr3">
  <x:sheetPr>
    <x:pageSetUpPr fitToPage="1"/>
  </x:sheetPr>
  <x:dimension ref="A1:D24"/>
  <x:sheetViews>
    <x:sheetView tabSelected="1" zoomScaleNormal="100" workbookViewId="0">
      <x:selection activeCell="A24" sqref="A24"/>
    </x:sheetView>
  </x:sheetViews>
  <x:sheetFormatPr defaultRowHeight="14.3" x14ac:dyDescent="0.25"/>
  <x:cols>
    <x:col min="1" max="1" width="31.75" style="6" bestFit="1" customWidth="1"/>
    <x:col min="2" max="2" width="16.875" style="2" bestFit="1" customWidth="1"/>
    <x:col min="3" max="3" width="56.125" bestFit="1" customWidth="1"/>
    <x:col min="4" max="4" width="13.25" style="2" bestFit="1" customWidth="1"/>
  </x:cols>
  <x:sheetData>
    <x:row r="1" spans="1:4" x14ac:dyDescent="0.25">
      <x:c r="A1" s="1" t="s">
        <x:v>0</x:v>
      </x:c>
    </x:row>
    <x:row r="2" spans="1:4" x14ac:dyDescent="0.25">
      <x:c r="A2" s="1" t="s">
        <x:v>14</x:v>
      </x:c>
    </x:row>
    <x:row r="3" spans="1:4" x14ac:dyDescent="0.25">
      <x:c r="A3" s="3" t="s">
        <x:v>1</x:v>
      </x:c>
    </x:row>
    <x:row r="4" spans="1:4" x14ac:dyDescent="0.25">
      <x:c r="A4" s="3"/>
    </x:row>
    <x:row r="5" spans="1:4" x14ac:dyDescent="0.25">
      <x:c r="A5" s="3"/>
    </x:row>
    <x:row r="6" spans="1:4" x14ac:dyDescent="0.25">
      <x:c r="A6" s="4" t="s">
        <x:v>2</x:v>
      </x:c>
      <x:c r="B6" s="5" t="s">
        <x:v>3</x:v>
      </x:c>
      <x:c r="C6" s="8" t="s">
        <x:v>6</x:v>
      </x:c>
      <x:c r="D6" s="5"/>
    </x:row>
    <x:row r="7" spans="1:4" x14ac:dyDescent="0.25">
      <x:c r="A7" s="6">
        <x:v>303</x:v>
      </x:c>
      <x:c r="B7" s="9">
        <x:v>-1294858587.2500005</x:v>
      </x:c>
      <x:c r="C7" t="s">
        <x:v>4</x:v>
      </x:c>
    </x:row>
    <x:row r="8" spans="1:4" x14ac:dyDescent="0.25">
      <x:c r="A8" s="6">
        <x:v>351.2</x:v>
      </x:c>
      <x:c r="B8" s="9">
        <x:v>150825746.09999999</x:v>
      </x:c>
      <x:c r="C8" t="s">
        <x:v>8</x:v>
      </x:c>
    </x:row>
    <x:row r="9" spans="1:4" x14ac:dyDescent="0.25">
      <x:c r="A9" s="6">
        <x:v>351.3</x:v>
      </x:c>
      <x:c r="B9" s="9">
        <x:v>3528604.2500000005</x:v>
      </x:c>
      <x:c r="C9" t="s">
        <x:v>13</x:v>
      </x:c>
    </x:row>
    <x:row r="10" spans="1:4" x14ac:dyDescent="0.25">
      <x:c r="A10" s="6">
        <x:v>363.2</x:v>
      </x:c>
      <x:c r="B10" s="9">
        <x:v>783527550.65000021</x:v>
      </x:c>
      <x:c r="C10" t="s">
        <x:v>9</x:v>
      </x:c>
    </x:row>
    <x:row r="11" spans="1:4" x14ac:dyDescent="0.25">
      <x:c r="A11" s="6">
        <x:v>363.3</x:v>
      </x:c>
      <x:c r="B11" s="9">
        <x:v>38191350.260000005</x:v>
      </x:c>
      <x:c r="C11" t="s">
        <x:v>10</x:v>
      </x:c>
    </x:row>
    <x:row r="12" spans="1:4" x14ac:dyDescent="0.25">
      <x:c r="A12" s="6">
        <x:v>391</x:v>
      </x:c>
      <x:c r="B12" s="9">
        <x:v>-169930966.75000018</x:v>
      </x:c>
      <x:c r="C12" t="s">
        <x:v>11</x:v>
      </x:c>
    </x:row>
    <x:row r="13" spans="1:4" x14ac:dyDescent="0.25">
      <x:c r="A13" s="6">
        <x:v>397.1</x:v>
      </x:c>
      <x:c r="B13" s="9">
        <x:v>169930966.75000018</x:v>
      </x:c>
      <x:c r="C13" t="s">
        <x:v>11</x:v>
      </x:c>
    </x:row>
    <x:row r="14" spans="1:4" x14ac:dyDescent="0.25">
      <x:c r="A14" s="6">
        <x:v>397.1</x:v>
      </x:c>
      <x:c r="B14" s="9">
        <x:v>106991.18</x:v>
      </x:c>
      <x:c r="C14" t="s">
        <x:v>5</x:v>
      </x:c>
    </x:row>
    <x:row r="15" spans="1:4" x14ac:dyDescent="0.25">
      <x:c r="A15" s="6">
        <x:v>397.2</x:v>
      </x:c>
      <x:c r="B15" s="9">
        <x:v>360505290.50000006</x:v>
      </x:c>
      <x:c r="C15" t="s">
        <x:v>12</x:v>
      </x:c>
    </x:row>
    <x:row r="16" spans="1:4" x14ac:dyDescent="0.25">
      <x:c r="A16" s="6">
        <x:v>397.2</x:v>
      </x:c>
      <x:c r="B16" s="9">
        <x:v>-106991.18</x:v>
      </x:c>
      <x:c r="C16" t="s">
        <x:v>5</x:v>
      </x:c>
    </x:row>
    <x:row r="17" spans="1:3" x14ac:dyDescent="0.25">
      <x:c r="A17" s="6">
        <x:v>397.3</x:v>
      </x:c>
      <x:c r="B17" s="9">
        <x:v>-3528604.2500000005</x:v>
      </x:c>
      <x:c r="C17" t="s">
        <x:v>13</x:v>
      </x:c>
    </x:row>
    <x:row r="18" spans="1:3" x14ac:dyDescent="0.25">
      <x:c r="A18" s="6">
        <x:v>397.3</x:v>
      </x:c>
      <x:c r="B18" s="9">
        <x:v>-38191350.259999998</x:v>
      </x:c>
      <x:c r="C18" t="s">
        <x:v>10</x:v>
      </x:c>
    </x:row>
    <x:row r="19" spans="1:3" x14ac:dyDescent="0.25">
      <x:c r="B19" s="9"/>
    </x:row>
    <x:row r="20" spans="1:3" ht="14.95" thickBot="1" x14ac:dyDescent="0.3">
      <x:c r="A20" s="7" t="s">
        <x:v>7</x:v>
      </x:c>
      <x:c r="B20" s="10">
        <x:f>SUM(B7:B19)</x:f>
        <x:v>-2.9802322387695313E-7</x:v>
      </x:c>
    </x:row>
    <x:row r="21" spans="1:3" ht="14.95" thickTop="1" x14ac:dyDescent="0.25">
      <x:c r="A21" s="13"/>
      <x:c r="B21" s="14"/>
    </x:row>
    <x:row r="22" spans="1:3" x14ac:dyDescent="0.25">
      <x:c r="A22" s="12" t="s">
        <x:v>14</x:v>
      </x:c>
    </x:row>
    <x:row r="23" spans="1:3" x14ac:dyDescent="0.25">
      <x:c r="A23" s="11" t="s">
        <x:v>15</x:v>
      </x:c>
    </x:row>
    <x:row r="24" spans="1:3" x14ac:dyDescent="0.25">
      <x:c r="A24" s="11"/>
    </x:row>
  </x:sheetData>
  <x:sortState xmlns:xlrd2="http://schemas.microsoft.com/office/spreadsheetml/2017/richdata2" ref="A7:C18">
    <x:sortCondition ref="A9:A18"/>
  </x:sortState>
  <x:printOptions horizontalCentered="1"/>
  <x:pageMargins left="0.75" right="0.75" top="3" bottom="1" header="0.75" footer="0.5"/>
  <x:pageSetup orientation="landscape" r:id="rId1"/>
  <x:headerFooter>
    <x:oddHeader>&amp;C
2025 RATE CASE
ONCOR ELECTRIC DELIVERY COMPANY LLC
FERC ORDER NO. 898 KNOWN AND MEASURABLE
FOR THE TEST YEAR ENDING DECEMBER 31, 2024
SPONSOR: W. A.  LEDBETTER&amp;RWP/II-B-1/14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2025-04-07T17:01:54.0000000Z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