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2"/>
  <x:workbookPr codeName="ThisWorkbook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B (Rate Base)\Sch II-B WP\"/>
    </mc:Choice>
  </mc:AlternateContent>
  <xr:revisionPtr revIDLastSave="0" documentId="13_ncr:1_{A68B7D94-FC0B-4A46-B98E-161557950BFA}" xr6:coauthVersionLast="47" xr6:coauthVersionMax="47" xr10:uidLastSave="{00000000-0000-0000-0000-000000000000}"/>
  <x:bookViews>
    <x:workbookView xWindow="-110" yWindow="-110" windowWidth="19420" windowHeight="10300" xr2:uid="{00000000-000D-0000-FFFF-FFFF00000000}"/>
  </x:bookViews>
  <x:sheets>
    <x:sheet name="WP COVID-19 Sum page1" sheetId="18" r:id="rId1"/>
    <x:sheet name="Dkt53601 Approved Unamo page2" sheetId="19" r:id="rId2"/>
    <x:sheet name="To be reviewed page3" sheetId="20" r:id="rId3"/>
  </x:sheets>
  <x:externalReferences>
    <x:externalReference r:id="rId4"/>
  </x:externalReferences>
  <x:definedNames>
    <x:definedName name="Account" localSheetId="1">'[1]Drill Down YTD by Dept'!#REF!</x:definedName>
    <x:definedName name="Account" localSheetId="2">'[1]Drill Down YTD by Dept'!#REF!</x:definedName>
    <x:definedName name="Account">'[1]Drill Down YTD by Dept'!#REF!</x:definedName>
    <x:definedName name="Account2" localSheetId="1">'[1]Drill Down YTD by Dept'!#REF!</x:definedName>
    <x:definedName name="Account2" localSheetId="2">'[1]Drill Down YTD by Dept'!#REF!</x:definedName>
    <x:definedName name="Account2">'[1]Drill Down YTD by Dept'!#REF!</x:definedName>
    <x:definedName name="AccountDescr" localSheetId="1">'[1]Drill Down YTD by Dept'!#REF!</x:definedName>
    <x:definedName name="AccountDescr" localSheetId="2">'[1]Drill Down YTD by Dept'!#REF!</x:definedName>
    <x:definedName name="AccountDescr">'[1]Drill Down YTD by Dept'!#REF!</x:definedName>
    <x:definedName name="AccountDescr2" localSheetId="1">'[1]Drill Down YTD by Dept'!#REF!</x:definedName>
    <x:definedName name="AccountDescr2" localSheetId="2">'[1]Drill Down YTD by Dept'!#REF!</x:definedName>
    <x:definedName name="AccountDescr2">'[1]Drill Down YTD by Dept'!#REF!</x:definedName>
    <x:definedName name="Activity" localSheetId="1">'[1]Drill Down YTD by Dept'!#REF!</x:definedName>
    <x:definedName name="Activity" localSheetId="2">'[1]Drill Down YTD by Dept'!#REF!</x:definedName>
    <x:definedName name="Activity">'[1]Drill Down YTD by Dept'!#REF!</x:definedName>
    <x:definedName name="Activity2" localSheetId="1">'[1]Drill Down YTD by Dept'!#REF!</x:definedName>
    <x:definedName name="Activity2" localSheetId="2">'[1]Drill Down YTD by Dept'!#REF!</x:definedName>
    <x:definedName name="Activity2">'[1]Drill Down YTD by Dept'!#REF!</x:definedName>
    <x:definedName name="ActivityDescr" localSheetId="1">'[1]Drill Down YTD by Dept'!#REF!</x:definedName>
    <x:definedName name="ActivityDescr" localSheetId="2">'[1]Drill Down YTD by Dept'!#REF!</x:definedName>
    <x:definedName name="ActivityDescr">'[1]Drill Down YTD by Dept'!#REF!</x:definedName>
    <x:definedName name="ActivityDescr2" localSheetId="1">'[1]Drill Down YTD by Dept'!#REF!</x:definedName>
    <x:definedName name="ActivityDescr2" localSheetId="2">'[1]Drill Down YTD by Dept'!#REF!</x:definedName>
    <x:definedName name="ActivityDescr2">'[1]Drill Down YTD by Dept'!#REF!</x:definedName>
    <x:definedName name="Affiliate" localSheetId="1">'[1]Drill Down YTD by Dept'!#REF!</x:definedName>
    <x:definedName name="Affiliate" localSheetId="2">'[1]Drill Down YTD by Dept'!#REF!</x:definedName>
    <x:definedName name="Affiliate">'[1]Drill Down YTD by Dept'!#REF!</x:definedName>
    <x:definedName name="Affiliate2" localSheetId="1">'[1]Drill Down YTD by Dept'!#REF!</x:definedName>
    <x:definedName name="Affiliate2" localSheetId="2">'[1]Drill Down YTD by Dept'!#REF!</x:definedName>
    <x:definedName name="Affiliate2">'[1]Drill Down YTD by Dept'!#REF!</x:definedName>
    <x:definedName name="AffiliateDescr" localSheetId="1">'[1]Drill Down YTD by Dept'!#REF!</x:definedName>
    <x:definedName name="AffiliateDescr" localSheetId="2">'[1]Drill Down YTD by Dept'!#REF!</x:definedName>
    <x:definedName name="AffiliateDescr">'[1]Drill Down YTD by Dept'!#REF!</x:definedName>
    <x:definedName name="APN" localSheetId="1">#REF!</x:definedName>
    <x:definedName name="APN" localSheetId="2">#REF!</x:definedName>
    <x:definedName name="APN">#REF!</x:definedName>
    <x:definedName name="ASD" localSheetId="1">#REF!</x:definedName>
    <x:definedName name="ASD" localSheetId="2">#REF!</x:definedName>
    <x:definedName name="ASD">#REF!</x:definedName>
    <x:definedName name="BUnPlosion">#REF!</x:definedName>
    <x:definedName name="Completed" localSheetId="1">#REF!</x:definedName>
    <x:definedName name="Completed" localSheetId="2">#REF!</x:definedName>
    <x:definedName name="Completed">#REF!</x:definedName>
    <x:definedName name="DeptDescr" localSheetId="1">'[1]Drill Down YTD by Dept'!#REF!</x:definedName>
    <x:definedName name="DeptDescr" localSheetId="2">'[1]Drill Down YTD by Dept'!#REF!</x:definedName>
    <x:definedName name="DeptDescr">'[1]Drill Down YTD by Dept'!#REF!</x:definedName>
    <x:definedName name="DeptDescr2" localSheetId="1">'[1]Drill Down YTD by Dept'!#REF!</x:definedName>
    <x:definedName name="DeptDescr2" localSheetId="2">'[1]Drill Down YTD by Dept'!#REF!</x:definedName>
    <x:definedName name="DeptDescr2">'[1]Drill Down YTD by Dept'!#REF!</x:definedName>
    <x:definedName name="DeptID" localSheetId="1">'[1]Drill Down YTD by Dept'!#REF!</x:definedName>
    <x:definedName name="DeptID" localSheetId="2">'[1]Drill Down YTD by Dept'!#REF!</x:definedName>
    <x:definedName name="DeptID">'[1]Drill Down YTD by Dept'!#REF!</x:definedName>
    <x:definedName name="DeptID2" localSheetId="1">'[1]Drill Down YTD by Dept'!#REF!</x:definedName>
    <x:definedName name="DeptID2" localSheetId="2">'[1]Drill Down YTD by Dept'!#REF!</x:definedName>
    <x:definedName name="DeptID2">'[1]Drill Down YTD by Dept'!#REF!</x:definedName>
    <x:definedName name="EC" localSheetId="1">'[1]Drill Down YTD by Dept'!#REF!</x:definedName>
    <x:definedName name="EC" localSheetId="2">'[1]Drill Down YTD by Dept'!#REF!</x:definedName>
    <x:definedName name="EC">'[1]Drill Down YTD by Dept'!#REF!</x:definedName>
    <x:definedName name="ECDescr" localSheetId="1">'[1]Drill Down YTD by Dept'!#REF!</x:definedName>
    <x:definedName name="ECDescr" localSheetId="2">'[1]Drill Down YTD by Dept'!#REF!</x:definedName>
    <x:definedName name="ECDescr">'[1]Drill Down YTD by Dept'!#REF!</x:definedName>
    <x:definedName name="ECDescr2" localSheetId="1">'[1]Drill Down YTD by Dept'!#REF!</x:definedName>
    <x:definedName name="ECDescr2" localSheetId="2">'[1]Drill Down YTD by Dept'!#REF!</x:definedName>
    <x:definedName name="ECDescr2">'[1]Drill Down YTD by Dept'!#REF!</x:definedName>
    <x:definedName name="ECID" localSheetId="1">'[1]Drill Down YTD by Dept'!#REF!</x:definedName>
    <x:definedName name="ECID" localSheetId="2">'[1]Drill Down YTD by Dept'!#REF!</x:definedName>
    <x:definedName name="ECID">'[1]Drill Down YTD by Dept'!#REF!</x:definedName>
    <x:definedName name="Elapsed" localSheetId="1">#REF!</x:definedName>
    <x:definedName name="Elapsed" localSheetId="2">#REF!</x:definedName>
    <x:definedName name="Elapsed">#REF!</x:definedName>
    <x:definedName name="FY" localSheetId="1">#REF!</x:definedName>
    <x:definedName name="FY" localSheetId="2">#REF!</x:definedName>
    <x:definedName name="FY">#REF!</x:definedName>
    <x:definedName name="KeyControlFigure" localSheetId="1">#REF!</x:definedName>
    <x:definedName name="KeyControlFigure" localSheetId="2">#REF!</x:definedName>
    <x:definedName name="KeyControlFigure">#REF!</x:definedName>
    <x:definedName name="Location" localSheetId="1">'[1]Drill Down YTD by Dept'!#REF!</x:definedName>
    <x:definedName name="Location" localSheetId="2">'[1]Drill Down YTD by Dept'!#REF!</x:definedName>
    <x:definedName name="Location">'[1]Drill Down YTD by Dept'!#REF!</x:definedName>
    <x:definedName name="Location2" localSheetId="1">'[1]Drill Down YTD by Dept'!#REF!</x:definedName>
    <x:definedName name="Location2" localSheetId="2">'[1]Drill Down YTD by Dept'!#REF!</x:definedName>
    <x:definedName name="Location2">'[1]Drill Down YTD by Dept'!#REF!</x:definedName>
    <x:definedName name="LocationDescr" localSheetId="1">'[1]Drill Down YTD by Dept'!#REF!</x:definedName>
    <x:definedName name="LocationDescr" localSheetId="2">'[1]Drill Down YTD by Dept'!#REF!</x:definedName>
    <x:definedName name="LocationDescr">'[1]Drill Down YTD by Dept'!#REF!</x:definedName>
    <x:definedName name="LocationDescr2" localSheetId="1">'[1]Drill Down YTD by Dept'!#REF!</x:definedName>
    <x:definedName name="LocationDescr2" localSheetId="2">'[1]Drill Down YTD by Dept'!#REF!</x:definedName>
    <x:definedName name="LocationDescr2">'[1]Drill Down YTD by Dept'!#REF!</x:definedName>
    <x:definedName name="LYN" localSheetId="1">#REF!</x:definedName>
    <x:definedName name="LYN" localSheetId="2">#REF!</x:definedName>
    <x:definedName name="LYN">#REF!</x:definedName>
    <x:definedName name="NvsAnswerCol">"'[COVID-19 Review 2020-06-30.xlsx]ALO'!$A$8:$A$740"</x:definedName>
    <x:definedName name="NvsASD">"V2021-06-30"</x:definedName>
    <x:definedName name="NvsAutoDrillOk">"VN"</x:definedName>
    <x:definedName name="NvsElapsedTime">0.000138888884976041</x:definedName>
    <x:definedName name="NvsEndTime">44378.9514930556</x:definedName>
    <x:definedName name="NvsInstLang">"VENG"</x:definedName>
    <x:definedName name="NvsInstSpec">"%"</x:definedName>
    <x:definedName name="NvsInstSpec1">","</x:definedName>
    <x:definedName name="NvsInstSpec2">","</x:definedName>
    <x:definedName name="NvsInstSpec3">","</x:definedName>
    <x:definedName name="NvsInstSpec4">","</x:definedName>
    <x:definedName name="NvsInstSpec5">","</x:definedName>
    <x:definedName name="NvsInstSpec6">","</x:definedName>
    <x:definedName name="NvsInstSpec7">","</x:definedName>
    <x:definedName name="NvsInstSpec8">","</x:definedName>
    <x:definedName name="NvsInstSpec9">","</x:definedName>
    <x:definedName name="NvsLayoutType">"M3"</x:definedName>
    <x:definedName name="NvsNplSpec">"%,X,RZF.ACCOUNT.nPlosion,CZF.."</x:definedName>
    <x:definedName name="NvsPanelBusUnit">"V"</x:definedName>
    <x:definedName name="NvsPanelEffdt">"V2010-12-31"</x:definedName>
    <x:definedName name="NvsPanelSetid">"VSHARE"</x:definedName>
    <x:definedName name="NvsParentRef">"'[Oncor Cons Balance Sheet 2022 Dec.xls]Sheet1'!$AD$241"</x:definedName>
    <x:definedName name="NvsReqBU">"VX0001"</x:definedName>
    <x:definedName name="NvsReqBUOnly">"VN"</x:definedName>
    <x:definedName name="NvsTranslateLedger">#REF!</x:definedName>
    <x:definedName name="NvsTransLed">"VN"</x:definedName>
    <x:definedName name="NvsTree.F_ACNT_D_NONRG">"YSNYN"</x:definedName>
    <x:definedName name="NvsTree.F_BU_D_BASE_FCR">"YSNNN"</x:definedName>
    <x:definedName name="NvsTreeASD">"V2021-06-30"</x:definedName>
    <x:definedName name="NvsValTbl.ACCOUNT">"GL_ACCOUNT_TBL"</x:definedName>
    <x:definedName name="NvsValTbl.AFFILIATE">"BUS_UNIT_TBL_FS"</x:definedName>
    <x:definedName name="NvsValTbl.BUSINESS_UNIT">"BUS_UNIT_TBL_FS"</x:definedName>
    <x:definedName name="NvsValTbl.CURRENCY_CD">"CURRENCY_CD_VW"</x:definedName>
    <x:definedName name="NvsValTbl.DEPTID">"DEPT_TBL"</x:definedName>
    <x:definedName name="NvsValTbl.PF_SCENARIO_ID">"PF_SCENARIO_VW"</x:definedName>
    <x:definedName name="NvsValTbl.PROJECT_ID">"PROJECT"</x:definedName>
    <x:definedName name="NvsValTbl.SCENARIO">"SCENARIO_ALL_VW"</x:definedName>
    <x:definedName name="NvsValTbl.TU_ACTIVITY">"TU_ACTIVITY_TBL"</x:definedName>
    <x:definedName name="NvsValTbl.TU_EC">"TU_EC_TBL"</x:definedName>
    <x:definedName name="NvsValTbl.TU_LOCATION">"TU_LOC_TBL"</x:definedName>
    <x:definedName name="PED" localSheetId="1">#REF!</x:definedName>
    <x:definedName name="PED" localSheetId="2">#REF!</x:definedName>
    <x:definedName name="PED">#REF!</x:definedName>
    <x:definedName name="_xlnm.Print_Area" localSheetId="1">'Dkt53601 Approved Unamo page2'!$A$1:$P$63</x:definedName>
    <x:definedName name="_xlnm.Print_Area" localSheetId="2">'To be reviewed page3'!$A$1:$P$56</x:definedName>
    <x:definedName name="prt">#REF!</x:definedName>
    <x:definedName name="RID" localSheetId="1">#REF!</x:definedName>
    <x:definedName name="RID" localSheetId="2">#REF!</x:definedName>
    <x:definedName name="RID">#REF!</x:definedName>
    <x:definedName name="SFV">#REF!</x:definedName>
    <x:definedName name="Task" localSheetId="1">'[1]Drill Down YTD by Dept'!#REF!</x:definedName>
    <x:definedName name="Task" localSheetId="2">'[1]Drill Down YTD by Dept'!#REF!</x:definedName>
    <x:definedName name="Task">'[1]Drill Down YTD by Dept'!#REF!</x:definedName>
    <x:definedName name="Task2" localSheetId="1">'[1]Drill Down YTD by Dept'!#REF!</x:definedName>
    <x:definedName name="Task2" localSheetId="2">'[1]Drill Down YTD by Dept'!#REF!</x:definedName>
    <x:definedName name="Task2">'[1]Drill Down YTD by Dept'!#REF!</x:definedName>
    <x:definedName name="TaskDescr" localSheetId="1">'[1]Drill Down YTD by Dept'!#REF!</x:definedName>
    <x:definedName name="TaskDescr" localSheetId="2">'[1]Drill Down YTD by Dept'!#REF!</x:definedName>
    <x:definedName name="TaskDescr">'[1]Drill Down YTD by Dept'!#REF!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B9" i="18" l="1"/>
  <x:c r="B8" i="18"/>
  <x:c r="P1" i="20"/>
  <x:c r="P1" i="19"/>
  <x:c r="E60" i="19" l="1"/>
  <x:c r="F60" i="19"/>
  <x:c r="G60" i="19"/>
  <x:c r="H60" i="19"/>
  <x:c r="I60" i="19"/>
  <x:c r="J60" i="19"/>
  <x:c r="K60" i="19"/>
  <x:c r="L60" i="19"/>
  <x:c r="M60" i="19"/>
  <x:c r="N60" i="19"/>
  <x:c r="O60" i="19"/>
  <x:c r="D60" i="19"/>
  <x:c r="P60" i="19" s="1"/>
  <x:c r="P59" i="19"/>
  <x:c r="P58" i="19"/>
  <x:c r="L45" i="19"/>
  <x:c r="E45" i="20"/>
  <x:c r="F42" i="20"/>
  <x:c r="J42" i="20"/>
  <x:c r="O42" i="20"/>
  <x:c r="F45" i="20"/>
  <x:c r="H45" i="20"/>
  <x:c r="I45" i="20"/>
  <x:c r="K45" i="20"/>
  <x:c r="L45" i="20"/>
  <x:c r="M45" i="20"/>
  <x:c r="N45" i="20"/>
  <x:c r="D45" i="20"/>
  <x:c r="D42" i="20"/>
  <x:c r="E29" i="20"/>
  <x:c r="F29" i="20"/>
  <x:c r="G29" i="20"/>
  <x:c r="H29" i="20"/>
  <x:c r="I29" i="20"/>
  <x:c r="J29" i="20"/>
  <x:c r="K29" i="20"/>
  <x:c r="L29" i="20"/>
  <x:c r="M29" i="20"/>
  <x:c r="O29" i="20"/>
  <x:c r="N29" i="20"/>
  <x:c r="E32" i="20"/>
  <x:c r="F32" i="20"/>
  <x:c r="G32" i="20"/>
  <x:c r="H32" i="20"/>
  <x:c r="I32" i="20"/>
  <x:c r="J32" i="20"/>
  <x:c r="K32" i="20"/>
  <x:c r="L32" i="20"/>
  <x:c r="M32" i="20"/>
  <x:c r="N32" i="20"/>
  <x:c r="O32" i="20"/>
  <x:c r="D32" i="20"/>
  <x:c r="D29" i="20"/>
  <x:c r="H9" i="20"/>
  <x:c r="K9" i="20"/>
  <x:c r="N9" i="20"/>
  <x:c r="O45" i="20"/>
  <x:c r="G45" i="20"/>
  <x:c r="E45" i="19"/>
  <x:c r="F45" i="19"/>
  <x:c r="G45" i="19"/>
  <x:c r="H45" i="19"/>
  <x:c r="I45" i="19"/>
  <x:c r="J45" i="19"/>
  <x:c r="K45" i="19"/>
  <x:c r="M45" i="19"/>
  <x:c r="N45" i="19"/>
  <x:c r="O45" i="19"/>
  <x:c r="D45" i="19"/>
  <x:c r="M42" i="19"/>
  <x:c r="E29" i="19"/>
  <x:c r="F29" i="19"/>
  <x:c r="G29" i="19"/>
  <x:c r="H29" i="19"/>
  <x:c r="I29" i="19"/>
  <x:c r="J29" i="19"/>
  <x:c r="K29" i="19"/>
  <x:c r="L29" i="19"/>
  <x:c r="M29" i="19"/>
  <x:c r="N29" i="19"/>
  <x:c r="O29" i="19"/>
  <x:c r="E32" i="19"/>
  <x:c r="F32" i="19"/>
  <x:c r="G32" i="19"/>
  <x:c r="H32" i="19"/>
  <x:c r="I32" i="19"/>
  <x:c r="J32" i="19"/>
  <x:c r="K32" i="19"/>
  <x:c r="L32" i="19"/>
  <x:c r="M32" i="19"/>
  <x:c r="N32" i="19"/>
  <x:c r="O32" i="19"/>
  <x:c r="D32" i="19"/>
  <x:c r="D29" i="19"/>
  <x:c r="O49" i="19"/>
  <x:c r="N49" i="19"/>
  <x:c r="M49" i="19"/>
  <x:c r="L49" i="19"/>
  <x:c r="K49" i="19"/>
  <x:c r="J49" i="19"/>
  <x:c r="I49" i="19"/>
  <x:c r="H49" i="19"/>
  <x:c r="G49" i="19"/>
  <x:c r="F49" i="19"/>
  <x:c r="E49" i="19"/>
  <x:c r="D49" i="19"/>
  <x:c r="K42" i="19" l="1"/>
  <x:c r="E42" i="19"/>
  <x:c r="D42" i="19"/>
  <x:c r="F38" i="20"/>
  <x:c r="M9" i="20"/>
  <x:c r="F9" i="20"/>
  <x:c r="N38" i="20"/>
  <x:c r="M38" i="20"/>
  <x:c r="L38" i="20"/>
  <x:c r="K42" i="20"/>
  <x:c r="O9" i="20"/>
  <x:c r="O16" i="20" s="1"/>
  <x:c r="O9" i="19"/>
  <x:c r="O16" i="19" s="1"/>
  <x:c r="J9" i="19"/>
  <x:c r="O38" i="19"/>
  <x:c r="O42" i="19"/>
  <x:c r="N42" i="19"/>
  <x:c r="I42" i="19"/>
  <x:c r="L42" i="19"/>
  <x:c r="I9" i="19"/>
  <x:c r="I16" i="19" s="1"/>
  <x:c r="I25" i="19"/>
  <x:c r="H42" i="19"/>
  <x:c r="G38" i="19"/>
  <x:c r="G42" i="19"/>
  <x:c r="E25" i="19"/>
  <x:c r="F42" i="19"/>
  <x:c r="G25" i="20"/>
  <x:c r="P20" i="20"/>
  <x:c r="F25" i="20"/>
  <x:c r="H38" i="20"/>
  <x:c r="H42" i="20"/>
  <x:c r="O38" i="20"/>
  <x:c r="P11" i="20"/>
  <x:c r="P27" i="20"/>
  <x:c r="G38" i="20"/>
  <x:c r="G42" i="20"/>
  <x:c r="P13" i="20"/>
  <x:c r="P22" i="20"/>
  <x:c r="L9" i="20"/>
  <x:c r="L16" i="20" s="1"/>
  <x:c r="N42" i="20"/>
  <x:c r="M42" i="20"/>
  <x:c r="E9" i="20"/>
  <x:c r="E16" i="20" s="1"/>
  <x:c r="M16" i="20"/>
  <x:c r="K38" i="20"/>
  <x:c r="I38" i="20"/>
  <x:c r="P44" i="20"/>
  <x:c r="I42" i="20"/>
  <x:c r="O25" i="20"/>
  <x:c r="N25" i="20"/>
  <x:c r="M25" i="20"/>
  <x:c r="L25" i="20"/>
  <x:c r="P19" i="20"/>
  <x:c r="P36" i="20"/>
  <x:c r="J38" i="20"/>
  <x:c r="P23" i="20"/>
  <x:c r="J25" i="20"/>
  <x:c r="P37" i="20"/>
  <x:c r="E38" i="20"/>
  <x:c r="P21" i="20"/>
  <x:c r="L42" i="20"/>
  <x:c r="J9" i="20"/>
  <x:c r="J16" i="20" s="1"/>
  <x:c r="J50" i="20" s="1"/>
  <x:c r="I9" i="20"/>
  <x:c r="I16" i="20" s="1"/>
  <x:c r="P24" i="20"/>
  <x:c r="I25" i="20"/>
  <x:c r="E42" i="20"/>
  <x:c r="P14" i="20"/>
  <x:c r="H16" i="20"/>
  <x:c r="H25" i="20"/>
  <x:c r="P12" i="20"/>
  <x:c r="F16" i="20"/>
  <x:c r="G9" i="20"/>
  <x:c r="G16" i="20" s="1"/>
  <x:c r="P10" i="20"/>
  <x:c r="E25" i="20"/>
  <x:c r="P30" i="20"/>
  <x:c r="D52" i="19"/>
  <x:c r="P41" i="19"/>
  <x:c r="N38" i="19"/>
  <x:c r="P7" i="19"/>
  <x:c r="K9" i="19"/>
  <x:c r="K16" i="19" s="1"/>
  <x:c r="K38" i="19"/>
  <x:c r="P13" i="19"/>
  <x:c r="M38" i="19"/>
  <x:c r="L38" i="19"/>
  <x:c r="P21" i="19"/>
  <x:c r="P12" i="19"/>
  <x:c r="P24" i="19"/>
  <x:c r="J38" i="19"/>
  <x:c r="H38" i="19"/>
  <x:c r="F9" i="19"/>
  <x:c r="F38" i="19"/>
  <x:c r="P11" i="19"/>
  <x:c r="P22" i="19"/>
  <x:c r="P8" i="19"/>
  <x:c r="P23" i="19"/>
  <x:c r="I38" i="19"/>
  <x:c r="N9" i="19"/>
  <x:c r="N16" i="19" s="1"/>
  <x:c r="E38" i="19"/>
  <x:c r="M9" i="19"/>
  <x:c r="M16" i="19" s="1"/>
  <x:c r="N25" i="19"/>
  <x:c r="M25" i="19"/>
  <x:c r="P35" i="19"/>
  <x:c r="L9" i="19"/>
  <x:c r="L16" i="19" s="1"/>
  <x:c r="P49" i="19"/>
  <x:c r="L25" i="19"/>
  <x:c r="K25" i="19"/>
  <x:c r="J25" i="19"/>
  <x:c r="O25" i="19"/>
  <x:c r="P36" i="19"/>
  <x:c r="H9" i="19"/>
  <x:c r="H16" i="19" s="1"/>
  <x:c r="G25" i="19"/>
  <x:c r="J16" i="19"/>
  <x:c r="P37" i="19"/>
  <x:c r="H25" i="19"/>
  <x:c r="F16" i="19"/>
  <x:c r="G9" i="19"/>
  <x:c r="G16" i="19" s="1"/>
  <x:c r="P20" i="19"/>
  <x:c r="F25" i="19"/>
  <x:c r="J42" i="19"/>
  <x:c r="J45" i="20"/>
  <x:c r="P45" i="20" s="1"/>
  <x:c r="P41" i="20"/>
  <x:c r="P34" i="20"/>
  <x:c r="D38" i="20"/>
  <x:c r="P31" i="20"/>
  <x:c r="K25" i="20"/>
  <x:c r="N16" i="20"/>
  <x:c r="K16" i="20"/>
  <x:c r="P8" i="20"/>
  <x:c r="P7" i="20"/>
  <x:c r="P29" i="20"/>
  <x:c r="P32" i="20"/>
  <x:c r="P35" i="20"/>
  <x:c r="D25" i="20"/>
  <x:c r="P40" i="20"/>
  <x:c r="D9" i="20"/>
  <x:c r="P28" i="20"/>
  <x:c r="P34" i="19"/>
  <x:c r="P29" i="19"/>
  <x:c r="P19" i="19"/>
  <x:c r="E9" i="19"/>
  <x:c r="E16" i="19" s="1"/>
  <x:c r="P10" i="19"/>
  <x:c r="P14" i="19"/>
  <x:c r="P32" i="19"/>
  <x:c r="P45" i="19"/>
  <x:c r="D9" i="19"/>
  <x:c r="D38" i="19"/>
  <x:c r="D25" i="19"/>
  <x:c r="P40" i="19"/>
  <x:c r="P28" i="19"/>
  <x:c r="P44" i="19"/>
  <x:c r="P31" i="19"/>
  <x:c r="P48" i="19"/>
  <x:c r="K50" i="20" l="1"/>
  <x:c r="N50" i="20"/>
  <x:c r="G50" i="20"/>
  <x:c r="F50" i="20"/>
  <x:c r="H50" i="20"/>
  <x:c r="H50" i="19"/>
  <x:c r="M50" i="19"/>
  <x:c r="F50" i="19"/>
  <x:c r="I50" i="19"/>
  <x:c r="E50" i="19"/>
  <x:c r="P42" i="19"/>
  <x:c r="O50" i="19"/>
  <x:c r="K50" i="19"/>
  <x:c r="G50" i="19"/>
  <x:c r="B15" i="18"/>
  <x:c r="P57" i="20" s="1"/>
  <x:c r="P42" i="20"/>
  <x:c r="L50" i="20"/>
  <x:c r="O50" i="20"/>
  <x:c r="P25" i="20"/>
  <x:c r="I50" i="20"/>
  <x:c r="M50" i="20"/>
  <x:c r="P38" i="20"/>
  <x:c r="E50" i="20"/>
  <x:c r="N50" i="19"/>
  <x:c r="P25" i="19"/>
  <x:c r="L50" i="19"/>
  <x:c r="E52" i="19"/>
  <x:c r="F52" i="19" s="1"/>
  <x:c r="G52" i="19" s="1"/>
  <x:c r="H52" i="19" s="1"/>
  <x:c r="I52" i="19" s="1"/>
  <x:c r="J52" i="19" s="1"/>
  <x:c r="K52" i="19" s="1"/>
  <x:c r="L52" i="19" s="1"/>
  <x:c r="M52" i="19" s="1"/>
  <x:c r="N52" i="19" s="1"/>
  <x:c r="O52" i="19" s="1"/>
  <x:c r="D53" i="19"/>
  <x:c r="J50" i="19"/>
  <x:c r="P38" i="19"/>
  <x:c r="D16" i="20"/>
  <x:c r="D50" i="20" s="1"/>
  <x:c r="P9" i="20"/>
  <x:c r="P16" i="20" s="1"/>
  <x:c r="D16" i="19"/>
  <x:c r="D50" i="19" s="1"/>
  <x:c r="P9" i="19"/>
  <x:c r="P16" i="19" s="1"/>
  <x:c r="P50" i="19" l="1"/>
  <x:c r="P52" i="19"/>
  <x:c r="P50" i="20"/>
  <x:c r="P51" i="20" s="1"/>
  <x:c r="P54" i="20" s="1"/>
  <x:c r="P55" i="20" s="1"/>
  <x:c r="D54" i="19"/>
  <x:c r="E53" i="19"/>
  <x:c r="F53" i="19" s="1"/>
  <x:c r="G53" i="19" s="1"/>
  <x:c r="H53" i="19" s="1"/>
  <x:c r="I53" i="19" s="1"/>
  <x:c r="J53" i="19" s="1"/>
  <x:c r="K53" i="19" s="1"/>
  <x:c r="L53" i="19" s="1"/>
  <x:c r="M53" i="19" s="1"/>
  <x:c r="N53" i="19" s="1"/>
  <x:c r="O53" i="19" s="1"/>
  <x:c r="P53" i="19" l="1"/>
  <x:c r="E54" i="19"/>
  <x:c r="F54" i="19" s="1"/>
  <x:c r="G54" i="19" s="1"/>
  <x:c r="H54" i="19" s="1"/>
  <x:c r="I54" i="19" s="1"/>
  <x:c r="J54" i="19" s="1"/>
  <x:c r="K54" i="19" s="1"/>
  <x:c r="L54" i="19" s="1"/>
  <x:c r="M54" i="19" s="1"/>
  <x:c r="N54" i="19" s="1"/>
  <x:c r="O54" i="19" s="1"/>
  <x:c r="D55" i="19"/>
  <x:c r="P54" i="19" l="1"/>
  <x:c r="E55" i="19"/>
  <x:c r="F55" i="19" s="1"/>
  <x:c r="G55" i="19" s="1"/>
  <x:c r="H55" i="19" s="1"/>
  <x:c r="P55" i="19" l="1"/>
  <x:c r="P56" i="19" s="1"/>
  <x:c r="B10" i="18" l="1"/>
  <x:c r="B17" i="18" l="1"/>
  <x:c r="P64" i="19"/>
</x:calcChain>
</file>

<file path=xl/sharedStrings.xml><?xml version="1.0" encoding="utf-8"?>
<sst xmlns="http://schemas.openxmlformats.org/spreadsheetml/2006/main" count="152" uniqueCount="97">
  <si>
    <t>Incremental COVID19 Expenses Summary</t>
  </si>
  <si>
    <t>Jan.</t>
  </si>
  <si>
    <t>Feb.</t>
  </si>
  <si>
    <t>Mar.</t>
  </si>
  <si>
    <t>Apr.</t>
  </si>
  <si>
    <t>May.</t>
  </si>
  <si>
    <t>Aug.</t>
  </si>
  <si>
    <t>Sep.</t>
  </si>
  <si>
    <t>Oct.</t>
  </si>
  <si>
    <t xml:space="preserve">Nov. </t>
  </si>
  <si>
    <t>Dec.</t>
  </si>
  <si>
    <t xml:space="preserve">Grand Total </t>
  </si>
  <si>
    <t>Contractor Expenses</t>
  </si>
  <si>
    <t>Additional Cleaning</t>
  </si>
  <si>
    <t>Accruals Add'l Cleaning</t>
  </si>
  <si>
    <t>Net Additional Cleaning impact</t>
  </si>
  <si>
    <t>Information Technology System Support</t>
  </si>
  <si>
    <t xml:space="preserve">Medical </t>
  </si>
  <si>
    <t>Security</t>
  </si>
  <si>
    <t xml:space="preserve">Security &amp; Medical </t>
  </si>
  <si>
    <t>Temporary Augmented Staff</t>
  </si>
  <si>
    <t>Total Contractor Expenses</t>
  </si>
  <si>
    <t>Employee Expenses</t>
  </si>
  <si>
    <t>Employee Appreciation</t>
  </si>
  <si>
    <t>Hotel stay for social distancing</t>
  </si>
  <si>
    <t>Meals</t>
  </si>
  <si>
    <t>Mileage</t>
  </si>
  <si>
    <t>Vacation Buyback</t>
  </si>
  <si>
    <t>Internal Overtime &amp; Benefits/Taxes</t>
  </si>
  <si>
    <t xml:space="preserve">Total Employee Expenses </t>
  </si>
  <si>
    <t>Material/Supplies Purchases</t>
  </si>
  <si>
    <t>Safety/Cleaning Supplies</t>
  </si>
  <si>
    <t>Total Material/Supplies Purchases</t>
  </si>
  <si>
    <t>Professional/Consulting Services</t>
  </si>
  <si>
    <t>COVID19 consulting/ discussion</t>
  </si>
  <si>
    <t>Total Professional/Consulting Services</t>
  </si>
  <si>
    <t>Rental/Lease Expenses</t>
  </si>
  <si>
    <t>Generators Rental &amp; Supplies</t>
  </si>
  <si>
    <t>Mobile office &amp; hand wash stations</t>
  </si>
  <si>
    <t>Rental Vehicles</t>
  </si>
  <si>
    <t>Wifi/Zoom/Webex /Webex Desktop Cameras</t>
  </si>
  <si>
    <t>Total Rental/Lease Expenses</t>
  </si>
  <si>
    <t>Temporary Facilities</t>
  </si>
  <si>
    <t>Porta-Potties</t>
  </si>
  <si>
    <t>Total Temporary Facilities</t>
  </si>
  <si>
    <t>Temporary office furnishings</t>
  </si>
  <si>
    <t>Cabling for cubicles</t>
  </si>
  <si>
    <t>Total Temporary office furnishings</t>
  </si>
  <si>
    <t>Total Covid Dkt 53601 Amort</t>
  </si>
  <si>
    <t>Oncor Electric Delivery Company LLC</t>
  </si>
  <si>
    <t>Deferred COVID19-Incremental Expense (to be reviewed)</t>
  </si>
  <si>
    <t>Year 2022</t>
  </si>
  <si>
    <t>Account 1823575-Reg Asset - COVID19 Incrmtl Exp</t>
  </si>
  <si>
    <t>Balance @ 12-31-2024</t>
  </si>
  <si>
    <t>Summary</t>
  </si>
  <si>
    <t>Covid Dkt 53601 Amort 2023 &amp; 2024 *</t>
  </si>
  <si>
    <t>Covid19 Incremental Expenses Incurred 2022 through Q1 2023 - To Be Reviewed</t>
  </si>
  <si>
    <t>2025 amortization*</t>
  </si>
  <si>
    <t>2026 amortization*</t>
  </si>
  <si>
    <t>2027 amortization*</t>
  </si>
  <si>
    <t>Accrual 2021 Dec</t>
  </si>
  <si>
    <t>2028 amortization*</t>
  </si>
  <si>
    <t>Jun.</t>
  </si>
  <si>
    <t>Jul.</t>
  </si>
  <si>
    <t>Balance at May 2028 reflecting Dkt 53601 approved five-year amortization</t>
  </si>
  <si>
    <t>Unamortized Balance at 12-31-2024 Approved in Docket No. 53601</t>
  </si>
  <si>
    <t>* Five-year recovery/amortization began May 2023 effective with Docket No. 53601 rates.</t>
  </si>
  <si>
    <t>Regulatory Asset 1823575- Covid19 Incremental Expenses 2022 through March 31, 2023 at 12-31-2024 - To Be Reviewed Balance</t>
  </si>
  <si>
    <t>Amortization May 1, 2023 through 12-31-2024</t>
  </si>
  <si>
    <t>Approved unamortized balance at 12-31-2024</t>
  </si>
  <si>
    <t>YTD March 31, 2023</t>
  </si>
  <si>
    <t>Balance at 12-31-2024 to be reviewed in this rate case</t>
  </si>
  <si>
    <t>Test Year Ending December 31, 2024</t>
  </si>
  <si>
    <t>Page 1 of 3</t>
  </si>
  <si>
    <t>Account 566</t>
  </si>
  <si>
    <t>Account 588</t>
  </si>
  <si>
    <t>2024 test year amortization approved in Docket No. 53601</t>
  </si>
  <si>
    <t>Regulatory Asset 1823575 - Covid19 Incremental Expenses Approved in Docket No. 53601 - Unamortized Balance at December 31, 2024 Including Approved Annual Amortization</t>
  </si>
  <si>
    <t xml:space="preserve">Approved Unamortized Balance at December 31, 2024 </t>
  </si>
  <si>
    <t>Page 3 of 3</t>
  </si>
  <si>
    <t>Page 2 of 3</t>
  </si>
  <si>
    <t>Deferred COVID19-Incremental Expense (approved)</t>
  </si>
  <si>
    <t>Requested five-year amortization - K&amp;M Adjustment #16</t>
  </si>
  <si>
    <t>Annual amortization</t>
  </si>
  <si>
    <t>(Amount excludes corrections recorded in 2022 related to 12-31-2021 balance approved in Docket No. 53601)</t>
  </si>
  <si>
    <t>Approved amortization began May 1, 2023 effective with Docket No. 53601 base rates</t>
  </si>
  <si>
    <t>Balance approved in Docket No. 53601</t>
  </si>
  <si>
    <t>Total (with offsetting reduction to regulatory asset)</t>
  </si>
  <si>
    <t>Sponsor:  W. Alan Ledbetter, R. Prachyl, &amp; Coler D. Snelleman</t>
  </si>
  <si>
    <t>Approved</t>
  </si>
  <si>
    <t>To Be Reviewed</t>
  </si>
  <si>
    <t>Reference page 2 of this workpaper</t>
  </si>
  <si>
    <t>Reference page 3 of this workpaper</t>
  </si>
  <si>
    <t>WP/II-B-12 COVID-19 Incremental Costs</t>
  </si>
  <si>
    <t>Docket No. 53601 Order on Rehearing pages 34-35, 37 (Findings of Facts 167, 167A, &amp; 173), &amp; 60; Docket No. 50664 Accounting Order page 2 (Item No. 108)</t>
  </si>
  <si>
    <t>Reference Docket No. 50664 Accounting Order page 2 (Item No. 108), Docket No. 50664 Second Order page 2 (Item No. 304); Docket No. 53601 Order on Rehearing page 61 (Finding of Fact 387)</t>
  </si>
  <si>
    <t>To Be Reviewed Balance at 12-31-2024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</si>
</sst>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3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FF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62"/>
      <name val="Arial"/>
      <family val="2"/>
    </font>
    <font>
      <sz val="12"/>
      <color indexed="62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6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0">
    <xf numFmtId="0" fontId="0" fillId="0" borderId="0"/>
    <xf numFmtId="0" fontId="8" fillId="0" borderId="0"/>
    <xf numFmtId="43" fontId="7" fillId="0" borderId="0" applyFont="0" applyFill="0" applyBorder="0" applyAlignment="0" applyProtection="0"/>
    <xf numFmtId="0" fontId="7" fillId="0" borderId="0"/>
    <xf numFmtId="43" fontId="13" fillId="0" borderId="0"/>
    <xf numFmtId="43" fontId="14" fillId="0" borderId="0" applyFont="0" applyFill="0" applyBorder="0" applyAlignment="0" applyProtection="0"/>
    <xf numFmtId="0" fontId="14" fillId="0" borderId="0"/>
    <xf numFmtId="43" fontId="16" fillId="0" borderId="0"/>
    <xf numFmtId="43" fontId="17" fillId="4" borderId="0" applyFill="0" applyBorder="0" applyProtection="0">
      <alignment horizontal="right"/>
    </xf>
    <xf numFmtId="43" fontId="15" fillId="0" borderId="0" applyFont="0" applyFill="0" applyBorder="0" applyAlignment="0" applyProtection="0"/>
    <xf numFmtId="0" fontId="18" fillId="0" borderId="0"/>
    <xf numFmtId="0" fontId="6" fillId="0" borderId="0"/>
    <xf numFmtId="0" fontId="12" fillId="0" borderId="0"/>
    <xf numFmtId="43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9" fillId="4" borderId="0" applyFill="0" applyBorder="0" applyProtection="0">
      <alignment horizontal="right"/>
    </xf>
    <xf numFmtId="0" fontId="20" fillId="0" borderId="0"/>
    <xf numFmtId="43" fontId="17" fillId="0" borderId="0"/>
    <xf numFmtId="0" fontId="4" fillId="0" borderId="0"/>
    <xf numFmtId="43" fontId="4" fillId="0" borderId="0" applyFont="0" applyFill="0" applyBorder="0" applyAlignment="0" applyProtection="0"/>
  </cellStyleXfs>
  <cellXfs count="57">
    <xf numFmtId="0" fontId="0" fillId="0" borderId="0" xfId="0"/>
    <xf numFmtId="0" fontId="10" fillId="0" borderId="0" xfId="3" applyFont="1" applyBorder="1"/>
    <xf numFmtId="0" fontId="6" fillId="0" borderId="0" xfId="11"/>
    <xf numFmtId="0" fontId="9" fillId="2" borderId="0" xfId="11" applyFont="1" applyFill="1" applyAlignment="1">
      <alignment horizontal="center"/>
    </xf>
    <xf numFmtId="40" fontId="6" fillId="0" borderId="0" xfId="11" applyNumberFormat="1"/>
    <xf numFmtId="0" fontId="10" fillId="0" borderId="2" xfId="11" applyFont="1" applyBorder="1"/>
    <xf numFmtId="43" fontId="6" fillId="0" borderId="0" xfId="11" applyNumberFormat="1"/>
    <xf numFmtId="0" fontId="6" fillId="0" borderId="3" xfId="11" applyBorder="1" applyAlignment="1">
      <alignment horizontal="left"/>
    </xf>
    <xf numFmtId="0" fontId="6" fillId="0" borderId="0" xfId="11" applyAlignment="1">
      <alignment horizontal="left" indent="1"/>
    </xf>
    <xf numFmtId="0" fontId="6" fillId="0" borderId="2" xfId="11" applyBorder="1"/>
    <xf numFmtId="0" fontId="10" fillId="0" borderId="0" xfId="11" applyFont="1"/>
    <xf numFmtId="0" fontId="10" fillId="3" borderId="4" xfId="11" applyFont="1" applyFill="1" applyBorder="1"/>
    <xf numFmtId="164" fontId="6" fillId="0" borderId="0" xfId="11" applyNumberFormat="1"/>
    <xf numFmtId="0" fontId="5" fillId="0" borderId="0" xfId="11" applyFont="1"/>
    <xf numFmtId="43" fontId="0" fillId="0" borderId="0" xfId="0" applyNumberFormat="1"/>
    <xf numFmtId="0" fontId="0" fillId="0" borderId="2" xfId="0" applyBorder="1" applyAlignment="1">
      <alignment horizontal="center"/>
    </xf>
    <xf numFmtId="0" fontId="3" fillId="0" borderId="0" xfId="11" applyFont="1"/>
    <xf numFmtId="0" fontId="2" fillId="0" borderId="0" xfId="11" applyFont="1"/>
    <xf numFmtId="43" fontId="12" fillId="0" borderId="0" xfId="14"/>
    <xf numFmtId="43" fontId="0" fillId="0" borderId="0" xfId="14" applyFont="1"/>
    <xf numFmtId="43" fontId="12" fillId="0" borderId="2" xfId="14" applyBorder="1"/>
    <xf numFmtId="43" fontId="11" fillId="0" borderId="0" xfId="14" applyFont="1"/>
    <xf numFmtId="43" fontId="6" fillId="0" borderId="0" xfId="14" applyFont="1"/>
    <xf numFmtId="43" fontId="0" fillId="0" borderId="0" xfId="14" applyFont="1" applyFill="1"/>
    <xf numFmtId="43" fontId="11" fillId="0" borderId="2" xfId="14" applyFont="1" applyBorder="1"/>
    <xf numFmtId="43" fontId="22" fillId="0" borderId="0" xfId="14" applyFont="1"/>
    <xf numFmtId="43" fontId="11" fillId="0" borderId="2" xfId="14" applyFont="1" applyFill="1" applyBorder="1"/>
    <xf numFmtId="43" fontId="10" fillId="0" borderId="2" xfId="14" applyFont="1" applyBorder="1"/>
    <xf numFmtId="43" fontId="6" fillId="0" borderId="2" xfId="14" applyFont="1" applyBorder="1"/>
    <xf numFmtId="43" fontId="10" fillId="0" borderId="0" xfId="14" applyFont="1" applyBorder="1"/>
    <xf numFmtId="43" fontId="10" fillId="0" borderId="0" xfId="14" applyFont="1"/>
    <xf numFmtId="43" fontId="10" fillId="3" borderId="4" xfId="14" applyFont="1" applyFill="1" applyBorder="1"/>
    <xf numFmtId="43" fontId="2" fillId="0" borderId="0" xfId="14" applyFont="1" applyAlignment="1">
      <alignment horizontal="right"/>
    </xf>
    <xf numFmtId="43" fontId="12" fillId="0" borderId="0" xfId="14" applyBorder="1"/>
    <xf numFmtId="43" fontId="6" fillId="0" borderId="0" xfId="14" applyFont="1" applyBorder="1"/>
    <xf numFmtId="0" fontId="14" fillId="0" borderId="0" xfId="0" applyFont="1" applyProtection="1">
      <protection locked="0"/>
    </xf>
    <xf numFmtId="0" fontId="10" fillId="0" borderId="0" xfId="11" applyFont="1" applyFill="1" applyBorder="1"/>
    <xf numFmtId="0" fontId="6" fillId="0" borderId="0" xfId="11" applyFill="1"/>
    <xf numFmtId="43" fontId="10" fillId="0" borderId="0" xfId="14" applyFont="1" applyFill="1" applyBorder="1"/>
    <xf numFmtId="43" fontId="10" fillId="0" borderId="0" xfId="14" applyFont="1" applyFill="1" applyBorder="1" applyAlignment="1">
      <alignment horizontal="right"/>
    </xf>
    <xf numFmtId="0" fontId="1" fillId="0" borderId="0" xfId="11" applyFont="1"/>
    <xf numFmtId="0" fontId="11" fillId="0" borderId="0" xfId="0" applyFont="1"/>
    <xf numFmtId="0" fontId="1" fillId="0" borderId="0" xfId="11" applyFont="1" applyAlignment="1">
      <alignment horizontal="left" indent="1"/>
    </xf>
    <xf numFmtId="43" fontId="2" fillId="0" borderId="2" xfId="14" applyFont="1" applyBorder="1" applyAlignment="1">
      <alignment horizontal="right"/>
    </xf>
    <xf numFmtId="0" fontId="1" fillId="0" borderId="0" xfId="11" applyFont="1" applyAlignment="1">
      <alignment horizontal="left" indent="2"/>
    </xf>
    <xf numFmtId="43" fontId="1" fillId="0" borderId="0" xfId="14" applyFont="1" applyFill="1" applyBorder="1" applyAlignment="1">
      <alignment horizontal="right"/>
    </xf>
    <xf numFmtId="43" fontId="1" fillId="0" borderId="0" xfId="14" applyFont="1" applyFill="1" applyBorder="1"/>
    <xf numFmtId="43" fontId="1" fillId="0" borderId="0" xfId="11" applyNumberFormat="1" applyFont="1"/>
    <xf numFmtId="43" fontId="1" fillId="0" borderId="2" xfId="14" applyFont="1" applyFill="1" applyBorder="1"/>
    <xf numFmtId="0" fontId="1" fillId="0" borderId="0" xfId="11" applyFont="1" applyAlignment="1">
      <alignment horizontal="right"/>
    </xf>
    <xf numFmtId="43" fontId="0" fillId="0" borderId="2" xfId="14" applyFont="1" applyBorder="1"/>
    <xf numFmtId="0" fontId="10" fillId="0" borderId="0" xfId="11" applyFont="1" applyAlignment="1">
      <alignment horizontal="right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left" indent="1"/>
    </xf>
    <xf numFmtId="0" fontId="9" fillId="2" borderId="1" xfId="11" applyFont="1" applyFill="1" applyBorder="1" applyAlignment="1">
      <alignment horizontal="center" wrapText="1"/>
    </xf>
    <xf numFmtId="0" fontId="10" fillId="3" borderId="4" xfId="11" applyFont="1" applyFill="1" applyBorder="1" applyAlignment="1">
      <alignment wrapText="1"/>
    </xf>
    <xf numFmtId="0" fontId="0" fillId="0" borderId="4" xfId="0" applyBorder="1" applyAlignment="1">
      <alignment wrapText="1"/>
    </xf>
  </cellXfs>
  <cellStyles count="20">
    <cellStyle name="Comma" xfId="14" builtinId="3"/>
    <cellStyle name="Comma 2" xfId="2" xr:uid="{00000000-0005-0000-0000-000000000000}"/>
    <cellStyle name="Comma 2 2" xfId="8" xr:uid="{3963B955-EEA6-4270-AB38-5DAB2DE1F2AF}"/>
    <cellStyle name="Comma 2 3" xfId="13" xr:uid="{7EDD4CA4-8998-46E8-BC8D-C66094F37FB9}"/>
    <cellStyle name="Comma 3" xfId="5" xr:uid="{876D9C8E-EF9B-4CDF-A9A4-7C90FF4FC728}"/>
    <cellStyle name="Comma 4" xfId="15" xr:uid="{0DFCD845-29ED-46E7-8B2E-3BB94F477F0C}"/>
    <cellStyle name="Comma 5" xfId="19" xr:uid="{10585E00-8B56-43CB-8087-DFF34769B9B7}"/>
    <cellStyle name="Normal" xfId="0" builtinId="0"/>
    <cellStyle name="Normal 2" xfId="1" xr:uid="{00000000-0005-0000-0000-000002000000}"/>
    <cellStyle name="Normal 2 2" xfId="3" xr:uid="{00000000-0005-0000-0000-000003000000}"/>
    <cellStyle name="Normal 2 2 2" xfId="11" xr:uid="{C25F08C2-C1E2-49F7-B06D-84DBFAF41B7A}"/>
    <cellStyle name="Normal 2 3" xfId="10" xr:uid="{F3381D89-3559-4A65-B810-B1693051661C}"/>
    <cellStyle name="Normal 3" xfId="6" xr:uid="{CE8E793D-7FF8-49C1-BB12-9C118A81426E}"/>
    <cellStyle name="Normal 4" xfId="12" xr:uid="{A61BCA02-F52D-4539-BED1-9F402A2DEEB4}"/>
    <cellStyle name="Normal 5" xfId="16" xr:uid="{CF1CAA15-6DF3-4476-AED7-2158E4E4A9A0}"/>
    <cellStyle name="Normal 6" xfId="18" xr:uid="{F6D370D4-64B9-4B99-97DF-C06BD68ED66B}"/>
    <cellStyle name="nPlosion" xfId="4" xr:uid="{87DD718E-5114-4C2D-A065-31A02EC87C1A}"/>
    <cellStyle name="nPlosion 2" xfId="7" xr:uid="{822B29A9-A4AC-45FC-A97B-4602A20F64FC}"/>
    <cellStyle name="nPlosion 3" xfId="17" xr:uid="{59095BA1-E43A-44C8-AC34-D689C073CDAD}"/>
    <cellStyle name="Report" xfId="9" xr:uid="{36ADCB29-FA69-4CD8-8B91-9B1ACF599D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dcm\Documents\D\fdcm\Controller%20Org\COVID-19%20related\2022\Copy%20of%20Regulatory%20asset%20account%201823575%20YTD%20summary%20by%20period%202022_DEC%20prt%201-23-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0"/>
      <sheetName val="2021"/>
      <sheetName val="2022"/>
      <sheetName val="Dept. Pivot 2022"/>
      <sheetName val="Drill Down YTD by Dept"/>
      <sheetName val="2022 details"/>
      <sheetName val="2020-2021"/>
      <sheetName val="BL as of 12312021"/>
      <sheetName val="2020 Details"/>
      <sheetName val="2021 detail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>
        <row r="450">
          <cell r="L450">
            <v>-565.03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AD7BE3D-10EC-42C3-9712-A6D8087455AB}" mc:Ignorable="x14ac xr xr2 xr3">
  <x:sheetPr>
    <x:tabColor theme="5" tint="0.79998168889431442"/>
    <x:pageSetUpPr fitToPage="1"/>
  </x:sheetPr>
  <x:dimension ref="A1:G17"/>
  <x:sheetViews>
    <x:sheetView tabSelected="1" workbookViewId="0">
      <x:selection activeCell="A4" sqref="A4"/>
    </x:sheetView>
  </x:sheetViews>
  <x:sheetFormatPr defaultRowHeight="14.5" x14ac:dyDescent="0.35"/>
  <x:cols>
    <x:col min="1" max="1" width="50.36328125" bestFit="1" customWidth="1"/>
    <x:col min="2" max="2" width="14.26953125" bestFit="1" customWidth="1"/>
    <x:col min="3" max="3" width="94.453125" bestFit="1" customWidth="1"/>
    <x:col min="5" max="5" width="14.26953125" bestFit="1" customWidth="1"/>
    <x:col min="6" max="6" width="13.6328125" bestFit="1" customWidth="1"/>
    <x:col min="7" max="7" width="10.7265625" bestFit="1" customWidth="1"/>
  </x:cols>
  <x:sheetData>
    <x:row r="1" spans="1:7" x14ac:dyDescent="0.35">
      <x:c r="A1" s="41" t="s">
        <x:v>49</x:v>
      </x:c>
      <x:c r="C1" s="52" t="s">
        <x:v>93</x:v>
      </x:c>
    </x:row>
    <x:row r="2" spans="1:7" x14ac:dyDescent="0.35">
      <x:c r="A2" s="41" t="s">
        <x:v>52</x:v>
      </x:c>
      <x:c r="C2" s="52" t="s">
        <x:v>73</x:v>
      </x:c>
    </x:row>
    <x:row r="3" spans="1:7" x14ac:dyDescent="0.35">
      <x:c r="A3" s="41" t="s">
        <x:v>72</x:v>
      </x:c>
    </x:row>
    <x:row r="4" spans="1:7" x14ac:dyDescent="0.35">
      <x:c r="A4" s="41" t="s">
        <x:v>88</x:v>
      </x:c>
    </x:row>
    <x:row r="7" spans="1:7" x14ac:dyDescent="0.35">
      <x:c r="B7" s="15" t="s">
        <x:v>54</x:v>
      </x:c>
    </x:row>
    <x:row r="8" spans="1:7" x14ac:dyDescent="0.35">
      <x:c r="A8" s="14" t="s">
        <x:v>81</x:v>
      </x:c>
      <x:c r="B8" s="14">
        <x:f>'Dkt53601 Approved Unamo page2'!P16+'Dkt53601 Approved Unamo page2'!P25+'Dkt53601 Approved Unamo page2'!P29+'Dkt53601 Approved Unamo page2'!P32+'Dkt53601 Approved Unamo page2'!P38+'Dkt53601 Approved Unamo page2'!P42+'Dkt53601 Approved Unamo page2'!P45+'Dkt53601 Approved Unamo page2'!P46</x:f>
        <x:v>34618626.319999993</x:v>
      </x:c>
      <x:c r="C8" t="s">
        <x:v>86</x:v>
      </x:c>
      <x:c r="E8" s="14"/>
      <x:c r="G8" s="14"/>
    </x:row>
    <x:row r="9" spans="1:7" x14ac:dyDescent="0.35">
      <x:c r="A9" t="s">
        <x:v>68</x:v>
      </x:c>
      <x:c r="B9" s="50">
        <x:f>'Dkt53601 Approved Unamo page2'!P48</x:f>
        <x:v>-11464418.040000001</x:v>
      </x:c>
      <x:c r="C9" t="s">
        <x:v>85</x:v>
      </x:c>
      <x:c r="E9" s="14"/>
    </x:row>
    <x:row r="10" spans="1:7" x14ac:dyDescent="0.35">
      <x:c r="A10" s="53" t="s">
        <x:v>69</x:v>
      </x:c>
      <x:c r="B10" s="21">
        <x:f>SUM(B8:B9)</x:f>
        <x:v>23154208.279999994</x:v>
      </x:c>
      <x:c r="C10" s="41" t="s">
        <x:v>91</x:v>
      </x:c>
      <x:c r="E10" s="14"/>
    </x:row>
    <x:row r="11" spans="1:7" x14ac:dyDescent="0.35">
      <x:c r="B11" s="19"/>
    </x:row>
    <x:row r="12" spans="1:7" x14ac:dyDescent="0.35">
      <x:c r="A12" s="14" t="s">
        <x:v>50</x:v>
      </x:c>
      <x:c r="B12" s="19"/>
    </x:row>
    <x:row r="13" spans="1:7" x14ac:dyDescent="0.35">
      <x:c r="A13" t="s">
        <x:v>51</x:v>
      </x:c>
      <x:c r="B13" s="19">
        <x:v>2322099.5900000003</x:v>
      </x:c>
      <x:c r="C13" t="s">
        <x:v>84</x:v>
      </x:c>
    </x:row>
    <x:row r="14" spans="1:7" x14ac:dyDescent="0.35">
      <x:c r="A14" t="s">
        <x:v>70</x:v>
      </x:c>
      <x:c r="B14" s="50">
        <x:v>80329.130000000019</x:v>
      </x:c>
    </x:row>
    <x:row r="15" spans="1:7" x14ac:dyDescent="0.35">
      <x:c r="A15" s="53" t="s">
        <x:v>71</x:v>
      </x:c>
      <x:c r="B15" s="21">
        <x:f>SUM(B13:B14)</x:f>
        <x:v>2402428.7200000002</x:v>
      </x:c>
      <x:c r="C15" s="41" t="s">
        <x:v>92</x:v>
      </x:c>
    </x:row>
    <x:row r="16" spans="1:7" x14ac:dyDescent="0.35">
      <x:c r="B16" s="50"/>
    </x:row>
    <x:row r="17" spans="1:3" x14ac:dyDescent="0.35">
      <x:c r="A17" s="41" t="s">
        <x:v>52</x:v>
      </x:c>
      <x:c r="B17" s="21">
        <x:f>B10+B15</x:f>
        <x:v>25556636.999999993</x:v>
      </x:c>
      <x:c r="C17" s="41" t="s">
        <x:v>53</x:v>
      </x:c>
    </x:row>
  </x:sheetData>
  <x:pageMargins left="0.7" right="0.7" top="0.75" bottom="0.75" header="0.3" footer="0.3"/>
  <x:pageSetup scale="86" orientation="landscape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4D8F521-B579-4A71-BBB5-205E65110EBC}" mc:Ignorable="x14ac xr xr2 xr3">
  <x:sheetPr>
    <x:pageSetUpPr fitToPage="1"/>
  </x:sheetPr>
  <x:dimension ref="A1:R67"/>
  <x:sheetViews>
    <x:sheetView view="pageBreakPreview" zoomScale="60" zoomScaleNormal="110" workbookViewId="0">
      <x:pane xSplit="3" ySplit="5" topLeftCell="F33" activePane="bottomRight" state="frozen"/>
      <x:selection pane="topRight" activeCell="D1" sqref="D1"/>
      <x:selection pane="bottomLeft" activeCell="A5" sqref="A5"/>
      <x:selection pane="bottomRight" activeCell="A48" sqref="A48"/>
    </x:sheetView>
  </x:sheetViews>
  <x:sheetFormatPr defaultColWidth="9.1796875" defaultRowHeight="14.5" x14ac:dyDescent="0.35"/>
  <x:cols>
    <x:col min="1" max="1" width="21.7265625" style="2" customWidth="1"/>
    <x:col min="2" max="2" width="38.54296875" style="2" bestFit="1" customWidth="1"/>
    <x:col min="3" max="3" width="3.81640625" style="2" customWidth="1"/>
    <x:col min="4" max="15" width="18.36328125" style="2" customWidth="1"/>
    <x:col min="16" max="16" width="19.6328125" style="2" bestFit="1" customWidth="1"/>
    <x:col min="17" max="17" width="9.1796875" style="2"/>
    <x:col min="18" max="18" width="15.81640625" style="2" bestFit="1" customWidth="1"/>
    <x:col min="19" max="16384" width="9.1796875" style="2"/>
  </x:cols>
  <x:sheetData>
    <x:row r="1" spans="1:18" x14ac:dyDescent="0.35">
      <x:c r="A1" s="10" t="s">
        <x:v>77</x:v>
      </x:c>
      <x:c r="P1" s="51" t="str">
        <x:f>'WP COVID-19 Sum page1'!C1</x:f>
        <x:v>WP/II-B-12 COVID-19 Incremental Costs</x:v>
      </x:c>
    </x:row>
    <x:row r="2" spans="1:18" x14ac:dyDescent="0.35">
      <x:c r="A2" s="10"/>
      <x:c r="P2" s="51" t="s">
        <x:v>80</x:v>
      </x:c>
    </x:row>
    <x:row r="3" spans="1:18" x14ac:dyDescent="0.35">
      <x:c r="P3" s="51" t="s">
        <x:v>89</x:v>
      </x:c>
    </x:row>
    <x:row r="4" spans="1:18" x14ac:dyDescent="0.35">
      <x:c r="A4" s="2" t="s">
        <x:v>0</x:v>
      </x:c>
      <x:c r="D4" s="54" t="s">
        <x:v>78</x:v>
      </x:c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  <x:c r="P4" s="54"/>
    </x:row>
    <x:row r="5" spans="1:18" x14ac:dyDescent="0.35">
      <x:c r="D5" s="3" t="s">
        <x:v>1</x:v>
      </x:c>
      <x:c r="E5" s="3" t="s">
        <x:v>2</x:v>
      </x:c>
      <x:c r="F5" s="3" t="s">
        <x:v>3</x:v>
      </x:c>
      <x:c r="G5" s="3" t="s">
        <x:v>4</x:v>
      </x:c>
      <x:c r="H5" s="3" t="s">
        <x:v>5</x:v>
      </x:c>
      <x:c r="I5" s="3" t="s">
        <x:v>62</x:v>
      </x:c>
      <x:c r="J5" s="3" t="s">
        <x:v>63</x:v>
      </x:c>
      <x:c r="K5" s="3" t="s">
        <x:v>6</x:v>
      </x:c>
      <x:c r="L5" s="3" t="s">
        <x:v>7</x:v>
      </x:c>
      <x:c r="M5" s="3" t="s">
        <x:v>8</x:v>
      </x:c>
      <x:c r="N5" s="3" t="s">
        <x:v>9</x:v>
      </x:c>
      <x:c r="O5" s="3" t="s">
        <x:v>10</x:v>
      </x:c>
      <x:c r="P5" s="3" t="s">
        <x:v>11</x:v>
      </x:c>
    </x:row>
    <x:row r="6" spans="1:18" x14ac:dyDescent="0.35">
      <x:c r="A6" s="2" t="s">
        <x:v>12</x:v>
      </x:c>
    </x:row>
    <x:row r="7" spans="1:18" x14ac:dyDescent="0.35">
      <x:c r="B7" s="2" t="s">
        <x:v>13</x:v>
      </x:c>
      <x:c r="D7" s="18">
        <x:v>491664.15000000026</x:v>
      </x:c>
      <x:c r="E7" s="18">
        <x:v>567686.89000000025</x:v>
      </x:c>
      <x:c r="F7" s="18">
        <x:v>442700.02000000019</x:v>
      </x:c>
      <x:c r="G7" s="18">
        <x:v>940560.44</x:v>
      </x:c>
      <x:c r="H7" s="18">
        <x:v>449682.66000000009</x:v>
      </x:c>
      <x:c r="I7" s="18">
        <x:v>645362.89</x:v>
      </x:c>
      <x:c r="J7" s="18">
        <x:v>874941.70000000019</x:v>
      </x:c>
      <x:c r="K7" s="18">
        <x:v>927491.2700000006</x:v>
      </x:c>
      <x:c r="L7" s="18">
        <x:v>801688.39000000048</x:v>
      </x:c>
      <x:c r="M7" s="18">
        <x:v>861764.19000000076</x:v>
      </x:c>
      <x:c r="N7" s="18">
        <x:v>780378.50000000023</x:v>
      </x:c>
      <x:c r="O7" s="18">
        <x:v>1569635.5799999987</x:v>
      </x:c>
      <x:c r="P7" s="19">
        <x:f>SUM(D7:O7)</x:f>
        <x:v>9353556.6800000016</x:v>
      </x:c>
    </x:row>
    <x:row r="8" spans="1:18" x14ac:dyDescent="0.35">
      <x:c r="B8" s="9" t="s">
        <x:v>14</x:v>
      </x:c>
      <x:c r="C8" s="9"/>
      <x:c r="D8" s="20">
        <x:v>0</x:v>
      </x:c>
      <x:c r="E8" s="20">
        <x:v>0</x:v>
      </x:c>
      <x:c r="F8" s="20">
        <x:v>0</x:v>
      </x:c>
      <x:c r="G8" s="20">
        <x:v>0</x:v>
      </x:c>
      <x:c r="H8" s="20">
        <x:v>0</x:v>
      </x:c>
      <x:c r="I8" s="20">
        <x:v>0</x:v>
      </x:c>
      <x:c r="J8" s="20">
        <x:v>0</x:v>
      </x:c>
      <x:c r="K8" s="20">
        <x:v>0</x:v>
      </x:c>
      <x:c r="L8" s="20">
        <x:v>0</x:v>
      </x:c>
      <x:c r="M8" s="20">
        <x:v>0</x:v>
      </x:c>
      <x:c r="N8" s="20">
        <x:v>0</x:v>
      </x:c>
      <x:c r="O8" s="20">
        <x:v>0</x:v>
      </x:c>
      <x:c r="P8" s="19">
        <x:f>SUM(D8:O8)</x:f>
        <x:v>0</x:v>
      </x:c>
    </x:row>
    <x:row r="9" spans="1:18" x14ac:dyDescent="0.35">
      <x:c r="B9" s="2" t="s">
        <x:v>15</x:v>
      </x:c>
      <x:c r="D9" s="21">
        <x:f>SUM(D7:D8)</x:f>
        <x:v>491664.15000000026</x:v>
      </x:c>
      <x:c r="E9" s="21">
        <x:f t="shared" ref="E9:O9" si="0">SUM(E7:E8)</x:f>
        <x:v>567686.89000000025</x:v>
      </x:c>
      <x:c r="F9" s="21">
        <x:f t="shared" si="0"/>
        <x:v>442700.02000000019</x:v>
      </x:c>
      <x:c r="G9" s="21">
        <x:f t="shared" si="0"/>
        <x:v>940560.44</x:v>
      </x:c>
      <x:c r="H9" s="21">
        <x:f t="shared" si="0"/>
        <x:v>449682.66000000009</x:v>
      </x:c>
      <x:c r="I9" s="21">
        <x:f t="shared" si="0"/>
        <x:v>645362.89</x:v>
      </x:c>
      <x:c r="J9" s="21">
        <x:f t="shared" si="0"/>
        <x:v>874941.70000000019</x:v>
      </x:c>
      <x:c r="K9" s="21">
        <x:f t="shared" si="0"/>
        <x:v>927491.2700000006</x:v>
      </x:c>
      <x:c r="L9" s="21">
        <x:f t="shared" si="0"/>
        <x:v>801688.39000000048</x:v>
      </x:c>
      <x:c r="M9" s="21">
        <x:f t="shared" si="0"/>
        <x:v>861764.19000000076</x:v>
      </x:c>
      <x:c r="N9" s="21">
        <x:f t="shared" si="0"/>
        <x:v>780378.50000000023</x:v>
      </x:c>
      <x:c r="O9" s="21">
        <x:f t="shared" si="0"/>
        <x:v>1569635.5799999987</x:v>
      </x:c>
      <x:c r="P9" s="21">
        <x:f>SUM(D9:O9)</x:f>
        <x:v>9353556.6800000016</x:v>
      </x:c>
    </x:row>
    <x:row r="10" spans="1:18" x14ac:dyDescent="0.35">
      <x:c r="B10" s="2" t="s">
        <x:v>16</x:v>
      </x:c>
      <x:c r="D10" s="18">
        <x:v>0</x:v>
      </x:c>
      <x:c r="E10" s="18">
        <x:v>0</x:v>
      </x:c>
      <x:c r="F10" s="18">
        <x:v>0</x:v>
      </x:c>
      <x:c r="G10" s="18">
        <x:v>29840</x:v>
      </x:c>
      <x:c r="H10" s="18">
        <x:v>0</x:v>
      </x:c>
      <x:c r="I10" s="18">
        <x:v>26980</x:v>
      </x:c>
      <x:c r="J10" s="18">
        <x:v>46790</x:v>
      </x:c>
      <x:c r="K10" s="18">
        <x:v>33360</x:v>
      </x:c>
      <x:c r="L10" s="18">
        <x:v>57865</x:v>
      </x:c>
      <x:c r="M10" s="18">
        <x:v>13612.5</x:v>
      </x:c>
      <x:c r="N10" s="18">
        <x:v>13777.5</x:v>
      </x:c>
      <x:c r="O10" s="18">
        <x:v>161080.40000000002</x:v>
      </x:c>
      <x:c r="P10" s="19">
        <x:f>SUM(D10:O10)</x:f>
        <x:v>383305.4</x:v>
      </x:c>
      <x:c r="R10" s="4"/>
    </x:row>
    <x:row r="11" spans="1:18" x14ac:dyDescent="0.35">
      <x:c r="B11" s="2" t="s">
        <x:v>17</x:v>
      </x:c>
      <x:c r="D11" s="18">
        <x:v>442111.14000000077</x:v>
      </x:c>
      <x:c r="E11" s="18">
        <x:v>285976.26999999996</x:v>
      </x:c>
      <x:c r="F11" s="18">
        <x:v>412821.74000000005</x:v>
      </x:c>
      <x:c r="G11" s="18">
        <x:v>1169130.2000000027</x:v>
      </x:c>
      <x:c r="H11" s="18">
        <x:v>193530.63999999998</x:v>
      </x:c>
      <x:c r="I11" s="18">
        <x:v>366018.11999999895</x:v>
      </x:c>
      <x:c r="J11" s="18">
        <x:v>395623.81999999948</x:v>
      </x:c>
      <x:c r="K11" s="18">
        <x:v>312402.00999999902</x:v>
      </x:c>
      <x:c r="L11" s="18">
        <x:v>366082.91999999847</x:v>
      </x:c>
      <x:c r="M11" s="18">
        <x:v>474061.7499999979</x:v>
      </x:c>
      <x:c r="N11" s="18">
        <x:v>384640.67999999825</x:v>
      </x:c>
      <x:c r="O11" s="18">
        <x:v>747434.21000000206</x:v>
      </x:c>
      <x:c r="P11" s="19">
        <x:f t="shared" ref="P11:P14" si="1">SUM(D11:O11)</x:f>
        <x:v>5549833.4999999963</x:v>
      </x:c>
      <x:c r="R11" s="4"/>
    </x:row>
    <x:row r="12" spans="1:18" x14ac:dyDescent="0.35">
      <x:c r="B12" s="2" t="s">
        <x:v>18</x:v>
      </x:c>
      <x:c r="D12" s="18">
        <x:v>368798.51999999856</x:v>
      </x:c>
      <x:c r="E12" s="18">
        <x:v>380172.16000000061</x:v>
      </x:c>
      <x:c r="F12" s="18">
        <x:v>432880.54999999847</x:v>
      </x:c>
      <x:c r="G12" s="18">
        <x:v>856845.61999999685</x:v>
      </x:c>
      <x:c r="H12" s="18">
        <x:v>123784.56000000003</x:v>
      </x:c>
      <x:c r="I12" s="18">
        <x:v>331301.07999999943</x:v>
      </x:c>
      <x:c r="J12" s="18">
        <x:v>331751.02999999921</x:v>
      </x:c>
      <x:c r="K12" s="18">
        <x:v>404128.57999999885</x:v>
      </x:c>
      <x:c r="L12" s="18">
        <x:v>330941.90000000008</x:v>
      </x:c>
      <x:c r="M12" s="18">
        <x:v>418512.92999999982</x:v>
      </x:c>
      <x:c r="N12" s="18">
        <x:v>325220.89000000048</x:v>
      </x:c>
      <x:c r="O12" s="18">
        <x:v>831981.42000000237</x:v>
      </x:c>
      <x:c r="P12" s="19">
        <x:f t="shared" si="1"/>
        <x:v>5136319.2399999946</x:v>
      </x:c>
      <x:c r="R12" s="4"/>
    </x:row>
    <x:row r="13" spans="1:18" x14ac:dyDescent="0.35">
      <x:c r="B13" s="2" t="s">
        <x:v>19</x:v>
      </x:c>
      <x:c r="D13" s="18">
        <x:v>1207.8800000000001</x:v>
      </x:c>
      <x:c r="E13" s="18">
        <x:v>279.84999999999997</x:v>
      </x:c>
      <x:c r="F13" s="18">
        <x:v>386.67</x:v>
      </x:c>
      <x:c r="G13" s="18">
        <x:v>6088.39</x:v>
      </x:c>
      <x:c r="H13" s="18">
        <x:v>1931.99</x:v>
      </x:c>
      <x:c r="I13" s="18">
        <x:v>4261.6899999999996</x:v>
      </x:c>
      <x:c r="J13" s="18">
        <x:v>4240.6099999999997</x:v>
      </x:c>
      <x:c r="K13" s="18">
        <x:v>2528.29</x:v>
      </x:c>
      <x:c r="L13" s="18">
        <x:v>1356.4799999999998</x:v>
      </x:c>
      <x:c r="M13" s="18">
        <x:v>812.04</x:v>
      </x:c>
      <x:c r="N13" s="18">
        <x:v>2647.91</x:v>
      </x:c>
      <x:c r="O13" s="18">
        <x:v>1843.35</x:v>
      </x:c>
      <x:c r="P13" s="19">
        <x:f t="shared" si="1"/>
        <x:v>27585.15</x:v>
      </x:c>
    </x:row>
    <x:row r="14" spans="1:18" x14ac:dyDescent="0.35">
      <x:c r="B14" s="2" t="s">
        <x:v>20</x:v>
      </x:c>
      <x:c r="D14" s="18">
        <x:v>0</x:v>
      </x:c>
      <x:c r="E14" s="18">
        <x:v>0</x:v>
      </x:c>
      <x:c r="F14" s="18">
        <x:v>0</x:v>
      </x:c>
      <x:c r="G14" s="18">
        <x:v>0</x:v>
      </x:c>
      <x:c r="H14" s="18">
        <x:v>0</x:v>
      </x:c>
      <x:c r="I14" s="18">
        <x:v>0</x:v>
      </x:c>
      <x:c r="J14" s="18">
        <x:v>0</x:v>
      </x:c>
      <x:c r="K14" s="18">
        <x:v>0</x:v>
      </x:c>
      <x:c r="L14" s="18">
        <x:v>0</x:v>
      </x:c>
      <x:c r="M14" s="18">
        <x:v>0</x:v>
      </x:c>
      <x:c r="N14" s="18">
        <x:v>0</x:v>
      </x:c>
      <x:c r="O14" s="18">
        <x:v>0</x:v>
      </x:c>
      <x:c r="P14" s="19">
        <x:f t="shared" si="1"/>
        <x:v>0</x:v>
      </x:c>
    </x:row>
    <x:row r="15" spans="1:18" x14ac:dyDescent="0.35">
      <x:c r="D15" s="22"/>
      <x:c r="E15" s="22"/>
      <x:c r="F15" s="22"/>
      <x:c r="G15" s="19"/>
      <x:c r="H15" s="19"/>
      <x:c r="I15" s="19"/>
      <x:c r="J15" s="19"/>
      <x:c r="K15" s="19"/>
      <x:c r="L15" s="23"/>
      <x:c r="M15" s="19"/>
      <x:c r="N15" s="19"/>
      <x:c r="O15" s="19"/>
      <x:c r="P15" s="19"/>
    </x:row>
    <x:row r="16" spans="1:18" x14ac:dyDescent="0.35">
      <x:c r="A16" s="5" t="s">
        <x:v>21</x:v>
      </x:c>
      <x:c r="B16" s="5"/>
      <x:c r="D16" s="24">
        <x:f t="shared" ref="D16:P16" si="2">SUM(D10:D15)+D9</x:f>
        <x:v>1303781.6899999995</x:v>
      </x:c>
      <x:c r="E16" s="24">
        <x:f t="shared" si="2"/>
        <x:v>1234115.1700000009</x:v>
      </x:c>
      <x:c r="F16" s="24">
        <x:f t="shared" si="2"/>
        <x:v>1288788.9799999988</x:v>
      </x:c>
      <x:c r="G16" s="24">
        <x:f t="shared" si="2"/>
        <x:v>3002464.6499999994</x:v>
      </x:c>
      <x:c r="H16" s="24">
        <x:f t="shared" si="2"/>
        <x:v>768929.85000000009</x:v>
      </x:c>
      <x:c r="I16" s="24">
        <x:f t="shared" si="2"/>
        <x:v>1373923.7799999984</x:v>
      </x:c>
      <x:c r="J16" s="24">
        <x:f t="shared" si="2"/>
        <x:v>1653347.1599999988</x:v>
      </x:c>
      <x:c r="K16" s="24">
        <x:f t="shared" si="2"/>
        <x:v>1679910.1499999985</x:v>
      </x:c>
      <x:c r="L16" s="24">
        <x:f t="shared" si="2"/>
        <x:v>1557934.689999999</x:v>
      </x:c>
      <x:c r="M16" s="24">
        <x:f t="shared" si="2"/>
        <x:v>1768763.4099999985</x:v>
      </x:c>
      <x:c r="N16" s="24">
        <x:f t="shared" si="2"/>
        <x:v>1506665.4799999991</x:v>
      </x:c>
      <x:c r="O16" s="24">
        <x:f t="shared" si="2"/>
        <x:v>3311974.9600000032</x:v>
      </x:c>
      <x:c r="P16" s="24">
        <x:f t="shared" si="2"/>
        <x:v>20450599.969999991</x:v>
      </x:c>
      <x:c r="R16" s="6"/>
    </x:row>
    <x:row r="17" spans="1:18" x14ac:dyDescent="0.35">
      <x:c r="D17" s="22"/>
      <x:c r="E17" s="22"/>
      <x:c r="F17" s="22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</x:row>
    <x:row r="18" spans="1:18" x14ac:dyDescent="0.35">
      <x:c r="A18" s="7" t="s">
        <x:v>22</x:v>
      </x:c>
      <x:c r="D18" s="22"/>
      <x:c r="E18" s="22"/>
      <x:c r="F18" s="22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</x:row>
    <x:row r="19" spans="1:18" x14ac:dyDescent="0.35">
      <x:c r="B19" s="8" t="s">
        <x:v>23</x:v>
      </x:c>
      <x:c r="D19" s="18">
        <x:v>1665.54</x:v>
      </x:c>
      <x:c r="E19" s="18">
        <x:v>984.46</x:v>
      </x:c>
      <x:c r="F19" s="18">
        <x:v>-4366.25</x:v>
      </x:c>
      <x:c r="G19" s="18">
        <x:v>0</x:v>
      </x:c>
      <x:c r="H19" s="18">
        <x:v>0</x:v>
      </x:c>
      <x:c r="I19" s="18">
        <x:v>9138.0400000000009</x:v>
      </x:c>
      <x:c r="J19" s="18">
        <x:v>251.19</x:v>
      </x:c>
      <x:c r="K19" s="18">
        <x:v>27.87</x:v>
      </x:c>
      <x:c r="L19" s="18">
        <x:v>0</x:v>
      </x:c>
      <x:c r="M19" s="18">
        <x:v>700</x:v>
      </x:c>
      <x:c r="N19" s="18">
        <x:v>0</x:v>
      </x:c>
      <x:c r="O19" s="18">
        <x:v>2690.9100000000003</x:v>
      </x:c>
      <x:c r="P19" s="19">
        <x:f t="shared" ref="P19:P24" si="3">SUM(D19:O19)</x:f>
        <x:v>11091.76</x:v>
      </x:c>
      <x:c r="R19" s="4"/>
    </x:row>
    <x:row r="20" spans="1:18" x14ac:dyDescent="0.35">
      <x:c r="B20" s="8" t="s">
        <x:v>24</x:v>
      </x:c>
      <x:c r="D20" s="18">
        <x:v>0</x:v>
      </x:c>
      <x:c r="E20" s="18">
        <x:v>0</x:v>
      </x:c>
      <x:c r="F20" s="18">
        <x:v>0</x:v>
      </x:c>
      <x:c r="G20" s="18">
        <x:v>288.76</x:v>
      </x:c>
      <x:c r="H20" s="18">
        <x:v>0</x:v>
      </x:c>
      <x:c r="I20" s="18">
        <x:v>637.32000000000005</x:v>
      </x:c>
      <x:c r="J20" s="18">
        <x:v>0</x:v>
      </x:c>
      <x:c r="K20" s="18">
        <x:v>1217.52</x:v>
      </x:c>
      <x:c r="L20" s="18">
        <x:v>1545.6</x:v>
      </x:c>
      <x:c r="M20" s="18">
        <x:v>0</x:v>
      </x:c>
      <x:c r="N20" s="18">
        <x:v>0</x:v>
      </x:c>
      <x:c r="O20" s="18">
        <x:v>0</x:v>
      </x:c>
      <x:c r="P20" s="19">
        <x:f t="shared" si="3"/>
        <x:v>3689.2</x:v>
      </x:c>
      <x:c r="R20" s="4"/>
    </x:row>
    <x:row r="21" spans="1:18" x14ac:dyDescent="0.35">
      <x:c r="B21" s="8" t="s">
        <x:v>25</x:v>
      </x:c>
      <x:c r="D21" s="18">
        <x:v>99695.1</x:v>
      </x:c>
      <x:c r="E21" s="18">
        <x:v>109461.01999999999</x:v>
      </x:c>
      <x:c r="F21" s="18">
        <x:v>54978.62999999999</x:v>
      </x:c>
      <x:c r="G21" s="18">
        <x:v>265113.06000000006</x:v>
      </x:c>
      <x:c r="H21" s="18">
        <x:v>116125.36999999995</x:v>
      </x:c>
      <x:c r="I21" s="18">
        <x:v>158969.02000000002</x:v>
      </x:c>
      <x:c r="J21" s="18">
        <x:v>161962.38999999996</x:v>
      </x:c>
      <x:c r="K21" s="18">
        <x:v>123003.67000000001</x:v>
      </x:c>
      <x:c r="L21" s="18">
        <x:v>133782.36000000007</x:v>
      </x:c>
      <x:c r="M21" s="18">
        <x:v>132446.64000000007</x:v>
      </x:c>
      <x:c r="N21" s="18">
        <x:v>109693.66000000002</x:v>
      </x:c>
      <x:c r="O21" s="18">
        <x:v>282917.70000000013</x:v>
      </x:c>
      <x:c r="P21" s="19">
        <x:f t="shared" si="3"/>
        <x:v>1748148.6200000003</x:v>
      </x:c>
    </x:row>
    <x:row r="22" spans="1:18" x14ac:dyDescent="0.35">
      <x:c r="B22" s="8" t="s">
        <x:v>26</x:v>
      </x:c>
      <x:c r="D22" s="18">
        <x:v>13338.159999999998</x:v>
      </x:c>
      <x:c r="E22" s="18">
        <x:v>13017.059999999998</x:v>
      </x:c>
      <x:c r="F22" s="18">
        <x:v>16777.289999999997</x:v>
      </x:c>
      <x:c r="G22" s="18">
        <x:v>30583.010000000009</x:v>
      </x:c>
      <x:c r="H22" s="18">
        <x:v>10345.16</x:v>
      </x:c>
      <x:c r="I22" s="18">
        <x:v>44916.790000000052</x:v>
      </x:c>
      <x:c r="J22" s="18">
        <x:v>43351.149999999965</x:v>
      </x:c>
      <x:c r="K22" s="18">
        <x:v>44290.010000000046</x:v>
      </x:c>
      <x:c r="L22" s="18">
        <x:v>38433.929999999993</x:v>
      </x:c>
      <x:c r="M22" s="18">
        <x:v>29585.680000000011</x:v>
      </x:c>
      <x:c r="N22" s="18">
        <x:v>27659.33</x:v>
      </x:c>
      <x:c r="O22" s="18">
        <x:v>54111.12999999991</x:v>
      </x:c>
      <x:c r="P22" s="19">
        <x:f t="shared" si="3"/>
        <x:v>366408.69999999995</x:v>
      </x:c>
    </x:row>
    <x:row r="23" spans="1:18" x14ac:dyDescent="0.35">
      <x:c r="B23" s="8" t="s">
        <x:v>27</x:v>
      </x:c>
      <x:c r="D23" s="18">
        <x:v>0</x:v>
      </x:c>
      <x:c r="E23" s="18">
        <x:v>0</x:v>
      </x:c>
      <x:c r="F23" s="18">
        <x:v>0</x:v>
      </x:c>
      <x:c r="G23" s="18">
        <x:v>0</x:v>
      </x:c>
      <x:c r="H23" s="18">
        <x:v>0</x:v>
      </x:c>
      <x:c r="I23" s="18">
        <x:v>0</x:v>
      </x:c>
      <x:c r="J23" s="18">
        <x:v>0</x:v>
      </x:c>
      <x:c r="K23" s="18">
        <x:v>0</x:v>
      </x:c>
      <x:c r="L23" s="18">
        <x:v>0</x:v>
      </x:c>
      <x:c r="M23" s="18">
        <x:v>0</x:v>
      </x:c>
      <x:c r="N23" s="18">
        <x:v>0</x:v>
      </x:c>
      <x:c r="O23" s="18">
        <x:v>868896.66</x:v>
      </x:c>
      <x:c r="P23" s="19">
        <x:f t="shared" si="3"/>
        <x:v>868896.66</x:v>
      </x:c>
    </x:row>
    <x:row r="24" spans="1:18" x14ac:dyDescent="0.35">
      <x:c r="B24" s="8" t="s">
        <x:v>28</x:v>
      </x:c>
      <x:c r="D24" s="18">
        <x:v>0</x:v>
      </x:c>
      <x:c r="E24" s="18">
        <x:v>0</x:v>
      </x:c>
      <x:c r="F24" s="18">
        <x:v>0</x:v>
      </x:c>
      <x:c r="G24" s="18">
        <x:v>136.30000000000001</x:v>
      </x:c>
      <x:c r="H24" s="18">
        <x:v>360.17</x:v>
      </x:c>
      <x:c r="I24" s="18">
        <x:v>734.37</x:v>
      </x:c>
      <x:c r="J24" s="18">
        <x:v>260.70999999999998</x:v>
      </x:c>
      <x:c r="K24" s="18">
        <x:v>279.14</x:v>
      </x:c>
      <x:c r="L24" s="18">
        <x:v>403.58</x:v>
      </x:c>
      <x:c r="M24" s="18">
        <x:v>223.29000000000002</x:v>
      </x:c>
      <x:c r="N24" s="25">
        <x:v>-2643.4800000000005</x:v>
      </x:c>
      <x:c r="O24" s="18">
        <x:v>4678.3599999999951</x:v>
      </x:c>
      <x:c r="P24" s="19">
        <x:f t="shared" si="3"/>
        <x:v>4432.4399999999951</x:v>
      </x:c>
    </x:row>
    <x:row r="25" spans="1:18" x14ac:dyDescent="0.35">
      <x:c r="A25" s="5" t="s">
        <x:v>29</x:v>
      </x:c>
      <x:c r="B25" s="9"/>
      <x:c r="D25" s="24">
        <x:f>SUM(D19:D24)</x:f>
        <x:v>114698.8</x:v>
      </x:c>
      <x:c r="E25" s="24">
        <x:f t="shared" ref="E25:O25" si="4">SUM(E19:E24)</x:f>
        <x:v>123462.54</x:v>
      </x:c>
      <x:c r="F25" s="24">
        <x:f t="shared" si="4"/>
        <x:v>67389.669999999984</x:v>
      </x:c>
      <x:c r="G25" s="24">
        <x:f t="shared" si="4"/>
        <x:v>296121.13000000006</x:v>
      </x:c>
      <x:c r="H25" s="24">
        <x:f t="shared" si="4"/>
        <x:v>126830.69999999995</x:v>
      </x:c>
      <x:c r="I25" s="24">
        <x:f t="shared" si="4"/>
        <x:v>214395.54000000004</x:v>
      </x:c>
      <x:c r="J25" s="24">
        <x:f t="shared" si="4"/>
        <x:v>205825.43999999992</x:v>
      </x:c>
      <x:c r="K25" s="24">
        <x:f t="shared" si="4"/>
        <x:v>168818.21000000008</x:v>
      </x:c>
      <x:c r="L25" s="24">
        <x:f t="shared" si="4"/>
        <x:v>174165.47000000006</x:v>
      </x:c>
      <x:c r="M25" s="24">
        <x:f t="shared" si="4"/>
        <x:v>162955.6100000001</x:v>
      </x:c>
      <x:c r="N25" s="24">
        <x:f t="shared" si="4"/>
        <x:v>134709.51</x:v>
      </x:c>
      <x:c r="O25" s="24">
        <x:f t="shared" si="4"/>
        <x:v>1213294.76</x:v>
      </x:c>
      <x:c r="P25" s="26">
        <x:f>SUM(P19:P24)</x:f>
        <x:v>3002667.3800000004</x:v>
      </x:c>
      <x:c r="R25" s="6"/>
    </x:row>
    <x:row r="26" spans="1:18" x14ac:dyDescent="0.35">
      <x:c r="D26" s="22"/>
      <x:c r="E26" s="22"/>
      <x:c r="F26" s="22"/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</x:row>
    <x:row r="27" spans="1:18" x14ac:dyDescent="0.35">
      <x:c r="A27" s="2" t="s">
        <x:v>30</x:v>
      </x:c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9"/>
    </x:row>
    <x:row r="28" spans="1:18" x14ac:dyDescent="0.35">
      <x:c r="B28" s="2" t="s">
        <x:v>31</x:v>
      </x:c>
      <x:c r="D28" s="18">
        <x:v>35340.22</x:v>
      </x:c>
      <x:c r="E28" s="18">
        <x:v>35509.979999999996</x:v>
      </x:c>
      <x:c r="F28" s="18">
        <x:v>9406.49</x:v>
      </x:c>
      <x:c r="G28" s="18">
        <x:v>25563.810000000019</x:v>
      </x:c>
      <x:c r="H28" s="18">
        <x:v>104396.83</x:v>
      </x:c>
      <x:c r="I28" s="18">
        <x:v>343352.07999999996</x:v>
      </x:c>
      <x:c r="J28" s="18">
        <x:v>427989.83</x:v>
      </x:c>
      <x:c r="K28" s="18">
        <x:v>557801.18000000017</x:v>
      </x:c>
      <x:c r="L28" s="18">
        <x:v>171645.93</x:v>
      </x:c>
      <x:c r="M28" s="18">
        <x:v>188369.71999999997</x:v>
      </x:c>
      <x:c r="N28" s="18">
        <x:v>256493.90999999995</x:v>
      </x:c>
      <x:c r="O28" s="18">
        <x:v>199857.35999999993</x:v>
      </x:c>
      <x:c r="P28" s="19">
        <x:f t="shared" ref="P28" si="5">SUM(D28:O28)</x:f>
        <x:v>2355727.34</x:v>
      </x:c>
    </x:row>
    <x:row r="29" spans="1:18" x14ac:dyDescent="0.35">
      <x:c r="A29" s="5" t="s">
        <x:v>32</x:v>
      </x:c>
      <x:c r="B29" s="9"/>
      <x:c r="D29" s="24">
        <x:f t="shared" ref="D29" si="6">SUM(D28)</x:f>
        <x:v>35340.22</x:v>
      </x:c>
      <x:c r="E29" s="24">
        <x:f t="shared" ref="E29:O29" si="7">SUM(E28)</x:f>
        <x:v>35509.979999999996</x:v>
      </x:c>
      <x:c r="F29" s="24">
        <x:f t="shared" si="7"/>
        <x:v>9406.49</x:v>
      </x:c>
      <x:c r="G29" s="24">
        <x:f t="shared" si="7"/>
        <x:v>25563.810000000019</x:v>
      </x:c>
      <x:c r="H29" s="24">
        <x:f t="shared" si="7"/>
        <x:v>104396.83</x:v>
      </x:c>
      <x:c r="I29" s="24">
        <x:f t="shared" si="7"/>
        <x:v>343352.07999999996</x:v>
      </x:c>
      <x:c r="J29" s="24">
        <x:f t="shared" si="7"/>
        <x:v>427989.83</x:v>
      </x:c>
      <x:c r="K29" s="24">
        <x:f t="shared" si="7"/>
        <x:v>557801.18000000017</x:v>
      </x:c>
      <x:c r="L29" s="24">
        <x:f t="shared" si="7"/>
        <x:v>171645.93</x:v>
      </x:c>
      <x:c r="M29" s="24">
        <x:f t="shared" si="7"/>
        <x:v>188369.71999999997</x:v>
      </x:c>
      <x:c r="N29" s="24">
        <x:f t="shared" si="7"/>
        <x:v>256493.90999999995</x:v>
      </x:c>
      <x:c r="O29" s="24">
        <x:f t="shared" si="7"/>
        <x:v>199857.35999999993</x:v>
      </x:c>
      <x:c r="P29" s="24">
        <x:f>SUM(D29:O29)</x:f>
        <x:v>2355727.34</x:v>
      </x:c>
    </x:row>
    <x:row r="30" spans="1:18" x14ac:dyDescent="0.35">
      <x:c r="A30" s="2" t="s">
        <x:v>33</x:v>
      </x:c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9"/>
    </x:row>
    <x:row r="31" spans="1:18" x14ac:dyDescent="0.35">
      <x:c r="B31" s="2" t="s">
        <x:v>34</x:v>
      </x:c>
      <x:c r="D31" s="18">
        <x:v>10057.5</x:v>
      </x:c>
      <x:c r="E31" s="18">
        <x:v>39217</x:v>
      </x:c>
      <x:c r="F31" s="18">
        <x:v>221808.81</x:v>
      </x:c>
      <x:c r="G31" s="18">
        <x:v>6030</x:v>
      </x:c>
      <x:c r="H31" s="18">
        <x:v>19423.510000000002</x:v>
      </x:c>
      <x:c r="I31" s="18">
        <x:v>3993.7</x:v>
      </x:c>
      <x:c r="J31" s="18">
        <x:v>50595</x:v>
      </x:c>
      <x:c r="K31" s="18">
        <x:v>231864.5</x:v>
      </x:c>
      <x:c r="L31" s="18">
        <x:v>214000</x:v>
      </x:c>
      <x:c r="M31" s="18">
        <x:v>27205</x:v>
      </x:c>
      <x:c r="N31" s="18">
        <x:v>62549.14</x:v>
      </x:c>
      <x:c r="O31" s="18">
        <x:v>54401.87</x:v>
      </x:c>
      <x:c r="P31" s="19">
        <x:f t="shared" ref="P31" si="8">SUM(D31:O31)</x:f>
        <x:v>941146.03</x:v>
      </x:c>
    </x:row>
    <x:row r="32" spans="1:18" x14ac:dyDescent="0.35">
      <x:c r="A32" s="5" t="s">
        <x:v>35</x:v>
      </x:c>
      <x:c r="B32" s="5"/>
      <x:c r="D32" s="24">
        <x:f t="shared" ref="D32" si="9">D31</x:f>
        <x:v>10057.5</x:v>
      </x:c>
      <x:c r="E32" s="24">
        <x:f t="shared" ref="E32:O32" si="10">E31</x:f>
        <x:v>39217</x:v>
      </x:c>
      <x:c r="F32" s="24">
        <x:f t="shared" si="10"/>
        <x:v>221808.81</x:v>
      </x:c>
      <x:c r="G32" s="24">
        <x:f t="shared" si="10"/>
        <x:v>6030</x:v>
      </x:c>
      <x:c r="H32" s="24">
        <x:f t="shared" si="10"/>
        <x:v>19423.510000000002</x:v>
      </x:c>
      <x:c r="I32" s="24">
        <x:f t="shared" si="10"/>
        <x:v>3993.7</x:v>
      </x:c>
      <x:c r="J32" s="24">
        <x:f t="shared" si="10"/>
        <x:v>50595</x:v>
      </x:c>
      <x:c r="K32" s="24">
        <x:f t="shared" si="10"/>
        <x:v>231864.5</x:v>
      </x:c>
      <x:c r="L32" s="24">
        <x:f t="shared" si="10"/>
        <x:v>214000</x:v>
      </x:c>
      <x:c r="M32" s="24">
        <x:f t="shared" si="10"/>
        <x:v>27205</x:v>
      </x:c>
      <x:c r="N32" s="24">
        <x:f t="shared" si="10"/>
        <x:v>62549.14</x:v>
      </x:c>
      <x:c r="O32" s="24">
        <x:f t="shared" si="10"/>
        <x:v>54401.87</x:v>
      </x:c>
      <x:c r="P32" s="24">
        <x:f>SUM(D32:O32)</x:f>
        <x:v>941146.03</x:v>
      </x:c>
    </x:row>
    <x:row r="33" spans="1:16" x14ac:dyDescent="0.35">
      <x:c r="A33" s="7" t="s">
        <x:v>36</x:v>
      </x:c>
      <x:c r="D33" s="22"/>
      <x:c r="E33" s="22"/>
      <x:c r="F33" s="22"/>
      <x:c r="G33" s="19"/>
      <x:c r="H33" s="19"/>
      <x:c r="I33" s="19"/>
      <x:c r="J33" s="19"/>
      <x:c r="K33" s="19"/>
      <x:c r="L33" s="19"/>
      <x:c r="M33" s="19"/>
      <x:c r="N33" s="19"/>
      <x:c r="O33" s="19"/>
      <x:c r="P33" s="19"/>
    </x:row>
    <x:row r="34" spans="1:16" x14ac:dyDescent="0.35">
      <x:c r="B34" s="2" t="s">
        <x:v>37</x:v>
      </x:c>
      <x:c r="D34" s="18">
        <x:v>24367.95</x:v>
      </x:c>
      <x:c r="E34" s="18">
        <x:v>18359.96</x:v>
      </x:c>
      <x:c r="F34" s="18">
        <x:v>27138.86</x:v>
      </x:c>
      <x:c r="G34" s="18">
        <x:v>21614.309999999998</x:v>
      </x:c>
      <x:c r="H34" s="18">
        <x:v>26532.83</x:v>
      </x:c>
      <x:c r="I34" s="18">
        <x:v>19330.309999999998</x:v>
      </x:c>
      <x:c r="J34" s="18">
        <x:v>11051.060000000001</x:v>
      </x:c>
      <x:c r="K34" s="18">
        <x:v>26999.480000000003</x:v>
      </x:c>
      <x:c r="L34" s="18">
        <x:v>26120.500000000004</x:v>
      </x:c>
      <x:c r="M34" s="18">
        <x:v>27438.61</x:v>
      </x:c>
      <x:c r="N34" s="18">
        <x:v>16896.100000000002</x:v>
      </x:c>
      <x:c r="O34" s="18">
        <x:v>57596.07</x:v>
      </x:c>
      <x:c r="P34" s="19">
        <x:f t="shared" ref="P34:P37" si="11">SUM(D34:O34)</x:f>
        <x:v>303446.03999999998</x:v>
      </x:c>
    </x:row>
    <x:row r="35" spans="1:16" x14ac:dyDescent="0.35">
      <x:c r="B35" s="2" t="s">
        <x:v>38</x:v>
      </x:c>
      <x:c r="D35" s="18">
        <x:v>12343.440000000004</x:v>
      </x:c>
      <x:c r="E35" s="18">
        <x:v>6659.8399999999992</x:v>
      </x:c>
      <x:c r="F35" s="18">
        <x:v>15582.720000000003</x:v>
      </x:c>
      <x:c r="G35" s="18">
        <x:v>22375.79</x:v>
      </x:c>
      <x:c r="H35" s="18">
        <x:v>14846.939999999999</x:v>
      </x:c>
      <x:c r="I35" s="18">
        <x:v>9740.23</x:v>
      </x:c>
      <x:c r="J35" s="18">
        <x:v>13897.219999999996</x:v>
      </x:c>
      <x:c r="K35" s="18">
        <x:v>15998.079999999998</x:v>
      </x:c>
      <x:c r="L35" s="18">
        <x:v>16338.79999999999</x:v>
      </x:c>
      <x:c r="M35" s="18">
        <x:v>23107.739999999994</x:v>
      </x:c>
      <x:c r="N35" s="18">
        <x:v>8303.0700000000015</x:v>
      </x:c>
      <x:c r="O35" s="18">
        <x:v>25018.429999999975</x:v>
      </x:c>
      <x:c r="P35" s="19">
        <x:f t="shared" si="11"/>
        <x:v>184212.29999999996</x:v>
      </x:c>
    </x:row>
    <x:row r="36" spans="1:16" x14ac:dyDescent="0.35">
      <x:c r="B36" s="2" t="s">
        <x:v>39</x:v>
      </x:c>
      <x:c r="D36" s="18">
        <x:v>447870.35000000044</x:v>
      </x:c>
      <x:c r="E36" s="18">
        <x:v>221591.18999999986</x:v>
      </x:c>
      <x:c r="F36" s="18">
        <x:v>974807.1799999997</x:v>
      </x:c>
      <x:c r="G36" s="18">
        <x:v>603386.69000000029</x:v>
      </x:c>
      <x:c r="H36" s="18">
        <x:v>617380.54</x:v>
      </x:c>
      <x:c r="I36" s="18">
        <x:v>738561.86000000103</x:v>
      </x:c>
      <x:c r="J36" s="18">
        <x:v>497525.72000000009</x:v>
      </x:c>
      <x:c r="K36" s="18">
        <x:v>334212.13000000006</x:v>
      </x:c>
      <x:c r="L36" s="18">
        <x:v>363926.59</x:v>
      </x:c>
      <x:c r="M36" s="18">
        <x:v>355061.76999999996</x:v>
      </x:c>
      <x:c r="N36" s="18">
        <x:v>770569.53000000038</x:v>
      </x:c>
      <x:c r="O36" s="18">
        <x:v>1008824.54</x:v>
      </x:c>
      <x:c r="P36" s="19">
        <x:f t="shared" si="11"/>
        <x:v>6933718.0900000017</x:v>
      </x:c>
    </x:row>
    <x:row r="37" spans="1:16" x14ac:dyDescent="0.35">
      <x:c r="B37" s="2" t="s">
        <x:v>40</x:v>
      </x:c>
      <x:c r="D37" s="18">
        <x:v>8688.41</x:v>
      </x:c>
      <x:c r="E37" s="18">
        <x:v>486.08</x:v>
      </x:c>
      <x:c r="F37" s="18">
        <x:v>1674.85</x:v>
      </x:c>
      <x:c r="G37" s="18">
        <x:v>8901.7000000000007</x:v>
      </x:c>
      <x:c r="H37" s="18">
        <x:v>10894.41</x:v>
      </x:c>
      <x:c r="I37" s="18">
        <x:v>6444.76</x:v>
      </x:c>
      <x:c r="J37" s="18">
        <x:v>4082.9500000000003</x:v>
      </x:c>
      <x:c r="K37" s="18">
        <x:v>8077.2</x:v>
      </x:c>
      <x:c r="L37" s="18">
        <x:v>40814.270000000004</x:v>
      </x:c>
      <x:c r="M37" s="18">
        <x:v>532.72</x:v>
      </x:c>
      <x:c r="N37" s="18">
        <x:v>6989.07</x:v>
      </x:c>
      <x:c r="O37" s="18">
        <x:v>91448.1</x:v>
      </x:c>
      <x:c r="P37" s="19">
        <x:f t="shared" si="11"/>
        <x:v>189034.52000000002</x:v>
      </x:c>
    </x:row>
    <x:row r="38" spans="1:16" x14ac:dyDescent="0.35">
      <x:c r="A38" s="5" t="s">
        <x:v>41</x:v>
      </x:c>
      <x:c r="B38" s="5"/>
      <x:c r="D38" s="24">
        <x:f t="shared" ref="D38:F38" si="12">SUM(D34:D37)</x:f>
        <x:v>493270.15000000043</x:v>
      </x:c>
      <x:c r="E38" s="24">
        <x:f t="shared" si="12"/>
        <x:v>247097.06999999983</x:v>
      </x:c>
      <x:c r="F38" s="24">
        <x:f t="shared" si="12"/>
        <x:v>1019203.6099999996</x:v>
      </x:c>
      <x:c r="G38" s="24">
        <x:f>SUM(G34:G37)</x:f>
        <x:v>656278.49000000022</x:v>
      </x:c>
      <x:c r="H38" s="24">
        <x:f t="shared" ref="H38:O38" si="13">SUM(H34:H37)</x:f>
        <x:v>669654.72000000009</x:v>
      </x:c>
      <x:c r="I38" s="24">
        <x:f t="shared" si="13"/>
        <x:v>774077.16000000108</x:v>
      </x:c>
      <x:c r="J38" s="24">
        <x:f t="shared" si="13"/>
        <x:v>526556.95000000007</x:v>
      </x:c>
      <x:c r="K38" s="24">
        <x:f t="shared" si="13"/>
        <x:v>385286.89000000007</x:v>
      </x:c>
      <x:c r="L38" s="24">
        <x:f t="shared" si="13"/>
        <x:v>447200.16000000003</x:v>
      </x:c>
      <x:c r="M38" s="24">
        <x:f t="shared" si="13"/>
        <x:v>406140.83999999991</x:v>
      </x:c>
      <x:c r="N38" s="24">
        <x:f t="shared" si="13"/>
        <x:v>802757.77000000037</x:v>
      </x:c>
      <x:c r="O38" s="24">
        <x:f t="shared" si="13"/>
        <x:v>1182887.1400000001</x:v>
      </x:c>
      <x:c r="P38" s="26">
        <x:f>SUM(D38:O38)</x:f>
        <x:v>7610410.9500000011</x:v>
      </x:c>
    </x:row>
    <x:row r="39" spans="1:16" x14ac:dyDescent="0.35">
      <x:c r="A39" s="2" t="s">
        <x:v>42</x:v>
      </x:c>
      <x:c r="D39" s="22"/>
      <x:c r="E39" s="22"/>
      <x:c r="F39" s="22"/>
      <x:c r="G39" s="19"/>
      <x:c r="H39" s="19"/>
      <x:c r="I39" s="19"/>
      <x:c r="J39" s="19"/>
      <x:c r="K39" s="19"/>
      <x:c r="L39" s="19"/>
      <x:c r="M39" s="19"/>
      <x:c r="N39" s="19"/>
      <x:c r="O39" s="19"/>
      <x:c r="P39" s="23"/>
    </x:row>
    <x:row r="40" spans="1:16" x14ac:dyDescent="0.35">
      <x:c r="B40" s="2" t="s">
        <x:v>37</x:v>
      </x:c>
      <x:c r="D40" s="18">
        <x:v>0</x:v>
      </x:c>
      <x:c r="E40" s="18">
        <x:v>0</x:v>
      </x:c>
      <x:c r="F40" s="18">
        <x:v>2393.14</x:v>
      </x:c>
      <x:c r="G40" s="18">
        <x:v>0</x:v>
      </x:c>
      <x:c r="H40" s="18">
        <x:v>0</x:v>
      </x:c>
      <x:c r="I40" s="18">
        <x:v>0</x:v>
      </x:c>
      <x:c r="J40" s="18">
        <x:v>0</x:v>
      </x:c>
      <x:c r="K40" s="18">
        <x:v>0</x:v>
      </x:c>
      <x:c r="L40" s="18">
        <x:v>0</x:v>
      </x:c>
      <x:c r="M40" s="18">
        <x:v>0</x:v>
      </x:c>
      <x:c r="N40" s="18">
        <x:v>0</x:v>
      </x:c>
      <x:c r="O40" s="18">
        <x:v>0</x:v>
      </x:c>
      <x:c r="P40" s="19">
        <x:f t="shared" ref="P40:P41" si="14">SUM(D40:O40)</x:f>
        <x:v>2393.14</x:v>
      </x:c>
    </x:row>
    <x:row r="41" spans="1:16" x14ac:dyDescent="0.35">
      <x:c r="B41" s="2" t="s">
        <x:v>43</x:v>
      </x:c>
      <x:c r="D41" s="18">
        <x:v>24803.78000000001</x:v>
      </x:c>
      <x:c r="E41" s="18">
        <x:v>23293.340000000004</x:v>
      </x:c>
      <x:c r="F41" s="18">
        <x:v>12226.11</x:v>
      </x:c>
      <x:c r="G41" s="18">
        <x:v>9660.2199999999975</x:v>
      </x:c>
      <x:c r="H41" s="18">
        <x:v>5194.3100000000013</x:v>
      </x:c>
      <x:c r="I41" s="18">
        <x:v>20750.55</x:v>
      </x:c>
      <x:c r="J41" s="18">
        <x:v>15389.5</x:v>
      </x:c>
      <x:c r="K41" s="18">
        <x:v>8951.119999999999</x:v>
      </x:c>
      <x:c r="L41" s="18">
        <x:v>17126.079999999998</x:v>
      </x:c>
      <x:c r="M41" s="18">
        <x:v>8422.14</x:v>
      </x:c>
      <x:c r="N41" s="18">
        <x:v>14621.699999999999</x:v>
      </x:c>
      <x:c r="O41" s="18">
        <x:v>30276.399999999991</x:v>
      </x:c>
      <x:c r="P41" s="19">
        <x:f t="shared" si="14"/>
        <x:v>190715.25000000003</x:v>
      </x:c>
    </x:row>
    <x:row r="42" spans="1:16" x14ac:dyDescent="0.35">
      <x:c r="A42" s="5" t="s">
        <x:v>44</x:v>
      </x:c>
      <x:c r="B42" s="5"/>
      <x:c r="D42" s="27">
        <x:f>SUM(D40:D41)</x:f>
        <x:v>24803.78000000001</x:v>
      </x:c>
      <x:c r="E42" s="27">
        <x:f t="shared" ref="E42:N42" si="15">SUM(E40:E41)</x:f>
        <x:v>23293.340000000004</x:v>
      </x:c>
      <x:c r="F42" s="27">
        <x:f t="shared" si="15"/>
        <x:v>14619.25</x:v>
      </x:c>
      <x:c r="G42" s="27">
        <x:f t="shared" si="15"/>
        <x:v>9660.2199999999975</x:v>
      </x:c>
      <x:c r="H42" s="27">
        <x:f t="shared" si="15"/>
        <x:v>5194.3100000000013</x:v>
      </x:c>
      <x:c r="I42" s="27">
        <x:f t="shared" si="15"/>
        <x:v>20750.55</x:v>
      </x:c>
      <x:c r="J42" s="27">
        <x:f t="shared" si="15"/>
        <x:v>15389.5</x:v>
      </x:c>
      <x:c r="K42" s="27">
        <x:f t="shared" si="15"/>
        <x:v>8951.119999999999</x:v>
      </x:c>
      <x:c r="L42" s="28">
        <x:f t="shared" si="15"/>
        <x:v>17126.079999999998</x:v>
      </x:c>
      <x:c r="M42" s="27">
        <x:f t="shared" si="15"/>
        <x:v>8422.14</x:v>
      </x:c>
      <x:c r="N42" s="27">
        <x:f t="shared" si="15"/>
        <x:v>14621.699999999999</x:v>
      </x:c>
      <x:c r="O42" s="27">
        <x:f>SUM(O40:O41)</x:f>
        <x:v>30276.399999999991</x:v>
      </x:c>
      <x:c r="P42" s="27">
        <x:f>SUM(D42:O42)</x:f>
        <x:v>193108.38999999998</x:v>
      </x:c>
    </x:row>
    <x:row r="43" spans="1:16" x14ac:dyDescent="0.35">
      <x:c r="A43" s="2" t="s">
        <x:v>45</x:v>
      </x:c>
      <x:c r="D43" s="22"/>
      <x:c r="E43" s="22"/>
      <x:c r="F43" s="22"/>
      <x:c r="G43" s="19"/>
      <x:c r="H43" s="19"/>
      <x:c r="I43" s="19"/>
      <x:c r="J43" s="19"/>
      <x:c r="K43" s="19"/>
      <x:c r="L43" s="19"/>
      <x:c r="M43" s="19"/>
      <x:c r="N43" s="19"/>
      <x:c r="O43" s="19"/>
      <x:c r="P43" s="22"/>
    </x:row>
    <x:row r="44" spans="1:16" x14ac:dyDescent="0.35">
      <x:c r="B44" s="2" t="s">
        <x:v>46</x:v>
      </x:c>
      <x:c r="D44" s="18">
        <x:v>0</x:v>
      </x:c>
      <x:c r="E44" s="18">
        <x:v>-36351.43</x:v>
      </x:c>
      <x:c r="F44" s="18">
        <x:v>2585.0100000000002</x:v>
      </x:c>
      <x:c r="G44" s="18">
        <x:v>173.19</x:v>
      </x:c>
      <x:c r="H44" s="18">
        <x:v>9091.3799999999992</x:v>
      </x:c>
      <x:c r="I44" s="18">
        <x:v>17158.720000000005</x:v>
      </x:c>
      <x:c r="J44" s="18">
        <x:v>257.49</x:v>
      </x:c>
      <x:c r="K44" s="18">
        <x:v>6858.7199999999993</x:v>
      </x:c>
      <x:c r="L44" s="18">
        <x:v>30002.57</x:v>
      </x:c>
      <x:c r="M44" s="18">
        <x:v>3808.7599999999998</x:v>
      </x:c>
      <x:c r="N44" s="18">
        <x:v>0</x:v>
      </x:c>
      <x:c r="O44" s="18">
        <x:v>0</x:v>
      </x:c>
      <x:c r="P44" s="19">
        <x:f t="shared" ref="P44" si="16">SUM(D44:O44)</x:f>
        <x:v>33584.410000000003</x:v>
      </x:c>
    </x:row>
    <x:row r="45" spans="1:16" x14ac:dyDescent="0.35">
      <x:c r="A45" s="5" t="s">
        <x:v>47</x:v>
      </x:c>
      <x:c r="B45" s="5"/>
      <x:c r="D45" s="27">
        <x:f t="shared" ref="D45:F45" si="17">D44</x:f>
        <x:v>0</x:v>
      </x:c>
      <x:c r="E45" s="27">
        <x:f t="shared" si="17"/>
        <x:v>-36351.43</x:v>
      </x:c>
      <x:c r="F45" s="27">
        <x:f t="shared" si="17"/>
        <x:v>2585.0100000000002</x:v>
      </x:c>
      <x:c r="G45" s="27">
        <x:f>G44</x:f>
        <x:v>173.19</x:v>
      </x:c>
      <x:c r="H45" s="27">
        <x:f t="shared" ref="H45:O45" si="18">H44</x:f>
        <x:v>9091.3799999999992</x:v>
      </x:c>
      <x:c r="I45" s="27">
        <x:f t="shared" si="18"/>
        <x:v>17158.720000000005</x:v>
      </x:c>
      <x:c r="J45" s="27">
        <x:f t="shared" si="18"/>
        <x:v>257.49</x:v>
      </x:c>
      <x:c r="K45" s="27">
        <x:f t="shared" si="18"/>
        <x:v>6858.7199999999993</x:v>
      </x:c>
      <x:c r="L45" s="27">
        <x:f t="shared" si="18"/>
        <x:v>30002.57</x:v>
      </x:c>
      <x:c r="M45" s="27">
        <x:f t="shared" si="18"/>
        <x:v>3808.7599999999998</x:v>
      </x:c>
      <x:c r="N45" s="27">
        <x:f t="shared" si="18"/>
        <x:v>0</x:v>
      </x:c>
      <x:c r="O45" s="27">
        <x:f t="shared" si="18"/>
        <x:v>0</x:v>
      </x:c>
      <x:c r="P45" s="27">
        <x:f>SUM(D45:O45)</x:f>
        <x:v>33584.410000000003</x:v>
      </x:c>
    </x:row>
    <x:row r="46" spans="1:16" x14ac:dyDescent="0.35">
      <x:c r="A46" s="1" t="s">
        <x:v>60</x:v>
      </x:c>
      <x:c r="B46" s="1"/>
      <x:c r="C46" s="1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>
        <x:v>31381.85</x:v>
      </x:c>
    </x:row>
    <x:row r="47" spans="1:16" x14ac:dyDescent="0.35">
      <x:c r="A47" s="10"/>
      <x:c r="B47" s="1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22"/>
    </x:row>
    <x:row r="48" spans="1:16" x14ac:dyDescent="0.35">
      <x:c r="A48" s="16" t="s">
        <x:v>55</x:v>
      </x:c>
      <x:c r="B48" s="10"/>
      <x:c r="D48" s="28">
        <x:v>-576977.11</x:v>
      </x:c>
      <x:c r="E48" s="28">
        <x:v>-576977.11</x:v>
      </x:c>
      <x:c r="F48" s="28">
        <x:v>-576977.11</x:v>
      </x:c>
      <x:c r="G48" s="28">
        <x:v>-576977.11</x:v>
      </x:c>
      <x:c r="H48" s="28">
        <x:v>-1078830.06</x:v>
      </x:c>
      <x:c r="I48" s="28">
        <x:v>-1153954.22</x:v>
      </x:c>
      <x:c r="J48" s="28">
        <x:v>-1153954.22</x:v>
      </x:c>
      <x:c r="K48" s="28">
        <x:v>-1153954.22</x:v>
      </x:c>
      <x:c r="L48" s="28">
        <x:v>-1153954.22</x:v>
      </x:c>
      <x:c r="M48" s="28">
        <x:v>-1153954.22</x:v>
      </x:c>
      <x:c r="N48" s="28">
        <x:v>-1153954.22</x:v>
      </x:c>
      <x:c r="O48" s="28">
        <x:v>-1153954.22</x:v>
      </x:c>
      <x:c r="P48" s="28">
        <x:f t="shared" ref="P48:P49" si="19">SUM(D48:O48)</x:f>
        <x:v>-11464418.040000001</x:v>
      </x:c>
    </x:row>
    <x:row r="49" spans="1:18" x14ac:dyDescent="0.35">
      <x:c r="A49" s="5" t="s">
        <x:v>48</x:v>
      </x:c>
      <x:c r="B49" s="10"/>
      <x:c r="D49" s="30">
        <x:f>D48</x:f>
        <x:v>-576977.11</x:v>
      </x:c>
      <x:c r="E49" s="30">
        <x:f t="shared" ref="E49:O49" si="20">E48</x:f>
        <x:v>-576977.11</x:v>
      </x:c>
      <x:c r="F49" s="30">
        <x:f t="shared" si="20"/>
        <x:v>-576977.11</x:v>
      </x:c>
      <x:c r="G49" s="30">
        <x:f t="shared" si="20"/>
        <x:v>-576977.11</x:v>
      </x:c>
      <x:c r="H49" s="30">
        <x:f t="shared" si="20"/>
        <x:v>-1078830.06</x:v>
      </x:c>
      <x:c r="I49" s="30">
        <x:f t="shared" si="20"/>
        <x:v>-1153954.22</x:v>
      </x:c>
      <x:c r="J49" s="30">
        <x:f t="shared" si="20"/>
        <x:v>-1153954.22</x:v>
      </x:c>
      <x:c r="K49" s="30">
        <x:f t="shared" si="20"/>
        <x:v>-1153954.22</x:v>
      </x:c>
      <x:c r="L49" s="30">
        <x:f t="shared" si="20"/>
        <x:v>-1153954.22</x:v>
      </x:c>
      <x:c r="M49" s="30">
        <x:f t="shared" si="20"/>
        <x:v>-1153954.22</x:v>
      </x:c>
      <x:c r="N49" s="30">
        <x:f t="shared" si="20"/>
        <x:v>-1153954.22</x:v>
      </x:c>
      <x:c r="O49" s="30">
        <x:f t="shared" si="20"/>
        <x:v>-1153954.22</x:v>
      </x:c>
      <x:c r="P49" s="28">
        <x:f t="shared" si="19"/>
        <x:v>-11464418.040000001</x:v>
      </x:c>
    </x:row>
    <x:row r="50" spans="1:18" ht="30" customHeight="1" thickBot="1" x14ac:dyDescent="0.4">
      <x:c r="A50" s="55" t="s">
        <x:v>65</x:v>
      </x:c>
      <x:c r="B50" s="56"/>
      <x:c r="D50" s="31">
        <x:f>D16+D25+D29+D32+D38+D42</x:f>
        <x:v>1981952.14</x:v>
      </x:c>
      <x:c r="E50" s="31">
        <x:f>E16+E25+E29+E32+E38+E42+E45</x:f>
        <x:v>1666343.6700000009</x:v>
      </x:c>
      <x:c r="F50" s="31">
        <x:f>F16+F25+F29+F32+F38+F42</x:f>
        <x:v>2621216.8099999987</x:v>
      </x:c>
      <x:c r="G50" s="31">
        <x:f>G16+G25+G29+G32+G38+G42</x:f>
        <x:v>3996118.3</x:v>
      </x:c>
      <x:c r="H50" s="31">
        <x:f t="shared" ref="H50:O50" si="21">H16+H25+H29+H32+H38+H42+H49</x:f>
        <x:v>615599.8600000001</x:v>
      </x:c>
      <x:c r="I50" s="31">
        <x:f t="shared" si="21"/>
        <x:v>1576538.5899999996</x:v>
      </x:c>
      <x:c r="J50" s="31">
        <x:f t="shared" si="21"/>
        <x:v>1725749.659999999</x:v>
      </x:c>
      <x:c r="K50" s="31">
        <x:f t="shared" si="21"/>
        <x:v>1878677.8299999989</x:v>
      </x:c>
      <x:c r="L50" s="31">
        <x:f t="shared" si="21"/>
        <x:v>1428118.1099999992</x:v>
      </x:c>
      <x:c r="M50" s="31">
        <x:f t="shared" si="21"/>
        <x:v>1407902.4999999984</x:v>
      </x:c>
      <x:c r="N50" s="31">
        <x:f t="shared" si="21"/>
        <x:v>1623843.2899999993</x:v>
      </x:c>
      <x:c r="O50" s="31">
        <x:f t="shared" si="21"/>
        <x:v>4838738.2700000042</x:v>
      </x:c>
      <x:c r="P50" s="31">
        <x:f>P16+P25+P29+P32+P38+P42+P45+P49+P46</x:f>
        <x:v>23154208.279999994</x:v>
      </x:c>
    </x:row>
    <x:row r="51" spans="1:18" ht="15" thickTop="1" x14ac:dyDescent="0.35">
      <x:c r="D51" s="22"/>
      <x:c r="E51" s="22"/>
      <x:c r="F51" s="22"/>
      <x:c r="G51" s="22"/>
      <x:c r="H51" s="22"/>
      <x:c r="I51" s="22"/>
      <x:c r="J51" s="22"/>
      <x:c r="K51" s="22"/>
      <x:c r="L51" s="22"/>
      <x:c r="M51" s="22"/>
      <x:c r="N51" s="22"/>
      <x:c r="O51" s="22"/>
      <x:c r="P51" s="22"/>
    </x:row>
    <x:row r="52" spans="1:18" x14ac:dyDescent="0.35">
      <x:c r="A52" s="17" t="s">
        <x:v>57</x:v>
      </x:c>
      <x:c r="D52" s="22">
        <x:f>$O48/2</x:f>
        <x:v>-576977.11</x:v>
      </x:c>
      <x:c r="E52" s="22">
        <x:f>D52</x:f>
        <x:v>-576977.11</x:v>
      </x:c>
      <x:c r="F52" s="22">
        <x:f t="shared" ref="F52:O52" si="22">E52</x:f>
        <x:v>-576977.11</x:v>
      </x:c>
      <x:c r="G52" s="22">
        <x:f t="shared" si="22"/>
        <x:v>-576977.11</x:v>
      </x:c>
      <x:c r="H52" s="22">
        <x:f t="shared" si="22"/>
        <x:v>-576977.11</x:v>
      </x:c>
      <x:c r="I52" s="22">
        <x:f t="shared" si="22"/>
        <x:v>-576977.11</x:v>
      </x:c>
      <x:c r="J52" s="22">
        <x:f t="shared" si="22"/>
        <x:v>-576977.11</x:v>
      </x:c>
      <x:c r="K52" s="22">
        <x:f t="shared" si="22"/>
        <x:v>-576977.11</x:v>
      </x:c>
      <x:c r="L52" s="22">
        <x:f t="shared" si="22"/>
        <x:v>-576977.11</x:v>
      </x:c>
      <x:c r="M52" s="22">
        <x:f t="shared" si="22"/>
        <x:v>-576977.11</x:v>
      </x:c>
      <x:c r="N52" s="22">
        <x:f t="shared" si="22"/>
        <x:v>-576977.11</x:v>
      </x:c>
      <x:c r="O52" s="22">
        <x:f t="shared" si="22"/>
        <x:v>-576977.11</x:v>
      </x:c>
      <x:c r="P52" s="22">
        <x:f>SUM(D52:O52)</x:f>
        <x:v>-6923725.3200000012</x:v>
      </x:c>
    </x:row>
    <x:row r="53" spans="1:18" x14ac:dyDescent="0.35">
      <x:c r="A53" s="17" t="s">
        <x:v>58</x:v>
      </x:c>
      <x:c r="D53" s="22">
        <x:f>D52</x:f>
        <x:v>-576977.11</x:v>
      </x:c>
      <x:c r="E53" s="22">
        <x:f t="shared" ref="E53:O55" si="23">D53</x:f>
        <x:v>-576977.11</x:v>
      </x:c>
      <x:c r="F53" s="22">
        <x:f t="shared" si="23"/>
        <x:v>-576977.11</x:v>
      </x:c>
      <x:c r="G53" s="22">
        <x:f t="shared" si="23"/>
        <x:v>-576977.11</x:v>
      </x:c>
      <x:c r="H53" s="22">
        <x:f t="shared" si="23"/>
        <x:v>-576977.11</x:v>
      </x:c>
      <x:c r="I53" s="22">
        <x:f t="shared" si="23"/>
        <x:v>-576977.11</x:v>
      </x:c>
      <x:c r="J53" s="22">
        <x:f t="shared" si="23"/>
        <x:v>-576977.11</x:v>
      </x:c>
      <x:c r="K53" s="22">
        <x:f t="shared" si="23"/>
        <x:v>-576977.11</x:v>
      </x:c>
      <x:c r="L53" s="22">
        <x:f t="shared" si="23"/>
        <x:v>-576977.11</x:v>
      </x:c>
      <x:c r="M53" s="22">
        <x:f t="shared" si="23"/>
        <x:v>-576977.11</x:v>
      </x:c>
      <x:c r="N53" s="22">
        <x:f t="shared" si="23"/>
        <x:v>-576977.11</x:v>
      </x:c>
      <x:c r="O53" s="22">
        <x:f t="shared" si="23"/>
        <x:v>-576977.11</x:v>
      </x:c>
      <x:c r="P53" s="22">
        <x:f t="shared" ref="P53:P55" si="24">SUM(D53:O53)</x:f>
        <x:v>-6923725.3200000012</x:v>
      </x:c>
    </x:row>
    <x:row r="54" spans="1:18" x14ac:dyDescent="0.35">
      <x:c r="A54" s="17" t="s">
        <x:v>59</x:v>
      </x:c>
      <x:c r="D54" s="22">
        <x:f>D53</x:f>
        <x:v>-576977.11</x:v>
      </x:c>
      <x:c r="E54" s="22">
        <x:f t="shared" si="23"/>
        <x:v>-576977.11</x:v>
      </x:c>
      <x:c r="F54" s="22">
        <x:f t="shared" si="23"/>
        <x:v>-576977.11</x:v>
      </x:c>
      <x:c r="G54" s="22">
        <x:f t="shared" si="23"/>
        <x:v>-576977.11</x:v>
      </x:c>
      <x:c r="H54" s="22">
        <x:f t="shared" si="23"/>
        <x:v>-576977.11</x:v>
      </x:c>
      <x:c r="I54" s="22">
        <x:f t="shared" si="23"/>
        <x:v>-576977.11</x:v>
      </x:c>
      <x:c r="J54" s="22">
        <x:f t="shared" si="23"/>
        <x:v>-576977.11</x:v>
      </x:c>
      <x:c r="K54" s="22">
        <x:f t="shared" si="23"/>
        <x:v>-576977.11</x:v>
      </x:c>
      <x:c r="L54" s="22">
        <x:f t="shared" si="23"/>
        <x:v>-576977.11</x:v>
      </x:c>
      <x:c r="M54" s="22">
        <x:f t="shared" si="23"/>
        <x:v>-576977.11</x:v>
      </x:c>
      <x:c r="N54" s="22">
        <x:f t="shared" si="23"/>
        <x:v>-576977.11</x:v>
      </x:c>
      <x:c r="O54" s="22">
        <x:f t="shared" si="23"/>
        <x:v>-576977.11</x:v>
      </x:c>
      <x:c r="P54" s="22">
        <x:f t="shared" si="24"/>
        <x:v>-6923725.3200000012</x:v>
      </x:c>
    </x:row>
    <x:row r="55" spans="1:18" x14ac:dyDescent="0.35">
      <x:c r="A55" s="17" t="s">
        <x:v>61</x:v>
      </x:c>
      <x:c r="D55" s="22">
        <x:f>D54</x:f>
        <x:v>-576977.11</x:v>
      </x:c>
      <x:c r="E55" s="22">
        <x:f t="shared" si="23"/>
        <x:v>-576977.11</x:v>
      </x:c>
      <x:c r="F55" s="22">
        <x:f t="shared" si="23"/>
        <x:v>-576977.11</x:v>
      </x:c>
      <x:c r="G55" s="22">
        <x:f t="shared" si="23"/>
        <x:v>-576977.11</x:v>
      </x:c>
      <x:c r="H55" s="22">
        <x:f>G55-(H48-G48)+0.28</x:f>
        <x:v>-75123.879999999917</x:v>
      </x:c>
      <x:c r="I55" s="22"/>
      <x:c r="J55" s="22"/>
      <x:c r="K55" s="22"/>
      <x:c r="L55" s="22"/>
      <x:c r="M55" s="22"/>
      <x:c r="N55" s="22"/>
      <x:c r="O55" s="22"/>
      <x:c r="P55" s="28">
        <x:f t="shared" si="24"/>
        <x:v>-2383032.3199999998</x:v>
      </x:c>
    </x:row>
    <x:row r="56" spans="1:18" x14ac:dyDescent="0.35">
      <x:c r="D56" s="22"/>
      <x:c r="E56" s="22"/>
      <x:c r="F56" s="22"/>
      <x:c r="G56" s="22"/>
      <x:c r="H56" s="22"/>
      <x:c r="I56" s="22"/>
      <x:c r="J56" s="22"/>
      <x:c r="K56" s="22"/>
      <x:c r="L56" s="22"/>
      <x:c r="M56" s="22"/>
      <x:c r="N56" s="22"/>
      <x:c r="O56" s="32" t="s">
        <x:v>64</x:v>
      </x:c>
      <x:c r="P56" s="22">
        <x:f>SUM(P50:P55)</x:f>
        <x:v>-7.9162418842315674E-9</x:v>
      </x:c>
    </x:row>
    <x:row r="57" spans="1:18" x14ac:dyDescent="0.35">
      <x:c r="A57" s="40" t="s">
        <x:v>76</x:v>
      </x:c>
      <x:c r="D57" s="22"/>
      <x:c r="E57" s="22"/>
      <x:c r="F57" s="22"/>
      <x:c r="G57" s="22"/>
      <x:c r="H57" s="22"/>
      <x:c r="I57" s="22"/>
      <x:c r="J57" s="22"/>
      <x:c r="K57" s="22"/>
      <x:c r="L57" s="22"/>
      <x:c r="M57" s="22"/>
      <x:c r="N57" s="22"/>
      <x:c r="O57" s="32"/>
      <x:c r="P57" s="22"/>
    </x:row>
    <x:row r="58" spans="1:18" x14ac:dyDescent="0.35">
      <x:c r="A58" s="42" t="s">
        <x:v>74</x:v>
      </x:c>
      <x:c r="D58" s="22">
        <x:v>50110.25</x:v>
      </x:c>
      <x:c r="E58" s="22">
        <x:v>50110.25</x:v>
      </x:c>
      <x:c r="F58" s="22">
        <x:v>50110.25</x:v>
      </x:c>
      <x:c r="G58" s="22">
        <x:v>50110.25</x:v>
      </x:c>
      <x:c r="H58" s="22">
        <x:v>50110.25</x:v>
      </x:c>
      <x:c r="I58" s="22">
        <x:v>50110.25</x:v>
      </x:c>
      <x:c r="J58" s="22">
        <x:v>50110.25</x:v>
      </x:c>
      <x:c r="K58" s="22">
        <x:v>50110.25</x:v>
      </x:c>
      <x:c r="L58" s="22">
        <x:v>50110.25</x:v>
      </x:c>
      <x:c r="M58" s="22">
        <x:v>50110.25</x:v>
      </x:c>
      <x:c r="N58" s="22">
        <x:v>50110.25</x:v>
      </x:c>
      <x:c r="O58" s="32">
        <x:v>50110.25</x:v>
      </x:c>
      <x:c r="P58" s="22">
        <x:f>SUM(D58:O58)</x:f>
        <x:v>601323</x:v>
      </x:c>
      <x:c r="R58" s="6"/>
    </x:row>
    <x:row r="59" spans="1:18" x14ac:dyDescent="0.35">
      <x:c r="A59" s="42" t="s">
        <x:v>75</x:v>
      </x:c>
      <x:c r="D59" s="28">
        <x:v>526866.86</x:v>
      </x:c>
      <x:c r="E59" s="28">
        <x:v>526866.86</x:v>
      </x:c>
      <x:c r="F59" s="28">
        <x:v>526866.86</x:v>
      </x:c>
      <x:c r="G59" s="28">
        <x:v>526866.86</x:v>
      </x:c>
      <x:c r="H59" s="28">
        <x:v>526866.86</x:v>
      </x:c>
      <x:c r="I59" s="28">
        <x:v>526866.86</x:v>
      </x:c>
      <x:c r="J59" s="28">
        <x:v>526866.86</x:v>
      </x:c>
      <x:c r="K59" s="28">
        <x:v>526866.86</x:v>
      </x:c>
      <x:c r="L59" s="28">
        <x:v>526866.86</x:v>
      </x:c>
      <x:c r="M59" s="28">
        <x:v>526866.86</x:v>
      </x:c>
      <x:c r="N59" s="28">
        <x:v>526866.86</x:v>
      </x:c>
      <x:c r="O59" s="43">
        <x:v>526866.86</x:v>
      </x:c>
      <x:c r="P59" s="28">
        <x:f>SUM(D59:O59)</x:f>
        <x:v>6322402.3200000012</x:v>
      </x:c>
      <x:c r="R59" s="6"/>
    </x:row>
    <x:row r="60" spans="1:18" x14ac:dyDescent="0.35">
      <x:c r="A60" s="44" t="s">
        <x:v>87</x:v>
      </x:c>
      <x:c r="D60" s="22">
        <x:f>SUM(D58:D59)</x:f>
        <x:v>576977.11</x:v>
      </x:c>
      <x:c r="E60" s="22">
        <x:f t="shared" ref="E60:O60" si="25">SUM(E58:E59)</x:f>
        <x:v>576977.11</x:v>
      </x:c>
      <x:c r="F60" s="22">
        <x:f t="shared" si="25"/>
        <x:v>576977.11</x:v>
      </x:c>
      <x:c r="G60" s="22">
        <x:f t="shared" si="25"/>
        <x:v>576977.11</x:v>
      </x:c>
      <x:c r="H60" s="22">
        <x:f t="shared" si="25"/>
        <x:v>576977.11</x:v>
      </x:c>
      <x:c r="I60" s="22">
        <x:f t="shared" si="25"/>
        <x:v>576977.11</x:v>
      </x:c>
      <x:c r="J60" s="22">
        <x:f t="shared" si="25"/>
        <x:v>576977.11</x:v>
      </x:c>
      <x:c r="K60" s="22">
        <x:f t="shared" si="25"/>
        <x:v>576977.11</x:v>
      </x:c>
      <x:c r="L60" s="22">
        <x:f t="shared" si="25"/>
        <x:v>576977.11</x:v>
      </x:c>
      <x:c r="M60" s="22">
        <x:f t="shared" si="25"/>
        <x:v>576977.11</x:v>
      </x:c>
      <x:c r="N60" s="22">
        <x:f t="shared" si="25"/>
        <x:v>576977.11</x:v>
      </x:c>
      <x:c r="O60" s="22">
        <x:f t="shared" si="25"/>
        <x:v>576977.11</x:v>
      </x:c>
      <x:c r="P60" s="22">
        <x:f>SUM(D60:O60)</x:f>
        <x:v>6923725.3200000012</x:v>
      </x:c>
      <x:c r="R60" s="6"/>
    </x:row>
    <x:row r="61" spans="1:18" x14ac:dyDescent="0.35">
      <x:c r="D61" s="22"/>
      <x:c r="E61" s="22"/>
      <x:c r="F61" s="22"/>
      <x:c r="G61" s="22"/>
      <x:c r="H61" s="22"/>
      <x:c r="I61" s="22"/>
      <x:c r="J61" s="22"/>
      <x:c r="K61" s="22"/>
      <x:c r="L61" s="22"/>
      <x:c r="M61" s="22"/>
      <x:c r="N61" s="22"/>
      <x:c r="O61" s="32"/>
      <x:c r="P61" s="22"/>
    </x:row>
    <x:row r="62" spans="1:18" x14ac:dyDescent="0.35">
      <x:c r="A62" s="40" t="s">
        <x:v>66</x:v>
      </x:c>
      <x:c r="D62" s="22"/>
      <x:c r="E62" s="22"/>
      <x:c r="F62" s="22"/>
      <x:c r="G62" s="22"/>
      <x:c r="H62" s="22"/>
      <x:c r="I62" s="22"/>
      <x:c r="J62" s="22"/>
      <x:c r="K62" s="22"/>
      <x:c r="L62" s="22"/>
      <x:c r="M62" s="22"/>
      <x:c r="N62" s="22"/>
      <x:c r="O62" s="22"/>
      <x:c r="P62" s="22"/>
    </x:row>
    <x:row r="63" spans="1:18" x14ac:dyDescent="0.35">
      <x:c r="A63" s="35" t="s">
        <x:v>94</x:v>
      </x:c>
      <x:c r="D63" s="22"/>
      <x:c r="E63" s="22"/>
      <x:c r="F63" s="22"/>
      <x:c r="G63" s="22"/>
      <x:c r="H63" s="22"/>
      <x:c r="I63" s="22"/>
      <x:c r="J63" s="22"/>
      <x:c r="K63" s="22"/>
      <x:c r="L63" s="22"/>
      <x:c r="M63" s="22"/>
      <x:c r="N63" s="22"/>
      <x:c r="O63" s="22"/>
    </x:row>
    <x:row r="64" spans="1:18" x14ac:dyDescent="0.35">
      <x:c r="P64" s="22">
        <x:f>'WP COVID-19 Sum page1'!B10</x:f>
        <x:v>23154208.279999994</x:v>
      </x:c>
    </x:row>
    <x:row r="65" spans="16:16" x14ac:dyDescent="0.35">
      <x:c r="P65" s="12"/>
    </x:row>
    <x:row r="67" spans="16:16" x14ac:dyDescent="0.35">
      <x:c r="P67" s="12"/>
    </x:row>
  </x:sheetData>
  <x:mergeCells count="2">
    <x:mergeCell ref="D4:P4"/>
    <x:mergeCell ref="A50:B50"/>
  </x:mergeCells>
  <x:phoneticPr fontId="21" type="noConversion"/>
  <x:pageMargins left="0.45" right="0.45" top="0.5" bottom="0.25" header="0.3" footer="0.3"/>
  <x:pageSetup scale="42" orientation="landscape" r:id="rId1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1FB1EE6-ED16-4469-8CDD-0B8DFCD9D1F2}" mc:Ignorable="x14ac xr xr2 xr3">
  <x:sheetPr>
    <x:pageSetUpPr fitToPage="1"/>
  </x:sheetPr>
  <x:dimension ref="A1:R61"/>
  <x:sheetViews>
    <x:sheetView view="pageBreakPreview" zoomScale="60" zoomScaleNormal="110" workbookViewId="0">
      <x:pane xSplit="3" ySplit="5" topLeftCell="G37" activePane="bottomRight" state="frozen"/>
      <x:selection pane="topRight" activeCell="D1" sqref="D1"/>
      <x:selection pane="bottomLeft" activeCell="A5" sqref="A5"/>
      <x:selection pane="bottomRight" activeCell="P53" sqref="P53"/>
    </x:sheetView>
  </x:sheetViews>
  <x:sheetFormatPr defaultColWidth="9.1796875" defaultRowHeight="14.5" x14ac:dyDescent="0.35"/>
  <x:cols>
    <x:col min="1" max="1" width="21.7265625" style="2" customWidth="1"/>
    <x:col min="2" max="2" width="38.54296875" style="2" bestFit="1" customWidth="1"/>
    <x:col min="3" max="3" width="3.81640625" style="2" customWidth="1"/>
    <x:col min="4" max="16" width="18.36328125" style="2" customWidth="1"/>
    <x:col min="17" max="17" width="9.1796875" style="2"/>
    <x:col min="18" max="18" width="14.26953125" style="2" bestFit="1" customWidth="1"/>
    <x:col min="19" max="16384" width="9.1796875" style="2"/>
  </x:cols>
  <x:sheetData>
    <x:row r="1" spans="1:18" x14ac:dyDescent="0.35">
      <x:c r="A1" s="10" t="s">
        <x:v>67</x:v>
      </x:c>
      <x:c r="P1" s="51" t="str">
        <x:f>'WP COVID-19 Sum page1'!C1</x:f>
        <x:v>WP/II-B-12 COVID-19 Incremental Costs</x:v>
      </x:c>
    </x:row>
    <x:row r="2" spans="1:18" x14ac:dyDescent="0.35">
      <x:c r="A2" s="10"/>
      <x:c r="P2" s="51" t="s">
        <x:v>79</x:v>
      </x:c>
    </x:row>
    <x:row r="3" spans="1:18" x14ac:dyDescent="0.35">
      <x:c r="P3" s="51" t="s">
        <x:v>90</x:v>
      </x:c>
    </x:row>
    <x:row r="4" spans="1:18" x14ac:dyDescent="0.35">
      <x:c r="A4" s="2" t="s">
        <x:v>0</x:v>
      </x:c>
      <x:c r="D4" s="54" t="s">
        <x:v>56</x:v>
      </x:c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  <x:c r="P4" s="54"/>
    </x:row>
    <x:row r="5" spans="1:18" x14ac:dyDescent="0.35">
      <x:c r="D5" s="3" t="s">
        <x:v>1</x:v>
      </x:c>
      <x:c r="E5" s="3" t="s">
        <x:v>2</x:v>
      </x:c>
      <x:c r="F5" s="3" t="s">
        <x:v>3</x:v>
      </x:c>
      <x:c r="G5" s="3" t="s">
        <x:v>4</x:v>
      </x:c>
      <x:c r="H5" s="3" t="s">
        <x:v>5</x:v>
      </x:c>
      <x:c r="I5" s="3" t="s">
        <x:v>62</x:v>
      </x:c>
      <x:c r="J5" s="3" t="s">
        <x:v>63</x:v>
      </x:c>
      <x:c r="K5" s="3" t="s">
        <x:v>6</x:v>
      </x:c>
      <x:c r="L5" s="3" t="s">
        <x:v>7</x:v>
      </x:c>
      <x:c r="M5" s="3" t="s">
        <x:v>8</x:v>
      </x:c>
      <x:c r="N5" s="3" t="s">
        <x:v>9</x:v>
      </x:c>
      <x:c r="O5" s="3" t="s">
        <x:v>10</x:v>
      </x:c>
      <x:c r="P5" s="3" t="s">
        <x:v>11</x:v>
      </x:c>
    </x:row>
    <x:row r="6" spans="1:18" x14ac:dyDescent="0.35">
      <x:c r="A6" s="2" t="s">
        <x:v>12</x:v>
      </x:c>
    </x:row>
    <x:row r="7" spans="1:18" x14ac:dyDescent="0.35">
      <x:c r="B7" s="2" t="s">
        <x:v>13</x:v>
      </x:c>
      <x:c r="D7" s="18">
        <x:v>0</x:v>
      </x:c>
      <x:c r="E7" s="18">
        <x:v>220985.44000000003</x:v>
      </x:c>
      <x:c r="F7" s="18">
        <x:v>360094.71999999997</x:v>
      </x:c>
      <x:c r="G7" s="18">
        <x:v>193238.17000000004</x:v>
      </x:c>
      <x:c r="H7" s="18">
        <x:v>162500.71999999994</x:v>
      </x:c>
      <x:c r="I7" s="18">
        <x:v>-3408.7100000000182</x:v>
      </x:c>
      <x:c r="J7" s="18">
        <x:v>269372.71000000002</x:v>
      </x:c>
      <x:c r="K7" s="18">
        <x:v>196283.49000000005</x:v>
      </x:c>
      <x:c r="L7" s="18">
        <x:v>155636.76999999999</x:v>
      </x:c>
      <x:c r="M7" s="18">
        <x:v>162918.01999999999</x:v>
      </x:c>
      <x:c r="N7" s="18">
        <x:v>104001.86</x:v>
      </x:c>
      <x:c r="O7" s="18">
        <x:v>206637.08000000005</x:v>
      </x:c>
      <x:c r="P7" s="19">
        <x:f>SUM(D7:O7)</x:f>
        <x:v>2028260.2700000003</x:v>
      </x:c>
    </x:row>
    <x:row r="8" spans="1:18" x14ac:dyDescent="0.35">
      <x:c r="B8" s="9" t="s">
        <x:v>14</x:v>
      </x:c>
      <x:c r="C8" s="9"/>
      <x:c r="D8" s="20">
        <x:v>193414.8900000001</x:v>
      </x:c>
      <x:c r="E8" s="20">
        <x:v>10062.69</x:v>
      </x:c>
      <x:c r="F8" s="20">
        <x:v>24013.66</x:v>
      </x:c>
      <x:c r="G8" s="20">
        <x:v>-101588.03</x:v>
      </x:c>
      <x:c r="H8" s="20">
        <x:v>-86302.67</x:v>
      </x:c>
      <x:c r="I8" s="20">
        <x:v>50117.820000000007</x:v>
      </x:c>
      <x:c r="J8" s="20">
        <x:v>31578.530000000002</x:v>
      </x:c>
      <x:c r="K8" s="20">
        <x:v>-66988.570000000007</x:v>
      </x:c>
      <x:c r="L8" s="20">
        <x:v>48467.159999999996</x:v>
      </x:c>
      <x:c r="M8" s="20">
        <x:v>-81796.37</x:v>
      </x:c>
      <x:c r="N8" s="20">
        <x:v>45370.600000000006</x:v>
      </x:c>
      <x:c r="O8" s="20">
        <x:v>-129924.32</x:v>
      </x:c>
      <x:c r="P8" s="19">
        <x:f>SUM(D8:O8)</x:f>
        <x:v>-63574.609999999899</x:v>
      </x:c>
    </x:row>
    <x:row r="9" spans="1:18" x14ac:dyDescent="0.35">
      <x:c r="B9" s="2" t="s">
        <x:v>15</x:v>
      </x:c>
      <x:c r="D9" s="21">
        <x:f>SUM(D7:D8)</x:f>
        <x:v>193414.8900000001</x:v>
      </x:c>
      <x:c r="E9" s="21">
        <x:f t="shared" ref="E9:O9" si="0">SUM(E7:E8)</x:f>
        <x:v>231048.13000000003</x:v>
      </x:c>
      <x:c r="F9" s="21">
        <x:f t="shared" si="0"/>
        <x:v>384108.37999999995</x:v>
      </x:c>
      <x:c r="G9" s="21">
        <x:f t="shared" si="0"/>
        <x:v>91650.140000000043</x:v>
      </x:c>
      <x:c r="H9" s="21">
        <x:f t="shared" si="0"/>
        <x:v>76198.049999999945</x:v>
      </x:c>
      <x:c r="I9" s="21">
        <x:f t="shared" si="0"/>
        <x:v>46709.109999999986</x:v>
      </x:c>
      <x:c r="J9" s="21">
        <x:f t="shared" si="0"/>
        <x:v>300951.24000000005</x:v>
      </x:c>
      <x:c r="K9" s="21">
        <x:f t="shared" si="0"/>
        <x:v>129294.92000000004</x:v>
      </x:c>
      <x:c r="L9" s="21">
        <x:f t="shared" si="0"/>
        <x:v>204103.93</x:v>
      </x:c>
      <x:c r="M9" s="21">
        <x:f t="shared" si="0"/>
        <x:v>81121.649999999994</x:v>
      </x:c>
      <x:c r="N9" s="21">
        <x:f t="shared" si="0"/>
        <x:v>149372.46000000002</x:v>
      </x:c>
      <x:c r="O9" s="21">
        <x:f t="shared" si="0"/>
        <x:v>76712.760000000038</x:v>
      </x:c>
      <x:c r="P9" s="21">
        <x:f>SUM(D9:O9)</x:f>
        <x:v>1964685.6600000001</x:v>
      </x:c>
    </x:row>
    <x:row r="10" spans="1:18" x14ac:dyDescent="0.35">
      <x:c r="B10" s="2" t="s">
        <x:v>16</x:v>
      </x:c>
      <x:c r="D10" s="18">
        <x:v>0</x:v>
      </x:c>
      <x:c r="E10" s="18">
        <x:v>0</x:v>
      </x:c>
      <x:c r="F10" s="18">
        <x:v>0</x:v>
      </x:c>
      <x:c r="G10" s="18">
        <x:v>0</x:v>
      </x:c>
      <x:c r="H10" s="18">
        <x:v>4500</x:v>
      </x:c>
      <x:c r="I10" s="18">
        <x:v>-43421.25</x:v>
      </x:c>
      <x:c r="J10" s="18">
        <x:v>0</x:v>
      </x:c>
      <x:c r="K10" s="18">
        <x:v>0</x:v>
      </x:c>
      <x:c r="L10" s="18">
        <x:v>0</x:v>
      </x:c>
      <x:c r="M10" s="18">
        <x:v>0</x:v>
      </x:c>
      <x:c r="N10" s="18">
        <x:v>0</x:v>
      </x:c>
      <x:c r="O10" s="18">
        <x:v>0</x:v>
      </x:c>
      <x:c r="P10" s="19">
        <x:f>SUM(D10:O10)</x:f>
        <x:v>-38921.25</x:v>
      </x:c>
      <x:c r="R10" s="4"/>
    </x:row>
    <x:row r="11" spans="1:18" x14ac:dyDescent="0.35">
      <x:c r="B11" s="2" t="s">
        <x:v>17</x:v>
      </x:c>
      <x:c r="D11" s="18">
        <x:v>0</x:v>
      </x:c>
      <x:c r="E11" s="18">
        <x:v>0</x:v>
      </x:c>
      <x:c r="F11" s="18">
        <x:v>41125</x:v>
      </x:c>
      <x:c r="G11" s="18">
        <x:v>70290</x:v>
      </x:c>
      <x:c r="H11" s="18">
        <x:v>35340</x:v>
      </x:c>
      <x:c r="I11" s="18">
        <x:v>-15365</x:v>
      </x:c>
      <x:c r="J11" s="18">
        <x:v>73705</x:v>
      </x:c>
      <x:c r="K11" s="18">
        <x:v>26900</x:v>
      </x:c>
      <x:c r="L11" s="18">
        <x:v>0</x:v>
      </x:c>
      <x:c r="M11" s="18">
        <x:v>48500</x:v>
      </x:c>
      <x:c r="N11" s="18">
        <x:v>18750</x:v>
      </x:c>
      <x:c r="O11" s="18">
        <x:v>35425</x:v>
      </x:c>
      <x:c r="P11" s="19">
        <x:f t="shared" ref="P11:P14" si="1">SUM(D11:O11)</x:f>
        <x:v>334670</x:v>
      </x:c>
      <x:c r="R11" s="4"/>
    </x:row>
    <x:row r="12" spans="1:18" x14ac:dyDescent="0.35">
      <x:c r="B12" s="2" t="s">
        <x:v>18</x:v>
      </x:c>
      <x:c r="D12" s="18">
        <x:v>0</x:v>
      </x:c>
      <x:c r="E12" s="18">
        <x:v>0</x:v>
      </x:c>
      <x:c r="F12" s="18">
        <x:v>0</x:v>
      </x:c>
      <x:c r="G12" s="18">
        <x:v>0</x:v>
      </x:c>
      <x:c r="H12" s="18">
        <x:v>0</x:v>
      </x:c>
      <x:c r="I12" s="18">
        <x:v>0</x:v>
      </x:c>
      <x:c r="J12" s="18">
        <x:v>0</x:v>
      </x:c>
      <x:c r="K12" s="18">
        <x:v>0</x:v>
      </x:c>
      <x:c r="L12" s="18">
        <x:v>0</x:v>
      </x:c>
      <x:c r="M12" s="18">
        <x:v>0</x:v>
      </x:c>
      <x:c r="N12" s="18">
        <x:v>0</x:v>
      </x:c>
      <x:c r="O12" s="18">
        <x:v>0</x:v>
      </x:c>
      <x:c r="P12" s="19">
        <x:f t="shared" si="1"/>
        <x:v>0</x:v>
      </x:c>
      <x:c r="R12" s="4"/>
    </x:row>
    <x:row r="13" spans="1:18" x14ac:dyDescent="0.35">
      <x:c r="B13" s="2" t="s">
        <x:v>19</x:v>
      </x:c>
      <x:c r="D13" s="18">
        <x:v>0</x:v>
      </x:c>
      <x:c r="E13" s="18">
        <x:v>0</x:v>
      </x:c>
      <x:c r="F13" s="18">
        <x:v>0</x:v>
      </x:c>
      <x:c r="G13" s="18">
        <x:v>0</x:v>
      </x:c>
      <x:c r="H13" s="18">
        <x:v>0</x:v>
      </x:c>
      <x:c r="I13" s="18">
        <x:v>0</x:v>
      </x:c>
      <x:c r="J13" s="18">
        <x:v>0</x:v>
      </x:c>
      <x:c r="K13" s="18">
        <x:v>0</x:v>
      </x:c>
      <x:c r="L13" s="18">
        <x:v>0</x:v>
      </x:c>
      <x:c r="M13" s="18">
        <x:v>0</x:v>
      </x:c>
      <x:c r="N13" s="18">
        <x:v>0</x:v>
      </x:c>
      <x:c r="O13" s="18">
        <x:v>0</x:v>
      </x:c>
      <x:c r="P13" s="19">
        <x:f t="shared" si="1"/>
        <x:v>0</x:v>
      </x:c>
    </x:row>
    <x:row r="14" spans="1:18" x14ac:dyDescent="0.35">
      <x:c r="B14" s="2" t="s">
        <x:v>20</x:v>
      </x:c>
      <x:c r="D14" s="18">
        <x:v>-75449.73</x:v>
      </x:c>
      <x:c r="E14" s="18">
        <x:v>0</x:v>
      </x:c>
      <x:c r="F14" s="18">
        <x:v>41274.019999999997</x:v>
      </x:c>
      <x:c r="G14" s="18">
        <x:v>0</x:v>
      </x:c>
      <x:c r="H14" s="18">
        <x:v>0</x:v>
      </x:c>
      <x:c r="I14" s="18">
        <x:v>0</x:v>
      </x:c>
      <x:c r="J14" s="18">
        <x:v>0</x:v>
      </x:c>
      <x:c r="K14" s="18">
        <x:v>0</x:v>
      </x:c>
      <x:c r="L14" s="18">
        <x:v>0</x:v>
      </x:c>
      <x:c r="M14" s="18">
        <x:v>0</x:v>
      </x:c>
      <x:c r="N14" s="18">
        <x:v>0</x:v>
      </x:c>
      <x:c r="O14" s="18">
        <x:v>0</x:v>
      </x:c>
      <x:c r="P14" s="19">
        <x:f t="shared" si="1"/>
        <x:v>-34175.71</x:v>
      </x:c>
    </x:row>
    <x:row r="15" spans="1:18" x14ac:dyDescent="0.35">
      <x:c r="D15" s="22"/>
      <x:c r="E15" s="22"/>
      <x:c r="F15" s="22"/>
      <x:c r="G15" s="19"/>
      <x:c r="H15" s="19"/>
      <x:c r="I15" s="19"/>
      <x:c r="J15" s="19"/>
      <x:c r="K15" s="19"/>
      <x:c r="L15" s="23"/>
      <x:c r="M15" s="19"/>
      <x:c r="N15" s="19"/>
      <x:c r="O15" s="19"/>
      <x:c r="P15" s="19"/>
    </x:row>
    <x:row r="16" spans="1:18" x14ac:dyDescent="0.35">
      <x:c r="A16" s="5" t="s">
        <x:v>21</x:v>
      </x:c>
      <x:c r="B16" s="5"/>
      <x:c r="D16" s="24">
        <x:f t="shared" ref="D16:P16" si="2">SUM(D10:D15)+D9</x:f>
        <x:v>117965.16000000011</x:v>
      </x:c>
      <x:c r="E16" s="24">
        <x:f t="shared" si="2"/>
        <x:v>231048.13000000003</x:v>
      </x:c>
      <x:c r="F16" s="24">
        <x:f t="shared" si="2"/>
        <x:v>466507.39999999991</x:v>
      </x:c>
      <x:c r="G16" s="24">
        <x:f t="shared" si="2"/>
        <x:v>161940.14000000004</x:v>
      </x:c>
      <x:c r="H16" s="24">
        <x:f t="shared" si="2"/>
        <x:v>116038.04999999994</x:v>
      </x:c>
      <x:c r="I16" s="24">
        <x:f t="shared" si="2"/>
        <x:v>-12077.140000000014</x:v>
      </x:c>
      <x:c r="J16" s="24">
        <x:f t="shared" si="2"/>
        <x:v>374656.24000000005</x:v>
      </x:c>
      <x:c r="K16" s="24">
        <x:f t="shared" si="2"/>
        <x:v>156194.92000000004</x:v>
      </x:c>
      <x:c r="L16" s="24">
        <x:f t="shared" si="2"/>
        <x:v>204103.93</x:v>
      </x:c>
      <x:c r="M16" s="24">
        <x:f t="shared" si="2"/>
        <x:v>129621.65</x:v>
      </x:c>
      <x:c r="N16" s="24">
        <x:f t="shared" si="2"/>
        <x:v>168122.46000000002</x:v>
      </x:c>
      <x:c r="O16" s="24">
        <x:f t="shared" si="2"/>
        <x:v>112137.76000000004</x:v>
      </x:c>
      <x:c r="P16" s="24">
        <x:f t="shared" si="2"/>
        <x:v>2226258.7000000002</x:v>
      </x:c>
      <x:c r="R16" s="6"/>
    </x:row>
    <x:row r="17" spans="1:18" x14ac:dyDescent="0.35">
      <x:c r="D17" s="22"/>
      <x:c r="E17" s="22"/>
      <x:c r="F17" s="22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</x:row>
    <x:row r="18" spans="1:18" x14ac:dyDescent="0.35">
      <x:c r="A18" s="7" t="s">
        <x:v>22</x:v>
      </x:c>
      <x:c r="D18" s="22"/>
      <x:c r="E18" s="22"/>
      <x:c r="F18" s="22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</x:row>
    <x:row r="19" spans="1:18" x14ac:dyDescent="0.35">
      <x:c r="B19" s="8" t="s">
        <x:v>23</x:v>
      </x:c>
      <x:c r="D19" s="18">
        <x:v>0</x:v>
      </x:c>
      <x:c r="E19" s="18">
        <x:v>0</x:v>
      </x:c>
      <x:c r="F19" s="18">
        <x:v>0</x:v>
      </x:c>
      <x:c r="G19" s="18">
        <x:v>0</x:v>
      </x:c>
      <x:c r="H19" s="18">
        <x:v>0</x:v>
      </x:c>
      <x:c r="I19" s="18">
        <x:v>0</x:v>
      </x:c>
      <x:c r="J19" s="18">
        <x:v>0</x:v>
      </x:c>
      <x:c r="K19" s="18">
        <x:v>0</x:v>
      </x:c>
      <x:c r="L19" s="18">
        <x:v>0</x:v>
      </x:c>
      <x:c r="M19" s="18">
        <x:v>0</x:v>
      </x:c>
      <x:c r="N19" s="18">
        <x:v>0</x:v>
      </x:c>
      <x:c r="O19" s="18">
        <x:v>0</x:v>
      </x:c>
      <x:c r="P19" s="19">
        <x:f t="shared" ref="P19:P24" si="3">SUM(D19:O19)</x:f>
        <x:v>0</x:v>
      </x:c>
      <x:c r="R19" s="4"/>
    </x:row>
    <x:row r="20" spans="1:18" x14ac:dyDescent="0.35">
      <x:c r="B20" s="8" t="s">
        <x:v>24</x:v>
      </x:c>
      <x:c r="D20" s="18">
        <x:v>0</x:v>
      </x:c>
      <x:c r="E20" s="18">
        <x:v>0</x:v>
      </x:c>
      <x:c r="F20" s="18">
        <x:v>0</x:v>
      </x:c>
      <x:c r="G20" s="18">
        <x:v>0</x:v>
      </x:c>
      <x:c r="H20" s="18">
        <x:v>0</x:v>
      </x:c>
      <x:c r="I20" s="18">
        <x:v>0</x:v>
      </x:c>
      <x:c r="J20" s="18">
        <x:v>0</x:v>
      </x:c>
      <x:c r="K20" s="18">
        <x:v>0</x:v>
      </x:c>
      <x:c r="L20" s="18">
        <x:v>0</x:v>
      </x:c>
      <x:c r="M20" s="18">
        <x:v>0</x:v>
      </x:c>
      <x:c r="N20" s="18">
        <x:v>0</x:v>
      </x:c>
      <x:c r="O20" s="18">
        <x:v>0</x:v>
      </x:c>
      <x:c r="P20" s="19">
        <x:f t="shared" si="3"/>
        <x:v>0</x:v>
      </x:c>
      <x:c r="R20" s="4"/>
    </x:row>
    <x:row r="21" spans="1:18" x14ac:dyDescent="0.35">
      <x:c r="B21" s="8" t="s">
        <x:v>25</x:v>
      </x:c>
      <x:c r="D21" s="18">
        <x:v>0</x:v>
      </x:c>
      <x:c r="E21" s="18">
        <x:v>0</x:v>
      </x:c>
      <x:c r="F21" s="18">
        <x:v>0</x:v>
      </x:c>
      <x:c r="G21" s="18">
        <x:v>0</x:v>
      </x:c>
      <x:c r="H21" s="18">
        <x:v>0</x:v>
      </x:c>
      <x:c r="I21" s="18">
        <x:v>0</x:v>
      </x:c>
      <x:c r="J21" s="18">
        <x:v>0</x:v>
      </x:c>
      <x:c r="K21" s="18">
        <x:v>0</x:v>
      </x:c>
      <x:c r="L21" s="18">
        <x:v>0</x:v>
      </x:c>
      <x:c r="M21" s="18">
        <x:v>0</x:v>
      </x:c>
      <x:c r="N21" s="18">
        <x:v>0</x:v>
      </x:c>
      <x:c r="O21" s="18">
        <x:v>25.77</x:v>
      </x:c>
      <x:c r="P21" s="19">
        <x:f t="shared" si="3"/>
        <x:v>25.77</x:v>
      </x:c>
    </x:row>
    <x:row r="22" spans="1:18" x14ac:dyDescent="0.35">
      <x:c r="B22" s="8" t="s">
        <x:v>26</x:v>
      </x:c>
      <x:c r="D22" s="18">
        <x:v>0</x:v>
      </x:c>
      <x:c r="E22" s="18">
        <x:v>0</x:v>
      </x:c>
      <x:c r="F22" s="18">
        <x:v>0</x:v>
      </x:c>
      <x:c r="G22" s="18">
        <x:v>0</x:v>
      </x:c>
      <x:c r="H22" s="18">
        <x:v>0</x:v>
      </x:c>
      <x:c r="I22" s="18">
        <x:v>0</x:v>
      </x:c>
      <x:c r="J22" s="18">
        <x:v>0</x:v>
      </x:c>
      <x:c r="K22" s="18">
        <x:v>0</x:v>
      </x:c>
      <x:c r="L22" s="18">
        <x:v>0</x:v>
      </x:c>
      <x:c r="M22" s="18">
        <x:v>0</x:v>
      </x:c>
      <x:c r="N22" s="18">
        <x:v>0</x:v>
      </x:c>
      <x:c r="O22" s="18">
        <x:v>679.86</x:v>
      </x:c>
      <x:c r="P22" s="19">
        <x:f t="shared" si="3"/>
        <x:v>679.86</x:v>
      </x:c>
    </x:row>
    <x:row r="23" spans="1:18" x14ac:dyDescent="0.35">
      <x:c r="B23" s="8" t="s">
        <x:v>27</x:v>
      </x:c>
      <x:c r="D23" s="18">
        <x:v>0</x:v>
      </x:c>
      <x:c r="E23" s="18">
        <x:v>0</x:v>
      </x:c>
      <x:c r="F23" s="18">
        <x:v>0</x:v>
      </x:c>
      <x:c r="G23" s="18">
        <x:v>0</x:v>
      </x:c>
      <x:c r="H23" s="18">
        <x:v>0</x:v>
      </x:c>
      <x:c r="I23" s="18">
        <x:v>0</x:v>
      </x:c>
      <x:c r="J23" s="18">
        <x:v>0</x:v>
      </x:c>
      <x:c r="K23" s="18">
        <x:v>0</x:v>
      </x:c>
      <x:c r="L23" s="18">
        <x:v>0</x:v>
      </x:c>
      <x:c r="M23" s="18">
        <x:v>0</x:v>
      </x:c>
      <x:c r="N23" s="18">
        <x:v>0</x:v>
      </x:c>
      <x:c r="O23" s="18">
        <x:v>0</x:v>
      </x:c>
      <x:c r="P23" s="19">
        <x:f t="shared" si="3"/>
        <x:v>0</x:v>
      </x:c>
    </x:row>
    <x:row r="24" spans="1:18" x14ac:dyDescent="0.35">
      <x:c r="B24" s="8" t="s">
        <x:v>28</x:v>
      </x:c>
      <x:c r="D24" s="33">
        <x:v>0</x:v>
      </x:c>
      <x:c r="E24" s="33">
        <x:v>0</x:v>
      </x:c>
      <x:c r="F24" s="33">
        <x:v>0</x:v>
      </x:c>
      <x:c r="G24" s="33">
        <x:v>0</x:v>
      </x:c>
      <x:c r="H24" s="33">
        <x:v>0</x:v>
      </x:c>
      <x:c r="I24" s="33">
        <x:v>0</x:v>
      </x:c>
      <x:c r="J24" s="33">
        <x:v>0</x:v>
      </x:c>
      <x:c r="K24" s="33">
        <x:v>0</x:v>
      </x:c>
      <x:c r="L24" s="33">
        <x:v>0</x:v>
      </x:c>
      <x:c r="M24" s="33">
        <x:v>0</x:v>
      </x:c>
      <x:c r="N24" s="33">
        <x:v>0</x:v>
      </x:c>
      <x:c r="O24" s="33">
        <x:v>0</x:v>
      </x:c>
      <x:c r="P24" s="19">
        <x:f t="shared" si="3"/>
        <x:v>0</x:v>
      </x:c>
    </x:row>
    <x:row r="25" spans="1:18" x14ac:dyDescent="0.35">
      <x:c r="A25" s="5" t="s">
        <x:v>29</x:v>
      </x:c>
      <x:c r="B25" s="9"/>
      <x:c r="D25" s="24">
        <x:f>SUM(D19:D24)</x:f>
        <x:v>0</x:v>
      </x:c>
      <x:c r="E25" s="24">
        <x:f t="shared" ref="E25:O25" si="4">SUM(E19:E24)</x:f>
        <x:v>0</x:v>
      </x:c>
      <x:c r="F25" s="24">
        <x:f t="shared" si="4"/>
        <x:v>0</x:v>
      </x:c>
      <x:c r="G25" s="24">
        <x:f t="shared" si="4"/>
        <x:v>0</x:v>
      </x:c>
      <x:c r="H25" s="24">
        <x:f t="shared" si="4"/>
        <x:v>0</x:v>
      </x:c>
      <x:c r="I25" s="24">
        <x:f t="shared" si="4"/>
        <x:v>0</x:v>
      </x:c>
      <x:c r="J25" s="24">
        <x:f t="shared" si="4"/>
        <x:v>0</x:v>
      </x:c>
      <x:c r="K25" s="24">
        <x:f t="shared" si="4"/>
        <x:v>0</x:v>
      </x:c>
      <x:c r="L25" s="24">
        <x:f t="shared" si="4"/>
        <x:v>0</x:v>
      </x:c>
      <x:c r="M25" s="24">
        <x:f t="shared" si="4"/>
        <x:v>0</x:v>
      </x:c>
      <x:c r="N25" s="24">
        <x:f t="shared" si="4"/>
        <x:v>0</x:v>
      </x:c>
      <x:c r="O25" s="24">
        <x:f t="shared" si="4"/>
        <x:v>705.63</x:v>
      </x:c>
      <x:c r="P25" s="26">
        <x:f>SUM(P19:P24)</x:f>
        <x:v>705.63</x:v>
      </x:c>
      <x:c r="R25" s="6"/>
    </x:row>
    <x:row r="26" spans="1:18" x14ac:dyDescent="0.35">
      <x:c r="D26" s="22"/>
      <x:c r="E26" s="22"/>
      <x:c r="F26" s="22"/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</x:row>
    <x:row r="27" spans="1:18" x14ac:dyDescent="0.35">
      <x:c r="A27" s="2" t="s">
        <x:v>30</x:v>
      </x:c>
      <x:c r="D27" s="18">
        <x:v>0</x:v>
      </x:c>
      <x:c r="E27" s="18">
        <x:v>0</x:v>
      </x:c>
      <x:c r="F27" s="18">
        <x:v>0</x:v>
      </x:c>
      <x:c r="G27" s="18">
        <x:v>0</x:v>
      </x:c>
      <x:c r="H27" s="18">
        <x:v>0</x:v>
      </x:c>
      <x:c r="I27" s="18">
        <x:v>0</x:v>
      </x:c>
      <x:c r="J27" s="18">
        <x:v>0</x:v>
      </x:c>
      <x:c r="K27" s="18">
        <x:v>0</x:v>
      </x:c>
      <x:c r="L27" s="18">
        <x:v>0</x:v>
      </x:c>
      <x:c r="M27" s="18">
        <x:v>0</x:v>
      </x:c>
      <x:c r="N27" s="18">
        <x:v>0</x:v>
      </x:c>
      <x:c r="O27" s="18">
        <x:v>0</x:v>
      </x:c>
      <x:c r="P27" s="19">
        <x:f t="shared" ref="P27:P28" si="5">SUM(D27:O27)</x:f>
        <x:v>0</x:v>
      </x:c>
    </x:row>
    <x:row r="28" spans="1:18" x14ac:dyDescent="0.35">
      <x:c r="B28" s="2" t="s">
        <x:v>31</x:v>
      </x:c>
      <x:c r="D28" s="18">
        <x:v>0</x:v>
      </x:c>
      <x:c r="E28" s="18">
        <x:v>6162.69</x:v>
      </x:c>
      <x:c r="F28" s="18">
        <x:v>4740.68</x:v>
      </x:c>
      <x:c r="G28" s="18">
        <x:v>243.13000000000002</x:v>
      </x:c>
      <x:c r="H28" s="18">
        <x:v>1205.4000000000001</x:v>
      </x:c>
      <x:c r="I28" s="18">
        <x:v>-6054.3899999999994</x:v>
      </x:c>
      <x:c r="J28" s="18">
        <x:v>14741.829999999998</x:v>
      </x:c>
      <x:c r="K28" s="18">
        <x:v>0</x:v>
      </x:c>
      <x:c r="L28" s="18">
        <x:v>0</x:v>
      </x:c>
      <x:c r="M28" s="18">
        <x:v>0</x:v>
      </x:c>
      <x:c r="N28" s="18">
        <x:v>0</x:v>
      </x:c>
      <x:c r="O28" s="18">
        <x:v>0</x:v>
      </x:c>
      <x:c r="P28" s="19">
        <x:f t="shared" si="5"/>
        <x:v>21039.339999999997</x:v>
      </x:c>
    </x:row>
    <x:row r="29" spans="1:18" x14ac:dyDescent="0.35">
      <x:c r="A29" s="5" t="s">
        <x:v>32</x:v>
      </x:c>
      <x:c r="B29" s="9"/>
      <x:c r="D29" s="24">
        <x:f t="shared" ref="D29" si="6">SUM(D28)</x:f>
        <x:v>0</x:v>
      </x:c>
      <x:c r="E29" s="24">
        <x:f t="shared" ref="E29:O29" si="7">SUM(E28)</x:f>
        <x:v>6162.69</x:v>
      </x:c>
      <x:c r="F29" s="24">
        <x:f t="shared" si="7"/>
        <x:v>4740.68</x:v>
      </x:c>
      <x:c r="G29" s="24">
        <x:f t="shared" si="7"/>
        <x:v>243.13000000000002</x:v>
      </x:c>
      <x:c r="H29" s="24">
        <x:f t="shared" si="7"/>
        <x:v>1205.4000000000001</x:v>
      </x:c>
      <x:c r="I29" s="24">
        <x:f t="shared" si="7"/>
        <x:v>-6054.3899999999994</x:v>
      </x:c>
      <x:c r="J29" s="24">
        <x:f t="shared" si="7"/>
        <x:v>14741.829999999998</x:v>
      </x:c>
      <x:c r="K29" s="24">
        <x:f t="shared" si="7"/>
        <x:v>0</x:v>
      </x:c>
      <x:c r="L29" s="24">
        <x:f t="shared" si="7"/>
        <x:v>0</x:v>
      </x:c>
      <x:c r="M29" s="24">
        <x:f t="shared" si="7"/>
        <x:v>0</x:v>
      </x:c>
      <x:c r="N29" s="24">
        <x:f t="shared" si="7"/>
        <x:v>0</x:v>
      </x:c>
      <x:c r="O29" s="24">
        <x:f t="shared" si="7"/>
        <x:v>0</x:v>
      </x:c>
      <x:c r="P29" s="24">
        <x:f>SUM(D29:O29)</x:f>
        <x:v>21039.339999999997</x:v>
      </x:c>
    </x:row>
    <x:row r="30" spans="1:18" x14ac:dyDescent="0.35">
      <x:c r="A30" s="2" t="s">
        <x:v>33</x:v>
      </x:c>
      <x:c r="D30" s="18">
        <x:v>0</x:v>
      </x:c>
      <x:c r="E30" s="18">
        <x:v>0</x:v>
      </x:c>
      <x:c r="F30" s="18">
        <x:v>0</x:v>
      </x:c>
      <x:c r="G30" s="18">
        <x:v>0</x:v>
      </x:c>
      <x:c r="H30" s="18">
        <x:v>0</x:v>
      </x:c>
      <x:c r="I30" s="18">
        <x:v>0</x:v>
      </x:c>
      <x:c r="J30" s="18">
        <x:v>0</x:v>
      </x:c>
      <x:c r="K30" s="18">
        <x:v>0</x:v>
      </x:c>
      <x:c r="L30" s="18">
        <x:v>0</x:v>
      </x:c>
      <x:c r="M30" s="18">
        <x:v>0</x:v>
      </x:c>
      <x:c r="N30" s="18">
        <x:v>0</x:v>
      </x:c>
      <x:c r="O30" s="18">
        <x:v>0</x:v>
      </x:c>
      <x:c r="P30" s="19">
        <x:f t="shared" ref="P30:P31" si="8">SUM(D30:O30)</x:f>
        <x:v>0</x:v>
      </x:c>
    </x:row>
    <x:row r="31" spans="1:18" x14ac:dyDescent="0.35">
      <x:c r="B31" s="2" t="s">
        <x:v>34</x:v>
      </x:c>
      <x:c r="D31" s="18">
        <x:v>0</x:v>
      </x:c>
      <x:c r="E31" s="18">
        <x:v>72255</x:v>
      </x:c>
      <x:c r="F31" s="18">
        <x:v>0</x:v>
      </x:c>
      <x:c r="G31" s="18">
        <x:v>60701.25</x:v>
      </x:c>
      <x:c r="H31" s="18">
        <x:v>21573.75</x:v>
      </x:c>
      <x:c r="I31" s="18">
        <x:v>0</x:v>
      </x:c>
      <x:c r="J31" s="18">
        <x:v>0</x:v>
      </x:c>
      <x:c r="K31" s="18">
        <x:v>0</x:v>
      </x:c>
      <x:c r="L31" s="18">
        <x:v>0</x:v>
      </x:c>
      <x:c r="M31" s="18">
        <x:v>0</x:v>
      </x:c>
      <x:c r="N31" s="18">
        <x:v>0</x:v>
      </x:c>
      <x:c r="O31" s="18">
        <x:v>0</x:v>
      </x:c>
      <x:c r="P31" s="19">
        <x:f t="shared" si="8"/>
        <x:v>154530</x:v>
      </x:c>
    </x:row>
    <x:row r="32" spans="1:18" x14ac:dyDescent="0.35">
      <x:c r="A32" s="5" t="s">
        <x:v>35</x:v>
      </x:c>
      <x:c r="B32" s="5"/>
      <x:c r="D32" s="24">
        <x:f t="shared" ref="D32" si="9">D31</x:f>
        <x:v>0</x:v>
      </x:c>
      <x:c r="E32" s="24">
        <x:f t="shared" ref="E32:O32" si="10">E31</x:f>
        <x:v>72255</x:v>
      </x:c>
      <x:c r="F32" s="24">
        <x:f t="shared" si="10"/>
        <x:v>0</x:v>
      </x:c>
      <x:c r="G32" s="24">
        <x:f t="shared" si="10"/>
        <x:v>60701.25</x:v>
      </x:c>
      <x:c r="H32" s="24">
        <x:f t="shared" si="10"/>
        <x:v>21573.75</x:v>
      </x:c>
      <x:c r="I32" s="24">
        <x:f t="shared" si="10"/>
        <x:v>0</x:v>
      </x:c>
      <x:c r="J32" s="24">
        <x:f t="shared" si="10"/>
        <x:v>0</x:v>
      </x:c>
      <x:c r="K32" s="24">
        <x:f t="shared" si="10"/>
        <x:v>0</x:v>
      </x:c>
      <x:c r="L32" s="24">
        <x:f t="shared" si="10"/>
        <x:v>0</x:v>
      </x:c>
      <x:c r="M32" s="24">
        <x:f t="shared" si="10"/>
        <x:v>0</x:v>
      </x:c>
      <x:c r="N32" s="24">
        <x:f t="shared" si="10"/>
        <x:v>0</x:v>
      </x:c>
      <x:c r="O32" s="24">
        <x:f t="shared" si="10"/>
        <x:v>0</x:v>
      </x:c>
      <x:c r="P32" s="24">
        <x:f>SUM(D32:O32)</x:f>
        <x:v>154530</x:v>
      </x:c>
    </x:row>
    <x:row r="33" spans="1:16" x14ac:dyDescent="0.35">
      <x:c r="A33" s="7" t="s">
        <x:v>36</x:v>
      </x:c>
      <x:c r="D33" s="22"/>
      <x:c r="E33" s="22"/>
      <x:c r="F33" s="22"/>
      <x:c r="G33" s="19"/>
      <x:c r="H33" s="19"/>
      <x:c r="I33" s="19"/>
      <x:c r="J33" s="19"/>
      <x:c r="K33" s="19"/>
      <x:c r="L33" s="19"/>
      <x:c r="M33" s="19"/>
      <x:c r="N33" s="19"/>
      <x:c r="O33" s="19"/>
      <x:c r="P33" s="19"/>
    </x:row>
    <x:row r="34" spans="1:16" x14ac:dyDescent="0.35">
      <x:c r="B34" s="2" t="s">
        <x:v>37</x:v>
      </x:c>
      <x:c r="D34" s="18">
        <x:v>0</x:v>
      </x:c>
      <x:c r="E34" s="18">
        <x:v>0</x:v>
      </x:c>
      <x:c r="F34" s="18">
        <x:v>0</x:v>
      </x:c>
      <x:c r="G34" s="18">
        <x:v>0</x:v>
      </x:c>
      <x:c r="H34" s="18">
        <x:v>0</x:v>
      </x:c>
      <x:c r="I34" s="18">
        <x:v>0</x:v>
      </x:c>
      <x:c r="J34" s="18">
        <x:v>0</x:v>
      </x:c>
      <x:c r="K34" s="18">
        <x:v>0</x:v>
      </x:c>
      <x:c r="L34" s="18">
        <x:v>0</x:v>
      </x:c>
      <x:c r="M34" s="18">
        <x:v>0</x:v>
      </x:c>
      <x:c r="N34" s="18">
        <x:v>0</x:v>
      </x:c>
      <x:c r="O34" s="18">
        <x:v>-1000</x:v>
      </x:c>
      <x:c r="P34" s="19">
        <x:f t="shared" ref="P34:P37" si="11">SUM(D34:O34)</x:f>
        <x:v>-1000</x:v>
      </x:c>
    </x:row>
    <x:row r="35" spans="1:16" x14ac:dyDescent="0.35">
      <x:c r="B35" s="2" t="s">
        <x:v>38</x:v>
      </x:c>
      <x:c r="D35" s="18">
        <x:v>0</x:v>
      </x:c>
      <x:c r="E35" s="18">
        <x:v>0</x:v>
      </x:c>
      <x:c r="F35" s="18">
        <x:v>0</x:v>
      </x:c>
      <x:c r="G35" s="18">
        <x:v>1460.0800000000002</x:v>
      </x:c>
      <x:c r="H35" s="18">
        <x:v>0</x:v>
      </x:c>
      <x:c r="I35" s="18">
        <x:v>0</x:v>
      </x:c>
      <x:c r="J35" s="18">
        <x:v>0</x:v>
      </x:c>
      <x:c r="K35" s="18">
        <x:v>0</x:v>
      </x:c>
      <x:c r="L35" s="18">
        <x:v>0</x:v>
      </x:c>
      <x:c r="M35" s="18">
        <x:v>0</x:v>
      </x:c>
      <x:c r="N35" s="18">
        <x:v>0</x:v>
      </x:c>
      <x:c r="O35" s="18">
        <x:v>0</x:v>
      </x:c>
      <x:c r="P35" s="19">
        <x:f t="shared" si="11"/>
        <x:v>1460.0800000000002</x:v>
      </x:c>
    </x:row>
    <x:row r="36" spans="1:16" x14ac:dyDescent="0.35">
      <x:c r="B36" s="2" t="s">
        <x:v>39</x:v>
      </x:c>
      <x:c r="D36" s="18">
        <x:v>0</x:v>
      </x:c>
      <x:c r="E36" s="18">
        <x:v>0</x:v>
      </x:c>
      <x:c r="F36" s="18">
        <x:v>0</x:v>
      </x:c>
      <x:c r="G36" s="18">
        <x:v>0</x:v>
      </x:c>
      <x:c r="H36" s="18">
        <x:v>0</x:v>
      </x:c>
      <x:c r="I36" s="18">
        <x:v>0</x:v>
      </x:c>
      <x:c r="J36" s="18">
        <x:v>0</x:v>
      </x:c>
      <x:c r="K36" s="18">
        <x:v>0</x:v>
      </x:c>
      <x:c r="L36" s="18">
        <x:v>0</x:v>
      </x:c>
      <x:c r="M36" s="18">
        <x:v>0</x:v>
      </x:c>
      <x:c r="N36" s="18">
        <x:v>0</x:v>
      </x:c>
      <x:c r="O36" s="18">
        <x:v>0</x:v>
      </x:c>
      <x:c r="P36" s="19">
        <x:f t="shared" si="11"/>
        <x:v>0</x:v>
      </x:c>
    </x:row>
    <x:row r="37" spans="1:16" x14ac:dyDescent="0.35">
      <x:c r="B37" s="2" t="s">
        <x:v>40</x:v>
      </x:c>
      <x:c r="D37" s="18">
        <x:v>0</x:v>
      </x:c>
      <x:c r="E37" s="18">
        <x:v>0</x:v>
      </x:c>
      <x:c r="F37" s="18">
        <x:v>0</x:v>
      </x:c>
      <x:c r="G37" s="18">
        <x:v>0</x:v>
      </x:c>
      <x:c r="H37" s="18">
        <x:v>0</x:v>
      </x:c>
      <x:c r="I37" s="18">
        <x:v>0</x:v>
      </x:c>
      <x:c r="J37" s="18">
        <x:v>0</x:v>
      </x:c>
      <x:c r="K37" s="18">
        <x:v>0</x:v>
      </x:c>
      <x:c r="L37" s="18">
        <x:v>0</x:v>
      </x:c>
      <x:c r="M37" s="18">
        <x:v>0</x:v>
      </x:c>
      <x:c r="N37" s="18">
        <x:v>0</x:v>
      </x:c>
      <x:c r="O37" s="18">
        <x:v>0</x:v>
      </x:c>
      <x:c r="P37" s="19">
        <x:f t="shared" si="11"/>
        <x:v>0</x:v>
      </x:c>
    </x:row>
    <x:row r="38" spans="1:16" x14ac:dyDescent="0.35">
      <x:c r="A38" s="5" t="s">
        <x:v>41</x:v>
      </x:c>
      <x:c r="B38" s="5"/>
      <x:c r="D38" s="24">
        <x:f t="shared" ref="D38:F38" si="12">SUM(D34:D37)</x:f>
        <x:v>0</x:v>
      </x:c>
      <x:c r="E38" s="24">
        <x:f t="shared" si="12"/>
        <x:v>0</x:v>
      </x:c>
      <x:c r="F38" s="24">
        <x:f t="shared" si="12"/>
        <x:v>0</x:v>
      </x:c>
      <x:c r="G38" s="24">
        <x:f>SUM(G34:G37)</x:f>
        <x:v>1460.0800000000002</x:v>
      </x:c>
      <x:c r="H38" s="24">
        <x:f t="shared" ref="H38:O38" si="13">SUM(H34:H37)</x:f>
        <x:v>0</x:v>
      </x:c>
      <x:c r="I38" s="24">
        <x:f t="shared" si="13"/>
        <x:v>0</x:v>
      </x:c>
      <x:c r="J38" s="24">
        <x:f t="shared" si="13"/>
        <x:v>0</x:v>
      </x:c>
      <x:c r="K38" s="24">
        <x:f t="shared" si="13"/>
        <x:v>0</x:v>
      </x:c>
      <x:c r="L38" s="24">
        <x:f t="shared" si="13"/>
        <x:v>0</x:v>
      </x:c>
      <x:c r="M38" s="24">
        <x:f t="shared" si="13"/>
        <x:v>0</x:v>
      </x:c>
      <x:c r="N38" s="24">
        <x:f t="shared" si="13"/>
        <x:v>0</x:v>
      </x:c>
      <x:c r="O38" s="24">
        <x:f t="shared" si="13"/>
        <x:v>-1000</x:v>
      </x:c>
      <x:c r="P38" s="26">
        <x:f>SUM(D38:O38)</x:f>
        <x:v>460.08000000000015</x:v>
      </x:c>
    </x:row>
    <x:row r="39" spans="1:16" x14ac:dyDescent="0.35">
      <x:c r="A39" s="2" t="s">
        <x:v>42</x:v>
      </x:c>
      <x:c r="D39" s="22"/>
      <x:c r="E39" s="22"/>
      <x:c r="F39" s="22"/>
      <x:c r="G39" s="19"/>
      <x:c r="H39" s="19"/>
      <x:c r="I39" s="19"/>
      <x:c r="J39" s="19"/>
      <x:c r="K39" s="19"/>
      <x:c r="L39" s="19"/>
      <x:c r="M39" s="19"/>
      <x:c r="N39" s="19"/>
      <x:c r="O39" s="19"/>
      <x:c r="P39" s="23"/>
    </x:row>
    <x:row r="40" spans="1:16" x14ac:dyDescent="0.35">
      <x:c r="B40" s="2" t="s">
        <x:v>37</x:v>
      </x:c>
      <x:c r="D40" s="18">
        <x:v>0</x:v>
      </x:c>
      <x:c r="E40" s="18">
        <x:v>0</x:v>
      </x:c>
      <x:c r="F40" s="18">
        <x:v>0</x:v>
      </x:c>
      <x:c r="G40" s="18">
        <x:v>0</x:v>
      </x:c>
      <x:c r="H40" s="18">
        <x:v>0</x:v>
      </x:c>
      <x:c r="I40" s="18">
        <x:v>0</x:v>
      </x:c>
      <x:c r="J40" s="18">
        <x:v>0</x:v>
      </x:c>
      <x:c r="K40" s="18">
        <x:v>0</x:v>
      </x:c>
      <x:c r="L40" s="18">
        <x:v>0</x:v>
      </x:c>
      <x:c r="M40" s="18">
        <x:v>0</x:v>
      </x:c>
      <x:c r="N40" s="18">
        <x:v>0</x:v>
      </x:c>
      <x:c r="O40" s="18">
        <x:v>0</x:v>
      </x:c>
      <x:c r="P40" s="19">
        <x:f t="shared" ref="P40:P41" si="14">SUM(D40:O40)</x:f>
        <x:v>0</x:v>
      </x:c>
    </x:row>
    <x:row r="41" spans="1:16" x14ac:dyDescent="0.35">
      <x:c r="B41" s="2" t="s">
        <x:v>43</x:v>
      </x:c>
      <x:c r="D41" s="18">
        <x:v>0</x:v>
      </x:c>
      <x:c r="E41" s="18">
        <x:v>0</x:v>
      </x:c>
      <x:c r="F41" s="18">
        <x:v>0</x:v>
      </x:c>
      <x:c r="G41" s="18">
        <x:v>0</x:v>
      </x:c>
      <x:c r="H41" s="18">
        <x:v>0</x:v>
      </x:c>
      <x:c r="I41" s="18">
        <x:v>0</x:v>
      </x:c>
      <x:c r="J41" s="18">
        <x:v>0</x:v>
      </x:c>
      <x:c r="K41" s="18">
        <x:v>0</x:v>
      </x:c>
      <x:c r="L41" s="18">
        <x:v>0</x:v>
      </x:c>
      <x:c r="M41" s="18">
        <x:v>0</x:v>
      </x:c>
      <x:c r="N41" s="18">
        <x:v>0</x:v>
      </x:c>
      <x:c r="O41" s="18">
        <x:v>-565.03</x:v>
      </x:c>
      <x:c r="P41" s="19">
        <x:f t="shared" si="14"/>
        <x:v>-565.03</x:v>
      </x:c>
    </x:row>
    <x:row r="42" spans="1:16" x14ac:dyDescent="0.35">
      <x:c r="A42" s="5" t="s">
        <x:v>44</x:v>
      </x:c>
      <x:c r="B42" s="5"/>
      <x:c r="D42" s="27">
        <x:f>SUM(D40:D41)</x:f>
        <x:v>0</x:v>
      </x:c>
      <x:c r="E42" s="27">
        <x:f t="shared" ref="E42:O42" si="15">SUM(E40:E41)</x:f>
        <x:v>0</x:v>
      </x:c>
      <x:c r="F42" s="27">
        <x:f t="shared" si="15"/>
        <x:v>0</x:v>
      </x:c>
      <x:c r="G42" s="27">
        <x:f t="shared" si="15"/>
        <x:v>0</x:v>
      </x:c>
      <x:c r="H42" s="27">
        <x:f t="shared" si="15"/>
        <x:v>0</x:v>
      </x:c>
      <x:c r="I42" s="27">
        <x:f t="shared" si="15"/>
        <x:v>0</x:v>
      </x:c>
      <x:c r="J42" s="27">
        <x:f t="shared" si="15"/>
        <x:v>0</x:v>
      </x:c>
      <x:c r="K42" s="27">
        <x:f t="shared" si="15"/>
        <x:v>0</x:v>
      </x:c>
      <x:c r="L42" s="27">
        <x:f t="shared" si="15"/>
        <x:v>0</x:v>
      </x:c>
      <x:c r="M42" s="27">
        <x:f t="shared" si="15"/>
        <x:v>0</x:v>
      </x:c>
      <x:c r="N42" s="27">
        <x:f t="shared" si="15"/>
        <x:v>0</x:v>
      </x:c>
      <x:c r="O42" s="27">
        <x:f t="shared" si="15"/>
        <x:v>-565.03</x:v>
      </x:c>
      <x:c r="P42" s="27">
        <x:f>SUM(D42:O42)</x:f>
        <x:v>-565.03</x:v>
      </x:c>
    </x:row>
    <x:row r="43" spans="1:16" x14ac:dyDescent="0.35">
      <x:c r="A43" s="2" t="s">
        <x:v>45</x:v>
      </x:c>
      <x:c r="D43" s="22"/>
      <x:c r="E43" s="22"/>
      <x:c r="F43" s="22"/>
      <x:c r="G43" s="22"/>
      <x:c r="H43" s="22"/>
      <x:c r="I43" s="22"/>
      <x:c r="J43" s="22"/>
      <x:c r="K43" s="22"/>
      <x:c r="L43" s="22"/>
      <x:c r="M43" s="22"/>
      <x:c r="N43" s="22"/>
      <x:c r="O43" s="22"/>
      <x:c r="P43" s="22"/>
    </x:row>
    <x:row r="44" spans="1:16" x14ac:dyDescent="0.35">
      <x:c r="B44" s="2" t="s">
        <x:v>46</x:v>
      </x:c>
      <x:c r="D44" s="18">
        <x:v>0</x:v>
      </x:c>
      <x:c r="E44" s="18">
        <x:v>0</x:v>
      </x:c>
      <x:c r="F44" s="18">
        <x:v>0</x:v>
      </x:c>
      <x:c r="G44" s="18">
        <x:v>0</x:v>
      </x:c>
      <x:c r="H44" s="18">
        <x:v>0</x:v>
      </x:c>
      <x:c r="I44" s="18">
        <x:v>0</x:v>
      </x:c>
      <x:c r="J44" s="18">
        <x:v>0</x:v>
      </x:c>
      <x:c r="K44" s="18">
        <x:v>0</x:v>
      </x:c>
      <x:c r="L44" s="18">
        <x:v>0</x:v>
      </x:c>
      <x:c r="M44" s="18">
        <x:v>0</x:v>
      </x:c>
      <x:c r="N44" s="18">
        <x:v>0</x:v>
      </x:c>
      <x:c r="O44" s="18">
        <x:v>0</x:v>
      </x:c>
      <x:c r="P44" s="19">
        <x:f t="shared" ref="P44" si="16">SUM(D44:O44)</x:f>
        <x:v>0</x:v>
      </x:c>
    </x:row>
    <x:row r="45" spans="1:16" x14ac:dyDescent="0.35">
      <x:c r="A45" s="5" t="s">
        <x:v>47</x:v>
      </x:c>
      <x:c r="B45" s="5"/>
      <x:c r="D45" s="27">
        <x:f t="shared" ref="D45:F45" si="17">D44</x:f>
        <x:v>0</x:v>
      </x:c>
      <x:c r="E45" s="27">
        <x:f t="shared" si="17"/>
        <x:v>0</x:v>
      </x:c>
      <x:c r="F45" s="27">
        <x:f t="shared" si="17"/>
        <x:v>0</x:v>
      </x:c>
      <x:c r="G45" s="27">
        <x:f>G44</x:f>
        <x:v>0</x:v>
      </x:c>
      <x:c r="H45" s="27">
        <x:f t="shared" ref="H45:O45" si="18">H44</x:f>
        <x:v>0</x:v>
      </x:c>
      <x:c r="I45" s="27">
        <x:f t="shared" si="18"/>
        <x:v>0</x:v>
      </x:c>
      <x:c r="J45" s="27">
        <x:f t="shared" si="18"/>
        <x:v>0</x:v>
      </x:c>
      <x:c r="K45" s="27">
        <x:f t="shared" si="18"/>
        <x:v>0</x:v>
      </x:c>
      <x:c r="L45" s="27">
        <x:f t="shared" si="18"/>
        <x:v>0</x:v>
      </x:c>
      <x:c r="M45" s="27">
        <x:f t="shared" si="18"/>
        <x:v>0</x:v>
      </x:c>
      <x:c r="N45" s="27">
        <x:f t="shared" si="18"/>
        <x:v>0</x:v>
      </x:c>
      <x:c r="O45" s="27">
        <x:f t="shared" si="18"/>
        <x:v>0</x:v>
      </x:c>
      <x:c r="P45" s="27">
        <x:f>SUM(D45:O45)</x:f>
        <x:v>0</x:v>
      </x:c>
    </x:row>
    <x:row r="46" spans="1:16" x14ac:dyDescent="0.35">
      <x:c r="A46" s="1"/>
      <x:c r="B46" s="1"/>
      <x:c r="C46" s="1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</x:row>
    <x:row r="47" spans="1:16" x14ac:dyDescent="0.35">
      <x:c r="A47" s="10"/>
      <x:c r="B47" s="1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22"/>
    </x:row>
    <x:row r="48" spans="1:16" x14ac:dyDescent="0.35">
      <x:c r="A48" s="13"/>
      <x:c r="B48" s="10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</x:row>
    <x:row r="49" spans="1:16" x14ac:dyDescent="0.35">
      <x:c r="A49" s="5"/>
      <x:c r="B49" s="1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28"/>
    </x:row>
    <x:row r="50" spans="1:16" ht="15" thickBot="1" x14ac:dyDescent="0.4">
      <x:c r="A50" s="11" t="s">
        <x:v>96</x:v>
      </x:c>
      <x:c r="B50" s="11"/>
      <x:c r="D50" s="31">
        <x:f>D16+D25+D29+D32+D38+D42</x:f>
        <x:v>117965.16000000011</x:v>
      </x:c>
      <x:c r="E50" s="31">
        <x:f>E16+E25+E29+E32+E38+E42+E45</x:f>
        <x:v>309465.82000000007</x:v>
      </x:c>
      <x:c r="F50" s="31">
        <x:f>F16+F25+F29+F32+F38+F42</x:f>
        <x:v>471248.0799999999</x:v>
      </x:c>
      <x:c r="G50" s="31">
        <x:f>G16+G25+G29+G32+G38+G42</x:f>
        <x:v>224344.60000000003</x:v>
      </x:c>
      <x:c r="H50" s="31">
        <x:f t="shared" ref="H50:O50" si="19">H16+H25+H29+H32+H38+H42+H49</x:f>
        <x:v>138817.19999999995</x:v>
      </x:c>
      <x:c r="I50" s="31">
        <x:f t="shared" si="19"/>
        <x:v>-18131.530000000013</x:v>
      </x:c>
      <x:c r="J50" s="31">
        <x:f t="shared" si="19"/>
        <x:v>389398.07000000007</x:v>
      </x:c>
      <x:c r="K50" s="31">
        <x:f t="shared" si="19"/>
        <x:v>156194.92000000004</x:v>
      </x:c>
      <x:c r="L50" s="31">
        <x:f t="shared" si="19"/>
        <x:v>204103.93</x:v>
      </x:c>
      <x:c r="M50" s="31">
        <x:f t="shared" si="19"/>
        <x:v>129621.65</x:v>
      </x:c>
      <x:c r="N50" s="31">
        <x:f t="shared" si="19"/>
        <x:v>168122.46000000002</x:v>
      </x:c>
      <x:c r="O50" s="31">
        <x:f t="shared" si="19"/>
        <x:v>111278.36000000004</x:v>
      </x:c>
      <x:c r="P50" s="31">
        <x:f>P16+P25+P29+P32+P38+P42+P45+P49+P46</x:f>
        <x:v>2402428.7200000002</x:v>
      </x:c>
    </x:row>
    <x:row r="51" spans="1:16" s="37" customFormat="1" ht="15" thickTop="1" x14ac:dyDescent="0.35">
      <x:c r="A51" s="36"/>
      <x:c r="B51" s="36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9" t="s">
        <x:v>82</x:v>
      </x:c>
      <x:c r="P51" s="38">
        <x:f>ROUND(P50/5,2)</x:f>
        <x:v>480485.74</x:v>
      </x:c>
    </x:row>
    <x:row r="52" spans="1:16" s="37" customFormat="1" x14ac:dyDescent="0.35">
      <x:c r="A52" s="36"/>
      <x:c r="B52" s="36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9"/>
      <x:c r="P52" s="38"/>
    </x:row>
    <x:row r="53" spans="1:16" s="37" customFormat="1" x14ac:dyDescent="0.35">
      <x:c r="A53" s="36"/>
      <x:c r="B53" s="36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45" t="s">
        <x:v>74</x:v>
      </x:c>
      <x:c r="P53" s="46">
        <x:v>35329.22</x:v>
      </x:c>
    </x:row>
    <x:row r="54" spans="1:16" s="37" customFormat="1" x14ac:dyDescent="0.35">
      <x:c r="A54" s="36"/>
      <x:c r="B54" s="36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45" t="s">
        <x:v>75</x:v>
      </x:c>
      <x:c r="P54" s="48">
        <x:f>P51-P53</x:f>
        <x:v>445156.52</x:v>
      </x:c>
    </x:row>
    <x:row r="55" spans="1:16" x14ac:dyDescent="0.35">
      <x:c r="O55" s="49" t="s">
        <x:v>83</x:v>
      </x:c>
      <x:c r="P55" s="47">
        <x:f>SUM(P53:P54)</x:f>
        <x:v>480485.74</x:v>
      </x:c>
    </x:row>
    <x:row r="56" spans="1:16" x14ac:dyDescent="0.35">
      <x:c r="A56" s="35" t="s">
        <x:v>95</x:v>
      </x:c>
    </x:row>
    <x:row r="57" spans="1:16" x14ac:dyDescent="0.35">
      <x:c r="P57" s="4">
        <x:f>'WP COVID-19 Sum page1'!B15</x:f>
        <x:v>2402428.7200000002</x:v>
      </x:c>
    </x:row>
    <x:row r="58" spans="1:16" x14ac:dyDescent="0.35">
      <x:c r="P58" s="6"/>
    </x:row>
    <x:row r="59" spans="1:16" x14ac:dyDescent="0.35">
      <x:c r="P59" s="12"/>
    </x:row>
    <x:row r="61" spans="1:16" x14ac:dyDescent="0.35">
      <x:c r="P61" s="12"/>
    </x:row>
  </x:sheetData>
  <x:mergeCells count="1">
    <x:mergeCell ref="D4:P4"/>
  </x:mergeCells>
  <x:phoneticPr fontId="21" type="noConversion"/>
  <x:pageMargins left="0.2" right="0.2" top="0.5" bottom="0.5" header="0.3" footer="0.3"/>
  <x:pageSetup scale="44" orientation="landscape" r:id="rId1"/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2025-05-01T17:09:54.0000000Z</dcterms:modified>
</coreProperties>
</file>