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D93D46D5-A7C6-43DF-A1AE-BF45007C91F2}" xr6:coauthVersionLast="47" xr6:coauthVersionMax="47" xr10:uidLastSave="{00000000-0000-0000-0000-000000000000}"/>
  <x:bookViews>
    <x:workbookView xWindow="-26192" yWindow="-109" windowWidth="26301" windowHeight="14169" xr2:uid="{D1751100-4E5D-4286-8DE7-0ED6FA45FF86}"/>
  </x:bookViews>
  <x:sheets>
    <x:sheet name="WP II-B-3_02_397.2" sheetId="1" r:id="rId1"/>
  </x:sheets>
  <x:definedNames>
    <x:definedName name="_xlnm._FilterDatabase" localSheetId="0" hidden="1">'WP II-B-3_02_397.2'!$A$1:$P$68</x:definedName>
    <x:definedName name="_xlnm.Print_Titles" localSheetId="0">'WP II-B-3_02_397.2'!$1:$1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O68" i="1" l="1"/>
  <x:c r="O67" i="1"/>
  <x:c r="O66" i="1"/>
  <x:c r="O65" i="1"/>
  <x:c r="O64" i="1"/>
  <x:c r="O63" i="1"/>
  <x:c r="O62" i="1"/>
  <x:c r="O61" i="1"/>
  <x:c r="O60" i="1"/>
  <x:c r="O59" i="1"/>
  <x:c r="O58" i="1"/>
  <x:c r="O57" i="1"/>
  <x:c r="O56" i="1"/>
  <x:c r="O55" i="1"/>
  <x:c r="O54" i="1"/>
  <x:c r="O53" i="1"/>
  <x:c r="O52" i="1"/>
  <x:c r="O51" i="1"/>
  <x:c r="O50" i="1"/>
  <x:c r="O49" i="1"/>
  <x:c r="O48" i="1"/>
  <x:c r="O47" i="1"/>
  <x:c r="O46" i="1"/>
  <x:c r="O45" i="1"/>
  <x:c r="O44" i="1"/>
  <x:c r="O43" i="1"/>
  <x:c r="O42" i="1"/>
  <x:c r="O41" i="1"/>
  <x:c r="O40" i="1"/>
  <x:c r="O39" i="1"/>
  <x:c r="O38" i="1"/>
  <x:c r="O37" i="1"/>
  <x:c r="O36" i="1"/>
  <x:c r="O35" i="1"/>
  <x:c r="O34" i="1"/>
  <x:c r="O33" i="1"/>
  <x:c r="O32" i="1"/>
  <x:c r="O31" i="1"/>
  <x:c r="O30" i="1"/>
  <x:c r="O29" i="1"/>
  <x:c r="O28" i="1"/>
  <x:c r="O27" i="1"/>
  <x:c r="O26" i="1"/>
  <x:c r="O25" i="1"/>
  <x:c r="O24" i="1"/>
  <x:c r="O23" i="1"/>
  <x:c r="O22" i="1"/>
  <x:c r="O21" i="1"/>
  <x:c r="O20" i="1"/>
  <x:c r="O19" i="1"/>
  <x:c r="O18" i="1"/>
  <x:c r="O17" i="1"/>
  <x:c r="O16" i="1"/>
  <x:c r="O15" i="1"/>
  <x:c r="O14" i="1"/>
  <x:c r="O13" i="1"/>
  <x:c r="O12" i="1"/>
  <x:c r="O11" i="1"/>
  <x:c r="O10" i="1"/>
  <x:c r="O9" i="1"/>
  <x:c r="O8" i="1"/>
  <x:c r="O7" i="1"/>
  <x:c r="O6" i="1"/>
  <x:c r="O5" i="1"/>
  <x:c r="O4" i="1"/>
  <x:c r="O3" i="1"/>
  <x:c r="L68" i="1"/>
  <x:c r="L67" i="1"/>
  <x:c r="L66" i="1"/>
  <x:c r="L65" i="1"/>
  <x:c r="L64" i="1"/>
  <x:c r="L63" i="1"/>
  <x:c r="L62" i="1"/>
  <x:c r="L61" i="1"/>
  <x:c r="L60" i="1"/>
  <x:c r="L59" i="1"/>
  <x:c r="L58" i="1"/>
  <x:c r="L57" i="1"/>
  <x:c r="L56" i="1"/>
  <x:c r="L55" i="1"/>
  <x:c r="L54" i="1"/>
  <x:c r="L53" i="1"/>
  <x:c r="L52" i="1"/>
  <x:c r="L51" i="1"/>
  <x:c r="L50" i="1"/>
  <x:c r="L49" i="1"/>
  <x:c r="L48" i="1"/>
  <x:c r="L47" i="1"/>
  <x:c r="L46" i="1"/>
  <x:c r="L45" i="1"/>
  <x:c r="L44" i="1"/>
  <x:c r="L43" i="1"/>
  <x:c r="L42" i="1"/>
  <x:c r="L41" i="1"/>
  <x:c r="L40" i="1"/>
  <x:c r="L39" i="1"/>
  <x:c r="L38" i="1"/>
  <x:c r="L37" i="1"/>
  <x:c r="L36" i="1"/>
  <x:c r="L35" i="1"/>
  <x:c r="L34" i="1"/>
  <x:c r="L33" i="1"/>
  <x:c r="L32" i="1"/>
  <x:c r="L31" i="1"/>
  <x:c r="L30" i="1"/>
  <x:c r="L29" i="1"/>
  <x:c r="L28" i="1"/>
  <x:c r="L27" i="1"/>
  <x:c r="L26" i="1"/>
  <x:c r="L25" i="1"/>
  <x:c r="L24" i="1"/>
  <x:c r="L23" i="1"/>
  <x:c r="L22" i="1"/>
  <x:c r="L21" i="1"/>
  <x:c r="L20" i="1"/>
  <x:c r="L19" i="1"/>
  <x:c r="L18" i="1"/>
  <x:c r="L17" i="1"/>
  <x:c r="L16" i="1"/>
  <x:c r="L15" i="1"/>
  <x:c r="L14" i="1"/>
  <x:c r="L13" i="1"/>
  <x:c r="L12" i="1"/>
  <x:c r="L11" i="1"/>
  <x:c r="L10" i="1"/>
  <x:c r="L9" i="1"/>
  <x:c r="L8" i="1"/>
  <x:c r="L7" i="1"/>
  <x:c r="L6" i="1"/>
  <x:c r="L5" i="1"/>
  <x:c r="L4" i="1"/>
  <x:c r="L3" i="1"/>
  <x:c r="H68" i="1"/>
  <x:c r="H67" i="1"/>
  <x:c r="H66" i="1"/>
  <x:c r="H65" i="1"/>
  <x:c r="H64" i="1"/>
  <x:c r="H63" i="1"/>
  <x:c r="H62" i="1"/>
  <x:c r="H61" i="1"/>
  <x:c r="H60" i="1"/>
  <x:c r="H59" i="1"/>
  <x:c r="H58" i="1"/>
  <x:c r="H57" i="1"/>
  <x:c r="H56" i="1"/>
  <x:c r="H55" i="1"/>
  <x:c r="H54" i="1"/>
  <x:c r="H53" i="1"/>
  <x:c r="H52" i="1"/>
  <x:c r="H51" i="1"/>
  <x:c r="H50" i="1"/>
  <x:c r="H49" i="1"/>
  <x:c r="H48" i="1"/>
  <x:c r="H47" i="1"/>
  <x:c r="H46" i="1"/>
  <x:c r="H45" i="1"/>
  <x:c r="H44" i="1"/>
  <x:c r="H43" i="1"/>
  <x:c r="H42" i="1"/>
  <x:c r="H41" i="1"/>
  <x:c r="H40" i="1"/>
  <x:c r="H39" i="1"/>
  <x:c r="H38" i="1"/>
  <x:c r="H37" i="1"/>
  <x:c r="H36" i="1"/>
  <x:c r="H35" i="1"/>
  <x:c r="H34" i="1"/>
  <x:c r="H33" i="1"/>
  <x:c r="H32" i="1"/>
  <x:c r="H31" i="1"/>
  <x:c r="H30" i="1"/>
  <x:c r="H29" i="1"/>
  <x:c r="H28" i="1"/>
  <x:c r="H27" i="1"/>
  <x:c r="H26" i="1"/>
  <x:c r="H25" i="1"/>
  <x:c r="H24" i="1"/>
  <x:c r="H23" i="1"/>
  <x:c r="H22" i="1"/>
  <x:c r="H21" i="1"/>
  <x:c r="H20" i="1"/>
  <x:c r="H19" i="1"/>
  <x:c r="H18" i="1"/>
  <x:c r="H17" i="1"/>
  <x:c r="H16" i="1"/>
  <x:c r="H15" i="1"/>
  <x:c r="H14" i="1"/>
  <x:c r="H13" i="1"/>
  <x:c r="H12" i="1"/>
  <x:c r="H11" i="1"/>
  <x:c r="H10" i="1"/>
  <x:c r="H9" i="1"/>
  <x:c r="H8" i="1"/>
  <x:c r="H7" i="1"/>
  <x:c r="H6" i="1"/>
  <x:c r="H5" i="1"/>
  <x:c r="H4" i="1"/>
  <x:c r="H3" i="1"/>
  <x:c r="L2" i="1"/>
  <x:c r="H2" i="1"/>
  <x:c r="N56" i="1" l="1"/>
  <x:c r="K2" i="1" l="1"/>
  <x:c r="M70" i="1" l="1"/>
  <x:c r="L70" i="1"/>
  <x:c r="J70" i="1"/>
  <x:c r="I70" i="1"/>
  <x:c r="H70" i="1"/>
  <x:c r="G70" i="1"/>
  <x:c r="N68" i="1"/>
  <x:c r="K68" i="1"/>
  <x:c r="N67" i="1"/>
  <x:c r="K67" i="1"/>
  <x:c r="P67" i="1" s="1"/>
  <x:c r="N66" i="1"/>
  <x:c r="K66" i="1"/>
  <x:c r="P66" i="1" s="1"/>
  <x:c r="N65" i="1"/>
  <x:c r="K65" i="1"/>
  <x:c r="P65" i="1" s="1"/>
  <x:c r="N64" i="1"/>
  <x:c r="K64" i="1"/>
  <x:c r="N63" i="1"/>
  <x:c r="K63" i="1"/>
  <x:c r="P63" i="1" s="1"/>
  <x:c r="N62" i="1"/>
  <x:c r="K62" i="1"/>
  <x:c r="P62" i="1" s="1"/>
  <x:c r="N61" i="1"/>
  <x:c r="K61" i="1"/>
  <x:c r="P61" i="1" s="1"/>
  <x:c r="N60" i="1"/>
  <x:c r="K60" i="1"/>
  <x:c r="N59" i="1"/>
  <x:c r="K59" i="1"/>
  <x:c r="P59" i="1" s="1"/>
  <x:c r="N58" i="1"/>
  <x:c r="K58" i="1"/>
  <x:c r="P58" i="1" s="1"/>
  <x:c r="N57" i="1"/>
  <x:c r="K57" i="1"/>
  <x:c r="P57" i="1" s="1"/>
  <x:c r="K56" i="1"/>
  <x:c r="P56" i="1" s="1"/>
  <x:c r="N55" i="1"/>
  <x:c r="K55" i="1"/>
  <x:c r="N54" i="1"/>
  <x:c r="K54" i="1"/>
  <x:c r="N53" i="1"/>
  <x:c r="K53" i="1"/>
  <x:c r="N52" i="1"/>
  <x:c r="K52" i="1"/>
  <x:c r="P52" i="1" s="1"/>
  <x:c r="N51" i="1"/>
  <x:c r="K51" i="1"/>
  <x:c r="P51" i="1" s="1"/>
  <x:c r="N50" i="1"/>
  <x:c r="K50" i="1"/>
  <x:c r="N49" i="1"/>
  <x:c r="K49" i="1"/>
  <x:c r="N48" i="1"/>
  <x:c r="K48" i="1"/>
  <x:c r="P48" i="1" s="1"/>
  <x:c r="N47" i="1"/>
  <x:c r="K47" i="1"/>
  <x:c r="P47" i="1" s="1"/>
  <x:c r="N46" i="1"/>
  <x:c r="K46" i="1"/>
  <x:c r="N45" i="1"/>
  <x:c r="K45" i="1"/>
  <x:c r="N44" i="1"/>
  <x:c r="K44" i="1"/>
  <x:c r="P44" i="1" s="1"/>
  <x:c r="N43" i="1"/>
  <x:c r="K43" i="1"/>
  <x:c r="P43" i="1" s="1"/>
  <x:c r="N42" i="1"/>
  <x:c r="K42" i="1"/>
  <x:c r="N41" i="1"/>
  <x:c r="K41" i="1"/>
  <x:c r="N40" i="1"/>
  <x:c r="K40" i="1"/>
  <x:c r="P40" i="1" s="1"/>
  <x:c r="N39" i="1"/>
  <x:c r="K39" i="1"/>
  <x:c r="P39" i="1" s="1"/>
  <x:c r="N38" i="1"/>
  <x:c r="K38" i="1"/>
  <x:c r="N37" i="1"/>
  <x:c r="K37" i="1"/>
  <x:c r="N36" i="1"/>
  <x:c r="K36" i="1"/>
  <x:c r="P36" i="1" s="1"/>
  <x:c r="N35" i="1"/>
  <x:c r="K35" i="1"/>
  <x:c r="P35" i="1" s="1"/>
  <x:c r="N34" i="1"/>
  <x:c r="K34" i="1"/>
  <x:c r="N33" i="1"/>
  <x:c r="K33" i="1"/>
  <x:c r="N32" i="1"/>
  <x:c r="K32" i="1"/>
  <x:c r="P32" i="1" s="1"/>
  <x:c r="N31" i="1"/>
  <x:c r="K31" i="1"/>
  <x:c r="P31" i="1" s="1"/>
  <x:c r="N30" i="1"/>
  <x:c r="K30" i="1"/>
  <x:c r="N29" i="1"/>
  <x:c r="K29" i="1"/>
  <x:c r="N28" i="1"/>
  <x:c r="K28" i="1"/>
  <x:c r="P28" i="1" s="1"/>
  <x:c r="N27" i="1"/>
  <x:c r="K27" i="1"/>
  <x:c r="P27" i="1" s="1"/>
  <x:c r="N26" i="1"/>
  <x:c r="K26" i="1"/>
  <x:c r="N25" i="1"/>
  <x:c r="K25" i="1"/>
  <x:c r="N24" i="1"/>
  <x:c r="K24" i="1"/>
  <x:c r="P24" i="1" s="1"/>
  <x:c r="N23" i="1"/>
  <x:c r="K23" i="1"/>
  <x:c r="P23" i="1" s="1"/>
  <x:c r="N22" i="1"/>
  <x:c r="K22" i="1"/>
  <x:c r="N21" i="1"/>
  <x:c r="K21" i="1"/>
  <x:c r="N20" i="1"/>
  <x:c r="K20" i="1"/>
  <x:c r="P20" i="1" s="1"/>
  <x:c r="N19" i="1"/>
  <x:c r="K19" i="1"/>
  <x:c r="P19" i="1" s="1"/>
  <x:c r="N18" i="1"/>
  <x:c r="K18" i="1"/>
  <x:c r="N17" i="1"/>
  <x:c r="K17" i="1"/>
  <x:c r="N16" i="1"/>
  <x:c r="K16" i="1"/>
  <x:c r="P16" i="1" s="1"/>
  <x:c r="N15" i="1"/>
  <x:c r="K15" i="1"/>
  <x:c r="P15" i="1" s="1"/>
  <x:c r="N14" i="1"/>
  <x:c r="K14" i="1"/>
  <x:c r="N13" i="1"/>
  <x:c r="K13" i="1"/>
  <x:c r="N12" i="1"/>
  <x:c r="K12" i="1"/>
  <x:c r="P12" i="1" s="1"/>
  <x:c r="N11" i="1"/>
  <x:c r="K11" i="1"/>
  <x:c r="P11" i="1" s="1"/>
  <x:c r="N10" i="1"/>
  <x:c r="K10" i="1"/>
  <x:c r="N9" i="1"/>
  <x:c r="K9" i="1"/>
  <x:c r="N8" i="1"/>
  <x:c r="K8" i="1"/>
  <x:c r="P8" i="1" s="1"/>
  <x:c r="N7" i="1"/>
  <x:c r="K7" i="1"/>
  <x:c r="P7" i="1" s="1"/>
  <x:c r="N6" i="1"/>
  <x:c r="K6" i="1"/>
  <x:c r="N5" i="1"/>
  <x:c r="K5" i="1"/>
  <x:c r="N4" i="1"/>
  <x:c r="K4" i="1"/>
  <x:c r="P4" i="1" s="1"/>
  <x:c r="N3" i="1"/>
  <x:c r="K3" i="1"/>
  <x:c r="P3" i="1" s="1"/>
  <x:c r="N2" i="1"/>
  <x:c r="P5" i="1" l="1"/>
  <x:c r="P9" i="1"/>
  <x:c r="P13" i="1"/>
  <x:c r="P17" i="1"/>
  <x:c r="P21" i="1"/>
  <x:c r="P25" i="1"/>
  <x:c r="P29" i="1"/>
  <x:c r="P33" i="1"/>
  <x:c r="P37" i="1"/>
  <x:c r="P41" i="1"/>
  <x:c r="P45" i="1"/>
  <x:c r="P49" i="1"/>
  <x:c r="P53" i="1"/>
  <x:c r="P6" i="1"/>
  <x:c r="P10" i="1"/>
  <x:c r="P14" i="1"/>
  <x:c r="P18" i="1"/>
  <x:c r="P22" i="1"/>
  <x:c r="P26" i="1"/>
  <x:c r="P30" i="1"/>
  <x:c r="P34" i="1"/>
  <x:c r="P38" i="1"/>
  <x:c r="P42" i="1"/>
  <x:c r="P46" i="1"/>
  <x:c r="P50" i="1"/>
  <x:c r="P54" i="1"/>
  <x:c r="P55" i="1"/>
  <x:c r="P60" i="1"/>
  <x:c r="P64" i="1"/>
  <x:c r="P68" i="1"/>
  <x:c r="K70" i="1"/>
  <x:c r="N70" i="1"/>
  <x:c r="O2" i="1" l="1"/>
  <x:c r="R72" i="1"/>
  <x:c r="O70" i="1" l="1"/>
  <x:c r="P2" i="1"/>
  <x:c r="P70" i="1" s="1"/>
  <x:c r="Q70" i="1" l="1"/>
</x:calcChain>
</file>

<file path=xl/sharedStrings.xml><?xml version="1.0" encoding="utf-8"?>
<sst xmlns="http://schemas.openxmlformats.org/spreadsheetml/2006/main" count="353" uniqueCount="51">
  <si>
    <t>Unit</t>
  </si>
  <si>
    <t>System</t>
  </si>
  <si>
    <t>FERC Account</t>
  </si>
  <si>
    <t>Vintage</t>
  </si>
  <si>
    <t>Location</t>
  </si>
  <si>
    <t>Allocation Methodology</t>
  </si>
  <si>
    <t>Allocation to Texas</t>
  </si>
  <si>
    <t>TRAN</t>
  </si>
  <si>
    <t>NTU TRAN</t>
  </si>
  <si>
    <t>DC TIE</t>
  </si>
  <si>
    <t>Consol TRAN</t>
  </si>
  <si>
    <t>DIST</t>
  </si>
  <si>
    <t>NTU DIST</t>
  </si>
  <si>
    <t>Consol DIST</t>
  </si>
  <si>
    <t>MET</t>
  </si>
  <si>
    <t>TDCS</t>
  </si>
  <si>
    <t>Advance Metering Information System (AMS)</t>
  </si>
  <si>
    <t>2022</t>
  </si>
  <si>
    <t>0005020</t>
  </si>
  <si>
    <t>DISTRIBUTION - ALLO</t>
  </si>
  <si>
    <t>Asset and Work Management Systems</t>
  </si>
  <si>
    <t>2023</t>
  </si>
  <si>
    <t>2024</t>
  </si>
  <si>
    <t>Asset and Work Management Technology</t>
  </si>
  <si>
    <t>2014</t>
  </si>
  <si>
    <t>2019</t>
  </si>
  <si>
    <t>2020</t>
  </si>
  <si>
    <t>2021</t>
  </si>
  <si>
    <t>Content Management</t>
  </si>
  <si>
    <t>Data Center and Reporting Systems</t>
  </si>
  <si>
    <t>Data Center Infrastructure and Management</t>
  </si>
  <si>
    <t>2018</t>
  </si>
  <si>
    <t>2017</t>
  </si>
  <si>
    <t>Data Warehouse and Reporting</t>
  </si>
  <si>
    <t xml:space="preserve">Data Warehouse and Reporting </t>
  </si>
  <si>
    <t>Distribution Engineering and Design Systems</t>
  </si>
  <si>
    <t>Email</t>
  </si>
  <si>
    <t>Enterprise Service Bus</t>
  </si>
  <si>
    <t>Financial and Accounting Systems</t>
  </si>
  <si>
    <t>IT Tools and Support Systems</t>
  </si>
  <si>
    <t>Mobile Applications</t>
  </si>
  <si>
    <t>Sharepoint and Web Applications</t>
  </si>
  <si>
    <t>Technology Security Management</t>
  </si>
  <si>
    <t>2016</t>
  </si>
  <si>
    <t>Technology Tools and Support</t>
  </si>
  <si>
    <t xml:space="preserve">Technology Tools and Support </t>
  </si>
  <si>
    <t>Telecommunication/Core Network Systems</t>
  </si>
  <si>
    <t>Transmission SCADA and Support Systems</t>
  </si>
  <si>
    <t>Technology Tools and Support Systems</t>
  </si>
  <si>
    <t>Intangible Plant</t>
  </si>
  <si>
    <t>See WP II-B-1_01 Net Plant Factors for Intangible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</si>
</sst>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%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wrapText="1"/>
    </xf>
    <xf numFmtId="39" fontId="2" fillId="0" borderId="1" xfId="1" applyNumberFormat="1" applyFont="1" applyBorder="1" applyAlignment="1">
      <alignment horizontal="center" wrapText="1"/>
    </xf>
    <xf numFmtId="39" fontId="2" fillId="0" borderId="1" xfId="0" applyNumberFormat="1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39" fontId="3" fillId="0" borderId="0" xfId="1" applyNumberFormat="1" applyFont="1" applyFill="1"/>
    <xf numFmtId="39" fontId="3" fillId="0" borderId="0" xfId="0" applyNumberFormat="1" applyFont="1"/>
    <xf numFmtId="40" fontId="3" fillId="0" borderId="0" xfId="1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/>
    <xf numFmtId="40" fontId="4" fillId="0" borderId="0" xfId="1" applyNumberFormat="1" applyFont="1" applyFill="1"/>
    <xf numFmtId="39" fontId="3" fillId="0" borderId="0" xfId="1" applyNumberFormat="1" applyFont="1"/>
    <xf numFmtId="39" fontId="3" fillId="0" borderId="2" xfId="1" applyNumberFormat="1" applyFont="1" applyBorder="1"/>
    <xf numFmtId="39" fontId="3" fillId="0" borderId="2" xfId="0" applyNumberFormat="1" applyFont="1" applyBorder="1"/>
    <xf numFmtId="0" fontId="2" fillId="0" borderId="0" xfId="0" applyFont="1" applyAlignment="1">
      <alignment horizontal="center"/>
    </xf>
    <xf numFmtId="39" fontId="2" fillId="0" borderId="0" xfId="0" applyNumberFormat="1" applyFont="1" applyAlignment="1">
      <alignment horizontal="center"/>
    </xf>
    <xf numFmtId="164" fontId="3" fillId="0" borderId="0" xfId="0" applyNumberFormat="1" applyFont="1"/>
    <xf numFmtId="0" fontId="2" fillId="0" borderId="0" xfId="0" applyFont="1"/>
    <xf numFmtId="164" fontId="2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6F3C8A6-3CD2-478C-9BD5-92E6ED0B0F24}" mc:Ignorable="x14ac xr xr2 xr3">
  <x:sheetPr>
    <x:pageSetUpPr fitToPage="1"/>
  </x:sheetPr>
  <x:dimension ref="A1:R87"/>
  <x:sheetViews>
    <x:sheetView tabSelected="1" topLeftCell="G1" zoomScaleNormal="100" workbookViewId="0">
      <x:pane ySplit="1" topLeftCell="A49" activePane="bottomLeft" state="frozen"/>
      <x:selection pane="bottomLeft" activeCell="R72" sqref="R72"/>
    </x:sheetView>
  </x:sheetViews>
  <x:sheetFormatPr defaultColWidth="9.125" defaultRowHeight="15.65" x14ac:dyDescent="0.25"/>
  <x:cols>
    <x:col min="1" max="1" width="9.125" style="5"/>
    <x:col min="2" max="2" width="49.125" style="4" customWidth="1"/>
    <x:col min="3" max="3" width="10.5" style="5" bestFit="1" customWidth="1"/>
    <x:col min="4" max="4" width="10.5" style="5" customWidth="1"/>
    <x:col min="5" max="5" width="11.75" style="5" customWidth="1"/>
    <x:col min="6" max="6" width="32.125" style="5" bestFit="1" customWidth="1"/>
    <x:col min="7" max="7" width="21.25" style="12" bestFit="1" customWidth="1"/>
    <x:col min="8" max="9" width="21.25" style="7" bestFit="1" customWidth="1"/>
    <x:col min="10" max="10" width="18.875" style="7" bestFit="1" customWidth="1"/>
    <x:col min="11" max="12" width="21.25" style="7" bestFit="1" customWidth="1"/>
    <x:col min="13" max="13" width="18.125" style="7" bestFit="1" customWidth="1"/>
    <x:col min="14" max="14" width="21.25" style="7" bestFit="1" customWidth="1"/>
    <x:col min="15" max="16" width="18.125" style="7" bestFit="1" customWidth="1"/>
    <x:col min="17" max="17" width="9.125" style="4"/>
    <x:col min="18" max="18" width="12.5" style="4" bestFit="1" customWidth="1"/>
    <x:col min="19" max="16384" width="9.125" style="4"/>
  </x:cols>
  <x:sheetData>
    <x:row r="1" spans="1:17" ht="31.25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</x:row>
    <x:row r="2" spans="1:17" x14ac:dyDescent="0.25">
      <x:c r="A2" s="5" t="s">
        <x:v>11</x:v>
      </x:c>
      <x:c r="B2" s="4" t="s">
        <x:v>16</x:v>
      </x:c>
      <x:c r="C2" s="5">
        <x:v>397.2</x:v>
      </x:c>
      <x:c r="D2" s="5" t="s">
        <x:v>17</x:v>
      </x:c>
      <x:c r="E2" s="5" t="s">
        <x:v>18</x:v>
      </x:c>
      <x:c r="F2" s="5" t="s">
        <x:v>19</x:v>
      </x:c>
      <x:c r="G2" s="6">
        <x:v>191151.55</x:v>
      </x:c>
      <x:c r="H2" s="7">
        <x:f>ROUND(G2*$K$72,2)</x:f>
        <x:v>88380.83</x:v>
      </x:c>
      <x:c r="K2" s="7">
        <x:f>SUM(H2:J2)</x:f>
        <x:v>88380.83</x:v>
      </x:c>
      <x:c r="L2" s="7">
        <x:f>ROUND(G2*$N$72,2)</x:f>
        <x:v>99825.07</x:v>
      </x:c>
      <x:c r="N2" s="7">
        <x:f t="shared" ref="N2:N65" si="0">SUM(L2:M2)</x:f>
        <x:v>99825.07</x:v>
      </x:c>
      <x:c r="O2" s="7">
        <x:f>ROUND(G2*$O$72,2)</x:f>
        <x:v>2752.58</x:v>
      </x:c>
      <x:c r="P2" s="7">
        <x:f>G2-K2-N2-O2</x:f>
        <x:v>193.0699999999797</x:v>
      </x:c>
    </x:row>
    <x:row r="3" spans="1:17" x14ac:dyDescent="0.25">
      <x:c r="A3" s="5" t="s">
        <x:v>11</x:v>
      </x:c>
      <x:c r="B3" s="4" t="s">
        <x:v>20</x:v>
      </x:c>
      <x:c r="C3" s="5">
        <x:v>397.2</x:v>
      </x:c>
      <x:c r="D3" s="5" t="s">
        <x:v>21</x:v>
      </x:c>
      <x:c r="E3" s="5" t="s">
        <x:v>18</x:v>
      </x:c>
      <x:c r="F3" s="5" t="s">
        <x:v>19</x:v>
      </x:c>
      <x:c r="G3" s="6">
        <x:v>92314.559999999998</x:v>
      </x:c>
      <x:c r="H3" s="7">
        <x:f t="shared" ref="H3:H66" si="1">ROUND(G3*$K$72,2)</x:f>
        <x:v>42682.559999999998</x:v>
      </x:c>
      <x:c r="K3" s="7">
        <x:f t="shared" ref="K3:K24" si="2">SUM(H3:J3)</x:f>
        <x:v>42682.559999999998</x:v>
      </x:c>
      <x:c r="L3" s="7">
        <x:f t="shared" ref="L3:L66" si="3">ROUND(G3*$N$72,2)</x:f>
        <x:v>48209.43</x:v>
      </x:c>
      <x:c r="N3" s="7">
        <x:f t="shared" si="0"/>
        <x:v>48209.43</x:v>
      </x:c>
      <x:c r="O3" s="7">
        <x:f t="shared" ref="O3:O66" si="4">ROUND(G3*$O$72,2)</x:f>
        <x:v>1329.33</x:v>
      </x:c>
      <x:c r="P3" s="7">
        <x:f t="shared" ref="P3:P66" si="5">G3-K3-N3-O3</x:f>
        <x:v>93.239999999999782</x:v>
      </x:c>
    </x:row>
    <x:row r="4" spans="1:17" x14ac:dyDescent="0.25">
      <x:c r="A4" s="5" t="s">
        <x:v>11</x:v>
      </x:c>
      <x:c r="B4" s="4" t="s">
        <x:v>20</x:v>
      </x:c>
      <x:c r="C4" s="5">
        <x:v>397.2</x:v>
      </x:c>
      <x:c r="D4" s="5" t="s">
        <x:v>22</x:v>
      </x:c>
      <x:c r="E4" s="5" t="s">
        <x:v>18</x:v>
      </x:c>
      <x:c r="F4" s="5" t="s">
        <x:v>19</x:v>
      </x:c>
      <x:c r="G4" s="6">
        <x:v>5873361.71</x:v>
      </x:c>
      <x:c r="H4" s="7">
        <x:f t="shared" si="1"/>
        <x:v>2715607.52</x:v>
      </x:c>
      <x:c r="K4" s="7">
        <x:f t="shared" si="2"/>
        <x:v>2715607.52</x:v>
      </x:c>
      <x:c r="L4" s="7">
        <x:f t="shared" si="3"/>
        <x:v>3067245.69</x:v>
      </x:c>
      <x:c r="N4" s="7">
        <x:f t="shared" si="0"/>
        <x:v>3067245.69</x:v>
      </x:c>
      <x:c r="O4" s="7">
        <x:f t="shared" si="4"/>
        <x:v>84576.41</x:v>
      </x:c>
      <x:c r="P4" s="7">
        <x:f t="shared" si="5"/>
        <x:v>5932.0899999999965</x:v>
      </x:c>
    </x:row>
    <x:row r="5" spans="1:17" x14ac:dyDescent="0.25">
      <x:c r="A5" s="5" t="s">
        <x:v>11</x:v>
      </x:c>
      <x:c r="B5" s="4" t="s">
        <x:v>23</x:v>
      </x:c>
      <x:c r="C5" s="5">
        <x:v>397.2</x:v>
      </x:c>
      <x:c r="D5" s="5" t="s">
        <x:v>24</x:v>
      </x:c>
      <x:c r="E5" s="5" t="s">
        <x:v>18</x:v>
      </x:c>
      <x:c r="F5" s="5" t="s">
        <x:v>19</x:v>
      </x:c>
      <x:c r="G5" s="8">
        <x:v>3243740.37</x:v>
      </x:c>
      <x:c r="H5" s="7">
        <x:f t="shared" si="1"/>
        <x:v>1499775.8</x:v>
      </x:c>
      <x:c r="K5" s="7">
        <x:f t="shared" si="2"/>
        <x:v>1499775.8</x:v>
      </x:c>
      <x:c r="L5" s="7">
        <x:f t="shared" si="3"/>
        <x:v>1693978.53</x:v>
      </x:c>
      <x:c r="N5" s="7">
        <x:f t="shared" si="0"/>
        <x:v>1693978.53</x:v>
      </x:c>
      <x:c r="O5" s="7">
        <x:f t="shared" si="4"/>
        <x:v>46709.86</x:v>
      </x:c>
      <x:c r="P5" s="7">
        <x:f t="shared" si="5"/>
        <x:v>3276.1800000000367</x:v>
      </x:c>
    </x:row>
    <x:row r="6" spans="1:17" x14ac:dyDescent="0.25">
      <x:c r="A6" s="9" t="s">
        <x:v>11</x:v>
      </x:c>
      <x:c r="B6" s="10" t="s">
        <x:v>23</x:v>
      </x:c>
      <x:c r="C6" s="5">
        <x:v>397.2</x:v>
      </x:c>
      <x:c r="D6" s="9" t="s">
        <x:v>25</x:v>
      </x:c>
      <x:c r="E6" s="9" t="s">
        <x:v>18</x:v>
      </x:c>
      <x:c r="F6" s="9" t="s">
        <x:v>19</x:v>
      </x:c>
      <x:c r="G6" s="11">
        <x:v>269754.28999999998</x:v>
      </x:c>
      <x:c r="H6" s="7">
        <x:f t="shared" si="1"/>
        <x:v>124723.59</x:v>
      </x:c>
      <x:c r="K6" s="7">
        <x:f t="shared" si="2"/>
        <x:v>124723.59</x:v>
      </x:c>
      <x:c r="L6" s="7">
        <x:f t="shared" si="3"/>
        <x:v>140873.78</x:v>
      </x:c>
      <x:c r="N6" s="7">
        <x:f t="shared" si="0"/>
        <x:v>140873.78</x:v>
      </x:c>
      <x:c r="O6" s="7">
        <x:f t="shared" si="4"/>
        <x:v>3884.46</x:v>
      </x:c>
      <x:c r="P6" s="7">
        <x:f t="shared" si="5"/>
        <x:v>272.45999999998367</x:v>
      </x:c>
    </x:row>
    <x:row r="7" spans="1:17" x14ac:dyDescent="0.25">
      <x:c r="A7" s="5" t="s">
        <x:v>11</x:v>
      </x:c>
      <x:c r="B7" s="4" t="s">
        <x:v>23</x:v>
      </x:c>
      <x:c r="C7" s="5">
        <x:v>397.2</x:v>
      </x:c>
      <x:c r="D7" s="5" t="s">
        <x:v>26</x:v>
      </x:c>
      <x:c r="E7" s="5" t="s">
        <x:v>18</x:v>
      </x:c>
      <x:c r="F7" s="5" t="s">
        <x:v>19</x:v>
      </x:c>
      <x:c r="G7" s="8">
        <x:v>512687.68</x:v>
      </x:c>
      <x:c r="H7" s="7">
        <x:f t="shared" si="1"/>
        <x:v>237046.28</x:v>
      </x:c>
      <x:c r="K7" s="7">
        <x:f t="shared" si="2"/>
        <x:v>237046.28</x:v>
      </x:c>
      <x:c r="L7" s="7">
        <x:f t="shared" si="3"/>
        <x:v>267740.89</x:v>
      </x:c>
      <x:c r="N7" s="7">
        <x:f t="shared" si="0"/>
        <x:v>267740.89</x:v>
      </x:c>
      <x:c r="O7" s="7">
        <x:f t="shared" si="4"/>
        <x:v>7382.7</x:v>
      </x:c>
      <x:c r="P7" s="7">
        <x:f t="shared" si="5"/>
        <x:v>517.8100000000095</x:v>
      </x:c>
    </x:row>
    <x:row r="8" spans="1:17" x14ac:dyDescent="0.25">
      <x:c r="A8" s="5" t="s">
        <x:v>11</x:v>
      </x:c>
      <x:c r="B8" s="4" t="s">
        <x:v>23</x:v>
      </x:c>
      <x:c r="C8" s="5">
        <x:v>397.2</x:v>
      </x:c>
      <x:c r="D8" s="5" t="s">
        <x:v>27</x:v>
      </x:c>
      <x:c r="E8" s="5" t="s">
        <x:v>18</x:v>
      </x:c>
      <x:c r="F8" s="5" t="s">
        <x:v>19</x:v>
      </x:c>
      <x:c r="G8" s="8">
        <x:v>596321.6399999999</x:v>
      </x:c>
      <x:c r="H8" s="7">
        <x:f t="shared" si="1"/>
        <x:v>275715.27</x:v>
      </x:c>
      <x:c r="K8" s="7">
        <x:f t="shared" si="2"/>
        <x:v>275715.27</x:v>
      </x:c>
      <x:c r="L8" s="7">
        <x:f t="shared" si="3"/>
        <x:v>311417.05</x:v>
      </x:c>
      <x:c r="N8" s="7">
        <x:f t="shared" si="0"/>
        <x:v>311417.05</x:v>
      </x:c>
      <x:c r="O8" s="7">
        <x:f t="shared" si="4"/>
        <x:v>8587.0300000000007</x:v>
      </x:c>
      <x:c r="P8" s="7">
        <x:f t="shared" si="5"/>
        <x:v>602.28999999988991</x:v>
      </x:c>
    </x:row>
    <x:row r="9" spans="1:17" x14ac:dyDescent="0.25">
      <x:c r="A9" s="5" t="s">
        <x:v>11</x:v>
      </x:c>
      <x:c r="B9" s="4" t="s">
        <x:v>23</x:v>
      </x:c>
      <x:c r="C9" s="5">
        <x:v>397.2</x:v>
      </x:c>
      <x:c r="D9" s="5" t="s">
        <x:v>21</x:v>
      </x:c>
      <x:c r="E9" s="5" t="s">
        <x:v>18</x:v>
      </x:c>
      <x:c r="F9" s="5" t="s">
        <x:v>19</x:v>
      </x:c>
      <x:c r="G9" s="8">
        <x:v>9213302</x:v>
      </x:c>
      <x:c r="H9" s="7">
        <x:f t="shared" si="1"/>
        <x:v>4259862.3099999996</x:v>
      </x:c>
      <x:c r="K9" s="7">
        <x:f t="shared" si="2"/>
        <x:v>4259862.3099999996</x:v>
      </x:c>
      <x:c r="L9" s="7">
        <x:f t="shared" si="3"/>
        <x:v>4811462.7</x:v>
      </x:c>
      <x:c r="N9" s="7">
        <x:f t="shared" si="0"/>
        <x:v>4811462.7</x:v>
      </x:c>
      <x:c r="O9" s="7">
        <x:f t="shared" si="4"/>
        <x:v>132671.54999999999</x:v>
      </x:c>
      <x:c r="P9" s="7">
        <x:f t="shared" si="5"/>
        <x:v>9305.4400000002352</x:v>
      </x:c>
    </x:row>
    <x:row r="10" spans="1:17" x14ac:dyDescent="0.25">
      <x:c r="A10" s="5" t="s">
        <x:v>11</x:v>
      </x:c>
      <x:c r="B10" s="4" t="s">
        <x:v>28</x:v>
      </x:c>
      <x:c r="C10" s="5">
        <x:v>397.2</x:v>
      </x:c>
      <x:c r="D10" s="5" t="s">
        <x:v>21</x:v>
      </x:c>
      <x:c r="E10" s="5" t="s">
        <x:v>18</x:v>
      </x:c>
      <x:c r="F10" s="5" t="s">
        <x:v>19</x:v>
      </x:c>
      <x:c r="G10" s="6">
        <x:v>2238350.96</x:v>
      </x:c>
      <x:c r="H10" s="7">
        <x:f t="shared" si="1"/>
        <x:v>1034923.95</x:v>
      </x:c>
      <x:c r="K10" s="7">
        <x:f t="shared" si="2"/>
        <x:v>1034923.95</x:v>
      </x:c>
      <x:c r="L10" s="7">
        <x:f t="shared" si="3"/>
        <x:v>1168934.02</x:v>
      </x:c>
      <x:c r="N10" s="7">
        <x:f t="shared" si="0"/>
        <x:v>1168934.02</x:v>
      </x:c>
      <x:c r="O10" s="7">
        <x:f t="shared" si="4"/>
        <x:v>32232.25</x:v>
      </x:c>
      <x:c r="P10" s="7">
        <x:f t="shared" si="5"/>
        <x:v>2260.7399999999907</x:v>
      </x:c>
    </x:row>
    <x:row r="11" spans="1:17" x14ac:dyDescent="0.25">
      <x:c r="A11" s="5" t="s">
        <x:v>11</x:v>
      </x:c>
      <x:c r="B11" s="4" t="s">
        <x:v>29</x:v>
      </x:c>
      <x:c r="C11" s="5">
        <x:v>397.2</x:v>
      </x:c>
      <x:c r="D11" s="5" t="s">
        <x:v>25</x:v>
      </x:c>
      <x:c r="E11" s="5" t="s">
        <x:v>18</x:v>
      </x:c>
      <x:c r="F11" s="5" t="s">
        <x:v>19</x:v>
      </x:c>
      <x:c r="G11" s="6">
        <x:v>230182.16</x:v>
      </x:c>
      <x:c r="H11" s="7">
        <x:f t="shared" si="1"/>
        <x:v>106427.02</x:v>
      </x:c>
      <x:c r="K11" s="7">
        <x:f t="shared" si="2"/>
        <x:v>106427.02</x:v>
      </x:c>
      <x:c r="L11" s="7">
        <x:f t="shared" si="3"/>
        <x:v>120208.03</x:v>
      </x:c>
      <x:c r="N11" s="7">
        <x:f t="shared" si="0"/>
        <x:v>120208.03</x:v>
      </x:c>
      <x:c r="O11" s="7">
        <x:f t="shared" si="4"/>
        <x:v>3314.62</x:v>
      </x:c>
      <x:c r="P11" s="7">
        <x:f t="shared" si="5"/>
        <x:v>232.49000000000069</x:v>
      </x:c>
    </x:row>
    <x:row r="12" spans="1:17" x14ac:dyDescent="0.25">
      <x:c r="A12" s="5" t="s">
        <x:v>11</x:v>
      </x:c>
      <x:c r="B12" s="4" t="s">
        <x:v>29</x:v>
      </x:c>
      <x:c r="C12" s="5">
        <x:v>397.2</x:v>
      </x:c>
      <x:c r="D12" s="5" t="s">
        <x:v>22</x:v>
      </x:c>
      <x:c r="E12" s="5" t="s">
        <x:v>18</x:v>
      </x:c>
      <x:c r="F12" s="5" t="s">
        <x:v>19</x:v>
      </x:c>
      <x:c r="G12" s="6">
        <x:v>244681.38</x:v>
      </x:c>
      <x:c r="H12" s="7">
        <x:f t="shared" si="1"/>
        <x:v>113130.88</x:v>
      </x:c>
      <x:c r="K12" s="7">
        <x:f t="shared" si="2"/>
        <x:v>113130.88</x:v>
      </x:c>
      <x:c r="L12" s="7">
        <x:f t="shared" si="3"/>
        <x:v>127779.96</x:v>
      </x:c>
      <x:c r="N12" s="7">
        <x:f t="shared" si="0"/>
        <x:v>127779.96</x:v>
      </x:c>
      <x:c r="O12" s="7">
        <x:f t="shared" si="4"/>
        <x:v>3523.41</x:v>
      </x:c>
      <x:c r="P12" s="7">
        <x:f t="shared" si="5"/>
        <x:v>247.12999999999374</x:v>
      </x:c>
    </x:row>
    <x:row r="13" spans="1:17" x14ac:dyDescent="0.25">
      <x:c r="A13" s="5" t="s">
        <x:v>11</x:v>
      </x:c>
      <x:c r="B13" s="4" t="s">
        <x:v>30</x:v>
      </x:c>
      <x:c r="C13" s="5">
        <x:v>397.2</x:v>
      </x:c>
      <x:c r="D13" s="5" t="s">
        <x:v>27</x:v>
      </x:c>
      <x:c r="E13" s="5" t="s">
        <x:v>18</x:v>
      </x:c>
      <x:c r="F13" s="5" t="s">
        <x:v>19</x:v>
      </x:c>
      <x:c r="G13" s="8">
        <x:v>9431393.9500000011</x:v>
      </x:c>
      <x:c r="H13" s="7">
        <x:f t="shared" si="1"/>
        <x:v>4360699.3099999996</x:v>
      </x:c>
      <x:c r="K13" s="7">
        <x:f t="shared" si="2"/>
        <x:v>4360699.3099999996</x:v>
      </x:c>
      <x:c r="L13" s="7">
        <x:f t="shared" si="3"/>
        <x:v>4925356.8600000003</x:v>
      </x:c>
      <x:c r="N13" s="7">
        <x:f t="shared" si="0"/>
        <x:v>4925356.8600000003</x:v>
      </x:c>
      <x:c r="O13" s="7">
        <x:f t="shared" si="4"/>
        <x:v>135812.07</x:v>
      </x:c>
      <x:c r="P13" s="7">
        <x:f t="shared" si="5"/>
        <x:v>9525.7100000011851</x:v>
      </x:c>
    </x:row>
    <x:row r="14" spans="1:17" x14ac:dyDescent="0.25">
      <x:c r="A14" s="5" t="s">
        <x:v>11</x:v>
      </x:c>
      <x:c r="B14" s="4" t="s">
        <x:v>30</x:v>
      </x:c>
      <x:c r="C14" s="5">
        <x:v>397.2</x:v>
      </x:c>
      <x:c r="D14" s="5" t="s">
        <x:v>17</x:v>
      </x:c>
      <x:c r="E14" s="5" t="s">
        <x:v>18</x:v>
      </x:c>
      <x:c r="F14" s="5" t="s">
        <x:v>19</x:v>
      </x:c>
      <x:c r="G14" s="8">
        <x:v>25228090.340000004</x:v>
      </x:c>
      <x:c r="H14" s="7">
        <x:f t="shared" si="1"/>
        <x:v>11664459.85</x:v>
      </x:c>
      <x:c r="K14" s="7">
        <x:f t="shared" si="2"/>
        <x:v>11664459.85</x:v>
      </x:c>
      <x:c r="L14" s="7">
        <x:f t="shared" si="3"/>
        <x:v>13174865.619999999</x:v>
      </x:c>
      <x:c r="N14" s="7">
        <x:f t="shared" si="0"/>
        <x:v>13174865.619999999</x:v>
      </x:c>
      <x:c r="O14" s="7">
        <x:f t="shared" si="4"/>
        <x:v>363284.5</x:v>
      </x:c>
      <x:c r="P14" s="7">
        <x:f t="shared" si="5"/>
        <x:v>25480.370000004768</x:v>
      </x:c>
    </x:row>
    <x:row r="15" spans="1:17" x14ac:dyDescent="0.25">
      <x:c r="A15" s="5" t="s">
        <x:v>11</x:v>
      </x:c>
      <x:c r="B15" s="4" t="s">
        <x:v>30</x:v>
      </x:c>
      <x:c r="C15" s="5">
        <x:v>397.2</x:v>
      </x:c>
      <x:c r="D15" s="5" t="s">
        <x:v>21</x:v>
      </x:c>
      <x:c r="E15" s="5" t="s">
        <x:v>18</x:v>
      </x:c>
      <x:c r="F15" s="5" t="s">
        <x:v>19</x:v>
      </x:c>
      <x:c r="G15" s="8">
        <x:v>1091878.51</x:v>
      </x:c>
      <x:c r="H15" s="7">
        <x:f t="shared" si="1"/>
        <x:v>504840.95</x:v>
      </x:c>
      <x:c r="K15" s="7">
        <x:f t="shared" si="2"/>
        <x:v>504840.95</x:v>
      </x:c>
      <x:c r="L15" s="7">
        <x:f t="shared" si="3"/>
        <x:v>570211.71</x:v>
      </x:c>
      <x:c r="N15" s="7">
        <x:f t="shared" si="0"/>
        <x:v>570211.71</x:v>
      </x:c>
      <x:c r="O15" s="7">
        <x:f t="shared" si="4"/>
        <x:v>15723.05</x:v>
      </x:c>
      <x:c r="P15" s="7">
        <x:f t="shared" si="5"/>
        <x:v>1102.8000000000939</x:v>
      </x:c>
    </x:row>
    <x:row r="16" spans="1:17" x14ac:dyDescent="0.25">
      <x:c r="A16" s="5" t="s">
        <x:v>11</x:v>
      </x:c>
      <x:c r="B16" s="4" t="s">
        <x:v>30</x:v>
      </x:c>
      <x:c r="C16" s="5">
        <x:v>397.2</x:v>
      </x:c>
      <x:c r="D16" s="5" t="s">
        <x:v>31</x:v>
      </x:c>
      <x:c r="E16" s="5" t="s">
        <x:v>18</x:v>
      </x:c>
      <x:c r="F16" s="5" t="s">
        <x:v>19</x:v>
      </x:c>
      <x:c r="G16" s="8">
        <x:v>7342025.6900000004</x:v>
      </x:c>
      <x:c r="H16" s="7">
        <x:f t="shared" si="1"/>
        <x:v>3394659</x:v>
      </x:c>
      <x:c r="K16" s="7">
        <x:f t="shared" si="2"/>
        <x:v>3394659</x:v>
      </x:c>
      <x:c r="L16" s="7">
        <x:f t="shared" si="3"/>
        <x:v>3834226.08</x:v>
      </x:c>
      <x:c r="N16" s="7">
        <x:f t="shared" si="0"/>
        <x:v>3834226.08</x:v>
      </x:c>
      <x:c r="O16" s="7">
        <x:f t="shared" si="4"/>
        <x:v>105725.17</x:v>
      </x:c>
      <x:c r="P16" s="7">
        <x:f t="shared" si="5"/>
        <x:v>7415.440000000337</x:v>
      </x:c>
      <x:c r="Q16" s="7"/>
    </x:row>
    <x:row r="17" spans="1:17" x14ac:dyDescent="0.25">
      <x:c r="A17" s="5" t="s">
        <x:v>11</x:v>
      </x:c>
      <x:c r="B17" s="4" t="s">
        <x:v>30</x:v>
      </x:c>
      <x:c r="C17" s="5">
        <x:v>397.2</x:v>
      </x:c>
      <x:c r="D17" s="5" t="s">
        <x:v>25</x:v>
      </x:c>
      <x:c r="E17" s="5" t="s">
        <x:v>18</x:v>
      </x:c>
      <x:c r="F17" s="5" t="s">
        <x:v>19</x:v>
      </x:c>
      <x:c r="G17" s="8">
        <x:v>2873363.93</x:v>
      </x:c>
      <x:c r="H17" s="7">
        <x:f t="shared" si="1"/>
        <x:v>1328528.55</x:v>
      </x:c>
      <x:c r="K17" s="7">
        <x:f t="shared" si="2"/>
        <x:v>1328528.55</x:v>
      </x:c>
      <x:c r="L17" s="7">
        <x:f t="shared" si="3"/>
        <x:v>1500556.85</x:v>
      </x:c>
      <x:c r="N17" s="7">
        <x:f t="shared" si="0"/>
        <x:v>1500556.85</x:v>
      </x:c>
      <x:c r="O17" s="7">
        <x:f t="shared" si="4"/>
        <x:v>41376.44</x:v>
      </x:c>
      <x:c r="P17" s="7">
        <x:f t="shared" si="5"/>
        <x:v>2902.0900000000256</x:v>
      </x:c>
      <x:c r="Q17" s="7"/>
    </x:row>
    <x:row r="18" spans="1:17" x14ac:dyDescent="0.25">
      <x:c r="A18" s="5" t="s">
        <x:v>11</x:v>
      </x:c>
      <x:c r="B18" s="4" t="s">
        <x:v>30</x:v>
      </x:c>
      <x:c r="C18" s="5">
        <x:v>397.2</x:v>
      </x:c>
      <x:c r="D18" s="5" t="s">
        <x:v>26</x:v>
      </x:c>
      <x:c r="E18" s="5" t="s">
        <x:v>18</x:v>
      </x:c>
      <x:c r="F18" s="5" t="s">
        <x:v>19</x:v>
      </x:c>
      <x:c r="G18" s="8">
        <x:v>4386590.8600000003</x:v>
      </x:c>
      <x:c r="H18" s="7">
        <x:f t="shared" si="1"/>
        <x:v>2028184.15</x:v>
      </x:c>
      <x:c r="K18" s="7">
        <x:f t="shared" si="2"/>
        <x:v>2028184.15</x:v>
      </x:c>
      <x:c r="L18" s="7">
        <x:f t="shared" si="3"/>
        <x:v>2290809.34</x:v>
      </x:c>
      <x:c r="N18" s="7">
        <x:f t="shared" si="0"/>
        <x:v>2290809.34</x:v>
      </x:c>
      <x:c r="O18" s="7">
        <x:f t="shared" si="4"/>
        <x:v>63166.91</x:v>
      </x:c>
      <x:c r="P18" s="7">
        <x:f t="shared" si="5"/>
        <x:v>4430.4600000005739</x:v>
      </x:c>
      <x:c r="Q18" s="7"/>
    </x:row>
    <x:row r="19" spans="1:17" x14ac:dyDescent="0.25">
      <x:c r="A19" s="5" t="s">
        <x:v>11</x:v>
      </x:c>
      <x:c r="B19" s="4" t="s">
        <x:v>30</x:v>
      </x:c>
      <x:c r="C19" s="5">
        <x:v>397.2</x:v>
      </x:c>
      <x:c r="D19" s="5" t="s">
        <x:v>32</x:v>
      </x:c>
      <x:c r="E19" s="5" t="s">
        <x:v>18</x:v>
      </x:c>
      <x:c r="F19" s="5" t="s">
        <x:v>19</x:v>
      </x:c>
      <x:c r="G19" s="8">
        <x:v>18830167.66</x:v>
      </x:c>
      <x:c r="H19" s="7">
        <x:f t="shared" si="1"/>
        <x:v>8706316.3200000003</x:v>
      </x:c>
      <x:c r="K19" s="7">
        <x:f t="shared" si="2"/>
        <x:v>8706316.3200000003</x:v>
      </x:c>
      <x:c r="L19" s="7">
        <x:f t="shared" si="3"/>
        <x:v>9833678.4600000009</x:v>
      </x:c>
      <x:c r="N19" s="7">
        <x:f t="shared" si="0"/>
        <x:v>9833678.4600000009</x:v>
      </x:c>
      <x:c r="O19" s="7">
        <x:f t="shared" si="4"/>
        <x:v>271154.40999999997</x:v>
      </x:c>
      <x:c r="P19" s="7">
        <x:f t="shared" si="5"/>
        <x:v>19018.469999998983</x:v>
      </x:c>
      <x:c r="Q19" s="7"/>
    </x:row>
    <x:row r="20" spans="1:17" x14ac:dyDescent="0.25">
      <x:c r="A20" s="5" t="s">
        <x:v>11</x:v>
      </x:c>
      <x:c r="B20" s="4" t="s">
        <x:v>30</x:v>
      </x:c>
      <x:c r="C20" s="5">
        <x:v>397.2</x:v>
      </x:c>
      <x:c r="D20" s="5" t="s">
        <x:v>22</x:v>
      </x:c>
      <x:c r="E20" s="5" t="s">
        <x:v>18</x:v>
      </x:c>
      <x:c r="F20" s="5" t="s">
        <x:v>19</x:v>
      </x:c>
      <x:c r="G20" s="8">
        <x:v>2803439.47</x:v>
      </x:c>
      <x:c r="H20" s="7">
        <x:f t="shared" si="1"/>
        <x:v>1296198.27</x:v>
      </x:c>
      <x:c r="K20" s="7">
        <x:f t="shared" si="2"/>
        <x:v>1296198.27</x:v>
      </x:c>
      <x:c r="L20" s="7">
        <x:f t="shared" si="3"/>
        <x:v>1464040.19</x:v>
      </x:c>
      <x:c r="N20" s="7">
        <x:f t="shared" si="0"/>
        <x:v>1464040.19</x:v>
      </x:c>
      <x:c r="O20" s="7">
        <x:f t="shared" si="4"/>
        <x:v>40369.53</x:v>
      </x:c>
      <x:c r="P20" s="7">
        <x:f t="shared" si="5"/>
        <x:v>2831.4800000002433</x:v>
      </x:c>
      <x:c r="Q20" s="7"/>
    </x:row>
    <x:row r="21" spans="1:17" x14ac:dyDescent="0.25">
      <x:c r="A21" s="5" t="s">
        <x:v>11</x:v>
      </x:c>
      <x:c r="B21" s="4" t="s">
        <x:v>33</x:v>
      </x:c>
      <x:c r="C21" s="5">
        <x:v>397.2</x:v>
      </x:c>
      <x:c r="D21" s="5" t="s">
        <x:v>27</x:v>
      </x:c>
      <x:c r="E21" s="5" t="s">
        <x:v>18</x:v>
      </x:c>
      <x:c r="F21" s="5" t="s">
        <x:v>19</x:v>
      </x:c>
      <x:c r="G21" s="6">
        <x:v>4380875.45</x:v>
      </x:c>
      <x:c r="H21" s="7">
        <x:f t="shared" si="1"/>
        <x:v>2025541.57</x:v>
      </x:c>
      <x:c r="K21" s="7">
        <x:f t="shared" si="2"/>
        <x:v>2025541.57</x:v>
      </x:c>
      <x:c r="L21" s="7">
        <x:f t="shared" si="3"/>
        <x:v>2287824.59</x:v>
      </x:c>
      <x:c r="N21" s="7">
        <x:f t="shared" si="0"/>
        <x:v>2287824.59</x:v>
      </x:c>
      <x:c r="O21" s="7">
        <x:f t="shared" si="4"/>
        <x:v>63084.61</x:v>
      </x:c>
      <x:c r="P21" s="7">
        <x:f t="shared" si="5"/>
        <x:v>4424.6800000000367</x:v>
      </x:c>
      <x:c r="Q21" s="7"/>
    </x:row>
    <x:row r="22" spans="1:17" x14ac:dyDescent="0.25">
      <x:c r="A22" s="5" t="s">
        <x:v>11</x:v>
      </x:c>
      <x:c r="B22" s="4" t="s">
        <x:v>33</x:v>
      </x:c>
      <x:c r="C22" s="5">
        <x:v>397.2</x:v>
      </x:c>
      <x:c r="D22" s="5" t="s">
        <x:v>17</x:v>
      </x:c>
      <x:c r="E22" s="5" t="s">
        <x:v>18</x:v>
      </x:c>
      <x:c r="F22" s="5" t="s">
        <x:v>19</x:v>
      </x:c>
      <x:c r="G22" s="6">
        <x:v>3841416.43</x:v>
      </x:c>
      <x:c r="H22" s="7">
        <x:f t="shared" si="1"/>
        <x:v>1776117.3</x:v>
      </x:c>
      <x:c r="K22" s="7">
        <x:f t="shared" si="2"/>
        <x:v>1776117.3</x:v>
      </x:c>
      <x:c r="L22" s="7">
        <x:f t="shared" si="3"/>
        <x:v>2006102.9</x:v>
      </x:c>
      <x:c r="N22" s="7">
        <x:f t="shared" si="0"/>
        <x:v>2006102.9</x:v>
      </x:c>
      <x:c r="O22" s="7">
        <x:f t="shared" si="4"/>
        <x:v>55316.4</x:v>
      </x:c>
      <x:c r="P22" s="7">
        <x:f t="shared" si="5"/>
        <x:v>3879.8300000002127</x:v>
      </x:c>
      <x:c r="Q22" s="7"/>
    </x:row>
    <x:row r="23" spans="1:17" x14ac:dyDescent="0.25">
      <x:c r="A23" s="5" t="s">
        <x:v>11</x:v>
      </x:c>
      <x:c r="B23" s="4" t="s">
        <x:v>33</x:v>
      </x:c>
      <x:c r="C23" s="5">
        <x:v>397.2</x:v>
      </x:c>
      <x:c r="D23" s="5" t="s">
        <x:v>25</x:v>
      </x:c>
      <x:c r="E23" s="5" t="s">
        <x:v>18</x:v>
      </x:c>
      <x:c r="F23" s="5" t="s">
        <x:v>19</x:v>
      </x:c>
      <x:c r="G23" s="6">
        <x:v>2242086.0099999998</x:v>
      </x:c>
      <x:c r="H23" s="7">
        <x:f t="shared" si="1"/>
        <x:v>1036650.89</x:v>
      </x:c>
      <x:c r="K23" s="7">
        <x:f t="shared" si="2"/>
        <x:v>1036650.89</x:v>
      </x:c>
      <x:c r="L23" s="7">
        <x:f t="shared" si="3"/>
        <x:v>1170884.58</x:v>
      </x:c>
      <x:c r="N23" s="7">
        <x:f t="shared" si="0"/>
        <x:v>1170884.58</x:v>
      </x:c>
      <x:c r="O23" s="7">
        <x:f t="shared" si="4"/>
        <x:v>32286.04</x:v>
      </x:c>
      <x:c r="P23" s="7">
        <x:f t="shared" si="5"/>
        <x:v>2264.4999999995707</x:v>
      </x:c>
      <x:c r="Q23" s="7"/>
    </x:row>
    <x:row r="24" spans="1:17" x14ac:dyDescent="0.25">
      <x:c r="A24" s="5" t="s">
        <x:v>11</x:v>
      </x:c>
      <x:c r="B24" s="4" t="s">
        <x:v>33</x:v>
      </x:c>
      <x:c r="C24" s="5">
        <x:v>397.2</x:v>
      </x:c>
      <x:c r="D24" s="5" t="s">
        <x:v>26</x:v>
      </x:c>
      <x:c r="E24" s="5" t="s">
        <x:v>18</x:v>
      </x:c>
      <x:c r="F24" s="5" t="s">
        <x:v>19</x:v>
      </x:c>
      <x:c r="G24" s="6">
        <x:v>4309806.3299999991</x:v>
      </x:c>
      <x:c r="H24" s="7">
        <x:f t="shared" si="1"/>
        <x:v>1992682.05</x:v>
      </x:c>
      <x:c r="K24" s="7">
        <x:f t="shared" si="2"/>
        <x:v>1992682.05</x:v>
      </x:c>
      <x:c r="L24" s="7">
        <x:f t="shared" si="3"/>
        <x:v>2250710.16</x:v>
      </x:c>
      <x:c r="N24" s="7">
        <x:f t="shared" si="0"/>
        <x:v>2250710.16</x:v>
      </x:c>
      <x:c r="O24" s="7">
        <x:f t="shared" si="4"/>
        <x:v>62061.21</x:v>
      </x:c>
      <x:c r="P24" s="7">
        <x:f t="shared" si="5"/>
        <x:v>4352.9099999991813</x:v>
      </x:c>
      <x:c r="Q24" s="7"/>
    </x:row>
    <x:row r="25" spans="1:17" x14ac:dyDescent="0.25">
      <x:c r="A25" s="5" t="s">
        <x:v>11</x:v>
      </x:c>
      <x:c r="B25" s="4" t="s">
        <x:v>34</x:v>
      </x:c>
      <x:c r="C25" s="5">
        <x:v>397.2</x:v>
      </x:c>
      <x:c r="D25" s="5" t="s">
        <x:v>21</x:v>
      </x:c>
      <x:c r="E25" s="5" t="s">
        <x:v>18</x:v>
      </x:c>
      <x:c r="F25" s="5" t="s">
        <x:v>19</x:v>
      </x:c>
      <x:c r="G25" s="6">
        <x:v>4826725.6900000004</x:v>
      </x:c>
      <x:c r="H25" s="7">
        <x:f t="shared" si="1"/>
        <x:v>2231684.89</x:v>
      </x:c>
      <x:c r="K25" s="7">
        <x:f>SUM(H25:J25)</x:f>
        <x:v>2231684.89</x:v>
      </x:c>
      <x:c r="L25" s="7">
        <x:f t="shared" si="3"/>
        <x:v>2520660.96</x:v>
      </x:c>
      <x:c r="N25" s="7">
        <x:f t="shared" si="0"/>
        <x:v>2520660.96</x:v>
      </x:c>
      <x:c r="O25" s="7">
        <x:f t="shared" si="4"/>
        <x:v>69504.850000000006</x:v>
      </x:c>
      <x:c r="P25" s="7">
        <x:f t="shared" si="5"/>
        <x:v>4874.9900000003108</x:v>
      </x:c>
      <x:c r="Q25" s="7"/>
    </x:row>
    <x:row r="26" spans="1:17" x14ac:dyDescent="0.25">
      <x:c r="A26" s="5" t="s">
        <x:v>11</x:v>
      </x:c>
      <x:c r="B26" s="4" t="s">
        <x:v>33</x:v>
      </x:c>
      <x:c r="C26" s="5">
        <x:v>397.2</x:v>
      </x:c>
      <x:c r="D26" s="5" t="s">
        <x:v>22</x:v>
      </x:c>
      <x:c r="E26" s="5" t="s">
        <x:v>18</x:v>
      </x:c>
      <x:c r="F26" s="5" t="s">
        <x:v>19</x:v>
      </x:c>
      <x:c r="G26" s="6">
        <x:v>1339505.27</x:v>
      </x:c>
      <x:c r="H26" s="7">
        <x:f t="shared" si="1"/>
        <x:v>619333.66</x:v>
      </x:c>
      <x:c r="K26" s="7">
        <x:f t="shared" ref="K26:K68" si="6">SUM(H26:J26)</x:f>
        <x:v>619333.66</x:v>
      </x:c>
      <x:c r="L26" s="7">
        <x:f t="shared" si="3"/>
        <x:v>699529.84</x:v>
      </x:c>
      <x:c r="N26" s="7">
        <x:f t="shared" si="0"/>
        <x:v>699529.84</x:v>
      </x:c>
      <x:c r="O26" s="7">
        <x:f t="shared" si="4"/>
        <x:v>19288.88</x:v>
      </x:c>
      <x:c r="P26" s="7">
        <x:f t="shared" si="5"/>
        <x:v>1352.8900000000176</x:v>
      </x:c>
      <x:c r="Q26" s="7"/>
    </x:row>
    <x:row r="27" spans="1:17" x14ac:dyDescent="0.25">
      <x:c r="A27" s="5" t="s">
        <x:v>11</x:v>
      </x:c>
      <x:c r="B27" s="4" t="s">
        <x:v>35</x:v>
      </x:c>
      <x:c r="C27" s="5">
        <x:v>397.2</x:v>
      </x:c>
      <x:c r="D27" s="5" t="s">
        <x:v>27</x:v>
      </x:c>
      <x:c r="E27" s="5" t="s">
        <x:v>18</x:v>
      </x:c>
      <x:c r="F27" s="5" t="s">
        <x:v>19</x:v>
      </x:c>
      <x:c r="G27" s="8">
        <x:v>1253061.43</x:v>
      </x:c>
      <x:c r="H27" s="7">
        <x:f t="shared" si="1"/>
        <x:v>579365.48</x:v>
      </x:c>
      <x:c r="K27" s="7">
        <x:f t="shared" si="6"/>
        <x:v>579365.48</x:v>
      </x:c>
      <x:c r="L27" s="7">
        <x:f t="shared" si="3"/>
        <x:v>654386.27</x:v>
      </x:c>
      <x:c r="N27" s="7">
        <x:f t="shared" si="0"/>
        <x:v>654386.27</x:v>
      </x:c>
      <x:c r="O27" s="7">
        <x:f t="shared" si="4"/>
        <x:v>18044.080000000002</x:v>
      </x:c>
      <x:c r="P27" s="7">
        <x:f t="shared" si="5"/>
        <x:v>1265.5999999999331</x:v>
      </x:c>
      <x:c r="Q27" s="7"/>
    </x:row>
    <x:row r="28" spans="1:17" x14ac:dyDescent="0.25">
      <x:c r="A28" s="5" t="s">
        <x:v>11</x:v>
      </x:c>
      <x:c r="B28" s="4" t="s">
        <x:v>36</x:v>
      </x:c>
      <x:c r="C28" s="5">
        <x:v>397.2</x:v>
      </x:c>
      <x:c r="D28" s="5" t="s">
        <x:v>31</x:v>
      </x:c>
      <x:c r="E28" s="5" t="s">
        <x:v>18</x:v>
      </x:c>
      <x:c r="F28" s="5" t="s">
        <x:v>19</x:v>
      </x:c>
      <x:c r="G28" s="8">
        <x:v>528328.92000000004</x:v>
      </x:c>
      <x:c r="H28" s="7">
        <x:f t="shared" si="1"/>
        <x:v>244278.16</x:v>
      </x:c>
      <x:c r="K28" s="7">
        <x:f t="shared" si="6"/>
        <x:v>244278.16</x:v>
      </x:c>
      <x:c r="L28" s="7">
        <x:f t="shared" si="3"/>
        <x:v>275909.21000000002</x:v>
      </x:c>
      <x:c r="N28" s="7">
        <x:f t="shared" si="0"/>
        <x:v>275909.21000000002</x:v>
      </x:c>
      <x:c r="O28" s="7">
        <x:f t="shared" si="4"/>
        <x:v>7607.94</x:v>
      </x:c>
      <x:c r="P28" s="7">
        <x:f t="shared" si="5"/>
        <x:v>533.60999999998876</x:v>
      </x:c>
      <x:c r="Q28" s="7"/>
    </x:row>
    <x:row r="29" spans="1:17" x14ac:dyDescent="0.25">
      <x:c r="A29" s="5" t="s">
        <x:v>11</x:v>
      </x:c>
      <x:c r="B29" s="4" t="s">
        <x:v>36</x:v>
      </x:c>
      <x:c r="C29" s="5">
        <x:v>397.2</x:v>
      </x:c>
      <x:c r="D29" s="5" t="s">
        <x:v>26</x:v>
      </x:c>
      <x:c r="E29" s="5" t="s">
        <x:v>18</x:v>
      </x:c>
      <x:c r="F29" s="5" t="s">
        <x:v>19</x:v>
      </x:c>
      <x:c r="G29" s="8">
        <x:v>896884.07</x:v>
      </x:c>
      <x:c r="H29" s="7">
        <x:f t="shared" si="1"/>
        <x:v>414683.32</x:v>
      </x:c>
      <x:c r="K29" s="7">
        <x:f t="shared" si="6"/>
        <x:v>414683.32</x:v>
      </x:c>
      <x:c r="L29" s="7">
        <x:f t="shared" si="3"/>
        <x:v>468379.77</x:v>
      </x:c>
      <x:c r="N29" s="7">
        <x:f t="shared" si="0"/>
        <x:v>468379.77</x:v>
      </x:c>
      <x:c r="O29" s="7">
        <x:f t="shared" si="4"/>
        <x:v>12915.13</x:v>
      </x:c>
      <x:c r="P29" s="7">
        <x:f t="shared" si="5"/>
        <x:v>905.84999999992397</x:v>
      </x:c>
      <x:c r="Q29" s="7"/>
    </x:row>
    <x:row r="30" spans="1:17" x14ac:dyDescent="0.25">
      <x:c r="A30" s="5" t="s">
        <x:v>11</x:v>
      </x:c>
      <x:c r="B30" s="4" t="s">
        <x:v>37</x:v>
      </x:c>
      <x:c r="C30" s="5">
        <x:v>397.2</x:v>
      </x:c>
      <x:c r="D30" s="5" t="s">
        <x:v>26</x:v>
      </x:c>
      <x:c r="E30" s="5" t="s">
        <x:v>18</x:v>
      </x:c>
      <x:c r="F30" s="5" t="s">
        <x:v>19</x:v>
      </x:c>
      <x:c r="G30" s="8">
        <x:v>881968.02999999991</x:v>
      </x:c>
      <x:c r="H30" s="7">
        <x:f t="shared" si="1"/>
        <x:v>407786.74</x:v>
      </x:c>
      <x:c r="K30" s="7">
        <x:f t="shared" si="6"/>
        <x:v>407786.74</x:v>
      </x:c>
      <x:c r="L30" s="7">
        <x:f t="shared" si="3"/>
        <x:v>460590.16</x:v>
      </x:c>
      <x:c r="N30" s="7">
        <x:f t="shared" si="0"/>
        <x:v>460590.16</x:v>
      </x:c>
      <x:c r="O30" s="7">
        <x:f t="shared" si="4"/>
        <x:v>12700.34</x:v>
      </x:c>
      <x:c r="P30" s="7">
        <x:f t="shared" si="5"/>
        <x:v>890.7899999999463</x:v>
      </x:c>
      <x:c r="Q30" s="7"/>
    </x:row>
    <x:row r="31" spans="1:17" x14ac:dyDescent="0.25">
      <x:c r="A31" s="5" t="s">
        <x:v>11</x:v>
      </x:c>
      <x:c r="B31" s="4" t="s">
        <x:v>38</x:v>
      </x:c>
      <x:c r="C31" s="5">
        <x:v>397.2</x:v>
      </x:c>
      <x:c r="D31" s="5" t="s">
        <x:v>27</x:v>
      </x:c>
      <x:c r="E31" s="5" t="s">
        <x:v>18</x:v>
      </x:c>
      <x:c r="F31" s="5" t="s">
        <x:v>19</x:v>
      </x:c>
      <x:c r="G31" s="8">
        <x:v>9072388.8399999999</x:v>
      </x:c>
      <x:c r="H31" s="7">
        <x:f t="shared" si="1"/>
        <x:v>4194709.7</x:v>
      </x:c>
      <x:c r="K31" s="7">
        <x:f t="shared" si="6"/>
        <x:v>4194709.7</x:v>
      </x:c>
      <x:c r="L31" s="7">
        <x:f t="shared" si="3"/>
        <x:v>4737873.62</x:v>
      </x:c>
      <x:c r="N31" s="7">
        <x:f t="shared" si="0"/>
        <x:v>4737873.62</x:v>
      </x:c>
      <x:c r="O31" s="7">
        <x:f t="shared" si="4"/>
        <x:v>130642.4</x:v>
      </x:c>
      <x:c r="P31" s="7">
        <x:f t="shared" si="5"/>
        <x:v>9163.1199999995588</x:v>
      </x:c>
      <x:c r="Q31" s="7"/>
    </x:row>
    <x:row r="32" spans="1:17" x14ac:dyDescent="0.25">
      <x:c r="A32" s="5" t="s">
        <x:v>11</x:v>
      </x:c>
      <x:c r="B32" s="4" t="s">
        <x:v>38</x:v>
      </x:c>
      <x:c r="C32" s="5">
        <x:v>397.2</x:v>
      </x:c>
      <x:c r="D32" s="5" t="s">
        <x:v>17</x:v>
      </x:c>
      <x:c r="E32" s="5" t="s">
        <x:v>18</x:v>
      </x:c>
      <x:c r="F32" s="5" t="s">
        <x:v>19</x:v>
      </x:c>
      <x:c r="G32" s="8">
        <x:v>799448.80999999994</x:v>
      </x:c>
      <x:c r="H32" s="7">
        <x:f t="shared" si="1"/>
        <x:v>369633.15</x:v>
      </x:c>
      <x:c r="K32" s="7">
        <x:f t="shared" si="6"/>
        <x:v>369633.15</x:v>
      </x:c>
      <x:c r="L32" s="7">
        <x:f t="shared" si="3"/>
        <x:v>417496.15</x:v>
      </x:c>
      <x:c r="N32" s="7">
        <x:f t="shared" si="0"/>
        <x:v>417496.15</x:v>
      </x:c>
      <x:c r="O32" s="7">
        <x:f t="shared" si="4"/>
        <x:v>11512.06</x:v>
      </x:c>
      <x:c r="P32" s="7">
        <x:f t="shared" si="5"/>
        <x:v>807.44999999989341</x:v>
      </x:c>
      <x:c r="Q32" s="7"/>
    </x:row>
    <x:row r="33" spans="1:17" x14ac:dyDescent="0.25">
      <x:c r="A33" s="5" t="s">
        <x:v>11</x:v>
      </x:c>
      <x:c r="B33" s="4" t="s">
        <x:v>38</x:v>
      </x:c>
      <x:c r="C33" s="5">
        <x:v>397.2</x:v>
      </x:c>
      <x:c r="D33" s="5" t="s">
        <x:v>21</x:v>
      </x:c>
      <x:c r="E33" s="5" t="s">
        <x:v>18</x:v>
      </x:c>
      <x:c r="F33" s="5" t="s">
        <x:v>19</x:v>
      </x:c>
      <x:c r="G33" s="8">
        <x:v>1674979.6</x:v>
      </x:c>
      <x:c r="H33" s="7">
        <x:f t="shared" si="1"/>
        <x:v>774443.57</x:v>
      </x:c>
      <x:c r="K33" s="7">
        <x:f t="shared" si="6"/>
        <x:v>774443.57</x:v>
      </x:c>
      <x:c r="L33" s="7">
        <x:f t="shared" si="3"/>
        <x:v>874724.6</x:v>
      </x:c>
      <x:c r="N33" s="7">
        <x:f t="shared" si="0"/>
        <x:v>874724.6</x:v>
      </x:c>
      <x:c r="O33" s="7">
        <x:f t="shared" si="4"/>
        <x:v>24119.71</x:v>
      </x:c>
      <x:c r="P33" s="7">
        <x:f t="shared" si="5"/>
        <x:v>1691.7200000001685</x:v>
      </x:c>
      <x:c r="Q33" s="7"/>
    </x:row>
    <x:row r="34" spans="1:17" x14ac:dyDescent="0.25">
      <x:c r="A34" s="5" t="s">
        <x:v>11</x:v>
      </x:c>
      <x:c r="B34" s="4" t="s">
        <x:v>38</x:v>
      </x:c>
      <x:c r="C34" s="5">
        <x:v>397.2</x:v>
      </x:c>
      <x:c r="D34" s="5" t="s">
        <x:v>22</x:v>
      </x:c>
      <x:c r="E34" s="5" t="s">
        <x:v>18</x:v>
      </x:c>
      <x:c r="F34" s="5" t="s">
        <x:v>19</x:v>
      </x:c>
      <x:c r="G34" s="8">
        <x:v>2153915.2200000002</x:v>
      </x:c>
      <x:c r="H34" s="7">
        <x:f t="shared" si="1"/>
        <x:v>995884.24</x:v>
      </x:c>
      <x:c r="K34" s="7">
        <x:f t="shared" si="6"/>
        <x:v>995884.24</x:v>
      </x:c>
      <x:c r="L34" s="7">
        <x:f t="shared" si="3"/>
        <x:v>1124839.1499999999</x:v>
      </x:c>
      <x:c r="N34" s="7">
        <x:f t="shared" si="0"/>
        <x:v>1124839.1499999999</x:v>
      </x:c>
      <x:c r="O34" s="7">
        <x:f t="shared" si="4"/>
        <x:v>31016.38</x:v>
      </x:c>
      <x:c r="P34" s="7">
        <x:f t="shared" si="5"/>
        <x:v>2175.4500000003063</x:v>
      </x:c>
      <x:c r="Q34" s="7"/>
    </x:row>
    <x:row r="35" spans="1:17" x14ac:dyDescent="0.25">
      <x:c r="A35" s="5" t="s">
        <x:v>11</x:v>
      </x:c>
      <x:c r="B35" s="4" t="s">
        <x:v>39</x:v>
      </x:c>
      <x:c r="C35" s="5">
        <x:v>397.2</x:v>
      </x:c>
      <x:c r="D35" s="5" t="s">
        <x:v>26</x:v>
      </x:c>
      <x:c r="E35" s="5" t="s">
        <x:v>18</x:v>
      </x:c>
      <x:c r="F35" s="5" t="s">
        <x:v>19</x:v>
      </x:c>
      <x:c r="G35" s="8">
        <x:v>445338.67</x:v>
      </x:c>
      <x:c r="H35" s="7">
        <x:f t="shared" si="1"/>
        <x:v>205906.79</x:v>
      </x:c>
      <x:c r="K35" s="7">
        <x:f t="shared" si="6"/>
        <x:v>205906.79</x:v>
      </x:c>
      <x:c r="L35" s="7">
        <x:f t="shared" si="3"/>
        <x:v>232569.21</x:v>
      </x:c>
      <x:c r="N35" s="7">
        <x:f t="shared" si="0"/>
        <x:v>232569.21</x:v>
      </x:c>
      <x:c r="O35" s="7">
        <x:f t="shared" si="4"/>
        <x:v>6412.88</x:v>
      </x:c>
      <x:c r="P35" s="7">
        <x:f t="shared" si="5"/>
        <x:v>449.78999999998359</x:v>
      </x:c>
      <x:c r="Q35" s="7"/>
    </x:row>
    <x:row r="36" spans="1:17" x14ac:dyDescent="0.25">
      <x:c r="A36" s="5" t="s">
        <x:v>11</x:v>
      </x:c>
      <x:c r="B36" s="4" t="s">
        <x:v>39</x:v>
      </x:c>
      <x:c r="C36" s="5">
        <x:v>397.2</x:v>
      </x:c>
      <x:c r="D36" s="5" t="s">
        <x:v>22</x:v>
      </x:c>
      <x:c r="E36" s="5" t="s">
        <x:v>18</x:v>
      </x:c>
      <x:c r="F36" s="5" t="s">
        <x:v>19</x:v>
      </x:c>
      <x:c r="G36" s="8">
        <x:v>2796049.48</x:v>
      </x:c>
      <x:c r="H36" s="7">
        <x:f t="shared" si="1"/>
        <x:v>1292781.44</x:v>
      </x:c>
      <x:c r="K36" s="7">
        <x:f t="shared" si="6"/>
        <x:v>1292781.44</x:v>
      </x:c>
      <x:c r="L36" s="7">
        <x:f t="shared" si="3"/>
        <x:v>1460180.92</x:v>
      </x:c>
      <x:c r="N36" s="7">
        <x:f t="shared" si="0"/>
        <x:v>1460180.92</x:v>
      </x:c>
      <x:c r="O36" s="7">
        <x:f t="shared" si="4"/>
        <x:v>40263.11</x:v>
      </x:c>
      <x:c r="P36" s="7">
        <x:f t="shared" si="5"/>
        <x:v>2824.0100000001112</x:v>
      </x:c>
      <x:c r="Q36" s="7"/>
    </x:row>
    <x:row r="37" spans="1:17" x14ac:dyDescent="0.25">
      <x:c r="A37" s="5" t="s">
        <x:v>11</x:v>
      </x:c>
      <x:c r="B37" s="4" t="s">
        <x:v>40</x:v>
      </x:c>
      <x:c r="C37" s="5">
        <x:v>397.2</x:v>
      </x:c>
      <x:c r="D37" s="5" t="s">
        <x:v>32</x:v>
      </x:c>
      <x:c r="E37" s="5" t="s">
        <x:v>18</x:v>
      </x:c>
      <x:c r="F37" s="5" t="s">
        <x:v>19</x:v>
      </x:c>
      <x:c r="G37" s="8">
        <x:v>1063274.8500000001</x:v>
      </x:c>
      <x:c r="H37" s="7">
        <x:f t="shared" si="1"/>
        <x:v>491615.76</x:v>
      </x:c>
      <x:c r="K37" s="7">
        <x:f t="shared" si="6"/>
        <x:v>491615.76</x:v>
      </x:c>
      <x:c r="L37" s="7">
        <x:f t="shared" si="3"/>
        <x:v>555274.02</x:v>
      </x:c>
      <x:c r="N37" s="7">
        <x:f t="shared" si="0"/>
        <x:v>555274.02</x:v>
      </x:c>
      <x:c r="O37" s="7">
        <x:f t="shared" si="4"/>
        <x:v>15311.16</x:v>
      </x:c>
      <x:c r="P37" s="7">
        <x:f t="shared" si="5"/>
        <x:v>1073.9100000000653</x:v>
      </x:c>
      <x:c r="Q37" s="7"/>
    </x:row>
    <x:row r="38" spans="1:17" x14ac:dyDescent="0.25">
      <x:c r="A38" s="5" t="s">
        <x:v>11</x:v>
      </x:c>
      <x:c r="B38" s="4" t="s">
        <x:v>40</x:v>
      </x:c>
      <x:c r="C38" s="5">
        <x:v>397.2</x:v>
      </x:c>
      <x:c r="D38" s="5" t="s">
        <x:v>27</x:v>
      </x:c>
      <x:c r="E38" s="5" t="s">
        <x:v>18</x:v>
      </x:c>
      <x:c r="F38" s="5" t="s">
        <x:v>19</x:v>
      </x:c>
      <x:c r="G38" s="8">
        <x:v>8282826.6800000006</x:v>
      </x:c>
      <x:c r="H38" s="7">
        <x:f t="shared" si="1"/>
        <x:v>3829647.74</x:v>
      </x:c>
      <x:c r="K38" s="7">
        <x:f t="shared" si="6"/>
        <x:v>3829647.74</x:v>
      </x:c>
      <x:c r="L38" s="7">
        <x:f t="shared" si="3"/>
        <x:v>4325540.58</x:v>
      </x:c>
      <x:c r="N38" s="7">
        <x:f t="shared" si="0"/>
        <x:v>4325540.58</x:v>
      </x:c>
      <x:c r="O38" s="7">
        <x:f t="shared" si="4"/>
        <x:v>119272.7</x:v>
      </x:c>
      <x:c r="P38" s="7">
        <x:f t="shared" si="5"/>
        <x:v>8365.6600000003382</x:v>
      </x:c>
      <x:c r="Q38" s="7"/>
    </x:row>
    <x:row r="39" spans="1:17" x14ac:dyDescent="0.25">
      <x:c r="A39" s="5" t="s">
        <x:v>11</x:v>
      </x:c>
      <x:c r="B39" s="4" t="s">
        <x:v>40</x:v>
      </x:c>
      <x:c r="C39" s="5">
        <x:v>397.2</x:v>
      </x:c>
      <x:c r="D39" s="5" t="s">
        <x:v>17</x:v>
      </x:c>
      <x:c r="E39" s="5" t="s">
        <x:v>18</x:v>
      </x:c>
      <x:c r="F39" s="5" t="s">
        <x:v>19</x:v>
      </x:c>
      <x:c r="G39" s="8">
        <x:v>7448274.6100000003</x:v>
      </x:c>
      <x:c r="H39" s="7">
        <x:f t="shared" si="1"/>
        <x:v>3443784.25</x:v>
      </x:c>
      <x:c r="K39" s="7">
        <x:f t="shared" si="6"/>
        <x:v>3443784.25</x:v>
      </x:c>
      <x:c r="L39" s="7">
        <x:f t="shared" si="3"/>
        <x:v>3889712.45</x:v>
      </x:c>
      <x:c r="N39" s="7">
        <x:f t="shared" si="0"/>
        <x:v>3889712.45</x:v>
      </x:c>
      <x:c r="O39" s="7">
        <x:f t="shared" si="4"/>
        <x:v>107255.15</x:v>
      </x:c>
      <x:c r="P39" s="7">
        <x:f t="shared" si="5"/>
        <x:v>7522.7600000001548</x:v>
      </x:c>
      <x:c r="Q39" s="7"/>
    </x:row>
    <x:row r="40" spans="1:17" x14ac:dyDescent="0.25">
      <x:c r="A40" s="5" t="s">
        <x:v>11</x:v>
      </x:c>
      <x:c r="B40" s="4" t="s">
        <x:v>40</x:v>
      </x:c>
      <x:c r="C40" s="5">
        <x:v>397.2</x:v>
      </x:c>
      <x:c r="D40" s="5" t="s">
        <x:v>21</x:v>
      </x:c>
      <x:c r="E40" s="5" t="s">
        <x:v>18</x:v>
      </x:c>
      <x:c r="F40" s="5" t="s">
        <x:v>19</x:v>
      </x:c>
      <x:c r="G40" s="8">
        <x:v>5074503.34</x:v>
      </x:c>
      <x:c r="H40" s="7">
        <x:f t="shared" si="1"/>
        <x:v>2346247.36</x:v>
      </x:c>
      <x:c r="K40" s="7">
        <x:f t="shared" si="6"/>
        <x:v>2346247.36</x:v>
      </x:c>
      <x:c r="L40" s="7">
        <x:f t="shared" si="3"/>
        <x:v>2650057.88</x:v>
      </x:c>
      <x:c r="N40" s="7">
        <x:f t="shared" si="0"/>
        <x:v>2650057.88</x:v>
      </x:c>
      <x:c r="O40" s="7">
        <x:f t="shared" si="4"/>
        <x:v>73072.850000000006</x:v>
      </x:c>
      <x:c r="P40" s="7">
        <x:f t="shared" si="5"/>
        <x:v>5125.2500000000873</x:v>
      </x:c>
      <x:c r="Q40" s="7"/>
    </x:row>
    <x:row r="41" spans="1:17" x14ac:dyDescent="0.25">
      <x:c r="A41" s="5" t="s">
        <x:v>11</x:v>
      </x:c>
      <x:c r="B41" s="4" t="s">
        <x:v>40</x:v>
      </x:c>
      <x:c r="C41" s="5">
        <x:v>397.2</x:v>
      </x:c>
      <x:c r="D41" s="5" t="s">
        <x:v>25</x:v>
      </x:c>
      <x:c r="E41" s="5" t="s">
        <x:v>18</x:v>
      </x:c>
      <x:c r="F41" s="5" t="s">
        <x:v>19</x:v>
      </x:c>
      <x:c r="G41" s="8">
        <x:v>2803939.06</x:v>
      </x:c>
      <x:c r="H41" s="7">
        <x:f t="shared" si="1"/>
        <x:v>1296429.26</x:v>
      </x:c>
      <x:c r="K41" s="7">
        <x:f t="shared" si="6"/>
        <x:v>1296429.26</x:v>
      </x:c>
      <x:c r="L41" s="7">
        <x:f t="shared" si="3"/>
        <x:v>1464301.1</x:v>
      </x:c>
      <x:c r="N41" s="7">
        <x:f t="shared" si="0"/>
        <x:v>1464301.1</x:v>
      </x:c>
      <x:c r="O41" s="7">
        <x:f t="shared" si="4"/>
        <x:v>40376.720000000001</x:v>
      </x:c>
      <x:c r="P41" s="7">
        <x:f t="shared" si="5"/>
        <x:v>2831.9799999999523</x:v>
      </x:c>
      <x:c r="Q41" s="7"/>
    </x:row>
    <x:row r="42" spans="1:17" x14ac:dyDescent="0.25">
      <x:c r="A42" s="5" t="s">
        <x:v>11</x:v>
      </x:c>
      <x:c r="B42" s="4" t="s">
        <x:v>40</x:v>
      </x:c>
      <x:c r="C42" s="5">
        <x:v>397.2</x:v>
      </x:c>
      <x:c r="D42" s="5" t="s">
        <x:v>26</x:v>
      </x:c>
      <x:c r="E42" s="5" t="s">
        <x:v>18</x:v>
      </x:c>
      <x:c r="F42" s="5" t="s">
        <x:v>19</x:v>
      </x:c>
      <x:c r="G42" s="8">
        <x:v>4309188.7100000009</x:v>
      </x:c>
      <x:c r="H42" s="7">
        <x:f t="shared" si="1"/>
        <x:v>1992396.49</x:v>
      </x:c>
      <x:c r="K42" s="7">
        <x:f t="shared" si="6"/>
        <x:v>1992396.49</x:v>
      </x:c>
      <x:c r="L42" s="7">
        <x:f t="shared" si="3"/>
        <x:v>2250387.62</x:v>
      </x:c>
      <x:c r="N42" s="7">
        <x:f t="shared" si="0"/>
        <x:v>2250387.62</x:v>
      </x:c>
      <x:c r="O42" s="7">
        <x:f t="shared" si="4"/>
        <x:v>62052.32</x:v>
      </x:c>
      <x:c r="P42" s="7">
        <x:f t="shared" si="5"/>
        <x:v>4352.2800000005591</x:v>
      </x:c>
      <x:c r="Q42" s="7"/>
    </x:row>
    <x:row r="43" spans="1:17" x14ac:dyDescent="0.25">
      <x:c r="A43" s="5" t="s">
        <x:v>11</x:v>
      </x:c>
      <x:c r="B43" s="4" t="s">
        <x:v>40</x:v>
      </x:c>
      <x:c r="C43" s="5">
        <x:v>397.2</x:v>
      </x:c>
      <x:c r="D43" s="5" t="s">
        <x:v>22</x:v>
      </x:c>
      <x:c r="E43" s="5" t="s">
        <x:v>18</x:v>
      </x:c>
      <x:c r="F43" s="5" t="s">
        <x:v>19</x:v>
      </x:c>
      <x:c r="G43" s="8">
        <x:v>5402854.3200000003</x:v>
      </x:c>
      <x:c r="H43" s="7">
        <x:f t="shared" si="1"/>
        <x:v>2498063.7200000002</x:v>
      </x:c>
      <x:c r="K43" s="7">
        <x:f t="shared" si="6"/>
        <x:v>2498063.7200000002</x:v>
      </x:c>
      <x:c r="L43" s="7">
        <x:f t="shared" si="3"/>
        <x:v>2821532.61</x:v>
      </x:c>
      <x:c r="N43" s="7">
        <x:f t="shared" si="0"/>
        <x:v>2821532.61</x:v>
      </x:c>
      <x:c r="O43" s="7">
        <x:f t="shared" si="4"/>
        <x:v>77801.100000000006</x:v>
      </x:c>
      <x:c r="P43" s="7">
        <x:f t="shared" si="5"/>
        <x:v>5456.8900000002177</x:v>
      </x:c>
      <x:c r="Q43" s="7"/>
    </x:row>
    <x:row r="44" spans="1:17" x14ac:dyDescent="0.25">
      <x:c r="A44" s="5" t="s">
        <x:v>11</x:v>
      </x:c>
      <x:c r="B44" s="4" t="s">
        <x:v>41</x:v>
      </x:c>
      <x:c r="C44" s="5">
        <x:v>397.2</x:v>
      </x:c>
      <x:c r="D44" s="5" t="s">
        <x:v>17</x:v>
      </x:c>
      <x:c r="E44" s="5" t="s">
        <x:v>18</x:v>
      </x:c>
      <x:c r="F44" s="5" t="s">
        <x:v>19</x:v>
      </x:c>
      <x:c r="G44" s="8">
        <x:v>756614.84000000008</x:v>
      </x:c>
      <x:c r="H44" s="7">
        <x:f t="shared" si="1"/>
        <x:v>349828.44</x:v>
      </x:c>
      <x:c r="K44" s="7">
        <x:f t="shared" si="6"/>
        <x:v>349828.44</x:v>
      </x:c>
      <x:c r="L44" s="7">
        <x:f t="shared" si="3"/>
        <x:v>395126.97</x:v>
      </x:c>
      <x:c r="N44" s="7">
        <x:f t="shared" si="0"/>
        <x:v>395126.97</x:v>
      </x:c>
      <x:c r="O44" s="7">
        <x:f t="shared" si="4"/>
        <x:v>10895.25</x:v>
      </x:c>
      <x:c r="P44" s="7">
        <x:f t="shared" si="5"/>
        <x:v>764.18000000010943</x:v>
      </x:c>
      <x:c r="Q44" s="7"/>
    </x:row>
    <x:row r="45" spans="1:17" x14ac:dyDescent="0.25">
      <x:c r="A45" s="5" t="s">
        <x:v>11</x:v>
      </x:c>
      <x:c r="B45" s="4" t="s">
        <x:v>41</x:v>
      </x:c>
      <x:c r="C45" s="5">
        <x:v>397.2</x:v>
      </x:c>
      <x:c r="D45" s="5" t="s">
        <x:v>21</x:v>
      </x:c>
      <x:c r="E45" s="5" t="s">
        <x:v>18</x:v>
      </x:c>
      <x:c r="F45" s="5" t="s">
        <x:v>19</x:v>
      </x:c>
      <x:c r="G45" s="8">
        <x:v>30249318.220000003</x:v>
      </x:c>
      <x:c r="H45" s="7">
        <x:f t="shared" si="1"/>
        <x:v>13986074.77</x:v>
      </x:c>
      <x:c r="K45" s="7">
        <x:f t="shared" si="6"/>
        <x:v>13986074.77</x:v>
      </x:c>
      <x:c r="L45" s="7">
        <x:f t="shared" si="3"/>
        <x:v>15797101.449999999</x:v>
      </x:c>
      <x:c r="N45" s="7">
        <x:f t="shared" si="0"/>
        <x:v>15797101.449999999</x:v>
      </x:c>
      <x:c r="O45" s="7">
        <x:f t="shared" si="4"/>
        <x:v>435590.18</x:v>
      </x:c>
      <x:c r="P45" s="7">
        <x:f t="shared" si="5"/>
        <x:v>30551.820000003732</x:v>
      </x:c>
      <x:c r="Q45" s="7"/>
    </x:row>
    <x:row r="46" spans="1:17" x14ac:dyDescent="0.25">
      <x:c r="A46" s="5" t="s">
        <x:v>11</x:v>
      </x:c>
      <x:c r="B46" s="4" t="s">
        <x:v>41</x:v>
      </x:c>
      <x:c r="C46" s="5">
        <x:v>397.2</x:v>
      </x:c>
      <x:c r="D46" s="5" t="s">
        <x:v>22</x:v>
      </x:c>
      <x:c r="E46" s="5" t="s">
        <x:v>18</x:v>
      </x:c>
      <x:c r="F46" s="5" t="s">
        <x:v>19</x:v>
      </x:c>
      <x:c r="G46" s="8">
        <x:v>54918174.380000003</x:v>
      </x:c>
      <x:c r="H46" s="7">
        <x:f t="shared" si="1"/>
        <x:v>25391967.109999999</x:v>
      </x:c>
      <x:c r="K46" s="7">
        <x:f t="shared" si="6"/>
        <x:v>25391967.109999999</x:v>
      </x:c>
      <x:c r="L46" s="7">
        <x:f t="shared" si="3"/>
        <x:v>28679918.210000001</x:v>
      </x:c>
      <x:c r="N46" s="7">
        <x:f t="shared" si="0"/>
        <x:v>28679918.210000001</x:v>
      </x:c>
      <x:c r="O46" s="7">
        <x:f t="shared" si="4"/>
        <x:v>790821.71</x:v>
      </x:c>
      <x:c r="P46" s="7">
        <x:f t="shared" si="5"/>
        <x:v>55467.350000002421</x:v>
      </x:c>
      <x:c r="Q46" s="7"/>
    </x:row>
    <x:row r="47" spans="1:17" x14ac:dyDescent="0.25">
      <x:c r="A47" s="5" t="s">
        <x:v>11</x:v>
      </x:c>
      <x:c r="B47" s="4" t="s">
        <x:v>42</x:v>
      </x:c>
      <x:c r="C47" s="5">
        <x:v>397.2</x:v>
      </x:c>
      <x:c r="D47" s="5" t="s">
        <x:v>43</x:v>
      </x:c>
      <x:c r="E47" s="5" t="s">
        <x:v>18</x:v>
      </x:c>
      <x:c r="F47" s="5" t="s">
        <x:v>19</x:v>
      </x:c>
      <x:c r="G47" s="8">
        <x:v>970413.16999999993</x:v>
      </x:c>
      <x:c r="H47" s="7">
        <x:f t="shared" si="1"/>
        <x:v>448680.23</x:v>
      </x:c>
      <x:c r="K47" s="7">
        <x:f t="shared" si="6"/>
        <x:v>448680.23</x:v>
      </x:c>
      <x:c r="L47" s="7">
        <x:f t="shared" si="3"/>
        <x:v>506778.87</x:v>
      </x:c>
      <x:c r="N47" s="7">
        <x:f t="shared" si="0"/>
        <x:v>506778.87</x:v>
      </x:c>
      <x:c r="O47" s="7">
        <x:f t="shared" si="4"/>
        <x:v>13973.95</x:v>
      </x:c>
      <x:c r="P47" s="7">
        <x:f t="shared" si="5"/>
        <x:v>980.11999999994805</x:v>
      </x:c>
      <x:c r="Q47" s="7"/>
    </x:row>
    <x:row r="48" spans="1:17" x14ac:dyDescent="0.25">
      <x:c r="A48" s="5" t="s">
        <x:v>11</x:v>
      </x:c>
      <x:c r="B48" s="4" t="s">
        <x:v>42</x:v>
      </x:c>
      <x:c r="C48" s="5">
        <x:v>397.2</x:v>
      </x:c>
      <x:c r="D48" s="5" t="s">
        <x:v>32</x:v>
      </x:c>
      <x:c r="E48" s="5" t="s">
        <x:v>18</x:v>
      </x:c>
      <x:c r="F48" s="5" t="s">
        <x:v>19</x:v>
      </x:c>
      <x:c r="G48" s="8">
        <x:v>517763.08999999997</x:v>
      </x:c>
      <x:c r="H48" s="7">
        <x:f t="shared" si="1"/>
        <x:v>239392.94</x:v>
      </x:c>
      <x:c r="K48" s="7">
        <x:f t="shared" si="6"/>
        <x:v>239392.94</x:v>
      </x:c>
      <x:c r="L48" s="7">
        <x:f t="shared" si="3"/>
        <x:v>270391.42</x:v>
      </x:c>
      <x:c r="N48" s="7">
        <x:f t="shared" si="0"/>
        <x:v>270391.42</x:v>
      </x:c>
      <x:c r="O48" s="7">
        <x:f t="shared" si="4"/>
        <x:v>7455.79</x:v>
      </x:c>
      <x:c r="P48" s="7">
        <x:f t="shared" si="5"/>
        <x:v>522.93999999998141</x:v>
      </x:c>
      <x:c r="Q48" s="7"/>
    </x:row>
    <x:row r="49" spans="1:17" x14ac:dyDescent="0.25">
      <x:c r="A49" s="5" t="s">
        <x:v>11</x:v>
      </x:c>
      <x:c r="B49" s="4" t="s">
        <x:v>42</x:v>
      </x:c>
      <x:c r="C49" s="5">
        <x:v>397.2</x:v>
      </x:c>
      <x:c r="D49" s="5" t="s">
        <x:v>25</x:v>
      </x:c>
      <x:c r="E49" s="5" t="s">
        <x:v>18</x:v>
      </x:c>
      <x:c r="F49" s="5" t="s">
        <x:v>19</x:v>
      </x:c>
      <x:c r="G49" s="8">
        <x:v>3919499.16</x:v>
      </x:c>
      <x:c r="H49" s="7">
        <x:f t="shared" si="1"/>
        <x:v>1812219.63</x:v>
      </x:c>
      <x:c r="K49" s="7">
        <x:f t="shared" si="6"/>
        <x:v>1812219.63</x:v>
      </x:c>
      <x:c r="L49" s="7">
        <x:f t="shared" si="3"/>
        <x:v>2046880.05</x:v>
      </x:c>
      <x:c r="N49" s="7">
        <x:f t="shared" si="0"/>
        <x:v>2046880.05</x:v>
      </x:c>
      <x:c r="O49" s="7">
        <x:f t="shared" si="4"/>
        <x:v>56440.79</x:v>
      </x:c>
      <x:c r="P49" s="7">
        <x:f t="shared" si="5"/>
        <x:v>3958.6900000002133</x:v>
      </x:c>
      <x:c r="Q49" s="7"/>
    </x:row>
    <x:row r="50" spans="1:17" x14ac:dyDescent="0.25">
      <x:c r="A50" s="5" t="s">
        <x:v>11</x:v>
      </x:c>
      <x:c r="B50" s="4" t="s">
        <x:v>42</x:v>
      </x:c>
      <x:c r="C50" s="5">
        <x:v>397.2</x:v>
      </x:c>
      <x:c r="D50" s="5" t="s">
        <x:v>26</x:v>
      </x:c>
      <x:c r="E50" s="5" t="s">
        <x:v>18</x:v>
      </x:c>
      <x:c r="F50" s="5" t="s">
        <x:v>19</x:v>
      </x:c>
      <x:c r="G50" s="8">
        <x:v>1857766.59</x:v>
      </x:c>
      <x:c r="H50" s="7">
        <x:f t="shared" si="1"/>
        <x:v>858956.96</x:v>
      </x:c>
      <x:c r="K50" s="7">
        <x:f t="shared" si="6"/>
        <x:v>858956.96</x:v>
      </x:c>
      <x:c r="L50" s="7">
        <x:f t="shared" si="3"/>
        <x:v>970181.45</x:v>
      </x:c>
      <x:c r="N50" s="7">
        <x:f t="shared" si="0"/>
        <x:v>970181.45</x:v>
      </x:c>
      <x:c r="O50" s="7">
        <x:f t="shared" si="4"/>
        <x:v>26751.84</x:v>
      </x:c>
      <x:c r="P50" s="7">
        <x:f t="shared" si="5"/>
        <x:v>1876.3400000001675</x:v>
      </x:c>
      <x:c r="Q50" s="7"/>
    </x:row>
    <x:row r="51" spans="1:17" x14ac:dyDescent="0.25">
      <x:c r="A51" s="5" t="s">
        <x:v>11</x:v>
      </x:c>
      <x:c r="B51" s="4" t="s">
        <x:v>42</x:v>
      </x:c>
      <x:c r="C51" s="5">
        <x:v>397.2</x:v>
      </x:c>
      <x:c r="D51" s="5" t="s">
        <x:v>27</x:v>
      </x:c>
      <x:c r="E51" s="5" t="s">
        <x:v>18</x:v>
      </x:c>
      <x:c r="F51" s="5" t="s">
        <x:v>19</x:v>
      </x:c>
      <x:c r="G51" s="8">
        <x:v>5890710.3099999996</x:v>
      </x:c>
      <x:c r="H51" s="7">
        <x:f t="shared" si="1"/>
        <x:v>2723628.82</x:v>
      </x:c>
      <x:c r="K51" s="7">
        <x:f t="shared" si="6"/>
        <x:v>2723628.82</x:v>
      </x:c>
      <x:c r="L51" s="7">
        <x:f t="shared" si="3"/>
        <x:v>3076305.65</x:v>
      </x:c>
      <x:c r="N51" s="7">
        <x:f t="shared" si="0"/>
        <x:v>3076305.65</x:v>
      </x:c>
      <x:c r="O51" s="7">
        <x:f t="shared" si="4"/>
        <x:v>84826.23</x:v>
      </x:c>
      <x:c r="P51" s="7">
        <x:f t="shared" si="5"/>
        <x:v>5949.6099999998551</x:v>
      </x:c>
      <x:c r="Q51" s="7"/>
    </x:row>
    <x:row r="52" spans="1:17" x14ac:dyDescent="0.25">
      <x:c r="A52" s="5" t="s">
        <x:v>11</x:v>
      </x:c>
      <x:c r="B52" s="4" t="s">
        <x:v>42</x:v>
      </x:c>
      <x:c r="C52" s="5">
        <x:v>397.2</x:v>
      </x:c>
      <x:c r="D52" s="5" t="s">
        <x:v>17</x:v>
      </x:c>
      <x:c r="E52" s="5" t="s">
        <x:v>18</x:v>
      </x:c>
      <x:c r="F52" s="5" t="s">
        <x:v>19</x:v>
      </x:c>
      <x:c r="G52" s="8">
        <x:v>7495612.0000000009</x:v>
      </x:c>
      <x:c r="H52" s="7">
        <x:f t="shared" si="1"/>
        <x:v>3465671.16</x:v>
      </x:c>
      <x:c r="K52" s="7">
        <x:f t="shared" si="6"/>
        <x:v>3465671.16</x:v>
      </x:c>
      <x:c r="L52" s="7">
        <x:f t="shared" si="3"/>
        <x:v>3914433.45</x:v>
      </x:c>
      <x:c r="N52" s="7">
        <x:f t="shared" si="0"/>
        <x:v>3914433.45</x:v>
      </x:c>
      <x:c r="O52" s="7">
        <x:f t="shared" si="4"/>
        <x:v>107936.81</x:v>
      </x:c>
      <x:c r="P52" s="7">
        <x:f t="shared" si="5"/>
        <x:v>7570.5800000005984</x:v>
      </x:c>
      <x:c r="Q52" s="7"/>
    </x:row>
    <x:row r="53" spans="1:17" x14ac:dyDescent="0.25">
      <x:c r="A53" s="5" t="s">
        <x:v>11</x:v>
      </x:c>
      <x:c r="B53" s="4" t="s">
        <x:v>42</x:v>
      </x:c>
      <x:c r="C53" s="5">
        <x:v>397.2</x:v>
      </x:c>
      <x:c r="D53" s="5" t="s">
        <x:v>21</x:v>
      </x:c>
      <x:c r="E53" s="5" t="s">
        <x:v>18</x:v>
      </x:c>
      <x:c r="F53" s="5" t="s">
        <x:v>19</x:v>
      </x:c>
      <x:c r="G53" s="8">
        <x:v>5010822.7700000005</x:v>
      </x:c>
      <x:c r="H53" s="7">
        <x:f t="shared" si="1"/>
        <x:v>2316804.02</x:v>
      </x:c>
      <x:c r="K53" s="7">
        <x:f t="shared" si="6"/>
        <x:v>2316804.02</x:v>
      </x:c>
      <x:c r="L53" s="7">
        <x:f t="shared" si="3"/>
        <x:v>2616801.98</x:v>
      </x:c>
      <x:c r="N53" s="7">
        <x:f t="shared" si="0"/>
        <x:v>2616801.98</x:v>
      </x:c>
      <x:c r="O53" s="7">
        <x:f t="shared" si="4"/>
        <x:v>72155.850000000006</x:v>
      </x:c>
      <x:c r="P53" s="7">
        <x:f t="shared" si="5"/>
        <x:v>5060.9200000004785</x:v>
      </x:c>
      <x:c r="Q53" s="7"/>
    </x:row>
    <x:row r="54" spans="1:17" x14ac:dyDescent="0.25">
      <x:c r="A54" s="5" t="s">
        <x:v>11</x:v>
      </x:c>
      <x:c r="B54" s="4" t="s">
        <x:v>42</x:v>
      </x:c>
      <x:c r="C54" s="5">
        <x:v>397.2</x:v>
      </x:c>
      <x:c r="D54" s="5" t="s">
        <x:v>31</x:v>
      </x:c>
      <x:c r="E54" s="5" t="s">
        <x:v>18</x:v>
      </x:c>
      <x:c r="F54" s="5" t="s">
        <x:v>19</x:v>
      </x:c>
      <x:c r="G54" s="8">
        <x:v>1558824</x:v>
      </x:c>
      <x:c r="H54" s="7">
        <x:f t="shared" si="1"/>
        <x:v>720737.86</x:v>
      </x:c>
      <x:c r="K54" s="7">
        <x:f t="shared" si="6"/>
        <x:v>720737.86</x:v>
      </x:c>
      <x:c r="L54" s="7">
        <x:f t="shared" si="3"/>
        <x:v>814064.66</x:v>
      </x:c>
      <x:c r="N54" s="7">
        <x:f t="shared" si="0"/>
        <x:v>814064.66</x:v>
      </x:c>
      <x:c r="O54" s="7">
        <x:f t="shared" si="4"/>
        <x:v>22447.07</x:v>
      </x:c>
      <x:c r="P54" s="7">
        <x:f t="shared" si="5"/>
        <x:v>1574.4099999999817</x:v>
      </x:c>
      <x:c r="Q54" s="7"/>
    </x:row>
    <x:row r="55" spans="1:17" x14ac:dyDescent="0.25">
      <x:c r="A55" s="5" t="s">
        <x:v>11</x:v>
      </x:c>
      <x:c r="B55" s="4" t="s">
        <x:v>42</x:v>
      </x:c>
      <x:c r="C55" s="5">
        <x:v>397.2</x:v>
      </x:c>
      <x:c r="D55" s="5" t="s">
        <x:v>22</x:v>
      </x:c>
      <x:c r="E55" s="5" t="s">
        <x:v>18</x:v>
      </x:c>
      <x:c r="F55" s="5" t="s">
        <x:v>19</x:v>
      </x:c>
      <x:c r="G55" s="8">
        <x:v>7500343.8099999996</x:v>
      </x:c>
      <x:c r="H55" s="7">
        <x:f t="shared" si="1"/>
        <x:v>3467858.96</x:v>
      </x:c>
      <x:c r="K55" s="7">
        <x:f t="shared" si="6"/>
        <x:v>3467858.96</x:v>
      </x:c>
      <x:c r="L55" s="7">
        <x:f t="shared" si="3"/>
        <x:v>3916904.55</x:v>
      </x:c>
      <x:c r="N55" s="7">
        <x:f t="shared" si="0"/>
        <x:v>3916904.55</x:v>
      </x:c>
      <x:c r="O55" s="7">
        <x:f t="shared" si="4"/>
        <x:v>108004.95</x:v>
      </x:c>
      <x:c r="P55" s="7">
        <x:f t="shared" si="5"/>
        <x:v>7575.3499999998166</x:v>
      </x:c>
      <x:c r="Q55" s="7"/>
    </x:row>
    <x:row r="56" spans="1:17" x14ac:dyDescent="0.25">
      <x:c r="A56" s="5" t="s">
        <x:v>11</x:v>
      </x:c>
      <x:c r="B56" s="4" t="s">
        <x:v>44</x:v>
      </x:c>
      <x:c r="C56" s="5">
        <x:v>397.2</x:v>
      </x:c>
      <x:c r="D56" s="5" t="s">
        <x:v>43</x:v>
      </x:c>
      <x:c r="E56" s="5" t="s">
        <x:v>18</x:v>
      </x:c>
      <x:c r="F56" s="5" t="s">
        <x:v>19</x:v>
      </x:c>
      <x:c r="G56" s="8">
        <x:v>69241.600000000006</x:v>
      </x:c>
      <x:c r="H56" s="7">
        <x:f t="shared" si="1"/>
        <x:v>32014.55</x:v>
      </x:c>
      <x:c r="K56" s="7">
        <x:f t="shared" si="6"/>
        <x:v>32014.55</x:v>
      </x:c>
      <x:c r="L56" s="7">
        <x:f t="shared" si="3"/>
        <x:v>36160.04</x:v>
      </x:c>
      <x:c r="N56" s="7">
        <x:f>SUM(L56:M56)</x:f>
        <x:v>36160.04</x:v>
      </x:c>
      <x:c r="O56" s="7">
        <x:f t="shared" si="4"/>
        <x:v>997.08</x:v>
      </x:c>
      <x:c r="P56" s="7">
        <x:f t="shared" si="5"/>
        <x:v>69.930000000001996</x:v>
      </x:c>
      <x:c r="Q56" s="7"/>
    </x:row>
    <x:row r="57" spans="1:17" x14ac:dyDescent="0.25">
      <x:c r="A57" s="5" t="s">
        <x:v>11</x:v>
      </x:c>
      <x:c r="B57" s="4" t="s">
        <x:v>44</x:v>
      </x:c>
      <x:c r="C57" s="5">
        <x:v>397.2</x:v>
      </x:c>
      <x:c r="D57" s="5" t="s">
        <x:v>32</x:v>
      </x:c>
      <x:c r="E57" s="5" t="s">
        <x:v>18</x:v>
      </x:c>
      <x:c r="F57" s="5" t="s">
        <x:v>19</x:v>
      </x:c>
      <x:c r="G57" s="8">
        <x:v>446149.86</x:v>
      </x:c>
      <x:c r="H57" s="7">
        <x:f t="shared" si="1"/>
        <x:v>206281.85</x:v>
      </x:c>
      <x:c r="K57" s="7">
        <x:f t="shared" si="6"/>
        <x:v>206281.85</x:v>
      </x:c>
      <x:c r="L57" s="7">
        <x:f t="shared" si="3"/>
        <x:v>232992.84</x:v>
      </x:c>
      <x:c r="N57" s="7">
        <x:f t="shared" si="0"/>
        <x:v>232992.84</x:v>
      </x:c>
      <x:c r="O57" s="7">
        <x:f t="shared" si="4"/>
        <x:v>6424.56</x:v>
      </x:c>
      <x:c r="P57" s="7">
        <x:f t="shared" si="5"/>
        <x:v>450.6099999999833</x:v>
      </x:c>
      <x:c r="Q57" s="7"/>
    </x:row>
    <x:row r="58" spans="1:17" x14ac:dyDescent="0.25">
      <x:c r="A58" s="5" t="s">
        <x:v>11</x:v>
      </x:c>
      <x:c r="B58" s="4" t="s">
        <x:v>44</x:v>
      </x:c>
      <x:c r="C58" s="5">
        <x:v>397.2</x:v>
      </x:c>
      <x:c r="D58" s="5" t="s">
        <x:v>27</x:v>
      </x:c>
      <x:c r="E58" s="5" t="s">
        <x:v>18</x:v>
      </x:c>
      <x:c r="F58" s="5" t="s">
        <x:v>19</x:v>
      </x:c>
      <x:c r="G58" s="8">
        <x:v>18306581.59</x:v>
      </x:c>
      <x:c r="H58" s="7">
        <x:f t="shared" si="1"/>
        <x:v>8464231.0600000005</x:v>
      </x:c>
      <x:c r="K58" s="7">
        <x:f t="shared" si="6"/>
        <x:v>8464231.0600000005</x:v>
      </x:c>
      <x:c r="L58" s="7">
        <x:f t="shared" si="3"/>
        <x:v>9560246.0999999996</x:v>
      </x:c>
      <x:c r="N58" s="7">
        <x:f t="shared" si="0"/>
        <x:v>9560246.0999999996</x:v>
      </x:c>
      <x:c r="O58" s="7">
        <x:f t="shared" si="4"/>
        <x:v>263614.77</x:v>
      </x:c>
      <x:c r="P58" s="7">
        <x:f t="shared" si="5"/>
        <x:v>18489.659999999683</x:v>
      </x:c>
      <x:c r="Q58" s="7"/>
    </x:row>
    <x:row r="59" spans="1:17" x14ac:dyDescent="0.25">
      <x:c r="A59" s="5" t="s">
        <x:v>11</x:v>
      </x:c>
      <x:c r="B59" s="4" t="s">
        <x:v>44</x:v>
      </x:c>
      <x:c r="C59" s="5">
        <x:v>397.2</x:v>
      </x:c>
      <x:c r="D59" s="5" t="s">
        <x:v>17</x:v>
      </x:c>
      <x:c r="E59" s="5" t="s">
        <x:v>18</x:v>
      </x:c>
      <x:c r="F59" s="5" t="s">
        <x:v>19</x:v>
      </x:c>
      <x:c r="G59" s="8">
        <x:v>10483583.219999999</x:v>
      </x:c>
      <x:c r="H59" s="7">
        <x:f t="shared" si="1"/>
        <x:v>4847189.54</x:v>
      </x:c>
      <x:c r="K59" s="7">
        <x:f t="shared" si="6"/>
        <x:v>4847189.54</x:v>
      </x:c>
      <x:c r="L59" s="7">
        <x:f t="shared" si="3"/>
        <x:v>5474841.6600000001</x:v>
      </x:c>
      <x:c r="N59" s="7">
        <x:f t="shared" si="0"/>
        <x:v>5474841.6600000001</x:v>
      </x:c>
      <x:c r="O59" s="7">
        <x:f t="shared" si="4"/>
        <x:v>150963.6</x:v>
      </x:c>
      <x:c r="P59" s="7">
        <x:f t="shared" si="5"/>
        <x:v>10588.419999998616</x:v>
      </x:c>
      <x:c r="Q59" s="7"/>
    </x:row>
    <x:row r="60" spans="1:17" x14ac:dyDescent="0.25">
      <x:c r="A60" s="5" t="s">
        <x:v>11</x:v>
      </x:c>
      <x:c r="B60" s="4" t="s">
        <x:v>44</x:v>
      </x:c>
      <x:c r="C60" s="5">
        <x:v>397.2</x:v>
      </x:c>
      <x:c r="D60" s="5" t="s">
        <x:v>21</x:v>
      </x:c>
      <x:c r="E60" s="5" t="s">
        <x:v>18</x:v>
      </x:c>
      <x:c r="F60" s="5" t="s">
        <x:v>19</x:v>
      </x:c>
      <x:c r="G60" s="8">
        <x:v>9942096.2400000002</x:v>
      </x:c>
      <x:c r="H60" s="7">
        <x:f t="shared" si="1"/>
        <x:v>4596827.62</x:v>
      </x:c>
      <x:c r="K60" s="7">
        <x:f t="shared" si="6"/>
        <x:v>4596827.62</x:v>
      </x:c>
      <x:c r="L60" s="7">
        <x:f t="shared" si="3"/>
        <x:v>5192060.92</x:v>
      </x:c>
      <x:c r="N60" s="7">
        <x:f t="shared" si="0"/>
        <x:v>5192060.92</x:v>
      </x:c>
      <x:c r="O60" s="7">
        <x:f t="shared" si="4"/>
        <x:v>143166.19</x:v>
      </x:c>
      <x:c r="P60" s="7">
        <x:f t="shared" si="5"/>
        <x:v>10041.510000000184</x:v>
      </x:c>
      <x:c r="Q60" s="7"/>
    </x:row>
    <x:row r="61" spans="1:17" x14ac:dyDescent="0.25">
      <x:c r="A61" s="5" t="s">
        <x:v>11</x:v>
      </x:c>
      <x:c r="B61" s="4" t="s">
        <x:v>44</x:v>
      </x:c>
      <x:c r="C61" s="5">
        <x:v>397.2</x:v>
      </x:c>
      <x:c r="D61" s="5" t="s">
        <x:v>26</x:v>
      </x:c>
      <x:c r="E61" s="5" t="s">
        <x:v>18</x:v>
      </x:c>
      <x:c r="F61" s="5" t="s">
        <x:v>19</x:v>
      </x:c>
      <x:c r="G61" s="8">
        <x:v>12457558.66</x:v>
      </x:c>
      <x:c r="H61" s="7">
        <x:f t="shared" si="1"/>
        <x:v>5759876.8200000003</x:v>
      </x:c>
      <x:c r="K61" s="7">
        <x:f t="shared" si="6"/>
        <x:v>5759876.8200000003</x:v>
      </x:c>
      <x:c r="L61" s="7">
        <x:f t="shared" si="3"/>
        <x:v>6505710.8600000003</x:v>
      </x:c>
      <x:c r="N61" s="7">
        <x:f t="shared" si="0"/>
        <x:v>6505710.8600000003</x:v>
      </x:c>
      <x:c r="O61" s="7">
        <x:f t="shared" si="4"/>
        <x:v>179388.84</x:v>
      </x:c>
      <x:c r="P61" s="7">
        <x:f t="shared" si="5"/>
        <x:v>12582.139999999519</x:v>
      </x:c>
      <x:c r="Q61" s="7"/>
    </x:row>
    <x:row r="62" spans="1:17" x14ac:dyDescent="0.25">
      <x:c r="A62" s="5" t="s">
        <x:v>11</x:v>
      </x:c>
      <x:c r="B62" s="4" t="s">
        <x:v>44</x:v>
      </x:c>
      <x:c r="C62" s="5">
        <x:v>397.2</x:v>
      </x:c>
      <x:c r="D62" s="5" t="s">
        <x:v>31</x:v>
      </x:c>
      <x:c r="E62" s="5" t="s">
        <x:v>18</x:v>
      </x:c>
      <x:c r="F62" s="5" t="s">
        <x:v>19</x:v>
      </x:c>
      <x:c r="G62" s="8">
        <x:v>500733.1</x:v>
      </x:c>
      <x:c r="H62" s="7">
        <x:f t="shared" si="1"/>
        <x:v>231518.96</x:v>
      </x:c>
      <x:c r="K62" s="7">
        <x:f t="shared" si="6"/>
        <x:v>231518.96</x:v>
      </x:c>
      <x:c r="L62" s="7">
        <x:f t="shared" si="3"/>
        <x:v>261497.85</x:v>
      </x:c>
      <x:c r="N62" s="7">
        <x:f t="shared" si="0"/>
        <x:v>261497.85</x:v>
      </x:c>
      <x:c r="O62" s="7">
        <x:f t="shared" si="4"/>
        <x:v>7210.56</x:v>
      </x:c>
      <x:c r="P62" s="7">
        <x:f t="shared" si="5"/>
        <x:v>505.73000000000775</x:v>
      </x:c>
      <x:c r="Q62" s="7"/>
    </x:row>
    <x:row r="63" spans="1:17" x14ac:dyDescent="0.25">
      <x:c r="A63" s="5" t="s">
        <x:v>11</x:v>
      </x:c>
      <x:c r="B63" s="4" t="s">
        <x:v>45</x:v>
      </x:c>
      <x:c r="C63" s="5">
        <x:v>397.2</x:v>
      </x:c>
      <x:c r="D63" s="5" t="s">
        <x:v>22</x:v>
      </x:c>
      <x:c r="E63" s="5" t="s">
        <x:v>18</x:v>
      </x:c>
      <x:c r="F63" s="5" t="s">
        <x:v>19</x:v>
      </x:c>
      <x:c r="G63" s="8">
        <x:v>12887807.129999999</x:v>
      </x:c>
      <x:c r="H63" s="7">
        <x:f t="shared" si="1"/>
        <x:v>5958806.5</x:v>
      </x:c>
      <x:c r="K63" s="7">
        <x:f t="shared" si="6"/>
        <x:v>5958806.5</x:v>
      </x:c>
      <x:c r="L63" s="7">
        <x:f t="shared" si="3"/>
        <x:v>6730399.5199999996</x:v>
      </x:c>
      <x:c r="N63" s="7">
        <x:f t="shared" si="0"/>
        <x:v>6730399.5199999996</x:v>
      </x:c>
      <x:c r="O63" s="7">
        <x:f t="shared" si="4"/>
        <x:v>185584.42</x:v>
      </x:c>
      <x:c r="P63" s="7">
        <x:f t="shared" si="5"/>
        <x:v>13016.689999999391</x:v>
      </x:c>
      <x:c r="Q63" s="7"/>
    </x:row>
    <x:row r="64" spans="1:17" x14ac:dyDescent="0.25">
      <x:c r="A64" s="5" t="s">
        <x:v>11</x:v>
      </x:c>
      <x:c r="B64" s="4" t="s">
        <x:v>46</x:v>
      </x:c>
      <x:c r="C64" s="5">
        <x:v>397.2</x:v>
      </x:c>
      <x:c r="D64" s="5" t="s">
        <x:v>21</x:v>
      </x:c>
      <x:c r="E64" s="5" t="s">
        <x:v>18</x:v>
      </x:c>
      <x:c r="F64" s="5" t="s">
        <x:v>19</x:v>
      </x:c>
      <x:c r="G64" s="8">
        <x:v>1170127.1100000001</x:v>
      </x:c>
      <x:c r="H64" s="7">
        <x:f t="shared" si="1"/>
        <x:v>541019.97</x:v>
      </x:c>
      <x:c r="K64" s="7">
        <x:f t="shared" si="6"/>
        <x:v>541019.97</x:v>
      </x:c>
      <x:c r="L64" s="7">
        <x:f t="shared" si="3"/>
        <x:v>611075.48</x:v>
      </x:c>
      <x:c r="N64" s="7">
        <x:f t="shared" si="0"/>
        <x:v>611075.48</x:v>
      </x:c>
      <x:c r="O64" s="7">
        <x:f t="shared" si="4"/>
        <x:v>16849.830000000002</x:v>
      </x:c>
      <x:c r="P64" s="7">
        <x:f t="shared" si="5"/>
        <x:v>1181.8300000001473</x:v>
      </x:c>
      <x:c r="Q64" s="7"/>
    </x:row>
    <x:row r="65" spans="1:18" x14ac:dyDescent="0.25">
      <x:c r="A65" s="5" t="s">
        <x:v>11</x:v>
      </x:c>
      <x:c r="B65" s="4" t="s">
        <x:v>46</x:v>
      </x:c>
      <x:c r="C65" s="5">
        <x:v>397.2</x:v>
      </x:c>
      <x:c r="D65" s="5" t="s">
        <x:v>26</x:v>
      </x:c>
      <x:c r="E65" s="5" t="s">
        <x:v>18</x:v>
      </x:c>
      <x:c r="F65" s="5" t="s">
        <x:v>19</x:v>
      </x:c>
      <x:c r="G65" s="8">
        <x:v>480879.4</x:v>
      </x:c>
      <x:c r="H65" s="7">
        <x:f t="shared" si="1"/>
        <x:v>222339.4</x:v>
      </x:c>
      <x:c r="K65" s="7">
        <x:f t="shared" si="6"/>
        <x:v>222339.4</x:v>
      </x:c>
      <x:c r="L65" s="7">
        <x:f t="shared" si="3"/>
        <x:v>251129.65</x:v>
      </x:c>
      <x:c r="N65" s="7">
        <x:f t="shared" si="0"/>
        <x:v>251129.65</x:v>
      </x:c>
      <x:c r="O65" s="7">
        <x:f t="shared" si="4"/>
        <x:v>6924.66</x:v>
      </x:c>
      <x:c r="P65" s="7">
        <x:f t="shared" si="5"/>
        <x:v>485.69000000003507</x:v>
      </x:c>
      <x:c r="Q65" s="7"/>
    </x:row>
    <x:row r="66" spans="1:18" x14ac:dyDescent="0.25">
      <x:c r="A66" s="5" t="s">
        <x:v>11</x:v>
      </x:c>
      <x:c r="B66" s="4" t="s">
        <x:v>47</x:v>
      </x:c>
      <x:c r="C66" s="5">
        <x:v>397.2</x:v>
      </x:c>
      <x:c r="D66" s="5" t="s">
        <x:v>17</x:v>
      </x:c>
      <x:c r="E66" s="5" t="s">
        <x:v>18</x:v>
      </x:c>
      <x:c r="F66" s="5" t="s">
        <x:v>19</x:v>
      </x:c>
      <x:c r="G66" s="8">
        <x:v>153126.42000000001</x:v>
      </x:c>
      <x:c r="H66" s="7">
        <x:f t="shared" si="1"/>
        <x:v>70799.53</x:v>
      </x:c>
      <x:c r="K66" s="7">
        <x:f t="shared" si="6"/>
        <x:v>70799.53</x:v>
      </x:c>
      <x:c r="L66" s="7">
        <x:f t="shared" si="3"/>
        <x:v>79967.210000000006</x:v>
      </x:c>
      <x:c r="N66" s="7">
        <x:f t="shared" ref="N66:N68" si="7">SUM(L66:M66)</x:f>
        <x:v>79967.210000000006</x:v>
      </x:c>
      <x:c r="O66" s="7">
        <x:f t="shared" si="4"/>
        <x:v>2205.02</x:v>
      </x:c>
      <x:c r="P66" s="7">
        <x:f t="shared" si="5"/>
        <x:v>154.66000000000759</x:v>
      </x:c>
      <x:c r="Q66" s="7"/>
    </x:row>
    <x:row r="67" spans="1:18" x14ac:dyDescent="0.25">
      <x:c r="A67" s="5" t="s">
        <x:v>11</x:v>
      </x:c>
      <x:c r="B67" s="4" t="s">
        <x:v>47</x:v>
      </x:c>
      <x:c r="C67" s="5">
        <x:v>397.2</x:v>
      </x:c>
      <x:c r="D67" s="5" t="s">
        <x:v>22</x:v>
      </x:c>
      <x:c r="E67" s="5" t="s">
        <x:v>18</x:v>
      </x:c>
      <x:c r="F67" s="5" t="s">
        <x:v>19</x:v>
      </x:c>
      <x:c r="G67" s="8">
        <x:v>708946.08</x:v>
      </x:c>
      <x:c r="H67" s="7">
        <x:f t="shared" ref="H67:H68" si="8">ROUND(G67*$K$72,2)</x:f>
        <x:v>327788.31</x:v>
      </x:c>
      <x:c r="K67" s="7">
        <x:f t="shared" si="6"/>
        <x:v>327788.31</x:v>
      </x:c>
      <x:c r="L67" s="7">
        <x:f t="shared" ref="L67:L68" si="9">ROUND(G67*$N$72,2)</x:f>
        <x:v>370232.91</x:v>
      </x:c>
      <x:c r="N67" s="7">
        <x:f t="shared" si="7"/>
        <x:v>370232.91</x:v>
      </x:c>
      <x:c r="O67" s="7">
        <x:f t="shared" ref="O67:O68" si="10">ROUND(G67*$O$72,2)</x:f>
        <x:v>10208.82</x:v>
      </x:c>
      <x:c r="P67" s="7">
        <x:f t="shared" ref="P67:P68" si="11">G67-K67-N67-O67</x:f>
        <x:v>716.03999999998632</x:v>
      </x:c>
      <x:c r="Q67" s="7"/>
    </x:row>
    <x:row r="68" spans="1:18" x14ac:dyDescent="0.25">
      <x:c r="A68" s="5" t="s">
        <x:v>7</x:v>
      </x:c>
      <x:c r="B68" s="4" t="s">
        <x:v>48</x:v>
      </x:c>
      <x:c r="C68" s="5">
        <x:v>397.2</x:v>
      </x:c>
      <x:c r="D68" s="5" t="s">
        <x:v>22</x:v>
      </x:c>
      <x:c r="E68" s="5" t="s">
        <x:v>18</x:v>
      </x:c>
      <x:c r="F68" s="5" t="s">
        <x:v>19</x:v>
      </x:c>
      <x:c r="G68" s="8">
        <x:v>1625168.04</x:v>
      </x:c>
      <x:c r="H68" s="7">
        <x:f t="shared" si="8"/>
        <x:v>751412.69</x:v>
      </x:c>
      <x:c r="K68" s="7">
        <x:f t="shared" si="6"/>
        <x:v>751412.69</x:v>
      </x:c>
      <x:c r="L68" s="7">
        <x:f t="shared" si="9"/>
        <x:v>848711.51</x:v>
      </x:c>
      <x:c r="N68" s="7">
        <x:f t="shared" si="7"/>
        <x:v>848711.51</x:v>
      </x:c>
      <x:c r="O68" s="7">
        <x:f t="shared" si="10"/>
        <x:v>23402.42</x:v>
      </x:c>
      <x:c r="P68" s="7">
        <x:f t="shared" si="11"/>
        <x:v>1641.4200000000856</x:v>
      </x:c>
      <x:c r="Q68" s="7"/>
    </x:row>
    <x:row r="70" spans="1:18" ht="16.3" thickBot="1" x14ac:dyDescent="0.3">
      <x:c r="G70" s="13">
        <x:f t="shared" ref="G70:P70" si="12">SUM(G2:G69)</x:f>
        <x:v>360398299.32000005</x:v>
      </x:c>
      <x:c r="H70" s="14">
        <x:f t="shared" si="12"/>
        <x:v>166633757.63999996</x:v>
      </x:c>
      <x:c r="I70" s="14">
        <x:f t="shared" si="12"/>
        <x:v>0</x:v>
      </x:c>
      <x:c r="J70" s="14">
        <x:f t="shared" si="12"/>
        <x:v>0</x:v>
      </x:c>
      <x:c r="K70" s="14">
        <x:f t="shared" si="12"/>
        <x:v>166633757.63999996</x:v>
      </x:c>
      <x:c r="L70" s="14">
        <x:f t="shared" si="12"/>
        <x:v>188210803.86999995</x:v>
      </x:c>
      <x:c r="M70" s="14">
        <x:f t="shared" si="12"/>
        <x:v>0</x:v>
      </x:c>
      <x:c r="N70" s="14">
        <x:f t="shared" si="12"/>
        <x:v>188210803.86999995</x:v>
      </x:c>
      <x:c r="O70" s="14">
        <x:f t="shared" si="12"/>
        <x:v>5189735.49</x:v>
      </x:c>
      <x:c r="P70" s="14">
        <x:f t="shared" si="12"/>
        <x:v>364002.32000001165</x:v>
      </x:c>
      <x:c r="Q70" s="7">
        <x:f>G70-K70-N70-O70-P70</x:f>
        <x:v>1.3952376320958138E-7</x:v>
      </x:c>
    </x:row>
    <x:row r="71" spans="1:18" ht="16.3" thickTop="1" x14ac:dyDescent="0.25"/>
    <x:row r="72" spans="1:18" x14ac:dyDescent="0.25">
      <x:c r="B72" s="18" t="s">
        <x:v>50</x:v>
      </x:c>
      <x:c r="F72" s="15" t="s">
        <x:v>49</x:v>
      </x:c>
      <x:c r="H72" s="16"/>
      <x:c r="I72" s="16"/>
      <x:c r="J72" s="16"/>
      <x:c r="K72" s="19">
        <x:v>0.46235999999999999</x:v>
      </x:c>
      <x:c r="L72" s="19"/>
      <x:c r="M72" s="19"/>
      <x:c r="N72" s="19">
        <x:v>0.52222999999999997</x:v>
      </x:c>
      <x:c r="O72" s="19">
        <x:v>1.44E-2</x:v>
      </x:c>
      <x:c r="P72" s="19">
        <x:v>1.01E-3</x:v>
      </x:c>
      <x:c r="R72" s="17">
        <x:f>SUM(K72:P72)</x:f>
        <x:v>0.99999999999999989</x:v>
      </x:c>
    </x:row>
    <x:row r="77" spans="1:18" s="7" customFormat="1" x14ac:dyDescent="0.25">
      <x:c r="A77" s="5"/>
      <x:c r="B77" s="4"/>
      <x:c r="C77" s="5"/>
      <x:c r="D77" s="5"/>
      <x:c r="E77" s="5"/>
      <x:c r="F77" s="5"/>
      <x:c r="G77" s="12"/>
      <x:c r="Q77" s="4"/>
      <x:c r="R77" s="4"/>
    </x:row>
    <x:row r="87" spans="1:18" s="7" customFormat="1" x14ac:dyDescent="0.25">
      <x:c r="A87" s="5"/>
      <x:c r="B87" s="4"/>
      <x:c r="C87" s="5"/>
      <x:c r="D87" s="5"/>
      <x:c r="E87" s="5"/>
      <x:c r="F87" s="5"/>
      <x:c r="G87" s="12"/>
      <x:c r="Q87" s="4"/>
      <x:c r="R87" s="4"/>
    </x:row>
  </x:sheetData>
  <x:pageMargins left="0.7" right="0.7" top="2.5" bottom="0.75" header="1" footer="0.3"/>
  <x:pageSetup scale="36" fitToHeight="0" orientation="landscape" r:id="rId1"/>
  <x:headerFooter alignWithMargins="0">
    <x:oddHeader>&amp;C&amp;"Arial,Bold"&amp;12
2025 RATE CASE
ONCOR ELECTRIC DELIVERY COMPANY LLC
INVESTMENT IN ACCOUNT 397.2 GENERAL PLANT SOFTWARE BY SYSTEM
FOR THE TEST YEAR ENDING DECEMBER 31, 2024
SPONSOR: W. A.  LEDBETTER
&amp;R&amp;"Arial,Bold"&amp;12WP/II-B-3/02
Page &amp;P of &amp;N</x:oddHeader>
  </x:headerFooter>
  <x:rowBreaks count="1" manualBreakCount="1">
    <x:brk id="72" max="16383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2025-04-02T18:57:23.0000000Z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