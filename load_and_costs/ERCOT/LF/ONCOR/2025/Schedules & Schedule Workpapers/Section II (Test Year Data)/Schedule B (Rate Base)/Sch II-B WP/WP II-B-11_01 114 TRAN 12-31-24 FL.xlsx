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8_{67FD0262-D7A7-492D-B36C-D4C5056DAF0D}" xr6:coauthVersionLast="47" xr6:coauthVersionMax="47" xr10:uidLastSave="{00000000-0000-0000-0000-000000000000}"/>
  <x:bookViews>
    <x:workbookView xWindow="25974" yWindow="-109" windowWidth="26301" windowHeight="14169" xr2:uid="{00000000-000D-0000-FFFF-FFFF00000000}"/>
  </x:bookViews>
  <x:sheets>
    <x:sheet name="WP II-B-11_01" sheetId="1" r:id="rId1"/>
  </x:sheets>
  <x:definedNames>
    <x:definedName name="_xlnm.Print_Titles" localSheetId="0">'WP II-B-11_01'!$1:$8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I32" i="1" l="1"/>
  <x:c r="J32" i="1"/>
  <x:c r="J46" i="1"/>
  <x:c r="H34" i="1" l="1"/>
  <x:c r="H35" i="1"/>
  <x:c r="H36" i="1"/>
  <x:c r="H37" i="1"/>
  <x:c r="H38" i="1"/>
  <x:c r="H39" i="1"/>
  <x:c r="H40" i="1"/>
  <x:c r="H41" i="1"/>
  <x:c r="H42" i="1"/>
  <x:c r="H43" i="1"/>
  <x:c r="H44" i="1"/>
  <x:c r="H33" i="1"/>
  <x:c r="H45" i="1" l="1"/>
  <x:c r="F46" i="1"/>
  <x:c r="I46" i="1" l="1"/>
  <x:c r="G53" i="1"/>
  <x:c r="G54" i="1" s="1"/>
  <x:c r="G55" i="1" l="1"/>
</x:calcChain>
</file>

<file path=xl/sharedStrings.xml><?xml version="1.0" encoding="utf-8"?>
<sst xmlns="http://schemas.openxmlformats.org/spreadsheetml/2006/main" count="168" uniqueCount="63">
  <si>
    <t>Amortization</t>
  </si>
  <si>
    <t>TRAN</t>
  </si>
  <si>
    <t>Line Description</t>
  </si>
  <si>
    <t>Amount</t>
  </si>
  <si>
    <t>Account</t>
  </si>
  <si>
    <t>Period</t>
  </si>
  <si>
    <t>Year</t>
  </si>
  <si>
    <t>Journal ID</t>
  </si>
  <si>
    <t>Unit</t>
  </si>
  <si>
    <t>Amortization Schedule</t>
  </si>
  <si>
    <t>Oncor Electric Delivery Company LLC</t>
  </si>
  <si>
    <t>As of December 31, 2024</t>
  </si>
  <si>
    <t>FAM0966956</t>
  </si>
  <si>
    <t>1141000</t>
  </si>
  <si>
    <t>FAM0968079</t>
  </si>
  <si>
    <t>FAM0969270</t>
  </si>
  <si>
    <t>FAM0970317</t>
  </si>
  <si>
    <t>FAM0971415</t>
  </si>
  <si>
    <t>FAM0972599</t>
  </si>
  <si>
    <t>FAM0973668</t>
  </si>
  <si>
    <t>FAM0974856</t>
  </si>
  <si>
    <t>FAM0976006</t>
  </si>
  <si>
    <t>FAM0977220</t>
  </si>
  <si>
    <t>FAM0978390</t>
  </si>
  <si>
    <t>FAM0979709</t>
  </si>
  <si>
    <t>FAM0981211</t>
  </si>
  <si>
    <t>FAM0982325</t>
  </si>
  <si>
    <t>FAM0983570</t>
  </si>
  <si>
    <t>FAM0984978</t>
  </si>
  <si>
    <t>FAM0986614</t>
  </si>
  <si>
    <t>FAM0988099</t>
  </si>
  <si>
    <t>FAM0989376</t>
  </si>
  <si>
    <t>FAM0990683</t>
  </si>
  <si>
    <t>FAM0991822</t>
  </si>
  <si>
    <t>FAM0993235</t>
  </si>
  <si>
    <t>FAM0994344</t>
  </si>
  <si>
    <t>FAM0995671</t>
  </si>
  <si>
    <t>FAM0997087</t>
  </si>
  <si>
    <t>FAM0998225</t>
  </si>
  <si>
    <t>FAM0999360</t>
  </si>
  <si>
    <t>FAM1000650</t>
  </si>
  <si>
    <t>FAM1001817</t>
  </si>
  <si>
    <t>FAM1003394</t>
  </si>
  <si>
    <t>FAM1004687</t>
  </si>
  <si>
    <t>FAM1005958</t>
  </si>
  <si>
    <t>FAM1007087</t>
  </si>
  <si>
    <t>FAM1008411</t>
  </si>
  <si>
    <t>FAM1009560</t>
  </si>
  <si>
    <t>FAM1010741</t>
  </si>
  <si>
    <t>2024 Test Year amortization</t>
  </si>
  <si>
    <t>Account 406 for TRAN</t>
  </si>
  <si>
    <t>Unamortized Approved Balance at 12-31-2024</t>
  </si>
  <si>
    <t>Approved annual amortization in 2024 test year</t>
  </si>
  <si>
    <t>Unamortized Approved Balance at 12-31-2021 in Docket No. 53601</t>
  </si>
  <si>
    <t>Amortization and base-rate recovery was approved in Docket No. 46957 (2017 rate case).  Amortization expense is booked to account 406.</t>
  </si>
  <si>
    <t>Previously Approved Electric Plant Acquisition Adjustment - TRAN Account 1141000 Unamortized Balance</t>
  </si>
  <si>
    <t>Approved amortization period in years</t>
  </si>
  <si>
    <t>Unamortized Approved Balance</t>
  </si>
  <si>
    <t>To-Date Amortization</t>
  </si>
  <si>
    <t>Approved Acquisition Adjustment for SPS Line acquired - Andrews County Line</t>
  </si>
  <si>
    <t>Remaining approved amortization period in years</t>
  </si>
  <si>
    <t>amortization expense in test year (approved Docket Nos. 46957 &amp; 53601)</t>
  </si>
  <si>
    <t>Acquisition adjustment was approved in Docket No. 44671 (Order page 11).  (Oncor's CCN was amended in Docket No. 45054.)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</si>
</sst>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/>
    <xf numFmtId="0" fontId="1" fillId="0" borderId="0" xfId="0" applyFont="1" applyFill="1"/>
    <xf numFmtId="39" fontId="1" fillId="0" borderId="0" xfId="0" applyNumberFormat="1" applyFont="1" applyFill="1"/>
    <xf numFmtId="0" fontId="2" fillId="0" borderId="0" xfId="0" applyFont="1" applyFill="1" applyAlignment="1">
      <alignment horizontal="center" wrapText="1"/>
    </xf>
    <xf numFmtId="39" fontId="2" fillId="0" borderId="0" xfId="0" applyNumberFormat="1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44" fontId="1" fillId="0" borderId="0" xfId="2" applyFont="1" applyFill="1"/>
    <xf numFmtId="39" fontId="1" fillId="0" borderId="1" xfId="0" applyNumberFormat="1" applyFont="1" applyFill="1" applyBorder="1"/>
    <xf numFmtId="164" fontId="1" fillId="0" borderId="0" xfId="1" applyNumberFormat="1" applyFont="1" applyFill="1"/>
    <xf numFmtId="0" fontId="1" fillId="0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9" fontId="1" fillId="2" borderId="0" xfId="0" applyNumberFormat="1" applyFont="1" applyFill="1"/>
    <xf numFmtId="39" fontId="1" fillId="2" borderId="1" xfId="0" applyNumberFormat="1" applyFont="1" applyFill="1" applyBorder="1"/>
    <xf numFmtId="44" fontId="1" fillId="2" borderId="0" xfId="2" applyFont="1" applyFill="1"/>
    <xf numFmtId="44" fontId="2" fillId="0" borderId="0" xfId="2" applyFont="1" applyFill="1"/>
    <xf numFmtId="0" fontId="1" fillId="0" borderId="0" xfId="0" applyFont="1"/>
    <xf numFmtId="44" fontId="1" fillId="0" borderId="0" xfId="2" applyFont="1" applyFill="1" applyAlignment="1">
      <alignment horizontal="center" wrapText="1"/>
    </xf>
    <xf numFmtId="44" fontId="0" fillId="0" borderId="0" xfId="2" applyFont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J55"/>
  <x:sheetViews>
    <x:sheetView tabSelected="1" zoomScaleNormal="100" workbookViewId="0">
      <x:pane ySplit="8" topLeftCell="A42" activePane="bottomLeft" state="frozen"/>
      <x:selection pane="bottomLeft" activeCell="G57" sqref="G57"/>
    </x:sheetView>
  </x:sheetViews>
  <x:sheetFormatPr defaultColWidth="9.125" defaultRowHeight="15.65" x14ac:dyDescent="0.25"/>
  <x:cols>
    <x:col min="1" max="1" width="9.125" style="2"/>
    <x:col min="2" max="2" width="24" style="2" customWidth="1"/>
    <x:col min="3" max="3" width="16.125" style="2" customWidth="1"/>
    <x:col min="4" max="4" width="13.25" style="2" bestFit="1" customWidth="1"/>
    <x:col min="5" max="5" width="15.375" style="2" bestFit="1" customWidth="1"/>
    <x:col min="6" max="6" width="20.625" style="3" bestFit="1" customWidth="1"/>
    <x:col min="7" max="7" width="24" style="6" customWidth="1"/>
    <x:col min="8" max="8" width="35.875" style="2" customWidth="1"/>
    <x:col min="9" max="9" width="38" style="7" bestFit="1" customWidth="1"/>
    <x:col min="10" max="10" width="16.625" style="7" customWidth="1"/>
    <x:col min="11" max="16384" width="9.125" style="2"/>
  </x:cols>
  <x:sheetData>
    <x:row r="1" spans="1:10" x14ac:dyDescent="0.25">
      <x:c r="A1" s="1" t="s">
        <x:v>10</x:v>
      </x:c>
    </x:row>
    <x:row r="2" spans="1:10" x14ac:dyDescent="0.25">
      <x:c r="A2" s="1" t="s">
        <x:v>55</x:v>
      </x:c>
    </x:row>
    <x:row r="3" spans="1:10" x14ac:dyDescent="0.25">
      <x:c r="A3" s="1" t="s">
        <x:v>11</x:v>
      </x:c>
    </x:row>
    <x:row r="5" spans="1:10" x14ac:dyDescent="0.25">
      <x:c r="A5" s="1" t="s">
        <x:v>9</x:v>
      </x:c>
    </x:row>
    <x:row r="6" spans="1:10" x14ac:dyDescent="0.25">
      <x:c r="I6" s="17" t="s">
        <x:v>57</x:v>
      </x:c>
      <x:c r="J6" s="17" t="s">
        <x:v>58</x:v>
      </x:c>
    </x:row>
    <x:row r="7" spans="1:10" x14ac:dyDescent="0.25">
      <x:c r="I7" s="17"/>
      <x:c r="J7" s="18"/>
    </x:row>
    <x:row r="8" spans="1:10" ht="15.65" customHeight="1" x14ac:dyDescent="0.25">
      <x:c r="A8" s="4" t="s">
        <x:v>8</x:v>
      </x:c>
      <x:c r="B8" s="4" t="s">
        <x:v>7</x:v>
      </x:c>
      <x:c r="C8" s="4" t="s">
        <x:v>6</x:v>
      </x:c>
      <x:c r="D8" s="4" t="s">
        <x:v>5</x:v>
      </x:c>
      <x:c r="E8" s="4" t="s">
        <x:v>4</x:v>
      </x:c>
      <x:c r="F8" s="5" t="s">
        <x:v>3</x:v>
      </x:c>
      <x:c r="G8" s="4" t="s">
        <x:v>2</x:v>
      </x:c>
      <x:c r="I8" s="18"/>
      <x:c r="J8" s="18"/>
    </x:row>
    <x:row r="9" spans="1:10" x14ac:dyDescent="0.25">
      <x:c r="A9" s="6" t="s">
        <x:v>1</x:v>
      </x:c>
      <x:c r="B9" s="6" t="s">
        <x:v>12</x:v>
      </x:c>
      <x:c r="C9" s="6">
        <x:v>2022</x:v>
      </x:c>
      <x:c r="D9" s="6">
        <x:v>1</x:v>
      </x:c>
      <x:c r="E9" s="6" t="s">
        <x:v>13</x:v>
      </x:c>
      <x:c r="F9" s="3">
        <x:v>-5630.22</x:v>
      </x:c>
      <x:c r="G9" s="6" t="s">
        <x:v>0</x:v>
      </x:c>
    </x:row>
    <x:row r="10" spans="1:10" x14ac:dyDescent="0.25">
      <x:c r="A10" s="6" t="s">
        <x:v>1</x:v>
      </x:c>
      <x:c r="B10" s="6" t="s">
        <x:v>14</x:v>
      </x:c>
      <x:c r="C10" s="6">
        <x:v>2022</x:v>
      </x:c>
      <x:c r="D10" s="6">
        <x:v>2</x:v>
      </x:c>
      <x:c r="E10" s="6" t="s">
        <x:v>13</x:v>
      </x:c>
      <x:c r="F10" s="3">
        <x:v>-5630.21</x:v>
      </x:c>
      <x:c r="G10" s="6" t="s">
        <x:v>0</x:v>
      </x:c>
    </x:row>
    <x:row r="11" spans="1:10" x14ac:dyDescent="0.25">
      <x:c r="A11" s="6" t="s">
        <x:v>1</x:v>
      </x:c>
      <x:c r="B11" s="6" t="s">
        <x:v>15</x:v>
      </x:c>
      <x:c r="C11" s="6">
        <x:v>2022</x:v>
      </x:c>
      <x:c r="D11" s="6">
        <x:v>3</x:v>
      </x:c>
      <x:c r="E11" s="6" t="s">
        <x:v>13</x:v>
      </x:c>
      <x:c r="F11" s="3">
        <x:v>-5630.22</x:v>
      </x:c>
      <x:c r="G11" s="6" t="s">
        <x:v>0</x:v>
      </x:c>
    </x:row>
    <x:row r="12" spans="1:10" x14ac:dyDescent="0.25">
      <x:c r="A12" s="6" t="s">
        <x:v>1</x:v>
      </x:c>
      <x:c r="B12" s="6" t="s">
        <x:v>16</x:v>
      </x:c>
      <x:c r="C12" s="6">
        <x:v>2022</x:v>
      </x:c>
      <x:c r="D12" s="6">
        <x:v>4</x:v>
      </x:c>
      <x:c r="E12" s="6" t="s">
        <x:v>13</x:v>
      </x:c>
      <x:c r="F12" s="3">
        <x:v>-5630.21</x:v>
      </x:c>
      <x:c r="G12" s="6" t="s">
        <x:v>0</x:v>
      </x:c>
    </x:row>
    <x:row r="13" spans="1:10" x14ac:dyDescent="0.25">
      <x:c r="A13" s="6" t="s">
        <x:v>1</x:v>
      </x:c>
      <x:c r="B13" s="6" t="s">
        <x:v>17</x:v>
      </x:c>
      <x:c r="C13" s="6">
        <x:v>2022</x:v>
      </x:c>
      <x:c r="D13" s="6">
        <x:v>5</x:v>
      </x:c>
      <x:c r="E13" s="6" t="s">
        <x:v>13</x:v>
      </x:c>
      <x:c r="F13" s="3">
        <x:v>-5630.22</x:v>
      </x:c>
      <x:c r="G13" s="6" t="s">
        <x:v>0</x:v>
      </x:c>
    </x:row>
    <x:row r="14" spans="1:10" x14ac:dyDescent="0.25">
      <x:c r="A14" s="6" t="s">
        <x:v>1</x:v>
      </x:c>
      <x:c r="B14" s="6" t="s">
        <x:v>18</x:v>
      </x:c>
      <x:c r="C14" s="6">
        <x:v>2022</x:v>
      </x:c>
      <x:c r="D14" s="6">
        <x:v>6</x:v>
      </x:c>
      <x:c r="E14" s="6" t="s">
        <x:v>13</x:v>
      </x:c>
      <x:c r="F14" s="3">
        <x:v>-5630.21</x:v>
      </x:c>
      <x:c r="G14" s="6" t="s">
        <x:v>0</x:v>
      </x:c>
    </x:row>
    <x:row r="15" spans="1:10" x14ac:dyDescent="0.25">
      <x:c r="A15" s="6" t="s">
        <x:v>1</x:v>
      </x:c>
      <x:c r="B15" s="6" t="s">
        <x:v>19</x:v>
      </x:c>
      <x:c r="C15" s="6">
        <x:v>2022</x:v>
      </x:c>
      <x:c r="D15" s="6">
        <x:v>7</x:v>
      </x:c>
      <x:c r="E15" s="6" t="s">
        <x:v>13</x:v>
      </x:c>
      <x:c r="F15" s="3">
        <x:v>-5630.22</x:v>
      </x:c>
      <x:c r="G15" s="6" t="s">
        <x:v>0</x:v>
      </x:c>
    </x:row>
    <x:row r="16" spans="1:10" x14ac:dyDescent="0.25">
      <x:c r="A16" s="6" t="s">
        <x:v>1</x:v>
      </x:c>
      <x:c r="B16" s="6" t="s">
        <x:v>20</x:v>
      </x:c>
      <x:c r="C16" s="6">
        <x:v>2022</x:v>
      </x:c>
      <x:c r="D16" s="6">
        <x:v>8</x:v>
      </x:c>
      <x:c r="E16" s="6" t="s">
        <x:v>13</x:v>
      </x:c>
      <x:c r="F16" s="3">
        <x:v>-5630.21</x:v>
      </x:c>
      <x:c r="G16" s="6" t="s">
        <x:v>0</x:v>
      </x:c>
    </x:row>
    <x:row r="17" spans="1:10" x14ac:dyDescent="0.25">
      <x:c r="A17" s="6" t="s">
        <x:v>1</x:v>
      </x:c>
      <x:c r="B17" s="6" t="s">
        <x:v>21</x:v>
      </x:c>
      <x:c r="C17" s="6">
        <x:v>2022</x:v>
      </x:c>
      <x:c r="D17" s="6">
        <x:v>9</x:v>
      </x:c>
      <x:c r="E17" s="6" t="s">
        <x:v>13</x:v>
      </x:c>
      <x:c r="F17" s="3">
        <x:v>-5630.22</x:v>
      </x:c>
      <x:c r="G17" s="6" t="s">
        <x:v>0</x:v>
      </x:c>
    </x:row>
    <x:row r="18" spans="1:10" x14ac:dyDescent="0.25">
      <x:c r="A18" s="6" t="s">
        <x:v>1</x:v>
      </x:c>
      <x:c r="B18" s="6" t="s">
        <x:v>22</x:v>
      </x:c>
      <x:c r="C18" s="6">
        <x:v>2022</x:v>
      </x:c>
      <x:c r="D18" s="6">
        <x:v>10</x:v>
      </x:c>
      <x:c r="E18" s="6" t="s">
        <x:v>13</x:v>
      </x:c>
      <x:c r="F18" s="3">
        <x:v>-5630.21</x:v>
      </x:c>
      <x:c r="G18" s="6" t="s">
        <x:v>0</x:v>
      </x:c>
    </x:row>
    <x:row r="19" spans="1:10" x14ac:dyDescent="0.25">
      <x:c r="A19" s="6" t="s">
        <x:v>1</x:v>
      </x:c>
      <x:c r="B19" s="6" t="s">
        <x:v>23</x:v>
      </x:c>
      <x:c r="C19" s="6">
        <x:v>2022</x:v>
      </x:c>
      <x:c r="D19" s="6">
        <x:v>11</x:v>
      </x:c>
      <x:c r="E19" s="6" t="s">
        <x:v>13</x:v>
      </x:c>
      <x:c r="F19" s="3">
        <x:v>-5630.22</x:v>
      </x:c>
      <x:c r="G19" s="6" t="s">
        <x:v>0</x:v>
      </x:c>
    </x:row>
    <x:row r="20" spans="1:10" x14ac:dyDescent="0.25">
      <x:c r="A20" s="6" t="s">
        <x:v>1</x:v>
      </x:c>
      <x:c r="B20" s="6" t="s">
        <x:v>24</x:v>
      </x:c>
      <x:c r="C20" s="6">
        <x:v>2022</x:v>
      </x:c>
      <x:c r="D20" s="6">
        <x:v>12</x:v>
      </x:c>
      <x:c r="E20" s="6" t="s">
        <x:v>13</x:v>
      </x:c>
      <x:c r="F20" s="3">
        <x:v>-5630.21</x:v>
      </x:c>
      <x:c r="G20" s="6" t="s">
        <x:v>0</x:v>
      </x:c>
    </x:row>
    <x:row r="21" spans="1:10" x14ac:dyDescent="0.25">
      <x:c r="A21" s="6" t="s">
        <x:v>1</x:v>
      </x:c>
      <x:c r="B21" s="6" t="s">
        <x:v>25</x:v>
      </x:c>
      <x:c r="C21" s="6">
        <x:v>2023</x:v>
      </x:c>
      <x:c r="D21" s="6">
        <x:v>1</x:v>
      </x:c>
      <x:c r="E21" s="6" t="s">
        <x:v>13</x:v>
      </x:c>
      <x:c r="F21" s="3">
        <x:v>-5630.22</x:v>
      </x:c>
      <x:c r="G21" s="6" t="s">
        <x:v>0</x:v>
      </x:c>
    </x:row>
    <x:row r="22" spans="1:10" x14ac:dyDescent="0.25">
      <x:c r="A22" s="6" t="s">
        <x:v>1</x:v>
      </x:c>
      <x:c r="B22" s="6" t="s">
        <x:v>26</x:v>
      </x:c>
      <x:c r="C22" s="6">
        <x:v>2023</x:v>
      </x:c>
      <x:c r="D22" s="6">
        <x:v>2</x:v>
      </x:c>
      <x:c r="E22" s="6" t="s">
        <x:v>13</x:v>
      </x:c>
      <x:c r="F22" s="3">
        <x:v>-5630.21</x:v>
      </x:c>
      <x:c r="G22" s="6" t="s">
        <x:v>0</x:v>
      </x:c>
    </x:row>
    <x:row r="23" spans="1:10" x14ac:dyDescent="0.25">
      <x:c r="A23" s="6" t="s">
        <x:v>1</x:v>
      </x:c>
      <x:c r="B23" s="6" t="s">
        <x:v>27</x:v>
      </x:c>
      <x:c r="C23" s="6">
        <x:v>2023</x:v>
      </x:c>
      <x:c r="D23" s="6">
        <x:v>3</x:v>
      </x:c>
      <x:c r="E23" s="6" t="s">
        <x:v>13</x:v>
      </x:c>
      <x:c r="F23" s="3">
        <x:v>-5630.22</x:v>
      </x:c>
      <x:c r="G23" s="6" t="s">
        <x:v>0</x:v>
      </x:c>
    </x:row>
    <x:row r="24" spans="1:10" x14ac:dyDescent="0.25">
      <x:c r="A24" s="6" t="s">
        <x:v>1</x:v>
      </x:c>
      <x:c r="B24" s="6" t="s">
        <x:v>28</x:v>
      </x:c>
      <x:c r="C24" s="6">
        <x:v>2023</x:v>
      </x:c>
      <x:c r="D24" s="6">
        <x:v>4</x:v>
      </x:c>
      <x:c r="E24" s="6" t="s">
        <x:v>13</x:v>
      </x:c>
      <x:c r="F24" s="3">
        <x:v>-5630.21</x:v>
      </x:c>
      <x:c r="G24" s="6" t="s">
        <x:v>0</x:v>
      </x:c>
    </x:row>
    <x:row r="25" spans="1:10" x14ac:dyDescent="0.25">
      <x:c r="A25" s="6" t="s">
        <x:v>1</x:v>
      </x:c>
      <x:c r="B25" s="6" t="s">
        <x:v>29</x:v>
      </x:c>
      <x:c r="C25" s="6">
        <x:v>2023</x:v>
      </x:c>
      <x:c r="D25" s="6">
        <x:v>5</x:v>
      </x:c>
      <x:c r="E25" s="6" t="s">
        <x:v>13</x:v>
      </x:c>
      <x:c r="F25" s="3">
        <x:v>-5630.22</x:v>
      </x:c>
      <x:c r="G25" s="6" t="s">
        <x:v>0</x:v>
      </x:c>
    </x:row>
    <x:row r="26" spans="1:10" x14ac:dyDescent="0.25">
      <x:c r="A26" s="6" t="s">
        <x:v>1</x:v>
      </x:c>
      <x:c r="B26" s="6" t="s">
        <x:v>30</x:v>
      </x:c>
      <x:c r="C26" s="6">
        <x:v>2023</x:v>
      </x:c>
      <x:c r="D26" s="6">
        <x:v>6</x:v>
      </x:c>
      <x:c r="E26" s="6" t="s">
        <x:v>13</x:v>
      </x:c>
      <x:c r="F26" s="3">
        <x:v>-5630.21</x:v>
      </x:c>
      <x:c r="G26" s="6" t="s">
        <x:v>0</x:v>
      </x:c>
    </x:row>
    <x:row r="27" spans="1:10" x14ac:dyDescent="0.25">
      <x:c r="A27" s="6" t="s">
        <x:v>1</x:v>
      </x:c>
      <x:c r="B27" s="6" t="s">
        <x:v>31</x:v>
      </x:c>
      <x:c r="C27" s="6">
        <x:v>2023</x:v>
      </x:c>
      <x:c r="D27" s="6">
        <x:v>7</x:v>
      </x:c>
      <x:c r="E27" s="6" t="s">
        <x:v>13</x:v>
      </x:c>
      <x:c r="F27" s="3">
        <x:v>-5630.22</x:v>
      </x:c>
      <x:c r="G27" s="6" t="s">
        <x:v>0</x:v>
      </x:c>
    </x:row>
    <x:row r="28" spans="1:10" x14ac:dyDescent="0.25">
      <x:c r="A28" s="6" t="s">
        <x:v>1</x:v>
      </x:c>
      <x:c r="B28" s="6" t="s">
        <x:v>32</x:v>
      </x:c>
      <x:c r="C28" s="6">
        <x:v>2023</x:v>
      </x:c>
      <x:c r="D28" s="6">
        <x:v>8</x:v>
      </x:c>
      <x:c r="E28" s="6" t="s">
        <x:v>13</x:v>
      </x:c>
      <x:c r="F28" s="3">
        <x:v>-5630.21</x:v>
      </x:c>
      <x:c r="G28" s="6" t="s">
        <x:v>0</x:v>
      </x:c>
    </x:row>
    <x:row r="29" spans="1:10" x14ac:dyDescent="0.25">
      <x:c r="A29" s="6" t="s">
        <x:v>1</x:v>
      </x:c>
      <x:c r="B29" s="6" t="s">
        <x:v>33</x:v>
      </x:c>
      <x:c r="C29" s="6">
        <x:v>2023</x:v>
      </x:c>
      <x:c r="D29" s="6">
        <x:v>9</x:v>
      </x:c>
      <x:c r="E29" s="6" t="s">
        <x:v>13</x:v>
      </x:c>
      <x:c r="F29" s="3">
        <x:v>-5630.22</x:v>
      </x:c>
      <x:c r="G29" s="6" t="s">
        <x:v>0</x:v>
      </x:c>
    </x:row>
    <x:row r="30" spans="1:10" x14ac:dyDescent="0.25">
      <x:c r="A30" s="6" t="s">
        <x:v>1</x:v>
      </x:c>
      <x:c r="B30" s="6" t="s">
        <x:v>34</x:v>
      </x:c>
      <x:c r="C30" s="6">
        <x:v>2023</x:v>
      </x:c>
      <x:c r="D30" s="6">
        <x:v>10</x:v>
      </x:c>
      <x:c r="E30" s="6" t="s">
        <x:v>13</x:v>
      </x:c>
      <x:c r="F30" s="3">
        <x:v>-5630.21</x:v>
      </x:c>
      <x:c r="G30" s="6" t="s">
        <x:v>0</x:v>
      </x:c>
    </x:row>
    <x:row r="31" spans="1:10" x14ac:dyDescent="0.25">
      <x:c r="A31" s="6" t="s">
        <x:v>1</x:v>
      </x:c>
      <x:c r="B31" s="6" t="s">
        <x:v>35</x:v>
      </x:c>
      <x:c r="C31" s="6">
        <x:v>2023</x:v>
      </x:c>
      <x:c r="D31" s="6">
        <x:v>11</x:v>
      </x:c>
      <x:c r="E31" s="6" t="s">
        <x:v>13</x:v>
      </x:c>
      <x:c r="F31" s="3">
        <x:v>-5630.22</x:v>
      </x:c>
      <x:c r="G31" s="6" t="s">
        <x:v>0</x:v>
      </x:c>
      <x:c r="H31" s="6" t="s">
        <x:v>50</x:v>
      </x:c>
    </x:row>
    <x:row r="32" spans="1:10" x14ac:dyDescent="0.25">
      <x:c r="A32" s="6" t="s">
        <x:v>1</x:v>
      </x:c>
      <x:c r="B32" s="6" t="s">
        <x:v>36</x:v>
      </x:c>
      <x:c r="C32" s="6">
        <x:v>2023</x:v>
      </x:c>
      <x:c r="D32" s="6">
        <x:v>12</x:v>
      </x:c>
      <x:c r="E32" s="6" t="s">
        <x:v>13</x:v>
      </x:c>
      <x:c r="F32" s="3">
        <x:v>-5630.21</x:v>
      </x:c>
      <x:c r="G32" s="6" t="s">
        <x:v>0</x:v>
      </x:c>
      <x:c r="H32" s="10" t="s">
        <x:v>49</x:v>
      </x:c>
      <x:c r="I32" s="7">
        <x:f>F48+SUM(F9:F32)</x:f>
        <x:v>585542.36000000162</x:v>
      </x:c>
      <x:c r="J32" s="7">
        <x:f>G52-I32</x:f>
        <x:v>411756.92999999842</x:v>
      </x:c>
    </x:row>
    <x:row r="33" spans="1:10" x14ac:dyDescent="0.25">
      <x:c r="A33" s="11" t="s">
        <x:v>1</x:v>
      </x:c>
      <x:c r="B33" s="11" t="s">
        <x:v>37</x:v>
      </x:c>
      <x:c r="C33" s="11">
        <x:v>2024</x:v>
      </x:c>
      <x:c r="D33" s="11">
        <x:v>1</x:v>
      </x:c>
      <x:c r="E33" s="11" t="s">
        <x:v>13</x:v>
      </x:c>
      <x:c r="F33" s="12">
        <x:v>-5630.22</x:v>
      </x:c>
      <x:c r="G33" s="11" t="s">
        <x:v>0</x:v>
      </x:c>
      <x:c r="H33" s="12">
        <x:f>-F33</x:f>
        <x:v>5630.22</x:v>
      </x:c>
    </x:row>
    <x:row r="34" spans="1:10" x14ac:dyDescent="0.25">
      <x:c r="A34" s="11" t="s">
        <x:v>1</x:v>
      </x:c>
      <x:c r="B34" s="11" t="s">
        <x:v>38</x:v>
      </x:c>
      <x:c r="C34" s="11">
        <x:v>2024</x:v>
      </x:c>
      <x:c r="D34" s="11">
        <x:v>2</x:v>
      </x:c>
      <x:c r="E34" s="11" t="s">
        <x:v>13</x:v>
      </x:c>
      <x:c r="F34" s="12">
        <x:v>-5630.21</x:v>
      </x:c>
      <x:c r="G34" s="11" t="s">
        <x:v>0</x:v>
      </x:c>
      <x:c r="H34" s="12">
        <x:f t="shared" ref="H34:H44" si="0">-F34</x:f>
        <x:v>5630.21</x:v>
      </x:c>
    </x:row>
    <x:row r="35" spans="1:10" x14ac:dyDescent="0.25">
      <x:c r="A35" s="11" t="s">
        <x:v>1</x:v>
      </x:c>
      <x:c r="B35" s="11" t="s">
        <x:v>39</x:v>
      </x:c>
      <x:c r="C35" s="11">
        <x:v>2024</x:v>
      </x:c>
      <x:c r="D35" s="11">
        <x:v>3</x:v>
      </x:c>
      <x:c r="E35" s="11" t="s">
        <x:v>13</x:v>
      </x:c>
      <x:c r="F35" s="12">
        <x:v>-5630.22</x:v>
      </x:c>
      <x:c r="G35" s="11" t="s">
        <x:v>0</x:v>
      </x:c>
      <x:c r="H35" s="12">
        <x:f t="shared" si="0"/>
        <x:v>5630.22</x:v>
      </x:c>
    </x:row>
    <x:row r="36" spans="1:10" x14ac:dyDescent="0.25">
      <x:c r="A36" s="11" t="s">
        <x:v>1</x:v>
      </x:c>
      <x:c r="B36" s="11" t="s">
        <x:v>40</x:v>
      </x:c>
      <x:c r="C36" s="11">
        <x:v>2024</x:v>
      </x:c>
      <x:c r="D36" s="11">
        <x:v>4</x:v>
      </x:c>
      <x:c r="E36" s="11" t="s">
        <x:v>13</x:v>
      </x:c>
      <x:c r="F36" s="12">
        <x:v>-5630.21</x:v>
      </x:c>
      <x:c r="G36" s="11" t="s">
        <x:v>0</x:v>
      </x:c>
      <x:c r="H36" s="12">
        <x:f t="shared" si="0"/>
        <x:v>5630.21</x:v>
      </x:c>
    </x:row>
    <x:row r="37" spans="1:10" x14ac:dyDescent="0.25">
      <x:c r="A37" s="11" t="s">
        <x:v>1</x:v>
      </x:c>
      <x:c r="B37" s="11" t="s">
        <x:v>41</x:v>
      </x:c>
      <x:c r="C37" s="11">
        <x:v>2024</x:v>
      </x:c>
      <x:c r="D37" s="11">
        <x:v>5</x:v>
      </x:c>
      <x:c r="E37" s="11" t="s">
        <x:v>13</x:v>
      </x:c>
      <x:c r="F37" s="12">
        <x:v>-5630.22</x:v>
      </x:c>
      <x:c r="G37" s="11" t="s">
        <x:v>0</x:v>
      </x:c>
      <x:c r="H37" s="12">
        <x:f t="shared" si="0"/>
        <x:v>5630.22</x:v>
      </x:c>
    </x:row>
    <x:row r="38" spans="1:10" x14ac:dyDescent="0.25">
      <x:c r="A38" s="11" t="s">
        <x:v>1</x:v>
      </x:c>
      <x:c r="B38" s="11" t="s">
        <x:v>42</x:v>
      </x:c>
      <x:c r="C38" s="11">
        <x:v>2024</x:v>
      </x:c>
      <x:c r="D38" s="11">
        <x:v>6</x:v>
      </x:c>
      <x:c r="E38" s="11" t="s">
        <x:v>13</x:v>
      </x:c>
      <x:c r="F38" s="12">
        <x:v>-5630.21</x:v>
      </x:c>
      <x:c r="G38" s="11" t="s">
        <x:v>0</x:v>
      </x:c>
      <x:c r="H38" s="12">
        <x:f t="shared" si="0"/>
        <x:v>5630.21</x:v>
      </x:c>
    </x:row>
    <x:row r="39" spans="1:10" x14ac:dyDescent="0.25">
      <x:c r="A39" s="11" t="s">
        <x:v>1</x:v>
      </x:c>
      <x:c r="B39" s="11" t="s">
        <x:v>43</x:v>
      </x:c>
      <x:c r="C39" s="11">
        <x:v>2024</x:v>
      </x:c>
      <x:c r="D39" s="11">
        <x:v>7</x:v>
      </x:c>
      <x:c r="E39" s="11" t="s">
        <x:v>13</x:v>
      </x:c>
      <x:c r="F39" s="12">
        <x:v>-5630.22</x:v>
      </x:c>
      <x:c r="G39" s="11" t="s">
        <x:v>0</x:v>
      </x:c>
      <x:c r="H39" s="12">
        <x:f t="shared" si="0"/>
        <x:v>5630.22</x:v>
      </x:c>
    </x:row>
    <x:row r="40" spans="1:10" x14ac:dyDescent="0.25">
      <x:c r="A40" s="11" t="s">
        <x:v>1</x:v>
      </x:c>
      <x:c r="B40" s="11" t="s">
        <x:v>44</x:v>
      </x:c>
      <x:c r="C40" s="11">
        <x:v>2024</x:v>
      </x:c>
      <x:c r="D40" s="11">
        <x:v>8</x:v>
      </x:c>
      <x:c r="E40" s="11" t="s">
        <x:v>13</x:v>
      </x:c>
      <x:c r="F40" s="12">
        <x:v>-5630.21</x:v>
      </x:c>
      <x:c r="G40" s="11" t="s">
        <x:v>0</x:v>
      </x:c>
      <x:c r="H40" s="12">
        <x:f t="shared" si="0"/>
        <x:v>5630.21</x:v>
      </x:c>
    </x:row>
    <x:row r="41" spans="1:10" x14ac:dyDescent="0.25">
      <x:c r="A41" s="11" t="s">
        <x:v>1</x:v>
      </x:c>
      <x:c r="B41" s="11" t="s">
        <x:v>45</x:v>
      </x:c>
      <x:c r="C41" s="11">
        <x:v>2024</x:v>
      </x:c>
      <x:c r="D41" s="11">
        <x:v>9</x:v>
      </x:c>
      <x:c r="E41" s="11" t="s">
        <x:v>13</x:v>
      </x:c>
      <x:c r="F41" s="12">
        <x:v>-5630.22</x:v>
      </x:c>
      <x:c r="G41" s="11" t="s">
        <x:v>0</x:v>
      </x:c>
      <x:c r="H41" s="12">
        <x:f t="shared" si="0"/>
        <x:v>5630.22</x:v>
      </x:c>
    </x:row>
    <x:row r="42" spans="1:10" x14ac:dyDescent="0.25">
      <x:c r="A42" s="11" t="s">
        <x:v>1</x:v>
      </x:c>
      <x:c r="B42" s="11" t="s">
        <x:v>46</x:v>
      </x:c>
      <x:c r="C42" s="11">
        <x:v>2024</x:v>
      </x:c>
      <x:c r="D42" s="11">
        <x:v>10</x:v>
      </x:c>
      <x:c r="E42" s="11" t="s">
        <x:v>13</x:v>
      </x:c>
      <x:c r="F42" s="12">
        <x:v>-5630.21</x:v>
      </x:c>
      <x:c r="G42" s="11" t="s">
        <x:v>0</x:v>
      </x:c>
      <x:c r="H42" s="12">
        <x:f t="shared" si="0"/>
        <x:v>5630.21</x:v>
      </x:c>
    </x:row>
    <x:row r="43" spans="1:10" x14ac:dyDescent="0.25">
      <x:c r="A43" s="11" t="s">
        <x:v>1</x:v>
      </x:c>
      <x:c r="B43" s="11" t="s">
        <x:v>47</x:v>
      </x:c>
      <x:c r="C43" s="11">
        <x:v>2024</x:v>
      </x:c>
      <x:c r="D43" s="11">
        <x:v>11</x:v>
      </x:c>
      <x:c r="E43" s="11" t="s">
        <x:v>13</x:v>
      </x:c>
      <x:c r="F43" s="12">
        <x:v>-5630.22</x:v>
      </x:c>
      <x:c r="G43" s="11" t="s">
        <x:v>0</x:v>
      </x:c>
      <x:c r="H43" s="12">
        <x:f t="shared" si="0"/>
        <x:v>5630.22</x:v>
      </x:c>
    </x:row>
    <x:row r="44" spans="1:10" x14ac:dyDescent="0.25">
      <x:c r="A44" s="11" t="s">
        <x:v>1</x:v>
      </x:c>
      <x:c r="B44" s="11" t="s">
        <x:v>48</x:v>
      </x:c>
      <x:c r="C44" s="11">
        <x:v>2024</x:v>
      </x:c>
      <x:c r="D44" s="11">
        <x:v>12</x:v>
      </x:c>
      <x:c r="E44" s="11" t="s">
        <x:v>13</x:v>
      </x:c>
      <x:c r="F44" s="12">
        <x:v>-5630.21</x:v>
      </x:c>
      <x:c r="G44" s="11" t="s">
        <x:v>0</x:v>
      </x:c>
      <x:c r="H44" s="13">
        <x:f t="shared" si="0"/>
        <x:v>5630.21</x:v>
      </x:c>
    </x:row>
    <x:row r="45" spans="1:10" x14ac:dyDescent="0.25">
      <x:c r="F45" s="8"/>
      <x:c r="H45" s="12">
        <x:f>SUM(H33:H44)</x:f>
        <x:v>67562.58</x:v>
      </x:c>
    </x:row>
    <x:row r="46" spans="1:10" x14ac:dyDescent="0.25">
      <x:c r="B46" s="1" t="s">
        <x:v>51</x:v>
      </x:c>
      <x:c r="C46" s="1"/>
      <x:c r="D46" s="1"/>
      <x:c r="E46" s="1"/>
      <x:c r="F46" s="15">
        <x:f>F48+SUM(F9:F44)</x:f>
        <x:v>517979.78000000166</x:v>
      </x:c>
      <x:c r="I46" s="15">
        <x:f>F46</x:f>
        <x:v>517979.78000000166</x:v>
      </x:c>
      <x:c r="J46" s="7">
        <x:f>J32+H45</x:f>
        <x:v>479319.50999999844</x:v>
      </x:c>
    </x:row>
    <x:row r="47" spans="1:10" x14ac:dyDescent="0.25">
      <x:c r="F47" s="7"/>
    </x:row>
    <x:row r="48" spans="1:10" x14ac:dyDescent="0.25">
      <x:c r="A48" s="2" t="s">
        <x:v>53</x:v>
      </x:c>
      <x:c r="F48" s="7">
        <x:v>720667.52000000165</x:v>
      </x:c>
    </x:row>
    <x:row r="50" spans="1:8" x14ac:dyDescent="0.25">
      <x:c r="A50" s="2" t="s">
        <x:v>62</x:v>
      </x:c>
    </x:row>
    <x:row r="51" spans="1:8" x14ac:dyDescent="0.25">
      <x:c r="A51" s="2" t="s">
        <x:v>54</x:v>
      </x:c>
    </x:row>
    <x:row r="52" spans="1:8" x14ac:dyDescent="0.25">
      <x:c r="A52" s="16" t="s">
        <x:v>59</x:v>
      </x:c>
      <x:c r="E52" s="7"/>
      <x:c r="F52" s="2"/>
      <x:c r="G52" s="7">
        <x:v>997299.29</x:v>
      </x:c>
    </x:row>
    <x:row r="53" spans="1:8" x14ac:dyDescent="0.25">
      <x:c r="A53" s="2" t="s">
        <x:v>52</x:v>
      </x:c>
      <x:c r="F53" s="2"/>
      <x:c r="G53" s="14">
        <x:f>H45</x:f>
        <x:v>67562.58</x:v>
      </x:c>
      <x:c r="H53" s="16" t="s">
        <x:v>61</x:v>
      </x:c>
    </x:row>
    <x:row r="54" spans="1:8" x14ac:dyDescent="0.25">
      <x:c r="A54" s="2" t="s">
        <x:v>56</x:v>
      </x:c>
      <x:c r="F54" s="2"/>
      <x:c r="G54" s="9">
        <x:f>G52/G53</x:f>
        <x:v>14.761119098767395</x:v>
      </x:c>
    </x:row>
    <x:row r="55" spans="1:8" x14ac:dyDescent="0.25">
      <x:c r="A55" s="2" t="s">
        <x:v>60</x:v>
      </x:c>
      <x:c r="F55" s="2"/>
      <x:c r="G55" s="9">
        <x:f>F46/G53</x:f>
        <x:v>7.6666666666666909</x:v>
      </x:c>
    </x:row>
  </x:sheetData>
  <x:mergeCells count="2">
    <x:mergeCell ref="I6:I8"/>
    <x:mergeCell ref="J6:J8"/>
  </x:mergeCells>
  <x:printOptions horizontalCentered="1"/>
  <x:pageMargins left="0.75" right="0.75" top="2" bottom="1" header="0.75" footer="0.5"/>
  <x:pageSetup scale="58" fitToHeight="0" orientation="landscape" r:id="rId1"/>
  <x:headerFooter>
    <x:oddHeader>&amp;C&amp;"Arial,Bold"&amp;12
2025 RATE CASE
ONCOR ELECTRIC DELIVERY COMPANY LLC
ELECTRIC PLANT ACQUISITION ADJUSTMENT - TRAN
FOR THE TEST YEAR ENDING DECEMBER 31, 2024
SPONSOR: W. A. LEDBETTER&amp;R&amp;"Arial,Bold"&amp;12WP/II-B-11/01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2025-04-15T22:13:30.0000000Z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