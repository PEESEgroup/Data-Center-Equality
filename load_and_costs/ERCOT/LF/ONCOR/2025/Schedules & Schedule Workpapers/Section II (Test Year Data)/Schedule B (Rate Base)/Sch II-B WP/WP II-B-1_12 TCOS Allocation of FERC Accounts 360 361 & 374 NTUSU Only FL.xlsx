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C9368B2E-1081-4AFA-930E-CACE85C39713}" xr6:coauthVersionLast="47" xr6:coauthVersionMax="47" xr10:uidLastSave="{00000000-0000-0000-0000-000000000000}"/>
  <x:bookViews>
    <x:workbookView xWindow="-26192" yWindow="-109" windowWidth="26301" windowHeight="14169" tabRatio="843" xr2:uid="{00000000-000D-0000-FFFF-FFFF00000000}"/>
  </x:bookViews>
  <x:sheets>
    <x:sheet name="WP II-B-1_12 360 361 &amp; 374" sheetId="8" r:id="rId1"/>
  </x:sheets>
  <x:definedNames>
    <x:definedName name="_xlnm._FilterDatabase" localSheetId="0" hidden="1">'WP II-B-1_12 360 361 &amp; 374'!$A$1:$G$25</x:definedName>
    <x:definedName name="_xlnm.Print_Titles" localSheetId="0">'WP II-B-1_12 360 361 &amp; 374'!$1:$1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26" i="8" l="1"/>
  <x:c r="F26" i="8"/>
  <x:c r="D26" i="8"/>
  <x:c r="G23" i="8"/>
  <x:c r="G27" i="8" s="1"/>
  <x:c r="F23" i="8"/>
  <x:c r="F27" i="8" s="1"/>
  <x:c r="D23" i="8"/>
  <x:c r="D27" i="8" s="1"/>
</x:calcChain>
</file>

<file path=xl/sharedStrings.xml><?xml version="1.0" encoding="utf-8"?>
<sst xmlns="http://schemas.openxmlformats.org/spreadsheetml/2006/main" count="79" uniqueCount="54">
  <si>
    <t>TCOS Investment</t>
  </si>
  <si>
    <t>DIST Investment</t>
  </si>
  <si>
    <t>Location</t>
  </si>
  <si>
    <t>Location Name</t>
  </si>
  <si>
    <t>FERC Account</t>
  </si>
  <si>
    <t>Investment</t>
  </si>
  <si>
    <t>361</t>
  </si>
  <si>
    <t>374</t>
  </si>
  <si>
    <t>Location's TCOS % from WP II-B-1_10</t>
  </si>
  <si>
    <t>Driver 138 - 25KV</t>
  </si>
  <si>
    <t>Natural Dam 138 - 25KV</t>
  </si>
  <si>
    <t>Salt Flat Road 138 - 25KV</t>
  </si>
  <si>
    <t>Airport Road 138 - 25KV</t>
  </si>
  <si>
    <t>Brown 138 - 12.5KV</t>
  </si>
  <si>
    <t>Canal Road 138 - 25KV</t>
  </si>
  <si>
    <t>Carterville 138 - 25KV</t>
  </si>
  <si>
    <t>Coyote 138 - 25KV</t>
  </si>
  <si>
    <t>East Stiles 138 - 25KV</t>
  </si>
  <si>
    <t>Elbow 138 - 25KV</t>
  </si>
  <si>
    <t>Glass Ranch 138 - 25KV</t>
  </si>
  <si>
    <t>Grady 138 - 25KV</t>
  </si>
  <si>
    <t>Hadacol Corner 138 - 25KV</t>
  </si>
  <si>
    <t>Luther 138 - 25KV</t>
  </si>
  <si>
    <t>Pecan Grove 138 - 25KV</t>
  </si>
  <si>
    <t>Dewey Lake Sub</t>
  </si>
  <si>
    <t>Ringo 138 - 25KV</t>
  </si>
  <si>
    <t>Salt Mine 138 - 25KV</t>
  </si>
  <si>
    <t>St. Lawrence 138 - 25KV</t>
  </si>
  <si>
    <t>Triangle 138KV</t>
  </si>
  <si>
    <t>Yosemite 138 - 12.5KV</t>
  </si>
  <si>
    <t>361 Total</t>
  </si>
  <si>
    <t>374 Total</t>
  </si>
  <si>
    <t>N006010</t>
  </si>
  <si>
    <t>N006030</t>
  </si>
  <si>
    <t>N006060</t>
  </si>
  <si>
    <t>N006070</t>
  </si>
  <si>
    <t>N006100</t>
  </si>
  <si>
    <t>N006110</t>
  </si>
  <si>
    <t>N006160</t>
  </si>
  <si>
    <t>N006170</t>
  </si>
  <si>
    <t>N006180</t>
  </si>
  <si>
    <t>N006210</t>
  </si>
  <si>
    <t>N006220</t>
  </si>
  <si>
    <t>N006230</t>
  </si>
  <si>
    <t>N006260</t>
  </si>
  <si>
    <t>N006270</t>
  </si>
  <si>
    <t>N006310</t>
  </si>
  <si>
    <t>N006350</t>
  </si>
  <si>
    <t>N006400</t>
  </si>
  <si>
    <t>N006420</t>
  </si>
  <si>
    <t>N006090</t>
  </si>
  <si>
    <t>N006140</t>
  </si>
  <si>
    <t>N006320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</si>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</sst>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1" xfId="1" applyFont="1" applyBorder="1" applyAlignment="1">
      <alignment horizontal="center" vertical="center" wrapText="1"/>
    </xf>
    <xf numFmtId="43" fontId="2" fillId="0" borderId="0" xfId="1" applyFont="1"/>
    <xf numFmtId="43" fontId="2" fillId="0" borderId="0" xfId="1" applyFont="1" applyAlignment="1">
      <alignment horizontal="center"/>
    </xf>
    <xf numFmtId="43" fontId="2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G27"/>
  <x:sheetViews>
    <x:sheetView tabSelected="1" zoomScaleNormal="100" workbookViewId="0">
      <x:selection activeCell="G28" sqref="G28"/>
    </x:sheetView>
  </x:sheetViews>
  <x:sheetFormatPr defaultColWidth="9.125" defaultRowHeight="15.65" outlineLevelRow="2"/>
  <x:cols>
    <x:col min="1" max="1" width="12.25" style="4" customWidth="1"/>
    <x:col min="2" max="2" width="45.375" style="1" bestFit="1" customWidth="1"/>
    <x:col min="3" max="3" width="14.75" style="4" customWidth="1"/>
    <x:col min="4" max="4" width="18.875" style="8" bestFit="1" customWidth="1"/>
    <x:col min="5" max="5" width="16.375" style="9" bestFit="1" customWidth="1"/>
    <x:col min="6" max="6" width="17.625" style="10" bestFit="1" customWidth="1"/>
    <x:col min="7" max="7" width="18.875" style="10" bestFit="1" customWidth="1"/>
    <x:col min="8" max="16384" width="9.125" style="1"/>
  </x:cols>
  <x:sheetData>
    <x:row r="1" spans="1:7" s="2" customFormat="1" ht="46.9">
      <x:c r="A1" s="3" t="s">
        <x:v>2</x:v>
      </x:c>
      <x:c r="B1" s="3" t="s">
        <x:v>3</x:v>
      </x:c>
      <x:c r="C1" s="3" t="s">
        <x:v>4</x:v>
      </x:c>
      <x:c r="D1" s="7" t="s">
        <x:v>5</x:v>
      </x:c>
      <x:c r="E1" s="7" t="s">
        <x:v>8</x:v>
      </x:c>
      <x:c r="F1" s="7" t="s">
        <x:v>0</x:v>
      </x:c>
      <x:c r="G1" s="7" t="s">
        <x:v>1</x:v>
      </x:c>
    </x:row>
    <x:row r="2" spans="1:7" outlineLevel="2">
      <x:c r="A2" s="5" t="s">
        <x:v>32</x:v>
      </x:c>
      <x:c r="B2" s="1" t="s">
        <x:v>12</x:v>
      </x:c>
      <x:c r="C2" s="4" t="s">
        <x:v>6</x:v>
      </x:c>
      <x:c r="D2" s="8">
        <x:v>2083533.8199999998</x:v>
      </x:c>
      <x:c r="E2" s="9">
        <x:v>0.47282862244680368</x:v>
      </x:c>
      <x:c r="F2" s="10">
        <x:v>985154.4259319267</x:v>
      </x:c>
      <x:c r="G2" s="10">
        <x:v>1098379.3940680732</x:v>
      </x:c>
    </x:row>
    <x:row r="3" spans="1:7" outlineLevel="2">
      <x:c r="A3" s="4" t="s">
        <x:v>33</x:v>
      </x:c>
      <x:c r="B3" s="1" t="s">
        <x:v>13</x:v>
      </x:c>
      <x:c r="C3" s="4" t="s">
        <x:v>6</x:v>
      </x:c>
      <x:c r="D3" s="8">
        <x:v>1639081.5999999999</x:v>
      </x:c>
      <x:c r="E3" s="9">
        <x:v>0.2436698002898611</x:v>
      </x:c>
      <x:c r="F3" s="10">
        <x:v>399394.68613078597</x:v>
      </x:c>
      <x:c r="G3" s="10">
        <x:v>1239686.9138692138</x:v>
      </x:c>
    </x:row>
    <x:row r="4" spans="1:7" outlineLevel="2">
      <x:c r="A4" s="4" t="s">
        <x:v>34</x:v>
      </x:c>
      <x:c r="B4" s="1" t="s">
        <x:v>14</x:v>
      </x:c>
      <x:c r="C4" s="4" t="s">
        <x:v>6</x:v>
      </x:c>
      <x:c r="D4" s="8">
        <x:v>1768739.1</x:v>
      </x:c>
      <x:c r="E4" s="9">
        <x:v>0.48681126329872587</x:v>
      </x:c>
      <x:c r="F4" s="10">
        <x:v>861042.11571685155</x:v>
      </x:c>
      <x:c r="G4" s="10">
        <x:v>907696.98428314878</x:v>
      </x:c>
    </x:row>
    <x:row r="5" spans="1:7" outlineLevel="2">
      <x:c r="A5" s="4" t="s">
        <x:v>35</x:v>
      </x:c>
      <x:c r="B5" s="1" t="s">
        <x:v>15</x:v>
      </x:c>
      <x:c r="C5" s="4" t="s">
        <x:v>6</x:v>
      </x:c>
      <x:c r="D5" s="8">
        <x:v>2330662.54</x:v>
      </x:c>
      <x:c r="E5" s="9">
        <x:v>0.39916259064113446</x:v>
      </x:c>
      <x:c r="F5" s="10">
        <x:v>930313.29737664666</x:v>
      </x:c>
      <x:c r="G5" s="10">
        <x:v>1400349.2426233531</x:v>
      </x:c>
    </x:row>
    <x:row r="6" spans="1:7" outlineLevel="2">
      <x:c r="A6" s="4" t="s">
        <x:v>50</x:v>
      </x:c>
      <x:c r="B6" s="1" t="s">
        <x:v>16</x:v>
      </x:c>
      <x:c r="C6" s="4" t="s">
        <x:v>6</x:v>
      </x:c>
      <x:c r="D6" s="8">
        <x:v>1530070.6199999999</x:v>
      </x:c>
      <x:c r="E6" s="9">
        <x:v>0.26120356249023574</x:v>
      </x:c>
      <x:c r="F6" s="10">
        <x:v>399659.89680564374</x:v>
      </x:c>
      <x:c r="G6" s="10">
        <x:v>1130410.7231943561</x:v>
      </x:c>
    </x:row>
    <x:row r="7" spans="1:7" outlineLevel="2">
      <x:c r="A7" s="4" t="s">
        <x:v>36</x:v>
      </x:c>
      <x:c r="B7" s="1" t="s">
        <x:v>9</x:v>
      </x:c>
      <x:c r="C7" s="4" t="s">
        <x:v>6</x:v>
      </x:c>
      <x:c r="D7" s="8">
        <x:v>2447903.4900000007</x:v>
      </x:c>
      <x:c r="E7" s="9">
        <x:v>0.29943090412083295</x:v>
      </x:c>
      <x:c r="F7" s="10">
        <x:v>732977.95521124231</x:v>
      </x:c>
      <x:c r="G7" s="10">
        <x:v>1714925.5347887576</x:v>
      </x:c>
    </x:row>
    <x:row r="8" spans="1:7" outlineLevel="2">
      <x:c r="A8" s="4" t="s">
        <x:v>37</x:v>
      </x:c>
      <x:c r="B8" s="1" t="s">
        <x:v>17</x:v>
      </x:c>
      <x:c r="C8" s="4" t="s">
        <x:v>6</x:v>
      </x:c>
      <x:c r="D8" s="8">
        <x:v>2465331.9</x:v>
      </x:c>
      <x:c r="E8" s="9">
        <x:v>0.48733705181477888</x:v>
      </x:c>
      <x:c r="F8" s="10">
        <x:v>1201447.5798909273</x:v>
      </x:c>
      <x:c r="G8" s="10">
        <x:v>1263884.3201090726</x:v>
      </x:c>
    </x:row>
    <x:row r="9" spans="1:7" outlineLevel="2">
      <x:c r="A9" s="4" t="s">
        <x:v>51</x:v>
      </x:c>
      <x:c r="B9" s="1" t="s">
        <x:v>18</x:v>
      </x:c>
      <x:c r="C9" s="4" t="s">
        <x:v>6</x:v>
      </x:c>
      <x:c r="D9" s="8">
        <x:v>626923.81000000006</x:v>
      </x:c>
      <x:c r="E9" s="9">
        <x:v>0.71898953706967184</x:v>
      </x:c>
      <x:c r="F9" s="10">
        <x:v>450751.65992985491</x:v>
      </x:c>
      <x:c r="G9" s="10">
        <x:v>176172.15007014509</x:v>
      </x:c>
    </x:row>
    <x:row r="10" spans="1:7" outlineLevel="2">
      <x:c r="A10" s="4" t="s">
        <x:v>38</x:v>
      </x:c>
      <x:c r="B10" s="1" t="s">
        <x:v>19</x:v>
      </x:c>
      <x:c r="C10" s="4" t="s">
        <x:v>6</x:v>
      </x:c>
      <x:c r="D10" s="8">
        <x:v>2158784.4499999997</x:v>
      </x:c>
      <x:c r="E10" s="9">
        <x:v>0.47055818873437816</x:v>
      </x:c>
      <x:c r="F10" s="10">
        <x:v>1015833.7006599407</x:v>
      </x:c>
      <x:c r="G10" s="10">
        <x:v>1142950.7493400595</x:v>
      </x:c>
    </x:row>
    <x:row r="11" spans="1:7" outlineLevel="2">
      <x:c r="A11" s="4" t="s">
        <x:v>39</x:v>
      </x:c>
      <x:c r="B11" s="1" t="s">
        <x:v>20</x:v>
      </x:c>
      <x:c r="C11" s="4" t="s">
        <x:v>6</x:v>
      </x:c>
      <x:c r="D11" s="8">
        <x:v>2559414.1599999997</x:v>
      </x:c>
      <x:c r="E11" s="9">
        <x:v>0.40272547264703151</x:v>
      </x:c>
      <x:c r="F11" s="10">
        <x:v>1030741.2772855052</x:v>
      </x:c>
      <x:c r="G11" s="10">
        <x:v>1528672.8827144948</x:v>
      </x:c>
    </x:row>
    <x:row r="12" spans="1:7" outlineLevel="2">
      <x:c r="A12" s="4" t="s">
        <x:v>40</x:v>
      </x:c>
      <x:c r="B12" s="1" t="s">
        <x:v>21</x:v>
      </x:c>
      <x:c r="C12" s="4" t="s">
        <x:v>6</x:v>
      </x:c>
      <x:c r="D12" s="8">
        <x:v>1143535.3599999999</x:v>
      </x:c>
      <x:c r="E12" s="9">
        <x:v>0.26492312560587039</x:v>
      </x:c>
      <x:c r="F12" s="10">
        <x:v>302948.96181203419</x:v>
      </x:c>
      <x:c r="G12" s="10">
        <x:v>840586.39818796597</x:v>
      </x:c>
    </x:row>
    <x:row r="13" spans="1:7" outlineLevel="2">
      <x:c r="A13" s="4" t="s">
        <x:v>41</x:v>
      </x:c>
      <x:c r="B13" s="1" t="s">
        <x:v>22</x:v>
      </x:c>
      <x:c r="C13" s="4" t="s">
        <x:v>6</x:v>
      </x:c>
      <x:c r="D13" s="8">
        <x:v>2023428.7499999998</x:v>
      </x:c>
      <x:c r="E13" s="9">
        <x:v>0.46621570959721681</x:v>
      </x:c>
      <x:c r="F13" s="10">
        <x:v>943354.27050065948</x:v>
      </x:c>
      <x:c r="G13" s="10">
        <x:v>1080074.4794993405</x:v>
      </x:c>
    </x:row>
    <x:row r="14" spans="1:7" outlineLevel="2">
      <x:c r="A14" s="4" t="s">
        <x:v>42</x:v>
      </x:c>
      <x:c r="B14" s="1" t="s">
        <x:v>10</x:v>
      </x:c>
      <x:c r="C14" s="4" t="s">
        <x:v>6</x:v>
      </x:c>
      <x:c r="D14" s="8">
        <x:v>2416301.4800000004</x:v>
      </x:c>
      <x:c r="E14" s="9">
        <x:v>0.35991853507284932</x:v>
      </x:c>
      <x:c r="F14" s="10">
        <x:v>869671.68897595769</x:v>
      </x:c>
      <x:c r="G14" s="10">
        <x:v>1546629.7910240423</x:v>
      </x:c>
    </x:row>
    <x:row r="15" spans="1:7" outlineLevel="2">
      <x:c r="A15" s="4" t="s">
        <x:v>43</x:v>
      </x:c>
      <x:c r="B15" s="1" t="s">
        <x:v>23</x:v>
      </x:c>
      <x:c r="C15" s="4" t="s">
        <x:v>6</x:v>
      </x:c>
      <x:c r="D15" s="8">
        <x:v>1658122.05</x:v>
      </x:c>
      <x:c r="E15" s="9">
        <x:v>0.40291261788137023</x:v>
      </x:c>
      <x:c r="F15" s="10">
        <x:v>668078.29593232425</x:v>
      </x:c>
      <x:c r="G15" s="10">
        <x:v>990043.75406767556</x:v>
      </x:c>
    </x:row>
    <x:row r="16" spans="1:7" outlineLevel="2">
      <x:c r="A16" s="4" t="s">
        <x:v>44</x:v>
      </x:c>
      <x:c r="B16" s="1" t="s">
        <x:v>24</x:v>
      </x:c>
      <x:c r="C16" s="4" t="s">
        <x:v>6</x:v>
      </x:c>
      <x:c r="D16" s="8">
        <x:v>2966377.66</x:v>
      </x:c>
      <x:c r="E16" s="9">
        <x:v>0.33506070363640861</x:v>
      </x:c>
      <x:c r="F16" s="10">
        <x:v>993916.58601092326</x:v>
      </x:c>
      <x:c r="G16" s="10">
        <x:v>1972461.073989077</x:v>
      </x:c>
    </x:row>
    <x:row r="17" spans="1:7" outlineLevel="2">
      <x:c r="A17" s="4" t="s">
        <x:v>45</x:v>
      </x:c>
      <x:c r="B17" s="1" t="s">
        <x:v>25</x:v>
      </x:c>
      <x:c r="C17" s="4" t="s">
        <x:v>6</x:v>
      </x:c>
      <x:c r="D17" s="8">
        <x:v>2301173.84</x:v>
      </x:c>
      <x:c r="E17" s="9">
        <x:v>0.27542899072377997</x:v>
      </x:c>
      <x:c r="F17" s="10">
        <x:v>633809.9882311651</x:v>
      </x:c>
      <x:c r="G17" s="10">
        <x:v>1667363.8517688347</x:v>
      </x:c>
    </x:row>
    <x:row r="18" spans="1:7" outlineLevel="2">
      <x:c r="A18" s="4" t="s">
        <x:v>46</x:v>
      </x:c>
      <x:c r="B18" s="1" t="s">
        <x:v>11</x:v>
      </x:c>
      <x:c r="C18" s="4" t="s">
        <x:v>6</x:v>
      </x:c>
      <x:c r="D18" s="8">
        <x:v>658230.10000000009</x:v>
      </x:c>
      <x:c r="E18" s="9">
        <x:v>0.19109711576366303</x:v>
      </x:c>
      <x:c r="F18" s="10">
        <x:v>125785.87361882749</x:v>
      </x:c>
      <x:c r="G18" s="10">
        <x:v>532444.22638117254</x:v>
      </x:c>
    </x:row>
    <x:row r="19" spans="1:7" outlineLevel="2">
      <x:c r="A19" s="4" t="s">
        <x:v>52</x:v>
      </x:c>
      <x:c r="B19" s="1" t="s">
        <x:v>26</x:v>
      </x:c>
      <x:c r="C19" s="4" t="s">
        <x:v>6</x:v>
      </x:c>
      <x:c r="D19" s="8">
        <x:v>67214.61</x:v>
      </x:c>
      <x:c r="E19" s="9">
        <x:v>0.75723393782293924</x:v>
      </x:c>
      <x:c r="F19" s="10">
        <x:v>50897.183809533111</x:v>
      </x:c>
      <x:c r="G19" s="10">
        <x:v>16317.426190466889</x:v>
      </x:c>
    </x:row>
    <x:row r="20" spans="1:7" outlineLevel="2">
      <x:c r="A20" s="4" t="s">
        <x:v>47</x:v>
      </x:c>
      <x:c r="B20" s="1" t="s">
        <x:v>27</x:v>
      </x:c>
      <x:c r="C20" s="4" t="s">
        <x:v>6</x:v>
      </x:c>
      <x:c r="D20" s="8">
        <x:v>2253239.0099999998</x:v>
      </x:c>
      <x:c r="E20" s="9">
        <x:v>0.73203054710831816</x:v>
      </x:c>
      <x:c r="F20" s="10">
        <x:v>1649439.7852561052</x:v>
      </x:c>
      <x:c r="G20" s="10">
        <x:v>603799.22474389488</x:v>
      </x:c>
    </x:row>
    <x:row r="21" spans="1:7" outlineLevel="2">
      <x:c r="A21" s="4" t="s">
        <x:v>48</x:v>
      </x:c>
      <x:c r="B21" s="1" t="s">
        <x:v>28</x:v>
      </x:c>
      <x:c r="C21" s="4" t="s">
        <x:v>6</x:v>
      </x:c>
      <x:c r="D21" s="8">
        <x:v>1747352.88</x:v>
      </x:c>
      <x:c r="E21" s="9">
        <x:v>0.76930791372965079</x:v>
      </x:c>
      <x:c r="F21" s="10">
        <x:v>1344252.3986622968</x:v>
      </x:c>
      <x:c r="G21" s="10">
        <x:v>403100.48133770312</x:v>
      </x:c>
    </x:row>
    <x:row r="22" spans="1:7" outlineLevel="2">
      <x:c r="A22" s="4" t="s">
        <x:v>49</x:v>
      </x:c>
      <x:c r="B22" s="1" t="s">
        <x:v>29</x:v>
      </x:c>
      <x:c r="C22" s="4" t="s">
        <x:v>6</x:v>
      </x:c>
      <x:c r="D22" s="8">
        <x:v>827583.22</x:v>
      </x:c>
      <x:c r="E22" s="9">
        <x:v>0.44255334333237489</x:v>
      </x:c>
      <x:c r="F22" s="10">
        <x:v>366249.72089677234</x:v>
      </x:c>
      <x:c r="G22" s="10">
        <x:v>461333.49910322763</x:v>
      </x:c>
    </x:row>
    <x:row r="23" spans="1:7" outlineLevel="1">
      <x:c r="C23" s="6" t="s">
        <x:v>30</x:v>
      </x:c>
      <x:c r="D23" s="8">
        <x:f>SUBTOTAL(9,D2:D22)</x:f>
        <x:v>37673004.450000003</x:v>
      </x:c>
      <x:c r="F23" s="10">
        <x:f>SUBTOTAL(9,F2:F22)</x:f>
        <x:v>15955721.348645927</x:v>
      </x:c>
      <x:c r="G23" s="10">
        <x:f>SUBTOTAL(9,G2:G22)</x:f>
        <x:v>21717283.101354077</x:v>
      </x:c>
    </x:row>
    <x:row r="24" spans="1:7" outlineLevel="2">
      <x:c r="A24" s="4" t="s">
        <x:v>50</x:v>
      </x:c>
      <x:c r="B24" s="1" t="s">
        <x:v>16</x:v>
      </x:c>
      <x:c r="C24" s="4" t="s">
        <x:v>7</x:v>
      </x:c>
      <x:c r="D24" s="8">
        <x:v>34268.769999999997</x:v>
      </x:c>
      <x:c r="E24" s="9">
        <x:v>0.26120356249023574</x:v>
      </x:c>
      <x:c r="F24" s="10">
        <x:v>8951.1248061585156</x:v>
      </x:c>
      <x:c r="G24" s="10">
        <x:v>25317.645193841483</x:v>
      </x:c>
    </x:row>
    <x:row r="25" spans="1:7" outlineLevel="2">
      <x:c r="A25" s="4" t="s">
        <x:v>45</x:v>
      </x:c>
      <x:c r="B25" s="1" t="s">
        <x:v>25</x:v>
      </x:c>
      <x:c r="C25" s="4" t="s">
        <x:v>7</x:v>
      </x:c>
      <x:c r="D25" s="8">
        <x:v>145700.32999999999</x:v>
      </x:c>
      <x:c r="E25" s="9">
        <x:v>0.27542899072377997</x:v>
      </x:c>
      <x:c r="F25" s="10">
        <x:v>40130.094840021673</x:v>
      </x:c>
      <x:c r="G25" s="10">
        <x:v>105570.23515997831</x:v>
      </x:c>
    </x:row>
    <x:row r="26" spans="1:7" outlineLevel="1">
      <x:c r="C26" s="6" t="s">
        <x:v>31</x:v>
      </x:c>
      <x:c r="D26" s="8">
        <x:f>SUBTOTAL(9,D24:D25)</x:f>
        <x:v>179969.09999999998</x:v>
      </x:c>
      <x:c r="F26" s="10">
        <x:f>SUBTOTAL(9,F24:F25)</x:f>
        <x:v>49081.219646180187</x:v>
      </x:c>
      <x:c r="G26" s="10">
        <x:f>SUBTOTAL(9,G24:G25)</x:f>
        <x:v>130887.8803538198</x:v>
      </x:c>
    </x:row>
    <x:row r="27" spans="1:7">
      <x:c r="C27" s="6" t="s">
        <x:v>53</x:v>
      </x:c>
      <x:c r="D27" s="8">
        <x:f>SUBTOTAL(9,D2:D25)</x:f>
        <x:v>37852973.550000004</x:v>
      </x:c>
      <x:c r="F27" s="10">
        <x:f>SUBTOTAL(9,F2:F25)</x:f>
        <x:v>16004802.568292107</x:v>
      </x:c>
      <x:c r="G27" s="10">
        <x:f>SUBTOTAL(9,G2:G25)</x:f>
        <x:v>21848170.981707897</x:v>
      </x:c>
    </x:row>
  </x:sheetData>
  <x:phoneticPr fontId="1" type="noConversion"/>
  <x:pageMargins left="0.7" right="0.7" top="3.5385416666666698" bottom="0.75" header="1.5" footer="0.3"/>
  <x:pageSetup scale="86" fitToHeight="0" orientation="landscape" r:id="rId1"/>
  <x:headerFooter>
    <x:oddHeader>&amp;C&amp;"Arial,Bold"&amp;12
2025 RATE CASE
ONCOR ELECTRIC DELIVERY COMPANY LLC
TCOS ALLOCATION OF FERC ACCOUNTS 360, 361 &amp; 374 NTUSU Only
FOR THE TEST YEAR ENDING DECEMBER 31, 2024
SPONSOR: W. A. LEDBETTER&amp;R&amp;"Arial,Bold"&amp;12WP/II-B-1/12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2025-03-31T22:16:50.0000000Z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