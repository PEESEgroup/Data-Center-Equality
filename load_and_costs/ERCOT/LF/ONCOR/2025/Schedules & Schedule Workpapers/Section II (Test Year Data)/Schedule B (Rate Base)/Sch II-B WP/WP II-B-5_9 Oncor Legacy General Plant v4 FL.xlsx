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B2EA02E0-0D8C-4465-B1BE-B074D31EBB67}" xr6:coauthVersionLast="47" xr6:coauthVersionMax="47" xr10:uidLastSave="{00000000-0000-0000-0000-000000000000}"/>
  <x:bookViews>
    <x:workbookView xWindow="25974" yWindow="-109" windowWidth="26301" windowHeight="14169" xr2:uid="{0B7FFE9B-F362-477E-86AE-8B48957F7C0F}"/>
  </x:bookViews>
  <x:sheets>
    <x:sheet name="WP II-B-5_09" sheetId="1" r:id="rId1"/>
  </x:sheets>
  <x:definedNames>
    <x:definedName name="_xlnm.Print_Area" localSheetId="0">'WP II-B-5_09'!$A$7:$R$392</x:definedName>
    <x:definedName name="_xlnm.Print_Titles" localSheetId="0">'WP II-B-5_09'!$1:$6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N391" i="1" l="1"/>
  <x:c r="N333" i="1"/>
  <x:c r="N299" i="1"/>
  <x:c r="N282" i="1"/>
  <x:c r="N253" i="1"/>
  <x:c r="O203" i="1"/>
  <x:c r="N203" i="1"/>
  <x:c r="N162" i="1"/>
  <x:c r="N118" i="1"/>
  <x:c r="N125" i="1" s="1"/>
  <x:c r="R38" i="1"/>
  <x:c r="Q38" i="1"/>
  <x:c r="P38" i="1"/>
  <x:c r="O38" i="1"/>
  <x:c r="N38" i="1"/>
  <x:c r="R19" i="1"/>
  <x:c r="Q19" i="1"/>
  <x:c r="P19" i="1"/>
  <x:c r="O19" i="1"/>
  <x:c r="N19" i="1"/>
  <x:c r="F299" i="1"/>
  <x:c r="E299" i="1"/>
  <x:c r="D299" i="1"/>
  <x:c r="C299" i="1"/>
  <x:c r="F282" i="1"/>
  <x:c r="E282" i="1"/>
  <x:c r="D282" i="1"/>
  <x:c r="C282" i="1"/>
  <x:c r="F253" i="1"/>
  <x:c r="E253" i="1"/>
  <x:c r="D253" i="1"/>
  <x:c r="C253" i="1"/>
  <x:c r="F203" i="1"/>
  <x:c r="E203" i="1"/>
  <x:c r="D203" i="1"/>
  <x:c r="C203" i="1"/>
  <x:c r="E162" i="1"/>
  <x:c r="D162" i="1"/>
  <x:c r="C162" i="1"/>
  <x:c r="C124" i="1"/>
  <x:c r="C118" i="1"/>
  <x:c r="G38" i="1"/>
  <x:c r="F38" i="1"/>
  <x:c r="E38" i="1"/>
  <x:c r="D38" i="1"/>
  <x:c r="C38" i="1"/>
  <x:c r="G19" i="1"/>
  <x:c r="F19" i="1"/>
  <x:c r="E19" i="1"/>
  <x:c r="D19" i="1"/>
  <x:c r="C19" i="1"/>
  <x:c r="F138" i="1"/>
  <x:c r="F137" i="1"/>
  <x:c r="F136" i="1"/>
  <x:c r="F135" i="1"/>
  <x:c r="F134" i="1"/>
  <x:c r="F133" i="1"/>
  <x:c r="F132" i="1"/>
  <x:c r="F131" i="1"/>
  <x:c r="F130" i="1"/>
  <x:c r="F129" i="1"/>
  <x:c r="F128" i="1"/>
  <x:c r="F127" i="1"/>
  <x:c r="F126" i="1"/>
  <x:c r="F139" i="1"/>
  <x:c r="F140" i="1"/>
  <x:c r="F141" i="1"/>
  <x:c r="F142" i="1"/>
  <x:c r="F161" i="1"/>
  <x:c r="F160" i="1"/>
  <x:c r="F159" i="1"/>
  <x:c r="F158" i="1"/>
  <x:c r="F157" i="1"/>
  <x:c r="F156" i="1"/>
  <x:c r="F155" i="1"/>
  <x:c r="F154" i="1"/>
  <x:c r="F153" i="1"/>
  <x:c r="F152" i="1"/>
  <x:c r="F151" i="1"/>
  <x:c r="F150" i="1"/>
  <x:c r="F149" i="1"/>
  <x:c r="F148" i="1"/>
  <x:c r="F147" i="1"/>
  <x:c r="F146" i="1"/>
  <x:c r="F145" i="1"/>
  <x:c r="F144" i="1"/>
  <x:c r="F143" i="1"/>
  <x:c r="L281" i="1" l="1"/>
  <x:c r="N281" i="1" s="1"/>
  <x:c r="R281" i="1" l="1"/>
  <x:c r="Q281" i="1"/>
  <x:c r="P281" i="1"/>
  <x:c r="O281" i="1"/>
  <x:c r="M306" i="1" l="1"/>
  <x:c r="M307" i="1"/>
  <x:c r="M308" i="1"/>
  <x:c r="M309" i="1"/>
  <x:c r="H312" i="1" l="1"/>
  <x:c r="H311" i="1"/>
  <x:c r="H310" i="1"/>
  <x:c r="H309" i="1"/>
  <x:c r="H308" i="1"/>
  <x:c r="H307" i="1"/>
  <x:c r="H306" i="1"/>
  <x:c r="T364" i="1" l="1"/>
  <x:c r="T363" i="1"/>
  <x:c r="T362" i="1"/>
  <x:c r="T361" i="1"/>
  <x:c r="T360" i="1"/>
  <x:c r="T359" i="1"/>
  <x:c r="T335" i="1"/>
  <x:c r="T334" i="1"/>
  <x:c r="T317" i="1"/>
  <x:c r="T316" i="1"/>
  <x:c r="T315" i="1"/>
  <x:c r="T305" i="1"/>
  <x:c r="T304" i="1"/>
  <x:c r="T303" i="1"/>
  <x:c r="T302" i="1"/>
  <x:c r="T300" i="1"/>
  <x:c r="T283" i="1"/>
  <x:c r="T256" i="1"/>
  <x:c r="T255" i="1"/>
  <x:c r="T254" i="1"/>
  <x:c r="T207" i="1"/>
  <x:c r="T206" i="1"/>
  <x:c r="T205" i="1"/>
  <x:c r="T204" i="1"/>
  <x:c r="T165" i="1"/>
  <x:c r="T164" i="1"/>
  <x:c r="T120" i="1"/>
  <x:c r="T119" i="1"/>
  <x:c r="T39" i="1"/>
  <x:c r="T21" i="1"/>
  <x:c r="T20" i="1"/>
  <x:c r="T368" i="1"/>
  <x:c r="T367" i="1"/>
  <x:c r="T366" i="1"/>
  <x:c r="S365" i="1"/>
  <x:c r="K333" i="1"/>
  <x:c r="J333" i="1"/>
  <x:c r="I333" i="1"/>
  <x:c r="G333" i="1"/>
  <x:c r="F333" i="1"/>
  <x:c r="E333" i="1"/>
  <x:c r="D333" i="1"/>
  <x:c r="C333" i="1"/>
  <x:c r="G358" i="1"/>
  <x:c r="F358" i="1" l="1"/>
  <x:c r="E358" i="1"/>
  <x:c r="D358" i="1"/>
  <x:c r="C358" i="1"/>
  <x:c r="J371" i="1" l="1"/>
  <x:c r="J372" i="1" s="1"/>
  <x:c r="J373" i="1" s="1"/>
  <x:c r="J374" i="1" s="1"/>
  <x:c r="J375" i="1" s="1"/>
  <x:c r="J376" i="1" s="1"/>
  <x:c r="J377" i="1" s="1"/>
  <x:c r="J378" i="1" s="1"/>
  <x:c r="J379" i="1" s="1"/>
  <x:c r="J380" i="1" s="1"/>
  <x:c r="J381" i="1" s="1"/>
  <x:c r="J382" i="1" s="1"/>
  <x:c r="J383" i="1" s="1"/>
  <x:c r="J384" i="1" s="1"/>
  <x:c r="J385" i="1" s="1"/>
  <x:c r="J386" i="1" s="1"/>
  <x:c r="J387" i="1" s="1"/>
  <x:c r="J388" i="1" s="1"/>
  <x:c r="J389" i="1" s="1"/>
  <x:c r="J390" i="1" s="1"/>
  <x:c r="K391" i="1"/>
  <x:c r="F391" i="1"/>
  <x:c r="E391" i="1"/>
  <x:c r="D391" i="1"/>
  <x:c r="C391" i="1"/>
  <x:c r="K313" i="1"/>
  <x:c r="G313" i="1"/>
  <x:c r="F313" i="1"/>
  <x:c r="E313" i="1"/>
  <x:c r="D313" i="1"/>
  <x:c r="C313" i="1"/>
  <x:c r="H313" i="1" s="1"/>
  <x:c r="M284" i="1"/>
  <x:c r="G299" i="1"/>
  <x:c r="G253" i="1"/>
  <x:c r="K203" i="1"/>
  <x:c r="G203" i="1"/>
  <x:c r="G162" i="1"/>
  <x:c r="F162" i="1"/>
  <x:c r="G124" i="1"/>
  <x:c r="F124" i="1"/>
  <x:c r="E124" i="1"/>
  <x:c r="D124" i="1"/>
  <x:c r="G118" i="1" l="1"/>
  <x:c r="F118" i="1"/>
  <x:c r="E118" i="1"/>
  <x:c r="D118" i="1"/>
  <x:c r="K19" i="1"/>
  <x:c r="L390" i="1" l="1"/>
  <x:c r="N390" i="1" s="1"/>
  <x:c r="R390" i="1" s="1"/>
  <x:c r="L389" i="1"/>
  <x:c r="N389" i="1" s="1"/>
  <x:c r="R389" i="1" s="1"/>
  <x:c r="L388" i="1"/>
  <x:c r="N388" i="1" s="1"/>
  <x:c r="R388" i="1" s="1"/>
  <x:c r="L387" i="1"/>
  <x:c r="N387" i="1" s="1"/>
  <x:c r="R387" i="1" s="1"/>
  <x:c r="L386" i="1"/>
  <x:c r="N386" i="1" s="1"/>
  <x:c r="R386" i="1" s="1"/>
  <x:c r="L385" i="1"/>
  <x:c r="N385" i="1" s="1"/>
  <x:c r="R385" i="1" s="1"/>
  <x:c r="L384" i="1"/>
  <x:c r="N384" i="1" s="1"/>
  <x:c r="R384" i="1" s="1"/>
  <x:c r="L383" i="1"/>
  <x:c r="N383" i="1" s="1"/>
  <x:c r="R383" i="1" s="1"/>
  <x:c r="L382" i="1"/>
  <x:c r="N382" i="1" s="1"/>
  <x:c r="R382" i="1" s="1"/>
  <x:c r="L381" i="1"/>
  <x:c r="N381" i="1" s="1"/>
  <x:c r="R381" i="1" s="1"/>
  <x:c r="L380" i="1"/>
  <x:c r="N380" i="1" s="1"/>
  <x:c r="R380" i="1" s="1"/>
  <x:c r="L379" i="1"/>
  <x:c r="N379" i="1" s="1"/>
  <x:c r="R379" i="1" s="1"/>
  <x:c r="L378" i="1"/>
  <x:c r="N378" i="1" s="1"/>
  <x:c r="R378" i="1" s="1"/>
  <x:c r="L377" i="1"/>
  <x:c r="N377" i="1" s="1"/>
  <x:c r="R377" i="1" s="1"/>
  <x:c r="L376" i="1"/>
  <x:c r="N376" i="1" s="1"/>
  <x:c r="R376" i="1" s="1"/>
  <x:c r="L375" i="1"/>
  <x:c r="N375" i="1" s="1"/>
  <x:c r="R375" i="1" s="1"/>
  <x:c r="L374" i="1"/>
  <x:c r="N374" i="1" s="1"/>
  <x:c r="R374" i="1" s="1"/>
  <x:c r="L373" i="1"/>
  <x:c r="N373" i="1" s="1"/>
  <x:c r="R373" i="1" s="1"/>
  <x:c r="L372" i="1"/>
  <x:c r="N372" i="1" s="1"/>
  <x:c r="R372" i="1" s="1"/>
  <x:c r="L371" i="1"/>
  <x:c r="N371" i="1" s="1"/>
  <x:c r="R371" i="1" s="1"/>
  <x:c r="L370" i="1"/>
  <x:c r="N370" i="1" s="1"/>
  <x:c r="R370" i="1" s="1"/>
  <x:c r="L369" i="1"/>
  <x:c r="L357" i="1"/>
  <x:c r="N357" i="1" s="1"/>
  <x:c r="R357" i="1" s="1"/>
  <x:c r="L356" i="1"/>
  <x:c r="N356" i="1" s="1"/>
  <x:c r="R356" i="1" s="1"/>
  <x:c r="L355" i="1"/>
  <x:c r="N355" i="1" s="1"/>
  <x:c r="R355" i="1" s="1"/>
  <x:c r="L354" i="1"/>
  <x:c r="N354" i="1" s="1"/>
  <x:c r="R354" i="1" s="1"/>
  <x:c r="L353" i="1"/>
  <x:c r="N353" i="1" s="1"/>
  <x:c r="R353" i="1" s="1"/>
  <x:c r="L352" i="1"/>
  <x:c r="N352" i="1" s="1"/>
  <x:c r="R352" i="1" s="1"/>
  <x:c r="L351" i="1"/>
  <x:c r="N351" i="1" s="1"/>
  <x:c r="R351" i="1" s="1"/>
  <x:c r="L350" i="1"/>
  <x:c r="N350" i="1" s="1"/>
  <x:c r="R350" i="1" s="1"/>
  <x:c r="L349" i="1"/>
  <x:c r="N349" i="1" s="1"/>
  <x:c r="R349" i="1" s="1"/>
  <x:c r="L348" i="1"/>
  <x:c r="N348" i="1" s="1"/>
  <x:c r="R348" i="1" s="1"/>
  <x:c r="L347" i="1"/>
  <x:c r="N347" i="1" s="1"/>
  <x:c r="R347" i="1" s="1"/>
  <x:c r="L346" i="1"/>
  <x:c r="N346" i="1" s="1"/>
  <x:c r="R346" i="1" s="1"/>
  <x:c r="L345" i="1"/>
  <x:c r="N345" i="1" s="1"/>
  <x:c r="R345" i="1" s="1"/>
  <x:c r="L344" i="1"/>
  <x:c r="N344" i="1" s="1"/>
  <x:c r="R344" i="1" s="1"/>
  <x:c r="L343" i="1"/>
  <x:c r="N343" i="1" s="1"/>
  <x:c r="R343" i="1" s="1"/>
  <x:c r="L342" i="1"/>
  <x:c r="N342" i="1" s="1"/>
  <x:c r="R342" i="1" s="1"/>
  <x:c r="L341" i="1"/>
  <x:c r="N341" i="1" s="1"/>
  <x:c r="R341" i="1" s="1"/>
  <x:c r="L340" i="1"/>
  <x:c r="N340" i="1" s="1"/>
  <x:c r="R340" i="1" s="1"/>
  <x:c r="L339" i="1"/>
  <x:c r="N339" i="1" s="1"/>
  <x:c r="R339" i="1" s="1"/>
  <x:c r="L338" i="1"/>
  <x:c r="N338" i="1" s="1"/>
  <x:c r="R338" i="1" s="1"/>
  <x:c r="L337" i="1"/>
  <x:c r="N337" i="1" s="1"/>
  <x:c r="R337" i="1" s="1"/>
  <x:c r="L336" i="1"/>
  <x:c r="L332" i="1"/>
  <x:c r="N332" i="1" s="1"/>
  <x:c r="L331" i="1"/>
  <x:c r="N331" i="1" s="1"/>
  <x:c r="R331" i="1" s="1"/>
  <x:c r="L330" i="1"/>
  <x:c r="N330" i="1" s="1"/>
  <x:c r="R330" i="1" s="1"/>
  <x:c r="L329" i="1"/>
  <x:c r="N329" i="1" s="1"/>
  <x:c r="R329" i="1" s="1"/>
  <x:c r="L328" i="1"/>
  <x:c r="N328" i="1" s="1"/>
  <x:c r="R328" i="1" s="1"/>
  <x:c r="L327" i="1"/>
  <x:c r="N327" i="1" s="1"/>
  <x:c r="R327" i="1" s="1"/>
  <x:c r="L326" i="1"/>
  <x:c r="N326" i="1" s="1"/>
  <x:c r="R326" i="1" s="1"/>
  <x:c r="L325" i="1"/>
  <x:c r="N325" i="1" s="1"/>
  <x:c r="R325" i="1" s="1"/>
  <x:c r="L324" i="1"/>
  <x:c r="N324" i="1" s="1"/>
  <x:c r="R324" i="1" s="1"/>
  <x:c r="L323" i="1"/>
  <x:c r="N323" i="1" s="1"/>
  <x:c r="R323" i="1" s="1"/>
  <x:c r="L322" i="1"/>
  <x:c r="N322" i="1" s="1"/>
  <x:c r="R322" i="1" s="1"/>
  <x:c r="L321" i="1"/>
  <x:c r="N321" i="1" s="1"/>
  <x:c r="R321" i="1" s="1"/>
  <x:c r="L320" i="1"/>
  <x:c r="N320" i="1" s="1"/>
  <x:c r="R320" i="1" s="1"/>
  <x:c r="L319" i="1"/>
  <x:c r="N319" i="1" s="1"/>
  <x:c r="R319" i="1" s="1"/>
  <x:c r="L318" i="1"/>
  <x:c r="L312" i="1"/>
  <x:c r="N312" i="1" s="1"/>
  <x:c r="R312" i="1" s="1"/>
  <x:c r="L311" i="1"/>
  <x:c r="N311" i="1" s="1"/>
  <x:c r="R311" i="1" s="1"/>
  <x:c r="L310" i="1"/>
  <x:c r="N310" i="1" s="1"/>
  <x:c r="R310" i="1" s="1"/>
  <x:c r="L309" i="1"/>
  <x:c r="N309" i="1" s="1"/>
  <x:c r="R309" i="1" s="1"/>
  <x:c r="L308" i="1"/>
  <x:c r="N308" i="1" s="1"/>
  <x:c r="R308" i="1" s="1"/>
  <x:c r="L307" i="1"/>
  <x:c r="N307" i="1" s="1"/>
  <x:c r="R307" i="1" s="1"/>
  <x:c r="L306" i="1"/>
  <x:c r="L298" i="1"/>
  <x:c r="N298" i="1" s="1"/>
  <x:c r="L297" i="1"/>
  <x:c r="N297" i="1" s="1"/>
  <x:c r="L296" i="1"/>
  <x:c r="N296" i="1" s="1"/>
  <x:c r="L295" i="1"/>
  <x:c r="N295" i="1" s="1"/>
  <x:c r="L294" i="1"/>
  <x:c r="N294" i="1" s="1"/>
  <x:c r="L293" i="1"/>
  <x:c r="N293" i="1" s="1"/>
  <x:c r="L292" i="1"/>
  <x:c r="N292" i="1" s="1"/>
  <x:c r="L291" i="1"/>
  <x:c r="N291" i="1" s="1"/>
  <x:c r="L290" i="1"/>
  <x:c r="N290" i="1" s="1"/>
  <x:c r="L289" i="1"/>
  <x:c r="N289" i="1" s="1"/>
  <x:c r="L288" i="1"/>
  <x:c r="N288" i="1" s="1"/>
  <x:c r="L287" i="1"/>
  <x:c r="N287" i="1" s="1"/>
  <x:c r="L286" i="1"/>
  <x:c r="N286" i="1" s="1"/>
  <x:c r="L285" i="1"/>
  <x:c r="N285" i="1" s="1"/>
  <x:c r="L284" i="1"/>
  <x:c r="L280" i="1"/>
  <x:c r="N280" i="1" s="1"/>
  <x:c r="L279" i="1"/>
  <x:c r="N279" i="1" s="1"/>
  <x:c r="L278" i="1"/>
  <x:c r="N278" i="1" s="1"/>
  <x:c r="L277" i="1"/>
  <x:c r="N277" i="1" s="1"/>
  <x:c r="L276" i="1"/>
  <x:c r="N276" i="1" s="1"/>
  <x:c r="L275" i="1"/>
  <x:c r="N275" i="1" s="1"/>
  <x:c r="L274" i="1"/>
  <x:c r="N274" i="1" s="1"/>
  <x:c r="L273" i="1"/>
  <x:c r="N273" i="1" s="1"/>
  <x:c r="L272" i="1"/>
  <x:c r="N272" i="1" s="1"/>
  <x:c r="L271" i="1"/>
  <x:c r="N271" i="1" s="1"/>
  <x:c r="L270" i="1"/>
  <x:c r="N270" i="1" s="1"/>
  <x:c r="L269" i="1"/>
  <x:c r="N269" i="1" s="1"/>
  <x:c r="L268" i="1"/>
  <x:c r="N268" i="1" s="1"/>
  <x:c r="L267" i="1"/>
  <x:c r="N267" i="1" s="1"/>
  <x:c r="L266" i="1"/>
  <x:c r="N266" i="1" s="1"/>
  <x:c r="L265" i="1"/>
  <x:c r="N265" i="1" s="1"/>
  <x:c r="L264" i="1"/>
  <x:c r="N264" i="1" s="1"/>
  <x:c r="L263" i="1"/>
  <x:c r="N263" i="1" s="1"/>
  <x:c r="L262" i="1"/>
  <x:c r="N262" i="1" s="1"/>
  <x:c r="L261" i="1"/>
  <x:c r="N261" i="1" s="1"/>
  <x:c r="L260" i="1"/>
  <x:c r="N260" i="1" s="1"/>
  <x:c r="L259" i="1"/>
  <x:c r="N259" i="1" s="1"/>
  <x:c r="L258" i="1"/>
  <x:c r="N258" i="1" s="1"/>
  <x:c r="L257" i="1"/>
  <x:c r="L282" i="1" s="1"/>
  <x:c r="L252" i="1"/>
  <x:c r="L251" i="1"/>
  <x:c r="L250" i="1"/>
  <x:c r="L249" i="1"/>
  <x:c r="L248" i="1"/>
  <x:c r="L247" i="1"/>
  <x:c r="L246" i="1"/>
  <x:c r="L245" i="1"/>
  <x:c r="L244" i="1"/>
  <x:c r="L243" i="1"/>
  <x:c r="L242" i="1"/>
  <x:c r="L241" i="1"/>
  <x:c r="L240" i="1"/>
  <x:c r="L239" i="1"/>
  <x:c r="L238" i="1"/>
  <x:c r="L237" i="1"/>
  <x:c r="L236" i="1"/>
  <x:c r="L235" i="1"/>
  <x:c r="L234" i="1"/>
  <x:c r="L233" i="1"/>
  <x:c r="L232" i="1"/>
  <x:c r="L231" i="1"/>
  <x:c r="L230" i="1"/>
  <x:c r="L229" i="1"/>
  <x:c r="L228" i="1"/>
  <x:c r="L227" i="1"/>
  <x:c r="L226" i="1"/>
  <x:c r="L225" i="1"/>
  <x:c r="L224" i="1"/>
  <x:c r="L223" i="1"/>
  <x:c r="L222" i="1"/>
  <x:c r="L221" i="1"/>
  <x:c r="L220" i="1"/>
  <x:c r="L219" i="1"/>
  <x:c r="L218" i="1"/>
  <x:c r="L217" i="1"/>
  <x:c r="L216" i="1"/>
  <x:c r="L215" i="1"/>
  <x:c r="L214" i="1"/>
  <x:c r="L213" i="1"/>
  <x:c r="L212" i="1"/>
  <x:c r="L211" i="1"/>
  <x:c r="L210" i="1"/>
  <x:c r="L209" i="1"/>
  <x:c r="L208" i="1"/>
  <x:c r="L253" i="1" s="1"/>
  <x:c r="L202" i="1"/>
  <x:c r="N202" i="1" s="1"/>
  <x:c r="L201" i="1"/>
  <x:c r="N201" i="1" s="1"/>
  <x:c r="L200" i="1"/>
  <x:c r="N200" i="1" s="1"/>
  <x:c r="L199" i="1"/>
  <x:c r="N199" i="1" s="1"/>
  <x:c r="L198" i="1"/>
  <x:c r="N198" i="1" s="1"/>
  <x:c r="L197" i="1"/>
  <x:c r="N197" i="1" s="1"/>
  <x:c r="L196" i="1"/>
  <x:c r="N196" i="1" s="1"/>
  <x:c r="L195" i="1"/>
  <x:c r="N195" i="1" s="1"/>
  <x:c r="L194" i="1"/>
  <x:c r="N194" i="1" s="1"/>
  <x:c r="L193" i="1"/>
  <x:c r="N193" i="1" s="1"/>
  <x:c r="L192" i="1"/>
  <x:c r="N192" i="1" s="1"/>
  <x:c r="L191" i="1"/>
  <x:c r="N191" i="1" s="1"/>
  <x:c r="L190" i="1"/>
  <x:c r="N190" i="1" s="1"/>
  <x:c r="L189" i="1"/>
  <x:c r="N189" i="1" s="1"/>
  <x:c r="L188" i="1"/>
  <x:c r="N188" i="1" s="1"/>
  <x:c r="L187" i="1"/>
  <x:c r="N187" i="1" s="1"/>
  <x:c r="L186" i="1"/>
  <x:c r="N186" i="1" s="1"/>
  <x:c r="L185" i="1"/>
  <x:c r="N185" i="1" s="1"/>
  <x:c r="L184" i="1"/>
  <x:c r="N184" i="1" s="1"/>
  <x:c r="L183" i="1"/>
  <x:c r="N183" i="1" s="1"/>
  <x:c r="L182" i="1"/>
  <x:c r="N182" i="1" s="1"/>
  <x:c r="L181" i="1"/>
  <x:c r="N181" i="1" s="1"/>
  <x:c r="L180" i="1"/>
  <x:c r="N180" i="1" s="1"/>
  <x:c r="L179" i="1"/>
  <x:c r="N179" i="1" s="1"/>
  <x:c r="L178" i="1"/>
  <x:c r="N178" i="1" s="1"/>
  <x:c r="L177" i="1"/>
  <x:c r="N177" i="1" s="1"/>
  <x:c r="L176" i="1"/>
  <x:c r="N176" i="1" s="1"/>
  <x:c r="L175" i="1"/>
  <x:c r="N175" i="1" s="1"/>
  <x:c r="L174" i="1"/>
  <x:c r="N174" i="1" s="1"/>
  <x:c r="L173" i="1"/>
  <x:c r="N173" i="1" s="1"/>
  <x:c r="L172" i="1"/>
  <x:c r="N172" i="1" s="1"/>
  <x:c r="L171" i="1"/>
  <x:c r="N171" i="1" s="1"/>
  <x:c r="L170" i="1"/>
  <x:c r="N170" i="1" s="1"/>
  <x:c r="L169" i="1"/>
  <x:c r="N169" i="1" s="1"/>
  <x:c r="L168" i="1"/>
  <x:c r="N168" i="1" s="1"/>
  <x:c r="L167" i="1"/>
  <x:c r="N167" i="1" s="1"/>
  <x:c r="L166" i="1"/>
  <x:c r="L161" i="1"/>
  <x:c r="L160" i="1"/>
  <x:c r="L159" i="1"/>
  <x:c r="L158" i="1"/>
  <x:c r="L157" i="1"/>
  <x:c r="L156" i="1"/>
  <x:c r="L155" i="1"/>
  <x:c r="L154" i="1"/>
  <x:c r="L153" i="1"/>
  <x:c r="L152" i="1"/>
  <x:c r="L151" i="1"/>
  <x:c r="L150" i="1"/>
  <x:c r="L149" i="1"/>
  <x:c r="L148" i="1"/>
  <x:c r="L147" i="1"/>
  <x:c r="L146" i="1"/>
  <x:c r="L145" i="1"/>
  <x:c r="L144" i="1"/>
  <x:c r="L143" i="1"/>
  <x:c r="L142" i="1"/>
  <x:c r="L141" i="1"/>
  <x:c r="L140" i="1"/>
  <x:c r="L139" i="1"/>
  <x:c r="L138" i="1"/>
  <x:c r="L137" i="1"/>
  <x:c r="L136" i="1"/>
  <x:c r="L135" i="1"/>
  <x:c r="L129" i="1"/>
  <x:c r="L128" i="1"/>
  <x:c r="L127" i="1"/>
  <x:c r="L126" i="1"/>
  <x:c r="L123" i="1"/>
  <x:c r="L122" i="1"/>
  <x:c r="L121" i="1"/>
  <x:c r="L117" i="1"/>
  <x:c r="L116" i="1"/>
  <x:c r="L115" i="1"/>
  <x:c r="L114" i="1"/>
  <x:c r="L113" i="1"/>
  <x:c r="L112" i="1"/>
  <x:c r="L111" i="1"/>
  <x:c r="L110" i="1"/>
  <x:c r="L109" i="1"/>
  <x:c r="L108" i="1"/>
  <x:c r="L107" i="1"/>
  <x:c r="L106" i="1"/>
  <x:c r="L105" i="1"/>
  <x:c r="L104" i="1"/>
  <x:c r="L103" i="1"/>
  <x:c r="L102" i="1"/>
  <x:c r="L101" i="1"/>
  <x:c r="L100" i="1"/>
  <x:c r="L99" i="1"/>
  <x:c r="L98" i="1"/>
  <x:c r="L97" i="1"/>
  <x:c r="L96" i="1"/>
  <x:c r="L95" i="1"/>
  <x:c r="L94" i="1"/>
  <x:c r="L93" i="1"/>
  <x:c r="L92" i="1"/>
  <x:c r="L91" i="1"/>
  <x:c r="L90" i="1"/>
  <x:c r="L89" i="1"/>
  <x:c r="L88" i="1"/>
  <x:c r="L87" i="1"/>
  <x:c r="L86" i="1"/>
  <x:c r="L85" i="1"/>
  <x:c r="L84" i="1"/>
  <x:c r="L83" i="1"/>
  <x:c r="L82" i="1"/>
  <x:c r="L81" i="1"/>
  <x:c r="L80" i="1"/>
  <x:c r="L79" i="1"/>
  <x:c r="L78" i="1"/>
  <x:c r="L77" i="1"/>
  <x:c r="L76" i="1"/>
  <x:c r="L75" i="1"/>
  <x:c r="L74" i="1"/>
  <x:c r="L73" i="1"/>
  <x:c r="L72" i="1"/>
  <x:c r="L71" i="1"/>
  <x:c r="L70" i="1"/>
  <x:c r="L69" i="1"/>
  <x:c r="L68" i="1"/>
  <x:c r="L67" i="1"/>
  <x:c r="L66" i="1"/>
  <x:c r="L65" i="1"/>
  <x:c r="L64" i="1"/>
  <x:c r="L63" i="1"/>
  <x:c r="L62" i="1"/>
  <x:c r="L61" i="1"/>
  <x:c r="L60" i="1"/>
  <x:c r="L59" i="1"/>
  <x:c r="L58" i="1"/>
  <x:c r="L57" i="1"/>
  <x:c r="L56" i="1"/>
  <x:c r="L55" i="1"/>
  <x:c r="L54" i="1"/>
  <x:c r="L53" i="1"/>
  <x:c r="L52" i="1"/>
  <x:c r="L51" i="1"/>
  <x:c r="L50" i="1"/>
  <x:c r="L49" i="1"/>
  <x:c r="L48" i="1"/>
  <x:c r="L47" i="1"/>
  <x:c r="L46" i="1"/>
  <x:c r="L45" i="1"/>
  <x:c r="L44" i="1"/>
  <x:c r="L43" i="1"/>
  <x:c r="L42" i="1"/>
  <x:c r="L41" i="1"/>
  <x:c r="L40" i="1"/>
  <x:c r="L37" i="1"/>
  <x:c r="L36" i="1"/>
  <x:c r="L35" i="1"/>
  <x:c r="L34" i="1"/>
  <x:c r="L33" i="1"/>
  <x:c r="L32" i="1"/>
  <x:c r="L31" i="1"/>
  <x:c r="L30" i="1"/>
  <x:c r="L29" i="1"/>
  <x:c r="L28" i="1"/>
  <x:c r="L27" i="1"/>
  <x:c r="L26" i="1"/>
  <x:c r="L25" i="1"/>
  <x:c r="L24" i="1"/>
  <x:c r="L23" i="1"/>
  <x:c r="L22" i="1"/>
  <x:c r="L18" i="1"/>
  <x:c r="L17" i="1"/>
  <x:c r="L16" i="1"/>
  <x:c r="L15" i="1"/>
  <x:c r="L14" i="1"/>
  <x:c r="L13" i="1"/>
  <x:c r="L12" i="1"/>
  <x:c r="L11" i="1"/>
  <x:c r="L10" i="1"/>
  <x:c r="L9" i="1"/>
  <x:c r="L8" i="1"/>
  <x:c r="L19" i="1" s="1"/>
  <x:c r="R332" i="1" l="1"/>
  <x:c r="O332" i="1"/>
  <x:c r="P332" i="1"/>
  <x:c r="Q332" i="1"/>
  <x:c r="L333" i="1"/>
  <x:c r="N318" i="1"/>
  <x:c r="Q319" i="1"/>
  <x:c r="P319" i="1"/>
  <x:c r="O319" i="1"/>
  <x:c r="T319" i="1" s="1"/>
  <x:c r="Q320" i="1"/>
  <x:c r="P320" i="1"/>
  <x:c r="O320" i="1"/>
  <x:c r="T320" i="1" s="1"/>
  <x:c r="Q321" i="1"/>
  <x:c r="P321" i="1"/>
  <x:c r="O321" i="1"/>
  <x:c r="T321" i="1" s="1"/>
  <x:c r="Q322" i="1"/>
  <x:c r="P322" i="1"/>
  <x:c r="O322" i="1"/>
  <x:c r="T322" i="1" s="1"/>
  <x:c r="Q323" i="1"/>
  <x:c r="P323" i="1"/>
  <x:c r="O323" i="1"/>
  <x:c r="T323" i="1" s="1"/>
  <x:c r="Q324" i="1"/>
  <x:c r="P324" i="1"/>
  <x:c r="O324" i="1"/>
  <x:c r="T324" i="1" s="1"/>
  <x:c r="Q325" i="1"/>
  <x:c r="P325" i="1"/>
  <x:c r="O325" i="1"/>
  <x:c r="T325" i="1" s="1"/>
  <x:c r="Q326" i="1"/>
  <x:c r="P326" i="1"/>
  <x:c r="O326" i="1"/>
  <x:c r="T326" i="1" s="1"/>
  <x:c r="Q327" i="1"/>
  <x:c r="P327" i="1"/>
  <x:c r="O327" i="1"/>
  <x:c r="T327" i="1" s="1"/>
  <x:c r="Q328" i="1"/>
  <x:c r="P328" i="1"/>
  <x:c r="O328" i="1"/>
  <x:c r="T328" i="1" s="1"/>
  <x:c r="Q329" i="1"/>
  <x:c r="P329" i="1"/>
  <x:c r="O329" i="1"/>
  <x:c r="T329" i="1" s="1"/>
  <x:c r="Q330" i="1"/>
  <x:c r="P330" i="1"/>
  <x:c r="O330" i="1"/>
  <x:c r="T330" i="1" s="1"/>
  <x:c r="Q331" i="1"/>
  <x:c r="P331" i="1"/>
  <x:c r="O331" i="1"/>
  <x:c r="T331" i="1" s="1"/>
  <x:c r="L358" i="1"/>
  <x:c r="N336" i="1"/>
  <x:c r="R336" i="1" s="1"/>
  <x:c r="R358" i="1" s="1"/>
  <x:c r="Q337" i="1"/>
  <x:c r="P337" i="1"/>
  <x:c r="O337" i="1"/>
  <x:c r="T337" i="1" s="1"/>
  <x:c r="Q338" i="1"/>
  <x:c r="P338" i="1"/>
  <x:c r="O338" i="1"/>
  <x:c r="T338" i="1" s="1"/>
  <x:c r="Q339" i="1"/>
  <x:c r="P339" i="1"/>
  <x:c r="O339" i="1"/>
  <x:c r="T339" i="1" s="1"/>
  <x:c r="Q340" i="1"/>
  <x:c r="P340" i="1"/>
  <x:c r="O340" i="1"/>
  <x:c r="T340" i="1" s="1"/>
  <x:c r="Q341" i="1"/>
  <x:c r="P341" i="1"/>
  <x:c r="O341" i="1"/>
  <x:c r="T341" i="1" s="1"/>
  <x:c r="Q342" i="1"/>
  <x:c r="P342" i="1"/>
  <x:c r="O342" i="1"/>
  <x:c r="T342" i="1" s="1"/>
  <x:c r="Q343" i="1"/>
  <x:c r="P343" i="1"/>
  <x:c r="O343" i="1"/>
  <x:c r="T343" i="1" s="1"/>
  <x:c r="Q344" i="1"/>
  <x:c r="P344" i="1"/>
  <x:c r="O344" i="1"/>
  <x:c r="T344" i="1" s="1"/>
  <x:c r="Q345" i="1"/>
  <x:c r="P345" i="1"/>
  <x:c r="O345" i="1"/>
  <x:c r="T345" i="1" s="1"/>
  <x:c r="Q346" i="1"/>
  <x:c r="P346" i="1"/>
  <x:c r="O346" i="1"/>
  <x:c r="T346" i="1" s="1"/>
  <x:c r="Q347" i="1"/>
  <x:c r="P347" i="1"/>
  <x:c r="O347" i="1"/>
  <x:c r="T347" i="1" s="1"/>
  <x:c r="Q348" i="1"/>
  <x:c r="P348" i="1"/>
  <x:c r="O348" i="1"/>
  <x:c r="T348" i="1" s="1"/>
  <x:c r="Q349" i="1"/>
  <x:c r="P349" i="1"/>
  <x:c r="O349" i="1"/>
  <x:c r="T349" i="1" s="1"/>
  <x:c r="Q350" i="1"/>
  <x:c r="P350" i="1"/>
  <x:c r="O350" i="1"/>
  <x:c r="T350" i="1" s="1"/>
  <x:c r="Q351" i="1"/>
  <x:c r="P351" i="1"/>
  <x:c r="O351" i="1"/>
  <x:c r="T351" i="1" s="1"/>
  <x:c r="Q352" i="1"/>
  <x:c r="P352" i="1"/>
  <x:c r="O352" i="1"/>
  <x:c r="T352" i="1" s="1"/>
  <x:c r="Q353" i="1"/>
  <x:c r="P353" i="1"/>
  <x:c r="O353" i="1"/>
  <x:c r="T353" i="1" s="1"/>
  <x:c r="Q354" i="1"/>
  <x:c r="P354" i="1"/>
  <x:c r="O354" i="1"/>
  <x:c r="T354" i="1" s="1"/>
  <x:c r="Q355" i="1"/>
  <x:c r="P355" i="1"/>
  <x:c r="O355" i="1"/>
  <x:c r="T355" i="1" s="1"/>
  <x:c r="Q356" i="1"/>
  <x:c r="P356" i="1"/>
  <x:c r="O356" i="1"/>
  <x:c r="T356" i="1" s="1"/>
  <x:c r="Q357" i="1"/>
  <x:c r="P357" i="1"/>
  <x:c r="O357" i="1"/>
  <x:c r="T357" i="1" s="1"/>
  <x:c r="L391" i="1"/>
  <x:c r="N369" i="1"/>
  <x:c r="R369" i="1" s="1"/>
  <x:c r="Q370" i="1"/>
  <x:c r="P370" i="1"/>
  <x:c r="O370" i="1"/>
  <x:c r="T370" i="1" s="1"/>
  <x:c r="Q371" i="1"/>
  <x:c r="P371" i="1"/>
  <x:c r="O371" i="1"/>
  <x:c r="T371" i="1" s="1"/>
  <x:c r="Q372" i="1"/>
  <x:c r="P372" i="1"/>
  <x:c r="O372" i="1"/>
  <x:c r="T372" i="1" s="1"/>
  <x:c r="Q373" i="1"/>
  <x:c r="P373" i="1"/>
  <x:c r="O373" i="1"/>
  <x:c r="T373" i="1" s="1"/>
  <x:c r="Q374" i="1"/>
  <x:c r="P374" i="1"/>
  <x:c r="O374" i="1"/>
  <x:c r="T374" i="1" s="1"/>
  <x:c r="Q375" i="1"/>
  <x:c r="P375" i="1"/>
  <x:c r="O375" i="1"/>
  <x:c r="T375" i="1" s="1"/>
  <x:c r="Q376" i="1"/>
  <x:c r="P376" i="1"/>
  <x:c r="O376" i="1"/>
  <x:c r="T376" i="1" s="1"/>
  <x:c r="Q377" i="1"/>
  <x:c r="P377" i="1"/>
  <x:c r="O377" i="1"/>
  <x:c r="T377" i="1" s="1"/>
  <x:c r="Q378" i="1"/>
  <x:c r="P378" i="1"/>
  <x:c r="O378" i="1"/>
  <x:c r="T378" i="1" s="1"/>
  <x:c r="Q379" i="1"/>
  <x:c r="P379" i="1"/>
  <x:c r="O379" i="1"/>
  <x:c r="T379" i="1" s="1"/>
  <x:c r="Q380" i="1"/>
  <x:c r="P380" i="1"/>
  <x:c r="O380" i="1"/>
  <x:c r="T380" i="1" s="1"/>
  <x:c r="Q381" i="1"/>
  <x:c r="P381" i="1"/>
  <x:c r="O381" i="1"/>
  <x:c r="T381" i="1" s="1"/>
  <x:c r="Q382" i="1"/>
  <x:c r="P382" i="1"/>
  <x:c r="O382" i="1"/>
  <x:c r="T382" i="1" s="1"/>
  <x:c r="Q383" i="1"/>
  <x:c r="P383" i="1"/>
  <x:c r="O383" i="1"/>
  <x:c r="T383" i="1" s="1"/>
  <x:c r="Q384" i="1"/>
  <x:c r="P384" i="1"/>
  <x:c r="O384" i="1"/>
  <x:c r="T384" i="1" s="1"/>
  <x:c r="Q385" i="1"/>
  <x:c r="P385" i="1"/>
  <x:c r="O385" i="1"/>
  <x:c r="T385" i="1" s="1"/>
  <x:c r="Q386" i="1"/>
  <x:c r="P386" i="1"/>
  <x:c r="O386" i="1"/>
  <x:c r="T386" i="1" s="1"/>
  <x:c r="Q387" i="1"/>
  <x:c r="P387" i="1"/>
  <x:c r="O387" i="1"/>
  <x:c r="T387" i="1" s="1"/>
  <x:c r="Q388" i="1"/>
  <x:c r="P388" i="1"/>
  <x:c r="O388" i="1"/>
  <x:c r="T388" i="1" s="1"/>
  <x:c r="Q389" i="1"/>
  <x:c r="P389" i="1"/>
  <x:c r="O389" i="1"/>
  <x:c r="Q390" i="1"/>
  <x:c r="P390" i="1"/>
  <x:c r="O390" i="1"/>
  <x:c r="N306" i="1"/>
  <x:c r="R306" i="1" s="1"/>
  <x:c r="R313" i="1" s="1"/>
  <x:c r="L313" i="1"/>
  <x:c r="Q307" i="1"/>
  <x:c r="P307" i="1"/>
  <x:c r="O307" i="1"/>
  <x:c r="T307" i="1" s="1"/>
  <x:c r="Q308" i="1"/>
  <x:c r="P308" i="1"/>
  <x:c r="O308" i="1"/>
  <x:c r="T308" i="1" s="1"/>
  <x:c r="Q309" i="1"/>
  <x:c r="P309" i="1"/>
  <x:c r="O309" i="1"/>
  <x:c r="T309" i="1" s="1"/>
  <x:c r="Q310" i="1"/>
  <x:c r="P310" i="1"/>
  <x:c r="O310" i="1"/>
  <x:c r="T310" i="1" s="1"/>
  <x:c r="Q311" i="1"/>
  <x:c r="P311" i="1"/>
  <x:c r="O311" i="1"/>
  <x:c r="T311" i="1" s="1"/>
  <x:c r="Q312" i="1"/>
  <x:c r="P312" i="1"/>
  <x:c r="O312" i="1"/>
  <x:c r="T312" i="1" s="1"/>
  <x:c r="N257" i="1"/>
  <x:c r="R258" i="1"/>
  <x:c r="Q258" i="1"/>
  <x:c r="P258" i="1"/>
  <x:c r="O258" i="1"/>
  <x:c r="T258" i="1" s="1"/>
  <x:c r="R259" i="1"/>
  <x:c r="Q259" i="1"/>
  <x:c r="P259" i="1"/>
  <x:c r="O259" i="1"/>
  <x:c r="T259" i="1" s="1"/>
  <x:c r="R260" i="1"/>
  <x:c r="Q260" i="1"/>
  <x:c r="P260" i="1"/>
  <x:c r="O260" i="1"/>
  <x:c r="T260" i="1" s="1"/>
  <x:c r="R261" i="1"/>
  <x:c r="Q261" i="1"/>
  <x:c r="P261" i="1"/>
  <x:c r="O261" i="1"/>
  <x:c r="T261" i="1" s="1"/>
  <x:c r="R262" i="1"/>
  <x:c r="Q262" i="1"/>
  <x:c r="P262" i="1"/>
  <x:c r="O262" i="1"/>
  <x:c r="T262" i="1" s="1"/>
  <x:c r="R263" i="1"/>
  <x:c r="Q263" i="1"/>
  <x:c r="P263" i="1"/>
  <x:c r="O263" i="1"/>
  <x:c r="T263" i="1" s="1"/>
  <x:c r="R264" i="1"/>
  <x:c r="Q264" i="1"/>
  <x:c r="P264" i="1"/>
  <x:c r="O264" i="1"/>
  <x:c r="T264" i="1" s="1"/>
  <x:c r="R265" i="1"/>
  <x:c r="Q265" i="1"/>
  <x:c r="P265" i="1"/>
  <x:c r="O265" i="1"/>
  <x:c r="T265" i="1" s="1"/>
  <x:c r="R266" i="1"/>
  <x:c r="Q266" i="1"/>
  <x:c r="P266" i="1"/>
  <x:c r="O266" i="1"/>
  <x:c r="T266" i="1" s="1"/>
  <x:c r="R267" i="1"/>
  <x:c r="Q267" i="1"/>
  <x:c r="P267" i="1"/>
  <x:c r="O267" i="1"/>
  <x:c r="T267" i="1" s="1"/>
  <x:c r="R268" i="1"/>
  <x:c r="Q268" i="1"/>
  <x:c r="P268" i="1"/>
  <x:c r="O268" i="1"/>
  <x:c r="T268" i="1" s="1"/>
  <x:c r="R269" i="1"/>
  <x:c r="Q269" i="1"/>
  <x:c r="P269" i="1"/>
  <x:c r="O269" i="1"/>
  <x:c r="T269" i="1" s="1"/>
  <x:c r="R270" i="1"/>
  <x:c r="Q270" i="1"/>
  <x:c r="P270" i="1"/>
  <x:c r="O270" i="1"/>
  <x:c r="T270" i="1" s="1"/>
  <x:c r="R271" i="1"/>
  <x:c r="Q271" i="1"/>
  <x:c r="P271" i="1"/>
  <x:c r="O271" i="1"/>
  <x:c r="T271" i="1" s="1"/>
  <x:c r="R272" i="1"/>
  <x:c r="Q272" i="1"/>
  <x:c r="P272" i="1"/>
  <x:c r="O272" i="1"/>
  <x:c r="T272" i="1" s="1"/>
  <x:c r="R273" i="1"/>
  <x:c r="Q273" i="1"/>
  <x:c r="P273" i="1"/>
  <x:c r="O273" i="1"/>
  <x:c r="T273" i="1" s="1"/>
  <x:c r="R274" i="1"/>
  <x:c r="Q274" i="1"/>
  <x:c r="P274" i="1"/>
  <x:c r="O274" i="1"/>
  <x:c r="T274" i="1" s="1"/>
  <x:c r="R275" i="1"/>
  <x:c r="Q275" i="1"/>
  <x:c r="P275" i="1"/>
  <x:c r="O275" i="1"/>
  <x:c r="T275" i="1" s="1"/>
  <x:c r="R276" i="1"/>
  <x:c r="Q276" i="1"/>
  <x:c r="P276" i="1"/>
  <x:c r="O276" i="1"/>
  <x:c r="T276" i="1" s="1"/>
  <x:c r="R277" i="1"/>
  <x:c r="Q277" i="1"/>
  <x:c r="P277" i="1"/>
  <x:c r="O277" i="1"/>
  <x:c r="T277" i="1" s="1"/>
  <x:c r="R278" i="1"/>
  <x:c r="Q278" i="1"/>
  <x:c r="P278" i="1"/>
  <x:c r="O278" i="1"/>
  <x:c r="T278" i="1" s="1"/>
  <x:c r="R279" i="1"/>
  <x:c r="Q279" i="1"/>
  <x:c r="P279" i="1"/>
  <x:c r="O279" i="1"/>
  <x:c r="T279" i="1" s="1"/>
  <x:c r="R280" i="1"/>
  <x:c r="Q280" i="1"/>
  <x:c r="P280" i="1"/>
  <x:c r="O280" i="1"/>
  <x:c r="T280" i="1" s="1"/>
  <x:c r="L299" i="1"/>
  <x:c r="N284" i="1"/>
  <x:c r="R285" i="1"/>
  <x:c r="Q285" i="1"/>
  <x:c r="P285" i="1"/>
  <x:c r="O285" i="1"/>
  <x:c r="T285" i="1" s="1"/>
  <x:c r="R286" i="1"/>
  <x:c r="Q286" i="1"/>
  <x:c r="P286" i="1"/>
  <x:c r="O286" i="1"/>
  <x:c r="T286" i="1" s="1"/>
  <x:c r="R287" i="1"/>
  <x:c r="Q287" i="1"/>
  <x:c r="P287" i="1"/>
  <x:c r="O287" i="1"/>
  <x:c r="T287" i="1" s="1"/>
  <x:c r="R288" i="1"/>
  <x:c r="Q288" i="1"/>
  <x:c r="P288" i="1"/>
  <x:c r="O288" i="1"/>
  <x:c r="T288" i="1" s="1"/>
  <x:c r="R289" i="1"/>
  <x:c r="Q289" i="1"/>
  <x:c r="P289" i="1"/>
  <x:c r="O289" i="1"/>
  <x:c r="T289" i="1" s="1"/>
  <x:c r="R290" i="1"/>
  <x:c r="Q290" i="1"/>
  <x:c r="P290" i="1"/>
  <x:c r="O290" i="1"/>
  <x:c r="T290" i="1" s="1"/>
  <x:c r="R291" i="1"/>
  <x:c r="Q291" i="1"/>
  <x:c r="P291" i="1"/>
  <x:c r="O291" i="1"/>
  <x:c r="T291" i="1" s="1"/>
  <x:c r="R292" i="1"/>
  <x:c r="Q292" i="1"/>
  <x:c r="P292" i="1"/>
  <x:c r="O292" i="1"/>
  <x:c r="T292" i="1" s="1"/>
  <x:c r="R293" i="1"/>
  <x:c r="Q293" i="1"/>
  <x:c r="P293" i="1"/>
  <x:c r="O293" i="1"/>
  <x:c r="T293" i="1" s="1"/>
  <x:c r="R294" i="1"/>
  <x:c r="Q294" i="1"/>
  <x:c r="P294" i="1"/>
  <x:c r="O294" i="1"/>
  <x:c r="T294" i="1" s="1"/>
  <x:c r="R295" i="1"/>
  <x:c r="Q295" i="1"/>
  <x:c r="P295" i="1"/>
  <x:c r="O295" i="1"/>
  <x:c r="T295" i="1" s="1"/>
  <x:c r="R296" i="1"/>
  <x:c r="Q296" i="1"/>
  <x:c r="P296" i="1"/>
  <x:c r="O296" i="1"/>
  <x:c r="T296" i="1" s="1"/>
  <x:c r="R297" i="1"/>
  <x:c r="Q297" i="1"/>
  <x:c r="P297" i="1"/>
  <x:c r="O297" i="1"/>
  <x:c r="T297" i="1" s="1"/>
  <x:c r="R298" i="1"/>
  <x:c r="Q298" i="1"/>
  <x:c r="P298" i="1"/>
  <x:c r="O298" i="1"/>
  <x:c r="T298" i="1" s="1"/>
  <x:c r="N166" i="1"/>
  <x:c r="L203" i="1"/>
  <x:c r="R167" i="1"/>
  <x:c r="Q167" i="1"/>
  <x:c r="P167" i="1"/>
  <x:c r="O167" i="1"/>
  <x:c r="T167" i="1" s="1"/>
  <x:c r="R168" i="1"/>
  <x:c r="Q168" i="1"/>
  <x:c r="P168" i="1"/>
  <x:c r="O168" i="1"/>
  <x:c r="T168" i="1" s="1"/>
  <x:c r="R169" i="1"/>
  <x:c r="Q169" i="1"/>
  <x:c r="P169" i="1"/>
  <x:c r="O169" i="1"/>
  <x:c r="T169" i="1" s="1"/>
  <x:c r="R170" i="1"/>
  <x:c r="Q170" i="1"/>
  <x:c r="P170" i="1"/>
  <x:c r="O170" i="1"/>
  <x:c r="T170" i="1" s="1"/>
  <x:c r="R171" i="1"/>
  <x:c r="Q171" i="1"/>
  <x:c r="P171" i="1"/>
  <x:c r="O171" i="1"/>
  <x:c r="T171" i="1" s="1"/>
  <x:c r="R172" i="1"/>
  <x:c r="Q172" i="1"/>
  <x:c r="P172" i="1"/>
  <x:c r="O172" i="1"/>
  <x:c r="T172" i="1" s="1"/>
  <x:c r="R173" i="1"/>
  <x:c r="Q173" i="1"/>
  <x:c r="P173" i="1"/>
  <x:c r="O173" i="1"/>
  <x:c r="T173" i="1" s="1"/>
  <x:c r="R174" i="1"/>
  <x:c r="Q174" i="1"/>
  <x:c r="P174" i="1"/>
  <x:c r="O174" i="1"/>
  <x:c r="T174" i="1" s="1"/>
  <x:c r="R175" i="1"/>
  <x:c r="Q175" i="1"/>
  <x:c r="P175" i="1"/>
  <x:c r="O175" i="1"/>
  <x:c r="T175" i="1" s="1"/>
  <x:c r="R176" i="1"/>
  <x:c r="Q176" i="1"/>
  <x:c r="P176" i="1"/>
  <x:c r="O176" i="1"/>
  <x:c r="T176" i="1" s="1"/>
  <x:c r="R177" i="1"/>
  <x:c r="Q177" i="1"/>
  <x:c r="P177" i="1"/>
  <x:c r="O177" i="1"/>
  <x:c r="T177" i="1" s="1"/>
  <x:c r="R178" i="1"/>
  <x:c r="Q178" i="1"/>
  <x:c r="P178" i="1"/>
  <x:c r="O178" i="1"/>
  <x:c r="T178" i="1" s="1"/>
  <x:c r="R179" i="1"/>
  <x:c r="Q179" i="1"/>
  <x:c r="P179" i="1"/>
  <x:c r="O179" i="1"/>
  <x:c r="T179" i="1" s="1"/>
  <x:c r="R180" i="1"/>
  <x:c r="Q180" i="1"/>
  <x:c r="P180" i="1"/>
  <x:c r="O180" i="1"/>
  <x:c r="T180" i="1" s="1"/>
  <x:c r="R181" i="1"/>
  <x:c r="Q181" i="1"/>
  <x:c r="P181" i="1"/>
  <x:c r="O181" i="1"/>
  <x:c r="T181" i="1" s="1"/>
  <x:c r="R182" i="1"/>
  <x:c r="Q182" i="1"/>
  <x:c r="P182" i="1"/>
  <x:c r="O182" i="1"/>
  <x:c r="T182" i="1" s="1"/>
  <x:c r="R183" i="1"/>
  <x:c r="Q183" i="1"/>
  <x:c r="P183" i="1"/>
  <x:c r="O183" i="1"/>
  <x:c r="T183" i="1" s="1"/>
  <x:c r="R184" i="1"/>
  <x:c r="Q184" i="1"/>
  <x:c r="P184" i="1"/>
  <x:c r="O184" i="1"/>
  <x:c r="T184" i="1" s="1"/>
  <x:c r="R185" i="1"/>
  <x:c r="Q185" i="1"/>
  <x:c r="P185" i="1"/>
  <x:c r="O185" i="1"/>
  <x:c r="T185" i="1" s="1"/>
  <x:c r="R186" i="1"/>
  <x:c r="Q186" i="1"/>
  <x:c r="P186" i="1"/>
  <x:c r="O186" i="1"/>
  <x:c r="T186" i="1" s="1"/>
  <x:c r="R187" i="1"/>
  <x:c r="Q187" i="1"/>
  <x:c r="P187" i="1"/>
  <x:c r="O187" i="1"/>
  <x:c r="T187" i="1" s="1"/>
  <x:c r="R188" i="1"/>
  <x:c r="Q188" i="1"/>
  <x:c r="P188" i="1"/>
  <x:c r="O188" i="1"/>
  <x:c r="T188" i="1" s="1"/>
  <x:c r="R189" i="1"/>
  <x:c r="Q189" i="1"/>
  <x:c r="P189" i="1"/>
  <x:c r="O189" i="1"/>
  <x:c r="T189" i="1" s="1"/>
  <x:c r="R190" i="1"/>
  <x:c r="Q190" i="1"/>
  <x:c r="P190" i="1"/>
  <x:c r="O190" i="1"/>
  <x:c r="T190" i="1" s="1"/>
  <x:c r="R191" i="1"/>
  <x:c r="Q191" i="1"/>
  <x:c r="P191" i="1"/>
  <x:c r="O191" i="1"/>
  <x:c r="T191" i="1" s="1"/>
  <x:c r="R192" i="1"/>
  <x:c r="Q192" i="1"/>
  <x:c r="P192" i="1"/>
  <x:c r="O192" i="1"/>
  <x:c r="T192" i="1" s="1"/>
  <x:c r="R193" i="1"/>
  <x:c r="Q193" i="1"/>
  <x:c r="P193" i="1"/>
  <x:c r="O193" i="1"/>
  <x:c r="T193" i="1" s="1"/>
  <x:c r="R194" i="1"/>
  <x:c r="Q194" i="1"/>
  <x:c r="P194" i="1"/>
  <x:c r="O194" i="1"/>
  <x:c r="T194" i="1" s="1"/>
  <x:c r="R195" i="1"/>
  <x:c r="Q195" i="1"/>
  <x:c r="P195" i="1"/>
  <x:c r="O195" i="1"/>
  <x:c r="T195" i="1" s="1"/>
  <x:c r="R196" i="1"/>
  <x:c r="Q196" i="1"/>
  <x:c r="P196" i="1"/>
  <x:c r="O196" i="1"/>
  <x:c r="T196" i="1" s="1"/>
  <x:c r="R197" i="1"/>
  <x:c r="Q197" i="1"/>
  <x:c r="P197" i="1"/>
  <x:c r="O197" i="1"/>
  <x:c r="T197" i="1" s="1"/>
  <x:c r="R198" i="1"/>
  <x:c r="Q198" i="1"/>
  <x:c r="P198" i="1"/>
  <x:c r="O198" i="1"/>
  <x:c r="T198" i="1" s="1"/>
  <x:c r="R199" i="1"/>
  <x:c r="Q199" i="1"/>
  <x:c r="P199" i="1"/>
  <x:c r="O199" i="1"/>
  <x:c r="T199" i="1" s="1"/>
  <x:c r="R200" i="1"/>
  <x:c r="Q200" i="1"/>
  <x:c r="P200" i="1"/>
  <x:c r="O200" i="1"/>
  <x:c r="T200" i="1" s="1"/>
  <x:c r="R201" i="1"/>
  <x:c r="Q201" i="1"/>
  <x:c r="P201" i="1"/>
  <x:c r="O201" i="1"/>
  <x:c r="T201" i="1" s="1"/>
  <x:c r="R202" i="1"/>
  <x:c r="Q202" i="1"/>
  <x:c r="P202" i="1"/>
  <x:c r="O202" i="1"/>
  <x:c r="T202" i="1" s="1"/>
  <x:c r="L162" i="1"/>
  <x:c r="N161" i="1"/>
  <x:c r="L118" i="1"/>
  <x:c r="N117" i="1"/>
  <x:c r="L124" i="1"/>
  <x:c r="N8" i="1"/>
  <x:c r="N9" i="1"/>
  <x:c r="N10" i="1"/>
  <x:c r="N11" i="1"/>
  <x:c r="N12" i="1"/>
  <x:c r="N13" i="1"/>
  <x:c r="N14" i="1"/>
  <x:c r="N15" i="1"/>
  <x:c r="N16" i="1"/>
  <x:c r="N17" i="1"/>
  <x:c r="N18" i="1"/>
  <x:c r="L38" i="1"/>
  <x:c r="N22" i="1"/>
  <x:c r="R318" i="1" l="1"/>
  <x:c r="R333" i="1" s="1"/>
  <x:c r="R365" i="1" s="1"/>
  <x:c r="T332" i="1"/>
  <x:c r="Q336" i="1"/>
  <x:c r="Q358" i="1" s="1"/>
  <x:c r="P336" i="1"/>
  <x:c r="P358" i="1" s="1"/>
  <x:c r="O336" i="1"/>
  <x:c r="N358" i="1"/>
  <x:c r="N365" i="1"/>
  <x:c r="Q318" i="1"/>
  <x:c r="Q333" i="1" s="1"/>
  <x:c r="Q365" i="1" s="1"/>
  <x:c r="P318" i="1"/>
  <x:c r="P333" i="1" s="1"/>
  <x:c r="P365" i="1" s="1"/>
  <x:c r="O318" i="1"/>
  <x:c r="Q369" i="1"/>
  <x:c r="Q391" i="1" s="1"/>
  <x:c r="P369" i="1"/>
  <x:c r="P391" i="1" s="1"/>
  <x:c r="O369" i="1"/>
  <x:c r="N313" i="1"/>
  <x:c r="Q306" i="1"/>
  <x:c r="Q313" i="1" s="1"/>
  <x:c r="P306" i="1"/>
  <x:c r="P313" i="1" s="1"/>
  <x:c r="O306" i="1"/>
  <x:c r="R284" i="1"/>
  <x:c r="Q284" i="1"/>
  <x:c r="Q299" i="1" s="1"/>
  <x:c r="P284" i="1"/>
  <x:c r="P299" i="1" s="1"/>
  <x:c r="O284" i="1"/>
  <x:c r="R257" i="1"/>
  <x:c r="R282" i="1" s="1"/>
  <x:c r="Q257" i="1"/>
  <x:c r="Q282" i="1" s="1"/>
  <x:c r="P257" i="1"/>
  <x:c r="P282" i="1" s="1"/>
  <x:c r="O257" i="1"/>
  <x:c r="O282" i="1" s="1"/>
  <x:c r="R166" i="1"/>
  <x:c r="R203" i="1" s="1"/>
  <x:c r="Q166" i="1"/>
  <x:c r="Q203" i="1" s="1"/>
  <x:c r="P166" i="1"/>
  <x:c r="P203" i="1" s="1"/>
  <x:c r="O166" i="1"/>
  <x:c r="R161" i="1"/>
  <x:c r="Q161" i="1"/>
  <x:c r="P161" i="1"/>
  <x:c r="O161" i="1"/>
  <x:c r="T161" i="1" s="1"/>
  <x:c r="N126" i="1"/>
  <x:c r="N127" i="1"/>
  <x:c r="N128" i="1"/>
  <x:c r="N129" i="1"/>
  <x:c r="N135" i="1"/>
  <x:c r="N136" i="1"/>
  <x:c r="N137" i="1"/>
  <x:c r="N138" i="1"/>
  <x:c r="N139" i="1"/>
  <x:c r="N140" i="1"/>
  <x:c r="N141" i="1"/>
  <x:c r="N142" i="1"/>
  <x:c r="N143" i="1"/>
  <x:c r="N144" i="1"/>
  <x:c r="N145" i="1"/>
  <x:c r="N146" i="1"/>
  <x:c r="N147" i="1"/>
  <x:c r="N148" i="1"/>
  <x:c r="N149" i="1"/>
  <x:c r="N150" i="1"/>
  <x:c r="N151" i="1"/>
  <x:c r="N152" i="1"/>
  <x:c r="N153" i="1"/>
  <x:c r="N154" i="1"/>
  <x:c r="N155" i="1"/>
  <x:c r="N156" i="1"/>
  <x:c r="N157" i="1"/>
  <x:c r="N158" i="1"/>
  <x:c r="N159" i="1"/>
  <x:c r="N160" i="1"/>
  <x:c r="N122" i="1"/>
  <x:c r="N123" i="1"/>
  <x:c r="N121" i="1"/>
  <x:c r="R117" i="1"/>
  <x:c r="Q117" i="1"/>
  <x:c r="P117" i="1"/>
  <x:c r="O117" i="1"/>
  <x:c r="T117" i="1" s="1"/>
  <x:c r="N40" i="1"/>
  <x:c r="N41" i="1"/>
  <x:c r="N42" i="1"/>
  <x:c r="N43" i="1"/>
  <x:c r="N44" i="1"/>
  <x:c r="N45" i="1"/>
  <x:c r="N46" i="1"/>
  <x:c r="N47" i="1"/>
  <x:c r="N48" i="1"/>
  <x:c r="N49" i="1"/>
  <x:c r="N50" i="1"/>
  <x:c r="N51" i="1"/>
  <x:c r="N52" i="1"/>
  <x:c r="N53" i="1"/>
  <x:c r="N54" i="1"/>
  <x:c r="N55" i="1"/>
  <x:c r="N56" i="1"/>
  <x:c r="N57" i="1"/>
  <x:c r="N58" i="1"/>
  <x:c r="N59" i="1"/>
  <x:c r="N60" i="1"/>
  <x:c r="N61" i="1"/>
  <x:c r="N62" i="1"/>
  <x:c r="N63" i="1"/>
  <x:c r="N64" i="1"/>
  <x:c r="N65" i="1"/>
  <x:c r="N66" i="1"/>
  <x:c r="N67" i="1"/>
  <x:c r="N68" i="1"/>
  <x:c r="N69" i="1"/>
  <x:c r="N70" i="1"/>
  <x:c r="N71" i="1"/>
  <x:c r="N72" i="1"/>
  <x:c r="N73" i="1"/>
  <x:c r="N74" i="1"/>
  <x:c r="N75" i="1"/>
  <x:c r="N76" i="1"/>
  <x:c r="N77" i="1"/>
  <x:c r="N78" i="1"/>
  <x:c r="N79" i="1"/>
  <x:c r="N80" i="1"/>
  <x:c r="N81" i="1"/>
  <x:c r="N82" i="1"/>
  <x:c r="N83" i="1"/>
  <x:c r="N84" i="1"/>
  <x:c r="N85" i="1"/>
  <x:c r="N86" i="1"/>
  <x:c r="N87" i="1"/>
  <x:c r="N88" i="1"/>
  <x:c r="N89" i="1"/>
  <x:c r="N90" i="1"/>
  <x:c r="N91" i="1"/>
  <x:c r="N92" i="1"/>
  <x:c r="N93" i="1"/>
  <x:c r="N94" i="1"/>
  <x:c r="N95" i="1"/>
  <x:c r="N96" i="1"/>
  <x:c r="N97" i="1"/>
  <x:c r="N98" i="1"/>
  <x:c r="N99" i="1"/>
  <x:c r="N100" i="1"/>
  <x:c r="N101" i="1"/>
  <x:c r="N102" i="1"/>
  <x:c r="N103" i="1"/>
  <x:c r="N104" i="1"/>
  <x:c r="N105" i="1"/>
  <x:c r="N106" i="1"/>
  <x:c r="N107" i="1"/>
  <x:c r="N108" i="1"/>
  <x:c r="N109" i="1"/>
  <x:c r="N110" i="1"/>
  <x:c r="N111" i="1"/>
  <x:c r="N112" i="1"/>
  <x:c r="N113" i="1"/>
  <x:c r="N114" i="1"/>
  <x:c r="N115" i="1"/>
  <x:c r="N116" i="1"/>
  <x:c r="R22" i="1"/>
  <x:c r="Q22" i="1"/>
  <x:c r="P22" i="1"/>
  <x:c r="O22" i="1"/>
  <x:c r="T22" i="1" s="1"/>
  <x:c r="N23" i="1"/>
  <x:c r="N24" i="1"/>
  <x:c r="N25" i="1"/>
  <x:c r="N26" i="1"/>
  <x:c r="N27" i="1"/>
  <x:c r="N28" i="1"/>
  <x:c r="N29" i="1"/>
  <x:c r="N30" i="1"/>
  <x:c r="N31" i="1"/>
  <x:c r="N32" i="1"/>
  <x:c r="N33" i="1"/>
  <x:c r="N34" i="1"/>
  <x:c r="N35" i="1"/>
  <x:c r="N36" i="1"/>
  <x:c r="N37" i="1"/>
  <x:c r="R18" i="1"/>
  <x:c r="Q18" i="1"/>
  <x:c r="P18" i="1"/>
  <x:c r="O18" i="1"/>
  <x:c r="T18" i="1" s="1"/>
  <x:c r="R17" i="1"/>
  <x:c r="Q17" i="1"/>
  <x:c r="P17" i="1"/>
  <x:c r="O17" i="1"/>
  <x:c r="T17" i="1" s="1"/>
  <x:c r="R16" i="1"/>
  <x:c r="Q16" i="1"/>
  <x:c r="P16" i="1"/>
  <x:c r="O16" i="1"/>
  <x:c r="T16" i="1" s="1"/>
  <x:c r="R15" i="1"/>
  <x:c r="Q15" i="1"/>
  <x:c r="P15" i="1"/>
  <x:c r="O15" i="1"/>
  <x:c r="T15" i="1" s="1"/>
  <x:c r="R14" i="1"/>
  <x:c r="Q14" i="1"/>
  <x:c r="P14" i="1"/>
  <x:c r="O14" i="1"/>
  <x:c r="T14" i="1" s="1"/>
  <x:c r="R13" i="1"/>
  <x:c r="Q13" i="1"/>
  <x:c r="P13" i="1"/>
  <x:c r="O13" i="1"/>
  <x:c r="T13" i="1" s="1"/>
  <x:c r="R12" i="1"/>
  <x:c r="Q12" i="1"/>
  <x:c r="P12" i="1"/>
  <x:c r="O12" i="1"/>
  <x:c r="T12" i="1" s="1"/>
  <x:c r="R11" i="1"/>
  <x:c r="Q11" i="1"/>
  <x:c r="P11" i="1"/>
  <x:c r="O11" i="1"/>
  <x:c r="T11" i="1" s="1"/>
  <x:c r="R10" i="1"/>
  <x:c r="Q10" i="1"/>
  <x:c r="P10" i="1"/>
  <x:c r="O10" i="1"/>
  <x:c r="T10" i="1" s="1"/>
  <x:c r="R9" i="1"/>
  <x:c r="Q9" i="1"/>
  <x:c r="P9" i="1"/>
  <x:c r="O9" i="1"/>
  <x:c r="T9" i="1" s="1"/>
  <x:c r="R8" i="1"/>
  <x:c r="Q8" i="1"/>
  <x:c r="P8" i="1"/>
  <x:c r="O8" i="1"/>
  <x:c r="T19" i="1" l="1"/>
  <x:c r="T8" i="1"/>
  <x:c r="T203" i="1"/>
  <x:c r="T166" i="1"/>
  <x:c r="T282" i="1"/>
  <x:c r="T257" i="1"/>
  <x:c r="O299" i="1"/>
  <x:c r="T299" i="1" s="1"/>
  <x:c r="T284" i="1"/>
  <x:c r="O313" i="1"/>
  <x:c r="T313" i="1" s="1"/>
  <x:c r="T306" i="1"/>
  <x:c r="O391" i="1"/>
  <x:c r="T369" i="1"/>
  <x:c r="T318" i="1"/>
  <x:c r="O333" i="1"/>
  <x:c r="T336" i="1"/>
  <x:c r="O358" i="1"/>
  <x:c r="T358" i="1" s="1"/>
  <x:c r="R160" i="1"/>
  <x:c r="Q160" i="1"/>
  <x:c r="P160" i="1"/>
  <x:c r="O160" i="1"/>
  <x:c r="T160" i="1" s="1"/>
  <x:c r="R159" i="1"/>
  <x:c r="Q159" i="1"/>
  <x:c r="P159" i="1"/>
  <x:c r="O159" i="1"/>
  <x:c r="T159" i="1" s="1"/>
  <x:c r="R158" i="1"/>
  <x:c r="Q158" i="1"/>
  <x:c r="P158" i="1"/>
  <x:c r="O158" i="1"/>
  <x:c r="T158" i="1" s="1"/>
  <x:c r="R157" i="1"/>
  <x:c r="Q157" i="1"/>
  <x:c r="P157" i="1"/>
  <x:c r="O157" i="1"/>
  <x:c r="T157" i="1" s="1"/>
  <x:c r="R156" i="1"/>
  <x:c r="Q156" i="1"/>
  <x:c r="P156" i="1"/>
  <x:c r="O156" i="1"/>
  <x:c r="T156" i="1" s="1"/>
  <x:c r="R155" i="1"/>
  <x:c r="Q155" i="1"/>
  <x:c r="P155" i="1"/>
  <x:c r="O155" i="1"/>
  <x:c r="T155" i="1" s="1"/>
  <x:c r="R154" i="1"/>
  <x:c r="Q154" i="1"/>
  <x:c r="P154" i="1"/>
  <x:c r="O154" i="1"/>
  <x:c r="T154" i="1" s="1"/>
  <x:c r="R153" i="1"/>
  <x:c r="Q153" i="1"/>
  <x:c r="P153" i="1"/>
  <x:c r="O153" i="1"/>
  <x:c r="T153" i="1" s="1"/>
  <x:c r="R152" i="1"/>
  <x:c r="Q152" i="1"/>
  <x:c r="P152" i="1"/>
  <x:c r="O152" i="1"/>
  <x:c r="T152" i="1" s="1"/>
  <x:c r="R151" i="1"/>
  <x:c r="Q151" i="1"/>
  <x:c r="P151" i="1"/>
  <x:c r="O151" i="1"/>
  <x:c r="T151" i="1" s="1"/>
  <x:c r="R150" i="1"/>
  <x:c r="Q150" i="1"/>
  <x:c r="P150" i="1"/>
  <x:c r="O150" i="1"/>
  <x:c r="T150" i="1" s="1"/>
  <x:c r="R149" i="1"/>
  <x:c r="Q149" i="1"/>
  <x:c r="P149" i="1"/>
  <x:c r="O149" i="1"/>
  <x:c r="T149" i="1" s="1"/>
  <x:c r="R148" i="1"/>
  <x:c r="Q148" i="1"/>
  <x:c r="P148" i="1"/>
  <x:c r="O148" i="1"/>
  <x:c r="T148" i="1" s="1"/>
  <x:c r="R147" i="1"/>
  <x:c r="Q147" i="1"/>
  <x:c r="P147" i="1"/>
  <x:c r="O147" i="1"/>
  <x:c r="T147" i="1" s="1"/>
  <x:c r="R146" i="1"/>
  <x:c r="Q146" i="1"/>
  <x:c r="P146" i="1"/>
  <x:c r="O146" i="1"/>
  <x:c r="T146" i="1" s="1"/>
  <x:c r="R145" i="1"/>
  <x:c r="Q145" i="1"/>
  <x:c r="P145" i="1"/>
  <x:c r="O145" i="1"/>
  <x:c r="T145" i="1" s="1"/>
  <x:c r="R144" i="1"/>
  <x:c r="Q144" i="1"/>
  <x:c r="P144" i="1"/>
  <x:c r="O144" i="1"/>
  <x:c r="T144" i="1" s="1"/>
  <x:c r="R143" i="1"/>
  <x:c r="Q143" i="1"/>
  <x:c r="P143" i="1"/>
  <x:c r="O143" i="1"/>
  <x:c r="T143" i="1" s="1"/>
  <x:c r="R142" i="1"/>
  <x:c r="Q142" i="1"/>
  <x:c r="P142" i="1"/>
  <x:c r="O142" i="1"/>
  <x:c r="T142" i="1" s="1"/>
  <x:c r="R141" i="1"/>
  <x:c r="Q141" i="1"/>
  <x:c r="P141" i="1"/>
  <x:c r="O141" i="1"/>
  <x:c r="T141" i="1" s="1"/>
  <x:c r="R140" i="1"/>
  <x:c r="Q140" i="1"/>
  <x:c r="P140" i="1"/>
  <x:c r="O140" i="1"/>
  <x:c r="T140" i="1" s="1"/>
  <x:c r="R139" i="1"/>
  <x:c r="Q139" i="1"/>
  <x:c r="P139" i="1"/>
  <x:c r="O139" i="1"/>
  <x:c r="T139" i="1" s="1"/>
  <x:c r="R138" i="1"/>
  <x:c r="Q138" i="1"/>
  <x:c r="P138" i="1"/>
  <x:c r="O138" i="1"/>
  <x:c r="T138" i="1" s="1"/>
  <x:c r="R137" i="1"/>
  <x:c r="Q137" i="1"/>
  <x:c r="P137" i="1"/>
  <x:c r="O137" i="1"/>
  <x:c r="T137" i="1" s="1"/>
  <x:c r="R136" i="1"/>
  <x:c r="Q136" i="1"/>
  <x:c r="P136" i="1"/>
  <x:c r="O136" i="1"/>
  <x:c r="T136" i="1" s="1"/>
  <x:c r="R135" i="1"/>
  <x:c r="Q135" i="1"/>
  <x:c r="P135" i="1"/>
  <x:c r="O135" i="1"/>
  <x:c r="T135" i="1" s="1"/>
  <x:c r="R129" i="1"/>
  <x:c r="Q129" i="1"/>
  <x:c r="P129" i="1"/>
  <x:c r="O129" i="1"/>
  <x:c r="T129" i="1" s="1"/>
  <x:c r="R128" i="1"/>
  <x:c r="Q128" i="1"/>
  <x:c r="P128" i="1"/>
  <x:c r="O128" i="1"/>
  <x:c r="T128" i="1" s="1"/>
  <x:c r="R127" i="1"/>
  <x:c r="Q127" i="1"/>
  <x:c r="P127" i="1"/>
  <x:c r="O127" i="1"/>
  <x:c r="T127" i="1" s="1"/>
  <x:c r="T163" i="1"/>
  <x:c r="R126" i="1"/>
  <x:c r="R162" i="1" s="1"/>
  <x:c r="Q126" i="1"/>
  <x:c r="Q162" i="1" s="1"/>
  <x:c r="P126" i="1"/>
  <x:c r="P162" i="1" s="1"/>
  <x:c r="O126" i="1"/>
  <x:c r="R116" i="1"/>
  <x:c r="Q116" i="1"/>
  <x:c r="P116" i="1"/>
  <x:c r="O116" i="1"/>
  <x:c r="T116" i="1" s="1"/>
  <x:c r="R115" i="1"/>
  <x:c r="Q115" i="1"/>
  <x:c r="P115" i="1"/>
  <x:c r="O115" i="1"/>
  <x:c r="T115" i="1" s="1"/>
  <x:c r="R114" i="1"/>
  <x:c r="Q114" i="1"/>
  <x:c r="P114" i="1"/>
  <x:c r="O114" i="1"/>
  <x:c r="T114" i="1" s="1"/>
  <x:c r="R113" i="1"/>
  <x:c r="Q113" i="1"/>
  <x:c r="P113" i="1"/>
  <x:c r="O113" i="1"/>
  <x:c r="T113" i="1" s="1"/>
  <x:c r="R112" i="1"/>
  <x:c r="Q112" i="1"/>
  <x:c r="P112" i="1"/>
  <x:c r="O112" i="1"/>
  <x:c r="T112" i="1" s="1"/>
  <x:c r="R111" i="1"/>
  <x:c r="Q111" i="1"/>
  <x:c r="P111" i="1"/>
  <x:c r="O111" i="1"/>
  <x:c r="T111" i="1" s="1"/>
  <x:c r="R110" i="1"/>
  <x:c r="Q110" i="1"/>
  <x:c r="P110" i="1"/>
  <x:c r="O110" i="1"/>
  <x:c r="T110" i="1" s="1"/>
  <x:c r="R109" i="1"/>
  <x:c r="Q109" i="1"/>
  <x:c r="P109" i="1"/>
  <x:c r="O109" i="1"/>
  <x:c r="T109" i="1" s="1"/>
  <x:c r="R108" i="1"/>
  <x:c r="Q108" i="1"/>
  <x:c r="P108" i="1"/>
  <x:c r="O108" i="1"/>
  <x:c r="T108" i="1" s="1"/>
  <x:c r="R107" i="1"/>
  <x:c r="Q107" i="1"/>
  <x:c r="P107" i="1"/>
  <x:c r="O107" i="1"/>
  <x:c r="T107" i="1" s="1"/>
  <x:c r="R106" i="1"/>
  <x:c r="Q106" i="1"/>
  <x:c r="P106" i="1"/>
  <x:c r="O106" i="1"/>
  <x:c r="T106" i="1" s="1"/>
  <x:c r="R105" i="1"/>
  <x:c r="Q105" i="1"/>
  <x:c r="P105" i="1"/>
  <x:c r="O105" i="1"/>
  <x:c r="T105" i="1" s="1"/>
  <x:c r="R104" i="1"/>
  <x:c r="Q104" i="1"/>
  <x:c r="P104" i="1"/>
  <x:c r="O104" i="1"/>
  <x:c r="T104" i="1" s="1"/>
  <x:c r="R103" i="1"/>
  <x:c r="Q103" i="1"/>
  <x:c r="P103" i="1"/>
  <x:c r="O103" i="1"/>
  <x:c r="T103" i="1" s="1"/>
  <x:c r="R102" i="1"/>
  <x:c r="Q102" i="1"/>
  <x:c r="P102" i="1"/>
  <x:c r="O102" i="1"/>
  <x:c r="T102" i="1" s="1"/>
  <x:c r="R101" i="1"/>
  <x:c r="Q101" i="1"/>
  <x:c r="P101" i="1"/>
  <x:c r="O101" i="1"/>
  <x:c r="T101" i="1" s="1"/>
  <x:c r="R100" i="1"/>
  <x:c r="Q100" i="1"/>
  <x:c r="P100" i="1"/>
  <x:c r="O100" i="1"/>
  <x:c r="T100" i="1" s="1"/>
  <x:c r="R99" i="1"/>
  <x:c r="Q99" i="1"/>
  <x:c r="P99" i="1"/>
  <x:c r="O99" i="1"/>
  <x:c r="T99" i="1" s="1"/>
  <x:c r="R98" i="1"/>
  <x:c r="Q98" i="1"/>
  <x:c r="P98" i="1"/>
  <x:c r="O98" i="1"/>
  <x:c r="T98" i="1" s="1"/>
  <x:c r="R97" i="1"/>
  <x:c r="Q97" i="1"/>
  <x:c r="P97" i="1"/>
  <x:c r="O97" i="1"/>
  <x:c r="T97" i="1" s="1"/>
  <x:c r="R96" i="1"/>
  <x:c r="Q96" i="1"/>
  <x:c r="P96" i="1"/>
  <x:c r="O96" i="1"/>
  <x:c r="T96" i="1" s="1"/>
  <x:c r="R95" i="1"/>
  <x:c r="Q95" i="1"/>
  <x:c r="P95" i="1"/>
  <x:c r="O95" i="1"/>
  <x:c r="T95" i="1" s="1"/>
  <x:c r="R94" i="1"/>
  <x:c r="Q94" i="1"/>
  <x:c r="P94" i="1"/>
  <x:c r="O94" i="1"/>
  <x:c r="T94" i="1" s="1"/>
  <x:c r="R93" i="1"/>
  <x:c r="Q93" i="1"/>
  <x:c r="P93" i="1"/>
  <x:c r="O93" i="1"/>
  <x:c r="T93" i="1" s="1"/>
  <x:c r="R92" i="1"/>
  <x:c r="Q92" i="1"/>
  <x:c r="P92" i="1"/>
  <x:c r="O92" i="1"/>
  <x:c r="T92" i="1" s="1"/>
  <x:c r="R91" i="1"/>
  <x:c r="Q91" i="1"/>
  <x:c r="P91" i="1"/>
  <x:c r="O91" i="1"/>
  <x:c r="T91" i="1" s="1"/>
  <x:c r="R90" i="1"/>
  <x:c r="Q90" i="1"/>
  <x:c r="P90" i="1"/>
  <x:c r="O90" i="1"/>
  <x:c r="T90" i="1" s="1"/>
  <x:c r="R89" i="1"/>
  <x:c r="Q89" i="1"/>
  <x:c r="P89" i="1"/>
  <x:c r="O89" i="1"/>
  <x:c r="T89" i="1" s="1"/>
  <x:c r="R88" i="1"/>
  <x:c r="Q88" i="1"/>
  <x:c r="P88" i="1"/>
  <x:c r="O88" i="1"/>
  <x:c r="T88" i="1" s="1"/>
  <x:c r="R87" i="1"/>
  <x:c r="Q87" i="1"/>
  <x:c r="P87" i="1"/>
  <x:c r="O87" i="1"/>
  <x:c r="T87" i="1" s="1"/>
  <x:c r="R86" i="1"/>
  <x:c r="Q86" i="1"/>
  <x:c r="P86" i="1"/>
  <x:c r="O86" i="1"/>
  <x:c r="T86" i="1" s="1"/>
  <x:c r="R85" i="1"/>
  <x:c r="Q85" i="1"/>
  <x:c r="P85" i="1"/>
  <x:c r="O85" i="1"/>
  <x:c r="T85" i="1" s="1"/>
  <x:c r="R84" i="1"/>
  <x:c r="Q84" i="1"/>
  <x:c r="P84" i="1"/>
  <x:c r="O84" i="1"/>
  <x:c r="T84" i="1" s="1"/>
  <x:c r="R83" i="1"/>
  <x:c r="Q83" i="1"/>
  <x:c r="P83" i="1"/>
  <x:c r="O83" i="1"/>
  <x:c r="T83" i="1" s="1"/>
  <x:c r="R82" i="1"/>
  <x:c r="Q82" i="1"/>
  <x:c r="P82" i="1"/>
  <x:c r="O82" i="1"/>
  <x:c r="T82" i="1" s="1"/>
  <x:c r="R81" i="1"/>
  <x:c r="Q81" i="1"/>
  <x:c r="P81" i="1"/>
  <x:c r="O81" i="1"/>
  <x:c r="T81" i="1" s="1"/>
  <x:c r="R80" i="1"/>
  <x:c r="Q80" i="1"/>
  <x:c r="P80" i="1"/>
  <x:c r="O80" i="1"/>
  <x:c r="T80" i="1" s="1"/>
  <x:c r="R79" i="1"/>
  <x:c r="Q79" i="1"/>
  <x:c r="P79" i="1"/>
  <x:c r="O79" i="1"/>
  <x:c r="T79" i="1" s="1"/>
  <x:c r="R78" i="1"/>
  <x:c r="Q78" i="1"/>
  <x:c r="P78" i="1"/>
  <x:c r="O78" i="1"/>
  <x:c r="T78" i="1" s="1"/>
  <x:c r="R77" i="1"/>
  <x:c r="Q77" i="1"/>
  <x:c r="P77" i="1"/>
  <x:c r="O77" i="1"/>
  <x:c r="T77" i="1" s="1"/>
  <x:c r="R76" i="1"/>
  <x:c r="Q76" i="1"/>
  <x:c r="P76" i="1"/>
  <x:c r="O76" i="1"/>
  <x:c r="T76" i="1" s="1"/>
  <x:c r="R75" i="1"/>
  <x:c r="Q75" i="1"/>
  <x:c r="P75" i="1"/>
  <x:c r="O75" i="1"/>
  <x:c r="T75" i="1" s="1"/>
  <x:c r="R74" i="1"/>
  <x:c r="Q74" i="1"/>
  <x:c r="P74" i="1"/>
  <x:c r="O74" i="1"/>
  <x:c r="T74" i="1" s="1"/>
  <x:c r="R73" i="1"/>
  <x:c r="Q73" i="1"/>
  <x:c r="P73" i="1"/>
  <x:c r="O73" i="1"/>
  <x:c r="T73" i="1" s="1"/>
  <x:c r="R72" i="1"/>
  <x:c r="Q72" i="1"/>
  <x:c r="P72" i="1"/>
  <x:c r="O72" i="1"/>
  <x:c r="T72" i="1" s="1"/>
  <x:c r="R71" i="1"/>
  <x:c r="Q71" i="1"/>
  <x:c r="P71" i="1"/>
  <x:c r="O71" i="1"/>
  <x:c r="T71" i="1" s="1"/>
  <x:c r="R70" i="1"/>
  <x:c r="Q70" i="1"/>
  <x:c r="P70" i="1"/>
  <x:c r="O70" i="1"/>
  <x:c r="T70" i="1" s="1"/>
  <x:c r="R69" i="1"/>
  <x:c r="Q69" i="1"/>
  <x:c r="P69" i="1"/>
  <x:c r="O69" i="1"/>
  <x:c r="T69" i="1" s="1"/>
  <x:c r="R68" i="1"/>
  <x:c r="Q68" i="1"/>
  <x:c r="P68" i="1"/>
  <x:c r="O68" i="1"/>
  <x:c r="T68" i="1" s="1"/>
  <x:c r="R67" i="1"/>
  <x:c r="Q67" i="1"/>
  <x:c r="P67" i="1"/>
  <x:c r="O67" i="1"/>
  <x:c r="T67" i="1" s="1"/>
  <x:c r="R66" i="1"/>
  <x:c r="Q66" i="1"/>
  <x:c r="P66" i="1"/>
  <x:c r="O66" i="1"/>
  <x:c r="T66" i="1" s="1"/>
  <x:c r="R65" i="1"/>
  <x:c r="Q65" i="1"/>
  <x:c r="P65" i="1"/>
  <x:c r="O65" i="1"/>
  <x:c r="T65" i="1" s="1"/>
  <x:c r="R64" i="1"/>
  <x:c r="Q64" i="1"/>
  <x:c r="P64" i="1"/>
  <x:c r="O64" i="1"/>
  <x:c r="T64" i="1" s="1"/>
  <x:c r="R63" i="1"/>
  <x:c r="Q63" i="1"/>
  <x:c r="P63" i="1"/>
  <x:c r="O63" i="1"/>
  <x:c r="T63" i="1" s="1"/>
  <x:c r="R62" i="1"/>
  <x:c r="Q62" i="1"/>
  <x:c r="P62" i="1"/>
  <x:c r="O62" i="1"/>
  <x:c r="T62" i="1" s="1"/>
  <x:c r="R61" i="1"/>
  <x:c r="Q61" i="1"/>
  <x:c r="P61" i="1"/>
  <x:c r="O61" i="1"/>
  <x:c r="T61" i="1" s="1"/>
  <x:c r="R60" i="1"/>
  <x:c r="Q60" i="1"/>
  <x:c r="P60" i="1"/>
  <x:c r="O60" i="1"/>
  <x:c r="T60" i="1" s="1"/>
  <x:c r="R59" i="1"/>
  <x:c r="Q59" i="1"/>
  <x:c r="P59" i="1"/>
  <x:c r="O59" i="1"/>
  <x:c r="T59" i="1" s="1"/>
  <x:c r="R58" i="1"/>
  <x:c r="Q58" i="1"/>
  <x:c r="P58" i="1"/>
  <x:c r="O58" i="1"/>
  <x:c r="T58" i="1" s="1"/>
  <x:c r="R57" i="1"/>
  <x:c r="Q57" i="1"/>
  <x:c r="P57" i="1"/>
  <x:c r="O57" i="1"/>
  <x:c r="T57" i="1" s="1"/>
  <x:c r="R56" i="1"/>
  <x:c r="Q56" i="1"/>
  <x:c r="P56" i="1"/>
  <x:c r="O56" i="1"/>
  <x:c r="T56" i="1" s="1"/>
  <x:c r="R55" i="1"/>
  <x:c r="Q55" i="1"/>
  <x:c r="P55" i="1"/>
  <x:c r="O55" i="1"/>
  <x:c r="T55" i="1" s="1"/>
  <x:c r="R54" i="1"/>
  <x:c r="Q54" i="1"/>
  <x:c r="P54" i="1"/>
  <x:c r="O54" i="1"/>
  <x:c r="T54" i="1" s="1"/>
  <x:c r="R53" i="1"/>
  <x:c r="Q53" i="1"/>
  <x:c r="P53" i="1"/>
  <x:c r="O53" i="1"/>
  <x:c r="T53" i="1" s="1"/>
  <x:c r="R52" i="1"/>
  <x:c r="Q52" i="1"/>
  <x:c r="P52" i="1"/>
  <x:c r="O52" i="1"/>
  <x:c r="T52" i="1" s="1"/>
  <x:c r="R51" i="1"/>
  <x:c r="Q51" i="1"/>
  <x:c r="P51" i="1"/>
  <x:c r="O51" i="1"/>
  <x:c r="T51" i="1" s="1"/>
  <x:c r="R50" i="1"/>
  <x:c r="Q50" i="1"/>
  <x:c r="P50" i="1"/>
  <x:c r="O50" i="1"/>
  <x:c r="T50" i="1" s="1"/>
  <x:c r="R49" i="1"/>
  <x:c r="Q49" i="1"/>
  <x:c r="P49" i="1"/>
  <x:c r="O49" i="1"/>
  <x:c r="T49" i="1" s="1"/>
  <x:c r="R48" i="1"/>
  <x:c r="Q48" i="1"/>
  <x:c r="P48" i="1"/>
  <x:c r="O48" i="1"/>
  <x:c r="T48" i="1" s="1"/>
  <x:c r="R47" i="1"/>
  <x:c r="Q47" i="1"/>
  <x:c r="P47" i="1"/>
  <x:c r="O47" i="1"/>
  <x:c r="T47" i="1" s="1"/>
  <x:c r="R46" i="1"/>
  <x:c r="Q46" i="1"/>
  <x:c r="P46" i="1"/>
  <x:c r="O46" i="1"/>
  <x:c r="T46" i="1" s="1"/>
  <x:c r="R45" i="1"/>
  <x:c r="Q45" i="1"/>
  <x:c r="P45" i="1"/>
  <x:c r="O45" i="1"/>
  <x:c r="T45" i="1" s="1"/>
  <x:c r="R44" i="1"/>
  <x:c r="Q44" i="1"/>
  <x:c r="P44" i="1"/>
  <x:c r="O44" i="1"/>
  <x:c r="T44" i="1" s="1"/>
  <x:c r="R43" i="1"/>
  <x:c r="Q43" i="1"/>
  <x:c r="P43" i="1"/>
  <x:c r="O43" i="1"/>
  <x:c r="T43" i="1" s="1"/>
  <x:c r="R42" i="1"/>
  <x:c r="Q42" i="1"/>
  <x:c r="P42" i="1"/>
  <x:c r="O42" i="1"/>
  <x:c r="T42" i="1" s="1"/>
  <x:c r="R41" i="1"/>
  <x:c r="Q41" i="1"/>
  <x:c r="P41" i="1"/>
  <x:c r="O41" i="1"/>
  <x:c r="T41" i="1" s="1"/>
  <x:c r="R40" i="1"/>
  <x:c r="R118" i="1" s="1"/>
  <x:c r="Q40" i="1"/>
  <x:c r="Q118" i="1" s="1"/>
  <x:c r="P40" i="1"/>
  <x:c r="P118" i="1" s="1"/>
  <x:c r="O40" i="1"/>
  <x:c r="N124" i="1"/>
  <x:c r="R121" i="1"/>
  <x:c r="Q121" i="1"/>
  <x:c r="P121" i="1"/>
  <x:c r="O121" i="1"/>
  <x:c r="T121" i="1" s="1"/>
  <x:c r="R123" i="1"/>
  <x:c r="Q123" i="1"/>
  <x:c r="P123" i="1"/>
  <x:c r="O123" i="1"/>
  <x:c r="T123" i="1" s="1"/>
  <x:c r="R122" i="1"/>
  <x:c r="Q122" i="1"/>
  <x:c r="P122" i="1"/>
  <x:c r="O122" i="1"/>
  <x:c r="T122" i="1" s="1"/>
  <x:c r="R37" i="1"/>
  <x:c r="Q37" i="1"/>
  <x:c r="P37" i="1"/>
  <x:c r="O37" i="1"/>
  <x:c r="T37" i="1" s="1"/>
  <x:c r="R36" i="1"/>
  <x:c r="Q36" i="1"/>
  <x:c r="P36" i="1"/>
  <x:c r="O36" i="1"/>
  <x:c r="T36" i="1" s="1"/>
  <x:c r="R35" i="1"/>
  <x:c r="Q35" i="1"/>
  <x:c r="P35" i="1"/>
  <x:c r="O35" i="1"/>
  <x:c r="T35" i="1" s="1"/>
  <x:c r="R34" i="1"/>
  <x:c r="Q34" i="1"/>
  <x:c r="P34" i="1"/>
  <x:c r="O34" i="1"/>
  <x:c r="T34" i="1" s="1"/>
  <x:c r="R33" i="1"/>
  <x:c r="Q33" i="1"/>
  <x:c r="P33" i="1"/>
  <x:c r="O33" i="1"/>
  <x:c r="T33" i="1" s="1"/>
  <x:c r="R32" i="1"/>
  <x:c r="Q32" i="1"/>
  <x:c r="P32" i="1"/>
  <x:c r="O32" i="1"/>
  <x:c r="T32" i="1" s="1"/>
  <x:c r="R31" i="1"/>
  <x:c r="Q31" i="1"/>
  <x:c r="P31" i="1"/>
  <x:c r="O31" i="1"/>
  <x:c r="T31" i="1" s="1"/>
  <x:c r="R30" i="1"/>
  <x:c r="Q30" i="1"/>
  <x:c r="P30" i="1"/>
  <x:c r="O30" i="1"/>
  <x:c r="T30" i="1" s="1"/>
  <x:c r="R29" i="1"/>
  <x:c r="Q29" i="1"/>
  <x:c r="P29" i="1"/>
  <x:c r="O29" i="1"/>
  <x:c r="T29" i="1" s="1"/>
  <x:c r="R28" i="1"/>
  <x:c r="Q28" i="1"/>
  <x:c r="P28" i="1"/>
  <x:c r="O28" i="1"/>
  <x:c r="T28" i="1" s="1"/>
  <x:c r="R27" i="1"/>
  <x:c r="Q27" i="1"/>
  <x:c r="P27" i="1"/>
  <x:c r="O27" i="1"/>
  <x:c r="T27" i="1" s="1"/>
  <x:c r="R26" i="1"/>
  <x:c r="Q26" i="1"/>
  <x:c r="P26" i="1"/>
  <x:c r="O26" i="1"/>
  <x:c r="T26" i="1" s="1"/>
  <x:c r="R25" i="1"/>
  <x:c r="Q25" i="1"/>
  <x:c r="P25" i="1"/>
  <x:c r="O25" i="1"/>
  <x:c r="T25" i="1" s="1"/>
  <x:c r="R24" i="1"/>
  <x:c r="Q24" i="1"/>
  <x:c r="P24" i="1"/>
  <x:c r="O24" i="1"/>
  <x:c r="T24" i="1" s="1"/>
  <x:c r="R23" i="1"/>
  <x:c r="Q23" i="1"/>
  <x:c r="P23" i="1"/>
  <x:c r="O23" i="1"/>
  <x:c r="T23" i="1" s="1"/>
  <x:c r="T38" i="1" l="1"/>
  <x:c r="O118" i="1"/>
  <x:c r="T40" i="1"/>
  <x:c r="O162" i="1"/>
  <x:c r="T162" i="1" s="1"/>
  <x:c r="T126" i="1"/>
  <x:c r="T333" i="1"/>
  <x:c r="O365" i="1"/>
  <x:c r="T365" i="1" s="1"/>
  <x:c r="O124" i="1"/>
  <x:c r="P124" i="1"/>
  <x:c r="P125" i="1" s="1"/>
  <x:c r="Q124" i="1"/>
  <x:c r="Q125" i="1" s="1"/>
  <x:c r="R124" i="1"/>
  <x:c r="R125" i="1" s="1"/>
  <x:c r="V118" i="1"/>
  <x:c r="V123" i="1" s="1"/>
  <x:c r="T118" i="1" l="1"/>
  <x:c r="O125" i="1"/>
  <x:c r="T125" i="1" s="1"/>
  <x:c r="T124" i="1"/>
  <x:c r="N208" i="1" l="1"/>
  <x:c r="Q208" i="1"/>
  <x:c r="O208" i="1" l="1"/>
  <x:c r="P208" i="1"/>
  <x:c r="R208" i="1"/>
  <x:c r="N252" i="1"/>
  <x:c r="N251" i="1"/>
  <x:c r="N250" i="1"/>
  <x:c r="N249" i="1"/>
  <x:c r="N248" i="1"/>
  <x:c r="N247" i="1"/>
  <x:c r="N246" i="1"/>
  <x:c r="N245" i="1"/>
  <x:c r="N244" i="1"/>
  <x:c r="N243" i="1"/>
  <x:c r="N242" i="1"/>
  <x:c r="N241" i="1"/>
  <x:c r="N240" i="1"/>
  <x:c r="N239" i="1"/>
  <x:c r="N238" i="1"/>
  <x:c r="N237" i="1"/>
  <x:c r="N236" i="1"/>
  <x:c r="N235" i="1"/>
  <x:c r="N234" i="1"/>
  <x:c r="N233" i="1"/>
  <x:c r="N232" i="1"/>
  <x:c r="N231" i="1"/>
  <x:c r="N230" i="1"/>
  <x:c r="N229" i="1"/>
  <x:c r="N228" i="1"/>
  <x:c r="N227" i="1"/>
  <x:c r="N226" i="1"/>
  <x:c r="N225" i="1"/>
  <x:c r="N224" i="1"/>
  <x:c r="N223" i="1"/>
  <x:c r="N222" i="1"/>
  <x:c r="N221" i="1"/>
  <x:c r="N220" i="1"/>
  <x:c r="N219" i="1"/>
  <x:c r="N218" i="1"/>
  <x:c r="N217" i="1"/>
  <x:c r="N216" i="1"/>
  <x:c r="N215" i="1"/>
  <x:c r="N214" i="1"/>
  <x:c r="N213" i="1"/>
  <x:c r="N212" i="1"/>
  <x:c r="N211" i="1"/>
  <x:c r="N210" i="1"/>
  <x:c r="T208" i="1" l="1"/>
  <x:c r="N209" i="1"/>
  <x:c r="O210" i="1"/>
  <x:c r="P210" i="1"/>
  <x:c r="Q210" i="1"/>
  <x:c r="R210" i="1"/>
  <x:c r="O211" i="1"/>
  <x:c r="P211" i="1"/>
  <x:c r="Q211" i="1"/>
  <x:c r="R211" i="1"/>
  <x:c r="O212" i="1"/>
  <x:c r="P212" i="1"/>
  <x:c r="Q212" i="1"/>
  <x:c r="R212" i="1"/>
  <x:c r="O213" i="1"/>
  <x:c r="P213" i="1"/>
  <x:c r="Q213" i="1"/>
  <x:c r="R213" i="1"/>
  <x:c r="O214" i="1"/>
  <x:c r="P214" i="1"/>
  <x:c r="Q214" i="1"/>
  <x:c r="R214" i="1"/>
  <x:c r="O215" i="1"/>
  <x:c r="P215" i="1"/>
  <x:c r="Q215" i="1"/>
  <x:c r="R215" i="1"/>
  <x:c r="O216" i="1"/>
  <x:c r="P216" i="1"/>
  <x:c r="Q216" i="1"/>
  <x:c r="R216" i="1"/>
  <x:c r="O217" i="1"/>
  <x:c r="P217" i="1"/>
  <x:c r="Q217" i="1"/>
  <x:c r="R217" i="1"/>
  <x:c r="O218" i="1"/>
  <x:c r="P218" i="1"/>
  <x:c r="Q218" i="1"/>
  <x:c r="R218" i="1"/>
  <x:c r="O219" i="1"/>
  <x:c r="P219" i="1"/>
  <x:c r="Q219" i="1"/>
  <x:c r="R219" i="1"/>
  <x:c r="O220" i="1"/>
  <x:c r="P220" i="1"/>
  <x:c r="Q220" i="1"/>
  <x:c r="R220" i="1"/>
  <x:c r="O221" i="1"/>
  <x:c r="P221" i="1"/>
  <x:c r="Q221" i="1"/>
  <x:c r="R221" i="1"/>
  <x:c r="O222" i="1"/>
  <x:c r="P222" i="1"/>
  <x:c r="Q222" i="1"/>
  <x:c r="R222" i="1"/>
  <x:c r="O223" i="1"/>
  <x:c r="P223" i="1"/>
  <x:c r="Q223" i="1"/>
  <x:c r="R223" i="1"/>
  <x:c r="O224" i="1"/>
  <x:c r="P224" i="1"/>
  <x:c r="Q224" i="1"/>
  <x:c r="R224" i="1"/>
  <x:c r="O225" i="1"/>
  <x:c r="P225" i="1"/>
  <x:c r="Q225" i="1"/>
  <x:c r="R225" i="1"/>
  <x:c r="O226" i="1"/>
  <x:c r="P226" i="1"/>
  <x:c r="Q226" i="1"/>
  <x:c r="R226" i="1"/>
  <x:c r="O227" i="1"/>
  <x:c r="P227" i="1"/>
  <x:c r="Q227" i="1"/>
  <x:c r="R227" i="1"/>
  <x:c r="O228" i="1"/>
  <x:c r="P228" i="1"/>
  <x:c r="Q228" i="1"/>
  <x:c r="R228" i="1"/>
  <x:c r="O229" i="1"/>
  <x:c r="P229" i="1"/>
  <x:c r="Q229" i="1"/>
  <x:c r="R229" i="1"/>
  <x:c r="O230" i="1"/>
  <x:c r="P230" i="1"/>
  <x:c r="Q230" i="1"/>
  <x:c r="R230" i="1"/>
  <x:c r="O231" i="1"/>
  <x:c r="P231" i="1"/>
  <x:c r="Q231" i="1"/>
  <x:c r="R231" i="1"/>
  <x:c r="O232" i="1"/>
  <x:c r="P232" i="1"/>
  <x:c r="Q232" i="1"/>
  <x:c r="R232" i="1"/>
  <x:c r="O233" i="1"/>
  <x:c r="P233" i="1"/>
  <x:c r="Q233" i="1"/>
  <x:c r="R233" i="1"/>
  <x:c r="O234" i="1"/>
  <x:c r="P234" i="1"/>
  <x:c r="Q234" i="1"/>
  <x:c r="R234" i="1"/>
  <x:c r="O235" i="1"/>
  <x:c r="P235" i="1"/>
  <x:c r="Q235" i="1"/>
  <x:c r="R235" i="1"/>
  <x:c r="O236" i="1"/>
  <x:c r="P236" i="1"/>
  <x:c r="Q236" i="1"/>
  <x:c r="R236" i="1"/>
  <x:c r="O237" i="1"/>
  <x:c r="P237" i="1"/>
  <x:c r="Q237" i="1"/>
  <x:c r="R237" i="1"/>
  <x:c r="O238" i="1"/>
  <x:c r="P238" i="1"/>
  <x:c r="Q238" i="1"/>
  <x:c r="R238" i="1"/>
  <x:c r="O239" i="1"/>
  <x:c r="P239" i="1"/>
  <x:c r="Q239" i="1"/>
  <x:c r="R239" i="1"/>
  <x:c r="O240" i="1"/>
  <x:c r="P240" i="1"/>
  <x:c r="Q240" i="1"/>
  <x:c r="R240" i="1"/>
  <x:c r="O241" i="1"/>
  <x:c r="P241" i="1"/>
  <x:c r="Q241" i="1"/>
  <x:c r="R241" i="1"/>
  <x:c r="O242" i="1"/>
  <x:c r="P242" i="1"/>
  <x:c r="Q242" i="1"/>
  <x:c r="R242" i="1"/>
  <x:c r="O243" i="1"/>
  <x:c r="P243" i="1"/>
  <x:c r="Q243" i="1"/>
  <x:c r="R243" i="1"/>
  <x:c r="O244" i="1"/>
  <x:c r="P244" i="1"/>
  <x:c r="Q244" i="1"/>
  <x:c r="R244" i="1"/>
  <x:c r="O245" i="1"/>
  <x:c r="P245" i="1"/>
  <x:c r="Q245" i="1"/>
  <x:c r="R245" i="1"/>
  <x:c r="O246" i="1"/>
  <x:c r="P246" i="1"/>
  <x:c r="Q246" i="1"/>
  <x:c r="R246" i="1"/>
  <x:c r="O247" i="1"/>
  <x:c r="P247" i="1"/>
  <x:c r="Q247" i="1"/>
  <x:c r="R247" i="1"/>
  <x:c r="O248" i="1"/>
  <x:c r="P248" i="1"/>
  <x:c r="Q248" i="1"/>
  <x:c r="R248" i="1"/>
  <x:c r="O249" i="1"/>
  <x:c r="P249" i="1"/>
  <x:c r="Q249" i="1"/>
  <x:c r="R249" i="1"/>
  <x:c r="O250" i="1"/>
  <x:c r="P250" i="1"/>
  <x:c r="Q250" i="1"/>
  <x:c r="R250" i="1"/>
  <x:c r="O251" i="1"/>
  <x:c r="P251" i="1"/>
  <x:c r="Q251" i="1"/>
  <x:c r="R251" i="1"/>
  <x:c r="O252" i="1"/>
  <x:c r="P252" i="1"/>
  <x:c r="Q252" i="1"/>
  <x:c r="R252" i="1"/>
  <x:c r="T252" i="1" l="1"/>
  <x:c r="T251" i="1"/>
  <x:c r="T250" i="1"/>
  <x:c r="T249" i="1"/>
  <x:c r="T248" i="1"/>
  <x:c r="T247" i="1"/>
  <x:c r="T246" i="1"/>
  <x:c r="T245" i="1"/>
  <x:c r="T244" i="1"/>
  <x:c r="T243" i="1"/>
  <x:c r="T242" i="1"/>
  <x:c r="T241" i="1"/>
  <x:c r="T240" i="1"/>
  <x:c r="T239" i="1"/>
  <x:c r="T238" i="1"/>
  <x:c r="T237" i="1"/>
  <x:c r="T236" i="1"/>
  <x:c r="T235" i="1"/>
  <x:c r="T234" i="1"/>
  <x:c r="T233" i="1"/>
  <x:c r="T232" i="1"/>
  <x:c r="T231" i="1"/>
  <x:c r="T230" i="1"/>
  <x:c r="T229" i="1"/>
  <x:c r="T228" i="1"/>
  <x:c r="T227" i="1"/>
  <x:c r="T226" i="1"/>
  <x:c r="T225" i="1"/>
  <x:c r="T224" i="1"/>
  <x:c r="T223" i="1"/>
  <x:c r="T222" i="1"/>
  <x:c r="T221" i="1"/>
  <x:c r="T220" i="1"/>
  <x:c r="T219" i="1"/>
  <x:c r="T218" i="1"/>
  <x:c r="T217" i="1"/>
  <x:c r="T216" i="1"/>
  <x:c r="T215" i="1"/>
  <x:c r="T214" i="1"/>
  <x:c r="T213" i="1"/>
  <x:c r="T212" i="1"/>
  <x:c r="T211" i="1"/>
  <x:c r="T210" i="1"/>
  <x:c r="O209" i="1"/>
  <x:c r="P209" i="1"/>
  <x:c r="P253" i="1" s="1"/>
  <x:c r="Q209" i="1"/>
  <x:c r="Q253" i="1" s="1"/>
  <x:c r="R209" i="1"/>
  <x:c r="R253" i="1" s="1"/>
  <x:c r="O253" i="1" l="1"/>
  <x:c r="T253" i="1" s="1"/>
  <x:c r="T209" i="1"/>
</x:calcChain>
</file>

<file path=xl/sharedStrings.xml><?xml version="1.0" encoding="utf-8"?>
<sst xmlns="http://schemas.openxmlformats.org/spreadsheetml/2006/main" count="578" uniqueCount="112">
  <si>
    <t>397.1</t>
  </si>
  <si>
    <t>2018</t>
  </si>
  <si>
    <t>2019</t>
  </si>
  <si>
    <t>2020</t>
  </si>
  <si>
    <t>2021</t>
  </si>
  <si>
    <t>2022</t>
  </si>
  <si>
    <t>2023</t>
  </si>
  <si>
    <t>2024</t>
  </si>
  <si>
    <t>TRAN</t>
  </si>
  <si>
    <t>DIST</t>
  </si>
  <si>
    <t>MET</t>
  </si>
  <si>
    <t>TDCS</t>
  </si>
  <si>
    <t>Disallowance</t>
  </si>
  <si>
    <t>397.3 GG</t>
  </si>
  <si>
    <t>2010</t>
  </si>
  <si>
    <t>2011</t>
  </si>
  <si>
    <t>2012</t>
  </si>
  <si>
    <t>2013</t>
  </si>
  <si>
    <t>2014</t>
  </si>
  <si>
    <t>2015</t>
  </si>
  <si>
    <t>2016</t>
  </si>
  <si>
    <t>2017</t>
  </si>
  <si>
    <t>1995</t>
  </si>
  <si>
    <t>1996</t>
  </si>
  <si>
    <t>1999</t>
  </si>
  <si>
    <t>2000</t>
  </si>
  <si>
    <t>2001</t>
  </si>
  <si>
    <t>2003</t>
  </si>
  <si>
    <t>2005</t>
  </si>
  <si>
    <t>2008</t>
  </si>
  <si>
    <t>2009</t>
  </si>
  <si>
    <t>397.3 TCG</t>
  </si>
  <si>
    <t>1948</t>
  </si>
  <si>
    <t>1950</t>
  </si>
  <si>
    <t>1958</t>
  </si>
  <si>
    <t>1965</t>
  </si>
  <si>
    <t>1968</t>
  </si>
  <si>
    <t>1973</t>
  </si>
  <si>
    <t>1980</t>
  </si>
  <si>
    <t>1989</t>
  </si>
  <si>
    <t>1990</t>
  </si>
  <si>
    <t>1991</t>
  </si>
  <si>
    <t>1928</t>
  </si>
  <si>
    <t>1941</t>
  </si>
  <si>
    <t>1945</t>
  </si>
  <si>
    <t>1949</t>
  </si>
  <si>
    <t>1951</t>
  </si>
  <si>
    <t>1952</t>
  </si>
  <si>
    <t>1953</t>
  </si>
  <si>
    <t>1954</t>
  </si>
  <si>
    <t>1955</t>
  </si>
  <si>
    <t>1956</t>
  </si>
  <si>
    <t>1957</t>
  </si>
  <si>
    <t>1959</t>
  </si>
  <si>
    <t>1960</t>
  </si>
  <si>
    <t>1961</t>
  </si>
  <si>
    <t>1962</t>
  </si>
  <si>
    <t>1963</t>
  </si>
  <si>
    <t>1964</t>
  </si>
  <si>
    <t>1966</t>
  </si>
  <si>
    <t>1967</t>
  </si>
  <si>
    <t>1969</t>
  </si>
  <si>
    <t>1970</t>
  </si>
  <si>
    <t>1971</t>
  </si>
  <si>
    <t>1972</t>
  </si>
  <si>
    <t>1974</t>
  </si>
  <si>
    <t>1975</t>
  </si>
  <si>
    <t>1976</t>
  </si>
  <si>
    <t>1977</t>
  </si>
  <si>
    <t>1978</t>
  </si>
  <si>
    <t>1979</t>
  </si>
  <si>
    <t>1981</t>
  </si>
  <si>
    <t>1982</t>
  </si>
  <si>
    <t>1983</t>
  </si>
  <si>
    <t>1984</t>
  </si>
  <si>
    <t>1985</t>
  </si>
  <si>
    <t>1986</t>
  </si>
  <si>
    <t>1987</t>
  </si>
  <si>
    <t>1988</t>
  </si>
  <si>
    <t>1992</t>
  </si>
  <si>
    <t>1993</t>
  </si>
  <si>
    <t>1994</t>
  </si>
  <si>
    <t>1997</t>
  </si>
  <si>
    <t>1998</t>
  </si>
  <si>
    <t>2002</t>
  </si>
  <si>
    <t>2004</t>
  </si>
  <si>
    <t>2006</t>
  </si>
  <si>
    <t>2007</t>
  </si>
  <si>
    <t>393</t>
  </si>
  <si>
    <t>395</t>
  </si>
  <si>
    <t>396</t>
  </si>
  <si>
    <t>398</t>
  </si>
  <si>
    <t>390 GLH</t>
  </si>
  <si>
    <t>394 Large</t>
  </si>
  <si>
    <t>394 Small</t>
  </si>
  <si>
    <t>392 Heavy Truck</t>
  </si>
  <si>
    <t>392 Light</t>
  </si>
  <si>
    <t>392 Trailer</t>
  </si>
  <si>
    <t>392 Other</t>
  </si>
  <si>
    <t>Total</t>
  </si>
  <si>
    <t>Vintage Year</t>
  </si>
  <si>
    <t>Account</t>
  </si>
  <si>
    <t>ASL</t>
  </si>
  <si>
    <t xml:space="preserve">RL </t>
  </si>
  <si>
    <t>Net Salvage</t>
  </si>
  <si>
    <t>Theo Res</t>
  </si>
  <si>
    <t>Prorate</t>
  </si>
  <si>
    <t>Alloc Res</t>
  </si>
  <si>
    <t>Total 389</t>
  </si>
  <si>
    <t>Total 391</t>
  </si>
  <si>
    <t xml:space="preserve"> </t>
  </si>
  <si>
    <t>Total 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</si>
</sst>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1" applyFont="1"/>
    <xf numFmtId="43" fontId="1" fillId="0" borderId="0" xfId="1" applyFont="1"/>
    <xf numFmtId="0" fontId="0" fillId="0" borderId="0" xfId="0" applyNumberFormat="1"/>
    <xf numFmtId="10" fontId="0" fillId="0" borderId="0" xfId="0" applyNumberFormat="1"/>
    <xf numFmtId="43" fontId="0" fillId="0" borderId="0" xfId="0" applyNumberFormat="1"/>
    <xf numFmtId="0" fontId="0" fillId="0" borderId="0" xfId="0" applyFill="1"/>
    <xf numFmtId="10" fontId="0" fillId="0" borderId="0" xfId="0" applyNumberFormat="1" applyFill="1"/>
    <xf numFmtId="43" fontId="0" fillId="0" borderId="0" xfId="1" applyFont="1" applyFill="1"/>
    <xf numFmtId="43" fontId="1" fillId="0" borderId="0" xfId="1" applyFont="1" applyFill="1"/>
    <xf numFmtId="43" fontId="0" fillId="0" borderId="0" xfId="0" applyNumberFormat="1" applyFill="1"/>
    <xf numFmtId="0" fontId="0" fillId="0" borderId="0" xfId="0" applyFill="1" applyAlignment="1">
      <alignment horizontal="left"/>
    </xf>
    <xf numFmtId="0" fontId="2" fillId="0" borderId="0" xfId="0" applyFont="1"/>
    <xf numFmtId="43" fontId="2" fillId="0" borderId="0" xfId="1" applyFont="1"/>
    <xf numFmtId="10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D1F6182-5C20-466F-BEB0-9C0D796EA340}" mc:Ignorable="x14ac xr xr2 xr3">
  <x:dimension ref="A1:V391"/>
  <x:sheetViews>
    <x:sheetView tabSelected="1" workbookViewId="0">
      <x:pane xSplit="1" ySplit="6" topLeftCell="B7" activePane="bottomRight" state="frozen"/>
      <x:selection pane="topRight" activeCell="B1" sqref="B1"/>
      <x:selection pane="bottomLeft" activeCell="A7" sqref="A7"/>
      <x:selection pane="bottomRight" activeCell="B7" sqref="B7"/>
    </x:sheetView>
  </x:sheetViews>
  <x:sheetFormatPr defaultRowHeight="13.6"/>
  <x:cols>
    <x:col min="2" max="2" width="12.77734375" customWidth="1"/>
    <x:col min="3" max="3" width="19.109375" style="1" customWidth="1"/>
    <x:col min="4" max="4" width="15" style="1" bestFit="1" customWidth="1"/>
    <x:col min="5" max="5" width="14.77734375" style="1" bestFit="1" customWidth="1"/>
    <x:col min="6" max="6" width="13.77734375" style="1" bestFit="1" customWidth="1"/>
    <x:col min="7" max="7" width="14.21875" style="1" bestFit="1" customWidth="1"/>
    <x:col min="8" max="8" width="14.21875" style="1" customWidth="1"/>
    <x:col min="10" max="10" width="14.21875" bestFit="1" customWidth="1"/>
    <x:col min="11" max="11" width="13.21875" style="4" bestFit="1" customWidth="1"/>
    <x:col min="12" max="12" width="24.77734375" style="1" customWidth="1"/>
    <x:col min="13" max="13" width="19" customWidth="1"/>
    <x:col min="14" max="14" width="18.109375" style="1" customWidth="1"/>
    <x:col min="15" max="15" width="15.6640625" style="1" customWidth="1"/>
    <x:col min="16" max="16" width="16.88671875" style="1" customWidth="1"/>
    <x:col min="17" max="17" width="16.109375" style="1" customWidth="1"/>
    <x:col min="18" max="18" width="16.77734375" style="1" customWidth="1"/>
    <x:col min="20" max="20" width="15" bestFit="1" customWidth="1"/>
    <x:col min="21" max="21" width="14" bestFit="1" customWidth="1"/>
    <x:col min="22" max="22" width="14.21875" bestFit="1" customWidth="1"/>
  </x:cols>
  <x:sheetData>
    <x:row r="1" spans="1:20">
      <x:c r="A1" t="s">
        <x:v>110</x:v>
      </x:c>
    </x:row>
    <x:row r="2" spans="1:20">
      <x:c r="A2" t="s">
        <x:v>110</x:v>
      </x:c>
    </x:row>
    <x:row r="3" spans="1:20">
      <x:c r="A3" t="s">
        <x:v>110</x:v>
      </x:c>
    </x:row>
    <x:row r="6" spans="1:20" s="12" customFormat="1" ht="14.3">
      <x:c r="A6" s="12" t="s">
        <x:v>101</x:v>
      </x:c>
      <x:c r="B6" s="12" t="s">
        <x:v>100</x:v>
      </x:c>
      <x:c r="C6" s="13" t="s">
        <x:v>99</x:v>
      </x:c>
      <x:c r="D6" s="13" t="s">
        <x:v>8</x:v>
      </x:c>
      <x:c r="E6" s="13" t="s">
        <x:v>9</x:v>
      </x:c>
      <x:c r="F6" s="13" t="s">
        <x:v>10</x:v>
      </x:c>
      <x:c r="G6" s="13" t="s">
        <x:v>11</x:v>
      </x:c>
      <x:c r="H6" s="13"/>
      <x:c r="I6" s="12" t="s">
        <x:v>102</x:v>
      </x:c>
      <x:c r="J6" s="12" t="s">
        <x:v>103</x:v>
      </x:c>
      <x:c r="K6" s="14" t="s">
        <x:v>104</x:v>
      </x:c>
      <x:c r="L6" s="13" t="s">
        <x:v>105</x:v>
      </x:c>
      <x:c r="M6" s="12" t="s">
        <x:v>106</x:v>
      </x:c>
      <x:c r="N6" s="13" t="s">
        <x:v>107</x:v>
      </x:c>
      <x:c r="O6" s="13" t="s">
        <x:v>8</x:v>
      </x:c>
      <x:c r="P6" s="13" t="s">
        <x:v>9</x:v>
      </x:c>
      <x:c r="Q6" s="13" t="s">
        <x:v>10</x:v>
      </x:c>
      <x:c r="R6" s="13" t="s">
        <x:v>11</x:v>
      </x:c>
    </x:row>
    <x:row r="8" spans="1:20">
      <x:c r="A8">
        <x:v>389</x:v>
      </x:c>
      <x:c r="B8" t="s">
        <x:v>15</x:v>
      </x:c>
      <x:c r="C8" s="1">
        <x:v>18900</x:v>
      </x:c>
      <x:c r="D8" s="1">
        <x:v>8057.45</x:v>
      </x:c>
      <x:c r="E8" s="1">
        <x:v>10265.16</x:v>
      </x:c>
      <x:c r="F8" s="1">
        <x:v>404.84</x:v>
      </x:c>
      <x:c r="G8" s="1">
        <x:v>172.54999999999944</x:v>
      </x:c>
      <x:c r="I8" s="1">
        <x:v>65</x:v>
      </x:c>
      <x:c r="J8" s="1">
        <x:v>53.134995000000004</x:v>
      </x:c>
      <x:c r="K8" s="4">
        <x:v>0</x:v>
      </x:c>
      <x:c r="L8" s="2">
        <x:f>+C8*(1-J8/I8)*(1-K8)</x:f>
        <x:v>3449.9783769230767</x:v>
      </x:c>
      <x:c r="M8">
        <x:v>0.58146227408939821</x:v>
      </x:c>
      <x:c r="N8" s="1">
        <x:f>+L8*M8</x:f>
        <x:v>2006.0322726049433</x:v>
      </x:c>
      <x:c r="O8" s="1">
        <x:f>+$N8*D8/$C8</x:f>
        <x:v>855.2118907354868</x:v>
      </x:c>
      <x:c r="P8" s="1">
        <x:f>+$N8*E8/$C8</x:f>
        <x:v>1089.5366266377437</x:v>
      </x:c>
      <x:c r="Q8" s="1">
        <x:f>+$N8*F8/$C8</x:f>
        <x:v>42.969423557745245</x:v>
      </x:c>
      <x:c r="R8" s="1">
        <x:f>+$N8*G8/$C8</x:f>
        <x:v>18.314331673967292</x:v>
      </x:c>
      <x:c r="T8" s="5">
        <x:f t="shared" ref="T8:T71" si="0">+O8+P8+Q8+R8-N8</x:f>
        <x:v>0</x:v>
      </x:c>
    </x:row>
    <x:row r="9" spans="1:20">
      <x:c r="A9">
        <x:v>389</x:v>
      </x:c>
      <x:c r="B9" t="s">
        <x:v>41</x:v>
      </x:c>
      <x:c r="C9" s="1">
        <x:v>98175.14</x:v>
      </x:c>
      <x:c r="D9" s="1">
        <x:v>41854.03</x:v>
      </x:c>
      <x:c r="E9" s="1">
        <x:v>53321.86</x:v>
      </x:c>
      <x:c r="F9" s="1">
        <x:v>2102.92</x:v>
      </x:c>
      <x:c r="G9" s="1">
        <x:v>896.32999999999947</x:v>
      </x:c>
      <x:c r="I9" s="1">
        <x:v>65</x:v>
      </x:c>
      <x:c r="J9" s="1">
        <x:v>37.257652</x:v>
      </x:c>
      <x:c r="K9" s="4">
        <x:v>0</x:v>
      </x:c>
      <x:c r="L9" s="2">
        <x:f t="shared" ref="L9:L75" si="1">+C9*(1-J9/I9)*(1-K9)</x:f>
        <x:v>41901.675366595686</x:v>
      </x:c>
      <x:c r="M9">
        <x:v>0.58146227408939821</x:v>
      </x:c>
      <x:c r="N9" s="1">
        <x:f t="shared" ref="N9:N18" si="2">+L9*M9</x:f>
        <x:v>24364.243446816447</x:v>
      </x:c>
      <x:c r="O9" s="1">
        <x:f t="shared" ref="O9:O36" si="3">+$N9*D9/$C9</x:f>
        <x:v>10386.965337155199</x:v>
      </x:c>
      <x:c r="P9" s="1">
        <x:f t="shared" ref="P9:P36" si="4">+$N9*E9/$C9</x:f>
        <x:v>13232.950603147234</x:v>
      </x:c>
      <x:c r="Q9" s="1">
        <x:f t="shared" ref="Q9:Q36" si="5">+$N9*F9/$C9</x:f>
        <x:v>521.88420438391267</x:v>
      </x:c>
      <x:c r="R9" s="1">
        <x:f t="shared" ref="R9:R36" si="6">+$N9*G9/$C9</x:f>
        <x:v>222.4433021301011</x:v>
      </x:c>
      <x:c r="T9" s="5">
        <x:f t="shared" si="0"/>
        <x:v>0</x:v>
      </x:c>
    </x:row>
    <x:row r="10" spans="1:20">
      <x:c r="A10">
        <x:v>389</x:v>
      </x:c>
      <x:c r="B10" t="s">
        <x:v>40</x:v>
      </x:c>
      <x:c r="C10" s="1">
        <x:v>8840.3600000000024</x:v>
      </x:c>
      <x:c r="D10" s="1">
        <x:v>3768.82</x:v>
      </x:c>
      <x:c r="E10" s="1">
        <x:v>4801.46</x:v>
      </x:c>
      <x:c r="F10" s="1">
        <x:v>189.36</x:v>
      </x:c>
      <x:c r="G10" s="1">
        <x:v>80.720000000000823</x:v>
      </x:c>
      <x:c r="I10" s="1">
        <x:v>65</x:v>
      </x:c>
      <x:c r="J10" s="1">
        <x:v>36.527088999999997</x:v>
      </x:c>
      <x:c r="K10" s="4">
        <x:v>0</x:v>
      </x:c>
      <x:c r="L10" s="2">
        <x:f t="shared" si="1"/>
        <x:v>3872.4735921224628</x:v>
      </x:c>
      <x:c r="M10">
        <x:v>0.58146227408939821</x:v>
      </x:c>
      <x:c r="N10" s="1">
        <x:f t="shared" si="2"/>
        <x:v>2251.6973012266681</x:v>
      </x:c>
      <x:c r="O10" s="1">
        <x:f t="shared" si="3"/>
        <x:v>959.94301395068624</x:v>
      </x:c>
      <x:c r="P10" s="1">
        <x:f t="shared" si="4"/>
        <x:v>1222.9631512684771</x:v>
      </x:c>
      <x:c r="Q10" s="1">
        <x:f t="shared" si="5"/>
        <x:v>48.231225986303926</x:v>
      </x:c>
      <x:c r="R10" s="1">
        <x:f t="shared" si="6"/>
        <x:v>20.559910021200317</x:v>
      </x:c>
      <x:c r="T10" s="5">
        <x:f t="shared" si="0"/>
        <x:v>0</x:v>
      </x:c>
    </x:row>
    <x:row r="11" spans="1:20">
      <x:c r="A11">
        <x:v>389</x:v>
      </x:c>
      <x:c r="B11" t="s">
        <x:v>39</x:v>
      </x:c>
      <x:c r="C11" s="1">
        <x:v>7947</x:v>
      </x:c>
      <x:c r="D11" s="1">
        <x:v>3387.97</x:v>
      </x:c>
      <x:c r="E11" s="1">
        <x:v>4316.25</x:v>
      </x:c>
      <x:c r="F11" s="1">
        <x:v>170.22</x:v>
      </x:c>
      <x:c r="G11" s="1">
        <x:v>72.560000000000656</x:v>
      </x:c>
      <x:c r="I11" s="1">
        <x:v>65</x:v>
      </x:c>
      <x:c r="J11" s="1">
        <x:v>35.804009000000001</x:v>
      </x:c>
      <x:c r="K11" s="4">
        <x:v>0</x:v>
      </x:c>
      <x:c r="L11" s="2">
        <x:f t="shared" si="1"/>
        <x:v>3569.5467765692306</x:v>
      </x:c>
      <x:c r="M11">
        <x:v>0.58146227408939821</x:v>
      </x:c>
      <x:c r="N11" s="1">
        <x:f t="shared" si="2"/>
        <x:v>2075.5567861724257</x:v>
      </x:c>
      <x:c r="O11" s="1">
        <x:f t="shared" si="3"/>
        <x:v>884.85266450844256</x:v>
      </x:c>
      <x:c r="P11" s="1">
        <x:f t="shared" si="4"/>
        <x:v>1127.2960838450649</x:v>
      </x:c>
      <x:c r="Q11" s="1">
        <x:f t="shared" si="5"/>
        <x:v>44.457188390873327</x:v>
      </x:c>
      <x:c r="R11" s="1">
        <x:f t="shared" si="6"/>
        <x:v>18.950849428044869</x:v>
      </x:c>
      <x:c r="T11" s="5">
        <x:f t="shared" si="0"/>
        <x:v>0</x:v>
      </x:c>
    </x:row>
    <x:row r="12" spans="1:20">
      <x:c r="A12">
        <x:v>389</x:v>
      </x:c>
      <x:c r="B12" t="s">
        <x:v>38</x:v>
      </x:c>
      <x:c r="C12" s="1">
        <x:v>4190.2000000000007</x:v>
      </x:c>
      <x:c r="D12" s="1">
        <x:v>1786.37</x:v>
      </x:c>
      <x:c r="E12" s="1">
        <x:v>2275.8200000000002</x:v>
      </x:c>
      <x:c r="F12" s="1">
        <x:v>89.75</x:v>
      </x:c>
      <x:c r="G12" s="1">
        <x:v>38.259999999999764</x:v>
      </x:c>
      <x:c r="I12" s="1">
        <x:v>65</x:v>
      </x:c>
      <x:c r="J12" s="1">
        <x:v>29.613896</x:v>
      </x:c>
      <x:c r="K12" s="4">
        <x:v>0</x:v>
      </x:c>
      <x:c r="L12" s="2">
        <x:f t="shared" si="1"/>
        <x:v>2281.1515843200004</x:v>
      </x:c>
      <x:c r="M12">
        <x:v>0.58146227408939821</x:v>
      </x:c>
      <x:c r="N12" s="1">
        <x:f t="shared" si="2"/>
        <x:v>1326.403587761341</x:v>
      </x:c>
      <x:c r="O12" s="1">
        <x:f t="shared" si="3"/>
        <x:v>565.47362347124863</x:v>
      </x:c>
      <x:c r="P12" s="1">
        <x:f t="shared" si="4"/>
        <x:v>720.40852777886846</x:v>
      </x:c>
      <x:c r="Q12" s="1">
        <x:f t="shared" si="5"/>
        <x:v>28.410272063763145</x:v>
      </x:c>
      <x:c r="R12" s="1">
        <x:f t="shared" si="6"/>
        <x:v>12.111164447460403</x:v>
      </x:c>
      <x:c r="T12" s="5">
        <x:f t="shared" si="0"/>
        <x:v>0</x:v>
      </x:c>
    </x:row>
    <x:row r="13" spans="1:20">
      <x:c r="A13">
        <x:v>389</x:v>
      </x:c>
      <x:c r="B13" t="s">
        <x:v>37</x:v>
      </x:c>
      <x:c r="C13" s="1">
        <x:v>1831.6400000000003</x:v>
      </x:c>
      <x:c r="D13" s="1">
        <x:v>780.86</x:v>
      </x:c>
      <x:c r="E13" s="1">
        <x:v>994.82</x:v>
      </x:c>
      <x:c r="F13" s="1">
        <x:v>39.229999999999997</x:v>
      </x:c>
      <x:c r="G13" s="1">
        <x:v>16.730000000000153</x:v>
      </x:c>
      <x:c r="I13" s="1">
        <x:v>65</x:v>
      </x:c>
      <x:c r="J13" s="1">
        <x:v>25.232341999999999</x:v>
      </x:c>
      <x:c r="K13" s="4">
        <x:v>0</x:v>
      </x:c>
      <x:c r="L13" s="2">
        <x:f t="shared" si="1"/>
        <x:v>1120.6158938326155</x:v>
      </x:c>
      <x:c r="M13">
        <x:v>0.58146227408939821</x:v>
      </x:c>
      <x:c r="N13" s="1">
        <x:f t="shared" si="2"/>
        <x:v>651.59586600863622</x:v>
      </x:c>
      <x:c r="O13" s="1">
        <x:f t="shared" si="3"/>
        <x:v>277.78665454538208</x:v>
      </x:c>
      <x:c r="P13" s="1">
        <x:f t="shared" si="4"/>
        <x:v>353.90174893686066</x:v>
      </x:c>
      <x:c r="Q13" s="1">
        <x:f t="shared" si="5"/>
        <x:v>13.955856949792967</x:v>
      </x:c>
      <x:c r="R13" s="1">
        <x:f t="shared" si="6"/>
        <x:v>5.9516055766005236</x:v>
      </x:c>
      <x:c r="T13" s="5">
        <x:f t="shared" si="0"/>
        <x:v>0</x:v>
      </x:c>
    </x:row>
    <x:row r="14" spans="1:20">
      <x:c r="A14">
        <x:v>389</x:v>
      </x:c>
      <x:c r="B14" t="s">
        <x:v>36</x:v>
      </x:c>
      <x:c r="C14" s="1">
        <x:v>416.1</x:v>
      </x:c>
      <x:c r="E14" s="1">
        <x:v>220.53</x:v>
      </x:c>
      <x:c r="F14" s="1">
        <x:v>170.6</x:v>
      </x:c>
      <x:c r="G14" s="1">
        <x:v>24.970000000000027</x:v>
      </x:c>
      <x:c r="I14" s="1">
        <x:v>65</x:v>
      </x:c>
      <x:c r="J14" s="1">
        <x:v>22.356376000000001</x:v>
      </x:c>
      <x:c r="K14" s="4">
        <x:v>0</x:v>
      </x:c>
      <x:c r="L14" s="2">
        <x:f t="shared" si="1"/>
        <x:v>272.98479917538458</x:v>
      </x:c>
      <x:c r="M14">
        <x:v>0.58146227408939821</x:v>
      </x:c>
      <x:c r="N14" s="1">
        <x:f t="shared" si="2"/>
        <x:v>158.7303621203568</x:v>
      </x:c>
      <x:c r="O14" s="1">
        <x:f t="shared" si="3"/>
        <x:v>0</x:v>
      </x:c>
      <x:c r="P14" s="1">
        <x:f t="shared" si="4"/>
        <x:v>84.125947508777415</x:v>
      </x:c>
      <x:c r="Q14" s="1">
        <x:f t="shared" si="5"/>
        <x:v>65.079066997675724</x:v>
      </x:c>
      <x:c r="R14" s="1">
        <x:f t="shared" si="6"/>
        <x:v>9.5253476139036621</x:v>
      </x:c>
      <x:c r="T14" s="5">
        <x:f t="shared" si="0"/>
        <x:v>0</x:v>
      </x:c>
    </x:row>
    <x:row r="15" spans="1:20">
      <x:c r="A15">
        <x:v>389</x:v>
      </x:c>
      <x:c r="B15" t="s">
        <x:v>35</x:v>
      </x:c>
      <x:c r="C15" s="1">
        <x:v>546.70000000000005</x:v>
      </x:c>
      <x:c r="E15" s="1">
        <x:v>502.96</x:v>
      </x:c>
      <x:c r="F15" s="1">
        <x:v>43.740000000000066</x:v>
      </x:c>
      <x:c r="I15" s="1">
        <x:v>65</x:v>
      </x:c>
      <x:c r="J15" s="1">
        <x:v>20.738021</x:v>
      </x:c>
      <x:c r="K15" s="4">
        <x:v>0</x:v>
      </x:c>
      <x:c r="L15" s="2">
        <x:f t="shared" si="1"/>
        <x:v>372.27729106615385</x:v>
      </x:c>
      <x:c r="M15">
        <x:v>0.58146227408939821</x:v>
      </x:c>
      <x:c r="N15" s="1">
        <x:f t="shared" si="2"/>
        <x:v>216.46520025516662</x:v>
      </x:c>
      <x:c r="O15" s="1">
        <x:f t="shared" si="3"/>
        <x:v>0</x:v>
      </x:c>
      <x:c r="P15" s="1">
        <x:f t="shared" si="4"/>
        <x:v>199.14640043961697</x:v>
      </x:c>
      <x:c r="Q15" s="1">
        <x:f t="shared" si="5"/>
        <x:v>17.318799815549664</x:v>
      </x:c>
      <x:c r="R15" s="1">
        <x:f t="shared" si="6"/>
        <x:v>0</x:v>
      </x:c>
      <x:c r="T15" s="5">
        <x:f t="shared" si="0"/>
        <x:v>0</x:v>
      </x:c>
    </x:row>
    <x:row r="16" spans="1:20">
      <x:c r="A16">
        <x:v>389</x:v>
      </x:c>
      <x:c r="B16" t="s">
        <x:v>34</x:v>
      </x:c>
      <x:c r="C16" s="1">
        <x:v>865.93999999999994</x:v>
      </x:c>
      <x:c r="D16" s="1">
        <x:v>369.16999999999996</x:v>
      </x:c>
      <x:c r="E16" s="1">
        <x:v>470.32</x:v>
      </x:c>
      <x:c r="F16" s="1">
        <x:v>18.55</x:v>
      </x:c>
      <x:c r="G16" s="1">
        <x:v>7.9000000000000314</x:v>
      </x:c>
      <x:c r="I16" s="1">
        <x:v>65</x:v>
      </x:c>
      <x:c r="J16" s="1">
        <x:v>17.280438</x:v>
      </x:c>
      <x:c r="K16" s="4">
        <x:v>0</x:v>
      </x:c>
      <x:c r="L16" s="2">
        <x:f t="shared" si="1"/>
        <x:v>635.72734643507681</x:v>
      </x:c>
      <x:c r="M16">
        <x:v>0.58146227408939821</x:v>
      </x:c>
      <x:c r="N16" s="1">
        <x:f t="shared" si="2"/>
        <x:v>369.65146855895847</x:v>
      </x:c>
      <x:c r="O16" s="1">
        <x:f t="shared" si="3"/>
        <x:v>157.59086385651511</x:v>
      </x:c>
      <x:c r="P16" s="1">
        <x:f t="shared" si="4"/>
        <x:v>200.76965920577564</x:v>
      </x:c>
      <x:c r="Q16" s="1">
        <x:f t="shared" si="5"/>
        <x:v>7.918602607303832</x:v>
      </x:c>
      <x:c r="R16" s="1">
        <x:f t="shared" si="6"/>
        <x:v>3.3723428893639098</x:v>
      </x:c>
      <x:c r="T16" s="5">
        <x:f t="shared" si="0"/>
        <x:v>0</x:v>
      </x:c>
    </x:row>
    <x:row r="17" spans="1:20">
      <x:c r="A17">
        <x:v>389</x:v>
      </x:c>
      <x:c r="B17" t="s">
        <x:v>33</x:v>
      </x:c>
      <x:c r="C17" s="1">
        <x:v>684.06</x:v>
      </x:c>
      <x:c r="D17" s="1">
        <x:v>291.63</x:v>
      </x:c>
      <x:c r="E17" s="1">
        <x:v>371.53</x:v>
      </x:c>
      <x:c r="F17" s="1">
        <x:v>14.65</x:v>
      </x:c>
      <x:c r="G17" s="1">
        <x:v>6.2499999999999769</x:v>
      </x:c>
      <x:c r="I17" s="1">
        <x:v>65</x:v>
      </x:c>
      <x:c r="J17" s="1">
        <x:v>13.87087</x:v>
      </x:c>
      <x:c r="K17" s="4">
        <x:v>0</x:v>
      </x:c>
      <x:c r="L17" s="2">
        <x:f t="shared" si="1"/>
        <x:v>538.08296411999993</x:v>
      </x:c>
      <x:c r="M17">
        <x:v>0.58146227408939821</x:v>
      </x:c>
      <x:c r="N17" s="1">
        <x:f t="shared" si="2"/>
        <x:v>312.87494396597924</x:v>
      </x:c>
      <x:c r="O17" s="1">
        <x:f t="shared" si="3"/>
        <x:v>133.38555084173689</x:v>
      </x:c>
      <x:c r="P17" s="1">
        <x:f t="shared" si="4"/>
        <x:v>169.93016392082606</x:v>
      </x:c>
      <x:c r="Q17" s="1">
        <x:f t="shared" si="5"/>
        <x:v>6.7006080301458883</x:v>
      </x:c>
      <x:c r="R17" s="1">
        <x:f t="shared" si="6"/>
        <x:v>2.8586211732704196</x:v>
      </x:c>
      <x:c r="T17" s="5">
        <x:f t="shared" si="0"/>
        <x:v>0</x:v>
      </x:c>
    </x:row>
    <x:row r="18" spans="1:20">
      <x:c r="A18">
        <x:v>389</x:v>
      </x:c>
      <x:c r="B18" t="s">
        <x:v>32</x:v>
      </x:c>
      <x:c r="C18" s="1">
        <x:v>201.06000000000003</x:v>
      </x:c>
      <x:c r="D18" s="1">
        <x:v>85.72</x:v>
      </x:c>
      <x:c r="E18" s="1">
        <x:v>109.2</x:v>
      </x:c>
      <x:c r="F18" s="1">
        <x:v>4.3099999999999996</x:v>
      </x:c>
      <x:c r="G18" s="1">
        <x:v>1.830000000000001</x:v>
      </x:c>
      <x:c r="I18" s="1">
        <x:v>65</x:v>
      </x:c>
      <x:c r="J18" s="1">
        <x:v>6.6941290000000002</x:v>
      </x:c>
      <x:c r="K18" s="4">
        <x:v>0</x:v>
      </x:c>
      <x:c r="L18" s="2">
        <x:f t="shared" si="1"/>
        <x:v>180.35351420400002</x:v>
      </x:c>
      <x:c r="M18">
        <x:v>0.58146227408939821</x:v>
      </x:c>
      <x:c r="N18" s="1">
        <x:f t="shared" si="2"/>
        <x:v>104.86876450907243</x:v>
      </x:c>
      <x:c r="O18" s="1">
        <x:f t="shared" si="3"/>
        <x:v>44.709790578522274</x:v>
      </x:c>
      <x:c r="P18" s="1">
        <x:f t="shared" si="4"/>
        <x:v>56.956476098630802</x:v>
      </x:c>
      <x:c r="Q18" s="1">
        <x:f t="shared" si="5"/>
        <x:v>2.2480074357609769</x:v>
      </x:c>
      <x:c r="R18" s="1">
        <x:f t="shared" si="6"/>
        <x:v>0.95449039615837372</x:v>
      </x:c>
      <x:c r="T18" s="5">
        <x:f t="shared" si="0"/>
        <x:v>0</x:v>
      </x:c>
    </x:row>
    <x:row r="19" spans="1:20">
      <x:c r="A19" t="s">
        <x:v>108</x:v>
      </x:c>
      <x:c r="C19" s="1">
        <x:f>SUM(C8:C18)</x:f>
        <x:v>142598.20000000004</x:v>
      </x:c>
      <x:c r="D19" s="1">
        <x:f>SUM(D8:D18)</x:f>
        <x:v>60382.02</x:v>
      </x:c>
      <x:c r="E19" s="1">
        <x:f>SUM(E8:E18)</x:f>
        <x:v>77649.910000000033</x:v>
      </x:c>
      <x:c r="F19" s="1">
        <x:f>SUM(F8:F18)</x:f>
        <x:v>3248.1700000000005</x:v>
      </x:c>
      <x:c r="G19" s="1">
        <x:f>SUM(G8:G18)</x:f>
        <x:v>1318.1000000000006</x:v>
      </x:c>
      <x:c r="I19" s="1"/>
      <x:c r="J19" s="1"/>
      <x:c r="K19" s="4">
        <x:f t="shared" ref="K19:L19" si="7">SUM(K8:K18)</x:f>
        <x:v>0</x:v>
      </x:c>
      <x:c r="L19" s="1">
        <x:f t="shared" si="7"/>
        <x:v>58194.867505363698</x:v>
      </x:c>
      <x:c r="N19" s="1">
        <x:f>SUM(N8:N18)</x:f>
        <x:v>33838.119999999995</x:v>
      </x:c>
      <x:c r="O19" s="1">
        <x:f>SUM(O8:O18)</x:f>
        <x:v>14265.919389643219</x:v>
      </x:c>
      <x:c r="P19" s="1">
        <x:f>SUM(P8:P18)</x:f>
        <x:v>18457.985388787878</x:v>
      </x:c>
      <x:c r="Q19" s="1">
        <x:f>SUM(Q8:Q18)</x:f>
        <x:v>799.17325621882731</x:v>
      </x:c>
      <x:c r="R19" s="1">
        <x:f>SUM(R8:R18)</x:f>
        <x:v>315.04196535007083</x:v>
      </x:c>
      <x:c r="T19" s="5">
        <x:f t="shared" si="0"/>
        <x:v>0</x:v>
      </x:c>
    </x:row>
    <x:row r="20" spans="1:20">
      <x:c r="L20" s="2"/>
      <x:c r="T20" s="5">
        <x:f t="shared" si="0"/>
        <x:v>0</x:v>
      </x:c>
    </x:row>
    <x:row r="21" spans="1:20">
      <x:c r="L21" s="2"/>
      <x:c r="T21" s="5">
        <x:f t="shared" si="0"/>
        <x:v>0</x:v>
      </x:c>
    </x:row>
    <x:row r="22" spans="1:20">
      <x:c r="A22">
        <x:v>391</x:v>
      </x:c>
      <x:c r="B22" t="s">
        <x:v>7</x:v>
      </x:c>
      <x:c r="C22" s="1">
        <x:v>2512642.0799999996</x:v>
      </x:c>
      <x:c r="D22" s="1">
        <x:v>1297658.5700000003</x:v>
      </x:c>
      <x:c r="E22" s="1">
        <x:v>1146750.3499999996</x:v>
      </x:c>
      <x:c r="F22" s="1">
        <x:v>37606.649999999994</x:v>
      </x:c>
      <x:c r="G22" s="1">
        <x:v>30626.509999999973</x:v>
      </x:c>
      <x:c r="I22">
        <x:v>20</x:v>
      </x:c>
      <x:c r="J22">
        <x:v>19.5</x:v>
      </x:c>
      <x:c r="K22" s="4">
        <x:v>0</x:v>
      </x:c>
      <x:c r="L22" s="2">
        <x:f t="shared" si="1"/>
        <x:v>62816.052000000047</x:v>
      </x:c>
      <x:c r="M22">
        <x:v>0.5199755044132085</x:v>
      </x:c>
      <x:c r="N22" s="1">
        <x:f t="shared" ref="N22:N37" si="8">+L22*M22</x:f>
        <x:v>32662.808323946359</x:v>
      </x:c>
      <x:c r="O22" s="1">
        <x:f t="shared" si="3"/>
        <x:v>16868.766737296843</x:v>
      </x:c>
      <x:c r="P22" s="1">
        <x:f t="shared" si="4"/>
        <x:v>14907.052291931845</x:v>
      </x:c>
      <x:c r="Q22" s="1">
        <x:f t="shared" si="5"/>
        <x:v>488.86342007602508</x:v>
      </x:c>
      <x:c r="R22" s="1">
        <x:f t="shared" si="6"/>
        <x:v>398.12587464165438</x:v>
      </x:c>
      <x:c r="T22" s="5">
        <x:f t="shared" si="0"/>
        <x:v>0</x:v>
      </x:c>
    </x:row>
    <x:row r="23" spans="1:20">
      <x:c r="A23">
        <x:v>391</x:v>
      </x:c>
      <x:c r="B23" t="s">
        <x:v>6</x:v>
      </x:c>
      <x:c r="C23" s="1">
        <x:v>390955.81000000006</x:v>
      </x:c>
      <x:c r="D23" s="1">
        <x:v>204699.85</x:v>
      </x:c>
      <x:c r="E23" s="1">
        <x:v>151847.81</x:v>
      </x:c>
      <x:c r="F23" s="1">
        <x:v>20424.330000000002</x:v>
      </x:c>
      <x:c r="G23" s="1">
        <x:v>13983.820000000003</x:v>
      </x:c>
      <x:c r="I23">
        <x:v>20</x:v>
      </x:c>
      <x:c r="J23">
        <x:v>18.5</x:v>
      </x:c>
      <x:c r="K23" s="4">
        <x:v>0</x:v>
      </x:c>
      <x:c r="L23" s="2">
        <x:f t="shared" si="1"/>
        <x:v>29321.685749999986</x:v>
      </x:c>
      <x:c r="M23">
        <x:v>0.5199755044132085</x:v>
      </x:c>
      <x:c r="N23" s="1">
        <x:f t="shared" si="8"/>
        <x:v>15246.558338101831</x:v>
      </x:c>
      <x:c r="O23" s="1">
        <x:f t="shared" si="3"/>
        <x:v>7982.918081779354</x:v>
      </x:c>
      <x:c r="P23" s="1">
        <x:f t="shared" si="4"/>
        <x:v>5921.7856199093258</x:v>
      </x:c>
      <x:c r="Q23" s="1">
        <x:f t="shared" si="5"/>
        <x:v>796.51134705388665</x:v>
      </x:c>
      <x:c r="R23" s="1">
        <x:f t="shared" si="6"/>
        <x:v>545.34328935926328</x:v>
      </x:c>
      <x:c r="T23" s="5">
        <x:f t="shared" si="0"/>
        <x:v>0</x:v>
      </x:c>
    </x:row>
    <x:row r="24" spans="1:20">
      <x:c r="A24">
        <x:v>391</x:v>
      </x:c>
      <x:c r="B24" t="s">
        <x:v>5</x:v>
      </x:c>
      <x:c r="C24" s="1">
        <x:v>1755945.4399999997</x:v>
      </x:c>
      <x:c r="D24" s="1">
        <x:v>327740.55000000005</x:v>
      </x:c>
      <x:c r="E24" s="1">
        <x:v>1244357.8499999996</x:v>
      </x:c>
      <x:c r="F24" s="1">
        <x:v>135385.47000000003</x:v>
      </x:c>
      <x:c r="G24" s="1">
        <x:v>48461.569999999978</x:v>
      </x:c>
      <x:c r="I24">
        <x:v>20</x:v>
      </x:c>
      <x:c r="J24">
        <x:v>17.5</x:v>
      </x:c>
      <x:c r="K24" s="4">
        <x:v>0</x:v>
      </x:c>
      <x:c r="L24" s="2">
        <x:f t="shared" si="1"/>
        <x:v>219493.17999999996</x:v>
      </x:c>
      <x:c r="M24">
        <x:v>0.5199755044132085</x:v>
      </x:c>
      <x:c r="N24" s="1">
        <x:f t="shared" si="8"/>
        <x:v>114131.07698575915</x:v>
      </x:c>
      <x:c r="O24" s="1">
        <x:f t="shared" si="3"/>
        <x:v>21302.13222536405</x:v>
      </x:c>
      <x:c r="P24" s="1">
        <x:f t="shared" si="4"/>
        <x:v>80879.450090535684</x:v>
      </x:c>
      <x:c r="Q24" s="1">
        <x:f t="shared" si="5"/>
        <x:v>8799.6410066836652</x:v>
      </x:c>
      <x:c r="R24" s="1">
        <x:f t="shared" si="6"/>
        <x:v>3149.8536631757502</x:v>
      </x:c>
      <x:c r="T24" s="5">
        <x:f t="shared" si="0"/>
        <x:v>0</x:v>
      </x:c>
    </x:row>
    <x:row r="25" spans="1:20">
      <x:c r="A25">
        <x:v>391</x:v>
      </x:c>
      <x:c r="B25" t="s">
        <x:v>4</x:v>
      </x:c>
      <x:c r="C25" s="1">
        <x:v>3301726.37</x:v>
      </x:c>
      <x:c r="D25" s="1">
        <x:v>492070.07</x:v>
      </x:c>
      <x:c r="E25" s="1">
        <x:v>1875544.8800000001</x:v>
      </x:c>
      <x:c r="F25" s="1">
        <x:v>572984.5</x:v>
      </x:c>
      <x:c r="G25" s="1">
        <x:v>361126.91999999993</x:v>
      </x:c>
      <x:c r="I25">
        <x:v>20</x:v>
      </x:c>
      <x:c r="J25">
        <x:v>16.5</x:v>
      </x:c>
      <x:c r="K25" s="4">
        <x:v>0</x:v>
      </x:c>
      <x:c r="L25" s="2">
        <x:f t="shared" si="1"/>
        <x:v>577802.11475000018</x:v>
      </x:c>
      <x:c r="M25">
        <x:v>0.5199755044132085</x:v>
      </x:c>
      <x:c r="N25" s="1">
        <x:f t="shared" si="8"/>
        <x:v>300442.94606814993</x:v>
      </x:c>
      <x:c r="O25" s="1">
        <x:f t="shared" si="3"/>
        <x:v>44776.266999606261</x:v>
      </x:c>
      <x:c r="P25" s="1">
        <x:f t="shared" si="4"/>
        <x:v>170666.54412983192</x:v>
      </x:c>
      <x:c r="Q25" s="1">
        <x:f t="shared" si="5"/>
        <x:v>52139.133271478779</x:v>
      </x:c>
      <x:c r="R25" s="1">
        <x:f t="shared" si="6"/>
        <x:v>32861.001667232973</x:v>
      </x:c>
      <x:c r="T25" s="5">
        <x:f t="shared" si="0"/>
        <x:v>0</x:v>
      </x:c>
    </x:row>
    <x:row r="26" spans="1:20">
      <x:c r="A26">
        <x:v>391</x:v>
      </x:c>
      <x:c r="B26" t="s">
        <x:v>3</x:v>
      </x:c>
      <x:c r="C26" s="1">
        <x:v>9091946</x:v>
      </x:c>
      <x:c r="D26" s="1">
        <x:v>4915629.8399999989</x:v>
      </x:c>
      <x:c r="E26" s="1">
        <x:v>3762989.8500000006</x:v>
      </x:c>
      <x:c r="F26" s="1">
        <x:v>193957.89999999997</x:v>
      </x:c>
      <x:c r="G26" s="1">
        <x:v>219368.4100000007</x:v>
      </x:c>
      <x:c r="I26">
        <x:v>20</x:v>
      </x:c>
      <x:c r="J26">
        <x:v>15.5</x:v>
      </x:c>
      <x:c r="K26" s="4">
        <x:v>0</x:v>
      </x:c>
      <x:c r="L26" s="2">
        <x:f t="shared" si="1"/>
        <x:v>2045687.8499999999</x:v>
      </x:c>
      <x:c r="M26">
        <x:v>0.5199755044132085</x:v>
      </x:c>
      <x:c r="N26" s="1">
        <x:f t="shared" si="8"/>
        <x:v>1063707.571675722</x:v>
      </x:c>
      <x:c r="O26" s="1">
        <x:f t="shared" si="3"/>
        <x:v>575101.59875158931</x:v>
      </x:c>
      <x:c r="P26" s="1">
        <x:f t="shared" si="4"/>
        <x:v>440249.07270499517</x:v>
      </x:c>
      <x:c r="Q26" s="1">
        <x:f t="shared" si="5"/>
        <x:v>22692.005299670993</x:v>
      </x:c>
      <x:c r="R26" s="1">
        <x:f t="shared" si="6"/>
        <x:v>25664.894919466627</x:v>
      </x:c>
      <x:c r="T26" s="5">
        <x:f t="shared" si="0"/>
        <x:v>0</x:v>
      </x:c>
    </x:row>
    <x:row r="27" spans="1:20">
      <x:c r="A27">
        <x:v>391</x:v>
      </x:c>
      <x:c r="B27" t="s">
        <x:v>2</x:v>
      </x:c>
      <x:c r="C27" s="1">
        <x:v>1369023.0999999999</x:v>
      </x:c>
      <x:c r="D27" s="1">
        <x:v>934041.72</x:v>
      </x:c>
      <x:c r="E27" s="1">
        <x:v>335383.24000000005</x:v>
      </x:c>
      <x:c r="F27" s="1">
        <x:v>59931.18</x:v>
      </x:c>
      <x:c r="G27" s="1">
        <x:v>39666.959999999999</x:v>
      </x:c>
      <x:c r="I27">
        <x:v>20</x:v>
      </x:c>
      <x:c r="J27">
        <x:v>14.5</x:v>
      </x:c>
      <x:c r="K27" s="4">
        <x:v>0</x:v>
      </x:c>
      <x:c r="L27" s="2">
        <x:f t="shared" si="1"/>
        <x:v>376481.35249999998</x:v>
      </x:c>
      <x:c r="M27">
        <x:v>0.5199755044132085</x:v>
      </x:c>
      <x:c r="N27" s="1">
        <x:f t="shared" si="8"/>
        <x:v>195761.08116835443</x:v>
      </x:c>
      <x:c r="O27" s="1">
        <x:f t="shared" si="3"/>
        <x:v>133561.67398749472</x:v>
      </x:c>
      <x:c r="P27" s="1">
        <x:f t="shared" si="4"/>
        <x:v>47957.544082452456</x:v>
      </x:c>
      <x:c r="Q27" s="1">
        <x:f t="shared" si="5"/>
        <x:v>8569.7550264091678</x:v>
      </x:c>
      <x:c r="R27" s="1">
        <x:f t="shared" si="6"/>
        <x:v>5672.1080719981055</x:v>
      </x:c>
      <x:c r="T27" s="5">
        <x:f t="shared" si="0"/>
        <x:v>0</x:v>
      </x:c>
    </x:row>
    <x:row r="28" spans="1:20">
      <x:c r="A28">
        <x:v>391</x:v>
      </x:c>
      <x:c r="B28" t="s">
        <x:v>1</x:v>
      </x:c>
      <x:c r="C28" s="1">
        <x:v>1347466.8</x:v>
      </x:c>
      <x:c r="D28" s="1">
        <x:v>199530.11000000002</x:v>
      </x:c>
      <x:c r="E28" s="1">
        <x:v>1011996.36</x:v>
      </x:c>
      <x:c r="F28" s="1">
        <x:v>74530.11</x:v>
      </x:c>
      <x:c r="G28" s="1">
        <x:v>61410.220000000045</x:v>
      </x:c>
      <x:c r="I28">
        <x:v>20</x:v>
      </x:c>
      <x:c r="J28">
        <x:v>13.5</x:v>
      </x:c>
      <x:c r="K28" s="4">
        <x:v>0</x:v>
      </x:c>
      <x:c r="L28" s="2">
        <x:f t="shared" si="1"/>
        <x:v>437926.70999999996</x:v>
      </x:c>
      <x:c r="M28">
        <x:v>0.5199755044132085</x:v>
      </x:c>
      <x:c r="N28" s="1">
        <x:f t="shared" si="8"/>
        <x:v>227711.16192826687</x:v>
      </x:c>
      <x:c r="O28" s="1">
        <x:f t="shared" si="3"/>
        <x:v>33719.000117683718</x:v>
      </x:c>
      <x:c r="P28" s="1">
        <x:f t="shared" si="4"/>
        <x:v>171019.32827048254</x:v>
      </x:c>
      <x:c r="Q28" s="1">
        <x:f t="shared" si="5"/>
        <x:v>12594.995250897122</x:v>
      </x:c>
      <x:c r="R28" s="1">
        <x:f t="shared" si="6"/>
        <x:v>10377.838289203492</x:v>
      </x:c>
      <x:c r="T28" s="5">
        <x:f t="shared" si="0"/>
        <x:v>0</x:v>
      </x:c>
    </x:row>
    <x:row r="29" spans="1:20">
      <x:c r="A29">
        <x:v>391</x:v>
      </x:c>
      <x:c r="B29" t="s">
        <x:v>21</x:v>
      </x:c>
      <x:c r="C29" s="1">
        <x:v>105238.29000000001</x:v>
      </x:c>
      <x:c r="D29" s="1">
        <x:v>-31332.53</x:v>
      </x:c>
      <x:c r="E29" s="1">
        <x:v>104294.62000000001</x:v>
      </x:c>
      <x:c r="F29" s="1">
        <x:v>18034.739999999998</x:v>
      </x:c>
      <x:c r="G29" s="1">
        <x:v>14241.459999999994</x:v>
      </x:c>
      <x:c r="I29">
        <x:v>20</x:v>
      </x:c>
      <x:c r="J29">
        <x:v>12.5</x:v>
      </x:c>
      <x:c r="K29" s="4">
        <x:v>0</x:v>
      </x:c>
      <x:c r="L29" s="2">
        <x:f t="shared" si="1"/>
        <x:v>39464.358749999999</x:v>
      </x:c>
      <x:c r="M29">
        <x:v>0.5199755044132085</x:v>
      </x:c>
      <x:c r="N29" s="1">
        <x:f t="shared" si="8"/>
        <x:v>20520.499847375067</x:v>
      </x:c>
      <x:c r="O29" s="1">
        <x:f t="shared" si="3"/>
        <x:v>-6109.5555342344942</x:v>
      </x:c>
      <x:c r="P29" s="1">
        <x:f t="shared" si="4"/>
        <x:v>20336.492865781463</x:v>
      </x:c>
      <x:c r="Q29" s="1">
        <x:f t="shared" si="5"/>
        <x:v>3516.6086356728997</x:v>
      </x:c>
      <x:c r="R29" s="1">
        <x:f t="shared" si="6"/>
        <x:v>2776.9538801551985</x:v>
      </x:c>
      <x:c r="T29" s="5">
        <x:f t="shared" si="0"/>
        <x:v>0</x:v>
      </x:c>
    </x:row>
    <x:row r="30" spans="1:20">
      <x:c r="A30">
        <x:v>391</x:v>
      </x:c>
      <x:c r="B30" t="s">
        <x:v>20</x:v>
      </x:c>
      <x:c r="C30" s="1">
        <x:v>579429.82999999996</x:v>
      </x:c>
      <x:c r="D30" s="1">
        <x:v>388397.22</x:v>
      </x:c>
      <x:c r="E30" s="1">
        <x:v>168668.11000000002</x:v>
      </x:c>
      <x:c r="F30" s="1">
        <x:v>16973.210000000006</x:v>
      </x:c>
      <x:c r="G30" s="1">
        <x:v>5391.2900000000018</x:v>
      </x:c>
      <x:c r="I30">
        <x:v>20</x:v>
      </x:c>
      <x:c r="J30">
        <x:v>11.5</x:v>
      </x:c>
      <x:c r="K30" s="4">
        <x:v>0</x:v>
      </x:c>
      <x:c r="L30" s="2">
        <x:f t="shared" si="1"/>
        <x:v>246257.67775</x:v>
      </x:c>
      <x:c r="M30">
        <x:v>0.5199755044132085</x:v>
      </x:c>
      <x:c r="N30" s="1">
        <x:f t="shared" si="8"/>
        <x:v>128047.96020368161</x:v>
      </x:c>
      <x:c r="O30" s="1">
        <x:f t="shared" si="3"/>
        <x:v>85831.742162429859</x:v>
      </x:c>
      <x:c r="P30" s="1">
        <x:f t="shared" si="4"/>
        <x:v>37273.896369660833</x:v>
      </x:c>
      <x:c r="Q30" s="1">
        <x:f t="shared" si="5"/>
        <x:v>3750.9027082860603</x:v>
      </x:c>
      <x:c r="R30" s="1">
        <x:f t="shared" si="6"/>
        <x:v>1191.4189633048525</x:v>
      </x:c>
      <x:c r="T30" s="5">
        <x:f t="shared" si="0"/>
        <x:v>0</x:v>
      </x:c>
    </x:row>
    <x:row r="31" spans="1:20">
      <x:c r="A31">
        <x:v>391</x:v>
      </x:c>
      <x:c r="B31" t="s">
        <x:v>19</x:v>
      </x:c>
      <x:c r="C31" s="1">
        <x:v>910282.1399999999</x:v>
      </x:c>
      <x:c r="D31" s="1">
        <x:v>326305.59999999998</x:v>
      </x:c>
      <x:c r="E31" s="1">
        <x:v>341913.31</x:v>
      </x:c>
      <x:c r="F31" s="1">
        <x:v>142572.63999999996</x:v>
      </x:c>
      <x:c r="G31" s="1">
        <x:v>99490.590000000026</x:v>
      </x:c>
      <x:c r="I31">
        <x:v>20</x:v>
      </x:c>
      <x:c r="J31">
        <x:v>10.5</x:v>
      </x:c>
      <x:c r="K31" s="4">
        <x:v>0</x:v>
      </x:c>
      <x:c r="L31" s="2">
        <x:f t="shared" si="1"/>
        <x:v>432384.01649999991</x:v>
      </x:c>
      <x:c r="M31">
        <x:v>0.5199755044132085</x:v>
      </x:c>
      <x:c r="N31" s="1">
        <x:f t="shared" si="8"/>
        <x:v>224829.09707979651</x:v>
      </x:c>
      <x:c r="O31" s="1">
        <x:f t="shared" si="3"/>
        <x:v>80593.686502605939</x:v>
      </x:c>
      <x:c r="P31" s="1">
        <x:f t="shared" si="4"/>
        <x:v>84448.609270598856</x:v>
      </x:c>
      <x:c r="Q31" s="1">
        <x:f t="shared" si="5"/>
        <x:v>35213.783189773305</x:v>
      </x:c>
      <x:c r="R31" s="1">
        <x:f t="shared" si="6"/>
        <x:v>24573.018116818421</x:v>
      </x:c>
      <x:c r="T31" s="5">
        <x:f t="shared" si="0"/>
        <x:v>0</x:v>
      </x:c>
    </x:row>
    <x:row r="32" spans="1:20">
      <x:c r="A32">
        <x:v>391</x:v>
      </x:c>
      <x:c r="B32" t="s">
        <x:v>18</x:v>
      </x:c>
      <x:c r="C32" s="1">
        <x:v>1401548.7600000002</x:v>
      </x:c>
      <x:c r="D32" s="1">
        <x:v>955650.13</x:v>
      </x:c>
      <x:c r="E32" s="1">
        <x:v>391873.01</x:v>
      </x:c>
      <x:c r="F32" s="1">
        <x:v>31344.809999999998</x:v>
      </x:c>
      <x:c r="G32" s="1">
        <x:v>22680.810000000005</x:v>
      </x:c>
      <x:c r="I32">
        <x:v>20</x:v>
      </x:c>
      <x:c r="J32">
        <x:v>9.5</x:v>
      </x:c>
      <x:c r="K32" s="4">
        <x:v>0</x:v>
      </x:c>
      <x:c r="L32" s="2">
        <x:f t="shared" si="1"/>
        <x:v>735813.09900000016</x:v>
      </x:c>
      <x:c r="M32">
        <x:v>0.5199755044132085</x:v>
      </x:c>
      <x:c r="N32" s="1">
        <x:f t="shared" si="8"/>
        <x:v>382604.7873063712</x:v>
      </x:c>
      <x:c r="O32" s="1">
        <x:f t="shared" si="3"/>
        <x:v>260880.19565438162</x:v>
      </x:c>
      <x:c r="P32" s="1">
        <x:f t="shared" si="4"/>
        <x:v>106976.29217135295</x:v>
      </x:c>
      <x:c r="Q32" s="1">
        <x:f t="shared" si="5"/>
        <x:v>8556.7300300052448</x:v>
      </x:c>
      <x:c r="R32" s="1">
        <x:f t="shared" si="6"/>
        <x:v>6191.5694506313275</x:v>
      </x:c>
      <x:c r="T32" s="5">
        <x:f t="shared" si="0"/>
        <x:v>0</x:v>
      </x:c>
    </x:row>
    <x:row r="33" spans="1:21">
      <x:c r="A33">
        <x:v>391</x:v>
      </x:c>
      <x:c r="B33" t="s">
        <x:v>17</x:v>
      </x:c>
      <x:c r="C33" s="1">
        <x:v>825747.95</x:v>
      </x:c>
      <x:c r="D33" s="1">
        <x:v>188040.94999999998</x:v>
      </x:c>
      <x:c r="E33" s="1">
        <x:v>486973.9</x:v>
      </x:c>
      <x:c r="F33" s="1">
        <x:v>92997.260000000009</x:v>
      </x:c>
      <x:c r="G33" s="1">
        <x:v>57735.839999999989</x:v>
      </x:c>
      <x:c r="I33">
        <x:v>20</x:v>
      </x:c>
      <x:c r="J33">
        <x:v>8.5</x:v>
      </x:c>
      <x:c r="K33" s="4">
        <x:v>0</x:v>
      </x:c>
      <x:c r="L33" s="2">
        <x:f t="shared" si="1"/>
        <x:v>474805.07124999992</x:v>
      </x:c>
      <x:c r="M33">
        <x:v>0.5199755044132085</x:v>
      </x:c>
      <x:c r="N33" s="1">
        <x:f t="shared" si="8"/>
        <x:v>246887.0064211681</x:v>
      </x:c>
      <x:c r="O33" s="1">
        <x:f t="shared" si="3"/>
        <x:v>56221.595500288611</x:v>
      </x:c>
      <x:c r="P33" s="1">
        <x:f t="shared" si="4"/>
        <x:v>145598.33709092622</x:v>
      </x:c>
      <x:c r="Q33" s="1">
        <x:f t="shared" si="5"/>
        <x:v>27804.870877089121</x:v>
      </x:c>
      <x:c r="R33" s="1">
        <x:f t="shared" si="6"/>
        <x:v>17262.202952864165</x:v>
      </x:c>
      <x:c r="T33" s="5">
        <x:f t="shared" si="0"/>
        <x:v>0</x:v>
      </x:c>
    </x:row>
    <x:row r="34" spans="1:21">
      <x:c r="A34">
        <x:v>391</x:v>
      </x:c>
      <x:c r="B34" t="s">
        <x:v>16</x:v>
      </x:c>
      <x:c r="C34" s="1">
        <x:v>670150.49999999988</x:v>
      </x:c>
      <x:c r="D34" s="1">
        <x:v>90245.11</x:v>
      </x:c>
      <x:c r="E34" s="1">
        <x:v>338340.49999999994</x:v>
      </x:c>
      <x:c r="F34" s="1">
        <x:v>140644.88999999998</x:v>
      </x:c>
      <x:c r="G34" s="1">
        <x:v>100919.99999999999</x:v>
      </x:c>
      <x:c r="I34">
        <x:v>20</x:v>
      </x:c>
      <x:c r="J34">
        <x:v>7.5</x:v>
      </x:c>
      <x:c r="K34" s="4">
        <x:v>0</x:v>
      </x:c>
      <x:c r="L34" s="2">
        <x:f t="shared" si="1"/>
        <x:v>418844.06249999994</x:v>
      </x:c>
      <x:c r="M34">
        <x:v>0.5199755044132085</x:v>
      </x:c>
      <x:c r="N34" s="1">
        <x:f t="shared" si="8"/>
        <x:v>217788.6526689149</x:v>
      </x:c>
      <x:c r="O34" s="1">
        <x:f t="shared" si="3"/>
        <x:v>29328.279120672185</x:v>
      </x:c>
      <x:c r="P34" s="1">
        <x:f t="shared" si="4"/>
        <x:v>109955.48259432323</x:v>
      </x:c>
      <x:c r="Q34" s="1">
        <x:f t="shared" si="5"/>
        <x:v>45707.436013056387</x:v>
      </x:c>
      <x:c r="R34" s="1">
        <x:f t="shared" si="6"/>
        <x:v>32797.454940863121</x:v>
      </x:c>
      <x:c r="T34" s="5">
        <x:f t="shared" si="0"/>
        <x:v>0</x:v>
      </x:c>
    </x:row>
    <x:row r="35" spans="1:21">
      <x:c r="A35">
        <x:v>391</x:v>
      </x:c>
      <x:c r="B35" t="s">
        <x:v>15</x:v>
      </x:c>
      <x:c r="C35" s="1">
        <x:v>87021.15</x:v>
      </x:c>
      <x:c r="D35" s="1">
        <x:v>34658</x:v>
      </x:c>
      <x:c r="E35" s="1">
        <x:v>26569.11</x:v>
      </x:c>
      <x:c r="F35" s="1">
        <x:v>25353.699999999997</x:v>
      </x:c>
      <x:c r="G35" s="1">
        <x:v>440.34000000000304</x:v>
      </x:c>
      <x:c r="I35">
        <x:v>20</x:v>
      </x:c>
      <x:c r="J35">
        <x:v>6.5</x:v>
      </x:c>
      <x:c r="K35" s="4">
        <x:v>0</x:v>
      </x:c>
      <x:c r="L35" s="2">
        <x:f t="shared" si="1"/>
        <x:v>58739.276250000003</x:v>
      </x:c>
      <x:c r="M35">
        <x:v>0.5199755044132085</x:v>
      </x:c>
      <x:c r="N35" s="1">
        <x:f t="shared" si="8"/>
        <x:v>30542.984796960551</x:v>
      </x:c>
      <x:c r="O35" s="1">
        <x:f t="shared" si="3"/>
        <x:v>12164.384946568263</x:v>
      </x:c>
      <x:c r="P35" s="1">
        <x:f t="shared" si="4"/>
        <x:v>9325.3183024905175</x:v>
      </x:c>
      <x:c r="Q35" s="1">
        <x:f t="shared" si="5"/>
        <x:v>8898.7294887127864</x:v>
      </x:c>
      <x:c r="R35" s="1">
        <x:f t="shared" si="6"/>
        <x:v>154.55205918898685</x:v>
      </x:c>
      <x:c r="T35" s="5">
        <x:f t="shared" si="0"/>
        <x:v>0</x:v>
      </x:c>
    </x:row>
    <x:row r="36" spans="1:21">
      <x:c r="A36">
        <x:v>391</x:v>
      </x:c>
      <x:c r="B36" t="s">
        <x:v>14</x:v>
      </x:c>
      <x:c r="C36" s="1">
        <x:v>409288.97000000003</x:v>
      </x:c>
      <x:c r="D36" s="1">
        <x:v>26026.369999999995</x:v>
      </x:c>
      <x:c r="E36" s="1">
        <x:v>380765.52</x:v>
      </x:c>
      <x:c r="F36" s="1">
        <x:v>1364.0800000000002</x:v>
      </x:c>
      <x:c r="G36" s="1">
        <x:v>1132.9999999999993</x:v>
      </x:c>
      <x:c r="I36">
        <x:v>20</x:v>
      </x:c>
      <x:c r="J36">
        <x:v>5.5</x:v>
      </x:c>
      <x:c r="K36" s="4">
        <x:v>0</x:v>
      </x:c>
      <x:c r="L36" s="2">
        <x:f t="shared" si="1"/>
        <x:v>296734.50325000001</x:v>
      </x:c>
      <x:c r="M36">
        <x:v>0.5199755044132085</x:v>
      </x:c>
      <x:c r="N36" s="1">
        <x:f t="shared" si="8"/>
        <x:v>154294.67300422161</x:v>
      </x:c>
      <x:c r="O36" s="1">
        <x:f t="shared" si="3"/>
        <x:v>9811.4792798762246</x:v>
      </x:c>
      <x:c r="P36" s="1">
        <x:f t="shared" si="4"/>
        <x:v>143541.83891073929</x:v>
      </x:c>
      <x:c r="Q36" s="1">
        <x:f t="shared" si="5"/>
        <x:v>514.23393489347791</x:v>
      </x:c>
      <x:c r="R36" s="1">
        <x:f t="shared" si="6"/>
        <x:v>427.12087871261951</x:v>
      </x:c>
      <x:c r="T36" s="5">
        <x:f t="shared" si="0"/>
        <x:v>0</x:v>
      </x:c>
    </x:row>
    <x:row r="37" spans="1:21">
      <x:c r="A37">
        <x:v>391</x:v>
      </x:c>
      <x:c r="B37" t="s">
        <x:v>30</x:v>
      </x:c>
      <x:c r="C37" s="1">
        <x:v>1460246.54</x:v>
      </x:c>
      <x:c r="D37" s="1">
        <x:v>9672.33</x:v>
      </x:c>
      <x:c r="E37" s="1">
        <x:v>1448809.17</x:v>
      </x:c>
      <x:c r="F37" s="1">
        <x:v>1695.4300000000003</x:v>
      </x:c>
      <x:c r="G37" s="1">
        <x:v>69.609999999999914</x:v>
      </x:c>
      <x:c r="I37">
        <x:v>20</x:v>
      </x:c>
      <x:c r="J37">
        <x:v>4.5</x:v>
      </x:c>
      <x:c r="K37" s="4">
        <x:v>0</x:v>
      </x:c>
      <x:c r="L37" s="2">
        <x:f t="shared" si="1"/>
        <x:v>1131691.0685000001</x:v>
      </x:c>
      <x:c r="M37">
        <x:v>0.5199755044132085</x:v>
      </x:c>
      <x:c r="N37" s="1">
        <x:f t="shared" si="8"/>
        <x:v>588451.63418321044</x:v>
      </x:c>
      <x:c r="O37" s="1">
        <x:f t="shared" ref="O37" si="9">+$N37*D37/$C37</x:f>
        <x:v>3897.7653697157821</x:v>
      </x:c>
      <x:c r="P37" s="1">
        <x:f t="shared" ref="P37" si="10">+$N37*E37/$C37</x:f>
        <x:v>583842.59120115475</x:v>
      </x:c>
      <x:c r="Q37" s="1">
        <x:f t="shared" ref="Q37" si="11">+$N37*F37/$C37</x:f>
        <x:v>683.22610382164692</x:v>
      </x:c>
      <x:c r="R37" s="1">
        <x:f t="shared" ref="R37" si="12">+$N37*G37/$C37</x:f>
        <x:v>28.051508518207637</x:v>
      </x:c>
      <x:c r="T37" s="5">
        <x:f t="shared" si="0"/>
        <x:v>0</x:v>
      </x:c>
    </x:row>
    <x:row r="38" spans="1:21">
      <x:c r="A38" t="s">
        <x:v>109</x:v>
      </x:c>
      <x:c r="C38" s="1">
        <x:f>SUM(C22:C37)</x:f>
        <x:v>26218659.729999997</x:v>
      </x:c>
      <x:c r="D38" s="1">
        <x:f>SUM(D22:D37)</x:f>
        <x:v>10359033.889999997</x:v>
      </x:c>
      <x:c r="E38" s="1">
        <x:f>SUM(E22:E37)</x:f>
        <x:v>13217077.589999998</x:v>
      </x:c>
      <x:c r="F38" s="1">
        <x:f>SUM(F22:F37)</x:f>
        <x:v>1565800.8999999997</x:v>
      </x:c>
      <x:c r="G38" s="1">
        <x:f>SUM(G22:G37)</x:f>
        <x:v>1076747.3500000008</x:v>
      </x:c>
      <x:c r="L38" s="1">
        <x:f t="shared" ref="L38" si="13">SUM(L22:L37)</x:f>
        <x:v>7584262.0787500003</x:v>
      </x:c>
      <x:c r="M38" s="1" t="s">
        <x:v>110</x:v>
      </x:c>
      <x:c r="N38" s="1">
        <x:f>SUM(N22:N37)</x:f>
        <x:v>3943630.5000000009</x:v>
      </x:c>
      <x:c r="O38" s="1">
        <x:f>SUM(O22:O37)</x:f>
        <x:v>1365931.9299031179</x:v>
      </x:c>
      <x:c r="P38" s="1">
        <x:f>SUM(P22:P37)</x:f>
        <x:v>2172899.6359671671</x:v>
      </x:c>
      <x:c r="Q38" s="1">
        <x:f>SUM(Q22:Q37)</x:f>
        <x:v>240727.42560358057</x:v>
      </x:c>
      <x:c r="R38" s="1">
        <x:f>SUM(R22:R37)</x:f>
        <x:v>164071.50852613477</x:v>
      </x:c>
      <x:c r="T38" s="5">
        <x:f t="shared" si="0"/>
        <x:v>0</x:v>
      </x:c>
      <x:c r="U38" s="5"/>
    </x:row>
    <x:row r="39" spans="1:21">
      <x:c r="L39" s="2"/>
      <x:c r="T39" s="5">
        <x:f t="shared" si="0"/>
        <x:v>0</x:v>
      </x:c>
    </x:row>
    <x:row r="40" spans="1:21">
      <x:c r="A40" s="3">
        <x:v>390</x:v>
      </x:c>
      <x:c r="B40" t="s">
        <x:v>7</x:v>
      </x:c>
      <x:c r="C40" s="1">
        <x:v>51798847.739999987</x:v>
      </x:c>
      <x:c r="D40" s="1">
        <x:v>20682681.769999996</x:v>
      </x:c>
      <x:c r="E40" s="1">
        <x:v>26780863.369999986</x:v>
      </x:c>
      <x:c r="F40" s="1">
        <x:v>2611907.0299999993</x:v>
      </x:c>
      <x:c r="G40" s="1">
        <x:v>1723395.570000001</x:v>
      </x:c>
      <x:c r="I40">
        <x:v>55</x:v>
      </x:c>
      <x:c r="J40">
        <x:v>54.628754999999998</x:v>
      </x:c>
      <x:c r="K40" s="4">
        <x:v>-0.05</x:v>
      </x:c>
      <x:c r="L40" s="2">
        <x:f t="shared" si="1"/>
        <x:v>367119.38892178499</x:v>
      </x:c>
      <x:c r="M40" s="5">
        <x:v>0.58072038829896389</x:v>
      </x:c>
      <x:c r="N40" s="1">
        <x:f t="shared" ref="N40:N103" si="14">+L40*M40</x:f>
        <x:v>213193.71408673731</x:v>
      </x:c>
      <x:c r="O40" s="1">
        <x:f t="shared" ref="O40:O103" si="15">+$N40*D40/$C40</x:f>
        <x:v>85125.788240562018</x:v>
      </x:c>
      <x:c r="P40" s="1">
        <x:f t="shared" ref="P40:P103" si="16">+$N40*E40/$C40</x:f>
        <x:v>110224.68601923682</x:v>
      </x:c>
      <x:c r="Q40" s="1">
        <x:f t="shared" ref="Q40:Q103" si="17">+$N40*F40/$C40</x:f>
        <x:v>10750.087789017665</x:v>
      </x:c>
      <x:c r="R40" s="1">
        <x:f t="shared" ref="R40:R103" si="18">+$N40*G40/$C40</x:f>
        <x:v>7093.152037920795</x:v>
      </x:c>
      <x:c r="T40" s="5">
        <x:f t="shared" si="0"/>
        <x:v>0</x:v>
      </x:c>
    </x:row>
    <x:row r="41" spans="1:21">
      <x:c r="A41" s="3">
        <x:v>390</x:v>
      </x:c>
      <x:c r="B41" t="s">
        <x:v>6</x:v>
      </x:c>
      <x:c r="C41" s="1">
        <x:v>38397482.090000011</x:v>
      </x:c>
      <x:c r="D41" s="1">
        <x:v>3729426.9400000009</x:v>
      </x:c>
      <x:c r="E41" s="1">
        <x:v>27898417.560000006</x:v>
      </x:c>
      <x:c r="F41" s="1">
        <x:v>3733917.72</x:v>
      </x:c>
      <x:c r="G41" s="1">
        <x:v>3035719.870000002</x:v>
      </x:c>
      <x:c r="I41">
        <x:v>55</x:v>
      </x:c>
      <x:c r="J41">
        <x:v>53.889442000000003</x:v>
      </x:c>
      <x:c r="K41" s="4">
        <x:v>-0.05</x:v>
      </x:c>
      <x:c r="L41" s="2">
        <x:f t="shared" si="1"/>
        <x:v>814086.59019366105</x:v>
      </x:c>
      <x:c r="M41" s="5">
        <x:v>0.58072038829896389</x:v>
      </x:c>
      <x:c r="N41" s="1">
        <x:f t="shared" si="14"/>
        <x:v>472756.68076624232</x:v>
      </x:c>
      <x:c r="O41" s="1">
        <x:f t="shared" si="15"/>
        <x:v>45917.372841845216</x:v>
      </x:c>
      <x:c r="P41" s="1">
        <x:f t="shared" si="16"/>
        <x:v>343490.31671874004</x:v>
      </x:c>
      <x:c r="Q41" s="1">
        <x:f t="shared" si="17"/>
        <x:v>45972.664130005069</x:v>
      </x:c>
      <x:c r="R41" s="1">
        <x:f t="shared" si="18"/>
        <x:v>37376.327075651985</x:v>
      </x:c>
      <x:c r="T41" s="5">
        <x:f t="shared" si="0"/>
        <x:v>0</x:v>
      </x:c>
    </x:row>
    <x:row r="42" spans="1:21">
      <x:c r="A42" s="3">
        <x:v>390</x:v>
      </x:c>
      <x:c r="B42" t="s">
        <x:v>5</x:v>
      </x:c>
      <x:c r="C42" s="1">
        <x:v>40179382.609999999</x:v>
      </x:c>
      <x:c r="D42" s="1">
        <x:v>13685934.41</x:v>
      </x:c>
      <x:c r="E42" s="1">
        <x:v>19889590.370000005</x:v>
      </x:c>
      <x:c r="F42" s="1">
        <x:v>4443657.58</x:v>
      </x:c>
      <x:c r="G42" s="1">
        <x:v>2160200.2500000005</x:v>
      </x:c>
      <x:c r="I42">
        <x:v>55</x:v>
      </x:c>
      <x:c r="J42">
        <x:v>53.154283</x:v>
      </x:c>
      <x:c r="K42" s="4">
        <x:v>-0.05</x:v>
      </x:c>
      <x:c r="L42" s="2">
        <x:f t="shared" si="1"/>
        <x:v>1415777.4183530989</x:v>
      </x:c>
      <x:c r="M42" s="5">
        <x:v>0.58072038829896389</x:v>
      </x:c>
      <x:c r="N42" s="1">
        <x:f t="shared" si="14"/>
        <x:v>822170.81213091628</x:v>
      </x:c>
      <x:c r="O42" s="1">
        <x:f t="shared" si="15"/>
        <x:v>280048.49944706884</x:v>
      </x:c>
      <x:c r="P42" s="1">
        <x:f t="shared" si="16"/>
        <x:v>406990.83970952424</x:v>
      </x:c>
      <x:c r="Q42" s="1">
        <x:f t="shared" si="17"/>
        <x:v>90928.364849265228</x:v>
      </x:c>
      <x:c r="R42" s="1">
        <x:f t="shared" si="18"/>
        <x:v>44203.10812505809</x:v>
      </x:c>
      <x:c r="T42" s="5">
        <x:f t="shared" si="0"/>
        <x:v>0</x:v>
      </x:c>
    </x:row>
    <x:row r="43" spans="1:21">
      <x:c r="A43" s="3">
        <x:v>390</x:v>
      </x:c>
      <x:c r="B43" t="s">
        <x:v>4</x:v>
      </x:c>
      <x:c r="C43" s="1">
        <x:v>30022710.919999994</x:v>
      </x:c>
      <x:c r="D43" s="1">
        <x:v>5134267.5599999996</x:v>
      </x:c>
      <x:c r="E43" s="1">
        <x:v>19582218.239999998</x:v>
      </x:c>
      <x:c r="F43" s="1">
        <x:v>3640603.6499999985</x:v>
      </x:c>
      <x:c r="G43" s="1">
        <x:v>1665621.4699999997</x:v>
      </x:c>
      <x:c r="I43">
        <x:v>55</x:v>
      </x:c>
      <x:c r="J43">
        <x:v>52.423191000000003</x:v>
      </x:c>
      <x:c r="K43" s="4">
        <x:v>-0.05</x:v>
      </x:c>
      <x:c r="L43" s="2">
        <x:f t="shared" si="1"/>
        <x:v>1476926.023421942</x:v>
      </x:c>
      <x:c r="M43" s="5">
        <x:v>0.58072038829896389</x:v>
      </x:c>
      <x:c r="N43" s="1">
        <x:f t="shared" si="14"/>
        <x:v>857681.05381043477</x:v>
      </x:c>
      <x:c r="O43" s="1">
        <x:f t="shared" si="15"/>
        <x:v>146674.43000532113</x:v>
      </x:c>
      <x:c r="P43" s="1">
        <x:f t="shared" si="16"/>
        <x:v>559419.75462451403</x:v>
      </x:c>
      <x:c r="Q43" s="1">
        <x:f t="shared" si="17"/>
        <x:v>104003.82508289875</x:v>
      </x:c>
      <x:c r="R43" s="1">
        <x:f t="shared" si="18"/>
        <x:v>47583.044097700869</x:v>
      </x:c>
      <x:c r="T43" s="5">
        <x:f t="shared" si="0"/>
        <x:v>0</x:v>
      </x:c>
    </x:row>
    <x:row r="44" spans="1:21">
      <x:c r="A44" s="3">
        <x:v>390</x:v>
      </x:c>
      <x:c r="B44" t="s">
        <x:v>3</x:v>
      </x:c>
      <x:c r="C44" s="1">
        <x:v>16094852.480000002</x:v>
      </x:c>
      <x:c r="D44" s="1">
        <x:v>7050014.3999999994</x:v>
      </x:c>
      <x:c r="E44" s="1">
        <x:v>6806360.2700000033</x:v>
      </x:c>
      <x:c r="F44" s="1">
        <x:v>1491289.84</x:v>
      </x:c>
      <x:c r="G44" s="1">
        <x:v>747187.97</x:v>
      </x:c>
      <x:c r="I44">
        <x:v>55</x:v>
      </x:c>
      <x:c r="J44">
        <x:v>51.696072999999998</x:v>
      </x:c>
      <x:c r="K44" s="4">
        <x:v>-0.05</x:v>
      </x:c>
      <x:c r="L44" s="2">
        <x:f t="shared" si="1"/>
        <x:v>1015182.3373304257</x:v>
      </x:c>
      <x:c r="M44" s="5">
        <x:v>0.58072038829896389</x:v>
      </x:c>
      <x:c r="N44" s="1">
        <x:f t="shared" si="14"/>
        <x:v>589537.08112877456</x:v>
      </x:c>
      <x:c r="O44" s="1">
        <x:f t="shared" si="15"/>
        <x:v>258234.42100239915</x:v>
      </x:c>
      <x:c r="P44" s="1">
        <x:f t="shared" si="16"/>
        <x:v>249309.63310616557</x:v>
      </x:c>
      <x:c r="Q44" s="1">
        <x:f t="shared" si="17"/>
        <x:v>54624.337842368172</x:v>
      </x:c>
      <x:c r="R44" s="1">
        <x:f t="shared" si="18"/>
        <x:v>27368.689177841679</x:v>
      </x:c>
      <x:c r="T44" s="5">
        <x:f t="shared" si="0"/>
        <x:v>0</x:v>
      </x:c>
    </x:row>
    <x:row r="45" spans="1:21">
      <x:c r="A45" s="3">
        <x:v>390</x:v>
      </x:c>
      <x:c r="B45" t="s">
        <x:v>2</x:v>
      </x:c>
      <x:c r="C45" s="1">
        <x:v>9334018.1499999985</x:v>
      </x:c>
      <x:c r="D45" s="1">
        <x:v>4057837.43</x:v>
      </x:c>
      <x:c r="E45" s="1">
        <x:v>4174899.629999999</x:v>
      </x:c>
      <x:c r="F45" s="1">
        <x:v>816589.5900000002</x:v>
      </x:c>
      <x:c r="G45" s="1">
        <x:v>284691.50000000006</x:v>
      </x:c>
      <x:c r="I45">
        <x:v>55</x:v>
      </x:c>
      <x:c r="J45">
        <x:v>50.972836999999998</x:v>
      </x:c>
      <x:c r="K45" s="4">
        <x:v>-0.05</x:v>
      </x:c>
      <x:c r="L45" s="2">
        <x:f t="shared" si="1"/>
        <x:v>717619.87566834339</x:v>
      </x:c>
      <x:c r="M45" s="5">
        <x:v>0.58072038829896389</x:v>
      </x:c>
      <x:c r="N45" s="1">
        <x:f t="shared" si="14"/>
        <x:v>416736.49284917454</x:v>
      </x:c>
      <x:c r="O45" s="1">
        <x:f t="shared" si="15"/>
        <x:v>181170.52184329726</x:v>
      </x:c>
      <x:c r="P45" s="1">
        <x:f t="shared" si="16"/>
        <x:v>186397.00521725643</x:v>
      </x:c>
      <x:c r="Q45" s="1">
        <x:f t="shared" si="17"/>
        <x:v>36458.326560436937</x:v>
      </x:c>
      <x:c r="R45" s="1">
        <x:f t="shared" si="18"/>
        <x:v>12710.639228183933</x:v>
      </x:c>
      <x:c r="T45" s="5">
        <x:f t="shared" si="0"/>
        <x:v>0</x:v>
      </x:c>
    </x:row>
    <x:row r="46" spans="1:21">
      <x:c r="A46" s="3">
        <x:v>390</x:v>
      </x:c>
      <x:c r="B46" t="s">
        <x:v>1</x:v>
      </x:c>
      <x:c r="C46" s="1">
        <x:v>9824735.6099999994</x:v>
      </x:c>
      <x:c r="D46" s="1">
        <x:v>4129774.2300000004</x:v>
      </x:c>
      <x:c r="E46" s="1">
        <x:v>5294562.669999999</x:v>
      </x:c>
      <x:c r="F46" s="1">
        <x:v>225475.74</x:v>
      </x:c>
      <x:c r="G46" s="1">
        <x:v>174922.97000000003</x:v>
      </x:c>
      <x:c r="I46">
        <x:v>55</x:v>
      </x:c>
      <x:c r="J46">
        <x:v>50.253726</x:v>
      </x:c>
      <x:c r="K46" s="4">
        <x:v>-0.05</x:v>
      </x:c>
      <x:c r="L46" s="2">
        <x:f t="shared" si="1"/>
        <x:v>890226.02803178213</x:v>
      </x:c>
      <x:c r="M46" s="5">
        <x:v>0.58072038829896389</x:v>
      </x:c>
      <x:c r="N46" s="1">
        <x:f t="shared" si="14"/>
        <x:v>516972.40467246081</x:v>
      </x:c>
      <x:c r="O46" s="1">
        <x:f t="shared" si="15"/>
        <x:v>217306.54128385859</x:v>
      </x:c>
      <x:c r="P46" s="1">
        <x:f t="shared" si="16"/>
        <x:v>278597.09450226562</x:v>
      </x:c>
      <x:c r="Q46" s="1">
        <x:f t="shared" si="17"/>
        <x:v>11864.414487088936</x:v>
      </x:c>
      <x:c r="R46" s="1">
        <x:f t="shared" si="18"/>
        <x:v>9204.3543992476698</x:v>
      </x:c>
      <x:c r="T46" s="5">
        <x:f t="shared" si="0"/>
        <x:v>0</x:v>
      </x:c>
    </x:row>
    <x:row r="47" spans="1:21">
      <x:c r="A47" s="3">
        <x:v>390</x:v>
      </x:c>
      <x:c r="B47" t="s">
        <x:v>21</x:v>
      </x:c>
      <x:c r="C47" s="1">
        <x:v>8171936.700000003</x:v>
      </x:c>
      <x:c r="D47" s="1">
        <x:v>4718293.2500000019</x:v>
      </x:c>
      <x:c r="E47" s="1">
        <x:v>2486961.5500000003</x:v>
      </x:c>
      <x:c r="F47" s="1">
        <x:v>569585.37</x:v>
      </x:c>
      <x:c r="G47" s="1">
        <x:v>397096.52999999991</x:v>
      </x:c>
      <x:c r="I47">
        <x:v>55</x:v>
      </x:c>
      <x:c r="J47">
        <x:v>49.538302999999999</x:v>
      </x:c>
      <x:c r="K47" s="4">
        <x:v>-0.05</x:v>
      </x:c>
      <x:c r="L47" s="2">
        <x:f t="shared" si="1"/>
        <x:v>852077.71393652633</x:v>
      </x:c>
      <x:c r="M47" s="5">
        <x:v>0.58072038829896389</x:v>
      </x:c>
      <x:c r="N47" s="1">
        <x:f t="shared" si="14"/>
        <x:v>494818.90089811303</x:v>
      </x:c>
      <x:c r="O47" s="1">
        <x:f t="shared" si="15"/>
        <x:v>285697.35251130688</x:v>
      </x:c>
      <x:c r="P47" s="1">
        <x:f t="shared" si="16"/>
        <x:v>150587.99718148418</x:v>
      </x:c>
      <x:c r="Q47" s="1">
        <x:f t="shared" si="17"/>
        <x:v>34488.961074679515</x:v>
      </x:c>
      <x:c r="R47" s="1">
        <x:f t="shared" si="18"/>
        <x:v>24044.590130642406</x:v>
      </x:c>
      <x:c r="T47" s="5">
        <x:f t="shared" si="0"/>
        <x:v>0</x:v>
      </x:c>
    </x:row>
    <x:row r="48" spans="1:21">
      <x:c r="A48" s="3">
        <x:v>390</x:v>
      </x:c>
      <x:c r="B48" t="s">
        <x:v>20</x:v>
      </x:c>
      <x:c r="C48" s="1">
        <x:v>16512436.690000003</x:v>
      </x:c>
      <x:c r="D48" s="1">
        <x:v>10061579.930000002</x:v>
      </x:c>
      <x:c r="E48" s="1">
        <x:v>6068820.0100000016</x:v>
      </x:c>
      <x:c r="F48" s="1">
        <x:v>121055.80000000002</x:v>
      </x:c>
      <x:c r="G48" s="1">
        <x:v>260980.95000000013</x:v>
      </x:c>
      <x:c r="I48">
        <x:v>55</x:v>
      </x:c>
      <x:c r="J48">
        <x:v>48.826461999999999</x:v>
      </x:c>
      <x:c r="K48" s="4">
        <x:v>-0.05</x:v>
      </x:c>
      <x:c r="L48" s="2">
        <x:f t="shared" si="1"/>
        <x:v>1946130.2390404495</x:v>
      </x:c>
      <x:c r="M48" s="5">
        <x:v>0.58072038829896389</x:v>
      </x:c>
      <x:c r="N48" s="1">
        <x:f t="shared" si="14"/>
        <x:v>1130157.5080959252</x:v>
      </x:c>
      <x:c r="O48" s="1">
        <x:f t="shared" si="15"/>
        <x:v>688642.76755006122</x:v>
      </x:c>
      <x:c r="P48" s="1">
        <x:f t="shared" si="16"/>
        <x:v>415367.07321566658</x:v>
      </x:c>
      <x:c r="Q48" s="1">
        <x:f t="shared" si="17"/>
        <x:v>8285.3986868826378</x:v>
      </x:c>
      <x:c r="R48" s="1">
        <x:f t="shared" si="18"/>
        <x:v>17862.268643314768</x:v>
      </x:c>
      <x:c r="T48" s="5">
        <x:f t="shared" si="0"/>
        <x:v>0</x:v>
      </x:c>
    </x:row>
    <x:row r="49" spans="1:20">
      <x:c r="A49" s="3">
        <x:v>390</x:v>
      </x:c>
      <x:c r="B49" t="s">
        <x:v>19</x:v>
      </x:c>
      <x:c r="C49" s="1">
        <x:v>16278300.980000006</x:v>
      </x:c>
      <x:c r="D49" s="1">
        <x:v>3758168.3699999996</x:v>
      </x:c>
      <x:c r="E49" s="1">
        <x:v>11214990.830000006</x:v>
      </x:c>
      <x:c r="F49" s="1">
        <x:v>972248.70000000042</x:v>
      </x:c>
      <x:c r="G49" s="1">
        <x:v>332893.08000000089</x:v>
      </x:c>
      <x:c r="I49">
        <x:v>55</x:v>
      </x:c>
      <x:c r="J49">
        <x:v>48.118098000000003</x:v>
      </x:c>
      <x:c r="K49" s="4">
        <x:v>-0.05</x:v>
      </x:c>
      <x:c r="L49" s="2">
        <x:f t="shared" si="1"/>
        <x:v>2138671.9213528573</x:v>
      </x:c>
      <x:c r="M49" s="5">
        <x:v>0.58072038829896389</x:v>
      </x:c>
      <x:c r="N49" s="1">
        <x:f t="shared" si="14"/>
        <x:v>1241970.3886121225</x:v>
      </x:c>
      <x:c r="O49" s="1">
        <x:f t="shared" si="15"/>
        <x:v>286733.47646620823</x:v>
      </x:c>
      <x:c r="P49" s="1">
        <x:f t="shared" si="16"/>
        <x:v>855659.72373466298</x:v>
      </x:c>
      <x:c r="Q49" s="1">
        <x:f t="shared" si="17"/>
        <x:v>74178.754726934101</x:v>
      </x:c>
      <x:c r="R49" s="1">
        <x:f t="shared" si="18"/>
        <x:v>25398.433684317304</x:v>
      </x:c>
      <x:c r="T49" s="5">
        <x:f t="shared" si="0"/>
        <x:v>0</x:v>
      </x:c>
    </x:row>
    <x:row r="50" spans="1:20">
      <x:c r="A50" s="3">
        <x:v>390</x:v>
      </x:c>
      <x:c r="B50" t="s">
        <x:v>18</x:v>
      </x:c>
      <x:c r="C50" s="1">
        <x:v>5824590.3699999973</x:v>
      </x:c>
      <x:c r="D50" s="1">
        <x:v>873971.17999999993</x:v>
      </x:c>
      <x:c r="E50" s="1">
        <x:v>4414433.6099999985</x:v>
      </x:c>
      <x:c r="F50" s="1">
        <x:v>339851.47999999992</x:v>
      </x:c>
      <x:c r="G50" s="1">
        <x:v>196334.09999999986</x:v>
      </x:c>
      <x:c r="I50">
        <x:v>55</x:v>
      </x:c>
      <x:c r="J50">
        <x:v>47.413103999999997</x:v>
      </x:c>
      <x:c r="K50" s="4">
        <x:v>-0.05</x:v>
      </x:c>
      <x:c r="L50" s="2">
        <x:f t="shared" si="1"/>
        <x:v>843637.98997783836</x:v>
      </x:c>
      <x:c r="M50" s="5">
        <x:v>0.58072038829896389</x:v>
      </x:c>
      <x:c r="N50" s="1">
        <x:f t="shared" si="14"/>
        <x:v>489917.78112368769</x:v>
      </x:c>
      <x:c r="O50" s="1">
        <x:f t="shared" si="15"/>
        <x:v>73511.439272535688</x:v>
      </x:c>
      <x:c r="P50" s="1">
        <x:f t="shared" si="16"/>
        <x:v>371306.71545045165</x:v>
      </x:c>
      <x:c r="Q50" s="1">
        <x:f t="shared" si="17"/>
        <x:v>28585.578112199739</x:v>
      </x:c>
      <x:c r="R50" s="1">
        <x:f t="shared" si="18"/>
        <x:v>16514.048288500704</x:v>
      </x:c>
      <x:c r="T50" s="5">
        <x:f t="shared" si="0"/>
        <x:v>0</x:v>
      </x:c>
    </x:row>
    <x:row r="51" spans="1:20">
      <x:c r="A51" s="3">
        <x:v>390</x:v>
      </x:c>
      <x:c r="B51" t="s">
        <x:v>17</x:v>
      </x:c>
      <x:c r="C51" s="1">
        <x:v>3496781.0299999993</x:v>
      </x:c>
      <x:c r="D51" s="1">
        <x:v>399591.78</x:v>
      </x:c>
      <x:c r="E51" s="1">
        <x:v>2689437.1499999994</x:v>
      </x:c>
      <x:c r="F51" s="1">
        <x:v>291676.27999999991</x:v>
      </x:c>
      <x:c r="G51" s="1">
        <x:v>116075.81999999998</x:v>
      </x:c>
      <x:c r="I51">
        <x:v>55</x:v>
      </x:c>
      <x:c r="J51">
        <x:v>46.711534999999998</x:v>
      </x:c>
      <x:c r="K51" s="4">
        <x:v>-0.05</x:v>
      </x:c>
      <x:c r="L51" s="2">
        <x:f t="shared" si="1"/>
        <x:v>553310.80979654379</x:v>
      </x:c>
      <x:c r="M51" s="5">
        <x:v>0.58072038829896389</x:v>
      </x:c>
      <x:c r="N51" s="1">
        <x:f t="shared" si="14"/>
        <x:v>321318.86831506307</x:v>
      </x:c>
      <x:c r="O51" s="1">
        <x:f t="shared" si="15"/>
        <x:v>36718.449750226908</x:v>
      </x:c>
      <x:c r="P51" s="1">
        <x:f t="shared" si="16"/>
        <x:v>247132.11780449646</x:v>
      </x:c>
      <x:c r="Q51" s="1">
        <x:f t="shared" si="17"/>
        <x:v>26802.104964504299</x:v>
      </x:c>
      <x:c r="R51" s="1">
        <x:f t="shared" si="18"/>
        <x:v>10666.195795835396</x:v>
      </x:c>
      <x:c r="T51" s="5">
        <x:f t="shared" si="0"/>
        <x:v>0</x:v>
      </x:c>
    </x:row>
    <x:row r="52" spans="1:20">
      <x:c r="A52" s="3">
        <x:v>390</x:v>
      </x:c>
      <x:c r="B52" t="s">
        <x:v>16</x:v>
      </x:c>
      <x:c r="C52" s="1">
        <x:v>1641229.58</x:v>
      </x:c>
      <x:c r="D52" s="1">
        <x:v>423032.79</x:v>
      </x:c>
      <x:c r="E52" s="1">
        <x:v>1072699.96</x:v>
      </x:c>
      <x:c r="F52" s="1">
        <x:v>106238.96</x:v>
      </x:c>
      <x:c r="G52" s="1">
        <x:v>39257.870000000003</x:v>
      </x:c>
      <x:c r="I52">
        <x:v>55</x:v>
      </x:c>
      <x:c r="J52">
        <x:v>46.013267999999997</x:v>
      </x:c>
      <x:c r="K52" s="4">
        <x:v>-0.05</x:v>
      </x:c>
      <x:c r="L52" s="2">
        <x:f t="shared" si="1"/>
        <x:v>281577.36191325809</x:v>
      </x:c>
      <x:c r="M52" s="5">
        <x:v>0.58072038829896389</x:v>
      </x:c>
      <x:c r="N52" s="1">
        <x:f t="shared" si="14"/>
        <x:v>163517.71494646513</x:v>
      </x:c>
      <x:c r="O52" s="1">
        <x:f t="shared" si="15"/>
        <x:v>42147.275439812533</x:v>
      </x:c>
      <x:c r="P52" s="1">
        <x:f t="shared" si="16"/>
        <x:v>106874.41197736913</x:v>
      </x:c>
      <x:c r="Q52" s="1">
        <x:f t="shared" si="17"/>
        <x:v>10584.717817167852</x:v>
      </x:c>
      <x:c r="R52" s="1">
        <x:f t="shared" si="18"/>
        <x:v>3911.309712115587</x:v>
      </x:c>
      <x:c r="T52" s="5">
        <x:f t="shared" si="0"/>
        <x:v>0</x:v>
      </x:c>
    </x:row>
    <x:row r="53" spans="1:20">
      <x:c r="A53" s="3">
        <x:v>390</x:v>
      </x:c>
      <x:c r="B53" t="s">
        <x:v>15</x:v>
      </x:c>
      <x:c r="C53" s="1">
        <x:v>30170648.560000006</x:v>
      </x:c>
      <x:c r="D53" s="1">
        <x:v>4293112.16</x:v>
      </x:c>
      <x:c r="E53" s="1">
        <x:v>14827146.460000003</x:v>
      </x:c>
      <x:c r="F53" s="1">
        <x:v>6266676.2499999991</x:v>
      </x:c>
      <x:c r="G53" s="1">
        <x:v>4783713.6900000023</x:v>
      </x:c>
      <x:c r="I53">
        <x:v>55</x:v>
      </x:c>
      <x:c r="J53">
        <x:v>45.318030999999998</x:v>
      </x:c>
      <x:c r="K53" s="4">
        <x:v>-0.05</x:v>
      </x:c>
      <x:c r="L53" s="2">
        <x:f t="shared" si="1"/>
        <x:v>5576669.9685673742</x:v>
      </x:c>
      <x:c r="M53" s="5">
        <x:v>0.58072038829896389</x:v>
      </x:c>
      <x:c r="N53" s="1">
        <x:f t="shared" si="14"/>
        <x:v>3238485.9495616164</x:v>
      </x:c>
      <x:c r="O53" s="1">
        <x:f t="shared" si="15"/>
        <x:v>460818.18169745436</x:v>
      </x:c>
      <x:c r="P53" s="1">
        <x:f t="shared" si="16"/>
        <x:v>1591530.4368519103</x:v>
      </x:c>
      <x:c r="Q53" s="1">
        <x:f t="shared" si="17"/>
        <x:v>672658.49276381859</x:v>
      </x:c>
      <x:c r="R53" s="1">
        <x:f t="shared" si="18"/>
        <x:v>513478.83824843296</x:v>
      </x:c>
      <x:c r="T53" s="5">
        <x:f t="shared" si="0"/>
        <x:v>0</x:v>
      </x:c>
    </x:row>
    <x:row r="54" spans="1:20">
      <x:c r="A54" s="3">
        <x:v>390</x:v>
      </x:c>
      <x:c r="B54" t="s">
        <x:v>14</x:v>
      </x:c>
      <x:c r="C54" s="1">
        <x:v>4510079.8999999994</x:v>
      </x:c>
      <x:c r="D54" s="1">
        <x:v>1771468.77</x:v>
      </x:c>
      <x:c r="E54" s="1">
        <x:v>2033675.0300000003</x:v>
      </x:c>
      <x:c r="F54" s="1">
        <x:v>551399.87999999989</x:v>
      </x:c>
      <x:c r="G54" s="1">
        <x:v>153536.21999999994</x:v>
      </x:c>
      <x:c r="I54">
        <x:v>55</x:v>
      </x:c>
      <x:c r="J54">
        <x:v>44.625705000000004</x:v>
      </x:c>
      <x:c r="K54" s="4">
        <x:v>-0.05</x:v>
      </x:c>
      <x:c r="L54" s="2">
        <x:f t="shared" si="1"/>
        <x:v>893242.62407234556</x:v>
      </x:c>
      <x:c r="M54" s="5">
        <x:v>0.58072038829896389</x:v>
      </x:c>
      <x:c r="N54" s="1">
        <x:f t="shared" si="14"/>
        <x:v>518724.20349647792</x:v>
      </x:c>
      <x:c r="O54" s="1">
        <x:f t="shared" si="15"/>
        <x:v>203744.44513436127</x:v>
      </x:c>
      <x:c r="P54" s="1">
        <x:f t="shared" si="16"/>
        <x:v>233901.94486519543</x:v>
      </x:c>
      <x:c r="Q54" s="1">
        <x:f t="shared" si="17"/>
        <x:v>63418.934897595384</x:v>
      </x:c>
      <x:c r="R54" s="1">
        <x:f t="shared" si="18"/>
        <x:v>17658.878599325919</x:v>
      </x:c>
      <x:c r="T54" s="5">
        <x:f t="shared" si="0"/>
        <x:v>0</x:v>
      </x:c>
    </x:row>
    <x:row r="55" spans="1:20">
      <x:c r="A55" s="3">
        <x:v>390</x:v>
      </x:c>
      <x:c r="B55" t="s">
        <x:v>30</x:v>
      </x:c>
      <x:c r="C55" s="1">
        <x:v>1043248.21</x:v>
      </x:c>
      <x:c r="D55" s="1">
        <x:v>281066.03000000003</x:v>
      </x:c>
      <x:c r="E55" s="1">
        <x:v>665200.03999999992</x:v>
      </x:c>
      <x:c r="F55" s="1">
        <x:v>81887.170000000013</x:v>
      </x:c>
      <x:c r="G55" s="1">
        <x:v>15094.970000000028</x:v>
      </x:c>
      <x:c r="I55">
        <x:v>55</x:v>
      </x:c>
      <x:c r="J55">
        <x:v>43.936168000000002</x:v>
      </x:c>
      <x:c r="K55" s="4">
        <x:v>-0.05</x:v>
      </x:c>
      <x:c r="L55" s="2">
        <x:f t="shared" si="1"/>
        <x:v>220353.4377495955</x:v>
      </x:c>
      <x:c r="M55" s="5">
        <x:v>0.58072038829896389</x:v>
      </x:c>
      <x:c r="N55" s="1">
        <x:f t="shared" si="14"/>
        <x:v>127963.73393295666</x:v>
      </x:c>
      <x:c r="O55" s="1">
        <x:f t="shared" si="15"/>
        <x:v>34475.26517252536</x:v>
      </x:c>
      <x:c r="P55" s="1">
        <x:f t="shared" si="16"/>
        <x:v>81592.740936264934</x:v>
      </x:c>
      <x:c r="Q55" s="1">
        <x:f t="shared" si="17"/>
        <x:v>10044.194597182959</x:v>
      </x:c>
      <x:c r="R55" s="1">
        <x:f t="shared" si="18"/>
        <x:v>1851.5332269834103</x:v>
      </x:c>
      <x:c r="T55" s="5">
        <x:f t="shared" si="0"/>
        <x:v>0</x:v>
      </x:c>
    </x:row>
    <x:row r="56" spans="1:20">
      <x:c r="A56" s="3">
        <x:v>390</x:v>
      </x:c>
      <x:c r="B56" t="s">
        <x:v>29</x:v>
      </x:c>
      <x:c r="C56" s="1">
        <x:v>1437544.57</x:v>
      </x:c>
      <x:c r="D56" s="1">
        <x:v>286313.11999999994</x:v>
      </x:c>
      <x:c r="E56" s="1">
        <x:v>998603.38000000024</x:v>
      </x:c>
      <x:c r="F56" s="1">
        <x:v>115434.13999999997</x:v>
      </x:c>
      <x:c r="G56" s="1">
        <x:v>37193.929999999971</x:v>
      </x:c>
      <x:c r="I56">
        <x:v>55</x:v>
      </x:c>
      <x:c r="J56">
        <x:v>43.249312000000003</x:v>
      </x:c>
      <x:c r="K56" s="4">
        <x:v>-0.05</x:v>
      </x:c>
      <x:c r="L56" s="2">
        <x:f t="shared" si="1"/>
        <x:v>322486.26571949746</x:v>
      </x:c>
      <x:c r="M56" s="5">
        <x:v>0.58072038829896389</x:v>
      </x:c>
      <x:c r="N56" s="1">
        <x:f t="shared" si="14"/>
        <x:v>187274.34944970941</x:v>
      </x:c>
      <x:c r="O56" s="1">
        <x:f t="shared" si="15"/>
        <x:v>37299.089298439329</x:v>
      </x:c>
      <x:c r="P56" s="1">
        <x:f t="shared" si="16"/>
        <x:v>130091.82619484347</x:v>
      </x:c>
      <x:c r="Q56" s="1">
        <x:f t="shared" si="17"/>
        <x:v>15038.040505962659</x:v>
      </x:c>
      <x:c r="R56" s="1">
        <x:f t="shared" si="18"/>
        <x:v>4845.3934504639565</x:v>
      </x:c>
      <x:c r="T56" s="5">
        <x:f t="shared" si="0"/>
        <x:v>0</x:v>
      </x:c>
    </x:row>
    <x:row r="57" spans="1:20">
      <x:c r="A57" s="3">
        <x:v>390</x:v>
      </x:c>
      <x:c r="B57" t="s">
        <x:v>87</x:v>
      </x:c>
      <x:c r="C57" s="1">
        <x:v>1368102.26</x:v>
      </x:c>
      <x:c r="D57" s="1">
        <x:v>200940.76999999996</x:v>
      </x:c>
      <x:c r="E57" s="1">
        <x:v>915340.45000000007</x:v>
      </x:c>
      <x:c r="F57" s="1">
        <x:v>178022.84</x:v>
      </x:c>
      <x:c r="G57" s="1">
        <x:v>73798.200000000026</x:v>
      </x:c>
      <x:c r="I57">
        <x:v>55</x:v>
      </x:c>
      <x:c r="J57">
        <x:v>42.565390999999998</x:v>
      </x:c>
      <x:c r="K57" s="4">
        <x:v>-0.05</x:v>
      </x:c>
      <x:c r="L57" s="2">
        <x:f t="shared" si="1"/>
        <x:v>324771.04561585747</x:v>
      </x:c>
      <x:c r="M57" s="5">
        <x:v>0.58072038829896389</x:v>
      </x:c>
      <x:c r="N57" s="1">
        <x:f t="shared" si="14"/>
        <x:v>188601.16771830127</x:v>
      </x:c>
      <x:c r="O57" s="1">
        <x:f t="shared" si="15"/>
        <x:v>27700.899978203815</x:v>
      </x:c>
      <x:c r="P57" s="1">
        <x:f t="shared" si="16"/>
        <x:v>126185.21493400309</x:v>
      </x:c>
      <x:c r="Q57" s="1">
        <x:f t="shared" si="17"/>
        <x:v>24541.524772079763</x:v>
      </x:c>
      <x:c r="R57" s="1">
        <x:f t="shared" si="18"/>
        <x:v>10173.528034014611</x:v>
      </x:c>
      <x:c r="T57" s="5">
        <x:f t="shared" si="0"/>
        <x:v>0</x:v>
      </x:c>
    </x:row>
    <x:row r="58" spans="1:20">
      <x:c r="A58" s="3">
        <x:v>390</x:v>
      </x:c>
      <x:c r="B58" t="s">
        <x:v>86</x:v>
      </x:c>
      <x:c r="C58" s="1">
        <x:v>385645.1</x:v>
      </x:c>
      <x:c r="D58" s="1">
        <x:v>281589.63</x:v>
      </x:c>
      <x:c r="E58" s="1">
        <x:v>95501.57</x:v>
      </x:c>
      <x:c r="F58" s="1">
        <x:v>4425.25</x:v>
      </x:c>
      <x:c r="G58" s="1">
        <x:v>4128.6499999999933</x:v>
      </x:c>
      <x:c r="I58">
        <x:v>55</x:v>
      </x:c>
      <x:c r="J58">
        <x:v>41.884146000000001</x:v>
      </x:c>
      <x:c r="K58" s="4">
        <x:v>-0.05</x:v>
      </x:c>
      <x:c r="L58" s="2">
        <x:f t="shared" si="1"/>
        <x:v>96563.055796112181</x:v>
      </x:c>
      <x:c r="M58" s="5">
        <x:v>0.58072038829896389</x:v>
      </x:c>
      <x:c r="N58" s="1">
        <x:f t="shared" si="14"/>
        <x:v>56076.135257252783</x:v>
      </x:c>
      <x:c r="O58" s="1">
        <x:f t="shared" si="15"/>
        <x:v>40945.569330246297</x:v>
      </x:c>
      <x:c r="P58" s="1">
        <x:f t="shared" si="16"/>
        <x:v>13886.754833913345</x:v>
      </x:c>
      <x:c r="Q58" s="1">
        <x:f t="shared" si="17"/>
        <x:v>643.46965006727146</x:v>
      </x:c>
      <x:c r="R58" s="1">
        <x:f t="shared" si="18"/>
        <x:v>600.34144302587106</x:v>
      </x:c>
      <x:c r="T58" s="5">
        <x:f t="shared" si="0"/>
        <x:v>0</x:v>
      </x:c>
    </x:row>
    <x:row r="59" spans="1:20">
      <x:c r="A59" s="3">
        <x:v>390</x:v>
      </x:c>
      <x:c r="B59" t="s">
        <x:v>28</x:v>
      </x:c>
      <x:c r="C59" s="1">
        <x:v>8644035.8100000024</x:v>
      </x:c>
      <x:c r="D59" s="1">
        <x:v>1568232.83</x:v>
      </x:c>
      <x:c r="E59" s="1">
        <x:v>6395318.8400000017</x:v>
      </x:c>
      <x:c r="F59" s="1">
        <x:v>651408.18000000005</x:v>
      </x:c>
      <x:c r="G59" s="1">
        <x:v>29075.959999999966</x:v>
      </x:c>
      <x:c r="I59">
        <x:v>55</x:v>
      </x:c>
      <x:c r="J59">
        <x:v>41.205655</x:v>
      </x:c>
      <x:c r="K59" s="4">
        <x:v>-0.05</x:v>
      </x:c>
      <x:c r="L59" s="2">
        <x:f t="shared" si="1"/>
        <x:v>2276377.3229685314</x:v>
      </x:c>
      <x:c r="M59" s="5">
        <x:v>0.58072038829896389</x:v>
      </x:c>
      <x:c r="N59" s="1">
        <x:f t="shared" si="14"/>
        <x:v>1321938.7229092414</x:v>
      </x:c>
      <x:c r="O59" s="1">
        <x:f t="shared" si="15"/>
        <x:v>239830.99446629261</x:v>
      </x:c>
      <x:c r="P59" s="1">
        <x:f t="shared" si="16"/>
        <x:v>978040.79087300901</x:v>
      </x:c>
      <x:c r="Q59" s="1">
        <x:f t="shared" si="17"/>
        <x:v>99620.329726726704</x:v>
      </x:c>
      <x:c r="R59" s="1">
        <x:f t="shared" si="18"/>
        <x:v>4446.6078432130116</x:v>
      </x:c>
      <x:c r="T59" s="5">
        <x:f t="shared" si="0"/>
        <x:v>0</x:v>
      </x:c>
    </x:row>
    <x:row r="60" spans="1:20">
      <x:c r="A60" s="3">
        <x:v>390</x:v>
      </x:c>
      <x:c r="B60" t="s">
        <x:v>85</x:v>
      </x:c>
      <x:c r="C60" s="1">
        <x:v>679747.19</x:v>
      </x:c>
      <x:c r="D60" s="1">
        <x:v>56906.91</x:v>
      </x:c>
      <x:c r="E60" s="1">
        <x:v>543803.69999999995</x:v>
      </x:c>
      <x:c r="F60" s="1">
        <x:v>46780.179999999971</x:v>
      </x:c>
      <x:c r="G60" s="1">
        <x:v>32256.400000000009</x:v>
      </x:c>
      <x:c r="I60">
        <x:v>55</x:v>
      </x:c>
      <x:c r="J60">
        <x:v>40.530034000000001</x:v>
      </x:c>
      <x:c r="K60" s="4">
        <x:v>-0.05</x:v>
      </x:c>
      <x:c r="L60" s="2">
        <x:f t="shared" si="1"/>
        <x:v>187776.6302598239</x:v>
      </x:c>
      <x:c r="M60" s="5">
        <x:v>0.58072038829896389</x:v>
      </x:c>
      <x:c r="N60" s="1">
        <x:f t="shared" si="14"/>
        <x:v>109045.71763795591</x:v>
      </x:c>
      <x:c r="O60" s="1">
        <x:f t="shared" si="15"/>
        <x:v>9129.0628792574644</x:v>
      </x:c>
      <x:c r="P60" s="1">
        <x:f t="shared" si="16"/>
        <x:v>87237.528294417352</x:v>
      </x:c>
      <x:c r="Q60" s="1">
        <x:f t="shared" si="17"/>
        <x:v>7504.5228202160715</x:v>
      </x:c>
      <x:c r="R60" s="1">
        <x:f t="shared" si="18"/>
        <x:v>5174.6036440650269</x:v>
      </x:c>
      <x:c r="T60" s="5">
        <x:f t="shared" si="0"/>
        <x:v>0</x:v>
      </x:c>
    </x:row>
    <x:row r="61" spans="1:20">
      <x:c r="A61" s="3">
        <x:v>390</x:v>
      </x:c>
      <x:c r="B61" t="s">
        <x:v>27</x:v>
      </x:c>
      <x:c r="C61" s="1">
        <x:v>648332.12</x:v>
      </x:c>
      <x:c r="D61" s="1">
        <x:v>112279.79</x:v>
      </x:c>
      <x:c r="E61" s="1">
        <x:v>461727.66</x:v>
      </x:c>
      <x:c r="F61" s="1">
        <x:v>-3241.2400000000007</x:v>
      </x:c>
      <x:c r="G61" s="1">
        <x:v>77565.91</x:v>
      </x:c>
      <x:c r="I61">
        <x:v>55</x:v>
      </x:c>
      <x:c r="J61">
        <x:v>39.857419999999998</x:v>
      </x:c>
      <x:c r="K61" s="4">
        <x:v>-0.05</x:v>
      </x:c>
      <x:c r="L61" s="2">
        <x:f t="shared" si="1"/>
        <x:v>187423.49169732878</x:v>
      </x:c>
      <x:c r="M61" s="5">
        <x:v>0.58072038829896389</x:v>
      </x:c>
      <x:c r="N61" s="1">
        <x:f t="shared" si="14"/>
        <x:v>108840.64287482041</x:v>
      </x:c>
      <x:c r="O61" s="1">
        <x:f t="shared" si="15"/>
        <x:v>18849.29675464765</x:v>
      </x:c>
      <x:c r="P61" s="1">
        <x:f t="shared" si="16"/>
        <x:v>77513.875677617965</x:v>
      </x:c>
      <x:c r="Q61" s="1">
        <x:f t="shared" si="17"/>
        <x:v>-544.13260492412894</x:v>
      </x:c>
      <x:c r="R61" s="1">
        <x:f t="shared" si="18"/>
        <x:v>13021.603047478908</x:v>
      </x:c>
      <x:c r="T61" s="5">
        <x:f t="shared" si="0"/>
        <x:v>0</x:v>
      </x:c>
    </x:row>
    <x:row r="62" spans="1:20">
      <x:c r="A62" s="3">
        <x:v>390</x:v>
      </x:c>
      <x:c r="B62" t="s">
        <x:v>84</x:v>
      </x:c>
      <x:c r="C62" s="1">
        <x:v>2552715.7399999998</x:v>
      </x:c>
      <x:c r="D62" s="1">
        <x:v>561628.66999999993</x:v>
      </x:c>
      <x:c r="E62" s="1">
        <x:v>1820848.5699999998</x:v>
      </x:c>
      <x:c r="F62" s="1">
        <x:v>123575.80000000003</x:v>
      </x:c>
      <x:c r="G62" s="1">
        <x:v>46662.69999999999</x:v>
      </x:c>
      <x:c r="I62">
        <x:v>55</x:v>
      </x:c>
      <x:c r="J62">
        <x:v>39.188146000000003</x:v>
      </x:c>
      <x:c r="K62" s="4">
        <x:v>-0.05</x:v>
      </x:c>
      <x:c r="L62" s="2">
        <x:f t="shared" si="1"/>
        <x:v>770569.58206547343</x:v>
      </x:c>
      <x:c r="M62" s="5">
        <x:v>0.58072038829896389</x:v>
      </x:c>
      <x:c r="N62" s="1">
        <x:f t="shared" si="14"/>
        <x:v>447485.46690843202</x:v>
      </x:c>
      <x:c r="O62" s="1">
        <x:f t="shared" si="15"/>
        <x:v>98452.273273526211</x:v>
      </x:c>
      <x:c r="P62" s="1">
        <x:f t="shared" si="16"/>
        <x:v>319190.75819856103</x:v>
      </x:c>
      <x:c r="Q62" s="1">
        <x:f t="shared" si="17"/>
        <x:v>21662.566534565667</x:v>
      </x:c>
      <x:c r="R62" s="1">
        <x:f t="shared" si="18"/>
        <x:v>8179.8689017791266</x:v>
      </x:c>
      <x:c r="T62" s="5">
        <x:f t="shared" si="0"/>
        <x:v>0</x:v>
      </x:c>
    </x:row>
    <x:row r="63" spans="1:20">
      <x:c r="A63" s="3">
        <x:v>390</x:v>
      </x:c>
      <x:c r="B63" t="s">
        <x:v>26</x:v>
      </x:c>
      <x:c r="C63" s="1">
        <x:v>1171167.2700000003</x:v>
      </x:c>
      <x:c r="D63" s="1">
        <x:v>719504.08000000019</x:v>
      </x:c>
      <x:c r="E63" s="1">
        <x:v>398676.12</x:v>
      </x:c>
      <x:c r="F63" s="1">
        <x:v>27722.460000000003</x:v>
      </x:c>
      <x:c r="G63" s="1">
        <x:v>25264.609999999997</x:v>
      </x:c>
      <x:c r="I63">
        <x:v>55</x:v>
      </x:c>
      <x:c r="J63">
        <x:v>38.522413</x:v>
      </x:c>
      <x:c r="K63" s="4">
        <x:v>-0.05</x:v>
      </x:c>
      <x:c r="L63" s="2">
        <x:f t="shared" si="1"/>
        <x:v>368416.56567502493</x:v>
      </x:c>
      <x:c r="M63" s="5">
        <x:v>0.58072038829896389</x:v>
      </x:c>
      <x:c r="N63" s="1">
        <x:f t="shared" si="14"/>
        <x:v>213947.0110745712</x:v>
      </x:c>
      <x:c r="O63" s="1">
        <x:f t="shared" si="15"/>
        <x:v>131437.88365257098</x:v>
      </x:c>
      <x:c r="P63" s="1">
        <x:f t="shared" si="16"/>
        <x:v>72829.532079398923</x:v>
      </x:c>
      <x:c r="Q63" s="1">
        <x:f t="shared" si="17"/>
        <x:v>5064.2957744493287</x:v>
      </x:c>
      <x:c r="R63" s="1">
        <x:f t="shared" si="18"/>
        <x:v>4615.2995681519687</x:v>
      </x:c>
      <x:c r="T63" s="5">
        <x:f t="shared" si="0"/>
        <x:v>0</x:v>
      </x:c>
    </x:row>
    <x:row r="64" spans="1:20">
      <x:c r="A64" s="3">
        <x:v>390</x:v>
      </x:c>
      <x:c r="B64" t="s">
        <x:v>25</x:v>
      </x:c>
      <x:c r="C64" s="1">
        <x:v>960302.60000000009</x:v>
      </x:c>
      <x:c r="D64" s="1">
        <x:v>913513.35</x:v>
      </x:c>
      <x:c r="E64" s="1">
        <x:v>38296.679999999993</x:v>
      </x:c>
      <x:c r="F64" s="1">
        <x:v>1837.7899999999995</x:v>
      </x:c>
      <x:c r="G64" s="1">
        <x:v>6654.7800000000125</x:v>
      </x:c>
      <x:c r="I64">
        <x:v>55</x:v>
      </x:c>
      <x:c r="J64">
        <x:v>37.860239999999997</x:v>
      </x:c>
      <x:c r="K64" s="4">
        <x:v>-0.05</x:v>
      </x:c>
      <x:c r="L64" s="2">
        <x:f t="shared" si="1"/>
        <x:v>314224.07083536003</x:v>
      </x:c>
      <x:c r="M64" s="5">
        <x:v>0.58072038829896389</x:v>
      </x:c>
      <x:c r="N64" s="1">
        <x:f t="shared" si="14"/>
        <x:v>182476.32442839141</x:v>
      </x:c>
      <x:c r="O64" s="1">
        <x:f t="shared" si="15"/>
        <x:v>173585.44944506726</x:v>
      </x:c>
      <x:c r="P64" s="1">
        <x:f t="shared" si="16"/>
        <x:v>7277.1201538039013</x:v>
      </x:c>
      <x:c r="Q64" s="1">
        <x:f t="shared" si="17"/>
        <x:v>349.21613694605566</x:v>
      </x:c>
      <x:c r="R64" s="1">
        <x:f t="shared" si="18"/>
        <x:v>1264.5386925741666</x:v>
      </x:c>
      <x:c r="T64" s="5">
        <x:f t="shared" si="0"/>
        <x:v>0</x:v>
      </x:c>
    </x:row>
    <x:row r="65" spans="1:20">
      <x:c r="A65" s="3">
        <x:v>390</x:v>
      </x:c>
      <x:c r="B65" t="s">
        <x:v>24</x:v>
      </x:c>
      <x:c r="C65" s="1">
        <x:v>5193706.9200000009</x:v>
      </x:c>
      <x:c r="D65" s="1">
        <x:v>4601817.7100000009</x:v>
      </x:c>
      <x:c r="E65" s="1">
        <x:v>477409.45999999996</x:v>
      </x:c>
      <x:c r="F65" s="1">
        <x:v>74327.709999999992</x:v>
      </x:c>
      <x:c r="G65" s="1">
        <x:v>40152.04</x:v>
      </x:c>
      <x:c r="I65">
        <x:v>55</x:v>
      </x:c>
      <x:c r="J65">
        <x:v>37.201816000000001</x:v>
      </x:c>
      <x:c r="K65" s="4">
        <x:v>-0.05</x:v>
      </x:c>
      <x:c r="L65" s="2">
        <x:f t="shared" si="1"/>
        <x:v>1764735.9813535444</x:v>
      </x:c>
      <x:c r="M65" s="5">
        <x:v>0.58072038829896389</x:v>
      </x:c>
      <x:c r="N65" s="1">
        <x:f t="shared" si="14"/>
        <x:v>1024818.1643367833</x:v>
      </x:c>
      <x:c r="O65" s="1">
        <x:f t="shared" si="15"/>
        <x:v>908027.05097088928</x:v>
      </x:c>
      <x:c r="P65" s="1">
        <x:f t="shared" si="16"/>
        <x:v>94202.059140105441</x:v>
      </x:c>
      <x:c r="Q65" s="1">
        <x:f t="shared" si="17"/>
        <x:v>14666.285274633239</x:v>
      </x:c>
      <x:c r="R65" s="1">
        <x:f t="shared" si="18"/>
        <x:v>7922.768951155429</x:v>
      </x:c>
      <x:c r="T65" s="5">
        <x:f t="shared" si="0"/>
        <x:v>0</x:v>
      </x:c>
    </x:row>
    <x:row r="66" spans="1:20">
      <x:c r="A66" s="3">
        <x:v>390</x:v>
      </x:c>
      <x:c r="B66" t="s">
        <x:v>83</x:v>
      </x:c>
      <x:c r="C66" s="1">
        <x:v>3526799.5700000003</x:v>
      </x:c>
      <x:c r="D66" s="1">
        <x:v>2244096.27</x:v>
      </x:c>
      <x:c r="E66" s="1">
        <x:v>1204081.1300000004</x:v>
      </x:c>
      <x:c r="F66" s="1">
        <x:v>50691.68</x:v>
      </x:c>
      <x:c r="G66" s="1">
        <x:v>27930.489999999972</x:v>
      </x:c>
      <x:c r="I66">
        <x:v>55</x:v>
      </x:c>
      <x:c r="J66">
        <x:v>36.547330000000002</x:v>
      </x:c>
      <x:c r="K66" s="4">
        <x:v>-0.05</x:v>
      </x:c>
      <x:c r="L66" s="2">
        <x:f t="shared" si="1"/>
        <x:v>1242414.7645894457</x:v>
      </x:c>
      <x:c r="M66" s="5">
        <x:v>0.58072038829896389</x:v>
      </x:c>
      <x:c r="N66" s="1">
        <x:f t="shared" si="14"/>
        <x:v>721495.5845207487</x:v>
      </x:c>
      <x:c r="O66" s="1">
        <x:f t="shared" si="15"/>
        <x:v>459086.35234535934</x:v>
      </x:c>
      <x:c r="P66" s="1">
        <x:f t="shared" si="16"/>
        <x:v>246325.08920821772</x:v>
      </x:c>
      <x:c r="Q66" s="1">
        <x:f t="shared" si="17"/>
        <x:v>10370.258520797863</x:v>
      </x:c>
      <x:c r="R66" s="1">
        <x:f t="shared" si="18"/>
        <x:v>5713.8844463738287</x:v>
      </x:c>
      <x:c r="T66" s="5">
        <x:f t="shared" si="0"/>
        <x:v>0</x:v>
      </x:c>
    </x:row>
    <x:row r="67" spans="1:20">
      <x:c r="A67" s="3">
        <x:v>390</x:v>
      </x:c>
      <x:c r="B67" t="s">
        <x:v>82</x:v>
      </x:c>
      <x:c r="C67" s="1">
        <x:v>376283.32</x:v>
      </x:c>
      <x:c r="D67" s="1">
        <x:v>311756.88</x:v>
      </x:c>
      <x:c r="E67" s="1">
        <x:v>51073.81</x:v>
      </x:c>
      <x:c r="F67" s="1">
        <x:v>10779.669999999998</x:v>
      </x:c>
      <x:c r="G67" s="1">
        <x:v>2672.96</x:v>
      </x:c>
      <x:c r="I67">
        <x:v>55</x:v>
      </x:c>
      <x:c r="J67">
        <x:v>35.896979999999999</x:v>
      </x:c>
      <x:c r="K67" s="4">
        <x:v>-0.05</x:v>
      </x:c>
      <x:c r="L67" s="2">
        <x:f t="shared" si="1"/>
        <x:v>137228.27594559491</x:v>
      </x:c>
      <x:c r="M67" s="5">
        <x:v>0.58072038829896389</x:v>
      </x:c>
      <x:c r="N67" s="1">
        <x:f t="shared" si="14"/>
        <x:v>79691.257692723244</x:v>
      </x:c>
      <x:c r="O67" s="1">
        <x:f t="shared" si="15"/>
        <x:v>66025.509346413222</x:v>
      </x:c>
      <x:c r="P67" s="1">
        <x:f t="shared" si="16"/>
        <x:v>10816.67971373056</x:v>
      </x:c>
      <x:c r="Q67" s="1">
        <x:f t="shared" si="17"/>
        <x:v>2282.9751257975449</x:v>
      </x:c>
      <x:c r="R67" s="1">
        <x:f t="shared" si="18"/>
        <x:v>566.09350678191515</x:v>
      </x:c>
      <x:c r="T67" s="5">
        <x:f t="shared" si="0"/>
        <x:v>0</x:v>
      </x:c>
    </x:row>
    <x:row r="68" spans="1:20">
      <x:c r="A68" s="3">
        <x:v>390</x:v>
      </x:c>
      <x:c r="B68" t="s">
        <x:v>23</x:v>
      </x:c>
      <x:c r="C68" s="1">
        <x:v>3186896.8200000003</x:v>
      </x:c>
      <x:c r="D68" s="1">
        <x:v>2548751.4500000002</x:v>
      </x:c>
      <x:c r="E68" s="1">
        <x:v>535879.48</x:v>
      </x:c>
      <x:c r="F68" s="1">
        <x:v>85448.810000000041</x:v>
      </x:c>
      <x:c r="G68" s="1">
        <x:v>16817.080000000027</x:v>
      </x:c>
      <x:c r="I68">
        <x:v>55</x:v>
      </x:c>
      <x:c r="J68">
        <x:v>35.251367000000002</x:v>
      </x:c>
      <x:c r="K68" s="4">
        <x:v>-0.05</x:v>
      </x:c>
      <x:c r="L68" s="2">
        <x:f t="shared" si="1"/>
        <x:v>1201521.7907708983</x:v>
      </x:c>
      <x:c r="M68" s="5">
        <x:v>0.58072038829896389</x:v>
      </x:c>
      <x:c r="N68" s="1">
        <x:f t="shared" si="14"/>
        <x:v>697748.20088614256</x:v>
      </x:c>
      <x:c r="O68" s="1">
        <x:f t="shared" si="15"/>
        <x:v>558030.84918935248</x:v>
      </x:c>
      <x:c r="P68" s="1">
        <x:f t="shared" si="16"/>
        <x:v>117326.96857810463</x:v>
      </x:c>
      <x:c r="Q68" s="1">
        <x:f t="shared" si="17"/>
        <x:v>18708.404072323199</x:v>
      </x:c>
      <x:c r="R68" s="1">
        <x:f t="shared" si="18"/>
        <x:v>3681.9790463622066</x:v>
      </x:c>
      <x:c r="T68" s="5">
        <x:f t="shared" si="0"/>
        <x:v>0</x:v>
      </x:c>
    </x:row>
    <x:row r="69" spans="1:20">
      <x:c r="A69" s="3">
        <x:v>390</x:v>
      </x:c>
      <x:c r="B69" t="s">
        <x:v>22</x:v>
      </x:c>
      <x:c r="C69" s="1">
        <x:v>2029265.4000000001</x:v>
      </x:c>
      <x:c r="D69" s="1">
        <x:v>1032301.19</x:v>
      </x:c>
      <x:c r="E69" s="1">
        <x:v>894459.5900000002</x:v>
      </x:c>
      <x:c r="F69" s="1">
        <x:v>61695.679999999993</x:v>
      </x:c>
      <x:c r="G69" s="1">
        <x:v>40808.940000000024</x:v>
      </x:c>
      <x:c r="I69">
        <x:v>55</x:v>
      </x:c>
      <x:c r="J69">
        <x:v>34.610298</x:v>
      </x:c>
      <x:c r="K69" s="4">
        <x:v>-0.05</x:v>
      </x:c>
      <x:c r="L69" s="2">
        <x:f t="shared" si="1"/>
        <x:v>789907.68407557008</x:v>
      </x:c>
      <x:c r="M69" s="5">
        <x:v>0.58072038829896389</x:v>
      </x:c>
      <x:c r="N69" s="1">
        <x:f t="shared" si="14"/>
        <x:v>458715.49701670033</x:v>
      </x:c>
      <x:c r="O69" s="1">
        <x:f t="shared" si="15"/>
        <x:v>233351.71113733135</x:v>
      </x:c>
      <x:c r="P69" s="1">
        <x:f t="shared" si="16"/>
        <x:v>202192.61383365825</x:v>
      </x:c>
      <x:c r="Q69" s="1">
        <x:f t="shared" si="17"/>
        <x:v>13946.31008589773</x:v>
      </x:c>
      <x:c r="R69" s="1">
        <x:f t="shared" si="18"/>
        <x:v>9224.8619598130008</x:v>
      </x:c>
      <x:c r="T69" s="5">
        <x:f t="shared" si="0"/>
        <x:v>0</x:v>
      </x:c>
    </x:row>
    <x:row r="70" spans="1:20">
      <x:c r="A70" s="3">
        <x:v>390</x:v>
      </x:c>
      <x:c r="B70" t="s">
        <x:v>81</x:v>
      </x:c>
      <x:c r="C70" s="1">
        <x:v>3528088.0600000005</x:v>
      </x:c>
      <x:c r="D70" s="1">
        <x:v>501046.56000000006</x:v>
      </x:c>
      <x:c r="E70" s="1">
        <x:v>2855942.8500000006</x:v>
      </x:c>
      <x:c r="F70" s="1">
        <x:v>94676.399999999965</x:v>
      </x:c>
      <x:c r="G70" s="1">
        <x:v>76422.249999999913</x:v>
      </x:c>
      <x:c r="I70">
        <x:v>55</x:v>
      </x:c>
      <x:c r="J70">
        <x:v>33.973945000000001</x:v>
      </x:c>
      <x:c r="K70" s="4">
        <x:v>-0.05</x:v>
      </x:c>
      <x:c r="L70" s="2">
        <x:f t="shared" si="1"/>
        <x:v>1416197.4958931541</x:v>
      </x:c>
      <x:c r="M70" s="5">
        <x:v>0.58072038829896389</x:v>
      </x:c>
      <x:c r="N70" s="1">
        <x:f t="shared" si="14"/>
        <x:v>822414.75972309278</x:v>
      </x:c>
      <x:c r="O70" s="1">
        <x:f t="shared" si="15"/>
        <x:v>116796.42889993006</x:v>
      </x:c>
      <x:c r="P70" s="1">
        <x:f t="shared" si="16"/>
        <x:v>665734.39007801714</x:v>
      </x:c>
      <x:c r="Q70" s="1">
        <x:f t="shared" si="17"/>
        <x:v>22069.536653642193</x:v>
      </x:c>
      <x:c r="R70" s="1">
        <x:f t="shared" si="18"/>
        <x:v>17814.404091503329</x:v>
      </x:c>
      <x:c r="T70" s="5">
        <x:f t="shared" si="0"/>
        <x:v>0</x:v>
      </x:c>
    </x:row>
    <x:row r="71" spans="1:20">
      <x:c r="A71" s="3">
        <x:v>390</x:v>
      </x:c>
      <x:c r="B71" t="s">
        <x:v>80</x:v>
      </x:c>
      <x:c r="C71" s="1">
        <x:v>214895.08000000002</x:v>
      </x:c>
      <x:c r="D71" s="1">
        <x:v>21731.68</x:v>
      </x:c>
      <x:c r="E71" s="1">
        <x:v>188360.14</x:v>
      </x:c>
      <x:c r="F71" s="1">
        <x:v>1331.7200000000005</x:v>
      </x:c>
      <x:c r="G71" s="1">
        <x:v>3471.540000000005</x:v>
      </x:c>
      <x:c r="I71">
        <x:v>55</x:v>
      </x:c>
      <x:c r="J71">
        <x:v>33.342480999999999</x:v>
      </x:c>
      <x:c r="K71" s="4">
        <x:v>-0.05</x:v>
      </x:c>
      <x:c r="L71" s="2">
        <x:f t="shared" si="1"/>
        <x:v>88850.890763851741</x:v>
      </x:c>
      <x:c r="M71" s="5">
        <x:v>0.58072038829896389</x:v>
      </x:c>
      <x:c r="N71" s="1">
        <x:f t="shared" si="14"/>
        <x:v>51597.52378509281</x:v>
      </x:c>
      <x:c r="O71" s="1">
        <x:f t="shared" si="15"/>
        <x:v>5217.8992450177348</x:v>
      </x:c>
      <x:c r="P71" s="1">
        <x:f t="shared" si="16"/>
        <x:v>45226.334655094994</x:v>
      </x:c>
      <x:c r="Q71" s="1">
        <x:f t="shared" si="17"/>
        <x:v>319.75350191862844</x:v>
      </x:c>
      <x:c r="R71" s="1">
        <x:f t="shared" si="18"/>
        <x:v>833.53638306145183</x:v>
      </x:c>
      <x:c r="T71" s="5">
        <x:f t="shared" si="0"/>
        <x:v>0</x:v>
      </x:c>
    </x:row>
    <x:row r="72" spans="1:20">
      <x:c r="A72" s="3">
        <x:v>390</x:v>
      </x:c>
      <x:c r="B72" t="s">
        <x:v>79</x:v>
      </x:c>
      <x:c r="C72" s="1">
        <x:v>2828960.9899999998</x:v>
      </x:c>
      <x:c r="D72" s="1">
        <x:v>1248320.45</x:v>
      </x:c>
      <x:c r="E72" s="1">
        <x:v>1491936.3999999997</x:v>
      </x:c>
      <x:c r="F72" s="1">
        <x:v>59651.99</x:v>
      </x:c>
      <x:c r="G72" s="1">
        <x:v>29052.150000000005</x:v>
      </x:c>
      <x:c r="I72">
        <x:v>55</x:v>
      </x:c>
      <x:c r="J72">
        <x:v>32.716068</x:v>
      </x:c>
      <x:c r="K72" s="4">
        <x:v>-0.05</x:v>
      </x:c>
      <x:c r="L72" s="2">
        <x:f t="shared" si="1"/>
        <x:v>1203498.0554255149</x:v>
      </x:c>
      <x:c r="M72" s="5">
        <x:v>0.58072038829896389</x:v>
      </x:c>
      <x:c r="N72" s="1">
        <x:f t="shared" si="14"/>
        <x:v>698895.858063753</x:v>
      </x:c>
      <x:c r="O72" s="1">
        <x:f t="shared" si="15"/>
        <x:v>308398.02850773151</x:v>
      </x:c>
      <x:c r="P72" s="1">
        <x:f t="shared" si="16"/>
        <x:v>368583.4389870984</x:v>
      </x:c>
      <x:c r="Q72" s="1">
        <x:f t="shared" si="17"/>
        <x:v>14737.046174772604</x:v>
      </x:c>
      <x:c r="R72" s="1">
        <x:f t="shared" si="18"/>
        <x:v>7177.344394150472</x:v>
      </x:c>
      <x:c r="T72" s="5">
        <x:f t="shared" ref="T72:T140" si="19">+O72+P72+Q72+R72-N72</x:f>
        <x:v>0</x:v>
      </x:c>
    </x:row>
    <x:row r="73" spans="1:20">
      <x:c r="A73" s="3">
        <x:v>390</x:v>
      </x:c>
      <x:c r="B73" t="s">
        <x:v>41</x:v>
      </x:c>
      <x:c r="C73" s="1">
        <x:v>640386.91</x:v>
      </x:c>
      <x:c r="D73" s="1">
        <x:v>197032.76</x:v>
      </x:c>
      <x:c r="E73" s="1">
        <x:v>378967.62000000005</x:v>
      </x:c>
      <x:c r="F73" s="1">
        <x:v>56760.45</x:v>
      </x:c>
      <x:c r="G73" s="1">
        <x:v>7626.0799999999863</x:v>
      </x:c>
      <x:c r="I73">
        <x:v>55</x:v>
      </x:c>
      <x:c r="J73">
        <x:v>32.095092000000001</x:v>
      </x:c>
      <x:c r="K73" s="4">
        <x:v>-0.05</x:v>
      </x:c>
      <x:c r="L73" s="2">
        <x:f t="shared" si="1"/>
        <x:v>280025.51674276358</x:v>
      </x:c>
      <x:c r="M73" s="5">
        <x:v>0.58072038829896389</x:v>
      </x:c>
      <x:c r="N73" s="1">
        <x:f t="shared" si="14"/>
        <x:v>162616.52681647567</x:v>
      </x:c>
      <x:c r="O73" s="1">
        <x:f t="shared" si="15"/>
        <x:v>50033.476012594037</x:v>
      </x:c>
      <x:c r="P73" s="1">
        <x:f t="shared" si="16"/>
        <x:v>96233.069692673715</x:v>
      </x:c>
      <x:c r="Q73" s="1">
        <x:f t="shared" si="17"/>
        <x:v>14413.453953236218</x:v>
      </x:c>
      <x:c r="R73" s="1">
        <x:f t="shared" si="18"/>
        <x:v>1936.5271579717121</x:v>
      </x:c>
      <x:c r="T73" s="5">
        <x:f t="shared" si="19"/>
        <x:v>0</x:v>
      </x:c>
    </x:row>
    <x:row r="74" spans="1:20">
      <x:c r="A74" s="3">
        <x:v>390</x:v>
      </x:c>
      <x:c r="B74" t="s">
        <x:v>40</x:v>
      </x:c>
      <x:c r="C74" s="1">
        <x:v>1551320.5699999998</x:v>
      </x:c>
      <x:c r="D74" s="1">
        <x:v>714987.57000000018</x:v>
      </x:c>
      <x:c r="E74" s="1">
        <x:v>773917.35999999975</x:v>
      </x:c>
      <x:c r="F74" s="1">
        <x:v>44891.690000000017</x:v>
      </x:c>
      <x:c r="G74" s="1">
        <x:v>17523.950000000008</x:v>
      </x:c>
      <x:c r="I74">
        <x:v>55</x:v>
      </x:c>
      <x:c r="J74">
        <x:v>31.479707999999999</x:v>
      </x:c>
      <x:c r="K74" s="4">
        <x:v>-0.05</x:v>
      </x:c>
      <x:c r="L74" s="2">
        <x:f t="shared" si="1"/>
        <x:v>696579.78966557735</x:v>
      </x:c>
      <x:c r="M74" s="5">
        <x:v>0.58072038829896389</x:v>
      </x:c>
      <x:c r="N74" s="1">
        <x:f t="shared" si="14"/>
        <x:v>404518.08593580464</x:v>
      </x:c>
      <x:c r="O74" s="1">
        <x:f t="shared" si="15"/>
        <x:v>186438.1926453101</x:v>
      </x:c>
      <x:c r="P74" s="1">
        <x:f t="shared" si="16"/>
        <x:v>201804.56263768295</x:v>
      </x:c>
      <x:c r="Q74" s="1">
        <x:f t="shared" si="17"/>
        <x:v>11705.833639028913</x:v>
      </x:c>
      <x:c r="R74" s="1">
        <x:f t="shared" si="18"/>
        <x:v>4569.4970137827468</x:v>
      </x:c>
      <x:c r="T74" s="5">
        <x:f t="shared" si="19"/>
        <x:v>0</x:v>
      </x:c>
    </x:row>
    <x:row r="75" spans="1:20">
      <x:c r="A75" s="3">
        <x:v>390</x:v>
      </x:c>
      <x:c r="B75" t="s">
        <x:v>39</x:v>
      </x:c>
      <x:c r="C75" s="1">
        <x:v>526012.2300000001</x:v>
      </x:c>
      <x:c r="D75" s="1">
        <x:v>70623.55</x:v>
      </x:c>
      <x:c r="E75" s="1">
        <x:v>393712.99000000011</x:v>
      </x:c>
      <x:c r="F75" s="1">
        <x:v>44536.749999999993</x:v>
      </x:c>
      <x:c r="G75" s="1">
        <x:v>17138.94000000001</x:v>
      </x:c>
      <x:c r="I75">
        <x:v>55</x:v>
      </x:c>
      <x:c r="J75">
        <x:v>30.86983</x:v>
      </x:c>
      <x:c r="K75" s="4">
        <x:v>-0.05</x:v>
      </x:c>
      <x:c r="L75" s="2">
        <x:f t="shared" si="1"/>
        <x:v>242316.41379232833</x:v>
      </x:c>
      <x:c r="M75" s="5">
        <x:v>0.58072038829896389</x:v>
      </x:c>
      <x:c r="N75" s="1">
        <x:f t="shared" si="14"/>
        <x:v>140718.0819086933</x:v>
      </x:c>
      <x:c r="O75" s="1">
        <x:f t="shared" si="15"/>
        <x:v>18893.116788525422</x:v>
      </x:c>
      <x:c r="P75" s="1">
        <x:f t="shared" si="16"/>
        <x:v>105325.56776357947</x:v>
      </x:c>
      <x:c r="Q75" s="1">
        <x:f t="shared" si="17"/>
        <x:v>11914.411257029127</x:v>
      </x:c>
      <x:c r="R75" s="1">
        <x:f t="shared" si="18"/>
        <x:v>4584.9860995592835</x:v>
      </x:c>
      <x:c r="T75" s="5">
        <x:f t="shared" si="19"/>
        <x:v>0</x:v>
      </x:c>
    </x:row>
    <x:row r="76" spans="1:20">
      <x:c r="A76" s="3">
        <x:v>390</x:v>
      </x:c>
      <x:c r="B76" t="s">
        <x:v>78</x:v>
      </x:c>
      <x:c r="C76" s="1">
        <x:v>4518101.8399999989</x:v>
      </x:c>
      <x:c r="D76" s="1">
        <x:v>1998707.6600000001</x:v>
      </x:c>
      <x:c r="E76" s="1">
        <x:v>2397725.2999999993</x:v>
      </x:c>
      <x:c r="F76" s="1">
        <x:v>57299.009999999995</x:v>
      </x:c>
      <x:c r="G76" s="1">
        <x:v>64369.870000000272</x:v>
      </x:c>
      <x:c r="I76">
        <x:v>55</x:v>
      </x:c>
      <x:c r="J76">
        <x:v>30.265575999999999</x:v>
      </x:c>
      <x:c r="K76" s="4">
        <x:v>-0.05</x:v>
      </x:c>
      <x:c r="L76" s="2">
        <x:f t="shared" ref="L76:L123" si="20">+C76*(1-J76/I76)*(1-K76)</x:f>
        <x:v>2133459.6166368574</x:v>
      </x:c>
      <x:c r="M76" s="5">
        <x:v>0.58072038829896389</x:v>
      </x:c>
      <x:c r="N76" s="1">
        <x:f t="shared" si="14"/>
        <x:v>1238943.4969935145</x:v>
      </x:c>
      <x:c r="O76" s="1">
        <x:f t="shared" si="15"/>
        <x:v>548081.01841018372</x:v>
      </x:c>
      <x:c r="P76" s="1">
        <x:f t="shared" si="16"/>
        <x:v>657498.7180926014</x:v>
      </x:c>
      <x:c r="Q76" s="1">
        <x:f t="shared" si="17"/>
        <x:v>15712.402760639492</x:v>
      </x:c>
      <x:c r="R76" s="1">
        <x:f t="shared" si="18"/>
        <x:v>17651.357730090094</x:v>
      </x:c>
      <x:c r="T76" s="5">
        <x:f t="shared" si="19"/>
        <x:v>0</x:v>
      </x:c>
    </x:row>
    <x:row r="77" spans="1:20">
      <x:c r="A77" s="3">
        <x:v>390</x:v>
      </x:c>
      <x:c r="B77" t="s">
        <x:v>77</x:v>
      </x:c>
      <x:c r="C77" s="1">
        <x:v>2728026.6399999992</x:v>
      </x:c>
      <x:c r="D77" s="1">
        <x:v>1288675.3799999997</x:v>
      </x:c>
      <x:c r="E77" s="1">
        <x:v>1104133.5399999998</x:v>
      </x:c>
      <x:c r="F77" s="1">
        <x:v>232170.04999999996</x:v>
      </x:c>
      <x:c r="G77" s="1">
        <x:v>103047.67000000003</x:v>
      </x:c>
      <x:c r="I77">
        <x:v>55</x:v>
      </x:c>
      <x:c r="J77">
        <x:v>29.667058999999998</x:v>
      </x:c>
      <x:c r="K77" s="4">
        <x:v>-0.05</x:v>
      </x:c>
      <x:c r="L77" s="2">
        <x:f t="shared" si="20"/>
        <x:v>1319352.4511531936</x:v>
      </x:c>
      <x:c r="M77" s="5">
        <x:v>0.58072038829896389</x:v>
      </x:c>
      <x:c r="N77" s="1">
        <x:f t="shared" si="14"/>
        <x:v>766174.8677368724</x:v>
      </x:c>
      <x:c r="O77" s="1">
        <x:f t="shared" si="15"/>
        <x:v>361928.53630903835</x:v>
      </x:c>
      <x:c r="P77" s="1">
        <x:f t="shared" si="16"/>
        <x:v>310099.37973822164</x:v>
      </x:c>
      <x:c r="Q77" s="1">
        <x:f t="shared" si="17"/>
        <x:v>65205.689249139105</x:v>
      </x:c>
      <x:c r="R77" s="1">
        <x:f t="shared" si="18"/>
        <x:v>28941.262440473427</x:v>
      </x:c>
      <x:c r="T77" s="5">
        <x:f t="shared" si="19"/>
        <x:v>0</x:v>
      </x:c>
    </x:row>
    <x:row r="78" spans="1:20">
      <x:c r="A78" s="3">
        <x:v>390</x:v>
      </x:c>
      <x:c r="B78" t="s">
        <x:v>76</x:v>
      </x:c>
      <x:c r="C78" s="1">
        <x:v>3843167.4800000009</x:v>
      </x:c>
      <x:c r="D78" s="1">
        <x:v>1161502.4400000002</x:v>
      </x:c>
      <x:c r="E78" s="1">
        <x:v>2297142.9800000009</x:v>
      </x:c>
      <x:c r="F78" s="1">
        <x:v>273556.71000000002</x:v>
      </x:c>
      <x:c r="G78" s="1">
        <x:v>110965.3499999999</x:v>
      </x:c>
      <x:c r="I78">
        <x:v>55</x:v>
      </x:c>
      <x:c r="J78">
        <x:v>29.074380000000001</x:v>
      </x:c>
      <x:c r="K78" s="4">
        <x:v>-0.05</x:v>
      </x:c>
      <x:c r="L78" s="2">
        <x:f t="shared" si="20"/>
        <x:v>1902151.3575814455</x:v>
      </x:c>
      <x:c r="M78" s="5">
        <x:v>0.58072038829896389</x:v>
      </x:c>
      <x:c r="N78" s="1">
        <x:f t="shared" si="14"/>
        <x:v>1104618.0749780983</x:v>
      </x:c>
      <x:c r="O78" s="1">
        <x:f t="shared" si="15"/>
        <x:v>333843.52777547023</x:v>
      </x:c>
      <x:c r="P78" s="1">
        <x:f t="shared" si="16"/>
        <x:v>660253.72813496343</x:v>
      </x:c>
      <x:c r="Q78" s="1">
        <x:f t="shared" si="17"/>
        <x:v>78626.728595637949</x:v>
      </x:c>
      <x:c r="R78" s="1">
        <x:f t="shared" si="18"/>
        <x:v>31894.090472026681</x:v>
      </x:c>
      <x:c r="T78" s="5">
        <x:f t="shared" si="19"/>
        <x:v>0</x:v>
      </x:c>
    </x:row>
    <x:row r="79" spans="1:20">
      <x:c r="A79" s="3">
        <x:v>390</x:v>
      </x:c>
      <x:c r="B79" t="s">
        <x:v>75</x:v>
      </x:c>
      <x:c r="C79" s="1">
        <x:v>5682652.459999999</x:v>
      </x:c>
      <x:c r="D79" s="1">
        <x:v>2256865.12</x:v>
      </x:c>
      <x:c r="E79" s="1">
        <x:v>2976049.1599999997</x:v>
      </x:c>
      <x:c r="F79" s="1">
        <x:v>356297.75000000006</x:v>
      </x:c>
      <x:c r="G79" s="1">
        <x:v>93440.430000000008</x:v>
      </x:c>
      <x:c r="I79">
        <x:v>55</x:v>
      </x:c>
      <x:c r="J79">
        <x:v>28.488104</x:v>
      </x:c>
      <x:c r="K79" s="4">
        <x:v>-0.05</x:v>
      </x:c>
      <x:c r="L79" s="2">
        <x:f t="shared" si="20"/>
        <x:v>2876196.1013608607</x:v>
      </x:c>
      <x:c r="M79" s="5">
        <x:v>0.58072038829896389</x:v>
      </x:c>
      <x:c r="N79" s="1">
        <x:f t="shared" si="14"/>
        <x:v>1670265.716806245</x:v>
      </x:c>
      <x:c r="O79" s="1">
        <x:f t="shared" si="15"/>
        <x:v>663345.93993309478</x:v>
      </x:c>
      <x:c r="P79" s="1">
        <x:f t="shared" si="16"/>
        <x:v>874731.1081343207</x:v>
      </x:c>
      <x:c r="Q79" s="1">
        <x:f t="shared" si="17"/>
        <x:v>104724.320374891</x:v>
      </x:c>
      <x:c r="R79" s="1">
        <x:f t="shared" si="18"/>
        <x:v>27464.348363938803</x:v>
      </x:c>
      <x:c r="T79" s="5">
        <x:f t="shared" si="19"/>
        <x:v>0</x:v>
      </x:c>
    </x:row>
    <x:row r="80" spans="1:20">
      <x:c r="A80" s="3">
        <x:v>390</x:v>
      </x:c>
      <x:c r="B80" t="s">
        <x:v>74</x:v>
      </x:c>
      <x:c r="C80" s="1">
        <x:v>5780039.9699999997</x:v>
      </x:c>
      <x:c r="D80" s="1">
        <x:v>1206141.6499999999</x:v>
      </x:c>
      <x:c r="E80" s="1">
        <x:v>3693616.3599999994</x:v>
      </x:c>
      <x:c r="F80" s="1">
        <x:v>795805.76999999967</x:v>
      </x:c>
      <x:c r="G80" s="1">
        <x:v>84476.190000000061</x:v>
      </x:c>
      <x:c r="I80">
        <x:v>55</x:v>
      </x:c>
      <x:c r="J80">
        <x:v>27.907844000000001</x:v>
      </x:c>
      <x:c r="K80" s="4">
        <x:v>-0.05</x:v>
      </x:c>
      <x:c r="L80" s="2">
        <x:f t="shared" si="20"/>
        <x:v>2989516.941475438</x:v>
      </x:c>
      <x:c r="M80" s="5">
        <x:v>0.58072038829896389</x:v>
      </x:c>
      <x:c r="N80" s="1">
        <x:f t="shared" si="14"/>
        <x:v>1736073.4390799473</x:v>
      </x:c>
      <x:c r="O80" s="1">
        <x:f t="shared" si="15"/>
        <x:v>362272.66475686018</x:v>
      </x:c>
      <x:c r="P80" s="1">
        <x:f t="shared" si="16"/>
        <x:v>1109402.2342456493</x:v>
      </x:c>
      <x:c r="Q80" s="1">
        <x:f t="shared" si="17"/>
        <x:v>239025.55469068236</x:v>
      </x:c>
      <x:c r="R80" s="1">
        <x:f t="shared" si="18"/>
        <x:v>25372.985386755237</x:v>
      </x:c>
      <x:c r="T80" s="5">
        <x:f t="shared" si="19"/>
        <x:v>0</x:v>
      </x:c>
    </x:row>
    <x:row r="81" spans="1:20">
      <x:c r="A81" s="3">
        <x:v>390</x:v>
      </x:c>
      <x:c r="B81" t="s">
        <x:v>73</x:v>
      </x:c>
      <x:c r="C81" s="1">
        <x:v>6894162.4999999991</x:v>
      </x:c>
      <x:c r="D81" s="1">
        <x:v>938834.65000000014</x:v>
      </x:c>
      <x:c r="E81" s="1">
        <x:v>5360300.1799999988</x:v>
      </x:c>
      <x:c r="F81" s="1">
        <x:v>292606.66000000003</x:v>
      </x:c>
      <x:c r="G81" s="1">
        <x:v>302421.01</x:v>
      </x:c>
      <x:c r="I81">
        <x:v>55</x:v>
      </x:c>
      <x:c r="J81">
        <x:v>27.333666999999998</x:v>
      </x:c>
      <x:c r="K81" s="4">
        <x:v>-0.05</x:v>
      </x:c>
      <x:c r="L81" s="2">
        <x:f t="shared" si="20"/>
        <x:v>3641327.368275784</x:v>
      </x:c>
      <x:c r="M81" s="5">
        <x:v>0.58072038829896389</x:v>
      </x:c>
      <x:c r="N81" s="1">
        <x:f t="shared" si="14"/>
        <x:v>2114593.0432287576</x:v>
      </x:c>
      <x:c r="O81" s="1">
        <x:f t="shared" si="15"/>
        <x:v>287961.4775010171</x:v>
      </x:c>
      <x:c r="P81" s="1">
        <x:f t="shared" si="16"/>
        <x:v>1644123.3391649609</x:v>
      </x:c>
      <x:c r="Q81" s="1">
        <x:f t="shared" si="17"/>
        <x:v>89748.973517581369</x:v>
      </x:c>
      <x:c r="R81" s="1">
        <x:f t="shared" si="18"/>
        <x:v>92759.253045197969</x:v>
      </x:c>
      <x:c r="T81" s="5">
        <x:f t="shared" si="19"/>
        <x:v>0</x:v>
      </x:c>
    </x:row>
    <x:row r="82" spans="1:20">
      <x:c r="A82" s="3">
        <x:v>390</x:v>
      </x:c>
      <x:c r="B82" t="s">
        <x:v>72</x:v>
      </x:c>
      <x:c r="C82" s="1">
        <x:v>6206639.1199999992</x:v>
      </x:c>
      <x:c r="D82" s="1">
        <x:v>682117.50000000012</x:v>
      </x:c>
      <x:c r="E82" s="1">
        <x:v>4864566.5299999993</x:v>
      </x:c>
      <x:c r="F82" s="1">
        <x:v>549500.4099999998</x:v>
      </x:c>
      <x:c r="G82" s="1">
        <x:v>110454.68000000012</x:v>
      </x:c>
      <x:c r="I82">
        <x:v>55</x:v>
      </x:c>
      <x:c r="J82">
        <x:v>26.765630999999999</x:v>
      </x:c>
      <x:c r="K82" s="4">
        <x:v>-0.05</x:v>
      </x:c>
      <x:c r="L82" s="2">
        <x:f t="shared" si="20"/>
        <x:v>3345501.2022202006</x:v>
      </x:c>
      <x:c r="M82" s="5">
        <x:v>0.58072038829896389</x:v>
      </x:c>
      <x:c r="N82" s="1">
        <x:f t="shared" si="14"/>
        <x:v>1942800.7572079655</x:v>
      </x:c>
      <x:c r="O82" s="1">
        <x:f t="shared" si="15"/>
        <x:v>213516.26377542713</x:v>
      </x:c>
      <x:c r="P82" s="1">
        <x:f t="shared" si="16"/>
        <x:v>1522705.5021643541</x:v>
      </x:c>
      <x:c r="Q82" s="1">
        <x:f t="shared" si="17"/>
        <x:v>172004.49260760099</x:v>
      </x:c>
      <x:c r="R82" s="1">
        <x:f t="shared" si="18"/>
        <x:v>34574.498660583282</x:v>
      </x:c>
      <x:c r="T82" s="5">
        <x:f t="shared" si="19"/>
        <x:v>0</x:v>
      </x:c>
    </x:row>
    <x:row r="83" spans="1:20">
      <x:c r="A83" s="3">
        <x:v>390</x:v>
      </x:c>
      <x:c r="B83" t="s">
        <x:v>71</x:v>
      </x:c>
      <x:c r="C83" s="1">
        <x:v>854064.85999999987</x:v>
      </x:c>
      <x:c r="D83" s="1">
        <x:v>274234.15999999997</x:v>
      </x:c>
      <x:c r="E83" s="1">
        <x:v>528406.19999999995</x:v>
      </x:c>
      <x:c r="F83" s="1">
        <x:v>34625.03</x:v>
      </x:c>
      <x:c r="G83" s="1">
        <x:v>16799.470000000008</x:v>
      </x:c>
      <x:c r="I83">
        <x:v>55</x:v>
      </x:c>
      <x:c r="J83">
        <x:v>26.203779999999998</x:v>
      </x:c>
      <x:c r="K83" s="4">
        <x:v>-0.05</x:v>
      </x:c>
      <x:c r="L83" s="2">
        <x:f t="shared" si="20"/>
        <x:v>469518.75605401199</x:v>
      </x:c>
      <x:c r="M83" s="5">
        <x:v>0.58072038829896389</x:v>
      </x:c>
      <x:c r="N83" s="1">
        <x:f t="shared" si="14"/>
        <x:v>272659.11432933237</x:v>
      </x:c>
      <x:c r="O83" s="1">
        <x:f t="shared" si="15"/>
        <x:v>87548.904874096377</x:v>
      </x:c>
      <x:c r="P83" s="1">
        <x:f t="shared" si="16"/>
        <x:v>168693.00359474815</x:v>
      </x:c>
      <x:c r="Q83" s="1">
        <x:f t="shared" si="17"/>
        <x:v>11053.996547084918</x:v>
      </x:c>
      <x:c r="R83" s="1">
        <x:f t="shared" si="18"/>
        <x:v>5363.2093134029565</x:v>
      </x:c>
      <x:c r="T83" s="5">
        <x:f t="shared" si="19"/>
        <x:v>0</x:v>
      </x:c>
    </x:row>
    <x:row r="84" spans="1:20">
      <x:c r="A84" s="3">
        <x:v>390</x:v>
      </x:c>
      <x:c r="B84" t="s">
        <x:v>38</x:v>
      </x:c>
      <x:c r="C84" s="1">
        <x:v>1895211.0899999996</x:v>
      </x:c>
      <x:c r="D84" s="1">
        <x:v>140507.97</x:v>
      </x:c>
      <x:c r="E84" s="1">
        <x:v>1472353.7199999997</x:v>
      </x:c>
      <x:c r="F84" s="1">
        <x:v>223389.4</x:v>
      </x:c>
      <x:c r="G84" s="1">
        <x:v>58960.000000000051</x:v>
      </x:c>
      <x:c r="I84">
        <x:v>55</x:v>
      </x:c>
      <x:c r="J84">
        <x:v>25.648385999999999</x:v>
      </x:c>
      <x:c r="K84" s="4">
        <x:v>-0.05</x:v>
      </x:c>
      <x:c r="L84" s="2">
        <x:f t="shared" si="20"/>
        <x:v>1061979.628732895</x:v>
      </x:c>
      <x:c r="M84" s="5">
        <x:v>0.58072038829896389</x:v>
      </x:c>
      <x:c r="N84" s="1">
        <x:f t="shared" si="14"/>
        <x:v>616713.22236335627</x:v>
      </x:c>
      <x:c r="O84" s="1">
        <x:f t="shared" si="15"/>
        <x:v>45722.148526702535</x:v>
      </x:c>
      <x:c r="P84" s="1">
        <x:f t="shared" si="16"/>
        <x:v>479112.86078421737</x:v>
      </x:c>
      <x:c r="Q84" s="1">
        <x:f t="shared" si="17"/>
        <x:v>72692.27023983738</x:v>
      </x:c>
      <x:c r="R84" s="1">
        <x:f t="shared" si="18"/>
        <x:v>19185.942812599056</x:v>
      </x:c>
      <x:c r="T84" s="5">
        <x:f t="shared" si="19"/>
        <x:v>0</x:v>
      </x:c>
    </x:row>
    <x:row r="85" spans="1:20">
      <x:c r="A85" s="3">
        <x:v>390</x:v>
      </x:c>
      <x:c r="B85" t="s">
        <x:v>70</x:v>
      </x:c>
      <x:c r="C85" s="1">
        <x:v>981450.29</x:v>
      </x:c>
      <x:c r="D85" s="1">
        <x:v>214743.33</x:v>
      </x:c>
      <x:c r="E85" s="1">
        <x:v>719451.12000000011</x:v>
      </x:c>
      <x:c r="F85" s="1">
        <x:v>29628.199999999997</x:v>
      </x:c>
      <x:c r="G85" s="1">
        <x:v>17627.640000000029</x:v>
      </x:c>
      <x:c r="I85">
        <x:v>55</x:v>
      </x:c>
      <x:c r="J85">
        <x:v>25.099468999999999</x:v>
      </x:c>
      <x:c r="K85" s="4">
        <x:v>-0.05</x:v>
      </x:c>
      <x:c r="L85" s="2">
        <x:f t="shared" si="20"/>
        <x:v>560239.61931198533</x:v>
      </x:c>
      <x:c r="M85" s="5">
        <x:v>0.58072038829896389</x:v>
      </x:c>
      <x:c r="N85" s="1">
        <x:f t="shared" si="14"/>
        <x:v>325342.56926731981</x:v>
      </x:c>
      <x:c r="O85" s="1">
        <x:f t="shared" si="15"/>
        <x:v>71185.619309583068</x:v>
      </x:c>
      <x:c r="P85" s="1">
        <x:f t="shared" si="16"/>
        <x:v>238492.03390938</x:v>
      </x:c>
      <x:c r="Q85" s="1">
        <x:f t="shared" si="17"/>
        <x:v>9821.5007005255502</x:v>
      </x:c>
      <x:c r="R85" s="1">
        <x:f t="shared" si="18"/>
        <x:v>5843.4153478312046</x:v>
      </x:c>
      <x:c r="T85" s="5">
        <x:f t="shared" si="19"/>
        <x:v>0</x:v>
      </x:c>
    </x:row>
    <x:row r="86" spans="1:20">
      <x:c r="A86" s="3">
        <x:v>390</x:v>
      </x:c>
      <x:c r="B86" t="s">
        <x:v>69</x:v>
      </x:c>
      <x:c r="C86" s="1">
        <x:v>1125118.1400000001</x:v>
      </x:c>
      <x:c r="D86" s="1">
        <x:v>299848.38</x:v>
      </x:c>
      <x:c r="E86" s="1">
        <x:v>742510.46000000008</x:v>
      </x:c>
      <x:c r="F86" s="1">
        <x:v>14949.809999999994</x:v>
      </x:c>
      <x:c r="G86" s="1">
        <x:v>67809.489999999991</x:v>
      </x:c>
      <x:c r="I86">
        <x:v>55</x:v>
      </x:c>
      <x:c r="J86">
        <x:v>24.556825</x:v>
      </x:c>
      <x:c r="K86" s="4">
        <x:v>-0.05</x:v>
      </x:c>
      <x:c r="L86" s="2">
        <x:f t="shared" si="20"/>
        <x:v>653905.03369598603</x:v>
      </x:c>
      <x:c r="M86" s="5">
        <x:v>0.58072038829896389</x:v>
      </x:c>
      <x:c r="N86" s="1">
        <x:f t="shared" si="14"/>
        <x:v>379735.9850785801</x:v>
      </x:c>
      <x:c r="O86" s="1">
        <x:f t="shared" si="15"/>
        <x:v>101201.12360246578</x:v>
      </x:c>
      <x:c r="P86" s="1">
        <x:f t="shared" si="16"/>
        <x:v>250602.96420005249</x:v>
      </x:c>
      <x:c r="Q86" s="1">
        <x:f t="shared" si="17"/>
        <x:v>5045.6753164495285</x:v>
      </x:c>
      <x:c r="R86" s="1">
        <x:f t="shared" si="18"/>
        <x:v>22886.221959612278</x:v>
      </x:c>
      <x:c r="T86" s="5">
        <x:f t="shared" si="19"/>
        <x:v>0</x:v>
      </x:c>
    </x:row>
    <x:row r="87" spans="1:20">
      <x:c r="A87" s="3">
        <x:v>390</x:v>
      </x:c>
      <x:c r="B87" t="s">
        <x:v>68</x:v>
      </x:c>
      <x:c r="C87" s="1">
        <x:v>867038.1</x:v>
      </x:c>
      <x:c r="D87" s="1">
        <x:v>104178.93</x:v>
      </x:c>
      <x:c r="E87" s="1">
        <x:v>574418.80999999994</x:v>
      </x:c>
      <x:c r="F87" s="1">
        <x:v>174602.11</x:v>
      </x:c>
      <x:c r="G87" s="1">
        <x:v>13838.250000000018</x:v>
      </x:c>
      <x:c r="I87">
        <x:v>55</x:v>
      </x:c>
      <x:c r="J87">
        <x:v>24.020464</x:v>
      </x:c>
      <x:c r="K87" s="4">
        <x:v>-0.05</x:v>
      </x:c>
      <x:c r="L87" s="2">
        <x:f t="shared" si="20"/>
        <x:v>512790.18061704875</x:v>
      </x:c>
      <x:c r="M87" s="5">
        <x:v>0.58072038829896389</x:v>
      </x:c>
      <x:c r="N87" s="1">
        <x:f t="shared" si="14"/>
        <x:v>297787.71280382836</x:v>
      </x:c>
      <x:c r="O87" s="1">
        <x:f t="shared" si="15"/>
        <x:v>35780.671330418052</x:v>
      </x:c>
      <x:c r="P87" s="1">
        <x:f t="shared" si="16"/>
        <x:v>197286.4440690632</x:v>
      </x:c>
      <x:c r="Q87" s="1">
        <x:f t="shared" si="17"/>
        <x:v>59967.794941909066</x:v>
      </x:c>
      <x:c r="R87" s="1">
        <x:f t="shared" si="18"/>
        <x:v>4752.8024624380214</x:v>
      </x:c>
      <x:c r="T87" s="5">
        <x:f t="shared" si="19"/>
        <x:v>0</x:v>
      </x:c>
    </x:row>
    <x:row r="88" spans="1:20">
      <x:c r="A88" s="3">
        <x:v>390</x:v>
      </x:c>
      <x:c r="B88" t="s">
        <x:v>67</x:v>
      </x:c>
      <x:c r="C88" s="1">
        <x:v>530165.62999999989</x:v>
      </x:c>
      <x:c r="D88" s="1">
        <x:v>45390.95</x:v>
      </x:c>
      <x:c r="E88" s="1">
        <x:v>297871.42999999993</x:v>
      </x:c>
      <x:c r="F88" s="1">
        <x:v>178032.41999999995</x:v>
      </x:c>
      <x:c r="G88" s="1">
        <x:v>8870.8300000000127</x:v>
      </x:c>
      <x:c r="I88">
        <x:v>55</x:v>
      </x:c>
      <x:c r="J88">
        <x:v>23.490390000000001</x:v>
      </x:c>
      <x:c r="K88" s="4">
        <x:v>-0.05</x:v>
      </x:c>
      <x:c r="L88" s="2">
        <x:f t="shared" si="20"/>
        <x:v>318919.59724617295</x:v>
      </x:c>
      <x:c r="M88" s="5">
        <x:v>0.58072038829896389</x:v>
      </x:c>
      <x:c r="N88" s="1">
        <x:f t="shared" si="14"/>
        <x:v>185203.11234894674</x:v>
      </x:c>
      <x:c r="O88" s="1">
        <x:f t="shared" si="15"/>
        <x:v>15856.450770819349</x:v>
      </x:c>
      <x:c r="P88" s="1">
        <x:f t="shared" si="16"/>
        <x:v>104055.62487298813</x:v>
      </x:c>
      <x:c r="Q88" s="1">
        <x:f t="shared" si="17"/>
        <x:v>62192.183757771832</x:v>
      </x:c>
      <x:c r="R88" s="1">
        <x:f t="shared" si="18"/>
        <x:v>3098.8529473674294</x:v>
      </x:c>
      <x:c r="T88" s="5">
        <x:f t="shared" si="19"/>
        <x:v>0</x:v>
      </x:c>
    </x:row>
    <x:row r="89" spans="1:20">
      <x:c r="A89" s="3">
        <x:v>390</x:v>
      </x:c>
      <x:c r="B89" t="s">
        <x:v>66</x:v>
      </x:c>
      <x:c r="C89" s="1">
        <x:v>1167181.6099999999</x:v>
      </x:c>
      <x:c r="D89" s="1">
        <x:v>65409.8</x:v>
      </x:c>
      <x:c r="E89" s="1">
        <x:v>664387.45000000007</x:v>
      </x:c>
      <x:c r="F89" s="1">
        <x:v>404023.96999999991</x:v>
      </x:c>
      <x:c r="G89" s="1">
        <x:v>33360.39</x:v>
      </x:c>
      <x:c r="I89">
        <x:v>55</x:v>
      </x:c>
      <x:c r="J89">
        <x:v>22.966605999999999</x:v>
      </x:c>
      <x:c r="K89" s="4">
        <x:v>-0.05</x:v>
      </x:c>
      <x:c r="L89" s="2">
        <x:f t="shared" si="20"/>
        <x:v>713785.96003306459</x:v>
      </x:c>
      <x:c r="M89" s="5">
        <x:v>0.58072038829896389</x:v>
      </x:c>
      <x:c r="N89" s="1">
        <x:f t="shared" si="14"/>
        <x:v>414510.05987274996</x:v>
      </x:c>
      <x:c r="O89" s="1">
        <x:f t="shared" si="15"/>
        <x:v>23229.478499292502</x:v>
      </x:c>
      <x:c r="P89" s="1">
        <x:f t="shared" si="16"/>
        <x:v>235948.95543136916</x:v>
      </x:c>
      <x:c r="Q89" s="1">
        <x:f t="shared" si="17"/>
        <x:v>143484.09755592886</x:v>
      </x:c>
      <x:c r="R89" s="1">
        <x:f t="shared" si="18"/>
        <x:v>11847.528386159451</x:v>
      </x:c>
      <x:c r="T89" s="5">
        <x:f t="shared" si="19"/>
        <x:v>0</x:v>
      </x:c>
    </x:row>
    <x:row r="90" spans="1:20">
      <x:c r="A90" s="3">
        <x:v>390</x:v>
      </x:c>
      <x:c r="B90" t="s">
        <x:v>65</x:v>
      </x:c>
      <x:c r="C90" s="1">
        <x:v>1216401.4999999998</x:v>
      </x:c>
      <x:c r="D90" s="1">
        <x:v>132794.66</x:v>
      </x:c>
      <x:c r="E90" s="1">
        <x:v>939710.60999999964</x:v>
      </x:c>
      <x:c r="F90" s="1">
        <x:v>88003.36</x:v>
      </x:c>
      <x:c r="G90" s="1">
        <x:v>55892.870000000039</x:v>
      </x:c>
      <x:c r="I90">
        <x:v>55</x:v>
      </x:c>
      <x:c r="J90">
        <x:v>22.449483000000001</x:v>
      </x:c>
      <x:c r="K90" s="4">
        <x:v>-0.05</x:v>
      </x:c>
      <x:c r="L90" s="2">
        <x:f t="shared" si="20"/>
        <x:v>755894.95617825934</x:v>
      </x:c>
      <x:c r="M90" s="5">
        <x:v>0.58072038829896389</x:v>
      </x:c>
      <x:c r="N90" s="1">
        <x:f t="shared" si="14"/>
        <x:v>438963.61246506707</x:v>
      </x:c>
      <x:c r="O90" s="1">
        <x:f t="shared" si="15"/>
        <x:v>47921.696635255998</x:v>
      </x:c>
      <x:c r="P90" s="1">
        <x:f t="shared" si="16"/>
        <x:v>339113.98829856073</x:v>
      </x:c>
      <x:c r="Q90" s="1">
        <x:f t="shared" si="17"/>
        <x:v>31757.830629659529</x:v>
      </x:c>
      <x:c r="R90" s="1">
        <x:f t="shared" si="18"/>
        <x:v>20170.096901590794</x:v>
      </x:c>
      <x:c r="T90" s="5">
        <x:f t="shared" si="19"/>
        <x:v>0</x:v>
      </x:c>
    </x:row>
    <x:row r="91" spans="1:20">
      <x:c r="A91" s="3">
        <x:v>390</x:v>
      </x:c>
      <x:c r="B91" t="s">
        <x:v>37</x:v>
      </x:c>
      <x:c r="C91" s="1">
        <x:v>547855.66999999993</x:v>
      </x:c>
      <x:c r="D91" s="1">
        <x:v>116829.59999999999</x:v>
      </x:c>
      <x:c r="E91" s="1">
        <x:v>276848.32</x:v>
      </x:c>
      <x:c r="F91" s="1">
        <x:v>117227.67000000001</x:v>
      </x:c>
      <x:c r="G91" s="1">
        <x:v>36950.079999999987</x:v>
      </x:c>
      <x:c r="I91">
        <x:v>55</x:v>
      </x:c>
      <x:c r="J91">
        <x:v>21.938604999999999</x:v>
      </x:c>
      <x:c r="K91" s="4">
        <x:v>-0.05</x:v>
      </x:c>
      <x:c r="L91" s="2">
        <x:f t="shared" si="20"/>
        <x:v>345791.20626004785</x:v>
      </x:c>
      <x:c r="M91" s="5">
        <x:v>0.58072038829896389</x:v>
      </x:c>
      <x:c r="N91" s="1">
        <x:f t="shared" si="14"/>
        <x:v>200808.00356970209</x:v>
      </x:c>
      <x:c r="O91" s="1">
        <x:f t="shared" si="15"/>
        <x:v>42822.078913314654</x:v>
      </x:c>
      <x:c r="P91" s="1">
        <x:f t="shared" si="16"/>
        <x:v>101474.46029138665</x:v>
      </x:c>
      <x:c r="Q91" s="1">
        <x:f t="shared" si="17"/>
        <x:v>42967.98530136206</x:v>
      </x:c>
      <x:c r="R91" s="1">
        <x:f t="shared" si="18"/>
        <x:v>13543.479063638742</x:v>
      </x:c>
      <x:c r="T91" s="5">
        <x:f t="shared" si="19"/>
        <x:v>0</x:v>
      </x:c>
    </x:row>
    <x:row r="92" spans="1:20">
      <x:c r="A92" s="3">
        <x:v>390</x:v>
      </x:c>
      <x:c r="B92" t="s">
        <x:v>64</x:v>
      </x:c>
      <x:c r="C92" s="1">
        <x:v>795744.52</x:v>
      </x:c>
      <x:c r="D92" s="1">
        <x:v>209797.08000000002</x:v>
      </x:c>
      <x:c r="E92" s="1">
        <x:v>539302.93000000005</x:v>
      </x:c>
      <x:c r="F92" s="1">
        <x:v>35756.450000000012</x:v>
      </x:c>
      <x:c r="G92" s="1">
        <x:v>10888.060000000007</x:v>
      </x:c>
      <x:c r="I92">
        <x:v>55</x:v>
      </x:c>
      <x:c r="J92">
        <x:v>21.433948000000001</x:v>
      </x:c>
      <x:c r="K92" s="4">
        <x:v>-0.05</x:v>
      </x:c>
      <x:c r="L92" s="2">
        <x:f t="shared" si="20"/>
        <x:v>509918.21879794175</x:v>
      </x:c>
      <x:c r="M92" s="5">
        <x:v>0.58072038829896389</x:v>
      </x:c>
      <x:c r="N92" s="1">
        <x:f t="shared" si="14"/>
        <x:v>296119.90602105675</x:v>
      </x:c>
      <x:c r="O92" s="1">
        <x:f t="shared" si="15"/>
        <x:v>78071.654974252451</x:v>
      </x:c>
      <x:c r="P92" s="1">
        <x:f t="shared" si="16"/>
        <x:v>200690.45897856835</x:v>
      </x:c>
      <x:c r="Q92" s="1">
        <x:f t="shared" si="17"/>
        <x:v>13306.025172057254</x:v>
      </x:c>
      <x:c r="R92" s="1">
        <x:f t="shared" si="18"/>
        <x:v>4051.7668961787244</x:v>
      </x:c>
      <x:c r="T92" s="5">
        <x:f t="shared" si="19"/>
        <x:v>0</x:v>
      </x:c>
    </x:row>
    <x:row r="93" spans="1:20">
      <x:c r="A93" s="3">
        <x:v>390</x:v>
      </x:c>
      <x:c r="B93" t="s">
        <x:v>63</x:v>
      </x:c>
      <x:c r="C93" s="1">
        <x:v>677390.1</x:v>
      </x:c>
      <x:c r="D93" s="1">
        <x:v>52049.919999999998</x:v>
      </x:c>
      <x:c r="E93" s="1">
        <x:v>500443.07999999996</x:v>
      </x:c>
      <x:c r="F93" s="1">
        <x:v>94888.939999999988</x:v>
      </x:c>
      <x:c r="G93" s="1">
        <x:v>30008.16</x:v>
      </x:c>
      <x:c r="I93">
        <x:v>55</x:v>
      </x:c>
      <x:c r="J93">
        <x:v>20.935486000000001</x:v>
      </x:c>
      <x:c r="K93" s="4">
        <x:v>-0.05</x:v>
      </x:c>
      <x:c r="L93" s="2">
        <x:f t="shared" si="20"/>
        <x:v>440522.05040285399</x:v>
      </x:c>
      <x:c r="M93" s="5">
        <x:v>0.58072038829896389</x:v>
      </x:c>
      <x:c r="N93" s="1">
        <x:f t="shared" si="14"/>
        <x:v>255820.1361642011</x:v>
      </x:c>
      <x:c r="O93" s="1">
        <x:f t="shared" si="15"/>
        <x:v>19656.941578767943</x:v>
      </x:c>
      <x:c r="P93" s="1">
        <x:f t="shared" si="16"/>
        <x:v>188995.11059879998</x:v>
      </x:c>
      <x:c r="Q93" s="1">
        <x:f t="shared" si="17"/>
        <x:v>35835.335578829254</x:v>
      </x:c>
      <x:c r="R93" s="1">
        <x:f t="shared" si="18"/>
        <x:v>11332.748407803912</x:v>
      </x:c>
      <x:c r="T93" s="5">
        <x:f t="shared" si="19"/>
        <x:v>0</x:v>
      </x:c>
    </x:row>
    <x:row r="94" spans="1:20">
      <x:c r="A94" s="3">
        <x:v>390</x:v>
      </x:c>
      <x:c r="B94" t="s">
        <x:v>62</x:v>
      </x:c>
      <x:c r="C94" s="1">
        <x:v>369710.34</x:v>
      </x:c>
      <x:c r="D94" s="1">
        <x:v>114943.01000000001</x:v>
      </x:c>
      <x:c r="E94" s="1">
        <x:v>235431.96000000002</x:v>
      </x:c>
      <x:c r="F94" s="1">
        <x:v>9812.0399999999991</x:v>
      </x:c>
      <x:c r="G94" s="1">
        <x:v>9523.329999999989</x:v>
      </x:c>
      <x:c r="I94">
        <x:v>55</x:v>
      </x:c>
      <x:c r="J94">
        <x:v>20.443187999999999</x:v>
      </x:c>
      <x:c r="K94" s="4">
        <x:v>-0.05</x:v>
      </x:c>
      <x:c r="L94" s="2">
        <x:f t="shared" si="20"/>
        <x:v>243905.65908232515</x:v>
      </x:c>
      <x:c r="M94" s="5">
        <x:v>0.58072038829896389</x:v>
      </x:c>
      <x:c r="N94" s="1">
        <x:f t="shared" si="14"/>
        <x:v>141640.98905060257</x:v>
      </x:c>
      <x:c r="O94" s="1">
        <x:f t="shared" si="15"/>
        <x:v>44036.208510839329</x:v>
      </x:c>
      <x:c r="P94" s="1">
        <x:f t="shared" si="16"/>
        <x:v>90197.14100644819</x:v>
      </x:c>
      <x:c r="Q94" s="1">
        <x:f t="shared" si="17"/>
        <x:v>3759.124102950635</x:v>
      </x:c>
      <x:c r="R94" s="1">
        <x:f t="shared" si="18"/>
        <x:v>3648.5154303644126</x:v>
      </x:c>
      <x:c r="T94" s="5">
        <x:f t="shared" si="19"/>
        <x:v>0</x:v>
      </x:c>
    </x:row>
    <x:row r="95" spans="1:20">
      <x:c r="A95" s="3">
        <x:v>390</x:v>
      </x:c>
      <x:c r="B95" t="s">
        <x:v>61</x:v>
      </x:c>
      <x:c r="C95" s="1">
        <x:v>361529.25000000006</x:v>
      </x:c>
      <x:c r="D95" s="1">
        <x:v>75100.56</x:v>
      </x:c>
      <x:c r="E95" s="1">
        <x:v>263784.61000000004</x:v>
      </x:c>
      <x:c r="F95" s="1">
        <x:v>8649.61</x:v>
      </x:c>
      <x:c r="G95" s="1">
        <x:v>13994.470000000005</x:v>
      </x:c>
      <x:c r="I95">
        <x:v>55</x:v>
      </x:c>
      <x:c r="J95">
        <x:v>19.957166000000001</x:v>
      </x:c>
      <x:c r="K95" s="4">
        <x:v>-0.05</x:v>
      </x:c>
      <x:c r="L95" s="2">
        <x:f t="shared" si="20"/>
        <x:v>241862.90851980413</x:v>
      </x:c>
      <x:c r="M95" s="5">
        <x:v>0.58072038829896389</x:v>
      </x:c>
      <x:c r="N95" s="1">
        <x:f t="shared" si="14"/>
        <x:v>140454.72215073742</x:v>
      </x:c>
      <x:c r="O95" s="1">
        <x:f t="shared" si="15"/>
        <x:v>29176.69396920106</x:v>
      </x:c>
      <x:c r="P95" s="1">
        <x:f t="shared" si="16"/>
        <x:v>102480.76498703944</x:v>
      </x:c>
      <x:c r="Q95" s="1">
        <x:f t="shared" si="17"/>
        <x:v>3360.3880440164653</x:v>
      </x:c>
      <x:c r="R95" s="1">
        <x:f t="shared" si="18"/>
        <x:v>5436.8751504804404</x:v>
      </x:c>
      <x:c r="T95" s="5">
        <x:f t="shared" si="19"/>
        <x:v>0</x:v>
      </x:c>
    </x:row>
    <x:row r="96" spans="1:20">
      <x:c r="A96" s="3">
        <x:v>390</x:v>
      </x:c>
      <x:c r="B96" t="s">
        <x:v>36</x:v>
      </x:c>
      <x:c r="C96" s="1">
        <x:v>280432.44000000006</x:v>
      </x:c>
      <x:c r="D96" s="1">
        <x:v>61821.500000000007</x:v>
      </x:c>
      <x:c r="E96" s="1">
        <x:v>188448.69</x:v>
      </x:c>
      <x:c r="F96" s="1">
        <x:v>18094.97</x:v>
      </x:c>
      <x:c r="G96" s="1">
        <x:v>12067.28</x:v>
      </x:c>
      <x:c r="I96">
        <x:v>55</x:v>
      </x:c>
      <x:c r="J96">
        <x:v>19.477353000000001</x:v>
      </x:c>
      <x:c r="K96" s="4">
        <x:v>-0.05</x:v>
      </x:c>
      <x:c r="L96" s="2">
        <x:f t="shared" si="20"/>
        <x:v>190177.95822076578</x:v>
      </x:c>
      <x:c r="M96" s="5">
        <x:v>0.58072038829896389</x:v>
      </x:c>
      <x:c r="N96" s="1">
        <x:f t="shared" si="14"/>
        <x:v>110440.21774386724</x:v>
      </x:c>
      <x:c r="O96" s="1">
        <x:f t="shared" si="15"/>
        <x:v>24346.612400664086</x:v>
      </x:c>
      <x:c r="P96" s="1">
        <x:f t="shared" si="16"/>
        <x:v>74215.074251561382</x:v>
      </x:c>
      <x:c r="Q96" s="1">
        <x:f t="shared" si="17"/>
        <x:v>7126.1813607182721</x:v>
      </x:c>
      <x:c r="R96" s="1">
        <x:f t="shared" si="18"/>
        <x:v>4752.3497309234772</x:v>
      </x:c>
      <x:c r="T96" s="5">
        <x:f t="shared" si="19"/>
        <x:v>0</x:v>
      </x:c>
    </x:row>
    <x:row r="97" spans="1:20">
      <x:c r="A97" s="3">
        <x:v>390</x:v>
      </x:c>
      <x:c r="B97" t="s">
        <x:v>60</x:v>
      </x:c>
      <x:c r="C97" s="1">
        <x:v>453451.97999999992</x:v>
      </x:c>
      <x:c r="D97" s="1">
        <x:v>1464.22</x:v>
      </x:c>
      <x:c r="E97" s="1">
        <x:v>376608.1</x:v>
      </x:c>
      <x:c r="F97" s="1">
        <x:v>59555.11</x:v>
      </x:c>
      <x:c r="G97" s="1">
        <x:v>15824.55</x:v>
      </x:c>
      <x:c r="I97">
        <x:v>55</x:v>
      </x:c>
      <x:c r="J97">
        <x:v>19.003556</x:v>
      </x:c>
      <x:c r="K97" s="4">
        <x:v>-0.05</x:v>
      </x:c>
      <x:c r="L97" s="2">
        <x:f t="shared" si="20"/>
        <x:v>311614.39536358311</x:v>
      </x:c>
      <x:c r="M97" s="5">
        <x:v>0.58072038829896389</x:v>
      </x:c>
      <x:c r="N97" s="1">
        <x:f t="shared" si="14"/>
        <x:v>180960.83267508683</x:v>
      </x:c>
      <x:c r="O97" s="1">
        <x:f t="shared" si="15"/>
        <x:v>584.33192952320042</x:v>
      </x:c>
      <x:c r="P97" s="1">
        <x:f t="shared" si="16"/>
        <x:v>150294.44874886726</x:v>
      </x:c>
      <x:c r="Q97" s="1">
        <x:f t="shared" si="17"/>
        <x:v>23766.887721289459</x:v>
      </x:c>
      <x:c r="R97" s="1">
        <x:f t="shared" si="18"/>
        <x:v>6315.164275406948</x:v>
      </x:c>
      <x:c r="T97" s="5">
        <x:f t="shared" si="19"/>
        <x:v>0</x:v>
      </x:c>
    </x:row>
    <x:row r="98" spans="1:20">
      <x:c r="A98" s="3">
        <x:v>390</x:v>
      </x:c>
      <x:c r="B98" t="s">
        <x:v>59</x:v>
      </x:c>
      <x:c r="C98" s="1">
        <x:v>245916.30999999997</x:v>
      </x:c>
      <x:c r="D98" s="1">
        <x:v>20417.680000000004</x:v>
      </x:c>
      <x:c r="E98" s="1">
        <x:v>134402.86999999997</x:v>
      </x:c>
      <x:c r="F98" s="1">
        <x:v>76167.210000000006</x:v>
      </x:c>
      <x:c r="G98" s="1">
        <x:v>14928.550000000016</x:v>
      </x:c>
      <x:c r="I98">
        <x:v>55</x:v>
      </x:c>
      <x:c r="J98">
        <x:v>18.535726</x:v>
      </x:c>
      <x:c r="K98" s="4">
        <x:v>-0.05</x:v>
      </x:c>
      <x:c r="L98" s="2">
        <x:f t="shared" si="20"/>
        <x:v>171191.2308064434</x:v>
      </x:c>
      <x:c r="M98" s="5">
        <x:v>0.58072038829896389</x:v>
      </x:c>
      <x:c r="N98" s="1">
        <x:f t="shared" si="14"/>
        <x:v>99414.23802729536</x:v>
      </x:c>
      <x:c r="O98" s="1">
        <x:f t="shared" si="15"/>
        <x:v>8254.0604951544228</x:v>
      </x:c>
      <x:c r="P98" s="1">
        <x:f t="shared" si="16"/>
        <x:v>54333.764644287454</x:v>
      </x:c>
      <x:c r="Q98" s="1">
        <x:f t="shared" si="17"/>
        <x:v>30791.390554026257</x:v>
      </x:c>
      <x:c r="R98" s="1">
        <x:f t="shared" si="18"/>
        <x:v>6035.0223338272353</x:v>
      </x:c>
      <x:c r="T98" s="5">
        <x:f t="shared" si="19"/>
        <x:v>0</x:v>
      </x:c>
    </x:row>
    <x:row r="99" spans="1:20">
      <x:c r="A99" s="3">
        <x:v>390</x:v>
      </x:c>
      <x:c r="B99" t="s">
        <x:v>35</x:v>
      </x:c>
      <x:c r="C99" s="1">
        <x:v>986290.1</x:v>
      </x:c>
      <x:c r="D99" s="1">
        <x:v>31705.21</x:v>
      </x:c>
      <x:c r="E99" s="1">
        <x:v>896952.27999999991</x:v>
      </x:c>
      <x:c r="F99" s="1">
        <x:v>32523.930000000008</x:v>
      </x:c>
      <x:c r="G99" s="1">
        <x:v>25108.68</x:v>
      </x:c>
      <x:c r="I99">
        <x:v>55</x:v>
      </x:c>
      <x:c r="J99">
        <x:v>18.073816999999998</x:v>
      </x:c>
      <x:c r="K99" s="4">
        <x:v>-0.05</x:v>
      </x:c>
      <x:c r="L99" s="2">
        <x:f t="shared" si="20"/>
        <x:v>695289.54836132203</x:v>
      </x:c>
      <x:c r="M99" s="5">
        <x:v>0.58072038829896389</x:v>
      </x:c>
      <x:c r="N99" s="1">
        <x:f t="shared" si="14"/>
        <x:v>403768.81650459813</x:v>
      </x:c>
      <x:c r="O99" s="1">
        <x:f t="shared" si="15"/>
        <x:v>12979.523082234882</x:v>
      </x:c>
      <x:c r="P99" s="1">
        <x:f t="shared" si="16"/>
        <x:v>367195.57517276192</x:v>
      </x:c>
      <x:c r="Q99" s="1">
        <x:f t="shared" si="17"/>
        <x:v>13314.691817527519</x:v>
      </x:c>
      <x:c r="R99" s="1">
        <x:f t="shared" si="18"/>
        <x:v>10279.026432073761</x:v>
      </x:c>
      <x:c r="T99" s="5">
        <x:f t="shared" si="19"/>
        <x:v>0</x:v>
      </x:c>
    </x:row>
    <x:row r="100" spans="1:20">
      <x:c r="A100" s="3">
        <x:v>390</x:v>
      </x:c>
      <x:c r="B100" t="s">
        <x:v>58</x:v>
      </x:c>
      <x:c r="C100" s="1">
        <x:v>463401.26999999996</x:v>
      </x:c>
      <x:c r="D100" s="1">
        <x:v>432922.12</x:v>
      </x:c>
      <x:c r="E100" s="1">
        <x:v>26747.170000000006</x:v>
      </x:c>
      <x:c r="F100" s="1">
        <x:v>2663.81</x:v>
      </x:c>
      <x:c r="G100" s="1">
        <x:v>1068.1699999999996</x:v>
      </x:c>
      <x:c r="I100">
        <x:v>55</x:v>
      </x:c>
      <x:c r="J100">
        <x:v>17.617785999999999</x:v>
      </x:c>
      <x:c r="K100" s="4">
        <x:v>-0.05</x:v>
      </x:c>
      <x:c r="L100" s="2">
        <x:f t="shared" si="20"/>
        <x:v>330711.1584574976</x:v>
      </x:c>
      <x:c r="M100" s="5">
        <x:v>0.58072038829896389</x:v>
      </x:c>
      <x:c r="N100" s="1">
        <x:f t="shared" si="14"/>
        <x:v>192050.71235423817</x:v>
      </x:c>
      <x:c r="O100" s="1">
        <x:f t="shared" si="15"/>
        <x:v>179419.01958945213</x:v>
      </x:c>
      <x:c r="P100" s="1">
        <x:f t="shared" si="16"/>
        <x:v>11085.021523484193</x:v>
      </x:c>
      <x:c r="Q100" s="1">
        <x:f t="shared" si="17"/>
        <x:v>1103.9818861013118</x:v>
      </x:c>
      <x:c r="R100" s="1">
        <x:f t="shared" si="18"/>
        <x:v>442.68935520057278</x:v>
      </x:c>
      <x:c r="T100" s="5">
        <x:f t="shared" si="19"/>
        <x:v>0</x:v>
      </x:c>
    </x:row>
    <x:row r="101" spans="1:20">
      <x:c r="A101" s="3">
        <x:v>390</x:v>
      </x:c>
      <x:c r="B101" t="s">
        <x:v>57</x:v>
      </x:c>
      <x:c r="C101" s="1">
        <x:v>411208.3</x:v>
      </x:c>
      <x:c r="D101" s="1">
        <x:v>323049.77</x:v>
      </x:c>
      <x:c r="E101" s="1">
        <x:v>71656.580000000016</x:v>
      </x:c>
      <x:c r="F101" s="1">
        <x:v>16094.979999999996</x:v>
      </x:c>
      <x:c r="G101" s="1">
        <x:v>406.96999999999963</x:v>
      </x:c>
      <x:c r="I101">
        <x:v>55</x:v>
      </x:c>
      <x:c r="J101">
        <x:v>17.167712000000002</x:v>
      </x:c>
      <x:c r="K101" s="4">
        <x:v>-0.05</x:v>
      </x:c>
      <x:c r="L101" s="2">
        <x:f t="shared" si="20"/>
        <x:v>296996.33409581665</x:v>
      </x:c>
      <x:c r="M101" s="5">
        <x:v>0.58072038829896389</x:v>
      </x:c>
      <x:c r="N101" s="1">
        <x:f t="shared" si="14"/>
        <x:v>172471.82645949145</x:v>
      </x:c>
      <x:c r="O101" s="1">
        <x:f t="shared" si="15"/>
        <x:v>135495.76666915193</x:v>
      </x:c>
      <x:c r="P101" s="1">
        <x:f t="shared" si="16"/>
        <x:v>30054.697899922419</x:v>
      </x:c>
      <x:c r="Q101" s="1">
        <x:f t="shared" si="17"/>
        <x:v>6750.6677210284552</x:v>
      </x:c>
      <x:c r="R101" s="1">
        <x:f t="shared" si="18"/>
        <x:v>170.69416938865089</x:v>
      </x:c>
      <x:c r="T101" s="5">
        <x:f t="shared" si="19"/>
        <x:v>0</x:v>
      </x:c>
    </x:row>
    <x:row r="102" spans="1:20">
      <x:c r="A102" s="3">
        <x:v>390</x:v>
      </x:c>
      <x:c r="B102" t="s">
        <x:v>56</x:v>
      </x:c>
      <x:c r="C102" s="1">
        <x:v>26308.030000000002</x:v>
      </x:c>
      <x:c r="D102" s="1">
        <x:v>13109.01</x:v>
      </x:c>
      <x:c r="E102" s="1">
        <x:v>12393.730000000001</x:v>
      </x:c>
      <x:c r="F102" s="1">
        <x:v>427.30999999999995</x:v>
      </x:c>
      <x:c r="G102" s="1">
        <x:v>377.98000000000008</x:v>
      </x:c>
      <x:c r="I102">
        <x:v>55</x:v>
      </x:c>
      <x:c r="J102">
        <x:v>16.723355999999999</x:v>
      </x:c>
      <x:c r="K102" s="4">
        <x:v>-0.05</x:v>
      </x:c>
      <x:c r="L102" s="2">
        <x:f t="shared" si="20"/>
        <x:v>19224.222792434295</x:v>
      </x:c>
      <x:c r="M102" s="5">
        <x:v>0.58072038829896389</x:v>
      </x:c>
      <x:c r="N102" s="1">
        <x:f t="shared" si="14"/>
        <x:v>11163.898124768235</x:v>
      </x:c>
      <x:c r="O102" s="1">
        <x:f t="shared" si="15"/>
        <x:v>5562.8510442084807</x:v>
      </x:c>
      <x:c r="P102" s="1">
        <x:f t="shared" si="16"/>
        <x:v>5259.3196490152941</x:v>
      </x:c>
      <x:c r="Q102" s="1">
        <x:f t="shared" si="17"/>
        <x:v>181.33038877083206</x:v>
      </x:c>
      <x:c r="R102" s="1">
        <x:f t="shared" si="18"/>
        <x:v>160.39704277362836</x:v>
      </x:c>
      <x:c r="T102" s="5">
        <x:f t="shared" si="19"/>
        <x:v>0</x:v>
      </x:c>
    </x:row>
    <x:row r="103" spans="1:20">
      <x:c r="A103" s="3">
        <x:v>390</x:v>
      </x:c>
      <x:c r="B103" t="s">
        <x:v>55</x:v>
      </x:c>
      <x:c r="C103" s="1">
        <x:v>36672.32</x:v>
      </x:c>
      <x:c r="D103" s="1">
        <x:v>10375.93</x:v>
      </x:c>
      <x:c r="E103" s="1">
        <x:v>20273.189999999999</x:v>
      </x:c>
      <x:c r="F103" s="1">
        <x:v>4690.71</x:v>
      </x:c>
      <x:c r="G103" s="1">
        <x:v>1332.4899999999998</x:v>
      </x:c>
      <x:c r="I103">
        <x:v>55</x:v>
      </x:c>
      <x:c r="J103">
        <x:v>16.284665</x:v>
      </x:c>
      <x:c r="K103" s="4">
        <x:v>-0.05</x:v>
      </x:c>
      <x:c r="L103" s="2">
        <x:f t="shared" si="20"/>
        <x:v>27104.912940519276</x:v>
      </x:c>
      <x:c r="M103" s="5">
        <x:v>0.58072038829896389</x:v>
      </x:c>
      <x:c r="N103" s="1">
        <x:f t="shared" si="14"/>
        <x:v>15740.375567627965</x:v>
      </x:c>
      <x:c r="O103" s="1">
        <x:f t="shared" si="15"/>
        <x:v>4453.5233948497953</x:v>
      </x:c>
      <x:c r="P103" s="1">
        <x:f t="shared" si="16"/>
        <x:v>8701.5935875853938</x:v>
      </x:c>
      <x:c r="Q103" s="1">
        <x:f t="shared" si="17"/>
        <x:v>2013.3315012202165</x:v>
      </x:c>
      <x:c r="R103" s="1">
        <x:f t="shared" si="18"/>
        <x:v>571.92708397255979</x:v>
      </x:c>
      <x:c r="T103" s="5">
        <x:f t="shared" si="19"/>
        <x:v>0</x:v>
      </x:c>
    </x:row>
    <x:row r="104" spans="1:20">
      <x:c r="A104" s="3">
        <x:v>390</x:v>
      </x:c>
      <x:c r="B104" t="s">
        <x:v>54</x:v>
      </x:c>
      <x:c r="C104" s="1">
        <x:v>72509.350000000006</x:v>
      </x:c>
      <x:c r="D104" s="1">
        <x:v>-37687.43</x:v>
      </x:c>
      <x:c r="E104" s="1">
        <x:v>109705.84</x:v>
      </x:c>
      <x:c r="F104" s="1">
        <x:v>411.19</x:v>
      </x:c>
      <x:c r="G104" s="1">
        <x:v>79.75</x:v>
      </x:c>
      <x:c r="I104">
        <x:v>55</x:v>
      </x:c>
      <x:c r="J104">
        <x:v>15.851588</x:v>
      </x:c>
      <x:c r="K104" s="4">
        <x:v>-0.05</x:v>
      </x:c>
      <x:c r="L104" s="2">
        <x:f t="shared" si="20"/>
        <x:v>54191.949146087463</x:v>
      </x:c>
      <x:c r="M104" s="5">
        <x:v>0.58072038829896389</x:v>
      </x:c>
      <x:c r="N104" s="1">
        <x:f t="shared" ref="N104:N117" si="21">+L104*M104</x:f>
        <x:v>31470.369750793616</x:v>
      </x:c>
      <x:c r="O104" s="1">
        <x:f t="shared" ref="O104:O117" si="22">+$N104*D104/$C104</x:f>
        <x:v>-16357.026467030137</x:v>
      </x:c>
      <x:c r="P104" s="1">
        <x:f t="shared" ref="P104:P117" si="23">+$N104*E104/$C104</x:f>
        <x:v>47614.319375658502</x:v>
      </x:c>
      <x:c r="Q104" s="1">
        <x:f t="shared" ref="Q104:Q117" si="24">+$N104*F104/$C104</x:f>
        <x:v>178.46389931545139</x:v>
      </x:c>
      <x:c r="R104" s="1">
        <x:f t="shared" ref="R104:R117" si="25">+$N104*G104/$C104</x:f>
        <x:v>34.612942849795104</x:v>
      </x:c>
      <x:c r="T104" s="5">
        <x:f t="shared" si="19"/>
        <x:v>0</x:v>
      </x:c>
    </x:row>
    <x:row r="105" spans="1:20">
      <x:c r="A105" s="3">
        <x:v>390</x:v>
      </x:c>
      <x:c r="B105" t="s">
        <x:v>53</x:v>
      </x:c>
      <x:c r="C105" s="1">
        <x:v>109163.72000000002</x:v>
      </x:c>
      <x:c r="D105" s="1">
        <x:v>4774.25</x:v>
      </x:c>
      <x:c r="E105" s="1">
        <x:v>103915.52</x:v>
      </x:c>
      <x:c r="F105" s="1">
        <x:v>321.32</x:v>
      </x:c>
      <x:c r="G105" s="1">
        <x:v>152.62999999999994</x:v>
      </x:c>
      <x:c r="I105">
        <x:v>55</x:v>
      </x:c>
      <x:c r="J105">
        <x:v>15.42407</x:v>
      </x:c>
      <x:c r="K105" s="4">
        <x:v>-0.05</x:v>
      </x:c>
      <x:c r="L105" s="2">
        <x:f t="shared" si="20"/>
        <x:v>82477.609605865102</x:v>
      </x:c>
      <x:c r="M105" s="5">
        <x:v>0.58072038829896389</x:v>
      </x:c>
      <x:c r="N105" s="1">
        <x:f t="shared" si="21"/>
        <x:v>47896.429476288336</x:v>
      </x:c>
      <x:c r="O105" s="1">
        <x:f t="shared" si="22"/>
        <x:v>2094.7392451188871</x:v>
      </x:c>
      <x:c r="P105" s="1">
        <x:f t="shared" si="23"/>
        <x:v>45593.740989880425</x:v>
      </x:c>
      <x:c r="Q105" s="1">
        <x:f t="shared" si="24"/>
        <x:v>140.98164407846275</x:v>
      </x:c>
      <x:c r="R105" s="1">
        <x:f t="shared" si="25"/>
        <x:v>66.967597210555709</x:v>
      </x:c>
      <x:c r="T105" s="5">
        <x:f t="shared" si="19"/>
        <x:v>0</x:v>
      </x:c>
    </x:row>
    <x:row r="106" spans="1:20">
      <x:c r="A106" s="3">
        <x:v>390</x:v>
      </x:c>
      <x:c r="B106" t="s">
        <x:v>34</x:v>
      </x:c>
      <x:c r="C106" s="1">
        <x:v>9315.6299999999992</x:v>
      </x:c>
      <x:c r="D106" s="1">
        <x:v>2886.68</x:v>
      </x:c>
      <x:c r="E106" s="1">
        <x:v>4552.41</x:v>
      </x:c>
      <x:c r="F106" s="1">
        <x:v>1598.4599999999998</x:v>
      </x:c>
      <x:c r="G106" s="1">
        <x:v>278.07999999999976</x:v>
      </x:c>
      <x:c r="I106">
        <x:v>55</x:v>
      </x:c>
      <x:c r="J106">
        <x:v>15.002048</x:v>
      </x:c>
      <x:c r="K106" s="4">
        <x:v>-0.05</x:v>
      </x:c>
      <x:c r="L106" s="2">
        <x:f t="shared" si="20"/>
        <x:v>7113.3895939863269</x:v>
      </x:c>
      <x:c r="M106" s="5">
        <x:v>0.58072038829896389</x:v>
      </x:c>
      <x:c r="N106" s="1">
        <x:f t="shared" si="21"/>
        <x:v>4130.8903671415492</x:v>
      </x:c>
      <x:c r="O106" s="1">
        <x:f t="shared" si="22"/>
        <x:v>1280.0592772598491</x:v>
      </x:c>
      <x:c r="P106" s="1">
        <x:f t="shared" si="23"/>
        <x:v>2018.7047592356998</x:v>
      </x:c>
      <x:c r="Q106" s="1">
        <x:f t="shared" si="24"/>
        <x:v>708.8155085872969</x:v>
      </x:c>
      <x:c r="R106" s="1">
        <x:f t="shared" si="25"/>
        <x:v>123.31082205870361</x:v>
      </x:c>
      <x:c r="T106" s="5">
        <x:f t="shared" si="19"/>
        <x:v>0</x:v>
      </x:c>
    </x:row>
    <x:row r="107" spans="1:20">
      <x:c r="A107" s="3">
        <x:v>390</x:v>
      </x:c>
      <x:c r="B107" t="s">
        <x:v>52</x:v>
      </x:c>
      <x:c r="C107" s="1">
        <x:v>537461.23</x:v>
      </x:c>
      <x:c r="E107" s="1">
        <x:v>507239.11</x:v>
      </x:c>
      <x:c r="F107" s="1">
        <x:v>13584.689999999999</x:v>
      </x:c>
      <x:c r="G107" s="1">
        <x:v>16637.429999999993</x:v>
      </x:c>
      <x:c r="I107">
        <x:v>55</x:v>
      </x:c>
      <x:c r="J107">
        <x:v>14.585406000000001</x:v>
      </x:c>
      <x:c r="K107" s="4">
        <x:v>-0.05</x:v>
      </x:c>
      <x:c r="L107" s="2">
        <x:f t="shared" si="20"/>
        <x:v>414678.93220454815</x:v>
      </x:c>
      <x:c r="M107" s="5">
        <x:v>0.58072038829896389</x:v>
      </x:c>
      <x:c r="N107" s="1">
        <x:f t="shared" si="21"/>
        <x:v>240812.51052922494</x:v>
      </x:c>
      <x:c r="O107" s="1">
        <x:f t="shared" si="22"/>
        <x:v>0</x:v>
      </x:c>
      <x:c r="P107" s="1">
        <x:f t="shared" si="23"/>
        <x:v>227271.32060801797</x:v>
      </x:c>
      <x:c r="Q107" s="1">
        <x:f t="shared" si="24"/>
        <x:v>6086.6963439600222</x:v>
      </x:c>
      <x:c r="R107" s="1">
        <x:f t="shared" si="25"/>
        <x:v>7454.4935772469416</x:v>
      </x:c>
      <x:c r="T107" s="5">
        <x:f t="shared" si="19"/>
        <x:v>0</x:v>
      </x:c>
    </x:row>
    <x:row r="108" spans="1:20">
      <x:c r="A108" s="3">
        <x:v>390</x:v>
      </x:c>
      <x:c r="B108" t="s">
        <x:v>51</x:v>
      </x:c>
      <x:c r="C108" s="1">
        <x:v>1706.9199999999996</x:v>
      </x:c>
      <x:c r="D108" s="1">
        <x:v>351.3</x:v>
      </x:c>
      <x:c r="E108" s="1">
        <x:v>702.55</x:v>
      </x:c>
      <x:c r="F108" s="1">
        <x:v>513.14</x:v>
      </x:c>
      <x:c r="G108" s="1">
        <x:v>139.92999999999986</x:v>
      </x:c>
      <x:c r="I108">
        <x:v>55</x:v>
      </x:c>
      <x:c r="J108">
        <x:v>14.174092999999999</x:v>
      </x:c>
      <x:c r="K108" s="4">
        <x:v>-0.05</x:v>
      </x:c>
      <x:c r="L108" s="2">
        <x:f t="shared" si="20"/>
        <x:v>1330.3797279138541</x:v>
      </x:c>
      <x:c r="M108" s="5">
        <x:v>0.58072038829896389</x:v>
      </x:c>
      <x:c r="N108" s="1">
        <x:f t="shared" si="21"/>
        <x:v>772.57863217920328</x:v>
      </x:c>
      <x:c r="O108" s="1">
        <x:f t="shared" si="22"/>
        <x:v>159.00386279647211</x:v>
      </x:c>
      <x:c r="P108" s="1">
        <x:f t="shared" si="23"/>
        <x:v>317.98509481258606</x:v>
      </x:c>
      <x:c r="Q108" s="1">
        <x:f t="shared" si="24"/>
        <x:v>232.2551726597828</x:v>
      </x:c>
      <x:c r="R108" s="1">
        <x:f t="shared" si="25"/>
        <x:v>63.334501910362427</x:v>
      </x:c>
      <x:c r="T108" s="5">
        <x:f t="shared" si="19"/>
        <x:v>0</x:v>
      </x:c>
    </x:row>
    <x:row r="109" spans="1:20">
      <x:c r="A109" s="3">
        <x:v>390</x:v>
      </x:c>
      <x:c r="B109" t="s">
        <x:v>50</x:v>
      </x:c>
      <x:c r="C109" s="1">
        <x:v>7184.63</x:v>
      </x:c>
      <x:c r="D109" s="1">
        <x:v>11733.93</x:v>
      </x:c>
      <x:c r="E109" s="1">
        <x:v>-4537.9699999999993</x:v>
      </x:c>
      <x:c r="F109" s="1">
        <x:v>109.70000000000002</x:v>
      </x:c>
      <x:c r="G109" s="1">
        <x:v>-121.03000000000051</x:v>
      </x:c>
      <x:c r="I109">
        <x:v>55</x:v>
      </x:c>
      <x:c r="J109">
        <x:v>13.768062</x:v>
      </x:c>
      <x:c r="K109" s="4">
        <x:v>-0.05</x:v>
      </x:c>
      <x:c r="L109" s="2">
        <x:f t="shared" si="20"/>
        <x:v>5655.418720883401</x:v>
      </x:c>
      <x:c r="M109" s="5">
        <x:v>0.58072038829896389</x:v>
      </x:c>
      <x:c r="N109" s="1">
        <x:f t="shared" si="21"/>
        <x:v>3284.2169555846381</x:v>
      </x:c>
      <x:c r="O109" s="1">
        <x:f t="shared" si="22"/>
        <x:v>5363.7796047455822</x:v>
      </x:c>
      <x:c r="P109" s="1">
        <x:f t="shared" si="23"/>
        <x:v>-2074.3835128509636</x:v>
      </x:c>
      <x:c r="Q109" s="1">
        <x:f t="shared" si="24"/>
        <x:v>50.145741677391165</x:v>
      </x:c>
      <x:c r="R109" s="1">
        <x:f t="shared" si="25"/>
        <x:v>-55.324877987371714</x:v>
      </x:c>
      <x:c r="T109" s="5">
        <x:f t="shared" si="19"/>
        <x:v>0</x:v>
      </x:c>
    </x:row>
    <x:row r="110" spans="1:20">
      <x:c r="A110" s="3">
        <x:v>390</x:v>
      </x:c>
      <x:c r="B110" t="s">
        <x:v>49</x:v>
      </x:c>
      <x:c r="C110" s="1">
        <x:v>687.81999999999994</x:v>
      </x:c>
      <x:c r="D110" s="1">
        <x:v>315.27999999999997</x:v>
      </x:c>
      <x:c r="E110" s="1">
        <x:v>-225.67000000000007</x:v>
      </x:c>
      <x:c r="F110" s="1">
        <x:v>463.80999999999995</x:v>
      </x:c>
      <x:c r="G110" s="1">
        <x:v>134.40000000000003</x:v>
      </x:c>
      <x:c r="I110">
        <x:v>55</x:v>
      </x:c>
      <x:c r="J110">
        <x:v>13.367271000000001</x:v>
      </x:c>
      <x:c r="K110" s="4">
        <x:v>-0.05</x:v>
      </x:c>
      <x:c r="L110" s="2">
        <x:f t="shared" si="20"/>
        <x:v>546.6839062512546</x:v>
      </x:c>
      <x:c r="M110" s="5">
        <x:v>0.58072038829896389</x:v>
      </x:c>
      <x:c r="N110" s="1">
        <x:f t="shared" si="21"/>
        <x:v>317.47049031502291</x:v>
      </x:c>
      <x:c r="O110" s="1">
        <x:f t="shared" si="22"/>
        <x:v>145.52077024006343</x:v>
      </x:c>
      <x:c r="P110" s="1">
        <x:f t="shared" si="23"/>
        <x:v>-104.16034071325529</x:v>
      </x:c>
      <x:c r="Q110" s="1">
        <x:f t="shared" si="24"/>
        <x:v>214.0763399043511</x:v>
      </x:c>
      <x:c r="R110" s="1">
        <x:f t="shared" si="25"/>
        <x:v>62.033720883863644</x:v>
      </x:c>
      <x:c r="T110" s="5">
        <x:f t="shared" si="19"/>
        <x:v>0</x:v>
      </x:c>
    </x:row>
    <x:row r="111" spans="1:20">
      <x:c r="A111" s="3">
        <x:v>390</x:v>
      </x:c>
      <x:c r="B111" t="s">
        <x:v>48</x:v>
      </x:c>
      <x:c r="C111" s="1">
        <x:v>13947.859999999999</x:v>
      </x:c>
      <x:c r="D111" s="1">
        <x:v>13933.73</x:v>
      </x:c>
      <x:c r="E111" s="1">
        <x:v>13.42</x:v>
      </x:c>
      <x:c r="F111" s="1">
        <x:v>0.14000000000000001</x:v>
      </x:c>
      <x:c r="G111" s="1">
        <x:v>0.57000000000000084</x:v>
      </x:c>
      <x:c r="I111">
        <x:v>55</x:v>
      </x:c>
      <x:c r="J111">
        <x:v>12.971685000000001</x:v>
      </x:c>
      <x:c r="K111" s="4">
        <x:v>-0.05</x:v>
      </x:c>
      <x:c r="L111" s="2">
        <x:f t="shared" si="20"/>
        <x:v>11191.187387976273</x:v>
      </x:c>
      <x:c r="M111" s="5">
        <x:v>0.58072038829896389</x:v>
      </x:c>
      <x:c r="N111" s="1">
        <x:f t="shared" si="21"/>
        <x:v>6498.9506854720485</x:v>
      </x:c>
      <x:c r="O111" s="1">
        <x:f t="shared" si="22"/>
        <x:v>6492.366867367643</x:v>
      </x:c>
      <x:c r="P111" s="1">
        <x:f t="shared" si="23"/>
        <x:v>6.2529963879071699</x:v>
      </x:c>
      <x:c r="Q111" s="1">
        <x:f t="shared" si="24"/>
        <x:v>6.5232451140611325E-2</x:v>
      </x:c>
      <x:c r="R111" s="1">
        <x:f t="shared" si="25"/>
        <x:v>0.2655892653582036</x:v>
      </x:c>
      <x:c r="T111" s="5">
        <x:f t="shared" si="19"/>
        <x:v>0</x:v>
      </x:c>
    </x:row>
    <x:row r="112" spans="1:20">
      <x:c r="A112" s="3">
        <x:v>390</x:v>
      </x:c>
      <x:c r="B112" t="s">
        <x:v>47</x:v>
      </x:c>
      <x:c r="C112" s="1">
        <x:v>64538.380000000005</x:v>
      </x:c>
      <x:c r="D112" s="1">
        <x:v>5730.69</x:v>
      </x:c>
      <x:c r="E112" s="1">
        <x:v>45020.6</x:v>
      </x:c>
      <x:c r="F112" s="1">
        <x:v>9950.23</x:v>
      </x:c>
      <x:c r="G112" s="1">
        <x:v>3836.8600000000015</x:v>
      </x:c>
      <x:c r="I112">
        <x:v>55</x:v>
      </x:c>
      <x:c r="J112">
        <x:v>12.580928</x:v>
      </x:c>
      <x:c r="K112" s="4">
        <x:v>-0.05</x:v>
      </x:c>
      <x:c r="L112" s="2">
        <x:f t="shared" si="20"/>
        <x:v>52264.383588773242</x:v>
      </x:c>
      <x:c r="M112" s="5">
        <x:v>0.58072038829896389</x:v>
      </x:c>
      <x:c r="N112" s="1">
        <x:f t="shared" si="21"/>
        <x:v>30350.993131878393</x:v>
      </x:c>
      <x:c r="O112" s="1">
        <x:f t="shared" si="22"/>
        <x:v>2695.0185739233643</x:v>
      </x:c>
      <x:c r="P112" s="1">
        <x:f t="shared" si="23"/>
        <x:v>21172.206699223691</x:v>
      </x:c>
      <x:c r="Q112" s="1">
        <x:f t="shared" si="24"/>
        <x:v>4679.3762469806388</x:v>
      </x:c>
      <x:c r="R112" s="1">
        <x:f t="shared" si="25"/>
        <x:v>1804.3916117506974</x:v>
      </x:c>
      <x:c r="T112" s="5">
        <x:f t="shared" si="19"/>
        <x:v>0</x:v>
      </x:c>
    </x:row>
    <x:row r="113" spans="1:22">
      <x:c r="A113" s="3">
        <x:v>390</x:v>
      </x:c>
      <x:c r="B113" t="s">
        <x:v>46</x:v>
      </x:c>
      <x:c r="C113" s="1">
        <x:v>34510.630000000005</x:v>
      </x:c>
      <x:c r="D113" s="1">
        <x:v>381.95</x:v>
      </x:c>
      <x:c r="E113" s="1">
        <x:v>26372.550000000003</x:v>
      </x:c>
      <x:c r="F113" s="1">
        <x:v>5265.1500000000005</x:v>
      </x:c>
      <x:c r="G113" s="1">
        <x:v>2490.9799999999991</x:v>
      </x:c>
      <x:c r="I113">
        <x:v>55</x:v>
      </x:c>
      <x:c r="J113">
        <x:v>12.195171</x:v>
      </x:c>
      <x:c r="K113" s="4">
        <x:v>-0.05</x:v>
      </x:c>
      <x:c r="L113" s="2">
        <x:f t="shared" si="20"/>
        <x:v>28201.503574979706</x:v>
      </x:c>
      <x:c r="M113" s="5">
        <x:v>0.58072038829896389</x:v>
      </x:c>
      <x:c r="N113" s="1">
        <x:f t="shared" si="21"/>
        <x:v>16377.188106676833</x:v>
      </x:c>
      <x:c r="O113" s="1">
        <x:f t="shared" si="22"/>
        <x:v>181.256238942761</x:v>
      </x:c>
      <x:c r="P113" s="1">
        <x:f t="shared" si="23"/>
        <x:v>12515.222475009587</x:v>
      </x:c>
      <x:c r="Q113" s="1">
        <x:f t="shared" si="24"/>
        <x:v>2498.6026612631968</x:v>
      </x:c>
      <x:c r="R113" s="1">
        <x:f t="shared" si="25"/>
        <x:v>1182.1067314612869</x:v>
      </x:c>
      <x:c r="T113" s="5">
        <x:f t="shared" si="19"/>
        <x:v>0</x:v>
      </x:c>
    </x:row>
    <x:row r="114" spans="1:22">
      <x:c r="A114" s="3">
        <x:v>390</x:v>
      </x:c>
      <x:c r="B114" t="s">
        <x:v>45</x:v>
      </x:c>
      <x:c r="C114" s="1">
        <x:v>7751.2</x:v>
      </x:c>
      <x:c r="E114" s="1">
        <x:v>6123.45</x:v>
      </x:c>
      <x:c r="F114" s="1">
        <x:v>1085.17</x:v>
      </x:c>
      <x:c r="G114" s="1">
        <x:v>542.57999999999993</x:v>
      </x:c>
      <x:c r="I114">
        <x:v>55</x:v>
      </x:c>
      <x:c r="J114">
        <x:v>11.438516</x:v>
      </x:c>
      <x:c r="K114" s="4">
        <x:v>-0.05</x:v>
      </x:c>
      <x:c r="L114" s="2">
        <x:f t="shared" si="20"/>
        <x:v>6446.1175185425445</x:v>
      </x:c>
      <x:c r="M114" s="5">
        <x:v>0.58072038829896389</x:v>
      </x:c>
      <x:c r="N114" s="1">
        <x:f t="shared" si="21"/>
        <x:v>3743.39186838878</x:v>
      </x:c>
      <x:c r="O114" s="1">
        <x:f t="shared" si="22"/>
        <x:v>0</x:v>
      </x:c>
      <x:c r="P114" s="1">
        <x:f t="shared" si="23"/>
        <x:v>2957.280541914191</x:v>
      </x:c>
      <x:c r="Q114" s="1">
        <x:f t="shared" si="24"/>
        <x:v>524.07582746148375</x:v>
      </x:c>
      <x:c r="R114" s="1">
        <x:f t="shared" si="25"/>
        <x:v>262.03549901310561</x:v>
      </x:c>
      <x:c r="T114" s="5">
        <x:f t="shared" si="19"/>
        <x:v>0</x:v>
      </x:c>
    </x:row>
    <x:row r="115" spans="1:22">
      <x:c r="A115" s="3">
        <x:v>390</x:v>
      </x:c>
      <x:c r="B115" t="s">
        <x:v>44</x:v>
      </x:c>
      <x:c r="C115" s="1">
        <x:v>112.95</x:v>
      </x:c>
      <x:c r="E115" s="1">
        <x:v>89.23</x:v>
      </x:c>
      <x:c r="F115" s="1">
        <x:v>15.81</x:v>
      </x:c>
      <x:c r="G115" s="1">
        <x:v>7.9099999999999984</x:v>
      </x:c>
      <x:c r="I115">
        <x:v>55</x:v>
      </x:c>
      <x:c r="J115">
        <x:v>9.9820200000000003</x:v>
      </x:c>
      <x:c r="K115" s="4">
        <x:v>-0.05</x:v>
      </x:c>
      <x:c r="L115" s="2">
        <x:f t="shared" si="20"/>
        <x:v>97.073088782727282</x:v>
      </x:c>
      <x:c r="M115" s="5">
        <x:v>0.58072038829896389</x:v>
      </x:c>
      <x:c r="N115" s="1">
        <x:f t="shared" si="21"/>
        <x:v>56.372321811285182</x:v>
      </x:c>
      <x:c r="O115" s="1">
        <x:f t="shared" si="22"/>
        <x:v>0</x:v>
      </x:c>
      <x:c r="P115" s="1">
        <x:f t="shared" si="23"/>
        <x:v>44.533884685444683</x:v>
      </x:c>
      <x:c r="Q115" s="1">
        <x:f t="shared" si="24"/>
        <x:v>7.8906277807562519</x:v>
      </x:c>
      <x:c r="R115" s="1">
        <x:f t="shared" si="25"/>
        <x:v>3.9478093450842473</x:v>
      </x:c>
      <x:c r="T115" s="5">
        <x:f t="shared" si="19"/>
        <x:v>0</x:v>
      </x:c>
    </x:row>
    <x:row r="116" spans="1:22">
      <x:c r="A116" s="3">
        <x:v>390</x:v>
      </x:c>
      <x:c r="B116" t="s">
        <x:v>43</x:v>
      </x:c>
      <x:c r="C116" s="1">
        <x:v>11067.199999999999</x:v>
      </x:c>
      <x:c r="E116" s="1">
        <x:v>4117.8599999999997</x:v>
      </x:c>
      <x:c r="F116" s="1">
        <x:v>5374.12</x:v>
      </x:c>
      <x:c r="G116" s="1">
        <x:v>1575.2199999999996</x:v>
      </x:c>
      <x:c r="I116">
        <x:v>55</x:v>
      </x:c>
      <x:c r="J116">
        <x:v>8.5985890000000005</x:v>
      </x:c>
      <x:c r="K116" s="4">
        <x:v>-0.05</x:v>
      </x:c>
      <x:c r="L116" s="2">
        <x:f t="shared" si="20"/>
        <x:v>9803.8251020029093</x:v>
      </x:c>
      <x:c r="M116" s="5">
        <x:v>0.58072038829896389</x:v>
      </x:c>
      <x:c r="N116" s="1">
        <x:f t="shared" si="21"/>
        <x:v>5693.2811200502583</x:v>
      </x:c>
      <x:c r="O116" s="1">
        <x:f t="shared" si="22"/>
        <x:v>0</x:v>
      </x:c>
      <x:c r="P116" s="1">
        <x:f t="shared" si="23"/>
        <x:v>2118.3438081005274</x:v>
      </x:c>
      <x:c r="Q116" s="1">
        <x:f t="shared" si="24"/>
        <x:v>2764.5995313073313</x:v>
      </x:c>
      <x:c r="R116" s="1">
        <x:f t="shared" si="25"/>
        <x:v>810.33778064239971</x:v>
      </x:c>
      <x:c r="T116" s="5">
        <x:f t="shared" si="19"/>
        <x:v>0</x:v>
      </x:c>
    </x:row>
    <x:row r="117" spans="1:22">
      <x:c r="A117" s="3">
        <x:v>390</x:v>
      </x:c>
      <x:c r="B117" t="s">
        <x:v>42</x:v>
      </x:c>
      <x:c r="C117" s="1">
        <x:v>520</x:v>
      </x:c>
      <x:c r="D117" s="1">
        <x:v>520</x:v>
      </x:c>
      <x:c r="I117">
        <x:v>55</x:v>
      </x:c>
      <x:c r="J117">
        <x:v>4.5365570000000002</x:v>
      </x:c>
      <x:c r="K117" s="4">
        <x:v>-0.05</x:v>
      </x:c>
      <x:c r="L117" s="2">
        <x:f t="shared" si="20"/>
        <x:v>500.96436141818185</x:v>
      </x:c>
      <x:c r="M117" s="5">
        <x:v>0.58072038829896389</x:v>
      </x:c>
      <x:c r="N117" s="1">
        <x:f t="shared" si="21"/>
        <x:v>290.92021848670908</x:v>
      </x:c>
      <x:c r="O117" s="1">
        <x:f t="shared" si="22"/>
        <x:v>290.92021848670908</x:v>
      </x:c>
      <x:c r="P117" s="1">
        <x:f t="shared" si="23"/>
        <x:v>0</x:v>
      </x:c>
      <x:c r="Q117" s="1">
        <x:f t="shared" si="24"/>
        <x:v>0</x:v>
      </x:c>
      <x:c r="R117" s="1">
        <x:f t="shared" si="25"/>
        <x:v>0</x:v>
      </x:c>
      <x:c r="T117" s="5">
        <x:f t="shared" si="19"/>
        <x:v>0</x:v>
      </x:c>
    </x:row>
    <x:row r="118" spans="1:22">
      <x:c r="C118" s="1">
        <x:f>SUM(C40:C117)</x:f>
        <x:v>375567299.53000003</x:v>
      </x:c>
      <x:c r="D118" s="1">
        <x:f t="shared" ref="D118:R118" si="26">SUM(D40:D117)</x:f>
        <x:v>115520074.79000004</x:v>
      </x:c>
      <x:c r="E118" s="1">
        <x:f t="shared" si="26"/>
        <x:v>209793160.81000006</x:v>
      </x:c>
      <x:c r="F118" s="1">
        <x:f t="shared" si="26"/>
        <x:v>32214555.320000004</x:v>
      </x:c>
      <x:c r="G118" s="1">
        <x:f t="shared" si="26"/>
        <x:v>18039508.609999992</x:v>
      </x:c>
      <x:c r="I118" s="1"/>
      <x:c r="J118" s="1"/>
      <x:c r="K118" s="1"/>
      <x:c r="L118" s="1">
        <x:f t="shared" si="26"/>
        <x:v>61667842.410181649</x:v>
      </x:c>
      <x:c r="M118" s="1"/>
      <x:c r="N118" s="1">
        <x:f>SUM(N40:N117)</x:f>
        <x:v>35811773.390000015</x:v>
      </x:c>
      <x:c r="O118" s="1">
        <x:f t="shared" si="26"/>
        <x:v>10801095.788578741</x:v>
      </x:c>
      <x:c r="P118" s="1">
        <x:f t="shared" si="26"/>
        <x:v>20690955.350997277</x:v>
      </x:c>
      <x:c r="Q118" s="1">
        <x:f t="shared" si="26"/>
        <x:v>2956090.1373698767</x:v>
      </x:c>
      <x:c r="R118" s="1">
        <x:f t="shared" si="26"/>
        <x:v>1363632.1130541062</x:v>
      </x:c>
      <x:c r="T118" s="5">
        <x:f t="shared" si="19"/>
        <x:v>0</x:v>
      </x:c>
      <x:c r="V118" s="5">
        <x:f>+N118+N124</x:f>
        <x:v>37577941.750000015</x:v>
      </x:c>
    </x:row>
    <x:row r="119" spans="1:22">
      <x:c r="L119" s="2"/>
      <x:c r="T119" s="5">
        <x:f t="shared" si="19"/>
        <x:v>0</x:v>
      </x:c>
      <x:c r="V119">
        <x:v>109305.39</x:v>
      </x:c>
    </x:row>
    <x:row r="120" spans="1:22">
      <x:c r="L120" s="2"/>
      <x:c r="T120" s="5">
        <x:f t="shared" si="19"/>
        <x:v>0</x:v>
      </x:c>
    </x:row>
    <x:row r="121" spans="1:22">
      <x:c r="A121" t="s">
        <x:v>92</x:v>
      </x:c>
      <x:c r="B121" t="s">
        <x:v>5</x:v>
      </x:c>
      <x:c r="C121" s="1">
        <x:v>627.85</x:v>
      </x:c>
      <x:c r="D121" s="1">
        <x:v>370.43</x:v>
      </x:c>
      <x:c r="E121" s="1">
        <x:v>241.72</x:v>
      </x:c>
      <x:c r="F121" s="1">
        <x:v>5.0199999999999996</x:v>
      </x:c>
      <x:c r="G121" s="1">
        <x:v>10.680000000000017</x:v>
      </x:c>
      <x:c r="I121">
        <x:v>15</x:v>
      </x:c>
      <x:c r="J121">
        <x:v>12.5</x:v>
      </x:c>
      <x:c r="K121" s="4">
        <x:v>0</x:v>
      </x:c>
      <x:c r="L121" s="2">
        <x:f t="shared" si="20"/>
        <x:v>104.64166666666665</x:v>
      </x:c>
      <x:c r="M121" s="5">
        <x:v>0.89403674009726053</x:v>
      </x:c>
      <x:c r="N121" s="1">
        <x:f t="shared" ref="N121:N122" si="27">+L121*M121</x:f>
        <x:v>93.553494545010821</x:v>
      </x:c>
      <x:c r="O121" s="1">
        <x:f t="shared" ref="O121:O122" si="28">+$N121*D121/$C121</x:f>
        <x:v>55.196338272371356</x:v>
      </x:c>
      <x:c r="P121" s="1">
        <x:f t="shared" ref="P121:P122" si="29">+$N121*E121/$C121</x:f>
        <x:v>36.017760136051628</x:v>
      </x:c>
      <x:c r="Q121" s="1">
        <x:f t="shared" ref="Q121:Q122" si="30">+$N121*F121/$C121</x:f>
        <x:v>0.74801073921470773</x:v>
      </x:c>
      <x:c r="R121" s="1">
        <x:f t="shared" ref="R121:R122" si="31">+$N121*G121/$C121</x:f>
        <x:v>1.591385397373126</x:v>
      </x:c>
      <x:c r="T121" s="5">
        <x:f t="shared" si="19"/>
        <x:v>0</x:v>
      </x:c>
    </x:row>
    <x:row r="122" spans="1:22">
      <x:c r="A122" t="s">
        <x:v>92</x:v>
      </x:c>
      <x:c r="B122" t="s">
        <x:v>4</x:v>
      </x:c>
      <x:c r="C122" s="1">
        <x:v>16913.540000000037</x:v>
      </x:c>
      <x:c r="D122" s="1">
        <x:v>9978.9899999999907</x:v>
      </x:c>
      <x:c r="E122" s="1">
        <x:v>6511.7099999999627</x:v>
      </x:c>
      <x:c r="F122" s="1">
        <x:v>135.29999999999927</x:v>
      </x:c>
      <x:c r="G122" s="1">
        <x:v>287.54000000008455</x:v>
      </x:c>
      <x:c r="I122">
        <x:v>15</x:v>
      </x:c>
      <x:c r="J122">
        <x:v>11.5</x:v>
      </x:c>
      <x:c r="K122" s="4">
        <x:v>0</x:v>
      </x:c>
      <x:c r="L122" s="2">
        <x:f t="shared" si="20"/>
        <x:v>3946.4926666666743</x:v>
      </x:c>
      <x:c r="M122" s="5">
        <x:v>0.89403674009726053</x:v>
      </x:c>
      <x:c r="N122" s="1">
        <x:f t="shared" si="27"/>
        <x:v>3528.3094385244181</x:v>
      </x:c>
      <x:c r="O122" s="1">
        <x:f t="shared" si="28"/>
        <x:v>2081.7028607814018</x:v>
      </x:c>
      <x:c r="P122" s="1">
        <x:f t="shared" si="29"/>
        <x:v>1358.3985288670294</x:v>
      </x:c>
      <x:c r="Q122" s="1">
        <x:f t="shared" si="30"/>
        <x:v>28.224739884870353</x:v>
      </x:c>
      <x:c r="R122" s="1">
        <x:f t="shared" si="31"/>
        <x:v>59.983308991116417</x:v>
      </x:c>
      <x:c r="T122" s="5">
        <x:f t="shared" si="19"/>
        <x:v>0</x:v>
      </x:c>
    </x:row>
    <x:row r="123" spans="1:22">
      <x:c r="A123" t="s">
        <x:v>92</x:v>
      </x:c>
      <x:c r="B123" t="s">
        <x:v>3</x:v>
      </x:c>
      <x:c r="C123" s="1">
        <x:v>6571491.6699999999</x:v>
      </x:c>
      <x:c r="D123" s="1">
        <x:v>3877180.08</x:v>
      </x:c>
      <x:c r="E123" s="1">
        <x:v>2530024.29</x:v>
      </x:c>
      <x:c r="F123" s="1">
        <x:v>52571.93</x:v>
      </x:c>
      <x:c r="G123" s="1">
        <x:v>111715.37000000005</x:v>
      </x:c>
      <x:c r="I123">
        <x:v>15</x:v>
      </x:c>
      <x:c r="J123">
        <x:v>10.5</x:v>
      </x:c>
      <x:c r="K123" s="4">
        <x:v>0</x:v>
      </x:c>
      <x:c r="L123" s="2">
        <x:f t="shared" si="20"/>
        <x:v>1971447.5010000002</x:v>
      </x:c>
      <x:c r="M123" s="5">
        <x:v>0.89403674009726053</x:v>
      </x:c>
      <x:c r="N123" s="1">
        <x:f t="shared" ref="N123" si="32">+L123*M123</x:f>
        <x:v>1762546.4970669309</x:v>
      </x:c>
      <x:c r="O123" s="1">
        <x:f t="shared" ref="O123" si="33">+$N123*D123/$C123</x:f>
        <x:v>1039902.4318479708</x:v>
      </x:c>
      <x:c r="P123" s="1">
        <x:f t="shared" ref="P123" si="34">+$N123*E123/$C123</x:f>
        <x:v>678580.40057954588</x:v>
      </x:c>
      <x:c r="Q123" s="1">
        <x:f t="shared" ref="Q123" si="35">+$N123*F123/$C123</x:f>
        <x:v>14100.371075346413</x:v>
      </x:c>
      <x:c r="R123" s="1">
        <x:f t="shared" ref="R123" si="36">+$N123*G123/$C123</x:f>
        <x:v>29963.293564067804</x:v>
      </x:c>
      <x:c r="T123" s="5">
        <x:f t="shared" si="19"/>
        <x:v>0</x:v>
      </x:c>
      <x:c r="V123" s="5">
        <x:f>SUM(V118:V122)</x:f>
        <x:v>37687247.140000015</x:v>
      </x:c>
    </x:row>
    <x:row r="124" spans="1:22">
      <x:c r="C124" s="1">
        <x:f>SUM(C121:C123)</x:f>
        <x:v>6589033.0599999996</x:v>
      </x:c>
      <x:c r="D124" s="1">
        <x:f t="shared" ref="D124:G124" si="37">SUM(D121:D123)</x:f>
        <x:v>3887529.5</x:v>
      </x:c>
      <x:c r="E124" s="1">
        <x:f t="shared" si="37"/>
        <x:v>2536777.7200000002</x:v>
      </x:c>
      <x:c r="F124" s="1">
        <x:f t="shared" si="37"/>
        <x:v>52712.25</x:v>
      </x:c>
      <x:c r="G124" s="1">
        <x:f t="shared" si="37"/>
        <x:v>112013.59000000014</x:v>
      </x:c>
      <x:c r="L124" s="1">
        <x:f>SUM(L121:L123)</x:f>
        <x:v>1975498.6353333334</x:v>
      </x:c>
      <x:c r="N124" s="1">
        <x:f t="shared" ref="N124:R124" si="38">SUM(N121:N123)</x:f>
        <x:v>1766168.3600000003</x:v>
      </x:c>
      <x:c r="O124" s="1">
        <x:f t="shared" si="38"/>
        <x:v>1042039.3310470246</x:v>
      </x:c>
      <x:c r="P124" s="1">
        <x:f t="shared" si="38"/>
        <x:v>679974.81686854898</x:v>
      </x:c>
      <x:c r="Q124" s="1">
        <x:f t="shared" si="38"/>
        <x:v>14129.343825970498</x:v>
      </x:c>
      <x:c r="R124" s="1">
        <x:f t="shared" si="38"/>
        <x:v>30024.868258456292</x:v>
      </x:c>
      <x:c r="T124" s="5">
        <x:f t="shared" si="19"/>
        <x:v>0</x:v>
      </x:c>
    </x:row>
    <x:row r="125" spans="1:22">
      <x:c r="L125" s="2"/>
      <x:c r="N125" s="1">
        <x:f>+N118+N124</x:f>
        <x:v>37577941.750000015</x:v>
      </x:c>
      <x:c r="O125" s="1">
        <x:f t="shared" ref="O125:R125" si="39">+O118+O124</x:f>
        <x:v>11843135.119625766</x:v>
      </x:c>
      <x:c r="P125" s="1">
        <x:f t="shared" si="39"/>
        <x:v>21370930.167865824</x:v>
      </x:c>
      <x:c r="Q125" s="1">
        <x:f t="shared" si="39"/>
        <x:v>2970219.481195847</x:v>
      </x:c>
      <x:c r="R125" s="1">
        <x:f t="shared" si="39"/>
        <x:v>1393656.9813125625</x:v>
      </x:c>
      <x:c r="T125" s="5">
        <x:f t="shared" si="19"/>
        <x:v>0</x:v>
      </x:c>
    </x:row>
    <x:row r="126" spans="1:22">
      <x:c r="A126" s="6" t="s">
        <x:v>95</x:v>
      </x:c>
      <x:c r="B126" s="6" t="s">
        <x:v>1</x:v>
      </x:c>
      <x:c r="C126" s="8">
        <x:v>365428.77</x:v>
      </x:c>
      <x:c r="D126" s="8"/>
      <x:c r="E126" s="8">
        <x:v>365428.77</x:v>
      </x:c>
      <x:c r="F126" s="8">
        <x:f t="shared" ref="F126:F138" si="40">+C126-D126-E126</x:f>
        <x:v>0</x:v>
      </x:c>
      <x:c r="I126">
        <x:v>10</x:v>
      </x:c>
      <x:c r="J126">
        <x:v>3.5</x:v>
      </x:c>
      <x:c r="K126" s="4">
        <x:v>0.1</x:v>
      </x:c>
      <x:c r="L126" s="2">
        <x:f>+C126*(1-J126/I126)*(1-K126)</x:f>
        <x:v>213775.83045000001</x:v>
      </x:c>
      <x:c r="M126" s="5">
        <x:v>0.57620777631205455</x:v>
      </x:c>
      <x:c r="N126" s="1">
        <x:f>+L126*M126</x:f>
        <x:v>123179.29589285731</x:v>
      </x:c>
      <x:c r="O126" s="1">
        <x:f t="shared" ref="O126:Q129" si="41">+$N126*D126/$C126</x:f>
        <x:v>0</x:v>
      </x:c>
      <x:c r="P126" s="1">
        <x:f t="shared" si="41"/>
        <x:v>123179.29589285732</x:v>
      </x:c>
      <x:c r="Q126" s="1">
        <x:f t="shared" si="41"/>
        <x:v>0</x:v>
      </x:c>
      <x:c r="R126" s="1">
        <x:f t="shared" ref="R126" si="42">+$N126*G126/$C126</x:f>
        <x:v>0</x:v>
      </x:c>
      <x:c r="T126" s="5">
        <x:f t="shared" si="19"/>
        <x:v>0</x:v>
      </x:c>
    </x:row>
    <x:row r="127" spans="1:22">
      <x:c r="A127" s="6" t="s">
        <x:v>95</x:v>
      </x:c>
      <x:c r="B127" s="6" t="s">
        <x:v>21</x:v>
      </x:c>
      <x:c r="C127" s="8">
        <x:v>86974.61</x:v>
      </x:c>
      <x:c r="D127" s="8">
        <x:v>86974.61</x:v>
      </x:c>
      <x:c r="E127" s="8"/>
      <x:c r="F127" s="8">
        <x:f t="shared" si="40"/>
        <x:v>0</x:v>
      </x:c>
      <x:c r="I127">
        <x:v>10</x:v>
      </x:c>
      <x:c r="J127">
        <x:v>2.5</x:v>
      </x:c>
      <x:c r="K127" s="4">
        <x:v>0.1</x:v>
      </x:c>
      <x:c r="L127" s="2">
        <x:f>+C127*(1-J127/I127)*(1-K127)</x:f>
        <x:v>58707.861750000004</x:v>
      </x:c>
      <x:c r="M127" s="5">
        <x:v>0.57620777631205455</x:v>
      </x:c>
      <x:c r="N127" s="1">
        <x:f>+L127*M127</x:f>
        <x:v>33827.926471003026</x:v>
      </x:c>
      <x:c r="O127" s="1">
        <x:f t="shared" si="41"/>
        <x:v>33827.926471003026</x:v>
      </x:c>
      <x:c r="P127" s="1">
        <x:f t="shared" si="41"/>
        <x:v>0</x:v>
      </x:c>
      <x:c r="Q127" s="1">
        <x:f t="shared" si="41"/>
        <x:v>0</x:v>
      </x:c>
      <x:c r="R127" s="1">
        <x:f t="shared" ref="R127:R161" si="43">+$N127*G127/$C127</x:f>
        <x:v>0</x:v>
      </x:c>
      <x:c r="T127" s="5">
        <x:f t="shared" si="19"/>
        <x:v>0</x:v>
      </x:c>
    </x:row>
    <x:row r="128" spans="1:22">
      <x:c r="A128" s="6" t="s">
        <x:v>95</x:v>
      </x:c>
      <x:c r="B128" s="6" t="s">
        <x:v>20</x:v>
      </x:c>
      <x:c r="C128" s="8">
        <x:v>383885.7</x:v>
      </x:c>
      <x:c r="D128" s="8">
        <x:v>20970.900000000001</x:v>
      </x:c>
      <x:c r="E128" s="8">
        <x:v>362914.8</x:v>
      </x:c>
      <x:c r="F128" s="8">
        <x:f t="shared" si="40"/>
        <x:v>0</x:v>
      </x:c>
      <x:c r="I128">
        <x:v>10</x:v>
      </x:c>
      <x:c r="J128">
        <x:v>1.5</x:v>
      </x:c>
      <x:c r="K128" s="4">
        <x:v>0.1</x:v>
      </x:c>
      <x:c r="L128" s="2">
        <x:f>+C128*(1-J128/I128)*(1-K128)</x:f>
        <x:v>293672.56050000002</x:v>
      </x:c>
      <x:c r="M128" s="5">
        <x:v>0.57620777631205455</x:v>
      </x:c>
      <x:c r="N128" s="1">
        <x:f>+L128*M128</x:f>
        <x:v>169216.41304957232</x:v>
      </x:c>
      <x:c r="O128" s="1">
        <x:f t="shared" si="41"/>
        <x:v>9243.9506770407879</x:v>
      </x:c>
      <x:c r="P128" s="1">
        <x:f t="shared" si="41"/>
        <x:v>159972.46237253153</x:v>
      </x:c>
      <x:c r="Q128" s="1">
        <x:f t="shared" si="41"/>
        <x:v>0</x:v>
      </x:c>
      <x:c r="R128" s="1">
        <x:f t="shared" si="43"/>
        <x:v>0</x:v>
      </x:c>
      <x:c r="T128" s="5">
        <x:f t="shared" si="19"/>
        <x:v>0</x:v>
      </x:c>
    </x:row>
    <x:row r="129" spans="1:20">
      <x:c r="A129" s="6" t="s">
        <x:v>95</x:v>
      </x:c>
      <x:c r="B129" s="6" t="s">
        <x:v>19</x:v>
      </x:c>
      <x:c r="C129" s="8">
        <x:v>137647.43</x:v>
      </x:c>
      <x:c r="D129" s="8"/>
      <x:c r="E129" s="8">
        <x:v>137647.43</x:v>
      </x:c>
      <x:c r="F129" s="8">
        <x:f t="shared" si="40"/>
        <x:v>0</x:v>
      </x:c>
      <x:c r="I129">
        <x:v>10</x:v>
      </x:c>
      <x:c r="J129">
        <x:v>0.5</x:v>
      </x:c>
      <x:c r="K129" s="4">
        <x:v>0.1</x:v>
      </x:c>
      <x:c r="L129" s="2">
        <x:f>+C129*(1-J129/I129)*(1-K129)</x:f>
        <x:v>117688.55264999998</x:v>
      </x:c>
      <x:c r="M129" s="5">
        <x:v>0.57620777631205455</x:v>
      </x:c>
      <x:c r="N129" s="1">
        <x:f>+L129*M129</x:f>
        <x:v>67813.059219840652</x:v>
      </x:c>
      <x:c r="O129" s="1">
        <x:f t="shared" si="41"/>
        <x:v>0</x:v>
      </x:c>
      <x:c r="P129" s="1">
        <x:f t="shared" si="41"/>
        <x:v>67813.059219840652</x:v>
      </x:c>
      <x:c r="Q129" s="1">
        <x:f t="shared" si="41"/>
        <x:v>0</x:v>
      </x:c>
      <x:c r="R129" s="1">
        <x:f t="shared" si="43"/>
        <x:v>0</x:v>
      </x:c>
      <x:c r="T129" s="5">
        <x:f t="shared" si="19"/>
        <x:v>0</x:v>
      </x:c>
    </x:row>
    <x:row r="130" spans="1:20">
      <x:c r="F130" s="1">
        <x:f t="shared" si="40"/>
        <x:v>0</x:v>
      </x:c>
      <x:c r="L130" s="2"/>
      <x:c r="M130" s="5"/>
      <x:c r="T130" s="5"/>
    </x:row>
    <x:row r="131" spans="1:20">
      <x:c r="F131" s="1">
        <x:f t="shared" si="40"/>
        <x:v>0</x:v>
      </x:c>
      <x:c r="L131" s="2"/>
      <x:c r="M131" s="5"/>
      <x:c r="T131" s="5"/>
    </x:row>
    <x:row r="132" spans="1:20">
      <x:c r="F132" s="1">
        <x:f t="shared" si="40"/>
        <x:v>0</x:v>
      </x:c>
      <x:c r="L132" s="2"/>
      <x:c r="M132" s="5"/>
      <x:c r="T132" s="5"/>
    </x:row>
    <x:row r="133" spans="1:20">
      <x:c r="F133" s="1">
        <x:f t="shared" si="40"/>
        <x:v>0</x:v>
      </x:c>
      <x:c r="L133" s="2"/>
      <x:c r="M133" s="5"/>
      <x:c r="T133" s="5"/>
    </x:row>
    <x:row r="134" spans="1:20">
      <x:c r="A134" s="6"/>
      <x:c r="B134" s="6"/>
      <x:c r="C134" s="8"/>
      <x:c r="D134" s="8"/>
      <x:c r="E134" s="8"/>
      <x:c r="F134" s="8">
        <x:f t="shared" si="40"/>
        <x:v>0</x:v>
      </x:c>
      <x:c r="L134" s="2"/>
      <x:c r="M134" s="5"/>
      <x:c r="T134" s="5"/>
    </x:row>
    <x:row r="135" spans="1:20">
      <x:c r="A135" s="6" t="s">
        <x:v>96</x:v>
      </x:c>
      <x:c r="B135" s="6" t="s">
        <x:v>4</x:v>
      </x:c>
      <x:c r="C135" s="8">
        <x:v>631372.36</x:v>
      </x:c>
      <x:c r="D135" s="8">
        <x:v>631372.36</x:v>
      </x:c>
      <x:c r="E135" s="8"/>
      <x:c r="F135" s="8">
        <x:f t="shared" si="40"/>
        <x:v>0</x:v>
      </x:c>
      <x:c r="I135">
        <x:v>7</x:v>
      </x:c>
      <x:c r="J135">
        <x:v>3.5</x:v>
      </x:c>
      <x:c r="K135" s="4">
        <x:v>0.1</x:v>
      </x:c>
      <x:c r="L135" s="2">
        <x:f t="shared" ref="L135:L161" si="44">+C135*(1-J135/I135)*(1-K135)</x:f>
        <x:v>284117.56199999998</x:v>
      </x:c>
      <x:c r="M135" s="5">
        <x:v>0.57620777361069142</x:v>
      </x:c>
      <x:c r="N135" s="1">
        <x:f t="shared" ref="N135:N161" si="45">+L135*M135</x:f>
        <x:v>163710.74784371757</x:v>
      </x:c>
      <x:c r="O135" s="1">
        <x:f t="shared" ref="O135:O161" si="46">+$N135*D135/$C135</x:f>
        <x:v>163710.74784371757</x:v>
      </x:c>
      <x:c r="P135" s="1">
        <x:f t="shared" ref="P135:P161" si="47">+$N135*E135/$C135</x:f>
        <x:v>0</x:v>
      </x:c>
      <x:c r="Q135" s="1">
        <x:f t="shared" ref="Q135:Q161" si="48">+$N135*F135/$C135</x:f>
        <x:v>0</x:v>
      </x:c>
      <x:c r="R135" s="1">
        <x:f t="shared" si="43"/>
        <x:v>0</x:v>
      </x:c>
      <x:c r="T135" s="5">
        <x:f t="shared" si="19"/>
        <x:v>0</x:v>
      </x:c>
    </x:row>
    <x:row r="136" spans="1:20">
      <x:c r="A136" s="6" t="s">
        <x:v>96</x:v>
      </x:c>
      <x:c r="B136" s="6" t="s">
        <x:v>3</x:v>
      </x:c>
      <x:c r="C136" s="8">
        <x:v>1191.54</x:v>
      </x:c>
      <x:c r="D136" s="8">
        <x:v>0</x:v>
      </x:c>
      <x:c r="E136" s="8">
        <x:v>1191.54</x:v>
      </x:c>
      <x:c r="F136" s="8">
        <x:f t="shared" si="40"/>
        <x:v>0</x:v>
      </x:c>
      <x:c r="I136">
        <x:v>7</x:v>
      </x:c>
      <x:c r="J136">
        <x:v>2.5</x:v>
      </x:c>
      <x:c r="K136" s="4">
        <x:v>0.1</x:v>
      </x:c>
      <x:c r="L136" s="2">
        <x:f t="shared" si="44"/>
        <x:v>689.39099999999996</x:v>
      </x:c>
      <x:c r="M136" s="5">
        <x:v>0.57620777361069142</x:v>
      </x:c>
      <x:c r="N136" s="1">
        <x:f t="shared" si="45"/>
        <x:v>397.23245325724815</x:v>
      </x:c>
      <x:c r="O136" s="1">
        <x:f t="shared" si="46"/>
        <x:v>0</x:v>
      </x:c>
      <x:c r="P136" s="1">
        <x:f t="shared" si="47"/>
        <x:v>397.23245325724815</x:v>
      </x:c>
      <x:c r="Q136" s="1">
        <x:f t="shared" si="48"/>
        <x:v>0</x:v>
      </x:c>
      <x:c r="R136" s="1">
        <x:f t="shared" si="43"/>
        <x:v>0</x:v>
      </x:c>
      <x:c r="T136" s="5">
        <x:f t="shared" si="19"/>
        <x:v>0</x:v>
      </x:c>
    </x:row>
    <x:row r="137" spans="1:20">
      <x:c r="A137" s="6" t="s">
        <x:v>96</x:v>
      </x:c>
      <x:c r="B137" s="6" t="s">
        <x:v>2</x:v>
      </x:c>
      <x:c r="C137" s="8">
        <x:v>117959.17</x:v>
      </x:c>
      <x:c r="D137" s="8">
        <x:v>117959.17</x:v>
      </x:c>
      <x:c r="E137" s="8"/>
      <x:c r="F137" s="8">
        <x:f t="shared" si="40"/>
        <x:v>0</x:v>
      </x:c>
      <x:c r="I137">
        <x:v>7</x:v>
      </x:c>
      <x:c r="J137">
        <x:v>1.5</x:v>
      </x:c>
      <x:c r="K137" s="4">
        <x:v>0.1</x:v>
      </x:c>
      <x:c r="L137" s="2">
        <x:f t="shared" si="44"/>
        <x:v>83413.984500000006</x:v>
      </x:c>
      <x:c r="M137" s="5">
        <x:v>0.57620777361069142</x:v>
      </x:c>
      <x:c r="N137" s="1">
        <x:f t="shared" si="45"/>
        <x:v>48063.786296741724</x:v>
      </x:c>
      <x:c r="O137" s="1">
        <x:f t="shared" si="46"/>
        <x:v>48063.786296741724</x:v>
      </x:c>
      <x:c r="P137" s="1">
        <x:f t="shared" si="47"/>
        <x:v>0</x:v>
      </x:c>
      <x:c r="Q137" s="1">
        <x:f t="shared" si="48"/>
        <x:v>0</x:v>
      </x:c>
      <x:c r="R137" s="1">
        <x:f t="shared" si="43"/>
        <x:v>0</x:v>
      </x:c>
      <x:c r="T137" s="5">
        <x:f t="shared" si="19"/>
        <x:v>0</x:v>
      </x:c>
    </x:row>
    <x:row r="138" spans="1:20">
      <x:c r="A138" s="6" t="s">
        <x:v>96</x:v>
      </x:c>
      <x:c r="B138" s="6" t="s">
        <x:v>1</x:v>
      </x:c>
      <x:c r="C138" s="8">
        <x:v>310098.92</x:v>
      </x:c>
      <x:c r="D138" s="8"/>
      <x:c r="E138" s="8">
        <x:v>310098.92</x:v>
      </x:c>
      <x:c r="F138" s="8">
        <x:f t="shared" si="40"/>
        <x:v>0</x:v>
      </x:c>
      <x:c r="I138">
        <x:v>7</x:v>
      </x:c>
      <x:c r="J138">
        <x:v>0.5</x:v>
      </x:c>
      <x:c r="K138" s="4">
        <x:v>0.1</x:v>
      </x:c>
      <x:c r="L138" s="2">
        <x:f t="shared" si="44"/>
        <x:v>259154.0974285714</x:v>
      </x:c>
      <x:c r="M138" s="5">
        <x:v>0.57620777361069142</x:v>
      </x:c>
      <x:c r="N138" s="1">
        <x:f t="shared" si="45"/>
        <x:v>149326.60550140534</x:v>
      </x:c>
      <x:c r="O138" s="1">
        <x:f t="shared" si="46"/>
        <x:v>0</x:v>
      </x:c>
      <x:c r="P138" s="1">
        <x:f t="shared" si="47"/>
        <x:v>149326.60550140534</x:v>
      </x:c>
      <x:c r="Q138" s="1">
        <x:f t="shared" si="48"/>
        <x:v>0</x:v>
      </x:c>
      <x:c r="R138" s="1">
        <x:f t="shared" si="43"/>
        <x:v>0</x:v>
      </x:c>
      <x:c r="T138" s="5">
        <x:f t="shared" si="19"/>
        <x:v>0</x:v>
      </x:c>
    </x:row>
    <x:row r="139" spans="1:20">
      <x:c r="A139" s="6" t="s">
        <x:v>98</x:v>
      </x:c>
      <x:c r="B139" s="6" t="s">
        <x:v>7</x:v>
      </x:c>
      <x:c r="C139" s="8">
        <x:v>3410942.24</x:v>
      </x:c>
      <x:c r="D139" s="8">
        <x:v>454692.41000000003</x:v>
      </x:c>
      <x:c r="E139" s="8">
        <x:v>2956249.83</x:v>
      </x:c>
      <x:c r="F139" s="8">
        <x:f>+C139-D139-E139</x:f>
        <x:v>0</x:v>
      </x:c>
      <x:c r="I139">
        <x:v>10</x:v>
      </x:c>
      <x:c r="J139">
        <x:v>9.5</x:v>
      </x:c>
      <x:c r="K139" s="4">
        <x:v>0.1</x:v>
      </x:c>
      <x:c r="L139" s="2">
        <x:f t="shared" si="44"/>
        <x:v>153492.40080000015</x:v>
      </x:c>
      <x:c r="M139" s="5">
        <x:v>0.57620777361069142</x:v>
      </x:c>
      <x:c r="N139" s="1">
        <x:f t="shared" si="45"/>
        <x:v>88443.514531127992</x:v>
      </x:c>
      <x:c r="O139" s="1">
        <x:f t="shared" si="46"/>
        <x:v>11789.878555970097</x:v>
      </x:c>
      <x:c r="P139" s="1">
        <x:f t="shared" si="47"/>
        <x:v>76653.635975157886</x:v>
      </x:c>
      <x:c r="Q139" s="1">
        <x:f t="shared" si="48"/>
        <x:v>0</x:v>
      </x:c>
      <x:c r="R139" s="1">
        <x:f t="shared" si="43"/>
        <x:v>0</x:v>
      </x:c>
      <x:c r="T139" s="5">
        <x:f t="shared" si="19"/>
        <x:v>0</x:v>
      </x:c>
    </x:row>
    <x:row r="140" spans="1:20">
      <x:c r="A140" s="6" t="s">
        <x:v>98</x:v>
      </x:c>
      <x:c r="B140" s="6" t="s">
        <x:v>6</x:v>
      </x:c>
      <x:c r="C140" s="8">
        <x:v>1443959.9700000002</x:v>
      </x:c>
      <x:c r="D140" s="8">
        <x:v>542753.71</x:v>
      </x:c>
      <x:c r="E140" s="8">
        <x:v>901206.26000000013</x:v>
      </x:c>
      <x:c r="F140" s="8">
        <x:f t="shared" ref="F140:F161" si="49">+C140-D140-E140</x:f>
        <x:v>0</x:v>
      </x:c>
      <x:c r="I140">
        <x:v>10</x:v>
      </x:c>
      <x:c r="J140">
        <x:v>8.5</x:v>
      </x:c>
      <x:c r="K140" s="4">
        <x:v>0.1</x:v>
      </x:c>
      <x:c r="L140" s="2">
        <x:f t="shared" si="44"/>
        <x:v>194934.59595000008</x:v>
      </x:c>
      <x:c r="M140" s="5">
        <x:v>0.57620777361069142</x:v>
      </x:c>
      <x:c r="N140" s="1">
        <x:f t="shared" si="45"/>
        <x:v>112322.82953204925</x:v>
      </x:c>
      <x:c r="O140" s="1">
        <x:f t="shared" si="46"/>
        <x:v>42219.752425835788</x:v>
      </x:c>
      <x:c r="P140" s="1">
        <x:f t="shared" si="47"/>
        <x:v>70103.077106213444</x:v>
      </x:c>
      <x:c r="Q140" s="1">
        <x:f t="shared" si="48"/>
        <x:v>0</x:v>
      </x:c>
      <x:c r="R140" s="1">
        <x:f t="shared" si="43"/>
        <x:v>0</x:v>
      </x:c>
      <x:c r="T140" s="5">
        <x:f t="shared" si="19"/>
        <x:v>0</x:v>
      </x:c>
    </x:row>
    <x:row r="141" spans="1:20">
      <x:c r="A141" s="6" t="s">
        <x:v>98</x:v>
      </x:c>
      <x:c r="B141" s="6" t="s">
        <x:v>5</x:v>
      </x:c>
      <x:c r="C141" s="8">
        <x:v>732205.71</x:v>
      </x:c>
      <x:c r="D141" s="8">
        <x:v>518908.35</x:v>
      </x:c>
      <x:c r="E141" s="8">
        <x:v>213297.35999999996</x:v>
      </x:c>
      <x:c r="F141" s="8">
        <x:f t="shared" si="49"/>
        <x:v>0</x:v>
      </x:c>
      <x:c r="I141">
        <x:v>10</x:v>
      </x:c>
      <x:c r="J141">
        <x:v>7.5</x:v>
      </x:c>
      <x:c r="K141" s="4">
        <x:v>0.1</x:v>
      </x:c>
      <x:c r="L141" s="2">
        <x:f t="shared" si="44"/>
        <x:v>164746.28474999999</x:v>
      </x:c>
      <x:c r="M141" s="5">
        <x:v>0.57620777361069142</x:v>
      </x:c>
      <x:c r="N141" s="1">
        <x:f t="shared" si="45"/>
        <x:v>94928.089946430497</x:v>
      </x:c>
      <x:c r="O141" s="1">
        <x:f t="shared" si="46"/>
        <x:v>67274.780638836921</x:v>
      </x:c>
      <x:c r="P141" s="1">
        <x:f t="shared" si="47"/>
        <x:v>27653.309307593576</x:v>
      </x:c>
      <x:c r="Q141" s="1">
        <x:f t="shared" si="48"/>
        <x:v>0</x:v>
      </x:c>
      <x:c r="R141" s="1">
        <x:f t="shared" si="43"/>
        <x:v>0</x:v>
      </x:c>
      <x:c r="T141" s="5">
        <x:f t="shared" ref="T141:T204" si="50">+O141+P141+Q141+R141-N141</x:f>
        <x:v>0</x:v>
      </x:c>
    </x:row>
    <x:row r="142" spans="1:20">
      <x:c r="A142" s="6" t="s">
        <x:v>98</x:v>
      </x:c>
      <x:c r="B142" s="6" t="s">
        <x:v>4</x:v>
      </x:c>
      <x:c r="C142" s="8">
        <x:v>461719.82</x:v>
      </x:c>
      <x:c r="D142" s="8">
        <x:v>218807.69999999998</x:v>
      </x:c>
      <x:c r="E142" s="8">
        <x:v>242912.12000000002</x:v>
      </x:c>
      <x:c r="F142" s="8">
        <x:f t="shared" si="49"/>
        <x:v>0</x:v>
      </x:c>
      <x:c r="I142">
        <x:v>10</x:v>
      </x:c>
      <x:c r="J142">
        <x:v>6.5</x:v>
      </x:c>
      <x:c r="K142" s="4">
        <x:v>0.1</x:v>
      </x:c>
      <x:c r="L142" s="2">
        <x:f t="shared" si="44"/>
        <x:v>145441.7433</x:v>
      </x:c>
      <x:c r="M142" s="5">
        <x:v>0.57620777361069142</x:v>
      </x:c>
      <x:c r="N142" s="1">
        <x:f t="shared" si="45"/>
        <x:v>83804.663096950695</x:v>
      </x:c>
      <x:c r="O142" s="1">
        <x:f t="shared" si="46"/>
        <x:v>39714.789764750967</x:v>
      </x:c>
      <x:c r="P142" s="1">
        <x:f t="shared" si="47"/>
        <x:v>44089.873332199728</x:v>
      </x:c>
      <x:c r="Q142" s="1">
        <x:f t="shared" si="48"/>
        <x:v>0</x:v>
      </x:c>
      <x:c r="R142" s="1">
        <x:f t="shared" si="43"/>
        <x:v>0</x:v>
      </x:c>
      <x:c r="T142" s="5">
        <x:f t="shared" si="50"/>
        <x:v>0</x:v>
      </x:c>
    </x:row>
    <x:row r="143" spans="1:20">
      <x:c r="A143" s="6" t="s">
        <x:v>98</x:v>
      </x:c>
      <x:c r="B143" s="6" t="s">
        <x:v>3</x:v>
      </x:c>
      <x:c r="C143" s="8">
        <x:v>2402153.9200000004</x:v>
      </x:c>
      <x:c r="D143" s="8">
        <x:v>1721383.8900000004</x:v>
      </x:c>
      <x:c r="E143" s="8">
        <x:v>680770.03</x:v>
      </x:c>
      <x:c r="F143" s="8">
        <x:f t="shared" si="49"/>
        <x:v>0</x:v>
      </x:c>
      <x:c r="I143">
        <x:v>10</x:v>
      </x:c>
      <x:c r="J143">
        <x:v>5.5</x:v>
      </x:c>
      <x:c r="K143" s="4">
        <x:v>0.1</x:v>
      </x:c>
      <x:c r="L143" s="2">
        <x:f t="shared" si="44"/>
        <x:v>972872.33759999997</x:v>
      </x:c>
      <x:c r="M143" s="5">
        <x:v>0.57620777361069142</x:v>
      </x:c>
      <x:c r="N143" s="1">
        <x:f t="shared" si="45"/>
        <x:v>560576.6036559249</x:v>
      </x:c>
      <x:c r="O143" s="1">
        <x:f t="shared" si="46"/>
        <x:v>401709.2854084156</x:v>
      </x:c>
      <x:c r="P143" s="1">
        <x:f t="shared" si="47"/>
        <x:v>158867.31824750933</x:v>
      </x:c>
      <x:c r="Q143" s="1">
        <x:f t="shared" si="48"/>
        <x:v>0</x:v>
      </x:c>
      <x:c r="R143" s="1">
        <x:f t="shared" si="43"/>
        <x:v>0</x:v>
      </x:c>
      <x:c r="T143" s="5">
        <x:f t="shared" si="50"/>
        <x:v>0</x:v>
      </x:c>
    </x:row>
    <x:row r="144" spans="1:20">
      <x:c r="A144" s="6" t="s">
        <x:v>98</x:v>
      </x:c>
      <x:c r="B144" s="6" t="s">
        <x:v>2</x:v>
      </x:c>
      <x:c r="C144" s="8">
        <x:v>447998.16</x:v>
      </x:c>
      <x:c r="D144" s="8">
        <x:v>360018.99</x:v>
      </x:c>
      <x:c r="E144" s="8">
        <x:v>87979.17</x:v>
      </x:c>
      <x:c r="F144" s="8">
        <x:f t="shared" si="49"/>
        <x:v>0</x:v>
      </x:c>
      <x:c r="I144">
        <x:v>10</x:v>
      </x:c>
      <x:c r="J144">
        <x:v>4.5</x:v>
      </x:c>
      <x:c r="K144" s="4">
        <x:v>0.1</x:v>
      </x:c>
      <x:c r="L144" s="2">
        <x:f t="shared" si="44"/>
        <x:v>221759.08920000002</x:v>
      </x:c>
      <x:c r="M144" s="5">
        <x:v>0.57620777361069142</x:v>
      </x:c>
      <x:c r="N144" s="1">
        <x:f t="shared" si="45"/>
        <x:v>127779.31106586673</x:v>
      </x:c>
      <x:c r="O144" s="1">
        <x:f t="shared" si="46"/>
        <x:v>102685.64163930755</x:v>
      </x:c>
      <x:c r="P144" s="1">
        <x:f t="shared" si="47"/>
        <x:v>25093.669426559183</x:v>
      </x:c>
      <x:c r="Q144" s="1">
        <x:f t="shared" si="48"/>
        <x:v>0</x:v>
      </x:c>
      <x:c r="R144" s="1">
        <x:f t="shared" si="43"/>
        <x:v>0</x:v>
      </x:c>
      <x:c r="T144" s="5">
        <x:f t="shared" si="50"/>
        <x:v>0</x:v>
      </x:c>
    </x:row>
    <x:row r="145" spans="1:20">
      <x:c r="A145" s="6" t="s">
        <x:v>98</x:v>
      </x:c>
      <x:c r="B145" s="6" t="s">
        <x:v>1</x:v>
      </x:c>
      <x:c r="C145" s="8">
        <x:v>328794.84000000003</x:v>
      </x:c>
      <x:c r="D145" s="8">
        <x:v>244028.43000000002</x:v>
      </x:c>
      <x:c r="E145" s="8">
        <x:v>84766.41</x:v>
      </x:c>
      <x:c r="F145" s="8">
        <x:f t="shared" si="49"/>
        <x:v>0</x:v>
      </x:c>
      <x:c r="I145">
        <x:v>10</x:v>
      </x:c>
      <x:c r="J145">
        <x:v>3.5</x:v>
      </x:c>
      <x:c r="K145" s="4">
        <x:v>0.1</x:v>
      </x:c>
      <x:c r="L145" s="2">
        <x:f t="shared" si="44"/>
        <x:v>192344.98140000005</x:v>
      </x:c>
      <x:c r="M145" s="5">
        <x:v>0.57620777361069142</x:v>
      </x:c>
      <x:c r="N145" s="1">
        <x:f t="shared" si="45"/>
        <x:v>110830.67349768388</x:v>
      </x:c>
      <x:c r="O145" s="1">
        <x:f t="shared" si="46"/>
        <x:v>82257.480833587309</x:v>
      </x:c>
      <x:c r="P145" s="1">
        <x:f t="shared" si="47"/>
        <x:v>28573.192664096568</x:v>
      </x:c>
      <x:c r="Q145" s="1">
        <x:f t="shared" si="48"/>
        <x:v>0</x:v>
      </x:c>
      <x:c r="R145" s="1">
        <x:f t="shared" si="43"/>
        <x:v>0</x:v>
      </x:c>
      <x:c r="T145" s="5">
        <x:f t="shared" si="50"/>
        <x:v>0</x:v>
      </x:c>
    </x:row>
    <x:row r="146" spans="1:20">
      <x:c r="A146" s="6" t="s">
        <x:v>98</x:v>
      </x:c>
      <x:c r="B146" s="6" t="s">
        <x:v>21</x:v>
      </x:c>
      <x:c r="C146" s="8">
        <x:v>200157.11000000002</x:v>
      </x:c>
      <x:c r="D146" s="8">
        <x:v>90176.85</x:v>
      </x:c>
      <x:c r="E146" s="8">
        <x:v>109980.26000000001</x:v>
      </x:c>
      <x:c r="F146" s="8">
        <x:f t="shared" si="49"/>
        <x:v>0</x:v>
      </x:c>
      <x:c r="I146">
        <x:v>10</x:v>
      </x:c>
      <x:c r="J146">
        <x:v>2.5</x:v>
      </x:c>
      <x:c r="K146" s="4">
        <x:v>0.1</x:v>
      </x:c>
      <x:c r="L146" s="2">
        <x:f t="shared" si="44"/>
        <x:v>135106.04925000001</x:v>
      </x:c>
      <x:c r="M146" s="5">
        <x:v>0.57620777361069142</x:v>
      </x:c>
      <x:c r="N146" s="1">
        <x:f t="shared" si="45"/>
        <x:v>77849.155839678933</x:v>
      </x:c>
      <x:c r="O146" s="1">
        <x:f t="shared" si="46"/>
        <x:v>35073.406329564568</x:v>
      </x:c>
      <x:c r="P146" s="1">
        <x:f t="shared" si="47"/>
        <x:v>42775.749510114365</x:v>
      </x:c>
      <x:c r="Q146" s="1">
        <x:f t="shared" si="48"/>
        <x:v>0</x:v>
      </x:c>
      <x:c r="R146" s="1">
        <x:f t="shared" si="43"/>
        <x:v>0</x:v>
      </x:c>
      <x:c r="T146" s="5">
        <x:f t="shared" si="50"/>
        <x:v>0</x:v>
      </x:c>
    </x:row>
    <x:row r="147" spans="1:20">
      <x:c r="A147" s="6" t="s">
        <x:v>98</x:v>
      </x:c>
      <x:c r="B147" s="6" t="s">
        <x:v>20</x:v>
      </x:c>
      <x:c r="C147" s="8">
        <x:v>85786.84</x:v>
      </x:c>
      <x:c r="D147" s="8"/>
      <x:c r="E147" s="8">
        <x:v>85786.84</x:v>
      </x:c>
      <x:c r="F147" s="8">
        <x:f t="shared" si="49"/>
        <x:v>0</x:v>
      </x:c>
      <x:c r="I147">
        <x:v>10</x:v>
      </x:c>
      <x:c r="J147">
        <x:v>1.5</x:v>
      </x:c>
      <x:c r="K147" s="4">
        <x:v>0.1</x:v>
      </x:c>
      <x:c r="L147" s="2">
        <x:f t="shared" si="44"/>
        <x:v>65626.9326</x:v>
      </x:c>
      <x:c r="M147" s="5">
        <x:v>0.57620777361069142</x:v>
      </x:c>
      <x:c r="N147" s="1">
        <x:f t="shared" si="45"/>
        <x:v>37814.748722344906</x:v>
      </x:c>
      <x:c r="O147" s="1">
        <x:f t="shared" si="46"/>
        <x:v>0</x:v>
      </x:c>
      <x:c r="P147" s="1">
        <x:f t="shared" si="47"/>
        <x:v>37814.748722344906</x:v>
      </x:c>
      <x:c r="Q147" s="1">
        <x:f t="shared" si="48"/>
        <x:v>0</x:v>
      </x:c>
      <x:c r="R147" s="1">
        <x:f t="shared" si="43"/>
        <x:v>0</x:v>
      </x:c>
      <x:c r="T147" s="5">
        <x:f t="shared" si="50"/>
        <x:v>0</x:v>
      </x:c>
    </x:row>
    <x:row r="148" spans="1:20">
      <x:c r="A148" s="6" t="s">
        <x:v>98</x:v>
      </x:c>
      <x:c r="B148" s="6" t="s">
        <x:v>19</x:v>
      </x:c>
      <x:c r="C148" s="8">
        <x:v>219682.23</x:v>
      </x:c>
      <x:c r="D148" s="8">
        <x:v>11426.96</x:v>
      </x:c>
      <x:c r="E148" s="8">
        <x:v>208255.27000000002</x:v>
      </x:c>
      <x:c r="F148" s="8">
        <x:f t="shared" si="49"/>
        <x:v>0</x:v>
      </x:c>
      <x:c r="I148">
        <x:v>10</x:v>
      </x:c>
      <x:c r="J148">
        <x:v>0.5</x:v>
      </x:c>
      <x:c r="K148" s="4">
        <x:v>0.1</x:v>
      </x:c>
      <x:c r="L148" s="2">
        <x:f t="shared" si="44"/>
        <x:v>187828.30665000001</x:v>
      </x:c>
      <x:c r="M148" s="5">
        <x:v>0.57620777361069142</x:v>
      </x:c>
      <x:c r="N148" s="1">
        <x:f t="shared" si="45"/>
        <x:v>108228.13039586274</x:v>
      </x:c>
      <x:c r="O148" s="1">
        <x:f t="shared" si="46"/>
        <x:v>5629.5792195313543</x:v>
      </x:c>
      <x:c r="P148" s="1">
        <x:f t="shared" si="47"/>
        <x:v>102598.55117633138</x:v>
      </x:c>
      <x:c r="Q148" s="1">
        <x:f t="shared" si="48"/>
        <x:v>0</x:v>
      </x:c>
      <x:c r="R148" s="1">
        <x:f t="shared" si="43"/>
        <x:v>0</x:v>
      </x:c>
      <x:c r="T148" s="5">
        <x:f t="shared" si="50"/>
        <x:v>0</x:v>
      </x:c>
    </x:row>
    <x:row r="149" spans="1:20">
      <x:c r="A149" s="6" t="s">
        <x:v>97</x:v>
      </x:c>
      <x:c r="B149" s="6" t="s">
        <x:v>6</x:v>
      </x:c>
      <x:c r="C149" s="8">
        <x:v>439292.26000000007</x:v>
      </x:c>
      <x:c r="D149" s="8">
        <x:v>14933.259999999998</x:v>
      </x:c>
      <x:c r="E149" s="8">
        <x:v>424359.00000000006</x:v>
      </x:c>
      <x:c r="F149" s="8">
        <x:f t="shared" si="49"/>
        <x:v>0</x:v>
      </x:c>
      <x:c r="I149">
        <x:v>15</x:v>
      </x:c>
      <x:c r="J149">
        <x:v>13.5</x:v>
      </x:c>
      <x:c r="K149" s="4">
        <x:v>0.1</x:v>
      </x:c>
      <x:c r="L149" s="2">
        <x:f t="shared" si="44"/>
        <x:v>39536.303399999997</x:v>
      </x:c>
      <x:c r="M149" s="5">
        <x:v>0.57620777361069142</x:v>
      </x:c>
      <x:c r="N149" s="1">
        <x:f t="shared" si="45"/>
        <x:v>22781.125358910809</x:v>
      </x:c>
      <x:c r="O149" s="1">
        <x:f t="shared" si="46"/>
        <x:v>774.4194447614633</x:v>
      </x:c>
      <x:c r="P149" s="1">
        <x:f t="shared" si="47"/>
        <x:v>22006.705914149345</x:v>
      </x:c>
      <x:c r="Q149" s="1">
        <x:f t="shared" si="48"/>
        <x:v>0</x:v>
      </x:c>
      <x:c r="R149" s="1">
        <x:f t="shared" si="43"/>
        <x:v>0</x:v>
      </x:c>
      <x:c r="T149" s="5">
        <x:f t="shared" si="50"/>
        <x:v>0</x:v>
      </x:c>
    </x:row>
    <x:row r="150" spans="1:20">
      <x:c r="A150" s="6" t="s">
        <x:v>97</x:v>
      </x:c>
      <x:c r="B150" s="6" t="s">
        <x:v>5</x:v>
      </x:c>
      <x:c r="C150" s="8">
        <x:v>383595.46</x:v>
      </x:c>
      <x:c r="D150" s="8">
        <x:v>101882.05</x:v>
      </x:c>
      <x:c r="E150" s="8">
        <x:v>281713.41000000003</x:v>
      </x:c>
      <x:c r="F150" s="8">
        <x:f t="shared" si="49"/>
        <x:v>0</x:v>
      </x:c>
      <x:c r="I150">
        <x:v>15</x:v>
      </x:c>
      <x:c r="J150">
        <x:v>12.5</x:v>
      </x:c>
      <x:c r="K150" s="4">
        <x:v>0.1</x:v>
      </x:c>
      <x:c r="L150" s="2">
        <x:f t="shared" si="44"/>
        <x:v>57539.318999999989</x:v>
      </x:c>
      <x:c r="M150" s="5">
        <x:v>0.57620777361069142</x:v>
      </x:c>
      <x:c r="N150" s="1">
        <x:f t="shared" si="45"/>
        <x:v>33154.602896065349</x:v>
      </x:c>
      <x:c r="O150" s="1">
        <x:f t="shared" si="46"/>
        <x:v>8805.7843802089701</x:v>
      </x:c>
      <x:c r="P150" s="1">
        <x:f t="shared" si="47"/>
        <x:v>24348.818515856379</x:v>
      </x:c>
      <x:c r="Q150" s="1">
        <x:f t="shared" si="48"/>
        <x:v>0</x:v>
      </x:c>
      <x:c r="R150" s="1">
        <x:f t="shared" si="43"/>
        <x:v>0</x:v>
      </x:c>
      <x:c r="T150" s="5">
        <x:f t="shared" si="50"/>
        <x:v>0</x:v>
      </x:c>
    </x:row>
    <x:row r="151" spans="1:20">
      <x:c r="A151" s="6" t="s">
        <x:v>97</x:v>
      </x:c>
      <x:c r="B151" s="6" t="s">
        <x:v>4</x:v>
      </x:c>
      <x:c r="C151" s="8">
        <x:v>175270.98</x:v>
      </x:c>
      <x:c r="D151" s="8">
        <x:v>26686.07</x:v>
      </x:c>
      <x:c r="E151" s="8">
        <x:v>148584.91</x:v>
      </x:c>
      <x:c r="F151" s="8">
        <x:f t="shared" si="49"/>
        <x:v>0</x:v>
      </x:c>
      <x:c r="I151">
        <x:v>15</x:v>
      </x:c>
      <x:c r="J151">
        <x:v>11.5</x:v>
      </x:c>
      <x:c r="K151" s="4">
        <x:v>0.1</x:v>
      </x:c>
      <x:c r="L151" s="2">
        <x:f t="shared" si="44"/>
        <x:v>36806.905799999993</x:v>
      </x:c>
      <x:c r="M151" s="5">
        <x:v>0.57620777361069142</x:v>
      </x:c>
      <x:c r="N151" s="1">
        <x:f t="shared" si="45"/>
        <x:v>21208.425244516442</x:v>
      </x:c>
      <x:c r="O151" s="1">
        <x:f t="shared" si="46"/>
        <x:v>3229.1114060350023</x:v>
      </x:c>
      <x:c r="P151" s="1">
        <x:f t="shared" si="47"/>
        <x:v>17979.313838481437</x:v>
      </x:c>
      <x:c r="Q151" s="1">
        <x:f t="shared" si="48"/>
        <x:v>0</x:v>
      </x:c>
      <x:c r="R151" s="1">
        <x:f t="shared" si="43"/>
        <x:v>0</x:v>
      </x:c>
      <x:c r="T151" s="5">
        <x:f t="shared" si="50"/>
        <x:v>0</x:v>
      </x:c>
    </x:row>
    <x:row r="152" spans="1:20">
      <x:c r="A152" s="6" t="s">
        <x:v>97</x:v>
      </x:c>
      <x:c r="B152" s="6" t="s">
        <x:v>3</x:v>
      </x:c>
      <x:c r="C152" s="8">
        <x:v>739247.33000000007</x:v>
      </x:c>
      <x:c r="D152" s="8">
        <x:v>210889.13999999998</x:v>
      </x:c>
      <x:c r="E152" s="8">
        <x:v>528358.19000000006</x:v>
      </x:c>
      <x:c r="F152" s="8">
        <x:f t="shared" si="49"/>
        <x:v>0</x:v>
      </x:c>
      <x:c r="I152">
        <x:v>15</x:v>
      </x:c>
      <x:c r="J152">
        <x:v>10.5</x:v>
      </x:c>
      <x:c r="K152" s="4">
        <x:v>0.1</x:v>
      </x:c>
      <x:c r="L152" s="2">
        <x:f t="shared" si="44"/>
        <x:v>199596.77910000004</x:v>
      </x:c>
      <x:c r="M152" s="5">
        <x:v>0.57620777361069142</x:v>
      </x:c>
      <x:c r="N152" s="1">
        <x:f t="shared" si="45"/>
        <x:v>115009.21570507601</x:v>
      </x:c>
      <x:c r="O152" s="1">
        <x:f t="shared" si="46"/>
        <x:v>32809.309696279823</x:v>
      </x:c>
      <x:c r="P152" s="1">
        <x:f t="shared" si="47"/>
        <x:v>82199.906008796184</x:v>
      </x:c>
      <x:c r="Q152" s="1">
        <x:f t="shared" si="48"/>
        <x:v>0</x:v>
      </x:c>
      <x:c r="R152" s="1">
        <x:f t="shared" si="43"/>
        <x:v>0</x:v>
      </x:c>
      <x:c r="T152" s="5">
        <x:f t="shared" si="50"/>
        <x:v>0</x:v>
      </x:c>
    </x:row>
    <x:row r="153" spans="1:20">
      <x:c r="A153" s="6" t="s">
        <x:v>97</x:v>
      </x:c>
      <x:c r="B153" s="6" t="s">
        <x:v>2</x:v>
      </x:c>
      <x:c r="C153" s="8">
        <x:v>610175.18999999994</x:v>
      </x:c>
      <x:c r="D153" s="8">
        <x:v>552991.14999999991</x:v>
      </x:c>
      <x:c r="E153" s="8">
        <x:v>57184.04</x:v>
      </x:c>
      <x:c r="F153" s="8">
        <x:f t="shared" si="49"/>
        <x:v>0</x:v>
      </x:c>
      <x:c r="I153">
        <x:v>15</x:v>
      </x:c>
      <x:c r="J153">
        <x:v>9.5</x:v>
      </x:c>
      <x:c r="K153" s="4">
        <x:v>0.1</x:v>
      </x:c>
      <x:c r="L153" s="2">
        <x:f t="shared" si="44"/>
        <x:v>201357.81270000001</x:v>
      </x:c>
      <x:c r="M153" s="5">
        <x:v>0.57620777361069142</x:v>
      </x:c>
      <x:c r="N153" s="1">
        <x:f t="shared" si="45"/>
        <x:v>116023.93695498561</x:v>
      </x:c>
      <x:c r="O153" s="1">
        <x:f t="shared" si="46"/>
        <x:v>105150.47379141224</x:v>
      </x:c>
      <x:c r="P153" s="1">
        <x:f t="shared" si="47"/>
        <x:v>10873.46316357336</x:v>
      </x:c>
      <x:c r="Q153" s="1">
        <x:f t="shared" si="48"/>
        <x:v>0</x:v>
      </x:c>
      <x:c r="R153" s="1">
        <x:f t="shared" si="43"/>
        <x:v>0</x:v>
      </x:c>
      <x:c r="T153" s="5">
        <x:f t="shared" si="50"/>
        <x:v>0</x:v>
      </x:c>
    </x:row>
    <x:row r="154" spans="1:20">
      <x:c r="A154" s="6" t="s">
        <x:v>97</x:v>
      </x:c>
      <x:c r="B154" s="6" t="s">
        <x:v>1</x:v>
      </x:c>
      <x:c r="C154" s="8">
        <x:v>1422585.43</x:v>
      </x:c>
      <x:c r="D154" s="8">
        <x:v>943739.14</x:v>
      </x:c>
      <x:c r="E154" s="8">
        <x:v>478846.29</x:v>
      </x:c>
      <x:c r="F154" s="8">
        <x:f t="shared" si="49"/>
        <x:v>0</x:v>
      </x:c>
      <x:c r="I154">
        <x:v>15</x:v>
      </x:c>
      <x:c r="J154">
        <x:v>8.5</x:v>
      </x:c>
      <x:c r="K154" s="4">
        <x:v>0.1</x:v>
      </x:c>
      <x:c r="L154" s="2">
        <x:f t="shared" si="44"/>
        <x:v>554808.31770000001</x:v>
      </x:c>
      <x:c r="M154" s="5">
        <x:v>0.57620777361069142</x:v>
      </x:c>
      <x:c r="N154" s="1">
        <x:f t="shared" si="45"/>
        <x:v>319684.8655226102</x:v>
      </x:c>
      <x:c r="O154" s="1">
        <x:f t="shared" si="46"/>
        <x:v>212078.0332041808</x:v>
      </x:c>
      <x:c r="P154" s="1">
        <x:f t="shared" si="47"/>
        <x:v>107606.83231842941</x:v>
      </x:c>
      <x:c r="Q154" s="1">
        <x:f t="shared" si="48"/>
        <x:v>0</x:v>
      </x:c>
      <x:c r="R154" s="1">
        <x:f t="shared" si="43"/>
        <x:v>0</x:v>
      </x:c>
      <x:c r="T154" s="5">
        <x:f t="shared" si="50"/>
        <x:v>0</x:v>
      </x:c>
    </x:row>
    <x:row r="155" spans="1:20">
      <x:c r="A155" s="6" t="s">
        <x:v>97</x:v>
      </x:c>
      <x:c r="B155" s="6" t="s">
        <x:v>21</x:v>
      </x:c>
      <x:c r="C155" s="8">
        <x:v>1428826.72</x:v>
      </x:c>
      <x:c r="D155" s="8">
        <x:v>1077110.1399999999</x:v>
      </x:c>
      <x:c r="E155" s="8">
        <x:v>351716.58000000007</x:v>
      </x:c>
      <x:c r="F155" s="8">
        <x:f t="shared" si="49"/>
        <x:v>0</x:v>
      </x:c>
      <x:c r="I155">
        <x:v>15</x:v>
      </x:c>
      <x:c r="J155">
        <x:v>7.5</x:v>
      </x:c>
      <x:c r="K155" s="4">
        <x:v>0.1</x:v>
      </x:c>
      <x:c r="L155" s="2">
        <x:f t="shared" si="44"/>
        <x:v>642972.02399999998</x:v>
      </x:c>
      <x:c r="M155" s="5">
        <x:v>0.57620777361069142</x:v>
      </x:c>
      <x:c r="N155" s="1">
        <x:f t="shared" si="45"/>
        <x:v>370485.47844300006</x:v>
      </x:c>
      <x:c r="O155" s="1">
        <x:f t="shared" si="46"/>
        <x:v>279287.65606630506</x:v>
      </x:c>
      <x:c r="P155" s="1">
        <x:f t="shared" si="47"/>
        <x:v>91197.82237669501</x:v>
      </x:c>
      <x:c r="Q155" s="1">
        <x:f t="shared" si="48"/>
        <x:v>0</x:v>
      </x:c>
      <x:c r="R155" s="1">
        <x:f t="shared" si="43"/>
        <x:v>0</x:v>
      </x:c>
      <x:c r="T155" s="5">
        <x:f t="shared" si="50"/>
        <x:v>0</x:v>
      </x:c>
    </x:row>
    <x:row r="156" spans="1:20">
      <x:c r="A156" s="6" t="s">
        <x:v>97</x:v>
      </x:c>
      <x:c r="B156" s="6" t="s">
        <x:v>20</x:v>
      </x:c>
      <x:c r="C156" s="8">
        <x:v>772058.30000000016</x:v>
      </x:c>
      <x:c r="D156" s="8">
        <x:v>676203.26000000013</x:v>
      </x:c>
      <x:c r="E156" s="8">
        <x:v>95855.039999999994</x:v>
      </x:c>
      <x:c r="F156" s="8">
        <x:f t="shared" si="49"/>
        <x:v>0</x:v>
      </x:c>
      <x:c r="I156">
        <x:v>15</x:v>
      </x:c>
      <x:c r="J156">
        <x:v>6.5</x:v>
      </x:c>
      <x:c r="K156" s="4">
        <x:v>0.1</x:v>
      </x:c>
      <x:c r="L156" s="2">
        <x:f t="shared" si="44"/>
        <x:v>393749.73300000007</x:v>
      </x:c>
      <x:c r="M156" s="5">
        <x:v>0.57620777361069142</x:v>
      </x:c>
      <x:c r="N156" s="1">
        <x:f t="shared" si="45"/>
        <x:v>226881.65701173423</x:v>
      </x:c>
      <x:c r="O156" s="1">
        <x:f t="shared" si="46"/>
        <x:v>198713.12322597473</x:v>
      </x:c>
      <x:c r="P156" s="1">
        <x:f t="shared" si="47"/>
        <x:v>28168.533785759522</x:v>
      </x:c>
      <x:c r="Q156" s="1">
        <x:f t="shared" si="48"/>
        <x:v>0</x:v>
      </x:c>
      <x:c r="R156" s="1">
        <x:f t="shared" si="43"/>
        <x:v>0</x:v>
      </x:c>
      <x:c r="T156" s="5">
        <x:f t="shared" si="50"/>
        <x:v>0</x:v>
      </x:c>
    </x:row>
    <x:row r="157" spans="1:20">
      <x:c r="A157" s="6" t="s">
        <x:v>97</x:v>
      </x:c>
      <x:c r="B157" s="6" t="s">
        <x:v>19</x:v>
      </x:c>
      <x:c r="C157" s="8">
        <x:v>189904.52000000002</x:v>
      </x:c>
      <x:c r="D157" s="8">
        <x:v>5498.53</x:v>
      </x:c>
      <x:c r="E157" s="8">
        <x:v>184405.99000000002</x:v>
      </x:c>
      <x:c r="F157" s="8">
        <x:f t="shared" si="49"/>
        <x:v>0</x:v>
      </x:c>
      <x:c r="I157">
        <x:v>15</x:v>
      </x:c>
      <x:c r="J157">
        <x:v>5.5</x:v>
      </x:c>
      <x:c r="K157" s="4">
        <x:v>0.1</x:v>
      </x:c>
      <x:c r="L157" s="2">
        <x:f t="shared" si="44"/>
        <x:v>108245.57640000001</x:v>
      </x:c>
      <x:c r="M157" s="5">
        <x:v>0.57620777361069142</x:v>
      </x:c>
      <x:c r="N157" s="1">
        <x:f t="shared" si="45"/>
        <x:v>62371.942580650008</x:v>
      </x:c>
      <x:c r="O157" s="1">
        <x:f t="shared" si="46"/>
        <x:v>1805.9285657760092</x:v>
      </x:c>
      <x:c r="P157" s="1">
        <x:f t="shared" si="47"/>
        <x:v>60566.014014873996</x:v>
      </x:c>
      <x:c r="Q157" s="1">
        <x:f t="shared" si="48"/>
        <x:v>0</x:v>
      </x:c>
      <x:c r="R157" s="1">
        <x:f t="shared" si="43"/>
        <x:v>0</x:v>
      </x:c>
      <x:c r="T157" s="5">
        <x:f t="shared" si="50"/>
        <x:v>0</x:v>
      </x:c>
    </x:row>
    <x:row r="158" spans="1:20">
      <x:c r="A158" s="6" t="s">
        <x:v>97</x:v>
      </x:c>
      <x:c r="B158" s="6" t="s">
        <x:v>18</x:v>
      </x:c>
      <x:c r="C158" s="8">
        <x:v>990670.21</x:v>
      </x:c>
      <x:c r="D158" s="8">
        <x:v>686548.53</x:v>
      </x:c>
      <x:c r="E158" s="8">
        <x:v>304121.68</x:v>
      </x:c>
      <x:c r="F158" s="8">
        <x:f t="shared" si="49"/>
        <x:v>0</x:v>
      </x:c>
      <x:c r="I158">
        <x:v>15</x:v>
      </x:c>
      <x:c r="J158">
        <x:v>4.5</x:v>
      </x:c>
      <x:c r="K158" s="4">
        <x:v>0.1</x:v>
      </x:c>
      <x:c r="L158" s="2">
        <x:f t="shared" si="44"/>
        <x:v>624122.23229999992</x:v>
      </x:c>
      <x:c r="M158" s="5">
        <x:v>0.57620777361069142</x:v>
      </x:c>
      <x:c r="N158" s="1">
        <x:f t="shared" si="45"/>
        <x:v>359624.08193451772</x:v>
      </x:c>
      <x:c r="O158" s="1">
        <x:f t="shared" si="46"/>
        <x:v>249224.59796660556</x:v>
      </x:c>
      <x:c r="P158" s="1">
        <x:f t="shared" si="47"/>
        <x:v>110399.48396791217</x:v>
      </x:c>
      <x:c r="Q158" s="1">
        <x:f t="shared" si="48"/>
        <x:v>0</x:v>
      </x:c>
      <x:c r="R158" s="1">
        <x:f t="shared" si="43"/>
        <x:v>0</x:v>
      </x:c>
      <x:c r="T158" s="5">
        <x:f t="shared" si="50"/>
        <x:v>0</x:v>
      </x:c>
    </x:row>
    <x:row r="159" spans="1:20">
      <x:c r="A159" s="6" t="s">
        <x:v>97</x:v>
      </x:c>
      <x:c r="B159" s="6" t="s">
        <x:v>17</x:v>
      </x:c>
      <x:c r="C159" s="8">
        <x:v>624557.89</x:v>
      </x:c>
      <x:c r="D159" s="8">
        <x:v>342479.49</x:v>
      </x:c>
      <x:c r="E159" s="8">
        <x:v>282078.39999999997</x:v>
      </x:c>
      <x:c r="F159" s="8">
        <x:f t="shared" si="49"/>
        <x:v>0</x:v>
      </x:c>
      <x:c r="I159">
        <x:v>15</x:v>
      </x:c>
      <x:c r="J159">
        <x:v>3.5</x:v>
      </x:c>
      <x:c r="K159" s="4">
        <x:v>0.1</x:v>
      </x:c>
      <x:c r="L159" s="2">
        <x:f t="shared" si="44"/>
        <x:v>430944.94409999996</x:v>
      </x:c>
      <x:c r="M159" s="5">
        <x:v>0.57620777361069142</x:v>
      </x:c>
      <x:c r="N159" s="1">
        <x:f t="shared" si="45"/>
        <x:v>248313.82678864486</x:v>
      </x:c>
      <x:c r="O159" s="1">
        <x:f t="shared" si="46"/>
        <x:v>136164.14766375526</x:v>
      </x:c>
      <x:c r="P159" s="1">
        <x:f t="shared" si="47"/>
        <x:v>112149.67912488956</x:v>
      </x:c>
      <x:c r="Q159" s="1">
        <x:f t="shared" si="48"/>
        <x:v>0</x:v>
      </x:c>
      <x:c r="R159" s="1">
        <x:f t="shared" si="43"/>
        <x:v>0</x:v>
      </x:c>
      <x:c r="T159" s="5">
        <x:f t="shared" si="50"/>
        <x:v>0</x:v>
      </x:c>
    </x:row>
    <x:row r="160" spans="1:20">
      <x:c r="A160" s="6" t="s">
        <x:v>97</x:v>
      </x:c>
      <x:c r="B160" s="6" t="s">
        <x:v>16</x:v>
      </x:c>
      <x:c r="C160" s="8">
        <x:v>299608.75</x:v>
      </x:c>
      <x:c r="D160" s="8">
        <x:v>44451.479999999996</x:v>
      </x:c>
      <x:c r="E160" s="8">
        <x:v>255157.27000000002</x:v>
      </x:c>
      <x:c r="F160" s="8">
        <x:f t="shared" si="49"/>
        <x:v>0</x:v>
      </x:c>
      <x:c r="I160">
        <x:v>15</x:v>
      </x:c>
      <x:c r="J160">
        <x:v>2.5</x:v>
      </x:c>
      <x:c r="K160" s="4">
        <x:v>0.1</x:v>
      </x:c>
      <x:c r="L160" s="2">
        <x:f t="shared" si="44"/>
        <x:v>224706.5625</x:v>
      </x:c>
      <x:c r="M160" s="5">
        <x:v>0.57620777361069142</x:v>
      </x:c>
      <x:c r="N160" s="1">
        <x:f t="shared" si="45"/>
        <x:v>129477.66809383668</x:v>
      </x:c>
      <x:c r="O160" s="1">
        <x:f t="shared" si="46"/>
        <x:v>19209.966243375133</x:v>
      </x:c>
      <x:c r="P160" s="1">
        <x:f t="shared" si="47"/>
        <x:v>110267.70185046156</x:v>
      </x:c>
      <x:c r="Q160" s="1">
        <x:f t="shared" si="48"/>
        <x:v>0</x:v>
      </x:c>
      <x:c r="R160" s="1">
        <x:f t="shared" si="43"/>
        <x:v>0</x:v>
      </x:c>
      <x:c r="T160" s="5">
        <x:f t="shared" si="50"/>
        <x:v>0</x:v>
      </x:c>
    </x:row>
    <x:row r="161" spans="1:20">
      <x:c r="A161" s="6" t="s">
        <x:v>97</x:v>
      </x:c>
      <x:c r="B161" s="6" t="s">
        <x:v>15</x:v>
      </x:c>
      <x:c r="C161" s="8">
        <x:v>177667.39</x:v>
      </x:c>
      <x:c r="D161" s="8">
        <x:v>137869.28</x:v>
      </x:c>
      <x:c r="E161" s="8">
        <x:v>39798.11</x:v>
      </x:c>
      <x:c r="F161" s="8">
        <x:f t="shared" si="49"/>
        <x:v>0</x:v>
      </x:c>
      <x:c r="I161">
        <x:v>15</x:v>
      </x:c>
      <x:c r="J161">
        <x:v>1.5</x:v>
      </x:c>
      <x:c r="K161" s="4">
        <x:v>0.1</x:v>
      </x:c>
      <x:c r="L161" s="2">
        <x:f t="shared" si="44"/>
        <x:v>143910.58590000001</x:v>
      </x:c>
      <x:c r="M161" s="5">
        <x:v>0.57620777361069142</x:v>
      </x:c>
      <x:c r="N161" s="1">
        <x:f t="shared" si="45"/>
        <x:v>82922.39830044916</x:v>
      </x:c>
      <x:c r="O161" s="1">
        <x:f t="shared" si="46"/>
        <x:v>64347.494211268298</x:v>
      </x:c>
      <x:c r="P161" s="1">
        <x:f t="shared" si="47"/>
        <x:v>18574.904089180847</x:v>
      </x:c>
      <x:c r="Q161" s="1">
        <x:f t="shared" si="48"/>
        <x:v>0</x:v>
      </x:c>
      <x:c r="R161" s="1">
        <x:f t="shared" si="43"/>
        <x:v>0</x:v>
      </x:c>
      <x:c r="T161" s="5">
        <x:f t="shared" si="50"/>
        <x:v>0</x:v>
      </x:c>
    </x:row>
    <x:row r="162" spans="1:20">
      <x:c r="A162" s="6"/>
      <x:c r="B162" s="6"/>
      <x:c r="C162" s="8">
        <x:f>SUM(C126:C161)</x:f>
        <x:v>20021419.770000003</x:v>
      </x:c>
      <x:c r="D162" s="8">
        <x:f>SUM(D126:D161)</x:f>
        <x:v>9840755.8499999978</x:v>
      </x:c>
      <x:c r="E162" s="8">
        <x:f>SUM(E126:E161)</x:f>
        <x:v>10180663.919999998</x:v>
      </x:c>
      <x:c r="F162" s="8">
        <x:f>SUM(F126:F161)</x:f>
        <x:v>0</x:v>
      </x:c>
      <x:c r="G162" s="1">
        <x:f>SUM(G126:G161)</x:f>
        <x:v>0</x:v>
      </x:c>
      <x:c r="L162" s="1">
        <x:f>SUM(L126:L161)</x:f>
        <x:v>7403669.6576785715</x:v>
      </x:c>
      <x:c r="M162" s="1"/>
      <x:c r="N162" s="1">
        <x:f>SUM(N126:N161)</x:f>
        <x:v>4266052.0118473126</x:v>
      </x:c>
      <x:c r="O162" s="1">
        <x:f>SUM(O126:O161)</x:f>
        <x:v>2354801.0519702421</x:v>
      </x:c>
      <x:c r="P162" s="1">
        <x:f>SUM(P126:P161)</x:f>
        <x:v>1911250.959877071</x:v>
      </x:c>
      <x:c r="Q162" s="1">
        <x:f>SUM(Q126:Q161)</x:f>
        <x:v>0</x:v>
      </x:c>
      <x:c r="R162" s="1">
        <x:f>SUM(R126:R161)</x:f>
        <x:v>0</x:v>
      </x:c>
      <x:c r="T162" s="5">
        <x:f t="shared" si="50"/>
        <x:v>0</x:v>
      </x:c>
    </x:row>
    <x:row r="163" spans="1:20">
      <x:c r="A163" s="6"/>
      <x:c r="B163" s="6"/>
      <x:c r="C163" s="8"/>
      <x:c r="D163" s="8"/>
      <x:c r="E163" s="8"/>
      <x:c r="F163" s="8"/>
      <x:c r="L163" s="2"/>
      <x:c r="T163" s="5">
        <x:f t="shared" si="50"/>
        <x:v>0</x:v>
      </x:c>
    </x:row>
    <x:row r="164" spans="1:20">
      <x:c r="A164" s="6"/>
      <x:c r="B164" s="6"/>
      <x:c r="C164" s="8"/>
      <x:c r="D164" s="8"/>
      <x:c r="E164" s="8"/>
      <x:c r="F164" s="8"/>
      <x:c r="L164" s="2"/>
      <x:c r="T164" s="5">
        <x:f t="shared" si="50"/>
        <x:v>0</x:v>
      </x:c>
    </x:row>
    <x:row r="165" spans="1:20">
      <x:c r="A165" s="6"/>
      <x:c r="B165" s="6"/>
      <x:c r="C165" s="8"/>
      <x:c r="D165" s="8"/>
      <x:c r="E165" s="8"/>
      <x:c r="F165" s="8"/>
      <x:c r="L165" s="2"/>
      <x:c r="T165" s="5">
        <x:f t="shared" si="50"/>
        <x:v>0</x:v>
      </x:c>
    </x:row>
    <x:row r="166" spans="1:20">
      <x:c r="A166" t="s">
        <x:v>88</x:v>
      </x:c>
      <x:c r="B166" t="s">
        <x:v>7</x:v>
      </x:c>
      <x:c r="C166" s="1">
        <x:v>4738446.7</x:v>
      </x:c>
      <x:c r="D166" s="1">
        <x:v>2264667.63</x:v>
      </x:c>
      <x:c r="E166" s="1">
        <x:v>2454135.4599999995</x:v>
      </x:c>
      <x:c r="F166" s="1">
        <x:v>19643.61</x:v>
      </x:c>
      <x:c r="I166">
        <x:v>35</x:v>
      </x:c>
      <x:c r="J166">
        <x:v>34.5</x:v>
      </x:c>
      <x:c r="K166" s="4">
        <x:v>0</x:v>
      </x:c>
      <x:c r="L166" s="2">
        <x:f t="shared" ref="L166:L215" si="51">+C166*(1-J166/I166)*(1-K166)</x:f>
        <x:v>67692.095714285475</x:v>
      </x:c>
      <x:c r="M166" s="5">
        <x:v>0.17637562982176211</x:v>
      </x:c>
      <x:c r="N166" s="1">
        <x:f t="shared" ref="N166:N202" si="52">+L166*M166</x:f>
        <x:v>11939.236015562105</x:v>
      </x:c>
      <x:c r="O166" s="1">
        <x:f t="shared" ref="O166:O202" si="53">+$N166*D166/$C166</x:f>
        <x:v>5706.1739939743693</x:v>
      </x:c>
      <x:c r="P166" s="1">
        <x:f t="shared" ref="P166:P202" si="54">+$N166*E166/$C166</x:f>
        <x:v>6183.5669632202607</x:v>
      </x:c>
      <x:c r="Q166" s="1">
        <x:f t="shared" ref="Q166:Q202" si="55">+$N166*F166/$C166</x:f>
        <x:v>49.495058367472168</x:v>
      </x:c>
      <x:c r="R166" s="1">
        <x:f t="shared" ref="R166:R202" si="56">+$N166*G166/$C166</x:f>
        <x:v>0</x:v>
      </x:c>
      <x:c r="T166" s="5">
        <x:f t="shared" si="50"/>
        <x:v>0</x:v>
      </x:c>
    </x:row>
    <x:row r="167" spans="1:20">
      <x:c r="A167" t="s">
        <x:v>88</x:v>
      </x:c>
      <x:c r="B167" t="s">
        <x:v>6</x:v>
      </x:c>
      <x:c r="C167" s="1">
        <x:v>466895.98</x:v>
      </x:c>
      <x:c r="D167" s="1">
        <x:v>10952.490000000002</x:v>
      </x:c>
      <x:c r="E167" s="1">
        <x:v>432512.19</x:v>
      </x:c>
      <x:c r="F167" s="1">
        <x:v>23431.3</x:v>
      </x:c>
      <x:c r="I167">
        <x:v>35</x:v>
      </x:c>
      <x:c r="J167">
        <x:v>33.5</x:v>
      </x:c>
      <x:c r="K167" s="4">
        <x:v>0</x:v>
      </x:c>
      <x:c r="L167" s="2">
        <x:f t="shared" si="51"/>
        <x:v>20009.827714285693</x:v>
      </x:c>
      <x:c r="M167" s="5">
        <x:v>0.17637562982176211</x:v>
      </x:c>
      <x:c r="N167" s="1">
        <x:f t="shared" si="52"/>
        <x:v>3529.2459657320896</x:v>
      </x:c>
      <x:c r="O167" s="1">
        <x:f t="shared" si="53"/>
        <x:v>82.789385222852118</x:v>
      </x:c>
      <x:c r="P167" s="1">
        <x:f t="shared" si="54"/>
        <x:v>3269.34042500741</x:v>
      </x:c>
      <x:c r="Q167" s="1">
        <x:f t="shared" si="55"/>
        <x:v>177.11615550182788</x:v>
      </x:c>
      <x:c r="R167" s="1">
        <x:f t="shared" si="56"/>
        <x:v>0</x:v>
      </x:c>
      <x:c r="T167" s="5">
        <x:f t="shared" si="50"/>
        <x:v>0</x:v>
      </x:c>
    </x:row>
    <x:row r="168" spans="1:20">
      <x:c r="A168" t="s">
        <x:v>88</x:v>
      </x:c>
      <x:c r="B168" t="s">
        <x:v>5</x:v>
      </x:c>
      <x:c r="C168" s="1">
        <x:v>487181.92</x:v>
      </x:c>
      <x:c r="D168" s="1">
        <x:v>204457.36000000002</x:v>
      </x:c>
      <x:c r="E168" s="1">
        <x:v>281763.89999999997</x:v>
      </x:c>
      <x:c r="F168" s="1">
        <x:v>960.6599999999994</x:v>
      </x:c>
      <x:c r="I168">
        <x:v>35</x:v>
      </x:c>
      <x:c r="J168">
        <x:v>32.5</x:v>
      </x:c>
      <x:c r="K168" s="4">
        <x:v>0</x:v>
      </x:c>
      <x:c r="L168" s="2">
        <x:f t="shared" si="51"/>
        <x:v>34798.708571428557</x:v>
      </x:c>
      <x:c r="M168" s="5">
        <x:v>0.17637562982176211</x:v>
      </x:c>
      <x:c r="N168" s="1">
        <x:f t="shared" si="52"/>
        <x:v>6137.6441412696631</x:v>
      </x:c>
      <x:c r="O168" s="1">
        <x:f t="shared" si="53"/>
        <x:v>2575.8068315496243</x:v>
      </x:c>
      <x:c r="P168" s="1">
        <x:f t="shared" si="54"/>
        <x:v>3549.7346659668551</x:v>
      </x:c>
      <x:c r="Q168" s="1">
        <x:f t="shared" si="55"/>
        <x:v>12.102643753183843</x:v>
      </x:c>
      <x:c r="R168" s="1">
        <x:f t="shared" si="56"/>
        <x:v>0</x:v>
      </x:c>
      <x:c r="T168" s="5">
        <x:f t="shared" si="50"/>
        <x:v>0</x:v>
      </x:c>
    </x:row>
    <x:row r="169" spans="1:20">
      <x:c r="A169" t="s">
        <x:v>88</x:v>
      </x:c>
      <x:c r="B169" t="s">
        <x:v>4</x:v>
      </x:c>
      <x:c r="C169" s="1">
        <x:v>431197.54000000004</x:v>
      </x:c>
      <x:c r="D169" s="1">
        <x:v>14021.61</x:v>
      </x:c>
      <x:c r="E169" s="1">
        <x:v>350263.91000000003</x:v>
      </x:c>
      <x:c r="F169" s="1">
        <x:v>66912.01999999999</x:v>
      </x:c>
      <x:c r="I169">
        <x:v>35</x:v>
      </x:c>
      <x:c r="J169">
        <x:v>31.5</x:v>
      </x:c>
      <x:c r="K169" s="4">
        <x:v>0</x:v>
      </x:c>
      <x:c r="L169" s="2">
        <x:f t="shared" si="51"/>
        <x:v>43119.753999999994</x:v>
      </x:c>
      <x:c r="M169" s="5">
        <x:v>0.17637562982176211</x:v>
      </x:c>
      <x:c r="N169" s="1">
        <x:f t="shared" si="52"/>
        <x:v>7605.2737695094447</x:v>
      </x:c>
      <x:c r="O169" s="1">
        <x:f t="shared" si="53"/>
        <x:v>247.30702948651171</x:v>
      </x:c>
      <x:c r="P169" s="1">
        <x:f t="shared" si="54"/>
        <x:v>6177.8017730082984</x:v>
      </x:c>
      <x:c r="Q169" s="1">
        <x:f t="shared" si="55"/>
        <x:v>1180.1649670146337</x:v>
      </x:c>
      <x:c r="R169" s="1">
        <x:f t="shared" si="56"/>
        <x:v>0</x:v>
      </x:c>
      <x:c r="T169" s="5">
        <x:f t="shared" si="50"/>
        <x:v>0</x:v>
      </x:c>
    </x:row>
    <x:row r="170" spans="1:20">
      <x:c r="A170" t="s">
        <x:v>88</x:v>
      </x:c>
      <x:c r="B170" t="s">
        <x:v>3</x:v>
      </x:c>
      <x:c r="C170" s="1">
        <x:v>290093.87</x:v>
      </x:c>
      <x:c r="D170" s="1">
        <x:v>91700.11</x:v>
      </x:c>
      <x:c r="E170" s="1">
        <x:v>186629.3</x:v>
      </x:c>
      <x:c r="F170" s="1">
        <x:v>11764.460000000006</x:v>
      </x:c>
      <x:c r="I170">
        <x:v>35</x:v>
      </x:c>
      <x:c r="J170">
        <x:v>30.5</x:v>
      </x:c>
      <x:c r="K170" s="4">
        <x:v>0</x:v>
      </x:c>
      <x:c r="L170" s="2">
        <x:f t="shared" si="51"/>
        <x:v>37297.783285714278</x:v>
      </x:c>
      <x:c r="M170" s="5">
        <x:v>0.17637562982176211</x:v>
      </x:c>
      <x:c r="N170" s="1">
        <x:f t="shared" si="52"/>
        <x:v>6578.420017973448</x:v>
      </x:c>
      <x:c r="O170" s="1">
        <x:f t="shared" si="53"/>
        <x:v>2079.4711700539115</x:v>
      </x:c>
      <x:c r="P170" s="1">
        <x:f t="shared" si="54"/>
        <x:v>4232.1677568035884</x:v>
      </x:c>
      <x:c r="Q170" s="1">
        <x:f t="shared" si="55"/>
        <x:v>266.7810911159479</x:v>
      </x:c>
      <x:c r="R170" s="1">
        <x:f t="shared" si="56"/>
        <x:v>0</x:v>
      </x:c>
      <x:c r="T170" s="5">
        <x:f t="shared" si="50"/>
        <x:v>0</x:v>
      </x:c>
    </x:row>
    <x:row r="171" spans="1:20">
      <x:c r="A171" t="s">
        <x:v>88</x:v>
      </x:c>
      <x:c r="B171" t="s">
        <x:v>2</x:v>
      </x:c>
      <x:c r="C171" s="1">
        <x:v>647527.68000000005</x:v>
      </x:c>
      <x:c r="D171" s="1">
        <x:v>197027.53999999998</x:v>
      </x:c>
      <x:c r="E171" s="1">
        <x:v>372664.28</x:v>
      </x:c>
      <x:c r="F171" s="1">
        <x:v>77835.86</x:v>
      </x:c>
      <x:c r="I171">
        <x:v>35</x:v>
      </x:c>
      <x:c r="J171">
        <x:v>29.5</x:v>
      </x:c>
      <x:c r="K171" s="4">
        <x:v>0</x:v>
      </x:c>
      <x:c r="L171" s="2">
        <x:f t="shared" si="51"/>
        <x:v>101754.34971428572</x:v>
      </x:c>
      <x:c r="M171" s="5">
        <x:v>0.17637562982176211</x:v>
      </x:c>
      <x:c r="N171" s="1">
        <x:f t="shared" si="52"/>
        <x:v>17946.987517960984</x:v>
      </x:c>
      <x:c r="O171" s="1">
        <x:f t="shared" si="53"/>
        <x:v>5460.8488722436668</x:v>
      </x:c>
      <x:c r="P171" s="1">
        <x:f t="shared" si="54"/>
        <x:v>10328.826686682982</x:v>
      </x:c>
      <x:c r="Q171" s="1">
        <x:f t="shared" si="55"/>
        <x:v>2157.3119590343358</x:v>
      </x:c>
      <x:c r="R171" s="1">
        <x:f t="shared" si="56"/>
        <x:v>0</x:v>
      </x:c>
      <x:c r="T171" s="5">
        <x:f t="shared" si="50"/>
        <x:v>0</x:v>
      </x:c>
    </x:row>
    <x:row r="172" spans="1:20">
      <x:c r="A172" t="s">
        <x:v>88</x:v>
      </x:c>
      <x:c r="B172" t="s">
        <x:v>1</x:v>
      </x:c>
      <x:c r="C172" s="1">
        <x:v>429943.43000000005</x:v>
      </x:c>
      <x:c r="D172" s="1">
        <x:v>77528.540000000008</x:v>
      </x:c>
      <x:c r="E172" s="1">
        <x:v>283622.74</x:v>
      </x:c>
      <x:c r="F172" s="1">
        <x:v>68792.150000000023</x:v>
      </x:c>
      <x:c r="I172">
        <x:v>35</x:v>
      </x:c>
      <x:c r="J172">
        <x:v>28.5</x:v>
      </x:c>
      <x:c r="K172" s="4">
        <x:v>0</x:v>
      </x:c>
      <x:c r="L172" s="2">
        <x:f t="shared" si="51"/>
        <x:v>79846.637000000017</x:v>
      </x:c>
      <x:c r="M172" s="5">
        <x:v>0.17637562982176211</x:v>
      </x:c>
      <x:c r="N172" s="1">
        <x:f t="shared" si="52"/>
        <x:v>14083.000890024618</x:v>
      </x:c>
      <x:c r="O172" s="1">
        <x:f t="shared" si="53"/>
        <x:v>2539.4840847371693</x:v>
      </x:c>
      <x:c r="P172" s="1">
        <x:f t="shared" si="54"/>
        <x:v>9290.1973170080073</x:v>
      </x:c>
      <x:c r="Q172" s="1">
        <x:f t="shared" si="55"/>
        <x:v>2253.3194882794396</x:v>
      </x:c>
      <x:c r="R172" s="1">
        <x:f t="shared" si="56"/>
        <x:v>0</x:v>
      </x:c>
      <x:c r="T172" s="5">
        <x:f t="shared" si="50"/>
        <x:v>0</x:v>
      </x:c>
    </x:row>
    <x:row r="173" spans="1:20">
      <x:c r="A173" t="s">
        <x:v>88</x:v>
      </x:c>
      <x:c r="B173" t="s">
        <x:v>21</x:v>
      </x:c>
      <x:c r="C173" s="1">
        <x:v>35654.31</x:v>
      </x:c>
      <x:c r="D173" s="1">
        <x:v>1105.45</x:v>
      </x:c>
      <x:c r="E173" s="1">
        <x:v>32207.35</x:v>
      </x:c>
      <x:c r="F173" s="1">
        <x:v>2341.5099999999993</x:v>
      </x:c>
      <x:c r="I173">
        <x:v>35</x:v>
      </x:c>
      <x:c r="J173">
        <x:v>27.5</x:v>
      </x:c>
      <x:c r="K173" s="4">
        <x:v>0</x:v>
      </x:c>
      <x:c r="L173" s="2">
        <x:f t="shared" si="51"/>
        <x:v>7640.2092857142861</x:v>
      </x:c>
      <x:c r="M173" s="5">
        <x:v>0.17637562982176211</x:v>
      </x:c>
      <x:c r="N173" s="1">
        <x:f t="shared" si="52"/>
        <x:v>1347.5467247379324</x:v>
      </x:c>
      <x:c r="O173" s="1">
        <x:f t="shared" si="53"/>
        <x:v>41.780237139957208</x:v>
      </x:c>
      <x:c r="P173" s="1">
        <x:f t="shared" si="54"/>
        <x:v>1217.2696373871279</x:v>
      </x:c>
      <x:c r="Q173" s="1">
        <x:f t="shared" si="55"/>
        <x:v>88.496850210847313</x:v>
      </x:c>
      <x:c r="R173" s="1">
        <x:f t="shared" si="56"/>
        <x:v>0</x:v>
      </x:c>
      <x:c r="T173" s="5">
        <x:f t="shared" si="50"/>
        <x:v>0</x:v>
      </x:c>
    </x:row>
    <x:row r="174" spans="1:20">
      <x:c r="A174" t="s">
        <x:v>88</x:v>
      </x:c>
      <x:c r="B174" t="s">
        <x:v>20</x:v>
      </x:c>
      <x:c r="C174" s="1">
        <x:v>118750.67</x:v>
      </x:c>
      <x:c r="D174" s="1">
        <x:v>4827.08</x:v>
      </x:c>
      <x:c r="E174" s="1">
        <x:v>109286.23</x:v>
      </x:c>
      <x:c r="F174" s="1">
        <x:v>4637.3599999999969</x:v>
      </x:c>
      <x:c r="I174">
        <x:v>35</x:v>
      </x:c>
      <x:c r="J174">
        <x:v>26.5</x:v>
      </x:c>
      <x:c r="K174" s="4">
        <x:v>0</x:v>
      </x:c>
      <x:c r="L174" s="2">
        <x:f t="shared" si="51"/>
        <x:v>28839.448428571432</x:v>
      </x:c>
      <x:c r="M174" s="5">
        <x:v>0.17637562982176211</x:v>
      </x:c>
      <x:c r="N174" s="1">
        <x:f t="shared" si="52"/>
        <x:v>5086.5758803015142</x:v>
      </x:c>
      <x:c r="O174" s="1">
        <x:f t="shared" si="53"/>
        <x:v>206.76353826286481</x:v>
      </x:c>
      <x:c r="P174" s="1">
        <x:f t="shared" si="54"/>
        <x:v>4681.1752857233032</x:v>
      </x:c>
      <x:c r="Q174" s="1">
        <x:f t="shared" si="55"/>
        <x:v>198.63705631534555</x:v>
      </x:c>
      <x:c r="R174" s="1">
        <x:f t="shared" si="56"/>
        <x:v>0</x:v>
      </x:c>
      <x:c r="T174" s="5">
        <x:f t="shared" si="50"/>
        <x:v>0</x:v>
      </x:c>
    </x:row>
    <x:row r="175" spans="1:20">
      <x:c r="A175" t="s">
        <x:v>88</x:v>
      </x:c>
      <x:c r="B175" t="s">
        <x:v>19</x:v>
      </x:c>
      <x:c r="C175" s="1">
        <x:v>6822.2900000000009</x:v>
      </x:c>
      <x:c r="D175" s="1">
        <x:v>9593.1200000000008</x:v>
      </x:c>
      <x:c r="E175" s="1">
        <x:v>-3353.8199999999997</x:v>
      </x:c>
      <x:c r="F175" s="1">
        <x:v>582.99</x:v>
      </x:c>
      <x:c r="I175">
        <x:v>35</x:v>
      </x:c>
      <x:c r="J175">
        <x:v>25.5</x:v>
      </x:c>
      <x:c r="K175" s="4">
        <x:v>0</x:v>
      </x:c>
      <x:c r="L175" s="2">
        <x:f t="shared" si="51"/>
        <x:v>1851.7644285714291</x:v>
      </x:c>
      <x:c r="M175" s="5">
        <x:v>0.17637562982176211</x:v>
      </x:c>
      <x:c r="N175" s="1">
        <x:f t="shared" si="52"/>
        <x:v>326.60611737082121</x:v>
      </x:c>
      <x:c r="O175" s="1">
        <x:f t="shared" si="53"/>
        <x:v>459.25512938798732</x:v>
      </x:c>
      <x:c r="P175" s="1">
        <x:f t="shared" si="54"/>
        <x:v>-160.55871687668034</x:v>
      </x:c>
      <x:c r="Q175" s="1">
        <x:f t="shared" si="55"/>
        <x:v>27.909704859514182</x:v>
      </x:c>
      <x:c r="R175" s="1">
        <x:f t="shared" si="56"/>
        <x:v>0</x:v>
      </x:c>
      <x:c r="T175" s="5">
        <x:f t="shared" si="50"/>
        <x:v>0</x:v>
      </x:c>
    </x:row>
    <x:row r="176" spans="1:20">
      <x:c r="A176" t="s">
        <x:v>88</x:v>
      </x:c>
      <x:c r="B176" t="s">
        <x:v>18</x:v>
      </x:c>
      <x:c r="C176" s="1">
        <x:v>19739.510000000002</x:v>
      </x:c>
      <x:c r="D176" s="1">
        <x:v>608.80999999999995</x:v>
      </x:c>
      <x:c r="E176" s="1">
        <x:v>18087.03</x:v>
      </x:c>
      <x:c r="F176" s="1">
        <x:v>1043.67</x:v>
      </x:c>
      <x:c r="I176">
        <x:v>35</x:v>
      </x:c>
      <x:c r="J176">
        <x:v>24.5</x:v>
      </x:c>
      <x:c r="K176" s="4">
        <x:v>0</x:v>
      </x:c>
      <x:c r="L176" s="2">
        <x:f t="shared" si="51"/>
        <x:v>5921.8530000000019</x:v>
      </x:c>
      <x:c r="M176" s="5">
        <x:v>0.17637562982176211</x:v>
      </x:c>
      <x:c r="N176" s="1">
        <x:f t="shared" si="52"/>
        <x:v>1044.4705525868917</x:v>
      </x:c>
      <x:c r="O176" s="1">
        <x:f t="shared" si="53"/>
        <x:v>32.213774157536101</x:v>
      </x:c>
      <x:c r="P176" s="1">
        <x:f t="shared" si="54"/>
        <x:v>957.03339235653175</x:v>
      </x:c>
      <x:c r="Q176" s="1">
        <x:f t="shared" si="55"/>
        <x:v>55.223386072823558</x:v>
      </x:c>
      <x:c r="R176" s="1">
        <x:f t="shared" si="56"/>
        <x:v>0</x:v>
      </x:c>
      <x:c r="T176" s="5">
        <x:f t="shared" si="50"/>
        <x:v>0</x:v>
      </x:c>
    </x:row>
    <x:row r="177" spans="1:20">
      <x:c r="A177" t="s">
        <x:v>88</x:v>
      </x:c>
      <x:c r="B177" t="s">
        <x:v>17</x:v>
      </x:c>
      <x:c r="C177" s="1">
        <x:v>187721.46</x:v>
      </x:c>
      <x:c r="D177" s="1">
        <x:v>22002.04</x:v>
      </x:c>
      <x:c r="E177" s="1">
        <x:v>148501.5</x:v>
      </x:c>
      <x:c r="F177" s="1">
        <x:v>17217.919999999995</x:v>
      </x:c>
      <x:c r="I177">
        <x:v>35</x:v>
      </x:c>
      <x:c r="J177">
        <x:v>23.5</x:v>
      </x:c>
      <x:c r="K177" s="4">
        <x:v>0</x:v>
      </x:c>
      <x:c r="L177" s="2">
        <x:f t="shared" si="51"/>
        <x:v>61679.908285714293</x:v>
      </x:c>
      <x:c r="M177" s="5">
        <x:v>0.17637562982176211</x:v>
      </x:c>
      <x:c r="N177" s="1">
        <x:f t="shared" si="52"/>
        <x:v>10878.832671241382</x:v>
      </x:c>
      <x:c r="O177" s="1">
        <x:f t="shared" si="53"/>
        <x:v>1275.0620604908984</x:v>
      </x:c>
      <x:c r="P177" s="1">
        <x:f t="shared" si="54"/>
        <x:v>8605.9578373636778</x:v>
      </x:c>
      <x:c r="Q177" s="1">
        <x:f t="shared" si="55"/>
        <x:v>997.81277338680593</x:v>
      </x:c>
      <x:c r="R177" s="1">
        <x:f t="shared" si="56"/>
        <x:v>0</x:v>
      </x:c>
      <x:c r="T177" s="5">
        <x:f t="shared" si="50"/>
        <x:v>0</x:v>
      </x:c>
    </x:row>
    <x:row r="178" spans="1:20">
      <x:c r="A178" t="s">
        <x:v>88</x:v>
      </x:c>
      <x:c r="B178" t="s">
        <x:v>16</x:v>
      </x:c>
      <x:c r="C178" s="1">
        <x:v>131450.09000000003</x:v>
      </x:c>
      <x:c r="D178" s="1">
        <x:v>42963.430000000008</x:v>
      </x:c>
      <x:c r="E178" s="1">
        <x:v>50458.8</x:v>
      </x:c>
      <x:c r="F178" s="1">
        <x:v>38027.86</x:v>
      </x:c>
      <x:c r="I178">
        <x:v>35</x:v>
      </x:c>
      <x:c r="J178">
        <x:v>22.5</x:v>
      </x:c>
      <x:c r="K178" s="4">
        <x:v>0</x:v>
      </x:c>
      <x:c r="L178" s="2">
        <x:f t="shared" si="51"/>
        <x:v>46946.46071428572</x:v>
      </x:c>
      <x:c r="M178" s="5">
        <x:v>0.17637562982176211</x:v>
      </x:c>
      <x:c r="N178" s="1">
        <x:f t="shared" si="52"/>
        <x:v>8280.211576384756</x:v>
      </x:c>
      <x:c r="O178" s="1">
        <x:f t="shared" si="53"/>
        <x:v>2706.3221519832823</x:v>
      </x:c>
      <x:c r="P178" s="1">
        <x:f t="shared" si="54"/>
        <x:v>3178.4652250179752</x:v>
      </x:c>
      <x:c r="Q178" s="1">
        <x:f t="shared" si="55"/>
        <x:v>2395.424199383498</x:v>
      </x:c>
      <x:c r="R178" s="1">
        <x:f t="shared" si="56"/>
        <x:v>0</x:v>
      </x:c>
      <x:c r="T178" s="5">
        <x:f t="shared" si="50"/>
        <x:v>0</x:v>
      </x:c>
    </x:row>
    <x:row r="179" spans="1:20">
      <x:c r="A179" t="s">
        <x:v>88</x:v>
      </x:c>
      <x:c r="B179" t="s">
        <x:v>15</x:v>
      </x:c>
      <x:c r="C179" s="1">
        <x:v>182443.61000000002</x:v>
      </x:c>
      <x:c r="D179" s="1">
        <x:v>41812.449999999997</x:v>
      </x:c>
      <x:c r="E179" s="1">
        <x:v>111938.88</x:v>
      </x:c>
      <x:c r="F179" s="1">
        <x:v>28692.279999999988</x:v>
      </x:c>
      <x:c r="I179">
        <x:v>35</x:v>
      </x:c>
      <x:c r="J179">
        <x:v>21.5</x:v>
      </x:c>
      <x:c r="K179" s="4">
        <x:v>0</x:v>
      </x:c>
      <x:c r="L179" s="2">
        <x:f t="shared" si="51"/>
        <x:v>70371.106714285706</x:v>
      </x:c>
      <x:c r="M179" s="5">
        <x:v>0.17637562982176211</x:v>
      </x:c>
      <x:c r="N179" s="1">
        <x:f t="shared" si="52"/>
        <x:v>12411.748267986573</x:v>
      </x:c>
      <x:c r="O179" s="1">
        <x:f t="shared" si="53"/>
        <x:v>2844.5260640686461</x:v>
      </x:c>
      <x:c r="P179" s="1">
        <x:f t="shared" si="54"/>
        <x:v>7615.2691780235918</x:v>
      </x:c>
      <x:c r="Q179" s="1">
        <x:f t="shared" si="55"/>
        <x:v>1951.9530258943332</x:v>
      </x:c>
      <x:c r="R179" s="1">
        <x:f t="shared" si="56"/>
        <x:v>0</x:v>
      </x:c>
      <x:c r="T179" s="5">
        <x:f t="shared" si="50"/>
        <x:v>0</x:v>
      </x:c>
    </x:row>
    <x:row r="180" spans="1:20">
      <x:c r="A180" t="s">
        <x:v>88</x:v>
      </x:c>
      <x:c r="B180" t="s">
        <x:v>14</x:v>
      </x:c>
      <x:c r="C180" s="1">
        <x:v>9687.7900000000009</x:v>
      </x:c>
      <x:c r="D180" s="1">
        <x:v>9636.59</x:v>
      </x:c>
      <x:c r="E180" s="1">
        <x:v>51.200000000000045</x:v>
      </x:c>
      <x:c r="I180">
        <x:v>35</x:v>
      </x:c>
      <x:c r="J180">
        <x:v>20.5</x:v>
      </x:c>
      <x:c r="K180" s="4">
        <x:v>0</x:v>
      </x:c>
      <x:c r="L180" s="2">
        <x:f t="shared" si="51"/>
        <x:v>4013.5129999999999</x:v>
      </x:c>
      <x:c r="M180" s="5">
        <x:v>0.17637562982176211</x:v>
      </x:c>
      <x:c r="N180" s="1">
        <x:f t="shared" si="52"/>
        <x:v>707.88588317282995</x:v>
      </x:c>
      <x:c r="O180" s="1">
        <x:f t="shared" si="53"/>
        <x:v>704.14470409912485</x:v>
      </x:c>
      <x:c r="P180" s="1">
        <x:f t="shared" si="54"/>
        <x:v>3.741179073705037</x:v>
      </x:c>
      <x:c r="Q180" s="1">
        <x:f t="shared" si="55"/>
        <x:v>0</x:v>
      </x:c>
      <x:c r="R180" s="1">
        <x:f t="shared" si="56"/>
        <x:v>0</x:v>
      </x:c>
      <x:c r="T180" s="5">
        <x:f t="shared" si="50"/>
        <x:v>0</x:v>
      </x:c>
    </x:row>
    <x:row r="181" spans="1:20">
      <x:c r="A181" t="s">
        <x:v>88</x:v>
      </x:c>
      <x:c r="B181" t="s">
        <x:v>30</x:v>
      </x:c>
      <x:c r="C181" s="1">
        <x:v>65897.989999999991</x:v>
      </x:c>
      <x:c r="D181" s="1">
        <x:v>37917.79</x:v>
      </x:c>
      <x:c r="E181" s="1">
        <x:v>26886.699999999993</x:v>
      </x:c>
      <x:c r="F181" s="1">
        <x:v>1093.5</x:v>
      </x:c>
      <x:c r="I181">
        <x:v>35</x:v>
      </x:c>
      <x:c r="J181">
        <x:v>19.5</x:v>
      </x:c>
      <x:c r="K181" s="4">
        <x:v>0</x:v>
      </x:c>
      <x:c r="L181" s="2">
        <x:f t="shared" si="51"/>
        <x:v>29183.395571428566</x:v>
      </x:c>
      <x:c r="M181" s="5">
        <x:v>0.17637562982176211</x:v>
      </x:c>
      <x:c r="N181" s="1">
        <x:f t="shared" si="52"/>
        <x:v>5147.2397742483363</x:v>
      </x:c>
      <x:c r="O181" s="1">
        <x:f t="shared" si="53"/>
        <x:v>2961.7285267668385</x:v>
      </x:c>
      <x:c r="P181" s="1">
        <x:f t="shared" si="54"/>
        <x:v>2100.0988290884552</x:v>
      </x:c>
      <x:c r="Q181" s="1">
        <x:f t="shared" si="55"/>
        <x:v>85.412418393042898</x:v>
      </x:c>
      <x:c r="R181" s="1">
        <x:f t="shared" si="56"/>
        <x:v>0</x:v>
      </x:c>
      <x:c r="T181" s="5">
        <x:f t="shared" si="50"/>
        <x:v>0</x:v>
      </x:c>
    </x:row>
    <x:row r="182" spans="1:20">
      <x:c r="A182" t="s">
        <x:v>88</x:v>
      </x:c>
      <x:c r="B182" t="s">
        <x:v>29</x:v>
      </x:c>
      <x:c r="C182" s="1">
        <x:v>117277.32999999999</x:v>
      </x:c>
      <x:c r="D182" s="1">
        <x:v>14721.919999999998</x:v>
      </x:c>
      <x:c r="E182" s="1">
        <x:v>82618.279999999984</x:v>
      </x:c>
      <x:c r="F182" s="1">
        <x:v>19937.13</x:v>
      </x:c>
      <x:c r="I182">
        <x:v>35</x:v>
      </x:c>
      <x:c r="J182">
        <x:v>18.5</x:v>
      </x:c>
      <x:c r="K182" s="4">
        <x:v>0</x:v>
      </x:c>
      <x:c r="L182" s="2">
        <x:f t="shared" si="51"/>
        <x:v>55287.884142857132</x:v>
      </x:c>
      <x:c r="M182" s="5">
        <x:v>0.17637562982176211</x:v>
      </x:c>
      <x:c r="N182" s="1">
        <x:f t="shared" si="52"/>
        <x:v>9751.4353872090414</x:v>
      </x:c>
      <x:c r="O182" s="1">
        <x:f t="shared" si="53"/>
        <x:v>1224.1057300303521</x:v>
      </x:c>
      <x:c r="P182" s="1">
        <x:f t="shared" si="54"/>
        <x:v>6869.5869800441824</x:v>
      </x:c>
      <x:c r="Q182" s="1">
        <x:f t="shared" si="55"/>
        <x:v>1657.7426771345069</x:v>
      </x:c>
      <x:c r="R182" s="1">
        <x:f t="shared" si="56"/>
        <x:v>0</x:v>
      </x:c>
      <x:c r="T182" s="5">
        <x:f t="shared" si="50"/>
        <x:v>0</x:v>
      </x:c>
    </x:row>
    <x:row r="183" spans="1:20">
      <x:c r="A183" t="s">
        <x:v>88</x:v>
      </x:c>
      <x:c r="B183" t="s">
        <x:v>86</x:v>
      </x:c>
      <x:c r="C183" s="1">
        <x:v>3961.95</x:v>
      </x:c>
      <x:c r="D183" s="1">
        <x:v>3961.95</x:v>
      </x:c>
      <x:c r="I183">
        <x:v>35</x:v>
      </x:c>
      <x:c r="J183">
        <x:v>16.5</x:v>
      </x:c>
      <x:c r="K183" s="4">
        <x:v>0</x:v>
      </x:c>
      <x:c r="L183" s="2">
        <x:f t="shared" si="51"/>
        <x:v>2094.1735714285714</x:v>
      </x:c>
      <x:c r="M183" s="5">
        <x:v>0.17637562982176211</x:v>
      </x:c>
      <x:c r="N183" s="1">
        <x:f t="shared" si="52"/>
        <x:v>369.36118261680321</x:v>
      </x:c>
      <x:c r="O183" s="1">
        <x:f t="shared" si="53"/>
        <x:v>369.36118261680321</x:v>
      </x:c>
      <x:c r="P183" s="1">
        <x:f t="shared" si="54"/>
        <x:v>0</x:v>
      </x:c>
      <x:c r="Q183" s="1">
        <x:f t="shared" si="55"/>
        <x:v>0</x:v>
      </x:c>
      <x:c r="R183" s="1">
        <x:f t="shared" si="56"/>
        <x:v>0</x:v>
      </x:c>
      <x:c r="T183" s="5">
        <x:f t="shared" si="50"/>
        <x:v>0</x:v>
      </x:c>
    </x:row>
    <x:row r="184" spans="1:20">
      <x:c r="A184" t="s">
        <x:v>88</x:v>
      </x:c>
      <x:c r="B184" t="s">
        <x:v>28</x:v>
      </x:c>
      <x:c r="C184" s="1">
        <x:v>46587.55</x:v>
      </x:c>
      <x:c r="D184" s="1">
        <x:v>16564.919999999998</x:v>
      </x:c>
      <x:c r="E184" s="1">
        <x:v>27246.880000000001</x:v>
      </x:c>
      <x:c r="F184" s="1">
        <x:v>2775.7499999999995</x:v>
      </x:c>
      <x:c r="I184">
        <x:v>35</x:v>
      </x:c>
      <x:c r="J184">
        <x:v>15.5</x:v>
      </x:c>
      <x:c r="K184" s="4">
        <x:v>0</x:v>
      </x:c>
      <x:c r="L184" s="2">
        <x:f t="shared" si="51"/>
        <x:v>25955.920714285716</x:v>
      </x:c>
      <x:c r="M184" s="5">
        <x:v>0.17637562982176211</x:v>
      </x:c>
      <x:c r="N184" s="1">
        <x:f t="shared" si="52"/>
        <x:v>4577.9918635858648</x:v>
      </x:c>
      <x:c r="O184" s="1">
        <x:f t="shared" si="53"/>
        <x:v>1627.7754245705291</x:v>
      </x:c>
      <x:c r="P184" s="1">
        <x:f t="shared" si="54"/>
        <x:v>2677.4534172348713</x:v>
      </x:c>
      <x:c r="Q184" s="1">
        <x:f t="shared" si="55"/>
        <x:v>272.76302178046416</x:v>
      </x:c>
      <x:c r="R184" s="1">
        <x:f t="shared" si="56"/>
        <x:v>0</x:v>
      </x:c>
      <x:c r="T184" s="5">
        <x:f t="shared" si="50"/>
        <x:v>0</x:v>
      </x:c>
    </x:row>
    <x:row r="185" spans="1:20">
      <x:c r="A185" t="s">
        <x:v>88</x:v>
      </x:c>
      <x:c r="B185" t="s">
        <x:v>85</x:v>
      </x:c>
      <x:c r="C185" s="1">
        <x:v>2057.77</x:v>
      </x:c>
      <x:c r="E185" s="1">
        <x:v>2057.77</x:v>
      </x:c>
      <x:c r="I185">
        <x:v>35</x:v>
      </x:c>
      <x:c r="J185">
        <x:v>14.5</x:v>
      </x:c>
      <x:c r="K185" s="4">
        <x:v>0</x:v>
      </x:c>
      <x:c r="L185" s="2">
        <x:f t="shared" si="51"/>
        <x:v>1205.2652857142855</x:v>
      </x:c>
      <x:c r="M185" s="5">
        <x:v>0.17637562982176211</x:v>
      </x:c>
      <x:c r="N185" s="1">
        <x:f t="shared" si="52"/>
        <x:v>212.57942387016317</x:v>
      </x:c>
      <x:c r="O185" s="1">
        <x:f t="shared" si="53"/>
        <x:v>0</x:v>
      </x:c>
      <x:c r="P185" s="1">
        <x:f t="shared" si="54"/>
        <x:v>212.57942387016317</x:v>
      </x:c>
      <x:c r="Q185" s="1">
        <x:f t="shared" si="55"/>
        <x:v>0</x:v>
      </x:c>
      <x:c r="R185" s="1">
        <x:f t="shared" si="56"/>
        <x:v>0</x:v>
      </x:c>
      <x:c r="T185" s="5">
        <x:f t="shared" si="50"/>
        <x:v>0</x:v>
      </x:c>
    </x:row>
    <x:row r="186" spans="1:20">
      <x:c r="A186" t="s">
        <x:v>88</x:v>
      </x:c>
      <x:c r="B186" t="s">
        <x:v>27</x:v>
      </x:c>
      <x:c r="C186" s="1">
        <x:v>27530.090000000004</x:v>
      </x:c>
      <x:c r="D186" s="1">
        <x:v>21201.370000000003</x:v>
      </x:c>
      <x:c r="E186" s="1">
        <x:v>6328.72</x:v>
      </x:c>
      <x:c r="I186">
        <x:v>35</x:v>
      </x:c>
      <x:c r="J186">
        <x:v>13.5</x:v>
      </x:c>
      <x:c r="K186" s="4">
        <x:v>0</x:v>
      </x:c>
      <x:c r="L186" s="2">
        <x:f t="shared" si="51"/>
        <x:v>16911.341000000004</x:v>
      </x:c>
      <x:c r="M186" s="5">
        <x:v>0.17637562982176211</x:v>
      </x:c>
      <x:c r="N186" s="1">
        <x:f t="shared" si="52"/>
        <x:v>2982.7484200055887</x:v>
      </x:c>
      <x:c r="O186" s="1">
        <x:f t="shared" si="53"/>
        <x:v>2297.0630633410169</x:v>
      </x:c>
      <x:c r="P186" s="1">
        <x:f t="shared" si="54"/>
        <x:v>685.68535666457194</x:v>
      </x:c>
      <x:c r="Q186" s="1">
        <x:f t="shared" si="55"/>
        <x:v>0</x:v>
      </x:c>
      <x:c r="R186" s="1">
        <x:f t="shared" si="56"/>
        <x:v>0</x:v>
      </x:c>
      <x:c r="T186" s="5">
        <x:f t="shared" si="50"/>
        <x:v>0</x:v>
      </x:c>
    </x:row>
    <x:row r="187" spans="1:20">
      <x:c r="A187" t="s">
        <x:v>88</x:v>
      </x:c>
      <x:c r="B187" t="s">
        <x:v>84</x:v>
      </x:c>
      <x:c r="C187" s="1">
        <x:v>42673.3</x:v>
      </x:c>
      <x:c r="D187" s="1">
        <x:v>2490.83</x:v>
      </x:c>
      <x:c r="E187" s="1">
        <x:v>39822.11</x:v>
      </x:c>
      <x:c r="F187" s="1">
        <x:v>360.36</x:v>
      </x:c>
      <x:c r="I187">
        <x:v>35</x:v>
      </x:c>
      <x:c r="J187">
        <x:v>12.5</x:v>
      </x:c>
      <x:c r="K187" s="4">
        <x:v>0</x:v>
      </x:c>
      <x:c r="L187" s="2">
        <x:f t="shared" si="51"/>
        <x:v>27432.835714285713</x:v>
      </x:c>
      <x:c r="M187" s="5">
        <x:v>0.17637562982176211</x:v>
      </x:c>
      <x:c r="N187" s="1">
        <x:f t="shared" si="52"/>
        <x:v>4838.4836769040721</x:v>
      </x:c>
      <x:c r="O187" s="1">
        <x:f t="shared" si="53"/>
        <x:v>282.42109930431837</x:v>
      </x:c>
      <x:c r="P187" s="1">
        <x:f t="shared" si="54"/>
        <x:v>4515.2033991952439</x:v>
      </x:c>
      <x:c r="Q187" s="1">
        <x:f t="shared" si="55"/>
        <x:v>40.859178404509407</x:v>
      </x:c>
      <x:c r="R187" s="1">
        <x:f t="shared" si="56"/>
        <x:v>0</x:v>
      </x:c>
      <x:c r="T187" s="5">
        <x:f t="shared" si="50"/>
        <x:v>0</x:v>
      </x:c>
    </x:row>
    <x:row r="188" spans="1:20">
      <x:c r="A188" t="s">
        <x:v>88</x:v>
      </x:c>
      <x:c r="B188" t="s">
        <x:v>26</x:v>
      </x:c>
      <x:c r="C188" s="1">
        <x:v>13240.35</x:v>
      </x:c>
      <x:c r="D188" s="1">
        <x:v>8988.94</x:v>
      </x:c>
      <x:c r="E188" s="1">
        <x:v>4081.35</x:v>
      </x:c>
      <x:c r="F188" s="1">
        <x:v>170.06</x:v>
      </x:c>
      <x:c r="I188">
        <x:v>35</x:v>
      </x:c>
      <x:c r="J188">
        <x:v>11.5</x:v>
      </x:c>
      <x:c r="K188" s="4">
        <x:v>0</x:v>
      </x:c>
      <x:c r="L188" s="2">
        <x:f t="shared" si="51"/>
        <x:v>8889.9492857142868</x:v>
      </x:c>
      <x:c r="M188" s="5">
        <x:v>0.17637562982176211</x:v>
      </x:c>
      <x:c r="N188" s="1">
        <x:f t="shared" si="52"/>
        <x:v>1567.9704043513816</x:v>
      </x:c>
      <x:c r="O188" s="1">
        <x:f t="shared" si="53"/>
        <x:v>1064.5029690673064</x:v>
      </x:c>
      <x:c r="P188" s="1">
        <x:f t="shared" si="54"/>
        <x:v>483.32831154761851</x:v>
      </x:c>
      <x:c r="Q188" s="1">
        <x:f t="shared" si="55"/>
        <x:v>20.139123736456813</x:v>
      </x:c>
      <x:c r="R188" s="1">
        <x:f t="shared" si="56"/>
        <x:v>0</x:v>
      </x:c>
      <x:c r="T188" s="5">
        <x:f t="shared" si="50"/>
        <x:v>0</x:v>
      </x:c>
    </x:row>
    <x:row r="189" spans="1:20">
      <x:c r="A189" t="s">
        <x:v>88</x:v>
      </x:c>
      <x:c r="B189" t="s">
        <x:v>24</x:v>
      </x:c>
      <x:c r="C189" s="1">
        <x:v>4625.5200000000004</x:v>
      </x:c>
      <x:c r="E189" s="1">
        <x:v>4625.5200000000004</x:v>
      </x:c>
      <x:c r="I189">
        <x:v>35</x:v>
      </x:c>
      <x:c r="J189">
        <x:v>9.5</x:v>
      </x:c>
      <x:c r="K189" s="4">
        <x:v>0</x:v>
      </x:c>
      <x:c r="L189" s="2">
        <x:f t="shared" si="51"/>
        <x:v>3370.021714285715</x:v>
      </x:c>
      <x:c r="M189" s="5">
        <x:v>0.17637562982176211</x:v>
      </x:c>
      <x:c r="N189" s="1">
        <x:f t="shared" si="52"/>
        <x:v>594.38970237015747</x:v>
      </x:c>
      <x:c r="O189" s="1">
        <x:f t="shared" si="53"/>
        <x:v>0</x:v>
      </x:c>
      <x:c r="P189" s="1">
        <x:f t="shared" si="54"/>
        <x:v>594.38970237015747</x:v>
      </x:c>
      <x:c r="Q189" s="1">
        <x:f t="shared" si="55"/>
        <x:v>0</x:v>
      </x:c>
      <x:c r="R189" s="1">
        <x:f t="shared" si="56"/>
        <x:v>0</x:v>
      </x:c>
      <x:c r="T189" s="5">
        <x:f t="shared" si="50"/>
        <x:v>0</x:v>
      </x:c>
    </x:row>
    <x:row r="190" spans="1:20">
      <x:c r="A190" t="s">
        <x:v>88</x:v>
      </x:c>
      <x:c r="B190" t="s">
        <x:v>83</x:v>
      </x:c>
      <x:c r="C190" s="1">
        <x:v>76548.37</x:v>
      </x:c>
      <x:c r="D190" s="1">
        <x:v>66985.440000000002</x:v>
      </x:c>
      <x:c r="E190" s="1">
        <x:v>9562.93</x:v>
      </x:c>
      <x:c r="I190">
        <x:v>35</x:v>
      </x:c>
      <x:c r="J190">
        <x:v>8.5</x:v>
      </x:c>
      <x:c r="K190" s="4">
        <x:v>0</x:v>
      </x:c>
      <x:c r="L190" s="2">
        <x:f t="shared" si="51"/>
        <x:v>57958.051571428565</x:v>
      </x:c>
      <x:c r="M190" s="5">
        <x:v>0.17637562982176211</x:v>
      </x:c>
      <x:c r="N190" s="1">
        <x:f t="shared" si="52"/>
        <x:v>10222.387849152883</x:v>
      </x:c>
      <x:c r="O190" s="1">
        <x:f t="shared" si="53"/>
        <x:v>8945.3393707293781</x:v>
      </x:c>
      <x:c r="P190" s="1">
        <x:f t="shared" si="54"/>
        <x:v>1277.0484784235066</x:v>
      </x:c>
      <x:c r="Q190" s="1">
        <x:f t="shared" si="55"/>
        <x:v>0</x:v>
      </x:c>
      <x:c r="R190" s="1">
        <x:f t="shared" si="56"/>
        <x:v>0</x:v>
      </x:c>
      <x:c r="T190" s="5">
        <x:f t="shared" si="50"/>
        <x:v>0</x:v>
      </x:c>
    </x:row>
    <x:row r="191" spans="1:20">
      <x:c r="A191" t="s">
        <x:v>88</x:v>
      </x:c>
      <x:c r="B191" t="s">
        <x:v>82</x:v>
      </x:c>
      <x:c r="C191" s="1">
        <x:v>47764.399999999994</x:v>
      </x:c>
      <x:c r="D191" s="1">
        <x:v>34173.99</x:v>
      </x:c>
      <x:c r="E191" s="1">
        <x:v>13590.41</x:v>
      </x:c>
      <x:c r="I191">
        <x:v>35</x:v>
      </x:c>
      <x:c r="J191">
        <x:v>7.5</x:v>
      </x:c>
      <x:c r="K191" s="4">
        <x:v>0</x:v>
      </x:c>
      <x:c r="L191" s="2">
        <x:f t="shared" si="51"/>
        <x:v>37529.171428571426</x:v>
      </x:c>
      <x:c r="M191" s="5">
        <x:v>0.17637562982176211</x:v>
      </x:c>
      <x:c r="N191" s="1">
        <x:f t="shared" si="52"/>
        <x:v>6619.2312474031651</x:v>
      </x:c>
      <x:c r="O191" s="1">
        <x:f t="shared" si="53"/>
        <x:v>4735.8606505356147</x:v>
      </x:c>
      <x:c r="P191" s="1">
        <x:f t="shared" si="54"/>
        <x:v>1883.3705968675511</x:v>
      </x:c>
      <x:c r="Q191" s="1">
        <x:f t="shared" si="55"/>
        <x:v>0</x:v>
      </x:c>
      <x:c r="R191" s="1">
        <x:f t="shared" si="56"/>
        <x:v>0</x:v>
      </x:c>
      <x:c r="T191" s="5">
        <x:f t="shared" si="50"/>
        <x:v>0</x:v>
      </x:c>
    </x:row>
    <x:row r="192" spans="1:20">
      <x:c r="A192" t="s">
        <x:v>88</x:v>
      </x:c>
      <x:c r="B192" t="s">
        <x:v>23</x:v>
      </x:c>
      <x:c r="C192" s="1">
        <x:v>129065.4</x:v>
      </x:c>
      <x:c r="D192" s="1">
        <x:v>95114.9</x:v>
      </x:c>
      <x:c r="E192" s="1">
        <x:v>28219.45</x:v>
      </x:c>
      <x:c r="F192" s="1">
        <x:v>5731.0499999999993</x:v>
      </x:c>
      <x:c r="I192">
        <x:v>35</x:v>
      </x:c>
      <x:c r="J192">
        <x:v>6.5</x:v>
      </x:c>
      <x:c r="K192" s="4">
        <x:v>0</x:v>
      </x:c>
      <x:c r="L192" s="2">
        <x:f t="shared" si="51"/>
        <x:v>105096.11142857143</x:v>
      </x:c>
      <x:c r="M192" s="5">
        <x:v>0.17637562982176211</x:v>
      </x:c>
      <x:c r="N192" s="1">
        <x:f t="shared" si="52"/>
        <x:v>18536.392845032376</x:v>
      </x:c>
      <x:c r="O192" s="1">
        <x:f t="shared" si="53"/>
        <x:v>13660.416748531907</x:v>
      </x:c>
      <x:c r="P192" s="1">
        <x:f t="shared" si="54"/>
        <x:v>4052.8818031071764</x:v>
      </x:c>
      <x:c r="Q192" s="1">
        <x:f t="shared" si="55"/>
        <x:v>823.09429339329358</x:v>
      </x:c>
      <x:c r="R192" s="1">
        <x:f t="shared" si="56"/>
        <x:v>0</x:v>
      </x:c>
      <x:c r="T192" s="5">
        <x:f t="shared" si="50"/>
        <x:v>0</x:v>
      </x:c>
    </x:row>
    <x:row r="193" spans="1:20">
      <x:c r="A193" t="s">
        <x:v>88</x:v>
      </x:c>
      <x:c r="B193" t="s">
        <x:v>22</x:v>
      </x:c>
      <x:c r="C193" s="1">
        <x:v>58615.83</x:v>
      </x:c>
      <x:c r="E193" s="1">
        <x:v>58615.83</x:v>
      </x:c>
      <x:c r="I193">
        <x:v>35</x:v>
      </x:c>
      <x:c r="J193">
        <x:v>5.5</x:v>
      </x:c>
      <x:c r="K193" s="4">
        <x:v>0</x:v>
      </x:c>
      <x:c r="L193" s="2">
        <x:f t="shared" si="51"/>
        <x:v>49404.771000000001</x:v>
      </x:c>
      <x:c r="M193" s="5">
        <x:v>0.17637562982176211</x:v>
      </x:c>
      <x:c r="N193" s="1">
        <x:f t="shared" si="52"/>
        <x:v>8713.7976013249281</x:v>
      </x:c>
      <x:c r="O193" s="1">
        <x:f t="shared" si="53"/>
        <x:v>0</x:v>
      </x:c>
      <x:c r="P193" s="1">
        <x:f t="shared" si="54"/>
        <x:v>8713.7976013249281</x:v>
      </x:c>
      <x:c r="Q193" s="1">
        <x:f t="shared" si="55"/>
        <x:v>0</x:v>
      </x:c>
      <x:c r="R193" s="1">
        <x:f t="shared" si="56"/>
        <x:v>0</x:v>
      </x:c>
      <x:c r="T193" s="5">
        <x:f t="shared" si="50"/>
        <x:v>0</x:v>
      </x:c>
    </x:row>
    <x:row r="194" spans="1:20">
      <x:c r="A194" t="s">
        <x:v>88</x:v>
      </x:c>
      <x:c r="B194" t="s">
        <x:v>81</x:v>
      </x:c>
      <x:c r="C194" s="1">
        <x:v>12046.460000000001</x:v>
      </x:c>
      <x:c r="D194" s="1">
        <x:v>5021.8500000000004</x:v>
      </x:c>
      <x:c r="E194" s="1">
        <x:v>6492.83</x:v>
      </x:c>
      <x:c r="F194" s="1">
        <x:v>531.78</x:v>
      </x:c>
      <x:c r="I194">
        <x:v>35</x:v>
      </x:c>
      <x:c r="J194">
        <x:v>4.5</x:v>
      </x:c>
      <x:c r="K194" s="4">
        <x:v>0</x:v>
      </x:c>
      <x:c r="L194" s="2">
        <x:f t="shared" si="51"/>
        <x:v>10497.62942857143</x:v>
      </x:c>
      <x:c r="M194" s="5">
        <x:v>0.17637562982176211</x:v>
      </x:c>
      <x:c r="N194" s="1">
        <x:f t="shared" si="52"/>
        <x:v>1851.5260020997507</x:v>
      </x:c>
      <x:c r="O194" s="1">
        <x:f t="shared" si="53"/>
        <x:v>771.85213362636273</x:v>
      </x:c>
      <x:c r="P194" s="1">
        <x:f t="shared" si="54"/>
        <x:v>997.93994021590765</x:v>
      </x:c>
      <x:c r="Q194" s="1">
        <x:f t="shared" si="55"/>
        <x:v>81.73392825748023</x:v>
      </x:c>
      <x:c r="R194" s="1">
        <x:f t="shared" si="56"/>
        <x:v>0</x:v>
      </x:c>
      <x:c r="T194" s="5">
        <x:f t="shared" si="50"/>
        <x:v>0</x:v>
      </x:c>
    </x:row>
    <x:row r="195" spans="1:20">
      <x:c r="A195" t="s">
        <x:v>88</x:v>
      </x:c>
      <x:c r="B195" t="s">
        <x:v>79</x:v>
      </x:c>
      <x:c r="C195" s="1">
        <x:v>5503.68</x:v>
      </x:c>
      <x:c r="D195" s="1">
        <x:v>5228.5</x:v>
      </x:c>
      <x:c r="E195" s="1">
        <x:v>275.18000000000029</x:v>
      </x:c>
      <x:c r="I195">
        <x:v>35</x:v>
      </x:c>
      <x:c r="J195">
        <x:v>2.5</x:v>
      </x:c>
      <x:c r="K195" s="4">
        <x:v>0</x:v>
      </x:c>
      <x:c r="L195" s="2">
        <x:f t="shared" si="51"/>
        <x:v>5110.5600000000004</x:v>
      </x:c>
      <x:c r="M195" s="5">
        <x:v>0.17637562982176211</x:v>
      </x:c>
      <x:c r="N195" s="1">
        <x:f t="shared" si="52"/>
        <x:v>901.37823874190462</x:v>
      </x:c>
      <x:c r="O195" s="1">
        <x:f t="shared" si="53"/>
        <x:v>856.3099819142916</x:v>
      </x:c>
      <x:c r="P195" s="1">
        <x:f t="shared" si="54"/>
        <x:v>45.068256827613084</x:v>
      </x:c>
      <x:c r="Q195" s="1">
        <x:f t="shared" si="55"/>
        <x:v>0</x:v>
      </x:c>
      <x:c r="R195" s="1">
        <x:f t="shared" si="56"/>
        <x:v>0</x:v>
      </x:c>
      <x:c r="T195" s="5">
        <x:f t="shared" si="50"/>
        <x:v>0</x:v>
      </x:c>
    </x:row>
    <x:row r="196" spans="1:20">
      <x:c r="A196" t="s">
        <x:v>88</x:v>
      </x:c>
      <x:c r="B196" t="s">
        <x:v>41</x:v>
      </x:c>
      <x:c r="C196" s="1">
        <x:v>52771.880000000005</x:v>
      </x:c>
      <x:c r="D196" s="1">
        <x:v>11130.300000000001</x:v>
      </x:c>
      <x:c r="E196" s="1">
        <x:v>37659.35</x:v>
      </x:c>
      <x:c r="F196" s="1">
        <x:v>3982.23</x:v>
      </x:c>
      <x:c r="I196">
        <x:v>35</x:v>
      </x:c>
      <x:c r="J196">
        <x:v>1.5</x:v>
      </x:c>
      <x:c r="K196" s="4">
        <x:v>0</x:v>
      </x:c>
      <x:c r="L196" s="2">
        <x:f t="shared" si="51"/>
        <x:v>50510.22800000001</x:v>
      </x:c>
      <x:c r="M196" s="5">
        <x:v>0.17637562982176211</x:v>
      </x:c>
      <x:c r="N196" s="1">
        <x:f t="shared" si="52"/>
        <x:v>8908.7732759408045</x:v>
      </x:c>
      <x:c r="O196" s="1">
        <x:f t="shared" si="53"/>
        <x:v>1878.9802294935093</x:v>
      </x:c>
      <x:c r="P196" s="1">
        <x:f t="shared" si="54"/>
        <x:v>6357.5262217169693</x:v>
      </x:c>
      <x:c r="Q196" s="1">
        <x:f t="shared" si="55"/>
        <x:v>672.26682473032508</x:v>
      </x:c>
      <x:c r="R196" s="1">
        <x:f t="shared" si="56"/>
        <x:v>0</x:v>
      </x:c>
      <x:c r="T196" s="5">
        <x:f t="shared" si="50"/>
        <x:v>0</x:v>
      </x:c>
    </x:row>
    <x:row r="197" spans="1:20">
      <x:c r="A197" t="s">
        <x:v>88</x:v>
      </x:c>
      <x:c r="B197" t="s">
        <x:v>40</x:v>
      </x:c>
      <x:c r="C197" s="1">
        <x:v>47882.720000000001</x:v>
      </x:c>
      <x:c r="D197" s="1">
        <x:v>2863.07</x:v>
      </x:c>
      <x:c r="E197" s="1">
        <x:v>41892.74</x:v>
      </x:c>
      <x:c r="F197" s="1">
        <x:v>3126.9100000000017</x:v>
      </x:c>
      <x:c r="I197">
        <x:v>35</x:v>
      </x:c>
      <x:c r="J197">
        <x:v>0.5</x:v>
      </x:c>
      <x:c r="K197" s="4">
        <x:v>0</x:v>
      </x:c>
      <x:c r="L197" s="2">
        <x:f t="shared" si="51"/>
        <x:v>47198.681142857145</x:v>
      </x:c>
      <x:c r="M197" s="5">
        <x:v>0.17637562982176211</x:v>
      </x:c>
      <x:c r="N197" s="1">
        <x:f t="shared" si="52"/>
        <x:v>8324.6971133279549</x:v>
      </x:c>
      <x:c r="O197" s="1">
        <x:f t="shared" si="53"/>
        <x:v>497.76183483845256</x:v>
      </x:c>
      <x:c r="P197" s="1">
        <x:f t="shared" si="54"/>
        <x:v>7283.3032824241927</x:v>
      </x:c>
      <x:c r="Q197" s="1">
        <x:f t="shared" si="55"/>
        <x:v>543.63199606530975</x:v>
      </x:c>
      <x:c r="R197" s="1">
        <x:f t="shared" si="56"/>
        <x:v>0</x:v>
      </x:c>
      <x:c r="T197" s="5">
        <x:f t="shared" si="50"/>
        <x:v>0</x:v>
      </x:c>
    </x:row>
    <x:row r="198" spans="1:20">
      <x:c r="A198" t="s">
        <x:v>88</x:v>
      </x:c>
      <x:c r="B198" t="s">
        <x:v>39</x:v>
      </x:c>
      <x:c r="C198" s="1">
        <x:v>63986.400000000009</x:v>
      </x:c>
      <x:c r="E198" s="1">
        <x:v>60519.970000000008</x:v>
      </x:c>
      <x:c r="F198" s="1">
        <x:v>3466.4300000000017</x:v>
      </x:c>
      <x:c r="I198">
        <x:v>35</x:v>
      </x:c>
      <x:c r="J198">
        <x:v>0</x:v>
      </x:c>
      <x:c r="K198" s="4">
        <x:v>0</x:v>
      </x:c>
      <x:c r="L198" s="2">
        <x:f t="shared" si="51"/>
        <x:v>63986.400000000009</x:v>
      </x:c>
      <x:c r="M198" s="5">
        <x:v>1</x:v>
      </x:c>
      <x:c r="N198" s="1">
        <x:f t="shared" si="52"/>
        <x:v>63986.400000000009</x:v>
      </x:c>
      <x:c r="O198" s="1">
        <x:f t="shared" si="53"/>
        <x:v>0</x:v>
      </x:c>
      <x:c r="P198" s="1">
        <x:f t="shared" si="54"/>
        <x:v>60519.970000000008</x:v>
      </x:c>
      <x:c r="Q198" s="1">
        <x:f t="shared" si="55"/>
        <x:v>3466.4300000000017</x:v>
      </x:c>
      <x:c r="R198" s="1">
        <x:f t="shared" si="56"/>
        <x:v>0</x:v>
      </x:c>
      <x:c r="T198" s="5">
        <x:f t="shared" si="50"/>
        <x:v>0</x:v>
      </x:c>
    </x:row>
    <x:row r="199" spans="1:20">
      <x:c r="A199" t="s">
        <x:v>88</x:v>
      </x:c>
      <x:c r="B199" t="s">
        <x:v>78</x:v>
      </x:c>
      <x:c r="C199" s="1">
        <x:v>398940.41</x:v>
      </x:c>
      <x:c r="D199" s="1">
        <x:v>176565.55</x:v>
      </x:c>
      <x:c r="E199" s="1">
        <x:v>218427.37</x:v>
      </x:c>
      <x:c r="F199" s="1">
        <x:v>3947.4900000000007</x:v>
      </x:c>
      <x:c r="I199">
        <x:v>35</x:v>
      </x:c>
      <x:c r="J199">
        <x:v>0</x:v>
      </x:c>
      <x:c r="K199" s="4">
        <x:v>0</x:v>
      </x:c>
      <x:c r="L199" s="2">
        <x:f t="shared" si="51"/>
        <x:v>398940.41</x:v>
      </x:c>
      <x:c r="M199" s="5">
        <x:v>1</x:v>
      </x:c>
      <x:c r="N199" s="1">
        <x:f t="shared" si="52"/>
        <x:v>398940.41</x:v>
      </x:c>
      <x:c r="O199" s="1">
        <x:f t="shared" si="53"/>
        <x:v>176565.55</x:v>
      </x:c>
      <x:c r="P199" s="1">
        <x:f t="shared" si="54"/>
        <x:v>218427.37</x:v>
      </x:c>
      <x:c r="Q199" s="1">
        <x:f t="shared" si="55"/>
        <x:v>3947.4900000000007</x:v>
      </x:c>
      <x:c r="R199" s="1">
        <x:f t="shared" si="56"/>
        <x:v>0</x:v>
      </x:c>
      <x:c r="T199" s="5">
        <x:f t="shared" si="50"/>
        <x:v>0</x:v>
      </x:c>
    </x:row>
    <x:row r="200" spans="1:20">
      <x:c r="A200" t="s">
        <x:v>88</x:v>
      </x:c>
      <x:c r="B200" t="s">
        <x:v>77</x:v>
      </x:c>
      <x:c r="C200" s="1">
        <x:v>119005.84</x:v>
      </x:c>
      <x:c r="D200" s="1">
        <x:v>12039.22</x:v>
      </x:c>
      <x:c r="E200" s="1">
        <x:v>104253.98999999999</x:v>
      </x:c>
      <x:c r="F200" s="1">
        <x:v>2712.630000000001</x:v>
      </x:c>
      <x:c r="I200">
        <x:v>35</x:v>
      </x:c>
      <x:c r="J200">
        <x:v>0</x:v>
      </x:c>
      <x:c r="K200" s="4">
        <x:v>0</x:v>
      </x:c>
      <x:c r="L200" s="2">
        <x:f t="shared" si="51"/>
        <x:v>119005.84</x:v>
      </x:c>
      <x:c r="M200" s="5">
        <x:v>1</x:v>
      </x:c>
      <x:c r="N200" s="1">
        <x:f t="shared" si="52"/>
        <x:v>119005.84</x:v>
      </x:c>
      <x:c r="O200" s="1">
        <x:f t="shared" si="53"/>
        <x:v>12039.22</x:v>
      </x:c>
      <x:c r="P200" s="1">
        <x:f t="shared" si="54"/>
        <x:v>104253.98999999998</x:v>
      </x:c>
      <x:c r="Q200" s="1">
        <x:f t="shared" si="55"/>
        <x:v>2712.630000000001</x:v>
      </x:c>
      <x:c r="R200" s="1">
        <x:f t="shared" si="56"/>
        <x:v>0</x:v>
      </x:c>
      <x:c r="T200" s="5">
        <x:f t="shared" si="50"/>
        <x:v>0</x:v>
      </x:c>
    </x:row>
    <x:row r="201" spans="1:20">
      <x:c r="A201" t="s">
        <x:v>88</x:v>
      </x:c>
      <x:c r="B201" t="s">
        <x:v>76</x:v>
      </x:c>
      <x:c r="C201" s="1">
        <x:v>288644.47999999998</x:v>
      </x:c>
      <x:c r="D201" s="1">
        <x:v>34913.019999999997</x:v>
      </x:c>
      <x:c r="E201" s="1">
        <x:v>225837.90999999997</x:v>
      </x:c>
      <x:c r="F201" s="1">
        <x:v>27893.550000000003</x:v>
      </x:c>
      <x:c r="I201">
        <x:v>35</x:v>
      </x:c>
      <x:c r="J201">
        <x:v>0</x:v>
      </x:c>
      <x:c r="K201" s="4">
        <x:v>0</x:v>
      </x:c>
      <x:c r="L201" s="2">
        <x:f t="shared" si="51"/>
        <x:v>288644.47999999998</x:v>
      </x:c>
      <x:c r="M201" s="5">
        <x:v>1</x:v>
      </x:c>
      <x:c r="N201" s="1">
        <x:f t="shared" si="52"/>
        <x:v>288644.47999999998</x:v>
      </x:c>
      <x:c r="O201" s="1">
        <x:f t="shared" si="53"/>
        <x:v>34913.019999999997</x:v>
      </x:c>
      <x:c r="P201" s="1">
        <x:f t="shared" si="54"/>
        <x:v>225837.90999999997</x:v>
      </x:c>
      <x:c r="Q201" s="1">
        <x:f t="shared" si="55"/>
        <x:v>27893.550000000003</x:v>
      </x:c>
      <x:c r="R201" s="1">
        <x:f t="shared" si="56"/>
        <x:v>0</x:v>
      </x:c>
      <x:c r="T201" s="5">
        <x:f t="shared" si="50"/>
        <x:v>0</x:v>
      </x:c>
    </x:row>
    <x:row r="202" spans="1:20">
      <x:c r="A202" t="s">
        <x:v>88</x:v>
      </x:c>
      <x:c r="B202" t="s">
        <x:v>75</x:v>
      </x:c>
      <x:c r="C202" s="1">
        <x:v>237920.32</x:v>
      </x:c>
      <x:c r="D202" s="1">
        <x:v>36314.79</x:v>
      </x:c>
      <x:c r="E202" s="1">
        <x:v>170328.57</x:v>
      </x:c>
      <x:c r="F202" s="1">
        <x:v>31276.960000000006</x:v>
      </x:c>
      <x:c r="I202">
        <x:v>35</x:v>
      </x:c>
      <x:c r="J202">
        <x:v>0</x:v>
      </x:c>
      <x:c r="K202" s="4">
        <x:v>0</x:v>
      </x:c>
      <x:c r="L202" s="2">
        <x:f t="shared" si="51"/>
        <x:v>237920.32</x:v>
      </x:c>
      <x:c r="M202" s="5">
        <x:v>1</x:v>
      </x:c>
      <x:c r="N202" s="1">
        <x:f t="shared" si="52"/>
        <x:v>237920.32</x:v>
      </x:c>
      <x:c r="O202" s="1">
        <x:f t="shared" si="53"/>
        <x:v>36314.79</x:v>
      </x:c>
      <x:c r="P202" s="1">
        <x:f t="shared" si="54"/>
        <x:v>170328.57</x:v>
      </x:c>
      <x:c r="Q202" s="1">
        <x:f t="shared" si="55"/>
        <x:v>31276.960000000006</x:v>
      </x:c>
      <x:c r="R202" s="1">
        <x:f t="shared" si="56"/>
        <x:v>0</x:v>
      </x:c>
      <x:c r="T202" s="5">
        <x:f t="shared" si="50"/>
        <x:v>0</x:v>
      </x:c>
    </x:row>
    <x:row r="203" spans="1:20">
      <x:c r="A203" t="s">
        <x:v>111</x:v>
      </x:c>
      <x:c r="C203" s="1">
        <x:f>SUM(C166:C202)</x:f>
        <x:v>10046104.890000002</x:v>
      </x:c>
      <x:c r="D203" s="1">
        <x:f>SUM(D166:D202)</x:f>
        <x:v>3579102.6000000006</x:v>
      </x:c>
      <x:c r="E203" s="1">
        <x:f>SUM(E166:E202)</x:f>
        <x:v>5998112.8099999987</x:v>
      </x:c>
      <x:c r="F203" s="1">
        <x:f>SUM(F166:F202)</x:f>
        <x:v>468889.47999999992</x:v>
      </x:c>
      <x:c r="G203" s="1">
        <x:f t="shared" ref="G203:R203" si="57">SUM(G166:G202)</x:f>
        <x:v>0</x:v>
      </x:c>
      <x:c r="I203" s="1"/>
      <x:c r="J203" s="1"/>
      <x:c r="K203" s="1">
        <x:f t="shared" si="57"/>
        <x:v>0</x:v>
      </x:c>
      <x:c r="L203" s="1">
        <x:f t="shared" si="57"/>
        <x:v>2253916.8608571426</x:v>
      </x:c>
      <x:c r="M203" s="1"/>
      <x:c r="N203" s="1">
        <x:f>SUM(N166:N202)</x:f>
        <x:v>1310521.5200000003</x:v>
      </x:c>
      <x:c r="O203" s="1">
        <x:f>SUM(O166:O202)</x:f>
        <x:v>327968.00797222502</x:v>
      </x:c>
      <x:c r="P203" s="1">
        <x:f t="shared" si="57"/>
        <x:v>897247.06020668987</x:v>
      </x:c>
      <x:c r="Q203" s="1">
        <x:f t="shared" si="57"/>
        <x:v>85306.451821085415</x:v>
      </x:c>
      <x:c r="R203" s="1">
        <x:f t="shared" si="57"/>
        <x:v>0</x:v>
      </x:c>
      <x:c r="T203" s="5">
        <x:f t="shared" si="50"/>
        <x:v>0</x:v>
      </x:c>
    </x:row>
    <x:row r="204" spans="1:20">
      <x:c r="L204" s="2"/>
      <x:c r="T204" s="5">
        <x:f t="shared" si="50"/>
        <x:v>0</x:v>
      </x:c>
    </x:row>
    <x:row r="205" spans="1:20">
      <x:c r="L205" s="2"/>
      <x:c r="T205" s="5">
        <x:f t="shared" ref="T205:T268" si="58">+O205+P205+Q205+R205-N205</x:f>
        <x:v>0</x:v>
      </x:c>
    </x:row>
    <x:row r="206" spans="1:20">
      <x:c r="L206" s="2"/>
      <x:c r="T206" s="5">
        <x:f t="shared" si="58"/>
        <x:v>0</x:v>
      </x:c>
    </x:row>
    <x:row r="207" spans="1:20">
      <x:c r="L207" s="2"/>
      <x:c r="T207" s="5">
        <x:f t="shared" si="58"/>
        <x:v>0</x:v>
      </x:c>
    </x:row>
    <x:row r="208" spans="1:20">
      <x:c r="A208" t="s">
        <x:v>93</x:v>
      </x:c>
      <x:c r="B208" t="s">
        <x:v>7</x:v>
      </x:c>
      <x:c r="C208" s="1">
        <x:v>273585.13000000006</x:v>
      </x:c>
      <x:c r="D208" s="1">
        <x:v>33512.519999999997</x:v>
      </x:c>
      <x:c r="E208" s="1">
        <x:v>215280.34000000005</x:v>
      </x:c>
      <x:c r="F208" s="1">
        <x:v>24792.27</x:v>
      </x:c>
      <x:c r="I208">
        <x:v>35</x:v>
      </x:c>
      <x:c r="J208">
        <x:v>34.5</x:v>
      </x:c>
      <x:c r="K208" s="4">
        <x:v>0</x:v>
      </x:c>
      <x:c r="L208" s="2">
        <x:f t="shared" si="51"/>
        <x:v>3908.3589999999872</x:v>
      </x:c>
      <x:c r="M208" s="5">
        <x:v>0.58089865917944317</x:v>
      </x:c>
      <x:c r="N208" s="1">
        <x:f t="shared" ref="N208:N252" si="59">+L208*M208</x:f>
        <x:v>2270.3605026919017</x:v>
      </x:c>
      <x:c r="O208" s="1">
        <x:f t="shared" ref="O208:O252" si="60">+$N208*D208/$C208</x:f>
        <x:v>278.10539905320286</x:v>
      </x:c>
      <x:c r="P208" s="1">
        <x:f t="shared" ref="P208:P252" si="61">+$N208*E208/$C208</x:f>
        <x:v>1786.5151550527748</x:v>
      </x:c>
      <x:c r="Q208" s="1">
        <x:f t="shared" ref="Q208:Q252" si="62">+$N208*F208/$C208</x:f>
        <x:v>205.73994858592403</x:v>
      </x:c>
      <x:c r="R208" s="1">
        <x:f t="shared" ref="R208:R252" si="63">+$N208*G208/$C208</x:f>
        <x:v>0</x:v>
      </x:c>
      <x:c r="T208" s="5">
        <x:f t="shared" si="58"/>
        <x:v>0</x:v>
      </x:c>
    </x:row>
    <x:row r="209" spans="1:20">
      <x:c r="A209" t="s">
        <x:v>93</x:v>
      </x:c>
      <x:c r="B209" t="s">
        <x:v>6</x:v>
      </x:c>
      <x:c r="C209" s="1">
        <x:v>215260.83000000002</x:v>
      </x:c>
      <x:c r="D209" s="1">
        <x:v>24869.460000000003</x:v>
      </x:c>
      <x:c r="E209" s="1">
        <x:v>169918.08000000002</x:v>
      </x:c>
      <x:c r="F209" s="1">
        <x:v>20473.289999999997</x:v>
      </x:c>
      <x:c r="I209">
        <x:v>35</x:v>
      </x:c>
      <x:c r="J209">
        <x:v>33.5</x:v>
      </x:c>
      <x:c r="K209" s="4">
        <x:v>0</x:v>
      </x:c>
      <x:c r="L209" s="2">
        <x:f t="shared" si="51"/>
        <x:v>9225.464142857134</x:v>
      </x:c>
      <x:c r="M209" s="5">
        <x:v>0.58089865917944317</x:v>
      </x:c>
      <x:c r="N209" s="1">
        <x:f t="shared" si="59"/>
        <x:v>5359.0597508937399</x:v>
      </x:c>
      <x:c r="O209" s="1">
        <x:f t="shared" si="60"/>
        <x:v>619.14154150786203</x:v>
      </x:c>
      <x:c r="P209" s="1">
        <x:f t="shared" si="61"/>
        <x:v>4230.2222075290829</x:v>
      </x:c>
      <x:c r="Q209" s="1">
        <x:f t="shared" si="62"/>
        <x:v>509.69600185679514</x:v>
      </x:c>
      <x:c r="R209" s="1">
        <x:f t="shared" si="63"/>
        <x:v>0</x:v>
      </x:c>
      <x:c r="T209" s="5">
        <x:f t="shared" si="58"/>
        <x:v>0</x:v>
      </x:c>
    </x:row>
    <x:row r="210" spans="1:20">
      <x:c r="A210" t="s">
        <x:v>93</x:v>
      </x:c>
      <x:c r="B210" t="s">
        <x:v>5</x:v>
      </x:c>
      <x:c r="C210" s="1">
        <x:v>472606.63999999996</x:v>
      </x:c>
      <x:c r="D210" s="1">
        <x:v>33803.299999999996</x:v>
      </x:c>
      <x:c r="E210" s="1">
        <x:v>403868.58999999997</x:v>
      </x:c>
      <x:c r="F210" s="1">
        <x:v>34934.749999999993</x:v>
      </x:c>
      <x:c r="I210">
        <x:v>35</x:v>
      </x:c>
      <x:c r="J210">
        <x:v>32.5</x:v>
      </x:c>
      <x:c r="K210" s="4">
        <x:v>0</x:v>
      </x:c>
      <x:c r="L210" s="2">
        <x:f t="shared" si="51"/>
        <x:v>33757.617142857125</x:v>
      </x:c>
      <x:c r="M210" s="5">
        <x:v>0.58089865917944317</x:v>
      </x:c>
      <x:c r="N210" s="1">
        <x:f t="shared" si="59"/>
        <x:v>19609.754535378688</x:v>
      </x:c>
      <x:c r="O210" s="1">
        <x:f t="shared" si="60"/>
        <x:v>1402.5922604171756</x:v>
      </x:c>
      <x:c r="P210" s="1">
        <x:f t="shared" si="61"/>
        <x:v>16757.623029692295</x:v>
      </x:c>
      <x:c r="Q210" s="1">
        <x:f t="shared" si="62"/>
        <x:v>1449.539245269217</x:v>
      </x:c>
      <x:c r="R210" s="1">
        <x:f t="shared" si="63"/>
        <x:v>0</x:v>
      </x:c>
      <x:c r="T210" s="5">
        <x:f t="shared" si="58"/>
        <x:v>0</x:v>
      </x:c>
    </x:row>
    <x:row r="211" spans="1:20">
      <x:c r="A211" t="s">
        <x:v>93</x:v>
      </x:c>
      <x:c r="B211" t="s">
        <x:v>4</x:v>
      </x:c>
      <x:c r="C211" s="1">
        <x:v>202209.48</x:v>
      </x:c>
      <x:c r="D211" s="1">
        <x:v>15005.1</x:v>
      </x:c>
      <x:c r="E211" s="1">
        <x:v>172860.15</x:v>
      </x:c>
      <x:c r="F211" s="1">
        <x:v>14344.23</x:v>
      </x:c>
      <x:c r="I211">
        <x:v>35</x:v>
      </x:c>
      <x:c r="J211">
        <x:v>31.5</x:v>
      </x:c>
      <x:c r="K211" s="4">
        <x:v>0</x:v>
      </x:c>
      <x:c r="L211" s="2">
        <x:f t="shared" si="51"/>
        <x:v>20220.947999999997</x:v>
      </x:c>
      <x:c r="M211" s="5">
        <x:v>0.58089865917944317</x:v>
      </x:c>
      <x:c r="N211" s="1">
        <x:f t="shared" si="59"/>
        <x:v>11746.32158053724</x:v>
      </x:c>
      <x:c r="O211" s="1">
        <x:f t="shared" si="60"/>
        <x:v>871.64424708534602</x:v>
      </x:c>
      <x:c r="P211" s="1">
        <x:f t="shared" si="61"/>
        <x:v>10041.422936055738</x:v>
      </x:c>
      <x:c r="Q211" s="1">
        <x:f t="shared" si="62"/>
        <x:v>833.2543973961541</x:v>
      </x:c>
      <x:c r="R211" s="1">
        <x:f t="shared" si="63"/>
        <x:v>0</x:v>
      </x:c>
      <x:c r="T211" s="5">
        <x:f t="shared" si="58"/>
        <x:v>0</x:v>
      </x:c>
    </x:row>
    <x:row r="212" spans="1:20">
      <x:c r="A212" t="s">
        <x:v>93</x:v>
      </x:c>
      <x:c r="B212" t="s">
        <x:v>3</x:v>
      </x:c>
      <x:c r="C212" s="1">
        <x:v>1034324.0500000004</x:v>
      </x:c>
      <x:c r="D212" s="1">
        <x:v>33552.97</x:v>
      </x:c>
      <x:c r="E212" s="1">
        <x:v>924238.14000000036</x:v>
      </x:c>
      <x:c r="F212" s="1">
        <x:v>76532.940000000046</x:v>
      </x:c>
      <x:c r="I212">
        <x:v>35</x:v>
      </x:c>
      <x:c r="J212">
        <x:v>30.5</x:v>
      </x:c>
      <x:c r="K212" s="4">
        <x:v>0</x:v>
      </x:c>
      <x:c r="L212" s="2">
        <x:f t="shared" si="51"/>
        <x:v>132984.52071428575</x:v>
      </x:c>
      <x:c r="M212" s="5">
        <x:v>0.58089865917944317</x:v>
      </x:c>
      <x:c r="N212" s="1">
        <x:f t="shared" si="59"/>
        <x:v>77250.529774549475</x:v>
      </x:c>
      <x:c r="O212" s="1">
        <x:f t="shared" si="60"/>
        <x:v>2505.9696794341817</x:v>
      </x:c>
      <x:c r="P212" s="1">
        <x:f t="shared" si="61"/>
        <x:v>69028.546665664617</x:v>
      </x:c>
      <x:c r="Q212" s="1">
        <x:f t="shared" si="62"/>
        <x:v>5716.0134294506734</x:v>
      </x:c>
      <x:c r="R212" s="1">
        <x:f t="shared" si="63"/>
        <x:v>0</x:v>
      </x:c>
      <x:c r="T212" s="5">
        <x:f t="shared" si="58"/>
        <x:v>0</x:v>
      </x:c>
    </x:row>
    <x:row r="213" spans="1:20">
      <x:c r="A213" t="s">
        <x:v>93</x:v>
      </x:c>
      <x:c r="B213" t="s">
        <x:v>2</x:v>
      </x:c>
      <x:c r="C213" s="1">
        <x:v>1371160.4500000002</x:v>
      </x:c>
      <x:c r="D213" s="1">
        <x:v>495173.39</x:v>
      </x:c>
      <x:c r="E213" s="1">
        <x:v>776915.56</x:v>
      </x:c>
      <x:c r="F213" s="1">
        <x:v>99071.499999999985</x:v>
      </x:c>
      <x:c r="I213">
        <x:v>35</x:v>
      </x:c>
      <x:c r="J213">
        <x:v>29.5</x:v>
      </x:c>
      <x:c r="K213" s="4">
        <x:v>0</x:v>
      </x:c>
      <x:c r="L213" s="2">
        <x:f t="shared" si="51"/>
        <x:v>215468.07071428574</x:v>
      </x:c>
      <x:c r="M213" s="5">
        <x:v>0.58089865917944317</x:v>
      </x:c>
      <x:c r="N213" s="1">
        <x:f t="shared" si="59"/>
        <x:v>125165.11337391003</x:v>
      </x:c>
      <x:c r="O213" s="1">
        <x:f t="shared" si="60"/>
        <x:v>45201.444877653346</x:v>
      </x:c>
      <x:c r="P213" s="1">
        <x:f t="shared" si="61"/>
        <x:v>70920.018258515847</x:v>
      </x:c>
      <x:c r="Q213" s="1">
        <x:f t="shared" si="62"/>
        <x:v>9043.6502377408306</x:v>
      </x:c>
      <x:c r="R213" s="1">
        <x:f t="shared" si="63"/>
        <x:v>0</x:v>
      </x:c>
      <x:c r="T213" s="5">
        <x:f t="shared" si="58"/>
        <x:v>0</x:v>
      </x:c>
    </x:row>
    <x:row r="214" spans="1:20">
      <x:c r="A214" t="s">
        <x:v>93</x:v>
      </x:c>
      <x:c r="B214" t="s">
        <x:v>1</x:v>
      </x:c>
      <x:c r="C214" s="1">
        <x:v>809709.45000000019</x:v>
      </x:c>
      <x:c r="D214" s="1">
        <x:v>102648.11</x:v>
      </x:c>
      <x:c r="E214" s="1">
        <x:v>651714.68000000017</x:v>
      </x:c>
      <x:c r="F214" s="1">
        <x:v>55346.66</x:v>
      </x:c>
      <x:c r="I214">
        <x:v>35</x:v>
      </x:c>
      <x:c r="J214">
        <x:v>28.5</x:v>
      </x:c>
      <x:c r="K214" s="4">
        <x:v>0</x:v>
      </x:c>
      <x:c r="L214" s="2">
        <x:f t="shared" si="51"/>
        <x:v>150374.61214285719</x:v>
      </x:c>
      <x:c r="M214" s="5">
        <x:v>0.58089865917944317</x:v>
      </x:c>
      <x:c r="N214" s="1">
        <x:f t="shared" si="59"/>
        <x:v>87352.410568414562</x:v>
      </x:c>
      <x:c r="O214" s="1">
        <x:f t="shared" si="60"/>
        <x:v>11073.799186599315</x:v>
      </x:c>
      <x:c r="P214" s="1">
        <x:f t="shared" si="61"/>
        <x:v>70307.748416204005</x:v>
      </x:c>
      <x:c r="Q214" s="1">
        <x:f t="shared" si="62"/>
        <x:v>5970.8629656112407</x:v>
      </x:c>
      <x:c r="R214" s="1">
        <x:f t="shared" si="63"/>
        <x:v>0</x:v>
      </x:c>
      <x:c r="T214" s="5">
        <x:f t="shared" si="58"/>
        <x:v>0</x:v>
      </x:c>
    </x:row>
    <x:row r="215" spans="1:20">
      <x:c r="A215" t="s">
        <x:v>93</x:v>
      </x:c>
      <x:c r="B215" t="s">
        <x:v>21</x:v>
      </x:c>
      <x:c r="C215" s="1">
        <x:v>1041196.6599999999</x:v>
      </x:c>
      <x:c r="D215" s="1">
        <x:v>335992.40999999992</x:v>
      </x:c>
      <x:c r="E215" s="1">
        <x:v>645186.28</x:v>
      </x:c>
      <x:c r="F215" s="1">
        <x:v>60017.969999999994</x:v>
      </x:c>
      <x:c r="I215">
        <x:v>35</x:v>
      </x:c>
      <x:c r="J215">
        <x:v>27.5</x:v>
      </x:c>
      <x:c r="K215" s="4">
        <x:v>0</x:v>
      </x:c>
      <x:c r="L215" s="2">
        <x:f t="shared" si="51"/>
        <x:v>223113.57</x:v>
      </x:c>
      <x:c r="M215" s="5">
        <x:v>0.58089865917944317</x:v>
      </x:c>
      <x:c r="N215" s="1">
        <x:f t="shared" si="59"/>
        <x:v>129606.37365773883</x:v>
      </x:c>
      <x:c r="O215" s="1">
        <x:f t="shared" si="60"/>
        <x:v>41823.758670743504</x:v>
      </x:c>
      <x:c r="P215" s="1">
        <x:f t="shared" si="61"/>
        <x:v>80311.681065637036</x:v>
      </x:c>
      <x:c r="Q215" s="1">
        <x:f t="shared" si="62"/>
        <x:v>7470.9339213582944</x:v>
      </x:c>
      <x:c r="R215" s="1">
        <x:f t="shared" si="63"/>
        <x:v>0</x:v>
      </x:c>
      <x:c r="T215" s="5">
        <x:f t="shared" si="58"/>
        <x:v>0</x:v>
      </x:c>
    </x:row>
    <x:row r="216" spans="1:20">
      <x:c r="A216" t="s">
        <x:v>93</x:v>
      </x:c>
      <x:c r="B216" t="s">
        <x:v>20</x:v>
      </x:c>
      <x:c r="C216" s="1">
        <x:v>1622952.1099999992</x:v>
      </x:c>
      <x:c r="D216" s="1">
        <x:v>227487.07</x:v>
      </x:c>
      <x:c r="E216" s="1">
        <x:v>1270033.7799999991</x:v>
      </x:c>
      <x:c r="F216" s="1">
        <x:v>125431.26</x:v>
      </x:c>
      <x:c r="I216">
        <x:v>35</x:v>
      </x:c>
      <x:c r="J216">
        <x:v>26.5</x:v>
      </x:c>
      <x:c r="K216" s="4">
        <x:v>0</x:v>
      </x:c>
      <x:c r="L216" s="2">
        <x:f t="shared" ref="L216:L280" si="64">+C216*(1-J216/I216)*(1-K216)</x:f>
        <x:v>394145.5124285713</x:v>
      </x:c>
      <x:c r="M216" s="5">
        <x:v>0.58089865917944317</x:v>
      </x:c>
      <x:c r="N216" s="1">
        <x:f t="shared" si="59"/>
        <x:v>228958.59969135161</x:v>
      </x:c>
      <x:c r="O216" s="1">
        <x:f t="shared" si="60"/>
        <x:v>32092.826814888896</x:v>
      </x:c>
      <x:c r="P216" s="1">
        <x:f t="shared" si="61"/>
        <x:v>179170.50912211702</x:v>
      </x:c>
      <x:c r="Q216" s="1">
        <x:f t="shared" si="62"/>
        <x:v>17695.263754345688</x:v>
      </x:c>
      <x:c r="R216" s="1">
        <x:f t="shared" si="63"/>
        <x:v>0</x:v>
      </x:c>
      <x:c r="T216" s="5">
        <x:f t="shared" si="58"/>
        <x:v>0</x:v>
      </x:c>
    </x:row>
    <x:row r="217" spans="1:20">
      <x:c r="A217" t="s">
        <x:v>93</x:v>
      </x:c>
      <x:c r="B217" t="s">
        <x:v>19</x:v>
      </x:c>
      <x:c r="C217" s="1">
        <x:v>370521.72</x:v>
      </x:c>
      <x:c r="D217" s="1">
        <x:v>-13513.149999999994</x:v>
      </x:c>
      <x:c r="E217" s="1">
        <x:v>349560.14</x:v>
      </x:c>
      <x:c r="F217" s="1">
        <x:v>34474.730000000003</x:v>
      </x:c>
      <x:c r="I217">
        <x:v>35</x:v>
      </x:c>
      <x:c r="J217">
        <x:v>25.5</x:v>
      </x:c>
      <x:c r="K217" s="4">
        <x:v>0</x:v>
      </x:c>
      <x:c r="L217" s="2">
        <x:f t="shared" si="64"/>
        <x:v>100570.18114285715</x:v>
      </x:c>
      <x:c r="M217" s="5">
        <x:v>0.58089865917944317</x:v>
      </x:c>
      <x:c r="N217" s="1">
        <x:f t="shared" si="59"/>
        <x:v>58421.08337931944</x:v>
      </x:c>
      <x:c r="O217" s="1">
        <x:f t="shared" si="60"/>
        <x:v>-2130.6520515646162</x:v>
      </x:c>
      <x:c r="P217" s="1">
        <x:f t="shared" si="61"/>
        <x:v>55116.018799185586</x:v>
      </x:c>
      <x:c r="Q217" s="1">
        <x:f t="shared" si="62"/>
        <x:v>5435.7166316984758</x:v>
      </x:c>
      <x:c r="R217" s="1">
        <x:f t="shared" si="63"/>
        <x:v>0</x:v>
      </x:c>
      <x:c r="T217" s="5">
        <x:f t="shared" si="58"/>
        <x:v>0</x:v>
      </x:c>
    </x:row>
    <x:row r="218" spans="1:20">
      <x:c r="A218" t="s">
        <x:v>93</x:v>
      </x:c>
      <x:c r="B218" t="s">
        <x:v>18</x:v>
      </x:c>
      <x:c r="C218" s="1">
        <x:v>451645.21999999991</x:v>
      </x:c>
      <x:c r="D218" s="1">
        <x:v>253320.43999999997</x:v>
      </x:c>
      <x:c r="E218" s="1">
        <x:v>175085.67999999996</x:v>
      </x:c>
      <x:c r="F218" s="1">
        <x:v>23239.1</x:v>
      </x:c>
      <x:c r="I218">
        <x:v>35</x:v>
      </x:c>
      <x:c r="J218">
        <x:v>24.5</x:v>
      </x:c>
      <x:c r="K218" s="4">
        <x:v>0</x:v>
      </x:c>
      <x:c r="L218" s="2">
        <x:f t="shared" si="64"/>
        <x:v>135493.56599999999</x:v>
      </x:c>
      <x:c r="M218" s="5">
        <x:v>0.58089865917944317</x:v>
      </x:c>
      <x:c r="N218" s="1">
        <x:f t="shared" si="59"/>
        <x:v>78708.03081684139</x:v>
      </x:c>
      <x:c r="O218" s="1">
        <x:f t="shared" si="60"/>
        <x:v>44146.051181623974</x:v>
      </x:c>
      <x:c r="P218" s="1">
        <x:f t="shared" si="61"/>
        <x:v>30512.111026056315</x:v>
      </x:c>
      <x:c r="Q218" s="1">
        <x:f t="shared" si="62"/>
        <x:v>4049.8686091610998</x:v>
      </x:c>
      <x:c r="R218" s="1">
        <x:f t="shared" si="63"/>
        <x:v>0</x:v>
      </x:c>
      <x:c r="T218" s="5">
        <x:f t="shared" si="58"/>
        <x:v>0</x:v>
      </x:c>
    </x:row>
    <x:row r="219" spans="1:20">
      <x:c r="A219" t="s">
        <x:v>93</x:v>
      </x:c>
      <x:c r="B219" t="s">
        <x:v>17</x:v>
      </x:c>
      <x:c r="C219" s="1">
        <x:v>378586.77</x:v>
      </x:c>
      <x:c r="D219" s="1">
        <x:v>173607.62000000002</x:v>
      </x:c>
      <x:c r="E219" s="1">
        <x:v>182390.90000000002</x:v>
      </x:c>
      <x:c r="F219" s="1">
        <x:v>22588.25</x:v>
      </x:c>
      <x:c r="I219">
        <x:v>35</x:v>
      </x:c>
      <x:c r="J219">
        <x:v>23.5</x:v>
      </x:c>
      <x:c r="K219" s="4">
        <x:v>0</x:v>
      </x:c>
      <x:c r="L219" s="2">
        <x:f t="shared" si="64"/>
        <x:v>124392.79585714289</x:v>
      </x:c>
      <x:c r="M219" s="5">
        <x:v>0.58089865917944317</x:v>
      </x:c>
      <x:c r="N219" s="1">
        <x:f t="shared" si="59"/>
        <x:v>72259.608324996501</x:v>
      </x:c>
      <x:c r="O219" s="1">
        <x:f t="shared" si="60"/>
        <x:v>33135.913923866996</x:v>
      </x:c>
      <x:c r="P219" s="1">
        <x:f t="shared" si="61"/>
        <x:v>34812.349612860497</x:v>
      </x:c>
      <x:c r="Q219" s="1">
        <x:f t="shared" si="62"/>
        <x:v>4311.3447882690198</x:v>
      </x:c>
      <x:c r="R219" s="1">
        <x:f t="shared" si="63"/>
        <x:v>0</x:v>
      </x:c>
      <x:c r="T219" s="5">
        <x:f t="shared" si="58"/>
        <x:v>0</x:v>
      </x:c>
    </x:row>
    <x:row r="220" spans="1:20">
      <x:c r="A220" t="s">
        <x:v>93</x:v>
      </x:c>
      <x:c r="B220" t="s">
        <x:v>16</x:v>
      </x:c>
      <x:c r="C220" s="1">
        <x:v>228971.68999999994</x:v>
      </x:c>
      <x:c r="D220" s="1">
        <x:v>102738.24999999999</x:v>
      </x:c>
      <x:c r="E220" s="1">
        <x:v>112187.06999999995</x:v>
      </x:c>
      <x:c r="F220" s="1">
        <x:v>14046.369999999995</x:v>
      </x:c>
      <x:c r="I220">
        <x:v>35</x:v>
      </x:c>
      <x:c r="J220">
        <x:v>22.5</x:v>
      </x:c>
      <x:c r="K220" s="4">
        <x:v>0</x:v>
      </x:c>
      <x:c r="L220" s="2">
        <x:f t="shared" si="64"/>
        <x:v>81775.603571428539</x:v>
      </x:c>
      <x:c r="M220" s="5">
        <x:v>0.58089865917944317</x:v>
      </x:c>
      <x:c r="N220" s="1">
        <x:f t="shared" si="59"/>
        <x:v>47503.33846823252</x:v>
      </x:c>
      <x:c r="O220" s="1">
        <x:f t="shared" si="60"/>
        <x:v>21314.468454086575</x:v>
      </x:c>
      <x:c r="P220" s="1">
        <x:f t="shared" si="61"/>
        <x:v>23274.756621525103</x:v>
      </x:c>
      <x:c r="Q220" s="1">
        <x:f t="shared" si="62"/>
        <x:v>2914.1133926208395</x:v>
      </x:c>
      <x:c r="R220" s="1">
        <x:f t="shared" si="63"/>
        <x:v>0</x:v>
      </x:c>
      <x:c r="T220" s="5">
        <x:f t="shared" si="58"/>
        <x:v>0</x:v>
      </x:c>
    </x:row>
    <x:row r="221" spans="1:20">
      <x:c r="A221" t="s">
        <x:v>93</x:v>
      </x:c>
      <x:c r="B221" t="s">
        <x:v>15</x:v>
      </x:c>
      <x:c r="C221" s="1">
        <x:v>473924.83000000007</x:v>
      </x:c>
      <x:c r="D221" s="1">
        <x:v>401909.96</x:v>
      </x:c>
      <x:c r="E221" s="1">
        <x:v>69750.34</x:v>
      </x:c>
      <x:c r="F221" s="1">
        <x:v>2264.5300000000002</x:v>
      </x:c>
      <x:c r="I221">
        <x:v>35</x:v>
      </x:c>
      <x:c r="J221">
        <x:v>21.5</x:v>
      </x:c>
      <x:c r="K221" s="4">
        <x:v>0</x:v>
      </x:c>
      <x:c r="L221" s="2">
        <x:f t="shared" si="64"/>
        <x:v>182799.5772857143</x:v>
      </x:c>
      <x:c r="M221" s="5">
        <x:v>0.58089865917944317</x:v>
      </x:c>
      <x:c r="N221" s="1">
        <x:f t="shared" si="59"/>
        <x:v>106188.02934384043</x:v>
      </x:c>
      <x:c r="O221" s="1">
        <x:f t="shared" si="60"/>
        <x:v>90052.311937447404</x:v>
      </x:c>
      <x:c r="P221" s="1">
        <x:f t="shared" si="61"/>
        <x:v>15628.324750705393</x:v>
      </x:c>
      <x:c r="Q221" s="1">
        <x:f t="shared" si="62"/>
        <x:v>507.39265568762659</x:v>
      </x:c>
      <x:c r="R221" s="1">
        <x:f t="shared" si="63"/>
        <x:v>0</x:v>
      </x:c>
      <x:c r="T221" s="5">
        <x:f t="shared" si="58"/>
        <x:v>0</x:v>
      </x:c>
    </x:row>
    <x:row r="222" spans="1:20">
      <x:c r="A222" t="s">
        <x:v>93</x:v>
      </x:c>
      <x:c r="B222" t="s">
        <x:v>14</x:v>
      </x:c>
      <x:c r="C222" s="1">
        <x:v>1896278.54</x:v>
      </x:c>
      <x:c r="D222" s="1">
        <x:v>1379355.69</x:v>
      </x:c>
      <x:c r="E222" s="1">
        <x:v>446711.74</x:v>
      </x:c>
      <x:c r="F222" s="1">
        <x:v>70211.109999999986</x:v>
      </x:c>
      <x:c r="I222">
        <x:v>35</x:v>
      </x:c>
      <x:c r="J222">
        <x:v>20.5</x:v>
      </x:c>
      <x:c r="K222" s="4">
        <x:v>0</x:v>
      </x:c>
      <x:c r="L222" s="2">
        <x:f t="shared" si="64"/>
        <x:v>785601.10942857142</x:v>
      </x:c>
      <x:c r="M222" s="5">
        <x:v>0.58089865917944317</x:v>
      </x:c>
      <x:c r="N222" s="1">
        <x:f t="shared" si="59"/>
        <x:v>456354.63111694017</x:v>
      </x:c>
      <x:c r="O222" s="1">
        <x:f t="shared" si="60"/>
        <x:v>331953.00363890763</x:v>
      </x:c>
      <x:c r="P222" s="1">
        <x:f t="shared" si="61"/>
        <x:v>107504.76104808236</x:v>
      </x:c>
      <x:c r="Q222" s="1">
        <x:f t="shared" si="62"/>
        <x:v>16896.866429950162</x:v>
      </x:c>
      <x:c r="R222" s="1">
        <x:f t="shared" si="63"/>
        <x:v>0</x:v>
      </x:c>
      <x:c r="T222" s="5">
        <x:f t="shared" si="58"/>
        <x:v>0</x:v>
      </x:c>
    </x:row>
    <x:row r="223" spans="1:20">
      <x:c r="A223" t="s">
        <x:v>93</x:v>
      </x:c>
      <x:c r="B223" t="s">
        <x:v>30</x:v>
      </x:c>
      <x:c r="C223" s="1">
        <x:v>326178.3899999999</x:v>
      </x:c>
      <x:c r="D223" s="1">
        <x:v>147434.85999999996</x:v>
      </x:c>
      <x:c r="E223" s="1">
        <x:v>165070.27999999991</x:v>
      </x:c>
      <x:c r="F223" s="1">
        <x:v>13673.25</x:v>
      </x:c>
      <x:c r="I223">
        <x:v>35</x:v>
      </x:c>
      <x:c r="J223">
        <x:v>19.5</x:v>
      </x:c>
      <x:c r="K223" s="4">
        <x:v>0</x:v>
      </x:c>
      <x:c r="L223" s="2">
        <x:f t="shared" si="64"/>
        <x:v>144450.42985714279</x:v>
      </x:c>
      <x:c r="M223" s="5">
        <x:v>0.58089865917944317</x:v>
      </x:c>
      <x:c r="N223" s="1">
        <x:f t="shared" si="59"/>
        <x:v>83911.061021908448</x:v>
      </x:c>
      <x:c r="O223" s="1">
        <x:f t="shared" si="60"/>
        <x:v>37928.37267427965</x:v>
      </x:c>
      <x:c r="P223" s="1">
        <x:f t="shared" si="61"/>
        <x:v>42465.174771337588</x:v>
      </x:c>
      <x:c r="Q223" s="1">
        <x:f t="shared" si="62"/>
        <x:v>3517.5135762912132</x:v>
      </x:c>
      <x:c r="R223" s="1">
        <x:f t="shared" si="63"/>
        <x:v>0</x:v>
      </x:c>
      <x:c r="T223" s="5">
        <x:f t="shared" si="58"/>
        <x:v>0</x:v>
      </x:c>
    </x:row>
    <x:row r="224" spans="1:20">
      <x:c r="A224" t="s">
        <x:v>93</x:v>
      </x:c>
      <x:c r="B224" t="s">
        <x:v>29</x:v>
      </x:c>
      <x:c r="C224" s="1">
        <x:v>615336.87999999989</x:v>
      </x:c>
      <x:c r="D224" s="1">
        <x:v>286647.98000000004</x:v>
      </x:c>
      <x:c r="E224" s="1">
        <x:v>304483.8299999999</x:v>
      </x:c>
      <x:c r="F224" s="1">
        <x:v>24205.069999999996</x:v>
      </x:c>
      <x:c r="I224">
        <x:v>35</x:v>
      </x:c>
      <x:c r="J224">
        <x:v>18.5</x:v>
      </x:c>
      <x:c r="K224" s="4">
        <x:v>0</x:v>
      </x:c>
      <x:c r="L224" s="2">
        <x:f t="shared" si="64"/>
        <x:v>290087.38628571422</x:v>
      </x:c>
      <x:c r="M224" s="5">
        <x:v>0.58089865917944317</x:v>
      </x:c>
      <x:c r="N224" s="1">
        <x:f t="shared" si="59"/>
        <x:v>168511.3737382406</x:v>
      </x:c>
      <x:c r="O224" s="1">
        <x:f t="shared" si="60"/>
        <x:v>78499.18712671948</x:v>
      </x:c>
      <x:c r="P224" s="1">
        <x:f t="shared" si="61"/>
        <x:v>83383.574334730118</x:v>
      </x:c>
      <x:c r="Q224" s="1">
        <x:f t="shared" si="62"/>
        <x:v>6628.6122767910083</x:v>
      </x:c>
      <x:c r="R224" s="1">
        <x:f t="shared" si="63"/>
        <x:v>0</x:v>
      </x:c>
      <x:c r="T224" s="5">
        <x:f t="shared" si="58"/>
        <x:v>0</x:v>
      </x:c>
    </x:row>
    <x:row r="225" spans="1:20">
      <x:c r="A225" t="s">
        <x:v>93</x:v>
      </x:c>
      <x:c r="B225" t="s">
        <x:v>87</x:v>
      </x:c>
      <x:c r="C225" s="1">
        <x:v>9237.14</x:v>
      </x:c>
      <x:c r="D225" s="1">
        <x:v>18025.34</x:v>
      </x:c>
      <x:c r="E225" s="1">
        <x:v>-10123.36</x:v>
      </x:c>
      <x:c r="F225" s="1">
        <x:v>1335.1600000000003</x:v>
      </x:c>
      <x:c r="I225">
        <x:v>35</x:v>
      </x:c>
      <x:c r="J225">
        <x:v>17.5</x:v>
      </x:c>
      <x:c r="K225" s="4">
        <x:v>0</x:v>
      </x:c>
      <x:c r="L225" s="2">
        <x:f t="shared" si="64"/>
        <x:v>4618.57</x:v>
      </x:c>
      <x:c r="M225" s="5">
        <x:v>0.58089865917944317</x:v>
      </x:c>
      <x:c r="N225" s="1">
        <x:f t="shared" si="59"/>
        <x:v>2682.9211203264008</x:v>
      </x:c>
      <x:c r="O225" s="1">
        <x:f t="shared" si="60"/>
        <x:v>5235.4479186267927</x:v>
      </x:c>
      <x:c r="P225" s="1">
        <x:f t="shared" si="61"/>
        <x:v>-2940.3231251954039</x:v>
      </x:c>
      <x:c r="Q225" s="1">
        <x:f t="shared" si="62"/>
        <x:v>387.79632689501278</x:v>
      </x:c>
      <x:c r="R225" s="1">
        <x:f t="shared" si="63"/>
        <x:v>0</x:v>
      </x:c>
      <x:c r="T225" s="5">
        <x:f t="shared" si="58"/>
        <x:v>0</x:v>
      </x:c>
    </x:row>
    <x:row r="226" spans="1:20">
      <x:c r="A226" t="s">
        <x:v>93</x:v>
      </x:c>
      <x:c r="B226" t="s">
        <x:v>86</x:v>
      </x:c>
      <x:c r="C226" s="1">
        <x:v>77349.600000000006</x:v>
      </x:c>
      <x:c r="D226" s="1">
        <x:v>60908.65</x:v>
      </x:c>
      <x:c r="E226" s="1">
        <x:v>9487.9500000000007</x:v>
      </x:c>
      <x:c r="F226" s="1">
        <x:v>6953</x:v>
      </x:c>
      <x:c r="I226">
        <x:v>35</x:v>
      </x:c>
      <x:c r="J226">
        <x:v>16.5</x:v>
      </x:c>
      <x:c r="K226" s="4">
        <x:v>0</x:v>
      </x:c>
      <x:c r="L226" s="2">
        <x:f t="shared" si="64"/>
        <x:v>40884.788571428573</x:v>
      </x:c>
      <x:c r="M226" s="5">
        <x:v>0.58089865917944317</x:v>
      </x:c>
      <x:c r="N226" s="1">
        <x:f t="shared" si="59"/>
        <x:v>23749.91886197788</x:v>
      </x:c>
      <x:c r="O226" s="1">
        <x:f t="shared" si="60"/>
        <x:v>18701.783790641566</x:v>
      </x:c>
      <x:c r="P226" s="1">
        <x:f t="shared" si="61"/>
        <x:v>2913.2412147768446</x:v>
      </x:c>
      <x:c r="Q226" s="1">
        <x:f t="shared" si="62"/>
        <x:v>2134.8938565594676</x:v>
      </x:c>
      <x:c r="R226" s="1">
        <x:f t="shared" si="63"/>
        <x:v>0</x:v>
      </x:c>
      <x:c r="T226" s="5">
        <x:f t="shared" si="58"/>
        <x:v>0</x:v>
      </x:c>
    </x:row>
    <x:row r="227" spans="1:20">
      <x:c r="A227" t="s">
        <x:v>93</x:v>
      </x:c>
      <x:c r="B227" t="s">
        <x:v>28</x:v>
      </x:c>
      <x:c r="C227" s="1">
        <x:v>333270.7</x:v>
      </x:c>
      <x:c r="D227" s="1">
        <x:v>97448.29</x:v>
      </x:c>
      <x:c r="E227" s="1">
        <x:v>216483.21</x:v>
      </x:c>
      <x:c r="F227" s="1">
        <x:v>19339.200000000004</x:v>
      </x:c>
      <x:c r="I227">
        <x:v>35</x:v>
      </x:c>
      <x:c r="J227">
        <x:v>15.5</x:v>
      </x:c>
      <x:c r="K227" s="4">
        <x:v>0</x:v>
      </x:c>
      <x:c r="L227" s="2">
        <x:f t="shared" si="64"/>
        <x:v>185679.39</x:v>
      </x:c>
      <x:c r="M227" s="5">
        <x:v>0.58089865917944317</x:v>
      </x:c>
      <x:c r="N227" s="1">
        <x:f t="shared" si="59"/>
        <x:v>107860.90868825691</x:v>
      </x:c>
      <x:c r="O227" s="1">
        <x:f t="shared" si="60"/>
        <x:v>31538.509414469314</x:v>
      </x:c>
      <x:c r="P227" s="1">
        <x:f t="shared" si="61"/>
        <x:v>70063.392150437299</x:v>
      </x:c>
      <x:c r="Q227" s="1">
        <x:f t="shared" si="62"/>
        <x:v>6259.0071233502922</x:v>
      </x:c>
      <x:c r="R227" s="1">
        <x:f t="shared" si="63"/>
        <x:v>0</x:v>
      </x:c>
      <x:c r="T227" s="5">
        <x:f t="shared" si="58"/>
        <x:v>0</x:v>
      </x:c>
    </x:row>
    <x:row r="228" spans="1:20">
      <x:c r="A228" t="s">
        <x:v>93</x:v>
      </x:c>
      <x:c r="B228" t="s">
        <x:v>85</x:v>
      </x:c>
      <x:c r="C228" s="1">
        <x:v>171437.02</x:v>
      </x:c>
      <x:c r="D228" s="1">
        <x:v>111727.39</x:v>
      </x:c>
      <x:c r="E228" s="1">
        <x:v>52822.28</x:v>
      </x:c>
      <x:c r="F228" s="1">
        <x:v>6887.35</x:v>
      </x:c>
      <x:c r="I228">
        <x:v>35</x:v>
      </x:c>
      <x:c r="J228">
        <x:v>14.5</x:v>
      </x:c>
      <x:c r="K228" s="4">
        <x:v>0</x:v>
      </x:c>
      <x:c r="L228" s="2">
        <x:f t="shared" si="64"/>
        <x:v>100413.1117142857</x:v>
      </x:c>
      <x:c r="M228" s="5">
        <x:v>0.58089865917944317</x:v>
      </x:c>
      <x:c r="N228" s="1">
        <x:f t="shared" si="59"/>
        <x:v>58329.841958864199</x:v>
      </x:c>
      <x:c r="O228" s="1">
        <x:f t="shared" si="60"/>
        <x:v>38014.199040419531</x:v>
      </x:c>
      <x:c r="P228" s="1">
        <x:f t="shared" si="61"/>
        <x:v>17972.286524269224</x:v>
      </x:c>
      <x:c r="Q228" s="1">
        <x:f t="shared" si="62"/>
        <x:v>2343.3563941754433</x:v>
      </x:c>
      <x:c r="R228" s="1">
        <x:f t="shared" si="63"/>
        <x:v>0</x:v>
      </x:c>
      <x:c r="T228" s="5">
        <x:f t="shared" si="58"/>
        <x:v>0</x:v>
      </x:c>
    </x:row>
    <x:row r="229" spans="1:20">
      <x:c r="A229" t="s">
        <x:v>93</x:v>
      </x:c>
      <x:c r="B229" t="s">
        <x:v>27</x:v>
      </x:c>
      <x:c r="C229" s="1">
        <x:v>66694.960000000006</x:v>
      </x:c>
      <x:c r="D229" s="1">
        <x:v>17270.04</x:v>
      </x:c>
      <x:c r="E229" s="1">
        <x:v>47091.390000000007</x:v>
      </x:c>
      <x:c r="F229" s="1">
        <x:v>2333.5300000000002</x:v>
      </x:c>
      <x:c r="I229">
        <x:v>35</x:v>
      </x:c>
      <x:c r="J229">
        <x:v>13.5</x:v>
      </x:c>
      <x:c r="K229" s="4">
        <x:v>0</x:v>
      </x:c>
      <x:c r="L229" s="2">
        <x:f t="shared" si="64"/>
        <x:v>40969.761142857147</x:v>
      </x:c>
      <x:c r="M229" s="5">
        <x:v>0.58089865917944317</x:v>
      </x:c>
      <x:c r="N229" s="1">
        <x:f t="shared" si="59"/>
        <x:v>23799.279314787767</x:v>
      </x:c>
      <x:c r="O229" s="1">
        <x:f t="shared" si="60"/>
        <x:v>6162.6021776991438</x:v>
      </x:c>
      <x:c r="P229" s="1">
        <x:f t="shared" si="61"/>
        <x:v>16803.985547507691</x:v>
      </x:c>
      <x:c r="Q229" s="1">
        <x:f t="shared" si="62"/>
        <x:v>832.69158958093237</x:v>
      </x:c>
      <x:c r="R229" s="1">
        <x:f t="shared" si="63"/>
        <x:v>0</x:v>
      </x:c>
      <x:c r="T229" s="5">
        <x:f t="shared" si="58"/>
        <x:v>0</x:v>
      </x:c>
    </x:row>
    <x:row r="230" spans="1:20">
      <x:c r="A230" t="s">
        <x:v>93</x:v>
      </x:c>
      <x:c r="B230" t="s">
        <x:v>84</x:v>
      </x:c>
      <x:c r="C230" s="1">
        <x:v>326809.87999999995</x:v>
      </x:c>
      <x:c r="D230" s="1">
        <x:v>81664.31</x:v>
      </x:c>
      <x:c r="E230" s="1">
        <x:v>222384.25999999995</x:v>
      </x:c>
      <x:c r="F230" s="1">
        <x:v>22761.310000000005</x:v>
      </x:c>
      <x:c r="I230">
        <x:v>35</x:v>
      </x:c>
      <x:c r="J230">
        <x:v>12.5</x:v>
      </x:c>
      <x:c r="K230" s="4">
        <x:v>0</x:v>
      </x:c>
      <x:c r="L230" s="2">
        <x:f t="shared" si="64"/>
        <x:v>210092.06571428565</x:v>
      </x:c>
      <x:c r="M230" s="5">
        <x:v>0.58089865917944317</x:v>
      </x:c>
      <x:c r="N230" s="1">
        <x:f t="shared" si="59"/>
        <x:v>122042.199277668</x:v>
      </x:c>
      <x:c r="O230" s="1">
        <x:f t="shared" si="60"/>
        <x:v>30496.299545452104</x:v>
      </x:c>
      <x:c r="P230" s="1">
        <x:f t="shared" si="61"/>
        <x:v>83046.03329353669</x:v>
      </x:c>
      <x:c r="Q230" s="1">
        <x:f t="shared" si="62"/>
        <x:v>8499.8664386792043</x:v>
      </x:c>
      <x:c r="R230" s="1">
        <x:f t="shared" si="63"/>
        <x:v>0</x:v>
      </x:c>
      <x:c r="T230" s="5">
        <x:f t="shared" si="58"/>
        <x:v>0</x:v>
      </x:c>
    </x:row>
    <x:row r="231" spans="1:20">
      <x:c r="A231" t="s">
        <x:v>93</x:v>
      </x:c>
      <x:c r="B231" t="s">
        <x:v>26</x:v>
      </x:c>
      <x:c r="C231" s="1">
        <x:v>204382.76</x:v>
      </x:c>
      <x:c r="D231" s="1">
        <x:v>70706.86</x:v>
      </x:c>
      <x:c r="E231" s="1">
        <x:v>116946.96000000002</x:v>
      </x:c>
      <x:c r="F231" s="1">
        <x:v>16728.940000000002</x:v>
      </x:c>
      <x:c r="I231">
        <x:v>35</x:v>
      </x:c>
      <x:c r="J231">
        <x:v>11.5</x:v>
      </x:c>
      <x:c r="K231" s="4">
        <x:v>0</x:v>
      </x:c>
      <x:c r="L231" s="2">
        <x:f t="shared" si="64"/>
        <x:v>137228.42457142859</x:v>
      </x:c>
      <x:c r="M231" s="5">
        <x:v>0.58089865917944317</x:v>
      </x:c>
      <x:c r="N231" s="1">
        <x:f t="shared" si="59"/>
        <x:v>79715.807834850217</x:v>
      </x:c>
      <x:c r="O231" s="1">
        <x:f t="shared" si="60"/>
        <x:v>27577.93497047235</x:v>
      </x:c>
      <x:c r="P231" s="1">
        <x:f t="shared" si="61"/>
        <x:v>45613.051659689481</x:v>
      </x:c>
      <x:c r="Q231" s="1">
        <x:f t="shared" si="62"/>
        <x:v>6524.8212046883955</x:v>
      </x:c>
      <x:c r="R231" s="1">
        <x:f t="shared" si="63"/>
        <x:v>0</x:v>
      </x:c>
      <x:c r="T231" s="5">
        <x:f t="shared" si="58"/>
        <x:v>0</x:v>
      </x:c>
    </x:row>
    <x:row r="232" spans="1:20">
      <x:c r="A232" t="s">
        <x:v>93</x:v>
      </x:c>
      <x:c r="B232" t="s">
        <x:v>25</x:v>
      </x:c>
      <x:c r="C232" s="1">
        <x:v>193275.26999999996</x:v>
      </x:c>
      <x:c r="D232" s="1">
        <x:v>178452.40999999997</x:v>
      </x:c>
      <x:c r="E232" s="1">
        <x:v>13149.030000000002</x:v>
      </x:c>
      <x:c r="F232" s="1">
        <x:v>1673.83</x:v>
      </x:c>
      <x:c r="I232">
        <x:v>35</x:v>
      </x:c>
      <x:c r="J232">
        <x:v>10.5</x:v>
      </x:c>
      <x:c r="K232" s="4">
        <x:v>0</x:v>
      </x:c>
      <x:c r="L232" s="2">
        <x:f t="shared" si="64"/>
        <x:v>135292.68899999995</x:v>
      </x:c>
      <x:c r="M232" s="5">
        <x:v>0.58089865917944317</x:v>
      </x:c>
      <x:c r="N232" s="1">
        <x:f t="shared" si="59"/>
        <x:v>78591.341636881378</x:v>
      </x:c>
      <x:c r="O232" s="1">
        <x:f t="shared" si="60"/>
        <x:v>72563.935987438163</x:v>
      </x:c>
      <x:c r="P232" s="1">
        <x:f t="shared" si="61"/>
        <x:v>5346.7777275571925</x:v>
      </x:c>
      <x:c r="Q232" s="1">
        <x:f t="shared" si="62"/>
        <x:v>680.62792188602907</x:v>
      </x:c>
      <x:c r="R232" s="1">
        <x:f t="shared" si="63"/>
        <x:v>0</x:v>
      </x:c>
      <x:c r="T232" s="5">
        <x:f t="shared" si="58"/>
        <x:v>0</x:v>
      </x:c>
    </x:row>
    <x:row r="233" spans="1:20">
      <x:c r="A233" t="s">
        <x:v>93</x:v>
      </x:c>
      <x:c r="B233" t="s">
        <x:v>24</x:v>
      </x:c>
      <x:c r="C233" s="1">
        <x:v>178313.53</x:v>
      </x:c>
      <x:c r="D233" s="1">
        <x:v>80365.95</x:v>
      </x:c>
      <x:c r="E233" s="1">
        <x:v>87699.549999999988</x:v>
      </x:c>
      <x:c r="F233" s="1">
        <x:v>10248.029999999999</x:v>
      </x:c>
      <x:c r="I233">
        <x:v>35</x:v>
      </x:c>
      <x:c r="J233">
        <x:v>9.5</x:v>
      </x:c>
      <x:c r="K233" s="4">
        <x:v>0</x:v>
      </x:c>
      <x:c r="L233" s="2">
        <x:f t="shared" si="64"/>
        <x:v>129914.14328571429</x:v>
      </x:c>
      <x:c r="M233" s="5">
        <x:v>0.58089865917944317</x:v>
      </x:c>
      <x:c r="N233" s="1">
        <x:f t="shared" si="59"/>
        <x:v>75466.951643117485</x:v>
      </x:c>
      <x:c r="O233" s="1">
        <x:f t="shared" si="60"/>
        <x:v>34012.972893325576</x:v>
      </x:c>
      <x:c r="P233" s="1">
        <x:f t="shared" si="61"/>
        <x:v>37116.744304109532</x:v>
      </x:c>
      <x:c r="Q233" s="1">
        <x:f t="shared" si="62"/>
        <x:v>4337.234445682373</x:v>
      </x:c>
      <x:c r="R233" s="1">
        <x:f t="shared" si="63"/>
        <x:v>0</x:v>
      </x:c>
      <x:c r="T233" s="5">
        <x:f t="shared" si="58"/>
        <x:v>0</x:v>
      </x:c>
    </x:row>
    <x:row r="234" spans="1:20">
      <x:c r="A234" t="s">
        <x:v>93</x:v>
      </x:c>
      <x:c r="B234" t="s">
        <x:v>83</x:v>
      </x:c>
      <x:c r="C234" s="1">
        <x:v>348050.54000000004</x:v>
      </x:c>
      <x:c r="D234" s="1">
        <x:v>282421.39</x:v>
      </x:c>
      <x:c r="E234" s="1">
        <x:v>59469.499999999985</x:v>
      </x:c>
      <x:c r="F234" s="1">
        <x:v>6159.65</x:v>
      </x:c>
      <x:c r="I234">
        <x:v>35</x:v>
      </x:c>
      <x:c r="J234">
        <x:v>8.5</x:v>
      </x:c>
      <x:c r="K234" s="4">
        <x:v>0</x:v>
      </x:c>
      <x:c r="L234" s="2">
        <x:f t="shared" si="64"/>
        <x:v>263523.98028571432</x:v>
      </x:c>
      <x:c r="M234" s="5">
        <x:v>0.58089865917944317</x:v>
      </x:c>
      <x:c r="N234" s="1">
        <x:f t="shared" si="59"/>
        <x:v>153080.72680960147</x:v>
      </x:c>
      <x:c r="O234" s="1">
        <x:f t="shared" si="60"/>
        <x:v>124215.49941505022</x:v>
      </x:c>
      <x:c r="P234" s="1">
        <x:f t="shared" si="61"/>
        <x:v>26156.069986283004</x:v>
      </x:c>
      <x:c r="Q234" s="1">
        <x:f t="shared" si="62"/>
        <x:v>2709.1574082682405</x:v>
      </x:c>
      <x:c r="R234" s="1">
        <x:f t="shared" si="63"/>
        <x:v>0</x:v>
      </x:c>
      <x:c r="T234" s="5">
        <x:f t="shared" si="58"/>
        <x:v>0</x:v>
      </x:c>
    </x:row>
    <x:row r="235" spans="1:20">
      <x:c r="A235" t="s">
        <x:v>93</x:v>
      </x:c>
      <x:c r="B235" t="s">
        <x:v>82</x:v>
      </x:c>
      <x:c r="C235" s="1">
        <x:v>94213.55</x:v>
      </x:c>
      <x:c r="D235" s="1">
        <x:v>48907.020000000004</x:v>
      </x:c>
      <x:c r="E235" s="1">
        <x:v>44256.709999999992</x:v>
      </x:c>
      <x:c r="F235" s="1">
        <x:v>1049.82</x:v>
      </x:c>
      <x:c r="I235">
        <x:v>35</x:v>
      </x:c>
      <x:c r="J235">
        <x:v>7.5</x:v>
      </x:c>
      <x:c r="K235" s="4">
        <x:v>0</x:v>
      </x:c>
      <x:c r="L235" s="2">
        <x:f t="shared" si="64"/>
        <x:v>74024.932142857142</x:v>
      </x:c>
      <x:c r="M235" s="5">
        <x:v>0.58089865917944317</x:v>
      </x:c>
      <x:c r="N235" s="1">
        <x:f t="shared" si="59"/>
        <x:v>43000.983827634976</x:v>
      </x:c>
      <x:c r="O235" s="1">
        <x:f t="shared" si="60"/>
        <x:v>22322.160411934594</x:v>
      </x:c>
      <x:c r="P235" s="1">
        <x:f t="shared" si="61"/>
        <x:v>20199.664177544852</x:v>
      </x:c>
      <x:c r="Q235" s="1">
        <x:f t="shared" si="62"/>
        <x:v>479.15923815552804</x:v>
      </x:c>
      <x:c r="R235" s="1">
        <x:f t="shared" si="63"/>
        <x:v>0</x:v>
      </x:c>
      <x:c r="T235" s="5">
        <x:f t="shared" si="58"/>
        <x:v>0</x:v>
      </x:c>
    </x:row>
    <x:row r="236" spans="1:20">
      <x:c r="A236" t="s">
        <x:v>93</x:v>
      </x:c>
      <x:c r="B236" t="s">
        <x:v>23</x:v>
      </x:c>
      <x:c r="C236" s="1">
        <x:v>1208980.8</x:v>
      </x:c>
      <x:c r="D236" s="1">
        <x:v>245835.59</x:v>
      </x:c>
      <x:c r="E236" s="1">
        <x:v>926551.65</x:v>
      </x:c>
      <x:c r="F236" s="1">
        <x:v>36593.560000000005</x:v>
      </x:c>
      <x:c r="I236">
        <x:v>35</x:v>
      </x:c>
      <x:c r="J236">
        <x:v>6.5</x:v>
      </x:c>
      <x:c r="K236" s="4">
        <x:v>0</x:v>
      </x:c>
      <x:c r="L236" s="2">
        <x:f t="shared" si="64"/>
        <x:v>984455.79428571428</x:v>
      </x:c>
      <x:c r="M236" s="5">
        <x:v>0.58089865917944317</x:v>
      </x:c>
      <x:c r="N236" s="1">
        <x:f t="shared" si="59"/>
        <x:v>571869.0509220052</x:v>
      </x:c>
      <x:c r="O236" s="1">
        <x:f t="shared" si="60"/>
        <x:v>116284.53118209254</x:v>
      </x:c>
      <x:c r="P236" s="1">
        <x:f t="shared" si="61"/>
        <x:v>438275.12621847918</x:v>
      </x:c>
      <x:c r="Q236" s="1">
        <x:f t="shared" si="62"/>
        <x:v>17309.393521433471</x:v>
      </x:c>
      <x:c r="R236" s="1">
        <x:f t="shared" si="63"/>
        <x:v>0</x:v>
      </x:c>
      <x:c r="T236" s="5">
        <x:f t="shared" si="58"/>
        <x:v>0</x:v>
      </x:c>
    </x:row>
    <x:row r="237" spans="1:20">
      <x:c r="A237" t="s">
        <x:v>93</x:v>
      </x:c>
      <x:c r="B237" t="s">
        <x:v>22</x:v>
      </x:c>
      <x:c r="C237" s="1">
        <x:v>723193.90999999968</x:v>
      </x:c>
      <x:c r="D237" s="1">
        <x:v>136893.09</x:v>
      </x:c>
      <x:c r="E237" s="1">
        <x:v>556999.58999999973</x:v>
      </x:c>
      <x:c r="F237" s="1">
        <x:v>29301.23</x:v>
      </x:c>
      <x:c r="I237">
        <x:v>35</x:v>
      </x:c>
      <x:c r="J237">
        <x:v>5.5</x:v>
      </x:c>
      <x:c r="K237" s="4">
        <x:v>0</x:v>
      </x:c>
      <x:c r="L237" s="2">
        <x:f t="shared" si="64"/>
        <x:v>609549.15271428542</x:v>
      </x:c>
      <x:c r="M237" s="5">
        <x:v>0.58089865917944317</x:v>
      </x:c>
      <x:c r="N237" s="1">
        <x:f t="shared" si="59"/>
        <x:v>354086.28551569406</x:v>
      </x:c>
      <x:c r="O237" s="1">
        <x:f t="shared" si="60"/>
        <x:v>67024.853335484557</x:v>
      </x:c>
      <x:c r="P237" s="1">
        <x:f t="shared" si="61"/>
        <x:v>272715.12263822096</x:v>
      </x:c>
      <x:c r="Q237" s="1">
        <x:f t="shared" si="62"/>
        <x:v>14346.309541988572</x:v>
      </x:c>
      <x:c r="R237" s="1">
        <x:f t="shared" si="63"/>
        <x:v>0</x:v>
      </x:c>
      <x:c r="T237" s="5">
        <x:f t="shared" si="58"/>
        <x:v>0</x:v>
      </x:c>
    </x:row>
    <x:row r="238" spans="1:20">
      <x:c r="A238" t="s">
        <x:v>93</x:v>
      </x:c>
      <x:c r="B238" t="s">
        <x:v>81</x:v>
      </x:c>
      <x:c r="C238" s="1">
        <x:v>1654442.6500000004</x:v>
      </x:c>
      <x:c r="D238" s="1">
        <x:v>583781.07000000007</x:v>
      </x:c>
      <x:c r="E238" s="1">
        <x:v>1016291.5800000002</x:v>
      </x:c>
      <x:c r="F238" s="1">
        <x:v>54370</x:v>
      </x:c>
      <x:c r="I238">
        <x:v>35</x:v>
      </x:c>
      <x:c r="J238">
        <x:v>4.5</x:v>
      </x:c>
      <x:c r="K238" s="4">
        <x:v>0</x:v>
      </x:c>
      <x:c r="L238" s="2">
        <x:f t="shared" si="64"/>
        <x:v>1441728.5950000004</x:v>
      </x:c>
      <x:c r="M238" s="5">
        <x:v>0.58089865917944317</x:v>
      </x:c>
      <x:c r="N238" s="1">
        <x:f t="shared" si="59"/>
        <x:v>837498.2077361627</x:v>
      </x:c>
      <x:c r="O238" s="1">
        <x:f t="shared" si="60"/>
        <x:v>295516.80128368264</x:v>
      </x:c>
      <x:c r="P238" s="1">
        <x:f t="shared" si="61"/>
        <x:v>514458.67693712621</x:v>
      </x:c>
      <x:c r="Q238" s="1">
        <x:f t="shared" si="62"/>
        <x:v>27522.7295153538</x:v>
      </x:c>
      <x:c r="R238" s="1">
        <x:f t="shared" si="63"/>
        <x:v>0</x:v>
      </x:c>
      <x:c r="T238" s="5">
        <x:f t="shared" si="58"/>
        <x:v>0</x:v>
      </x:c>
    </x:row>
    <x:row r="239" spans="1:20">
      <x:c r="A239" t="s">
        <x:v>93</x:v>
      </x:c>
      <x:c r="B239" t="s">
        <x:v>80</x:v>
      </x:c>
      <x:c r="C239" s="1">
        <x:v>432039.36999999994</x:v>
      </x:c>
      <x:c r="D239" s="1">
        <x:v>88795.37000000001</x:v>
      </x:c>
      <x:c r="E239" s="1">
        <x:v>322662.89999999997</x:v>
      </x:c>
      <x:c r="F239" s="1">
        <x:v>20581.100000000002</x:v>
      </x:c>
      <x:c r="I239">
        <x:v>35</x:v>
      </x:c>
      <x:c r="J239">
        <x:v>3.5</x:v>
      </x:c>
      <x:c r="K239" s="4">
        <x:v>0</x:v>
      </x:c>
      <x:c r="L239" s="2">
        <x:f t="shared" si="64"/>
        <x:v>388835.43299999996</x:v>
      </x:c>
      <x:c r="M239" s="5">
        <x:v>0.58089865917944317</x:v>
      </x:c>
      <x:c r="N239" s="1">
        <x:f t="shared" si="59"/>
        <x:v>225873.9816711582</x:v>
      </x:c>
      <x:c r="O239" s="1">
        <x:f t="shared" si="60"/>
        <x:v>46423.000236908309</x:v>
      </x:c>
      <x:c r="P239" s="1">
        <x:f t="shared" si="61"/>
        <x:v>168691.00137925567</x:v>
      </x:c>
      <x:c r="Q239" s="1">
        <x:f t="shared" si="62"/>
        <x:v>10759.980054994236</x:v>
      </x:c>
      <x:c r="R239" s="1">
        <x:f t="shared" si="63"/>
        <x:v>0</x:v>
      </x:c>
      <x:c r="T239" s="5">
        <x:f t="shared" si="58"/>
        <x:v>0</x:v>
      </x:c>
    </x:row>
    <x:row r="240" spans="1:20">
      <x:c r="A240" t="s">
        <x:v>93</x:v>
      </x:c>
      <x:c r="B240" t="s">
        <x:v>79</x:v>
      </x:c>
      <x:c r="C240" s="1">
        <x:v>206234.96</x:v>
      </x:c>
      <x:c r="D240" s="1">
        <x:v>1444.42</x:v>
      </x:c>
      <x:c r="E240" s="1">
        <x:v>188569.65999999997</x:v>
      </x:c>
      <x:c r="F240" s="1">
        <x:v>16220.88</x:v>
      </x:c>
      <x:c r="I240">
        <x:v>35</x:v>
      </x:c>
      <x:c r="J240">
        <x:v>2.5</x:v>
      </x:c>
      <x:c r="K240" s="4">
        <x:v>0</x:v>
      </x:c>
      <x:c r="L240" s="2">
        <x:f t="shared" si="64"/>
        <x:v>191503.89142857143</x:v>
      </x:c>
      <x:c r="M240" s="5">
        <x:v>0.58089865917944317</x:v>
      </x:c>
      <x:c r="N240" s="1">
        <x:f t="shared" si="59"/>
        <x:v>111244.3537585028</x:v>
      </x:c>
      <x:c r="O240" s="1">
        <x:f t="shared" si="60"/>
        <x:v>779.12866691397335</x:v>
      </x:c>
      <x:c r="P240" s="1">
        <x:f t="shared" si="61"/>
        <x:v>101715.58675192893</x:v>
      </x:c>
      <x:c r="Q240" s="1">
        <x:f t="shared" si="62"/>
        <x:v>8749.6383396598849</x:v>
      </x:c>
      <x:c r="R240" s="1">
        <x:f t="shared" si="63"/>
        <x:v>0</x:v>
      </x:c>
      <x:c r="T240" s="5">
        <x:f t="shared" si="58"/>
        <x:v>0</x:v>
      </x:c>
    </x:row>
    <x:row r="241" spans="1:20">
      <x:c r="A241" t="s">
        <x:v>93</x:v>
      </x:c>
      <x:c r="B241" t="s">
        <x:v>41</x:v>
      </x:c>
      <x:c r="C241" s="1">
        <x:v>350630.17000000004</x:v>
      </x:c>
      <x:c r="D241" s="1">
        <x:v>83437.650000000009</x:v>
      </x:c>
      <x:c r="E241" s="1">
        <x:v>246231.47000000006</x:v>
      </x:c>
      <x:c r="F241" s="1">
        <x:v>20961.050000000003</x:v>
      </x:c>
      <x:c r="I241">
        <x:v>35</x:v>
      </x:c>
      <x:c r="J241">
        <x:v>1.5</x:v>
      </x:c>
      <x:c r="K241" s="4">
        <x:v>0</x:v>
      </x:c>
      <x:c r="L241" s="2">
        <x:f t="shared" si="64"/>
        <x:v>335603.16271428578</x:v>
      </x:c>
      <x:c r="M241" s="5">
        <x:v>0.58089865917944317</x:v>
      </x:c>
      <x:c r="N241" s="1">
        <x:f t="shared" si="59"/>
        <x:v>194951.42723710911</x:v>
      </x:c>
      <x:c r="O241" s="1">
        <x:f t="shared" si="60"/>
        <x:v>46391.583909651519</x:v>
      </x:c>
      <x:c r="P241" s="1">
        <x:f t="shared" si="61"/>
        <x:v>136905.43659489264</x:v>
      </x:c>
      <x:c r="Q241" s="1">
        <x:f t="shared" si="62"/>
        <x:v>11654.406732564987</x:v>
      </x:c>
      <x:c r="R241" s="1">
        <x:f t="shared" si="63"/>
        <x:v>0</x:v>
      </x:c>
      <x:c r="T241" s="5">
        <x:f t="shared" si="58"/>
        <x:v>0</x:v>
      </x:c>
    </x:row>
    <x:row r="242" spans="1:20">
      <x:c r="A242" t="s">
        <x:v>93</x:v>
      </x:c>
      <x:c r="B242" t="s">
        <x:v>40</x:v>
      </x:c>
      <x:c r="C242" s="1">
        <x:v>247662.69000000003</x:v>
      </x:c>
      <x:c r="D242" s="1">
        <x:v>56426.459999999992</x:v>
      </x:c>
      <x:c r="E242" s="1">
        <x:v>182574.51000000004</x:v>
      </x:c>
      <x:c r="F242" s="1">
        <x:v>8661.7199999999993</x:v>
      </x:c>
      <x:c r="I242">
        <x:v>35</x:v>
      </x:c>
      <x:c r="J242">
        <x:v>0.5</x:v>
      </x:c>
      <x:c r="K242" s="4">
        <x:v>0</x:v>
      </x:c>
      <x:c r="L242" s="2">
        <x:f t="shared" si="64"/>
        <x:v>244124.65157142861</x:v>
      </x:c>
      <x:c r="M242" s="5">
        <x:v>0.58089865917944317</x:v>
      </x:c>
      <x:c r="N242" s="1">
        <x:f t="shared" si="59"/>
        <x:v>141811.68277049161</x:v>
      </x:c>
      <x:c r="O242" s="1">
        <x:f t="shared" si="60"/>
        <x:v>32309.797028296154</x:v>
      </x:c>
      <x:c r="P242" s="1">
        <x:f t="shared" si="61"/>
        <x:v>104542.18394421037</x:v>
      </x:c>
      <x:c r="Q242" s="1">
        <x:f t="shared" si="62"/>
        <x:v>4959.7017979850834</x:v>
      </x:c>
      <x:c r="R242" s="1">
        <x:f t="shared" si="63"/>
        <x:v>0</x:v>
      </x:c>
      <x:c r="T242" s="5">
        <x:f t="shared" si="58"/>
        <x:v>0</x:v>
      </x:c>
    </x:row>
    <x:row r="243" spans="1:20">
      <x:c r="A243" t="s">
        <x:v>94</x:v>
      </x:c>
      <x:c r="B243" t="s">
        <x:v>7</x:v>
      </x:c>
      <x:c r="C243" s="1">
        <x:v>2433230.6900000009</x:v>
      </x:c>
      <x:c r="D243" s="1">
        <x:v>878560.01</x:v>
      </x:c>
      <x:c r="E243" s="1">
        <x:v>1453419.860000001</x:v>
      </x:c>
      <x:c r="F243" s="1">
        <x:v>101250.82</x:v>
      </x:c>
      <x:c r="I243">
        <x:v>10</x:v>
      </x:c>
      <x:c r="J243">
        <x:v>9.5</x:v>
      </x:c>
      <x:c r="K243" s="4">
        <x:v>0</x:v>
      </x:c>
      <x:c r="L243" s="2">
        <x:f t="shared" si="64"/>
        <x:v>121661.53450000015</x:v>
      </x:c>
      <x:c r="M243" s="5">
        <x:v>0.58089865917944317</x:v>
      </x:c>
      <x:c r="N243" s="1">
        <x:f t="shared" si="59"/>
        <x:v>70673.022264763655</x:v>
      </x:c>
      <x:c r="O243" s="1">
        <x:f t="shared" si="60"/>
        <x:v>25517.716590883931</x:v>
      </x:c>
      <x:c r="P243" s="1">
        <x:f t="shared" si="61"/>
        <x:v>42214.482394938765</x:v>
      </x:c>
      <x:c r="Q243" s="1">
        <x:f t="shared" si="62"/>
        <x:v>2940.8232789409599</x:v>
      </x:c>
      <x:c r="R243" s="1">
        <x:f t="shared" si="63"/>
        <x:v>0</x:v>
      </x:c>
      <x:c r="T243" s="5">
        <x:f t="shared" si="58"/>
        <x:v>0</x:v>
      </x:c>
    </x:row>
    <x:row r="244" spans="1:20">
      <x:c r="A244" t="s">
        <x:v>94</x:v>
      </x:c>
      <x:c r="B244" t="s">
        <x:v>6</x:v>
      </x:c>
      <x:c r="C244" s="1">
        <x:v>2107403.9599999995</x:v>
      </x:c>
      <x:c r="D244" s="1">
        <x:v>581819.78999999992</x:v>
      </x:c>
      <x:c r="E244" s="1">
        <x:v>1443517.1999999995</x:v>
      </x:c>
      <x:c r="F244" s="1">
        <x:v>82066.97</x:v>
      </x:c>
      <x:c r="I244">
        <x:v>10</x:v>
      </x:c>
      <x:c r="J244">
        <x:v>8.5</x:v>
      </x:c>
      <x:c r="K244" s="4">
        <x:v>0</x:v>
      </x:c>
      <x:c r="L244" s="2">
        <x:f t="shared" si="64"/>
        <x:v>316110.59399999998</x:v>
      </x:c>
      <x:c r="M244" s="5">
        <x:v>0.58089865917944317</x:v>
      </x:c>
      <x:c r="N244" s="1">
        <x:f t="shared" si="59"/>
        <x:v>183628.22020701732</x:v>
      </x:c>
      <x:c r="O244" s="1">
        <x:f t="shared" si="60"/>
        <x:v>50696.75038425978</x:v>
      </x:c>
      <x:c r="P244" s="1">
        <x:f t="shared" si="61"/>
        <x:v>125780.5808973696</x:v>
      </x:c>
      <x:c r="Q244" s="1">
        <x:f t="shared" si="62"/>
        <x:v>7150.8889253879397</x:v>
      </x:c>
      <x:c r="R244" s="1">
        <x:f t="shared" si="63"/>
        <x:v>0</x:v>
      </x:c>
      <x:c r="T244" s="5">
        <x:f t="shared" si="58"/>
        <x:v>0</x:v>
      </x:c>
    </x:row>
    <x:row r="245" spans="1:20">
      <x:c r="A245" t="s">
        <x:v>94</x:v>
      </x:c>
      <x:c r="B245" t="s">
        <x:v>5</x:v>
      </x:c>
      <x:c r="C245" s="1">
        <x:v>2277063.89</x:v>
      </x:c>
      <x:c r="D245" s="1">
        <x:v>1051834.5900000001</x:v>
      </x:c>
      <x:c r="E245" s="1">
        <x:v>1163063.2</x:v>
      </x:c>
      <x:c r="F245" s="1">
        <x:v>62166.099999999991</x:v>
      </x:c>
      <x:c r="I245">
        <x:v>10</x:v>
      </x:c>
      <x:c r="J245">
        <x:v>7.5</x:v>
      </x:c>
      <x:c r="K245" s="4">
        <x:v>0</x:v>
      </x:c>
      <x:c r="L245" s="2">
        <x:f t="shared" si="64"/>
        <x:v>569265.97250000003</x:v>
      </x:c>
      <x:c r="M245" s="5">
        <x:v>0.58089865917944317</x:v>
      </x:c>
      <x:c r="N245" s="1">
        <x:f t="shared" si="59"/>
        <x:v>330685.84014173178</x:v>
      </x:c>
      <x:c r="O245" s="1">
        <x:f t="shared" si="60"/>
        <x:v>152752.32575238985</x:v>
      </x:c>
      <x:c r="P245" s="1">
        <x:f t="shared" si="61"/>
        <x:v>168905.46335523814</x:v>
      </x:c>
      <x:c r="Q245" s="1">
        <x:f t="shared" si="62"/>
        <x:v>9028.0510341037934</x:v>
      </x:c>
      <x:c r="R245" s="1">
        <x:f t="shared" si="63"/>
        <x:v>0</x:v>
      </x:c>
      <x:c r="T245" s="5">
        <x:f t="shared" si="58"/>
        <x:v>0</x:v>
      </x:c>
    </x:row>
    <x:row r="246" spans="1:20">
      <x:c r="A246" t="s">
        <x:v>94</x:v>
      </x:c>
      <x:c r="B246" t="s">
        <x:v>4</x:v>
      </x:c>
      <x:c r="C246" s="1">
        <x:v>2323822.5100000002</x:v>
      </x:c>
      <x:c r="D246" s="1">
        <x:v>988170.23000000033</x:v>
      </x:c>
      <x:c r="E246" s="1">
        <x:v>1245213.0900000001</x:v>
      </x:c>
      <x:c r="F246" s="1">
        <x:v>90439.189999999988</x:v>
      </x:c>
      <x:c r="I246">
        <x:v>10</x:v>
      </x:c>
      <x:c r="J246">
        <x:v>6.5</x:v>
      </x:c>
      <x:c r="K246" s="4">
        <x:v>0</x:v>
      </x:c>
      <x:c r="L246" s="2">
        <x:f t="shared" si="64"/>
        <x:v>813337.87849999999</x:v>
      </x:c>
      <x:c r="M246" s="5">
        <x:v>0.58089865917944317</x:v>
      </x:c>
      <x:c r="N246" s="1">
        <x:f t="shared" si="59"/>
        <x:v>472466.88308050286</x:v>
      </x:c>
      <x:c r="O246" s="1">
        <x:f t="shared" si="60"/>
        <x:v>200909.36657681473</x:v>
      </x:c>
      <x:c r="P246" s="1">
        <x:f t="shared" si="61"/>
        <x:v>253169.91503079192</x:v>
      </x:c>
      <x:c r="Q246" s="1">
        <x:f t="shared" si="62"/>
        <x:v>18387.601472896211</x:v>
      </x:c>
      <x:c r="R246" s="1">
        <x:f t="shared" si="63"/>
        <x:v>0</x:v>
      </x:c>
      <x:c r="T246" s="5">
        <x:f t="shared" si="58"/>
        <x:v>0</x:v>
      </x:c>
    </x:row>
    <x:row r="247" spans="1:20">
      <x:c r="A247" t="s">
        <x:v>94</x:v>
      </x:c>
      <x:c r="B247" t="s">
        <x:v>3</x:v>
      </x:c>
      <x:c r="C247" s="1">
        <x:v>4462400.78</x:v>
      </x:c>
      <x:c r="D247" s="1">
        <x:v>2675624.5100000007</x:v>
      </x:c>
      <x:c r="E247" s="1">
        <x:v>1675323.9699999995</x:v>
      </x:c>
      <x:c r="F247" s="1">
        <x:v>111452.29999999999</x:v>
      </x:c>
      <x:c r="I247">
        <x:v>10</x:v>
      </x:c>
      <x:c r="J247">
        <x:v>5.5</x:v>
      </x:c>
      <x:c r="K247" s="4">
        <x:v>0</x:v>
      </x:c>
      <x:c r="L247" s="2">
        <x:f t="shared" si="64"/>
        <x:v>2008080.351</x:v>
      </x:c>
      <x:c r="M247" s="5">
        <x:v>0.58089865917944317</x:v>
      </x:c>
      <x:c r="N247" s="1">
        <x:f t="shared" si="59"/>
        <x:v>1166491.1834204856</x:v>
      </x:c>
      <x:c r="O247" s="1">
        <x:f t="shared" si="60"/>
        <x:v>699420.01064699469</x:v>
      </x:c>
      <x:c r="P247" s="1">
        <x:f t="shared" si="61"/>
        <x:v>437937.05153888161</x:v>
      </x:c>
      <x:c r="Q247" s="1">
        <x:f t="shared" si="62"/>
        <x:v>29134.121234609269</x:v>
      </x:c>
      <x:c r="R247" s="1">
        <x:f t="shared" si="63"/>
        <x:v>0</x:v>
      </x:c>
      <x:c r="T247" s="5">
        <x:f t="shared" si="58"/>
        <x:v>0</x:v>
      </x:c>
    </x:row>
    <x:row r="248" spans="1:20">
      <x:c r="A248" t="s">
        <x:v>94</x:v>
      </x:c>
      <x:c r="B248" t="s">
        <x:v>2</x:v>
      </x:c>
      <x:c r="C248" s="1">
        <x:v>881121.41999999958</x:v>
      </x:c>
      <x:c r="D248" s="1">
        <x:v>146514.81</x:v>
      </x:c>
      <x:c r="E248" s="1">
        <x:v>684554.17999999947</x:v>
      </x:c>
      <x:c r="F248" s="1">
        <x:v>50052.43</x:v>
      </x:c>
      <x:c r="I248">
        <x:v>10</x:v>
      </x:c>
      <x:c r="J248">
        <x:v>4.5</x:v>
      </x:c>
      <x:c r="K248" s="4">
        <x:v>0</x:v>
      </x:c>
      <x:c r="L248" s="2">
        <x:f t="shared" si="64"/>
        <x:v>484616.78099999978</x:v>
      </x:c>
      <x:c r="M248" s="5">
        <x:v>0.58089865917944317</x:v>
      </x:c>
      <x:c r="N248" s="1">
        <x:f t="shared" si="59"/>
        <x:v>281513.2382987577</x:v>
      </x:c>
      <x:c r="O248" s="1">
        <x:f t="shared" si="60"/>
        <x:v>46810.641173411976</x:v>
      </x:c>
      <x:c r="P248" s="1">
        <x:f t="shared" si="61"/>
        <x:v>218711.13291372557</x:v>
      </x:c>
      <x:c r="Q248" s="1">
        <x:f t="shared" si="62"/>
        <x:v>15991.464211620114</x:v>
      </x:c>
      <x:c r="R248" s="1">
        <x:f t="shared" si="63"/>
        <x:v>0</x:v>
      </x:c>
      <x:c r="T248" s="5">
        <x:f t="shared" si="58"/>
        <x:v>0</x:v>
      </x:c>
    </x:row>
    <x:row r="249" spans="1:20">
      <x:c r="A249" t="s">
        <x:v>94</x:v>
      </x:c>
      <x:c r="B249" t="s">
        <x:v>1</x:v>
      </x:c>
      <x:c r="C249" s="1">
        <x:v>1468601.4099999997</x:v>
      </x:c>
      <x:c r="D249" s="1">
        <x:v>570204.32999999996</x:v>
      </x:c>
      <x:c r="E249" s="1">
        <x:v>822301.13999999978</x:v>
      </x:c>
      <x:c r="F249" s="1">
        <x:v>76095.940000000031</x:v>
      </x:c>
      <x:c r="I249">
        <x:v>10</x:v>
      </x:c>
      <x:c r="J249">
        <x:v>3.5</x:v>
      </x:c>
      <x:c r="K249" s="4">
        <x:v>0</x:v>
      </x:c>
      <x:c r="L249" s="2">
        <x:f t="shared" si="64"/>
        <x:v>954590.91649999982</x:v>
      </x:c>
      <x:c r="M249" s="5">
        <x:v>0.58089865917944317</x:v>
      </x:c>
      <x:c r="N249" s="1">
        <x:f t="shared" si="59"/>
        <x:v>554520.58345972572</x:v>
      </x:c>
      <x:c r="O249" s="1">
        <x:f t="shared" si="60"/>
        <x:v>215300.10499095326</x:v>
      </x:c>
      <x:c r="P249" s="1">
        <x:f t="shared" si="61"/>
        <x:v>310487.85928402288</x:v>
      </x:c>
      <x:c r="Q249" s="1">
        <x:f t="shared" si="62"/>
        <x:v>28732.619184749597</x:v>
      </x:c>
      <x:c r="R249" s="1">
        <x:f t="shared" si="63"/>
        <x:v>0</x:v>
      </x:c>
      <x:c r="T249" s="5">
        <x:f t="shared" si="58"/>
        <x:v>0</x:v>
      </x:c>
    </x:row>
    <x:row r="250" spans="1:20">
      <x:c r="A250" t="s">
        <x:v>94</x:v>
      </x:c>
      <x:c r="B250" t="s">
        <x:v>21</x:v>
      </x:c>
      <x:c r="C250" s="1">
        <x:v>438430.68999999983</x:v>
      </x:c>
      <x:c r="D250" s="1">
        <x:v>61906.69</x:v>
      </x:c>
      <x:c r="E250" s="1">
        <x:v>350907.58999999979</x:v>
      </x:c>
      <x:c r="F250" s="1">
        <x:v>25616.410000000007</x:v>
      </x:c>
      <x:c r="I250">
        <x:v>10</x:v>
      </x:c>
      <x:c r="J250">
        <x:v>2.5</x:v>
      </x:c>
      <x:c r="K250" s="4">
        <x:v>0</x:v>
      </x:c>
      <x:c r="L250" s="2">
        <x:f t="shared" si="64"/>
        <x:v>328823.01749999984</x:v>
      </x:c>
      <x:c r="M250" s="5">
        <x:v>0.58089865917944317</x:v>
      </x:c>
      <x:c r="N250" s="1">
        <x:f t="shared" si="59"/>
        <x:v>191012.84997308848</x:v>
      </x:c>
      <x:c r="O250" s="1">
        <x:f t="shared" si="60"/>
        <x:v>26971.134911428078</x:v>
      </x:c>
      <x:c r="P250" s="1">
        <x:f t="shared" si="61"/>
        <x:v>152881.31139516723</x:v>
      </x:c>
      <x:c r="Q250" s="1">
        <x:f t="shared" si="62"/>
        <x:v>11160.403666493161</x:v>
      </x:c>
      <x:c r="R250" s="1">
        <x:f t="shared" si="63"/>
        <x:v>0</x:v>
      </x:c>
      <x:c r="T250" s="5">
        <x:f t="shared" si="58"/>
        <x:v>0</x:v>
      </x:c>
    </x:row>
    <x:row r="251" spans="1:20">
      <x:c r="A251" t="s">
        <x:v>94</x:v>
      </x:c>
      <x:c r="B251" t="s">
        <x:v>20</x:v>
      </x:c>
      <x:c r="C251" s="1">
        <x:v>882285.44000000006</x:v>
      </x:c>
      <x:c r="D251" s="1">
        <x:v>83709.53</x:v>
      </x:c>
      <x:c r="E251" s="1">
        <x:v>744678.97000000009</x:v>
      </x:c>
      <x:c r="F251" s="1">
        <x:v>53896.939999999995</x:v>
      </x:c>
      <x:c r="I251">
        <x:v>10</x:v>
      </x:c>
      <x:c r="J251">
        <x:v>1.5</x:v>
      </x:c>
      <x:c r="K251" s="4">
        <x:v>0</x:v>
      </x:c>
      <x:c r="L251" s="2">
        <x:f t="shared" si="64"/>
        <x:v>749942.62400000007</x:v>
      </x:c>
      <x:c r="M251" s="5">
        <x:v>0.58089865917944317</x:v>
      </x:c>
      <x:c r="N251" s="1">
        <x:f t="shared" si="59"/>
        <x:v>435640.66474311333</x:v>
      </x:c>
      <x:c r="O251" s="1">
        <x:f t="shared" si="60"/>
        <x:v>41332.740676910165</x:v>
      </x:c>
      <x:c r="P251" s="1">
        <x:f t="shared" si="61"/>
        <x:v>367695.56291330949</x:v>
      </x:c>
      <x:c r="Q251" s="1">
        <x:f t="shared" si="62"/>
        <x:v>26612.36115289366</x:v>
      </x:c>
      <x:c r="R251" s="1">
        <x:f t="shared" si="63"/>
        <x:v>0</x:v>
      </x:c>
      <x:c r="T251" s="5">
        <x:f t="shared" si="58"/>
        <x:v>0</x:v>
      </x:c>
    </x:row>
    <x:row r="252" spans="1:20">
      <x:c r="A252" t="s">
        <x:v>94</x:v>
      </x:c>
      <x:c r="B252" t="s">
        <x:v>19</x:v>
      </x:c>
      <x:c r="C252" s="1">
        <x:v>1139521.6600000006</x:v>
      </x:c>
      <x:c r="D252" s="1">
        <x:v>123336.10999999997</x:v>
      </x:c>
      <x:c r="E252" s="1">
        <x:v>872239.69000000064</x:v>
      </x:c>
      <x:c r="F252" s="1">
        <x:v>143945.86000000002</x:v>
      </x:c>
      <x:c r="I252">
        <x:v>10</x:v>
      </x:c>
      <x:c r="J252">
        <x:v>0.5</x:v>
      </x:c>
      <x:c r="K252" s="4">
        <x:v>0</x:v>
      </x:c>
      <x:c r="L252" s="2">
        <x:f t="shared" si="64"/>
        <x:v>1082545.5770000005</x:v>
      </x:c>
      <x:c r="M252" s="5">
        <x:v>0.58089865917944317</x:v>
      </x:c>
      <x:c r="N252" s="1">
        <x:f t="shared" si="59"/>
        <x:v>628849.27417993697</x:v>
      </x:c>
      <x:c r="O252" s="1">
        <x:f t="shared" si="60"/>
        <x:v>68063.491881037873</x:v>
      </x:c>
      <x:c r="P252" s="1">
        <x:f t="shared" si="61"/>
        <x:v>481348.72308388888</x:v>
      </x:c>
      <x:c r="Q252" s="1">
        <x:f t="shared" si="62"/>
        <x:v>79437.05921501026</x:v>
      </x:c>
      <x:c r="R252" s="1">
        <x:f t="shared" si="63"/>
        <x:v>0</x:v>
      </x:c>
      <x:c r="T252" s="5">
        <x:f t="shared" si="58"/>
        <x:v>0</x:v>
      </x:c>
    </x:row>
    <x:row r="253" spans="1:20">
      <x:c r="C253" s="1">
        <x:f>SUM(C208:C252)</x:f>
        <x:v>37024550.790000007</x:v>
      </x:c>
      <x:c r="D253" s="1">
        <x:f>SUM(D208:D252)</x:f>
        <x:v>13439737.879999999</x:v>
      </x:c>
      <x:c r="E253" s="1">
        <x:f>SUM(E208:E252)</x:f>
        <x:v>21790023.309999999</x:v>
      </x:c>
      <x:c r="F253" s="1">
        <x:f>SUM(F208:F252)</x:f>
        <x:v>1794789.5999999999</x:v>
      </x:c>
      <x:c r="G253" s="1">
        <x:f t="shared" ref="G253:R253" si="65">SUM(G208:G252)</x:f>
        <x:v>0</x:v>
      </x:c>
      <x:c r="I253" s="1"/>
      <x:c r="J253" s="1"/>
      <x:c r="K253" s="1"/>
      <x:c r="L253" s="1">
        <x:f t="shared" si="65"/>
        <x:v>15975787.107357144</x:v>
      </x:c>
      <x:c r="M253" s="1" t="s">
        <x:v>110</x:v>
      </x:c>
      <x:c r="N253" s="1">
        <x:f>SUM(N208:N252)</x:f>
        <x:v>9280313.3100000005</x:v>
      </x:c>
      <x:c r="O253" s="1">
        <x:f t="shared" si="65"/>
        <x:v>3314113.2643563938</x:v>
      </x:c>
      <x:c r="P253" s="1">
        <x:f t="shared" si="65"/>
        <x:v>5513977.4985529166</x:v>
      </x:c>
      <x:c r="Q253" s="1">
        <x:f t="shared" si="65"/>
        <x:v>452222.54709069012</x:v>
      </x:c>
      <x:c r="R253" s="1">
        <x:f t="shared" si="65"/>
        <x:v>0</x:v>
      </x:c>
      <x:c r="T253" s="5">
        <x:f t="shared" si="58"/>
        <x:v>0</x:v>
      </x:c>
    </x:row>
    <x:row r="254" spans="1:20">
      <x:c r="L254" s="2"/>
      <x:c r="T254" s="5">
        <x:f t="shared" si="58"/>
        <x:v>0</x:v>
      </x:c>
    </x:row>
    <x:row r="255" spans="1:20">
      <x:c r="L255" s="2"/>
      <x:c r="T255" s="5">
        <x:f t="shared" si="58"/>
        <x:v>0</x:v>
      </x:c>
    </x:row>
    <x:row r="256" spans="1:20" s="6" customFormat="1">
      <x:c r="C256" s="8"/>
      <x:c r="D256" s="8"/>
      <x:c r="E256" s="8"/>
      <x:c r="F256" s="8"/>
      <x:c r="G256" s="8"/>
      <x:c r="H256" s="8"/>
      <x:c r="K256" s="7"/>
      <x:c r="L256" s="9"/>
      <x:c r="N256" s="8"/>
      <x:c r="O256" s="8"/>
      <x:c r="P256" s="8"/>
      <x:c r="Q256" s="8"/>
      <x:c r="R256" s="8"/>
      <x:c r="T256" s="10">
        <x:f t="shared" si="58"/>
        <x:v>0</x:v>
      </x:c>
    </x:row>
    <x:row r="257" spans="1:20" s="6" customFormat="1">
      <x:c r="A257" s="6" t="s">
        <x:v>89</x:v>
      </x:c>
      <x:c r="B257" s="6" t="s">
        <x:v>7</x:v>
      </x:c>
      <x:c r="C257" s="8">
        <x:v>3437241.1700000004</x:v>
      </x:c>
      <x:c r="D257" s="8">
        <x:v>1502831.18</x:v>
      </x:c>
      <x:c r="E257" s="8">
        <x:v>1708061.23</x:v>
      </x:c>
      <x:c r="F257" s="8">
        <x:v>226348.76000000007</x:v>
      </x:c>
      <x:c r="G257" s="8"/>
      <x:c r="H257" s="8"/>
      <x:c r="I257" s="6">
        <x:v>25</x:v>
      </x:c>
      <x:c r="J257" s="6">
        <x:v>24.5</x:v>
      </x:c>
      <x:c r="K257" s="7">
        <x:v>0</x:v>
      </x:c>
      <x:c r="L257" s="9">
        <x:f t="shared" si="64"/>
        <x:v>68744.823400000067</x:v>
      </x:c>
      <x:c r="M257" s="10">
        <x:v>0.58287438076918874</x:v>
      </x:c>
      <x:c r="N257" s="8">
        <x:f t="shared" ref="N257" si="66">+L257*M257</x:f>
        <x:v>40069.596370362277</x:v>
      </x:c>
      <x:c r="O257" s="8">
        <x:f t="shared" ref="O257" si="67">+$N257*D257/$C257</x:f>
        <x:v>17519.235868862601</x:v>
      </x:c>
      <x:c r="P257" s="8">
        <x:f t="shared" ref="P257" si="68">+$N257*E257/$C257</x:f>
        <x:v>19911.702635042195</x:v>
      </x:c>
      <x:c r="Q257" s="8">
        <x:f t="shared" ref="Q257" si="69">+$N257*F257/$C257</x:f>
        <x:v>2638.6578664574777</x:v>
      </x:c>
      <x:c r="R257" s="8">
        <x:f t="shared" ref="R257" si="70">+$N257*G257/$C257</x:f>
        <x:v>0</x:v>
      </x:c>
      <x:c r="T257" s="10">
        <x:f t="shared" si="58"/>
        <x:v>0</x:v>
      </x:c>
    </x:row>
    <x:row r="258" spans="1:20" s="6" customFormat="1">
      <x:c r="A258" s="6" t="s">
        <x:v>89</x:v>
      </x:c>
      <x:c r="B258" s="6" t="s">
        <x:v>6</x:v>
      </x:c>
      <x:c r="C258" s="8">
        <x:v>3294429.939999999</x:v>
      </x:c>
      <x:c r="D258" s="8">
        <x:v>1331683.7699999998</x:v>
      </x:c>
      <x:c r="E258" s="8">
        <x:v>1763574.4399999995</x:v>
      </x:c>
      <x:c r="F258" s="8">
        <x:v>199171.73000000007</x:v>
      </x:c>
      <x:c r="G258" s="8"/>
      <x:c r="H258" s="8"/>
      <x:c r="I258" s="6">
        <x:v>25</x:v>
      </x:c>
      <x:c r="J258" s="6">
        <x:v>23.5</x:v>
      </x:c>
      <x:c r="K258" s="7">
        <x:v>0</x:v>
      </x:c>
      <x:c r="L258" s="9">
        <x:f t="shared" si="64"/>
        <x:v>197665.79640000011</x:v>
      </x:c>
      <x:c r="M258" s="10">
        <x:v>0.58287438076918874</x:v>
      </x:c>
      <x:c r="N258" s="8">
        <x:f t="shared" ref="N258:N280" si="71">+L258*M258</x:f>
        <x:v>115214.32867589861</x:v>
      </x:c>
      <x:c r="O258" s="8">
        <x:f t="shared" ref="O258:O280" si="72">+$N258*D258/$C258</x:f>
        <x:v>46572.261169147758</x:v>
      </x:c>
      <x:c r="P258" s="8">
        <x:f t="shared" ref="P258:P280" si="73">+$N258*E258/$C258</x:f>
        <x:v>61676.541579322162</x:v>
      </x:c>
      <x:c r="Q258" s="8">
        <x:f t="shared" ref="Q258:Q280" si="74">+$N258*F258/$C258</x:f>
        <x:v>6965.5259274286918</x:v>
      </x:c>
      <x:c r="R258" s="8">
        <x:f t="shared" ref="R258:R280" si="75">+$N258*G258/$C258</x:f>
        <x:v>0</x:v>
      </x:c>
      <x:c r="T258" s="10">
        <x:f t="shared" si="58"/>
        <x:v>0</x:v>
      </x:c>
    </x:row>
    <x:row r="259" spans="1:20" s="6" customFormat="1">
      <x:c r="A259" s="6" t="s">
        <x:v>89</x:v>
      </x:c>
      <x:c r="B259" s="6" t="s">
        <x:v>5</x:v>
      </x:c>
      <x:c r="C259" s="8">
        <x:v>5536610.290000001</x:v>
      </x:c>
      <x:c r="D259" s="8">
        <x:v>3643757.24</x:v>
      </x:c>
      <x:c r="E259" s="8">
        <x:v>1689120.2200000009</x:v>
      </x:c>
      <x:c r="F259" s="8">
        <x:v>203732.82999999996</x:v>
      </x:c>
      <x:c r="G259" s="8"/>
      <x:c r="H259" s="8"/>
      <x:c r="I259" s="6">
        <x:v>25</x:v>
      </x:c>
      <x:c r="J259" s="6">
        <x:v>22.5</x:v>
      </x:c>
      <x:c r="K259" s="7">
        <x:v>0</x:v>
      </x:c>
      <x:c r="L259" s="9">
        <x:f t="shared" si="64"/>
        <x:v>553661.02899999998</x:v>
      </x:c>
      <x:c r="M259" s="10">
        <x:v>0.58287438076918874</x:v>
      </x:c>
      <x:c r="N259" s="8">
        <x:f t="shared" si="71"/>
        <x:v>322714.82943440683</x:v>
      </x:c>
      <x:c r="O259" s="8">
        <x:f t="shared" si="72"/>
        <x:v>212385.27449382481</x:v>
      </x:c>
      <x:c r="P259" s="8">
        <x:f t="shared" si="73"/>
        <x:v>98454.490227721617</x:v>
      </x:c>
      <x:c r="Q259" s="8">
        <x:f t="shared" si="74"/>
        <x:v>11875.064712860436</x:v>
      </x:c>
      <x:c r="R259" s="8">
        <x:f t="shared" si="75"/>
        <x:v>0</x:v>
      </x:c>
      <x:c r="T259" s="10">
        <x:f t="shared" si="58"/>
        <x:v>0</x:v>
      </x:c>
    </x:row>
    <x:row r="260" spans="1:20" s="6" customFormat="1">
      <x:c r="A260" s="6" t="s">
        <x:v>89</x:v>
      </x:c>
      <x:c r="B260" s="6" t="s">
        <x:v>4</x:v>
      </x:c>
      <x:c r="C260" s="8">
        <x:v>3662000.689999999</x:v>
      </x:c>
      <x:c r="D260" s="8">
        <x:v>1239032.3399999999</x:v>
      </x:c>
      <x:c r="E260" s="8">
        <x:v>2090012.459999999</x:v>
      </x:c>
      <x:c r="F260" s="8">
        <x:v>332955.89</x:v>
      </x:c>
      <x:c r="G260" s="8"/>
      <x:c r="H260" s="8"/>
      <x:c r="I260" s="6">
        <x:v>25</x:v>
      </x:c>
      <x:c r="J260" s="6">
        <x:v>21.5</x:v>
      </x:c>
      <x:c r="K260" s="7">
        <x:v>0</x:v>
      </x:c>
      <x:c r="L260" s="9">
        <x:f t="shared" si="64"/>
        <x:v>512680.09659999993</x:v>
      </x:c>
      <x:c r="M260" s="10">
        <x:v>0.58287438076918874</x:v>
      </x:c>
      <x:c r="N260" s="8">
        <x:f t="shared" si="71"/>
        <x:v>298828.09383841284</x:v>
      </x:c>
      <x:c r="O260" s="8">
        <x:f t="shared" si="72"/>
        <x:v>101108.02911026985</x:v>
      </x:c>
      <x:c r="P260" s="8">
        <x:f t="shared" si="73"/>
        <x:v>170550.06057913438</x:v>
      </x:c>
      <x:c r="Q260" s="8">
        <x:f t="shared" si="74"/>
        <x:v>27170.004149008582</x:v>
      </x:c>
      <x:c r="R260" s="8">
        <x:f t="shared" si="75"/>
        <x:v>0</x:v>
      </x:c>
      <x:c r="T260" s="10">
        <x:f t="shared" si="58"/>
        <x:v>0</x:v>
      </x:c>
    </x:row>
    <x:row r="261" spans="1:20" s="6" customFormat="1">
      <x:c r="A261" s="6" t="s">
        <x:v>89</x:v>
      </x:c>
      <x:c r="B261" s="6" t="s">
        <x:v>3</x:v>
      </x:c>
      <x:c r="C261" s="8">
        <x:v>8322328.370000002</x:v>
      </x:c>
      <x:c r="D261" s="8">
        <x:v>5878931.9500000011</x:v>
      </x:c>
      <x:c r="E261" s="8">
        <x:v>2166142.3700000006</x:v>
      </x:c>
      <x:c r="F261" s="8">
        <x:v>277254.05000000005</x:v>
      </x:c>
      <x:c r="G261" s="8"/>
      <x:c r="H261" s="8"/>
      <x:c r="I261" s="6">
        <x:v>25</x:v>
      </x:c>
      <x:c r="J261" s="6">
        <x:v>20.5</x:v>
      </x:c>
      <x:c r="K261" s="7">
        <x:v>0</x:v>
      </x:c>
      <x:c r="L261" s="9">
        <x:f t="shared" si="64"/>
        <x:v>1498019.1066000008</x:v>
      </x:c>
      <x:c r="M261" s="10">
        <x:v>0.58287438076918874</x:v>
      </x:c>
      <x:c r="N261" s="8">
        <x:f t="shared" si="71"/>
        <x:v>873156.95913988876</x:v>
      </x:c>
      <x:c r="O261" s="8">
        <x:f t="shared" si="72"/>
        <x:v>616802.18758928112</x:v>
      </x:c>
      <x:c r="P261" s="8">
        <x:f t="shared" si="73"/>
        <x:v>227266.00066289763</x:v>
      </x:c>
      <x:c r="Q261" s="8">
        <x:f t="shared" si="74"/>
        <x:v>29088.770887709958</x:v>
      </x:c>
      <x:c r="R261" s="8">
        <x:f t="shared" si="75"/>
        <x:v>0</x:v>
      </x:c>
      <x:c r="T261" s="10">
        <x:f t="shared" si="58"/>
        <x:v>0</x:v>
      </x:c>
    </x:row>
    <x:row r="262" spans="1:20" s="6" customFormat="1">
      <x:c r="A262" s="6" t="s">
        <x:v>89</x:v>
      </x:c>
      <x:c r="B262" s="6" t="s">
        <x:v>2</x:v>
      </x:c>
      <x:c r="C262" s="8">
        <x:v>3185032.7700000005</x:v>
      </x:c>
      <x:c r="D262" s="8">
        <x:v>2108673.8300000005</x:v>
      </x:c>
      <x:c r="E262" s="8">
        <x:v>841255.87999999977</x:v>
      </x:c>
      <x:c r="F262" s="8">
        <x:v>235103.05999999997</x:v>
      </x:c>
      <x:c r="G262" s="8"/>
      <x:c r="H262" s="8"/>
      <x:c r="I262" s="6">
        <x:v>25</x:v>
      </x:c>
      <x:c r="J262" s="6">
        <x:v>19.5</x:v>
      </x:c>
      <x:c r="K262" s="7">
        <x:v>0</x:v>
      </x:c>
      <x:c r="L262" s="9">
        <x:f t="shared" si="64"/>
        <x:v>700707.20940000005</x:v>
      </x:c>
      <x:c r="M262" s="10">
        <x:v>0.58287438076918874</x:v>
      </x:c>
      <x:c r="N262" s="8">
        <x:f t="shared" si="71"/>
        <x:v>408424.28077953128</x:v>
      </x:c>
      <x:c r="O262" s="8">
        <x:f t="shared" si="72"/>
        <x:v>270400.22963919764</x:v>
      </x:c>
      <x:c r="P262" s="8">
        <x:f t="shared" si="73"/>
        <x:v>107876.23002715652</x:v>
      </x:c>
      <x:c r="Q262" s="8">
        <x:f t="shared" si="74"/>
        <x:v>30147.821113177106</x:v>
      </x:c>
      <x:c r="R262" s="8">
        <x:f t="shared" si="75"/>
        <x:v>0</x:v>
      </x:c>
      <x:c r="T262" s="10">
        <x:f t="shared" si="58"/>
        <x:v>0</x:v>
      </x:c>
    </x:row>
    <x:row r="263" spans="1:20" s="6" customFormat="1">
      <x:c r="A263" s="6" t="s">
        <x:v>89</x:v>
      </x:c>
      <x:c r="B263" s="6" t="s">
        <x:v>1</x:v>
      </x:c>
      <x:c r="C263" s="8">
        <x:v>3623078.1300000004</x:v>
      </x:c>
      <x:c r="D263" s="8">
        <x:v>2177070.5499999998</x:v>
      </x:c>
      <x:c r="E263" s="8">
        <x:v>1203605.8600000001</x:v>
      </x:c>
      <x:c r="F263" s="8">
        <x:v>242401.72</x:v>
      </x:c>
      <x:c r="G263" s="8"/>
      <x:c r="H263" s="8"/>
      <x:c r="I263" s="6">
        <x:v>25</x:v>
      </x:c>
      <x:c r="J263" s="6">
        <x:v>18.5</x:v>
      </x:c>
      <x:c r="K263" s="7">
        <x:v>0</x:v>
      </x:c>
      <x:c r="L263" s="9">
        <x:f t="shared" si="64"/>
        <x:v>942000.31380000012</x:v>
      </x:c>
      <x:c r="M263" s="10">
        <x:v>0.58287438076918874</x:v>
      </x:c>
      <x:c r="N263" s="8">
        <x:f t="shared" si="71"/>
        <x:v>549067.84959055658</x:v>
      </x:c>
      <x:c r="O263" s="8">
        <x:f t="shared" si="72"/>
        <x:v>329929.24866774265</x:v>
      </x:c>
      <x:c r="P263" s="8">
        <x:f t="shared" si="73"/>
        <x:v>182403.26528779345</x:v>
      </x:c>
      <x:c r="Q263" s="8">
        <x:f t="shared" si="74"/>
        <x:v>36735.335635020434</x:v>
      </x:c>
      <x:c r="R263" s="8">
        <x:f t="shared" si="75"/>
        <x:v>0</x:v>
      </x:c>
      <x:c r="T263" s="10">
        <x:f t="shared" si="58"/>
        <x:v>0</x:v>
      </x:c>
    </x:row>
    <x:row r="264" spans="1:20" s="6" customFormat="1">
      <x:c r="A264" s="6" t="s">
        <x:v>89</x:v>
      </x:c>
      <x:c r="B264" s="6" t="s">
        <x:v>21</x:v>
      </x:c>
      <x:c r="C264" s="8">
        <x:v>2853877.0000000005</x:v>
      </x:c>
      <x:c r="D264" s="8">
        <x:v>1746206.8500000003</x:v>
      </x:c>
      <x:c r="E264" s="8">
        <x:v>985875.63000000035</x:v>
      </x:c>
      <x:c r="F264" s="8">
        <x:v>121794.51999999997</x:v>
      </x:c>
      <x:c r="G264" s="8"/>
      <x:c r="H264" s="8"/>
      <x:c r="I264" s="6">
        <x:v>25</x:v>
      </x:c>
      <x:c r="J264" s="6">
        <x:v>17.5</x:v>
      </x:c>
      <x:c r="K264" s="7">
        <x:v>0</x:v>
      </x:c>
      <x:c r="L264" s="9">
        <x:f t="shared" si="64"/>
        <x:v>856163.10000000021</x:v>
      </x:c>
      <x:c r="M264" s="10">
        <x:v>0.58287438076918874</x:v>
      </x:c>
      <x:c r="N264" s="8">
        <x:f t="shared" si="71"/>
        <x:v>499035.53674992913</x:v>
      </x:c>
      <x:c r="O264" s="8">
        <x:f t="shared" si="72"/>
        <x:v>305345.77091659978</x:v>
      </x:c>
      <x:c r="P264" s="8">
        <x:f t="shared" si="73"/>
        <x:v>172392.49420550524</x:v>
      </x:c>
      <x:c r="Q264" s="8">
        <x:f t="shared" si="74"/>
        <x:v>21297.271627824168</x:v>
      </x:c>
      <x:c r="R264" s="8">
        <x:f t="shared" si="75"/>
        <x:v>0</x:v>
      </x:c>
      <x:c r="T264" s="10">
        <x:f t="shared" si="58"/>
        <x:v>0</x:v>
      </x:c>
    </x:row>
    <x:row r="265" spans="1:20" s="6" customFormat="1">
      <x:c r="A265" s="6" t="s">
        <x:v>89</x:v>
      </x:c>
      <x:c r="B265" s="6" t="s">
        <x:v>20</x:v>
      </x:c>
      <x:c r="C265" s="8">
        <x:v>2440851.5499999998</x:v>
      </x:c>
      <x:c r="D265" s="8">
        <x:v>1276085.02</x:v>
      </x:c>
      <x:c r="E265" s="8">
        <x:v>978491.70999999985</x:v>
      </x:c>
      <x:c r="F265" s="8">
        <x:v>186274.81999999998</x:v>
      </x:c>
      <x:c r="G265" s="8"/>
      <x:c r="H265" s="8"/>
      <x:c r="I265" s="6">
        <x:v>25</x:v>
      </x:c>
      <x:c r="J265" s="6">
        <x:v>16.5</x:v>
      </x:c>
      <x:c r="K265" s="7">
        <x:v>0</x:v>
      </x:c>
      <x:c r="L265" s="9">
        <x:f t="shared" si="64"/>
        <x:v>829889.52699999989</x:v>
      </x:c>
      <x:c r="M265" s="10">
        <x:v>0.58287438076918874</x:v>
      </x:c>
      <x:c r="N265" s="8">
        <x:f t="shared" si="71"/>
        <x:v>483721.34415695985</x:v>
      </x:c>
      <x:c r="O265" s="8">
        <x:f t="shared" si="72"/>
        <x:v>252891.07038605487</x:v>
      </x:c>
      <x:c r="P265" s="8">
        <x:f t="shared" si="73"/>
        <x:v>193914.83484837171</x:v>
      </x:c>
      <x:c r="Q265" s="8">
        <x:f t="shared" si="74"/>
        <x:v>36915.438922533307</x:v>
      </x:c>
      <x:c r="R265" s="8">
        <x:f t="shared" si="75"/>
        <x:v>0</x:v>
      </x:c>
      <x:c r="T265" s="10">
        <x:f t="shared" si="58"/>
        <x:v>0</x:v>
      </x:c>
    </x:row>
    <x:row r="266" spans="1:20" s="6" customFormat="1">
      <x:c r="A266" s="6" t="s">
        <x:v>89</x:v>
      </x:c>
      <x:c r="B266" s="6" t="s">
        <x:v>19</x:v>
      </x:c>
      <x:c r="C266" s="8">
        <x:v>-93050.389999999941</x:v>
      </x:c>
      <x:c r="D266" s="8">
        <x:v>-740237.56999999948</x:v>
      </x:c>
      <x:c r="E266" s="8">
        <x:v>552125.64999999956</x:v>
      </x:c>
      <x:c r="F266" s="8">
        <x:v>95061.529999999984</x:v>
      </x:c>
      <x:c r="G266" s="8"/>
      <x:c r="H266" s="8"/>
      <x:c r="I266" s="6">
        <x:v>25</x:v>
      </x:c>
      <x:c r="J266" s="6">
        <x:v>15.5</x:v>
      </x:c>
      <x:c r="K266" s="7">
        <x:v>0</x:v>
      </x:c>
      <x:c r="L266" s="9">
        <x:f t="shared" si="64"/>
        <x:v>-35359.148199999981</x:v>
      </x:c>
      <x:c r="M266" s="10">
        <x:v>0.58287438076918874</x:v>
      </x:c>
      <x:c r="N266" s="8">
        <x:f t="shared" si="71"/>
        <x:v>-20609.941611600963</x:v>
      </x:c>
      <x:c r="O266" s="8">
        <x:f t="shared" si="72"/>
        <x:v>-163956.89578961872</x:v>
      </x:c>
      <x:c r="P266" s="8">
        <x:f t="shared" si="73"/>
        <x:v>122291.56061320352</x:v>
      </x:c>
      <x:c r="Q266" s="8">
        <x:f t="shared" si="74"/>
        <x:v>21055.393564814229</x:v>
      </x:c>
      <x:c r="R266" s="8">
        <x:f t="shared" si="75"/>
        <x:v>0</x:v>
      </x:c>
      <x:c r="T266" s="10">
        <x:f t="shared" si="58"/>
        <x:v>0</x:v>
      </x:c>
    </x:row>
    <x:row r="267" spans="1:20" s="6" customFormat="1">
      <x:c r="A267" s="6" t="s">
        <x:v>89</x:v>
      </x:c>
      <x:c r="B267" s="6" t="s">
        <x:v>18</x:v>
      </x:c>
      <x:c r="C267" s="8">
        <x:v>5076419.8300000038</x:v>
      </x:c>
      <x:c r="D267" s="8">
        <x:v>3264333.3900000025</x:v>
      </x:c>
      <x:c r="E267" s="8">
        <x:v>1649870.030000001</x:v>
      </x:c>
      <x:c r="F267" s="8">
        <x:v>162216.41000000003</x:v>
      </x:c>
      <x:c r="G267" s="8"/>
      <x:c r="H267" s="8"/>
      <x:c r="I267" s="6">
        <x:v>25</x:v>
      </x:c>
      <x:c r="J267" s="6">
        <x:v>14.5</x:v>
      </x:c>
      <x:c r="K267" s="7">
        <x:v>0</x:v>
      </x:c>
      <x:c r="L267" s="9">
        <x:f t="shared" si="64"/>
        <x:v>2132096.328600002</x:v>
      </x:c>
      <x:c r="M267" s="10">
        <x:v>0.58287438076918874</x:v>
      </x:c>
      <x:c r="N267" s="8">
        <x:f t="shared" si="71"/>
        <x:v>1242744.327272987</x:v>
      </x:c>
      <x:c r="O267" s="8">
        <x:f t="shared" si="72"/>
        <x:v>799132.44739458419</x:v>
      </x:c>
      <x:c r="P267" s="8">
        <x:f t="shared" si="73"/>
        <x:v>403900.12827607535</x:v>
      </x:c>
      <x:c r="Q267" s="8">
        <x:f t="shared" si="74"/>
        <x:v>39711.751602327371</x:v>
      </x:c>
      <x:c r="R267" s="8">
        <x:f t="shared" si="75"/>
        <x:v>0</x:v>
      </x:c>
      <x:c r="T267" s="10">
        <x:f t="shared" si="58"/>
        <x:v>0</x:v>
      </x:c>
    </x:row>
    <x:row r="268" spans="1:20" s="6" customFormat="1">
      <x:c r="A268" s="6" t="s">
        <x:v>89</x:v>
      </x:c>
      <x:c r="B268" s="6" t="s">
        <x:v>17</x:v>
      </x:c>
      <x:c r="C268" s="8">
        <x:v>2016610.3599999994</x:v>
      </x:c>
      <x:c r="D268" s="8">
        <x:v>1579895.3999999994</x:v>
      </x:c>
      <x:c r="E268" s="8">
        <x:v>347780.18999999989</x:v>
      </x:c>
      <x:c r="F268" s="8">
        <x:v>88934.76999999999</x:v>
      </x:c>
      <x:c r="G268" s="8"/>
      <x:c r="H268" s="8"/>
      <x:c r="I268" s="6">
        <x:v>25</x:v>
      </x:c>
      <x:c r="J268" s="6">
        <x:v>13.5</x:v>
      </x:c>
      <x:c r="K268" s="7">
        <x:v>0</x:v>
      </x:c>
      <x:c r="L268" s="9">
        <x:f t="shared" si="64"/>
        <x:v>927640.76559999969</x:v>
      </x:c>
      <x:c r="M268" s="10">
        <x:v>0.58287438076918874</x:v>
      </x:c>
      <x:c r="N268" s="8">
        <x:f t="shared" si="71"/>
        <x:v>540698.03682535596</x:v>
      </x:c>
      <x:c r="O268" s="8">
        <x:f t="shared" si="72"/>
        <x:v>423605.0543593411</x:v>
      </x:c>
      <x:c r="P268" s="8">
        <x:f t="shared" si="73"/>
        <x:v>93247.59492941873</x:v>
      </x:c>
      <x:c r="Q268" s="8">
        <x:f t="shared" si="74"/>
        <x:v>23845.387536596099</x:v>
      </x:c>
      <x:c r="R268" s="8">
        <x:f t="shared" si="75"/>
        <x:v>0</x:v>
      </x:c>
      <x:c r="T268" s="10">
        <x:f t="shared" si="58"/>
        <x:v>0</x:v>
      </x:c>
    </x:row>
    <x:row r="269" spans="1:20" s="6" customFormat="1">
      <x:c r="A269" s="6" t="s">
        <x:v>89</x:v>
      </x:c>
      <x:c r="B269" s="6" t="s">
        <x:v>16</x:v>
      </x:c>
      <x:c r="C269" s="8">
        <x:v>290044.68999999994</x:v>
      </x:c>
      <x:c r="D269" s="8">
        <x:v>60977.750000000015</x:v>
      </x:c>
      <x:c r="E269" s="8">
        <x:v>182404.27999999997</x:v>
      </x:c>
      <x:c r="F269" s="8">
        <x:v>46662.66</x:v>
      </x:c>
      <x:c r="G269" s="8"/>
      <x:c r="H269" s="8"/>
      <x:c r="I269" s="6">
        <x:v>25</x:v>
      </x:c>
      <x:c r="J269" s="6">
        <x:v>12.5</x:v>
      </x:c>
      <x:c r="K269" s="7">
        <x:v>0</x:v>
      </x:c>
      <x:c r="L269" s="9">
        <x:f t="shared" si="64"/>
        <x:v>145022.34499999997</x:v>
      </x:c>
      <x:c r="M269" s="10">
        <x:v>0.58287438076918874</x:v>
      </x:c>
      <x:c r="N269" s="8">
        <x:f t="shared" si="71"/>
        <x:v>84529.809539570633</x:v>
      </x:c>
      <x:c r="O269" s="8">
        <x:f t="shared" si="72"/>
        <x:v>17771.184135974203</x:v>
      </x:c>
      <x:c r="P269" s="8">
        <x:f t="shared" si="73"/>
        <x:v>53159.390877324848</x:v>
      </x:c>
      <x:c r="Q269" s="8">
        <x:f t="shared" si="74"/>
        <x:v>13599.234526271597</x:v>
      </x:c>
      <x:c r="R269" s="8">
        <x:f t="shared" si="75"/>
        <x:v>0</x:v>
      </x:c>
      <x:c r="T269" s="10">
        <x:f t="shared" ref="T269:T333" si="76">+O269+P269+Q269+R269-N269</x:f>
        <x:v>0</x:v>
      </x:c>
    </x:row>
    <x:row r="270" spans="1:20" s="6" customFormat="1">
      <x:c r="A270" s="6" t="s">
        <x:v>89</x:v>
      </x:c>
      <x:c r="B270" s="6" t="s">
        <x:v>15</x:v>
      </x:c>
      <x:c r="C270" s="8">
        <x:v>2941367.0799999996</x:v>
      </x:c>
      <x:c r="D270" s="8">
        <x:v>1855696.1399999992</x:v>
      </x:c>
      <x:c r="E270" s="8">
        <x:v>1004711.6800000005</x:v>
      </x:c>
      <x:c r="F270" s="8">
        <x:v>80959.259999999995</x:v>
      </x:c>
      <x:c r="G270" s="8"/>
      <x:c r="H270" s="8"/>
      <x:c r="I270" s="6">
        <x:v>25</x:v>
      </x:c>
      <x:c r="J270" s="6">
        <x:v>11.5</x:v>
      </x:c>
      <x:c r="K270" s="7">
        <x:v>0</x:v>
      </x:c>
      <x:c r="L270" s="9">
        <x:f t="shared" si="64"/>
        <x:v>1588338.2231999999</x:v>
      </x:c>
      <x:c r="M270" s="10">
        <x:v>0.58287438076918874</x:v>
      </x:c>
      <x:c r="N270" s="8">
        <x:f t="shared" si="71"/>
        <x:v>925801.65829973342</x:v>
      </x:c>
      <x:c r="O270" s="8">
        <x:f t="shared" si="72"/>
        <x:v>584084.37878906762</x:v>
      </x:c>
      <x:c r="P270" s="8">
        <x:f t="shared" si="73"/>
        <x:v>316235.17709904868</x:v>
      </x:c>
      <x:c r="Q270" s="8">
        <x:f t="shared" si="74"/>
        <x:v>25482.102411617143</x:v>
      </x:c>
      <x:c r="R270" s="8">
        <x:f t="shared" si="75"/>
        <x:v>0</x:v>
      </x:c>
      <x:c r="T270" s="10">
        <x:f t="shared" si="76"/>
        <x:v>0</x:v>
      </x:c>
    </x:row>
    <x:row r="271" spans="1:20" s="6" customFormat="1">
      <x:c r="A271" s="6" t="s">
        <x:v>89</x:v>
      </x:c>
      <x:c r="B271" s="6" t="s">
        <x:v>14</x:v>
      </x:c>
      <x:c r="C271" s="8">
        <x:v>1487728.63</x:v>
      </x:c>
      <x:c r="D271" s="8">
        <x:v>1015301.96</x:v>
      </x:c>
      <x:c r="E271" s="8">
        <x:v>405700.3</x:v>
      </x:c>
      <x:c r="F271" s="8">
        <x:v>66726.37</x:v>
      </x:c>
      <x:c r="G271" s="8"/>
      <x:c r="H271" s="8"/>
      <x:c r="I271" s="6">
        <x:v>25</x:v>
      </x:c>
      <x:c r="J271" s="6">
        <x:v>10.5</x:v>
      </x:c>
      <x:c r="K271" s="7">
        <x:v>0</x:v>
      </x:c>
      <x:c r="L271" s="9">
        <x:f t="shared" si="64"/>
        <x:v>862882.6054</x:v>
      </x:c>
      <x:c r="M271" s="10">
        <x:v>0.58287438076918874</x:v>
      </x:c>
      <x:c r="N271" s="8">
        <x:f t="shared" si="71"/>
        <x:v>502952.16429902922</x:v>
      </x:c>
      <x:c r="O271" s="8">
        <x:f t="shared" si="72"/>
        <x:v>343240.2307126713</x:v>
      </x:c>
      <x:c r="P271" s="8">
        <x:f t="shared" si="73"/>
        <x:v>137153.94046141699</x:v>
      </x:c>
      <x:c r="Q271" s="8">
        <x:f t="shared" si="74"/>
        <x:v>22557.993124940946</x:v>
      </x:c>
      <x:c r="R271" s="8">
        <x:f t="shared" si="75"/>
        <x:v>0</x:v>
      </x:c>
      <x:c r="T271" s="10">
        <x:f t="shared" si="76"/>
        <x:v>0</x:v>
      </x:c>
    </x:row>
    <x:row r="272" spans="1:20" s="6" customFormat="1">
      <x:c r="A272" s="6" t="s">
        <x:v>89</x:v>
      </x:c>
      <x:c r="B272" s="6" t="s">
        <x:v>30</x:v>
      </x:c>
      <x:c r="C272" s="8">
        <x:v>1257785.8599999996</x:v>
      </x:c>
      <x:c r="D272" s="8">
        <x:v>308076.25999999989</x:v>
      </x:c>
      <x:c r="E272" s="8">
        <x:v>906324.16999999993</x:v>
      </x:c>
      <x:c r="F272" s="8">
        <x:v>43385.429999999993</x:v>
      </x:c>
      <x:c r="G272" s="8"/>
      <x:c r="H272" s="8"/>
      <x:c r="I272" s="6">
        <x:v>25</x:v>
      </x:c>
      <x:c r="J272" s="6">
        <x:v>9.5</x:v>
      </x:c>
      <x:c r="K272" s="7">
        <x:v>0</x:v>
      </x:c>
      <x:c r="L272" s="9">
        <x:f t="shared" si="64"/>
        <x:v>779827.23319999978</x:v>
      </x:c>
      <x:c r="M272" s="10">
        <x:v>0.58287438076918874</x:v>
      </x:c>
      <x:c r="N272" s="8">
        <x:f t="shared" si="71"/>
        <x:v>454541.3156583996</x:v>
      </x:c>
      <x:c r="O272" s="8">
        <x:f t="shared" si="72"/>
        <x:v>111333.25075185626</x:v>
      </x:c>
      <x:c r="P272" s="8">
        <x:f t="shared" si="73"/>
        <x:v>327529.34640623734</x:v>
      </x:c>
      <x:c r="Q272" s="8">
        <x:f t="shared" si="74"/>
        <x:v>15678.718500306088</x:v>
      </x:c>
      <x:c r="R272" s="8">
        <x:f t="shared" si="75"/>
        <x:v>0</x:v>
      </x:c>
      <x:c r="T272" s="10">
        <x:f t="shared" si="76"/>
        <x:v>0</x:v>
      </x:c>
    </x:row>
    <x:row r="273" spans="1:22" s="6" customFormat="1">
      <x:c r="A273" s="6" t="s">
        <x:v>89</x:v>
      </x:c>
      <x:c r="B273" s="6" t="s">
        <x:v>29</x:v>
      </x:c>
      <x:c r="C273" s="8">
        <x:v>1360120.96</x:v>
      </x:c>
      <x:c r="D273" s="8">
        <x:v>522105.16999999987</x:v>
      </x:c>
      <x:c r="E273" s="8">
        <x:v>793271.09000000008</x:v>
      </x:c>
      <x:c r="F273" s="8">
        <x:v>44744.69999999999</x:v>
      </x:c>
      <x:c r="G273" s="8"/>
      <x:c r="H273" s="8"/>
      <x:c r="I273" s="6">
        <x:v>25</x:v>
      </x:c>
      <x:c r="J273" s="6">
        <x:v>8.5</x:v>
      </x:c>
      <x:c r="K273" s="7">
        <x:v>0</x:v>
      </x:c>
      <x:c r="L273" s="9">
        <x:f t="shared" si="64"/>
        <x:v>897679.8335999999</x:v>
      </x:c>
      <x:c r="M273" s="10">
        <x:v>0.58287438076918874</x:v>
      </x:c>
      <x:c r="N273" s="8">
        <x:f t="shared" si="71"/>
        <x:v>523234.5771385883</x:v>
      </x:c>
      <x:c r="O273" s="8">
        <x:f t="shared" si="72"/>
        <x:v>200852.34025569365</x:v>
      </x:c>
      <x:c r="P273" s="8">
        <x:f t="shared" si="73"/>
        <x:v>305169.08094146056</x:v>
      </x:c>
      <x:c r="Q273" s="8">
        <x:f t="shared" si="74"/>
        <x:v>17213.155941434052</x:v>
      </x:c>
      <x:c r="R273" s="8">
        <x:f t="shared" si="75"/>
        <x:v>0</x:v>
      </x:c>
      <x:c r="T273" s="10">
        <x:f t="shared" si="76"/>
        <x:v>0</x:v>
      </x:c>
    </x:row>
    <x:row r="274" spans="1:22" s="6" customFormat="1">
      <x:c r="A274" s="6" t="s">
        <x:v>89</x:v>
      </x:c>
      <x:c r="B274" s="6" t="s">
        <x:v>87</x:v>
      </x:c>
      <x:c r="C274" s="8">
        <x:v>561002.72</x:v>
      </x:c>
      <x:c r="D274" s="8">
        <x:v>491930.92</x:v>
      </x:c>
      <x:c r="E274" s="8">
        <x:v>65940.34</x:v>
      </x:c>
      <x:c r="F274" s="8">
        <x:v>3131.4599999999996</x:v>
      </x:c>
      <x:c r="G274" s="8"/>
      <x:c r="H274" s="8"/>
      <x:c r="I274" s="6">
        <x:v>25</x:v>
      </x:c>
      <x:c r="J274" s="6">
        <x:v>7.5</x:v>
      </x:c>
      <x:c r="K274" s="7">
        <x:v>0</x:v>
      </x:c>
      <x:c r="L274" s="9">
        <x:f t="shared" si="64"/>
        <x:v>392701.90399999998</x:v>
      </x:c>
      <x:c r="M274" s="10">
        <x:v>0.58287438076918874</x:v>
      </x:c>
      <x:c r="N274" s="8">
        <x:f t="shared" si="71"/>
        <x:v>228895.87912088138</x:v>
      </x:c>
      <x:c r="O274" s="8">
        <x:f t="shared" si="72"/>
        <x:v>200713.75126335211</x:v>
      </x:c>
      <x:c r="P274" s="8">
        <x:f t="shared" si="73"/>
        <x:v>26904.454391646836</x:v>
      </x:c>
      <x:c r="Q274" s="8">
        <x:f t="shared" si="74"/>
        <x:v>1277.6734658824384</x:v>
      </x:c>
      <x:c r="R274" s="8">
        <x:f t="shared" si="75"/>
        <x:v>0</x:v>
      </x:c>
      <x:c r="T274" s="10">
        <x:f t="shared" si="76"/>
        <x:v>0</x:v>
      </x:c>
    </x:row>
    <x:row r="275" spans="1:22" s="6" customFormat="1">
      <x:c r="A275" s="6" t="s">
        <x:v>89</x:v>
      </x:c>
      <x:c r="B275" s="6" t="s">
        <x:v>86</x:v>
      </x:c>
      <x:c r="C275" s="8">
        <x:v>1879708.8999999994</x:v>
      </x:c>
      <x:c r="D275" s="8">
        <x:v>1039661.9999999999</x:v>
      </x:c>
      <x:c r="E275" s="8">
        <x:v>782066.1999999996</x:v>
      </x:c>
      <x:c r="F275" s="8">
        <x:v>57980.7</x:v>
      </x:c>
      <x:c r="G275" s="8"/>
      <x:c r="H275" s="8"/>
      <x:c r="I275" s="6">
        <x:v>25</x:v>
      </x:c>
      <x:c r="J275" s="6">
        <x:v>6.5</x:v>
      </x:c>
      <x:c r="K275" s="7">
        <x:v>0</x:v>
      </x:c>
      <x:c r="L275" s="9">
        <x:f t="shared" si="64"/>
        <x:v>1390984.5859999997</x:v>
      </x:c>
      <x:c r="M275" s="10">
        <x:v>0.58287438076918874</x:v>
      </x:c>
      <x:c r="N275" s="8">
        <x:f t="shared" si="71"/>
        <x:v>810769.27922423615</x:v>
      </x:c>
      <x:c r="O275" s="8">
        <x:f t="shared" si="72"/>
        <x:v>448434.33489984967</x:v>
      </x:c>
      <x:c r="P275" s="8">
        <x:f t="shared" si="73"/>
        <x:v>337326.3005136791</x:v>
      </x:c>
      <x:c r="Q275" s="8">
        <x:f t="shared" si="74"/>
        <x:v>25008.643810707432</x:v>
      </x:c>
      <x:c r="R275" s="8">
        <x:f t="shared" si="75"/>
        <x:v>0</x:v>
      </x:c>
      <x:c r="T275" s="10">
        <x:f t="shared" si="76"/>
        <x:v>0</x:v>
      </x:c>
    </x:row>
    <x:row r="276" spans="1:22" s="6" customFormat="1">
      <x:c r="A276" s="6" t="s">
        <x:v>89</x:v>
      </x:c>
      <x:c r="B276" s="6" t="s">
        <x:v>28</x:v>
      </x:c>
      <x:c r="C276" s="8">
        <x:v>2268048.86</x:v>
      </x:c>
      <x:c r="D276" s="8">
        <x:v>1760838.7899999998</x:v>
      </x:c>
      <x:c r="E276" s="8">
        <x:v>472318.84000000008</x:v>
      </x:c>
      <x:c r="F276" s="8">
        <x:v>34891.229999999996</x:v>
      </x:c>
      <x:c r="G276" s="8"/>
      <x:c r="H276" s="8"/>
      <x:c r="I276" s="6">
        <x:v>25</x:v>
      </x:c>
      <x:c r="J276" s="6">
        <x:v>5.5</x:v>
      </x:c>
      <x:c r="K276" s="7">
        <x:v>0</x:v>
      </x:c>
      <x:c r="L276" s="9">
        <x:f t="shared" si="64"/>
        <x:v>1769078.1107999999</x:v>
      </x:c>
      <x:c r="M276" s="10">
        <x:v>0.58287438076918874</x:v>
      </x:c>
      <x:c r="N276" s="8">
        <x:f t="shared" si="71"/>
        <x:v>1031150.3083648762</x:v>
      </x:c>
      <x:c r="O276" s="8">
        <x:f t="shared" si="72"/>
        <x:v>800551.29909738153</x:v>
      </x:c>
      <x:c r="P276" s="8">
        <x:f t="shared" si="73"/>
        <x:v>214735.99008468483</x:v>
      </x:c>
      <x:c r="Q276" s="8">
        <x:f t="shared" si="74"/>
        <x:v>15863.019182809763</x:v>
      </x:c>
      <x:c r="R276" s="8">
        <x:f t="shared" si="75"/>
        <x:v>0</x:v>
      </x:c>
      <x:c r="T276" s="10">
        <x:f t="shared" si="76"/>
        <x:v>0</x:v>
      </x:c>
    </x:row>
    <x:row r="277" spans="1:22" s="6" customFormat="1">
      <x:c r="A277" s="6" t="s">
        <x:v>89</x:v>
      </x:c>
      <x:c r="B277" s="6" t="s">
        <x:v>85</x:v>
      </x:c>
      <x:c r="C277" s="8">
        <x:v>2584157.8899999997</x:v>
      </x:c>
      <x:c r="D277" s="8">
        <x:v>1524557.6999999995</x:v>
      </x:c>
      <x:c r="E277" s="8">
        <x:v>973129.28000000026</x:v>
      </x:c>
      <x:c r="F277" s="8">
        <x:v>86470.91</x:v>
      </x:c>
      <x:c r="G277" s="8"/>
      <x:c r="H277" s="8"/>
      <x:c r="I277" s="6">
        <x:v>25</x:v>
      </x:c>
      <x:c r="J277" s="6">
        <x:v>4.5</x:v>
      </x:c>
      <x:c r="K277" s="7">
        <x:v>0</x:v>
      </x:c>
      <x:c r="L277" s="9">
        <x:f t="shared" si="64"/>
        <x:v>2119009.4698000001</x:v>
      </x:c>
      <x:c r="M277" s="10">
        <x:v>0.58287438076918874</x:v>
      </x:c>
      <x:c r="N277" s="8">
        <x:f t="shared" si="71"/>
        <x:v>1235116.332553722</x:v>
      </x:c>
      <x:c r="O277" s="8">
        <x:f t="shared" si="72"/>
        <x:v>728673.0127742067</x:v>
      </x:c>
      <x:c r="P277" s="8">
        <x:f t="shared" si="73"/>
        <x:v>465113.94372046075</x:v>
      </x:c>
      <x:c r="Q277" s="8">
        <x:f t="shared" si="74"/>
        <x:v>41329.376059054572</x:v>
      </x:c>
      <x:c r="R277" s="8">
        <x:f t="shared" si="75"/>
        <x:v>0</x:v>
      </x:c>
      <x:c r="T277" s="10">
        <x:f t="shared" si="76"/>
        <x:v>0</x:v>
      </x:c>
    </x:row>
    <x:row r="278" spans="1:22" s="6" customFormat="1">
      <x:c r="A278" s="6" t="s">
        <x:v>89</x:v>
      </x:c>
      <x:c r="B278" s="6" t="s">
        <x:v>27</x:v>
      </x:c>
      <x:c r="C278" s="8">
        <x:v>635355.31999999995</x:v>
      </x:c>
      <x:c r="D278" s="8">
        <x:v>443469.88</x:v>
      </x:c>
      <x:c r="E278" s="8">
        <x:v>160438.42999999993</x:v>
      </x:c>
      <x:c r="F278" s="8">
        <x:v>31447.010000000002</x:v>
      </x:c>
      <x:c r="G278" s="8"/>
      <x:c r="H278" s="8"/>
      <x:c r="I278" s="6">
        <x:v>25</x:v>
      </x:c>
      <x:c r="J278" s="6">
        <x:v>3.5</x:v>
      </x:c>
      <x:c r="K278" s="7">
        <x:v>0</x:v>
      </x:c>
      <x:c r="L278" s="9">
        <x:f t="shared" si="64"/>
        <x:v>546405.57519999996</x:v>
      </x:c>
      <x:c r="M278" s="10">
        <x:v>0.58287438076918874</x:v>
      </x:c>
      <x:c r="N278" s="8">
        <x:f t="shared" si="71"/>
        <x:v>318485.81129353237</x:v>
      </x:c>
      <x:c r="O278" s="8">
        <x:f t="shared" si="72"/>
        <x:v>222299.01925751634</x:v>
      </x:c>
      <x:c r="P278" s="8">
        <x:f t="shared" si="73"/>
        <x:v>80423.287462534485</x:v>
      </x:c>
      <x:c r="Q278" s="8">
        <x:f t="shared" si="74"/>
        <x:v>15763.504573481538</x:v>
      </x:c>
      <x:c r="R278" s="8">
        <x:f t="shared" si="75"/>
        <x:v>0</x:v>
      </x:c>
      <x:c r="T278" s="10">
        <x:f t="shared" si="76"/>
        <x:v>0</x:v>
      </x:c>
    </x:row>
    <x:row r="279" spans="1:22" s="6" customFormat="1">
      <x:c r="A279" s="6" t="s">
        <x:v>89</x:v>
      </x:c>
      <x:c r="B279" s="6" t="s">
        <x:v>84</x:v>
      </x:c>
      <x:c r="C279" s="8">
        <x:v>1012800.6300000001</x:v>
      </x:c>
      <x:c r="D279" s="8">
        <x:v>431921.03000000009</x:v>
      </x:c>
      <x:c r="E279" s="8">
        <x:v>540262.56999999995</x:v>
      </x:c>
      <x:c r="F279" s="8">
        <x:v>40617.03</x:v>
      </x:c>
      <x:c r="G279" s="8"/>
      <x:c r="H279" s="8"/>
      <x:c r="I279" s="6">
        <x:v>25</x:v>
      </x:c>
      <x:c r="J279" s="6">
        <x:v>2.5</x:v>
      </x:c>
      <x:c r="K279" s="7">
        <x:v>0</x:v>
      </x:c>
      <x:c r="L279" s="9">
        <x:f t="shared" si="64"/>
        <x:v>911520.56700000016</x:v>
      </x:c>
      <x:c r="M279" s="10">
        <x:v>0.58287438076918874</x:v>
      </x:c>
      <x:c r="N279" s="8">
        <x:f t="shared" si="71"/>
        <x:v>531301.98604850494</x:v>
      </x:c>
      <x:c r="O279" s="8">
        <x:f t="shared" si="72"/>
        <x:v>226580.13261219626</x:v>
      </x:c>
      <x:c r="P279" s="8">
        <x:f t="shared" si="73"/>
        <x:v>283414.6898473684</x:v>
      </x:c>
      <x:c r="Q279" s="8">
        <x:f t="shared" si="74"/>
        <x:v>21307.163588940206</x:v>
      </x:c>
      <x:c r="R279" s="8">
        <x:f t="shared" si="75"/>
        <x:v>0</x:v>
      </x:c>
      <x:c r="T279" s="10">
        <x:f t="shared" si="76"/>
        <x:v>0</x:v>
      </x:c>
    </x:row>
    <x:row r="280" spans="1:22" s="6" customFormat="1">
      <x:c r="A280" s="6" t="s">
        <x:v>89</x:v>
      </x:c>
      <x:c r="B280" s="6" t="s">
        <x:v>26</x:v>
      </x:c>
      <x:c r="C280" s="8">
        <x:v>1451233.0799999996</x:v>
      </x:c>
      <x:c r="D280" s="8">
        <x:v>915843.58</x:v>
      </x:c>
      <x:c r="E280" s="8">
        <x:v>491115.57999999978</x:v>
      </x:c>
      <x:c r="F280" s="8">
        <x:v>44273.919999999984</x:v>
      </x:c>
      <x:c r="G280" s="8"/>
      <x:c r="H280" s="8"/>
      <x:c r="I280" s="6">
        <x:v>25</x:v>
      </x:c>
      <x:c r="J280" s="6">
        <x:v>1.5</x:v>
      </x:c>
      <x:c r="K280" s="7">
        <x:v>0</x:v>
      </x:c>
      <x:c r="L280" s="9">
        <x:f t="shared" si="64"/>
        <x:v>1364159.0951999996</x:v>
      </x:c>
      <x:c r="M280" s="10">
        <x:v>0.58287438076918874</x:v>
      </x:c>
      <x:c r="N280" s="8">
        <x:f t="shared" si="71"/>
        <x:v>795133.38788535655</x:v>
      </x:c>
      <x:c r="O280" s="8">
        <x:f t="shared" si="72"/>
        <x:v>501792.45399950066</x:v>
      </x:c>
      <x:c r="P280" s="8">
        <x:f t="shared" si="73"/>
        <x:v>269083.16820388479</x:v>
      </x:c>
      <x:c r="Q280" s="8">
        <x:f t="shared" si="74"/>
        <x:v>24257.765681971116</x:v>
      </x:c>
      <x:c r="R280" s="8">
        <x:f t="shared" si="75"/>
        <x:v>0</x:v>
      </x:c>
      <x:c r="T280" s="10">
        <x:f t="shared" si="76"/>
        <x:v>0</x:v>
      </x:c>
    </x:row>
    <x:row r="281" spans="1:22" s="6" customFormat="1">
      <x:c r="A281" s="6" t="s">
        <x:v>89</x:v>
      </x:c>
      <x:c r="B281" s="11">
        <x:v>2000</x:v>
      </x:c>
      <x:c r="C281" s="8">
        <x:v>456046.79</x:v>
      </x:c>
      <x:c r="D281" s="8">
        <x:v>337807.25</x:v>
      </x:c>
      <x:c r="E281" s="8">
        <x:v>99390.83</x:v>
      </x:c>
      <x:c r="F281" s="8">
        <x:v>18848.71</x:v>
      </x:c>
      <x:c r="G281" s="8"/>
      <x:c r="H281" s="8"/>
      <x:c r="I281" s="6">
        <x:v>25</x:v>
      </x:c>
      <x:c r="J281" s="6">
        <x:v>1.5</x:v>
      </x:c>
      <x:c r="K281" s="7">
        <x:v>0</x:v>
      </x:c>
      <x:c r="L281" s="9">
        <x:f t="shared" ref="L281" si="77">+C281*(1-J281/I281)*(1-K281)</x:f>
        <x:v>428683.98259999993</x:v>
      </x:c>
      <x:c r="M281" s="10">
        <x:v>0.58287438076918874</x:v>
      </x:c>
      <x:c r="N281" s="8">
        <x:f t="shared" ref="N281" si="78">+L281*M281</x:f>
        <x:v>249868.91090364463</x:v>
      </x:c>
      <x:c r="O281" s="8">
        <x:f t="shared" ref="O281" si="79">+$N281*D281/$C281</x:f>
        <x:v>185085.24016330697</x:v>
      </x:c>
      <x:c r="P281" s="8">
        <x:f t="shared" ref="P281" si="80">+$N281*E281/$C281</x:f>
        <x:v>54456.426380962555</x:v>
      </x:c>
      <x:c r="Q281" s="8">
        <x:f t="shared" ref="Q281" si="81">+$N281*F281/$C281</x:f>
        <x:v>10327.244359375132</x:v>
      </x:c>
      <x:c r="R281" s="8">
        <x:f t="shared" ref="R281" si="82">+$N281*G281/$C281</x:f>
        <x:v>0</x:v>
      </x:c>
      <x:c r="T281" s="10"/>
    </x:row>
    <x:row r="282" spans="1:22" s="6" customFormat="1">
      <x:c r="C282" s="8">
        <x:f>SUM(C257:C281)</x:f>
        <x:v>61540831.119999997</x:v>
      </x:c>
      <x:c r="D282" s="8">
        <x:f>SUM(D257:D281)</x:f>
        <x:v>35716452.38000001</x:v>
      </x:c>
      <x:c r="E282" s="8">
        <x:f>SUM(E257:E281)</x:f>
        <x:v>22852989.259999998</x:v>
      </x:c>
      <x:c r="F282" s="8">
        <x:f>SUM(F257:F281)</x:f>
        <x:v>2971389.4800000004</x:v>
      </x:c>
      <x:c r="G282" s="8"/>
      <x:c r="H282" s="8"/>
      <x:c r="I282" s="8"/>
      <x:c r="J282" s="8"/>
      <x:c r="K282" s="8"/>
      <x:c r="L282" s="8">
        <x:f>SUM(L257:L281)</x:f>
        <x:v>22380202.479200002</x:v>
      </x:c>
      <x:c r="M282" s="8">
        <x:v>13044846.661552764</x:v>
      </x:c>
      <x:c r="N282" s="8">
        <x:f>SUM(N257:N281)</x:f>
        <x:v>13044846.661552763</x:v>
      </x:c>
      <x:c r="O282" s="8">
        <x:f t="shared" ref="O282:Q282" si="83">SUM(O257:O281)</x:f>
        <x:v>7783144.5425178604</x:v>
      </x:c>
      <x:c r="P282" s="8">
        <x:f t="shared" si="83"/>
        <x:v>4724590.1002623523</x:v>
      </x:c>
      <x:c r="Q282" s="8">
        <x:f t="shared" si="83"/>
        <x:v>537112.01877254981</x:v>
      </x:c>
      <x:c r="R282" s="8">
        <x:f t="shared" ref="R282" si="84">SUM(R257:R280)</x:f>
        <x:v>0</x:v>
      </x:c>
      <x:c r="T282" s="10">
        <x:f t="shared" si="76"/>
        <x:v>0</x:v>
      </x:c>
      <x:c r="V282" s="6">
        <x:v>13044846.66</x:v>
      </x:c>
    </x:row>
    <x:row r="283" spans="1:22">
      <x:c r="L283" s="2"/>
      <x:c r="T283" s="5">
        <x:f t="shared" si="76"/>
        <x:v>0</x:v>
      </x:c>
    </x:row>
    <x:row r="284" spans="1:22">
      <x:c r="A284" t="s">
        <x:v>90</x:v>
      </x:c>
      <x:c r="B284" t="s">
        <x:v>7</x:v>
      </x:c>
      <x:c r="C284" s="1">
        <x:v>1295420.1400000001</x:v>
      </x:c>
      <x:c r="D284" s="1">
        <x:v>61904.520000000004</x:v>
      </x:c>
      <x:c r="E284" s="1">
        <x:v>1135998.54</x:v>
      </x:c>
      <x:c r="F284" s="1">
        <x:v>97517.079999999987</x:v>
      </x:c>
      <x:c r="I284">
        <x:v>15</x:v>
      </x:c>
      <x:c r="J284">
        <x:v>14.5</x:v>
      </x:c>
      <x:c r="K284" s="4">
        <x:v>0.1</x:v>
      </x:c>
      <x:c r="L284" s="2">
        <x:f t="shared" ref="L284:L370" si="85">+C284*(1-J284/I284)*(1-K284)</x:f>
        <x:v>38862.604199999994</x:v>
      </x:c>
      <x:c r="M284" s="5">
        <x:f t="shared" ref="M284" si="86">$M$298</x:f>
        <x:v>0.5654829846148961</x:v>
      </x:c>
      <x:c r="N284" s="1">
        <x:f t="shared" ref="N284:N298" si="87">+L284*M284</x:f>
        <x:v>21976.141412923393</x:v>
      </x:c>
      <x:c r="O284" s="1">
        <x:f t="shared" ref="O284:O298" si="88">+$N284*D284/$C284</x:f>
        <x:v>1050.1785819225756</x:v>
      </x:c>
      <x:c r="P284" s="1">
        <x:f t="shared" ref="P284:P298" si="89">+$N284*E284/$C284</x:f>
        <x:v>19271.635347520929</x:v>
      </x:c>
      <x:c r="Q284" s="1">
        <x:f t="shared" ref="Q284:Q298" si="90">+$N284*F284/$C284</x:f>
        <x:v>1654.3274834798872</x:v>
      </x:c>
      <x:c r="R284" s="1">
        <x:f t="shared" ref="R284:R298" si="91">+$N284*G284/$C284</x:f>
        <x:v>0</x:v>
      </x:c>
      <x:c r="T284" s="5">
        <x:f t="shared" si="76"/>
        <x:v>0</x:v>
      </x:c>
    </x:row>
    <x:row r="285" spans="1:22">
      <x:c r="A285" t="s">
        <x:v>90</x:v>
      </x:c>
      <x:c r="B285" t="s">
        <x:v>6</x:v>
      </x:c>
      <x:c r="C285" s="1">
        <x:v>1011153.29</x:v>
      </x:c>
      <x:c r="D285" s="1">
        <x:v>82170.259999999995</x:v>
      </x:c>
      <x:c r="E285" s="1">
        <x:v>849244.59</x:v>
      </x:c>
      <x:c r="F285" s="1">
        <x:v>79738.440000000061</x:v>
      </x:c>
      <x:c r="I285">
        <x:v>15</x:v>
      </x:c>
      <x:c r="J285">
        <x:v>13.5</x:v>
      </x:c>
      <x:c r="K285" s="4">
        <x:v>0.1</x:v>
      </x:c>
      <x:c r="L285" s="2">
        <x:f t="shared" si="85"/>
        <x:v>91003.796099999992</x:v>
      </x:c>
      <x:c r="M285" s="5">
        <x:v>0.5654829846148961</x:v>
      </x:c>
      <x:c r="N285" s="1">
        <x:f t="shared" si="87"/>
        <x:v>51461.098229913434</x:v>
      </x:c>
      <x:c r="O285" s="1">
        <x:f t="shared" si="88"/>
        <x:v>4181.9295484243803</x:v>
      </x:c>
      <x:c r="P285" s="1">
        <x:f t="shared" si="89"/>
        <x:v>43221.002887912822</x:v>
      </x:c>
      <x:c r="Q285" s="1">
        <x:f t="shared" si="90"/>
        <x:v>4058.1657935762255</x:v>
      </x:c>
      <x:c r="R285" s="1">
        <x:f t="shared" si="91"/>
        <x:v>0</x:v>
      </x:c>
      <x:c r="T285" s="5">
        <x:f t="shared" si="76"/>
        <x:v>0</x:v>
      </x:c>
    </x:row>
    <x:row r="286" spans="1:22">
      <x:c r="A286" t="s">
        <x:v>90</x:v>
      </x:c>
      <x:c r="B286" t="s">
        <x:v>5</x:v>
      </x:c>
      <x:c r="C286" s="1">
        <x:v>286857.08</x:v>
      </x:c>
      <x:c r="D286" s="1">
        <x:v>57371.420000000006</x:v>
      </x:c>
      <x:c r="E286" s="1">
        <x:v>180719.96</x:v>
      </x:c>
      <x:c r="F286" s="1">
        <x:v>48765.700000000004</x:v>
      </x:c>
      <x:c r="I286">
        <x:v>15</x:v>
      </x:c>
      <x:c r="J286">
        <x:v>12.5</x:v>
      </x:c>
      <x:c r="K286" s="4">
        <x:v>0.1</x:v>
      </x:c>
      <x:c r="L286" s="2">
        <x:f t="shared" si="85"/>
        <x:v>43028.561999999998</x:v>
      </x:c>
      <x:c r="M286" s="5">
        <x:v>0.5654829846148961</x:v>
      </x:c>
      <x:c r="N286" s="1">
        <x:f t="shared" si="87"/>
        <x:v>24331.919663447101</x:v>
      </x:c>
      <x:c r="O286" s="1">
        <x:f t="shared" si="88"/>
        <x:v>4866.384271979211</x:v>
      </x:c>
      <x:c r="P286" s="1">
        <x:f t="shared" si="89"/>
        <x:v>15329.109354042694</x:v>
      </x:c>
      <x:c r="Q286" s="1">
        <x:f t="shared" si="90"/>
        <x:v>4136.4260374251953</x:v>
      </x:c>
      <x:c r="R286" s="1">
        <x:f t="shared" si="91"/>
        <x:v>0</x:v>
      </x:c>
      <x:c r="T286" s="5">
        <x:f t="shared" si="76"/>
        <x:v>0</x:v>
      </x:c>
    </x:row>
    <x:row r="287" spans="1:22">
      <x:c r="A287" t="s">
        <x:v>90</x:v>
      </x:c>
      <x:c r="B287" t="s">
        <x:v>4</x:v>
      </x:c>
      <x:c r="C287" s="1">
        <x:v>516123.05</x:v>
      </x:c>
      <x:c r="D287" s="1">
        <x:v>105956.46</x:v>
      </x:c>
      <x:c r="E287" s="1">
        <x:v>346395.04999999993</x:v>
      </x:c>
      <x:c r="F287" s="1">
        <x:v>63771.54000000003</x:v>
      </x:c>
      <x:c r="I287">
        <x:v>15</x:v>
      </x:c>
      <x:c r="J287">
        <x:v>11.5</x:v>
      </x:c>
      <x:c r="K287" s="4">
        <x:v>0.1</x:v>
      </x:c>
      <x:c r="L287" s="2">
        <x:f t="shared" si="85"/>
        <x:v>108385.84049999998</x:v>
      </x:c>
      <x:c r="M287" s="5">
        <x:v>0.5654829846148961</x:v>
      </x:c>
      <x:c r="N287" s="1">
        <x:f t="shared" si="87"/>
        <x:v>61290.348575934069</x:v>
      </x:c>
      <x:c r="O287" s="1">
        <x:f t="shared" si="88"/>
        <x:v>12582.480800406058</x:v>
      </x:c>
      <x:c r="P287" s="1">
        <x:f t="shared" si="89"/>
        <x:v>41134.906413263481</x:v>
      </x:c>
      <x:c r="Q287" s="1">
        <x:f t="shared" si="90"/>
        <x:v>7572.9613622645302</x:v>
      </x:c>
      <x:c r="R287" s="1">
        <x:f t="shared" si="91"/>
        <x:v>0</x:v>
      </x:c>
      <x:c r="T287" s="5">
        <x:f t="shared" si="76"/>
        <x:v>0</x:v>
      </x:c>
    </x:row>
    <x:row r="288" spans="1:22">
      <x:c r="A288" t="s">
        <x:v>90</x:v>
      </x:c>
      <x:c r="B288" t="s">
        <x:v>3</x:v>
      </x:c>
      <x:c r="C288" s="1">
        <x:v>1240648.0699999998</x:v>
      </x:c>
      <x:c r="D288" s="1">
        <x:v>115512.31</x:v>
      </x:c>
      <x:c r="E288" s="1">
        <x:v>1023485.15</x:v>
      </x:c>
      <x:c r="F288" s="1">
        <x:v>101650.60999999999</x:v>
      </x:c>
      <x:c r="I288">
        <x:v>15</x:v>
      </x:c>
      <x:c r="J288">
        <x:v>10.5</x:v>
      </x:c>
      <x:c r="K288" s="4">
        <x:v>0.1</x:v>
      </x:c>
      <x:c r="L288" s="2">
        <x:f t="shared" si="85"/>
        <x:v>334974.97890000005</x:v>
      </x:c>
      <x:c r="M288" s="5">
        <x:v>0.5654829846148961</x:v>
      </x:c>
      <x:c r="N288" s="1">
        <x:f t="shared" si="87"/>
        <x:v>189422.65083968386</x:v>
      </x:c>
      <x:c r="O288" s="1">
        <x:f t="shared" si="88"/>
        <x:v>17636.466371011502</x:v>
      </x:c>
      <x:c r="P288" s="1">
        <x:f t="shared" si="89"/>
        <x:v>156266.12807937668</x:v>
      </x:c>
      <x:c r="Q288" s="1">
        <x:f t="shared" si="90"/>
        <x:v>15520.0563892957</x:v>
      </x:c>
      <x:c r="R288" s="1">
        <x:f t="shared" si="91"/>
        <x:v>0</x:v>
      </x:c>
      <x:c r="T288" s="5">
        <x:f t="shared" si="76"/>
        <x:v>0</x:v>
      </x:c>
    </x:row>
    <x:row r="289" spans="1:20">
      <x:c r="A289" t="s">
        <x:v>90</x:v>
      </x:c>
      <x:c r="B289" t="s">
        <x:v>2</x:v>
      </x:c>
      <x:c r="C289" s="1">
        <x:v>151023.70000000001</x:v>
      </x:c>
      <x:c r="D289" s="1">
        <x:v>202074.07</x:v>
      </x:c>
      <x:c r="E289" s="1">
        <x:v>-51050.369999999995</x:v>
      </x:c>
      <x:c r="I289">
        <x:v>15</x:v>
      </x:c>
      <x:c r="J289">
        <x:v>9.5</x:v>
      </x:c>
      <x:c r="K289" s="4">
        <x:v>0.1</x:v>
      </x:c>
      <x:c r="L289" s="2">
        <x:f t="shared" si="85"/>
        <x:v>49837.821000000011</x:v>
      </x:c>
      <x:c r="M289" s="5">
        <x:v>0.5654829846148961</x:v>
      </x:c>
      <x:c r="N289" s="1">
        <x:f t="shared" si="87"/>
        <x:v>28182.43976578295</x:v>
      </x:c>
      <x:c r="O289" s="1">
        <x:f t="shared" si="88"/>
        <x:v>37708.917911570221</x:v>
      </x:c>
      <x:c r="P289" s="1">
        <x:f t="shared" si="89"/>
        <x:v>-9526.4781457872687</x:v>
      </x:c>
      <x:c r="Q289" s="1">
        <x:f t="shared" si="90"/>
        <x:v>0</x:v>
      </x:c>
      <x:c r="R289" s="1">
        <x:f t="shared" si="91"/>
        <x:v>0</x:v>
      </x:c>
      <x:c r="T289" s="5">
        <x:f t="shared" si="76"/>
        <x:v>0</x:v>
      </x:c>
    </x:row>
    <x:row r="290" spans="1:20">
      <x:c r="A290" t="s">
        <x:v>90</x:v>
      </x:c>
      <x:c r="B290" t="s">
        <x:v>1</x:v>
      </x:c>
      <x:c r="C290" s="1">
        <x:v>835263.17999999982</x:v>
      </x:c>
      <x:c r="D290" s="1">
        <x:v>185031.61</x:v>
      </x:c>
      <x:c r="E290" s="1">
        <x:v>541478.6399999999</x:v>
      </x:c>
      <x:c r="F290" s="1">
        <x:v>108752.92999999998</x:v>
      </x:c>
      <x:c r="I290">
        <x:v>15</x:v>
      </x:c>
      <x:c r="J290">
        <x:v>8.5</x:v>
      </x:c>
      <x:c r="K290" s="4">
        <x:v>0.1</x:v>
      </x:c>
      <x:c r="L290" s="2">
        <x:f t="shared" si="85"/>
        <x:v>325752.64019999991</x:v>
      </x:c>
      <x:c r="M290" s="5">
        <x:v>0.5654829846148961</x:v>
      </x:c>
      <x:c r="N290" s="1">
        <x:f t="shared" si="87"/>
        <x:v>184207.57522647834</x:v>
      </x:c>
      <x:c r="O290" s="1">
        <x:f t="shared" si="88"/>
        <x:v>40806.568557650782</x:v>
      </x:c>
      <x:c r="P290" s="1">
        <x:f t="shared" si="89"/>
        <x:v>119416.81340644177</x:v>
      </x:c>
      <x:c r="Q290" s="1">
        <x:f t="shared" si="90"/>
        <x:v>23984.193262385794</x:v>
      </x:c>
      <x:c r="R290" s="1">
        <x:f t="shared" si="91"/>
        <x:v>0</x:v>
      </x:c>
      <x:c r="T290" s="5">
        <x:f t="shared" si="76"/>
        <x:v>0</x:v>
      </x:c>
    </x:row>
    <x:row r="291" spans="1:20">
      <x:c r="A291" t="s">
        <x:v>90</x:v>
      </x:c>
      <x:c r="B291" t="s">
        <x:v>21</x:v>
      </x:c>
      <x:c r="C291" s="1">
        <x:v>632375.32999999996</x:v>
      </x:c>
      <x:c r="D291" s="1">
        <x:v>171124.06</x:v>
      </x:c>
      <x:c r="E291" s="1">
        <x:v>371506.14999999997</x:v>
      </x:c>
      <x:c r="F291" s="1">
        <x:v>89745.119999999981</x:v>
      </x:c>
      <x:c r="I291">
        <x:v>15</x:v>
      </x:c>
      <x:c r="J291">
        <x:v>7.5</x:v>
      </x:c>
      <x:c r="K291" s="4">
        <x:v>0.1</x:v>
      </x:c>
      <x:c r="L291" s="2">
        <x:f t="shared" si="85"/>
        <x:v>284568.89850000001</x:v>
      </x:c>
      <x:c r="M291" s="5">
        <x:v>0.5654829846148961</x:v>
      </x:c>
      <x:c r="N291" s="1">
        <x:f t="shared" si="87"/>
        <x:v>160918.87005235345</x:v>
      </x:c>
      <x:c r="O291" s="1">
        <x:f t="shared" si="88"/>
        <x:v>43545.484884698359</x:v>
      </x:c>
      <x:c r="P291" s="1">
        <x:f t="shared" si="89"/>
        <x:v>94536.182927155183</x:v>
      </x:c>
      <x:c r="Q291" s="1">
        <x:f t="shared" si="90"/>
        <x:v>22837.202240499901</x:v>
      </x:c>
      <x:c r="R291" s="1">
        <x:f t="shared" si="91"/>
        <x:v>0</x:v>
      </x:c>
      <x:c r="T291" s="5">
        <x:f t="shared" si="76"/>
        <x:v>0</x:v>
      </x:c>
    </x:row>
    <x:row r="292" spans="1:20">
      <x:c r="A292" t="s">
        <x:v>90</x:v>
      </x:c>
      <x:c r="B292" t="s">
        <x:v>20</x:v>
      </x:c>
      <x:c r="C292" s="1">
        <x:v>958469.15999999992</x:v>
      </x:c>
      <x:c r="D292" s="1">
        <x:v>90891.839999999997</x:v>
      </x:c>
      <x:c r="E292" s="1">
        <x:v>780430.6399999999</x:v>
      </x:c>
      <x:c r="F292" s="1">
        <x:v>87146.680000000022</x:v>
      </x:c>
      <x:c r="I292">
        <x:v>15</x:v>
      </x:c>
      <x:c r="J292">
        <x:v>6.5</x:v>
      </x:c>
      <x:c r="K292" s="4">
        <x:v>0.1</x:v>
      </x:c>
      <x:c r="L292" s="2">
        <x:f t="shared" si="85"/>
        <x:v>488819.27159999998</x:v>
      </x:c>
      <x:c r="M292" s="5">
        <x:v>0.5654829846148961</x:v>
      </x:c>
      <x:c r="N292" s="1">
        <x:f t="shared" si="87"/>
        <x:v>276418.98064164753</x:v>
      </x:c>
      <x:c r="O292" s="1">
        <x:f t="shared" si="88"/>
        <x:v>26212.872369773198</x:v>
      </x:c>
      <x:c r="P292" s="1">
        <x:f t="shared" si="89"/>
        <x:v>225073.32627197789</x:v>
      </x:c>
      <x:c r="Q292" s="1">
        <x:f t="shared" si="90"/>
        <x:v>25132.781999896441</x:v>
      </x:c>
      <x:c r="R292" s="1">
        <x:f t="shared" si="91"/>
        <x:v>0</x:v>
      </x:c>
      <x:c r="T292" s="5">
        <x:f t="shared" si="76"/>
        <x:v>0</x:v>
      </x:c>
    </x:row>
    <x:row r="293" spans="1:20">
      <x:c r="A293" t="s">
        <x:v>90</x:v>
      </x:c>
      <x:c r="B293" t="s">
        <x:v>19</x:v>
      </x:c>
      <x:c r="C293" s="1">
        <x:v>689709.42999999993</x:v>
      </x:c>
      <x:c r="D293" s="1">
        <x:v>47817.52</x:v>
      </x:c>
      <x:c r="E293" s="1">
        <x:v>613813.78999999992</x:v>
      </x:c>
      <x:c r="F293" s="1">
        <x:v>28078.119999999984</x:v>
      </x:c>
      <x:c r="I293">
        <x:v>15</x:v>
      </x:c>
      <x:c r="J293">
        <x:v>5.5</x:v>
      </x:c>
      <x:c r="K293" s="4">
        <x:v>0.1</x:v>
      </x:c>
      <x:c r="L293" s="2">
        <x:f t="shared" si="85"/>
        <x:v>393134.37509999995</x:v>
      </x:c>
      <x:c r="M293" s="5">
        <x:v>0.5654829846148961</x:v>
      </x:c>
      <x:c r="N293" s="1">
        <x:f t="shared" si="87"/>
        <x:v>222310.79978626006</x:v>
      </x:c>
      <x:c r="O293" s="1">
        <x:f t="shared" si="88"/>
        <x:v>15412.796538095015</x:v>
      </x:c>
      <x:c r="P293" s="1">
        <x:f t="shared" si="89"/>
        <x:v>197847.71476117917</x:v>
      </x:c>
      <x:c r="Q293" s="1">
        <x:f t="shared" si="90"/>
        <x:v>9050.2884869858626</x:v>
      </x:c>
      <x:c r="R293" s="1">
        <x:f t="shared" si="91"/>
        <x:v>0</x:v>
      </x:c>
      <x:c r="T293" s="5">
        <x:f t="shared" si="76"/>
        <x:v>0</x:v>
      </x:c>
    </x:row>
    <x:row r="294" spans="1:20">
      <x:c r="A294" t="s">
        <x:v>90</x:v>
      </x:c>
      <x:c r="B294" t="s">
        <x:v>18</x:v>
      </x:c>
      <x:c r="C294" s="1">
        <x:v>1635819.52</x:v>
      </x:c>
      <x:c r="D294" s="1">
        <x:v>819435.04</x:v>
      </x:c>
      <x:c r="E294" s="1">
        <x:v>751992.67999999993</x:v>
      </x:c>
      <x:c r="F294" s="1">
        <x:v>64391.799999999988</x:v>
      </x:c>
      <x:c r="I294">
        <x:v>15</x:v>
      </x:c>
      <x:c r="J294">
        <x:v>4.5</x:v>
      </x:c>
      <x:c r="K294" s="4">
        <x:v>0.1</x:v>
      </x:c>
      <x:c r="L294" s="2">
        <x:f t="shared" si="85"/>
        <x:v>1030566.2975999999</x:v>
      </x:c>
      <x:c r="M294" s="5">
        <x:v>0.5654829846148961</x:v>
      </x:c>
      <x:c r="N294" s="1">
        <x:f t="shared" si="87"/>
        <x:v>582767.7058103712</x:v>
      </x:c>
      <x:c r="O294" s="1">
        <x:f t="shared" si="88"/>
        <x:v>291927.24043385289</x:v>
      </x:c>
      <x:c r="P294" s="1">
        <x:f t="shared" si="89"/>
        <x:v>267900.6110098213</x:v>
      </x:c>
      <x:c r="Q294" s="1">
        <x:f t="shared" si="90"/>
        <x:v>22939.854366697036</x:v>
      </x:c>
      <x:c r="R294" s="1">
        <x:f t="shared" si="91"/>
        <x:v>0</x:v>
      </x:c>
      <x:c r="T294" s="5">
        <x:f t="shared" si="76"/>
        <x:v>0</x:v>
      </x:c>
    </x:row>
    <x:row r="295" spans="1:20">
      <x:c r="A295" t="s">
        <x:v>90</x:v>
      </x:c>
      <x:c r="B295" t="s">
        <x:v>17</x:v>
      </x:c>
      <x:c r="C295" s="1">
        <x:v>744701.20999999985</x:v>
      </x:c>
      <x:c r="D295" s="1">
        <x:v>239509.65000000002</x:v>
      </x:c>
      <x:c r="E295" s="1">
        <x:v>403236.73999999987</x:v>
      </x:c>
      <x:c r="F295" s="1">
        <x:v>101954.81999999998</x:v>
      </x:c>
      <x:c r="I295">
        <x:v>15</x:v>
      </x:c>
      <x:c r="J295">
        <x:v>3.5</x:v>
      </x:c>
      <x:c r="K295" s="4">
        <x:v>0.1</x:v>
      </x:c>
      <x:c r="L295" s="2">
        <x:f t="shared" si="85"/>
        <x:v>513843.8348999999</x:v>
      </x:c>
      <x:c r="M295" s="5">
        <x:v>0.5654829846148961</x:v>
      </x:c>
      <x:c r="N295" s="1">
        <x:f t="shared" si="87"/>
        <x:v>290569.94538521586</x:v>
      </x:c>
      <x:c r="O295" s="1">
        <x:f t="shared" si="88"/>
        <x:v>93452.655890987735</x:v>
      </x:c>
      <x:c r="P295" s="1">
        <x:f t="shared" si="89"/>
        <x:v>157336.22551669076</x:v>
      </x:c>
      <x:c r="Q295" s="1">
        <x:f t="shared" si="90"/>
        <x:v>39781.0639775374</x:v>
      </x:c>
      <x:c r="R295" s="1">
        <x:f t="shared" si="91"/>
        <x:v>0</x:v>
      </x:c>
      <x:c r="T295" s="5">
        <x:f t="shared" si="76"/>
        <x:v>0</x:v>
      </x:c>
    </x:row>
    <x:row r="296" spans="1:20">
      <x:c r="A296" t="s">
        <x:v>90</x:v>
      </x:c>
      <x:c r="B296" t="s">
        <x:v>16</x:v>
      </x:c>
      <x:c r="C296" s="1">
        <x:v>532873.72</x:v>
      </x:c>
      <x:c r="D296" s="1">
        <x:v>284.16000000000003</x:v>
      </x:c>
      <x:c r="E296" s="1">
        <x:v>514037.23000000004</x:v>
      </x:c>
      <x:c r="F296" s="1">
        <x:v>18552.329999999958</x:v>
      </x:c>
      <x:c r="I296">
        <x:v>15</x:v>
      </x:c>
      <x:c r="J296">
        <x:v>2.5</x:v>
      </x:c>
      <x:c r="K296" s="4">
        <x:v>0.1</x:v>
      </x:c>
      <x:c r="L296" s="2">
        <x:f t="shared" si="85"/>
        <x:v>399655.29000000004</x:v>
      </x:c>
      <x:c r="M296" s="5">
        <x:v>0.5654829846148961</x:v>
      </x:c>
      <x:c r="N296" s="1">
        <x:f t="shared" si="87"/>
        <x:v>225998.26620633187</x:v>
      </x:c>
      <x:c r="O296" s="1">
        <x:f t="shared" si="88"/>
        <x:v>120.51573368112669</x:v>
      </x:c>
      <x:c r="P296" s="1">
        <x:f t="shared" si="89"/>
        <x:v>218009.4802676804</x:v>
      </x:c>
      <x:c r="Q296" s="1">
        <x:f t="shared" si="90"/>
        <x:v>7868.2702049703403</x:v>
      </x:c>
      <x:c r="R296" s="1">
        <x:f t="shared" si="91"/>
        <x:v>0</x:v>
      </x:c>
      <x:c r="T296" s="5">
        <x:f t="shared" si="76"/>
        <x:v>0</x:v>
      </x:c>
    </x:row>
    <x:row r="297" spans="1:20">
      <x:c r="A297" t="s">
        <x:v>90</x:v>
      </x:c>
      <x:c r="B297" t="s">
        <x:v>15</x:v>
      </x:c>
      <x:c r="C297" s="1">
        <x:v>733537.90000000014</x:v>
      </x:c>
      <x:c r="D297" s="1">
        <x:v>22938.940000000002</x:v>
      </x:c>
      <x:c r="E297" s="1">
        <x:v>690640.17</x:v>
      </x:c>
      <x:c r="F297" s="1">
        <x:v>19958.790000000008</x:v>
      </x:c>
      <x:c r="I297">
        <x:v>15</x:v>
      </x:c>
      <x:c r="J297">
        <x:v>1.5</x:v>
      </x:c>
      <x:c r="K297" s="4">
        <x:v>0.1</x:v>
      </x:c>
      <x:c r="L297" s="2">
        <x:f t="shared" si="85"/>
        <x:v>594165.69900000014</x:v>
      </x:c>
      <x:c r="M297" s="5">
        <x:v>0.5654829846148961</x:v>
      </x:c>
      <x:c r="N297" s="1">
        <x:f t="shared" si="87"/>
        <x:v>335990.59282631607</x:v>
      </x:c>
      <x:c r="O297" s="1">
        <x:f t="shared" si="88"/>
        <x:v>10506.980006632641</x:v>
      </x:c>
      <x:c r="P297" s="1">
        <x:f t="shared" si="89"/>
        <x:v>316341.66434749682</x:v>
      </x:c>
      <x:c r="Q297" s="1">
        <x:f t="shared" si="90"/>
        <x:v>9141.9484721865774</x:v>
      </x:c>
      <x:c r="R297" s="1">
        <x:f t="shared" si="91"/>
        <x:v>0</x:v>
      </x:c>
      <x:c r="T297" s="5">
        <x:f t="shared" si="76"/>
        <x:v>0</x:v>
      </x:c>
    </x:row>
    <x:row r="298" spans="1:20">
      <x:c r="A298" t="s">
        <x:v>90</x:v>
      </x:c>
      <x:c r="B298" t="s">
        <x:v>14</x:v>
      </x:c>
      <x:c r="C298" s="1">
        <x:v>131199.28</x:v>
      </x:c>
      <x:c r="D298" s="1">
        <x:v>123400.34</x:v>
      </x:c>
      <x:c r="E298" s="1">
        <x:v>7553.3200000000006</x:v>
      </x:c>
      <x:c r="F298" s="1">
        <x:v>245.61999999999989</x:v>
      </x:c>
      <x:c r="I298">
        <x:v>15</x:v>
      </x:c>
      <x:c r="J298">
        <x:v>0.5</x:v>
      </x:c>
      <x:c r="K298" s="4">
        <x:v>0.1</x:v>
      </x:c>
      <x:c r="L298" s="2">
        <x:f t="shared" si="85"/>
        <x:v>114143.37359999999</x:v>
      </x:c>
      <x:c r="M298" s="5">
        <x:v>0.5654829846148961</x:v>
      </x:c>
      <x:c r="N298" s="1">
        <x:f t="shared" si="87"/>
        <x:v>64546.135577341134</x:v>
      </x:c>
      <x:c r="O298" s="1">
        <x:f t="shared" si="88"/>
        <x:v>60709.289532152856</x:v>
      </x:c>
      <x:c r="P298" s="1">
        <x:f t="shared" si="89"/>
        <x:v>3716.0083254957067</x:v>
      </x:c>
      <x:c r="Q298" s="1">
        <x:f t="shared" si="90"/>
        <x:v>120.83771969256632</x:v>
      </x:c>
      <x:c r="R298" s="1">
        <x:f t="shared" si="91"/>
        <x:v>0</x:v>
      </x:c>
      <x:c r="T298" s="5">
        <x:f t="shared" si="76"/>
        <x:v>0</x:v>
      </x:c>
    </x:row>
    <x:row r="299" spans="1:20">
      <x:c r="C299" s="1">
        <x:f>SUM(C284:C298)</x:f>
        <x:v>11395174.059999999</x:v>
      </x:c>
      <x:c r="D299" s="1">
        <x:f>SUM(D284:D298)</x:f>
        <x:v>2325422.2000000002</x:v>
      </x:c>
      <x:c r="E299" s="1">
        <x:f>SUM(E284:E298)</x:f>
        <x:v>8159482.2800000003</x:v>
      </x:c>
      <x:c r="F299" s="1">
        <x:f>SUM(F284:F298)</x:f>
        <x:v>910269.58</x:v>
      </x:c>
      <x:c r="G299" s="1">
        <x:f t="shared" ref="G299:Q299" si="92">SUM(G284:G298)</x:f>
        <x:v>0</x:v>
      </x:c>
      <x:c r="I299" s="1"/>
      <x:c r="J299" s="1"/>
      <x:c r="K299" s="1"/>
      <x:c r="L299" s="1">
        <x:f t="shared" si="92"/>
        <x:v>4810743.2831999995</x:v>
      </x:c>
      <x:c r="M299" s="1"/>
      <x:c r="N299" s="1">
        <x:f>SUM(N284:N298)</x:f>
        <x:v>2720393.4700000007</x:v>
      </x:c>
      <x:c r="O299" s="1">
        <x:f t="shared" si="92"/>
        <x:v>660720.76143283851</x:v>
      </x:c>
      <x:c r="P299" s="1">
        <x:f t="shared" si="92"/>
        <x:v>1865874.3307702683</x:v>
      </x:c>
      <x:c r="Q299" s="1">
        <x:f t="shared" si="92"/>
        <x:v>193798.37779689344</x:v>
      </x:c>
      <x:c r="T299" s="5">
        <x:f t="shared" si="76"/>
        <x:v>0</x:v>
      </x:c>
    </x:row>
    <x:row r="300" spans="1:20">
      <x:c r="L300" s="2"/>
      <x:c r="T300" s="5">
        <x:f t="shared" si="76"/>
        <x:v>0</x:v>
      </x:c>
    </x:row>
    <x:row r="301" spans="1:20">
      <x:c r="L301" s="2"/>
      <x:c r="T301" s="5"/>
    </x:row>
    <x:row r="302" spans="1:20">
      <x:c r="L302" s="2"/>
      <x:c r="T302" s="5">
        <x:f t="shared" si="76"/>
        <x:v>0</x:v>
      </x:c>
    </x:row>
    <x:row r="303" spans="1:20">
      <x:c r="L303" s="2"/>
      <x:c r="T303" s="5">
        <x:f t="shared" si="76"/>
        <x:v>0</x:v>
      </x:c>
    </x:row>
    <x:row r="304" spans="1:20">
      <x:c r="L304" s="2"/>
      <x:c r="T304" s="5">
        <x:f t="shared" si="76"/>
        <x:v>0</x:v>
      </x:c>
    </x:row>
    <x:row r="305" spans="1:21">
      <x:c r="L305" s="2"/>
      <x:c r="T305" s="5">
        <x:f t="shared" si="76"/>
        <x:v>0</x:v>
      </x:c>
    </x:row>
    <x:row r="306" spans="1:21">
      <x:c r="A306" t="s">
        <x:v>0</x:v>
      </x:c>
      <x:c r="B306" t="s">
        <x:v>7</x:v>
      </x:c>
      <x:c r="C306" s="1">
        <x:v>21519315.439999998</x:v>
      </x:c>
      <x:c r="D306" s="1">
        <x:v>5322157.0899999989</x:v>
      </x:c>
      <x:c r="E306" s="1">
        <x:v>8612030.0399999991</x:v>
      </x:c>
      <x:c r="F306" s="1">
        <x:v>2078335.48</x:v>
      </x:c>
      <x:c r="G306" s="1">
        <x:v>5506792.830000001</x:v>
      </x:c>
      <x:c r="H306" s="1">
        <x:f>SUM(D306:G306)-C306</x:f>
        <x:v>0</x:v>
      </x:c>
      <x:c r="I306">
        <x:v>5</x:v>
      </x:c>
      <x:c r="J306">
        <x:v>4.5</x:v>
      </x:c>
      <x:c r="K306" s="4">
        <x:v>0</x:v>
      </x:c>
      <x:c r="L306" s="2">
        <x:f t="shared" si="85"/>
        <x:v>2151931.5439999993</x:v>
      </x:c>
      <x:c r="M306">
        <x:f t="shared" ref="M306:M309" si="93">$M$310</x:f>
        <x:v>0.4165246929819611</x:v>
      </x:c>
      <x:c r="N306" s="1">
        <x:f t="shared" ref="N306:N312" si="94">+L306*M306</x:f>
        <x:v>896332.62568279717</x:v>
      </x:c>
      <x:c r="O306" s="1">
        <x:f t="shared" ref="O306:O312" si="95">+$N306*D306/$C306</x:f>
        <x:v>221680.98479140163</x:v>
      </x:c>
      <x:c r="P306" s="1">
        <x:f t="shared" ref="P306:P312" si="96">+$N306*E306/$C306</x:f>
        <x:v>358712.31683624251</x:v>
      </x:c>
      <x:c r="Q306" s="1">
        <x:f t="shared" ref="Q306:R312" si="97">+$N306*F306/$C306</x:f>
        <x:v>86567.804772051648</x:v>
      </x:c>
      <x:c r="R306" s="1">
        <x:f t="shared" si="97"/>
        <x:v>229371.51928310146</x:v>
      </x:c>
      <x:c r="T306" s="5">
        <x:f t="shared" si="76"/>
        <x:v>0</x:v>
      </x:c>
    </x:row>
    <x:row r="307" spans="1:21">
      <x:c r="A307" t="s">
        <x:v>0</x:v>
      </x:c>
      <x:c r="B307" t="s">
        <x:v>6</x:v>
      </x:c>
      <x:c r="C307" s="1">
        <x:v>12581497.510000002</x:v>
      </x:c>
      <x:c r="D307" s="1">
        <x:v>3111655.9599999995</x:v>
      </x:c>
      <x:c r="E307" s="1">
        <x:v>5035115.26</x:v>
      </x:c>
      <x:c r="F307" s="1">
        <x:v>1215121.05</x:v>
      </x:c>
      <x:c r="G307" s="1">
        <x:v>3219605.2400000007</x:v>
      </x:c>
      <x:c r="H307" s="1">
        <x:f t="shared" ref="H307:H313" si="98">SUM(D307:G307)-C307</x:f>
        <x:v>0</x:v>
      </x:c>
      <x:c r="I307">
        <x:v>5</x:v>
      </x:c>
      <x:c r="J307">
        <x:v>3.5</x:v>
      </x:c>
      <x:c r="K307" s="4">
        <x:v>0</x:v>
      </x:c>
      <x:c r="L307" s="2">
        <x:f t="shared" si="85"/>
        <x:v>3774449.253000001</x:v>
      </x:c>
      <x:c r="M307">
        <x:f t="shared" si="93"/>
        <x:v>0.4165246929819611</x:v>
      </x:c>
      <x:c r="N307" s="1">
        <x:f t="shared" si="94"/>
        <x:v>1572151.3162818179</x:v>
      </x:c>
      <x:c r="O307" s="1">
        <x:f t="shared" si="95"/>
        <x:v>388824.46302134683</x:v>
      </x:c>
      <x:c r="P307" s="1">
        <x:f t="shared" si="96"/>
        <x:v>629174.95134008618</x:v>
      </x:c>
      <x:c r="Q307" s="1">
        <x:f t="shared" si="97"/>
        <x:v>151838.3766861505</x:v>
      </x:c>
      <x:c r="R307" s="1">
        <x:f t="shared" si="97"/>
        <x:v>402313.52523423405</x:v>
      </x:c>
      <x:c r="T307" s="5">
        <x:f t="shared" si="76"/>
        <x:v>0</x:v>
      </x:c>
    </x:row>
    <x:row r="308" spans="1:21">
      <x:c r="A308" t="s">
        <x:v>0</x:v>
      </x:c>
      <x:c r="B308" t="s">
        <x:v>5</x:v>
      </x:c>
      <x:c r="C308" s="1">
        <x:v>23819739.059999999</x:v>
      </x:c>
      <x:c r="D308" s="1">
        <x:v>5891097.8600000003</x:v>
      </x:c>
      <x:c r="E308" s="1">
        <x:v>9532659.5699999984</x:v>
      </x:c>
      <x:c r="F308" s="1">
        <x:v>2300510.4</x:v>
      </x:c>
      <x:c r="G308" s="1">
        <x:v>6095471.2299999986</x:v>
      </x:c>
      <x:c r="H308" s="1">
        <x:f t="shared" si="98"/>
        <x:v>0</x:v>
      </x:c>
      <x:c r="I308">
        <x:v>5</x:v>
      </x:c>
      <x:c r="J308">
        <x:v>2.5</x:v>
      </x:c>
      <x:c r="K308" s="4">
        <x:v>0</x:v>
      </x:c>
      <x:c r="L308" s="2">
        <x:f t="shared" si="85"/>
        <x:v>11909869.529999999</x:v>
      </x:c>
      <x:c r="M308">
        <x:f t="shared" si="93"/>
        <x:v>0.4165246929819611</x:v>
      </x:c>
      <x:c r="N308" s="1">
        <x:f t="shared" si="94"/>
        <x:v>4960754.7494384628</x:v>
      </x:c>
      <x:c r="O308" s="1">
        <x:f t="shared" si="95"/>
        <x:v>1226893.8637315941</x:v>
      </x:c>
      <x:c r="P308" s="1">
        <x:f t="shared" si="96"/>
        <x:v>1985294.0503479012</x:v>
      </x:c>
      <x:c r="Q308" s="1">
        <x:f t="shared" si="97"/>
        <x:v>479109.69403090427</x:v>
      </x:c>
      <x:c r="R308" s="1">
        <x:f t="shared" si="97"/>
        <x:v>1269457.1413280629</x:v>
      </x:c>
      <x:c r="T308" s="5">
        <x:f t="shared" si="76"/>
        <x:v>0</x:v>
      </x:c>
    </x:row>
    <x:row r="309" spans="1:21">
      <x:c r="A309" t="s">
        <x:v>0</x:v>
      </x:c>
      <x:c r="B309" t="s">
        <x:v>4</x:v>
      </x:c>
      <x:c r="C309" s="1">
        <x:v>19303361.939999998</x:v>
      </x:c>
      <x:c r="D309" s="1">
        <x:v>4774107.4299999941</x:v>
      </x:c>
      <x:c r="E309" s="1">
        <x:v>7725205.3599999985</x:v>
      </x:c>
      <x:c r="F309" s="1">
        <x:v>1864318.6399999997</x:v>
      </x:c>
      <x:c r="G309" s="1">
        <x:v>4939730.5100000054</x:v>
      </x:c>
      <x:c r="H309" s="1">
        <x:f t="shared" si="98"/>
        <x:v>0</x:v>
      </x:c>
      <x:c r="I309">
        <x:v>5</x:v>
      </x:c>
      <x:c r="J309">
        <x:v>1.5</x:v>
      </x:c>
      <x:c r="K309" s="4">
        <x:v>0</x:v>
      </x:c>
      <x:c r="L309" s="2">
        <x:f t="shared" si="85"/>
        <x:v>13512353.357999997</x:v>
      </x:c>
      <x:c r="M309">
        <x:f t="shared" si="93"/>
        <x:v>0.4165246929819611</x:v>
      </x:c>
      <x:c r="N309" s="1">
        <x:f t="shared" si="94"/>
        <x:v>5628228.8339047199</x:v>
      </x:c>
      <x:c r="O309" s="1">
        <x:f t="shared" si="95"/>
        <x:v>1391973.5420805528</x:v>
      </x:c>
      <x:c r="P309" s="1">
        <x:f t="shared" si="96"/>
        <x:v>2252417.1535576195</x:v>
      </x:c>
      <x:c r="Q309" s="1">
        <x:f t="shared" si="97"/>
        <x:v>543574.32440258295</x:v>
      </x:c>
      <x:c r="R309" s="1">
        <x:f t="shared" si="97"/>
        <x:v>1440263.8138639648</x:v>
      </x:c>
      <x:c r="T309" s="5">
        <x:f t="shared" si="76"/>
        <x:v>0</x:v>
      </x:c>
    </x:row>
    <x:row r="310" spans="1:21">
      <x:c r="A310" t="s">
        <x:v>0</x:v>
      </x:c>
      <x:c r="B310" t="s">
        <x:v>3</x:v>
      </x:c>
      <x:c r="C310" s="1">
        <x:v>57462098.799999997</x:v>
      </x:c>
      <x:c r="D310" s="1">
        <x:v>14211526.26</x:v>
      </x:c>
      <x:c r="E310" s="1">
        <x:v>22996331.930000003</x:v>
      </x:c>
      <x:c r="F310" s="1">
        <x:v>5549689.4800000004</x:v>
      </x:c>
      <x:c r="G310" s="1">
        <x:v>14704551.129999999</x:v>
      </x:c>
      <x:c r="H310" s="1">
        <x:f t="shared" si="98"/>
        <x:v>0</x:v>
      </x:c>
      <x:c r="I310">
        <x:v>5</x:v>
      </x:c>
      <x:c r="J310">
        <x:v>0.5</x:v>
      </x:c>
      <x:c r="K310" s="4">
        <x:v>0</x:v>
      </x:c>
      <x:c r="L310" s="2">
        <x:f t="shared" si="85"/>
        <x:v>51715888.920000002</x:v>
      </x:c>
      <x:c r="M310">
        <x:v>0.4165246929819611</x:v>
      </x:c>
      <x:c r="N310" s="1">
        <x:f t="shared" si="94"/>
        <x:v>21540944.754692204</x:v>
      </x:c>
      <x:c r="O310" s="1">
        <x:f t="shared" si="95"/>
        <x:v>5327506.4510264201</x:v>
      </x:c>
      <x:c r="P310" s="1">
        <x:f t="shared" si="96"/>
        <x:v>8620686.0871690698</x:v>
      </x:c>
      <x:c r="Q310" s="1">
        <x:f t="shared" si="97"/>
        <x:v>2080424.4361219977</x:v>
      </x:c>
      <x:c r="R310" s="1">
        <x:f t="shared" si="97"/>
        <x:v>5512327.7803747198</x:v>
      </x:c>
      <x:c r="T310" s="5">
        <x:f t="shared" si="76"/>
        <x:v>0</x:v>
      </x:c>
    </x:row>
    <x:row r="311" spans="1:21">
      <x:c r="A311" t="s">
        <x:v>0</x:v>
      </x:c>
      <x:c r="B311" t="s">
        <x:v>2</x:v>
      </x:c>
      <x:c r="C311" s="1">
        <x:v>8625193</x:v>
      </x:c>
      <x:c r="D311" s="1">
        <x:v>2133182.73</x:v>
      </x:c>
      <x:c r="E311" s="1">
        <x:v>3451802.27</x:v>
      </x:c>
      <x:c r="F311" s="1">
        <x:v>833021.14999999979</x:v>
      </x:c>
      <x:c r="G311" s="1">
        <x:v>2207186.8499999992</x:v>
      </x:c>
      <x:c r="H311" s="1">
        <x:f t="shared" si="98"/>
        <x:v>0</x:v>
      </x:c>
      <x:c r="I311">
        <x:v>5</x:v>
      </x:c>
      <x:c r="J311">
        <x:v>0</x:v>
      </x:c>
      <x:c r="K311" s="4">
        <x:v>0</x:v>
      </x:c>
      <x:c r="L311" s="2">
        <x:f t="shared" si="85"/>
        <x:v>8625193</x:v>
      </x:c>
      <x:c r="M311">
        <x:v>1</x:v>
      </x:c>
      <x:c r="N311" s="1">
        <x:f t="shared" si="94"/>
        <x:v>8625193</x:v>
      </x:c>
      <x:c r="O311" s="1">
        <x:f t="shared" si="95"/>
        <x:v>2133182.73</x:v>
      </x:c>
      <x:c r="P311" s="1">
        <x:f t="shared" si="96"/>
        <x:v>3451802.27</x:v>
      </x:c>
      <x:c r="Q311" s="1">
        <x:f t="shared" si="97"/>
        <x:v>833021.14999999979</x:v>
      </x:c>
      <x:c r="R311" s="1">
        <x:f t="shared" si="97"/>
        <x:v>2207186.8499999992</x:v>
      </x:c>
      <x:c r="T311" s="5">
        <x:f t="shared" si="76"/>
        <x:v>0</x:v>
      </x:c>
    </x:row>
    <x:row r="312" spans="1:21">
      <x:c r="A312" t="s">
        <x:v>0</x:v>
      </x:c>
      <x:c r="B312" t="s">
        <x:v>1</x:v>
      </x:c>
      <x:c r="C312" s="1">
        <x:v>26712704.489999995</x:v>
      </x:c>
      <x:c r="D312" s="1">
        <x:v>6606586.0699999994</x:v>
      </x:c>
      <x:c r="E312" s="1">
        <x:v>10690424.329999998</x:v>
      </x:c>
      <x:c r="F312" s="1">
        <x:v>2579913.0100000002</x:v>
      </x:c>
      <x:c r="G312" s="1">
        <x:v>6835781.080000001</x:v>
      </x:c>
      <x:c r="H312" s="1">
        <x:f t="shared" si="98"/>
        <x:v>0</x:v>
      </x:c>
      <x:c r="I312">
        <x:v>5</x:v>
      </x:c>
      <x:c r="J312">
        <x:v>0</x:v>
      </x:c>
      <x:c r="K312" s="4">
        <x:v>0</x:v>
      </x:c>
      <x:c r="L312" s="2">
        <x:f t="shared" si="85"/>
        <x:v>26712704.489999995</x:v>
      </x:c>
      <x:c r="M312">
        <x:v>1</x:v>
      </x:c>
      <x:c r="N312" s="1">
        <x:f t="shared" si="94"/>
        <x:v>26712704.489999995</x:v>
      </x:c>
      <x:c r="O312" s="1">
        <x:f t="shared" si="95"/>
        <x:v>6606586.0699999994</x:v>
      </x:c>
      <x:c r="P312" s="1">
        <x:f t="shared" si="96"/>
        <x:v>10690424.329999998</x:v>
      </x:c>
      <x:c r="Q312" s="1">
        <x:f t="shared" si="97"/>
        <x:v>2579913.0100000002</x:v>
      </x:c>
      <x:c r="R312" s="1">
        <x:f t="shared" si="97"/>
        <x:v>6835781.080000001</x:v>
      </x:c>
      <x:c r="T312" s="5">
        <x:f t="shared" si="76"/>
        <x:v>0</x:v>
      </x:c>
    </x:row>
    <x:row r="313" spans="1:21">
      <x:c r="C313" s="1">
        <x:f>SUM(C306:C312)</x:f>
        <x:v>170023910.24000001</x:v>
      </x:c>
      <x:c r="D313" s="1">
        <x:f t="shared" ref="D313:L313" si="99">SUM(D306:D312)</x:f>
        <x:v>42050313.399999991</x:v>
      </x:c>
      <x:c r="E313" s="1">
        <x:f t="shared" si="99"/>
        <x:v>68043568.75999999</x:v>
      </x:c>
      <x:c r="F313" s="1">
        <x:f t="shared" si="99"/>
        <x:v>16420909.210000001</x:v>
      </x:c>
      <x:c r="G313" s="1">
        <x:f t="shared" si="99"/>
        <x:v>43509118.870000005</x:v>
      </x:c>
      <x:c r="H313" s="1">
        <x:f t="shared" si="98"/>
        <x:v>0</x:v>
      </x:c>
      <x:c r="I313" s="1"/>
      <x:c r="J313" s="1"/>
      <x:c r="K313" s="1">
        <x:f t="shared" si="99"/>
        <x:v>0</x:v>
      </x:c>
      <x:c r="L313" s="1">
        <x:f t="shared" si="99"/>
        <x:v>118402390.09499998</x:v>
      </x:c>
      <x:c r="N313" s="1">
        <x:f t="shared" ref="N313" si="100">SUM(N306:N312)</x:f>
        <x:v>69936309.769999996</x:v>
      </x:c>
      <x:c r="O313" s="1">
        <x:f t="shared" ref="O313" si="101">SUM(O306:O312)</x:f>
        <x:v>17296648.104651317</x:v>
      </x:c>
      <x:c r="P313" s="1">
        <x:f t="shared" ref="P313" si="102">SUM(P306:P312)</x:f>
        <x:v>27988511.159250919</x:v>
      </x:c>
      <x:c r="Q313" s="1">
        <x:f t="shared" ref="Q313:R313" si="103">SUM(Q306:Q312)</x:f>
        <x:v>6754448.7960136868</x:v>
      </x:c>
      <x:c r="R313" s="1">
        <x:f t="shared" si="103"/>
        <x:v>17896701.710084084</x:v>
      </x:c>
      <x:c r="T313" s="5">
        <x:f t="shared" si="76"/>
        <x:v>0</x:v>
      </x:c>
    </x:row>
    <x:row r="314" spans="1:21">
      <x:c r="L314" s="2"/>
      <x:c r="T314" s="5"/>
    </x:row>
    <x:row r="315" spans="1:21">
      <x:c r="L315" s="2"/>
      <x:c r="T315" s="5">
        <x:f t="shared" si="76"/>
        <x:v>0</x:v>
      </x:c>
      <x:c r="U315" s="5"/>
    </x:row>
    <x:row r="316" spans="1:21">
      <x:c r="L316" s="2"/>
      <x:c r="T316" s="5">
        <x:f t="shared" si="76"/>
        <x:v>0</x:v>
      </x:c>
    </x:row>
    <x:row r="317" spans="1:21">
      <x:c r="L317" s="2"/>
      <x:c r="T317" s="5">
        <x:f t="shared" si="76"/>
        <x:v>0</x:v>
      </x:c>
    </x:row>
    <x:row r="318" spans="1:21">
      <x:c r="A318" t="s">
        <x:v>13</x:v>
      </x:c>
      <x:c r="B318" t="s">
        <x:v>7</x:v>
      </x:c>
      <x:c r="C318" s="1">
        <x:v>11661773.240000017</x:v>
      </x:c>
      <x:c r="D318" s="1">
        <x:v>2954562.8800000092</x:v>
      </x:c>
      <x:c r="E318" s="1">
        <x:v>4793023.1000000173</x:v>
      </x:c>
      <x:c r="F318" s="1">
        <x:v>2207961.3699999913</x:v>
      </x:c>
      <x:c r="G318" s="1">
        <x:v>1706225.8899999992</x:v>
      </x:c>
      <x:c r="I318">
        <x:v>15</x:v>
      </x:c>
      <x:c r="J318">
        <x:v>14.5</x:v>
      </x:c>
      <x:c r="K318" s="4">
        <x:v>0</x:v>
      </x:c>
      <x:c r="L318" s="2">
        <x:f t="shared" si="85"/>
        <x:v>388725.77466666716</x:v>
      </x:c>
      <x:c r="M318">
        <x:v>0.85773137104904396</x:v>
      </x:c>
      <x:c r="N318" s="1">
        <x:f t="shared" ref="N318:N332" si="104">+L318*M318</x:f>
        <x:v>333422.29166694212</x:v>
      </x:c>
      <x:c r="O318" s="1">
        <x:f t="shared" ref="O318:O332" si="105">+$N318*D318/$C318</x:f>
        <x:v>84474.042330433978</x:v>
      </x:c>
      <x:c r="P318" s="1">
        <x:f t="shared" ref="P318:P332" si="106">+$N318*E318/$C318</x:f>
        <x:v>137037.54250109175</x:v>
      </x:c>
      <x:c r="Q318" s="1">
        <x:f t="shared" ref="Q318:Q332" si="107">+$N318*F318/$C318</x:f>
        <x:v>63127.924437113914</x:v>
      </x:c>
      <x:c r="R318" s="1">
        <x:f t="shared" ref="R318:R332" si="108">+$N318*G318/$C318</x:f>
        <x:v>48782.782398302479</x:v>
      </x:c>
      <x:c r="T318" s="5">
        <x:f t="shared" si="76"/>
        <x:v>0</x:v>
      </x:c>
    </x:row>
    <x:row r="319" spans="1:21">
      <x:c r="A319" t="s">
        <x:v>13</x:v>
      </x:c>
      <x:c r="B319" t="s">
        <x:v>6</x:v>
      </x:c>
      <x:c r="C319" s="1">
        <x:v>11105830.399999987</x:v>
      </x:c>
      <x:c r="D319" s="1">
        <x:v>1450467.5600000019</x:v>
      </x:c>
      <x:c r="E319" s="1">
        <x:v>4885602.7299999921</x:v>
      </x:c>
      <x:c r="F319" s="1">
        <x:v>2734111.3699999922</x:v>
      </x:c>
      <x:c r="G319" s="1">
        <x:v>2035648.740000003</x:v>
      </x:c>
      <x:c r="I319">
        <x:v>10</x:v>
      </x:c>
      <x:c r="J319">
        <x:v>8.5</x:v>
      </x:c>
      <x:c r="K319" s="4">
        <x:v>0</x:v>
      </x:c>
      <x:c r="L319" s="2">
        <x:f t="shared" si="85"/>
        <x:v>1665874.5599999984</x:v>
      </x:c>
      <x:c r="M319">
        <x:v>0.85773137104904396</x:v>
      </x:c>
      <x:c r="N319" s="1">
        <x:f t="shared" si="104"/>
        <x:v>1428872.8703445215</x:v>
      </x:c>
      <x:c r="O319" s="1">
        <x:f t="shared" si="105"/>
        <x:v>186616.72933514448</x:v>
      </x:c>
      <x:c r="P319" s="1">
        <x:f t="shared" si="106"/>
        <x:v>628580.209200577</x:v>
      </x:c>
      <x:c r="Q319" s="1">
        <x:f t="shared" si="107"/>
        <x:v>351769.96409863106</x:v>
      </x:c>
      <x:c r="R319" s="1">
        <x:f t="shared" si="108"/>
        <x:v>261905.96771016924</x:v>
      </x:c>
      <x:c r="T319" s="5">
        <x:f t="shared" si="76"/>
        <x:v>0</x:v>
      </x:c>
    </x:row>
    <x:row r="320" spans="1:21">
      <x:c r="A320" t="s">
        <x:v>13</x:v>
      </x:c>
      <x:c r="B320" t="s">
        <x:v>5</x:v>
      </x:c>
      <x:c r="C320" s="1">
        <x:v>11010911.600000005</x:v>
      </x:c>
      <x:c r="D320" s="1">
        <x:v>4648613.2100000009</x:v>
      </x:c>
      <x:c r="E320" s="1">
        <x:v>5914453.8100000042</x:v>
      </x:c>
      <x:c r="F320" s="1">
        <x:v>302132.03000000009</x:v>
      </x:c>
      <x:c r="G320" s="1">
        <x:v>145712.54999999981</x:v>
      </x:c>
      <x:c r="I320">
        <x:v>15</x:v>
      </x:c>
      <x:c r="J320">
        <x:v>12.5</x:v>
      </x:c>
      <x:c r="K320" s="4">
        <x:v>0</x:v>
      </x:c>
      <x:c r="L320" s="2">
        <x:f t="shared" si="85"/>
        <x:v>1835151.9333333338</x:v>
      </x:c>
      <x:c r="M320">
        <x:v>0.85773137104904396</x:v>
      </x:c>
      <x:c r="N320" s="1">
        <x:f t="shared" si="104"/>
        <x:v>1574067.383861304</x:v>
      </x:c>
      <x:c r="O320" s="1">
        <x:f t="shared" si="105"/>
        <x:v>664543.56368166616</x:v>
      </x:c>
      <x:c r="P320" s="1">
        <x:f t="shared" si="106"/>
        <x:v>845502.0959095906</x:v>
      </x:c>
      <x:c r="Q320" s="1">
        <x:f t="shared" si="107"/>
        <x:v>43191.35338828848</x:v>
      </x:c>
      <x:c r="R320" s="1">
        <x:f t="shared" si="108"/>
        <x:v>20830.370881758696</x:v>
      </x:c>
      <x:c r="T320" s="5">
        <x:f t="shared" si="76"/>
        <x:v>0</x:v>
      </x:c>
    </x:row>
    <x:row r="321" spans="1:20">
      <x:c r="A321" t="s">
        <x:v>13</x:v>
      </x:c>
      <x:c r="B321" t="s">
        <x:v>4</x:v>
      </x:c>
      <x:c r="C321" s="1">
        <x:v>25677440.439999998</x:v>
      </x:c>
      <x:c r="D321" s="1">
        <x:v>8706276.5600000061</x:v>
      </x:c>
      <x:c r="E321" s="1">
        <x:v>15184170.609999994</x:v>
      </x:c>
      <x:c r="F321" s="1">
        <x:v>1101241.7799999986</x:v>
      </x:c>
      <x:c r="G321" s="1">
        <x:v>685751.48999999883</x:v>
      </x:c>
      <x:c r="I321">
        <x:v>15</x:v>
      </x:c>
      <x:c r="J321">
        <x:v>11.5</x:v>
      </x:c>
      <x:c r="K321" s="4">
        <x:v>0</x:v>
      </x:c>
      <x:c r="L321" s="2">
        <x:f t="shared" si="85"/>
        <x:v>5991402.7693333318</x:v>
      </x:c>
      <x:c r="M321">
        <x:v>0.85773137104904396</x:v>
      </x:c>
      <x:c r="N321" s="1">
        <x:f t="shared" si="104"/>
        <x:v>5139014.1118473178</x:v>
      </x:c>
      <x:c r="O321" s="1">
        <x:f t="shared" si="105"/>
        <x:v>1742450.8571262236</x:v>
      </x:c>
      <x:c r="P321" s="1">
        <x:f t="shared" si="106"/>
        <x:v>3038919.2109635081</x:v>
      </x:c>
      <x:c r="Q321" s="1">
        <x:f t="shared" si="107"/>
        <x:v>220399.57842370728</x:v>
      </x:c>
      <x:c r="R321" s="1">
        <x:f t="shared" si="108"/>
        <x:v>137244.46533387885</x:v>
      </x:c>
      <x:c r="T321" s="5">
        <x:f t="shared" si="76"/>
        <x:v>0</x:v>
      </x:c>
    </x:row>
    <x:row r="322" spans="1:20">
      <x:c r="A322" t="s">
        <x:v>13</x:v>
      </x:c>
      <x:c r="B322" t="s">
        <x:v>3</x:v>
      </x:c>
      <x:c r="C322" s="1">
        <x:v>6493716.4699999997</x:v>
      </x:c>
      <x:c r="D322" s="1">
        <x:v>1670860.85</x:v>
      </x:c>
      <x:c r="E322" s="1">
        <x:v>2822416.8699999996</x:v>
      </x:c>
      <x:c r="F322" s="1">
        <x:v>1137535.9399999997</x:v>
      </x:c>
      <x:c r="G322" s="1">
        <x:v>862902.81000000017</x:v>
      </x:c>
      <x:c r="I322">
        <x:v>15</x:v>
      </x:c>
      <x:c r="J322">
        <x:v>10.5</x:v>
      </x:c>
      <x:c r="K322" s="4">
        <x:v>0</x:v>
      </x:c>
      <x:c r="L322" s="2">
        <x:f t="shared" si="85"/>
        <x:v>1948114.9410000001</x:v>
      </x:c>
      <x:c r="M322">
        <x:v>0.85773137104904396</x:v>
      </x:c>
      <x:c r="N322" s="1">
        <x:f t="shared" si="104"/>
        <x:v>1670959.2993050574</x:v>
      </x:c>
      <x:c r="O322" s="1">
        <x:f t="shared" si="105"/>
        <x:v>429944.93031080137</x:v>
      </x:c>
      <x:c r="P322" s="1">
        <x:f t="shared" si="106"/>
        <x:v>726262.64747311536</x:v>
      </x:c>
      <x:c r="Q322" s="1">
        <x:f t="shared" si="107"/>
        <x:v>292710.07843012881</x:v>
      </x:c>
      <x:c r="R322" s="1">
        <x:f t="shared" si="108"/>
        <x:v>222041.64309101185</x:v>
      </x:c>
      <x:c r="T322" s="5">
        <x:f t="shared" si="76"/>
        <x:v>0</x:v>
      </x:c>
    </x:row>
    <x:row r="323" spans="1:20">
      <x:c r="A323" t="s">
        <x:v>13</x:v>
      </x:c>
      <x:c r="B323" t="s">
        <x:v>2</x:v>
      </x:c>
      <x:c r="C323" s="1">
        <x:v>331483.61999999994</x:v>
      </x:c>
      <x:c r="D323" s="1">
        <x:v>207562.56</x:v>
      </x:c>
      <x:c r="E323" s="1">
        <x:v>108902.15</x:v>
      </x:c>
      <x:c r="F323" s="1">
        <x:v>13565.609999999999</x:v>
      </x:c>
      <x:c r="G323" s="1">
        <x:v>1453.3</x:v>
      </x:c>
      <x:c r="I323">
        <x:v>15</x:v>
      </x:c>
      <x:c r="J323">
        <x:v>9.5</x:v>
      </x:c>
      <x:c r="K323" s="4">
        <x:v>0</x:v>
      </x:c>
      <x:c r="L323" s="2">
        <x:f t="shared" si="85"/>
        <x:v>121543.99399999999</x:v>
      </x:c>
      <x:c r="M323">
        <x:v>0.85773137104904396</x:v>
      </x:c>
      <x:c r="N323" s="1">
        <x:f t="shared" si="104"/>
        <x:v>104252.09661639677</x:v>
      </x:c>
      <x:c r="O323" s="1">
        <x:f t="shared" si="105"/>
        <x:v>65278.737027991468</x:v>
      </x:c>
      <x:c r="P323" s="1">
        <x:f t="shared" si="106"/>
        <x:v>34249.889824219172</x:v>
      </x:c>
      <x:c r="Q323" s="1">
        <x:f t="shared" si="107"/>
        <x:v>4266.4047302860945</x:v>
      </x:c>
      <x:c r="R323" s="1">
        <x:f t="shared" si="108"/>
        <x:v>457.06503390004445</x:v>
      </x:c>
      <x:c r="T323" s="5">
        <x:f t="shared" si="76"/>
        <x:v>0</x:v>
      </x:c>
    </x:row>
    <x:row r="324" spans="1:20">
      <x:c r="A324" t="s">
        <x:v>13</x:v>
      </x:c>
      <x:c r="B324" t="s">
        <x:v>1</x:v>
      </x:c>
      <x:c r="C324" s="1">
        <x:v>508459.07</x:v>
      </x:c>
      <x:c r="D324" s="1">
        <x:v>80452.070000000007</x:v>
      </x:c>
      <x:c r="E324" s="1">
        <x:v>412702.29000000004</x:v>
      </x:c>
      <x:c r="F324" s="1">
        <x:v>10654.039999999995</x:v>
      </x:c>
      <x:c r="G324" s="1">
        <x:v>4650.6699999999928</x:v>
      </x:c>
      <x:c r="I324">
        <x:v>15</x:v>
      </x:c>
      <x:c r="J324">
        <x:v>8.5</x:v>
      </x:c>
      <x:c r="K324" s="4">
        <x:v>0</x:v>
      </x:c>
      <x:c r="L324" s="2">
        <x:f t="shared" si="85"/>
        <x:v>220332.26366666667</x:v>
      </x:c>
      <x:c r="M324">
        <x:v>0.85773137104904396</x:v>
      </x:c>
      <x:c r="N324" s="1">
        <x:f t="shared" si="104"/>
        <x:v>188985.89460114946</x:v>
      </x:c>
      <x:c r="O324" s="1">
        <x:f t="shared" si="105"/>
        <x:v>29902.714532094589</x:v>
      </x:c>
      <x:c r="P324" s="1">
        <x:f t="shared" si="106"/>
        <x:v>153394.67044927139</x:v>
      </x:c>
      <x:c r="Q324" s="1">
        <x:f t="shared" si="107"/>
        <x:v>3959.9318791115861</x:v>
      </x:c>
      <x:c r="R324" s="1">
        <x:f t="shared" si="108"/>
        <x:v>1728.5777406718821</x:v>
      </x:c>
      <x:c r="T324" s="5">
        <x:f t="shared" si="76"/>
        <x:v>0</x:v>
      </x:c>
    </x:row>
    <x:row r="325" spans="1:20">
      <x:c r="A325" t="s">
        <x:v>13</x:v>
      </x:c>
      <x:c r="B325" t="s">
        <x:v>21</x:v>
      </x:c>
      <x:c r="C325" s="1">
        <x:v>-147100.71000000005</x:v>
      </x:c>
      <x:c r="D325" s="1">
        <x:v>-69498.250000000029</x:v>
      </x:c>
      <x:c r="E325" s="1">
        <x:v>-82428.51999999999</x:v>
      </x:c>
      <x:c r="F325" s="1">
        <x:v>2669.8300000000013</x:v>
      </x:c>
      <x:c r="G325" s="1">
        <x:v>2156.2299999999855</x:v>
      </x:c>
      <x:c r="I325">
        <x:v>15</x:v>
      </x:c>
      <x:c r="J325">
        <x:v>7.5</x:v>
      </x:c>
      <x:c r="K325" s="4">
        <x:v>0</x:v>
      </x:c>
      <x:c r="L325" s="2">
        <x:f t="shared" si="85"/>
        <x:v>-73550.355000000025</x:v>
      </x:c>
      <x:c r="M325">
        <x:v>0.85773137104904396</x:v>
      </x:c>
      <x:c r="N325" s="1">
        <x:f t="shared" si="104"/>
        <x:v>-63086.446835293929</x:v>
      </x:c>
      <x:c r="O325" s="1">
        <x:f t="shared" si="105"/>
        <x:v>-29805.414629004626</x:v>
      </x:c>
      <x:c r="P325" s="1">
        <x:f t="shared" si="106"/>
        <x:v>-35350.763736571767</x:v>
      </x:c>
      <x:c r="Q325" s="1">
        <x:f t="shared" si="107"/>
        <x:v>1144.9984731839352</x:v>
      </x:c>
      <x:c r="R325" s="1">
        <x:f t="shared" si="108"/>
        <x:v>924.73305709853389</x:v>
      </x:c>
      <x:c r="T325" s="5">
        <x:f t="shared" si="76"/>
        <x:v>0</x:v>
      </x:c>
    </x:row>
    <x:row r="326" spans="1:20">
      <x:c r="A326" t="s">
        <x:v>13</x:v>
      </x:c>
      <x:c r="B326" t="s">
        <x:v>20</x:v>
      </x:c>
      <x:c r="C326" s="1">
        <x:v>1097701.95</x:v>
      </x:c>
      <x:c r="D326" s="1">
        <x:v>703296.39</x:v>
      </x:c>
      <x:c r="E326" s="1">
        <x:v>307479.61000000004</x:v>
      </x:c>
      <x:c r="F326" s="1">
        <x:v>53623</x:v>
      </x:c>
      <x:c r="G326" s="1">
        <x:v>33302.949999999968</x:v>
      </x:c>
      <x:c r="I326">
        <x:v>15</x:v>
      </x:c>
      <x:c r="J326">
        <x:v>6.5</x:v>
      </x:c>
      <x:c r="K326" s="4">
        <x:v>0</x:v>
      </x:c>
      <x:c r="L326" s="2">
        <x:f t="shared" si="85"/>
        <x:v>622031.10499999998</x:v>
      </x:c>
      <x:c r="M326">
        <x:v>0.85773137104904396</x:v>
      </x:c>
      <x:c r="N326" s="1">
        <x:f t="shared" si="104"/>
        <x:v>533535.59252680186</x:v>
      </x:c>
      <x:c r="O326" s="1">
        <x:f t="shared" si="105"/>
        <x:v>341835.64688084112</x:v>
      </x:c>
      <x:c r="P326" s="1">
        <x:f t="shared" si="106"/>
        <x:v>149449.78089112439</x:v>
      </x:c>
      <x:c r="Q326" s="1">
        <x:f t="shared" si="107"/>
        <x:v>26063.339942198971</x:v>
      </x:c>
      <x:c r="R326" s="1">
        <x:f t="shared" si="108"/>
        <x:v>16186.824812637382</x:v>
      </x:c>
      <x:c r="T326" s="5">
        <x:f t="shared" si="76"/>
        <x:v>0</x:v>
      </x:c>
    </x:row>
    <x:row r="327" spans="1:20">
      <x:c r="A327" t="s">
        <x:v>13</x:v>
      </x:c>
      <x:c r="B327" t="s">
        <x:v>19</x:v>
      </x:c>
      <x:c r="C327" s="1">
        <x:v>16051421.040000016</x:v>
      </x:c>
      <x:c r="D327" s="1">
        <x:v>10295103.590000011</x:v>
      </x:c>
      <x:c r="E327" s="1">
        <x:v>3565193.1900000018</x:v>
      </x:c>
      <x:c r="F327" s="1">
        <x:v>1249602.7200000018</x:v>
      </x:c>
      <x:c r="G327" s="1">
        <x:v>941521.54000000085</x:v>
      </x:c>
      <x:c r="I327">
        <x:v>15</x:v>
      </x:c>
      <x:c r="J327">
        <x:v>5.5</x:v>
      </x:c>
      <x:c r="K327" s="4">
        <x:v>0</x:v>
      </x:c>
      <x:c r="L327" s="2">
        <x:f t="shared" si="85"/>
        <x:v>10165899.99200001</x:v>
      </x:c>
      <x:c r="M327">
        <x:v>0.85773137104904396</x:v>
      </x:c>
      <x:c r="N327" s="1">
        <x:f t="shared" si="104"/>
        <x:v>8719611.3380856328</x:v>
      </x:c>
      <x:c r="O327" s="1">
        <x:f t="shared" si="105"/>
        <x:v>5592607.7676503407</x:v>
      </x:c>
      <x:c r="P327" s="1">
        <x:f t="shared" si="106"/>
        <x:v>1936719.427178497</x:v>
      </x:c>
      <x:c r="Q327" s="1">
        <x:f t="shared" si="107"/>
        <x:v>678821.52105173678</x:v>
      </x:c>
      <x:c r="R327" s="1">
        <x:f t="shared" si="108"/>
        <x:v>511462.6222050584</x:v>
      </x:c>
      <x:c r="T327" s="5">
        <x:f t="shared" si="76"/>
        <x:v>0</x:v>
      </x:c>
    </x:row>
    <x:row r="328" spans="1:20">
      <x:c r="A328" t="s">
        <x:v>13</x:v>
      </x:c>
      <x:c r="B328" t="s">
        <x:v>18</x:v>
      </x:c>
      <x:c r="C328" s="1">
        <x:v>679970.39000000036</x:v>
      </x:c>
      <x:c r="D328" s="1">
        <x:v>275934.43</x:v>
      </x:c>
      <x:c r="E328" s="1">
        <x:v>356047.8700000004</x:v>
      </x:c>
      <x:c r="F328" s="1">
        <x:v>43810.679999999935</x:v>
      </x:c>
      <x:c r="G328" s="1">
        <x:v>4177.4100000000171</x:v>
      </x:c>
      <x:c r="I328">
        <x:v>15</x:v>
      </x:c>
      <x:c r="J328">
        <x:v>4.5</x:v>
      </x:c>
      <x:c r="K328" s="4">
        <x:v>0</x:v>
      </x:c>
      <x:c r="L328" s="2">
        <x:f t="shared" si="85"/>
        <x:v>475979.27300000022</x:v>
      </x:c>
      <x:c r="M328">
        <x:v>0.85773137104904396</x:v>
      </x:c>
      <x:c r="N328" s="1">
        <x:f t="shared" si="104"/>
        <x:v>408262.3544212174</x:v>
      </x:c>
      <x:c r="O328" s="1">
        <x:f t="shared" si="105"/>
        <x:v>165674.33187447552</x:v>
      </x:c>
      <x:c r="P328" s="1">
        <x:f t="shared" si="106"/>
        <x:v>213775.39938593449</x:v>
      </x:c>
      <x:c r="Q328" s="1">
        <x:f t="shared" si="107"/>
        <x:v>26304.456236093611</x:v>
      </x:c>
      <x:c r="R328" s="1">
        <x:f t="shared" si="108"/>
        <x:v>2508.1669247138007</x:v>
      </x:c>
      <x:c r="T328" s="5">
        <x:f t="shared" si="76"/>
        <x:v>0</x:v>
      </x:c>
    </x:row>
    <x:row r="329" spans="1:20">
      <x:c r="A329" t="s">
        <x:v>13</x:v>
      </x:c>
      <x:c r="B329" t="s">
        <x:v>17</x:v>
      </x:c>
      <x:c r="C329" s="1">
        <x:v>6706947.6500000004</x:v>
      </x:c>
      <x:c r="D329" s="1">
        <x:v>1891022.5300000005</x:v>
      </x:c>
      <x:c r="E329" s="1">
        <x:v>4131982.1700000004</x:v>
      </x:c>
      <x:c r="F329" s="1">
        <x:v>474260.43</x:v>
      </x:c>
      <x:c r="G329" s="1">
        <x:v>209682.52</x:v>
      </x:c>
      <x:c r="I329">
        <x:v>15</x:v>
      </x:c>
      <x:c r="J329">
        <x:v>3.5</x:v>
      </x:c>
      <x:c r="K329" s="4">
        <x:v>0</x:v>
      </x:c>
      <x:c r="L329" s="2">
        <x:f t="shared" si="85"/>
        <x:v>5141993.1983333332</x:v>
      </x:c>
      <x:c r="M329">
        <x:v>0.85773137104904396</x:v>
      </x:c>
      <x:c r="N329" s="1">
        <x:f t="shared" si="104"/>
        <x:v>4410448.8759313086</x:v>
      </x:c>
      <x:c r="O329" s="1">
        <x:f t="shared" si="105"/>
        <x:v>1243525.1662951747</x:v>
      </x:c>
      <x:c r="P329" s="1">
        <x:f t="shared" si="106"/>
        <x:v>2717166.8943986329</x:v>
      </x:c>
      <x:c r="Q329" s="1">
        <x:f t="shared" si="107"/>
        <x:v>311870.8374579603</x:v>
      </x:c>
      <x:c r="R329" s="1">
        <x:f t="shared" si="108"/>
        <x:v>137885.9777795409</x:v>
      </x:c>
      <x:c r="T329" s="5">
        <x:f t="shared" si="76"/>
        <x:v>0</x:v>
      </x:c>
    </x:row>
    <x:row r="330" spans="1:20">
      <x:c r="A330" t="s">
        <x:v>13</x:v>
      </x:c>
      <x:c r="B330" t="s">
        <x:v>16</x:v>
      </x:c>
      <x:c r="C330" s="1">
        <x:v>3524756.4600000028</x:v>
      </x:c>
      <x:c r="D330" s="1">
        <x:v>3109714.2700000023</x:v>
      </x:c>
      <x:c r="E330" s="1">
        <x:v>401437.93000000005</x:v>
      </x:c>
      <x:c r="F330" s="1">
        <x:v>11658.270000000037</x:v>
      </x:c>
      <x:c r="G330" s="1">
        <x:v>1945.9900000000173</x:v>
      </x:c>
      <x:c r="I330">
        <x:v>15</x:v>
      </x:c>
      <x:c r="J330">
        <x:v>2.5</x:v>
      </x:c>
      <x:c r="K330" s="4">
        <x:v>0</x:v>
      </x:c>
      <x:c r="L330" s="2">
        <x:f t="shared" si="85"/>
        <x:v>2937297.0500000026</x:v>
      </x:c>
      <x:c r="M330">
        <x:v>0.85773137104904396</x:v>
      </x:c>
      <x:c r="N330" s="1">
        <x:f t="shared" si="104"/>
        <x:v>2519411.8258748143</x:v>
      </x:c>
      <x:c r="O330" s="1">
        <x:f t="shared" si="105"/>
        <x:v>2222749.5703148991</x:v>
      </x:c>
      <x:c r="P330" s="1">
        <x:f t="shared" si="106"/>
        <x:v>286938.25507499184</x:v>
      </x:c>
      <x:c r="Q330" s="1">
        <x:f t="shared" si="107"/>
        <x:v>8333.0532592999753</x:v>
      </x:c>
      <x:c r="R330" s="1">
        <x:f t="shared" si="108"/>
        <x:v>1390.9472256231199</x:v>
      </x:c>
      <x:c r="T330" s="5">
        <x:f t="shared" si="76"/>
        <x:v>0</x:v>
      </x:c>
    </x:row>
    <x:row r="331" spans="1:20">
      <x:c r="A331" t="s">
        <x:v>13</x:v>
      </x:c>
      <x:c r="B331" t="s">
        <x:v>15</x:v>
      </x:c>
      <x:c r="C331" s="1">
        <x:v>1862525.3199999998</x:v>
      </x:c>
      <x:c r="D331" s="1">
        <x:v>154587.38</x:v>
      </x:c>
      <x:c r="E331" s="1">
        <x:v>1583575.67</x:v>
      </x:c>
      <x:c r="F331" s="1">
        <x:v>71541.78</x:v>
      </x:c>
      <x:c r="G331" s="1">
        <x:v>52820.489999999976</x:v>
      </x:c>
      <x:c r="I331">
        <x:v>15</x:v>
      </x:c>
      <x:c r="J331">
        <x:v>1.5</x:v>
      </x:c>
      <x:c r="K331" s="4">
        <x:v>0</x:v>
      </x:c>
      <x:c r="L331" s="2">
        <x:f t="shared" si="85"/>
        <x:v>1676272.7879999999</x:v>
      </x:c>
      <x:c r="M331">
        <x:v>0.85773137104904396</x:v>
      </x:c>
      <x:c r="N331" s="1">
        <x:f t="shared" si="104"/>
        <x:v>1437791.7567034434</x:v>
      </x:c>
      <x:c r="O331" s="1">
        <x:f t="shared" si="105"/>
        <x:v>119335.00085485161</x:v>
      </x:c>
      <x:c r="P331" s="1">
        <x:f t="shared" si="106"/>
        <x:v>1222454.2775301076</x:v>
      </x:c>
      <x:c r="Q331" s="1">
        <x:f t="shared" si="107"/>
        <x:v>55227.266142020169</x:v>
      </x:c>
      <x:c r="R331" s="1">
        <x:f t="shared" si="108"/>
        <x:v>40775.212176464061</x:v>
      </x:c>
      <x:c r="T331" s="5">
        <x:f t="shared" si="76"/>
        <x:v>0</x:v>
      </x:c>
    </x:row>
    <x:row r="332" spans="1:20">
      <x:c r="A332" t="s">
        <x:v>13</x:v>
      </x:c>
      <x:c r="B332" t="s">
        <x:v>14</x:v>
      </x:c>
      <x:c r="C332" s="1">
        <x:v>4554539.37</x:v>
      </x:c>
      <x:c r="D332" s="1">
        <x:v>164016.33999999997</x:v>
      </x:c>
      <x:c r="E332" s="1">
        <x:v>4389729.07</x:v>
      </x:c>
      <x:c r="F332" s="1">
        <x:v>598.77</x:v>
      </x:c>
      <x:c r="G332" s="1">
        <x:v>195.1899999999992</x:v>
      </x:c>
      <x:c r="I332">
        <x:v>15</x:v>
      </x:c>
      <x:c r="J332">
        <x:v>0.5</x:v>
      </x:c>
      <x:c r="K332" s="4">
        <x:v>0</x:v>
      </x:c>
      <x:c r="L332" s="2">
        <x:f t="shared" si="85"/>
        <x:v>4402721.3909999998</x:v>
      </x:c>
      <x:c r="M332">
        <x:v>0.85773137104904396</x:v>
      </x:c>
      <x:c r="N332" s="1">
        <x:f t="shared" si="104"/>
        <x:v>3776352.2550493837</x:v>
      </x:c>
      <x:c r="O332" s="1">
        <x:f t="shared" si="105"/>
        <x:v>135992.56150989124</x:v>
      </x:c>
      <x:c r="P332" s="1">
        <x:f t="shared" si="106"/>
        <x:v>3639701.3892867798</x:v>
      </x:c>
      <x:c r="Q332" s="1">
        <x:f t="shared" si="107"/>
        <x:v>496.46435260826814</x:v>
      </x:c>
      <x:c r="R332" s="1">
        <x:f t="shared" si="108"/>
        <x:v>161.83990010456012</x:v>
      </x:c>
      <x:c r="T332" s="5">
        <x:f t="shared" si="76"/>
        <x:v>0</x:v>
      </x:c>
    </x:row>
    <x:row r="333" spans="1:20">
      <x:c r="C333" s="1">
        <x:f>SUM(C318:C332)</x:f>
        <x:v>101120376.31000003</x:v>
      </x:c>
      <x:c r="D333" s="1">
        <x:f t="shared" ref="D333:L333" si="109">SUM(D318:D332)</x:f>
        <x:v>36242972.370000035</x:v>
      </x:c>
      <x:c r="E333" s="1">
        <x:f t="shared" si="109"/>
        <x:v>48774288.550000004</x:v>
      </x:c>
      <x:c r="F333" s="1">
        <x:f t="shared" si="109"/>
        <x:v>9414967.6199999824</x:v>
      </x:c>
      <x:c r="G333" s="1">
        <x:f t="shared" si="109"/>
        <x:v>6688147.7700000033</x:v>
      </x:c>
      <x:c r="I333" s="1">
        <x:f t="shared" si="109"/>
        <x:v>220</x:v>
      </x:c>
      <x:c r="J333" s="1">
        <x:f t="shared" si="109"/>
        <x:v>107.5</x:v>
      </x:c>
      <x:c r="K333" s="1">
        <x:f t="shared" si="109"/>
        <x:v>0</x:v>
      </x:c>
      <x:c r="L333" s="1">
        <x:f t="shared" si="109"/>
        <x:v>37519790.678333342</x:v>
      </x:c>
      <x:c r="M333" s="1">
        <x:v>12.865970565735656</x:v>
      </x:c>
      <x:c r="N333" s="1">
        <x:f>SUM(N318:N332)</x:f>
        <x:v>32181901.499999996</x:v>
      </x:c>
      <x:c r="O333" s="1">
        <x:f t="shared" ref="O333" si="110">SUM(O318:O332)</x:f>
        <x:v>12995126.205095824</x:v>
      </x:c>
      <x:c r="P333" s="1">
        <x:f t="shared" ref="P333" si="111">SUM(P318:P332)</x:f>
        <x:v>15694800.926330868</x:v>
      </x:c>
      <x:c r="Q333" s="1">
        <x:f t="shared" ref="Q333:R333" si="112">SUM(Q318:Q332)</x:f>
        <x:v>2087687.1723023693</x:v>
      </x:c>
      <x:c r="R333" s="1">
        <x:f t="shared" si="112"/>
        <x:v>1404287.1962709338</x:v>
      </x:c>
      <x:c r="T333" s="5">
        <x:f t="shared" si="76"/>
        <x:v>0</x:v>
      </x:c>
    </x:row>
    <x:row r="334" spans="1:20">
      <x:c r="I334" s="1"/>
      <x:c r="J334" s="1"/>
      <x:c r="K334" s="1"/>
      <x:c r="M334" s="1"/>
      <x:c r="T334" s="5">
        <x:f t="shared" ref="T334:T364" si="113">+O334+P334+Q334+R334-N334</x:f>
        <x:v>0</x:v>
      </x:c>
    </x:row>
    <x:row r="335" spans="1:20">
      <x:c r="I335" s="1"/>
      <x:c r="J335" s="1"/>
      <x:c r="K335" s="1"/>
      <x:c r="M335" s="1"/>
      <x:c r="T335" s="5">
        <x:f t="shared" si="113"/>
        <x:v>0</x:v>
      </x:c>
    </x:row>
    <x:row r="336" spans="1:20">
      <x:c r="A336" t="s">
        <x:v>31</x:v>
      </x:c>
      <x:c r="B336" t="s">
        <x:v>7</x:v>
      </x:c>
      <x:c r="C336" s="1">
        <x:v>2079185.34</x:v>
      </x:c>
      <x:c r="D336" s="1">
        <x:v>886398.3</x:v>
      </x:c>
      <x:c r="E336" s="1">
        <x:v>1129267.9300000002</x:v>
      </x:c>
      <x:c r="F336" s="1">
        <x:v>44536.149999999994</x:v>
      </x:c>
      <x:c r="G336" s="1">
        <x:v>18982.960000000014</x:v>
      </x:c>
      <x:c r="I336">
        <x:v>24</x:v>
      </x:c>
      <x:c r="J336">
        <x:v>23.588595000000002</x:v>
      </x:c>
      <x:c r="K336" s="4">
        <x:v>-0.05</x:v>
      </x:c>
      <x:c r="L336" s="2">
        <x:f t="shared" si="85"/>
        <x:v>37423.191960118071</x:v>
      </x:c>
      <x:c r="M336" s="5">
        <x:v>-0.13155998732536106</x:v>
      </x:c>
      <x:c r="N336" s="1">
        <x:f t="shared" ref="N336:N357" si="114">+L336*M336</x:f>
        <x:v>-4923.3946599476876</x:v>
      </x:c>
      <x:c r="O336" s="1">
        <x:f t="shared" ref="O336:O357" si="115">+$N336*D336/$C336</x:f>
        <x:v>-2098.9416252842125</x:v>
      </x:c>
      <x:c r="P336" s="1">
        <x:f t="shared" ref="P336:P357" si="116">+$N336*E336/$C336</x:f>
        <x:v>-2674.0433328623699</x:v>
      </x:c>
      <x:c r="Q336" s="1">
        <x:f t="shared" ref="Q336:Q357" si="117">+$N336*F336/$C336</x:f>
        <x:v>-105.45911365680809</x:v>
      </x:c>
      <x:c r="R336" s="1">
        <x:f t="shared" ref="R336:R357" si="118">+$N336*G336/$C336</x:f>
        <x:v>-44.950588144297235</x:v>
      </x:c>
      <x:c r="T336" s="5">
        <x:f t="shared" si="113"/>
        <x:v>0</x:v>
      </x:c>
    </x:row>
    <x:row r="337" spans="1:20">
      <x:c r="A337" t="s">
        <x:v>31</x:v>
      </x:c>
      <x:c r="B337" t="s">
        <x:v>6</x:v>
      </x:c>
      <x:c r="C337" s="1">
        <x:v>6659801.7399999984</x:v>
      </x:c>
      <x:c r="D337" s="1">
        <x:v>2839206.64</x:v>
      </x:c>
      <x:c r="E337" s="1">
        <x:v>3617138.1199999982</x:v>
      </x:c>
      <x:c r="F337" s="1">
        <x:v>142652.85999999993</x:v>
      </x:c>
      <x:c r="G337" s="1">
        <x:v>60804.120000000163</x:v>
      </x:c>
      <x:c r="I337">
        <x:v>24</x:v>
      </x:c>
      <x:c r="J337">
        <x:v>22.772969</x:v>
      </x:c>
      <x:c r="K337" s="4">
        <x:v>-0.05</x:v>
      </x:c>
      <x:c r="L337" s="2">
        <x:f t="shared" si="85"/>
        <x:v>357515.51451148518</x:v>
      </x:c>
      <x:c r="M337" s="5">
        <x:v>-0.13155998732536106</x:v>
      </x:c>
      <x:c r="N337" s="1">
        <x:f t="shared" si="114"/>
        <x:v>-47034.736557750926</x:v>
      </x:c>
      <x:c r="O337" s="1">
        <x:f t="shared" si="115"/>
        <x:v>-20051.848622361122</x:v>
      </x:c>
      <x:c r="P337" s="1">
        <x:f t="shared" si="116"/>
        <x:v>-25545.976473347448</x:v>
      </x:c>
      <x:c r="Q337" s="1">
        <x:f t="shared" si="117"/>
        <x:v>-1007.4833983435853</x:v>
      </x:c>
      <x:c r="R337" s="1">
        <x:f t="shared" si="118"/>
        <x:v>-429.42806369876752</x:v>
      </x:c>
      <x:c r="T337" s="5">
        <x:f t="shared" si="113"/>
        <x:v>0</x:v>
      </x:c>
    </x:row>
    <x:row r="338" spans="1:20">
      <x:c r="A338" t="s">
        <x:v>31</x:v>
      </x:c>
      <x:c r="B338" t="s">
        <x:v>5</x:v>
      </x:c>
      <x:c r="C338" s="1">
        <x:v>6406786.0899999943</x:v>
      </x:c>
      <x:c r="D338" s="1">
        <x:v>2731341.0799999987</x:v>
      </x:c>
      <x:c r="E338" s="1">
        <x:v>3479717.8999999962</x:v>
      </x:c>
      <x:c r="F338" s="1">
        <x:v>137233.34000000008</x:v>
      </x:c>
      <x:c r="G338" s="1">
        <x:v>58493.770000000011</x:v>
      </x:c>
      <x:c r="I338">
        <x:v>24</x:v>
      </x:c>
      <x:c r="J338">
        <x:v>21.966930999999999</x:v>
      </x:c>
      <x:c r="K338" s="4">
        <x:v>-0.05</x:v>
      </x:c>
      <x:c r="L338" s="2">
        <x:f t="shared" si="85"/>
        <x:v>569862.92077794624</x:v>
      </x:c>
      <x:c r="M338" s="5">
        <x:v>-0.13155998732536106</x:v>
      </x:c>
      <x:c r="N338" s="1">
        <x:f t="shared" si="114"/>
        <x:v>-74971.158634739841</x:v>
      </x:c>
      <x:c r="O338" s="1">
        <x:f t="shared" si="115"/>
        <x:v>-31961.704748325963</x:v>
      </x:c>
      <x:c r="P338" s="1">
        <x:f t="shared" si="116"/>
        <x:v>-40719.087389578155</x:v>
      </x:c>
      <x:c r="Q338" s="1">
        <x:f t="shared" si="117"/>
        <x:v>-1605.8820067637382</x:v>
      </x:c>
      <x:c r="R338" s="1">
        <x:f t="shared" si="118"/>
        <x:v>-684.48449007199349</x:v>
      </x:c>
      <x:c r="T338" s="5">
        <x:f t="shared" si="113"/>
        <x:v>0</x:v>
      </x:c>
    </x:row>
    <x:row r="339" spans="1:20">
      <x:c r="A339" t="s">
        <x:v>31</x:v>
      </x:c>
      <x:c r="B339" t="s">
        <x:v>4</x:v>
      </x:c>
      <x:c r="C339" s="1">
        <x:v>915207.28999999957</x:v>
      </x:c>
      <x:c r="D339" s="1">
        <x:v>390171.29999999981</x:v>
      </x:c>
      <x:c r="E339" s="1">
        <x:v>497076.51</x:v>
      </x:c>
      <x:c r="F339" s="1">
        <x:v>19603.699999999997</x:v>
      </x:c>
      <x:c r="G339" s="1">
        <x:v>8355.7799999998497</x:v>
      </x:c>
      <x:c r="I339">
        <x:v>24</x:v>
      </x:c>
      <x:c r="J339">
        <x:v>21.170558</x:v>
      </x:c>
      <x:c r="K339" s="4">
        <x:v>-0.05</x:v>
      </x:c>
      <x:c r="L339" s="2">
        <x:f t="shared" si="85"/>
        <x:v>113291.76009515781</x:v>
      </x:c>
      <x:c r="M339" s="5">
        <x:v>-0.13155998732536106</x:v>
      </x:c>
      <x:c r="N339" s="1">
        <x:f t="shared" si="114"/>
        <x:v>-14904.662522186807</x:v>
      </x:c>
      <x:c r="O339" s="1">
        <x:f t="shared" si="115"/>
        <x:v>-6354.1578130817825</x:v>
      </x:c>
      <x:c r="P339" s="1">
        <x:f t="shared" si="116"/>
        <x:v>-8095.1689417338657</x:v>
      </x:c>
      <x:c r="Q339" s="1">
        <x:f t="shared" si="117"/>
        <x:v>-319.2572173307247</x:v>
      </x:c>
      <x:c r="R339" s="1">
        <x:f t="shared" si="118"/>
        <x:v>-136.07855004043498</x:v>
      </x:c>
      <x:c r="T339" s="5">
        <x:f t="shared" si="113"/>
        <x:v>0</x:v>
      </x:c>
    </x:row>
    <x:row r="340" spans="1:20">
      <x:c r="A340" t="s">
        <x:v>31</x:v>
      </x:c>
      <x:c r="B340" t="s">
        <x:v>3</x:v>
      </x:c>
      <x:c r="C340" s="1">
        <x:v>15360924.080000002</x:v>
      </x:c>
      <x:c r="D340" s="1">
        <x:v>6548669.0099999998</x:v>
      </x:c>
      <x:c r="E340" s="1">
        <x:v>8342978.75</x:v>
      </x:c>
      <x:c r="F340" s="1">
        <x:v>329031.04000000044</x:v>
      </x:c>
      <x:c r="G340" s="1">
        <x:v>140245.28000000055</x:v>
      </x:c>
      <x:c r="I340">
        <x:v>24</x:v>
      </x:c>
      <x:c r="J340">
        <x:v>20.383922999999999</x:v>
      </x:c>
      <x:c r="K340" s="4">
        <x:v>-0.05</x:v>
      </x:c>
      <x:c r="L340" s="2">
        <x:f t="shared" si="85"/>
        <x:v>2430149.9365689959</x:v>
      </x:c>
      <x:c r="M340" s="5">
        <x:v>-0.13155998732536106</x:v>
      </x:c>
      <x:c r="N340" s="1">
        <x:f t="shared" si="114"/>
        <x:v>-319710.49485374411</x:v>
      </x:c>
      <x:c r="O340" s="1">
        <x:f t="shared" si="115"/>
        <x:v>-136298.97517340494</x:v>
      </x:c>
      <x:c r="P340" s="1">
        <x:f t="shared" si="116"/>
        <x:v>-173644.36220276996</x:v>
      </x:c>
      <x:c r="Q340" s="1">
        <x:f t="shared" si="117"/>
        <x:v>-6848.1997614717848</x:v>
      </x:c>
      <x:c r="R340" s="1">
        <x:f t="shared" si="118"/>
        <x:v>-2918.9577160973818</x:v>
      </x:c>
      <x:c r="T340" s="5">
        <x:f t="shared" si="113"/>
        <x:v>0</x:v>
      </x:c>
    </x:row>
    <x:row r="341" spans="1:20">
      <x:c r="A341" t="s">
        <x:v>31</x:v>
      </x:c>
      <x:c r="B341" t="s">
        <x:v>2</x:v>
      </x:c>
      <x:c r="C341" s="1">
        <x:v>3501372.4800000014</x:v>
      </x:c>
      <x:c r="D341" s="1">
        <x:v>1492705.09</x:v>
      </x:c>
      <x:c r="E341" s="1">
        <x:v>1901700.4400000011</x:v>
      </x:c>
      <x:c r="F341" s="1">
        <x:v>74999.450000000012</x:v>
      </x:c>
      <x:c r="G341" s="1">
        <x:v>31967.50000000008</x:v>
      </x:c>
      <x:c r="I341">
        <x:v>24</x:v>
      </x:c>
      <x:c r="J341">
        <x:v>19.607099999999999</x:v>
      </x:c>
      <x:c r="K341" s="4">
        <x:v>-0.05</x:v>
      </x:c>
      <x:c r="L341" s="2">
        <x:f t="shared" si="85"/>
        <x:v>672926.58857340063</x:v>
      </x:c>
      <x:c r="M341" s="5">
        <x:v>-0.13155998732536106</x:v>
      </x:c>
      <x:c r="N341" s="1">
        <x:f t="shared" si="114"/>
        <x:v>-88530.213463615044</x:v>
      </x:c>
      <x:c r="O341" s="1">
        <x:f t="shared" si="115"/>
        <x:v>-37742.199954665964</x:v>
      </x:c>
      <x:c r="P341" s="1">
        <x:f t="shared" si="116"/>
        <x:v>-48083.414963337658</x:v>
      </x:c>
      <x:c r="Q341" s="1">
        <x:f t="shared" si="117"/>
        <x:v>-1896.3184739927246</x:v>
      </x:c>
      <x:c r="R341" s="1">
        <x:f t="shared" si="118"/>
        <x:v>-808.28007161869277</x:v>
      </x:c>
      <x:c r="T341" s="5">
        <x:f t="shared" si="113"/>
        <x:v>0</x:v>
      </x:c>
    </x:row>
    <x:row r="342" spans="1:20">
      <x:c r="A342" t="s">
        <x:v>31</x:v>
      </x:c>
      <x:c r="B342" t="s">
        <x:v>1</x:v>
      </x:c>
      <x:c r="C342" s="1">
        <x:v>23131109.649999995</x:v>
      </x:c>
      <x:c r="D342" s="1">
        <x:v>9861254.7799999956</x:v>
      </x:c>
      <x:c r="E342" s="1">
        <x:v>12563199.749999996</x:v>
      </x:c>
      <x:c r="F342" s="1">
        <x:v>495468.33999999985</x:v>
      </x:c>
      <x:c r="G342" s="1">
        <x:v>211186.77999999991</x:v>
      </x:c>
      <x:c r="I342">
        <x:v>24</x:v>
      </x:c>
      <x:c r="J342">
        <x:v>18.840244999999999</x:v>
      </x:c>
      <x:c r="K342" s="4">
        <x:v>-0.05</x:v>
      </x:c>
      <x:c r="L342" s="2">
        <x:f t="shared" si="85"/>
        <x:v>5221600.0669059381</x:v>
      </x:c>
      <x:c r="M342" s="5">
        <x:v>-0.13155998732536106</x:v>
      </x:c>
      <x:c r="N342" s="1">
        <x:f t="shared" si="114"/>
        <x:v>-686953.63862024969</x:v>
      </x:c>
      <x:c r="O342" s="1">
        <x:f t="shared" si="115"/>
        <x:v>-292862.07860254246</x:v>
      </x:c>
      <x:c r="P342" s="1">
        <x:f t="shared" si="116"/>
        <x:v>-373105.13466765353</x:v>
      </x:c>
      <x:c r="Q342" s="1">
        <x:f t="shared" si="117"/>
        <x:v>-14714.546086816677</x:v>
      </x:c>
      <x:c r="R342" s="1">
        <x:f t="shared" si="118"/>
        <x:v>-6271.8792632369086</x:v>
      </x:c>
      <x:c r="T342" s="5">
        <x:f t="shared" si="113"/>
        <x:v>0</x:v>
      </x:c>
    </x:row>
    <x:row r="343" spans="1:20">
      <x:c r="A343" t="s">
        <x:v>31</x:v>
      </x:c>
      <x:c r="B343" t="s">
        <x:v>21</x:v>
      </x:c>
      <x:c r="C343" s="1">
        <x:v>400628.99000000005</x:v>
      </x:c>
      <x:c r="D343" s="1">
        <x:v>170796.13000000006</x:v>
      </x:c>
      <x:c r="E343" s="1">
        <x:v>217593.61</x:v>
      </x:c>
      <x:c r="F343" s="1">
        <x:v>8581.5100000000111</x:v>
      </x:c>
      <x:c r="G343" s="1">
        <x:v>3657.7399999999957</x:v>
      </x:c>
      <x:c r="I343">
        <x:v>24</x:v>
      </x:c>
      <x:c r="J343">
        <x:v>18.083465</x:v>
      </x:c>
      <x:c r="K343" s="4">
        <x:v>-0.05</x:v>
      </x:c>
      <x:c r="L343" s="2">
        <x:f t="shared" si="85"/>
        <x:v>103702.17555904719</x:v>
      </x:c>
      <x:c r="M343" s="5">
        <x:v>-0.13155998732536106</x:v>
      </x:c>
      <x:c r="N343" s="1">
        <x:f t="shared" si="114"/>
        <x:v>-13643.056902160615</x:v>
      </x:c>
      <x:c r="O343" s="1">
        <x:f t="shared" si="115"/>
        <x:v>-5816.307302821052</x:v>
      </x:c>
      <x:c r="P343" s="1">
        <x:f t="shared" si="116"/>
        <x:v>-7409.9530410331627</x:v>
      </x:c>
      <x:c r="Q343" s="1">
        <x:f t="shared" si="117"/>
        <x:v>-292.23554001037337</x:v>
      </x:c>
      <x:c r="R343" s="1">
        <x:f t="shared" si="118"/>
        <x:v>-124.56101829602721</x:v>
      </x:c>
      <x:c r="T343" s="5">
        <x:f t="shared" si="113"/>
        <x:v>0</x:v>
      </x:c>
    </x:row>
    <x:row r="344" spans="1:20">
      <x:c r="A344" t="s">
        <x:v>31</x:v>
      </x:c>
      <x:c r="B344" t="s">
        <x:v>20</x:v>
      </x:c>
      <x:c r="C344" s="1">
        <x:v>911596.33</x:v>
      </x:c>
      <x:c r="D344" s="1">
        <x:v>388631.78</x:v>
      </x:c>
      <x:c r="E344" s="1">
        <x:v>495115.31999999995</x:v>
      </x:c>
      <x:c r="F344" s="1">
        <x:v>19526.370000000003</x:v>
      </x:c>
      <x:c r="G344" s="1">
        <x:v>8322.8600000000097</x:v>
      </x:c>
      <x:c r="I344">
        <x:v>24</x:v>
      </x:c>
      <x:c r="J344">
        <x:v>17.337005999999999</x:v>
      </x:c>
      <x:c r="K344" s="4">
        <x:v>-0.05</x:v>
      </x:c>
      <x:c r="L344" s="2">
        <x:f t="shared" si="85"/>
        <x:v>265735.78837802599</x:v>
      </x:c>
      <x:c r="M344" s="5">
        <x:v>-0.13155998732536106</x:v>
      </x:c>
      <x:c r="N344" s="1">
        <x:f t="shared" si="114"/>
        <x:v>-34960.196950907928</x:v>
      </x:c>
      <x:c r="O344" s="1">
        <x:f t="shared" si="115"/>
        <x:v>-14904.232414123389</x:v>
      </x:c>
      <x:c r="P344" s="1">
        <x:f t="shared" si="116"/>
        <x:v>-18987.931972709677</x:v>
      </x:c>
      <x:c r="Q344" s="1">
        <x:f t="shared" si="117"/>
        <x:v>-748.8465217233819</x:v>
      </x:c>
      <x:c r="R344" s="1">
        <x:f t="shared" si="118"/>
        <x:v>-319.18604235148018</x:v>
      </x:c>
      <x:c r="T344" s="5">
        <x:f t="shared" si="113"/>
        <x:v>0</x:v>
      </x:c>
    </x:row>
    <x:row r="345" spans="1:20">
      <x:c r="A345" t="s">
        <x:v>31</x:v>
      </x:c>
      <x:c r="B345" t="s">
        <x:v>19</x:v>
      </x:c>
      <x:c r="C345" s="1">
        <x:v>1577686.1000000003</x:v>
      </x:c>
      <x:c r="D345" s="1">
        <x:v>672599.09999999986</x:v>
      </x:c>
      <x:c r="E345" s="1">
        <x:v>856888.59000000032</x:v>
      </x:c>
      <x:c r="F345" s="1">
        <x:v>33794.1</x:v>
      </x:c>
      <x:c r="G345" s="1">
        <x:v>14404.310000000005</x:v>
      </x:c>
      <x:c r="I345">
        <x:v>24</x:v>
      </x:c>
      <x:c r="J345">
        <x:v>16.601509</x:v>
      </x:c>
      <x:c r="K345" s="4">
        <x:v>-0.05</x:v>
      </x:c>
      <x:c r="L345" s="2">
        <x:f t="shared" si="85"/>
        <x:v>510671.71801078576</x:v>
      </x:c>
      <x:c r="M345" s="5">
        <x:v>-0.13155998732536106</x:v>
      </x:c>
      <x:c r="N345" s="1">
        <x:f t="shared" si="114"/>
        <x:v>-67183.96474891933</x:v>
      </x:c>
      <x:c r="O345" s="1">
        <x:f t="shared" si="115"/>
        <x:v>-28641.866227099832</x:v>
      </x:c>
      <x:c r="P345" s="1">
        <x:f t="shared" si="116"/>
        <x:v>-36489.624155471232</x:v>
      </x:c>
      <x:c r="Q345" s="1">
        <x:f t="shared" si="117"/>
        <x:v>-1439.0832391319504</x:v>
      </x:c>
      <x:c r="R345" s="1">
        <x:f t="shared" si="118"/>
        <x:v>-613.39112721631147</x:v>
      </x:c>
      <x:c r="T345" s="5">
        <x:f t="shared" si="113"/>
        <x:v>0</x:v>
      </x:c>
    </x:row>
    <x:row r="346" spans="1:20">
      <x:c r="A346" t="s">
        <x:v>31</x:v>
      </x:c>
      <x:c r="B346" t="s">
        <x:v>18</x:v>
      </x:c>
      <x:c r="C346" s="1">
        <x:v>185.95000000000002</x:v>
      </x:c>
      <x:c r="D346" s="1">
        <x:v>79.28</x:v>
      </x:c>
      <x:c r="E346" s="1">
        <x:v>100.99000000000001</x:v>
      </x:c>
      <x:c r="F346" s="1">
        <x:v>3.9799999999999995</x:v>
      </x:c>
      <x:c r="G346" s="1">
        <x:v>1.7000000000000071</x:v>
      </x:c>
      <x:c r="I346">
        <x:v>24</x:v>
      </x:c>
      <x:c r="J346">
        <x:v>15.877793</x:v>
      </x:c>
      <x:c r="K346" s="4">
        <x:v>-0.05</x:v>
      </x:c>
      <x:c r="L346" s="2">
        <x:f t="shared" si="85"/>
        <x:v>66.076692134687519</x:v>
      </x:c>
      <x:c r="M346" s="5">
        <x:v>-0.13155998732536106</x:v>
      </x:c>
      <x:c r="N346" s="1">
        <x:f t="shared" si="114"/>
        <x:v>-8.6930487797412752</x:v>
      </x:c>
      <x:c r="O346" s="1">
        <x:f t="shared" si="115"/>
        <x:v>-3.7062915152346774</x:v>
      </x:c>
      <x:c r="P346" s="1">
        <x:f t="shared" si="116"/>
        <x:v>-4.7212207381880686</x:v>
      </x:c>
      <x:c r="Q346" s="1">
        <x:f t="shared" si="117"/>
        <x:v>-0.18606256597671561</x:v>
      </x:c>
      <x:c r="R346" s="1">
        <x:f t="shared" si="118"/>
        <x:v>-7.9473960341813532E-2</x:v>
      </x:c>
      <x:c r="T346" s="5">
        <x:f t="shared" si="113"/>
        <x:v>0</x:v>
      </x:c>
    </x:row>
    <x:row r="347" spans="1:20">
      <x:c r="A347" t="s">
        <x:v>31</x:v>
      </x:c>
      <x:c r="B347" t="s">
        <x:v>17</x:v>
      </x:c>
      <x:c r="C347" s="1">
        <x:v>475651.66</x:v>
      </x:c>
      <x:c r="D347" s="1">
        <x:v>202779.82</x:v>
      </x:c>
      <x:c r="E347" s="1">
        <x:v>258340.68</x:v>
      </x:c>
      <x:c r="F347" s="1">
        <x:v>10188.450000000001</x:v>
      </x:c>
      <x:c r="G347" s="1">
        <x:v>4342.7099999999818</x:v>
      </x:c>
      <x:c r="I347">
        <x:v>24</x:v>
      </x:c>
      <x:c r="J347">
        <x:v>15.166767999999999</x:v>
      </x:c>
      <x:c r="K347" s="4">
        <x:v>-0.05</x:v>
      </x:c>
      <x:c r="L347" s="2">
        <x:f t="shared" si="85"/>
        <x:v>183817.43904847401</x:v>
      </x:c>
      <x:c r="M347" s="5">
        <x:v>-0.13155998732536106</x:v>
      </x:c>
      <x:c r="N347" s="1">
        <x:f t="shared" si="114"/>
        <x:v>-24183.019951397571</x:v>
      </x:c>
      <x:c r="O347" s="1">
        <x:f t="shared" si="115"/>
        <x:v>-10309.705284747262</x:v>
      </x:c>
      <x:c r="P347" s="1">
        <x:f t="shared" si="116"/>
        <x:v>-13134.523316280691</x:v>
      </x:c>
      <x:c r="Q347" s="1">
        <x:f t="shared" si="117"/>
        <x:v>-517.99985229488448</x:v>
      </x:c>
      <x:c r="R347" s="1">
        <x:f t="shared" si="118"/>
        <x:v>-220.79149807473249</x:v>
      </x:c>
      <x:c r="T347" s="5">
        <x:f t="shared" si="113"/>
        <x:v>0</x:v>
      </x:c>
    </x:row>
    <x:row r="348" spans="1:20">
      <x:c r="A348" t="s">
        <x:v>31</x:v>
      </x:c>
      <x:c r="B348" t="s">
        <x:v>16</x:v>
      </x:c>
      <x:c r="C348" s="1">
        <x:v>573980.14999999991</x:v>
      </x:c>
      <x:c r="D348" s="1">
        <x:v>244699.21</x:v>
      </x:c>
      <x:c r="E348" s="1">
        <x:v>311745.83999999997</x:v>
      </x:c>
      <x:c r="F348" s="1">
        <x:v>12294.66</x:v>
      </x:c>
      <x:c r="G348" s="1">
        <x:v>5240.4400000000023</x:v>
      </x:c>
      <x:c r="I348">
        <x:v>24</x:v>
      </x:c>
      <x:c r="J348">
        <x:v>14.469493999999999</x:v>
      </x:c>
      <x:c r="K348" s="4">
        <x:v>-0.05</x:v>
      </x:c>
      <x:c r="L348" s="2">
        <x:f t="shared" si="85"/>
        <x:v>239326.55527619566</x:v>
      </x:c>
      <x:c r="M348" s="5">
        <x:v>-0.13155998732536106</x:v>
      </x:c>
      <x:c r="N348" s="1">
        <x:f t="shared" si="114"/>
        <x:v>-31485.798578758626</x:v>
      </x:c>
      <x:c r="O348" s="1">
        <x:f t="shared" si="115"/>
        <x:v>-13423.025236049296</x:v>
      </x:c>
      <x:c r="P348" s="1">
        <x:f t="shared" si="116"/>
        <x:v>-17100.881844094984</x:v>
      </x:c>
      <x:c r="Q348" s="1">
        <x:f t="shared" si="117"/>
        <x:v>-674.42609009095622</x:v>
      </x:c>
      <x:c r="R348" s="1">
        <x:f t="shared" si="118"/>
        <x:v>-287.46540852339575</x:v>
      </x:c>
      <x:c r="T348" s="5">
        <x:f t="shared" si="113"/>
        <x:v>0</x:v>
      </x:c>
    </x:row>
    <x:row r="349" spans="1:20">
      <x:c r="A349" t="s">
        <x:v>31</x:v>
      </x:c>
      <x:c r="B349" t="s">
        <x:v>30</x:v>
      </x:c>
      <x:c r="C349" s="1">
        <x:v>33889.230000000003</x:v>
      </x:c>
      <x:c r="D349" s="1">
        <x:v>14447.650000000001</x:v>
      </x:c>
      <x:c r="E349" s="1">
        <x:v>18406.260000000002</x:v>
      </x:c>
      <x:c r="F349" s="1">
        <x:v>725.90000000000009</x:v>
      </x:c>
      <x:c r="G349" s="1">
        <x:v>309.41999999999877</x:v>
      </x:c>
      <x:c r="I349">
        <x:v>24</x:v>
      </x:c>
      <x:c r="J349">
        <x:v>12.469503</x:v>
      </x:c>
      <x:c r="K349" s="4">
        <x:v>-0.05</x:v>
      </x:c>
      <x:c r="L349" s="2">
        <x:f t="shared" si="85"/>
        <x:v>17095.735337069818</x:v>
      </x:c>
      <x:c r="M349" s="5">
        <x:v>-0.13155998732536106</x:v>
      </x:c>
      <x:c r="N349" s="1">
        <x:f t="shared" si="114"/>
        <x:v>-2249.1147242626325</x:v>
      </x:c>
      <x:c r="O349" s="1">
        <x:f t="shared" si="115"/>
        <x:v>-958.84215563448993</x:v>
      </x:c>
      <x:c r="P349" s="1">
        <x:f t="shared" si="116"/>
        <x:v>-1221.561846775696</x:v>
      </x:c>
      <x:c r="Q349" s="1">
        <x:f t="shared" si="117"/>
        <x:v>-48.175552479128179</x:v>
      </x:c>
      <x:c r="R349" s="1">
        <x:f t="shared" si="118"/>
        <x:v>-20.535169373318332</x:v>
      </x:c>
      <x:c r="T349" s="5">
        <x:f t="shared" si="113"/>
        <x:v>0</x:v>
      </x:c>
    </x:row>
    <x:row r="350" spans="1:20">
      <x:c r="A350" t="s">
        <x:v>31</x:v>
      </x:c>
      <x:c r="B350" t="s">
        <x:v>29</x:v>
      </x:c>
      <x:c r="C350" s="1">
        <x:v>17143970.48</x:v>
      </x:c>
      <x:c r="D350" s="1">
        <x:v>7308817.4899999993</x:v>
      </x:c>
      <x:c r="E350" s="1">
        <x:v>9311404.6799999997</x:v>
      </x:c>
      <x:c r="F350" s="1">
        <x:v>367223.85000000003</x:v>
      </x:c>
      <x:c r="G350" s="1">
        <x:v>156524.45999999964</x:v>
      </x:c>
      <x:c r="I350">
        <x:v>24</x:v>
      </x:c>
      <x:c r="J350">
        <x:v>11.836401</x:v>
      </x:c>
      <x:c r="K350" s="4">
        <x:v>-0.05</x:v>
      </x:c>
      <x:c r="L350" s="2">
        <x:f t="shared" si="85"/>
        <x:v>9123291.7206618898</x:v>
      </x:c>
      <x:c r="M350" s="5">
        <x:v>-0.13155998732536106</x:v>
      </x:c>
      <x:c r="N350" s="1">
        <x:f t="shared" si="114"/>
        <x:v>-1200260.1431358496</x:v>
      </x:c>
      <x:c r="O350" s="1">
        <x:f t="shared" si="115"/>
        <x:v>-511694.90386926982</x:v>
      </x:c>
      <x:c r="P350" s="1">
        <x:f t="shared" si="116"/>
        <x:v>-651897.29106513364</x:v>
      </x:c>
      <x:c r="Q350" s="1">
        <x:f t="shared" si="117"/>
        <x:v>-25709.572428282543</x:v>
      </x:c>
      <x:c r="R350" s="1">
        <x:f t="shared" si="118"/>
        <x:v>-10958.375773163438</x:v>
      </x:c>
      <x:c r="T350" s="5">
        <x:f t="shared" si="113"/>
        <x:v>0</x:v>
      </x:c>
    </x:row>
    <x:row r="351" spans="1:20">
      <x:c r="A351" t="s">
        <x:v>31</x:v>
      </x:c>
      <x:c r="B351" t="s">
        <x:v>28</x:v>
      </x:c>
      <x:c r="C351" s="1">
        <x:v>2658.85</x:v>
      </x:c>
      <x:c r="D351" s="1">
        <x:v>1133.52</x:v>
      </x:c>
      <x:c r="E351" s="1">
        <x:v>1444.1</x:v>
      </x:c>
      <x:c r="F351" s="1">
        <x:v>56.95</x:v>
      </x:c>
      <x:c r="G351" s="1">
        <x:v>24.280000000000015</x:v>
      </x:c>
      <x:c r="I351">
        <x:v>24</x:v>
      </x:c>
      <x:c r="J351">
        <x:v>10.049941</x:v>
      </x:c>
      <x:c r="K351" s="4">
        <x:v>-0.05</x:v>
      </x:c>
      <x:c r="L351" s="2">
        <x:f t="shared" si="85"/>
        <x:v>1622.7362537815627</x:v>
      </x:c>
      <x:c r="M351" s="5">
        <x:v>-0.13155998732536106</x:v>
      </x:c>
      <x:c r="N351" s="1">
        <x:f t="shared" si="114"/>
        <x:v>-213.48716097990629</x:v>
      </x:c>
      <x:c r="O351" s="1">
        <x:f t="shared" si="115"/>
        <x:v>-91.013771635836306</x:v>
      </x:c>
      <x:c r="P351" s="1">
        <x:f t="shared" si="116"/>
        <x:v>-115.95118535121676</x:v>
      </x:c>
      <x:c r="Q351" s="1">
        <x:f t="shared" si="117"/>
        <x:v>-4.5726888759447375</x:v>
      </x:c>
      <x:c r="R351" s="1">
        <x:f t="shared" si="118"/>
        <x:v>-1.9495151169084861</x:v>
      </x:c>
      <x:c r="T351" s="5">
        <x:f t="shared" si="113"/>
        <x:v>0</x:v>
      </x:c>
    </x:row>
    <x:row r="352" spans="1:20">
      <x:c r="A352" t="s">
        <x:v>31</x:v>
      </x:c>
      <x:c r="B352" t="s">
        <x:v>27</x:v>
      </x:c>
      <x:c r="C352" s="1">
        <x:v>2144357.9999999995</x:v>
      </x:c>
      <x:c r="D352" s="1">
        <x:v>914182.7</x:v>
      </x:c>
      <x:c r="E352" s="1">
        <x:v>1164665.1599999999</x:v>
      </x:c>
      <x:c r="F352" s="1">
        <x:v>45932.15</x:v>
      </x:c>
      <x:c r="G352" s="1">
        <x:v>19577.989999999925</x:v>
      </x:c>
      <x:c r="I352">
        <x:v>24</x:v>
      </x:c>
      <x:c r="J352">
        <x:v>8.9600980000000003</x:v>
      </x:c>
      <x:c r="K352" s="4">
        <x:v>-0.05</x:v>
      </x:c>
      <x:c r="L352" s="2">
        <x:f t="shared" si="85"/>
        <x:v>1410978.3700650744</x:v>
      </x:c>
      <x:c r="M352" s="5">
        <x:v>-0.13155998732536106</x:v>
      </x:c>
      <x:c r="N352" s="1">
        <x:f t="shared" si="114"/>
        <x:v>-185628.2964821198</x:v>
      </x:c>
      <x:c r="O352" s="1">
        <x:f t="shared" si="115"/>
        <x:v>-79137.055134648603</x:v>
      </x:c>
      <x:c r="P352" s="1">
        <x:f t="shared" si="116"/>
        <x:v>-100820.29662158816</x:v>
      </x:c>
      <x:c r="Q352" s="1">
        <x:f t="shared" si="117"/>
        <x:v>-3976.1582526150955</x:v>
      </x:c>
      <x:c r="R352" s="1">
        <x:f t="shared" si="118"/>
        <x:v>-1694.7864732679727</x:v>
      </x:c>
      <x:c r="T352" s="5">
        <x:f t="shared" si="113"/>
        <x:v>0</x:v>
      </x:c>
    </x:row>
    <x:row r="353" spans="1:20">
      <x:c r="A353" t="s">
        <x:v>31</x:v>
      </x:c>
      <x:c r="B353" t="s">
        <x:v>26</x:v>
      </x:c>
      <x:c r="C353" s="1">
        <x:v>42305.22</x:v>
      </x:c>
      <x:c r="D353" s="1">
        <x:v>18035.560000000001</x:v>
      </x:c>
      <x:c r="E353" s="1">
        <x:v>22977.23</x:v>
      </x:c>
      <x:c r="F353" s="1">
        <x:v>906.17</x:v>
      </x:c>
      <x:c r="G353" s="1">
        <x:v>386.26000000000033</x:v>
      </x:c>
      <x:c r="I353">
        <x:v>24</x:v>
      </x:c>
      <x:c r="J353">
        <x:v>7.9558759999999999</x:v>
      </x:c>
      <x:c r="K353" s="4">
        <x:v>-0.05</x:v>
      </x:c>
      <x:c r="L353" s="2">
        <x:f t="shared" si="85"/>
        <x:v>29695.321054318498</x:v>
      </x:c>
      <x:c r="M353" s="5">
        <x:v>-0.13155998732536106</x:v>
      </x:c>
      <x:c r="N353" s="1">
        <x:f t="shared" si="114"/>
        <x:v>-3906.7160615286689</x:v>
      </x:c>
      <x:c r="O353" s="1">
        <x:f t="shared" si="115"/>
        <x:v>-1665.5110629530825</x:v>
      </x:c>
      <x:c r="P353" s="1">
        <x:f t="shared" si="116"/>
        <x:v>-2121.8543123150848</x:v>
      </x:c>
      <x:c r="Q353" s="1">
        <x:f t="shared" si="117"/>
        <x:v>-83.681136594383233</x:v>
      </x:c>
      <x:c r="R353" s="1">
        <x:f t="shared" si="118"/>
        <x:v>-35.669549666118392</x:v>
      </x:c>
      <x:c r="T353" s="5">
        <x:f t="shared" si="113"/>
        <x:v>0</x:v>
      </x:c>
    </x:row>
    <x:row r="354" spans="1:20">
      <x:c r="A354" t="s">
        <x:v>31</x:v>
      </x:c>
      <x:c r="B354" t="s">
        <x:v>25</x:v>
      </x:c>
      <x:c r="C354" s="1">
        <x:v>1062239.45</x:v>
      </x:c>
      <x:c r="D354" s="1">
        <x:v>452853.93</x:v>
      </x:c>
      <x:c r="E354" s="1">
        <x:v>576934.11</x:v>
      </x:c>
      <x:c r="F354" s="1">
        <x:v>22753.170000000002</x:v>
      </x:c>
      <x:c r="G354" s="1">
        <x:v>9698.2399999998925</x:v>
      </x:c>
      <x:c r="I354" s="6">
        <x:v>24</x:v>
      </x:c>
      <x:c r="J354" s="6">
        <x:v>7.4866099999999998</x:v>
      </x:c>
      <x:c r="K354" s="7">
        <x:v>-0.05</x:v>
      </x:c>
      <x:c r="L354" s="2">
        <x:f t="shared" si="85"/>
        <x:v>767426.37611655321</x:v>
      </x:c>
      <x:c r="M354" s="5">
        <x:v>-0.13155998732536106</x:v>
      </x:c>
      <x:c r="N354" s="1">
        <x:f t="shared" si="114"/>
        <x:v>-100962.60431504151</x:v>
      </x:c>
      <x:c r="O354" s="1">
        <x:f t="shared" si="115"/>
        <x:v>-43042.378201168773</x:v>
      </x:c>
      <x:c r="P354" s="1">
        <x:f t="shared" si="116"/>
        <x:v>-54835.819046054668</x:v>
      </x:c>
      <x:c r="Q354" s="1">
        <x:f t="shared" si="117"/>
        <x:v>-2162.6190776692329</x:v>
      </x:c>
      <x:c r="R354" s="1">
        <x:f t="shared" si="118"/>
        <x:v>-921.78799014882873</x:v>
      </x:c>
      <x:c r="T354" s="5">
        <x:f t="shared" si="113"/>
        <x:v>0</x:v>
      </x:c>
    </x:row>
    <x:row r="355" spans="1:20">
      <x:c r="A355" t="s">
        <x:v>31</x:v>
      </x:c>
      <x:c r="B355" t="s">
        <x:v>24</x:v>
      </x:c>
      <x:c r="C355" s="1">
        <x:v>-1118</x:v>
      </x:c>
      <x:c r="D355" s="1">
        <x:v>-476.63</x:v>
      </x:c>
      <x:c r="E355" s="1">
        <x:v>-607.22</x:v>
      </x:c>
      <x:c r="F355" s="1">
        <x:v>-23.95</x:v>
      </x:c>
      <x:c r="G355" s="1">
        <x:v>-10.199999999999978</x:v>
      </x:c>
      <x:c r="I355" s="6">
        <x:v>24</x:v>
      </x:c>
      <x:c r="J355" s="6">
        <x:v>7.0173439999999996</x:v>
      </x:c>
      <x:c r="K355" s="7">
        <x:v>-0.05</x:v>
      </x:c>
      <x:c r="L355" s="2">
        <x:f t="shared" si="85"/>
        <x:v>-830.66416159999994</x:v>
      </x:c>
      <x:c r="M355" s="5">
        <x:v>-0.13155998732536106</x:v>
      </x:c>
      <x:c r="N355" s="1">
        <x:f t="shared" si="114"/>
        <x:v>109.28216657172767</x:v>
      </x:c>
      <x:c r="O355" s="1">
        <x:f t="shared" si="115"/>
        <x:v>46.589587704009439</x:v>
      </x:c>
      <x:c r="P355" s="1">
        <x:f t="shared" si="116"/>
        <x:v>59.354487643724944</x:v>
      </x:c>
      <x:c r="Q355" s="1">
        <x:f t="shared" si="117"/>
        <x:v>2.3410625128737728</x:v>
      </x:c>
      <x:c r="R355" s="1">
        <x:f t="shared" si="118"/>
        <x:v>0.99702871111951696</x:v>
      </x:c>
      <x:c r="T355" s="5">
        <x:f t="shared" si="113"/>
        <x:v>0</x:v>
      </x:c>
    </x:row>
    <x:row r="356" spans="1:20">
      <x:c r="A356" t="s">
        <x:v>31</x:v>
      </x:c>
      <x:c r="B356" t="s">
        <x:v>23</x:v>
      </x:c>
      <x:c r="C356" s="1">
        <x:v>4330790.2499999991</x:v>
      </x:c>
      <x:c r="D356" s="1">
        <x:v>1846302.5</x:v>
      </x:c>
      <x:c r="E356" s="1">
        <x:v>2352182.11</x:v>
      </x:c>
      <x:c r="F356" s="1">
        <x:v>92765.51999999999</x:v>
      </x:c>
      <x:c r="G356" s="1">
        <x:v>39540.12000000017</x:v>
      </x:c>
      <x:c r="I356" s="6">
        <x:v>24</x:v>
      </x:c>
      <x:c r="J356" s="6">
        <x:v>5.8227500000000001</x:v>
      </x:c>
      <x:c r="K356" s="7">
        <x:v>-0.05</x:v>
      </x:c>
      <x:c r="L356" s="2">
        <x:f t="shared" si="85"/>
        <x:v>3444081.2468917966</x:v>
      </x:c>
      <x:c r="M356" s="5">
        <x:v>-0.13155998732536106</x:v>
      </x:c>
      <x:c r="N356" s="1">
        <x:f t="shared" si="114"/>
        <x:v>-453103.2851885985</x:v>
      </x:c>
      <x:c r="O356" s="1">
        <x:f t="shared" si="115"/>
        <x:v>-193166.99260647004</x:v>
      </x:c>
      <x:c r="P356" s="1">
        <x:f t="shared" si="116"/>
        <x:v>-246093.98744325002</x:v>
      </x:c>
      <x:c r="Q356" s="1">
        <x:f t="shared" si="117"/>
        <x:v>-9705.4716201572301</x:v>
      </x:c>
      <x:c r="R356" s="1">
        <x:f t="shared" si="118"/>
        <x:v>-4136.8335187213206</x:v>
      </x:c>
      <x:c r="T356" s="5">
        <x:f t="shared" si="113"/>
        <x:v>0</x:v>
      </x:c>
    </x:row>
    <x:row r="357" spans="1:20">
      <x:c r="A357" t="s">
        <x:v>31</x:v>
      </x:c>
      <x:c r="B357" t="s">
        <x:v>22</x:v>
      </x:c>
      <x:c r="C357" s="1">
        <x:v>1204077.8500000003</x:v>
      </x:c>
      <x:c r="D357" s="1">
        <x:v>513322.47</x:v>
      </x:c>
      <x:c r="E357" s="1">
        <x:v>653970.81000000006</x:v>
      </x:c>
      <x:c r="F357" s="1">
        <x:v>25791.35</x:v>
      </x:c>
      <x:c r="G357" s="1">
        <x:v>10993.220000000094</x:v>
      </x:c>
      <x:c r="I357" s="6">
        <x:v>24</x:v>
      </x:c>
      <x:c r="J357" s="6">
        <x:v>5.4561520000000003</x:v>
      </x:c>
      <x:c r="K357" s="7">
        <x:v>-0.05</x:v>
      </x:c>
      <x:c r="L357" s="2">
        <x:f t="shared" si="85"/>
        <x:v>976860.35258729779</x:v>
      </x:c>
      <x:c r="M357" s="5">
        <x:v>-0.13155998732536106</x:v>
      </x:c>
      <x:c r="N357" s="1">
        <x:f t="shared" si="114"/>
        <x:v>-128515.73560503263</x:v>
      </x:c>
      <x:c r="O357" s="1">
        <x:f t="shared" si="115"/>
        <x:v>-54788.828508590435</x:v>
      </x:c>
      <x:c r="P357" s="1">
        <x:f t="shared" si="116"/>
        <x:v>-69800.752261466332</x:v>
      </x:c>
      <x:c r="Q357" s="1">
        <x:f t="shared" si="117"/>
        <x:v>-2752.807318477669</x:v>
      </x:c>
      <x:c r="R357" s="1">
        <x:f t="shared" si="118"/>
        <x:v>-1173.3475164981803</x:v>
      </x:c>
      <x:c r="T357" s="5">
        <x:f t="shared" si="113"/>
        <x:v>0</x:v>
      </x:c>
    </x:row>
    <x:row r="358" spans="1:20">
      <x:c r="C358" s="1">
        <x:f>SUM(C336:C357)</x:f>
        <x:v>87957287.179999977</x:v>
      </x:c>
      <x:c r="D358" s="1">
        <x:f t="shared" ref="D358:L358" si="119">SUM(D336:D357)</x:f>
        <x:v>37497950.710000001</x:v>
      </x:c>
      <x:c r="E358" s="1">
        <x:f t="shared" si="119"/>
        <x:v>47772241.669999987</x:v>
      </x:c>
      <x:c r="F358" s="1">
        <x:f t="shared" si="119"/>
        <x:v>1884045.0600000003</x:v>
      </x:c>
      <x:c r="G358" s="1">
        <x:f t="shared" si="119"/>
        <x:v>803049.74000000034</x:v>
      </x:c>
      <x:c r="I358" s="8"/>
      <x:c r="J358" s="8"/>
      <x:c r="K358" s="8"/>
      <x:c r="L358" s="1">
        <x:f t="shared" si="119"/>
        <x:v>26476310.927163888</x:v>
      </x:c>
      <x:c r="M358" s="1"/>
      <x:c r="N358" s="1">
        <x:f t="shared" ref="N358" si="120">SUM(N336:N357)</x:f>
        <x:v>-3483223.1299999994</x:v>
      </x:c>
      <x:c r="O358" s="1">
        <x:f t="shared" ref="O358" si="121">SUM(O336:O357)</x:f>
        <x:v>-1484967.6850186898</x:v>
      </x:c>
      <x:c r="P358" s="1">
        <x:f t="shared" ref="P358" si="122">SUM(P336:P357)</x:f>
        <x:v>-1891842.9828159017</x:v>
      </x:c>
      <x:c r="Q358" s="1">
        <x:f t="shared" ref="Q358" si="123">SUM(Q336:Q357)</x:f>
        <x:v>-74610.640376831914</x:v>
      </x:c>
      <x:c r="R358" s="1">
        <x:f t="shared" ref="R358" si="124">SUM(R336:R357)</x:f>
        <x:v>-31801.821788575729</x:v>
      </x:c>
      <x:c r="T358" s="5">
        <x:f t="shared" si="113"/>
        <x:v>0</x:v>
      </x:c>
    </x:row>
    <x:row r="359" spans="1:20">
      <x:c r="L359" s="2"/>
      <x:c r="T359" s="5">
        <x:f t="shared" si="113"/>
        <x:v>0</x:v>
      </x:c>
    </x:row>
    <x:row r="360" spans="1:20">
      <x:c r="A360" t="s">
        <x:v>12</x:v>
      </x:c>
      <x:c r="C360" s="1">
        <x:v>-69472591.469999999</x:v>
      </x:c>
      <x:c r="D360" s="1">
        <x:v>-31220923.089999996</x:v>
      </x:c>
      <x:c r="E360" s="1">
        <x:v>-38251668.38000001</x:v>
      </x:c>
      <x:c r="N360" s="1">
        <x:v>-7688873.1799999997</x:v>
      </x:c>
      <x:c r="O360" s="1">
        <x:v>-3468991.4</x:v>
      </x:c>
      <x:c r="P360" s="1">
        <x:v>-4219881.78</x:v>
      </x:c>
      <x:c r="Q360" s="1">
        <x:v>0</x:v>
      </x:c>
      <x:c r="R360" s="1">
        <x:v>0</x:v>
      </x:c>
      <x:c r="T360" s="5">
        <x:f t="shared" si="113"/>
        <x:v>0</x:v>
      </x:c>
    </x:row>
    <x:row r="361" spans="1:20">
      <x:c r="L361" s="2"/>
      <x:c r="T361" s="5">
        <x:f t="shared" si="113"/>
        <x:v>0</x:v>
      </x:c>
    </x:row>
    <x:row r="362" spans="1:20">
      <x:c r="L362" s="2"/>
      <x:c r="T362" s="5">
        <x:f t="shared" si="113"/>
        <x:v>0</x:v>
      </x:c>
    </x:row>
    <x:row r="363" spans="1:20">
      <x:c r="L363" s="2"/>
      <x:c r="T363" s="5">
        <x:f t="shared" si="113"/>
        <x:v>0</x:v>
      </x:c>
    </x:row>
    <x:row r="364" spans="1:20">
      <x:c r="L364" s="2"/>
      <x:c r="T364" s="5">
        <x:f t="shared" si="113"/>
        <x:v>0</x:v>
      </x:c>
    </x:row>
    <x:row r="365" spans="1:20">
      <x:c r="L365" s="2"/>
      <x:c r="N365" s="1">
        <x:f>+N333+N358+N360</x:f>
        <x:v>21009805.189999998</x:v>
      </x:c>
      <x:c r="O365" s="1">
        <x:f t="shared" ref="O365:R365" si="125">+O333+O358+O360</x:f>
        <x:v>8041167.1200771332</x:v>
      </x:c>
      <x:c r="P365" s="1">
        <x:f t="shared" si="125"/>
        <x:v>9583076.1635149643</x:v>
      </x:c>
      <x:c r="Q365" s="1">
        <x:f t="shared" si="125"/>
        <x:v>2013076.5319255374</x:v>
      </x:c>
      <x:c r="R365" s="1">
        <x:f t="shared" si="125"/>
        <x:v>1372485.3744823581</x:v>
      </x:c>
      <x:c r="S365" s="1">
        <x:f t="shared" ref="S365" si="126">+S333+S358+S360</x:f>
        <x:v>0</x:v>
      </x:c>
      <x:c r="T365" s="5">
        <x:f>+O365+P365+Q365+R365-N365</x:f>
        <x:v>0</x:v>
      </x:c>
    </x:row>
    <x:row r="366" spans="1:20">
      <x:c r="L366" s="2"/>
      <x:c r="T366" s="5">
        <x:f t="shared" ref="T366:T388" si="127">+O366+P366+Q366+R366-N366</x:f>
        <x:v>0</x:v>
      </x:c>
    </x:row>
    <x:row r="367" spans="1:20">
      <x:c r="L367" s="2"/>
      <x:c r="T367" s="5">
        <x:f t="shared" si="127"/>
        <x:v>0</x:v>
      </x:c>
    </x:row>
    <x:row r="368" spans="1:20">
      <x:c r="L368" s="2"/>
      <x:c r="T368" s="5">
        <x:f t="shared" si="127"/>
        <x:v>0</x:v>
      </x:c>
    </x:row>
    <x:row r="369" spans="1:20">
      <x:c r="A369" t="s">
        <x:v>91</x:v>
      </x:c>
      <x:c r="B369" t="s">
        <x:v>7</x:v>
      </x:c>
      <x:c r="C369" s="1">
        <x:v>1623418.0699999994</x:v>
      </x:c>
      <x:c r="D369" s="1">
        <x:v>454856.76999999996</x:v>
      </x:c>
      <x:c r="E369" s="1">
        <x:v>1108012.5599999994</x:v>
      </x:c>
      <x:c r="F369" s="1">
        <x:v>60548.739999999991</x:v>
      </x:c>
      <x:c r="I369">
        <x:v>22</x:v>
      </x:c>
      <x:c r="J369">
        <x:v>21.5</x:v>
      </x:c>
      <x:c r="K369" s="4">
        <x:v>0</x:v>
      </x:c>
      <x:c r="L369" s="2">
        <x:f t="shared" si="85"/>
        <x:v>36895.865227272683</x:v>
      </x:c>
      <x:c r="M369" s="5">
        <x:v>0.48320481487064776</x:v>
      </x:c>
      <x:c r="N369" s="1">
        <x:f t="shared" ref="N369" si="128">+L369*M369</x:f>
        <x:v>17828.259726636668</x:v>
      </x:c>
      <x:c r="O369" s="1">
        <x:f t="shared" ref="O369" si="129">+$N369*D369/$C369</x:f>
        <x:v>4995.2041213752418</x:v>
      </x:c>
      <x:c r="P369" s="1">
        <x:f t="shared" ref="P369" si="130">+$N369*E369/$C369</x:f>
        <x:v>12168.113725662541</x:v>
      </x:c>
      <x:c r="Q369" s="1">
        <x:f t="shared" ref="Q369:Q390" si="131">+$N369*F369/$C369</x:f>
        <x:v>664.94187959888541</x:v>
      </x:c>
      <x:c r="R369" s="1">
        <x:f t="shared" ref="R369:R390" si="132">+$N369*G369/$C369</x:f>
        <x:v>0</x:v>
      </x:c>
      <x:c r="T369" s="5">
        <x:f t="shared" si="127"/>
        <x:v>0</x:v>
      </x:c>
    </x:row>
    <x:row r="370" spans="1:20">
      <x:c r="A370" t="s">
        <x:v>91</x:v>
      </x:c>
      <x:c r="B370" t="s">
        <x:v>6</x:v>
      </x:c>
      <x:c r="C370" s="1">
        <x:v>1369334.3000000003</x:v>
      </x:c>
      <x:c r="D370" s="1">
        <x:v>194507.92000000004</x:v>
      </x:c>
      <x:c r="E370" s="1">
        <x:v>1046267.3000000003</x:v>
      </x:c>
      <x:c r="F370" s="1">
        <x:v>128559.07999999999</x:v>
      </x:c>
      <x:c r="I370">
        <x:v>22</x:v>
      </x:c>
      <x:c r="J370">
        <x:v>20.5</x:v>
      </x:c>
      <x:c r="K370" s="4">
        <x:v>0</x:v>
      </x:c>
      <x:c r="L370" s="2">
        <x:f t="shared" si="85"/>
        <x:v>93363.702272727358</x:v>
      </x:c>
      <x:c r="M370" s="5">
        <x:v>0.48320481487064776</x:v>
      </x:c>
      <x:c r="N370" s="1">
        <x:f t="shared" ref="N370:N390" si="133">+L370*M370</x:f>
        <x:v>45113.7904723315</x:v>
      </x:c>
      <x:c r="O370" s="1">
        <x:f t="shared" ref="O370:O390" si="134">+$N370*D370/$C370</x:f>
        <x:v>6408.2156914414672</x:v>
      </x:c>
      <x:c r="P370" s="1">
        <x:f t="shared" ref="P370:P390" si="135">+$N370*E370/$C370</x:f>
        <x:v>34470.095250116792</x:v>
      </x:c>
      <x:c r="Q370" s="1">
        <x:f t="shared" si="131"/>
        <x:v>4235.4795307732384</x:v>
      </x:c>
      <x:c r="R370" s="1">
        <x:f t="shared" si="132"/>
        <x:v>0</x:v>
      </x:c>
      <x:c r="T370" s="5">
        <x:f t="shared" si="127"/>
        <x:v>0</x:v>
      </x:c>
    </x:row>
    <x:row r="371" spans="1:20">
      <x:c r="A371" t="s">
        <x:v>91</x:v>
      </x:c>
      <x:c r="B371" t="s">
        <x:v>5</x:v>
      </x:c>
      <x:c r="C371" s="1">
        <x:v>1775190.8300000005</x:v>
      </x:c>
      <x:c r="D371" s="1">
        <x:v>120225.3</x:v>
      </x:c>
      <x:c r="E371" s="1">
        <x:v>1414001.3100000005</x:v>
      </x:c>
      <x:c r="F371" s="1">
        <x:v>240964.22</x:v>
      </x:c>
      <x:c r="I371">
        <x:v>22</x:v>
      </x:c>
      <x:c r="J371">
        <x:f>+J370-1</x:f>
        <x:v>19.5</x:v>
      </x:c>
      <x:c r="K371" s="4">
        <x:v>0</x:v>
      </x:c>
      <x:c r="L371" s="2">
        <x:f t="shared" ref="L371:L390" si="136">+C371*(1-J371/I371)*(1-K371)</x:f>
        <x:v>201726.23068181827</x:v>
      </x:c>
      <x:c r="M371" s="5">
        <x:v>0.48320481487064776</x:v>
      </x:c>
      <x:c r="N371" s="1">
        <x:f t="shared" si="133"/>
        <x:v>97475.085951161585</x:v>
      </x:c>
      <x:c r="O371" s="1">
        <x:f t="shared" si="134"/>
        <x:v>6601.5277078713743</x:v>
      </x:c>
      <x:c r="P371" s="1">
        <x:f t="shared" si="135"/>
        <x:v>77642.300139250423</x:v>
      </x:c>
      <x:c r="Q371" s="1">
        <x:f t="shared" si="131"/>
        <x:v>13231.25810403978</x:v>
      </x:c>
      <x:c r="R371" s="1">
        <x:f t="shared" si="132"/>
        <x:v>0</x:v>
      </x:c>
      <x:c r="T371" s="5">
        <x:f t="shared" si="127"/>
        <x:v>0</x:v>
      </x:c>
    </x:row>
    <x:row r="372" spans="1:20">
      <x:c r="A372" t="s">
        <x:v>91</x:v>
      </x:c>
      <x:c r="B372" t="s">
        <x:v>4</x:v>
      </x:c>
      <x:c r="C372" s="1">
        <x:v>1979296.8999999992</x:v>
      </x:c>
      <x:c r="D372" s="1">
        <x:v>294593.52</x:v>
      </x:c>
      <x:c r="E372" s="1">
        <x:v>1356901.0199999993</x:v>
      </x:c>
      <x:c r="F372" s="1">
        <x:v>327802.35999999993</x:v>
      </x:c>
      <x:c r="I372">
        <x:v>22</x:v>
      </x:c>
      <x:c r="J372">
        <x:f t="shared" ref="J372:J390" si="137">+J371-1</x:f>
        <x:v>18.5</x:v>
      </x:c>
      <x:c r="K372" s="4">
        <x:v>0</x:v>
      </x:c>
      <x:c r="L372" s="2">
        <x:f t="shared" si="136"/>
        <x:v>314888.14318181801</x:v>
      </x:c>
      <x:c r="M372" s="5">
        <x:v>0.48320481487064776</x:v>
      </x:c>
      <x:c r="N372" s="1">
        <x:f t="shared" si="133"/>
        <x:v>152155.4669311324</x:v>
      </x:c>
      <x:c r="O372" s="1">
        <x:f t="shared" si="134"/>
        <x:v>22646.432978541983</x:v>
      </x:c>
      <x:c r="P372" s="1">
        <x:f t="shared" si="135"/>
        <x:v>104309.72143564202</x:v>
      </x:c>
      <x:c r="Q372" s="1">
        <x:f t="shared" si="131"/>
        <x:v>25199.312516948401</x:v>
      </x:c>
      <x:c r="R372" s="1">
        <x:f t="shared" si="132"/>
        <x:v>0</x:v>
      </x:c>
      <x:c r="T372" s="5">
        <x:f t="shared" si="127"/>
        <x:v>0</x:v>
      </x:c>
    </x:row>
    <x:row r="373" spans="1:20">
      <x:c r="A373" t="s">
        <x:v>91</x:v>
      </x:c>
      <x:c r="B373" t="s">
        <x:v>3</x:v>
      </x:c>
      <x:c r="C373" s="1">
        <x:v>2453606.5599999996</x:v>
      </x:c>
      <x:c r="D373" s="1">
        <x:v>1250145.71</x:v>
      </x:c>
      <x:c r="E373" s="1">
        <x:v>1110603.0699999998</x:v>
      </x:c>
      <x:c r="F373" s="1">
        <x:v>92857.78</x:v>
      </x:c>
      <x:c r="I373">
        <x:v>22</x:v>
      </x:c>
      <x:c r="J373">
        <x:f t="shared" si="137"/>
        <x:v>17.5</x:v>
      </x:c>
      <x:c r="K373" s="4">
        <x:v>0</x:v>
      </x:c>
      <x:c r="L373" s="2">
        <x:f t="shared" si="136"/>
        <x:v>501874.06909090909</x:v>
      </x:c>
      <x:c r="M373" s="5">
        <x:v>0.48320481487064776</x:v>
      </x:c>
      <x:c r="N373" s="1">
        <x:f t="shared" si="133"/>
        <x:v>242507.96664345142</x:v>
      </x:c>
      <x:c r="O373" s="1">
        <x:f t="shared" si="134"/>
        <x:v>123561.08721038549</x:v>
      </x:c>
      <x:c r="P373" s="1">
        <x:f t="shared" si="135"/>
        <x:v>109769.06267061608</x:v>
      </x:c>
      <x:c r="Q373" s="1">
        <x:f t="shared" si="131"/>
        <x:v>9177.8167624498674</x:v>
      </x:c>
      <x:c r="R373" s="1">
        <x:f t="shared" si="132"/>
        <x:v>0</x:v>
      </x:c>
      <x:c r="T373" s="5">
        <x:f t="shared" si="127"/>
        <x:v>0</x:v>
      </x:c>
    </x:row>
    <x:row r="374" spans="1:20">
      <x:c r="A374" t="s">
        <x:v>91</x:v>
      </x:c>
      <x:c r="B374" t="s">
        <x:v>2</x:v>
      </x:c>
      <x:c r="C374" s="1">
        <x:v>1345738.13</x:v>
      </x:c>
      <x:c r="D374" s="1">
        <x:v>800048.07</x:v>
      </x:c>
      <x:c r="E374" s="1">
        <x:v>442960.87999999995</x:v>
      </x:c>
      <x:c r="F374" s="1">
        <x:v>102729.18</x:v>
      </x:c>
      <x:c r="I374">
        <x:v>22</x:v>
      </x:c>
      <x:c r="J374">
        <x:f t="shared" si="137"/>
        <x:v>16.5</x:v>
      </x:c>
      <x:c r="K374" s="4">
        <x:v>0</x:v>
      </x:c>
      <x:c r="L374" s="2">
        <x:f t="shared" si="136"/>
        <x:v>336434.53249999997</x:v>
      </x:c>
      <x:c r="M374" s="5">
        <x:v>0.48320481487064776</x:v>
      </x:c>
      <x:c r="N374" s="1">
        <x:f t="shared" si="133"/>
        <x:v>162566.78599275541</x:v>
      </x:c>
      <x:c r="O374" s="1">
        <x:f t="shared" si="134"/>
        <x:v>96646.769887992254</x:v>
      </x:c>
      <x:c r="P374" s="1">
        <x:f t="shared" si="135"/>
        <x:v>53510.207503834798</x:v>
      </x:c>
      <x:c r="Q374" s="1">
        <x:f t="shared" si="131"/>
        <x:v>12409.808600928362</x:v>
      </x:c>
      <x:c r="R374" s="1">
        <x:f t="shared" si="132"/>
        <x:v>0</x:v>
      </x:c>
      <x:c r="T374" s="5">
        <x:f t="shared" si="127"/>
        <x:v>0</x:v>
      </x:c>
    </x:row>
    <x:row r="375" spans="1:20">
      <x:c r="A375" t="s">
        <x:v>91</x:v>
      </x:c>
      <x:c r="B375" t="s">
        <x:v>1</x:v>
      </x:c>
      <x:c r="C375" s="1">
        <x:v>567160.27</x:v>
      </x:c>
      <x:c r="D375" s="1">
        <x:v>21686.54</x:v>
      </x:c>
      <x:c r="E375" s="1">
        <x:v>519586.72000000003</x:v>
      </x:c>
      <x:c r="F375" s="1">
        <x:v>25887.010000000002</x:v>
      </x:c>
      <x:c r="I375">
        <x:v>22</x:v>
      </x:c>
      <x:c r="J375">
        <x:f t="shared" si="137"/>
        <x:v>15.5</x:v>
      </x:c>
      <x:c r="K375" s="4">
        <x:v>0</x:v>
      </x:c>
      <x:c r="L375" s="2">
        <x:f t="shared" si="136"/>
        <x:v>167570.07977272724</x:v>
      </x:c>
      <x:c r="M375" s="5">
        <x:v>0.48320481487064776</x:v>
      </x:c>
      <x:c r="N375" s="1">
        <x:f t="shared" si="133"/>
        <x:v>80970.669374440346</x:v>
      </x:c>
      <x:c r="O375" s="1">
        <x:f t="shared" si="134"/>
        <x:v>3096.0801612841738</x:v>
      </x:c>
      <x:c r="P375" s="1">
        <x:f t="shared" si="135"/>
        <x:v>74178.828704750267</x:v>
      </x:c>
      <x:c r="Q375" s="1">
        <x:f t="shared" si="131"/>
        <x:v>3695.7605084059064</x:v>
      </x:c>
      <x:c r="R375" s="1">
        <x:f t="shared" si="132"/>
        <x:v>0</x:v>
      </x:c>
      <x:c r="T375" s="5">
        <x:f t="shared" si="127"/>
        <x:v>0</x:v>
      </x:c>
    </x:row>
    <x:row r="376" spans="1:20">
      <x:c r="A376" t="s">
        <x:v>91</x:v>
      </x:c>
      <x:c r="B376" t="s">
        <x:v>21</x:v>
      </x:c>
      <x:c r="C376" s="1">
        <x:v>1205925.29</x:v>
      </x:c>
      <x:c r="D376" s="1">
        <x:v>1071767.52</x:v>
      </x:c>
      <x:c r="E376" s="1">
        <x:v>113442.82999999999</x:v>
      </x:c>
      <x:c r="F376" s="1">
        <x:v>20714.940000000002</x:v>
      </x:c>
      <x:c r="I376">
        <x:v>22</x:v>
      </x:c>
      <x:c r="J376">
        <x:f t="shared" si="137"/>
        <x:v>14.5</x:v>
      </x:c>
      <x:c r="K376" s="4">
        <x:v>0</x:v>
      </x:c>
      <x:c r="L376" s="2">
        <x:f t="shared" si="136"/>
        <x:v>411110.89431818185</x:v>
      </x:c>
      <x:c r="M376" s="5">
        <x:v>0.48320481487064776</x:v>
      </x:c>
      <x:c r="N376" s="1">
        <x:f t="shared" si="133"/>
        <x:v>198650.76358032349</x:v>
      </x:c>
      <x:c r="O376" s="1">
        <x:f t="shared" si="134"/>
        <x:v>176551.09980203633</x:v>
      </x:c>
      <x:c r="P376" s="1">
        <x:f t="shared" si="135"/>
        <x:v>18687.314205188304</x:v>
      </x:c>
      <x:c r="Q376" s="1">
        <x:f t="shared" si="131"/>
        <x:v>3412.3495730988329</x:v>
      </x:c>
      <x:c r="R376" s="1">
        <x:f t="shared" si="132"/>
        <x:v>0</x:v>
      </x:c>
      <x:c r="T376" s="5">
        <x:f t="shared" si="127"/>
        <x:v>0</x:v>
      </x:c>
    </x:row>
    <x:row r="377" spans="1:20">
      <x:c r="A377" t="s">
        <x:v>91</x:v>
      </x:c>
      <x:c r="B377" t="s">
        <x:v>20</x:v>
      </x:c>
      <x:c r="C377" s="1">
        <x:v>549325.06000000006</x:v>
      </x:c>
      <x:c r="D377" s="1">
        <x:v>366771.54000000004</x:v>
      </x:c>
      <x:c r="E377" s="1">
        <x:v>151654.84999999998</x:v>
      </x:c>
      <x:c r="F377" s="1">
        <x:v>30898.670000000002</x:v>
      </x:c>
      <x:c r="I377">
        <x:v>22</x:v>
      </x:c>
      <x:c r="J377">
        <x:f t="shared" si="137"/>
        <x:v>13.5</x:v>
      </x:c>
      <x:c r="K377" s="4">
        <x:v>0</x:v>
      </x:c>
      <x:c r="L377" s="2">
        <x:f t="shared" si="136"/>
        <x:v>212239.22772727275</x:v>
      </x:c>
      <x:c r="M377" s="5">
        <x:v>0.48320481487064776</x:v>
      </x:c>
      <x:c r="N377" s="1">
        <x:f t="shared" si="133"/>
        <x:v>102555.01674224608</x:v>
      </x:c>
      <x:c r="O377" s="1">
        <x:f t="shared" si="134"/>
        <x:v>68473.594533042749</x:v>
      </x:c>
      <x:c r="P377" s="1">
        <x:f t="shared" si="135"/>
        <x:v>28312.863936687714</x:v>
      </x:c>
      <x:c r="Q377" s="1">
        <x:f t="shared" si="131"/>
        <x:v>5768.5582725156155</x:v>
      </x:c>
      <x:c r="R377" s="1">
        <x:f t="shared" si="132"/>
        <x:v>0</x:v>
      </x:c>
      <x:c r="T377" s="5">
        <x:f t="shared" si="127"/>
        <x:v>0</x:v>
      </x:c>
    </x:row>
    <x:row r="378" spans="1:20">
      <x:c r="A378" t="s">
        <x:v>91</x:v>
      </x:c>
      <x:c r="B378" t="s">
        <x:v>19</x:v>
      </x:c>
      <x:c r="C378" s="1">
        <x:v>342932.30999999994</x:v>
      </x:c>
      <x:c r="D378" s="1">
        <x:v>287964.59999999998</x:v>
      </x:c>
      <x:c r="E378" s="1">
        <x:v>47591.419999999984</x:v>
      </x:c>
      <x:c r="F378" s="1">
        <x:v>7376.2900000000009</x:v>
      </x:c>
      <x:c r="I378">
        <x:v>22</x:v>
      </x:c>
      <x:c r="J378">
        <x:f t="shared" si="137"/>
        <x:v>12.5</x:v>
      </x:c>
      <x:c r="K378" s="4">
        <x:v>0</x:v>
      </x:c>
      <x:c r="L378" s="2">
        <x:f t="shared" si="136"/>
        <x:v>148084.40659090906</x:v>
      </x:c>
      <x:c r="M378" s="5">
        <x:v>0.48320481487064776</x:v>
      </x:c>
      <x:c r="N378" s="1">
        <x:f t="shared" si="133"/>
        <x:v>71555.098271989948</x:v>
      </x:c>
      <x:c r="O378" s="1">
        <x:f t="shared" si="134"/>
        <x:v>60085.721441220507</x:v>
      </x:c>
      <x:c r="P378" s="1">
        <x:f t="shared" si="135"/>
        <x:v>9930.2650572748516</x:v>
      </x:c>
      <x:c r="Q378" s="1">
        <x:f t="shared" si="131"/>
        <x:v>1539.111773494591</x:v>
      </x:c>
      <x:c r="R378" s="1">
        <x:f t="shared" si="132"/>
        <x:v>0</x:v>
      </x:c>
      <x:c r="T378" s="5">
        <x:f t="shared" si="127"/>
        <x:v>0</x:v>
      </x:c>
    </x:row>
    <x:row r="379" spans="1:20">
      <x:c r="A379" t="s">
        <x:v>91</x:v>
      </x:c>
      <x:c r="B379" t="s">
        <x:v>18</x:v>
      </x:c>
      <x:c r="C379" s="1">
        <x:v>803792.60000000021</x:v>
      </x:c>
      <x:c r="D379" s="1">
        <x:v>72650.349999999991</x:v>
      </x:c>
      <x:c r="E379" s="1">
        <x:v>559793.14000000025</x:v>
      </x:c>
      <x:c r="F379" s="1">
        <x:v>171349.11000000002</x:v>
      </x:c>
      <x:c r="I379">
        <x:v>22</x:v>
      </x:c>
      <x:c r="J379">
        <x:f t="shared" si="137"/>
        <x:v>11.5</x:v>
      </x:c>
      <x:c r="K379" s="4">
        <x:v>0</x:v>
      </x:c>
      <x:c r="L379" s="2">
        <x:f t="shared" si="136"/>
        <x:v>383628.28636363649</x:v>
      </x:c>
      <x:c r="M379" s="5">
        <x:v>0.48320481487064776</x:v>
      </x:c>
      <x:c r="N379" s="1">
        <x:f t="shared" si="133"/>
        <x:v>185371.03509148481</x:v>
      </x:c>
      <x:c r="O379" s="1">
        <x:f t="shared" si="134"/>
        <x:v>16754.658576427115</x:v>
      </x:c>
      <x:c r="P379" s="1">
        <x:f t="shared" si="135"/>
        <x:v>129099.76254933486</x:v>
      </x:c>
      <x:c r="Q379" s="1">
        <x:f t="shared" si="131"/>
        <x:v>39516.613965722856</x:v>
      </x:c>
      <x:c r="R379" s="1">
        <x:f t="shared" si="132"/>
        <x:v>0</x:v>
      </x:c>
      <x:c r="T379" s="5">
        <x:f t="shared" si="127"/>
        <x:v>0</x:v>
      </x:c>
    </x:row>
    <x:row r="380" spans="1:20">
      <x:c r="A380" t="s">
        <x:v>91</x:v>
      </x:c>
      <x:c r="B380" t="s">
        <x:v>17</x:v>
      </x:c>
      <x:c r="C380" s="1">
        <x:v>198714.55000000002</x:v>
      </x:c>
      <x:c r="D380" s="1">
        <x:v>125816.61</x:v>
      </x:c>
      <x:c r="E380" s="1">
        <x:v>63052.670000000035</x:v>
      </x:c>
      <x:c r="F380" s="1">
        <x:v>9845.2699999999986</x:v>
      </x:c>
      <x:c r="I380">
        <x:v>22</x:v>
      </x:c>
      <x:c r="J380">
        <x:f t="shared" si="137"/>
        <x:v>10.5</x:v>
      </x:c>
      <x:c r="K380" s="4">
        <x:v>0</x:v>
      </x:c>
      <x:c r="L380" s="2">
        <x:f t="shared" si="136"/>
        <x:v>103873.51477272727</x:v>
      </x:c>
      <x:c r="M380" s="5">
        <x:v>0.48320481487064776</x:v>
      </x:c>
      <x:c r="N380" s="1">
        <x:f t="shared" si="133"/>
        <x:v>50192.182475719179</x:v>
      </x:c>
      <x:c r="O380" s="1">
        <x:f t="shared" si="134"/>
        <x:v>31779.304774594482</x:v>
      </x:c>
      <x:c r="P380" s="1">
        <x:f t="shared" si="135"/>
        <x:v>15926.11672482617</x:v>
      </x:c>
      <x:c r="Q380" s="1">
        <x:f t="shared" si="131"/>
        <x:v>2486.760976298533</x:v>
      </x:c>
      <x:c r="R380" s="1">
        <x:f t="shared" si="132"/>
        <x:v>0</x:v>
      </x:c>
      <x:c r="T380" s="5">
        <x:f t="shared" si="127"/>
        <x:v>0</x:v>
      </x:c>
    </x:row>
    <x:row r="381" spans="1:20">
      <x:c r="A381" t="s">
        <x:v>91</x:v>
      </x:c>
      <x:c r="B381" t="s">
        <x:v>16</x:v>
      </x:c>
      <x:c r="C381" s="1">
        <x:v>846976.55999999982</x:v>
      </x:c>
      <x:c r="D381" s="1">
        <x:v>129433.29999999999</x:v>
      </x:c>
      <x:c r="E381" s="1">
        <x:v>541976.05999999994</x:v>
      </x:c>
      <x:c r="F381" s="1">
        <x:v>175567.2</x:v>
      </x:c>
      <x:c r="I381">
        <x:v>22</x:v>
      </x:c>
      <x:c r="J381">
        <x:f t="shared" si="137"/>
        <x:v>9.5</x:v>
      </x:c>
      <x:c r="K381" s="4">
        <x:v>0</x:v>
      </x:c>
      <x:c r="L381" s="2">
        <x:f t="shared" si="136"/>
        <x:v>481236.68181818165</x:v>
      </x:c>
      <x:c r="M381" s="5">
        <x:v>0.48320481487064776</x:v>
      </x:c>
      <x:c r="N381" s="1">
        <x:f t="shared" si="133"/>
        <x:v>232535.88174691927</x:v>
      </x:c>
      <x:c r="O381" s="1">
        <x:f t="shared" si="134"/>
        <x:v>35535.678275339204</x:v>
      </x:c>
      <x:c r="P381" s="1">
        <x:f t="shared" si="135"/>
        <x:v>148798.54644126308</x:v>
      </x:c>
      <x:c r="Q381" s="1">
        <x:f t="shared" si="131"/>
        <x:v>48201.657030317037</x:v>
      </x:c>
      <x:c r="R381" s="1">
        <x:f t="shared" si="132"/>
        <x:v>0</x:v>
      </x:c>
      <x:c r="T381" s="5">
        <x:f t="shared" si="127"/>
        <x:v>0</x:v>
      </x:c>
    </x:row>
    <x:row r="382" spans="1:20">
      <x:c r="A382" t="s">
        <x:v>91</x:v>
      </x:c>
      <x:c r="B382" t="s">
        <x:v>15</x:v>
      </x:c>
      <x:c r="C382" s="1">
        <x:v>442589.81</x:v>
      </x:c>
      <x:c r="D382" s="1">
        <x:v>92766.35000000002</x:v>
      </x:c>
      <x:c r="E382" s="1">
        <x:v>304708.42999999993</x:v>
      </x:c>
      <x:c r="F382" s="1">
        <x:v>45115.030000000013</x:v>
      </x:c>
      <x:c r="I382">
        <x:v>22</x:v>
      </x:c>
      <x:c r="J382">
        <x:f t="shared" si="137"/>
        <x:v>8.5</x:v>
      </x:c>
      <x:c r="K382" s="4">
        <x:v>0</x:v>
      </x:c>
      <x:c r="L382" s="2">
        <x:f t="shared" si="136"/>
        <x:v>271589.2015909091</x:v>
      </x:c>
      <x:c r="M382" s="5">
        <x:v>0.48320481487064776</x:v>
      </x:c>
      <x:c r="N382" s="1">
        <x:f t="shared" si="133"/>
        <x:v>131233.20987560228</x:v>
      </x:c>
      <x:c r="O382" s="1">
        <x:f t="shared" si="134"/>
        <x:v>27506.340191030562</x:v>
      </x:c>
      <x:c r="P382" s="1">
        <x:f t="shared" si="135"/>
        <x:v>90349.719856982832</x:v>
      </x:c>
      <x:c r="Q382" s="1">
        <x:f t="shared" si="131"/>
        <x:v>13377.149827588879</x:v>
      </x:c>
      <x:c r="R382" s="1">
        <x:f t="shared" si="132"/>
        <x:v>0</x:v>
      </x:c>
      <x:c r="T382" s="5">
        <x:f t="shared" si="127"/>
        <x:v>0</x:v>
      </x:c>
    </x:row>
    <x:row r="383" spans="1:20">
      <x:c r="A383" t="s">
        <x:v>91</x:v>
      </x:c>
      <x:c r="B383" t="s">
        <x:v>14</x:v>
      </x:c>
      <x:c r="C383" s="1">
        <x:v>751639.87</x:v>
      </x:c>
      <x:c r="D383" s="1">
        <x:v>499554.6</x:v>
      </x:c>
      <x:c r="E383" s="1">
        <x:v>237356.37</x:v>
      </x:c>
      <x:c r="F383" s="1">
        <x:v>14728.899999999998</x:v>
      </x:c>
      <x:c r="I383">
        <x:v>22</x:v>
      </x:c>
      <x:c r="J383">
        <x:f t="shared" si="137"/>
        <x:v>7.5</x:v>
      </x:c>
      <x:c r="K383" s="4">
        <x:v>0</x:v>
      </x:c>
      <x:c r="L383" s="2">
        <x:f t="shared" si="136"/>
        <x:v>495399.00522727281</x:v>
      </x:c>
      <x:c r="M383" s="5">
        <x:v>0.48320481487064776</x:v>
      </x:c>
      <x:c r="N383" s="1">
        <x:f t="shared" si="133"/>
        <x:v>239379.18460794742</x:v>
      </x:c>
      <x:c r="O383" s="1">
        <x:f t="shared" si="134"/>
        <x:v>159096.10118892352</x:v>
      </x:c>
      <x:c r="P383" s="1">
        <x:f t="shared" si="135"/>
        <x:v>75592.283725053421</x:v>
      </x:c>
      <x:c r="Q383" s="1">
        <x:f t="shared" si="131"/>
        <x:v>4690.7996939704599</x:v>
      </x:c>
      <x:c r="R383" s="1">
        <x:f t="shared" si="132"/>
        <x:v>0</x:v>
      </x:c>
      <x:c r="T383" s="5">
        <x:f t="shared" si="127"/>
        <x:v>0</x:v>
      </x:c>
    </x:row>
    <x:row r="384" spans="1:20">
      <x:c r="A384" t="s">
        <x:v>91</x:v>
      </x:c>
      <x:c r="B384" t="s">
        <x:v>30</x:v>
      </x:c>
      <x:c r="C384" s="1">
        <x:v>336521.02999999997</x:v>
      </x:c>
      <x:c r="D384" s="1">
        <x:v>59958.7</x:v>
      </x:c>
      <x:c r="E384" s="1">
        <x:v>238439.71</x:v>
      </x:c>
      <x:c r="F384" s="1">
        <x:v>38122.62000000001</x:v>
      </x:c>
      <x:c r="I384">
        <x:v>22</x:v>
      </x:c>
      <x:c r="J384">
        <x:f t="shared" si="137"/>
        <x:v>6.5</x:v>
      </x:c>
      <x:c r="K384" s="4">
        <x:v>0</x:v>
      </x:c>
      <x:c r="L384" s="2">
        <x:f t="shared" si="136"/>
        <x:v>237094.36204545453</x:v>
      </x:c>
      <x:c r="M384" s="5">
        <x:v>0.48320481487064776</x:v>
      </x:c>
      <x:c r="N384" s="1">
        <x:f t="shared" si="133"/>
        <x:v>114565.1373190482</x:v>
      </x:c>
      <x:c r="O384" s="1">
        <x:f t="shared" si="134"/>
        <x:v>20412.32519397559</x:v>
      </x:c>
      <x:c r="P384" s="1">
        <x:f t="shared" si="135"/>
        <x:v>81174.356676799754</x:v>
      </x:c>
      <x:c r="Q384" s="1">
        <x:f t="shared" si="131"/>
        <x:v>12978.45544827286</x:v>
      </x:c>
      <x:c r="R384" s="1">
        <x:f t="shared" si="132"/>
        <x:v>0</x:v>
      </x:c>
      <x:c r="T384" s="5">
        <x:f t="shared" si="127"/>
        <x:v>0</x:v>
      </x:c>
    </x:row>
    <x:row r="385" spans="1:20">
      <x:c r="A385" t="s">
        <x:v>91</x:v>
      </x:c>
      <x:c r="B385" t="s">
        <x:v>29</x:v>
      </x:c>
      <x:c r="C385" s="1">
        <x:v>238863.1</x:v>
      </x:c>
      <x:c r="D385" s="1">
        <x:v>212715.35</x:v>
      </x:c>
      <x:c r="E385" s="1">
        <x:v>24769.260000000002</x:v>
      </x:c>
      <x:c r="F385" s="1">
        <x:v>1378.49</x:v>
      </x:c>
      <x:c r="I385">
        <x:v>22</x:v>
      </x:c>
      <x:c r="J385">
        <x:f t="shared" si="137"/>
        <x:v>5.5</x:v>
      </x:c>
      <x:c r="K385" s="4">
        <x:v>0</x:v>
      </x:c>
      <x:c r="L385" s="2">
        <x:f t="shared" si="136"/>
        <x:v>179147.32500000001</x:v>
      </x:c>
      <x:c r="M385" s="5">
        <x:v>0.48320481487064776</x:v>
      </x:c>
      <x:c r="N385" s="1">
        <x:f t="shared" si="133"/>
        <x:v>86564.850011196773</x:v>
      </x:c>
      <x:c r="O385" s="1">
        <x:f t="shared" si="134"/>
        <x:v>77088.810987671299</x:v>
      </x:c>
      <x:c r="P385" s="1">
        <x:f t="shared" si="135"/>
        <x:v>8976.4692695872072</x:v>
      </x:c>
      <x:c r="Q385" s="1">
        <x:f t="shared" si="131"/>
        <x:v>499.5697539382794</x:v>
      </x:c>
      <x:c r="R385" s="1">
        <x:f t="shared" si="132"/>
        <x:v>0</x:v>
      </x:c>
      <x:c r="T385" s="5">
        <x:f t="shared" si="127"/>
        <x:v>0</x:v>
      </x:c>
    </x:row>
    <x:row r="386" spans="1:20">
      <x:c r="A386" t="s">
        <x:v>91</x:v>
      </x:c>
      <x:c r="B386" t="s">
        <x:v>87</x:v>
      </x:c>
      <x:c r="C386" s="1">
        <x:v>82868.540000000008</x:v>
      </x:c>
      <x:c r="D386" s="1">
        <x:v>19586.2</x:v>
      </x:c>
      <x:c r="E386" s="1">
        <x:v>53021.68</x:v>
      </x:c>
      <x:c r="F386" s="1">
        <x:v>10260.660000000003</x:v>
      </x:c>
      <x:c r="I386">
        <x:v>22</x:v>
      </x:c>
      <x:c r="J386">
        <x:f t="shared" si="137"/>
        <x:v>4.5</x:v>
      </x:c>
      <x:c r="K386" s="4">
        <x:v>0</x:v>
      </x:c>
      <x:c r="L386" s="2">
        <x:f t="shared" si="136"/>
        <x:v>65918.156818181815</x:v>
      </x:c>
      <x:c r="M386" s="5">
        <x:v>0.48320481487064776</x:v>
      </x:c>
      <x:c r="N386" s="1">
        <x:f t="shared" si="133"/>
        <x:v>31851.97076194387</x:v>
      </x:c>
      <x:c r="O386" s="1">
        <x:f t="shared" si="134"/>
        <x:v>7528.298069901859</x:v>
      </x:c>
      <x:c r="P386" s="1">
        <x:f t="shared" si="135"/>
        <x:v>20379.808804513072</x:v>
      </x:c>
      <x:c r="Q386" s="1">
        <x:f t="shared" si="131"/>
        <x:v>3943.8638875289348</x:v>
      </x:c>
      <x:c r="R386" s="1">
        <x:f t="shared" si="132"/>
        <x:v>0</x:v>
      </x:c>
      <x:c r="T386" s="5">
        <x:f t="shared" si="127"/>
        <x:v>0</x:v>
      </x:c>
    </x:row>
    <x:row r="387" spans="1:20">
      <x:c r="A387" t="s">
        <x:v>91</x:v>
      </x:c>
      <x:c r="B387" t="s">
        <x:v>86</x:v>
      </x:c>
      <x:c r="C387" s="1">
        <x:v>437326.27</x:v>
      </x:c>
      <x:c r="D387" s="1">
        <x:v>320901.71999999997</x:v>
      </x:c>
      <x:c r="E387" s="1">
        <x:v>107469.77</x:v>
      </x:c>
      <x:c r="F387" s="1">
        <x:v>8954.7800000000007</x:v>
      </x:c>
      <x:c r="I387">
        <x:v>22</x:v>
      </x:c>
      <x:c r="J387">
        <x:f t="shared" si="137"/>
        <x:v>3.5</x:v>
      </x:c>
      <x:c r="K387" s="4">
        <x:v>0</x:v>
      </x:c>
      <x:c r="L387" s="2">
        <x:f t="shared" si="136"/>
        <x:v>367751.63613636367</x:v>
      </x:c>
      <x:c r="M387" s="5">
        <x:v>0.48320481487064776</x:v>
      </x:c>
      <x:c r="N387" s="1">
        <x:f t="shared" si="133"/>
        <x:v>177699.36125764943</x:v>
      </x:c>
      <x:c r="O387" s="1">
        <x:f t="shared" si="134"/>
        <x:v>130392.41998995638</x:v>
      </x:c>
      <x:c r="P387" s="1">
        <x:f t="shared" si="135"/>
        <x:v>43668.333675693655</x:v>
      </x:c>
      <x:c r="Q387" s="1">
        <x:f t="shared" si="131"/>
        <x:v>3638.6075919993873</x:v>
      </x:c>
      <x:c r="R387" s="1">
        <x:f t="shared" si="132"/>
        <x:v>0</x:v>
      </x:c>
      <x:c r="T387" s="5">
        <x:f t="shared" si="127"/>
        <x:v>0</x:v>
      </x:c>
    </x:row>
    <x:row r="388" spans="1:20">
      <x:c r="A388" t="s">
        <x:v>91</x:v>
      </x:c>
      <x:c r="B388" t="s">
        <x:v>28</x:v>
      </x:c>
      <x:c r="C388" s="1">
        <x:v>66824.600000000006</x:v>
      </x:c>
      <x:c r="D388" s="1">
        <x:v>17999.339999999997</x:v>
      </x:c>
      <x:c r="E388" s="1">
        <x:v>42070.66</x:v>
      </x:c>
      <x:c r="F388" s="1">
        <x:v>6754.5999999999995</x:v>
      </x:c>
      <x:c r="I388">
        <x:v>22</x:v>
      </x:c>
      <x:c r="J388">
        <x:f t="shared" si="137"/>
        <x:v>2.5</x:v>
      </x:c>
      <x:c r="K388" s="4">
        <x:v>0</x:v>
      </x:c>
      <x:c r="L388" s="2">
        <x:f t="shared" si="136"/>
        <x:v>59230.895454545462</x:v>
      </x:c>
      <x:c r="M388" s="5">
        <x:v>0.48320481487064776</x:v>
      </x:c>
      <x:c r="N388" s="1">
        <x:f t="shared" si="133"/>
        <x:v>28620.653872736333</x:v>
      </x:c>
      <x:c r="O388" s="1">
        <x:f t="shared" si="134"/>
        <x:v>7709.0305078922702</x:v>
      </x:c>
      <x:c r="P388" s="1">
        <x:f t="shared" si="135"/>
        <x:v>18018.660763514836</x:v>
      </x:c>
      <x:c r="Q388" s="1">
        <x:f t="shared" si="131"/>
        <x:v>2892.9626013292232</x:v>
      </x:c>
      <x:c r="R388" s="1">
        <x:f t="shared" si="132"/>
        <x:v>0</x:v>
      </x:c>
      <x:c r="T388" s="5">
        <x:f t="shared" si="127"/>
        <x:v>0</x:v>
      </x:c>
    </x:row>
    <x:row r="389" spans="1:20">
      <x:c r="A389" t="s">
        <x:v>91</x:v>
      </x:c>
      <x:c r="B389" t="s">
        <x:v>85</x:v>
      </x:c>
      <x:c r="C389" s="1">
        <x:v>147098.85999999999</x:v>
      </x:c>
      <x:c r="D389" s="1">
        <x:v>57619.68</x:v>
      </x:c>
      <x:c r="E389" s="1">
        <x:v>86930.349999999991</x:v>
      </x:c>
      <x:c r="F389" s="1">
        <x:v>2548.83</x:v>
      </x:c>
      <x:c r="I389">
        <x:v>22</x:v>
      </x:c>
      <x:c r="J389">
        <x:f t="shared" si="137"/>
        <x:v>1.5</x:v>
      </x:c>
      <x:c r="K389" s="4">
        <x:v>0</x:v>
      </x:c>
      <x:c r="L389" s="2">
        <x:f t="shared" si="136"/>
        <x:v>137069.39227272727</x:v>
      </x:c>
      <x:c r="M389" s="5">
        <x:v>0.48320481487064776</x:v>
      </x:c>
      <x:c r="N389" s="1">
        <x:f t="shared" si="133"/>
        <x:v>66232.590317575377</x:v>
      </x:c>
      <x:c r="O389" s="1">
        <x:f t="shared" si="134"/>
        <x:v>25943.781343171471</x:v>
      </x:c>
      <x:c r="P389" s="1">
        <x:f t="shared" si="135"/>
        <x:v>39141.175245773069</x:v>
      </x:c>
      <x:c r="Q389" s="1">
        <x:f t="shared" si="131"/>
        <x:v>1147.633728630838</x:v>
      </x:c>
      <x:c r="R389" s="1">
        <x:f t="shared" si="132"/>
        <x:v>0</x:v>
      </x:c>
      <x:c r="T389" s="5"/>
    </x:row>
    <x:row r="390" spans="1:20">
      <x:c r="A390" t="s">
        <x:v>91</x:v>
      </x:c>
      <x:c r="B390" t="s">
        <x:v>27</x:v>
      </x:c>
      <x:c r="C390" s="1">
        <x:v>74061.19</x:v>
      </x:c>
      <x:c r="D390" s="1">
        <x:v>7228.0400000000009</x:v>
      </x:c>
      <x:c r="E390" s="1">
        <x:v>68467.5</x:v>
      </x:c>
      <x:c r="F390" s="1">
        <x:v>-1634.35</x:v>
      </x:c>
      <x:c r="I390">
        <x:v>22</x:v>
      </x:c>
      <x:c r="J390">
        <x:f t="shared" si="137"/>
        <x:v>0.5</x:v>
      </x:c>
      <x:c r="K390" s="4">
        <x:v>0</x:v>
      </x:c>
      <x:c r="L390" s="2">
        <x:f t="shared" si="136"/>
        <x:v>72377.98113636364</x:v>
      </x:c>
      <x:c r="M390" s="5">
        <x:v>0.48320481487064776</x:v>
      </x:c>
      <x:c r="N390" s="1">
        <x:f t="shared" si="133"/>
        <x:v>34973.388975707829</x:v>
      </x:c>
      <x:c r="O390" s="1">
        <x:f t="shared" si="134"/>
        <x:v>3413.2459180304186</x:v>
      </x:c>
      <x:c r="P390" s="1">
        <x:f t="shared" si="135"/>
        <x:v>32331.920533470711</x:v>
      </x:c>
      <x:c r="Q390" s="1">
        <x:f t="shared" si="131"/>
        <x:v>-771.77747579330128</x:v>
      </x:c>
      <x:c r="R390" s="1">
        <x:f t="shared" si="132"/>
        <x:v>0</x:v>
      </x:c>
      <x:c r="T390" s="5"/>
    </x:row>
    <x:row r="391" spans="1:20">
      <x:c r="C391" s="1">
        <x:f>SUM(C369:C390)</x:f>
        <x:v>17639204.699999999</x:v>
      </x:c>
      <x:c r="D391" s="1">
        <x:f t="shared" ref="D391:Q391" si="138">SUM(D369:D390)</x:f>
        <x:v>6478797.7299999977</x:v>
      </x:c>
      <x:c r="E391" s="1">
        <x:f t="shared" si="138"/>
        <x:v>9639077.5599999987</x:v>
      </x:c>
      <x:c r="F391" s="1">
        <x:f t="shared" si="138"/>
        <x:v>1521329.41</x:v>
      </x:c>
      <x:c r="G391" s="1" t="s">
        <x:v>110</x:v>
      </x:c>
      <x:c r="I391" s="1" t="s">
        <x:v>110</x:v>
      </x:c>
      <x:c r="J391" s="1" t="s">
        <x:v>110</x:v>
      </x:c>
      <x:c r="K391" s="1">
        <x:f t="shared" si="138"/>
        <x:v>0</x:v>
      </x:c>
      <x:c r="L391" s="1">
        <x:f t="shared" si="138"/>
        <x:v>5278503.5900000008</x:v>
      </x:c>
      <x:c r="M391" s="1" t="s">
        <x:v>110</x:v>
      </x:c>
      <x:c r="N391" s="1">
        <x:f>SUM(N369:N390)</x:f>
        <x:v>2550598.35</x:v>
      </x:c>
      <x:c r="O391" s="1">
        <x:f t="shared" si="138"/>
        <x:v>1112225.7285521056</x:v>
      </x:c>
      <x:c r="P391" s="1">
        <x:f t="shared" si="138"/>
        <x:v>1226435.9268958366</x:v>
      </x:c>
      <x:c r="Q391" s="1">
        <x:f t="shared" si="138"/>
        <x:v>211936.69455205745</x:v>
      </x:c>
      <x:c r="T391" s="5"/>
    </x:row>
  </x:sheetData>
  <x:sortState xmlns:xlrd2="http://schemas.microsoft.com/office/spreadsheetml/2017/richdata2" ref="A126:Q162">
    <x:sortCondition ref="A126:A162"/>
    <x:sortCondition descending="1" ref="B126:B162"/>
  </x:sortState>
  <x:pageMargins left="0.75" right="0.75" top="2" bottom="1" header="0.75" footer="0.5"/>
  <x:pageSetup scale="50" orientation="landscape" r:id="rId1"/>
  <x:headerFooter>
    <x:oddHeader>&amp;C
2025 RATE CASE
ONCOR ELECTRIC DELIVERY LLC
WP/II B-5_8 ONCOR LEGACY GENERAL PLANT
FOR THE TEST YEAR ENDING DECEMBER 31, 2024
SPONSOR: D. A. WATSON&amp;RWP/B-5/9
Page 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2025-04-04T18:54:24.0000000Z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