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C:\IVD2 - Frank Lewis\Rate Cases\12-31-24\Workpapers\"/>
    </mc:Choice>
  </mc:AlternateContent>
  <xr:revisionPtr revIDLastSave="0" documentId="13_ncr:1_{CEFDA84D-D098-4887-AA85-A824A4E04962}" xr6:coauthVersionLast="47" xr6:coauthVersionMax="47" xr10:uidLastSave="{00000000-0000-0000-0000-000000000000}"/>
  <x:bookViews>
    <x:workbookView xWindow="25974" yWindow="-109" windowWidth="26301" windowHeight="14169" xr2:uid="{00000000-000D-0000-FFFF-FFFF00000000}"/>
  </x:bookViews>
  <x:sheets>
    <x:sheet name="WP II-B-6_01" sheetId="1" r:id="rId1"/>
  </x:sheets>
  <x:definedNames>
    <x:definedName name="_xlnm._FilterDatabase" localSheetId="0" hidden="1">'WP II-B-6_01'!$A$1:$M$77</x:definedName>
    <x:definedName name="_xlnm.Print_Titles" localSheetId="0">'WP II-B-6_01'!$1:$1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J79" i="1" l="1"/>
  <x:c r="J81" i="1"/>
  <x:c r="M79" i="1"/>
  <x:c r="L79" i="1"/>
  <x:c r="M62" i="1"/>
  <x:c r="L62" i="1"/>
  <x:c r="J62" i="1"/>
  <x:c r="M3" i="1" l="1"/>
  <x:c r="M11" i="1"/>
  <x:c r="M13" i="1"/>
  <x:c r="M20" i="1"/>
  <x:c r="M31" i="1"/>
  <x:c r="L3" i="1"/>
  <x:c r="L4" i="1"/>
  <x:c r="M4" i="1" s="1"/>
  <x:c r="L5" i="1"/>
  <x:c r="M5" i="1" s="1"/>
  <x:c r="L6" i="1"/>
  <x:c r="M6" i="1" s="1"/>
  <x:c r="L7" i="1"/>
  <x:c r="M7" i="1" s="1"/>
  <x:c r="L8" i="1"/>
  <x:c r="M8" i="1" s="1"/>
  <x:c r="L9" i="1"/>
  <x:c r="M9" i="1" s="1"/>
  <x:c r="L10" i="1"/>
  <x:c r="M10" i="1" s="1"/>
  <x:c r="L11" i="1"/>
  <x:c r="L12" i="1"/>
  <x:c r="M12" i="1" s="1"/>
  <x:c r="L13" i="1"/>
  <x:c r="L14" i="1"/>
  <x:c r="M14" i="1" s="1"/>
  <x:c r="L15" i="1"/>
  <x:c r="M15" i="1" s="1"/>
  <x:c r="L16" i="1"/>
  <x:c r="M16" i="1" s="1"/>
  <x:c r="L17" i="1"/>
  <x:c r="M17" i="1" s="1"/>
  <x:c r="L18" i="1"/>
  <x:c r="M18" i="1" s="1"/>
  <x:c r="L19" i="1"/>
  <x:c r="M19" i="1" s="1"/>
  <x:c r="L20" i="1"/>
  <x:c r="L21" i="1"/>
  <x:c r="M21" i="1" s="1"/>
  <x:c r="L22" i="1"/>
  <x:c r="M22" i="1" s="1"/>
  <x:c r="L23" i="1"/>
  <x:c r="M23" i="1" s="1"/>
  <x:c r="L24" i="1"/>
  <x:c r="M24" i="1" s="1"/>
  <x:c r="L25" i="1"/>
  <x:c r="M25" i="1" s="1"/>
  <x:c r="L26" i="1"/>
  <x:c r="M26" i="1" s="1"/>
  <x:c r="L27" i="1"/>
  <x:c r="M27" i="1" s="1"/>
  <x:c r="L28" i="1"/>
  <x:c r="M28" i="1" s="1"/>
  <x:c r="L29" i="1"/>
  <x:c r="M29" i="1" s="1"/>
  <x:c r="L30" i="1"/>
  <x:c r="M30" i="1" s="1"/>
  <x:c r="L31" i="1"/>
  <x:c r="L32" i="1"/>
  <x:c r="M32" i="1" s="1"/>
  <x:c r="L33" i="1"/>
  <x:c r="M33" i="1" s="1"/>
  <x:c r="L34" i="1"/>
  <x:c r="M34" i="1" s="1"/>
  <x:c r="L35" i="1"/>
  <x:c r="M35" i="1" s="1"/>
  <x:c r="L36" i="1"/>
  <x:c r="M36" i="1" s="1"/>
  <x:c r="L37" i="1"/>
  <x:c r="M37" i="1" s="1"/>
  <x:c r="L38" i="1"/>
  <x:c r="M38" i="1" s="1"/>
  <x:c r="L39" i="1"/>
  <x:c r="M39" i="1" s="1"/>
  <x:c r="L40" i="1"/>
  <x:c r="M40" i="1" s="1"/>
  <x:c r="L41" i="1"/>
  <x:c r="M41" i="1" s="1"/>
  <x:c r="M2" i="1"/>
  <x:c r="L2" i="1"/>
  <x:c r="L64" i="1"/>
  <x:c r="M64" i="1" s="1"/>
  <x:c r="L48" i="1" l="1"/>
  <x:c r="M48" i="1" s="1"/>
  <x:c r="L54" i="1"/>
  <x:c r="M54" i="1" s="1"/>
  <x:c r="L55" i="1"/>
  <x:c r="M55" i="1" s="1"/>
  <x:c r="L56" i="1"/>
  <x:c r="M56" i="1" s="1"/>
  <x:c r="L57" i="1"/>
  <x:c r="M57" i="1" s="1"/>
  <x:c r="L65" i="1"/>
  <x:c r="M65" i="1" s="1"/>
  <x:c r="L58" i="1"/>
  <x:c r="M58" i="1" s="1"/>
  <x:c r="L66" i="1"/>
  <x:c r="M66" i="1" s="1"/>
  <x:c r="L42" i="1"/>
  <x:c r="L49" i="1"/>
  <x:c r="M49" i="1" s="1"/>
  <x:c r="L53" i="1"/>
  <x:c r="M53" i="1" s="1"/>
  <x:c r="L59" i="1"/>
  <x:c r="M59" i="1" s="1"/>
  <x:c r="L67" i="1"/>
  <x:c r="M67" i="1" s="1"/>
  <x:c r="L50" i="1"/>
  <x:c r="M50" i="1" s="1"/>
  <x:c r="L43" i="1"/>
  <x:c r="M43" i="1" s="1"/>
  <x:c r="L46" i="1"/>
  <x:c r="M46" i="1" s="1"/>
  <x:c r="L44" i="1"/>
  <x:c r="M44" i="1" s="1"/>
  <x:c r="L51" i="1"/>
  <x:c r="M51" i="1" s="1"/>
  <x:c r="L47" i="1"/>
  <x:c r="M47" i="1" s="1"/>
  <x:c r="L68" i="1"/>
  <x:c r="M68" i="1" s="1"/>
  <x:c r="L60" i="1"/>
  <x:c r="M60" i="1" s="1"/>
  <x:c r="L69" i="1"/>
  <x:c r="M69" i="1" s="1"/>
  <x:c r="L45" i="1"/>
  <x:c r="M45" i="1" s="1"/>
  <x:c r="L52" i="1"/>
  <x:c r="M52" i="1" s="1"/>
  <x:c r="L70" i="1"/>
  <x:c r="M70" i="1" s="1"/>
  <x:c r="L71" i="1"/>
  <x:c r="M71" i="1" s="1"/>
  <x:c r="L72" i="1"/>
  <x:c r="M72" i="1" s="1"/>
  <x:c r="L73" i="1"/>
  <x:c r="M73" i="1" s="1"/>
  <x:c r="L74" i="1"/>
  <x:c r="M74" i="1" s="1"/>
  <x:c r="L75" i="1"/>
  <x:c r="M75" i="1" s="1"/>
  <x:c r="L76" i="1"/>
  <x:c r="M76" i="1" s="1"/>
  <x:c r="L77" i="1"/>
  <x:c r="M77" i="1" s="1"/>
  <x:c r="L61" i="1"/>
  <x:c r="M61" i="1" s="1"/>
  <x:c r="M42" i="1" l="1"/>
  <x:c r="M81" i="1" l="1"/>
  <x:c r="L81" i="1"/>
</x:calcChain>
</file>

<file path=xl/sharedStrings.xml><?xml version="1.0" encoding="utf-8"?>
<sst xmlns="http://schemas.openxmlformats.org/spreadsheetml/2006/main" count="669" uniqueCount="317">
  <si>
    <t>Unit</t>
  </si>
  <si>
    <t>Function</t>
  </si>
  <si>
    <t>Location</t>
  </si>
  <si>
    <t>Location Name</t>
  </si>
  <si>
    <t>Description</t>
  </si>
  <si>
    <t>County</t>
  </si>
  <si>
    <t>Year of Acquisition</t>
  </si>
  <si>
    <t>Purpose</t>
  </si>
  <si>
    <t>Estimated In-service Date</t>
  </si>
  <si>
    <t>AFT</t>
  </si>
  <si>
    <t>0100483</t>
  </si>
  <si>
    <t>HEBRON-PLANO TENNYSON, 138KV</t>
  </si>
  <si>
    <t>ROW for transmission line at Hebron - Plano Tennyson in Denton County</t>
  </si>
  <si>
    <t>Denton</t>
  </si>
  <si>
    <t>1993</t>
  </si>
  <si>
    <t>Transmission Line ROW</t>
  </si>
  <si>
    <t>0101489</t>
  </si>
  <si>
    <t>HEBRON SW-PLANO TENNYSON</t>
  </si>
  <si>
    <t>Fee land at Hebron - Plano Tennyson in Denton County</t>
  </si>
  <si>
    <t>Future Switching Station Site</t>
  </si>
  <si>
    <t>0005350</t>
  </si>
  <si>
    <t>TARRANT,WEST SW STA 345KV</t>
  </si>
  <si>
    <t>Fee land in Tarrant County for West Tarrant 345 KV switching station site</t>
  </si>
  <si>
    <t>Tarrant</t>
  </si>
  <si>
    <t>1987</t>
  </si>
  <si>
    <t>0005375</t>
  </si>
  <si>
    <t>TRINITY SW 345/138-12.5KV</t>
  </si>
  <si>
    <t>Fee land for site of the future Trinity switching station in Tarrant County</t>
  </si>
  <si>
    <t>1986</t>
  </si>
  <si>
    <t>0101429</t>
  </si>
  <si>
    <t>ADDISON 138KV</t>
  </si>
  <si>
    <t>Fee land for East Addison Distribution substation in Dallas County</t>
  </si>
  <si>
    <t>Dallas</t>
  </si>
  <si>
    <t>1983</t>
  </si>
  <si>
    <t>Future Substation Site</t>
  </si>
  <si>
    <t>AFD</t>
  </si>
  <si>
    <t>0000967</t>
  </si>
  <si>
    <t>Dallas Parkdale SC</t>
  </si>
  <si>
    <t>Fee land at old Parkdale Power Plant location for a future service center</t>
  </si>
  <si>
    <t>Future Service Center</t>
  </si>
  <si>
    <t>0007223</t>
  </si>
  <si>
    <t>TARRANT,WEST SW-BENBROOK-PARKE</t>
  </si>
  <si>
    <t>ROW for the transmission line between Tarrant West Switching Station and the Benbrook - Parker 345 KV lines in Tarrant County</t>
  </si>
  <si>
    <t>1989</t>
  </si>
  <si>
    <t>0007640</t>
  </si>
  <si>
    <t>MOSS SW STA - PERMIAN SES (SOU</t>
  </si>
  <si>
    <t>Fee land between Moss switching station and Farm Road 866 for portion of Moss - Permian 345 KV ROW in Ector County</t>
  </si>
  <si>
    <t>Ector</t>
  </si>
  <si>
    <t>Transmission Line Land</t>
  </si>
  <si>
    <t>0000518</t>
  </si>
  <si>
    <t>OLD HICKORY SUBSTATION T&amp;D</t>
  </si>
  <si>
    <t>Fee land for Old Hickory substation in Dallas County</t>
  </si>
  <si>
    <t>1988</t>
  </si>
  <si>
    <t>0005274</t>
  </si>
  <si>
    <t>HURST 138-12.5KV</t>
  </si>
  <si>
    <t>Fee land for expansion of Hurst substation</t>
  </si>
  <si>
    <t>1992</t>
  </si>
  <si>
    <t>Expansion of Substation Site</t>
  </si>
  <si>
    <t>0007214</t>
  </si>
  <si>
    <t>PARKER - BENBROOK (NORTH) 345K</t>
  </si>
  <si>
    <t>ROW for Benbrook - Tarrant West - Parker 345 KV loop in Parker County</t>
  </si>
  <si>
    <t>Parker</t>
  </si>
  <si>
    <t>0000593</t>
  </si>
  <si>
    <t>GRIFFIN STREET SUBSTATION T&amp;D</t>
  </si>
  <si>
    <t>Fee land for Griffin Street East substation in Dallas County</t>
  </si>
  <si>
    <t>1984-1991</t>
  </si>
  <si>
    <t>WACO-LAKESHORE DR. 138KV</t>
  </si>
  <si>
    <t>1976</t>
  </si>
  <si>
    <t>7200001</t>
  </si>
  <si>
    <t>TYLER-COPELAND RD.</t>
  </si>
  <si>
    <t>Fee land for Tyler - Copeland Road Distribution substation in Smith County</t>
  </si>
  <si>
    <t>Smith</t>
  </si>
  <si>
    <t>1980</t>
  </si>
  <si>
    <t>0000706</t>
  </si>
  <si>
    <t>KERRVILLE STREET S/STA T&amp;D</t>
  </si>
  <si>
    <t>Fee land for Kerrville substation in Dallas County</t>
  </si>
  <si>
    <t>1985</t>
  </si>
  <si>
    <t>0401450</t>
  </si>
  <si>
    <t>TEMPLE-KNOB CREEK, 138KV</t>
  </si>
  <si>
    <t>Fee land for Temple - Knob Creek substation in Bell County</t>
  </si>
  <si>
    <t>Bell</t>
  </si>
  <si>
    <t>0000587</t>
  </si>
  <si>
    <t>BRUTON ROAD SUBSTATION T&amp;D</t>
  </si>
  <si>
    <t>Fee land for Bruton Road substation in Dallas County</t>
  </si>
  <si>
    <t>0000598</t>
  </si>
  <si>
    <t>REMOND SUBSTATION T&amp;D</t>
  </si>
  <si>
    <t>Fee land for Remond substation in Dallas County</t>
  </si>
  <si>
    <t>0000596</t>
  </si>
  <si>
    <t>MONTFORT STREET SUBSTATION T&amp;D</t>
  </si>
  <si>
    <t>Fee land for Monfort substation in Dallas County</t>
  </si>
  <si>
    <t>1984</t>
  </si>
  <si>
    <t>0007145</t>
  </si>
  <si>
    <t>TRINITY SW STA TAP</t>
  </si>
  <si>
    <t>ROW for transmission line to Trinity switching in east Tarrant County</t>
  </si>
  <si>
    <t>0401453</t>
  </si>
  <si>
    <t>TEMPLE, WEST 138KV</t>
  </si>
  <si>
    <t>Fee land for Temple - West Distribution substation in Bell County</t>
  </si>
  <si>
    <t>1964</t>
  </si>
  <si>
    <t>2025</t>
  </si>
  <si>
    <t>2017</t>
  </si>
  <si>
    <t>0005631</t>
  </si>
  <si>
    <t>Black Pearl Sub</t>
  </si>
  <si>
    <t>2018</t>
  </si>
  <si>
    <t>Loving</t>
  </si>
  <si>
    <t>Fee land in Loving County for Black Pearl substation</t>
  </si>
  <si>
    <t>0501350</t>
  </si>
  <si>
    <t>Bacon Sub</t>
  </si>
  <si>
    <t>Fee land in Wichita County for Bacon substation</t>
  </si>
  <si>
    <t>Wichita</t>
  </si>
  <si>
    <t>2016</t>
  </si>
  <si>
    <t>Williamson</t>
  </si>
  <si>
    <t>0101532</t>
  </si>
  <si>
    <t>Keller Hicks Road Substation</t>
  </si>
  <si>
    <t>1973</t>
  </si>
  <si>
    <t>Fee land in Tarrant County for Keller Hicks Road substation</t>
  </si>
  <si>
    <t>0401522</t>
  </si>
  <si>
    <t>Mary Avenue Substation</t>
  </si>
  <si>
    <t>0005498</t>
  </si>
  <si>
    <t>Oak Spring Switch</t>
  </si>
  <si>
    <t>Noland</t>
  </si>
  <si>
    <t>Fee land in Noland County for Oak Spring Switch</t>
  </si>
  <si>
    <t>0201519</t>
  </si>
  <si>
    <t>Shamburger North Switch</t>
  </si>
  <si>
    <t>Fee land in Smith County for Shamburger North Switch</t>
  </si>
  <si>
    <t>0005458</t>
  </si>
  <si>
    <t>Union Switch</t>
  </si>
  <si>
    <t>Fee land in Scurry County for Union Switch</t>
  </si>
  <si>
    <t>Scurry</t>
  </si>
  <si>
    <t>0401489</t>
  </si>
  <si>
    <t>0501412</t>
  </si>
  <si>
    <t>Dunham Switch</t>
  </si>
  <si>
    <t>0501414</t>
  </si>
  <si>
    <t>TCOS %</t>
  </si>
  <si>
    <t>TCOS Amount</t>
  </si>
  <si>
    <t>TRAN</t>
  </si>
  <si>
    <t>DIST</t>
  </si>
  <si>
    <t>DIST Amount</t>
  </si>
  <si>
    <t>Within Ten Year Resource Plan</t>
  </si>
  <si>
    <t>Beyond Ten Year Resource Plan</t>
  </si>
  <si>
    <t>TCOS % for Future Substation Sites from WP II-B-1_09</t>
  </si>
  <si>
    <t>0401552</t>
  </si>
  <si>
    <t>0501416</t>
  </si>
  <si>
    <t>0101541</t>
  </si>
  <si>
    <t>0005999</t>
  </si>
  <si>
    <t>0501503</t>
  </si>
  <si>
    <t>0005706</t>
  </si>
  <si>
    <t>0005695</t>
  </si>
  <si>
    <t>0401382</t>
  </si>
  <si>
    <t>0005784</t>
  </si>
  <si>
    <t>0401357</t>
  </si>
  <si>
    <t>0005077</t>
  </si>
  <si>
    <t>0007294</t>
  </si>
  <si>
    <t>0005528</t>
  </si>
  <si>
    <t>0005439</t>
  </si>
  <si>
    <t>0101359</t>
  </si>
  <si>
    <t>0501343</t>
  </si>
  <si>
    <t>0005330</t>
  </si>
  <si>
    <t>0401203</t>
  </si>
  <si>
    <t>0005088</t>
  </si>
  <si>
    <t>0005545</t>
  </si>
  <si>
    <t>0201412</t>
  </si>
  <si>
    <t>0101538</t>
  </si>
  <si>
    <t>0005162</t>
  </si>
  <si>
    <t>0201437</t>
  </si>
  <si>
    <t>0301528</t>
  </si>
  <si>
    <t>0201460</t>
  </si>
  <si>
    <t>0201446</t>
  </si>
  <si>
    <t>0301521</t>
  </si>
  <si>
    <t>0005559</t>
  </si>
  <si>
    <t>0201906</t>
  </si>
  <si>
    <t>0005526</t>
  </si>
  <si>
    <t>0201420</t>
  </si>
  <si>
    <t>0005238</t>
  </si>
  <si>
    <t>0101558</t>
  </si>
  <si>
    <t>0007292</t>
  </si>
  <si>
    <t>0201331</t>
  </si>
  <si>
    <t>0201339</t>
  </si>
  <si>
    <t>0401467</t>
  </si>
  <si>
    <t>0005132</t>
  </si>
  <si>
    <t>0301334</t>
  </si>
  <si>
    <t>0005094</t>
  </si>
  <si>
    <t>0401306</t>
  </si>
  <si>
    <t>0401941</t>
  </si>
  <si>
    <t>Muscovy Switch</t>
  </si>
  <si>
    <t>Fee Land in Williamson County for Muscovy  Switch</t>
  </si>
  <si>
    <t>2028</t>
  </si>
  <si>
    <t>Ramhorn Hill Switch</t>
  </si>
  <si>
    <t>Fee Land in Williamson County for Ramhorn Hill Switch</t>
  </si>
  <si>
    <t>Wise</t>
  </si>
  <si>
    <t>Fee Land in Denton County for Dunham Switch</t>
  </si>
  <si>
    <t>2021</t>
  </si>
  <si>
    <t>Three Creek Switch</t>
  </si>
  <si>
    <t>Fee Land in Kaufman County for Three Creek Switch</t>
  </si>
  <si>
    <t>Kaufman</t>
  </si>
  <si>
    <t>2023</t>
  </si>
  <si>
    <t>2026</t>
  </si>
  <si>
    <t>2030</t>
  </si>
  <si>
    <t>Cattleman Switch</t>
  </si>
  <si>
    <t>Fee Land in Mitchell  County to rebuild of the aging Morgan Creek Switchyards.</t>
  </si>
  <si>
    <t>Mitchell</t>
  </si>
  <si>
    <t>Switching Station Site Rebuilt</t>
  </si>
  <si>
    <t>Paloma Substation</t>
  </si>
  <si>
    <t>Fee Land in Tarrant County for Paloma Substation</t>
  </si>
  <si>
    <t>Tredway Switch</t>
  </si>
  <si>
    <t>Fee Land in Borden County for Tredway Switch</t>
  </si>
  <si>
    <t>2024</t>
  </si>
  <si>
    <t>Reiter Switch</t>
  </si>
  <si>
    <t>Fee Land in Ector County for Reiter  Switch</t>
  </si>
  <si>
    <t>Towns Mill Switch</t>
  </si>
  <si>
    <t>Fee Land in Williamson County for Towns Mill Switch</t>
  </si>
  <si>
    <t>Border Switch</t>
  </si>
  <si>
    <t>Fee Land in Loving County for Border Switch</t>
  </si>
  <si>
    <t>2027</t>
  </si>
  <si>
    <t>Fee Land in McLennan County for Mary Avenue Substation</t>
  </si>
  <si>
    <t>McLennan</t>
  </si>
  <si>
    <t>2022</t>
  </si>
  <si>
    <t>Marigold Substation</t>
  </si>
  <si>
    <t>Fee Land in McLennan County forMarigold Substation</t>
  </si>
  <si>
    <t>Prong Moss Switch</t>
  </si>
  <si>
    <t>Fee Land in Howard County for Prong Moss Switch</t>
  </si>
  <si>
    <t>Howard</t>
  </si>
  <si>
    <t>Ranger Camp Switch</t>
  </si>
  <si>
    <t>Fee Land in Mitchell  County to rebuild of existing Morgan Creek Switch</t>
  </si>
  <si>
    <t>China Grove Sw Station 138/69K</t>
  </si>
  <si>
    <t>Fee land in Mitchell County for expansion of China Grove Sw Station</t>
  </si>
  <si>
    <t>Expansion of Switching Station</t>
  </si>
  <si>
    <t>Burger Lake Sub</t>
  </si>
  <si>
    <t>Fee land in Denton County for Burger Lake Substation</t>
  </si>
  <si>
    <t>Spartan Sub</t>
  </si>
  <si>
    <t>Fee land in Tarrant County for expansion of Spartan Sub fka Garden Acres Substation</t>
  </si>
  <si>
    <t>Expansion of Substation Station</t>
  </si>
  <si>
    <t>Boles Substation</t>
  </si>
  <si>
    <t>Fee Land in Hunt County for Boles Substation</t>
  </si>
  <si>
    <t>Hunt</t>
  </si>
  <si>
    <t>Fallstown Switch</t>
  </si>
  <si>
    <t>Fee land in Wichita County for Fallston Switch</t>
  </si>
  <si>
    <t>Rosen Heights 138-12.5Kv</t>
  </si>
  <si>
    <t>Fee Land in Tarrant County for Rosen Heights Substation</t>
  </si>
  <si>
    <t>Regency Sub</t>
  </si>
  <si>
    <t>Fee land in McCulloch County for Regency Substation</t>
  </si>
  <si>
    <t>McCulloch</t>
  </si>
  <si>
    <t>Longshore 345KV Sw Sta</t>
  </si>
  <si>
    <t>Fee land in Howard County for Longshore 345kV Switch Expansion</t>
  </si>
  <si>
    <t>Switching Station Site Expansion</t>
  </si>
  <si>
    <t>Bluff Creek 138Kv Sw.Station</t>
  </si>
  <si>
    <t>Fee land in Scurry County for Bluff Creek Switch Expansion</t>
  </si>
  <si>
    <t>Wofford POI</t>
  </si>
  <si>
    <t>Fee Land in Anderson County to rebuilt of Wofford POI for the Rayburn Switchyard</t>
  </si>
  <si>
    <t>Anderson</t>
  </si>
  <si>
    <t>Rebuilt of Substation Site</t>
  </si>
  <si>
    <t>Old Country Switch</t>
  </si>
  <si>
    <t>Fee land in Ellis County for Old Country Switch</t>
  </si>
  <si>
    <t>Ellis</t>
  </si>
  <si>
    <t>Carmelite Sub</t>
  </si>
  <si>
    <t>Fee Land in Martin County to rebuild of Carmelite Substation</t>
  </si>
  <si>
    <t>Martin</t>
  </si>
  <si>
    <t>Broyles Switch</t>
  </si>
  <si>
    <t>Fee land in Anderson County for Broyles Switch</t>
  </si>
  <si>
    <t>Culpepper Switch</t>
  </si>
  <si>
    <t>Fee Land in Fannin County to rebuild the Valley Switchyards</t>
  </si>
  <si>
    <t>Fannin</t>
  </si>
  <si>
    <t>Expansion of Switching Station Site</t>
  </si>
  <si>
    <t>Foggle Switch</t>
  </si>
  <si>
    <t>Henderson</t>
  </si>
  <si>
    <t>Hudson 138Kv</t>
  </si>
  <si>
    <t>Fee land in Angelina for expansion of 	
Hudson Substation</t>
  </si>
  <si>
    <t>Angelina</t>
  </si>
  <si>
    <t>Mallory Creek Sub</t>
  </si>
  <si>
    <t>Fee land in Lamar County for Mallory Creek Substation</t>
  </si>
  <si>
    <t>Lamar</t>
  </si>
  <si>
    <t>Estacado Substation</t>
  </si>
  <si>
    <t>Fee land in Martin County for Estacado Substation</t>
  </si>
  <si>
    <t>Holly Spring Substation</t>
  </si>
  <si>
    <t>Fee land in Anderson County for Holly Spring Substation</t>
  </si>
  <si>
    <t>Barren Desert Sub</t>
  </si>
  <si>
    <t>Fee land in Martin County for Barren Desert Sub  fka Grady S.</t>
  </si>
  <si>
    <t>Van,138Kv</t>
  </si>
  <si>
    <t>Fee land in Van Zandt County for Van Substation</t>
  </si>
  <si>
    <t>Van Zandt</t>
  </si>
  <si>
    <t>Pivot Switch</t>
  </si>
  <si>
    <t>Fee land in Dawson County for Pivot Switch</t>
  </si>
  <si>
    <t>Dawson</t>
  </si>
  <si>
    <t>Redberry Sub</t>
  </si>
  <si>
    <t>Fee land in Howard County for Redberry Substation</t>
  </si>
  <si>
    <t>US Gypsum Tap Switch Station</t>
  </si>
  <si>
    <t>Fee land in Nolan County for US Gypsum Tap Switch</t>
  </si>
  <si>
    <t>Nolan</t>
  </si>
  <si>
    <t>Echols Substation</t>
  </si>
  <si>
    <t>Fee land in Henderson County for Echols substation</t>
  </si>
  <si>
    <t>Concordia Substation</t>
  </si>
  <si>
    <t>Fee land In Leon County for Concordia Substation</t>
  </si>
  <si>
    <t>Leon</t>
  </si>
  <si>
    <t>Seven Points, 138Kv</t>
  </si>
  <si>
    <t>Fee land in Henderson County for expansion of Seven Points Substation Station</t>
  </si>
  <si>
    <t>Tudor Sub</t>
  </si>
  <si>
    <t>Fee land In Eastland County for Tudor Substation</t>
  </si>
  <si>
    <t>Eastland</t>
  </si>
  <si>
    <t>Peanut Substation</t>
  </si>
  <si>
    <t>Fee land for Peanut substation in Jack County</t>
  </si>
  <si>
    <t>Jack</t>
  </si>
  <si>
    <t>Lamesa 138/69-12.5/22Kv</t>
  </si>
  <si>
    <t>Fee land in Dawson County for expansion of  existing Lamesa Switching station</t>
  </si>
  <si>
    <t>Cameron 69KV</t>
  </si>
  <si>
    <t>Fee land for expansion of Cameron substation</t>
  </si>
  <si>
    <t>Milam</t>
  </si>
  <si>
    <t>Launch Pad Switch</t>
  </si>
  <si>
    <t>Fee land in McLennan County for Launch Pad Switch</t>
  </si>
  <si>
    <t>Investment at 12-31-24</t>
  </si>
  <si>
    <t>0003877</t>
  </si>
  <si>
    <t>Dublin Pole Yard</t>
  </si>
  <si>
    <t>Fee land in Erath County</t>
  </si>
  <si>
    <t>Erath</t>
  </si>
  <si>
    <t>Beyond 2034</t>
  </si>
  <si>
    <t>Borden</t>
  </si>
  <si>
    <t>Fee land for Waco - Lakeshore Distribution Substation in McLennan County</t>
  </si>
  <si>
    <t>Rebuilt of Switchyard</t>
  </si>
  <si>
    <t>Fee land in Henderson for expansion of 	
Fogg;e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</si>
</sst>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_);[Red]\(#,##0.0000\)"/>
  </numFmts>
  <fonts count="7" x14ac:knownFonts="1">
    <font>
      <sz val="10"/>
      <name val="Arial"/>
    </font>
    <font>
      <b/>
      <sz val="10"/>
      <name val="Calibri"/>
      <family val="2"/>
    </font>
    <font>
      <sz val="10"/>
      <name val="Calibri"/>
      <family val="2"/>
    </font>
    <font>
      <sz val="10"/>
      <name val="Arial Unicode MS"/>
      <family val="2"/>
    </font>
    <font>
      <sz val="10"/>
      <color rgb="FFFF0000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9" fontId="5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center"/>
    </xf>
    <xf numFmtId="40" fontId="2" fillId="0" borderId="1" xfId="0" applyNumberFormat="1" applyFont="1" applyFill="1" applyBorder="1"/>
    <xf numFmtId="0" fontId="2" fillId="0" borderId="1" xfId="0" applyFont="1" applyFill="1" applyBorder="1" applyAlignment="1">
      <alignment horizontal="center"/>
    </xf>
    <xf numFmtId="49" fontId="2" fillId="0" borderId="1" xfId="0" applyNumberFormat="1" applyFont="1" applyFill="1" applyBorder="1"/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left"/>
    </xf>
    <xf numFmtId="0" fontId="2" fillId="0" borderId="0" xfId="0" applyFont="1" applyFill="1"/>
    <xf numFmtId="0" fontId="2" fillId="0" borderId="1" xfId="0" applyFont="1" applyFill="1" applyBorder="1"/>
    <xf numFmtId="0" fontId="2" fillId="0" borderId="1" xfId="0" applyFont="1" applyFill="1" applyBorder="1" applyAlignment="1">
      <alignment horizontal="left"/>
    </xf>
    <xf numFmtId="164" fontId="2" fillId="0" borderId="1" xfId="0" applyNumberFormat="1" applyFont="1" applyFill="1" applyBorder="1"/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left"/>
    </xf>
    <xf numFmtId="40" fontId="2" fillId="0" borderId="0" xfId="0" applyNumberFormat="1" applyFont="1" applyFill="1"/>
    <xf numFmtId="49" fontId="2" fillId="0" borderId="1" xfId="0" applyNumberFormat="1" applyFont="1" applyFill="1" applyBorder="1" applyAlignment="1">
      <alignment wrapText="1"/>
    </xf>
    <xf numFmtId="49" fontId="1" fillId="0" borderId="1" xfId="0" applyNumberFormat="1" applyFont="1" applyFill="1" applyBorder="1" applyAlignment="1">
      <alignment horizontal="center" wrapText="1"/>
    </xf>
    <xf numFmtId="40" fontId="1" fillId="0" borderId="1" xfId="0" applyNumberFormat="1" applyFont="1" applyFill="1" applyBorder="1" applyAlignment="1">
      <alignment horizontal="center" wrapText="1"/>
    </xf>
    <xf numFmtId="49" fontId="2" fillId="0" borderId="0" xfId="0" applyNumberFormat="1" applyFont="1" applyFill="1" applyBorder="1" applyAlignment="1">
      <alignment horizontal="center"/>
    </xf>
    <xf numFmtId="49" fontId="2" fillId="0" borderId="0" xfId="0" applyNumberFormat="1" applyFont="1" applyFill="1" applyBorder="1"/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left"/>
    </xf>
    <xf numFmtId="40" fontId="2" fillId="0" borderId="0" xfId="0" applyNumberFormat="1" applyFont="1" applyFill="1" applyBorder="1"/>
    <xf numFmtId="0" fontId="4" fillId="0" borderId="0" xfId="0" applyFont="1" applyFill="1"/>
    <xf numFmtId="49" fontId="6" fillId="0" borderId="1" xfId="0" applyNumberFormat="1" applyFont="1" applyFill="1" applyBorder="1" applyAlignment="1">
      <alignment horizontal="center"/>
    </xf>
    <xf numFmtId="49" fontId="6" fillId="0" borderId="1" xfId="0" applyNumberFormat="1" applyFont="1" applyFill="1" applyBorder="1"/>
    <xf numFmtId="49" fontId="6" fillId="0" borderId="1" xfId="0" applyNumberFormat="1" applyFont="1" applyFill="1" applyBorder="1" applyAlignment="1">
      <alignment wrapText="1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left"/>
    </xf>
    <xf numFmtId="0" fontId="6" fillId="0" borderId="1" xfId="0" applyFont="1" applyFill="1" applyBorder="1" applyAlignment="1">
      <alignment horizontal="center"/>
    </xf>
    <xf numFmtId="10" fontId="1" fillId="0" borderId="1" xfId="3" applyNumberFormat="1" applyFont="1" applyFill="1" applyBorder="1" applyAlignment="1">
      <alignment horizontal="center" wrapText="1"/>
    </xf>
    <xf numFmtId="10" fontId="2" fillId="0" borderId="2" xfId="3" applyNumberFormat="1" applyFont="1" applyFill="1" applyBorder="1" applyAlignment="1">
      <alignment horizontal="center"/>
    </xf>
    <xf numFmtId="40" fontId="1" fillId="0" borderId="3" xfId="0" applyNumberFormat="1" applyFont="1" applyFill="1" applyBorder="1" applyAlignment="1">
      <alignment horizontal="center" wrapText="1"/>
    </xf>
    <xf numFmtId="40" fontId="6" fillId="0" borderId="1" xfId="0" applyNumberFormat="1" applyFont="1" applyFill="1" applyBorder="1"/>
    <xf numFmtId="0" fontId="1" fillId="0" borderId="0" xfId="0" applyFont="1" applyFill="1"/>
    <xf numFmtId="10" fontId="2" fillId="0" borderId="0" xfId="3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right"/>
    </xf>
    <xf numFmtId="40" fontId="2" fillId="0" borderId="4" xfId="0" applyNumberFormat="1" applyFont="1" applyFill="1" applyBorder="1"/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ercent" xfId="3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alcChain" Target="calcChain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xlrd2="http://schemas.microsoft.com/office/spreadsheetml/2017/richdata2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M83"/>
  <x:sheetViews>
    <x:sheetView tabSelected="1" zoomScale="90" zoomScaleNormal="90" workbookViewId="0">
      <x:pane ySplit="1" topLeftCell="A2" activePane="bottomLeft" state="frozen"/>
      <x:selection pane="bottomLeft" activeCell="A2" sqref="A2"/>
    </x:sheetView>
  </x:sheetViews>
  <x:sheetFormatPr defaultColWidth="9.125" defaultRowHeight="13.6" x14ac:dyDescent="0.25"/>
  <x:cols>
    <x:col min="1" max="1" width="7.25" style="1" customWidth="1"/>
    <x:col min="2" max="2" width="8.875" style="1" customWidth="1"/>
    <x:col min="3" max="3" width="9.125" style="1"/>
    <x:col min="4" max="4" width="32.5" style="10" customWidth="1"/>
    <x:col min="5" max="5" width="47.125" style="14" customWidth="1"/>
    <x:col min="6" max="6" width="12" style="15" customWidth="1"/>
    <x:col min="7" max="7" width="14.125" style="1" customWidth="1"/>
    <x:col min="8" max="8" width="28.375" style="16" bestFit="1" customWidth="1"/>
    <x:col min="9" max="9" width="12.875" style="1" customWidth="1"/>
    <x:col min="10" max="10" width="13.5" style="17" customWidth="1"/>
    <x:col min="11" max="11" width="11.75" style="10" customWidth="1"/>
    <x:col min="12" max="13" width="16.875" style="10" customWidth="1"/>
    <x:col min="14" max="16384" width="9.125" style="10"/>
  </x:cols>
  <x:sheetData>
    <x:row r="1" spans="1:13" ht="27.2" x14ac:dyDescent="0.25">
      <x:c r="A1" s="19" t="s">
        <x:v>0</x:v>
      </x:c>
      <x:c r="B1" s="19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0" t="s">
        <x:v>307</x:v>
      </x:c>
      <x:c r="K1" s="35" t="s">
        <x:v>132</x:v>
      </x:c>
      <x:c r="L1" s="37" t="s">
        <x:v>133</x:v>
      </x:c>
      <x:c r="M1" s="37" t="s">
        <x:v>136</x:v>
      </x:c>
    </x:row>
    <x:row r="2" spans="1:13" x14ac:dyDescent="0.25">
      <x:c r="A2" s="3" t="s">
        <x:v>134</x:v>
      </x:c>
      <x:c r="B2" s="3" t="s">
        <x:v>9</x:v>
      </x:c>
      <x:c r="C2" s="3" t="s">
        <x:v>140</x:v>
      </x:c>
      <x:c r="D2" s="6" t="s">
        <x:v>183</x:v>
      </x:c>
      <x:c r="E2" s="18" t="s">
        <x:v>184</x:v>
      </x:c>
      <x:c r="F2" s="8" t="s">
        <x:v>110</x:v>
      </x:c>
      <x:c r="G2" s="3">
        <x:v>2022</x:v>
      </x:c>
      <x:c r="H2" s="9" t="s">
        <x:v>19</x:v>
      </x:c>
      <x:c r="I2" s="5" t="s">
        <x:v>185</x:v>
      </x:c>
      <x:c r="J2" s="4">
        <x:v>12736507.27</x:v>
      </x:c>
      <x:c r="K2" s="36">
        <x:v>1</x:v>
      </x:c>
      <x:c r="L2" s="4">
        <x:f>ROUND(K2*J2,2)</x:f>
        <x:v>12736507.27</x:v>
      </x:c>
      <x:c r="M2" s="4">
        <x:f>J2-L2</x:f>
        <x:v>0</x:v>
      </x:c>
    </x:row>
    <x:row r="3" spans="1:13" x14ac:dyDescent="0.25">
      <x:c r="A3" s="3" t="s">
        <x:v>134</x:v>
      </x:c>
      <x:c r="B3" s="3" t="s">
        <x:v>9</x:v>
      </x:c>
      <x:c r="C3" s="3" t="s">
        <x:v>141</x:v>
      </x:c>
      <x:c r="D3" s="6" t="s">
        <x:v>186</x:v>
      </x:c>
      <x:c r="E3" s="18" t="s">
        <x:v>187</x:v>
      </x:c>
      <x:c r="F3" s="8" t="s">
        <x:v>188</x:v>
      </x:c>
      <x:c r="G3" s="3">
        <x:v>2022</x:v>
      </x:c>
      <x:c r="H3" s="9" t="s">
        <x:v>19</x:v>
      </x:c>
      <x:c r="I3" s="5">
        <x:v>2025</x:v>
      </x:c>
      <x:c r="J3" s="4">
        <x:v>8809244.5399999991</x:v>
      </x:c>
      <x:c r="K3" s="36">
        <x:v>1</x:v>
      </x:c>
      <x:c r="L3" s="4">
        <x:f t="shared" ref="L3:L41" si="0">ROUND(K3*J3,2)</x:f>
        <x:v>8809244.5399999991</x:v>
      </x:c>
      <x:c r="M3" s="4">
        <x:f t="shared" ref="M3:M41" si="1">J3-L3</x:f>
        <x:v>0</x:v>
      </x:c>
    </x:row>
    <x:row r="4" spans="1:13" x14ac:dyDescent="0.25">
      <x:c r="A4" s="3" t="s">
        <x:v>134</x:v>
      </x:c>
      <x:c r="B4" s="3" t="s">
        <x:v>9</x:v>
      </x:c>
      <x:c r="C4" s="3" t="s">
        <x:v>129</x:v>
      </x:c>
      <x:c r="D4" s="6" t="s">
        <x:v>130</x:v>
      </x:c>
      <x:c r="E4" s="18" t="s">
        <x:v>189</x:v>
      </x:c>
      <x:c r="F4" s="8" t="s">
        <x:v>13</x:v>
      </x:c>
      <x:c r="G4" s="3" t="s">
        <x:v>190</x:v>
      </x:c>
      <x:c r="H4" s="9" t="s">
        <x:v>19</x:v>
      </x:c>
      <x:c r="I4" s="5" t="s">
        <x:v>98</x:v>
      </x:c>
      <x:c r="J4" s="4">
        <x:v>5997144.9199999999</x:v>
      </x:c>
      <x:c r="K4" s="36">
        <x:v>1</x:v>
      </x:c>
      <x:c r="L4" s="4">
        <x:f t="shared" si="0"/>
        <x:v>5997144.9199999999</x:v>
      </x:c>
      <x:c r="M4" s="4">
        <x:f t="shared" si="1"/>
        <x:v>0</x:v>
      </x:c>
    </x:row>
    <x:row r="5" spans="1:13" x14ac:dyDescent="0.25">
      <x:c r="A5" s="3" t="s">
        <x:v>134</x:v>
      </x:c>
      <x:c r="B5" s="3" t="s">
        <x:v>9</x:v>
      </x:c>
      <x:c r="C5" s="3" t="s">
        <x:v>142</x:v>
      </x:c>
      <x:c r="D5" s="6" t="s">
        <x:v>191</x:v>
      </x:c>
      <x:c r="E5" s="18" t="s">
        <x:v>192</x:v>
      </x:c>
      <x:c r="F5" s="8" t="s">
        <x:v>193</x:v>
      </x:c>
      <x:c r="G5" s="3" t="s">
        <x:v>194</x:v>
      </x:c>
      <x:c r="H5" s="9" t="s">
        <x:v>19</x:v>
      </x:c>
      <x:c r="I5" s="5" t="s">
        <x:v>195</x:v>
      </x:c>
      <x:c r="J5" s="4">
        <x:v>4921533.97</x:v>
      </x:c>
      <x:c r="K5" s="36">
        <x:v>1</x:v>
      </x:c>
      <x:c r="L5" s="4">
        <x:f t="shared" si="0"/>
        <x:v>4921533.97</x:v>
      </x:c>
      <x:c r="M5" s="4">
        <x:f t="shared" si="1"/>
        <x:v>0</x:v>
      </x:c>
    </x:row>
    <x:row r="6" spans="1:13" ht="27.2" x14ac:dyDescent="0.25">
      <x:c r="A6" s="3" t="s">
        <x:v>134</x:v>
      </x:c>
      <x:c r="B6" s="3" t="s">
        <x:v>9</x:v>
      </x:c>
      <x:c r="C6" s="3" t="s">
        <x:v>10</x:v>
      </x:c>
      <x:c r="D6" s="6" t="s">
        <x:v>11</x:v>
      </x:c>
      <x:c r="E6" s="18" t="s">
        <x:v>12</x:v>
      </x:c>
      <x:c r="F6" s="8" t="s">
        <x:v>13</x:v>
      </x:c>
      <x:c r="G6" s="3" t="s">
        <x:v>14</x:v>
      </x:c>
      <x:c r="H6" s="9" t="s">
        <x:v>15</x:v>
      </x:c>
      <x:c r="I6" s="5" t="s">
        <x:v>196</x:v>
      </x:c>
      <x:c r="J6" s="4">
        <x:v>4325670.87</x:v>
      </x:c>
      <x:c r="K6" s="36">
        <x:v>1</x:v>
      </x:c>
      <x:c r="L6" s="4">
        <x:f t="shared" si="0"/>
        <x:v>4325670.87</x:v>
      </x:c>
      <x:c r="M6" s="4">
        <x:f t="shared" si="1"/>
        <x:v>0</x:v>
      </x:c>
    </x:row>
    <x:row r="7" spans="1:13" x14ac:dyDescent="0.25">
      <x:c r="A7" s="3" t="s">
        <x:v>134</x:v>
      </x:c>
      <x:c r="B7" s="3" t="s">
        <x:v>9</x:v>
      </x:c>
      <x:c r="C7" s="3" t="s">
        <x:v>16</x:v>
      </x:c>
      <x:c r="D7" s="6" t="s">
        <x:v>17</x:v>
      </x:c>
      <x:c r="E7" s="18" t="s">
        <x:v>18</x:v>
      </x:c>
      <x:c r="F7" s="8" t="s">
        <x:v>13</x:v>
      </x:c>
      <x:c r="G7" s="3" t="s">
        <x:v>14</x:v>
      </x:c>
      <x:c r="H7" s="9" t="s">
        <x:v>19</x:v>
      </x:c>
      <x:c r="I7" s="5" t="s">
        <x:v>196</x:v>
      </x:c>
      <x:c r="J7" s="4">
        <x:v>4219129.17</x:v>
      </x:c>
      <x:c r="K7" s="36">
        <x:v>1</x:v>
      </x:c>
      <x:c r="L7" s="4">
        <x:f t="shared" si="0"/>
        <x:v>4219129.17</x:v>
      </x:c>
      <x:c r="M7" s="4">
        <x:f t="shared" si="1"/>
        <x:v>0</x:v>
      </x:c>
    </x:row>
    <x:row r="8" spans="1:13" ht="27.2" x14ac:dyDescent="0.25">
      <x:c r="A8" s="3" t="s">
        <x:v>134</x:v>
      </x:c>
      <x:c r="B8" s="3" t="s">
        <x:v>9</x:v>
      </x:c>
      <x:c r="C8" s="3" t="s">
        <x:v>143</x:v>
      </x:c>
      <x:c r="D8" s="6" t="s">
        <x:v>197</x:v>
      </x:c>
      <x:c r="E8" s="18" t="s">
        <x:v>198</x:v>
      </x:c>
      <x:c r="F8" s="8" t="s">
        <x:v>199</x:v>
      </x:c>
      <x:c r="G8" s="3" t="s">
        <x:v>194</x:v>
      </x:c>
      <x:c r="H8" s="9" t="s">
        <x:v>200</x:v>
      </x:c>
      <x:c r="I8" s="5" t="s">
        <x:v>98</x:v>
      </x:c>
      <x:c r="J8" s="4">
        <x:v>2505059.7600000002</x:v>
      </x:c>
      <x:c r="K8" s="36">
        <x:v>1</x:v>
      </x:c>
      <x:c r="L8" s="4">
        <x:f t="shared" si="0"/>
        <x:v>2505059.7599999998</x:v>
      </x:c>
      <x:c r="M8" s="4">
        <x:f t="shared" si="1"/>
        <x:v>0</x:v>
      </x:c>
    </x:row>
    <x:row r="9" spans="1:13" x14ac:dyDescent="0.25">
      <x:c r="A9" s="3" t="s">
        <x:v>134</x:v>
      </x:c>
      <x:c r="B9" s="3" t="s">
        <x:v>9</x:v>
      </x:c>
      <x:c r="C9" s="3" t="s">
        <x:v>144</x:v>
      </x:c>
      <x:c r="D9" s="6" t="s">
        <x:v>201</x:v>
      </x:c>
      <x:c r="E9" s="18" t="s">
        <x:v>202</x:v>
      </x:c>
      <x:c r="F9" s="8" t="s">
        <x:v>23</x:v>
      </x:c>
      <x:c r="G9" s="3" t="s">
        <x:v>194</x:v>
      </x:c>
      <x:c r="H9" s="9" t="s">
        <x:v>34</x:v>
      </x:c>
      <x:c r="I9" s="5" t="s">
        <x:v>98</x:v>
      </x:c>
      <x:c r="J9" s="4">
        <x:v>2159070.59</x:v>
      </x:c>
      <x:c r="K9" s="36">
        <x:v>0.25578717368846882</x:v>
      </x:c>
      <x:c r="L9" s="4">
        <x:f t="shared" si="0"/>
        <x:v>552262.56000000006</x:v>
      </x:c>
      <x:c r="M9" s="4">
        <x:f t="shared" si="1"/>
        <x:v>1606808.0299999998</x:v>
      </x:c>
    </x:row>
    <x:row r="10" spans="1:13" x14ac:dyDescent="0.25">
      <x:c r="A10" s="3" t="s">
        <x:v>134</x:v>
      </x:c>
      <x:c r="B10" s="3" t="s">
        <x:v>9</x:v>
      </x:c>
      <x:c r="C10" s="3" t="s">
        <x:v>145</x:v>
      </x:c>
      <x:c r="D10" s="6" t="s">
        <x:v>203</x:v>
      </x:c>
      <x:c r="E10" s="18" t="s">
        <x:v>204</x:v>
      </x:c>
      <x:c r="F10" s="8" t="s">
        <x:v>313</x:v>
      </x:c>
      <x:c r="G10" s="3" t="s">
        <x:v>205</x:v>
      </x:c>
      <x:c r="H10" s="9" t="s">
        <x:v>19</x:v>
      </x:c>
      <x:c r="I10" s="5" t="s">
        <x:v>98</x:v>
      </x:c>
      <x:c r="J10" s="4">
        <x:v>1889386.27</x:v>
      </x:c>
      <x:c r="K10" s="36">
        <x:v>1</x:v>
      </x:c>
      <x:c r="L10" s="4">
        <x:f t="shared" si="0"/>
        <x:v>1889386.27</x:v>
      </x:c>
      <x:c r="M10" s="4">
        <x:f t="shared" si="1"/>
        <x:v>0</x:v>
      </x:c>
    </x:row>
    <x:row r="11" spans="1:13" x14ac:dyDescent="0.25">
      <x:c r="A11" s="3" t="s">
        <x:v>134</x:v>
      </x:c>
      <x:c r="B11" s="3" t="s">
        <x:v>9</x:v>
      </x:c>
      <x:c r="C11" s="3" t="s">
        <x:v>146</x:v>
      </x:c>
      <x:c r="D11" s="6" t="s">
        <x:v>206</x:v>
      </x:c>
      <x:c r="E11" s="18" t="s">
        <x:v>207</x:v>
      </x:c>
      <x:c r="F11" s="8" t="s">
        <x:v>47</x:v>
      </x:c>
      <x:c r="G11" s="3" t="s">
        <x:v>205</x:v>
      </x:c>
      <x:c r="H11" s="9" t="s">
        <x:v>19</x:v>
      </x:c>
      <x:c r="I11" s="5" t="s">
        <x:v>98</x:v>
      </x:c>
      <x:c r="J11" s="4">
        <x:v>1611226.25</x:v>
      </x:c>
      <x:c r="K11" s="36">
        <x:v>1</x:v>
      </x:c>
      <x:c r="L11" s="4">
        <x:f t="shared" si="0"/>
        <x:v>1611226.25</x:v>
      </x:c>
      <x:c r="M11" s="4">
        <x:f t="shared" si="1"/>
        <x:v>0</x:v>
      </x:c>
    </x:row>
    <x:row r="12" spans="1:13" x14ac:dyDescent="0.25">
      <x:c r="A12" s="3" t="s">
        <x:v>134</x:v>
      </x:c>
      <x:c r="B12" s="3" t="s">
        <x:v>9</x:v>
      </x:c>
      <x:c r="C12" s="3" t="s">
        <x:v>147</x:v>
      </x:c>
      <x:c r="D12" s="6" t="s">
        <x:v>208</x:v>
      </x:c>
      <x:c r="E12" s="18" t="s">
        <x:v>209</x:v>
      </x:c>
      <x:c r="F12" s="8" t="s">
        <x:v>110</x:v>
      </x:c>
      <x:c r="G12" s="3" t="s">
        <x:v>194</x:v>
      </x:c>
      <x:c r="H12" s="9" t="s">
        <x:v>19</x:v>
      </x:c>
      <x:c r="I12" s="5" t="s">
        <x:v>195</x:v>
      </x:c>
      <x:c r="J12" s="4">
        <x:v>1401253.29</x:v>
      </x:c>
      <x:c r="K12" s="36">
        <x:v>1</x:v>
      </x:c>
      <x:c r="L12" s="4">
        <x:f t="shared" si="0"/>
        <x:v>1401253.29</x:v>
      </x:c>
      <x:c r="M12" s="4">
        <x:f t="shared" si="1"/>
        <x:v>0</x:v>
      </x:c>
    </x:row>
    <x:row r="13" spans="1:13" x14ac:dyDescent="0.25">
      <x:c r="A13" s="3" t="s">
        <x:v>134</x:v>
      </x:c>
      <x:c r="B13" s="3" t="s">
        <x:v>9</x:v>
      </x:c>
      <x:c r="C13" s="3" t="s">
        <x:v>148</x:v>
      </x:c>
      <x:c r="D13" s="6" t="s">
        <x:v>210</x:v>
      </x:c>
      <x:c r="E13" s="18" t="s">
        <x:v>211</x:v>
      </x:c>
      <x:c r="F13" s="8" t="s">
        <x:v>103</x:v>
      </x:c>
      <x:c r="G13" s="3" t="s">
        <x:v>205</x:v>
      </x:c>
      <x:c r="H13" s="9" t="s">
        <x:v>19</x:v>
      </x:c>
      <x:c r="I13" s="5" t="s">
        <x:v>212</x:v>
      </x:c>
      <x:c r="J13" s="4">
        <x:v>1385393.69</x:v>
      </x:c>
      <x:c r="K13" s="36">
        <x:v>1</x:v>
      </x:c>
      <x:c r="L13" s="4">
        <x:f t="shared" si="0"/>
        <x:v>1385393.69</x:v>
      </x:c>
      <x:c r="M13" s="4">
        <x:f t="shared" si="1"/>
        <x:v>0</x:v>
      </x:c>
    </x:row>
    <x:row r="14" spans="1:13" x14ac:dyDescent="0.25">
      <x:c r="A14" s="3" t="s">
        <x:v>134</x:v>
      </x:c>
      <x:c r="B14" s="3" t="s">
        <x:v>9</x:v>
      </x:c>
      <x:c r="C14" s="3" t="s">
        <x:v>115</x:v>
      </x:c>
      <x:c r="D14" s="6" t="s">
        <x:v>116</x:v>
      </x:c>
      <x:c r="E14" s="18" t="s">
        <x:v>213</x:v>
      </x:c>
      <x:c r="F14" s="8" t="s">
        <x:v>214</x:v>
      </x:c>
      <x:c r="G14" s="3" t="s">
        <x:v>215</x:v>
      </x:c>
      <x:c r="H14" s="9" t="s">
        <x:v>34</x:v>
      </x:c>
      <x:c r="I14" s="5" t="s">
        <x:v>98</x:v>
      </x:c>
      <x:c r="J14" s="4">
        <x:v>1303015.0899999999</x:v>
      </x:c>
      <x:c r="K14" s="36">
        <x:v>0.25578717368846882</x:v>
      </x:c>
      <x:c r="L14" s="4">
        <x:f t="shared" si="0"/>
        <x:v>333294.55</x:v>
      </x:c>
      <x:c r="M14" s="4">
        <x:f t="shared" si="1"/>
        <x:v>969720.5399999998</x:v>
      </x:c>
    </x:row>
    <x:row r="15" spans="1:13" x14ac:dyDescent="0.25">
      <x:c r="A15" s="3" t="s">
        <x:v>134</x:v>
      </x:c>
      <x:c r="B15" s="3" t="s">
        <x:v>9</x:v>
      </x:c>
      <x:c r="C15" s="3" t="s">
        <x:v>149</x:v>
      </x:c>
      <x:c r="D15" s="6" t="s">
        <x:v>216</x:v>
      </x:c>
      <x:c r="E15" s="18" t="s">
        <x:v>217</x:v>
      </x:c>
      <x:c r="F15" s="8" t="s">
        <x:v>214</x:v>
      </x:c>
      <x:c r="G15" s="3" t="s">
        <x:v>205</x:v>
      </x:c>
      <x:c r="H15" s="9" t="s">
        <x:v>34</x:v>
      </x:c>
      <x:c r="I15" s="5" t="s">
        <x:v>195</x:v>
      </x:c>
      <x:c r="J15" s="4">
        <x:v>1257865.21</x:v>
      </x:c>
      <x:c r="K15" s="36">
        <x:v>0.25578717368846882</x:v>
      </x:c>
      <x:c r="L15" s="4">
        <x:f t="shared" si="0"/>
        <x:v>321745.78999999998</x:v>
      </x:c>
      <x:c r="M15" s="4">
        <x:f t="shared" si="1"/>
        <x:v>936119.41999999993</x:v>
      </x:c>
    </x:row>
    <x:row r="16" spans="1:13" ht="27.2" x14ac:dyDescent="0.25">
      <x:c r="A16" s="3" t="s">
        <x:v>134</x:v>
      </x:c>
      <x:c r="B16" s="3" t="s">
        <x:v>9</x:v>
      </x:c>
      <x:c r="C16" s="3" t="s">
        <x:v>25</x:v>
      </x:c>
      <x:c r="D16" s="6" t="s">
        <x:v>26</x:v>
      </x:c>
      <x:c r="E16" s="18" t="s">
        <x:v>27</x:v>
      </x:c>
      <x:c r="F16" s="8" t="s">
        <x:v>23</x:v>
      </x:c>
      <x:c r="G16" s="3" t="s">
        <x:v>28</x:v>
      </x:c>
      <x:c r="H16" s="9" t="s">
        <x:v>19</x:v>
      </x:c>
      <x:c r="I16" s="5" t="s">
        <x:v>196</x:v>
      </x:c>
      <x:c r="J16" s="4">
        <x:v>1115517.5</x:v>
      </x:c>
      <x:c r="K16" s="36">
        <x:v>1</x:v>
      </x:c>
      <x:c r="L16" s="4">
        <x:f t="shared" si="0"/>
        <x:v>1115517.5</x:v>
      </x:c>
      <x:c r="M16" s="4">
        <x:f t="shared" si="1"/>
        <x:v>0</x:v>
      </x:c>
    </x:row>
    <x:row r="17" spans="1:13" ht="27.2" x14ac:dyDescent="0.25">
      <x:c r="A17" s="3" t="s">
        <x:v>134</x:v>
      </x:c>
      <x:c r="B17" s="3" t="s">
        <x:v>9</x:v>
      </x:c>
      <x:c r="C17" s="3" t="s">
        <x:v>20</x:v>
      </x:c>
      <x:c r="D17" s="6" t="s">
        <x:v>21</x:v>
      </x:c>
      <x:c r="E17" s="18" t="s">
        <x:v>22</x:v>
      </x:c>
      <x:c r="F17" s="8" t="s">
        <x:v>23</x:v>
      </x:c>
      <x:c r="G17" s="3" t="s">
        <x:v>24</x:v>
      </x:c>
      <x:c r="H17" s="9" t="s">
        <x:v>19</x:v>
      </x:c>
      <x:c r="I17" s="5" t="s">
        <x:v>196</x:v>
      </x:c>
      <x:c r="J17" s="4">
        <x:v>1035713.2</x:v>
      </x:c>
      <x:c r="K17" s="36">
        <x:v>1</x:v>
      </x:c>
      <x:c r="L17" s="4">
        <x:f t="shared" si="0"/>
        <x:v>1035713.2</x:v>
      </x:c>
      <x:c r="M17" s="4">
        <x:f t="shared" si="1"/>
        <x:v>0</x:v>
      </x:c>
    </x:row>
    <x:row r="18" spans="1:13" x14ac:dyDescent="0.25">
      <x:c r="A18" s="3" t="s">
        <x:v>134</x:v>
      </x:c>
      <x:c r="B18" s="3" t="s">
        <x:v>9</x:v>
      </x:c>
      <x:c r="C18" s="3" t="s">
        <x:v>150</x:v>
      </x:c>
      <x:c r="D18" s="6" t="s">
        <x:v>218</x:v>
      </x:c>
      <x:c r="E18" s="18" t="s">
        <x:v>219</x:v>
      </x:c>
      <x:c r="F18" s="8" t="s">
        <x:v>220</x:v>
      </x:c>
      <x:c r="G18" s="3" t="s">
        <x:v>205</x:v>
      </x:c>
      <x:c r="H18" s="9" t="s">
        <x:v>19</x:v>
      </x:c>
      <x:c r="I18" s="5">
        <x:v>2025</x:v>
      </x:c>
      <x:c r="J18" s="4">
        <x:v>901406.71</x:v>
      </x:c>
      <x:c r="K18" s="36">
        <x:v>1</x:v>
      </x:c>
      <x:c r="L18" s="4">
        <x:f t="shared" si="0"/>
        <x:v>901406.71</x:v>
      </x:c>
      <x:c r="M18" s="4">
        <x:f t="shared" si="1"/>
        <x:v>0</x:v>
      </x:c>
    </x:row>
    <x:row r="19" spans="1:13" ht="27.2" x14ac:dyDescent="0.25">
      <x:c r="A19" s="3" t="s">
        <x:v>134</x:v>
      </x:c>
      <x:c r="B19" s="3" t="s">
        <x:v>9</x:v>
      </x:c>
      <x:c r="C19" s="3" t="s">
        <x:v>151</x:v>
      </x:c>
      <x:c r="D19" s="6" t="s">
        <x:v>221</x:v>
      </x:c>
      <x:c r="E19" s="18" t="s">
        <x:v>222</x:v>
      </x:c>
      <x:c r="F19" s="8" t="s">
        <x:v>199</x:v>
      </x:c>
      <x:c r="G19" s="3" t="s">
        <x:v>194</x:v>
      </x:c>
      <x:c r="H19" s="9" t="s">
        <x:v>200</x:v>
      </x:c>
      <x:c r="I19" s="5">
        <x:v>2025</x:v>
      </x:c>
      <x:c r="J19" s="4">
        <x:v>849392.09</x:v>
      </x:c>
      <x:c r="K19" s="36">
        <x:v>1</x:v>
      </x:c>
      <x:c r="L19" s="4">
        <x:f t="shared" si="0"/>
        <x:v>849392.09</x:v>
      </x:c>
      <x:c r="M19" s="4">
        <x:f t="shared" si="1"/>
        <x:v>0</x:v>
      </x:c>
    </x:row>
    <x:row r="20" spans="1:13" ht="40.75" x14ac:dyDescent="0.25">
      <x:c r="A20" s="3" t="s">
        <x:v>134</x:v>
      </x:c>
      <x:c r="B20" s="3" t="s">
        <x:v>9</x:v>
      </x:c>
      <x:c r="C20" s="3" t="s">
        <x:v>40</x:v>
      </x:c>
      <x:c r="D20" s="6" t="s">
        <x:v>41</x:v>
      </x:c>
      <x:c r="E20" s="18" t="s">
        <x:v>42</x:v>
      </x:c>
      <x:c r="F20" s="8" t="s">
        <x:v>23</x:v>
      </x:c>
      <x:c r="G20" s="3" t="s">
        <x:v>43</x:v>
      </x:c>
      <x:c r="H20" s="9" t="s">
        <x:v>15</x:v>
      </x:c>
      <x:c r="I20" s="5">
        <x:v>2030</x:v>
      </x:c>
      <x:c r="J20" s="4">
        <x:v>721467.09</x:v>
      </x:c>
      <x:c r="K20" s="36">
        <x:v>1</x:v>
      </x:c>
      <x:c r="L20" s="4">
        <x:f t="shared" si="0"/>
        <x:v>721467.09</x:v>
      </x:c>
      <x:c r="M20" s="4">
        <x:f t="shared" si="1"/>
        <x:v>0</x:v>
      </x:c>
    </x:row>
    <x:row r="21" spans="1:13" ht="27.2" x14ac:dyDescent="0.25">
      <x:c r="A21" s="3" t="s">
        <x:v>134</x:v>
      </x:c>
      <x:c r="B21" s="3" t="s">
        <x:v>9</x:v>
      </x:c>
      <x:c r="C21" s="3" t="s">
        <x:v>152</x:v>
      </x:c>
      <x:c r="D21" s="6" t="s">
        <x:v>223</x:v>
      </x:c>
      <x:c r="E21" s="18" t="s">
        <x:v>224</x:v>
      </x:c>
      <x:c r="F21" s="8" t="s">
        <x:v>199</x:v>
      </x:c>
      <x:c r="G21" s="3">
        <x:v>2023</x:v>
      </x:c>
      <x:c r="H21" s="9" t="s">
        <x:v>225</x:v>
      </x:c>
      <x:c r="I21" s="5" t="s">
        <x:v>195</x:v>
      </x:c>
      <x:c r="J21" s="4">
        <x:v>667676.30000000005</x:v>
      </x:c>
      <x:c r="K21" s="36">
        <x:v>1</x:v>
      </x:c>
      <x:c r="L21" s="4">
        <x:f t="shared" si="0"/>
        <x:v>667676.30000000005</x:v>
      </x:c>
      <x:c r="M21" s="4">
        <x:f t="shared" si="1"/>
        <x:v>0</x:v>
      </x:c>
    </x:row>
    <x:row r="22" spans="1:13" x14ac:dyDescent="0.25">
      <x:c r="A22" s="3" t="s">
        <x:v>134</x:v>
      </x:c>
      <x:c r="B22" s="3" t="s">
        <x:v>9</x:v>
      </x:c>
      <x:c r="C22" s="3" t="s">
        <x:v>131</x:v>
      </x:c>
      <x:c r="D22" s="6" t="s">
        <x:v>226</x:v>
      </x:c>
      <x:c r="E22" s="18" t="s">
        <x:v>227</x:v>
      </x:c>
      <x:c r="F22" s="8" t="s">
        <x:v>13</x:v>
      </x:c>
      <x:c r="G22" s="3" t="s">
        <x:v>190</x:v>
      </x:c>
      <x:c r="H22" s="9" t="s">
        <x:v>34</x:v>
      </x:c>
      <x:c r="I22" s="5" t="s">
        <x:v>195</x:v>
      </x:c>
      <x:c r="J22" s="4">
        <x:v>517072.26</x:v>
      </x:c>
      <x:c r="K22" s="36">
        <x:v>0.25578717368846882</x:v>
      </x:c>
      <x:c r="L22" s="4">
        <x:f t="shared" si="0"/>
        <x:v>132260.45000000001</x:v>
      </x:c>
      <x:c r="M22" s="4">
        <x:f t="shared" si="1"/>
        <x:v>384811.81</x:v>
      </x:c>
    </x:row>
    <x:row r="23" spans="1:13" ht="27.2" x14ac:dyDescent="0.25">
      <x:c r="A23" s="3" t="s">
        <x:v>134</x:v>
      </x:c>
      <x:c r="B23" s="3" t="s">
        <x:v>9</x:v>
      </x:c>
      <x:c r="C23" s="3" t="s">
        <x:v>153</x:v>
      </x:c>
      <x:c r="D23" s="6" t="s">
        <x:v>228</x:v>
      </x:c>
      <x:c r="E23" s="18" t="s">
        <x:v>229</x:v>
      </x:c>
      <x:c r="F23" s="8" t="s">
        <x:v>23</x:v>
      </x:c>
      <x:c r="G23" s="3" t="s">
        <x:v>205</x:v>
      </x:c>
      <x:c r="H23" s="9" t="s">
        <x:v>230</x:v>
      </x:c>
      <x:c r="I23" s="5" t="s">
        <x:v>195</x:v>
      </x:c>
      <x:c r="J23" s="4">
        <x:v>516379.39</x:v>
      </x:c>
      <x:c r="K23" s="36">
        <x:v>0.25578717368846882</x:v>
      </x:c>
      <x:c r="L23" s="4">
        <x:f t="shared" si="0"/>
        <x:v>132083.22</x:v>
      </x:c>
      <x:c r="M23" s="4">
        <x:f t="shared" si="1"/>
        <x:v>384296.17000000004</x:v>
      </x:c>
    </x:row>
    <x:row r="24" spans="1:13" x14ac:dyDescent="0.25">
      <x:c r="A24" s="3" t="s">
        <x:v>134</x:v>
      </x:c>
      <x:c r="B24" s="3" t="s">
        <x:v>9</x:v>
      </x:c>
      <x:c r="C24" s="3" t="s">
        <x:v>154</x:v>
      </x:c>
      <x:c r="D24" s="6" t="s">
        <x:v>231</x:v>
      </x:c>
      <x:c r="E24" s="18" t="s">
        <x:v>232</x:v>
      </x:c>
      <x:c r="F24" s="8" t="s">
        <x:v>233</x:v>
      </x:c>
      <x:c r="G24" s="3" t="s">
        <x:v>215</x:v>
      </x:c>
      <x:c r="H24" s="9" t="s">
        <x:v>34</x:v>
      </x:c>
      <x:c r="I24" s="5" t="s">
        <x:v>212</x:v>
      </x:c>
      <x:c r="J24" s="4">
        <x:v>507586.66000000003</x:v>
      </x:c>
      <x:c r="K24" s="36">
        <x:v>0.25578717368846882</x:v>
      </x:c>
      <x:c r="L24" s="4">
        <x:f t="shared" si="0"/>
        <x:v>129834.16</x:v>
      </x:c>
      <x:c r="M24" s="4">
        <x:f t="shared" si="1"/>
        <x:v>377752.5</x:v>
      </x:c>
    </x:row>
    <x:row r="25" spans="1:13" x14ac:dyDescent="0.25">
      <x:c r="A25" s="3" t="s">
        <x:v>134</x:v>
      </x:c>
      <x:c r="B25" s="3" t="s">
        <x:v>9</x:v>
      </x:c>
      <x:c r="C25" s="3" t="s">
        <x:v>117</x:v>
      </x:c>
      <x:c r="D25" s="6" t="s">
        <x:v>118</x:v>
      </x:c>
      <x:c r="E25" s="18" t="s">
        <x:v>120</x:v>
      </x:c>
      <x:c r="F25" s="8" t="s">
        <x:v>119</x:v>
      </x:c>
      <x:c r="G25" s="3" t="s">
        <x:v>99</x:v>
      </x:c>
      <x:c r="H25" s="9" t="s">
        <x:v>19</x:v>
      </x:c>
      <x:c r="I25" s="5" t="s">
        <x:v>212</x:v>
      </x:c>
      <x:c r="J25" s="4">
        <x:v>439473.61</x:v>
      </x:c>
      <x:c r="K25" s="36">
        <x:v>1</x:v>
      </x:c>
      <x:c r="L25" s="4">
        <x:f t="shared" si="0"/>
        <x:v>439473.61</x:v>
      </x:c>
      <x:c r="M25" s="4">
        <x:f t="shared" si="1"/>
        <x:v>0</x:v>
      </x:c>
    </x:row>
    <x:row r="26" spans="1:13" x14ac:dyDescent="0.25">
      <x:c r="A26" s="3" t="s">
        <x:v>134</x:v>
      </x:c>
      <x:c r="B26" s="3" t="s">
        <x:v>9</x:v>
      </x:c>
      <x:c r="C26" s="3" t="s">
        <x:v>155</x:v>
      </x:c>
      <x:c r="D26" s="6" t="s">
        <x:v>234</x:v>
      </x:c>
      <x:c r="E26" s="18" t="s">
        <x:v>235</x:v>
      </x:c>
      <x:c r="F26" s="8" t="s">
        <x:v>108</x:v>
      </x:c>
      <x:c r="G26" s="3" t="s">
        <x:v>194</x:v>
      </x:c>
      <x:c r="H26" s="9" t="s">
        <x:v>19</x:v>
      </x:c>
      <x:c r="I26" s="5">
        <x:v>2026</x:v>
      </x:c>
      <x:c r="J26" s="4">
        <x:v>419773.17</x:v>
      </x:c>
      <x:c r="K26" s="36">
        <x:v>1</x:v>
      </x:c>
      <x:c r="L26" s="4">
        <x:f t="shared" si="0"/>
        <x:v>419773.17</x:v>
      </x:c>
      <x:c r="M26" s="4">
        <x:f t="shared" si="1"/>
        <x:v>0</x:v>
      </x:c>
    </x:row>
    <x:row r="27" spans="1:13" ht="40.75" x14ac:dyDescent="0.25">
      <x:c r="A27" s="3" t="s">
        <x:v>134</x:v>
      </x:c>
      <x:c r="B27" s="3" t="s">
        <x:v>9</x:v>
      </x:c>
      <x:c r="C27" s="3" t="s">
        <x:v>44</x:v>
      </x:c>
      <x:c r="D27" s="6" t="s">
        <x:v>45</x:v>
      </x:c>
      <x:c r="E27" s="18" t="s">
        <x:v>46</x:v>
      </x:c>
      <x:c r="F27" s="8" t="s">
        <x:v>47</x:v>
      </x:c>
      <x:c r="G27" s="3" t="s">
        <x:v>24</x:v>
      </x:c>
      <x:c r="H27" s="9" t="s">
        <x:v>48</x:v>
      </x:c>
      <x:c r="I27" s="5" t="s">
        <x:v>195</x:v>
      </x:c>
      <x:c r="J27" s="4">
        <x:v>412573.78</x:v>
      </x:c>
      <x:c r="K27" s="36">
        <x:v>1</x:v>
      </x:c>
      <x:c r="L27" s="4">
        <x:f t="shared" si="0"/>
        <x:v>412573.78</x:v>
      </x:c>
      <x:c r="M27" s="4">
        <x:f t="shared" si="1"/>
        <x:v>0</x:v>
      </x:c>
    </x:row>
    <x:row r="28" spans="1:13" x14ac:dyDescent="0.25">
      <x:c r="A28" s="3" t="s">
        <x:v>134</x:v>
      </x:c>
      <x:c r="B28" s="3" t="s">
        <x:v>9</x:v>
      </x:c>
      <x:c r="C28" s="3" t="s">
        <x:v>156</x:v>
      </x:c>
      <x:c r="D28" s="6" t="s">
        <x:v>236</x:v>
      </x:c>
      <x:c r="E28" s="18" t="s">
        <x:v>237</x:v>
      </x:c>
      <x:c r="F28" s="8" t="s">
        <x:v>23</x:v>
      </x:c>
      <x:c r="G28" s="3" t="s">
        <x:v>194</x:v>
      </x:c>
      <x:c r="H28" s="9" t="s">
        <x:v>34</x:v>
      </x:c>
      <x:c r="I28" s="5" t="s">
        <x:v>98</x:v>
      </x:c>
      <x:c r="J28" s="4">
        <x:v>393088.46</x:v>
      </x:c>
      <x:c r="K28" s="36">
        <x:v>0.25578717368846882</x:v>
      </x:c>
      <x:c r="L28" s="4">
        <x:f t="shared" si="0"/>
        <x:v>100546.99</x:v>
      </x:c>
      <x:c r="M28" s="4">
        <x:f t="shared" si="1"/>
        <x:v>292541.47000000003</x:v>
      </x:c>
    </x:row>
    <x:row r="29" spans="1:13" x14ac:dyDescent="0.25">
      <x:c r="A29" s="3" t="s">
        <x:v>134</x:v>
      </x:c>
      <x:c r="B29" s="3" t="s">
        <x:v>9</x:v>
      </x:c>
      <x:c r="C29" s="3" t="s">
        <x:v>157</x:v>
      </x:c>
      <x:c r="D29" s="6" t="s">
        <x:v>238</x:v>
      </x:c>
      <x:c r="E29" s="18" t="s">
        <x:v>239</x:v>
      </x:c>
      <x:c r="F29" s="8" t="s">
        <x:v>240</x:v>
      </x:c>
      <x:c r="G29" s="3" t="s">
        <x:v>205</x:v>
      </x:c>
      <x:c r="H29" s="9" t="s">
        <x:v>34</x:v>
      </x:c>
      <x:c r="I29" s="5" t="s">
        <x:v>195</x:v>
      </x:c>
      <x:c r="J29" s="4">
        <x:v>390142.26</x:v>
      </x:c>
      <x:c r="K29" s="36">
        <x:v>0.25578717368846882</x:v>
      </x:c>
      <x:c r="L29" s="4">
        <x:f t="shared" si="0"/>
        <x:v>99793.39</x:v>
      </x:c>
      <x:c r="M29" s="4">
        <x:f t="shared" si="1"/>
        <x:v>290348.87</x:v>
      </x:c>
    </x:row>
    <x:row r="30" spans="1:13" ht="27.2" x14ac:dyDescent="0.25">
      <x:c r="A30" s="3" t="s">
        <x:v>134</x:v>
      </x:c>
      <x:c r="B30" s="3" t="s">
        <x:v>9</x:v>
      </x:c>
      <x:c r="C30" s="3" t="s">
        <x:v>158</x:v>
      </x:c>
      <x:c r="D30" s="6" t="s">
        <x:v>241</x:v>
      </x:c>
      <x:c r="E30" s="18" t="s">
        <x:v>242</x:v>
      </x:c>
      <x:c r="F30" s="8" t="s">
        <x:v>220</x:v>
      </x:c>
      <x:c r="G30" s="3" t="s">
        <x:v>194</x:v>
      </x:c>
      <x:c r="H30" s="9" t="s">
        <x:v>243</x:v>
      </x:c>
      <x:c r="I30" s="5" t="s">
        <x:v>195</x:v>
      </x:c>
      <x:c r="J30" s="4">
        <x:v>385130.88</x:v>
      </x:c>
      <x:c r="K30" s="36">
        <x:v>1</x:v>
      </x:c>
      <x:c r="L30" s="4">
        <x:f t="shared" si="0"/>
        <x:v>385130.88</x:v>
      </x:c>
      <x:c r="M30" s="4">
        <x:f t="shared" si="1"/>
        <x:v>0</x:v>
      </x:c>
    </x:row>
    <x:row r="31" spans="1:13" x14ac:dyDescent="0.25">
      <x:c r="A31" s="3" t="s">
        <x:v>134</x:v>
      </x:c>
      <x:c r="B31" s="3" t="s">
        <x:v>9</x:v>
      </x:c>
      <x:c r="C31" s="3" t="s">
        <x:v>159</x:v>
      </x:c>
      <x:c r="D31" s="6" t="s">
        <x:v>244</x:v>
      </x:c>
      <x:c r="E31" s="18" t="s">
        <x:v>245</x:v>
      </x:c>
      <x:c r="F31" s="8" t="s">
        <x:v>127</x:v>
      </x:c>
      <x:c r="G31" s="3" t="s">
        <x:v>194</x:v>
      </x:c>
      <x:c r="H31" s="9" t="s">
        <x:v>243</x:v>
      </x:c>
      <x:c r="I31" s="5" t="s">
        <x:v>195</x:v>
      </x:c>
      <x:c r="J31" s="4">
        <x:v>384116.5</x:v>
      </x:c>
      <x:c r="K31" s="36">
        <x:v>1</x:v>
      </x:c>
      <x:c r="L31" s="4">
        <x:f t="shared" si="0"/>
        <x:v>384116.5</x:v>
      </x:c>
      <x:c r="M31" s="4">
        <x:f t="shared" si="1"/>
        <x:v>0</x:v>
      </x:c>
    </x:row>
    <x:row r="32" spans="1:13" x14ac:dyDescent="0.25">
      <x:c r="A32" s="3" t="s">
        <x:v>134</x:v>
      </x:c>
      <x:c r="B32" s="3" t="s">
        <x:v>9</x:v>
      </x:c>
      <x:c r="C32" s="3" t="s">
        <x:v>121</x:v>
      </x:c>
      <x:c r="D32" s="6" t="s">
        <x:v>122</x:v>
      </x:c>
      <x:c r="E32" s="18" t="s">
        <x:v>123</x:v>
      </x:c>
      <x:c r="F32" s="8" t="s">
        <x:v>71</x:v>
      </x:c>
      <x:c r="G32" s="3" t="s">
        <x:v>102</x:v>
      </x:c>
      <x:c r="H32" s="9" t="s">
        <x:v>19</x:v>
      </x:c>
      <x:c r="I32" s="5">
        <x:v>2026</x:v>
      </x:c>
      <x:c r="J32" s="4">
        <x:v>333339.31</x:v>
      </x:c>
      <x:c r="K32" s="36">
        <x:v>1</x:v>
      </x:c>
      <x:c r="L32" s="4">
        <x:f t="shared" si="0"/>
        <x:v>333339.31</x:v>
      </x:c>
      <x:c r="M32" s="4">
        <x:f t="shared" si="1"/>
        <x:v>0</x:v>
      </x:c>
    </x:row>
    <x:row r="33" spans="1:13" ht="27.2" x14ac:dyDescent="0.25">
      <x:c r="A33" s="3" t="s">
        <x:v>134</x:v>
      </x:c>
      <x:c r="B33" s="3" t="s">
        <x:v>9</x:v>
      </x:c>
      <x:c r="C33" s="3" t="s">
        <x:v>160</x:v>
      </x:c>
      <x:c r="D33" s="6" t="s">
        <x:v>246</x:v>
      </x:c>
      <x:c r="E33" s="18" t="s">
        <x:v>247</x:v>
      </x:c>
      <x:c r="F33" s="8" t="s">
        <x:v>248</x:v>
      </x:c>
      <x:c r="G33" s="3" t="s">
        <x:v>205</x:v>
      </x:c>
      <x:c r="H33" s="9" t="s">
        <x:v>315</x:v>
      </x:c>
      <x:c r="I33" s="5" t="s">
        <x:v>195</x:v>
      </x:c>
      <x:c r="J33" s="4">
        <x:v>245940.82</x:v>
      </x:c>
      <x:c r="K33" s="36">
        <x:v>1</x:v>
      </x:c>
      <x:c r="L33" s="4">
        <x:f t="shared" si="0"/>
        <x:v>245940.82</x:v>
      </x:c>
      <x:c r="M33" s="4">
        <x:f t="shared" si="1"/>
        <x:v>0</x:v>
      </x:c>
    </x:row>
    <x:row r="34" spans="1:13" x14ac:dyDescent="0.25">
      <x:c r="A34" s="3" t="s">
        <x:v>134</x:v>
      </x:c>
      <x:c r="B34" s="3" t="s">
        <x:v>9</x:v>
      </x:c>
      <x:c r="C34" s="3" t="s">
        <x:v>111</x:v>
      </x:c>
      <x:c r="D34" s="6" t="s">
        <x:v>112</x:v>
      </x:c>
      <x:c r="E34" s="18" t="s">
        <x:v>114</x:v>
      </x:c>
      <x:c r="F34" s="8" t="s">
        <x:v>23</x:v>
      </x:c>
      <x:c r="G34" s="3" t="s">
        <x:v>113</x:v>
      </x:c>
      <x:c r="H34" s="9" t="s">
        <x:v>34</x:v>
      </x:c>
      <x:c r="I34" s="5" t="s">
        <x:v>196</x:v>
      </x:c>
      <x:c r="J34" s="4">
        <x:v>242421.83000000002</x:v>
      </x:c>
      <x:c r="K34" s="36">
        <x:v>0.25578717368846882</x:v>
      </x:c>
      <x:c r="L34" s="4">
        <x:f t="shared" si="0"/>
        <x:v>62008.39</x:v>
      </x:c>
      <x:c r="M34" s="4">
        <x:f t="shared" si="1"/>
        <x:v>180413.44</x:v>
      </x:c>
    </x:row>
    <x:row r="35" spans="1:13" x14ac:dyDescent="0.25">
      <x:c r="A35" s="3" t="s">
        <x:v>134</x:v>
      </x:c>
      <x:c r="B35" s="3" t="s">
        <x:v>9</x:v>
      </x:c>
      <x:c r="C35" s="3" t="s">
        <x:v>161</x:v>
      </x:c>
      <x:c r="D35" s="6" t="s">
        <x:v>250</x:v>
      </x:c>
      <x:c r="E35" s="18" t="s">
        <x:v>251</x:v>
      </x:c>
      <x:c r="F35" s="8" t="s">
        <x:v>252</x:v>
      </x:c>
      <x:c r="G35" s="3" t="s">
        <x:v>190</x:v>
      </x:c>
      <x:c r="H35" s="9" t="s">
        <x:v>19</x:v>
      </x:c>
      <x:c r="I35" s="5" t="s">
        <x:v>195</x:v>
      </x:c>
      <x:c r="J35" s="4">
        <x:v>240206.52</x:v>
      </x:c>
      <x:c r="K35" s="36">
        <x:v>1</x:v>
      </x:c>
      <x:c r="L35" s="4">
        <x:f t="shared" si="0"/>
        <x:v>240206.52</x:v>
      </x:c>
      <x:c r="M35" s="4">
        <x:f t="shared" si="1"/>
        <x:v>0</x:v>
      </x:c>
    </x:row>
    <x:row r="36" spans="1:13" ht="27.2" x14ac:dyDescent="0.25">
      <x:c r="A36" s="3" t="s">
        <x:v>134</x:v>
      </x:c>
      <x:c r="B36" s="3" t="s">
        <x:v>9</x:v>
      </x:c>
      <x:c r="C36" s="3" t="s">
        <x:v>162</x:v>
      </x:c>
      <x:c r="D36" s="6" t="s">
        <x:v>253</x:v>
      </x:c>
      <x:c r="E36" s="18" t="s">
        <x:v>254</x:v>
      </x:c>
      <x:c r="F36" s="8" t="s">
        <x:v>255</x:v>
      </x:c>
      <x:c r="G36" s="3" t="s">
        <x:v>194</x:v>
      </x:c>
      <x:c r="H36" s="9" t="s">
        <x:v>249</x:v>
      </x:c>
      <x:c r="I36" s="5" t="s">
        <x:v>98</x:v>
      </x:c>
      <x:c r="J36" s="4">
        <x:v>206335.94</x:v>
      </x:c>
      <x:c r="K36" s="36">
        <x:v>0.25578717368846882</x:v>
      </x:c>
      <x:c r="L36" s="4">
        <x:f t="shared" si="0"/>
        <x:v>52778.09</x:v>
      </x:c>
      <x:c r="M36" s="4">
        <x:f t="shared" si="1"/>
        <x:v>153557.85</x:v>
      </x:c>
    </x:row>
    <x:row r="37" spans="1:13" x14ac:dyDescent="0.25">
      <x:c r="A37" s="3" t="s">
        <x:v>134</x:v>
      </x:c>
      <x:c r="B37" s="3" t="s">
        <x:v>9</x:v>
      </x:c>
      <x:c r="C37" s="3" t="s">
        <x:v>124</x:v>
      </x:c>
      <x:c r="D37" s="6" t="s">
        <x:v>125</x:v>
      </x:c>
      <x:c r="E37" s="18" t="s">
        <x:v>126</x:v>
      </x:c>
      <x:c r="F37" s="8" t="s">
        <x:v>127</x:v>
      </x:c>
      <x:c r="G37" s="3" t="s">
        <x:v>102</x:v>
      </x:c>
      <x:c r="H37" s="9" t="s">
        <x:v>19</x:v>
      </x:c>
      <x:c r="I37" s="5" t="s">
        <x:v>195</x:v>
      </x:c>
      <x:c r="J37" s="4">
        <x:v>197260.81</x:v>
      </x:c>
      <x:c r="K37" s="36">
        <x:v>1</x:v>
      </x:c>
      <x:c r="L37" s="4">
        <x:f t="shared" si="0"/>
        <x:v>197260.81</x:v>
      </x:c>
      <x:c r="M37" s="4">
        <x:f t="shared" si="1"/>
        <x:v>0</x:v>
      </x:c>
    </x:row>
    <x:row r="38" spans="1:13" x14ac:dyDescent="0.25">
      <x:c r="A38" s="3" t="s">
        <x:v>134</x:v>
      </x:c>
      <x:c r="B38" s="3" t="s">
        <x:v>9</x:v>
      </x:c>
      <x:c r="C38" s="3" t="s">
        <x:v>163</x:v>
      </x:c>
      <x:c r="D38" s="6" t="s">
        <x:v>256</x:v>
      </x:c>
      <x:c r="E38" s="18" t="s">
        <x:v>257</x:v>
      </x:c>
      <x:c r="F38" s="8" t="s">
        <x:v>248</x:v>
      </x:c>
      <x:c r="G38" s="3" t="s">
        <x:v>205</x:v>
      </x:c>
      <x:c r="H38" s="9" t="s">
        <x:v>19</x:v>
      </x:c>
      <x:c r="I38" s="5" t="s">
        <x:v>212</x:v>
      </x:c>
      <x:c r="J38" s="4">
        <x:v>228159.78</x:v>
      </x:c>
      <x:c r="K38" s="36">
        <x:v>1</x:v>
      </x:c>
      <x:c r="L38" s="4">
        <x:f t="shared" si="0"/>
        <x:v>228159.78</x:v>
      </x:c>
      <x:c r="M38" s="4">
        <x:f t="shared" si="1"/>
        <x:v>0</x:v>
      </x:c>
    </x:row>
    <x:row r="39" spans="1:13" ht="27.2" x14ac:dyDescent="0.25">
      <x:c r="A39" s="3" t="s">
        <x:v>134</x:v>
      </x:c>
      <x:c r="B39" s="3" t="s">
        <x:v>9</x:v>
      </x:c>
      <x:c r="C39" s="3" t="s">
        <x:v>164</x:v>
      </x:c>
      <x:c r="D39" s="6" t="s">
        <x:v>258</x:v>
      </x:c>
      <x:c r="E39" s="18" t="s">
        <x:v>259</x:v>
      </x:c>
      <x:c r="F39" s="8" t="s">
        <x:v>260</x:v>
      </x:c>
      <x:c r="G39" s="3" t="s">
        <x:v>205</x:v>
      </x:c>
      <x:c r="H39" s="9" t="s">
        <x:v>261</x:v>
      </x:c>
      <x:c r="I39" s="5" t="s">
        <x:v>195</x:v>
      </x:c>
      <x:c r="J39" s="4">
        <x:v>183220.46</x:v>
      </x:c>
      <x:c r="K39" s="36">
        <x:v>1</x:v>
      </x:c>
      <x:c r="L39" s="4">
        <x:f t="shared" si="0"/>
        <x:v>183220.46</x:v>
      </x:c>
      <x:c r="M39" s="4">
        <x:f t="shared" si="1"/>
        <x:v>0</x:v>
      </x:c>
    </x:row>
    <x:row r="40" spans="1:13" ht="27.2" x14ac:dyDescent="0.25">
      <x:c r="A40" s="3" t="s">
        <x:v>134</x:v>
      </x:c>
      <x:c r="B40" s="3" t="s">
        <x:v>9</x:v>
      </x:c>
      <x:c r="C40" s="3" t="s">
        <x:v>165</x:v>
      </x:c>
      <x:c r="D40" s="6" t="s">
        <x:v>262</x:v>
      </x:c>
      <x:c r="E40" s="18" t="s">
        <x:v>316</x:v>
      </x:c>
      <x:c r="F40" s="8" t="s">
        <x:v>263</x:v>
      </x:c>
      <x:c r="G40" s="3" t="s">
        <x:v>215</x:v>
      </x:c>
      <x:c r="H40" s="9" t="s">
        <x:v>261</x:v>
      </x:c>
      <x:c r="I40" s="5">
        <x:v>2026</x:v>
      </x:c>
      <x:c r="J40" s="4">
        <x:v>174580.59</x:v>
      </x:c>
      <x:c r="K40" s="36">
        <x:v>1</x:v>
      </x:c>
      <x:c r="L40" s="4">
        <x:f t="shared" si="0"/>
        <x:v>174580.59</x:v>
      </x:c>
      <x:c r="M40" s="4">
        <x:f t="shared" si="1"/>
        <x:v>0</x:v>
      </x:c>
    </x:row>
    <x:row r="41" spans="1:13" ht="27.2" x14ac:dyDescent="0.25">
      <x:c r="A41" s="3" t="s">
        <x:v>134</x:v>
      </x:c>
      <x:c r="B41" s="3" t="s">
        <x:v>9</x:v>
      </x:c>
      <x:c r="C41" s="3" t="s">
        <x:v>166</x:v>
      </x:c>
      <x:c r="D41" s="6" t="s">
        <x:v>264</x:v>
      </x:c>
      <x:c r="E41" s="18" t="s">
        <x:v>265</x:v>
      </x:c>
      <x:c r="F41" s="8" t="s">
        <x:v>266</x:v>
      </x:c>
      <x:c r="G41" s="3" t="s">
        <x:v>205</x:v>
      </x:c>
      <x:c r="H41" s="9" t="s">
        <x:v>57</x:v>
      </x:c>
      <x:c r="I41" s="5">
        <x:v>2025</x:v>
      </x:c>
      <x:c r="J41" s="4">
        <x:v>167836.2</x:v>
      </x:c>
      <x:c r="K41" s="36">
        <x:v>0.25578717368846882</x:v>
      </x:c>
      <x:c r="L41" s="4">
        <x:f t="shared" si="0"/>
        <x:v>42930.35</x:v>
      </x:c>
      <x:c r="M41" s="4">
        <x:f t="shared" si="1"/>
        <x:v>124905.85</x:v>
      </x:c>
    </x:row>
    <x:row r="42" spans="1:13" x14ac:dyDescent="0.25">
      <x:c r="A42" s="3" t="s">
        <x:v>134</x:v>
      </x:c>
      <x:c r="B42" s="3" t="s">
        <x:v>9</x:v>
      </x:c>
      <x:c r="C42" s="3" t="s">
        <x:v>167</x:v>
      </x:c>
      <x:c r="D42" s="6" t="s">
        <x:v>267</x:v>
      </x:c>
      <x:c r="E42" s="18" t="s">
        <x:v>268</x:v>
      </x:c>
      <x:c r="F42" s="8" t="s">
        <x:v>269</x:v>
      </x:c>
      <x:c r="G42" s="3" t="s">
        <x:v>215</x:v>
      </x:c>
      <x:c r="H42" s="9" t="s">
        <x:v>34</x:v>
      </x:c>
      <x:c r="I42" s="5" t="s">
        <x:v>98</x:v>
      </x:c>
      <x:c r="J42" s="4">
        <x:v>155469.31</x:v>
      </x:c>
      <x:c r="K42" s="36">
        <x:v>0.25578717368846882</x:v>
      </x:c>
      <x:c r="L42" s="4">
        <x:f t="shared" ref="L42:L61" si="2">ROUND(J42*K42,2)</x:f>
        <x:v>39767.06</x:v>
      </x:c>
      <x:c r="M42" s="4">
        <x:f t="shared" ref="M42:M61" si="3">J42-L42</x:f>
        <x:v>115702.25</x:v>
      </x:c>
    </x:row>
    <x:row r="43" spans="1:13" x14ac:dyDescent="0.25">
      <x:c r="A43" s="3" t="s">
        <x:v>134</x:v>
      </x:c>
      <x:c r="B43" s="3" t="s">
        <x:v>9</x:v>
      </x:c>
      <x:c r="C43" s="3" t="s">
        <x:v>168</x:v>
      </x:c>
      <x:c r="D43" s="6" t="s">
        <x:v>270</x:v>
      </x:c>
      <x:c r="E43" s="18" t="s">
        <x:v>271</x:v>
      </x:c>
      <x:c r="F43" s="8" t="s">
        <x:v>255</x:v>
      </x:c>
      <x:c r="G43" s="3" t="s">
        <x:v>205</x:v>
      </x:c>
      <x:c r="H43" s="9" t="s">
        <x:v>34</x:v>
      </x:c>
      <x:c r="I43" s="5" t="s">
        <x:v>98</x:v>
      </x:c>
      <x:c r="J43" s="4">
        <x:v>147913.39000000001</x:v>
      </x:c>
      <x:c r="K43" s="36">
        <x:v>0.25578717368846882</x:v>
      </x:c>
      <x:c r="L43" s="4">
        <x:f t="shared" si="2"/>
        <x:v>37834.35</x:v>
      </x:c>
      <x:c r="M43" s="4">
        <x:f t="shared" si="3"/>
        <x:v>110079.04000000001</x:v>
      </x:c>
    </x:row>
    <x:row r="44" spans="1:13" x14ac:dyDescent="0.25">
      <x:c r="A44" s="3" t="s">
        <x:v>134</x:v>
      </x:c>
      <x:c r="B44" s="29" t="s">
        <x:v>9</x:v>
      </x:c>
      <x:c r="C44" s="29" t="s">
        <x:v>169</x:v>
      </x:c>
      <x:c r="D44" s="30" t="s">
        <x:v>272</x:v>
      </x:c>
      <x:c r="E44" s="18" t="s">
        <x:v>273</x:v>
      </x:c>
      <x:c r="F44" s="8" t="s">
        <x:v>248</x:v>
      </x:c>
      <x:c r="G44" s="29" t="s">
        <x:v>215</x:v>
      </x:c>
      <x:c r="H44" s="33" t="s">
        <x:v>19</x:v>
      </x:c>
      <x:c r="I44" s="34" t="s">
        <x:v>98</x:v>
      </x:c>
      <x:c r="J44" s="38">
        <x:v>141544.07</x:v>
      </x:c>
      <x:c r="K44" s="36">
        <x:v>0.25578717368846882</x:v>
      </x:c>
      <x:c r="L44" s="4">
        <x:f t="shared" si="2"/>
        <x:v>36205.160000000003</x:v>
      </x:c>
      <x:c r="M44" s="4">
        <x:f t="shared" si="3"/>
        <x:v>105338.91</x:v>
      </x:c>
    </x:row>
    <x:row r="45" spans="1:13" ht="27.2" x14ac:dyDescent="0.25">
      <x:c r="A45" s="3" t="s">
        <x:v>134</x:v>
      </x:c>
      <x:c r="B45" s="3" t="s">
        <x:v>9</x:v>
      </x:c>
      <x:c r="C45" s="3" t="s">
        <x:v>58</x:v>
      </x:c>
      <x:c r="D45" s="6" t="s">
        <x:v>59</x:v>
      </x:c>
      <x:c r="E45" s="18" t="s">
        <x:v>60</x:v>
      </x:c>
      <x:c r="F45" s="8" t="s">
        <x:v>61</x:v>
      </x:c>
      <x:c r="G45" s="3" t="s">
        <x:v>43</x:v>
      </x:c>
      <x:c r="H45" s="9" t="s">
        <x:v>15</x:v>
      </x:c>
      <x:c r="I45" s="5" t="s">
        <x:v>196</x:v>
      </x:c>
      <x:c r="J45" s="4">
        <x:v>137245.04</x:v>
      </x:c>
      <x:c r="K45" s="36">
        <x:v>1</x:v>
      </x:c>
      <x:c r="L45" s="4">
        <x:f t="shared" si="2"/>
        <x:v>137245.04</x:v>
      </x:c>
      <x:c r="M45" s="4">
        <x:f t="shared" si="3"/>
        <x:v>0</x:v>
      </x:c>
    </x:row>
    <x:row r="46" spans="1:13" ht="27.2" x14ac:dyDescent="0.25">
      <x:c r="A46" s="3" t="s">
        <x:v>134</x:v>
      </x:c>
      <x:c r="B46" s="3" t="s">
        <x:v>9</x:v>
      </x:c>
      <x:c r="C46" s="3" t="s">
        <x:v>170</x:v>
      </x:c>
      <x:c r="D46" s="6" t="s">
        <x:v>274</x:v>
      </x:c>
      <x:c r="E46" s="18" t="s">
        <x:v>275</x:v>
      </x:c>
      <x:c r="F46" s="8" t="s">
        <x:v>255</x:v>
      </x:c>
      <x:c r="G46" s="3" t="s">
        <x:v>194</x:v>
      </x:c>
      <x:c r="H46" s="9" t="s">
        <x:v>34</x:v>
      </x:c>
      <x:c r="I46" s="5" t="s">
        <x:v>195</x:v>
      </x:c>
      <x:c r="J46" s="4">
        <x:v>128684.2</x:v>
      </x:c>
      <x:c r="K46" s="36">
        <x:v>0.25578717368846882</x:v>
      </x:c>
      <x:c r="L46" s="4">
        <x:f t="shared" si="2"/>
        <x:v>32915.769999999997</x:v>
      </x:c>
      <x:c r="M46" s="4">
        <x:f t="shared" si="3"/>
        <x:v>95768.43</x:v>
      </x:c>
    </x:row>
    <x:row r="47" spans="1:13" x14ac:dyDescent="0.25">
      <x:c r="A47" s="3" t="s">
        <x:v>134</x:v>
      </x:c>
      <x:c r="B47" s="29" t="s">
        <x:v>9</x:v>
      </x:c>
      <x:c r="C47" s="29" t="s">
        <x:v>171</x:v>
      </x:c>
      <x:c r="D47" s="30" t="s">
        <x:v>276</x:v>
      </x:c>
      <x:c r="E47" s="31" t="s">
        <x:v>277</x:v>
      </x:c>
      <x:c r="F47" s="32" t="s">
        <x:v>278</x:v>
      </x:c>
      <x:c r="G47" s="29" t="s">
        <x:v>215</x:v>
      </x:c>
      <x:c r="H47" s="33" t="s">
        <x:v>34</x:v>
      </x:c>
      <x:c r="I47" s="34" t="s">
        <x:v>98</x:v>
      </x:c>
      <x:c r="J47" s="38">
        <x:v>127142.75</x:v>
      </x:c>
      <x:c r="K47" s="36">
        <x:v>0.25578717368846882</x:v>
      </x:c>
      <x:c r="L47" s="4">
        <x:f t="shared" si="2"/>
        <x:v>32521.48</x:v>
      </x:c>
      <x:c r="M47" s="4">
        <x:f t="shared" si="3"/>
        <x:v>94621.27</x:v>
      </x:c>
    </x:row>
    <x:row r="48" spans="1:13" x14ac:dyDescent="0.25">
      <x:c r="A48" s="3" t="s">
        <x:v>134</x:v>
      </x:c>
      <x:c r="B48" s="3" t="s">
        <x:v>9</x:v>
      </x:c>
      <x:c r="C48" s="3" t="s">
        <x:v>105</x:v>
      </x:c>
      <x:c r="D48" s="6" t="s">
        <x:v>106</x:v>
      </x:c>
      <x:c r="E48" s="7" t="s">
        <x:v>107</x:v>
      </x:c>
      <x:c r="F48" s="8" t="s">
        <x:v>108</x:v>
      </x:c>
      <x:c r="G48" s="3" t="s">
        <x:v>109</x:v>
      </x:c>
      <x:c r="H48" s="9" t="s">
        <x:v>34</x:v>
      </x:c>
      <x:c r="I48" s="5" t="s">
        <x:v>195</x:v>
      </x:c>
      <x:c r="J48" s="4">
        <x:v>116016.96000000001</x:v>
      </x:c>
      <x:c r="K48" s="36">
        <x:v>0.25578717368846882</x:v>
      </x:c>
      <x:c r="L48" s="4">
        <x:f t="shared" si="2"/>
        <x:v>29675.65</x:v>
      </x:c>
      <x:c r="M48" s="4">
        <x:f t="shared" si="3"/>
        <x:v>86341.31</x:v>
      </x:c>
    </x:row>
    <x:row r="49" spans="1:13" x14ac:dyDescent="0.25">
      <x:c r="A49" s="3" t="s">
        <x:v>134</x:v>
      </x:c>
      <x:c r="B49" s="3" t="s">
        <x:v>9</x:v>
      </x:c>
      <x:c r="C49" s="3" t="s">
        <x:v>172</x:v>
      </x:c>
      <x:c r="D49" s="6" t="s">
        <x:v>279</x:v>
      </x:c>
      <x:c r="E49" s="7" t="s">
        <x:v>280</x:v>
      </x:c>
      <x:c r="F49" s="8" t="s">
        <x:v>281</x:v>
      </x:c>
      <x:c r="G49" s="3" t="s">
        <x:v>205</x:v>
      </x:c>
      <x:c r="H49" s="9" t="s">
        <x:v>19</x:v>
      </x:c>
      <x:c r="I49" s="5" t="s">
        <x:v>195</x:v>
      </x:c>
      <x:c r="J49" s="4">
        <x:v>110959.82</x:v>
      </x:c>
      <x:c r="K49" s="36">
        <x:v>1</x:v>
      </x:c>
      <x:c r="L49" s="4">
        <x:f t="shared" si="2"/>
        <x:v>110959.82</x:v>
      </x:c>
      <x:c r="M49" s="4">
        <x:f t="shared" si="3"/>
        <x:v>0</x:v>
      </x:c>
    </x:row>
    <x:row r="50" spans="1:13" x14ac:dyDescent="0.25">
      <x:c r="A50" s="3" t="s">
        <x:v>134</x:v>
      </x:c>
      <x:c r="B50" s="3" t="s">
        <x:v>9</x:v>
      </x:c>
      <x:c r="C50" s="3" t="s">
        <x:v>173</x:v>
      </x:c>
      <x:c r="D50" s="6" t="s">
        <x:v>282</x:v>
      </x:c>
      <x:c r="E50" s="18" t="s">
        <x:v>283</x:v>
      </x:c>
      <x:c r="F50" s="8" t="s">
        <x:v>220</x:v>
      </x:c>
      <x:c r="G50" s="3" t="s">
        <x:v>194</x:v>
      </x:c>
      <x:c r="H50" s="9" t="s">
        <x:v>34</x:v>
      </x:c>
      <x:c r="I50" s="5" t="s">
        <x:v>196</x:v>
      </x:c>
      <x:c r="J50" s="4">
        <x:v>104125.41</x:v>
      </x:c>
      <x:c r="K50" s="36">
        <x:v>0.25578717368846882</x:v>
      </x:c>
      <x:c r="L50" s="4">
        <x:f t="shared" si="2"/>
        <x:v>26633.94</x:v>
      </x:c>
      <x:c r="M50" s="4">
        <x:f t="shared" si="3"/>
        <x:v>77491.47</x:v>
      </x:c>
    </x:row>
    <x:row r="51" spans="1:13" x14ac:dyDescent="0.25">
      <x:c r="A51" s="3" t="s">
        <x:v>134</x:v>
      </x:c>
      <x:c r="B51" s="3" t="s">
        <x:v>9</x:v>
      </x:c>
      <x:c r="C51" s="3" t="s">
        <x:v>174</x:v>
      </x:c>
      <x:c r="D51" s="6" t="s">
        <x:v>284</x:v>
      </x:c>
      <x:c r="E51" s="18" t="s">
        <x:v>285</x:v>
      </x:c>
      <x:c r="F51" s="8" t="s">
        <x:v>286</x:v>
      </x:c>
      <x:c r="G51" s="3" t="s">
        <x:v>215</x:v>
      </x:c>
      <x:c r="H51" s="9" t="s">
        <x:v>19</x:v>
      </x:c>
      <x:c r="I51" s="5" t="s">
        <x:v>195</x:v>
      </x:c>
      <x:c r="J51" s="4">
        <x:v>95115.99</x:v>
      </x:c>
      <x:c r="K51" s="36">
        <x:v>1</x:v>
      </x:c>
      <x:c r="L51" s="4">
        <x:f t="shared" si="2"/>
        <x:v>95115.99</x:v>
      </x:c>
      <x:c r="M51" s="4">
        <x:f t="shared" si="3"/>
        <x:v>0</x:v>
      </x:c>
    </x:row>
    <x:row r="52" spans="1:13" x14ac:dyDescent="0.25">
      <x:c r="A52" s="3" t="s">
        <x:v>134</x:v>
      </x:c>
      <x:c r="B52" s="3" t="s">
        <x:v>9</x:v>
      </x:c>
      <x:c r="C52" s="3" t="s">
        <x:v>175</x:v>
      </x:c>
      <x:c r="D52" s="6" t="s">
        <x:v>287</x:v>
      </x:c>
      <x:c r="E52" s="7" t="s">
        <x:v>288</x:v>
      </x:c>
      <x:c r="F52" s="8" t="s">
        <x:v>263</x:v>
      </x:c>
      <x:c r="G52" s="3" t="s">
        <x:v>205</x:v>
      </x:c>
      <x:c r="H52" s="9" t="s">
        <x:v>34</x:v>
      </x:c>
      <x:c r="I52" s="5" t="s">
        <x:v>195</x:v>
      </x:c>
      <x:c r="J52" s="4">
        <x:v>91849.56</x:v>
      </x:c>
      <x:c r="K52" s="36">
        <x:v>0.25578717368846882</x:v>
      </x:c>
      <x:c r="L52" s="4">
        <x:f t="shared" si="2"/>
        <x:v>23493.94</x:v>
      </x:c>
      <x:c r="M52" s="4">
        <x:f t="shared" si="3"/>
        <x:v>68355.62</x:v>
      </x:c>
    </x:row>
    <x:row r="53" spans="1:13" x14ac:dyDescent="0.25">
      <x:c r="A53" s="3" t="s">
        <x:v>134</x:v>
      </x:c>
      <x:c r="B53" s="3" t="s">
        <x:v>9</x:v>
      </x:c>
      <x:c r="C53" s="3" t="s">
        <x:v>176</x:v>
      </x:c>
      <x:c r="D53" s="6" t="s">
        <x:v>289</x:v>
      </x:c>
      <x:c r="E53" s="7" t="s">
        <x:v>290</x:v>
      </x:c>
      <x:c r="F53" s="8" t="s">
        <x:v>291</x:v>
      </x:c>
      <x:c r="G53" s="3" t="s">
        <x:v>215</x:v>
      </x:c>
      <x:c r="H53" s="9" t="s">
        <x:v>34</x:v>
      </x:c>
      <x:c r="I53" s="5" t="s">
        <x:v>98</x:v>
      </x:c>
      <x:c r="J53" s="4">
        <x:v>91046.87</x:v>
      </x:c>
      <x:c r="K53" s="36">
        <x:v>0.25578717368846882</x:v>
      </x:c>
      <x:c r="L53" s="4">
        <x:f t="shared" si="2"/>
        <x:v>23288.62</x:v>
      </x:c>
      <x:c r="M53" s="4">
        <x:f t="shared" si="3"/>
        <x:v>67758.25</x:v>
      </x:c>
    </x:row>
    <x:row r="54" spans="1:13" ht="27.2" x14ac:dyDescent="0.25">
      <x:c r="A54" s="3" t="s">
        <x:v>134</x:v>
      </x:c>
      <x:c r="B54" s="3" t="s">
        <x:v>9</x:v>
      </x:c>
      <x:c r="C54" s="3" t="s">
        <x:v>177</x:v>
      </x:c>
      <x:c r="D54" s="6" t="s">
        <x:v>292</x:v>
      </x:c>
      <x:c r="E54" s="7" t="s">
        <x:v>293</x:v>
      </x:c>
      <x:c r="F54" s="8" t="s">
        <x:v>263</x:v>
      </x:c>
      <x:c r="G54" s="3" t="s">
        <x:v>194</x:v>
      </x:c>
      <x:c r="H54" s="9" t="s">
        <x:v>57</x:v>
      </x:c>
      <x:c r="I54" s="3" t="s">
        <x:v>98</x:v>
      </x:c>
      <x:c r="J54" s="4">
        <x:v>83814.95</x:v>
      </x:c>
      <x:c r="K54" s="36">
        <x:v>0.25578717368846882</x:v>
      </x:c>
      <x:c r="L54" s="4">
        <x:f t="shared" si="2"/>
        <x:v>21438.79</x:v>
      </x:c>
      <x:c r="M54" s="4">
        <x:f t="shared" si="3"/>
        <x:v>62376.159999999996</x:v>
      </x:c>
    </x:row>
    <x:row r="55" spans="1:13" x14ac:dyDescent="0.25">
      <x:c r="A55" s="3" t="s">
        <x:v>134</x:v>
      </x:c>
      <x:c r="B55" s="3" t="s">
        <x:v>9</x:v>
      </x:c>
      <x:c r="C55" s="3" t="s">
        <x:v>178</x:v>
      </x:c>
      <x:c r="D55" s="6" t="s">
        <x:v>294</x:v>
      </x:c>
      <x:c r="E55" s="7" t="s">
        <x:v>295</x:v>
      </x:c>
      <x:c r="F55" s="8" t="s">
        <x:v>296</x:v>
      </x:c>
      <x:c r="G55" s="3" t="s">
        <x:v>194</x:v>
      </x:c>
      <x:c r="H55" s="9" t="s">
        <x:v>34</x:v>
      </x:c>
      <x:c r="I55" s="3" t="s">
        <x:v>98</x:v>
      </x:c>
      <x:c r="J55" s="4">
        <x:v>57624.959999999999</x:v>
      </x:c>
      <x:c r="K55" s="36">
        <x:v>0.25578717368846882</x:v>
      </x:c>
      <x:c r="L55" s="4">
        <x:f t="shared" si="2"/>
        <x:v>14739.73</x:v>
      </x:c>
      <x:c r="M55" s="4">
        <x:f t="shared" si="3"/>
        <x:v>42885.229999999996</x:v>
      </x:c>
    </x:row>
    <x:row r="56" spans="1:13" x14ac:dyDescent="0.25">
      <x:c r="A56" s="3" t="s">
        <x:v>134</x:v>
      </x:c>
      <x:c r="B56" s="3" t="s">
        <x:v>9</x:v>
      </x:c>
      <x:c r="C56" s="3" t="s">
        <x:v>179</x:v>
      </x:c>
      <x:c r="D56" s="6" t="s">
        <x:v>297</x:v>
      </x:c>
      <x:c r="E56" s="7" t="s">
        <x:v>298</x:v>
      </x:c>
      <x:c r="F56" s="8" t="s">
        <x:v>299</x:v>
      </x:c>
      <x:c r="G56" s="3" t="s">
        <x:v>194</x:v>
      </x:c>
      <x:c r="H56" s="9" t="s">
        <x:v>34</x:v>
      </x:c>
      <x:c r="I56" s="3" t="s">
        <x:v>98</x:v>
      </x:c>
      <x:c r="J56" s="4">
        <x:v>43733.86</x:v>
      </x:c>
      <x:c r="K56" s="36">
        <x:v>0.25578717368846882</x:v>
      </x:c>
      <x:c r="L56" s="4">
        <x:f t="shared" si="2"/>
        <x:v>11186.56</x:v>
      </x:c>
      <x:c r="M56" s="4">
        <x:f t="shared" si="3"/>
        <x:v>32547.300000000003</x:v>
      </x:c>
    </x:row>
    <x:row r="57" spans="1:13" ht="27.2" x14ac:dyDescent="0.25">
      <x:c r="A57" s="3" t="s">
        <x:v>134</x:v>
      </x:c>
      <x:c r="B57" s="3" t="s">
        <x:v>9</x:v>
      </x:c>
      <x:c r="C57" s="3" t="s">
        <x:v>180</x:v>
      </x:c>
      <x:c r="D57" s="6" t="s">
        <x:v>300</x:v>
      </x:c>
      <x:c r="E57" s="7" t="s">
        <x:v>301</x:v>
      </x:c>
      <x:c r="F57" s="8" t="s">
        <x:v>281</x:v>
      </x:c>
      <x:c r="G57" s="3" t="s">
        <x:v>205</x:v>
      </x:c>
      <x:c r="H57" s="9" t="s">
        <x:v>261</x:v>
      </x:c>
      <x:c r="I57" s="3" t="s">
        <x:v>212</x:v>
      </x:c>
      <x:c r="J57" s="4">
        <x:v>45300.68</x:v>
      </x:c>
      <x:c r="K57" s="36">
        <x:v>1</x:v>
      </x:c>
      <x:c r="L57" s="4">
        <x:f t="shared" si="2"/>
        <x:v>45300.68</x:v>
      </x:c>
      <x:c r="M57" s="4">
        <x:f t="shared" si="3"/>
        <x:v>0</x:v>
      </x:c>
    </x:row>
    <x:row r="58" spans="1:13" x14ac:dyDescent="0.25">
      <x:c r="A58" s="3" t="s">
        <x:v>134</x:v>
      </x:c>
      <x:c r="B58" s="3" t="s">
        <x:v>9</x:v>
      </x:c>
      <x:c r="C58" s="3" t="s">
        <x:v>181</x:v>
      </x:c>
      <x:c r="D58" s="6" t="s">
        <x:v>302</x:v>
      </x:c>
      <x:c r="E58" s="7" t="s">
        <x:v>303</x:v>
      </x:c>
      <x:c r="F58" s="8" t="s">
        <x:v>304</x:v>
      </x:c>
      <x:c r="G58" s="3" t="s">
        <x:v>194</x:v>
      </x:c>
      <x:c r="H58" s="9" t="s">
        <x:v>57</x:v>
      </x:c>
      <x:c r="I58" s="3" t="s">
        <x:v>195</x:v>
      </x:c>
      <x:c r="J58" s="4">
        <x:v>35059.64</x:v>
      </x:c>
      <x:c r="K58" s="36">
        <x:v>0.25578717368846882</x:v>
      </x:c>
      <x:c r="L58" s="4">
        <x:f t="shared" si="2"/>
        <x:v>8967.81</x:v>
      </x:c>
      <x:c r="M58" s="4">
        <x:f t="shared" si="3"/>
        <x:v>26091.83</x:v>
      </x:c>
    </x:row>
    <x:row r="59" spans="1:13" s="28" customFormat="1" ht="24.8" customHeight="1" x14ac:dyDescent="0.25">
      <x:c r="A59" s="3" t="s">
        <x:v>134</x:v>
      </x:c>
      <x:c r="B59" s="3" t="s">
        <x:v>9</x:v>
      </x:c>
      <x:c r="C59" s="3" t="s">
        <x:v>68</x:v>
      </x:c>
      <x:c r="D59" s="6" t="s">
        <x:v>69</x:v>
      </x:c>
      <x:c r="E59" s="7" t="s">
        <x:v>70</x:v>
      </x:c>
      <x:c r="F59" s="8" t="s">
        <x:v>71</x:v>
      </x:c>
      <x:c r="G59" s="3" t="s">
        <x:v>72</x:v>
      </x:c>
      <x:c r="H59" s="9" t="s">
        <x:v>34</x:v>
      </x:c>
      <x:c r="I59" s="3" t="s">
        <x:v>195</x:v>
      </x:c>
      <x:c r="J59" s="4">
        <x:v>25282.22</x:v>
      </x:c>
      <x:c r="K59" s="36">
        <x:v>0.25578717368846882</x:v>
      </x:c>
      <x:c r="L59" s="4">
        <x:f t="shared" si="2"/>
        <x:v>6466.87</x:v>
      </x:c>
      <x:c r="M59" s="4">
        <x:f t="shared" si="3"/>
        <x:v>18815.350000000002</x:v>
      </x:c>
    </x:row>
    <x:row r="60" spans="1:13" ht="24.8" customHeight="1" x14ac:dyDescent="0.25">
      <x:c r="A60" s="3" t="s">
        <x:v>134</x:v>
      </x:c>
      <x:c r="B60" s="3" t="s">
        <x:v>9</x:v>
      </x:c>
      <x:c r="C60" s="3" t="s">
        <x:v>182</x:v>
      </x:c>
      <x:c r="D60" s="6" t="s">
        <x:v>305</x:v>
      </x:c>
      <x:c r="E60" s="7" t="s">
        <x:v>306</x:v>
      </x:c>
      <x:c r="F60" s="8" t="s">
        <x:v>214</x:v>
      </x:c>
      <x:c r="G60" s="3" t="s">
        <x:v>215</x:v>
      </x:c>
      <x:c r="H60" s="9" t="s">
        <x:v>19</x:v>
      </x:c>
      <x:c r="I60" s="3" t="s">
        <x:v>195</x:v>
      </x:c>
      <x:c r="J60" s="4">
        <x:v>15237.02</x:v>
      </x:c>
      <x:c r="K60" s="36">
        <x:v>1</x:v>
      </x:c>
      <x:c r="L60" s="4">
        <x:f t="shared" si="2"/>
        <x:v>15237.02</x:v>
      </x:c>
      <x:c r="M60" s="4">
        <x:f t="shared" si="3"/>
        <x:v>0</x:v>
      </x:c>
    </x:row>
    <x:row r="61" spans="1:13" s="28" customFormat="1" ht="24.8" customHeight="1" x14ac:dyDescent="0.25">
      <x:c r="A61" s="3" t="s">
        <x:v>134</x:v>
      </x:c>
      <x:c r="B61" s="3" t="s">
        <x:v>9</x:v>
      </x:c>
      <x:c r="C61" s="3" t="s">
        <x:v>91</x:v>
      </x:c>
      <x:c r="D61" s="6" t="s">
        <x:v>92</x:v>
      </x:c>
      <x:c r="E61" s="7" t="s">
        <x:v>93</x:v>
      </x:c>
      <x:c r="F61" s="8" t="s">
        <x:v>23</x:v>
      </x:c>
      <x:c r="G61" s="3" t="s">
        <x:v>33</x:v>
      </x:c>
      <x:c r="H61" s="9" t="s">
        <x:v>15</x:v>
      </x:c>
      <x:c r="I61" s="3" t="s">
        <x:v>196</x:v>
      </x:c>
      <x:c r="J61" s="4">
        <x:v>5326.63</x:v>
      </x:c>
      <x:c r="K61" s="36">
        <x:v>1</x:v>
      </x:c>
      <x:c r="L61" s="4">
        <x:f t="shared" si="2"/>
        <x:v>5326.63</x:v>
      </x:c>
      <x:c r="M61" s="4">
        <x:f t="shared" si="3"/>
        <x:v>0</x:v>
      </x:c>
    </x:row>
    <x:row r="62" spans="1:13" s="28" customFormat="1" ht="24.8" customHeight="1" x14ac:dyDescent="0.25">
      <x:c r="A62" s="21"/>
      <x:c r="B62" s="21"/>
      <x:c r="C62" s="21"/>
      <x:c r="D62" s="22"/>
      <x:c r="E62" s="23"/>
      <x:c r="F62" s="24"/>
      <x:c r="G62" s="21"/>
      <x:c r="H62" s="26"/>
      <x:c r="I62" s="41" t="s">
        <x:v>137</x:v>
      </x:c>
      <x:c r="J62" s="27">
        <x:f>SUM(J2:J61)</x:f>
        <x:v>68155806.339999989</x:v>
      </x:c>
      <x:c r="K62" s="40"/>
      <x:c r="L62" s="27">
        <x:f>SUM(L2:L61)</x:f>
        <x:v>61450357.970000021</x:v>
      </x:c>
      <x:c r="M62" s="27">
        <x:f>SUM(M2:M61)</x:f>
        <x:v>6705448.3699999982</x:v>
      </x:c>
    </x:row>
    <x:row r="63" spans="1:13" s="28" customFormat="1" ht="24.8" customHeight="1" x14ac:dyDescent="0.25">
      <x:c r="A63" s="21"/>
      <x:c r="B63" s="21"/>
      <x:c r="C63" s="21"/>
      <x:c r="D63" s="22"/>
      <x:c r="E63" s="23"/>
      <x:c r="F63" s="24"/>
      <x:c r="G63" s="21"/>
      <x:c r="H63" s="26"/>
      <x:c r="I63" s="21"/>
      <x:c r="J63" s="27"/>
      <x:c r="K63" s="40"/>
      <x:c r="L63" s="27"/>
      <x:c r="M63" s="27"/>
    </x:row>
    <x:row r="64" spans="1:13" ht="27.2" x14ac:dyDescent="0.25">
      <x:c r="A64" s="3" t="s">
        <x:v>134</x:v>
      </x:c>
      <x:c r="B64" s="3" t="s">
        <x:v>9</x:v>
      </x:c>
      <x:c r="C64" s="3" t="s">
        <x:v>29</x:v>
      </x:c>
      <x:c r="D64" s="6" t="s">
        <x:v>30</x:v>
      </x:c>
      <x:c r="E64" s="7" t="s">
        <x:v>31</x:v>
      </x:c>
      <x:c r="F64" s="8" t="s">
        <x:v>32</x:v>
      </x:c>
      <x:c r="G64" s="3" t="s">
        <x:v>33</x:v>
      </x:c>
      <x:c r="H64" s="9" t="s">
        <x:v>34</x:v>
      </x:c>
      <x:c r="I64" s="5" t="s">
        <x:v>312</x:v>
      </x:c>
      <x:c r="J64" s="4">
        <x:v>987050.64</x:v>
      </x:c>
      <x:c r="K64" s="36">
        <x:v>0.25578717368846882</x:v>
      </x:c>
      <x:c r="L64" s="4">
        <x:f>ROUND(J64*K64,2)</x:f>
        <x:v>252474.89</x:v>
      </x:c>
      <x:c r="M64" s="4">
        <x:f>J64-L64</x:f>
        <x:v>734575.75</x:v>
      </x:c>
    </x:row>
    <x:row r="65" spans="1:13" ht="27.2" x14ac:dyDescent="0.25">
      <x:c r="A65" s="5" t="s">
        <x:v>135</x:v>
      </x:c>
      <x:c r="B65" s="5" t="s">
        <x:v>35</x:v>
      </x:c>
      <x:c r="C65" s="5" t="s">
        <x:v>36</x:v>
      </x:c>
      <x:c r="D65" s="11" t="s">
        <x:v>37</x:v>
      </x:c>
      <x:c r="E65" s="7" t="s">
        <x:v>38</x:v>
      </x:c>
      <x:c r="F65" s="8" t="s">
        <x:v>32</x:v>
      </x:c>
      <x:c r="G65" s="5">
        <x:v>2009</x:v>
      </x:c>
      <x:c r="H65" s="12" t="s">
        <x:v>39</x:v>
      </x:c>
      <x:c r="I65" s="5" t="s">
        <x:v>312</x:v>
      </x:c>
      <x:c r="J65" s="4">
        <x:v>716379.73</x:v>
      </x:c>
      <x:c r="K65" s="36">
        <x:v>0</x:v>
      </x:c>
      <x:c r="L65" s="4">
        <x:f t="shared" ref="L65:L77" si="4">ROUND(J65*K65,2)</x:f>
        <x:v>0</x:v>
      </x:c>
      <x:c r="M65" s="4">
        <x:f t="shared" ref="M65:M77" si="5">J65-L65</x:f>
        <x:v>716379.73</x:v>
      </x:c>
    </x:row>
    <x:row r="66" spans="1:13" x14ac:dyDescent="0.25">
      <x:c r="A66" s="5" t="s">
        <x:v>135</x:v>
      </x:c>
      <x:c r="B66" s="3" t="s">
        <x:v>35</x:v>
      </x:c>
      <x:c r="C66" s="3" t="s">
        <x:v>308</x:v>
      </x:c>
      <x:c r="D66" s="6" t="s">
        <x:v>309</x:v>
      </x:c>
      <x:c r="E66" s="7" t="s">
        <x:v>310</x:v>
      </x:c>
      <x:c r="F66" s="8" t="s">
        <x:v>311</x:v>
      </x:c>
      <x:c r="G66" s="3" t="s">
        <x:v>215</x:v>
      </x:c>
      <x:c r="H66" s="9"/>
      <x:c r="I66" s="5" t="s">
        <x:v>312</x:v>
      </x:c>
      <x:c r="J66" s="4">
        <x:v>638728.63</x:v>
      </x:c>
      <x:c r="K66" s="36">
        <x:v>0</x:v>
      </x:c>
      <x:c r="L66" s="4">
        <x:f t="shared" si="4"/>
        <x:v>0</x:v>
      </x:c>
      <x:c r="M66" s="4">
        <x:f t="shared" si="5"/>
        <x:v>638728.63</x:v>
      </x:c>
    </x:row>
    <x:row r="67" spans="1:13" x14ac:dyDescent="0.25">
      <x:c r="A67" s="3" t="s">
        <x:v>134</x:v>
      </x:c>
      <x:c r="B67" s="3" t="s">
        <x:v>9</x:v>
      </x:c>
      <x:c r="C67" s="3" t="s">
        <x:v>49</x:v>
      </x:c>
      <x:c r="D67" s="6" t="s">
        <x:v>50</x:v>
      </x:c>
      <x:c r="E67" s="7" t="s">
        <x:v>51</x:v>
      </x:c>
      <x:c r="F67" s="8" t="s">
        <x:v>32</x:v>
      </x:c>
      <x:c r="G67" s="3" t="s">
        <x:v>52</x:v>
      </x:c>
      <x:c r="H67" s="9" t="s">
        <x:v>34</x:v>
      </x:c>
      <x:c r="I67" s="5" t="s">
        <x:v>312</x:v>
      </x:c>
      <x:c r="J67" s="4">
        <x:v>405910.52</x:v>
      </x:c>
      <x:c r="K67" s="36">
        <x:v>0.25578717368846882</x:v>
      </x:c>
      <x:c r="L67" s="4">
        <x:f t="shared" si="4"/>
        <x:v>103826.7</x:v>
      </x:c>
      <x:c r="M67" s="4">
        <x:f t="shared" si="5"/>
        <x:v>302083.82</x:v>
      </x:c>
    </x:row>
    <x:row r="68" spans="1:13" ht="12.6" customHeight="1" x14ac:dyDescent="0.25">
      <x:c r="A68" s="3" t="s">
        <x:v>134</x:v>
      </x:c>
      <x:c r="B68" s="3" t="s">
        <x:v>9</x:v>
      </x:c>
      <x:c r="C68" s="3" t="s">
        <x:v>53</x:v>
      </x:c>
      <x:c r="D68" s="6" t="s">
        <x:v>54</x:v>
      </x:c>
      <x:c r="E68" s="7" t="s">
        <x:v>55</x:v>
      </x:c>
      <x:c r="F68" s="8" t="s">
        <x:v>23</x:v>
      </x:c>
      <x:c r="G68" s="3" t="s">
        <x:v>56</x:v>
      </x:c>
      <x:c r="H68" s="13" t="s">
        <x:v>57</x:v>
      </x:c>
      <x:c r="I68" s="5" t="s">
        <x:v>312</x:v>
      </x:c>
      <x:c r="J68" s="4">
        <x:v>185287.52</x:v>
      </x:c>
      <x:c r="K68" s="36">
        <x:v>0.25578717368846882</x:v>
      </x:c>
      <x:c r="L68" s="4">
        <x:f t="shared" si="4"/>
        <x:v>47394.17</x:v>
      </x:c>
      <x:c r="M68" s="4">
        <x:f t="shared" si="5"/>
        <x:v>137893.34999999998</x:v>
      </x:c>
    </x:row>
    <x:row r="69" spans="1:13" x14ac:dyDescent="0.25">
      <x:c r="A69" s="3" t="s">
        <x:v>134</x:v>
      </x:c>
      <x:c r="B69" s="3" t="s">
        <x:v>9</x:v>
      </x:c>
      <x:c r="C69" s="3" t="s">
        <x:v>100</x:v>
      </x:c>
      <x:c r="D69" s="6" t="s">
        <x:v>101</x:v>
      </x:c>
      <x:c r="E69" s="7" t="s">
        <x:v>104</x:v>
      </x:c>
      <x:c r="F69" s="8" t="s">
        <x:v>103</x:v>
      </x:c>
      <x:c r="G69" s="3" t="s">
        <x:v>102</x:v>
      </x:c>
      <x:c r="H69" s="9" t="s">
        <x:v>34</x:v>
      </x:c>
      <x:c r="I69" s="5" t="s">
        <x:v>312</x:v>
      </x:c>
      <x:c r="J69" s="4">
        <x:v>130889.66</x:v>
      </x:c>
      <x:c r="K69" s="36">
        <x:v>0.25578717368846882</x:v>
      </x:c>
      <x:c r="L69" s="4">
        <x:f t="shared" si="4"/>
        <x:v>33479.9</x:v>
      </x:c>
      <x:c r="M69" s="4">
        <x:f t="shared" si="5"/>
        <x:v>97409.760000000009</x:v>
      </x:c>
    </x:row>
    <x:row r="70" spans="1:13" x14ac:dyDescent="0.25">
      <x:c r="A70" s="3" t="s">
        <x:v>134</x:v>
      </x:c>
      <x:c r="B70" s="3" t="s">
        <x:v>9</x:v>
      </x:c>
      <x:c r="C70" s="3" t="s">
        <x:v>62</x:v>
      </x:c>
      <x:c r="D70" s="6" t="s">
        <x:v>63</x:v>
      </x:c>
      <x:c r="E70" s="7" t="s">
        <x:v>64</x:v>
      </x:c>
      <x:c r="F70" s="8" t="s">
        <x:v>32</x:v>
      </x:c>
      <x:c r="G70" s="3" t="s">
        <x:v>65</x:v>
      </x:c>
      <x:c r="H70" s="9" t="s">
        <x:v>34</x:v>
      </x:c>
      <x:c r="I70" s="5" t="s">
        <x:v>312</x:v>
      </x:c>
      <x:c r="J70" s="4">
        <x:v>47978.869999999995</x:v>
      </x:c>
      <x:c r="K70" s="36">
        <x:v>0.25578717368846882</x:v>
      </x:c>
      <x:c r="L70" s="4">
        <x:f t="shared" si="4"/>
        <x:v>12272.38</x:v>
      </x:c>
      <x:c r="M70" s="4">
        <x:f t="shared" si="5"/>
        <x:v>35706.49</x:v>
      </x:c>
    </x:row>
    <x:row r="71" spans="1:13" ht="27.2" x14ac:dyDescent="0.25">
      <x:c r="A71" s="3" t="s">
        <x:v>134</x:v>
      </x:c>
      <x:c r="B71" s="3" t="s">
        <x:v>9</x:v>
      </x:c>
      <x:c r="C71" s="3" t="s">
        <x:v>128</x:v>
      </x:c>
      <x:c r="D71" s="6" t="s">
        <x:v>66</x:v>
      </x:c>
      <x:c r="E71" s="7" t="s">
        <x:v>314</x:v>
      </x:c>
      <x:c r="F71" s="8" t="s">
        <x:v>214</x:v>
      </x:c>
      <x:c r="G71" s="3" t="s">
        <x:v>67</x:v>
      </x:c>
      <x:c r="H71" s="9" t="s">
        <x:v>34</x:v>
      </x:c>
      <x:c r="I71" s="5" t="s">
        <x:v>312</x:v>
      </x:c>
      <x:c r="J71" s="4">
        <x:v>44209.65</x:v>
      </x:c>
      <x:c r="K71" s="36">
        <x:v>0.25578717368846882</x:v>
      </x:c>
      <x:c r="L71" s="4">
        <x:f t="shared" si="4"/>
        <x:v>11308.26</x:v>
      </x:c>
      <x:c r="M71" s="4">
        <x:f t="shared" si="5"/>
        <x:v>32901.39</x:v>
      </x:c>
    </x:row>
    <x:row r="72" spans="1:13" x14ac:dyDescent="0.25">
      <x:c r="A72" s="3" t="s">
        <x:v>134</x:v>
      </x:c>
      <x:c r="B72" s="3" t="s">
        <x:v>9</x:v>
      </x:c>
      <x:c r="C72" s="3" t="s">
        <x:v>73</x:v>
      </x:c>
      <x:c r="D72" s="6" t="s">
        <x:v>74</x:v>
      </x:c>
      <x:c r="E72" s="7" t="s">
        <x:v>75</x:v>
      </x:c>
      <x:c r="F72" s="8" t="s">
        <x:v>32</x:v>
      </x:c>
      <x:c r="G72" s="3" t="s">
        <x:v>76</x:v>
      </x:c>
      <x:c r="H72" s="9" t="s">
        <x:v>34</x:v>
      </x:c>
      <x:c r="I72" s="5" t="s">
        <x:v>312</x:v>
      </x:c>
      <x:c r="J72" s="4">
        <x:v>8860.66</x:v>
      </x:c>
      <x:c r="K72" s="36">
        <x:v>0.25578717368846882</x:v>
      </x:c>
      <x:c r="L72" s="4">
        <x:f t="shared" si="4"/>
        <x:v>2266.44</x:v>
      </x:c>
      <x:c r="M72" s="4">
        <x:f t="shared" si="5"/>
        <x:v>6594.2199999999993</x:v>
      </x:c>
    </x:row>
    <x:row r="73" spans="1:13" ht="27.2" x14ac:dyDescent="0.25">
      <x:c r="A73" s="3" t="s">
        <x:v>134</x:v>
      </x:c>
      <x:c r="B73" s="3" t="s">
        <x:v>9</x:v>
      </x:c>
      <x:c r="C73" s="3" t="s">
        <x:v>77</x:v>
      </x:c>
      <x:c r="D73" s="6" t="s">
        <x:v>78</x:v>
      </x:c>
      <x:c r="E73" s="7" t="s">
        <x:v>79</x:v>
      </x:c>
      <x:c r="F73" s="8" t="s">
        <x:v>80</x:v>
      </x:c>
      <x:c r="G73" s="3" t="s">
        <x:v>52</x:v>
      </x:c>
      <x:c r="H73" s="9" t="s">
        <x:v>34</x:v>
      </x:c>
      <x:c r="I73" s="5" t="s">
        <x:v>312</x:v>
      </x:c>
      <x:c r="J73" s="4">
        <x:v>8280.5499999999993</x:v>
      </x:c>
      <x:c r="K73" s="36">
        <x:v>0.25578717368846882</x:v>
      </x:c>
      <x:c r="L73" s="4">
        <x:f t="shared" si="4"/>
        <x:v>2118.06</x:v>
      </x:c>
      <x:c r="M73" s="4">
        <x:f t="shared" si="5"/>
        <x:v>6162.49</x:v>
      </x:c>
    </x:row>
    <x:row r="74" spans="1:13" x14ac:dyDescent="0.25">
      <x:c r="A74" s="3" t="s">
        <x:v>134</x:v>
      </x:c>
      <x:c r="B74" s="3" t="s">
        <x:v>9</x:v>
      </x:c>
      <x:c r="C74" s="3" t="s">
        <x:v>81</x:v>
      </x:c>
      <x:c r="D74" s="6" t="s">
        <x:v>82</x:v>
      </x:c>
      <x:c r="E74" s="7" t="s">
        <x:v>83</x:v>
      </x:c>
      <x:c r="F74" s="8" t="s">
        <x:v>32</x:v>
      </x:c>
      <x:c r="G74" s="3" t="s">
        <x:v>33</x:v>
      </x:c>
      <x:c r="H74" s="9" t="s">
        <x:v>34</x:v>
      </x:c>
      <x:c r="I74" s="5" t="s">
        <x:v>312</x:v>
      </x:c>
      <x:c r="J74" s="4">
        <x:v>8279.06</x:v>
      </x:c>
      <x:c r="K74" s="36">
        <x:v>0.25578717368846882</x:v>
      </x:c>
      <x:c r="L74" s="4">
        <x:f t="shared" si="4"/>
        <x:v>2117.6799999999998</x:v>
      </x:c>
      <x:c r="M74" s="4">
        <x:f t="shared" si="5"/>
        <x:v>6161.3799999999992</x:v>
      </x:c>
    </x:row>
    <x:row r="75" spans="1:13" x14ac:dyDescent="0.25">
      <x:c r="A75" s="3" t="s">
        <x:v>134</x:v>
      </x:c>
      <x:c r="B75" s="3" t="s">
        <x:v>9</x:v>
      </x:c>
      <x:c r="C75" s="3" t="s">
        <x:v>84</x:v>
      </x:c>
      <x:c r="D75" s="6" t="s">
        <x:v>85</x:v>
      </x:c>
      <x:c r="E75" s="7" t="s">
        <x:v>86</x:v>
      </x:c>
      <x:c r="F75" s="8" t="s">
        <x:v>32</x:v>
      </x:c>
      <x:c r="G75" s="3" t="s">
        <x:v>33</x:v>
      </x:c>
      <x:c r="H75" s="9" t="s">
        <x:v>34</x:v>
      </x:c>
      <x:c r="I75" s="5" t="s">
        <x:v>312</x:v>
      </x:c>
      <x:c r="J75" s="4">
        <x:v>8129.36</x:v>
      </x:c>
      <x:c r="K75" s="36">
        <x:v>0.25578717368846882</x:v>
      </x:c>
      <x:c r="L75" s="4">
        <x:f t="shared" si="4"/>
        <x:v>2079.39</x:v>
      </x:c>
      <x:c r="M75" s="4">
        <x:f t="shared" si="5"/>
        <x:v>6049.9699999999993</x:v>
      </x:c>
    </x:row>
    <x:row r="76" spans="1:13" x14ac:dyDescent="0.25">
      <x:c r="A76" s="3" t="s">
        <x:v>134</x:v>
      </x:c>
      <x:c r="B76" s="3" t="s">
        <x:v>9</x:v>
      </x:c>
      <x:c r="C76" s="3" t="s">
        <x:v>87</x:v>
      </x:c>
      <x:c r="D76" s="6" t="s">
        <x:v>88</x:v>
      </x:c>
      <x:c r="E76" s="7" t="s">
        <x:v>89</x:v>
      </x:c>
      <x:c r="F76" s="8" t="s">
        <x:v>32</x:v>
      </x:c>
      <x:c r="G76" s="3" t="s">
        <x:v>90</x:v>
      </x:c>
      <x:c r="H76" s="9" t="s">
        <x:v>34</x:v>
      </x:c>
      <x:c r="I76" s="5" t="s">
        <x:v>312</x:v>
      </x:c>
      <x:c r="J76" s="4">
        <x:v>5638.1</x:v>
      </x:c>
      <x:c r="K76" s="36">
        <x:v>0.25578717368846882</x:v>
      </x:c>
      <x:c r="L76" s="4">
        <x:f t="shared" si="4"/>
        <x:v>1442.15</x:v>
      </x:c>
      <x:c r="M76" s="4">
        <x:f t="shared" si="5"/>
        <x:v>4195.9500000000007</x:v>
      </x:c>
    </x:row>
    <x:row r="77" spans="1:13" ht="27.2" x14ac:dyDescent="0.25">
      <x:c r="A77" s="3" t="s">
        <x:v>134</x:v>
      </x:c>
      <x:c r="B77" s="3" t="s">
        <x:v>9</x:v>
      </x:c>
      <x:c r="C77" s="3" t="s">
        <x:v>94</x:v>
      </x:c>
      <x:c r="D77" s="6" t="s">
        <x:v>95</x:v>
      </x:c>
      <x:c r="E77" s="7" t="s">
        <x:v>96</x:v>
      </x:c>
      <x:c r="F77" s="8" t="s">
        <x:v>80</x:v>
      </x:c>
      <x:c r="G77" s="3" t="s">
        <x:v>97</x:v>
      </x:c>
      <x:c r="H77" s="9" t="s">
        <x:v>34</x:v>
      </x:c>
      <x:c r="I77" s="5" t="s">
        <x:v>312</x:v>
      </x:c>
      <x:c r="J77" s="4">
        <x:v>4582.75</x:v>
      </x:c>
      <x:c r="K77" s="36">
        <x:v>0.25578717368846882</x:v>
      </x:c>
      <x:c r="L77" s="4">
        <x:f t="shared" si="4"/>
        <x:v>1172.21</x:v>
      </x:c>
      <x:c r="M77" s="4">
        <x:f t="shared" si="5"/>
        <x:v>3410.54</x:v>
      </x:c>
    </x:row>
    <x:row r="78" spans="1:13" x14ac:dyDescent="0.25">
      <x:c r="A78" s="21"/>
      <x:c r="B78" s="21"/>
      <x:c r="C78" s="21"/>
      <x:c r="D78" s="22"/>
      <x:c r="E78" s="23"/>
      <x:c r="F78" s="24"/>
      <x:c r="G78" s="21"/>
      <x:c r="H78" s="26"/>
      <x:c r="I78" s="25"/>
      <x:c r="J78" s="27"/>
    </x:row>
    <x:row r="79" spans="1:13" x14ac:dyDescent="0.25">
      <x:c r="I79" s="41" t="s">
        <x:v>138</x:v>
      </x:c>
      <x:c r="J79" s="17">
        <x:f>SUM(J64:J77)</x:f>
        <x:v>3200205.7</x:v>
      </x:c>
      <x:c r="L79" s="17">
        <x:f>SUM(L64:L77)</x:f>
        <x:v>471952.2300000001</x:v>
      </x:c>
      <x:c r="M79" s="17">
        <x:f>SUM(M64:M77)</x:f>
        <x:v>2728253.4700000011</x:v>
      </x:c>
    </x:row>
    <x:row r="80" spans="1:13" x14ac:dyDescent="0.25">
      <x:c r="I80" s="41"/>
      <x:c r="L80" s="17"/>
      <x:c r="M80" s="17"/>
    </x:row>
    <x:row r="81" spans="4:13" ht="14.3" thickBot="1" x14ac:dyDescent="0.3">
      <x:c r="I81" s="41"/>
      <x:c r="J81" s="42">
        <x:f>J62+J79</x:f>
        <x:v>71356012.039999992</x:v>
      </x:c>
      <x:c r="L81" s="42">
        <x:f>L62+L79</x:f>
        <x:v>61922310.200000018</x:v>
      </x:c>
      <x:c r="M81" s="42">
        <x:f>M62+M79</x:f>
        <x:v>9433701.8399999999</x:v>
      </x:c>
    </x:row>
    <x:row r="82" spans="4:13" ht="14.3" thickTop="1" x14ac:dyDescent="0.25"/>
    <x:row r="83" spans="4:13" x14ac:dyDescent="0.25">
      <x:c r="D83" s="39" t="s">
        <x:v>139</x:v>
      </x:c>
    </x:row>
  </x:sheetData>
  <x:sortState xmlns:xlrd2="http://schemas.microsoft.com/office/spreadsheetml/2017/richdata2" ref="A42:M76">
    <x:sortCondition ref="I42"/>
  </x:sortState>
  <x:printOptions horizontalCentered="1"/>
  <x:pageMargins left="0.7" right="0.7" top="2.5" bottom="0.75" header="1.5" footer="0.3"/>
  <x:pageSetup scale="53" fitToHeight="0" orientation="landscape" horizontalDpi="1200" verticalDpi="1200" r:id="rId1"/>
  <x:headerFooter alignWithMargins="0">
    <x:oddHeader>&amp;C
&amp;"Arial,Bold"
2025 RATE CASE
ONCOR ELECTRIC DELIVERY COMPANY LLC
PLANT HELD FOR FUTURE USE
FOR THE TEST YEAR ENDING DECEMBER 31, 2024
SPONSOR: W. A. LEDBETTER&amp;R&amp;"Arial,Bold"WP/II-B-6/01
Page &amp;P of &amp;N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2025-04-03T23:02:59.0000000Z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/>
</file>