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879C0F7E-4F6E-4FC9-84BC-9F829D8424DE}" xr6:coauthVersionLast="47" xr6:coauthVersionMax="47" xr10:uidLastSave="{00000000-0000-0000-0000-000000000000}"/>
  <x:bookViews>
    <x:workbookView xWindow="-110" yWindow="-110" windowWidth="19420" windowHeight="10300" xr2:uid="{36266E36-EB45-4140-A909-A513CC03804F}"/>
  </x:bookViews>
  <x:sheets>
    <x:sheet name="WP_II-B-1_15" sheetId="1" r:id="rId1"/>
  </x:sheets>
  <x:definedNames>
    <x:definedName name="_xlnm.Print_Area" localSheetId="0">'WP_II-B-1_15'!$A$1:$K$45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15" i="1" l="1"/>
  <x:c r="J9" i="1"/>
  <x:c r="I9" i="1"/>
  <x:c r="D17" i="1" l="1"/>
  <x:c r="C17" i="1" s="1"/>
  <x:c r="G37" i="1"/>
  <x:c r="G36" i="1"/>
  <x:c r="G39" i="1" l="1"/>
  <x:c r="I18" i="1" l="1"/>
  <x:c r="I19" i="1" s="1"/>
  <x:c r="J18" i="1"/>
  <x:c r="J19" i="1" s="1"/>
  <x:c r="E23" i="1"/>
  <x:c r="D19" i="1"/>
  <x:c r="C19" i="1"/>
  <x:c r="J17" i="1"/>
  <x:c r="I17" i="1"/>
  <x:c r="E19" i="1" l="1"/>
  <x:c r="K18" i="1"/>
</x:calcChain>
</file>

<file path=xl/sharedStrings.xml><?xml version="1.0" encoding="utf-8"?>
<sst xmlns="http://schemas.openxmlformats.org/spreadsheetml/2006/main" count="82" uniqueCount="60">
  <si>
    <t>Description</t>
  </si>
  <si>
    <t>Incentive Plans - Annual</t>
  </si>
  <si>
    <t>Long Term Incentive Compen Pln</t>
  </si>
  <si>
    <t>Supplemental Retirement Plan</t>
  </si>
  <si>
    <t>Other Employee Benefits</t>
  </si>
  <si>
    <t>Plant Account 1161000  EPA - Dkt53601 disallow contra</t>
  </si>
  <si>
    <t>Expense Code</t>
  </si>
  <si>
    <t>114</t>
  </si>
  <si>
    <t>325</t>
  </si>
  <si>
    <t>562</t>
  </si>
  <si>
    <t>590</t>
  </si>
  <si>
    <t xml:space="preserve"> </t>
  </si>
  <si>
    <t>Project</t>
  </si>
  <si>
    <t>Total</t>
  </si>
  <si>
    <t>YEAR2022</t>
  </si>
  <si>
    <t>Vintage Year 2022</t>
  </si>
  <si>
    <t>YEAR2023</t>
  </si>
  <si>
    <t>Vintage Year 2023</t>
  </si>
  <si>
    <t>YR17TO21</t>
  </si>
  <si>
    <t>YEAR 2017 TO 2021</t>
  </si>
  <si>
    <t>Short-term</t>
  </si>
  <si>
    <t>Long-term</t>
  </si>
  <si>
    <t>Financially-based</t>
  </si>
  <si>
    <t>Non-financially based predicated on a financial trigger</t>
  </si>
  <si>
    <t>Incentive comp disallowance 2017 through 2021</t>
  </si>
  <si>
    <t>Docket No. 53601 (2022 rate case) reflected a test year ending December 31, 2021.  (Previous rate case Docket No. 46957 (2017 rate case) reflected a test year ending December 31, 2016.)</t>
  </si>
  <si>
    <t>Business Unit</t>
  </si>
  <si>
    <t>TRAN (TRN)</t>
  </si>
  <si>
    <t>DIST (ESD)</t>
  </si>
  <si>
    <t>Account 4031799</t>
  </si>
  <si>
    <t>Oncor Electric Delivery Company LLC</t>
  </si>
  <si>
    <t>1</t>
  </si>
  <si>
    <t>2</t>
  </si>
  <si>
    <t>Note</t>
  </si>
  <si>
    <t>3</t>
  </si>
  <si>
    <t>Docket No. 53601 (2022 rate case with a test year ending December 31, 2021) Order on Rehearing Approved June 30, 2023</t>
  </si>
  <si>
    <t>Page 1 of 1</t>
  </si>
  <si>
    <t>O&amp;M Expense - Account 920 (project DISALLO2 - Docket No. 53601 Disallowed Costs)</t>
  </si>
  <si>
    <t>O&amp;M Expense - Account 926 (project DISALLO2 - Docket No. 53601 Disallowed Costs)</t>
  </si>
  <si>
    <t>Other Deductions - Account 4265100</t>
  </si>
  <si>
    <t>Note 1 - Docket No. 53601 Order on Rehearing, approved June 30, 2023, disallowances for 2017 through 2021 (Project YR17TO21)</t>
  </si>
  <si>
    <t>Project YR17TO21</t>
  </si>
  <si>
    <t>Sponsor:  W. Alan Ledbetter</t>
  </si>
  <si>
    <t>Docket No. 53601 Disallowances of Capitalized Costs for Financially-Based Incentive Compensation, Non-Qualified (Supplemental) Retirement Plan, &amp; Executive Perquisites</t>
  </si>
  <si>
    <t>Offset to expense (debit) in the following accounts for the 2023 write-off of Docket No. 53601 disallowances:</t>
  </si>
  <si>
    <t>Amortization (depreciation expense reduction) was effective with Docket No. 53601 rates (began May 1, 2023).</t>
  </si>
  <si>
    <t>Project Description</t>
  </si>
  <si>
    <t>Plant Account 1161000  EPA - Dkt53601 disallow contra balance (credit, reduction to plant) by expense code and function:</t>
  </si>
  <si>
    <t>Reference WP/II-E-1/04 Amortization of Disallowance.  Workpaper provides unamortized balance at 12-31-2024 and annual amortization (reduction to depreciation expense) based on the 15-year life.</t>
  </si>
  <si>
    <t>FERC Plant Account 1161000 EPA - Dkt53601 disallow contra</t>
  </si>
  <si>
    <t>years</t>
  </si>
  <si>
    <t>Note 2 - 2022 and YTD March 31, 2023 reflect post test-year 2021.  PURA Sec. 36.067 Consideration of Compensation and Benefit Expenses effective May 5, 2023.</t>
  </si>
  <si>
    <t>As a result of Docket No. 53601 disallowance of capitalized costs, there was a corresponding reduction in annual depreciation expense which was based on the 15-year life as shown in Docket No. 53601, Item No. 914:</t>
  </si>
  <si>
    <t>WP/II-B-1/15 Docket No. 53601 Disallowance Plant A1161000</t>
  </si>
  <si>
    <t>The Docket No. 53601 disallowance (contra net plant asset) at December 31, 2024 is included in Schedule II-B-3 Communication Equipment and II-B-5 Accumulated Depreciation for Communication Equipment Account 397.3.</t>
  </si>
  <si>
    <t>Note 3 - Docket No. 53601 (2022 rate case) Commission Number Run (Item No. 914) reflected the disallowances of capitalized plant as a general reduction to plant.  The related annual depreciation reduction reflected an annual rate of 6.67% (15-year life) which was approved for FERC general plant account 397 Communication Equipment in Docket No. 53601 Order on Rehearing.</t>
  </si>
  <si>
    <t>Finding of Fact No. 181</t>
  </si>
  <si>
    <t>Finding of Fact No. 182</t>
  </si>
  <si>
    <t>Finding of Fact No. 136</t>
  </si>
  <si>
    <t>Docket No. 53601 Finding of Fact No. 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</si>
</sst>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&quot;$&quot;#,##0.00"/>
    <numFmt numFmtId="165" formatCode="#,##0.00;[Red]#,##0.00"/>
    <numFmt numFmtId="166" formatCode="0.00_);[Red]\(0.00\)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u val="singleAccounting"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40" fontId="2" fillId="0" borderId="0" xfId="0" applyNumberFormat="1" applyFont="1"/>
    <xf numFmtId="40" fontId="3" fillId="0" borderId="0" xfId="0" applyNumberFormat="1" applyFont="1"/>
    <xf numFmtId="44" fontId="3" fillId="0" borderId="0" xfId="2" applyFont="1" applyFill="1"/>
    <xf numFmtId="40" fontId="2" fillId="0" borderId="0" xfId="0" applyNumberFormat="1" applyFont="1" applyAlignment="1">
      <alignment horizontal="left"/>
    </xf>
    <xf numFmtId="40" fontId="2" fillId="0" borderId="0" xfId="0" applyNumberFormat="1" applyFont="1" applyAlignment="1">
      <alignment horizontal="center" wrapText="1"/>
    </xf>
    <xf numFmtId="40" fontId="2" fillId="0" borderId="0" xfId="0" quotePrefix="1" applyNumberFormat="1" applyFont="1" applyAlignment="1">
      <alignment horizontal="center" wrapText="1"/>
    </xf>
    <xf numFmtId="44" fontId="2" fillId="0" borderId="0" xfId="2" applyFont="1" applyFill="1" applyBorder="1" applyAlignment="1">
      <alignment horizontal="left"/>
    </xf>
    <xf numFmtId="40" fontId="2" fillId="0" borderId="0" xfId="0" applyNumberFormat="1" applyFont="1" applyAlignment="1">
      <alignment horizontal="center"/>
    </xf>
    <xf numFmtId="40" fontId="2" fillId="0" borderId="0" xfId="0" quotePrefix="1" applyNumberFormat="1" applyFont="1" applyAlignment="1">
      <alignment horizontal="left"/>
    </xf>
    <xf numFmtId="40" fontId="2" fillId="0" borderId="1" xfId="0" applyNumberFormat="1" applyFont="1" applyBorder="1" applyAlignment="1">
      <alignment horizontal="center" wrapText="1"/>
    </xf>
    <xf numFmtId="40" fontId="2" fillId="0" borderId="1" xfId="0" applyNumberFormat="1" applyFont="1" applyBorder="1" applyAlignment="1">
      <alignment horizontal="center"/>
    </xf>
    <xf numFmtId="40" fontId="2" fillId="0" borderId="1" xfId="0" applyNumberFormat="1" applyFont="1" applyBorder="1"/>
    <xf numFmtId="40" fontId="3" fillId="0" borderId="0" xfId="0" applyNumberFormat="1" applyFont="1" applyAlignment="1">
      <alignment horizontal="center"/>
    </xf>
    <xf numFmtId="44" fontId="3" fillId="0" borderId="0" xfId="2" applyFont="1"/>
    <xf numFmtId="44" fontId="2" fillId="0" borderId="0" xfId="2" applyFont="1" applyFill="1"/>
    <xf numFmtId="8" fontId="2" fillId="0" borderId="2" xfId="0" applyNumberFormat="1" applyFont="1" applyBorder="1" applyAlignment="1">
      <alignment horizontal="center"/>
    </xf>
    <xf numFmtId="8" fontId="2" fillId="0" borderId="2" xfId="0" applyNumberFormat="1" applyFont="1" applyBorder="1"/>
    <xf numFmtId="44" fontId="2" fillId="0" borderId="2" xfId="2" applyFont="1" applyFill="1" applyBorder="1"/>
    <xf numFmtId="164" fontId="2" fillId="0" borderId="0" xfId="0" applyNumberFormat="1" applyFont="1"/>
    <xf numFmtId="44" fontId="2" fillId="0" borderId="0" xfId="2" applyFont="1" applyFill="1" applyBorder="1"/>
    <xf numFmtId="44" fontId="3" fillId="0" borderId="0" xfId="2" applyFont="1" applyFill="1" applyAlignment="1">
      <alignment horizontal="right"/>
    </xf>
    <xf numFmtId="165" fontId="3" fillId="0" borderId="0" xfId="0" applyNumberFormat="1" applyFont="1"/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44" fontId="4" fillId="0" borderId="0" xfId="2" applyFont="1" applyFill="1" applyAlignment="1">
      <alignment horizontal="center"/>
    </xf>
    <xf numFmtId="165" fontId="3" fillId="0" borderId="0" xfId="0" applyNumberFormat="1" applyFont="1" applyAlignment="1">
      <alignment horizontal="right"/>
    </xf>
    <xf numFmtId="44" fontId="3" fillId="0" borderId="3" xfId="2" applyFont="1" applyFill="1" applyBorder="1"/>
    <xf numFmtId="166" fontId="2" fillId="0" borderId="0" xfId="0" applyNumberFormat="1" applyFont="1"/>
    <xf numFmtId="44" fontId="3" fillId="0" borderId="0" xfId="2" applyFont="1" applyFill="1" applyBorder="1"/>
    <xf numFmtId="40" fontId="3" fillId="0" borderId="3" xfId="0" applyNumberFormat="1" applyFont="1" applyBorder="1" applyAlignment="1">
      <alignment horizontal="center"/>
    </xf>
    <xf numFmtId="43" fontId="3" fillId="0" borderId="0" xfId="1" applyFont="1" applyFill="1"/>
    <xf numFmtId="43" fontId="3" fillId="0" borderId="3" xfId="1" applyFont="1" applyFill="1" applyBorder="1"/>
    <xf numFmtId="8" fontId="3" fillId="0" borderId="0" xfId="0" applyNumberFormat="1" applyFont="1"/>
    <xf numFmtId="167" fontId="3" fillId="0" borderId="0" xfId="1" applyNumberFormat="1" applyFont="1" applyFill="1"/>
    <xf numFmtId="0" fontId="5" fillId="0" borderId="0" xfId="0" applyFont="1"/>
    <xf numFmtId="4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4" fontId="5" fillId="0" borderId="0" xfId="0" applyNumberFormat="1" applyFont="1"/>
    <xf numFmtId="40" fontId="3" fillId="0" borderId="0" xfId="0" applyNumberFormat="1" applyFont="1" applyFill="1" applyAlignment="1">
      <alignment horizontal="center"/>
    </xf>
    <xf numFmtId="40" fontId="3" fillId="0" borderId="0" xfId="0" applyNumberFormat="1" applyFont="1" applyFill="1"/>
    <xf numFmtId="44" fontId="3" fillId="2" borderId="0" xfId="2" applyFont="1" applyFill="1"/>
    <xf numFmtId="0" fontId="6" fillId="0" borderId="0" xfId="0" applyFont="1"/>
    <xf numFmtId="165" fontId="3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40" fontId="3" fillId="0" borderId="0" xfId="0" quotePrefix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44" fontId="3" fillId="0" borderId="0" xfId="2" applyFont="1" applyFill="1" applyAlignment="1">
      <alignment horizontal="right" vertical="center"/>
    </xf>
    <xf numFmtId="43" fontId="5" fillId="0" borderId="0" xfId="1" applyFont="1"/>
    <xf numFmtId="43" fontId="5" fillId="0" borderId="3" xfId="1" applyFont="1" applyBorder="1"/>
    <xf numFmtId="0" fontId="5" fillId="0" borderId="0" xfId="0" applyFont="1" applyAlignment="1">
      <alignment horizontal="left" indent="1"/>
    </xf>
    <xf numFmtId="44" fontId="3" fillId="0" borderId="0" xfId="2" applyFont="1" applyFill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5" fillId="0" borderId="0" xfId="0" applyFont="1" applyFill="1" applyAlignment="1">
      <alignment horizontal="right"/>
    </xf>
    <xf numFmtId="0" fontId="8" fillId="0" borderId="0" xfId="0" applyFont="1"/>
    <xf numFmtId="40" fontId="3" fillId="0" borderId="0" xfId="0" applyNumberFormat="1" applyFont="1" applyBorder="1" applyAlignment="1">
      <alignment horizontal="center"/>
    </xf>
    <xf numFmtId="44" fontId="2" fillId="0" borderId="1" xfId="2" applyFont="1" applyFill="1" applyBorder="1" applyAlignment="1">
      <alignment horizontal="center"/>
    </xf>
    <xf numFmtId="40" fontId="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40" fontId="3" fillId="0" borderId="0" xfId="0" applyNumberFormat="1" applyFont="1" applyFill="1" applyAlignment="1">
      <alignment wrapText="1"/>
    </xf>
    <xf numFmtId="0" fontId="5" fillId="0" borderId="0" xfId="0" applyFont="1" applyFill="1" applyAlignment="1">
      <alignment wrapText="1"/>
    </xf>
    <xf numFmtId="44" fontId="3" fillId="0" borderId="0" xfId="2" applyFont="1" applyFill="1" applyAlignment="1">
      <alignment vertical="center" wrapText="1"/>
    </xf>
    <xf numFmtId="0" fontId="0" fillId="0" borderId="0" xfId="0" applyAlignment="1">
      <alignment vertical="center" wrapText="1"/>
    </xf>
    <xf numFmtId="44" fontId="3" fillId="0" borderId="0" xfId="2" applyFont="1" applyFill="1" applyAlignment="1">
      <alignment wrapText="1"/>
    </xf>
    <xf numFmtId="0" fontId="0" fillId="0" borderId="0" xfId="0" applyAlignment="1">
      <alignment wrapText="1"/>
    </xf>
  </cellXfs>
  <cellStyles count="4">
    <cellStyle name="Comma" xfId="1" builtinId="3"/>
    <cellStyle name="Comma 2" xfId="3" xr:uid="{90070BF7-EB6D-441B-9EB8-D9058A0985C4}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D1B39D-3022-49C4-861D-349AA0F6A579}" mc:Ignorable="x14ac xr xr2 xr3">
  <x:sheetPr>
    <x:pageSetUpPr fitToPage="1"/>
  </x:sheetPr>
  <x:dimension ref="A1:M45"/>
  <x:sheetViews>
    <x:sheetView tabSelected="1" zoomScaleNormal="100" workbookViewId="0">
      <x:selection activeCell="J4" sqref="J4"/>
    </x:sheetView>
  </x:sheetViews>
  <x:sheetFormatPr defaultRowHeight="10" x14ac:dyDescent="0.2"/>
  <x:cols>
    <x:col min="1" max="1" width="11.6328125" style="35" customWidth="1"/>
    <x:col min="2" max="7" width="17.26953125" style="35" customWidth="1"/>
    <x:col min="8" max="8" width="6.6328125" style="44" customWidth="1"/>
    <x:col min="9" max="10" width="16.90625" style="35" customWidth="1"/>
    <x:col min="11" max="11" width="14.6328125" style="35" customWidth="1"/>
    <x:col min="12" max="12" width="8.7265625" style="35"/>
    <x:col min="13" max="13" width="12.26953125" style="35" bestFit="1" customWidth="1"/>
    <x:col min="14" max="16384" width="8.7265625" style="35"/>
  </x:cols>
  <x:sheetData>
    <x:row r="1" spans="1:11" ht="10.5" x14ac:dyDescent="0.25">
      <x:c r="A1" s="42" t="s">
        <x:v>30</x:v>
      </x:c>
      <x:c r="K1" s="55" t="s">
        <x:v>53</x:v>
      </x:c>
    </x:row>
    <x:row r="2" spans="1:11" ht="10.5" x14ac:dyDescent="0.25">
      <x:c r="A2" s="42" t="s">
        <x:v>43</x:v>
      </x:c>
      <x:c r="K2" s="48" t="s">
        <x:v>36</x:v>
      </x:c>
    </x:row>
    <x:row r="3" spans="1:11" ht="10.5" x14ac:dyDescent="0.25">
      <x:c r="A3" s="42" t="s">
        <x:v>35</x:v>
      </x:c>
    </x:row>
    <x:row r="4" spans="1:11" ht="10.5" x14ac:dyDescent="0.25">
      <x:c r="A4" s="42" t="s">
        <x:v>49</x:v>
      </x:c>
    </x:row>
    <x:row r="5" spans="1:11" ht="10.5" x14ac:dyDescent="0.25">
      <x:c r="A5" s="42" t="s">
        <x:v>42</x:v>
      </x:c>
    </x:row>
    <x:row r="6" spans="1:11" ht="10.5" x14ac:dyDescent="0.25">
      <x:c r="A6" s="4"/>
      <x:c r="B6" s="1"/>
      <x:c r="C6" s="2"/>
      <x:c r="D6" s="2"/>
      <x:c r="E6" s="2"/>
      <x:c r="F6" s="2"/>
      <x:c r="G6" s="1"/>
      <x:c r="H6" s="13"/>
      <x:c r="I6" s="3"/>
      <x:c r="J6" s="3"/>
    </x:row>
    <x:row r="7" spans="1:11" ht="31.5" x14ac:dyDescent="0.25">
      <x:c r="A7" s="4"/>
      <x:c r="B7" s="8" t="s">
        <x:v>0</x:v>
      </x:c>
      <x:c r="C7" s="5" t="s">
        <x:v>1</x:v>
      </x:c>
      <x:c r="D7" s="5" t="s">
        <x:v>2</x:v>
      </x:c>
      <x:c r="E7" s="5" t="s">
        <x:v>3</x:v>
      </x:c>
      <x:c r="F7" s="5" t="s">
        <x:v>4</x:v>
      </x:c>
      <x:c r="G7" s="6" t="s">
        <x:v>5</x:v>
      </x:c>
      <x:c r="H7" s="8"/>
      <x:c r="I7" s="6" t="s">
        <x:v>5</x:v>
      </x:c>
      <x:c r="J7" s="6" t="s">
        <x:v>5</x:v>
      </x:c>
    </x:row>
    <x:row r="8" spans="1:11" ht="10.5" x14ac:dyDescent="0.25">
      <x:c r="A8" s="4"/>
      <x:c r="B8" s="8" t="s">
        <x:v>6</x:v>
      </x:c>
      <x:c r="C8" s="8" t="s">
        <x:v>7</x:v>
      </x:c>
      <x:c r="D8" s="8" t="s">
        <x:v>8</x:v>
      </x:c>
      <x:c r="E8" s="8" t="s">
        <x:v>9</x:v>
      </x:c>
      <x:c r="F8" s="8" t="s">
        <x:v>10</x:v>
      </x:c>
      <x:c r="G8" s="9" t="s">
        <x:v>11</x:v>
      </x:c>
      <x:c r="H8" s="8" t="s">
        <x:v>33</x:v>
      </x:c>
      <x:c r="I8" s="7"/>
      <x:c r="J8" s="7"/>
    </x:row>
    <x:row r="9" spans="1:11" ht="10.5" x14ac:dyDescent="0.25">
      <x:c r="A9" s="10" t="s">
        <x:v>12</x:v>
      </x:c>
      <x:c r="B9" s="11" t="s">
        <x:v>46</x:v>
      </x:c>
      <x:c r="C9" s="12"/>
      <x:c r="D9" s="12"/>
      <x:c r="E9" s="12"/>
      <x:c r="F9" s="12"/>
      <x:c r="G9" s="11" t="s">
        <x:v>13</x:v>
      </x:c>
      <x:c r="H9" s="11"/>
      <x:c r="I9" s="58" t="str">
        <x:f>D28</x:f>
        <x:v>TRAN (TRN)</x:v>
      </x:c>
      <x:c r="J9" s="58" t="str">
        <x:f>E28</x:f>
        <x:v>DIST (ESD)</x:v>
      </x:c>
    </x:row>
    <x:row r="10" spans="1:11" ht="10.5" x14ac:dyDescent="0.25">
      <x:c r="A10" s="13" t="s">
        <x:v>14</x:v>
      </x:c>
      <x:c r="B10" s="2" t="s">
        <x:v>15</x:v>
      </x:c>
      <x:c r="C10" s="14">
        <x:v>-170160.02</x:v>
      </x:c>
      <x:c r="D10" s="14">
        <x:v>-663474.14</x:v>
      </x:c>
      <x:c r="E10" s="14">
        <x:v>-2751384</x:v>
      </x:c>
      <x:c r="F10" s="14">
        <x:v>-135876.01</x:v>
      </x:c>
      <x:c r="G10" s="15">
        <x:v>-3720894.1700000004</x:v>
      </x:c>
      <x:c r="H10" s="45" t="s">
        <x:v>32</x:v>
      </x:c>
      <x:c r="I10" s="3">
        <x:v>-1672166.6600000001</x:v>
      </x:c>
      <x:c r="J10" s="3">
        <x:v>-2048727.51</x:v>
      </x:c>
    </x:row>
    <x:row r="11" spans="1:11" ht="10.5" x14ac:dyDescent="0.25">
      <x:c r="A11" s="13" t="s">
        <x:v>16</x:v>
      </x:c>
      <x:c r="B11" s="2" t="s">
        <x:v>17</x:v>
      </x:c>
      <x:c r="C11" s="14">
        <x:v>-30769.11</x:v>
      </x:c>
      <x:c r="D11" s="14">
        <x:v>-98458.680000000008</x:v>
      </x:c>
      <x:c r="E11" s="14">
        <x:v>-611737</x:v>
      </x:c>
      <x:c r="F11" s="14">
        <x:v>-50447.01</x:v>
      </x:c>
      <x:c r="G11" s="15">
        <x:v>-791411.8</x:v>
      </x:c>
      <x:c r="H11" s="45" t="s">
        <x:v>32</x:v>
      </x:c>
      <x:c r="I11" s="3">
        <x:v>-355659.78</x:v>
      </x:c>
      <x:c r="J11" s="3">
        <x:v>-435752.02</x:v>
      </x:c>
    </x:row>
    <x:row r="12" spans="1:11" ht="10.5" x14ac:dyDescent="0.25">
      <x:c r="A12" s="39" t="s">
        <x:v>18</x:v>
      </x:c>
      <x:c r="B12" s="40" t="s">
        <x:v>19</x:v>
      </x:c>
      <x:c r="C12" s="3">
        <x:v>-43558634</x:v>
      </x:c>
      <x:c r="D12" s="3">
        <x:v>-7910776.5</x:v>
      </x:c>
      <x:c r="E12" s="3">
        <x:v>-13115158</x:v>
      </x:c>
      <x:c r="F12" s="3">
        <x:v>-375717</x:v>
      </x:c>
      <x:c r="G12" s="15">
        <x:v>-64960285.5</x:v>
      </x:c>
      <x:c r="H12" s="45" t="s">
        <x:v>31</x:v>
      </x:c>
      <x:c r="I12" s="3">
        <x:v>-29193096.649999999</x:v>
      </x:c>
      <x:c r="J12" s="3">
        <x:v>-35767188.850000001</x:v>
      </x:c>
    </x:row>
    <x:row r="13" spans="1:11" ht="11" thickBot="1" x14ac:dyDescent="0.3">
      <x:c r="A13" s="16" t="s">
        <x:v>13</x:v>
      </x:c>
      <x:c r="B13" s="17"/>
      <x:c r="C13" s="18">
        <x:v>-43759563.130000003</x:v>
      </x:c>
      <x:c r="D13" s="18">
        <x:v>-8672709.3200000003</x:v>
      </x:c>
      <x:c r="E13" s="18">
        <x:v>-16478279</x:v>
      </x:c>
      <x:c r="F13" s="18">
        <x:v>-562040.02</x:v>
      </x:c>
      <x:c r="G13" s="18">
        <x:v>-69472591.470000014</x:v>
      </x:c>
      <x:c r="H13" s="16"/>
      <x:c r="I13" s="18">
        <x:v>-31220923.09</x:v>
      </x:c>
      <x:c r="J13" s="18">
        <x:v>-38251668.380000003</x:v>
      </x:c>
    </x:row>
    <x:row r="14" spans="1:11" ht="11" thickTop="1" x14ac:dyDescent="0.25">
      <x:c r="A14" s="19"/>
      <x:c r="B14" s="19"/>
      <x:c r="C14" s="20"/>
      <x:c r="D14" s="20"/>
      <x:c r="E14" s="20"/>
      <x:c r="F14" s="20"/>
      <x:c r="G14" s="20"/>
      <x:c r="H14" s="46"/>
      <x:c r="I14" s="20"/>
      <x:c r="J14" s="20"/>
    </x:row>
    <x:row r="15" spans="1:11" ht="53.5" customHeight="1" x14ac:dyDescent="0.25">
      <x:c r="A15" s="59" t="s">
        <x:v>40</x:v>
      </x:c>
      <x:c r="B15" s="60"/>
      <x:c r="C15" s="49" t="s">
        <x:v>56</x:v>
      </x:c>
      <x:c r="D15" s="49" t="str">
        <x:f>C15</x:f>
        <x:v>Finding of Fact No. 181</x:v>
      </x:c>
      <x:c r="E15" s="49" t="s">
        <x:v>58</x:v>
      </x:c>
      <x:c r="F15" s="49" t="s">
        <x:v>57</x:v>
      </x:c>
      <x:c r="G15" s="20"/>
      <x:c r="H15" s="47"/>
      <x:c r="I15" s="63" t="s">
        <x:v>52</x:v>
      </x:c>
      <x:c r="J15" s="64"/>
      <x:c r="K15" s="64"/>
    </x:row>
    <x:row r="16" spans="1:11" ht="10.5" x14ac:dyDescent="0.25">
      <x:c r="A16" s="22"/>
      <x:c r="B16" s="22"/>
      <x:c r="C16" s="3"/>
      <x:c r="D16" s="3"/>
      <x:c r="E16" s="3"/>
      <x:c r="F16" s="3"/>
      <x:c r="G16" s="15"/>
      <x:c r="H16" s="3" t="s">
        <x:v>29</x:v>
      </x:c>
      <x:c r="I16" s="3"/>
      <x:c r="J16" s="3"/>
    </x:row>
    <x:row r="17" spans="1:13" ht="10.5" x14ac:dyDescent="0.25">
      <x:c r="A17" s="22"/>
      <x:c r="B17" s="22"/>
      <x:c r="C17" s="53" t="str">
        <x:f>D17</x:f>
        <x:v>Project YR17TO21</x:v>
      </x:c>
      <x:c r="D17" s="53" t="str">
        <x:f>E17</x:f>
        <x:v>Project YR17TO21</x:v>
      </x:c>
      <x:c r="E17" s="53" t="s">
        <x:v>41</x:v>
      </x:c>
      <x:c r="F17" s="3"/>
      <x:c r="G17" s="15"/>
      <x:c r="H17" s="54" t="s">
        <x:v>33</x:v>
      </x:c>
      <x:c r="I17" s="36" t="str">
        <x:f>I9</x:f>
        <x:v>TRAN (TRN)</x:v>
      </x:c>
      <x:c r="J17" s="36" t="str">
        <x:f>J9</x:f>
        <x:v>DIST (ESD)</x:v>
      </x:c>
      <x:c r="K17" s="37" t="s">
        <x:v>13</x:v>
      </x:c>
    </x:row>
    <x:row r="18" spans="1:13" ht="11.5" x14ac:dyDescent="0.35">
      <x:c r="A18" s="23"/>
      <x:c r="B18" s="24"/>
      <x:c r="C18" s="25" t="s">
        <x:v>20</x:v>
      </x:c>
      <x:c r="D18" s="25" t="s">
        <x:v>21</x:v>
      </x:c>
      <x:c r="E18" s="25" t="s">
        <x:v>13</x:v>
      </x:c>
      <x:c r="F18" s="3"/>
      <x:c r="G18" s="15"/>
      <x:c r="H18" s="47"/>
      <x:c r="I18" s="3">
        <x:f>-173449.57*12</x:f>
        <x:v>-2081394.84</x:v>
      </x:c>
      <x:c r="J18" s="3">
        <x:f>-212509.28*12</x:f>
        <x:v>-2550111.36</x:v>
      </x:c>
      <x:c r="K18" s="3">
        <x:f>SUM(I18:J18)</x:f>
        <x:v>-4631506.2</x:v>
      </x:c>
      <x:c r="M18" s="38"/>
    </x:row>
    <x:row r="19" spans="1:13" ht="10.5" x14ac:dyDescent="0.25">
      <x:c r="A19" s="22"/>
      <x:c r="B19" s="26" t="s">
        <x:v>59</x:v>
      </x:c>
      <x:c r="C19" s="3">
        <x:f>C12</x:f>
        <x:v>-43558634</x:v>
      </x:c>
      <x:c r="D19" s="3">
        <x:f>D12</x:f>
        <x:v>-7910776.5</x:v>
      </x:c>
      <x:c r="E19" s="41">
        <x:f>SUM(C19:D19)</x:f>
        <x:v>-51469410.5</x:v>
      </x:c>
      <x:c r="F19" s="3"/>
      <x:c r="G19" s="15"/>
      <x:c r="H19" s="43" t="s">
        <x:v>34</x:v>
      </x:c>
      <x:c r="I19" s="34">
        <x:f>I13/I18</x:f>
        <x:v>15.000000235419051</x:v>
      </x:c>
      <x:c r="J19" s="34">
        <x:f>J13/J18</x:f>
        <x:v>14.999999207877732</x:v>
      </x:c>
      <x:c r="K19" s="34"/>
    </x:row>
    <x:row r="20" spans="1:13" ht="10.5" x14ac:dyDescent="0.25">
      <x:c r="A20" s="24"/>
      <x:c r="B20" s="24"/>
      <x:c r="C20" s="3"/>
      <x:c r="D20" s="3"/>
      <x:c r="E20" s="3"/>
      <x:c r="F20" s="3"/>
      <x:c r="G20" s="15"/>
      <x:c r="H20" s="47"/>
      <x:c r="I20" s="21" t="s">
        <x:v>50</x:v>
      </x:c>
      <x:c r="J20" s="21" t="s">
        <x:v>50</x:v>
      </x:c>
    </x:row>
    <x:row r="21" spans="1:13" ht="10.5" x14ac:dyDescent="0.25">
      <x:c r="A21" s="22"/>
      <x:c r="B21" s="22"/>
      <x:c r="C21" s="3"/>
      <x:c r="D21" s="21" t="s">
        <x:v>22</x:v>
      </x:c>
      <x:c r="E21" s="3">
        <x:v>-34607629</x:v>
      </x:c>
      <x:c r="F21" s="3"/>
      <x:c r="G21" s="15"/>
      <x:c r="H21" s="47"/>
      <x:c r="I21" s="65" t="s">
        <x:v>45</x:v>
      </x:c>
      <x:c r="J21" s="66"/>
      <x:c r="K21" s="66"/>
    </x:row>
    <x:row r="22" spans="1:13" ht="10.5" x14ac:dyDescent="0.25">
      <x:c r="A22" s="22"/>
      <x:c r="B22" s="22"/>
      <x:c r="C22" s="3"/>
      <x:c r="D22" s="21" t="s">
        <x:v>23</x:v>
      </x:c>
      <x:c r="E22" s="27">
        <x:v>-16861781.5</x:v>
      </x:c>
      <x:c r="F22" s="3"/>
      <x:c r="G22" s="15"/>
      <x:c r="H22" s="47"/>
      <x:c r="I22" s="66"/>
      <x:c r="J22" s="66"/>
      <x:c r="K22" s="66"/>
    </x:row>
    <x:row r="23" spans="1:13" ht="10.5" x14ac:dyDescent="0.25">
      <x:c r="A23" s="22"/>
      <x:c r="B23" s="22"/>
      <x:c r="C23" s="3"/>
      <x:c r="D23" s="21" t="s">
        <x:v>24</x:v>
      </x:c>
      <x:c r="E23" s="41">
        <x:f>SUM(E21:E22)</x:f>
        <x:v>-51469410.5</x:v>
      </x:c>
      <x:c r="F23" s="3" t="s">
        <x:v>56</x:v>
      </x:c>
      <x:c r="G23" s="15"/>
      <x:c r="H23" s="47"/>
      <x:c r="I23" s="3"/>
      <x:c r="J23" s="3"/>
    </x:row>
    <x:row r="24" spans="1:13" ht="10.5" x14ac:dyDescent="0.25">
      <x:c r="A24" s="24"/>
      <x:c r="B24" s="24"/>
      <x:c r="C24" s="22"/>
      <x:c r="D24" s="22"/>
      <x:c r="E24" s="22"/>
      <x:c r="F24" s="22"/>
      <x:c r="G24" s="28"/>
      <x:c r="H24" s="47"/>
      <x:c r="I24" s="29"/>
      <x:c r="J24" s="29"/>
    </x:row>
    <x:row r="25" spans="1:13" ht="10.5" x14ac:dyDescent="0.25">
      <x:c r="A25" s="22"/>
      <x:c r="B25" s="22"/>
      <x:c r="C25" s="22"/>
      <x:c r="D25" s="22"/>
      <x:c r="E25" s="22"/>
      <x:c r="F25" s="22"/>
      <x:c r="G25" s="28"/>
      <x:c r="H25" s="47"/>
      <x:c r="I25" s="3"/>
      <x:c r="J25" s="3"/>
    </x:row>
    <x:row r="26" spans="1:13" ht="10.5" x14ac:dyDescent="0.25">
      <x:c r="A26" s="2" t="s">
        <x:v>47</x:v>
      </x:c>
      <x:c r="B26" s="2"/>
      <x:c r="C26" s="2"/>
      <x:c r="D26" s="2"/>
      <x:c r="E26" s="2"/>
      <x:c r="F26" s="22"/>
      <x:c r="G26" s="28"/>
      <x:c r="H26" s="47"/>
      <x:c r="I26" s="3"/>
      <x:c r="J26" s="3"/>
    </x:row>
    <x:row r="27" spans="1:13" ht="10.5" x14ac:dyDescent="0.25">
      <x:c r="A27" s="2"/>
      <x:c r="B27" s="13" t="s">
        <x:v>26</x:v>
      </x:c>
      <x:c r="D27" s="57"/>
      <x:c r="E27" s="57"/>
      <x:c r="F27" s="57"/>
      <x:c r="G27" s="28"/>
      <x:c r="H27" s="47"/>
      <x:c r="I27" s="3"/>
      <x:c r="J27" s="3"/>
    </x:row>
    <x:row r="28" spans="1:13" ht="10.5" x14ac:dyDescent="0.25">
      <x:c r="A28" s="30" t="s">
        <x:v>6</x:v>
      </x:c>
      <x:c r="B28" s="30" t="s">
        <x:v>0</x:v>
      </x:c>
      <x:c r="D28" s="30" t="s">
        <x:v>27</x:v>
      </x:c>
      <x:c r="E28" s="30" t="s">
        <x:v>28</x:v>
      </x:c>
      <x:c r="F28" s="30" t="s">
        <x:v>13</x:v>
      </x:c>
      <x:c r="G28" s="28"/>
      <x:c r="H28" s="47"/>
      <x:c r="I28" s="3"/>
      <x:c r="J28" s="3"/>
    </x:row>
    <x:row r="29" spans="1:13" ht="10.5" x14ac:dyDescent="0.25">
      <x:c r="A29" s="13" t="s">
        <x:v>7</x:v>
      </x:c>
      <x:c r="B29" s="2" t="s">
        <x:v>1</x:v>
      </x:c>
      <x:c r="D29" s="31">
        <x:v>-19665510.190000001</x:v>
      </x:c>
      <x:c r="E29" s="31">
        <x:v>-24094052.940000001</x:v>
      </x:c>
      <x:c r="F29" s="31">
        <x:v>-43759563.130000003</x:v>
      </x:c>
      <x:c r="G29" s="28"/>
      <x:c r="H29" s="47"/>
      <x:c r="I29" s="3"/>
      <x:c r="J29" s="3"/>
    </x:row>
    <x:row r="30" spans="1:13" ht="10.5" x14ac:dyDescent="0.25">
      <x:c r="A30" s="13" t="s">
        <x:v>8</x:v>
      </x:c>
      <x:c r="B30" s="2" t="s">
        <x:v>2</x:v>
      </x:c>
      <x:c r="D30" s="31">
        <x:v>-3897508.14</x:v>
      </x:c>
      <x:c r="E30" s="31">
        <x:v>-4775201.18</x:v>
      </x:c>
      <x:c r="F30" s="31">
        <x:v>-8672709.3200000003</x:v>
      </x:c>
      <x:c r="G30" s="28"/>
      <x:c r="H30" s="47"/>
      <x:c r="I30" s="3"/>
      <x:c r="J30" s="3"/>
    </x:row>
    <x:row r="31" spans="1:13" ht="10.5" x14ac:dyDescent="0.25">
      <x:c r="A31" s="13" t="s">
        <x:v>9</x:v>
      </x:c>
      <x:c r="B31" s="2" t="s">
        <x:v>3</x:v>
      </x:c>
      <x:c r="D31" s="31">
        <x:v>-7405324.4699999997</x:v>
      </x:c>
      <x:c r="E31" s="31">
        <x:v>-9072954.5299999993</x:v>
      </x:c>
      <x:c r="F31" s="31">
        <x:v>-16478279</x:v>
      </x:c>
      <x:c r="G31" s="28"/>
      <x:c r="H31" s="47"/>
      <x:c r="I31" s="3"/>
      <x:c r="J31" s="3"/>
    </x:row>
    <x:row r="32" spans="1:13" ht="10.5" x14ac:dyDescent="0.25">
      <x:c r="A32" s="13" t="s">
        <x:v>10</x:v>
      </x:c>
      <x:c r="B32" s="2" t="s">
        <x:v>4</x:v>
      </x:c>
      <x:c r="D32" s="32">
        <x:v>-252580.29</x:v>
      </x:c>
      <x:c r="E32" s="32">
        <x:v>-309459.73</x:v>
      </x:c>
      <x:c r="F32" s="32">
        <x:v>-562040.02</x:v>
      </x:c>
      <x:c r="G32" s="28"/>
      <x:c r="H32" s="47"/>
      <x:c r="I32" s="3"/>
      <x:c r="J32" s="3"/>
    </x:row>
    <x:row r="33" spans="1:11" ht="10.5" x14ac:dyDescent="0.25">
      <x:c r="A33" s="33" t="s">
        <x:v>13</x:v>
      </x:c>
      <x:c r="B33" s="33"/>
      <x:c r="D33" s="31">
        <x:v>-31220923.09</x:v>
      </x:c>
      <x:c r="E33" s="31">
        <x:v>-38251668.380000003</x:v>
      </x:c>
      <x:c r="F33" s="31">
        <x:v>-69472591.469999999</x:v>
      </x:c>
      <x:c r="G33" s="28"/>
      <x:c r="H33" s="47"/>
      <x:c r="I33" s="3"/>
      <x:c r="J33" s="3"/>
    </x:row>
    <x:row r="35" spans="1:11" x14ac:dyDescent="0.2">
      <x:c r="A35" s="35" t="s">
        <x:v>44</x:v>
      </x:c>
    </x:row>
    <x:row r="36" spans="1:11" x14ac:dyDescent="0.2">
      <x:c r="B36" s="52" t="s">
        <x:v>37</x:v>
      </x:c>
      <x:c r="G36" s="50">
        <x:f>-F29-F30</x:f>
        <x:v>52432272.450000003</x:v>
      </x:c>
    </x:row>
    <x:row r="37" spans="1:11" x14ac:dyDescent="0.2">
      <x:c r="B37" s="52" t="s">
        <x:v>38</x:v>
      </x:c>
      <x:c r="G37" s="50">
        <x:f>-F31-F32-G38</x:f>
        <x:v>2227636.0199999996</x:v>
      </x:c>
    </x:row>
    <x:row r="38" spans="1:11" x14ac:dyDescent="0.2">
      <x:c r="B38" s="52" t="s">
        <x:v>39</x:v>
      </x:c>
      <x:c r="G38" s="51">
        <x:v>14812683</x:v>
      </x:c>
    </x:row>
    <x:row r="39" spans="1:11" x14ac:dyDescent="0.2">
      <x:c r="B39" s="35" t="s">
        <x:v>13</x:v>
      </x:c>
      <x:c r="G39" s="50">
        <x:f>SUM(G36:G38)</x:f>
        <x:v>69472591.469999999</x:v>
      </x:c>
    </x:row>
    <x:row r="41" spans="1:11" x14ac:dyDescent="0.2">
      <x:c r="A41" s="22" t="s">
        <x:v>25</x:v>
      </x:c>
    </x:row>
    <x:row r="42" spans="1:11" x14ac:dyDescent="0.2">
      <x:c r="A42" s="2" t="s">
        <x:v>51</x:v>
      </x:c>
    </x:row>
    <x:row r="43" spans="1:11" ht="20" customHeight="1" x14ac:dyDescent="0.2">
      <x:c r="A43" s="61" t="s">
        <x:v>55</x:v>
      </x:c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</x:row>
    <x:row r="44" spans="1:11" x14ac:dyDescent="0.2">
      <x:c r="A44" s="35" t="s">
        <x:v>54</x:v>
      </x:c>
    </x:row>
    <x:row r="45" spans="1:11" x14ac:dyDescent="0.2">
      <x:c r="A45" s="56" t="s">
        <x:v>48</x:v>
      </x:c>
    </x:row>
  </x:sheetData>
  <x:mergeCells count="4">
    <x:mergeCell ref="A15:B15"/>
    <x:mergeCell ref="A43:K43"/>
    <x:mergeCell ref="I15:K15"/>
    <x:mergeCell ref="I21:K22"/>
  </x:mergeCells>
  <x:phoneticPr fontId="7" type="noConversion"/>
  <x:pageMargins left="0.45" right="0.45" top="0.75" bottom="0.75" header="0.3" footer="0.3"/>
  <x:pageSetup scale="75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2025-05-01T16:51:24.0000000Z</dcterms:modified>
</coreProperties>
</file>