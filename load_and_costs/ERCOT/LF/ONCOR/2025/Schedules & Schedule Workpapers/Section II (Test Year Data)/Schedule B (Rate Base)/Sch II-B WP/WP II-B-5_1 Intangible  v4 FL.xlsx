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13_ncr:1_{EDEB45EF-A75D-461E-ABCF-97BB83645A4D}" xr6:coauthVersionLast="47" xr6:coauthVersionMax="47" xr10:uidLastSave="{00000000-0000-0000-0000-000000000000}"/>
  <x:bookViews>
    <x:workbookView xWindow="25974" yWindow="-109" windowWidth="26301" windowHeight="14169" xr2:uid="{4016C6B5-4A26-457C-9D29-44F4FA334413}"/>
  </x:bookViews>
  <x:sheets>
    <x:sheet name="WP II-B-5_01" sheetId="1" r:id="rId1"/>
  </x:sheets>
  <x:definedNames>
    <x:definedName name="_xlnm._FilterDatabase" localSheetId="0" hidden="1">'WP II-B-5_01'!$A$5:$AB$132</x:definedName>
    <x:definedName name="_xlnm.Print_Area" localSheetId="0">'WP II-B-5_01'!$B$6:$S$188</x:definedName>
    <x:definedName name="_xlnm.Print_Titles" localSheetId="0">'WP II-B-5_01'!$A:$D,'WP II-B-5_01'!$1:$5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S188" i="1" l="1"/>
  <x:c r="R188" i="1"/>
  <x:c r="Q188" i="1"/>
  <x:c r="P188" i="1"/>
  <x:c r="N188" i="1"/>
  <x:c r="M188" i="1"/>
  <x:c r="L188" i="1"/>
  <x:c r="K188" i="1"/>
  <x:c r="I188" i="1"/>
  <x:c r="D188" i="1"/>
  <x:c r="S186" i="1"/>
  <x:c r="R186" i="1"/>
  <x:c r="Q186" i="1"/>
  <x:c r="P186" i="1"/>
  <x:c r="N186" i="1"/>
  <x:c r="M186" i="1"/>
  <x:c r="L186" i="1"/>
  <x:c r="K186" i="1"/>
  <x:c r="I186" i="1"/>
  <x:c r="D186" i="1"/>
  <x:c r="I172" i="1"/>
  <x:c r="I174" i="1"/>
  <x:c r="D172" i="1"/>
  <x:c r="D174" i="1"/>
  <x:c r="D171" i="1"/>
  <x:c r="D159" i="1"/>
  <x:c r="D154" i="1"/>
  <x:c r="I134" i="1"/>
  <x:c r="N159" i="1" l="1"/>
  <x:c r="M159" i="1"/>
  <x:c r="L159" i="1"/>
  <x:c r="O170" i="1"/>
  <x:c r="O169" i="1"/>
  <x:c r="O168" i="1"/>
  <x:c r="O167" i="1"/>
  <x:c r="O166" i="1"/>
  <x:c r="O165" i="1"/>
  <x:c r="O164" i="1"/>
  <x:c r="O163" i="1"/>
  <x:c r="O162" i="1"/>
  <x:c r="O161" i="1"/>
  <x:c r="O160" i="1"/>
  <x:c r="O158" i="1"/>
  <x:c r="O157" i="1"/>
  <x:c r="O156" i="1"/>
  <x:c r="O155" i="1"/>
  <x:c r="O153" i="1"/>
  <x:c r="O152" i="1"/>
  <x:c r="O151" i="1"/>
  <x:c r="O150" i="1"/>
  <x:c r="O149" i="1"/>
  <x:c r="O148" i="1"/>
  <x:c r="O147" i="1"/>
  <x:c r="O146" i="1"/>
  <x:c r="O145" i="1"/>
  <x:c r="O144" i="1"/>
  <x:c r="O143" i="1"/>
  <x:c r="O142" i="1"/>
  <x:c r="O141" i="1"/>
  <x:c r="O140" i="1"/>
  <x:c r="O139" i="1"/>
  <x:c r="X171" i="1"/>
  <x:c r="W171" i="1"/>
  <x:c r="V171" i="1"/>
  <x:c r="U171" i="1"/>
  <x:c r="N171" i="1"/>
  <x:c r="M171" i="1"/>
  <x:c r="L171" i="1"/>
  <x:c r="K171" i="1"/>
  <x:c r="J172" i="1"/>
  <x:c r="Z134" i="1"/>
  <x:c r="Y134" i="1"/>
  <x:c r="X134" i="1"/>
  <x:c r="W134" i="1"/>
  <x:c r="V134" i="1"/>
  <x:c r="U134" i="1"/>
  <x:c r="O134" i="1"/>
  <x:c r="N134" i="1"/>
  <x:c r="J134" i="1"/>
  <x:c r="O159" i="1" l="1"/>
  <x:c r="O186" i="1"/>
  <x:c r="J186" i="1"/>
  <x:c r="C182" i="1"/>
  <x:c r="C181" i="1"/>
  <x:c r="C180" i="1"/>
  <x:c r="C179" i="1"/>
  <x:c r="C178" i="1"/>
  <x:c r="C177" i="1"/>
  <x:c r="C176" i="1"/>
  <x:c r="D133" i="1"/>
  <x:c r="K133" i="1"/>
  <x:c r="L133" i="1"/>
  <x:c r="M133" i="1"/>
  <x:c r="F186" i="1"/>
  <x:c r="E186" i="1"/>
  <x:c r="I185" i="1" l="1"/>
  <x:c r="S185" i="1" s="1"/>
  <x:c r="I184" i="1"/>
  <x:c r="Q184" i="1" s="1"/>
  <x:c r="I183" i="1"/>
  <x:c r="R183" i="1" s="1"/>
  <x:c r="I182" i="1"/>
  <x:c r="R182" i="1" s="1"/>
  <x:c r="I181" i="1"/>
  <x:c r="S181" i="1" s="1"/>
  <x:c r="I180" i="1"/>
  <x:c r="P180" i="1" s="1"/>
  <x:c r="I179" i="1"/>
  <x:c r="R179" i="1" s="1"/>
  <x:c r="I178" i="1"/>
  <x:c r="S178" i="1" s="1"/>
  <x:c r="I177" i="1"/>
  <x:c r="S177" i="1" s="1"/>
  <x:c r="I176" i="1"/>
  <x:c r="Q176" i="1" s="1"/>
  <x:c r="Q183" i="1"/>
  <x:c r="P183" i="1"/>
  <x:c r="S184" i="1"/>
  <x:c r="R184" i="1"/>
  <x:c r="G186" i="1"/>
  <x:c r="C183" i="1"/>
  <x:c r="C184" i="1"/>
  <x:c r="C185" i="1"/>
  <x:c r="R176" i="1" l="1"/>
  <x:c r="S176" i="1"/>
  <x:c r="S183" i="1"/>
  <x:c r="S180" i="1"/>
  <x:c r="P185" i="1"/>
  <x:c r="Q185" i="1"/>
  <x:c r="T183" i="1"/>
  <x:c r="Q180" i="1"/>
  <x:c r="R180" i="1"/>
  <x:c r="T180" i="1" s="1"/>
  <x:c r="S179" i="1"/>
  <x:c r="P178" i="1"/>
  <x:c r="Q178" i="1"/>
  <x:c r="S182" i="1"/>
  <x:c r="R178" i="1"/>
  <x:c r="P181" i="1"/>
  <x:c r="R185" i="1"/>
  <x:c r="Q181" i="1"/>
  <x:c r="R181" i="1"/>
  <x:c r="P184" i="1"/>
  <x:c r="T184" i="1" s="1"/>
  <x:c r="P177" i="1"/>
  <x:c r="Q177" i="1"/>
  <x:c r="R177" i="1"/>
  <x:c r="P182" i="1"/>
  <x:c r="P179" i="1"/>
  <x:c r="Q182" i="1"/>
  <x:c r="Q179" i="1"/>
  <x:c r="P176" i="1"/>
  <x:c r="T176" i="1"/>
  <x:c r="A17" i="1"/>
  <x:c r="T185" i="1" l="1"/>
  <x:c r="T179" i="1"/>
  <x:c r="T181" i="1"/>
  <x:c r="T178" i="1"/>
  <x:c r="T182" i="1"/>
  <x:c r="T177" i="1"/>
  <x:c r="T186" i="1" s="1"/>
  <x:c r="I6" i="1"/>
  <x:c r="I7" i="1"/>
  <x:c r="I8" i="1"/>
  <x:c r="I9" i="1"/>
  <x:c r="I10" i="1"/>
  <x:c r="M154" i="1"/>
  <x:c r="M172" i="1" s="1"/>
  <x:c r="M174" i="1" s="1"/>
  <x:c r="AE154" i="1"/>
  <x:c r="AD154" i="1"/>
  <x:c r="AC154" i="1"/>
  <x:c r="W154" i="1"/>
  <x:c r="V154" i="1"/>
  <x:c r="U154" i="1"/>
  <x:c r="N154" i="1"/>
  <x:c r="N172" i="1" s="1"/>
  <x:c r="N174" i="1" s="1"/>
  <x:c r="L154" i="1"/>
  <x:c r="L172" i="1" s="1"/>
  <x:c r="L174" i="1" s="1"/>
  <x:c r="K154" i="1"/>
  <x:c r="AD159" i="1"/>
  <x:c r="AC159" i="1"/>
  <x:c r="AB159" i="1"/>
  <x:c r="AA159" i="1"/>
  <x:c r="Z159" i="1"/>
  <x:c r="Y159" i="1"/>
  <x:c r="X159" i="1"/>
  <x:c r="W159" i="1"/>
  <x:c r="V159" i="1"/>
  <x:c r="U159" i="1"/>
  <x:c r="AF171" i="1"/>
  <x:c r="AE171" i="1"/>
  <x:c r="AD171" i="1"/>
  <x:c r="AC171" i="1"/>
  <x:c r="AB171" i="1"/>
  <x:c r="AA171" i="1"/>
  <x:c r="Z171" i="1"/>
  <x:c r="O171" i="1"/>
  <x:c r="O172" i="1" s="1"/>
  <x:c r="O174" i="1" s="1"/>
  <x:c r="K159" i="1"/>
  <x:c r="S66" i="1"/>
  <x:c r="R66" i="1"/>
  <x:c r="Q66" i="1"/>
  <x:c r="P66" i="1"/>
  <x:c r="K71" i="1"/>
  <x:c r="K67" i="1"/>
  <x:c r="K65" i="1"/>
  <x:c r="I131" i="1"/>
  <x:c r="I132" i="1"/>
  <x:c r="M71" i="1"/>
  <x:c r="L71" i="1"/>
  <x:c r="D71" i="1"/>
  <x:c r="M67" i="1"/>
  <x:c r="L67" i="1"/>
  <x:c r="I67" i="1"/>
  <x:c r="D67" i="1"/>
  <x:c r="M65" i="1"/>
  <x:c r="L65" i="1"/>
  <x:c r="D65" i="1"/>
  <x:c r="G132" i="1"/>
  <x:c r="G131" i="1"/>
  <x:c r="G130" i="1"/>
  <x:c r="G129" i="1"/>
  <x:c r="G128" i="1"/>
  <x:c r="G127" i="1"/>
  <x:c r="G126" i="1"/>
  <x:c r="G125" i="1"/>
  <x:c r="G124" i="1"/>
  <x:c r="G123" i="1"/>
  <x:c r="G122" i="1"/>
  <x:c r="G121" i="1"/>
  <x:c r="G120" i="1"/>
  <x:c r="G119" i="1"/>
  <x:c r="G118" i="1"/>
  <x:c r="G117" i="1"/>
  <x:c r="G116" i="1"/>
  <x:c r="G115" i="1"/>
  <x:c r="G114" i="1"/>
  <x:c r="G113" i="1"/>
  <x:c r="G112" i="1"/>
  <x:c r="G111" i="1"/>
  <x:c r="G110" i="1"/>
  <x:c r="G109" i="1"/>
  <x:c r="G108" i="1"/>
  <x:c r="G107" i="1"/>
  <x:c r="G106" i="1"/>
  <x:c r="G105" i="1"/>
  <x:c r="G104" i="1"/>
  <x:c r="G103" i="1"/>
  <x:c r="G102" i="1"/>
  <x:c r="G101" i="1"/>
  <x:c r="G100" i="1"/>
  <x:c r="G99" i="1"/>
  <x:c r="G98" i="1"/>
  <x:c r="G97" i="1"/>
  <x:c r="G96" i="1"/>
  <x:c r="G95" i="1"/>
  <x:c r="G94" i="1"/>
  <x:c r="G93" i="1"/>
  <x:c r="G92" i="1"/>
  <x:c r="G91" i="1"/>
  <x:c r="G90" i="1"/>
  <x:c r="G89" i="1"/>
  <x:c r="G88" i="1"/>
  <x:c r="G87" i="1"/>
  <x:c r="G86" i="1"/>
  <x:c r="G85" i="1"/>
  <x:c r="G84" i="1"/>
  <x:c r="G83" i="1"/>
  <x:c r="G82" i="1"/>
  <x:c r="G81" i="1"/>
  <x:c r="G80" i="1"/>
  <x:c r="G79" i="1"/>
  <x:c r="G78" i="1"/>
  <x:c r="G77" i="1"/>
  <x:c r="G76" i="1"/>
  <x:c r="G75" i="1"/>
  <x:c r="G74" i="1"/>
  <x:c r="G73" i="1"/>
  <x:c r="G72" i="1"/>
  <x:c r="G170" i="1"/>
  <x:c r="G169" i="1"/>
  <x:c r="G168" i="1"/>
  <x:c r="G167" i="1"/>
  <x:c r="G166" i="1"/>
  <x:c r="G165" i="1"/>
  <x:c r="G164" i="1"/>
  <x:c r="G163" i="1"/>
  <x:c r="G162" i="1"/>
  <x:c r="G161" i="1"/>
  <x:c r="G160" i="1"/>
  <x:c r="G70" i="1"/>
  <x:c r="G69" i="1"/>
  <x:c r="G68" i="1"/>
  <x:c r="G158" i="1"/>
  <x:c r="G157" i="1"/>
  <x:c r="G156" i="1"/>
  <x:c r="G155" i="1"/>
  <x:c r="G66" i="1"/>
  <x:c r="G67" i="1" s="1"/>
  <x:c r="G64" i="1"/>
  <x:c r="G63" i="1"/>
  <x:c r="G62" i="1"/>
  <x:c r="G61" i="1"/>
  <x:c r="G60" i="1"/>
  <x:c r="G59" i="1"/>
  <x:c r="G58" i="1"/>
  <x:c r="G57" i="1"/>
  <x:c r="G56" i="1"/>
  <x:c r="G55" i="1"/>
  <x:c r="G54" i="1"/>
  <x:c r="G53" i="1"/>
  <x:c r="G52" i="1"/>
  <x:c r="G51" i="1"/>
  <x:c r="G50" i="1"/>
  <x:c r="G49" i="1"/>
  <x:c r="G48" i="1"/>
  <x:c r="G47" i="1"/>
  <x:c r="G46" i="1"/>
  <x:c r="G45" i="1"/>
  <x:c r="G44" i="1"/>
  <x:c r="G43" i="1"/>
  <x:c r="G42" i="1"/>
  <x:c r="G41" i="1"/>
  <x:c r="G40" i="1"/>
  <x:c r="G39" i="1"/>
  <x:c r="G38" i="1"/>
  <x:c r="G37" i="1"/>
  <x:c r="G36" i="1"/>
  <x:c r="G35" i="1"/>
  <x:c r="G34" i="1"/>
  <x:c r="G33" i="1"/>
  <x:c r="G32" i="1"/>
  <x:c r="G31" i="1"/>
  <x:c r="G30" i="1"/>
  <x:c r="G29" i="1"/>
  <x:c r="G28" i="1"/>
  <x:c r="G153" i="1"/>
  <x:c r="G27" i="1"/>
  <x:c r="G26" i="1"/>
  <x:c r="G25" i="1"/>
  <x:c r="G24" i="1"/>
  <x:c r="G23" i="1"/>
  <x:c r="G152" i="1"/>
  <x:c r="G151" i="1"/>
  <x:c r="G150" i="1"/>
  <x:c r="G149" i="1"/>
  <x:c r="G148" i="1"/>
  <x:c r="G147" i="1"/>
  <x:c r="G146" i="1"/>
  <x:c r="G145" i="1"/>
  <x:c r="G144" i="1"/>
  <x:c r="G143" i="1"/>
  <x:c r="G142" i="1"/>
  <x:c r="G22" i="1"/>
  <x:c r="G21" i="1"/>
  <x:c r="G20" i="1"/>
  <x:c r="G19" i="1"/>
  <x:c r="G141" i="1"/>
  <x:c r="G140" i="1"/>
  <x:c r="G139" i="1"/>
  <x:c r="C152" i="1"/>
  <x:c r="C151" i="1"/>
  <x:c r="C150" i="1"/>
  <x:c r="C158" i="1"/>
  <x:c r="C157" i="1"/>
  <x:c r="C140" i="1"/>
  <x:c r="C139" i="1"/>
  <x:c r="C148" i="1"/>
  <x:c r="C147" i="1"/>
  <x:c r="C146" i="1"/>
  <x:c r="C145" i="1"/>
  <x:c r="C144" i="1"/>
  <x:c r="C143" i="1"/>
  <x:c r="C142" i="1"/>
  <x:c r="C153" i="1"/>
  <x:c r="C168" i="1"/>
  <x:c r="C167" i="1"/>
  <x:c r="C166" i="1"/>
  <x:c r="C165" i="1"/>
  <x:c r="C164" i="1"/>
  <x:c r="C163" i="1"/>
  <x:c r="C162" i="1"/>
  <x:c r="C161" i="1"/>
  <x:c r="C160" i="1"/>
  <x:c r="C156" i="1"/>
  <x:c r="C155" i="1"/>
  <x:c r="C141" i="1"/>
  <x:c r="C149" i="1"/>
  <x:c r="C170" i="1"/>
  <x:c r="C169" i="1"/>
  <x:c r="C22" i="1"/>
  <x:c r="C21" i="1"/>
  <x:c r="C20" i="1"/>
  <x:c r="C19" i="1"/>
  <x:c r="C27" i="1"/>
  <x:c r="C26" i="1"/>
  <x:c r="C25" i="1"/>
  <x:c r="C24" i="1"/>
  <x:c r="C23" i="1"/>
  <x:c r="C42" i="1"/>
  <x:c r="C41" i="1"/>
  <x:c r="C40" i="1"/>
  <x:c r="C39" i="1"/>
  <x:c r="C38" i="1"/>
  <x:c r="C37" i="1"/>
  <x:c r="C36" i="1"/>
  <x:c r="C35" i="1"/>
  <x:c r="C34" i="1"/>
  <x:c r="C33" i="1"/>
  <x:c r="C32" i="1"/>
  <x:c r="C31" i="1"/>
  <x:c r="C30" i="1"/>
  <x:c r="C29" i="1"/>
  <x:c r="C28" i="1"/>
  <x:c r="C57" i="1"/>
  <x:c r="C56" i="1"/>
  <x:c r="C55" i="1"/>
  <x:c r="C54" i="1"/>
  <x:c r="C53" i="1"/>
  <x:c r="C52" i="1"/>
  <x:c r="C51" i="1"/>
  <x:c r="C50" i="1"/>
  <x:c r="C49" i="1"/>
  <x:c r="C48" i="1"/>
  <x:c r="C47" i="1"/>
  <x:c r="C46" i="1"/>
  <x:c r="C45" i="1"/>
  <x:c r="C44" i="1"/>
  <x:c r="C43" i="1"/>
  <x:c r="C61" i="1"/>
  <x:c r="C60" i="1"/>
  <x:c r="C59" i="1"/>
  <x:c r="C58" i="1"/>
  <x:c r="C63" i="1"/>
  <x:c r="C62" i="1"/>
  <x:c r="C64" i="1"/>
  <x:c r="C80" i="1"/>
  <x:c r="C79" i="1"/>
  <x:c r="C78" i="1"/>
  <x:c r="C77" i="1"/>
  <x:c r="C76" i="1"/>
  <x:c r="C75" i="1"/>
  <x:c r="C74" i="1"/>
  <x:c r="C73" i="1"/>
  <x:c r="C72" i="1"/>
  <x:c r="C93" i="1"/>
  <x:c r="C92" i="1"/>
  <x:c r="C91" i="1"/>
  <x:c r="C90" i="1"/>
  <x:c r="C89" i="1"/>
  <x:c r="C88" i="1"/>
  <x:c r="C87" i="1"/>
  <x:c r="C86" i="1"/>
  <x:c r="C85" i="1"/>
  <x:c r="C84" i="1"/>
  <x:c r="C83" i="1"/>
  <x:c r="C82" i="1"/>
  <x:c r="C81" i="1"/>
  <x:c r="C104" i="1"/>
  <x:c r="C103" i="1"/>
  <x:c r="C102" i="1"/>
  <x:c r="C101" i="1"/>
  <x:c r="C100" i="1"/>
  <x:c r="C99" i="1"/>
  <x:c r="C98" i="1"/>
  <x:c r="C97" i="1"/>
  <x:c r="C96" i="1"/>
  <x:c r="C95" i="1"/>
  <x:c r="C94" i="1"/>
  <x:c r="C117" i="1"/>
  <x:c r="C116" i="1"/>
  <x:c r="C115" i="1"/>
  <x:c r="C114" i="1"/>
  <x:c r="C113" i="1"/>
  <x:c r="C112" i="1"/>
  <x:c r="C111" i="1"/>
  <x:c r="C110" i="1"/>
  <x:c r="C109" i="1"/>
  <x:c r="C108" i="1"/>
  <x:c r="C107" i="1"/>
  <x:c r="C106" i="1"/>
  <x:c r="C105" i="1"/>
  <x:c r="C122" i="1"/>
  <x:c r="C121" i="1"/>
  <x:c r="C120" i="1"/>
  <x:c r="C119" i="1"/>
  <x:c r="C118" i="1"/>
  <x:c r="C127" i="1"/>
  <x:c r="C126" i="1"/>
  <x:c r="C125" i="1"/>
  <x:c r="C124" i="1"/>
  <x:c r="C123" i="1"/>
  <x:c r="C130" i="1"/>
  <x:c r="C129" i="1"/>
  <x:c r="C128" i="1"/>
  <x:c r="C131" i="1"/>
  <x:c r="C132" i="1"/>
  <x:c r="C68" i="1"/>
  <x:c r="C70" i="1"/>
  <x:c r="C69" i="1"/>
  <x:c r="C66" i="1"/>
  <x:c r="R6" i="1"/>
  <x:c r="R7" i="1"/>
  <x:c r="R8" i="1"/>
  <x:c r="R9" i="1"/>
  <x:c r="R10" i="1"/>
  <x:c r="R11" i="1"/>
  <x:c r="N16" i="1"/>
  <x:c r="N17" i="1" s="1"/>
  <x:c r="M15" i="1"/>
  <x:c r="M17" i="1" s="1"/>
  <x:c r="L14" i="1"/>
  <x:c r="L17" i="1" s="1"/>
  <x:c r="K13" i="1"/>
  <x:c r="K17" i="1" s="1"/>
  <x:c r="I11" i="1"/>
  <x:c r="G16" i="1"/>
  <x:c r="G15" i="1"/>
  <x:c r="G14" i="1"/>
  <x:c r="G13" i="1"/>
  <x:c r="C16" i="1"/>
  <x:c r="C15" i="1"/>
  <x:c r="C14" i="1"/>
  <x:c r="C13" i="1"/>
  <x:c r="G7" i="1"/>
  <x:c r="G6" i="1"/>
  <x:c r="C11" i="1"/>
  <x:c r="C10" i="1"/>
  <x:c r="C9" i="1"/>
  <x:c r="C8" i="1"/>
  <x:c r="C7" i="1"/>
  <x:c r="C6" i="1"/>
  <x:c r="W172" i="1" l="1"/>
  <x:c r="U172" i="1"/>
  <x:c r="G17" i="1"/>
  <x:c r="H16" i="1" s="1"/>
  <x:c r="T66" i="1"/>
  <x:c r="K172" i="1"/>
  <x:c r="G133" i="1"/>
  <x:c r="V172" i="1"/>
  <x:c r="D134" i="1"/>
  <x:c r="L134" i="1"/>
  <x:c r="M134" i="1"/>
  <x:c r="K134" i="1"/>
  <x:c r="G159" i="1"/>
  <x:c r="G171" i="1"/>
  <x:c r="G154" i="1"/>
  <x:c r="H153" i="1" s="1"/>
  <x:c r="G71" i="1"/>
  <x:c r="I68" i="1"/>
  <x:c r="S67" i="1"/>
  <x:c r="R67" i="1"/>
  <x:c r="Q67" i="1"/>
  <x:c r="P67" i="1"/>
  <x:c r="S132" i="1"/>
  <x:c r="R132" i="1"/>
  <x:c r="Q132" i="1"/>
  <x:c r="P132" i="1"/>
  <x:c r="S131" i="1"/>
  <x:c r="R131" i="1"/>
  <x:c r="Q131" i="1"/>
  <x:c r="P131" i="1"/>
  <x:c r="G65" i="1"/>
  <x:c r="T132" i="1" l="1"/>
  <x:c r="T67" i="1"/>
  <x:c r="T131" i="1"/>
  <x:c r="H139" i="1"/>
  <x:c r="H140" i="1"/>
  <x:c r="H141" i="1"/>
  <x:c r="H142" i="1"/>
  <x:c r="H143" i="1"/>
  <x:c r="H144" i="1"/>
  <x:c r="H145" i="1"/>
  <x:c r="H146" i="1"/>
  <x:c r="H147" i="1"/>
  <x:c r="H148" i="1"/>
  <x:c r="H149" i="1"/>
  <x:c r="H150" i="1"/>
  <x:c r="H151" i="1"/>
  <x:c r="H152" i="1"/>
  <x:c r="G172" i="1"/>
  <x:c r="G134" i="1"/>
  <x:c r="I155" i="1"/>
  <x:c r="I156" i="1"/>
  <x:c r="I157" i="1"/>
  <x:c r="I158" i="1"/>
  <x:c r="S68" i="1"/>
  <x:c r="R68" i="1"/>
  <x:c r="Q68" i="1"/>
  <x:c r="P68" i="1"/>
  <x:c r="I69" i="1"/>
  <x:c r="I70" i="1"/>
  <x:c r="T68" i="1" l="1"/>
  <x:c r="S158" i="1"/>
  <x:c r="R158" i="1"/>
  <x:c r="Q158" i="1"/>
  <x:c r="P158" i="1"/>
  <x:c r="T158" i="1" s="1"/>
  <x:c r="S157" i="1"/>
  <x:c r="R157" i="1"/>
  <x:c r="Q157" i="1"/>
  <x:c r="P157" i="1"/>
  <x:c r="S156" i="1"/>
  <x:c r="S159" i="1" s="1"/>
  <x:c r="R156" i="1"/>
  <x:c r="R159" i="1" s="1"/>
  <x:c r="Q156" i="1"/>
  <x:c r="Q159" i="1" s="1"/>
  <x:c r="P156" i="1"/>
  <x:c r="S155" i="1"/>
  <x:c r="R155" i="1"/>
  <x:c r="Q155" i="1"/>
  <x:c r="P155" i="1"/>
  <x:c r="T155" i="1" s="1"/>
  <x:c r="I159" i="1"/>
  <x:c r="I139" i="1"/>
  <x:c r="I140" i="1"/>
  <x:c r="I141" i="1"/>
  <x:c r="I142" i="1"/>
  <x:c r="I143" i="1"/>
  <x:c r="I144" i="1"/>
  <x:c r="I145" i="1"/>
  <x:c r="I146" i="1"/>
  <x:c r="I147" i="1"/>
  <x:c r="I148" i="1"/>
  <x:c r="I149" i="1"/>
  <x:c r="I150" i="1"/>
  <x:c r="I151" i="1"/>
  <x:c r="I152" i="1"/>
  <x:c r="I153" i="1"/>
  <x:c r="S70" i="1"/>
  <x:c r="R70" i="1"/>
  <x:c r="Q70" i="1"/>
  <x:c r="P70" i="1"/>
  <x:c r="S69" i="1"/>
  <x:c r="R69" i="1"/>
  <x:c r="Q69" i="1"/>
  <x:c r="P69" i="1"/>
  <x:c r="T69" i="1" s="1"/>
  <x:c r="I71" i="1"/>
  <x:c r="I19" i="1"/>
  <x:c r="I20" i="1"/>
  <x:c r="I21" i="1"/>
  <x:c r="I22" i="1"/>
  <x:c r="I23" i="1"/>
  <x:c r="I24" i="1"/>
  <x:c r="I25" i="1"/>
  <x:c r="I26" i="1"/>
  <x:c r="I27" i="1"/>
  <x:c r="I28" i="1"/>
  <x:c r="I29" i="1"/>
  <x:c r="I30" i="1"/>
  <x:c r="I31" i="1"/>
  <x:c r="I32" i="1"/>
  <x:c r="I33" i="1"/>
  <x:c r="I34" i="1"/>
  <x:c r="I35" i="1"/>
  <x:c r="I36" i="1"/>
  <x:c r="I37" i="1"/>
  <x:c r="I38" i="1"/>
  <x:c r="I39" i="1"/>
  <x:c r="I40" i="1"/>
  <x:c r="I41" i="1"/>
  <x:c r="I42" i="1"/>
  <x:c r="I43" i="1"/>
  <x:c r="I44" i="1"/>
  <x:c r="I45" i="1"/>
  <x:c r="I46" i="1"/>
  <x:c r="I47" i="1"/>
  <x:c r="I48" i="1"/>
  <x:c r="I49" i="1"/>
  <x:c r="I50" i="1"/>
  <x:c r="I51" i="1"/>
  <x:c r="I52" i="1"/>
  <x:c r="I53" i="1"/>
  <x:c r="I54" i="1"/>
  <x:c r="I55" i="1"/>
  <x:c r="I56" i="1"/>
  <x:c r="I57" i="1"/>
  <x:c r="I58" i="1"/>
  <x:c r="I59" i="1"/>
  <x:c r="I60" i="1"/>
  <x:c r="I61" i="1"/>
  <x:c r="I62" i="1"/>
  <x:c r="I63" i="1"/>
  <x:c r="I64" i="1"/>
  <x:c r="T157" i="1" l="1"/>
  <x:c r="T70" i="1"/>
  <x:c r="T156" i="1"/>
  <x:c r="S153" i="1"/>
  <x:c r="R153" i="1"/>
  <x:c r="Q153" i="1"/>
  <x:c r="P153" i="1"/>
  <x:c r="S152" i="1"/>
  <x:c r="R152" i="1"/>
  <x:c r="Q152" i="1"/>
  <x:c r="P152" i="1"/>
  <x:c r="S151" i="1"/>
  <x:c r="R151" i="1"/>
  <x:c r="Q151" i="1"/>
  <x:c r="P151" i="1"/>
  <x:c r="S150" i="1"/>
  <x:c r="R150" i="1"/>
  <x:c r="Q150" i="1"/>
  <x:c r="P150" i="1"/>
  <x:c r="S149" i="1"/>
  <x:c r="R149" i="1"/>
  <x:c r="Q149" i="1"/>
  <x:c r="P149" i="1"/>
  <x:c r="S148" i="1"/>
  <x:c r="R148" i="1"/>
  <x:c r="Q148" i="1"/>
  <x:c r="P148" i="1"/>
  <x:c r="S147" i="1"/>
  <x:c r="R147" i="1"/>
  <x:c r="Q147" i="1"/>
  <x:c r="P147" i="1"/>
  <x:c r="S146" i="1"/>
  <x:c r="R146" i="1"/>
  <x:c r="Q146" i="1"/>
  <x:c r="P146" i="1"/>
  <x:c r="S145" i="1"/>
  <x:c r="R145" i="1"/>
  <x:c r="Q145" i="1"/>
  <x:c r="P145" i="1"/>
  <x:c r="S144" i="1"/>
  <x:c r="R144" i="1"/>
  <x:c r="Q144" i="1"/>
  <x:c r="P144" i="1"/>
  <x:c r="S143" i="1"/>
  <x:c r="R143" i="1"/>
  <x:c r="Q143" i="1"/>
  <x:c r="P143" i="1"/>
  <x:c r="S142" i="1"/>
  <x:c r="R142" i="1"/>
  <x:c r="Q142" i="1"/>
  <x:c r="P142" i="1"/>
  <x:c r="S141" i="1"/>
  <x:c r="R141" i="1"/>
  <x:c r="Q141" i="1"/>
  <x:c r="P141" i="1"/>
  <x:c r="S140" i="1"/>
  <x:c r="R140" i="1"/>
  <x:c r="Q140" i="1"/>
  <x:c r="P140" i="1"/>
  <x:c r="T140" i="1" s="1"/>
  <x:c r="S139" i="1"/>
  <x:c r="R139" i="1"/>
  <x:c r="Q139" i="1"/>
  <x:c r="P139" i="1"/>
  <x:c r="I154" i="1"/>
  <x:c r="P159" i="1"/>
  <x:c r="S64" i="1"/>
  <x:c r="R64" i="1"/>
  <x:c r="Q64" i="1"/>
  <x:c r="P64" i="1"/>
  <x:c r="T64" i="1" s="1"/>
  <x:c r="S63" i="1"/>
  <x:c r="R63" i="1"/>
  <x:c r="Q63" i="1"/>
  <x:c r="P63" i="1"/>
  <x:c r="S62" i="1"/>
  <x:c r="R62" i="1"/>
  <x:c r="Q62" i="1"/>
  <x:c r="P62" i="1"/>
  <x:c r="T62" i="1" s="1"/>
  <x:c r="S61" i="1"/>
  <x:c r="R61" i="1"/>
  <x:c r="Q61" i="1"/>
  <x:c r="P61" i="1"/>
  <x:c r="T61" i="1" s="1"/>
  <x:c r="S60" i="1"/>
  <x:c r="R60" i="1"/>
  <x:c r="Q60" i="1"/>
  <x:c r="P60" i="1"/>
  <x:c r="S59" i="1"/>
  <x:c r="R59" i="1"/>
  <x:c r="Q59" i="1"/>
  <x:c r="P59" i="1"/>
  <x:c r="T59" i="1" s="1"/>
  <x:c r="S58" i="1"/>
  <x:c r="R58" i="1"/>
  <x:c r="Q58" i="1"/>
  <x:c r="P58" i="1"/>
  <x:c r="T58" i="1" s="1"/>
  <x:c r="S57" i="1"/>
  <x:c r="R57" i="1"/>
  <x:c r="Q57" i="1"/>
  <x:c r="P57" i="1"/>
  <x:c r="S56" i="1"/>
  <x:c r="R56" i="1"/>
  <x:c r="Q56" i="1"/>
  <x:c r="P56" i="1"/>
  <x:c r="T56" i="1" s="1"/>
  <x:c r="S55" i="1"/>
  <x:c r="R55" i="1"/>
  <x:c r="Q55" i="1"/>
  <x:c r="P55" i="1"/>
  <x:c r="T55" i="1" s="1"/>
  <x:c r="S54" i="1"/>
  <x:c r="R54" i="1"/>
  <x:c r="Q54" i="1"/>
  <x:c r="P54" i="1"/>
  <x:c r="S53" i="1"/>
  <x:c r="R53" i="1"/>
  <x:c r="Q53" i="1"/>
  <x:c r="P53" i="1"/>
  <x:c r="S52" i="1"/>
  <x:c r="R52" i="1"/>
  <x:c r="Q52" i="1"/>
  <x:c r="P52" i="1"/>
  <x:c r="T52" i="1" s="1"/>
  <x:c r="S51" i="1"/>
  <x:c r="R51" i="1"/>
  <x:c r="Q51" i="1"/>
  <x:c r="P51" i="1"/>
  <x:c r="S50" i="1"/>
  <x:c r="R50" i="1"/>
  <x:c r="Q50" i="1"/>
  <x:c r="P50" i="1"/>
  <x:c r="S49" i="1"/>
  <x:c r="R49" i="1"/>
  <x:c r="Q49" i="1"/>
  <x:c r="P49" i="1"/>
  <x:c r="T49" i="1" s="1"/>
  <x:c r="S48" i="1"/>
  <x:c r="R48" i="1"/>
  <x:c r="Q48" i="1"/>
  <x:c r="P48" i="1"/>
  <x:c r="S47" i="1"/>
  <x:c r="R47" i="1"/>
  <x:c r="Q47" i="1"/>
  <x:c r="P47" i="1"/>
  <x:c r="S46" i="1"/>
  <x:c r="R46" i="1"/>
  <x:c r="Q46" i="1"/>
  <x:c r="P46" i="1"/>
  <x:c r="T46" i="1" s="1"/>
  <x:c r="S45" i="1"/>
  <x:c r="R45" i="1"/>
  <x:c r="Q45" i="1"/>
  <x:c r="P45" i="1"/>
  <x:c r="S44" i="1"/>
  <x:c r="R44" i="1"/>
  <x:c r="Q44" i="1"/>
  <x:c r="P44" i="1"/>
  <x:c r="S43" i="1"/>
  <x:c r="R43" i="1"/>
  <x:c r="Q43" i="1"/>
  <x:c r="P43" i="1"/>
  <x:c r="T43" i="1" s="1"/>
  <x:c r="S42" i="1"/>
  <x:c r="R42" i="1"/>
  <x:c r="Q42" i="1"/>
  <x:c r="P42" i="1"/>
  <x:c r="S41" i="1"/>
  <x:c r="R41" i="1"/>
  <x:c r="Q41" i="1"/>
  <x:c r="P41" i="1"/>
  <x:c r="S40" i="1"/>
  <x:c r="R40" i="1"/>
  <x:c r="Q40" i="1"/>
  <x:c r="P40" i="1"/>
  <x:c r="T40" i="1" s="1"/>
  <x:c r="S39" i="1"/>
  <x:c r="R39" i="1"/>
  <x:c r="Q39" i="1"/>
  <x:c r="P39" i="1"/>
  <x:c r="S38" i="1"/>
  <x:c r="R38" i="1"/>
  <x:c r="Q38" i="1"/>
  <x:c r="P38" i="1"/>
  <x:c r="S37" i="1"/>
  <x:c r="R37" i="1"/>
  <x:c r="Q37" i="1"/>
  <x:c r="P37" i="1"/>
  <x:c r="T37" i="1" s="1"/>
  <x:c r="S36" i="1"/>
  <x:c r="R36" i="1"/>
  <x:c r="Q36" i="1"/>
  <x:c r="P36" i="1"/>
  <x:c r="S35" i="1"/>
  <x:c r="R35" i="1"/>
  <x:c r="Q35" i="1"/>
  <x:c r="P35" i="1"/>
  <x:c r="S34" i="1"/>
  <x:c r="R34" i="1"/>
  <x:c r="Q34" i="1"/>
  <x:c r="P34" i="1"/>
  <x:c r="T34" i="1" s="1"/>
  <x:c r="S33" i="1"/>
  <x:c r="R33" i="1"/>
  <x:c r="Q33" i="1"/>
  <x:c r="P33" i="1"/>
  <x:c r="S32" i="1"/>
  <x:c r="R32" i="1"/>
  <x:c r="Q32" i="1"/>
  <x:c r="P32" i="1"/>
  <x:c r="S31" i="1"/>
  <x:c r="R31" i="1"/>
  <x:c r="Q31" i="1"/>
  <x:c r="P31" i="1"/>
  <x:c r="T31" i="1" s="1"/>
  <x:c r="S30" i="1"/>
  <x:c r="R30" i="1"/>
  <x:c r="Q30" i="1"/>
  <x:c r="P30" i="1"/>
  <x:c r="S29" i="1"/>
  <x:c r="R29" i="1"/>
  <x:c r="Q29" i="1"/>
  <x:c r="P29" i="1"/>
  <x:c r="S28" i="1"/>
  <x:c r="R28" i="1"/>
  <x:c r="Q28" i="1"/>
  <x:c r="P28" i="1"/>
  <x:c r="T28" i="1" s="1"/>
  <x:c r="S27" i="1"/>
  <x:c r="R27" i="1"/>
  <x:c r="Q27" i="1"/>
  <x:c r="P27" i="1"/>
  <x:c r="S26" i="1"/>
  <x:c r="R26" i="1"/>
  <x:c r="Q26" i="1"/>
  <x:c r="P26" i="1"/>
  <x:c r="S25" i="1"/>
  <x:c r="R25" i="1"/>
  <x:c r="Q25" i="1"/>
  <x:c r="P25" i="1"/>
  <x:c r="T25" i="1" s="1"/>
  <x:c r="S24" i="1"/>
  <x:c r="R24" i="1"/>
  <x:c r="Q24" i="1"/>
  <x:c r="P24" i="1"/>
  <x:c r="S23" i="1"/>
  <x:c r="R23" i="1"/>
  <x:c r="Q23" i="1"/>
  <x:c r="P23" i="1"/>
  <x:c r="S22" i="1"/>
  <x:c r="R22" i="1"/>
  <x:c r="Q22" i="1"/>
  <x:c r="P22" i="1"/>
  <x:c r="T22" i="1" s="1"/>
  <x:c r="S21" i="1"/>
  <x:c r="R21" i="1"/>
  <x:c r="Q21" i="1"/>
  <x:c r="P21" i="1"/>
  <x:c r="S20" i="1"/>
  <x:c r="R20" i="1"/>
  <x:c r="Q20" i="1"/>
  <x:c r="P20" i="1"/>
  <x:c r="S19" i="1"/>
  <x:c r="R19" i="1"/>
  <x:c r="Q19" i="1"/>
  <x:c r="P19" i="1"/>
  <x:c r="T19" i="1" s="1"/>
  <x:c r="I65" i="1"/>
  <x:c r="S71" i="1"/>
  <x:c r="R71" i="1"/>
  <x:c r="Q71" i="1"/>
  <x:c r="P71" i="1"/>
  <x:c r="T143" i="1" l="1"/>
  <x:c r="T146" i="1"/>
  <x:c r="T149" i="1"/>
  <x:c r="T152" i="1"/>
  <x:c r="R154" i="1"/>
  <x:c r="T159" i="1"/>
  <x:c r="S154" i="1"/>
  <x:c r="Q154" i="1"/>
  <x:c r="T20" i="1"/>
  <x:c r="T23" i="1"/>
  <x:c r="T26" i="1"/>
  <x:c r="T29" i="1"/>
  <x:c r="T32" i="1"/>
  <x:c r="T35" i="1"/>
  <x:c r="T38" i="1"/>
  <x:c r="T41" i="1"/>
  <x:c r="T44" i="1"/>
  <x:c r="T47" i="1"/>
  <x:c r="T50" i="1"/>
  <x:c r="T53" i="1"/>
  <x:c r="T141" i="1"/>
  <x:c r="T144" i="1"/>
  <x:c r="T147" i="1"/>
  <x:c r="T150" i="1"/>
  <x:c r="T153" i="1"/>
  <x:c r="T71" i="1"/>
  <x:c r="T27" i="1"/>
  <x:c r="T36" i="1"/>
  <x:c r="T45" i="1"/>
  <x:c r="T51" i="1"/>
  <x:c r="T54" i="1"/>
  <x:c r="T63" i="1"/>
  <x:c r="T24" i="1"/>
  <x:c r="T33" i="1"/>
  <x:c r="T42" i="1"/>
  <x:c r="T60" i="1"/>
  <x:c r="T21" i="1"/>
  <x:c r="T30" i="1"/>
  <x:c r="T39" i="1"/>
  <x:c r="T48" i="1"/>
  <x:c r="T57" i="1"/>
  <x:c r="T142" i="1"/>
  <x:c r="T145" i="1"/>
  <x:c r="T148" i="1"/>
  <x:c r="T151" i="1"/>
  <x:c r="T139" i="1"/>
  <x:c r="P154" i="1"/>
  <x:c r="S65" i="1"/>
  <x:c r="R65" i="1"/>
  <x:c r="Q65" i="1"/>
  <x:c r="P65" i="1"/>
  <x:c r="S12" i="1"/>
  <x:c r="Q12" i="1"/>
  <x:c r="P12" i="1"/>
  <x:c r="T154" i="1" l="1"/>
  <x:c r="T65" i="1"/>
  <x:c r="AB144" i="1"/>
  <x:c r="AB154" i="1" s="1"/>
  <x:c r="AA144" i="1"/>
  <x:c r="AA154" i="1" s="1"/>
  <x:c r="Z144" i="1"/>
  <x:c r="Z154" i="1" s="1"/>
  <x:c r="Y144" i="1"/>
  <x:c r="Y154" i="1" s="1"/>
  <x:c r="X144" i="1"/>
  <x:c r="X154" i="1" s="1"/>
  <x:c r="X172" i="1" s="1"/>
  <x:c r="N12" i="1"/>
  <x:c r="L12" i="1"/>
  <x:c r="K12" i="1"/>
  <x:c r="D17" i="1"/>
  <x:c r="G11" i="1"/>
  <x:c r="G10" i="1"/>
  <x:c r="G9" i="1"/>
  <x:c r="G8" i="1"/>
  <x:c r="G12" i="1" l="1"/>
  <x:c r="I173" i="1" s="1"/>
  <x:c r="D12" i="1" l="1"/>
  <x:c r="I12" i="1" l="1"/>
  <x:c r="I72" i="1"/>
  <x:c r="I73" i="1"/>
  <x:c r="I74" i="1"/>
  <x:c r="I75" i="1"/>
  <x:c r="I76" i="1"/>
  <x:c r="I77" i="1"/>
  <x:c r="I78" i="1"/>
  <x:c r="I79" i="1"/>
  <x:c r="I80" i="1"/>
  <x:c r="I81" i="1"/>
  <x:c r="I82" i="1"/>
  <x:c r="I83" i="1"/>
  <x:c r="I84" i="1"/>
  <x:c r="I85" i="1"/>
  <x:c r="I86" i="1"/>
  <x:c r="I87" i="1"/>
  <x:c r="I88" i="1"/>
  <x:c r="I89" i="1"/>
  <x:c r="I90" i="1"/>
  <x:c r="I91" i="1"/>
  <x:c r="I92" i="1"/>
  <x:c r="I93" i="1"/>
  <x:c r="I94" i="1"/>
  <x:c r="I95" i="1"/>
  <x:c r="I96" i="1"/>
  <x:c r="I97" i="1"/>
  <x:c r="I98" i="1"/>
  <x:c r="I99" i="1"/>
  <x:c r="I100" i="1"/>
  <x:c r="I101" i="1"/>
  <x:c r="I102" i="1"/>
  <x:c r="I103" i="1"/>
  <x:c r="I104" i="1"/>
  <x:c r="I105" i="1"/>
  <x:c r="I106" i="1"/>
  <x:c r="I107" i="1"/>
  <x:c r="I108" i="1"/>
  <x:c r="I109" i="1"/>
  <x:c r="I110" i="1"/>
  <x:c r="I111" i="1"/>
  <x:c r="I112" i="1"/>
  <x:c r="I113" i="1"/>
  <x:c r="I114" i="1"/>
  <x:c r="I115" i="1"/>
  <x:c r="I116" i="1"/>
  <x:c r="I117" i="1"/>
  <x:c r="I118" i="1"/>
  <x:c r="I119" i="1"/>
  <x:c r="I120" i="1"/>
  <x:c r="I121" i="1"/>
  <x:c r="I122" i="1"/>
  <x:c r="I123" i="1"/>
  <x:c r="I124" i="1"/>
  <x:c r="I125" i="1"/>
  <x:c r="I126" i="1"/>
  <x:c r="I127" i="1"/>
  <x:c r="I128" i="1"/>
  <x:c r="I129" i="1"/>
  <x:c r="I130" i="1"/>
  <x:c r="I133" i="1" l="1"/>
  <x:c r="S130" i="1"/>
  <x:c r="R130" i="1"/>
  <x:c r="Q130" i="1"/>
  <x:c r="P130" i="1"/>
  <x:c r="S129" i="1"/>
  <x:c r="R129" i="1"/>
  <x:c r="Q129" i="1"/>
  <x:c r="P129" i="1"/>
  <x:c r="T129" i="1" s="1"/>
  <x:c r="S128" i="1"/>
  <x:c r="R128" i="1"/>
  <x:c r="Q128" i="1"/>
  <x:c r="P128" i="1"/>
  <x:c r="S127" i="1"/>
  <x:c r="R127" i="1"/>
  <x:c r="Q127" i="1"/>
  <x:c r="P127" i="1"/>
  <x:c r="S126" i="1"/>
  <x:c r="R126" i="1"/>
  <x:c r="Q126" i="1"/>
  <x:c r="P126" i="1"/>
  <x:c r="T126" i="1" s="1"/>
  <x:c r="S125" i="1"/>
  <x:c r="R125" i="1"/>
  <x:c r="Q125" i="1"/>
  <x:c r="P125" i="1"/>
  <x:c r="S124" i="1"/>
  <x:c r="R124" i="1"/>
  <x:c r="Q124" i="1"/>
  <x:c r="P124" i="1"/>
  <x:c r="S123" i="1"/>
  <x:c r="R123" i="1"/>
  <x:c r="Q123" i="1"/>
  <x:c r="P123" i="1"/>
  <x:c r="T123" i="1" s="1"/>
  <x:c r="S122" i="1"/>
  <x:c r="R122" i="1"/>
  <x:c r="Q122" i="1"/>
  <x:c r="P122" i="1"/>
  <x:c r="S121" i="1"/>
  <x:c r="R121" i="1"/>
  <x:c r="Q121" i="1"/>
  <x:c r="P121" i="1"/>
  <x:c r="S120" i="1"/>
  <x:c r="R120" i="1"/>
  <x:c r="Q120" i="1"/>
  <x:c r="P120" i="1"/>
  <x:c r="T120" i="1" s="1"/>
  <x:c r="S119" i="1"/>
  <x:c r="R119" i="1"/>
  <x:c r="Q119" i="1"/>
  <x:c r="P119" i="1"/>
  <x:c r="S118" i="1"/>
  <x:c r="R118" i="1"/>
  <x:c r="Q118" i="1"/>
  <x:c r="P118" i="1"/>
  <x:c r="S117" i="1"/>
  <x:c r="R117" i="1"/>
  <x:c r="Q117" i="1"/>
  <x:c r="P117" i="1"/>
  <x:c r="T117" i="1" s="1"/>
  <x:c r="S116" i="1"/>
  <x:c r="R116" i="1"/>
  <x:c r="Q116" i="1"/>
  <x:c r="P116" i="1"/>
  <x:c r="S115" i="1"/>
  <x:c r="R115" i="1"/>
  <x:c r="Q115" i="1"/>
  <x:c r="P115" i="1"/>
  <x:c r="S114" i="1"/>
  <x:c r="R114" i="1"/>
  <x:c r="Q114" i="1"/>
  <x:c r="P114" i="1"/>
  <x:c r="T114" i="1" s="1"/>
  <x:c r="S113" i="1"/>
  <x:c r="R113" i="1"/>
  <x:c r="Q113" i="1"/>
  <x:c r="P113" i="1"/>
  <x:c r="S112" i="1"/>
  <x:c r="R112" i="1"/>
  <x:c r="Q112" i="1"/>
  <x:c r="P112" i="1"/>
  <x:c r="S111" i="1"/>
  <x:c r="R111" i="1"/>
  <x:c r="Q111" i="1"/>
  <x:c r="P111" i="1"/>
  <x:c r="T111" i="1" s="1"/>
  <x:c r="S110" i="1"/>
  <x:c r="R110" i="1"/>
  <x:c r="Q110" i="1"/>
  <x:c r="P110" i="1"/>
  <x:c r="S109" i="1"/>
  <x:c r="R109" i="1"/>
  <x:c r="Q109" i="1"/>
  <x:c r="P109" i="1"/>
  <x:c r="S108" i="1"/>
  <x:c r="R108" i="1"/>
  <x:c r="Q108" i="1"/>
  <x:c r="P108" i="1"/>
  <x:c r="T108" i="1" s="1"/>
  <x:c r="S107" i="1"/>
  <x:c r="R107" i="1"/>
  <x:c r="Q107" i="1"/>
  <x:c r="P107" i="1"/>
  <x:c r="S106" i="1"/>
  <x:c r="R106" i="1"/>
  <x:c r="Q106" i="1"/>
  <x:c r="P106" i="1"/>
  <x:c r="S105" i="1"/>
  <x:c r="R105" i="1"/>
  <x:c r="Q105" i="1"/>
  <x:c r="P105" i="1"/>
  <x:c r="T105" i="1" s="1"/>
  <x:c r="S104" i="1"/>
  <x:c r="R104" i="1"/>
  <x:c r="Q104" i="1"/>
  <x:c r="P104" i="1"/>
  <x:c r="S103" i="1"/>
  <x:c r="R103" i="1"/>
  <x:c r="Q103" i="1"/>
  <x:c r="P103" i="1"/>
  <x:c r="S102" i="1"/>
  <x:c r="R102" i="1"/>
  <x:c r="Q102" i="1"/>
  <x:c r="P102" i="1"/>
  <x:c r="T102" i="1" s="1"/>
  <x:c r="S101" i="1"/>
  <x:c r="R101" i="1"/>
  <x:c r="Q101" i="1"/>
  <x:c r="P101" i="1"/>
  <x:c r="S100" i="1"/>
  <x:c r="R100" i="1"/>
  <x:c r="Q100" i="1"/>
  <x:c r="P100" i="1"/>
  <x:c r="S99" i="1"/>
  <x:c r="R99" i="1"/>
  <x:c r="Q99" i="1"/>
  <x:c r="P99" i="1"/>
  <x:c r="T99" i="1" s="1"/>
  <x:c r="S98" i="1"/>
  <x:c r="R98" i="1"/>
  <x:c r="Q98" i="1"/>
  <x:c r="P98" i="1"/>
  <x:c r="S97" i="1"/>
  <x:c r="R97" i="1"/>
  <x:c r="Q97" i="1"/>
  <x:c r="P97" i="1"/>
  <x:c r="S96" i="1"/>
  <x:c r="R96" i="1"/>
  <x:c r="Q96" i="1"/>
  <x:c r="P96" i="1"/>
  <x:c r="T96" i="1" s="1"/>
  <x:c r="S95" i="1"/>
  <x:c r="R95" i="1"/>
  <x:c r="Q95" i="1"/>
  <x:c r="P95" i="1"/>
  <x:c r="S94" i="1"/>
  <x:c r="R94" i="1"/>
  <x:c r="Q94" i="1"/>
  <x:c r="P94" i="1"/>
  <x:c r="S93" i="1"/>
  <x:c r="R93" i="1"/>
  <x:c r="Q93" i="1"/>
  <x:c r="P93" i="1"/>
  <x:c r="T93" i="1" s="1"/>
  <x:c r="S92" i="1"/>
  <x:c r="R92" i="1"/>
  <x:c r="Q92" i="1"/>
  <x:c r="P92" i="1"/>
  <x:c r="S91" i="1"/>
  <x:c r="R91" i="1"/>
  <x:c r="Q91" i="1"/>
  <x:c r="P91" i="1"/>
  <x:c r="S90" i="1"/>
  <x:c r="R90" i="1"/>
  <x:c r="Q90" i="1"/>
  <x:c r="P90" i="1"/>
  <x:c r="T90" i="1" s="1"/>
  <x:c r="S89" i="1"/>
  <x:c r="R89" i="1"/>
  <x:c r="Q89" i="1"/>
  <x:c r="P89" i="1"/>
  <x:c r="S88" i="1"/>
  <x:c r="R88" i="1"/>
  <x:c r="Q88" i="1"/>
  <x:c r="P88" i="1"/>
  <x:c r="S87" i="1"/>
  <x:c r="R87" i="1"/>
  <x:c r="Q87" i="1"/>
  <x:c r="P87" i="1"/>
  <x:c r="T87" i="1" s="1"/>
  <x:c r="S86" i="1"/>
  <x:c r="R86" i="1"/>
  <x:c r="Q86" i="1"/>
  <x:c r="P86" i="1"/>
  <x:c r="S85" i="1"/>
  <x:c r="R85" i="1"/>
  <x:c r="Q85" i="1"/>
  <x:c r="P85" i="1"/>
  <x:c r="S84" i="1"/>
  <x:c r="R84" i="1"/>
  <x:c r="Q84" i="1"/>
  <x:c r="P84" i="1"/>
  <x:c r="T84" i="1" s="1"/>
  <x:c r="S83" i="1"/>
  <x:c r="R83" i="1"/>
  <x:c r="Q83" i="1"/>
  <x:c r="P83" i="1"/>
  <x:c r="S82" i="1"/>
  <x:c r="R82" i="1"/>
  <x:c r="Q82" i="1"/>
  <x:c r="P82" i="1"/>
  <x:c r="S81" i="1"/>
  <x:c r="R81" i="1"/>
  <x:c r="Q81" i="1"/>
  <x:c r="P81" i="1"/>
  <x:c r="T81" i="1" s="1"/>
  <x:c r="S80" i="1"/>
  <x:c r="R80" i="1"/>
  <x:c r="Q80" i="1"/>
  <x:c r="P80" i="1"/>
  <x:c r="S79" i="1"/>
  <x:c r="R79" i="1"/>
  <x:c r="Q79" i="1"/>
  <x:c r="P79" i="1"/>
  <x:c r="S78" i="1"/>
  <x:c r="R78" i="1"/>
  <x:c r="Q78" i="1"/>
  <x:c r="P78" i="1"/>
  <x:c r="T78" i="1" s="1"/>
  <x:c r="S77" i="1"/>
  <x:c r="R77" i="1"/>
  <x:c r="Q77" i="1"/>
  <x:c r="P77" i="1"/>
  <x:c r="S76" i="1"/>
  <x:c r="R76" i="1"/>
  <x:c r="Q76" i="1"/>
  <x:c r="P76" i="1"/>
  <x:c r="S75" i="1"/>
  <x:c r="R75" i="1"/>
  <x:c r="Q75" i="1"/>
  <x:c r="P75" i="1"/>
  <x:c r="T75" i="1" s="1"/>
  <x:c r="S74" i="1"/>
  <x:c r="R74" i="1"/>
  <x:c r="Q74" i="1"/>
  <x:c r="P74" i="1"/>
  <x:c r="S73" i="1"/>
  <x:c r="R73" i="1"/>
  <x:c r="Q73" i="1"/>
  <x:c r="P73" i="1"/>
  <x:c r="S72" i="1"/>
  <x:c r="R72" i="1"/>
  <x:c r="Q72" i="1"/>
  <x:c r="P72" i="1"/>
  <x:c r="T72" i="1" s="1"/>
  <x:c r="T73" i="1" l="1"/>
  <x:c r="T76" i="1"/>
  <x:c r="T79" i="1"/>
  <x:c r="T82" i="1"/>
  <x:c r="T85" i="1"/>
  <x:c r="T88" i="1"/>
  <x:c r="T91" i="1"/>
  <x:c r="T94" i="1"/>
  <x:c r="T97" i="1"/>
  <x:c r="T100" i="1"/>
  <x:c r="T103" i="1"/>
  <x:c r="T106" i="1"/>
  <x:c r="T109" i="1"/>
  <x:c r="T112" i="1"/>
  <x:c r="T115" i="1"/>
  <x:c r="T118" i="1"/>
  <x:c r="T121" i="1"/>
  <x:c r="T124" i="1"/>
  <x:c r="T127" i="1"/>
  <x:c r="T130" i="1"/>
  <x:c r="T74" i="1"/>
  <x:c r="T77" i="1"/>
  <x:c r="T80" i="1"/>
  <x:c r="T83" i="1"/>
  <x:c r="T86" i="1"/>
  <x:c r="T89" i="1"/>
  <x:c r="T92" i="1"/>
  <x:c r="T95" i="1"/>
  <x:c r="T98" i="1"/>
  <x:c r="T101" i="1"/>
  <x:c r="T104" i="1"/>
  <x:c r="T107" i="1"/>
  <x:c r="T110" i="1"/>
  <x:c r="T113" i="1"/>
  <x:c r="T116" i="1"/>
  <x:c r="T119" i="1"/>
  <x:c r="T122" i="1"/>
  <x:c r="T125" i="1"/>
  <x:c r="T128" i="1"/>
  <x:c r="P133" i="1"/>
  <x:c r="P134" i="1" s="1"/>
  <x:c r="Q133" i="1"/>
  <x:c r="Q134" i="1" s="1"/>
  <x:c r="R133" i="1"/>
  <x:c r="R134" i="1" s="1"/>
  <x:c r="S133" i="1"/>
  <x:c r="S134" i="1" s="1"/>
  <x:c r="H13" i="1" l="1"/>
  <x:c r="I13" i="1"/>
  <x:c r="I16" i="1"/>
  <x:c r="S16" i="1" s="1"/>
  <x:c r="H15" i="1"/>
  <x:c r="I15" i="1"/>
  <x:c r="S15" i="1" s="1"/>
  <x:c r="H14" i="1"/>
  <x:c r="I14" i="1"/>
  <x:c r="S14" i="1" s="1"/>
  <x:c r="I17" i="1" l="1"/>
  <x:c r="P14" i="1"/>
  <x:c r="Q14" i="1"/>
  <x:c r="R14" i="1"/>
  <x:c r="P15" i="1"/>
  <x:c r="Q15" i="1"/>
  <x:c r="R15" i="1"/>
  <x:c r="P16" i="1"/>
  <x:c r="Q16" i="1"/>
  <x:c r="R16" i="1"/>
  <x:c r="P13" i="1"/>
  <x:c r="P17" i="1" s="1"/>
  <x:c r="Q13" i="1"/>
  <x:c r="Q17" i="1" s="1"/>
  <x:c r="R13" i="1"/>
  <x:c r="S13" i="1"/>
  <x:c r="S17" i="1" s="1"/>
  <x:c r="I160" i="1"/>
  <x:c r="Q160" i="1"/>
  <x:c r="I161" i="1"/>
  <x:c r="S161" i="1"/>
  <x:c r="I162" i="1"/>
  <x:c r="S162" i="1" s="1"/>
  <x:c r="I163" i="1"/>
  <x:c r="S163" i="1"/>
  <x:c r="I164" i="1"/>
  <x:c r="S164" i="1"/>
  <x:c r="I165" i="1"/>
  <x:c r="S165" i="1" s="1"/>
  <x:c r="I166" i="1"/>
  <x:c r="S166" i="1" s="1"/>
  <x:c r="I167" i="1"/>
  <x:c r="S167" i="1"/>
  <x:c r="I168" i="1"/>
  <x:c r="S168" i="1"/>
  <x:c r="I169" i="1"/>
  <x:c r="S169" i="1"/>
  <x:c r="I170" i="1"/>
  <x:c r="S170" i="1"/>
  <x:c r="R17" i="1" l="1"/>
  <x:c r="P170" i="1"/>
  <x:c r="Q170" i="1"/>
  <x:c r="R170" i="1"/>
  <x:c r="P169" i="1"/>
  <x:c r="Q169" i="1"/>
  <x:c r="R169" i="1"/>
  <x:c r="P168" i="1"/>
  <x:c r="Q168" i="1"/>
  <x:c r="R168" i="1"/>
  <x:c r="P167" i="1"/>
  <x:c r="Q167" i="1"/>
  <x:c r="R167" i="1"/>
  <x:c r="P166" i="1"/>
  <x:c r="Q166" i="1"/>
  <x:c r="R166" i="1"/>
  <x:c r="P165" i="1"/>
  <x:c r="Q165" i="1"/>
  <x:c r="R165" i="1"/>
  <x:c r="P164" i="1"/>
  <x:c r="Q164" i="1"/>
  <x:c r="R164" i="1"/>
  <x:c r="P163" i="1"/>
  <x:c r="Q163" i="1"/>
  <x:c r="Q171" i="1" s="1"/>
  <x:c r="Q172" i="1" s="1"/>
  <x:c r="Q174" i="1" s="1"/>
  <x:c r="R163" i="1"/>
  <x:c r="P162" i="1"/>
  <x:c r="Q162" i="1"/>
  <x:c r="R162" i="1"/>
  <x:c r="P161" i="1"/>
  <x:c r="Q161" i="1"/>
  <x:c r="R161" i="1"/>
  <x:c r="P160" i="1"/>
  <x:c r="I171" i="1"/>
  <x:c r="S160" i="1"/>
  <x:c r="S171" i="1" s="1"/>
  <x:c r="S172" i="1" s="1"/>
  <x:c r="S174" i="1" s="1"/>
  <x:c r="R160" i="1"/>
  <x:c r="R171" i="1" s="1"/>
  <x:c r="R172" i="1" s="1"/>
  <x:c r="R174" i="1" s="1"/>
  <x:c r="P171" i="1" l="1"/>
  <x:c r="P172" i="1" s="1"/>
  <x:c r="P174" i="1" s="1"/>
  <x:c r="T160" i="1"/>
  <x:c r="T161" i="1"/>
  <x:c r="T162" i="1"/>
  <x:c r="T163" i="1"/>
  <x:c r="T164" i="1"/>
  <x:c r="T165" i="1"/>
  <x:c r="T166" i="1"/>
  <x:c r="T167" i="1"/>
  <x:c r="T168" i="1"/>
  <x:c r="T169" i="1"/>
  <x:c r="T170" i="1"/>
  <x:c r="T171" i="1" l="1"/>
  <x:c r="T172" i="1" s="1"/>
  <x:c r="T174" i="1" s="1"/>
</x:calcChain>
</file>

<file path=xl/sharedStrings.xml><?xml version="1.0" encoding="utf-8"?>
<sst xmlns="http://schemas.openxmlformats.org/spreadsheetml/2006/main" count="350" uniqueCount="53">
  <si>
    <t>Plant Account</t>
  </si>
  <si>
    <t>Vintage</t>
  </si>
  <si>
    <t>Amount</t>
  </si>
  <si>
    <t>303</t>
  </si>
  <si>
    <t>DIST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</si>
  <si>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</si>
  <si>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</si>
  <si>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</si>
  <si>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</si>
  <si>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</si>
  <si>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</si>
  <si>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</si>
  <si>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</si>
  <si>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</si>
  <si>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</si>
  <si>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</si>
  <si>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</si>
  <si>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TRAN</t>
  </si>
  <si>
    <t>MET</t>
  </si>
  <si>
    <t>TDCS</t>
  </si>
  <si>
    <t>ASL</t>
  </si>
  <si>
    <t>RL</t>
  </si>
  <si>
    <t>Proration Factor</t>
  </si>
  <si>
    <t>Allocated Reserve</t>
  </si>
  <si>
    <t>Age</t>
  </si>
  <si>
    <t>Theo Res</t>
  </si>
  <si>
    <t xml:space="preserve"> </t>
  </si>
  <si>
    <t xml:space="preserve">Plant $ Allocation by Function </t>
  </si>
  <si>
    <t>Accumulated Depreciation Allocation by Function</t>
  </si>
  <si>
    <t>2024</t>
  </si>
  <si>
    <t>2023</t>
  </si>
  <si>
    <t>2022</t>
  </si>
  <si>
    <t>Plant Allocation</t>
  </si>
  <si>
    <t>Acccumulated Depreciation Allocation</t>
  </si>
  <si>
    <t>351.2 15 Year</t>
  </si>
  <si>
    <t>351.2 3 Yr</t>
  </si>
  <si>
    <t>363.2 15 yr</t>
  </si>
  <si>
    <t>363.2 5 yr</t>
  </si>
  <si>
    <t>363.2 8 yr</t>
  </si>
  <si>
    <t>363.2 8 yr Total</t>
  </si>
  <si>
    <t>363.2 5 yr Total</t>
  </si>
  <si>
    <t>363.2 15 yr Total</t>
  </si>
  <si>
    <t>351.2 15 Year Total</t>
  </si>
  <si>
    <t>351.2 3 Yr Total</t>
  </si>
  <si>
    <t>397.2 Total</t>
  </si>
  <si>
    <t>Total 351.2</t>
  </si>
  <si>
    <t>351.2 8 Yr</t>
  </si>
  <si>
    <t>351.2 5 Yr</t>
  </si>
  <si>
    <t>363.2 Total</t>
  </si>
  <si>
    <t>Fully Accrued</t>
  </si>
  <si>
    <t>Total</t>
  </si>
  <si>
    <t>303 - IMS</t>
  </si>
  <si>
    <t>Total Intangible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</si>
</sst>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Unicode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u val="singleAccounting"/>
      <sz val="10"/>
      <color theme="1"/>
      <name val="Arial"/>
      <family val="2"/>
    </font>
    <font>
      <u val="singleAccounting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85">
    <xf numFmtId="0" fontId="0" fillId="0" borderId="0" xfId="0"/>
    <xf numFmtId="43" fontId="0" fillId="0" borderId="0" xfId="1" applyFont="1"/>
    <xf numFmtId="39" fontId="0" fillId="0" borderId="0" xfId="1" applyNumberFormat="1" applyFont="1"/>
    <xf numFmtId="43" fontId="3" fillId="0" borderId="0" xfId="1" applyFont="1" applyBorder="1"/>
    <xf numFmtId="43" fontId="0" fillId="0" borderId="0" xfId="1" applyFont="1" applyBorder="1"/>
    <xf numFmtId="0" fontId="0" fillId="0" borderId="0" xfId="0" applyBorder="1"/>
    <xf numFmtId="39" fontId="0" fillId="0" borderId="0" xfId="1" applyNumberFormat="1" applyFont="1" applyBorder="1"/>
    <xf numFmtId="43" fontId="7" fillId="0" borderId="0" xfId="1" applyFont="1" applyBorder="1"/>
    <xf numFmtId="43" fontId="0" fillId="0" borderId="0" xfId="1" applyFont="1" applyFill="1" applyBorder="1"/>
    <xf numFmtId="43" fontId="0" fillId="0" borderId="0" xfId="1" applyFont="1" applyFill="1"/>
    <xf numFmtId="0" fontId="5" fillId="0" borderId="0" xfId="0" applyFont="1"/>
    <xf numFmtId="43" fontId="5" fillId="0" borderId="0" xfId="1" applyFont="1"/>
    <xf numFmtId="39" fontId="5" fillId="0" borderId="0" xfId="1" applyNumberFormat="1" applyFont="1"/>
    <xf numFmtId="43" fontId="4" fillId="0" borderId="0" xfId="1" applyFont="1" applyBorder="1"/>
    <xf numFmtId="0" fontId="4" fillId="0" borderId="5" xfId="0" applyFont="1" applyBorder="1" applyAlignment="1">
      <alignment horizontal="left"/>
    </xf>
    <xf numFmtId="43" fontId="4" fillId="0" borderId="5" xfId="1" applyFont="1" applyBorder="1" applyAlignment="1">
      <alignment horizontal="left"/>
    </xf>
    <xf numFmtId="39" fontId="4" fillId="0" borderId="5" xfId="1" applyNumberFormat="1" applyFont="1" applyBorder="1" applyAlignment="1">
      <alignment horizontal="left"/>
    </xf>
    <xf numFmtId="43" fontId="4" fillId="0" borderId="0" xfId="1" applyFont="1" applyBorder="1" applyAlignment="1">
      <alignment horizontal="left"/>
    </xf>
    <xf numFmtId="43" fontId="4" fillId="0" borderId="0" xfId="1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43" fontId="3" fillId="0" borderId="0" xfId="1" applyFont="1" applyBorder="1" applyAlignment="1">
      <alignment horizontal="left"/>
    </xf>
    <xf numFmtId="39" fontId="3" fillId="0" borderId="0" xfId="1" applyNumberFormat="1" applyFont="1" applyBorder="1" applyAlignment="1">
      <alignment horizontal="left"/>
    </xf>
    <xf numFmtId="43" fontId="3" fillId="0" borderId="6" xfId="1" applyFont="1" applyBorder="1" applyAlignment="1">
      <alignment horizontal="left"/>
    </xf>
    <xf numFmtId="43" fontId="3" fillId="0" borderId="7" xfId="1" applyFont="1" applyBorder="1" applyAlignment="1">
      <alignment horizontal="left"/>
    </xf>
    <xf numFmtId="43" fontId="3" fillId="0" borderId="8" xfId="1" applyFont="1" applyBorder="1" applyAlignment="1">
      <alignment horizontal="left"/>
    </xf>
    <xf numFmtId="43" fontId="3" fillId="0" borderId="6" xfId="1" applyFont="1" applyFill="1" applyBorder="1" applyAlignment="1">
      <alignment horizontal="left"/>
    </xf>
    <xf numFmtId="43" fontId="3" fillId="0" borderId="7" xfId="1" applyFont="1" applyFill="1" applyBorder="1" applyAlignment="1">
      <alignment horizontal="left"/>
    </xf>
    <xf numFmtId="43" fontId="3" fillId="0" borderId="8" xfId="1" applyFont="1" applyFill="1" applyBorder="1" applyAlignment="1">
      <alignment horizontal="left"/>
    </xf>
    <xf numFmtId="43" fontId="3" fillId="0" borderId="9" xfId="1" applyFont="1" applyBorder="1" applyAlignment="1">
      <alignment horizontal="left"/>
    </xf>
    <xf numFmtId="43" fontId="3" fillId="0" borderId="10" xfId="1" applyFont="1" applyBorder="1" applyAlignment="1">
      <alignment horizontal="left"/>
    </xf>
    <xf numFmtId="43" fontId="3" fillId="0" borderId="9" xfId="1" applyFont="1" applyFill="1" applyBorder="1" applyAlignment="1">
      <alignment horizontal="left"/>
    </xf>
    <xf numFmtId="43" fontId="3" fillId="0" borderId="0" xfId="1" applyFont="1" applyFill="1" applyBorder="1" applyAlignment="1">
      <alignment horizontal="left"/>
    </xf>
    <xf numFmtId="43" fontId="3" fillId="0" borderId="10" xfId="1" applyFont="1" applyFill="1" applyBorder="1" applyAlignment="1">
      <alignment horizontal="left"/>
    </xf>
    <xf numFmtId="39" fontId="3" fillId="0" borderId="0" xfId="0" applyNumberFormat="1" applyFont="1" applyBorder="1" applyAlignment="1">
      <alignment horizontal="left"/>
    </xf>
    <xf numFmtId="39" fontId="3" fillId="0" borderId="9" xfId="1" applyNumberFormat="1" applyFont="1" applyBorder="1" applyAlignment="1">
      <alignment horizontal="left"/>
    </xf>
    <xf numFmtId="39" fontId="0" fillId="0" borderId="0" xfId="1" applyNumberFormat="1" applyFont="1" applyBorder="1" applyAlignment="1">
      <alignment horizontal="left"/>
    </xf>
    <xf numFmtId="43" fontId="0" fillId="0" borderId="0" xfId="1" applyFont="1" applyBorder="1" applyAlignment="1">
      <alignment horizontal="left"/>
    </xf>
    <xf numFmtId="43" fontId="0" fillId="0" borderId="10" xfId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3" fontId="0" fillId="0" borderId="9" xfId="1" applyFont="1" applyBorder="1" applyAlignment="1">
      <alignment horizontal="left"/>
    </xf>
    <xf numFmtId="0" fontId="0" fillId="0" borderId="0" xfId="0" applyBorder="1" applyAlignment="1">
      <alignment horizontal="left"/>
    </xf>
    <xf numFmtId="39" fontId="0" fillId="0" borderId="0" xfId="1" applyNumberFormat="1" applyFont="1" applyAlignment="1">
      <alignment horizontal="left"/>
    </xf>
    <xf numFmtId="0" fontId="5" fillId="0" borderId="0" xfId="0" applyFont="1" applyBorder="1" applyAlignment="1">
      <alignment horizontal="left"/>
    </xf>
    <xf numFmtId="43" fontId="6" fillId="0" borderId="0" xfId="1" applyFont="1" applyFill="1" applyBorder="1" applyAlignment="1">
      <alignment horizontal="left"/>
    </xf>
    <xf numFmtId="39" fontId="4" fillId="0" borderId="0" xfId="1" applyNumberFormat="1" applyFont="1" applyBorder="1" applyAlignment="1">
      <alignment horizontal="left"/>
    </xf>
    <xf numFmtId="43" fontId="4" fillId="0" borderId="9" xfId="1" applyFont="1" applyBorder="1" applyAlignment="1">
      <alignment horizontal="left"/>
    </xf>
    <xf numFmtId="43" fontId="4" fillId="0" borderId="10" xfId="1" applyFont="1" applyBorder="1" applyAlignment="1">
      <alignment horizontal="left"/>
    </xf>
    <xf numFmtId="43" fontId="4" fillId="0" borderId="9" xfId="1" applyFont="1" applyFill="1" applyBorder="1" applyAlignment="1">
      <alignment horizontal="left"/>
    </xf>
    <xf numFmtId="43" fontId="4" fillId="0" borderId="10" xfId="1" applyFont="1" applyFill="1" applyBorder="1" applyAlignment="1">
      <alignment horizontal="left"/>
    </xf>
    <xf numFmtId="43" fontId="5" fillId="0" borderId="0" xfId="1" applyFont="1" applyBorder="1"/>
    <xf numFmtId="39" fontId="4" fillId="0" borderId="9" xfId="1" applyNumberFormat="1" applyFont="1" applyBorder="1" applyAlignment="1">
      <alignment horizontal="left"/>
    </xf>
    <xf numFmtId="39" fontId="4" fillId="0" borderId="10" xfId="1" applyNumberFormat="1" applyFont="1" applyBorder="1" applyAlignment="1">
      <alignment horizontal="left"/>
    </xf>
    <xf numFmtId="39" fontId="4" fillId="0" borderId="9" xfId="1" applyNumberFormat="1" applyFont="1" applyFill="1" applyBorder="1" applyAlignment="1">
      <alignment horizontal="left"/>
    </xf>
    <xf numFmtId="39" fontId="4" fillId="0" borderId="0" xfId="1" applyNumberFormat="1" applyFont="1" applyFill="1" applyBorder="1" applyAlignment="1">
      <alignment horizontal="left"/>
    </xf>
    <xf numFmtId="39" fontId="4" fillId="0" borderId="10" xfId="1" applyNumberFormat="1" applyFont="1" applyFill="1" applyBorder="1" applyAlignment="1">
      <alignment horizontal="left"/>
    </xf>
    <xf numFmtId="39" fontId="5" fillId="0" borderId="0" xfId="1" applyNumberFormat="1" applyFont="1" applyBorder="1" applyAlignment="1">
      <alignment horizontal="left"/>
    </xf>
    <xf numFmtId="43" fontId="5" fillId="0" borderId="0" xfId="1" applyFont="1" applyBorder="1" applyAlignment="1">
      <alignment horizontal="left"/>
    </xf>
    <xf numFmtId="43" fontId="5" fillId="0" borderId="10" xfId="1" applyFont="1" applyBorder="1" applyAlignment="1">
      <alignment horizontal="left"/>
    </xf>
    <xf numFmtId="39" fontId="4" fillId="0" borderId="0" xfId="0" applyNumberFormat="1" applyFont="1" applyBorder="1" applyAlignment="1">
      <alignment horizontal="left"/>
    </xf>
    <xf numFmtId="39" fontId="4" fillId="0" borderId="9" xfId="0" applyNumberFormat="1" applyFont="1" applyBorder="1" applyAlignment="1">
      <alignment horizontal="left"/>
    </xf>
    <xf numFmtId="39" fontId="4" fillId="0" borderId="10" xfId="0" applyNumberFormat="1" applyFont="1" applyBorder="1" applyAlignment="1">
      <alignment horizontal="left"/>
    </xf>
    <xf numFmtId="39" fontId="4" fillId="0" borderId="9" xfId="0" applyNumberFormat="1" applyFont="1" applyFill="1" applyBorder="1" applyAlignment="1">
      <alignment horizontal="left"/>
    </xf>
    <xf numFmtId="39" fontId="4" fillId="0" borderId="0" xfId="0" applyNumberFormat="1" applyFont="1" applyFill="1" applyBorder="1" applyAlignment="1">
      <alignment horizontal="left"/>
    </xf>
    <xf numFmtId="39" fontId="4" fillId="0" borderId="10" xfId="0" applyNumberFormat="1" applyFont="1" applyFill="1" applyBorder="1" applyAlignment="1">
      <alignment horizontal="left"/>
    </xf>
    <xf numFmtId="39" fontId="4" fillId="0" borderId="0" xfId="0" applyNumberFormat="1" applyFont="1" applyBorder="1"/>
    <xf numFmtId="39" fontId="4" fillId="0" borderId="0" xfId="0" applyNumberFormat="1" applyFont="1"/>
    <xf numFmtId="43" fontId="5" fillId="0" borderId="9" xfId="1" applyFont="1" applyBorder="1" applyAlignment="1">
      <alignment horizontal="left"/>
    </xf>
    <xf numFmtId="43" fontId="5" fillId="0" borderId="9" xfId="1" applyFont="1" applyFill="1" applyBorder="1" applyAlignment="1">
      <alignment horizontal="left"/>
    </xf>
    <xf numFmtId="43" fontId="5" fillId="0" borderId="0" xfId="1" applyFont="1" applyFill="1" applyBorder="1" applyAlignment="1">
      <alignment horizontal="left"/>
    </xf>
    <xf numFmtId="43" fontId="5" fillId="0" borderId="10" xfId="1" applyFont="1" applyFill="1" applyBorder="1" applyAlignment="1">
      <alignment horizontal="left"/>
    </xf>
    <xf numFmtId="39" fontId="5" fillId="0" borderId="0" xfId="1" applyNumberFormat="1" applyFont="1" applyAlignment="1">
      <alignment horizontal="left"/>
    </xf>
    <xf numFmtId="43" fontId="4" fillId="0" borderId="11" xfId="1" applyFont="1" applyBorder="1" applyAlignment="1">
      <alignment horizontal="left"/>
    </xf>
    <xf numFmtId="43" fontId="4" fillId="0" borderId="12" xfId="1" applyFont="1" applyBorder="1" applyAlignment="1">
      <alignment horizontal="left"/>
    </xf>
    <xf numFmtId="43" fontId="4" fillId="0" borderId="13" xfId="1" applyFont="1" applyBorder="1" applyAlignment="1">
      <alignment horizontal="left"/>
    </xf>
    <xf numFmtId="43" fontId="4" fillId="0" borderId="11" xfId="1" applyFont="1" applyFill="1" applyBorder="1" applyAlignment="1">
      <alignment horizontal="left"/>
    </xf>
    <xf numFmtId="43" fontId="4" fillId="0" borderId="12" xfId="1" applyFont="1" applyFill="1" applyBorder="1" applyAlignment="1">
      <alignment horizontal="left"/>
    </xf>
    <xf numFmtId="43" fontId="4" fillId="0" borderId="13" xfId="1" applyFont="1" applyFill="1" applyBorder="1" applyAlignment="1">
      <alignment horizontal="left"/>
    </xf>
    <xf numFmtId="43" fontId="5" fillId="0" borderId="1" xfId="1" applyFont="1" applyFill="1" applyBorder="1" applyAlignment="1">
      <alignment horizontal="center"/>
    </xf>
    <xf numFmtId="43" fontId="5" fillId="0" borderId="2" xfId="1" applyFont="1" applyFill="1" applyBorder="1" applyAlignment="1">
      <alignment horizontal="center"/>
    </xf>
    <xf numFmtId="43" fontId="5" fillId="0" borderId="3" xfId="1" applyFont="1" applyFill="1" applyBorder="1" applyAlignment="1">
      <alignment horizontal="center"/>
    </xf>
    <xf numFmtId="43" fontId="5" fillId="0" borderId="1" xfId="1" applyFont="1" applyBorder="1" applyAlignment="1">
      <alignment horizontal="center"/>
    </xf>
    <xf numFmtId="43" fontId="5" fillId="0" borderId="2" xfId="1" applyFont="1" applyBorder="1" applyAlignment="1">
      <alignment horizontal="center"/>
    </xf>
    <xf numFmtId="43" fontId="5" fillId="0" borderId="3" xfId="1" applyFont="1" applyBorder="1" applyAlignment="1">
      <alignment horizontal="center"/>
    </xf>
    <xf numFmtId="43" fontId="5" fillId="0" borderId="4" xfId="1" applyFont="1" applyBorder="1" applyAlignment="1">
      <alignment horizontal="center"/>
    </xf>
    <xf numFmtId="43" fontId="5" fillId="0" borderId="4" xfId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E8204C5C-5C3A-49D4-ACFA-D0C34554DE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C50783B-97F3-4CC8-92C8-718D920E8D15}" mc:Ignorable="x14ac xr xr2 xr3">
  <x:sheetPr>
    <x:pageSetUpPr fitToPage="1"/>
  </x:sheetPr>
  <x:dimension ref="A3:AF241"/>
  <x:sheetViews>
    <x:sheetView tabSelected="1" zoomScaleNormal="100" workbookViewId="0"/>
  </x:sheetViews>
  <x:sheetFormatPr defaultRowHeight="14.3" outlineLevelRow="2" x14ac:dyDescent="0.25"/>
  <x:cols>
    <x:col min="1" max="1" width="23.375" customWidth="1"/>
    <x:col min="3" max="3" width="9.25" bestFit="1" customWidth="1"/>
    <x:col min="4" max="4" width="18.75" style="1" bestFit="1" customWidth="1"/>
    <x:col min="5" max="8" width="18.75" style="2" customWidth="1"/>
    <x:col min="9" max="9" width="26" style="1" customWidth="1"/>
    <x:col min="10" max="10" width="4.75" style="1" bestFit="1" customWidth="1"/>
    <x:col min="11" max="11" width="17.25" style="1" customWidth="1"/>
    <x:col min="12" max="12" width="25.625" style="1" customWidth="1"/>
    <x:col min="13" max="13" width="19" style="1" customWidth="1"/>
    <x:col min="14" max="14" width="21.875" style="1" customWidth="1"/>
    <x:col min="15" max="15" width="5.125" style="1" bestFit="1" customWidth="1"/>
    <x:col min="16" max="16" width="22.875" style="9" customWidth="1"/>
    <x:col min="17" max="18" width="20.375" style="9" customWidth="1"/>
    <x:col min="19" max="19" width="19.75" style="9" customWidth="1"/>
    <x:col min="20" max="20" width="13.25" style="1" bestFit="1" customWidth="1"/>
    <x:col min="21" max="21" width="9.125" style="1"/>
    <x:col min="22" max="22" width="15.375" customWidth="1"/>
  </x:cols>
  <x:sheetData>
    <x:row r="3" spans="1:21" ht="15.8" customHeight="1" x14ac:dyDescent="0.25">
      <x:c r="A3" s="10"/>
      <x:c r="B3" s="10"/>
      <x:c r="C3" s="10"/>
      <x:c r="D3" s="11"/>
      <x:c r="E3" s="12"/>
      <x:c r="F3" s="12"/>
      <x:c r="G3" s="12"/>
      <x:c r="H3" s="12"/>
      <x:c r="I3" s="11"/>
      <x:c r="J3" s="11"/>
      <x:c r="K3" s="80" t="s">
        <x:v>27</x:v>
      </x:c>
      <x:c r="L3" s="81"/>
      <x:c r="M3" s="81"/>
      <x:c r="N3" s="82"/>
      <x:c r="O3" s="11"/>
      <x:c r="P3" s="77" t="s">
        <x:v>28</x:v>
      </x:c>
      <x:c r="Q3" s="78"/>
      <x:c r="R3" s="78"/>
      <x:c r="S3" s="79"/>
    </x:row>
    <x:row r="4" spans="1:21" ht="15.8" customHeight="1" x14ac:dyDescent="0.25">
      <x:c r="A4" s="10"/>
      <x:c r="B4" s="10"/>
      <x:c r="C4" s="10"/>
      <x:c r="D4" s="11"/>
      <x:c r="E4" s="12"/>
      <x:c r="F4" s="12"/>
      <x:c r="G4" s="12"/>
      <x:c r="H4" s="12"/>
      <x:c r="I4" s="11"/>
      <x:c r="J4" s="11"/>
      <x:c r="K4" s="83" t="s">
        <x:v>32</x:v>
      </x:c>
      <x:c r="L4" s="83"/>
      <x:c r="M4" s="83"/>
      <x:c r="N4" s="83"/>
      <x:c r="O4" s="11"/>
      <x:c r="P4" s="84" t="s">
        <x:v>33</x:v>
      </x:c>
      <x:c r="Q4" s="84"/>
      <x:c r="R4" s="84"/>
      <x:c r="S4" s="84"/>
    </x:row>
    <x:row r="5" spans="1:21" ht="27" customHeight="1" thickBot="1" x14ac:dyDescent="0.3">
      <x:c r="A5" s="14" t="s">
        <x:v>0</x:v>
      </x:c>
      <x:c r="B5" s="14" t="s">
        <x:v>1</x:v>
      </x:c>
      <x:c r="C5" s="14" t="s">
        <x:v>24</x:v>
      </x:c>
      <x:c r="D5" s="15" t="s">
        <x:v>2</x:v>
      </x:c>
      <x:c r="E5" s="16" t="s">
        <x:v>20</x:v>
      </x:c>
      <x:c r="F5" s="16" t="s">
        <x:v>21</x:v>
      </x:c>
      <x:c r="G5" s="16" t="s">
        <x:v>25</x:v>
      </x:c>
      <x:c r="H5" s="16" t="s">
        <x:v>22</x:v>
      </x:c>
      <x:c r="I5" s="15" t="s">
        <x:v>23</x:v>
      </x:c>
      <x:c r="J5" s="15"/>
      <x:c r="K5" s="17" t="s">
        <x:v>17</x:v>
      </x:c>
      <x:c r="L5" s="17" t="s">
        <x:v>4</x:v>
      </x:c>
      <x:c r="M5" s="17" t="s">
        <x:v>18</x:v>
      </x:c>
      <x:c r="N5" s="17" t="s">
        <x:v>19</x:v>
      </x:c>
      <x:c r="O5" s="15"/>
      <x:c r="P5" s="18" t="s">
        <x:v>17</x:v>
      </x:c>
      <x:c r="Q5" s="18" t="s">
        <x:v>4</x:v>
      </x:c>
      <x:c r="R5" s="18" t="s">
        <x:v>18</x:v>
      </x:c>
      <x:c r="S5" s="18" t="s">
        <x:v>19</x:v>
      </x:c>
      <x:c r="T5" s="4"/>
    </x:row>
    <x:row r="6" spans="1:21" x14ac:dyDescent="0.25">
      <x:c r="A6" s="19" t="s">
        <x:v>51</x:v>
      </x:c>
      <x:c r="B6" s="19" t="s">
        <x:v>12</x:v>
      </x:c>
      <x:c r="C6" s="19">
        <x:f>2024.5-B6</x:f>
        <x:v>7.5</x:v>
      </x:c>
      <x:c r="D6" s="20">
        <x:v>-1544569.15</x:v>
      </x:c>
      <x:c r="E6" s="21">
        <x:v>7</x:v>
      </x:c>
      <x:c r="F6" s="21">
        <x:v>0</x:v>
      </x:c>
      <x:c r="G6" s="21">
        <x:f t="shared" ref="G6:G11" si="0">+D6*(1-F6/E6)</x:f>
        <x:v>-1544569.15</x:v>
      </x:c>
      <x:c r="H6" s="21"/>
      <x:c r="I6" s="20">
        <x:f t="shared" ref="I6:I11" si="1">D6</x:f>
        <x:v>-1544569.15</x:v>
      </x:c>
      <x:c r="J6" s="20"/>
      <x:c r="K6" s="22"/>
      <x:c r="L6" s="23"/>
      <x:c r="M6" s="23">
        <x:v>-1544569.15</x:v>
      </x:c>
      <x:c r="N6" s="24"/>
      <x:c r="O6" s="20"/>
      <x:c r="P6" s="25"/>
      <x:c r="Q6" s="26"/>
      <x:c r="R6" s="26">
        <x:f t="shared" ref="R6:R11" si="2">M6</x:f>
        <x:v>-1544569.15</x:v>
      </x:c>
      <x:c r="S6" s="27"/>
      <x:c r="T6" s="4"/>
    </x:row>
    <x:row r="7" spans="1:21" x14ac:dyDescent="0.25">
      <x:c r="A7" s="19" t="s">
        <x:v>51</x:v>
      </x:c>
      <x:c r="B7" s="19" t="s">
        <x:v>11</x:v>
      </x:c>
      <x:c r="C7" s="19">
        <x:f t="shared" ref="C7:C16" si="3">2024.5-B7</x:f>
        <x:v>8.5</x:v>
      </x:c>
      <x:c r="D7" s="20">
        <x:v>9162421</x:v>
      </x:c>
      <x:c r="E7" s="21">
        <x:v>7</x:v>
      </x:c>
      <x:c r="F7" s="21">
        <x:v>0</x:v>
      </x:c>
      <x:c r="G7" s="21">
        <x:f t="shared" si="0"/>
        <x:v>9162421</x:v>
      </x:c>
      <x:c r="H7" s="21"/>
      <x:c r="I7" s="20">
        <x:f t="shared" si="1"/>
        <x:v>9162421</x:v>
      </x:c>
      <x:c r="J7" s="20"/>
      <x:c r="K7" s="28"/>
      <x:c r="L7" s="20"/>
      <x:c r="M7" s="20">
        <x:v>9162421</x:v>
      </x:c>
      <x:c r="N7" s="29"/>
      <x:c r="O7" s="20"/>
      <x:c r="P7" s="30"/>
      <x:c r="Q7" s="31"/>
      <x:c r="R7" s="31">
        <x:f t="shared" si="2"/>
        <x:v>9162421</x:v>
      </x:c>
      <x:c r="S7" s="32"/>
      <x:c r="T7" s="4"/>
    </x:row>
    <x:row r="8" spans="1:21" x14ac:dyDescent="0.25">
      <x:c r="A8" s="19" t="s">
        <x:v>51</x:v>
      </x:c>
      <x:c r="B8" s="19" t="s">
        <x:v>8</x:v>
      </x:c>
      <x:c r="C8" s="19">
        <x:f t="shared" si="3"/>
        <x:v>11.5</x:v>
      </x:c>
      <x:c r="D8" s="20">
        <x:v>65682.87</x:v>
      </x:c>
      <x:c r="E8" s="21">
        <x:v>7</x:v>
      </x:c>
      <x:c r="F8" s="21">
        <x:v>0</x:v>
      </x:c>
      <x:c r="G8" s="21">
        <x:f t="shared" si="0"/>
        <x:v>65682.87</x:v>
      </x:c>
      <x:c r="H8" s="21"/>
      <x:c r="I8" s="20">
        <x:f t="shared" si="1"/>
        <x:v>65682.87</x:v>
      </x:c>
      <x:c r="J8" s="20"/>
      <x:c r="K8" s="28"/>
      <x:c r="L8" s="20"/>
      <x:c r="M8" s="20">
        <x:v>65682.87</x:v>
      </x:c>
      <x:c r="N8" s="29"/>
      <x:c r="O8" s="20"/>
      <x:c r="P8" s="30"/>
      <x:c r="Q8" s="31"/>
      <x:c r="R8" s="31">
        <x:f t="shared" si="2"/>
        <x:v>65682.87</x:v>
      </x:c>
      <x:c r="S8" s="32"/>
      <x:c r="T8" s="4"/>
    </x:row>
    <x:row r="9" spans="1:21" x14ac:dyDescent="0.25">
      <x:c r="A9" s="19" t="s">
        <x:v>51</x:v>
      </x:c>
      <x:c r="B9" s="19" t="s">
        <x:v>7</x:v>
      </x:c>
      <x:c r="C9" s="19">
        <x:f t="shared" si="3"/>
        <x:v>12.5</x:v>
      </x:c>
      <x:c r="D9" s="20">
        <x:v>9926450.5199999996</x:v>
      </x:c>
      <x:c r="E9" s="21">
        <x:v>7</x:v>
      </x:c>
      <x:c r="F9" s="21">
        <x:v>0</x:v>
      </x:c>
      <x:c r="G9" s="21">
        <x:f t="shared" si="0"/>
        <x:v>9926450.5199999996</x:v>
      </x:c>
      <x:c r="H9" s="21"/>
      <x:c r="I9" s="20">
        <x:f t="shared" si="1"/>
        <x:v>9926450.5199999996</x:v>
      </x:c>
      <x:c r="J9" s="20"/>
      <x:c r="K9" s="28"/>
      <x:c r="L9" s="20"/>
      <x:c r="M9" s="20">
        <x:v>9926450.5199999996</x:v>
      </x:c>
      <x:c r="N9" s="29"/>
      <x:c r="O9" s="20"/>
      <x:c r="P9" s="30"/>
      <x:c r="Q9" s="31"/>
      <x:c r="R9" s="31">
        <x:f t="shared" si="2"/>
        <x:v>9926450.5199999996</x:v>
      </x:c>
      <x:c r="S9" s="32"/>
      <x:c r="T9" s="4"/>
    </x:row>
    <x:row r="10" spans="1:21" x14ac:dyDescent="0.25">
      <x:c r="A10" s="19" t="s">
        <x:v>51</x:v>
      </x:c>
      <x:c r="B10" s="19" t="s">
        <x:v>6</x:v>
      </x:c>
      <x:c r="C10" s="19">
        <x:f t="shared" si="3"/>
        <x:v>13.5</x:v>
      </x:c>
      <x:c r="D10" s="20">
        <x:v>31189238.330000002</x:v>
      </x:c>
      <x:c r="E10" s="21">
        <x:v>7</x:v>
      </x:c>
      <x:c r="F10" s="21">
        <x:v>0</x:v>
      </x:c>
      <x:c r="G10" s="21">
        <x:f t="shared" si="0"/>
        <x:v>31189238.330000002</x:v>
      </x:c>
      <x:c r="H10" s="21"/>
      <x:c r="I10" s="20">
        <x:f t="shared" si="1"/>
        <x:v>31189238.330000002</x:v>
      </x:c>
      <x:c r="J10" s="20"/>
      <x:c r="K10" s="28"/>
      <x:c r="L10" s="20"/>
      <x:c r="M10" s="20">
        <x:v>31189238.330000002</x:v>
      </x:c>
      <x:c r="N10" s="29"/>
      <x:c r="O10" s="20"/>
      <x:c r="P10" s="30"/>
      <x:c r="Q10" s="31"/>
      <x:c r="R10" s="31">
        <x:f t="shared" si="2"/>
        <x:v>31189238.330000002</x:v>
      </x:c>
      <x:c r="S10" s="32"/>
      <x:c r="T10" s="4"/>
    </x:row>
    <x:row r="11" spans="1:21" x14ac:dyDescent="0.25">
      <x:c r="A11" s="19" t="s">
        <x:v>51</x:v>
      </x:c>
      <x:c r="B11" s="19" t="s">
        <x:v>5</x:v>
      </x:c>
      <x:c r="C11" s="19">
        <x:f t="shared" si="3"/>
        <x:v>14.5</x:v>
      </x:c>
      <x:c r="D11" s="20">
        <x:v>32214174.509999998</x:v>
      </x:c>
      <x:c r="E11" s="21">
        <x:v>7</x:v>
      </x:c>
      <x:c r="F11" s="21">
        <x:v>0</x:v>
      </x:c>
      <x:c r="G11" s="21">
        <x:f t="shared" si="0"/>
        <x:v>32214174.509999998</x:v>
      </x:c>
      <x:c r="H11" s="21"/>
      <x:c r="I11" s="20">
        <x:f t="shared" si="1"/>
        <x:v>32214174.509999998</x:v>
      </x:c>
      <x:c r="J11" s="20"/>
      <x:c r="K11" s="28"/>
      <x:c r="L11" s="20"/>
      <x:c r="M11" s="20">
        <x:v>32214174.509999998</x:v>
      </x:c>
      <x:c r="N11" s="29"/>
      <x:c r="O11" s="20"/>
      <x:c r="P11" s="30"/>
      <x:c r="Q11" s="31"/>
      <x:c r="R11" s="31">
        <x:f t="shared" si="2"/>
        <x:v>32214174.509999998</x:v>
      </x:c>
      <x:c r="S11" s="32"/>
      <x:c r="T11" s="4"/>
    </x:row>
    <x:row r="12" spans="1:21" s="10" customFormat="1" ht="16.5" customHeight="1" x14ac:dyDescent="0.25">
      <x:c r="A12" s="38"/>
      <x:c r="B12" s="38"/>
      <x:c r="C12" s="38" t="s">
        <x:v>26</x:v>
      </x:c>
      <x:c r="D12" s="17">
        <x:f>SUM(D6:D11)</x:f>
        <x:v>81013398.079999998</x:v>
      </x:c>
      <x:c r="E12" s="44"/>
      <x:c r="F12" s="44"/>
      <x:c r="G12" s="44">
        <x:f>SUM(G6:G11)</x:f>
        <x:v>81013398.079999998</x:v>
      </x:c>
      <x:c r="H12" s="44" t="s">
        <x:v>26</x:v>
      </x:c>
      <x:c r="I12" s="17">
        <x:f>SUM(I6:I11)</x:f>
        <x:v>81013398.079999998</x:v>
      </x:c>
      <x:c r="J12" s="17"/>
      <x:c r="K12" s="45">
        <x:f>SUM(K6:K11)</x:f>
        <x:v>0</x:v>
      </x:c>
      <x:c r="L12" s="17">
        <x:f>SUM(L6:L11)</x:f>
        <x:v>0</x:v>
      </x:c>
      <x:c r="M12" s="17"/>
      <x:c r="N12" s="46">
        <x:f>SUM(N6:N11)</x:f>
        <x:v>0</x:v>
      </x:c>
      <x:c r="O12" s="17"/>
      <x:c r="P12" s="47">
        <x:f>SUM(P6:P11)</x:f>
        <x:v>0</x:v>
      </x:c>
      <x:c r="Q12" s="18">
        <x:f>SUM(Q6:Q11)</x:f>
        <x:v>0</x:v>
      </x:c>
      <x:c r="R12" s="18"/>
      <x:c r="S12" s="48">
        <x:f>SUM(S6:S11)</x:f>
        <x:v>0</x:v>
      </x:c>
      <x:c r="T12" s="49"/>
      <x:c r="U12" s="11"/>
    </x:row>
    <x:row r="13" spans="1:21" ht="12.1" customHeight="1" outlineLevel="2" x14ac:dyDescent="0.25">
      <x:c r="A13" s="19" t="s">
        <x:v>3</x:v>
      </x:c>
      <x:c r="B13" s="21" t="s">
        <x:v>12</x:v>
      </x:c>
      <x:c r="C13" s="19">
        <x:f t="shared" si="3"/>
        <x:v>7.5</x:v>
      </x:c>
      <x:c r="D13" s="20">
        <x:v>6784530</x:v>
      </x:c>
      <x:c r="E13" s="21">
        <x:v>15</x:v>
      </x:c>
      <x:c r="F13" s="21">
        <x:v>8.7695880000000006</x:v>
      </x:c>
      <x:c r="G13" s="21">
        <x:f>+D13*(1-F13/E13)</x:f>
        <x:v>2818027.8084239997</x:v>
      </x:c>
      <x:c r="H13" s="21">
        <x:f t="shared" ref="H13:H15" si="4">$H$16</x:f>
        <x:v>0.89233054323346317</x:v>
      </x:c>
      <x:c r="I13" s="33">
        <x:f>IF((D13-G13*H13)&lt;0,D13,G13*H13)</x:f>
        <x:v>2514612.2851379933</x:v>
      </x:c>
      <x:c r="J13" s="33"/>
      <x:c r="K13" s="28">
        <x:f>+D13</x:f>
        <x:v>6784530</x:v>
      </x:c>
      <x:c r="L13" s="20"/>
      <x:c r="M13" s="20"/>
      <x:c r="N13" s="29"/>
      <x:c r="O13" s="20"/>
      <x:c r="P13" s="30">
        <x:f t="shared" ref="P13:S16" si="5">+$I13*K13/$D13</x:f>
        <x:v>2514612.2851379933</x:v>
      </x:c>
      <x:c r="Q13" s="31">
        <x:f t="shared" si="5"/>
        <x:v>0</x:v>
      </x:c>
      <x:c r="R13" s="31">
        <x:f t="shared" si="5"/>
        <x:v>0</x:v>
      </x:c>
      <x:c r="S13" s="32">
        <x:f t="shared" si="5"/>
        <x:v>0</x:v>
      </x:c>
      <x:c r="T13" s="4"/>
    </x:row>
    <x:row r="14" spans="1:21" ht="12.1" customHeight="1" outlineLevel="2" x14ac:dyDescent="0.25">
      <x:c r="A14" s="19" t="s">
        <x:v>3</x:v>
      </x:c>
      <x:c r="B14" s="21" t="s">
        <x:v>12</x:v>
      </x:c>
      <x:c r="C14" s="19">
        <x:f t="shared" si="3"/>
        <x:v>7.5</x:v>
      </x:c>
      <x:c r="D14" s="20">
        <x:v>8645784</x:v>
      </x:c>
      <x:c r="E14" s="21">
        <x:v>15</x:v>
      </x:c>
      <x:c r="F14" s="21">
        <x:v>8.7695880000000006</x:v>
      </x:c>
      <x:c r="G14" s="21">
        <x:f>+D14*(1-F14/E14)</x:f>
        <x:v>3591119.7588672</x:v>
      </x:c>
      <x:c r="H14" s="21">
        <x:f t="shared" si="4"/>
        <x:v>0.89233054323346317</x:v>
      </x:c>
      <x:c r="I14" s="33">
        <x:f>IF((D14-G14*H14)&lt;0,D14,G14*H14)</x:f>
        <x:v>3204465.8452463918</x:v>
      </x:c>
      <x:c r="J14" s="33"/>
      <x:c r="K14" s="28"/>
      <x:c r="L14" s="20">
        <x:f>+D14</x:f>
        <x:v>8645784</x:v>
      </x:c>
      <x:c r="M14" s="20"/>
      <x:c r="N14" s="29"/>
      <x:c r="O14" s="20"/>
      <x:c r="P14" s="30">
        <x:f t="shared" si="5"/>
        <x:v>0</x:v>
      </x:c>
      <x:c r="Q14" s="31">
        <x:f t="shared" si="5"/>
        <x:v>3204465.8452463918</x:v>
      </x:c>
      <x:c r="R14" s="31">
        <x:f t="shared" si="5"/>
        <x:v>0</x:v>
      </x:c>
      <x:c r="S14" s="32">
        <x:f t="shared" si="5"/>
        <x:v>0</x:v>
      </x:c>
      <x:c r="T14" s="4"/>
    </x:row>
    <x:row r="15" spans="1:21" ht="12.1" customHeight="1" outlineLevel="2" x14ac:dyDescent="0.25">
      <x:c r="A15" s="19" t="s">
        <x:v>3</x:v>
      </x:c>
      <x:c r="B15" s="21" t="s">
        <x:v>12</x:v>
      </x:c>
      <x:c r="C15" s="19">
        <x:f t="shared" si="3"/>
        <x:v>7.5</x:v>
      </x:c>
      <x:c r="D15" s="20">
        <x:v>324360</x:v>
      </x:c>
      <x:c r="E15" s="21">
        <x:v>15</x:v>
      </x:c>
      <x:c r="F15" s="21">
        <x:v>8.7695880000000006</x:v>
      </x:c>
      <x:c r="G15" s="21">
        <x:f>+D15*(1-F15/E15)</x:f>
        <x:v>134726.429088</x:v>
      </x:c>
      <x:c r="H15" s="21">
        <x:f t="shared" si="4"/>
        <x:v>0.89233054323346317</x:v>
      </x:c>
      <x:c r="I15" s="33">
        <x:f>IF((D15-G15*H15)&lt;0,D15,G15*H15)</x:f>
        <x:v>120220.5076559997</x:v>
      </x:c>
      <x:c r="J15" s="33"/>
      <x:c r="K15" s="28"/>
      <x:c r="L15" s="20"/>
      <x:c r="M15" s="20">
        <x:f>+D15</x:f>
        <x:v>324360</x:v>
      </x:c>
      <x:c r="N15" s="29"/>
      <x:c r="O15" s="20"/>
      <x:c r="P15" s="30">
        <x:f t="shared" si="5"/>
        <x:v>0</x:v>
      </x:c>
      <x:c r="Q15" s="31">
        <x:f t="shared" si="5"/>
        <x:v>0</x:v>
      </x:c>
      <x:c r="R15" s="31">
        <x:f t="shared" si="5"/>
        <x:v>120220.50765599971</x:v>
      </x:c>
      <x:c r="S15" s="32">
        <x:f t="shared" si="5"/>
        <x:v>0</x:v>
      </x:c>
      <x:c r="T15" s="4"/>
    </x:row>
    <x:row r="16" spans="1:21" outlineLevel="2" x14ac:dyDescent="0.25">
      <x:c r="A16" s="19" t="s">
        <x:v>3</x:v>
      </x:c>
      <x:c r="B16" s="21" t="s">
        <x:v>12</x:v>
      </x:c>
      <x:c r="C16" s="19">
        <x:f t="shared" si="3"/>
        <x:v>7.5</x:v>
      </x:c>
      <x:c r="D16" s="20">
        <x:v>145326</x:v>
      </x:c>
      <x:c r="E16" s="21">
        <x:v>15</x:v>
      </x:c>
      <x:c r="F16" s="21">
        <x:v>8.7695880000000006</x:v>
      </x:c>
      <x:c r="G16" s="21">
        <x:f>+D16*(1-F16/E16)</x:f>
        <x:v>60362.723620799996</x:v>
      </x:c>
      <x:c r="H16" s="21">
        <x:f>+H17/G17</x:f>
        <x:v>0.89233054323346317</x:v>
      </x:c>
      <x:c r="I16" s="33">
        <x:f>IF((D16-G16*H16)&lt;0,D16,G16*H16)</x:f>
        <x:v>53863.50195959986</x:v>
      </x:c>
      <x:c r="J16" s="33"/>
      <x:c r="K16" s="28"/>
      <x:c r="L16" s="20"/>
      <x:c r="M16" s="20"/>
      <x:c r="N16" s="29">
        <x:f>+D16</x:f>
        <x:v>145326</x:v>
      </x:c>
      <x:c r="O16" s="20"/>
      <x:c r="P16" s="30">
        <x:f t="shared" si="5"/>
        <x:v>0</x:v>
      </x:c>
      <x:c r="Q16" s="31">
        <x:f t="shared" si="5"/>
        <x:v>0</x:v>
      </x:c>
      <x:c r="R16" s="31">
        <x:f t="shared" si="5"/>
        <x:v>0</x:v>
      </x:c>
      <x:c r="S16" s="32">
        <x:f t="shared" si="5"/>
        <x:v>53863.50195959986</x:v>
      </x:c>
      <x:c r="T16" s="4"/>
    </x:row>
    <x:row r="17" spans="1:21" s="10" customFormat="1" outlineLevel="1" x14ac:dyDescent="0.25">
      <x:c r="A17" s="38" t="str">
        <x:f>+A16</x:f>
        <x:v>303</x:v>
      </x:c>
      <x:c r="B17" s="38"/>
      <x:c r="C17" s="38" t="s">
        <x:v>26</x:v>
      </x:c>
      <x:c r="D17" s="17">
        <x:f>SUBTOTAL(9,D13:D16)</x:f>
        <x:v>15900000</x:v>
      </x:c>
      <x:c r="E17" s="44"/>
      <x:c r="F17" s="44"/>
      <x:c r="G17" s="44">
        <x:f t="shared" ref="G17:S17" si="6">SUBTOTAL(9,G13:G16)</x:f>
        <x:v>6604236.7200000007</x:v>
      </x:c>
      <x:c r="H17" s="44">
        <x:v>5893162.1399999857</x:v>
      </x:c>
      <x:c r="I17" s="44">
        <x:f t="shared" si="6"/>
        <x:v>5893162.1399999848</x:v>
      </x:c>
      <x:c r="J17" s="44"/>
      <x:c r="K17" s="50">
        <x:f t="shared" si="6"/>
        <x:v>6784530</x:v>
      </x:c>
      <x:c r="L17" s="44">
        <x:f t="shared" si="6"/>
        <x:v>8645784</x:v>
      </x:c>
      <x:c r="M17" s="44">
        <x:f t="shared" si="6"/>
        <x:v>324360</x:v>
      </x:c>
      <x:c r="N17" s="51">
        <x:f t="shared" si="6"/>
        <x:v>145326</x:v>
      </x:c>
      <x:c r="O17" s="44"/>
      <x:c r="P17" s="52">
        <x:f t="shared" si="6"/>
        <x:v>2514612.2851379933</x:v>
      </x:c>
      <x:c r="Q17" s="53">
        <x:f t="shared" si="6"/>
        <x:v>3204465.8452463918</x:v>
      </x:c>
      <x:c r="R17" s="53">
        <x:f t="shared" si="6"/>
        <x:v>120220.50765599971</x:v>
      </x:c>
      <x:c r="S17" s="54">
        <x:f t="shared" si="6"/>
        <x:v>53863.50195959986</x:v>
      </x:c>
      <x:c r="T17" s="49"/>
      <x:c r="U17" s="11"/>
    </x:row>
    <x:row r="18" spans="1:21" outlineLevel="1" x14ac:dyDescent="0.25">
      <x:c r="A18" s="19"/>
      <x:c r="B18" s="19"/>
      <x:c r="C18" s="19"/>
      <x:c r="D18" s="20"/>
      <x:c r="E18" s="21"/>
      <x:c r="F18" s="21"/>
      <x:c r="G18" s="21"/>
      <x:c r="H18" s="21"/>
      <x:c r="I18" s="20"/>
      <x:c r="J18" s="20"/>
      <x:c r="K18" s="28"/>
      <x:c r="L18" s="20"/>
      <x:c r="M18" s="20"/>
      <x:c r="N18" s="29"/>
      <x:c r="O18" s="20"/>
      <x:c r="P18" s="30"/>
      <x:c r="Q18" s="31"/>
      <x:c r="R18" s="31"/>
      <x:c r="S18" s="32"/>
      <x:c r="T18" s="4"/>
    </x:row>
    <x:row r="19" spans="1:21" outlineLevel="2" x14ac:dyDescent="0.25">
      <x:c r="A19" s="19" t="s">
        <x:v>34</x:v>
      </x:c>
      <x:c r="B19" s="21" t="s">
        <x:v>29</x:v>
      </x:c>
      <x:c r="C19" s="19">
        <x:f t="shared" ref="C19:C64" si="7">2024.5-B19</x:f>
        <x:v>0.5</x:v>
      </x:c>
      <x:c r="D19" s="20">
        <x:v>52279.3</x:v>
      </x:c>
      <x:c r="E19" s="21">
        <x:v>15</x:v>
      </x:c>
      <x:c r="F19" s="35">
        <x:v>14.548741</x:v>
      </x:c>
      <x:c r="G19" s="21">
        <x:f t="shared" ref="G19:G64" si="8">+D19*(1-F19/E19)</x:f>
        <x:v>1572.7669759133353</x:v>
      </x:c>
      <x:c r="H19" s="21">
        <x:v>1.1371012582655127</x:v>
      </x:c>
      <x:c r="I19" s="36">
        <x:f>+H19*G19</x:f>
        <x:v>1788.3953072694987</x:v>
      </x:c>
      <x:c r="J19" s="36"/>
      <x:c r="K19" s="34">
        <x:v>52279.3</x:v>
      </x:c>
      <x:c r="L19" s="36"/>
      <x:c r="M19" s="36"/>
      <x:c r="N19" s="37"/>
      <x:c r="O19" s="36"/>
      <x:c r="P19" s="30">
        <x:f t="shared" ref="P19:P50" si="9">+$I19*K19/$D19</x:f>
        <x:v>1788.3953072694987</x:v>
      </x:c>
      <x:c r="Q19" s="31">
        <x:f t="shared" ref="Q19:Q50" si="10">+$I19*L19/$D19</x:f>
        <x:v>0</x:v>
      </x:c>
      <x:c r="R19" s="31">
        <x:f t="shared" ref="R19:R50" si="11">+$I19*M19/$D19</x:f>
        <x:v>0</x:v>
      </x:c>
      <x:c r="S19" s="32">
        <x:f t="shared" ref="S19:S50" si="12">+$I19*N19/$D19</x:f>
        <x:v>0</x:v>
      </x:c>
      <x:c r="T19" s="4">
        <x:f t="shared" ref="T19:T50" si="13">+I19-SUM(P19:S19)</x:f>
        <x:v>0</x:v>
      </x:c>
    </x:row>
    <x:row r="20" spans="1:21" outlineLevel="2" x14ac:dyDescent="0.25">
      <x:c r="A20" s="19" t="s">
        <x:v>34</x:v>
      </x:c>
      <x:c r="B20" s="21" t="s">
        <x:v>29</x:v>
      </x:c>
      <x:c r="C20" s="19">
        <x:f t="shared" si="7"/>
        <x:v>0.5</x:v>
      </x:c>
      <x:c r="D20" s="20">
        <x:v>103906.28</x:v>
      </x:c>
      <x:c r="E20" s="21">
        <x:v>15</x:v>
      </x:c>
      <x:c r="F20" s="35">
        <x:v>14.548741</x:v>
      </x:c>
      <x:c r="G20" s="21">
        <x:f t="shared" si="8"/>
        <x:v>3125.9096004346702</x:v>
      </x:c>
      <x:c r="H20" s="21">
        <x:v>1.1371012582655127</x:v>
      </x:c>
      <x:c r="I20" s="36">
        <x:f t="shared" ref="I20:I63" si="14">+H20*G20</x:f>
        <x:v>3554.4757398785096</x:v>
      </x:c>
      <x:c r="J20" s="36"/>
      <x:c r="K20" s="34">
        <x:v>103906.28</x:v>
      </x:c>
      <x:c r="L20" s="36"/>
      <x:c r="M20" s="36"/>
      <x:c r="N20" s="37"/>
      <x:c r="O20" s="36"/>
      <x:c r="P20" s="30">
        <x:f t="shared" si="9"/>
        <x:v>3554.4757398785091</x:v>
      </x:c>
      <x:c r="Q20" s="31">
        <x:f t="shared" si="10"/>
        <x:v>0</x:v>
      </x:c>
      <x:c r="R20" s="31">
        <x:f t="shared" si="11"/>
        <x:v>0</x:v>
      </x:c>
      <x:c r="S20" s="32">
        <x:f t="shared" si="12"/>
        <x:v>0</x:v>
      </x:c>
      <x:c r="T20" s="4">
        <x:f t="shared" si="13"/>
        <x:v>0</x:v>
      </x:c>
    </x:row>
    <x:row r="21" spans="1:21" outlineLevel="2" x14ac:dyDescent="0.25">
      <x:c r="A21" s="19" t="s">
        <x:v>34</x:v>
      </x:c>
      <x:c r="B21" s="21" t="s">
        <x:v>29</x:v>
      </x:c>
      <x:c r="C21" s="19">
        <x:f t="shared" si="7"/>
        <x:v>0.5</x:v>
      </x:c>
      <x:c r="D21" s="20">
        <x:v>367871.39</x:v>
      </x:c>
      <x:c r="E21" s="21">
        <x:v>15</x:v>
      </x:c>
      <x:c r="F21" s="35">
        <x:v>14.548741</x:v>
      </x:c>
      <x:c r="G21" s="21">
        <x:f t="shared" si="8"/>
        <x:v>11067.018372000681</x:v>
      </x:c>
      <x:c r="H21" s="21">
        <x:v>1.1371012582655127</x:v>
      </x:c>
      <x:c r="I21" s="36">
        <x:f t="shared" si="14"/>
        <x:v>12584.32051604952</x:v>
      </x:c>
      <x:c r="J21" s="36"/>
      <x:c r="K21" s="34">
        <x:v>367871.39</x:v>
      </x:c>
      <x:c r="L21" s="36"/>
      <x:c r="M21" s="36"/>
      <x:c r="N21" s="37"/>
      <x:c r="O21" s="36"/>
      <x:c r="P21" s="30">
        <x:f t="shared" si="9"/>
        <x:v>12584.32051604952</x:v>
      </x:c>
      <x:c r="Q21" s="31">
        <x:f t="shared" si="10"/>
        <x:v>0</x:v>
      </x:c>
      <x:c r="R21" s="31">
        <x:f t="shared" si="11"/>
        <x:v>0</x:v>
      </x:c>
      <x:c r="S21" s="32">
        <x:f t="shared" si="12"/>
        <x:v>0</x:v>
      </x:c>
      <x:c r="T21" s="4">
        <x:f t="shared" si="13"/>
        <x:v>0</x:v>
      </x:c>
    </x:row>
    <x:row r="22" spans="1:21" outlineLevel="2" x14ac:dyDescent="0.25">
      <x:c r="A22" s="19" t="s">
        <x:v>34</x:v>
      </x:c>
      <x:c r="B22" s="21" t="s">
        <x:v>29</x:v>
      </x:c>
      <x:c r="C22" s="19">
        <x:f t="shared" si="7"/>
        <x:v>0.5</x:v>
      </x:c>
      <x:c r="D22" s="20">
        <x:v>1093527.96</x:v>
      </x:c>
      <x:c r="E22" s="21">
        <x:v>15</x:v>
      </x:c>
      <x:c r="F22" s="35">
        <x:v>14.548741</x:v>
      </x:c>
      <x:c r="G22" s="21">
        <x:f t="shared" si="8"/>
        <x:v>32897.622246776038</x:v>
      </x:c>
      <x:c r="H22" s="21">
        <x:v>1.1371012582655127</x:v>
      </x:c>
      <x:c r="I22" s="36">
        <x:f t="shared" si="14"/>
        <x:v>37407.927650752557</x:v>
      </x:c>
      <x:c r="J22" s="36"/>
      <x:c r="K22" s="34">
        <x:v>1093527.96</x:v>
      </x:c>
      <x:c r="L22" s="36"/>
      <x:c r="M22" s="36"/>
      <x:c r="N22" s="37"/>
      <x:c r="O22" s="36"/>
      <x:c r="P22" s="30">
        <x:f t="shared" si="9"/>
        <x:v>37407.927650752557</x:v>
      </x:c>
      <x:c r="Q22" s="31">
        <x:f t="shared" si="10"/>
        <x:v>0</x:v>
      </x:c>
      <x:c r="R22" s="31">
        <x:f t="shared" si="11"/>
        <x:v>0</x:v>
      </x:c>
      <x:c r="S22" s="32">
        <x:f t="shared" si="12"/>
        <x:v>0</x:v>
      </x:c>
      <x:c r="T22" s="4">
        <x:f t="shared" si="13"/>
        <x:v>0</x:v>
      </x:c>
    </x:row>
    <x:row r="23" spans="1:21" outlineLevel="2" x14ac:dyDescent="0.25">
      <x:c r="A23" s="19" t="s">
        <x:v>34</x:v>
      </x:c>
      <x:c r="B23" s="21" t="s">
        <x:v>30</x:v>
      </x:c>
      <x:c r="C23" s="19">
        <x:f t="shared" si="7"/>
        <x:v>1.5</x:v>
      </x:c>
      <x:c r="D23" s="20">
        <x:v>-1659.04</x:v>
      </x:c>
      <x:c r="E23" s="21">
        <x:v>15</x:v>
      </x:c>
      <x:c r="F23" s="35">
        <x:v>13.659128000000001</x:v>
      </x:c>
      <x:c r="G23" s="21">
        <x:f t="shared" si="8"/>
        <x:v>-148.30401885866661</x:v>
      </x:c>
      <x:c r="H23" s="21">
        <x:v>1.1371012582655127</x:v>
      </x:c>
      <x:c r="I23" s="36">
        <x:f t="shared" si="14"/>
        <x:v>-168.63668645002213</x:v>
      </x:c>
      <x:c r="J23" s="36"/>
      <x:c r="K23" s="34">
        <x:v>-1659.04</x:v>
      </x:c>
      <x:c r="L23" s="36"/>
      <x:c r="M23" s="36"/>
      <x:c r="N23" s="37"/>
      <x:c r="O23" s="36"/>
      <x:c r="P23" s="30">
        <x:f t="shared" si="9"/>
        <x:v>-168.63668645002213</x:v>
      </x:c>
      <x:c r="Q23" s="31">
        <x:f t="shared" si="10"/>
        <x:v>0</x:v>
      </x:c>
      <x:c r="R23" s="31">
        <x:f t="shared" si="11"/>
        <x:v>0</x:v>
      </x:c>
      <x:c r="S23" s="32">
        <x:f t="shared" si="12"/>
        <x:v>0</x:v>
      </x:c>
      <x:c r="T23" s="4">
        <x:f t="shared" si="13"/>
        <x:v>0</x:v>
      </x:c>
    </x:row>
    <x:row r="24" spans="1:21" outlineLevel="2" x14ac:dyDescent="0.25">
      <x:c r="A24" s="19" t="s">
        <x:v>34</x:v>
      </x:c>
      <x:c r="B24" s="21" t="s">
        <x:v>30</x:v>
      </x:c>
      <x:c r="C24" s="19">
        <x:f t="shared" si="7"/>
        <x:v>1.5</x:v>
      </x:c>
      <x:c r="D24" s="20">
        <x:v>3633363.98</x:v>
      </x:c>
      <x:c r="E24" s="21">
        <x:v>15</x:v>
      </x:c>
      <x:c r="F24" s="35">
        <x:v>13.659128000000001</x:v>
      </x:c>
      <x:c r="G24" s="21">
        <x:f t="shared" si="8"/>
        <x:v>324791.73510603723</x:v>
      </x:c>
      <x:c r="H24" s="21">
        <x:v>1.1371012582655127</x:v>
      </x:c>
      <x:c r="I24" s="36">
        <x:f t="shared" si="14"/>
        <x:v>369321.09066331404</x:v>
      </x:c>
      <x:c r="J24" s="36"/>
      <x:c r="K24" s="34">
        <x:v>3633363.98</x:v>
      </x:c>
      <x:c r="L24" s="36"/>
      <x:c r="M24" s="36"/>
      <x:c r="N24" s="37"/>
      <x:c r="O24" s="36"/>
      <x:c r="P24" s="30">
        <x:f t="shared" si="9"/>
        <x:v>369321.09066331398</x:v>
      </x:c>
      <x:c r="Q24" s="31">
        <x:f t="shared" si="10"/>
        <x:v>0</x:v>
      </x:c>
      <x:c r="R24" s="31">
        <x:f t="shared" si="11"/>
        <x:v>0</x:v>
      </x:c>
      <x:c r="S24" s="32">
        <x:f t="shared" si="12"/>
        <x:v>0</x:v>
      </x:c>
      <x:c r="T24" s="4">
        <x:f t="shared" si="13"/>
        <x:v>0</x:v>
      </x:c>
    </x:row>
    <x:row r="25" spans="1:21" outlineLevel="2" x14ac:dyDescent="0.25">
      <x:c r="A25" s="19" t="s">
        <x:v>34</x:v>
      </x:c>
      <x:c r="B25" s="21" t="s">
        <x:v>30</x:v>
      </x:c>
      <x:c r="C25" s="19">
        <x:f t="shared" si="7"/>
        <x:v>1.5</x:v>
      </x:c>
      <x:c r="D25" s="20">
        <x:v>649417.93000000005</x:v>
      </x:c>
      <x:c r="E25" s="21">
        <x:v>15</x:v>
      </x:c>
      <x:c r="F25" s="35">
        <x:v>13.659128000000001</x:v>
      </x:c>
      <x:c r="G25" s="21">
        <x:f t="shared" si="8"/>
        <x:v>58052.421242330653</x:v>
      </x:c>
      <x:c r="H25" s="21">
        <x:v>1.1371012582655127</x:v>
      </x:c>
      <x:c r="I25" s="36">
        <x:f t="shared" si="14"/>
        <x:v>66011.48124001376</x:v>
      </x:c>
      <x:c r="J25" s="36"/>
      <x:c r="K25" s="34">
        <x:v>649417.93000000005</x:v>
      </x:c>
      <x:c r="L25" s="36"/>
      <x:c r="M25" s="36"/>
      <x:c r="N25" s="37"/>
      <x:c r="O25" s="36"/>
      <x:c r="P25" s="30">
        <x:f t="shared" si="9"/>
        <x:v>66011.48124001376</x:v>
      </x:c>
      <x:c r="Q25" s="31">
        <x:f t="shared" si="10"/>
        <x:v>0</x:v>
      </x:c>
      <x:c r="R25" s="31">
        <x:f t="shared" si="11"/>
        <x:v>0</x:v>
      </x:c>
      <x:c r="S25" s="32">
        <x:f t="shared" si="12"/>
        <x:v>0</x:v>
      </x:c>
      <x:c r="T25" s="4">
        <x:f t="shared" si="13"/>
        <x:v>0</x:v>
      </x:c>
    </x:row>
    <x:row r="26" spans="1:21" outlineLevel="2" x14ac:dyDescent="0.25">
      <x:c r="A26" s="19" t="s">
        <x:v>34</x:v>
      </x:c>
      <x:c r="B26" s="21" t="s">
        <x:v>30</x:v>
      </x:c>
      <x:c r="C26" s="19">
        <x:f t="shared" si="7"/>
        <x:v>1.5</x:v>
      </x:c>
      <x:c r="D26" s="20">
        <x:v>2981189.63</x:v>
      </x:c>
      <x:c r="E26" s="21">
        <x:v>15</x:v>
      </x:c>
      <x:c r="F26" s="35">
        <x:v>13.659128000000001</x:v>
      </x:c>
      <x:c r="G26" s="21">
        <x:f t="shared" si="8"/>
        <x:v>266492.91343715723</x:v>
      </x:c>
      <x:c r="H26" s="21">
        <x:v>1.1371012582655127</x:v>
      </x:c>
      <x:c r="I26" s="36">
        <x:f t="shared" si="14"/>
        <x:v>303029.42718823382</x:v>
      </x:c>
      <x:c r="J26" s="36"/>
      <x:c r="K26" s="34">
        <x:v>2981189.63</x:v>
      </x:c>
      <x:c r="L26" s="36"/>
      <x:c r="M26" s="36"/>
      <x:c r="N26" s="37"/>
      <x:c r="O26" s="36"/>
      <x:c r="P26" s="30">
        <x:f t="shared" si="9"/>
        <x:v>303029.42718823382</x:v>
      </x:c>
      <x:c r="Q26" s="31">
        <x:f t="shared" si="10"/>
        <x:v>0</x:v>
      </x:c>
      <x:c r="R26" s="31">
        <x:f t="shared" si="11"/>
        <x:v>0</x:v>
      </x:c>
      <x:c r="S26" s="32">
        <x:f t="shared" si="12"/>
        <x:v>0</x:v>
      </x:c>
      <x:c r="T26" s="4">
        <x:f t="shared" si="13"/>
        <x:v>0</x:v>
      </x:c>
    </x:row>
    <x:row r="27" spans="1:21" outlineLevel="2" x14ac:dyDescent="0.25">
      <x:c r="A27" s="19" t="s">
        <x:v>34</x:v>
      </x:c>
      <x:c r="B27" s="21" t="s">
        <x:v>30</x:v>
      </x:c>
      <x:c r="C27" s="19">
        <x:f t="shared" si="7"/>
        <x:v>1.5</x:v>
      </x:c>
      <x:c r="D27" s="20">
        <x:v>1293984.52</x:v>
      </x:c>
      <x:c r="E27" s="21">
        <x:v>15</x:v>
      </x:c>
      <x:c r="F27" s="35">
        <x:v>13.659128000000001</x:v>
      </x:c>
      <x:c r="G27" s="21">
        <x:f t="shared" si="8"/>
        <x:v>115671.17408676264</x:v>
      </x:c>
      <x:c r="H27" s="21">
        <x:v>1.1371012582655127</x:v>
      </x:c>
      <x:c r="I27" s="36">
        <x:f t="shared" si="14"/>
        <x:v>131529.83759910695</x:v>
      </x:c>
      <x:c r="J27" s="36"/>
      <x:c r="K27" s="34">
        <x:v>1293984.52</x:v>
      </x:c>
      <x:c r="L27" s="36"/>
      <x:c r="M27" s="36"/>
      <x:c r="N27" s="37"/>
      <x:c r="O27" s="36"/>
      <x:c r="P27" s="30">
        <x:f t="shared" si="9"/>
        <x:v>131529.83759910695</x:v>
      </x:c>
      <x:c r="Q27" s="31">
        <x:f t="shared" si="10"/>
        <x:v>0</x:v>
      </x:c>
      <x:c r="R27" s="31">
        <x:f t="shared" si="11"/>
        <x:v>0</x:v>
      </x:c>
      <x:c r="S27" s="32">
        <x:f t="shared" si="12"/>
        <x:v>0</x:v>
      </x:c>
      <x:c r="T27" s="4">
        <x:f t="shared" si="13"/>
        <x:v>0</x:v>
      </x:c>
    </x:row>
    <x:row r="28" spans="1:21" outlineLevel="2" x14ac:dyDescent="0.25">
      <x:c r="A28" s="19" t="s">
        <x:v>34</x:v>
      </x:c>
      <x:c r="B28" s="21" t="s">
        <x:v>31</x:v>
      </x:c>
      <x:c r="C28" s="19">
        <x:f t="shared" si="7"/>
        <x:v>2.5</x:v>
      </x:c>
      <x:c r="D28" s="20">
        <x:v>-139.11000000000001</x:v>
      </x:c>
      <x:c r="E28" s="21">
        <x:v>15</x:v>
      </x:c>
      <x:c r="F28" s="35">
        <x:v>12.788309999999999</x:v>
      </x:c>
      <x:c r="G28" s="21">
        <x:f t="shared" si="8"/>
        <x:v>-20.511213060000014</x:v>
      </x:c>
      <x:c r="H28" s="21">
        <x:v>1.1371012582655127</x:v>
      </x:c>
      <x:c r="I28" s="36">
        <x:f t="shared" si="14"/>
        <x:v>-23.32332617907803</x:v>
      </x:c>
      <x:c r="J28" s="36"/>
      <x:c r="K28" s="34">
        <x:v>-139.11000000000001</x:v>
      </x:c>
      <x:c r="L28" s="36"/>
      <x:c r="M28" s="36"/>
      <x:c r="N28" s="37"/>
      <x:c r="O28" s="36"/>
      <x:c r="P28" s="30">
        <x:f t="shared" si="9"/>
        <x:v>-23.32332617907803</x:v>
      </x:c>
      <x:c r="Q28" s="31">
        <x:f t="shared" si="10"/>
        <x:v>0</x:v>
      </x:c>
      <x:c r="R28" s="31">
        <x:f t="shared" si="11"/>
        <x:v>0</x:v>
      </x:c>
      <x:c r="S28" s="32">
        <x:f t="shared" si="12"/>
        <x:v>0</x:v>
      </x:c>
      <x:c r="T28" s="4">
        <x:f t="shared" si="13"/>
        <x:v>0</x:v>
      </x:c>
    </x:row>
    <x:row r="29" spans="1:21" outlineLevel="2" x14ac:dyDescent="0.25">
      <x:c r="A29" s="19" t="s">
        <x:v>34</x:v>
      </x:c>
      <x:c r="B29" s="21" t="s">
        <x:v>31</x:v>
      </x:c>
      <x:c r="C29" s="19">
        <x:f t="shared" si="7"/>
        <x:v>2.5</x:v>
      </x:c>
      <x:c r="D29" s="20">
        <x:v>47880</x:v>
      </x:c>
      <x:c r="E29" s="21">
        <x:v>15</x:v>
      </x:c>
      <x:c r="F29" s="35">
        <x:v>12.788309999999999</x:v>
      </x:c>
      <x:c r="G29" s="21">
        <x:f t="shared" si="8"/>
        <x:v>7059.7144800000033</x:v>
      </x:c>
      <x:c r="H29" s="21">
        <x:v>1.1371012582655127</x:v>
      </x:c>
      <x:c r="I29" s="36">
        <x:f t="shared" si="14"/>
        <x:v>8027.6102182032628</x:v>
      </x:c>
      <x:c r="J29" s="36"/>
      <x:c r="K29" s="34">
        <x:v>47880</x:v>
      </x:c>
      <x:c r="L29" s="36"/>
      <x:c r="M29" s="36"/>
      <x:c r="N29" s="37"/>
      <x:c r="O29" s="36"/>
      <x:c r="P29" s="30">
        <x:f t="shared" si="9"/>
        <x:v>8027.6102182032628</x:v>
      </x:c>
      <x:c r="Q29" s="31">
        <x:f t="shared" si="10"/>
        <x:v>0</x:v>
      </x:c>
      <x:c r="R29" s="31">
        <x:f t="shared" si="11"/>
        <x:v>0</x:v>
      </x:c>
      <x:c r="S29" s="32">
        <x:f t="shared" si="12"/>
        <x:v>0</x:v>
      </x:c>
      <x:c r="T29" s="4">
        <x:f t="shared" si="13"/>
        <x:v>0</x:v>
      </x:c>
    </x:row>
    <x:row r="30" spans="1:21" outlineLevel="2" x14ac:dyDescent="0.25">
      <x:c r="A30" s="19" t="s">
        <x:v>34</x:v>
      </x:c>
      <x:c r="B30" s="21" t="s">
        <x:v>31</x:v>
      </x:c>
      <x:c r="C30" s="19">
        <x:f t="shared" si="7"/>
        <x:v>2.5</x:v>
      </x:c>
      <x:c r="D30" s="20">
        <x:v>50944.639999999999</x:v>
      </x:c>
      <x:c r="E30" s="21">
        <x:v>15</x:v>
      </x:c>
      <x:c r="F30" s="35">
        <x:v>12.788309999999999</x:v>
      </x:c>
      <x:c r="G30" s="21">
        <x:f t="shared" si="8"/>
        <x:v>7511.5833894400039</x:v>
      </x:c>
      <x:c r="H30" s="21">
        <x:v>1.1371012582655127</x:v>
      </x:c>
      <x:c r="I30" s="36">
        <x:f t="shared" si="14"/>
        <x:v>8541.4309236985537</x:v>
      </x:c>
      <x:c r="J30" s="36"/>
      <x:c r="K30" s="34">
        <x:v>50944.639999999999</x:v>
      </x:c>
      <x:c r="L30" s="36"/>
      <x:c r="M30" s="36"/>
      <x:c r="N30" s="37"/>
      <x:c r="O30" s="36"/>
      <x:c r="P30" s="30">
        <x:f t="shared" si="9"/>
        <x:v>8541.4309236985537</x:v>
      </x:c>
      <x:c r="Q30" s="31">
        <x:f t="shared" si="10"/>
        <x:v>0</x:v>
      </x:c>
      <x:c r="R30" s="31">
        <x:f t="shared" si="11"/>
        <x:v>0</x:v>
      </x:c>
      <x:c r="S30" s="32">
        <x:f t="shared" si="12"/>
        <x:v>0</x:v>
      </x:c>
      <x:c r="T30" s="4">
        <x:f t="shared" si="13"/>
        <x:v>0</x:v>
      </x:c>
    </x:row>
    <x:row r="31" spans="1:21" outlineLevel="2" x14ac:dyDescent="0.25">
      <x:c r="A31" s="19" t="s">
        <x:v>34</x:v>
      </x:c>
      <x:c r="B31" s="21" t="s">
        <x:v>31</x:v>
      </x:c>
      <x:c r="C31" s="19">
        <x:f t="shared" si="7"/>
        <x:v>2.5</x:v>
      </x:c>
      <x:c r="D31" s="20">
        <x:v>3171901.41</x:v>
      </x:c>
      <x:c r="E31" s="21">
        <x:v>15</x:v>
      </x:c>
      <x:c r="F31" s="35">
        <x:v>12.788309999999999</x:v>
      </x:c>
      <x:c r="G31" s="21">
        <x:f t="shared" si="8"/>
        <x:v>467684.17529886024</x:v>
      </x:c>
      <x:c r="H31" s="21">
        <x:v>1.1371012582655127</x:v>
      </x:c>
      <x:c r="I31" s="36">
        <x:f t="shared" si="14"/>
        <x:v>531804.26420320256</x:v>
      </x:c>
      <x:c r="J31" s="36"/>
      <x:c r="K31" s="34">
        <x:v>3171901.41</x:v>
      </x:c>
      <x:c r="L31" s="36"/>
      <x:c r="M31" s="36"/>
      <x:c r="N31" s="37"/>
      <x:c r="O31" s="36"/>
      <x:c r="P31" s="30">
        <x:f t="shared" si="9"/>
        <x:v>531804.26420320256</x:v>
      </x:c>
      <x:c r="Q31" s="31">
        <x:f t="shared" si="10"/>
        <x:v>0</x:v>
      </x:c>
      <x:c r="R31" s="31">
        <x:f t="shared" si="11"/>
        <x:v>0</x:v>
      </x:c>
      <x:c r="S31" s="32">
        <x:f t="shared" si="12"/>
        <x:v>0</x:v>
      </x:c>
      <x:c r="T31" s="4">
        <x:f t="shared" si="13"/>
        <x:v>0</x:v>
      </x:c>
    </x:row>
    <x:row r="32" spans="1:21" outlineLevel="2" x14ac:dyDescent="0.25">
      <x:c r="A32" s="19" t="s">
        <x:v>34</x:v>
      </x:c>
      <x:c r="B32" s="21" t="s">
        <x:v>31</x:v>
      </x:c>
      <x:c r="C32" s="19">
        <x:f t="shared" si="7"/>
        <x:v>2.5</x:v>
      </x:c>
      <x:c r="D32" s="20">
        <x:v>29245.5</x:v>
      </x:c>
      <x:c r="E32" s="21">
        <x:v>15</x:v>
      </x:c>
      <x:c r="F32" s="35">
        <x:v>12.788309999999999</x:v>
      </x:c>
      <x:c r="G32" s="21">
        <x:f t="shared" si="8"/>
        <x:v>4312.1319930000027</x:v>
      </x:c>
      <x:c r="H32" s="21">
        <x:v>1.1371012582655127</x:v>
      </x:c>
      <x:c r="I32" s="36">
        <x:f t="shared" si="14"/>
        <x:v>4903.3307150472756</x:v>
      </x:c>
      <x:c r="J32" s="36"/>
      <x:c r="K32" s="34">
        <x:v>29245.5</x:v>
      </x:c>
      <x:c r="L32" s="36"/>
      <x:c r="M32" s="36"/>
      <x:c r="N32" s="37"/>
      <x:c r="O32" s="36"/>
      <x:c r="P32" s="30">
        <x:f t="shared" si="9"/>
        <x:v>4903.3307150472756</x:v>
      </x:c>
      <x:c r="Q32" s="31">
        <x:f t="shared" si="10"/>
        <x:v>0</x:v>
      </x:c>
      <x:c r="R32" s="31">
        <x:f t="shared" si="11"/>
        <x:v>0</x:v>
      </x:c>
      <x:c r="S32" s="32">
        <x:f t="shared" si="12"/>
        <x:v>0</x:v>
      </x:c>
      <x:c r="T32" s="4">
        <x:f t="shared" si="13"/>
        <x:v>0</x:v>
      </x:c>
    </x:row>
    <x:row r="33" spans="1:20" outlineLevel="2" x14ac:dyDescent="0.25">
      <x:c r="A33" s="19" t="s">
        <x:v>34</x:v>
      </x:c>
      <x:c r="B33" s="21" t="s">
        <x:v>31</x:v>
      </x:c>
      <x:c r="C33" s="19">
        <x:f t="shared" si="7"/>
        <x:v>2.5</x:v>
      </x:c>
      <x:c r="D33" s="20">
        <x:v>29245.5</x:v>
      </x:c>
      <x:c r="E33" s="21">
        <x:v>15</x:v>
      </x:c>
      <x:c r="F33" s="35">
        <x:v>12.788309999999999</x:v>
      </x:c>
      <x:c r="G33" s="21">
        <x:f t="shared" si="8"/>
        <x:v>4312.1319930000027</x:v>
      </x:c>
      <x:c r="H33" s="21">
        <x:v>1.1371012582655127</x:v>
      </x:c>
      <x:c r="I33" s="36">
        <x:f t="shared" si="14"/>
        <x:v>4903.3307150472756</x:v>
      </x:c>
      <x:c r="J33" s="36"/>
      <x:c r="K33" s="34">
        <x:v>29245.5</x:v>
      </x:c>
      <x:c r="L33" s="36"/>
      <x:c r="M33" s="36"/>
      <x:c r="N33" s="37"/>
      <x:c r="O33" s="36"/>
      <x:c r="P33" s="30">
        <x:f t="shared" si="9"/>
        <x:v>4903.3307150472756</x:v>
      </x:c>
      <x:c r="Q33" s="31">
        <x:f t="shared" si="10"/>
        <x:v>0</x:v>
      </x:c>
      <x:c r="R33" s="31">
        <x:f t="shared" si="11"/>
        <x:v>0</x:v>
      </x:c>
      <x:c r="S33" s="32">
        <x:f t="shared" si="12"/>
        <x:v>0</x:v>
      </x:c>
      <x:c r="T33" s="4">
        <x:f t="shared" si="13"/>
        <x:v>0</x:v>
      </x:c>
    </x:row>
    <x:row r="34" spans="1:20" outlineLevel="2" x14ac:dyDescent="0.25">
      <x:c r="A34" s="19" t="s">
        <x:v>34</x:v>
      </x:c>
      <x:c r="B34" s="21" t="s">
        <x:v>31</x:v>
      </x:c>
      <x:c r="C34" s="19">
        <x:f t="shared" si="7"/>
        <x:v>2.5</x:v>
      </x:c>
      <x:c r="D34" s="20">
        <x:v>29245.5</x:v>
      </x:c>
      <x:c r="E34" s="21">
        <x:v>15</x:v>
      </x:c>
      <x:c r="F34" s="35">
        <x:v>12.788309999999999</x:v>
      </x:c>
      <x:c r="G34" s="21">
        <x:f t="shared" si="8"/>
        <x:v>4312.1319930000027</x:v>
      </x:c>
      <x:c r="H34" s="21">
        <x:v>1.1371012582655127</x:v>
      </x:c>
      <x:c r="I34" s="36">
        <x:f t="shared" si="14"/>
        <x:v>4903.3307150472756</x:v>
      </x:c>
      <x:c r="J34" s="36"/>
      <x:c r="K34" s="34">
        <x:v>29245.5</x:v>
      </x:c>
      <x:c r="L34" s="36"/>
      <x:c r="M34" s="36"/>
      <x:c r="N34" s="37"/>
      <x:c r="O34" s="36"/>
      <x:c r="P34" s="30">
        <x:f t="shared" si="9"/>
        <x:v>4903.3307150472756</x:v>
      </x:c>
      <x:c r="Q34" s="31">
        <x:f t="shared" si="10"/>
        <x:v>0</x:v>
      </x:c>
      <x:c r="R34" s="31">
        <x:f t="shared" si="11"/>
        <x:v>0</x:v>
      </x:c>
      <x:c r="S34" s="32">
        <x:f t="shared" si="12"/>
        <x:v>0</x:v>
      </x:c>
      <x:c r="T34" s="4">
        <x:f t="shared" si="13"/>
        <x:v>0</x:v>
      </x:c>
    </x:row>
    <x:row r="35" spans="1:20" outlineLevel="2" x14ac:dyDescent="0.25">
      <x:c r="A35" s="19" t="s">
        <x:v>34</x:v>
      </x:c>
      <x:c r="B35" s="21" t="s">
        <x:v>31</x:v>
      </x:c>
      <x:c r="C35" s="19">
        <x:f t="shared" si="7"/>
        <x:v>2.5</x:v>
      </x:c>
      <x:c r="D35" s="20">
        <x:v>102359.29</x:v>
      </x:c>
      <x:c r="E35" s="21">
        <x:v>15</x:v>
      </x:c>
      <x:c r="F35" s="35">
        <x:v>12.788309999999999</x:v>
      </x:c>
      <x:c r="G35" s="21">
        <x:f t="shared" si="8"/>
        <x:v>15092.467873340007</x:v>
      </x:c>
      <x:c r="H35" s="21">
        <x:v>1.1371012582655127</x:v>
      </x:c>
      <x:c r="I35" s="36">
        <x:f t="shared" si="14"/>
        <x:v>17161.664209106748</x:v>
      </x:c>
      <x:c r="J35" s="36"/>
      <x:c r="K35" s="34">
        <x:v>102359.29</x:v>
      </x:c>
      <x:c r="L35" s="36"/>
      <x:c r="M35" s="36"/>
      <x:c r="N35" s="37"/>
      <x:c r="O35" s="36"/>
      <x:c r="P35" s="30">
        <x:f t="shared" si="9"/>
        <x:v>17161.664209106748</x:v>
      </x:c>
      <x:c r="Q35" s="31">
        <x:f t="shared" si="10"/>
        <x:v>0</x:v>
      </x:c>
      <x:c r="R35" s="31">
        <x:f t="shared" si="11"/>
        <x:v>0</x:v>
      </x:c>
      <x:c r="S35" s="32">
        <x:f t="shared" si="12"/>
        <x:v>0</x:v>
      </x:c>
      <x:c r="T35" s="4">
        <x:f t="shared" si="13"/>
        <x:v>0</x:v>
      </x:c>
    </x:row>
    <x:row r="36" spans="1:20" outlineLevel="2" x14ac:dyDescent="0.25">
      <x:c r="A36" s="19" t="s">
        <x:v>34</x:v>
      </x:c>
      <x:c r="B36" s="21" t="s">
        <x:v>31</x:v>
      </x:c>
      <x:c r="C36" s="19">
        <x:f t="shared" si="7"/>
        <x:v>2.5</x:v>
      </x:c>
      <x:c r="D36" s="20">
        <x:v>102359.34</x:v>
      </x:c>
      <x:c r="E36" s="21">
        <x:v>15</x:v>
      </x:c>
      <x:c r="F36" s="35">
        <x:v>12.788309999999999</x:v>
      </x:c>
      <x:c r="G36" s="21">
        <x:f t="shared" si="8"/>
        <x:v>15092.475245640007</x:v>
      </x:c>
      <x:c r="H36" s="21">
        <x:v>1.1371012582655127</x:v>
      </x:c>
      <x:c r="I36" s="36">
        <x:f t="shared" si="14"/>
        <x:v>17161.672592158357</x:v>
      </x:c>
      <x:c r="J36" s="36"/>
      <x:c r="K36" s="34">
        <x:v>102359.34</x:v>
      </x:c>
      <x:c r="L36" s="36"/>
      <x:c r="M36" s="36"/>
      <x:c r="N36" s="37"/>
      <x:c r="O36" s="36"/>
      <x:c r="P36" s="30">
        <x:f t="shared" si="9"/>
        <x:v>17161.672592158357</x:v>
      </x:c>
      <x:c r="Q36" s="31">
        <x:f t="shared" si="10"/>
        <x:v>0</x:v>
      </x:c>
      <x:c r="R36" s="31">
        <x:f t="shared" si="11"/>
        <x:v>0</x:v>
      </x:c>
      <x:c r="S36" s="32">
        <x:f t="shared" si="12"/>
        <x:v>0</x:v>
      </x:c>
      <x:c r="T36" s="4">
        <x:f t="shared" si="13"/>
        <x:v>0</x:v>
      </x:c>
    </x:row>
    <x:row r="37" spans="1:20" outlineLevel="2" x14ac:dyDescent="0.25">
      <x:c r="A37" s="19" t="s">
        <x:v>34</x:v>
      </x:c>
      <x:c r="B37" s="21" t="s">
        <x:v>31</x:v>
      </x:c>
      <x:c r="C37" s="19">
        <x:f t="shared" si="7"/>
        <x:v>2.5</x:v>
      </x:c>
      <x:c r="D37" s="20">
        <x:v>9528.66</x:v>
      </x:c>
      <x:c r="E37" s="21">
        <x:v>15</x:v>
      </x:c>
      <x:c r="F37" s="35">
        <x:v>12.788309999999999</x:v>
      </x:c>
      <x:c r="G37" s="21">
        <x:f t="shared" si="8"/>
        <x:v>1404.9628023600008</x:v>
      </x:c>
      <x:c r="H37" s="21">
        <x:v>1.1371012582655127</x:v>
      </x:c>
      <x:c r="I37" s="36">
        <x:f t="shared" si="14"/>
        <x:v>1597.5849703797976</x:v>
      </x:c>
      <x:c r="J37" s="36"/>
      <x:c r="K37" s="34">
        <x:v>9528.66</x:v>
      </x:c>
      <x:c r="L37" s="36"/>
      <x:c r="M37" s="36"/>
      <x:c r="N37" s="37"/>
      <x:c r="O37" s="36"/>
      <x:c r="P37" s="30">
        <x:f t="shared" si="9"/>
        <x:v>1597.5849703797976</x:v>
      </x:c>
      <x:c r="Q37" s="31">
        <x:f t="shared" si="10"/>
        <x:v>0</x:v>
      </x:c>
      <x:c r="R37" s="31">
        <x:f t="shared" si="11"/>
        <x:v>0</x:v>
      </x:c>
      <x:c r="S37" s="32">
        <x:f t="shared" si="12"/>
        <x:v>0</x:v>
      </x:c>
      <x:c r="T37" s="4">
        <x:f t="shared" si="13"/>
        <x:v>0</x:v>
      </x:c>
    </x:row>
    <x:row r="38" spans="1:20" outlineLevel="2" x14ac:dyDescent="0.25">
      <x:c r="A38" s="19" t="s">
        <x:v>34</x:v>
      </x:c>
      <x:c r="B38" s="21" t="s">
        <x:v>31</x:v>
      </x:c>
      <x:c r="C38" s="19">
        <x:f t="shared" si="7"/>
        <x:v>2.5</x:v>
      </x:c>
      <x:c r="D38" s="20">
        <x:v>9528.66</x:v>
      </x:c>
      <x:c r="E38" s="21">
        <x:v>15</x:v>
      </x:c>
      <x:c r="F38" s="35">
        <x:v>12.788309999999999</x:v>
      </x:c>
      <x:c r="G38" s="21">
        <x:f t="shared" si="8"/>
        <x:v>1404.9628023600008</x:v>
      </x:c>
      <x:c r="H38" s="21">
        <x:v>1.1371012582655127</x:v>
      </x:c>
      <x:c r="I38" s="36">
        <x:f t="shared" si="14"/>
        <x:v>1597.5849703797976</x:v>
      </x:c>
      <x:c r="J38" s="36"/>
      <x:c r="K38" s="34">
        <x:v>9528.66</x:v>
      </x:c>
      <x:c r="L38" s="36"/>
      <x:c r="M38" s="36"/>
      <x:c r="N38" s="37"/>
      <x:c r="O38" s="36"/>
      <x:c r="P38" s="30">
        <x:f t="shared" si="9"/>
        <x:v>1597.5849703797976</x:v>
      </x:c>
      <x:c r="Q38" s="31">
        <x:f t="shared" si="10"/>
        <x:v>0</x:v>
      </x:c>
      <x:c r="R38" s="31">
        <x:f t="shared" si="11"/>
        <x:v>0</x:v>
      </x:c>
      <x:c r="S38" s="32">
        <x:f t="shared" si="12"/>
        <x:v>0</x:v>
      </x:c>
      <x:c r="T38" s="4">
        <x:f t="shared" si="13"/>
        <x:v>0</x:v>
      </x:c>
    </x:row>
    <x:row r="39" spans="1:20" outlineLevel="2" x14ac:dyDescent="0.25">
      <x:c r="A39" s="19" t="s">
        <x:v>34</x:v>
      </x:c>
      <x:c r="B39" s="21" t="s">
        <x:v>31</x:v>
      </x:c>
      <x:c r="C39" s="19">
        <x:f t="shared" si="7"/>
        <x:v>2.5</x:v>
      </x:c>
      <x:c r="D39" s="20">
        <x:v>9528.66</x:v>
      </x:c>
      <x:c r="E39" s="21">
        <x:v>15</x:v>
      </x:c>
      <x:c r="F39" s="35">
        <x:v>12.788309999999999</x:v>
      </x:c>
      <x:c r="G39" s="21">
        <x:f t="shared" si="8"/>
        <x:v>1404.9628023600008</x:v>
      </x:c>
      <x:c r="H39" s="21">
        <x:v>1.1371012582655127</x:v>
      </x:c>
      <x:c r="I39" s="36">
        <x:f t="shared" si="14"/>
        <x:v>1597.5849703797976</x:v>
      </x:c>
      <x:c r="J39" s="36"/>
      <x:c r="K39" s="34">
        <x:v>9528.66</x:v>
      </x:c>
      <x:c r="L39" s="36"/>
      <x:c r="M39" s="36"/>
      <x:c r="N39" s="37"/>
      <x:c r="O39" s="36"/>
      <x:c r="P39" s="30">
        <x:f t="shared" si="9"/>
        <x:v>1597.5849703797976</x:v>
      </x:c>
      <x:c r="Q39" s="31">
        <x:f t="shared" si="10"/>
        <x:v>0</x:v>
      </x:c>
      <x:c r="R39" s="31">
        <x:f t="shared" si="11"/>
        <x:v>0</x:v>
      </x:c>
      <x:c r="S39" s="32">
        <x:f t="shared" si="12"/>
        <x:v>0</x:v>
      </x:c>
      <x:c r="T39" s="4">
        <x:f t="shared" si="13"/>
        <x:v>0</x:v>
      </x:c>
    </x:row>
    <x:row r="40" spans="1:20" outlineLevel="2" x14ac:dyDescent="0.25">
      <x:c r="A40" s="19" t="s">
        <x:v>34</x:v>
      </x:c>
      <x:c r="B40" s="21" t="s">
        <x:v>31</x:v>
      </x:c>
      <x:c r="C40" s="19">
        <x:f t="shared" si="7"/>
        <x:v>2.5</x:v>
      </x:c>
      <x:c r="D40" s="20">
        <x:v>33350.370000000003</x:v>
      </x:c>
      <x:c r="E40" s="21">
        <x:v>15</x:v>
      </x:c>
      <x:c r="F40" s="35">
        <x:v>12.788309999999999</x:v>
      </x:c>
      <x:c r="G40" s="21">
        <x:f t="shared" si="8"/>
        <x:v>4917.378655020003</x:v>
      </x:c>
      <x:c r="H40" s="21">
        <x:v>1.1371012582655127</x:v>
      </x:c>
      <x:c r="I40" s="36">
        <x:f t="shared" si="14"/>
        <x:v>5591.5574559912193</x:v>
      </x:c>
      <x:c r="J40" s="36"/>
      <x:c r="K40" s="34">
        <x:v>33350.370000000003</x:v>
      </x:c>
      <x:c r="L40" s="36"/>
      <x:c r="M40" s="36"/>
      <x:c r="N40" s="37"/>
      <x:c r="O40" s="36"/>
      <x:c r="P40" s="30">
        <x:f t="shared" si="9"/>
        <x:v>5591.5574559912193</x:v>
      </x:c>
      <x:c r="Q40" s="31">
        <x:f t="shared" si="10"/>
        <x:v>0</x:v>
      </x:c>
      <x:c r="R40" s="31">
        <x:f t="shared" si="11"/>
        <x:v>0</x:v>
      </x:c>
      <x:c r="S40" s="32">
        <x:f t="shared" si="12"/>
        <x:v>0</x:v>
      </x:c>
      <x:c r="T40" s="4">
        <x:f t="shared" si="13"/>
        <x:v>0</x:v>
      </x:c>
    </x:row>
    <x:row r="41" spans="1:20" outlineLevel="2" x14ac:dyDescent="0.25">
      <x:c r="A41" s="19" t="s">
        <x:v>34</x:v>
      </x:c>
      <x:c r="B41" s="21" t="s">
        <x:v>31</x:v>
      </x:c>
      <x:c r="C41" s="19">
        <x:f t="shared" si="7"/>
        <x:v>2.5</x:v>
      </x:c>
      <x:c r="D41" s="20">
        <x:v>33350.49</x:v>
      </x:c>
      <x:c r="E41" s="21">
        <x:v>15</x:v>
      </x:c>
      <x:c r="F41" s="35">
        <x:v>12.788309999999999</x:v>
      </x:c>
      <x:c r="G41" s="21">
        <x:f t="shared" si="8"/>
        <x:v>4917.3963485400027</x:v>
      </x:c>
      <x:c r="H41" s="35">
        <x:v>1.1371012582655127</x:v>
      </x:c>
      <x:c r="I41" s="36">
        <x:f t="shared" si="14"/>
        <x:v>5591.5775753150747</x:v>
      </x:c>
      <x:c r="J41" s="36"/>
      <x:c r="K41" s="34">
        <x:v>33350.49</x:v>
      </x:c>
      <x:c r="L41" s="36"/>
      <x:c r="M41" s="36"/>
      <x:c r="N41" s="37"/>
      <x:c r="O41" s="36"/>
      <x:c r="P41" s="30">
        <x:f t="shared" si="9"/>
        <x:v>5591.5775753150747</x:v>
      </x:c>
      <x:c r="Q41" s="31">
        <x:f t="shared" si="10"/>
        <x:v>0</x:v>
      </x:c>
      <x:c r="R41" s="31">
        <x:f t="shared" si="11"/>
        <x:v>0</x:v>
      </x:c>
      <x:c r="S41" s="32">
        <x:f t="shared" si="12"/>
        <x:v>0</x:v>
      </x:c>
      <x:c r="T41" s="4">
        <x:f t="shared" si="13"/>
        <x:v>0</x:v>
      </x:c>
    </x:row>
    <x:row r="42" spans="1:20" outlineLevel="2" x14ac:dyDescent="0.25">
      <x:c r="A42" s="19" t="s">
        <x:v>34</x:v>
      </x:c>
      <x:c r="B42" s="21" t="s">
        <x:v>31</x:v>
      </x:c>
      <x:c r="C42" s="19">
        <x:f t="shared" si="7"/>
        <x:v>2.5</x:v>
      </x:c>
      <x:c r="D42" s="20">
        <x:v>221806.93</x:v>
      </x:c>
      <x:c r="E42" s="21">
        <x:v>15</x:v>
      </x:c>
      <x:c r="F42" s="35">
        <x:v>12.788309999999999</x:v>
      </x:c>
      <x:c r="G42" s="21">
        <x:f t="shared" si="8"/>
        <x:v>32704.544600780016</x:v>
      </x:c>
      <x:c r="H42" s="35">
        <x:v>1.1371012582655127</x:v>
      </x:c>
      <x:c r="I42" s="36">
        <x:f t="shared" si="14"/>
        <x:v>37188.378816547534</x:v>
      </x:c>
      <x:c r="J42" s="36"/>
      <x:c r="K42" s="34">
        <x:v>221806.93</x:v>
      </x:c>
      <x:c r="L42" s="36"/>
      <x:c r="M42" s="36"/>
      <x:c r="N42" s="37"/>
      <x:c r="O42" s="36"/>
      <x:c r="P42" s="30">
        <x:f t="shared" si="9"/>
        <x:v>37188.378816547534</x:v>
      </x:c>
      <x:c r="Q42" s="31">
        <x:f t="shared" si="10"/>
        <x:v>0</x:v>
      </x:c>
      <x:c r="R42" s="31">
        <x:f t="shared" si="11"/>
        <x:v>0</x:v>
      </x:c>
      <x:c r="S42" s="32">
        <x:f t="shared" si="12"/>
        <x:v>0</x:v>
      </x:c>
      <x:c r="T42" s="4">
        <x:f t="shared" si="13"/>
        <x:v>0</x:v>
      </x:c>
    </x:row>
    <x:row r="43" spans="1:20" outlineLevel="2" x14ac:dyDescent="0.25">
      <x:c r="A43" s="19" t="s">
        <x:v>34</x:v>
      </x:c>
      <x:c r="B43" s="21" t="s">
        <x:v>16</x:v>
      </x:c>
      <x:c r="C43" s="19">
        <x:f t="shared" si="7"/>
        <x:v>3.5</x:v>
      </x:c>
      <x:c r="D43" s="20">
        <x:v>-341360.63</x:v>
      </x:c>
      <x:c r="E43" s="21">
        <x:v>15</x:v>
      </x:c>
      <x:c r="F43" s="35">
        <x:v>11.937706</x:v>
      </x:c>
      <x:c r="G43" s="21">
        <x:f t="shared" si="8"/>
        <x:v>-69689.773939014645</x:v>
      </x:c>
      <x:c r="H43" s="35">
        <x:v>1.1371012582655127</x:v>
      </x:c>
      <x:c r="I43" s="36">
        <x:f t="shared" si="14"/>
        <x:v>-79244.329634292691</x:v>
      </x:c>
      <x:c r="J43" s="36"/>
      <x:c r="K43" s="34">
        <x:v>-341360.63</x:v>
      </x:c>
      <x:c r="L43" s="36"/>
      <x:c r="M43" s="36"/>
      <x:c r="N43" s="37"/>
      <x:c r="O43" s="36"/>
      <x:c r="P43" s="30">
        <x:f t="shared" si="9"/>
        <x:v>-79244.329634292691</x:v>
      </x:c>
      <x:c r="Q43" s="31">
        <x:f t="shared" si="10"/>
        <x:v>0</x:v>
      </x:c>
      <x:c r="R43" s="31">
        <x:f t="shared" si="11"/>
        <x:v>0</x:v>
      </x:c>
      <x:c r="S43" s="32">
        <x:f t="shared" si="12"/>
        <x:v>0</x:v>
      </x:c>
      <x:c r="T43" s="4">
        <x:f t="shared" si="13"/>
        <x:v>0</x:v>
      </x:c>
    </x:row>
    <x:row r="44" spans="1:20" outlineLevel="2" x14ac:dyDescent="0.25">
      <x:c r="A44" s="19" t="s">
        <x:v>34</x:v>
      </x:c>
      <x:c r="B44" s="21" t="s">
        <x:v>16</x:v>
      </x:c>
      <x:c r="C44" s="19">
        <x:f t="shared" si="7"/>
        <x:v>3.5</x:v>
      </x:c>
      <x:c r="D44" s="20">
        <x:v>5191425.46</x:v>
      </x:c>
      <x:c r="E44" s="21">
        <x:v>15</x:v>
      </x:c>
      <x:c r="F44" s="35">
        <x:v>11.937706</x:v>
      </x:c>
      <x:c r="G44" s="21">
        <x:f t="shared" si="8"/>
        <x:v>1059844.735840349</x:v>
      </x:c>
      <x:c r="H44" s="35">
        <x:v>1.1371012582655127</x:v>
      </x:c>
      <x:c r="I44" s="36">
        <x:f t="shared" si="14"/>
        <x:v>1205150.7826901407</x:v>
      </x:c>
      <x:c r="J44" s="36"/>
      <x:c r="K44" s="34">
        <x:v>5191425.46</x:v>
      </x:c>
      <x:c r="L44" s="36"/>
      <x:c r="M44" s="36"/>
      <x:c r="N44" s="37"/>
      <x:c r="O44" s="36"/>
      <x:c r="P44" s="30">
        <x:f t="shared" si="9"/>
        <x:v>1205150.7826901407</x:v>
      </x:c>
      <x:c r="Q44" s="31">
        <x:f t="shared" si="10"/>
        <x:v>0</x:v>
      </x:c>
      <x:c r="R44" s="31">
        <x:f t="shared" si="11"/>
        <x:v>0</x:v>
      </x:c>
      <x:c r="S44" s="32">
        <x:f t="shared" si="12"/>
        <x:v>0</x:v>
      </x:c>
      <x:c r="T44" s="4">
        <x:f t="shared" si="13"/>
        <x:v>0</x:v>
      </x:c>
    </x:row>
    <x:row r="45" spans="1:20" outlineLevel="2" x14ac:dyDescent="0.25">
      <x:c r="A45" s="19" t="s">
        <x:v>34</x:v>
      </x:c>
      <x:c r="B45" s="21" t="s">
        <x:v>16</x:v>
      </x:c>
      <x:c r="C45" s="19">
        <x:f t="shared" si="7"/>
        <x:v>3.5</x:v>
      </x:c>
      <x:c r="D45" s="20">
        <x:v>1216479.71</x:v>
      </x:c>
      <x:c r="E45" s="21">
        <x:v>15</x:v>
      </x:c>
      <x:c r="F45" s="35">
        <x:v>11.937706</x:v>
      </x:c>
      <x:c r="G45" s="21">
        <x:f t="shared" si="8"/>
        <x:v>248347.9011369826</x:v>
      </x:c>
      <x:c r="H45" s="35">
        <x:v>1.1371012582655127</x:v>
      </x:c>
      <x:c r="I45" s="36">
        <x:f t="shared" si="14"/>
        <x:v>282396.71087046206</x:v>
      </x:c>
      <x:c r="J45" s="36"/>
      <x:c r="K45" s="34">
        <x:v>1216479.71</x:v>
      </x:c>
      <x:c r="L45" s="36"/>
      <x:c r="M45" s="36"/>
      <x:c r="N45" s="37"/>
      <x:c r="O45" s="36"/>
      <x:c r="P45" s="30">
        <x:f t="shared" si="9"/>
        <x:v>282396.71087046206</x:v>
      </x:c>
      <x:c r="Q45" s="31">
        <x:f t="shared" si="10"/>
        <x:v>0</x:v>
      </x:c>
      <x:c r="R45" s="31">
        <x:f t="shared" si="11"/>
        <x:v>0</x:v>
      </x:c>
      <x:c r="S45" s="32">
        <x:f t="shared" si="12"/>
        <x:v>0</x:v>
      </x:c>
      <x:c r="T45" s="4">
        <x:f t="shared" si="13"/>
        <x:v>0</x:v>
      </x:c>
    </x:row>
    <x:row r="46" spans="1:20" outlineLevel="2" x14ac:dyDescent="0.25">
      <x:c r="A46" s="19" t="s">
        <x:v>34</x:v>
      </x:c>
      <x:c r="B46" s="21" t="s">
        <x:v>16</x:v>
      </x:c>
      <x:c r="C46" s="19">
        <x:f t="shared" si="7"/>
        <x:v>3.5</x:v>
      </x:c>
      <x:c r="D46" s="20">
        <x:v>1411670.33</x:v>
      </x:c>
      <x:c r="E46" s="21">
        <x:v>15</x:v>
      </x:c>
      <x:c r="F46" s="35">
        <x:v>11.937706</x:v>
      </x:c>
      <x:c r="G46" s="21">
        <x:f t="shared" si="8"/>
        <x:v>288196.63876913459</x:v>
      </x:c>
      <x:c r="H46" s="35">
        <x:v>1.1371012582655127</x:v>
      </x:c>
      <x:c r="I46" s="36">
        <x:f t="shared" si="14"/>
        <x:v>327708.76057227439</x:v>
      </x:c>
      <x:c r="J46" s="36"/>
      <x:c r="K46" s="34">
        <x:v>1411670.33</x:v>
      </x:c>
      <x:c r="L46" s="36"/>
      <x:c r="M46" s="36"/>
      <x:c r="N46" s="37"/>
      <x:c r="O46" s="36"/>
      <x:c r="P46" s="30">
        <x:f t="shared" si="9"/>
        <x:v>327708.76057227439</x:v>
      </x:c>
      <x:c r="Q46" s="31">
        <x:f t="shared" si="10"/>
        <x:v>0</x:v>
      </x:c>
      <x:c r="R46" s="31">
        <x:f t="shared" si="11"/>
        <x:v>0</x:v>
      </x:c>
      <x:c r="S46" s="32">
        <x:f t="shared" si="12"/>
        <x:v>0</x:v>
      </x:c>
      <x:c r="T46" s="4">
        <x:f t="shared" si="13"/>
        <x:v>0</x:v>
      </x:c>
    </x:row>
    <x:row r="47" spans="1:20" outlineLevel="2" x14ac:dyDescent="0.25">
      <x:c r="A47" s="19" t="s">
        <x:v>34</x:v>
      </x:c>
      <x:c r="B47" s="21" t="s">
        <x:v>16</x:v>
      </x:c>
      <x:c r="C47" s="19">
        <x:f t="shared" si="7"/>
        <x:v>3.5</x:v>
      </x:c>
      <x:c r="D47" s="20">
        <x:v>3884.02</x:v>
      </x:c>
      <x:c r="E47" s="21">
        <x:v>15</x:v>
      </x:c>
      <x:c r="F47" s="35">
        <x:v>11.937706</x:v>
      </x:c>
      <x:c r="G47" s="21">
        <x:f t="shared" si="8"/>
        <x:v>792.93407612533315</x:v>
      </x:c>
      <x:c r="H47" s="35">
        <x:v>1.1371012582655127</x:v>
      </x:c>
      <x:c r="I47" s="36">
        <x:f t="shared" si="14"/>
        <x:v>901.64633568371812</x:v>
      </x:c>
      <x:c r="J47" s="36"/>
      <x:c r="K47" s="34">
        <x:v>3884.02</x:v>
      </x:c>
      <x:c r="L47" s="36"/>
      <x:c r="M47" s="36"/>
      <x:c r="N47" s="37"/>
      <x:c r="O47" s="36"/>
      <x:c r="P47" s="30">
        <x:f t="shared" si="9"/>
        <x:v>901.64633568371812</x:v>
      </x:c>
      <x:c r="Q47" s="31">
        <x:f t="shared" si="10"/>
        <x:v>0</x:v>
      </x:c>
      <x:c r="R47" s="31">
        <x:f t="shared" si="11"/>
        <x:v>0</x:v>
      </x:c>
      <x:c r="S47" s="32">
        <x:f t="shared" si="12"/>
        <x:v>0</x:v>
      </x:c>
      <x:c r="T47" s="4">
        <x:f t="shared" si="13"/>
        <x:v>0</x:v>
      </x:c>
    </x:row>
    <x:row r="48" spans="1:20" outlineLevel="2" x14ac:dyDescent="0.25">
      <x:c r="A48" s="19" t="s">
        <x:v>34</x:v>
      </x:c>
      <x:c r="B48" s="21" t="s">
        <x:v>16</x:v>
      </x:c>
      <x:c r="C48" s="19">
        <x:f t="shared" si="7"/>
        <x:v>3.5</x:v>
      </x:c>
      <x:c r="D48" s="20">
        <x:v>152602.76999999999</x:v>
      </x:c>
      <x:c r="E48" s="21">
        <x:v>15</x:v>
      </x:c>
      <x:c r="F48" s="35">
        <x:v>11.937706</x:v>
      </x:c>
      <x:c r="G48" s="21">
        <x:f t="shared" si="8"/>
        <x:v>31154.303130291992</x:v>
      </x:c>
      <x:c r="H48" s="35">
        <x:v>1.1371012582655127</x:v>
      </x:c>
      <x:c r="I48" s="36">
        <x:f t="shared" si="14"/>
        <x:v>35425.597289840225</x:v>
      </x:c>
      <x:c r="J48" s="36"/>
      <x:c r="K48" s="34">
        <x:v>152602.76999999999</x:v>
      </x:c>
      <x:c r="L48" s="36"/>
      <x:c r="M48" s="36"/>
      <x:c r="N48" s="37"/>
      <x:c r="O48" s="36"/>
      <x:c r="P48" s="30">
        <x:f t="shared" si="9"/>
        <x:v>35425.597289840225</x:v>
      </x:c>
      <x:c r="Q48" s="31">
        <x:f t="shared" si="10"/>
        <x:v>0</x:v>
      </x:c>
      <x:c r="R48" s="31">
        <x:f t="shared" si="11"/>
        <x:v>0</x:v>
      </x:c>
      <x:c r="S48" s="32">
        <x:f t="shared" si="12"/>
        <x:v>0</x:v>
      </x:c>
      <x:c r="T48" s="4">
        <x:f t="shared" si="13"/>
        <x:v>0</x:v>
      </x:c>
    </x:row>
    <x:row r="49" spans="1:20" outlineLevel="2" x14ac:dyDescent="0.25">
      <x:c r="A49" s="19" t="s">
        <x:v>34</x:v>
      </x:c>
      <x:c r="B49" s="21" t="s">
        <x:v>16</x:v>
      </x:c>
      <x:c r="C49" s="19">
        <x:f t="shared" si="7"/>
        <x:v>3.5</x:v>
      </x:c>
      <x:c r="D49" s="20">
        <x:v>152602.76999999999</x:v>
      </x:c>
      <x:c r="E49" s="21">
        <x:v>15</x:v>
      </x:c>
      <x:c r="F49" s="35">
        <x:v>11.937706</x:v>
      </x:c>
      <x:c r="G49" s="21">
        <x:f t="shared" si="8"/>
        <x:v>31154.303130291992</x:v>
      </x:c>
      <x:c r="H49" s="35">
        <x:v>1.1371012582655127</x:v>
      </x:c>
      <x:c r="I49" s="36">
        <x:f t="shared" si="14"/>
        <x:v>35425.597289840225</x:v>
      </x:c>
      <x:c r="J49" s="36"/>
      <x:c r="K49" s="34">
        <x:v>152602.76999999999</x:v>
      </x:c>
      <x:c r="L49" s="36"/>
      <x:c r="M49" s="36"/>
      <x:c r="N49" s="37"/>
      <x:c r="O49" s="36"/>
      <x:c r="P49" s="30">
        <x:f t="shared" si="9"/>
        <x:v>35425.597289840225</x:v>
      </x:c>
      <x:c r="Q49" s="31">
        <x:f t="shared" si="10"/>
        <x:v>0</x:v>
      </x:c>
      <x:c r="R49" s="31">
        <x:f t="shared" si="11"/>
        <x:v>0</x:v>
      </x:c>
      <x:c r="S49" s="32">
        <x:f t="shared" si="12"/>
        <x:v>0</x:v>
      </x:c>
      <x:c r="T49" s="4">
        <x:f t="shared" si="13"/>
        <x:v>0</x:v>
      </x:c>
    </x:row>
    <x:row r="50" spans="1:20" outlineLevel="2" x14ac:dyDescent="0.25">
      <x:c r="A50" s="19" t="s">
        <x:v>34</x:v>
      </x:c>
      <x:c r="B50" s="21" t="s">
        <x:v>16</x:v>
      </x:c>
      <x:c r="C50" s="19">
        <x:f t="shared" si="7"/>
        <x:v>3.5</x:v>
      </x:c>
      <x:c r="D50" s="20">
        <x:v>152602.76999999999</x:v>
      </x:c>
      <x:c r="E50" s="21">
        <x:v>15</x:v>
      </x:c>
      <x:c r="F50" s="35">
        <x:v>11.937706</x:v>
      </x:c>
      <x:c r="G50" s="21">
        <x:f t="shared" si="8"/>
        <x:v>31154.303130291992</x:v>
      </x:c>
      <x:c r="H50" s="35">
        <x:v>1.1371012582655127</x:v>
      </x:c>
      <x:c r="I50" s="36">
        <x:f t="shared" si="14"/>
        <x:v>35425.597289840225</x:v>
      </x:c>
      <x:c r="J50" s="36"/>
      <x:c r="K50" s="34">
        <x:v>152602.76999999999</x:v>
      </x:c>
      <x:c r="L50" s="36"/>
      <x:c r="M50" s="36"/>
      <x:c r="N50" s="37"/>
      <x:c r="O50" s="36"/>
      <x:c r="P50" s="30">
        <x:f t="shared" si="9"/>
        <x:v>35425.597289840225</x:v>
      </x:c>
      <x:c r="Q50" s="31">
        <x:f t="shared" si="10"/>
        <x:v>0</x:v>
      </x:c>
      <x:c r="R50" s="31">
        <x:f t="shared" si="11"/>
        <x:v>0</x:v>
      </x:c>
      <x:c r="S50" s="32">
        <x:f t="shared" si="12"/>
        <x:v>0</x:v>
      </x:c>
      <x:c r="T50" s="4">
        <x:f t="shared" si="13"/>
        <x:v>0</x:v>
      </x:c>
    </x:row>
    <x:row r="51" spans="1:20" outlineLevel="2" x14ac:dyDescent="0.25">
      <x:c r="A51" s="19" t="s">
        <x:v>34</x:v>
      </x:c>
      <x:c r="B51" s="21" t="s">
        <x:v>16</x:v>
      </x:c>
      <x:c r="C51" s="19">
        <x:f t="shared" si="7"/>
        <x:v>3.5</x:v>
      </x:c>
      <x:c r="D51" s="20">
        <x:v>534109.68999999994</x:v>
      </x:c>
      <x:c r="E51" s="21">
        <x:v>15</x:v>
      </x:c>
      <x:c r="F51" s="35">
        <x:v>11.937706</x:v>
      </x:c>
      <x:c r="G51" s="21">
        <x:f t="shared" si="8"/>
        <x:v>109040.05993525729</x:v>
      </x:c>
      <x:c r="H51" s="35">
        <x:v>1.1371012582655127</x:v>
      </x:c>
      <x:c r="I51" s="36">
        <x:f t="shared" si="14"/>
        <x:v>123989.58935372798</x:v>
      </x:c>
      <x:c r="J51" s="36"/>
      <x:c r="K51" s="34">
        <x:v>534109.68999999994</x:v>
      </x:c>
      <x:c r="L51" s="36"/>
      <x:c r="M51" s="36"/>
      <x:c r="N51" s="37"/>
      <x:c r="O51" s="36"/>
      <x:c r="P51" s="30">
        <x:f t="shared" ref="P51:P82" si="15">+$I51*K51/$D51</x:f>
        <x:v>123989.58935372798</x:v>
      </x:c>
      <x:c r="Q51" s="31">
        <x:f t="shared" ref="Q51:Q82" si="16">+$I51*L51/$D51</x:f>
        <x:v>0</x:v>
      </x:c>
      <x:c r="R51" s="31">
        <x:f t="shared" ref="R51:R82" si="17">+$I51*M51/$D51</x:f>
        <x:v>0</x:v>
      </x:c>
      <x:c r="S51" s="32">
        <x:f t="shared" ref="S51:S82" si="18">+$I51*N51/$D51</x:f>
        <x:v>0</x:v>
      </x:c>
      <x:c r="T51" s="4">
        <x:f t="shared" ref="T51:T82" si="19">+I51-SUM(P51:S51)</x:f>
        <x:v>0</x:v>
      </x:c>
    </x:row>
    <x:row r="52" spans="1:20" outlineLevel="2" x14ac:dyDescent="0.25">
      <x:c r="A52" s="19" t="s">
        <x:v>34</x:v>
      </x:c>
      <x:c r="B52" s="21" t="s">
        <x:v>16</x:v>
      </x:c>
      <x:c r="C52" s="19">
        <x:f t="shared" si="7"/>
        <x:v>3.5</x:v>
      </x:c>
      <x:c r="D52" s="20">
        <x:v>534109.69999999995</x:v>
      </x:c>
      <x:c r="E52" s="21">
        <x:v>15</x:v>
      </x:c>
      <x:c r="F52" s="35">
        <x:v>11.937706</x:v>
      </x:c>
      <x:c r="G52" s="21">
        <x:f t="shared" si="8"/>
        <x:v>109040.06197678663</x:v>
      </x:c>
      <x:c r="H52" s="35">
        <x:v>1.1371012582655127</x:v>
      </x:c>
      <x:c r="I52" s="36">
        <x:f t="shared" si="14"/>
        <x:v>123989.59167515356</x:v>
      </x:c>
      <x:c r="J52" s="36"/>
      <x:c r="K52" s="34">
        <x:v>534109.69999999995</x:v>
      </x:c>
      <x:c r="L52" s="36"/>
      <x:c r="M52" s="36"/>
      <x:c r="N52" s="37"/>
      <x:c r="O52" s="36"/>
      <x:c r="P52" s="30">
        <x:f t="shared" si="15"/>
        <x:v>123989.59167515356</x:v>
      </x:c>
      <x:c r="Q52" s="31">
        <x:f t="shared" si="16"/>
        <x:v>0</x:v>
      </x:c>
      <x:c r="R52" s="31">
        <x:f t="shared" si="17"/>
        <x:v>0</x:v>
      </x:c>
      <x:c r="S52" s="32">
        <x:f t="shared" si="18"/>
        <x:v>0</x:v>
      </x:c>
      <x:c r="T52" s="4">
        <x:f t="shared" si="19"/>
        <x:v>0</x:v>
      </x:c>
    </x:row>
    <x:row r="53" spans="1:20" outlineLevel="2" x14ac:dyDescent="0.25">
      <x:c r="A53" s="19" t="s">
        <x:v>34</x:v>
      </x:c>
      <x:c r="B53" s="21" t="s">
        <x:v>16</x:v>
      </x:c>
      <x:c r="C53" s="19">
        <x:f t="shared" si="7"/>
        <x:v>3.5</x:v>
      </x:c>
      <x:c r="D53" s="20">
        <x:v>111013.81</x:v>
      </x:c>
      <x:c r="E53" s="21">
        <x:v>15</x:v>
      </x:c>
      <x:c r="F53" s="35">
        <x:v>11.937706</x:v>
      </x:c>
      <x:c r="G53" s="21">
        <x:f t="shared" si="8"/>
        <x:v>22663.794952009328</x:v>
      </x:c>
      <x:c r="H53" s="35">
        <x:v>1.1371012582655127</x:v>
      </x:c>
      <x:c r="I53" s="36">
        <x:f t="shared" si="14"/>
        <x:v>25771.029757001383</x:v>
      </x:c>
      <x:c r="J53" s="36"/>
      <x:c r="K53" s="34">
        <x:v>111013.81</x:v>
      </x:c>
      <x:c r="L53" s="36"/>
      <x:c r="M53" s="36"/>
      <x:c r="N53" s="37"/>
      <x:c r="O53" s="36"/>
      <x:c r="P53" s="30">
        <x:f t="shared" si="15"/>
        <x:v>25771.029757001383</x:v>
      </x:c>
      <x:c r="Q53" s="31">
        <x:f t="shared" si="16"/>
        <x:v>0</x:v>
      </x:c>
      <x:c r="R53" s="31">
        <x:f t="shared" si="17"/>
        <x:v>0</x:v>
      </x:c>
      <x:c r="S53" s="32">
        <x:f t="shared" si="18"/>
        <x:v>0</x:v>
      </x:c>
      <x:c r="T53" s="4">
        <x:f t="shared" si="19"/>
        <x:v>0</x:v>
      </x:c>
    </x:row>
    <x:row r="54" spans="1:20" outlineLevel="2" x14ac:dyDescent="0.25">
      <x:c r="A54" s="19" t="s">
        <x:v>34</x:v>
      </x:c>
      <x:c r="B54" s="21" t="s">
        <x:v>16</x:v>
      </x:c>
      <x:c r="C54" s="19">
        <x:f t="shared" si="7"/>
        <x:v>3.5</x:v>
      </x:c>
      <x:c r="D54" s="20">
        <x:v>111013.81</x:v>
      </x:c>
      <x:c r="E54" s="21">
        <x:v>15</x:v>
      </x:c>
      <x:c r="F54" s="35">
        <x:v>11.937706</x:v>
      </x:c>
      <x:c r="G54" s="21">
        <x:f t="shared" si="8"/>
        <x:v>22663.794952009328</x:v>
      </x:c>
      <x:c r="H54" s="35">
        <x:v>1.1371012582655127</x:v>
      </x:c>
      <x:c r="I54" s="36">
        <x:f t="shared" si="14"/>
        <x:v>25771.029757001383</x:v>
      </x:c>
      <x:c r="J54" s="36"/>
      <x:c r="K54" s="34">
        <x:v>111013.81</x:v>
      </x:c>
      <x:c r="L54" s="36"/>
      <x:c r="M54" s="36"/>
      <x:c r="N54" s="37"/>
      <x:c r="O54" s="36"/>
      <x:c r="P54" s="30">
        <x:f t="shared" si="15"/>
        <x:v>25771.029757001383</x:v>
      </x:c>
      <x:c r="Q54" s="31">
        <x:f t="shared" si="16"/>
        <x:v>0</x:v>
      </x:c>
      <x:c r="R54" s="31">
        <x:f t="shared" si="17"/>
        <x:v>0</x:v>
      </x:c>
      <x:c r="S54" s="32">
        <x:f t="shared" si="18"/>
        <x:v>0</x:v>
      </x:c>
      <x:c r="T54" s="4">
        <x:f t="shared" si="19"/>
        <x:v>0</x:v>
      </x:c>
    </x:row>
    <x:row r="55" spans="1:20" outlineLevel="2" x14ac:dyDescent="0.25">
      <x:c r="A55" s="19" t="s">
        <x:v>34</x:v>
      </x:c>
      <x:c r="B55" s="21" t="s">
        <x:v>16</x:v>
      </x:c>
      <x:c r="C55" s="19">
        <x:f t="shared" si="7"/>
        <x:v>3.5</x:v>
      </x:c>
      <x:c r="D55" s="20">
        <x:v>111013.81</x:v>
      </x:c>
      <x:c r="E55" s="21">
        <x:v>15</x:v>
      </x:c>
      <x:c r="F55" s="35">
        <x:v>11.937706</x:v>
      </x:c>
      <x:c r="G55" s="21">
        <x:f t="shared" si="8"/>
        <x:v>22663.794952009328</x:v>
      </x:c>
      <x:c r="H55" s="35">
        <x:v>1.1371012582655127</x:v>
      </x:c>
      <x:c r="I55" s="36">
        <x:f t="shared" si="14"/>
        <x:v>25771.029757001383</x:v>
      </x:c>
      <x:c r="J55" s="36"/>
      <x:c r="K55" s="34">
        <x:v>111013.81</x:v>
      </x:c>
      <x:c r="L55" s="36"/>
      <x:c r="M55" s="36"/>
      <x:c r="N55" s="37"/>
      <x:c r="O55" s="36"/>
      <x:c r="P55" s="30">
        <x:f t="shared" si="15"/>
        <x:v>25771.029757001383</x:v>
      </x:c>
      <x:c r="Q55" s="31">
        <x:f t="shared" si="16"/>
        <x:v>0</x:v>
      </x:c>
      <x:c r="R55" s="31">
        <x:f t="shared" si="17"/>
        <x:v>0</x:v>
      </x:c>
      <x:c r="S55" s="32">
        <x:f t="shared" si="18"/>
        <x:v>0</x:v>
      </x:c>
      <x:c r="T55" s="4">
        <x:f t="shared" si="19"/>
        <x:v>0</x:v>
      </x:c>
    </x:row>
    <x:row r="56" spans="1:20" outlineLevel="2" x14ac:dyDescent="0.25">
      <x:c r="A56" s="19" t="s">
        <x:v>34</x:v>
      </x:c>
      <x:c r="B56" s="21" t="s">
        <x:v>16</x:v>
      </x:c>
      <x:c r="C56" s="19">
        <x:f t="shared" si="7"/>
        <x:v>3.5</x:v>
      </x:c>
      <x:c r="D56" s="20">
        <x:v>388548.36</x:v>
      </x:c>
      <x:c r="E56" s="21">
        <x:v>15</x:v>
      </x:c>
      <x:c r="F56" s="35">
        <x:v>11.937706</x:v>
      </x:c>
      <x:c r="G56" s="21">
        <x:f t="shared" si="8"/>
        <x:v>79323.287435855978</x:v>
      </x:c>
      <x:c r="H56" s="35">
        <x:v>1.1371012582655127</x:v>
      </x:c>
      <x:c r="I56" s="36">
        <x:f t="shared" si="14"/>
        <x:v>90198.609953068764</x:v>
      </x:c>
      <x:c r="J56" s="36"/>
      <x:c r="K56" s="34">
        <x:v>388548.36</x:v>
      </x:c>
      <x:c r="L56" s="36"/>
      <x:c r="M56" s="36"/>
      <x:c r="N56" s="37"/>
      <x:c r="O56" s="36"/>
      <x:c r="P56" s="30">
        <x:f t="shared" si="15"/>
        <x:v>90198.60995306875</x:v>
      </x:c>
      <x:c r="Q56" s="31">
        <x:f t="shared" si="16"/>
        <x:v>0</x:v>
      </x:c>
      <x:c r="R56" s="31">
        <x:f t="shared" si="17"/>
        <x:v>0</x:v>
      </x:c>
      <x:c r="S56" s="32">
        <x:f t="shared" si="18"/>
        <x:v>0</x:v>
      </x:c>
      <x:c r="T56" s="4">
        <x:f t="shared" si="19"/>
        <x:v>0</x:v>
      </x:c>
    </x:row>
    <x:row r="57" spans="1:20" outlineLevel="2" x14ac:dyDescent="0.25">
      <x:c r="A57" s="19" t="s">
        <x:v>34</x:v>
      </x:c>
      <x:c r="B57" s="21" t="s">
        <x:v>16</x:v>
      </x:c>
      <x:c r="C57" s="19">
        <x:f t="shared" si="7"/>
        <x:v>3.5</x:v>
      </x:c>
      <x:c r="D57" s="20">
        <x:v>388548.4</x:v>
      </x:c>
      <x:c r="E57" s="21">
        <x:v>15</x:v>
      </x:c>
      <x:c r="F57" s="35">
        <x:v>11.937706</x:v>
      </x:c>
      <x:c r="G57" s="21">
        <x:f t="shared" si="8"/>
        <x:v>79323.295601973325</x:v>
      </x:c>
      <x:c r="H57" s="35">
        <x:v>1.1371012582655127</x:v>
      </x:c>
      <x:c r="I57" s="36">
        <x:f t="shared" si="14"/>
        <x:v>90198.619238771076</x:v>
      </x:c>
      <x:c r="J57" s="36"/>
      <x:c r="K57" s="34">
        <x:v>388548.4</x:v>
      </x:c>
      <x:c r="L57" s="36"/>
      <x:c r="M57" s="36"/>
      <x:c r="N57" s="37"/>
      <x:c r="O57" s="36"/>
      <x:c r="P57" s="30">
        <x:f t="shared" si="15"/>
        <x:v>90198.619238771076</x:v>
      </x:c>
      <x:c r="Q57" s="31">
        <x:f t="shared" si="16"/>
        <x:v>0</x:v>
      </x:c>
      <x:c r="R57" s="31">
        <x:f t="shared" si="17"/>
        <x:v>0</x:v>
      </x:c>
      <x:c r="S57" s="32">
        <x:f t="shared" si="18"/>
        <x:v>0</x:v>
      </x:c>
      <x:c r="T57" s="4">
        <x:f t="shared" si="19"/>
        <x:v>0</x:v>
      </x:c>
    </x:row>
    <x:row r="58" spans="1:20" outlineLevel="2" x14ac:dyDescent="0.25">
      <x:c r="A58" s="19" t="s">
        <x:v>34</x:v>
      </x:c>
      <x:c r="B58" s="21" t="s">
        <x:v>15</x:v>
      </x:c>
      <x:c r="C58" s="19">
        <x:f t="shared" si="7"/>
        <x:v>4.5</x:v>
      </x:c>
      <x:c r="D58" s="20">
        <x:v>12055.06</x:v>
      </x:c>
      <x:c r="E58" s="21">
        <x:v>15</x:v>
      </x:c>
      <x:c r="F58" s="35">
        <x:v>11.108862999999999</x:v>
      </x:c>
      <x:c r="G58" s="21">
        <x:f t="shared" si="8"/>
        <x:v>3127.1926668813335</x:v>
      </x:c>
      <x:c r="H58" s="35">
        <x:v>1.1371012582655127</x:v>
      </x:c>
      <x:c r="I58" s="36">
        <x:f t="shared" si="14"/>
        <x:v>3555.9347163494485</x:v>
      </x:c>
      <x:c r="J58" s="36"/>
      <x:c r="K58" s="34">
        <x:v>12055.06</x:v>
      </x:c>
      <x:c r="L58" s="36"/>
      <x:c r="M58" s="36"/>
      <x:c r="N58" s="37"/>
      <x:c r="O58" s="36"/>
      <x:c r="P58" s="30">
        <x:f t="shared" si="15"/>
        <x:v>3555.9347163494485</x:v>
      </x:c>
      <x:c r="Q58" s="31">
        <x:f t="shared" si="16"/>
        <x:v>0</x:v>
      </x:c>
      <x:c r="R58" s="31">
        <x:f t="shared" si="17"/>
        <x:v>0</x:v>
      </x:c>
      <x:c r="S58" s="32">
        <x:f t="shared" si="18"/>
        <x:v>0</x:v>
      </x:c>
      <x:c r="T58" s="4">
        <x:f t="shared" si="19"/>
        <x:v>0</x:v>
      </x:c>
    </x:row>
    <x:row r="59" spans="1:20" outlineLevel="2" x14ac:dyDescent="0.25">
      <x:c r="A59" s="19" t="s">
        <x:v>34</x:v>
      </x:c>
      <x:c r="B59" s="21" t="s">
        <x:v>15</x:v>
      </x:c>
      <x:c r="C59" s="19">
        <x:f t="shared" si="7"/>
        <x:v>4.5</x:v>
      </x:c>
      <x:c r="D59" s="20">
        <x:v>28423981.82</x:v>
      </x:c>
      <x:c r="E59" s="21">
        <x:v>15</x:v>
      </x:c>
      <x:c r="F59" s="35">
        <x:v>11.108862999999999</x:v>
      </x:c>
      <x:c r="G59" s="21">
        <x:f t="shared" si="8"/>
        <x:v>7373440.4898086237</x:v>
      </x:c>
      <x:c r="H59" s="35">
        <x:v>1.1371012582655127</x:v>
      </x:c>
      <x:c r="I59" s="36">
        <x:f t="shared" si="14"/>
        <x:v>8384348.4587072637</x:v>
      </x:c>
      <x:c r="J59" s="36"/>
      <x:c r="K59" s="34">
        <x:v>28423981.82</x:v>
      </x:c>
      <x:c r="L59" s="36"/>
      <x:c r="M59" s="36"/>
      <x:c r="N59" s="37"/>
      <x:c r="O59" s="36"/>
      <x:c r="P59" s="30">
        <x:f t="shared" si="15"/>
        <x:v>8384348.4587072637</x:v>
      </x:c>
      <x:c r="Q59" s="31">
        <x:f t="shared" si="16"/>
        <x:v>0</x:v>
      </x:c>
      <x:c r="R59" s="31">
        <x:f t="shared" si="17"/>
        <x:v>0</x:v>
      </x:c>
      <x:c r="S59" s="32">
        <x:f t="shared" si="18"/>
        <x:v>0</x:v>
      </x:c>
      <x:c r="T59" s="4">
        <x:f t="shared" si="19"/>
        <x:v>0</x:v>
      </x:c>
    </x:row>
    <x:row r="60" spans="1:20" outlineLevel="2" x14ac:dyDescent="0.25">
      <x:c r="A60" s="19" t="s">
        <x:v>34</x:v>
      </x:c>
      <x:c r="B60" s="21" t="s">
        <x:v>15</x:v>
      </x:c>
      <x:c r="C60" s="19">
        <x:f t="shared" si="7"/>
        <x:v>4.5</x:v>
      </x:c>
      <x:c r="D60" s="20">
        <x:v>963742.41</x:v>
      </x:c>
      <x:c r="E60" s="21">
        <x:v>15</x:v>
      </x:c>
      <x:c r="F60" s="35">
        <x:v>11.108862999999999</x:v>
      </x:c>
      <x:c r="G60" s="21">
        <x:f t="shared" si="8"/>
        <x:v>250003.58333467806</x:v>
      </x:c>
      <x:c r="H60" s="35">
        <x:v>1.1371012582655127</x:v>
      </x:c>
      <x:c r="I60" s="36">
        <x:f t="shared" si="14"/>
        <x:v>284279.38918074936</x:v>
      </x:c>
      <x:c r="J60" s="36"/>
      <x:c r="K60" s="34">
        <x:v>963742.41</x:v>
      </x:c>
      <x:c r="L60" s="36"/>
      <x:c r="M60" s="36"/>
      <x:c r="N60" s="37"/>
      <x:c r="O60" s="36"/>
      <x:c r="P60" s="30">
        <x:f t="shared" si="15"/>
        <x:v>284279.38918074936</x:v>
      </x:c>
      <x:c r="Q60" s="31">
        <x:f t="shared" si="16"/>
        <x:v>0</x:v>
      </x:c>
      <x:c r="R60" s="31">
        <x:f t="shared" si="17"/>
        <x:v>0</x:v>
      </x:c>
      <x:c r="S60" s="32">
        <x:f t="shared" si="18"/>
        <x:v>0</x:v>
      </x:c>
      <x:c r="T60" s="4">
        <x:f t="shared" si="19"/>
        <x:v>0</x:v>
      </x:c>
    </x:row>
    <x:row r="61" spans="1:20" outlineLevel="2" x14ac:dyDescent="0.25">
      <x:c r="A61" s="19" t="s">
        <x:v>34</x:v>
      </x:c>
      <x:c r="B61" s="21" t="s">
        <x:v>15</x:v>
      </x:c>
      <x:c r="C61" s="19">
        <x:f t="shared" si="7"/>
        <x:v>4.5</x:v>
      </x:c>
      <x:c r="D61" s="20">
        <x:v>759478.39</x:v>
      </x:c>
      <x:c r="E61" s="21">
        <x:v>15</x:v>
      </x:c>
      <x:c r="F61" s="35">
        <x:v>11.108862999999999</x:v>
      </x:c>
      <x:c r="G61" s="21">
        <x:f t="shared" si="8"/>
        <x:v>197015.63093529537</x:v>
      </x:c>
      <x:c r="H61" s="35">
        <x:v>1.1371012582655127</x:v>
      </x:c>
      <x:c r="I61" s="36">
        <x:f t="shared" si="14"/>
        <x:v>224026.72183449822</x:v>
      </x:c>
      <x:c r="J61" s="36"/>
      <x:c r="K61" s="34">
        <x:v>759478.39</x:v>
      </x:c>
      <x:c r="L61" s="36"/>
      <x:c r="M61" s="36"/>
      <x:c r="N61" s="37"/>
      <x:c r="O61" s="36"/>
      <x:c r="P61" s="30">
        <x:f t="shared" si="15"/>
        <x:v>224026.72183449822</x:v>
      </x:c>
      <x:c r="Q61" s="31">
        <x:f t="shared" si="16"/>
        <x:v>0</x:v>
      </x:c>
      <x:c r="R61" s="31">
        <x:f t="shared" si="17"/>
        <x:v>0</x:v>
      </x:c>
      <x:c r="S61" s="32">
        <x:f t="shared" si="18"/>
        <x:v>0</x:v>
      </x:c>
      <x:c r="T61" s="4">
        <x:f t="shared" si="19"/>
        <x:v>0</x:v>
      </x:c>
    </x:row>
    <x:row r="62" spans="1:20" outlineLevel="2" x14ac:dyDescent="0.25">
      <x:c r="A62" s="19" t="s">
        <x:v>34</x:v>
      </x:c>
      <x:c r="B62" s="21" t="s">
        <x:v>14</x:v>
      </x:c>
      <x:c r="C62" s="19">
        <x:f t="shared" si="7"/>
        <x:v>5.5</x:v>
      </x:c>
      <x:c r="D62" s="20">
        <x:v>351800.37</x:v>
      </x:c>
      <x:c r="E62" s="21">
        <x:v>15</x:v>
      </x:c>
      <x:c r="F62" s="35">
        <x:v>10.303613</x:v>
      </x:c>
      <x:c r="G62" s="21">
        <x:f t="shared" si="8"/>
        <x:v>110146.045617546</x:v>
      </x:c>
      <x:c r="H62" s="35">
        <x:v>1.1371012582655127</x:v>
      </x:c>
      <x:c r="I62" s="36">
        <x:f t="shared" si="14"/>
        <x:v>125247.20706468211</x:v>
      </x:c>
      <x:c r="J62" s="36"/>
      <x:c r="K62" s="34">
        <x:v>351800.37</x:v>
      </x:c>
      <x:c r="L62" s="36"/>
      <x:c r="M62" s="36"/>
      <x:c r="N62" s="37"/>
      <x:c r="O62" s="36"/>
      <x:c r="P62" s="30">
        <x:f t="shared" si="15"/>
        <x:v>125247.20706468211</x:v>
      </x:c>
      <x:c r="Q62" s="31">
        <x:f t="shared" si="16"/>
        <x:v>0</x:v>
      </x:c>
      <x:c r="R62" s="31">
        <x:f t="shared" si="17"/>
        <x:v>0</x:v>
      </x:c>
      <x:c r="S62" s="32">
        <x:f t="shared" si="18"/>
        <x:v>0</x:v>
      </x:c>
      <x:c r="T62" s="4">
        <x:f t="shared" si="19"/>
        <x:v>0</x:v>
      </x:c>
    </x:row>
    <x:row r="63" spans="1:20" outlineLevel="2" x14ac:dyDescent="0.25">
      <x:c r="A63" s="19" t="s">
        <x:v>34</x:v>
      </x:c>
      <x:c r="B63" s="21" t="s">
        <x:v>14</x:v>
      </x:c>
      <x:c r="C63" s="19">
        <x:f t="shared" si="7"/>
        <x:v>5.5</x:v>
      </x:c>
      <x:c r="D63" s="20">
        <x:v>8312131.6799999997</x:v>
      </x:c>
      <x:c r="E63" s="21">
        <x:v>15</x:v>
      </x:c>
      <x:c r="F63" s="35">
        <x:v>10.303613</x:v>
      </x:c>
      <x:c r="G63" s="21">
        <x:f t="shared" si="8"/>
        <x:v>2602465.8109493442</x:v>
      </x:c>
      <x:c r="H63" s="35">
        <x:v>1.1371012582655127</x:v>
      </x:c>
      <x:c r="I63" s="36">
        <x:f t="shared" si="14"/>
        <x:v>2959267.148223477</x:v>
      </x:c>
      <x:c r="J63" s="36"/>
      <x:c r="K63" s="34">
        <x:v>8312131.6799999997</x:v>
      </x:c>
      <x:c r="L63" s="36"/>
      <x:c r="M63" s="36"/>
      <x:c r="N63" s="37"/>
      <x:c r="O63" s="36"/>
      <x:c r="P63" s="30">
        <x:f t="shared" si="15"/>
        <x:v>2959267.148223477</x:v>
      </x:c>
      <x:c r="Q63" s="31">
        <x:f t="shared" si="16"/>
        <x:v>0</x:v>
      </x:c>
      <x:c r="R63" s="31">
        <x:f t="shared" si="17"/>
        <x:v>0</x:v>
      </x:c>
      <x:c r="S63" s="32">
        <x:f t="shared" si="18"/>
        <x:v>0</x:v>
      </x:c>
      <x:c r="T63" s="4">
        <x:f t="shared" si="19"/>
        <x:v>0</x:v>
      </x:c>
    </x:row>
    <x:row r="64" spans="1:20" outlineLevel="2" x14ac:dyDescent="0.25">
      <x:c r="A64" s="19" t="s">
        <x:v>34</x:v>
      </x:c>
      <x:c r="B64" s="21" t="s">
        <x:v>13</x:v>
      </x:c>
      <x:c r="C64" s="19">
        <x:f t="shared" si="7"/>
        <x:v>6.5</x:v>
      </x:c>
      <x:c r="D64" s="20">
        <x:v>10017836.390000001</x:v>
      </x:c>
      <x:c r="E64" s="21">
        <x:v>15</x:v>
      </x:c>
      <x:c r="F64" s="35">
        <x:v>9.5233070000000009</x:v>
      </x:c>
      <x:c r="G64" s="21">
        <x:f t="shared" si="8"/>
        <x:v>3657640.9621505514</x:v>
      </x:c>
      <x:c r="H64" s="35">
        <x:v>1.1371012582655127</x:v>
      </x:c>
      <x:c r="I64" s="36">
        <x:f>+H64*G64</x:f>
        <x:v>4159108.1403448726</x:v>
      </x:c>
      <x:c r="J64" s="36"/>
      <x:c r="K64" s="34">
        <x:v>10017836.390000001</x:v>
      </x:c>
      <x:c r="L64" s="36"/>
      <x:c r="M64" s="36"/>
      <x:c r="N64" s="37"/>
      <x:c r="O64" s="36"/>
      <x:c r="P64" s="30">
        <x:f t="shared" si="15"/>
        <x:v>4159108.1403448726</x:v>
      </x:c>
      <x:c r="Q64" s="31">
        <x:f t="shared" si="16"/>
        <x:v>0</x:v>
      </x:c>
      <x:c r="R64" s="31">
        <x:f t="shared" si="17"/>
        <x:v>0</x:v>
      </x:c>
      <x:c r="S64" s="32">
        <x:f t="shared" si="18"/>
        <x:v>0</x:v>
      </x:c>
      <x:c r="T64" s="4">
        <x:f t="shared" si="19"/>
        <x:v>0</x:v>
      </x:c>
    </x:row>
    <x:row r="65" spans="1:21" s="10" customFormat="1" outlineLevel="1" x14ac:dyDescent="0.25">
      <x:c r="A65" s="38" t="s">
        <x:v>42</x:v>
      </x:c>
      <x:c r="B65" s="44"/>
      <x:c r="C65" s="38"/>
      <x:c r="D65" s="17">
        <x:f>SUBTOTAL(9,D19:D64)</x:f>
        <x:v>73013308.689999983</x:v>
      </x:c>
      <x:c r="E65" s="44"/>
      <x:c r="F65" s="55"/>
      <x:c r="G65" s="44">
        <x:f>SUBTOTAL(9,G19:G64)</x:f>
        <x:v>17645146.916656468</x:v>
      </x:c>
      <x:c r="H65" s="55">
        <x:v>20064318.761209901</x:v>
      </x:c>
      <x:c r="I65" s="56">
        <x:f>SUBTOTAL(9,I19:I64)</x:f>
        <x:v>20064318.761209898</x:v>
      </x:c>
      <x:c r="J65" s="56"/>
      <x:c r="K65" s="50">
        <x:f>SUBTOTAL(9,K19:K64)</x:f>
        <x:v>73013308.689999983</x:v>
      </x:c>
      <x:c r="L65" s="56">
        <x:f>SUBTOTAL(9,L19:L64)</x:f>
        <x:v>0</x:v>
      </x:c>
      <x:c r="M65" s="56">
        <x:f>SUBTOTAL(9,M19:M64)</x:f>
        <x:v>0</x:v>
      </x:c>
      <x:c r="N65" s="57"/>
      <x:c r="O65" s="56"/>
      <x:c r="P65" s="47">
        <x:f t="shared" si="15"/>
        <x:v>20064318.761209898</x:v>
      </x:c>
      <x:c r="Q65" s="18">
        <x:f t="shared" si="16"/>
        <x:v>0</x:v>
      </x:c>
      <x:c r="R65" s="18">
        <x:f t="shared" si="17"/>
        <x:v>0</x:v>
      </x:c>
      <x:c r="S65" s="48">
        <x:f t="shared" si="18"/>
        <x:v>0</x:v>
      </x:c>
      <x:c r="T65" s="49">
        <x:f t="shared" si="19"/>
        <x:v>0</x:v>
      </x:c>
      <x:c r="U65" s="11"/>
    </x:row>
    <x:row r="66" spans="1:21" outlineLevel="2" x14ac:dyDescent="0.25">
      <x:c r="A66" s="19" t="s">
        <x:v>35</x:v>
      </x:c>
      <x:c r="B66" s="21" t="s">
        <x:v>29</x:v>
      </x:c>
      <x:c r="C66" s="19">
        <x:f>2024.5-B66</x:f>
        <x:v>0.5</x:v>
      </x:c>
      <x:c r="D66" s="20">
        <x:v>286851.3</x:v>
      </x:c>
      <x:c r="E66" s="21">
        <x:v>3</x:v>
      </x:c>
      <x:c r="F66" s="35">
        <x:v>2.5580729999999998</x:v>
      </x:c>
      <x:c r="G66" s="21">
        <x:f>+D66*(1-F66/E66)</x:f>
        <x:v>42255.778151700004</x:v>
      </x:c>
      <x:c r="H66" s="35"/>
      <x:c r="I66" s="36">
        <x:v>37761.607171581352</x:v>
      </x:c>
      <x:c r="J66" s="36"/>
      <x:c r="K66" s="34">
        <x:v>286851.3</x:v>
      </x:c>
      <x:c r="L66" s="36"/>
      <x:c r="M66" s="36"/>
      <x:c r="N66" s="37"/>
      <x:c r="O66" s="36"/>
      <x:c r="P66" s="30">
        <x:f t="shared" si="15"/>
        <x:v>37761.607171581352</x:v>
      </x:c>
      <x:c r="Q66" s="31">
        <x:f t="shared" si="16"/>
        <x:v>0</x:v>
      </x:c>
      <x:c r="R66" s="31">
        <x:f t="shared" si="17"/>
        <x:v>0</x:v>
      </x:c>
      <x:c r="S66" s="32">
        <x:f t="shared" si="18"/>
        <x:v>0</x:v>
      </x:c>
      <x:c r="T66" s="4">
        <x:f t="shared" si="19"/>
        <x:v>0</x:v>
      </x:c>
    </x:row>
    <x:row r="67" spans="1:21" s="10" customFormat="1" outlineLevel="1" x14ac:dyDescent="0.25">
      <x:c r="A67" s="38" t="s">
        <x:v>43</x:v>
      </x:c>
      <x:c r="B67" s="44"/>
      <x:c r="C67" s="38"/>
      <x:c r="D67" s="17">
        <x:f>SUBTOTAL(9,D66:D66)</x:f>
        <x:v>286851.3</x:v>
      </x:c>
      <x:c r="E67" s="44"/>
      <x:c r="F67" s="55"/>
      <x:c r="G67" s="44">
        <x:f>SUBTOTAL(9,G66:G66)</x:f>
        <x:v>42255.778151700004</x:v>
      </x:c>
      <x:c r="H67" s="55"/>
      <x:c r="I67" s="56">
        <x:f>SUBTOTAL(9,I66:I66)</x:f>
        <x:v>37761.607171581352</x:v>
      </x:c>
      <x:c r="J67" s="56"/>
      <x:c r="K67" s="50">
        <x:f>SUBTOTAL(9,K66:K66)</x:f>
        <x:v>286851.3</x:v>
      </x:c>
      <x:c r="L67" s="56">
        <x:f>SUBTOTAL(9,L66:L66)</x:f>
        <x:v>0</x:v>
      </x:c>
      <x:c r="M67" s="56">
        <x:f>SUBTOTAL(9,M66:M66)</x:f>
        <x:v>0</x:v>
      </x:c>
      <x:c r="N67" s="57"/>
      <x:c r="O67" s="56"/>
      <x:c r="P67" s="47">
        <x:f t="shared" si="15"/>
        <x:v>37761.607171581352</x:v>
      </x:c>
      <x:c r="Q67" s="18">
        <x:f t="shared" si="16"/>
        <x:v>0</x:v>
      </x:c>
      <x:c r="R67" s="18">
        <x:f t="shared" si="17"/>
        <x:v>0</x:v>
      </x:c>
      <x:c r="S67" s="48">
        <x:f t="shared" si="18"/>
        <x:v>0</x:v>
      </x:c>
      <x:c r="T67" s="49">
        <x:f t="shared" si="19"/>
        <x:v>0</x:v>
      </x:c>
      <x:c r="U67" s="11"/>
    </x:row>
    <x:row r="68" spans="1:21" outlineLevel="2" x14ac:dyDescent="0.25">
      <x:c r="A68" s="19" t="s">
        <x:v>47</x:v>
      </x:c>
      <x:c r="B68" s="21" t="s">
        <x:v>29</x:v>
      </x:c>
      <x:c r="C68" s="19">
        <x:f>2024.5-B68</x:f>
        <x:v>0.5</x:v>
      </x:c>
      <x:c r="D68" s="20">
        <x:v>-11.89</x:v>
      </x:c>
      <x:c r="E68" s="35">
        <x:v>5</x:v>
      </x:c>
      <x:c r="F68" s="35">
        <x:v>4.5531430000000004</x:v>
      </x:c>
      <x:c r="G68" s="21">
        <x:f>+D68*(1-F68/E68)</x:f>
        <x:v>-1.0626259459999987</x:v>
      </x:c>
      <x:c r="H68" s="35">
        <x:v>1.1366111056334964</x:v>
      </x:c>
      <x:c r="I68" s="36">
        <x:f>+G68*H68</x:f>
        <x:v>-1.2077924513578986</x:v>
      </x:c>
      <x:c r="J68" s="36"/>
      <x:c r="K68" s="34">
        <x:v>-11.89</x:v>
      </x:c>
      <x:c r="L68" s="36"/>
      <x:c r="M68" s="36"/>
      <x:c r="N68" s="37"/>
      <x:c r="O68" s="36"/>
      <x:c r="P68" s="30">
        <x:f t="shared" si="15"/>
        <x:v>-1.2077924513578986</x:v>
      </x:c>
      <x:c r="Q68" s="31">
        <x:f t="shared" si="16"/>
        <x:v>0</x:v>
      </x:c>
      <x:c r="R68" s="31">
        <x:f t="shared" si="17"/>
        <x:v>0</x:v>
      </x:c>
      <x:c r="S68" s="32">
        <x:f t="shared" si="18"/>
        <x:v>0</x:v>
      </x:c>
      <x:c r="T68" s="4">
        <x:f t="shared" si="19"/>
        <x:v>0</x:v>
      </x:c>
    </x:row>
    <x:row r="69" spans="1:21" outlineLevel="2" x14ac:dyDescent="0.25">
      <x:c r="A69" s="19" t="s">
        <x:v>47</x:v>
      </x:c>
      <x:c r="B69" s="21" t="s">
        <x:v>30</x:v>
      </x:c>
      <x:c r="C69" s="19">
        <x:f>2024.5-B69</x:f>
        <x:v>1.5</x:v>
      </x:c>
      <x:c r="D69" s="20">
        <x:v>2052359.01</x:v>
      </x:c>
      <x:c r="E69" s="35">
        <x:v>5</x:v>
      </x:c>
      <x:c r="F69" s="35">
        <x:v>3.7046929999999998</x:v>
      </x:c>
      <x:c r="G69" s="21">
        <x:f>+D69*(1-F69/E69)</x:f>
        <x:v>531686.99843321403</x:v>
      </x:c>
      <x:c r="H69" s="35">
        <x:v>1.1366111056334964</x:v>
      </x:c>
      <x:c r="I69" s="36">
        <x:f t="shared" ref="I69:I70" si="20">+G69*H69</x:f>
        <x:v>604321.34714013047</x:v>
      </x:c>
      <x:c r="J69" s="36"/>
      <x:c r="K69" s="34">
        <x:v>2052359.01</x:v>
      </x:c>
      <x:c r="L69" s="36"/>
      <x:c r="M69" s="36"/>
      <x:c r="N69" s="37"/>
      <x:c r="O69" s="36"/>
      <x:c r="P69" s="30">
        <x:f t="shared" si="15"/>
        <x:v>604321.34714013047</x:v>
      </x:c>
      <x:c r="Q69" s="31">
        <x:f t="shared" si="16"/>
        <x:v>0</x:v>
      </x:c>
      <x:c r="R69" s="31">
        <x:f t="shared" si="17"/>
        <x:v>0</x:v>
      </x:c>
      <x:c r="S69" s="32">
        <x:f t="shared" si="18"/>
        <x:v>0</x:v>
      </x:c>
      <x:c r="T69" s="4">
        <x:f t="shared" si="19"/>
        <x:v>0</x:v>
      </x:c>
    </x:row>
    <x:row r="70" spans="1:21" outlineLevel="2" x14ac:dyDescent="0.25">
      <x:c r="A70" s="19" t="s">
        <x:v>47</x:v>
      </x:c>
      <x:c r="B70" s="21" t="s">
        <x:v>30</x:v>
      </x:c>
      <x:c r="C70" s="19">
        <x:f>2024.5-B70</x:f>
        <x:v>1.5</x:v>
      </x:c>
      <x:c r="D70" s="20">
        <x:v>1502001.83</x:v>
      </x:c>
      <x:c r="E70" s="35">
        <x:v>5</x:v>
      </x:c>
      <x:c r="F70" s="35">
        <x:v>3.7046929999999998</x:v>
      </x:c>
      <x:c r="G70" s="21">
        <x:f>+D70*(1-F70/E70)</x:f>
        <x:v>389110.69688236201</x:v>
      </x:c>
      <x:c r="H70" s="35">
        <x:v>1.1366111056334964</x:v>
      </x:c>
      <x:c r="I70" s="36">
        <x:f t="shared" si="20"/>
        <x:v>442267.53939728177</x:v>
      </x:c>
      <x:c r="J70" s="36"/>
      <x:c r="K70" s="34">
        <x:v>1502001.83</x:v>
      </x:c>
      <x:c r="L70" s="36"/>
      <x:c r="M70" s="36"/>
      <x:c r="N70" s="37"/>
      <x:c r="O70" s="36"/>
      <x:c r="P70" s="30">
        <x:f t="shared" si="15"/>
        <x:v>442267.53939728177</x:v>
      </x:c>
      <x:c r="Q70" s="31">
        <x:f t="shared" si="16"/>
        <x:v>0</x:v>
      </x:c>
      <x:c r="R70" s="31">
        <x:f t="shared" si="17"/>
        <x:v>0</x:v>
      </x:c>
      <x:c r="S70" s="32">
        <x:f t="shared" si="18"/>
        <x:v>0</x:v>
      </x:c>
      <x:c r="T70" s="4">
        <x:f t="shared" si="19"/>
        <x:v>0</x:v>
      </x:c>
    </x:row>
    <x:row r="71" spans="1:21" s="10" customFormat="1" outlineLevel="1" x14ac:dyDescent="0.25">
      <x:c r="A71" s="38" t="s">
        <x:v>47</x:v>
      </x:c>
      <x:c r="B71" s="44"/>
      <x:c r="C71" s="38"/>
      <x:c r="D71" s="17">
        <x:f>SUBTOTAL(9,D68:D70)</x:f>
        <x:v>3554348.95</x:v>
      </x:c>
      <x:c r="E71" s="55"/>
      <x:c r="F71" s="55"/>
      <x:c r="G71" s="44">
        <x:f>SUBTOTAL(9,G68:G70)</x:f>
        <x:v>920796.63268963003</x:v>
      </x:c>
      <x:c r="H71" s="55" t="s">
        <x:v>26</x:v>
      </x:c>
      <x:c r="I71" s="56">
        <x:f>SUBTOTAL(9,I68:I70)</x:f>
        <x:v>1046587.6787449608</x:v>
      </x:c>
      <x:c r="J71" s="56"/>
      <x:c r="K71" s="50">
        <x:f>SUBTOTAL(9,K68:K70)</x:f>
        <x:v>3554348.95</x:v>
      </x:c>
      <x:c r="L71" s="56">
        <x:f>SUBTOTAL(9,L68:L70)</x:f>
        <x:v>0</x:v>
      </x:c>
      <x:c r="M71" s="56">
        <x:f>SUBTOTAL(9,M68:M70)</x:f>
        <x:v>0</x:v>
      </x:c>
      <x:c r="N71" s="57"/>
      <x:c r="O71" s="56"/>
      <x:c r="P71" s="47">
        <x:f t="shared" si="15"/>
        <x:v>1046587.6787449608</x:v>
      </x:c>
      <x:c r="Q71" s="18">
        <x:f t="shared" si="16"/>
        <x:v>0</x:v>
      </x:c>
      <x:c r="R71" s="18">
        <x:f t="shared" si="17"/>
        <x:v>0</x:v>
      </x:c>
      <x:c r="S71" s="48">
        <x:f t="shared" si="18"/>
        <x:v>0</x:v>
      </x:c>
      <x:c r="T71" s="49">
        <x:f t="shared" si="19"/>
        <x:v>0</x:v>
      </x:c>
      <x:c r="U71" s="11"/>
    </x:row>
    <x:row r="72" spans="1:21" ht="16.5" customHeight="1" outlineLevel="2" x14ac:dyDescent="0.25">
      <x:c r="A72" s="19" t="s">
        <x:v>46</x:v>
      </x:c>
      <x:c r="B72" s="21" t="s">
        <x:v>29</x:v>
      </x:c>
      <x:c r="C72" s="19">
        <x:f t="shared" ref="C72:C103" si="21">2024.5-B72</x:f>
        <x:v>0.5</x:v>
      </x:c>
      <x:c r="D72" s="20">
        <x:v>-253.67</x:v>
      </x:c>
      <x:c r="E72" s="35">
        <x:v>8</x:v>
      </x:c>
      <x:c r="F72" s="35">
        <x:v>7.5506099999999998</x:v>
      </x:c>
      <x:c r="G72" s="21">
        <x:f t="shared" ref="G72:G103" si="22">+D72*(1-F72/E72)</x:f>
        <x:v>-14.249595162500006</x:v>
      </x:c>
      <x:c r="H72" s="35">
        <x:v>1.4449502861937471</x:v>
      </x:c>
      <x:c r="I72" s="36">
        <x:f t="shared" ref="I72:I130" si="23">+G72*H72</x:f>
        <x:v>-20.589956608199419</x:v>
      </x:c>
      <x:c r="J72" s="36"/>
      <x:c r="K72" s="34">
        <x:v>-253.67</x:v>
      </x:c>
      <x:c r="L72" s="36"/>
      <x:c r="M72" s="36"/>
      <x:c r="N72" s="37"/>
      <x:c r="O72" s="36"/>
      <x:c r="P72" s="30">
        <x:f t="shared" si="15"/>
        <x:v>-20.589956608199419</x:v>
      </x:c>
      <x:c r="Q72" s="31">
        <x:f t="shared" si="16"/>
        <x:v>0</x:v>
      </x:c>
      <x:c r="R72" s="31">
        <x:f t="shared" si="17"/>
        <x:v>0</x:v>
      </x:c>
      <x:c r="S72" s="32">
        <x:f t="shared" si="18"/>
        <x:v>0</x:v>
      </x:c>
      <x:c r="T72" s="4">
        <x:f t="shared" si="19"/>
        <x:v>0</x:v>
      </x:c>
    </x:row>
    <x:row r="73" spans="1:21" outlineLevel="2" x14ac:dyDescent="0.25">
      <x:c r="A73" s="19" t="s">
        <x:v>46</x:v>
      </x:c>
      <x:c r="B73" s="21" t="s">
        <x:v>29</x:v>
      </x:c>
      <x:c r="C73" s="19">
        <x:f t="shared" si="21"/>
        <x:v>0.5</x:v>
      </x:c>
      <x:c r="D73" s="20">
        <x:v>16835.580000000002</x:v>
      </x:c>
      <x:c r="E73" s="35">
        <x:v>8</x:v>
      </x:c>
      <x:c r="F73" s="35">
        <x:v>7.5506099999999998</x:v>
      </x:c>
      <x:c r="G73" s="21">
        <x:f t="shared" si="22"/>
        <x:v>945.71766202500044</x:v>
      </x:c>
      <x:c r="H73" s="35">
        <x:v>1.4449502861937471</x:v>
      </x:c>
      <x:c r="I73" s="36">
        <x:f t="shared" si="23"/>
        <x:v>1366.5150064015058</x:v>
      </x:c>
      <x:c r="J73" s="36"/>
      <x:c r="K73" s="34">
        <x:v>16835.580000000002</x:v>
      </x:c>
      <x:c r="L73" s="36"/>
      <x:c r="M73" s="36"/>
      <x:c r="N73" s="37"/>
      <x:c r="O73" s="36"/>
      <x:c r="P73" s="30">
        <x:f t="shared" si="15"/>
        <x:v>1366.5150064015058</x:v>
      </x:c>
      <x:c r="Q73" s="31">
        <x:f t="shared" si="16"/>
        <x:v>0</x:v>
      </x:c>
      <x:c r="R73" s="31">
        <x:f t="shared" si="17"/>
        <x:v>0</x:v>
      </x:c>
      <x:c r="S73" s="32">
        <x:f t="shared" si="18"/>
        <x:v>0</x:v>
      </x:c>
      <x:c r="T73" s="4">
        <x:f t="shared" si="19"/>
        <x:v>0</x:v>
      </x:c>
    </x:row>
    <x:row r="74" spans="1:21" outlineLevel="2" x14ac:dyDescent="0.25">
      <x:c r="A74" s="19" t="s">
        <x:v>46</x:v>
      </x:c>
      <x:c r="B74" s="21" t="s">
        <x:v>29</x:v>
      </x:c>
      <x:c r="C74" s="19">
        <x:f t="shared" si="21"/>
        <x:v>0.5</x:v>
      </x:c>
      <x:c r="D74" s="20">
        <x:v>287.68</x:v>
      </x:c>
      <x:c r="E74" s="35">
        <x:v>8</x:v>
      </x:c>
      <x:c r="F74" s="35">
        <x:v>7.5506099999999998</x:v>
      </x:c>
      <x:c r="G74" s="21">
        <x:f t="shared" si="22"/>
        <x:v>16.160064400000007</x:v>
      </x:c>
      <x:c r="H74" s="35">
        <x:v>1.4449502861937471</x:v>
      </x:c>
      <x:c r="I74" s="36">
        <x:f t="shared" si="23"/>
        <x:v>23.350489679689392</x:v>
      </x:c>
      <x:c r="J74" s="36"/>
      <x:c r="K74" s="34">
        <x:v>287.68</x:v>
      </x:c>
      <x:c r="L74" s="36"/>
      <x:c r="M74" s="36"/>
      <x:c r="N74" s="37"/>
      <x:c r="O74" s="36"/>
      <x:c r="P74" s="30">
        <x:f t="shared" si="15"/>
        <x:v>23.350489679689392</x:v>
      </x:c>
      <x:c r="Q74" s="31">
        <x:f t="shared" si="16"/>
        <x:v>0</x:v>
      </x:c>
      <x:c r="R74" s="31">
        <x:f t="shared" si="17"/>
        <x:v>0</x:v>
      </x:c>
      <x:c r="S74" s="32">
        <x:f t="shared" si="18"/>
        <x:v>0</x:v>
      </x:c>
      <x:c r="T74" s="4">
        <x:f t="shared" si="19"/>
        <x:v>0</x:v>
      </x:c>
    </x:row>
    <x:row r="75" spans="1:21" outlineLevel="2" x14ac:dyDescent="0.25">
      <x:c r="A75" s="19" t="s">
        <x:v>46</x:v>
      </x:c>
      <x:c r="B75" s="21" t="s">
        <x:v>29</x:v>
      </x:c>
      <x:c r="C75" s="19">
        <x:f t="shared" si="21"/>
        <x:v>0.5</x:v>
      </x:c>
      <x:c r="D75" s="20">
        <x:v>-617107.03</x:v>
      </x:c>
      <x:c r="E75" s="35">
        <x:v>8</x:v>
      </x:c>
      <x:c r="F75" s="35">
        <x:v>7.5506099999999998</x:v>
      </x:c>
      <x:c r="G75" s="21">
        <x:f t="shared" si="22"/>
        <x:v>-34665.216026462513</x:v>
      </x:c>
      <x:c r="H75" s="35">
        <x:v>1.4449502861937471</x:v>
      </x:c>
      <x:c r="I75" s="36">
        <x:f t="shared" si="23"/>
        <x:v>-50089.513818405074</x:v>
      </x:c>
      <x:c r="J75" s="36"/>
      <x:c r="K75" s="34">
        <x:v>-617107.03</x:v>
      </x:c>
      <x:c r="L75" s="36"/>
      <x:c r="M75" s="36"/>
      <x:c r="N75" s="37"/>
      <x:c r="O75" s="36"/>
      <x:c r="P75" s="30">
        <x:f t="shared" si="15"/>
        <x:v>-50089.513818405074</x:v>
      </x:c>
      <x:c r="Q75" s="31">
        <x:f t="shared" si="16"/>
        <x:v>0</x:v>
      </x:c>
      <x:c r="R75" s="31">
        <x:f t="shared" si="17"/>
        <x:v>0</x:v>
      </x:c>
      <x:c r="S75" s="32">
        <x:f t="shared" si="18"/>
        <x:v>0</x:v>
      </x:c>
      <x:c r="T75" s="4">
        <x:f t="shared" si="19"/>
        <x:v>0</x:v>
      </x:c>
    </x:row>
    <x:row r="76" spans="1:21" outlineLevel="2" x14ac:dyDescent="0.25">
      <x:c r="A76" s="19" t="s">
        <x:v>46</x:v>
      </x:c>
      <x:c r="B76" s="21" t="s">
        <x:v>29</x:v>
      </x:c>
      <x:c r="C76" s="19">
        <x:f t="shared" si="21"/>
        <x:v>0.5</x:v>
      </x:c>
      <x:c r="D76" s="20">
        <x:v>135187.5</x:v>
      </x:c>
      <x:c r="E76" s="35">
        <x:v>8</x:v>
      </x:c>
      <x:c r="F76" s="35">
        <x:v>7.5506099999999998</x:v>
      </x:c>
      <x:c r="G76" s="21">
        <x:f t="shared" si="22"/>
        <x:v>7593.9888281250032</x:v>
      </x:c>
      <x:c r="H76" s="35">
        <x:v>1.4449502861937471</x:v>
      </x:c>
      <x:c r="I76" s="36">
        <x:f t="shared" si="23"/>
        <x:v>10972.936330551342</x:v>
      </x:c>
      <x:c r="J76" s="36"/>
      <x:c r="K76" s="34">
        <x:v>135187.5</x:v>
      </x:c>
      <x:c r="L76" s="36"/>
      <x:c r="M76" s="36"/>
      <x:c r="N76" s="37"/>
      <x:c r="O76" s="36"/>
      <x:c r="P76" s="30">
        <x:f t="shared" si="15"/>
        <x:v>10972.936330551342</x:v>
      </x:c>
      <x:c r="Q76" s="31">
        <x:f t="shared" si="16"/>
        <x:v>0</x:v>
      </x:c>
      <x:c r="R76" s="31">
        <x:f t="shared" si="17"/>
        <x:v>0</x:v>
      </x:c>
      <x:c r="S76" s="32">
        <x:f t="shared" si="18"/>
        <x:v>0</x:v>
      </x:c>
      <x:c r="T76" s="4">
        <x:f t="shared" si="19"/>
        <x:v>0</x:v>
      </x:c>
    </x:row>
    <x:row r="77" spans="1:21" outlineLevel="2" x14ac:dyDescent="0.25">
      <x:c r="A77" s="19" t="s">
        <x:v>46</x:v>
      </x:c>
      <x:c r="B77" s="21" t="s">
        <x:v>29</x:v>
      </x:c>
      <x:c r="C77" s="19">
        <x:f t="shared" si="21"/>
        <x:v>0.5</x:v>
      </x:c>
      <x:c r="D77" s="20">
        <x:v>7633952.9900000002</x:v>
      </x:c>
      <x:c r="E77" s="35">
        <x:v>8</x:v>
      </x:c>
      <x:c r="F77" s="35">
        <x:v>7.5506099999999998</x:v>
      </x:c>
      <x:c r="G77" s="21">
        <x:f t="shared" si="22"/>
        <x:v>428827.76677201269</x:v>
      </x:c>
      <x:c r="H77" s="35">
        <x:v>1.4449502861937471</x:v>
      </x:c>
      <x:c r="I77" s="36">
        <x:f t="shared" si="23"/>
        <x:v>619634.8043250452</x:v>
      </x:c>
      <x:c r="J77" s="36"/>
      <x:c r="K77" s="34">
        <x:v>7633952.9900000002</x:v>
      </x:c>
      <x:c r="L77" s="36"/>
      <x:c r="M77" s="36"/>
      <x:c r="N77" s="37"/>
      <x:c r="O77" s="36"/>
      <x:c r="P77" s="30">
        <x:f t="shared" si="15"/>
        <x:v>619634.8043250452</x:v>
      </x:c>
      <x:c r="Q77" s="31">
        <x:f t="shared" si="16"/>
        <x:v>0</x:v>
      </x:c>
      <x:c r="R77" s="31">
        <x:f t="shared" si="17"/>
        <x:v>0</x:v>
      </x:c>
      <x:c r="S77" s="32">
        <x:f t="shared" si="18"/>
        <x:v>0</x:v>
      </x:c>
      <x:c r="T77" s="4">
        <x:f t="shared" si="19"/>
        <x:v>0</x:v>
      </x:c>
    </x:row>
    <x:row r="78" spans="1:21" outlineLevel="2" x14ac:dyDescent="0.25">
      <x:c r="A78" s="19" t="s">
        <x:v>46</x:v>
      </x:c>
      <x:c r="B78" s="21" t="s">
        <x:v>29</x:v>
      </x:c>
      <x:c r="C78" s="19">
        <x:f t="shared" si="21"/>
        <x:v>0.5</x:v>
      </x:c>
      <x:c r="D78" s="20">
        <x:v>4216047.3899999997</x:v>
      </x:c>
      <x:c r="E78" s="35">
        <x:v>8</x:v>
      </x:c>
      <x:c r="F78" s="35">
        <x:v>7.5506099999999998</x:v>
      </x:c>
      <x:c r="G78" s="21">
        <x:f t="shared" si="22"/>
        <x:v>236831.19207401256</x:v>
      </x:c>
      <x:c r="H78" s="35">
        <x:v>1.4449502861937471</x:v>
      </x:c>
      <x:c r="I78" s="36">
        <x:f t="shared" si="23"/>
        <x:v>342209.29876695073</x:v>
      </x:c>
      <x:c r="J78" s="36"/>
      <x:c r="K78" s="34">
        <x:v>4216047.3899999997</x:v>
      </x:c>
      <x:c r="L78" s="36"/>
      <x:c r="M78" s="36"/>
      <x:c r="N78" s="37"/>
      <x:c r="O78" s="36"/>
      <x:c r="P78" s="30">
        <x:f t="shared" si="15"/>
        <x:v>342209.29876695073</x:v>
      </x:c>
      <x:c r="Q78" s="31">
        <x:f t="shared" si="16"/>
        <x:v>0</x:v>
      </x:c>
      <x:c r="R78" s="31">
        <x:f t="shared" si="17"/>
        <x:v>0</x:v>
      </x:c>
      <x:c r="S78" s="32">
        <x:f t="shared" si="18"/>
        <x:v>0</x:v>
      </x:c>
      <x:c r="T78" s="4">
        <x:f t="shared" si="19"/>
        <x:v>0</x:v>
      </x:c>
    </x:row>
    <x:row r="79" spans="1:21" outlineLevel="2" x14ac:dyDescent="0.25">
      <x:c r="A79" s="19" t="s">
        <x:v>46</x:v>
      </x:c>
      <x:c r="B79" s="21" t="s">
        <x:v>29</x:v>
      </x:c>
      <x:c r="C79" s="19">
        <x:f t="shared" si="21"/>
        <x:v>0.5</x:v>
      </x:c>
      <x:c r="D79" s="20">
        <x:v>2942451.96</x:v>
      </x:c>
      <x:c r="E79" s="35">
        <x:v>8</x:v>
      </x:c>
      <x:c r="F79" s="35">
        <x:v>7.5506099999999998</x:v>
      </x:c>
      <x:c r="G79" s="21">
        <x:f t="shared" si="22"/>
        <x:v>165288.56078805006</x:v>
      </x:c>
      <x:c r="H79" s="35">
        <x:v>1.4449502861937471</x:v>
      </x:c>
      <x:c r="I79" s="36">
        <x:f t="shared" si="23"/>
        <x:v>238833.7532152455</x:v>
      </x:c>
      <x:c r="J79" s="36"/>
      <x:c r="K79" s="34">
        <x:v>2942451.96</x:v>
      </x:c>
      <x:c r="L79" s="36"/>
      <x:c r="M79" s="36"/>
      <x:c r="N79" s="37"/>
      <x:c r="O79" s="36"/>
      <x:c r="P79" s="30">
        <x:f t="shared" si="15"/>
        <x:v>238833.75321524547</x:v>
      </x:c>
      <x:c r="Q79" s="31">
        <x:f t="shared" si="16"/>
        <x:v>0</x:v>
      </x:c>
      <x:c r="R79" s="31">
        <x:f t="shared" si="17"/>
        <x:v>0</x:v>
      </x:c>
      <x:c r="S79" s="32">
        <x:f t="shared" si="18"/>
        <x:v>0</x:v>
      </x:c>
      <x:c r="T79" s="4">
        <x:f t="shared" si="19"/>
        <x:v>0</x:v>
      </x:c>
    </x:row>
    <x:row r="80" spans="1:21" outlineLevel="2" x14ac:dyDescent="0.25">
      <x:c r="A80" s="19" t="s">
        <x:v>46</x:v>
      </x:c>
      <x:c r="B80" s="21" t="s">
        <x:v>29</x:v>
      </x:c>
      <x:c r="C80" s="19">
        <x:f t="shared" si="21"/>
        <x:v>0.5</x:v>
      </x:c>
      <x:c r="D80" s="20">
        <x:v>365747.61</x:v>
      </x:c>
      <x:c r="E80" s="35">
        <x:v>8</x:v>
      </x:c>
      <x:c r="F80" s="35">
        <x:v>7.5506099999999998</x:v>
      </x:c>
      <x:c r="G80" s="21">
        <x:f t="shared" si="22"/>
        <x:v>20545.414807237506</x:v>
      </x:c>
      <x:c r="H80" s="35">
        <x:v>1.4449502861937471</x:v>
      </x:c>
      <x:c r="I80" s="36">
        <x:f t="shared" si="23"/>
        <x:v>29687.103005687084</x:v>
      </x:c>
      <x:c r="J80" s="36"/>
      <x:c r="K80" s="34">
        <x:v>365747.61</x:v>
      </x:c>
      <x:c r="L80" s="36"/>
      <x:c r="M80" s="36"/>
      <x:c r="N80" s="37"/>
      <x:c r="O80" s="36"/>
      <x:c r="P80" s="30">
        <x:f t="shared" si="15"/>
        <x:v>29687.103005687088</x:v>
      </x:c>
      <x:c r="Q80" s="31">
        <x:f t="shared" si="16"/>
        <x:v>0</x:v>
      </x:c>
      <x:c r="R80" s="31">
        <x:f t="shared" si="17"/>
        <x:v>0</x:v>
      </x:c>
      <x:c r="S80" s="32">
        <x:f t="shared" si="18"/>
        <x:v>0</x:v>
      </x:c>
      <x:c r="T80" s="4">
        <x:f t="shared" si="19"/>
        <x:v>0</x:v>
      </x:c>
    </x:row>
    <x:row r="81" spans="1:20" outlineLevel="2" x14ac:dyDescent="0.25">
      <x:c r="A81" s="19" t="s">
        <x:v>46</x:v>
      </x:c>
      <x:c r="B81" s="21" t="s">
        <x:v>30</x:v>
      </x:c>
      <x:c r="C81" s="19">
        <x:f t="shared" si="21"/>
        <x:v>1.5</x:v>
      </x:c>
      <x:c r="D81" s="20">
        <x:v>2111684.89</x:v>
      </x:c>
      <x:c r="E81" s="35">
        <x:v>8</x:v>
      </x:c>
      <x:c r="F81" s="35">
        <x:v>6.6778959999999996</x:v>
      </x:c>
      <x:c r="G81" s="21">
        <x:f t="shared" si="22"/>
        <x:v>348983.37997607014</x:v>
      </x:c>
      <x:c r="H81" s="35">
        <x:v>1.4449502861937471</x:v>
      </x:c>
      <x:c r="I81" s="36">
        <x:f t="shared" si="23"/>
        <x:v>504263.63477328373</x:v>
      </x:c>
      <x:c r="J81" s="36"/>
      <x:c r="K81" s="34">
        <x:v>2111684.89</x:v>
      </x:c>
      <x:c r="L81" s="36"/>
      <x:c r="M81" s="36"/>
      <x:c r="N81" s="37"/>
      <x:c r="O81" s="36"/>
      <x:c r="P81" s="30">
        <x:f t="shared" si="15"/>
        <x:v>504263.63477328373</x:v>
      </x:c>
      <x:c r="Q81" s="31">
        <x:f t="shared" si="16"/>
        <x:v>0</x:v>
      </x:c>
      <x:c r="R81" s="31">
        <x:f t="shared" si="17"/>
        <x:v>0</x:v>
      </x:c>
      <x:c r="S81" s="32">
        <x:f t="shared" si="18"/>
        <x:v>0</x:v>
      </x:c>
      <x:c r="T81" s="4">
        <x:f t="shared" si="19"/>
        <x:v>0</x:v>
      </x:c>
    </x:row>
    <x:row r="82" spans="1:20" outlineLevel="2" x14ac:dyDescent="0.25">
      <x:c r="A82" s="19" t="s">
        <x:v>46</x:v>
      </x:c>
      <x:c r="B82" s="21" t="s">
        <x:v>30</x:v>
      </x:c>
      <x:c r="C82" s="19">
        <x:f t="shared" si="21"/>
        <x:v>1.5</x:v>
      </x:c>
      <x:c r="D82" s="20">
        <x:v>582329.59999999998</x:v>
      </x:c>
      <x:c r="E82" s="35">
        <x:v>8</x:v>
      </x:c>
      <x:c r="F82" s="35">
        <x:v>6.6778959999999996</x:v>
      </x:c>
      <x:c r="G82" s="21">
        <x:f t="shared" si="22"/>
        <x:v>96237.536684800027</x:v>
      </x:c>
      <x:c r="H82" s="35">
        <x:v>1.4449502861937471</x:v>
      </x:c>
      <x:c r="I82" s="36">
        <x:f t="shared" si="23"/>
        <x:v>139058.45617528303</x:v>
      </x:c>
      <x:c r="J82" s="36"/>
      <x:c r="K82" s="34">
        <x:v>582329.59999999998</x:v>
      </x:c>
      <x:c r="L82" s="36"/>
      <x:c r="M82" s="36"/>
      <x:c r="N82" s="37"/>
      <x:c r="O82" s="36"/>
      <x:c r="P82" s="30">
        <x:f t="shared" si="15"/>
        <x:v>139058.45617528303</x:v>
      </x:c>
      <x:c r="Q82" s="31">
        <x:f t="shared" si="16"/>
        <x:v>0</x:v>
      </x:c>
      <x:c r="R82" s="31">
        <x:f t="shared" si="17"/>
        <x:v>0</x:v>
      </x:c>
      <x:c r="S82" s="32">
        <x:f t="shared" si="18"/>
        <x:v>0</x:v>
      </x:c>
      <x:c r="T82" s="4">
        <x:f t="shared" si="19"/>
        <x:v>0</x:v>
      </x:c>
    </x:row>
    <x:row r="83" spans="1:20" outlineLevel="2" x14ac:dyDescent="0.25">
      <x:c r="A83" s="19" t="s">
        <x:v>46</x:v>
      </x:c>
      <x:c r="B83" s="21" t="s">
        <x:v>30</x:v>
      </x:c>
      <x:c r="C83" s="19">
        <x:f t="shared" si="21"/>
        <x:v>1.5</x:v>
      </x:c>
      <x:c r="D83" s="20">
        <x:v>1243128.17</x:v>
      </x:c>
      <x:c r="E83" s="35">
        <x:v>8</x:v>
      </x:c>
      <x:c r="F83" s="35">
        <x:v>6.6778959999999996</x:v>
      </x:c>
      <x:c r="G83" s="21">
        <x:f t="shared" si="22"/>
        <x:v>205443.09075871005</x:v>
      </x:c>
      <x:c r="H83" s="35">
        <x:v>1.4449502861937471</x:v>
      </x:c>
      <x:c r="I83" s="36">
        <x:f t="shared" si="23"/>
        <x:v>296855.05278832605</x:v>
      </x:c>
      <x:c r="J83" s="36"/>
      <x:c r="K83" s="34">
        <x:v>1243128.17</x:v>
      </x:c>
      <x:c r="L83" s="36"/>
      <x:c r="M83" s="36"/>
      <x:c r="N83" s="37"/>
      <x:c r="O83" s="36"/>
      <x:c r="P83" s="30">
        <x:f t="shared" ref="P83:P114" si="24">+$I83*K83/$D83</x:f>
        <x:v>296855.05278832605</x:v>
      </x:c>
      <x:c r="Q83" s="31">
        <x:f t="shared" ref="Q83:Q114" si="25">+$I83*L83/$D83</x:f>
        <x:v>0</x:v>
      </x:c>
      <x:c r="R83" s="31">
        <x:f t="shared" ref="R83:R114" si="26">+$I83*M83/$D83</x:f>
        <x:v>0</x:v>
      </x:c>
      <x:c r="S83" s="32">
        <x:f t="shared" ref="S83:S114" si="27">+$I83*N83/$D83</x:f>
        <x:v>0</x:v>
      </x:c>
      <x:c r="T83" s="4">
        <x:f t="shared" ref="T83:T114" si="28">+I83-SUM(P83:S83)</x:f>
        <x:v>0</x:v>
      </x:c>
    </x:row>
    <x:row r="84" spans="1:20" outlineLevel="2" x14ac:dyDescent="0.25">
      <x:c r="A84" s="19" t="s">
        <x:v>46</x:v>
      </x:c>
      <x:c r="B84" s="21" t="s">
        <x:v>30</x:v>
      </x:c>
      <x:c r="C84" s="19">
        <x:f t="shared" si="21"/>
        <x:v>1.5</x:v>
      </x:c>
      <x:c r="D84" s="20">
        <x:v>746894.29</x:v>
      </x:c>
      <x:c r="E84" s="35">
        <x:v>8</x:v>
      </x:c>
      <x:c r="F84" s="35">
        <x:v>6.6778959999999996</x:v>
      </x:c>
      <x:c r="G84" s="21">
        <x:f t="shared" si="22"/>
        <x:v>123433.99104827004</x:v>
      </x:c>
      <x:c r="H84" s="35">
        <x:v>1.4449502861937471</x:v>
      </x:c>
      <x:c r="I84" s="36">
        <x:f t="shared" si="23"/>
        <x:v>178355.9806912342</x:v>
      </x:c>
      <x:c r="J84" s="36"/>
      <x:c r="K84" s="34">
        <x:v>746894.29</x:v>
      </x:c>
      <x:c r="L84" s="36"/>
      <x:c r="M84" s="36"/>
      <x:c r="N84" s="37"/>
      <x:c r="O84" s="36"/>
      <x:c r="P84" s="30">
        <x:f t="shared" si="24"/>
        <x:v>178355.9806912342</x:v>
      </x:c>
      <x:c r="Q84" s="31">
        <x:f t="shared" si="25"/>
        <x:v>0</x:v>
      </x:c>
      <x:c r="R84" s="31">
        <x:f t="shared" si="26"/>
        <x:v>0</x:v>
      </x:c>
      <x:c r="S84" s="32">
        <x:f t="shared" si="27"/>
        <x:v>0</x:v>
      </x:c>
      <x:c r="T84" s="4">
        <x:f t="shared" si="28"/>
        <x:v>0</x:v>
      </x:c>
    </x:row>
    <x:row r="85" spans="1:20" outlineLevel="2" x14ac:dyDescent="0.25">
      <x:c r="A85" s="19" t="s">
        <x:v>46</x:v>
      </x:c>
      <x:c r="B85" s="21" t="s">
        <x:v>30</x:v>
      </x:c>
      <x:c r="C85" s="19">
        <x:f t="shared" si="21"/>
        <x:v>1.5</x:v>
      </x:c>
      <x:c r="D85" s="20">
        <x:v>7608.98</x:v>
      </x:c>
      <x:c r="E85" s="35">
        <x:v>8</x:v>
      </x:c>
      <x:c r="F85" s="35">
        <x:v>6.6778959999999996</x:v>
      </x:c>
      <x:c r="G85" s="21">
        <x:f t="shared" si="22"/>
        <x:v>1257.4828617400003</x:v>
      </x:c>
      <x:c r="H85" s="35">
        <x:v>1.4449502861937471</x:v>
      </x:c>
      <x:c r="I85" s="36">
        <x:f t="shared" si="23"/>
        <x:v>1817.0002209549457</x:v>
      </x:c>
      <x:c r="J85" s="36"/>
      <x:c r="K85" s="34">
        <x:v>7608.98</x:v>
      </x:c>
      <x:c r="L85" s="36"/>
      <x:c r="M85" s="36"/>
      <x:c r="N85" s="37"/>
      <x:c r="O85" s="36"/>
      <x:c r="P85" s="30">
        <x:f t="shared" si="24"/>
        <x:v>1817.0002209549457</x:v>
      </x:c>
      <x:c r="Q85" s="31">
        <x:f t="shared" si="25"/>
        <x:v>0</x:v>
      </x:c>
      <x:c r="R85" s="31">
        <x:f t="shared" si="26"/>
        <x:v>0</x:v>
      </x:c>
      <x:c r="S85" s="32">
        <x:f t="shared" si="27"/>
        <x:v>0</x:v>
      </x:c>
      <x:c r="T85" s="4">
        <x:f t="shared" si="28"/>
        <x:v>0</x:v>
      </x:c>
    </x:row>
    <x:row r="86" spans="1:20" outlineLevel="2" x14ac:dyDescent="0.25">
      <x:c r="A86" s="19" t="s">
        <x:v>46</x:v>
      </x:c>
      <x:c r="B86" s="21" t="s">
        <x:v>30</x:v>
      </x:c>
      <x:c r="C86" s="19">
        <x:f t="shared" si="21"/>
        <x:v>1.5</x:v>
      </x:c>
      <x:c r="D86" s="20">
        <x:v>975</x:v>
      </x:c>
      <x:c r="E86" s="35">
        <x:v>8</x:v>
      </x:c>
      <x:c r="F86" s="35">
        <x:v>6.6778959999999996</x:v>
      </x:c>
      <x:c r="G86" s="21">
        <x:f t="shared" si="22"/>
        <x:v>161.13142500000004</x:v>
      </x:c>
      <x:c r="H86" s="35">
        <x:v>1.4449502861937471</x:v>
      </x:c>
      <x:c r="I86" s="36">
        <x:f t="shared" si="23"/>
        <x:v>232.82689866855634</x:v>
      </x:c>
      <x:c r="J86" s="36"/>
      <x:c r="K86" s="34">
        <x:v>975</x:v>
      </x:c>
      <x:c r="L86" s="36"/>
      <x:c r="M86" s="36"/>
      <x:c r="N86" s="37"/>
      <x:c r="O86" s="36"/>
      <x:c r="P86" s="30">
        <x:f t="shared" si="24"/>
        <x:v>232.82689866855634</x:v>
      </x:c>
      <x:c r="Q86" s="31">
        <x:f t="shared" si="25"/>
        <x:v>0</x:v>
      </x:c>
      <x:c r="R86" s="31">
        <x:f t="shared" si="26"/>
        <x:v>0</x:v>
      </x:c>
      <x:c r="S86" s="32">
        <x:f t="shared" si="27"/>
        <x:v>0</x:v>
      </x:c>
      <x:c r="T86" s="4">
        <x:f t="shared" si="28"/>
        <x:v>0</x:v>
      </x:c>
    </x:row>
    <x:row r="87" spans="1:20" outlineLevel="2" x14ac:dyDescent="0.25">
      <x:c r="A87" s="19" t="s">
        <x:v>46</x:v>
      </x:c>
      <x:c r="B87" s="21" t="s">
        <x:v>30</x:v>
      </x:c>
      <x:c r="C87" s="19">
        <x:f t="shared" si="21"/>
        <x:v>1.5</x:v>
      </x:c>
      <x:c r="D87" s="20">
        <x:v>-291059</x:v>
      </x:c>
      <x:c r="E87" s="35">
        <x:v>8</x:v>
      </x:c>
      <x:c r="F87" s="35">
        <x:v>6.6778959999999996</x:v>
      </x:c>
      <x:c r="G87" s="21">
        <x:f t="shared" si="22"/>
        <x:v>-48101.283517000011</x:v>
      </x:c>
      <x:c r="H87" s="35">
        <x:v>1.4449502861937471</x:v>
      </x:c>
      <x:c r="I87" s="36">
        <x:f t="shared" si="23"/>
        <x:v>-69503.963384175731</x:v>
      </x:c>
      <x:c r="J87" s="36"/>
      <x:c r="K87" s="34">
        <x:v>-291059</x:v>
      </x:c>
      <x:c r="L87" s="36"/>
      <x:c r="M87" s="36"/>
      <x:c r="N87" s="37"/>
      <x:c r="O87" s="36"/>
      <x:c r="P87" s="30">
        <x:f t="shared" si="24"/>
        <x:v>-69503.963384175731</x:v>
      </x:c>
      <x:c r="Q87" s="31">
        <x:f t="shared" si="25"/>
        <x:v>0</x:v>
      </x:c>
      <x:c r="R87" s="31">
        <x:f t="shared" si="26"/>
        <x:v>0</x:v>
      </x:c>
      <x:c r="S87" s="32">
        <x:f t="shared" si="27"/>
        <x:v>0</x:v>
      </x:c>
      <x:c r="T87" s="4">
        <x:f t="shared" si="28"/>
        <x:v>0</x:v>
      </x:c>
    </x:row>
    <x:row r="88" spans="1:20" outlineLevel="2" x14ac:dyDescent="0.25">
      <x:c r="A88" s="19" t="s">
        <x:v>46</x:v>
      </x:c>
      <x:c r="B88" s="21" t="s">
        <x:v>30</x:v>
      </x:c>
      <x:c r="C88" s="19">
        <x:f t="shared" si="21"/>
        <x:v>1.5</x:v>
      </x:c>
      <x:c r="D88" s="20">
        <x:v>178631.99</x:v>
      </x:c>
      <x:c r="E88" s="35">
        <x:v>8</x:v>
      </x:c>
      <x:c r="F88" s="35">
        <x:v>6.6778959999999996</x:v>
      </x:c>
      <x:c r="G88" s="21">
        <x:f t="shared" si="22"/>
        <x:v>29521.258563370007</x:v>
      </x:c>
      <x:c r="H88" s="35">
        <x:v>1.4449502861937471</x:v>
      </x:c>
      <x:c r="I88" s="36">
        <x:f t="shared" si="23"/>
        <x:v>42656.751009941101</x:v>
      </x:c>
      <x:c r="J88" s="36"/>
      <x:c r="K88" s="34">
        <x:v>178631.99</x:v>
      </x:c>
      <x:c r="L88" s="36"/>
      <x:c r="M88" s="36"/>
      <x:c r="N88" s="37"/>
      <x:c r="O88" s="36"/>
      <x:c r="P88" s="30">
        <x:f t="shared" si="24"/>
        <x:v>42656.751009941101</x:v>
      </x:c>
      <x:c r="Q88" s="31">
        <x:f t="shared" si="25"/>
        <x:v>0</x:v>
      </x:c>
      <x:c r="R88" s="31">
        <x:f t="shared" si="26"/>
        <x:v>0</x:v>
      </x:c>
      <x:c r="S88" s="32">
        <x:f t="shared" si="27"/>
        <x:v>0</x:v>
      </x:c>
      <x:c r="T88" s="4">
        <x:f t="shared" si="28"/>
        <x:v>0</x:v>
      </x:c>
    </x:row>
    <x:row r="89" spans="1:20" outlineLevel="2" x14ac:dyDescent="0.25">
      <x:c r="A89" s="19" t="s">
        <x:v>46</x:v>
      </x:c>
      <x:c r="B89" s="21" t="s">
        <x:v>30</x:v>
      </x:c>
      <x:c r="C89" s="19">
        <x:f t="shared" si="21"/>
        <x:v>1.5</x:v>
      </x:c>
      <x:c r="D89" s="20">
        <x:v>463540.64</x:v>
      </x:c>
      <x:c r="E89" s="35">
        <x:v>8</x:v>
      </x:c>
      <x:c r="F89" s="35">
        <x:v>6.6778959999999996</x:v>
      </x:c>
      <x:c r="G89" s="21">
        <x:f t="shared" si="22"/>
        <x:v>76606.116788320025</x:v>
      </x:c>
      <x:c r="H89" s="35">
        <x:v>1.4449502861937471</x:v>
      </x:c>
      <x:c r="I89" s="36">
        <x:f t="shared" si="23"/>
        <x:v>110692.03037747463</x:v>
      </x:c>
      <x:c r="J89" s="36"/>
      <x:c r="K89" s="34">
        <x:v>463540.64</x:v>
      </x:c>
      <x:c r="L89" s="36"/>
      <x:c r="M89" s="36"/>
      <x:c r="N89" s="37"/>
      <x:c r="O89" s="36"/>
      <x:c r="P89" s="30">
        <x:f t="shared" si="24"/>
        <x:v>110692.03037747464</x:v>
      </x:c>
      <x:c r="Q89" s="31">
        <x:f t="shared" si="25"/>
        <x:v>0</x:v>
      </x:c>
      <x:c r="R89" s="31">
        <x:f t="shared" si="26"/>
        <x:v>0</x:v>
      </x:c>
      <x:c r="S89" s="32">
        <x:f t="shared" si="27"/>
        <x:v>0</x:v>
      </x:c>
      <x:c r="T89" s="4">
        <x:f t="shared" si="28"/>
        <x:v>0</x:v>
      </x:c>
    </x:row>
    <x:row r="90" spans="1:20" outlineLevel="2" x14ac:dyDescent="0.25">
      <x:c r="A90" s="19" t="s">
        <x:v>46</x:v>
      </x:c>
      <x:c r="B90" s="21" t="s">
        <x:v>30</x:v>
      </x:c>
      <x:c r="C90" s="19">
        <x:f t="shared" si="21"/>
        <x:v>1.5</x:v>
      </x:c>
      <x:c r="D90" s="20">
        <x:v>5825872.6799999997</x:v>
      </x:c>
      <x:c r="E90" s="35">
        <x:v>8</x:v>
      </x:c>
      <x:c r="F90" s="35">
        <x:v>6.6778959999999996</x:v>
      </x:c>
      <x:c r="G90" s="21">
        <x:f t="shared" si="22"/>
        <x:v>962801.19671484025</x:v>
      </x:c>
      <x:c r="H90" s="35">
        <x:v>1.4449502861937471</x:v>
      </x:c>
      <x:c r="I90" s="36">
        <x:f t="shared" si="23"/>
        <x:v>1391199.8647407906</x:v>
      </x:c>
      <x:c r="J90" s="36"/>
      <x:c r="K90" s="34">
        <x:v>5825872.6799999997</x:v>
      </x:c>
      <x:c r="L90" s="36"/>
      <x:c r="M90" s="36"/>
      <x:c r="N90" s="37"/>
      <x:c r="O90" s="36"/>
      <x:c r="P90" s="30">
        <x:f t="shared" si="24"/>
        <x:v>1391199.8647407906</x:v>
      </x:c>
      <x:c r="Q90" s="31">
        <x:f t="shared" si="25"/>
        <x:v>0</x:v>
      </x:c>
      <x:c r="R90" s="31">
        <x:f t="shared" si="26"/>
        <x:v>0</x:v>
      </x:c>
      <x:c r="S90" s="32">
        <x:f t="shared" si="27"/>
        <x:v>0</x:v>
      </x:c>
      <x:c r="T90" s="4">
        <x:f t="shared" si="28"/>
        <x:v>0</x:v>
      </x:c>
    </x:row>
    <x:row r="91" spans="1:20" outlineLevel="2" x14ac:dyDescent="0.25">
      <x:c r="A91" s="19" t="s">
        <x:v>46</x:v>
      </x:c>
      <x:c r="B91" s="21" t="s">
        <x:v>30</x:v>
      </x:c>
      <x:c r="C91" s="19">
        <x:f t="shared" si="21"/>
        <x:v>1.5</x:v>
      </x:c>
      <x:c r="D91" s="20">
        <x:v>2116481.65</x:v>
      </x:c>
      <x:c r="E91" s="35">
        <x:v>8</x:v>
      </x:c>
      <x:c r="F91" s="35">
        <x:v>6.6778959999999996</x:v>
      </x:c>
      <x:c r="G91" s="21">
        <x:f t="shared" si="22"/>
        <x:v>349776.10692395008</x:v>
      </x:c>
      <x:c r="H91" s="35">
        <x:v>1.4449502861937471</x:v>
      </x:c>
      <x:c r="I91" s="36">
        <x:f t="shared" si="23"/>
        <x:v>505409.08580349636</x:v>
      </x:c>
      <x:c r="J91" s="36"/>
      <x:c r="K91" s="34">
        <x:v>2116481.65</x:v>
      </x:c>
      <x:c r="L91" s="36"/>
      <x:c r="M91" s="36"/>
      <x:c r="N91" s="37"/>
      <x:c r="O91" s="36"/>
      <x:c r="P91" s="30">
        <x:f t="shared" si="24"/>
        <x:v>505409.08580349636</x:v>
      </x:c>
      <x:c r="Q91" s="31">
        <x:f t="shared" si="25"/>
        <x:v>0</x:v>
      </x:c>
      <x:c r="R91" s="31">
        <x:f t="shared" si="26"/>
        <x:v>0</x:v>
      </x:c>
      <x:c r="S91" s="32">
        <x:f t="shared" si="27"/>
        <x:v>0</x:v>
      </x:c>
      <x:c r="T91" s="4">
        <x:f t="shared" si="28"/>
        <x:v>0</x:v>
      </x:c>
    </x:row>
    <x:row r="92" spans="1:20" outlineLevel="2" x14ac:dyDescent="0.25">
      <x:c r="A92" s="19" t="s">
        <x:v>46</x:v>
      </x:c>
      <x:c r="B92" s="21" t="s">
        <x:v>30</x:v>
      </x:c>
      <x:c r="C92" s="19">
        <x:f t="shared" si="21"/>
        <x:v>1.5</x:v>
      </x:c>
      <x:c r="D92" s="20">
        <x:v>10249.469999999999</x:v>
      </x:c>
      <x:c r="E92" s="35">
        <x:v>8</x:v>
      </x:c>
      <x:c r="F92" s="35">
        <x:v>6.6778959999999996</x:v>
      </x:c>
      <x:c r="G92" s="21">
        <x:f t="shared" si="22"/>
        <x:v>1693.8581606100004</x:v>
      </x:c>
      <x:c r="H92" s="35">
        <x:v>1.4449502861937471</x:v>
      </x:c>
      <x:c r="I92" s="36">
        <x:f t="shared" si="23"/>
        <x:v>2447.5408339450341</x:v>
      </x:c>
      <x:c r="J92" s="36"/>
      <x:c r="K92" s="34">
        <x:v>10249.469999999999</x:v>
      </x:c>
      <x:c r="L92" s="36"/>
      <x:c r="M92" s="36"/>
      <x:c r="N92" s="37"/>
      <x:c r="O92" s="36"/>
      <x:c r="P92" s="30">
        <x:f t="shared" si="24"/>
        <x:v>2447.5408339450341</x:v>
      </x:c>
      <x:c r="Q92" s="31">
        <x:f t="shared" si="25"/>
        <x:v>0</x:v>
      </x:c>
      <x:c r="R92" s="31">
        <x:f t="shared" si="26"/>
        <x:v>0</x:v>
      </x:c>
      <x:c r="S92" s="32">
        <x:f t="shared" si="27"/>
        <x:v>0</x:v>
      </x:c>
      <x:c r="T92" s="4">
        <x:f t="shared" si="28"/>
        <x:v>0</x:v>
      </x:c>
    </x:row>
    <x:row r="93" spans="1:20" outlineLevel="2" x14ac:dyDescent="0.25">
      <x:c r="A93" s="19" t="s">
        <x:v>46</x:v>
      </x:c>
      <x:c r="B93" s="21" t="s">
        <x:v>30</x:v>
      </x:c>
      <x:c r="C93" s="19">
        <x:f t="shared" si="21"/>
        <x:v>1.5</x:v>
      </x:c>
      <x:c r="D93" s="20">
        <x:v>360845.73</x:v>
      </x:c>
      <x:c r="E93" s="35">
        <x:v>8</x:v>
      </x:c>
      <x:c r="F93" s="35">
        <x:v>6.6778959999999996</x:v>
      </x:c>
      <x:c r="G93" s="21">
        <x:f t="shared" si="22"/>
        <x:v>59634.447876990016</x:v>
      </x:c>
      <x:c r="H93" s="35">
        <x:v>1.4449502861937471</x:v>
      </x:c>
      <x:c r="I93" s="36">
        <x:f t="shared" si="23"/>
        <x:v>86168.812526862821</x:v>
      </x:c>
      <x:c r="J93" s="36"/>
      <x:c r="K93" s="34">
        <x:v>360845.73</x:v>
      </x:c>
      <x:c r="L93" s="36"/>
      <x:c r="M93" s="36"/>
      <x:c r="N93" s="37"/>
      <x:c r="O93" s="36"/>
      <x:c r="P93" s="30">
        <x:f t="shared" si="24"/>
        <x:v>86168.812526862821</x:v>
      </x:c>
      <x:c r="Q93" s="31">
        <x:f t="shared" si="25"/>
        <x:v>0</x:v>
      </x:c>
      <x:c r="R93" s="31">
        <x:f t="shared" si="26"/>
        <x:v>0</x:v>
      </x:c>
      <x:c r="S93" s="32">
        <x:f t="shared" si="27"/>
        <x:v>0</x:v>
      </x:c>
      <x:c r="T93" s="4">
        <x:f t="shared" si="28"/>
        <x:v>0</x:v>
      </x:c>
    </x:row>
    <x:row r="94" spans="1:20" outlineLevel="2" x14ac:dyDescent="0.25">
      <x:c r="A94" s="19" t="s">
        <x:v>46</x:v>
      </x:c>
      <x:c r="B94" s="21" t="s">
        <x:v>31</x:v>
      </x:c>
      <x:c r="C94" s="19">
        <x:f t="shared" si="21"/>
        <x:v>2.5</x:v>
      </x:c>
      <x:c r="D94" s="20">
        <x:v>344.04</x:v>
      </x:c>
      <x:c r="E94" s="35">
        <x:v>8</x:v>
      </x:c>
      <x:c r="F94" s="35">
        <x:v>5.8442860000000003</x:v>
      </x:c>
      <x:c r="G94" s="21">
        <x:f t="shared" si="22"/>
        <x:v>92.706480569999997</x:v>
      </x:c>
      <x:c r="H94" s="35">
        <x:v>1.4449502861937471</x:v>
      </x:c>
      <x:c r="I94" s="36">
        <x:f t="shared" si="23"/>
        <x:v>133.95625563163654</x:v>
      </x:c>
      <x:c r="J94" s="36"/>
      <x:c r="K94" s="34">
        <x:v>344.04</x:v>
      </x:c>
      <x:c r="L94" s="36"/>
      <x:c r="M94" s="36"/>
      <x:c r="N94" s="37"/>
      <x:c r="O94" s="36"/>
      <x:c r="P94" s="30">
        <x:f t="shared" si="24"/>
        <x:v>133.95625563163654</x:v>
      </x:c>
      <x:c r="Q94" s="31">
        <x:f t="shared" si="25"/>
        <x:v>0</x:v>
      </x:c>
      <x:c r="R94" s="31">
        <x:f t="shared" si="26"/>
        <x:v>0</x:v>
      </x:c>
      <x:c r="S94" s="32">
        <x:f t="shared" si="27"/>
        <x:v>0</x:v>
      </x:c>
      <x:c r="T94" s="4">
        <x:f t="shared" si="28"/>
        <x:v>0</x:v>
      </x:c>
    </x:row>
    <x:row r="95" spans="1:20" outlineLevel="2" x14ac:dyDescent="0.25">
      <x:c r="A95" s="19" t="s">
        <x:v>46</x:v>
      </x:c>
      <x:c r="B95" s="21" t="s">
        <x:v>31</x:v>
      </x:c>
      <x:c r="C95" s="19">
        <x:f t="shared" si="21"/>
        <x:v>2.5</x:v>
      </x:c>
      <x:c r="D95" s="20">
        <x:v>124416.5</x:v>
      </x:c>
      <x:c r="E95" s="35">
        <x:v>8</x:v>
      </x:c>
      <x:c r="F95" s="35">
        <x:v>5.8442860000000003</x:v>
      </x:c>
      <x:c r="G95" s="21">
        <x:f t="shared" si="22"/>
        <x:v>33525.798860124996</x:v>
      </x:c>
      <x:c r="H95" s="35">
        <x:v>1.4449502861937471</x:v>
      </x:c>
      <x:c r="I95" s="36">
        <x:f t="shared" si="23"/>
        <x:v>48443.112657811616</x:v>
      </x:c>
      <x:c r="J95" s="36"/>
      <x:c r="K95" s="34">
        <x:v>124416.5</x:v>
      </x:c>
      <x:c r="L95" s="36"/>
      <x:c r="M95" s="36"/>
      <x:c r="N95" s="37"/>
      <x:c r="O95" s="36"/>
      <x:c r="P95" s="30">
        <x:f t="shared" si="24"/>
        <x:v>48443.112657811616</x:v>
      </x:c>
      <x:c r="Q95" s="31">
        <x:f t="shared" si="25"/>
        <x:v>0</x:v>
      </x:c>
      <x:c r="R95" s="31">
        <x:f t="shared" si="26"/>
        <x:v>0</x:v>
      </x:c>
      <x:c r="S95" s="32">
        <x:f t="shared" si="27"/>
        <x:v>0</x:v>
      </x:c>
      <x:c r="T95" s="4">
        <x:f t="shared" si="28"/>
        <x:v>0</x:v>
      </x:c>
    </x:row>
    <x:row r="96" spans="1:20" outlineLevel="2" x14ac:dyDescent="0.25">
      <x:c r="A96" s="19" t="s">
        <x:v>46</x:v>
      </x:c>
      <x:c r="B96" s="21" t="s">
        <x:v>31</x:v>
      </x:c>
      <x:c r="C96" s="19">
        <x:f t="shared" si="21"/>
        <x:v>2.5</x:v>
      </x:c>
      <x:c r="D96" s="20">
        <x:v>561683.53</x:v>
      </x:c>
      <x:c r="E96" s="35">
        <x:v>8</x:v>
      </x:c>
      <x:c r="F96" s="35">
        <x:v>5.8442860000000003</x:v>
      </x:c>
      <x:c r="G96" s="21">
        <x:f t="shared" si="22"/>
        <x:v>151353.63114880249</x:v>
      </x:c>
      <x:c r="H96" s="35">
        <x:v>1.4449502861937471</x:v>
      </x:c>
      <x:c r="I96" s="36">
        <x:f t="shared" si="23"/>
        <x:v>218698.472644925</x:v>
      </x:c>
      <x:c r="J96" s="36"/>
      <x:c r="K96" s="34">
        <x:v>561683.53</x:v>
      </x:c>
      <x:c r="L96" s="36"/>
      <x:c r="M96" s="36"/>
      <x:c r="N96" s="37"/>
      <x:c r="O96" s="36"/>
      <x:c r="P96" s="30">
        <x:f t="shared" si="24"/>
        <x:v>218698.472644925</x:v>
      </x:c>
      <x:c r="Q96" s="31">
        <x:f t="shared" si="25"/>
        <x:v>0</x:v>
      </x:c>
      <x:c r="R96" s="31">
        <x:f t="shared" si="26"/>
        <x:v>0</x:v>
      </x:c>
      <x:c r="S96" s="32">
        <x:f t="shared" si="27"/>
        <x:v>0</x:v>
      </x:c>
      <x:c r="T96" s="4">
        <x:f t="shared" si="28"/>
        <x:v>0</x:v>
      </x:c>
    </x:row>
    <x:row r="97" spans="1:20" outlineLevel="2" x14ac:dyDescent="0.25">
      <x:c r="A97" s="19" t="s">
        <x:v>46</x:v>
      </x:c>
      <x:c r="B97" s="21" t="s">
        <x:v>31</x:v>
      </x:c>
      <x:c r="C97" s="19">
        <x:f t="shared" si="21"/>
        <x:v>2.5</x:v>
      </x:c>
      <x:c r="D97" s="20">
        <x:v>303736.01</x:v>
      </x:c>
      <x:c r="E97" s="35">
        <x:v>8</x:v>
      </x:c>
      <x:c r="F97" s="35">
        <x:v>5.8442860000000003</x:v>
      </x:c>
      <x:c r="G97" s="21">
        <x:f t="shared" si="22"/>
        <x:v>81845.996132642496</x:v>
      </x:c>
      <x:c r="H97" s="35">
        <x:v>1.4449502861937471</x:v>
      </x:c>
      <x:c r="I97" s="36">
        <x:f t="shared" si="23"/>
        <x:v>118263.39553567409</x:v>
      </x:c>
      <x:c r="J97" s="36"/>
      <x:c r="K97" s="34">
        <x:v>303736.01</x:v>
      </x:c>
      <x:c r="L97" s="36"/>
      <x:c r="M97" s="36"/>
      <x:c r="N97" s="37"/>
      <x:c r="O97" s="36"/>
      <x:c r="P97" s="30">
        <x:f t="shared" si="24"/>
        <x:v>118263.39553567411</x:v>
      </x:c>
      <x:c r="Q97" s="31">
        <x:f t="shared" si="25"/>
        <x:v>0</x:v>
      </x:c>
      <x:c r="R97" s="31">
        <x:f t="shared" si="26"/>
        <x:v>0</x:v>
      </x:c>
      <x:c r="S97" s="32">
        <x:f t="shared" si="27"/>
        <x:v>0</x:v>
      </x:c>
      <x:c r="T97" s="4">
        <x:f t="shared" si="28"/>
        <x:v>0</x:v>
      </x:c>
    </x:row>
    <x:row r="98" spans="1:20" outlineLevel="2" x14ac:dyDescent="0.25">
      <x:c r="A98" s="19" t="s">
        <x:v>46</x:v>
      </x:c>
      <x:c r="B98" s="21" t="s">
        <x:v>31</x:v>
      </x:c>
      <x:c r="C98" s="19">
        <x:f t="shared" si="21"/>
        <x:v>2.5</x:v>
      </x:c>
      <x:c r="D98" s="20">
        <x:v>1968199.35</x:v>
      </x:c>
      <x:c r="E98" s="35">
        <x:v>8</x:v>
      </x:c>
      <x:c r="F98" s="35">
        <x:v>5.8442860000000003</x:v>
      </x:c>
      <x:c r="G98" s="21">
        <x:f t="shared" si="22"/>
        <x:v>530359.36169823748</x:v>
      </x:c>
      <x:c r="H98" s="35">
        <x:v>1.4449502861937471</x:v>
      </x:c>
      <x:c r="I98" s="36">
        <x:f t="shared" si="23"/>
        <x:v>766342.91147140122</x:v>
      </x:c>
      <x:c r="J98" s="36"/>
      <x:c r="K98" s="34">
        <x:v>1968199.35</x:v>
      </x:c>
      <x:c r="L98" s="36"/>
      <x:c r="M98" s="36"/>
      <x:c r="N98" s="37"/>
      <x:c r="O98" s="36"/>
      <x:c r="P98" s="30">
        <x:f t="shared" si="24"/>
        <x:v>766342.91147140111</x:v>
      </x:c>
      <x:c r="Q98" s="31">
        <x:f t="shared" si="25"/>
        <x:v>0</x:v>
      </x:c>
      <x:c r="R98" s="31">
        <x:f t="shared" si="26"/>
        <x:v>0</x:v>
      </x:c>
      <x:c r="S98" s="32">
        <x:f t="shared" si="27"/>
        <x:v>0</x:v>
      </x:c>
      <x:c r="T98" s="4">
        <x:f t="shared" si="28"/>
        <x:v>0</x:v>
      </x:c>
    </x:row>
    <x:row r="99" spans="1:20" outlineLevel="2" x14ac:dyDescent="0.25">
      <x:c r="A99" s="19" t="s">
        <x:v>46</x:v>
      </x:c>
      <x:c r="B99" s="21" t="s">
        <x:v>31</x:v>
      </x:c>
      <x:c r="C99" s="19">
        <x:f t="shared" si="21"/>
        <x:v>2.5</x:v>
      </x:c>
      <x:c r="D99" s="20">
        <x:v>2492341.41</x:v>
      </x:c>
      <x:c r="E99" s="35">
        <x:v>8</x:v>
      </x:c>
      <x:c r="F99" s="35">
        <x:v>5.8442860000000003</x:v>
      </x:c>
      <x:c r="G99" s="21">
        <x:f t="shared" si="22"/>
        <x:v>671596.90878959245</x:v>
      </x:c>
      <x:c r="H99" s="35">
        <x:v>1.4449502861937471</x:v>
      </x:c>
      <x:c r="I99" s="36">
        <x:f t="shared" si="23"/>
        <x:v>970424.1455623575</x:v>
      </x:c>
      <x:c r="J99" s="36"/>
      <x:c r="K99" s="34">
        <x:v>2492341.41</x:v>
      </x:c>
      <x:c r="L99" s="36"/>
      <x:c r="M99" s="36"/>
      <x:c r="N99" s="37"/>
      <x:c r="O99" s="36"/>
      <x:c r="P99" s="30">
        <x:f t="shared" si="24"/>
        <x:v>970424.14556235762</x:v>
      </x:c>
      <x:c r="Q99" s="31">
        <x:f t="shared" si="25"/>
        <x:v>0</x:v>
      </x:c>
      <x:c r="R99" s="31">
        <x:f t="shared" si="26"/>
        <x:v>0</x:v>
      </x:c>
      <x:c r="S99" s="32">
        <x:f t="shared" si="27"/>
        <x:v>0</x:v>
      </x:c>
      <x:c r="T99" s="4">
        <x:f t="shared" si="28"/>
        <x:v>0</x:v>
      </x:c>
    </x:row>
    <x:row r="100" spans="1:20" outlineLevel="2" x14ac:dyDescent="0.25">
      <x:c r="A100" s="19" t="s">
        <x:v>46</x:v>
      </x:c>
      <x:c r="B100" s="21" t="s">
        <x:v>31</x:v>
      </x:c>
      <x:c r="C100" s="19">
        <x:f t="shared" si="21"/>
        <x:v>2.5</x:v>
      </x:c>
      <x:c r="D100" s="20">
        <x:v>2031296.75</x:v>
      </x:c>
      <x:c r="E100" s="35">
        <x:v>8</x:v>
      </x:c>
      <x:c r="F100" s="35">
        <x:v>5.8442860000000003</x:v>
      </x:c>
      <x:c r="G100" s="21">
        <x:f t="shared" si="22"/>
        <x:v>547361.85526618746</x:v>
      </x:c>
      <x:c r="H100" s="35">
        <x:v>1.4449502861937471</x:v>
      </x:c>
      <x:c r="I100" s="36">
        <x:f t="shared" si="23"/>
        <x:v>790910.66941841797</x:v>
      </x:c>
      <x:c r="J100" s="36"/>
      <x:c r="K100" s="34">
        <x:v>2031296.75</x:v>
      </x:c>
      <x:c r="L100" s="36"/>
      <x:c r="M100" s="36"/>
      <x:c r="N100" s="37"/>
      <x:c r="O100" s="36"/>
      <x:c r="P100" s="30">
        <x:f t="shared" si="24"/>
        <x:v>790910.66941841797</x:v>
      </x:c>
      <x:c r="Q100" s="31">
        <x:f t="shared" si="25"/>
        <x:v>0</x:v>
      </x:c>
      <x:c r="R100" s="31">
        <x:f t="shared" si="26"/>
        <x:v>0</x:v>
      </x:c>
      <x:c r="S100" s="32">
        <x:f t="shared" si="27"/>
        <x:v>0</x:v>
      </x:c>
      <x:c r="T100" s="4">
        <x:f t="shared" si="28"/>
        <x:v>0</x:v>
      </x:c>
    </x:row>
    <x:row r="101" spans="1:20" outlineLevel="2" x14ac:dyDescent="0.25">
      <x:c r="A101" s="19" t="s">
        <x:v>46</x:v>
      </x:c>
      <x:c r="B101" s="21" t="s">
        <x:v>31</x:v>
      </x:c>
      <x:c r="C101" s="19">
        <x:f t="shared" si="21"/>
        <x:v>2.5</x:v>
      </x:c>
      <x:c r="D101" s="20">
        <x:v>-115001.88</x:v>
      </x:c>
      <x:c r="E101" s="35">
        <x:v>8</x:v>
      </x:c>
      <x:c r="F101" s="35">
        <x:v>5.8442860000000003</x:v>
      </x:c>
      <x:c r="G101" s="21">
        <x:f t="shared" si="22"/>
        <x:v>-30988.895342789998</x:v>
      </x:c>
      <x:c r="H101" s="35">
        <x:v>1.4449502861937471</x:v>
      </x:c>
      <x:c r="I101" s="36">
        <x:f t="shared" si="23"/>
        <x:v>-44777.413194392488</x:v>
      </x:c>
      <x:c r="J101" s="36"/>
      <x:c r="K101" s="34">
        <x:v>-115001.88</x:v>
      </x:c>
      <x:c r="L101" s="36"/>
      <x:c r="M101" s="36"/>
      <x:c r="N101" s="37"/>
      <x:c r="O101" s="36"/>
      <x:c r="P101" s="30">
        <x:f t="shared" si="24"/>
        <x:v>-44777.413194392488</x:v>
      </x:c>
      <x:c r="Q101" s="31">
        <x:f t="shared" si="25"/>
        <x:v>0</x:v>
      </x:c>
      <x:c r="R101" s="31">
        <x:f t="shared" si="26"/>
        <x:v>0</x:v>
      </x:c>
      <x:c r="S101" s="32">
        <x:f t="shared" si="27"/>
        <x:v>0</x:v>
      </x:c>
      <x:c r="T101" s="4">
        <x:f t="shared" si="28"/>
        <x:v>0</x:v>
      </x:c>
    </x:row>
    <x:row r="102" spans="1:20" outlineLevel="2" x14ac:dyDescent="0.25">
      <x:c r="A102" s="19" t="s">
        <x:v>46</x:v>
      </x:c>
      <x:c r="B102" s="21" t="s">
        <x:v>31</x:v>
      </x:c>
      <x:c r="C102" s="19">
        <x:f t="shared" si="21"/>
        <x:v>2.5</x:v>
      </x:c>
      <x:c r="D102" s="20">
        <x:v>-2752.5</x:v>
      </x:c>
      <x:c r="E102" s="35">
        <x:v>8</x:v>
      </x:c>
      <x:c r="F102" s="35">
        <x:v>5.8442860000000003</x:v>
      </x:c>
      <x:c r="G102" s="21">
        <x:f t="shared" si="22"/>
        <x:v>-741.70034812499989</x:v>
      </x:c>
      <x:c r="H102" s="35">
        <x:v>1.4449502861937471</x:v>
      </x:c>
      <x:c r="I102" s="36">
        <x:f t="shared" si="23"/>
        <x:v>-1071.7201302932203</x:v>
      </x:c>
      <x:c r="J102" s="36"/>
      <x:c r="K102" s="34">
        <x:v>-2752.5</x:v>
      </x:c>
      <x:c r="L102" s="36"/>
      <x:c r="M102" s="36"/>
      <x:c r="N102" s="37"/>
      <x:c r="O102" s="36"/>
      <x:c r="P102" s="30">
        <x:f t="shared" si="24"/>
        <x:v>-1071.7201302932203</x:v>
      </x:c>
      <x:c r="Q102" s="31">
        <x:f t="shared" si="25"/>
        <x:v>0</x:v>
      </x:c>
      <x:c r="R102" s="31">
        <x:f t="shared" si="26"/>
        <x:v>0</x:v>
      </x:c>
      <x:c r="S102" s="32">
        <x:f t="shared" si="27"/>
        <x:v>0</x:v>
      </x:c>
      <x:c r="T102" s="4">
        <x:f t="shared" si="28"/>
        <x:v>0</x:v>
      </x:c>
    </x:row>
    <x:row r="103" spans="1:20" outlineLevel="2" x14ac:dyDescent="0.25">
      <x:c r="A103" s="19" t="s">
        <x:v>46</x:v>
      </x:c>
      <x:c r="B103" s="21" t="s">
        <x:v>31</x:v>
      </x:c>
      <x:c r="C103" s="19">
        <x:f t="shared" si="21"/>
        <x:v>2.5</x:v>
      </x:c>
      <x:c r="D103" s="20">
        <x:v>1447462.42</x:v>
      </x:c>
      <x:c r="E103" s="35">
        <x:v>8</x:v>
      </x:c>
      <x:c r="F103" s="35">
        <x:v>5.8442860000000003</x:v>
      </x:c>
      <x:c r="G103" s="21">
        <x:f t="shared" si="22"/>
        <x:v>390039.37540848495</x:v>
      </x:c>
      <x:c r="H103" s="35">
        <x:v>1.4449502861937471</x:v>
      </x:c>
      <x:c r="I103" s="36">
        <x:f t="shared" si="23"/>
        <x:v>563587.50712332071</x:v>
      </x:c>
      <x:c r="J103" s="36"/>
      <x:c r="K103" s="34">
        <x:v>1447462.42</x:v>
      </x:c>
      <x:c r="L103" s="36"/>
      <x:c r="M103" s="36"/>
      <x:c r="N103" s="37"/>
      <x:c r="O103" s="36"/>
      <x:c r="P103" s="30">
        <x:f t="shared" si="24"/>
        <x:v>563587.50712332071</x:v>
      </x:c>
      <x:c r="Q103" s="31">
        <x:f t="shared" si="25"/>
        <x:v>0</x:v>
      </x:c>
      <x:c r="R103" s="31">
        <x:f t="shared" si="26"/>
        <x:v>0</x:v>
      </x:c>
      <x:c r="S103" s="32">
        <x:f t="shared" si="27"/>
        <x:v>0</x:v>
      </x:c>
      <x:c r="T103" s="4">
        <x:f t="shared" si="28"/>
        <x:v>0</x:v>
      </x:c>
    </x:row>
    <x:row r="104" spans="1:20" outlineLevel="2" x14ac:dyDescent="0.25">
      <x:c r="A104" s="19" t="s">
        <x:v>46</x:v>
      </x:c>
      <x:c r="B104" s="21" t="s">
        <x:v>31</x:v>
      </x:c>
      <x:c r="C104" s="19">
        <x:f t="shared" ref="C104:C132" si="29">2024.5-B104</x:f>
        <x:v>2.5</x:v>
      </x:c>
      <x:c r="D104" s="20">
        <x:v>319153.26</x:v>
      </x:c>
      <x:c r="E104" s="35">
        <x:v>8</x:v>
      </x:c>
      <x:c r="F104" s="35">
        <x:v>5.8442860000000003</x:v>
      </x:c>
      <x:c r="G104" s="21">
        <x:f t="shared" ref="G104:G132" si="30">+D104*(1-F104/E104)</x:f>
        <x:v>86000.393840954988</x:v>
      </x:c>
      <x:c r="H104" s="35">
        <x:v>1.4449502861937471</x:v>
      </x:c>
      <x:c r="I104" s="36">
        <x:f t="shared" si="23"/>
        <x:v>124266.29369326288</x:v>
      </x:c>
      <x:c r="J104" s="36"/>
      <x:c r="K104" s="34">
        <x:v>319153.26</x:v>
      </x:c>
      <x:c r="L104" s="36"/>
      <x:c r="M104" s="36"/>
      <x:c r="N104" s="37"/>
      <x:c r="O104" s="36"/>
      <x:c r="P104" s="30">
        <x:f t="shared" si="24"/>
        <x:v>124266.29369326288</x:v>
      </x:c>
      <x:c r="Q104" s="31">
        <x:f t="shared" si="25"/>
        <x:v>0</x:v>
      </x:c>
      <x:c r="R104" s="31">
        <x:f t="shared" si="26"/>
        <x:v>0</x:v>
      </x:c>
      <x:c r="S104" s="32">
        <x:f t="shared" si="27"/>
        <x:v>0</x:v>
      </x:c>
      <x:c r="T104" s="4">
        <x:f t="shared" si="28"/>
        <x:v>0</x:v>
      </x:c>
    </x:row>
    <x:row r="105" spans="1:20" outlineLevel="2" x14ac:dyDescent="0.25">
      <x:c r="A105" s="19" t="s">
        <x:v>46</x:v>
      </x:c>
      <x:c r="B105" s="21" t="s">
        <x:v>16</x:v>
      </x:c>
      <x:c r="C105" s="19">
        <x:f t="shared" si="29"/>
        <x:v>3.5</x:v>
      </x:c>
      <x:c r="D105" s="20">
        <x:v>484026.49</x:v>
      </x:c>
      <x:c r="E105" s="35">
        <x:v>8</x:v>
      </x:c>
      <x:c r="F105" s="35">
        <x:v>5.0554050000000004</x:v>
      </x:c>
      <x:c r="G105" s="21">
        <x:f t="shared" si="30"/>
        <x:v>178157.74779019374</x:v>
      </x:c>
      <x:c r="H105" s="35">
        <x:v>1.4449502861937471</x:v>
      </x:c>
      <x:c r="I105" s="36">
        <x:f t="shared" si="23"/>
        <x:v>257429.08865707385</x:v>
      </x:c>
      <x:c r="J105" s="36"/>
      <x:c r="K105" s="34">
        <x:v>484026.49</x:v>
      </x:c>
      <x:c r="L105" s="36"/>
      <x:c r="M105" s="36"/>
      <x:c r="N105" s="37"/>
      <x:c r="O105" s="36"/>
      <x:c r="P105" s="30">
        <x:f t="shared" si="24"/>
        <x:v>257429.08865707382</x:v>
      </x:c>
      <x:c r="Q105" s="31">
        <x:f t="shared" si="25"/>
        <x:v>0</x:v>
      </x:c>
      <x:c r="R105" s="31">
        <x:f t="shared" si="26"/>
        <x:v>0</x:v>
      </x:c>
      <x:c r="S105" s="32">
        <x:f t="shared" si="27"/>
        <x:v>0</x:v>
      </x:c>
      <x:c r="T105" s="4">
        <x:f t="shared" si="28"/>
        <x:v>0</x:v>
      </x:c>
    </x:row>
    <x:row r="106" spans="1:20" outlineLevel="2" x14ac:dyDescent="0.25">
      <x:c r="A106" s="19" t="s">
        <x:v>46</x:v>
      </x:c>
      <x:c r="B106" s="21" t="s">
        <x:v>16</x:v>
      </x:c>
      <x:c r="C106" s="19">
        <x:f t="shared" si="29"/>
        <x:v>3.5</x:v>
      </x:c>
      <x:c r="D106" s="20">
        <x:v>312784.98</x:v>
      </x:c>
      <x:c r="E106" s="35">
        <x:v>8</x:v>
      </x:c>
      <x:c r="F106" s="35">
        <x:v>5.0554050000000004</x:v>
      </x:c>
      <x:c r="G106" s="21">
        <x:f t="shared" si="30"/>
        <x:v>115128.13602288748</x:v>
      </x:c>
      <x:c r="H106" s="35">
        <x:v>1.4449502861937471</x:v>
      </x:c>
      <x:c r="I106" s="36">
        <x:f t="shared" si="23"/>
        <x:v>166354.43309522391</x:v>
      </x:c>
      <x:c r="J106" s="36"/>
      <x:c r="K106" s="34">
        <x:v>312784.98</x:v>
      </x:c>
      <x:c r="L106" s="36"/>
      <x:c r="M106" s="36"/>
      <x:c r="N106" s="37"/>
      <x:c r="O106" s="36"/>
      <x:c r="P106" s="30">
        <x:f t="shared" si="24"/>
        <x:v>166354.43309522391</x:v>
      </x:c>
      <x:c r="Q106" s="31">
        <x:f t="shared" si="25"/>
        <x:v>0</x:v>
      </x:c>
      <x:c r="R106" s="31">
        <x:f t="shared" si="26"/>
        <x:v>0</x:v>
      </x:c>
      <x:c r="S106" s="32">
        <x:f t="shared" si="27"/>
        <x:v>0</x:v>
      </x:c>
      <x:c r="T106" s="4">
        <x:f t="shared" si="28"/>
        <x:v>0</x:v>
      </x:c>
    </x:row>
    <x:row r="107" spans="1:20" outlineLevel="2" x14ac:dyDescent="0.25">
      <x:c r="A107" s="19" t="s">
        <x:v>46</x:v>
      </x:c>
      <x:c r="B107" s="21" t="s">
        <x:v>16</x:v>
      </x:c>
      <x:c r="C107" s="19">
        <x:f t="shared" si="29"/>
        <x:v>3.5</x:v>
      </x:c>
      <x:c r="D107" s="20">
        <x:v>1984764.72</x:v>
      </x:c>
      <x:c r="E107" s="35">
        <x:v>8</x:v>
      </x:c>
      <x:c r="F107" s="35">
        <x:v>5.0554050000000004</x:v>
      </x:c>
      <x:c r="G107" s="21">
        <x:f t="shared" si="30"/>
        <x:v>730541.03383604984</x:v>
      </x:c>
      <x:c r="H107" s="35">
        <x:v>1.4449502861937471</x:v>
      </x:c>
      <x:c r="I107" s="36">
        <x:f t="shared" si="23"/>
        <x:v>1055595.475917676</x:v>
      </x:c>
      <x:c r="J107" s="36"/>
      <x:c r="K107" s="34">
        <x:v>1984764.72</x:v>
      </x:c>
      <x:c r="L107" s="36"/>
      <x:c r="M107" s="36"/>
      <x:c r="N107" s="37"/>
      <x:c r="O107" s="36"/>
      <x:c r="P107" s="30">
        <x:f t="shared" si="24"/>
        <x:v>1055595.475917676</x:v>
      </x:c>
      <x:c r="Q107" s="31">
        <x:f t="shared" si="25"/>
        <x:v>0</x:v>
      </x:c>
      <x:c r="R107" s="31">
        <x:f t="shared" si="26"/>
        <x:v>0</x:v>
      </x:c>
      <x:c r="S107" s="32">
        <x:f t="shared" si="27"/>
        <x:v>0</x:v>
      </x:c>
      <x:c r="T107" s="4">
        <x:f t="shared" si="28"/>
        <x:v>0</x:v>
      </x:c>
    </x:row>
    <x:row r="108" spans="1:20" outlineLevel="2" x14ac:dyDescent="0.25">
      <x:c r="A108" s="19" t="s">
        <x:v>46</x:v>
      </x:c>
      <x:c r="B108" s="21" t="s">
        <x:v>16</x:v>
      </x:c>
      <x:c r="C108" s="19">
        <x:f t="shared" si="29"/>
        <x:v>3.5</x:v>
      </x:c>
      <x:c r="D108" s="20">
        <x:v>-4276.43</x:v>
      </x:c>
      <x:c r="E108" s="35">
        <x:v>8</x:v>
      </x:c>
      <x:c r="F108" s="35">
        <x:v>5.0554050000000004</x:v>
      </x:c>
      <x:c r="G108" s="21">
        <x:f t="shared" si="30"/>
        <x:v>-1574.0442994812499</x:v>
      </x:c>
      <x:c r="H108" s="35">
        <x:v>1.4449502861937471</x:v>
      </x:c>
      <x:c r="I108" s="36">
        <x:f t="shared" si="23"/>
        <x:v>-2274.4157610170682</x:v>
      </x:c>
      <x:c r="J108" s="36"/>
      <x:c r="K108" s="34">
        <x:v>-4276.43</x:v>
      </x:c>
      <x:c r="L108" s="36"/>
      <x:c r="M108" s="36"/>
      <x:c r="N108" s="37"/>
      <x:c r="O108" s="36"/>
      <x:c r="P108" s="30">
        <x:f t="shared" si="24"/>
        <x:v>-2274.4157610170682</x:v>
      </x:c>
      <x:c r="Q108" s="31">
        <x:f t="shared" si="25"/>
        <x:v>0</x:v>
      </x:c>
      <x:c r="R108" s="31">
        <x:f t="shared" si="26"/>
        <x:v>0</x:v>
      </x:c>
      <x:c r="S108" s="32">
        <x:f t="shared" si="27"/>
        <x:v>0</x:v>
      </x:c>
      <x:c r="T108" s="4">
        <x:f t="shared" si="28"/>
        <x:v>0</x:v>
      </x:c>
    </x:row>
    <x:row r="109" spans="1:20" outlineLevel="2" x14ac:dyDescent="0.25">
      <x:c r="A109" s="19" t="s">
        <x:v>46</x:v>
      </x:c>
      <x:c r="B109" s="21" t="s">
        <x:v>16</x:v>
      </x:c>
      <x:c r="C109" s="19">
        <x:f t="shared" si="29"/>
        <x:v>3.5</x:v>
      </x:c>
      <x:c r="D109" s="20">
        <x:v>4098.5200000000004</x:v>
      </x:c>
      <x:c r="E109" s="35">
        <x:v>8</x:v>
      </x:c>
      <x:c r="F109" s="35">
        <x:v>5.0554050000000004</x:v>
      </x:c>
      <x:c r="G109" s="21">
        <x:f t="shared" si="30"/>
        <x:v>1508.5601874249999</x:v>
      </x:c>
      <x:c r="H109" s="35">
        <x:v>1.4449502861937471</x:v>
      </x:c>
      <x:c r="I109" s="36">
        <x:f t="shared" si="23"/>
        <x:v>2179.7944745602463</x:v>
      </x:c>
      <x:c r="J109" s="36"/>
      <x:c r="K109" s="34">
        <x:v>4098.5200000000004</x:v>
      </x:c>
      <x:c r="L109" s="36"/>
      <x:c r="M109" s="36"/>
      <x:c r="N109" s="37"/>
      <x:c r="O109" s="36"/>
      <x:c r="P109" s="30">
        <x:f t="shared" si="24"/>
        <x:v>2179.7944745602463</x:v>
      </x:c>
      <x:c r="Q109" s="31">
        <x:f t="shared" si="25"/>
        <x:v>0</x:v>
      </x:c>
      <x:c r="R109" s="31">
        <x:f t="shared" si="26"/>
        <x:v>0</x:v>
      </x:c>
      <x:c r="S109" s="32">
        <x:f t="shared" si="27"/>
        <x:v>0</x:v>
      </x:c>
      <x:c r="T109" s="4">
        <x:f t="shared" si="28"/>
        <x:v>0</x:v>
      </x:c>
    </x:row>
    <x:row r="110" spans="1:20" outlineLevel="2" x14ac:dyDescent="0.25">
      <x:c r="A110" s="19" t="s">
        <x:v>46</x:v>
      </x:c>
      <x:c r="B110" s="21" t="s">
        <x:v>16</x:v>
      </x:c>
      <x:c r="C110" s="19">
        <x:f t="shared" si="29"/>
        <x:v>3.5</x:v>
      </x:c>
      <x:c r="D110" s="20">
        <x:v>898224.93</x:v>
      </x:c>
      <x:c r="E110" s="35">
        <x:v>8</x:v>
      </x:c>
      <x:c r="F110" s="35">
        <x:v>5.0554050000000004</x:v>
      </x:c>
      <x:c r="G110" s="21">
        <x:f t="shared" si="30"/>
        <x:v>330613.57971916872</x:v>
      </x:c>
      <x:c r="H110" s="35">
        <x:v>1.4449502861937471</x:v>
      </x:c>
      <x:c r="I110" s="36">
        <x:f t="shared" si="23"/>
        <x:v>477720.18663475208</x:v>
      </x:c>
      <x:c r="J110" s="36"/>
      <x:c r="K110" s="34">
        <x:v>898224.93</x:v>
      </x:c>
      <x:c r="L110" s="36"/>
      <x:c r="M110" s="36"/>
      <x:c r="N110" s="37"/>
      <x:c r="O110" s="36"/>
      <x:c r="P110" s="30">
        <x:f t="shared" si="24"/>
        <x:v>477720.18663475208</x:v>
      </x:c>
      <x:c r="Q110" s="31">
        <x:f t="shared" si="25"/>
        <x:v>0</x:v>
      </x:c>
      <x:c r="R110" s="31">
        <x:f t="shared" si="26"/>
        <x:v>0</x:v>
      </x:c>
      <x:c r="S110" s="32">
        <x:f t="shared" si="27"/>
        <x:v>0</x:v>
      </x:c>
      <x:c r="T110" s="4">
        <x:f t="shared" si="28"/>
        <x:v>0</x:v>
      </x:c>
    </x:row>
    <x:row r="111" spans="1:20" outlineLevel="2" x14ac:dyDescent="0.25">
      <x:c r="A111" s="19" t="s">
        <x:v>46</x:v>
      </x:c>
      <x:c r="B111" s="21" t="s">
        <x:v>16</x:v>
      </x:c>
      <x:c r="C111" s="19">
        <x:f t="shared" si="29"/>
        <x:v>3.5</x:v>
      </x:c>
      <x:c r="D111" s="20">
        <x:v>3244650.34</x:v>
      </x:c>
      <x:c r="E111" s="35">
        <x:v>8</x:v>
      </x:c>
      <x:c r="F111" s="35">
        <x:v>5.0554050000000004</x:v>
      </x:c>
      <x:c r="G111" s="21">
        <x:f t="shared" si="30"/>
        <x:v>1194272.6459890374</x:v>
      </x:c>
      <x:c r="H111" s="35">
        <x:v>1.4449502861937471</x:v>
      </x:c>
      <x:c r="I111" s="36">
        <x:f t="shared" si="23"/>
        <x:v>1725664.6016152231</x:v>
      </x:c>
      <x:c r="J111" s="36"/>
      <x:c r="K111" s="34">
        <x:v>3244650.34</x:v>
      </x:c>
      <x:c r="L111" s="36"/>
      <x:c r="M111" s="36"/>
      <x:c r="N111" s="37"/>
      <x:c r="O111" s="36"/>
      <x:c r="P111" s="30">
        <x:f t="shared" si="24"/>
        <x:v>1725664.6016152231</x:v>
      </x:c>
      <x:c r="Q111" s="31">
        <x:f t="shared" si="25"/>
        <x:v>0</x:v>
      </x:c>
      <x:c r="R111" s="31">
        <x:f t="shared" si="26"/>
        <x:v>0</x:v>
      </x:c>
      <x:c r="S111" s="32">
        <x:f t="shared" si="27"/>
        <x:v>0</x:v>
      </x:c>
      <x:c r="T111" s="4">
        <x:f t="shared" si="28"/>
        <x:v>0</x:v>
      </x:c>
    </x:row>
    <x:row r="112" spans="1:20" outlineLevel="2" x14ac:dyDescent="0.25">
      <x:c r="A112" s="19" t="s">
        <x:v>46</x:v>
      </x:c>
      <x:c r="B112" s="21" t="s">
        <x:v>16</x:v>
      </x:c>
      <x:c r="C112" s="19">
        <x:f t="shared" si="29"/>
        <x:v>3.5</x:v>
      </x:c>
      <x:c r="D112" s="20">
        <x:v>461824.82</x:v>
      </x:c>
      <x:c r="E112" s="35">
        <x:v>8</x:v>
      </x:c>
      <x:c r="F112" s="35">
        <x:v>5.0554050000000004</x:v>
      </x:c>
      <x:c r="G112" s="21">
        <x:f t="shared" si="30"/>
        <x:v>169985.88198098747</x:v>
      </x:c>
      <x:c r="H112" s="35">
        <x:v>1.4449502861937471</x:v>
      </x:c>
      <x:c r="I112" s="36">
        <x:f t="shared" si="23"/>
        <x:v>245621.14881732437</x:v>
      </x:c>
      <x:c r="J112" s="36"/>
      <x:c r="K112" s="34">
        <x:v>461824.82</x:v>
      </x:c>
      <x:c r="L112" s="36"/>
      <x:c r="M112" s="36"/>
      <x:c r="N112" s="37"/>
      <x:c r="O112" s="36"/>
      <x:c r="P112" s="30">
        <x:f t="shared" si="24"/>
        <x:v>245621.14881732437</x:v>
      </x:c>
      <x:c r="Q112" s="31">
        <x:f t="shared" si="25"/>
        <x:v>0</x:v>
      </x:c>
      <x:c r="R112" s="31">
        <x:f t="shared" si="26"/>
        <x:v>0</x:v>
      </x:c>
      <x:c r="S112" s="32">
        <x:f t="shared" si="27"/>
        <x:v>0</x:v>
      </x:c>
      <x:c r="T112" s="4">
        <x:f t="shared" si="28"/>
        <x:v>0</x:v>
      </x:c>
    </x:row>
    <x:row r="113" spans="1:20" outlineLevel="2" x14ac:dyDescent="0.25">
      <x:c r="A113" s="19" t="s">
        <x:v>46</x:v>
      </x:c>
      <x:c r="B113" s="21" t="s">
        <x:v>16</x:v>
      </x:c>
      <x:c r="C113" s="19">
        <x:f t="shared" si="29"/>
        <x:v>3.5</x:v>
      </x:c>
      <x:c r="D113" s="20">
        <x:v>336421.13</x:v>
      </x:c>
      <x:c r="E113" s="35">
        <x:v>8</x:v>
      </x:c>
      <x:c r="F113" s="35">
        <x:v>5.0554050000000004</x:v>
      </x:c>
      <x:c r="G113" s="21">
        <x:f t="shared" si="30"/>
        <x:v>123827.99716154374</x:v>
      </x:c>
      <x:c r="H113" s="35">
        <x:v>1.4449502861937471</x:v>
      </x:c>
      <x:c r="I113" s="36">
        <x:f t="shared" si="23"/>
        <x:v>178925.29993737114</x:v>
      </x:c>
      <x:c r="J113" s="36"/>
      <x:c r="K113" s="34">
        <x:v>336421.13</x:v>
      </x:c>
      <x:c r="L113" s="36"/>
      <x:c r="M113" s="36"/>
      <x:c r="N113" s="37"/>
      <x:c r="O113" s="36"/>
      <x:c r="P113" s="30">
        <x:f t="shared" si="24"/>
        <x:v>178925.29993737114</x:v>
      </x:c>
      <x:c r="Q113" s="31">
        <x:f t="shared" si="25"/>
        <x:v>0</x:v>
      </x:c>
      <x:c r="R113" s="31">
        <x:f t="shared" si="26"/>
        <x:v>0</x:v>
      </x:c>
      <x:c r="S113" s="32">
        <x:f t="shared" si="27"/>
        <x:v>0</x:v>
      </x:c>
      <x:c r="T113" s="4">
        <x:f t="shared" si="28"/>
        <x:v>0</x:v>
      </x:c>
    </x:row>
    <x:row r="114" spans="1:20" outlineLevel="2" x14ac:dyDescent="0.25">
      <x:c r="A114" s="19" t="s">
        <x:v>46</x:v>
      </x:c>
      <x:c r="B114" s="21" t="s">
        <x:v>16</x:v>
      </x:c>
      <x:c r="C114" s="19">
        <x:f t="shared" si="29"/>
        <x:v>3.5</x:v>
      </x:c>
      <x:c r="D114" s="20">
        <x:v>478658.28</x:v>
      </x:c>
      <x:c r="E114" s="35">
        <x:v>8</x:v>
      </x:c>
      <x:c r="F114" s="35">
        <x:v>5.0554050000000004</x:v>
      </x:c>
      <x:c r="G114" s="21">
        <x:f t="shared" si="30"/>
        <x:v>176181.84724957499</x:v>
      </x:c>
      <x:c r="H114" s="35">
        <x:v>1.4449502861937471</x:v>
      </x:c>
      <x:c r="I114" s="36">
        <x:f t="shared" si="23"/>
        <x:v>254574.01060541641</x:v>
      </x:c>
      <x:c r="J114" s="36"/>
      <x:c r="K114" s="34">
        <x:v>478658.28</x:v>
      </x:c>
      <x:c r="L114" s="36"/>
      <x:c r="M114" s="36"/>
      <x:c r="N114" s="37"/>
      <x:c r="O114" s="36"/>
      <x:c r="P114" s="30">
        <x:f t="shared" si="24"/>
        <x:v>254574.01060541641</x:v>
      </x:c>
      <x:c r="Q114" s="31">
        <x:f t="shared" si="25"/>
        <x:v>0</x:v>
      </x:c>
      <x:c r="R114" s="31">
        <x:f t="shared" si="26"/>
        <x:v>0</x:v>
      </x:c>
      <x:c r="S114" s="32">
        <x:f t="shared" si="27"/>
        <x:v>0</x:v>
      </x:c>
      <x:c r="T114" s="4">
        <x:f t="shared" si="28"/>
        <x:v>0</x:v>
      </x:c>
    </x:row>
    <x:row r="115" spans="1:20" outlineLevel="2" x14ac:dyDescent="0.25">
      <x:c r="A115" s="19" t="s">
        <x:v>46</x:v>
      </x:c>
      <x:c r="B115" s="21" t="s">
        <x:v>16</x:v>
      </x:c>
      <x:c r="C115" s="19">
        <x:f t="shared" si="29"/>
        <x:v>3.5</x:v>
      </x:c>
      <x:c r="D115" s="20">
        <x:v>1367803.44</x:v>
      </x:c>
      <x:c r="E115" s="35">
        <x:v>8</x:v>
      </x:c>
      <x:c r="F115" s="35">
        <x:v>5.0554050000000004</x:v>
      </x:c>
      <x:c r="G115" s="21">
        <x:f t="shared" si="30"/>
        <x:v>503453.39630084991</x:v>
      </x:c>
      <x:c r="H115" s="35">
        <x:v>1.4449502861937471</x:v>
      </x:c>
      <x:c r="I115" s="36">
        <x:f t="shared" si="23"/>
        <x:v>727465.12907012703</x:v>
      </x:c>
      <x:c r="J115" s="36"/>
      <x:c r="K115" s="34">
        <x:v>1367803.44</x:v>
      </x:c>
      <x:c r="L115" s="36"/>
      <x:c r="M115" s="36"/>
      <x:c r="N115" s="37"/>
      <x:c r="O115" s="36"/>
      <x:c r="P115" s="30">
        <x:f t="shared" ref="P115:P133" si="31">+$I115*K115/$D115</x:f>
        <x:v>727465.12907012703</x:v>
      </x:c>
      <x:c r="Q115" s="31">
        <x:f t="shared" ref="Q115:Q133" si="32">+$I115*L115/$D115</x:f>
        <x:v>0</x:v>
      </x:c>
      <x:c r="R115" s="31">
        <x:f t="shared" ref="R115:R133" si="33">+$I115*M115/$D115</x:f>
        <x:v>0</x:v>
      </x:c>
      <x:c r="S115" s="32">
        <x:f t="shared" ref="S115:S133" si="34">+$I115*N115/$D115</x:f>
        <x:v>0</x:v>
      </x:c>
      <x:c r="T115" s="4">
        <x:f t="shared" ref="T115:T132" si="35">+I115-SUM(P115:S115)</x:f>
        <x:v>0</x:v>
      </x:c>
    </x:row>
    <x:row r="116" spans="1:20" outlineLevel="2" x14ac:dyDescent="0.25">
      <x:c r="A116" s="19" t="s">
        <x:v>46</x:v>
      </x:c>
      <x:c r="B116" s="21" t="s">
        <x:v>16</x:v>
      </x:c>
      <x:c r="C116" s="19">
        <x:f t="shared" si="29"/>
        <x:v>3.5</x:v>
      </x:c>
      <x:c r="D116" s="20">
        <x:v>320941.92</x:v>
      </x:c>
      <x:c r="E116" s="35">
        <x:v>8</x:v>
      </x:c>
      <x:c r="F116" s="35">
        <x:v>5.0554050000000004</x:v>
      </x:c>
      <x:c r="G116" s="21">
        <x:f t="shared" si="30"/>
        <x:v>118130.49661529998</x:v>
      </x:c>
      <x:c r="H116" s="35">
        <x:v>1.4449502861937471</x:v>
      </x:c>
      <x:c r="I116" s="36">
        <x:f t="shared" si="23"/>
        <x:v>170692.6948924872</x:v>
      </x:c>
      <x:c r="J116" s="36"/>
      <x:c r="K116" s="34">
        <x:v>320941.92</x:v>
      </x:c>
      <x:c r="L116" s="36"/>
      <x:c r="M116" s="36"/>
      <x:c r="N116" s="37"/>
      <x:c r="O116" s="36"/>
      <x:c r="P116" s="30">
        <x:f t="shared" si="31"/>
        <x:v>170692.6948924872</x:v>
      </x:c>
      <x:c r="Q116" s="31">
        <x:f t="shared" si="32"/>
        <x:v>0</x:v>
      </x:c>
      <x:c r="R116" s="31">
        <x:f t="shared" si="33"/>
        <x:v>0</x:v>
      </x:c>
      <x:c r="S116" s="32">
        <x:f t="shared" si="34"/>
        <x:v>0</x:v>
      </x:c>
      <x:c r="T116" s="4">
        <x:f t="shared" si="35"/>
        <x:v>0</x:v>
      </x:c>
    </x:row>
    <x:row r="117" spans="1:20" outlineLevel="2" x14ac:dyDescent="0.25">
      <x:c r="A117" s="19" t="s">
        <x:v>46</x:v>
      </x:c>
      <x:c r="B117" s="21" t="s">
        <x:v>16</x:v>
      </x:c>
      <x:c r="C117" s="19">
        <x:f t="shared" si="29"/>
        <x:v>3.5</x:v>
      </x:c>
      <x:c r="D117" s="20">
        <x:v>695905.29</x:v>
      </x:c>
      <x:c r="E117" s="35">
        <x:v>8</x:v>
      </x:c>
      <x:c r="F117" s="35">
        <x:v>5.0554050000000004</x:v>
      </x:c>
      <x:c r="G117" s="21">
        <x:f t="shared" si="30"/>
        <x:v>256144.90467594372</x:v>
      </x:c>
      <x:c r="H117" s="35">
        <x:v>1.4449502861937471</x:v>
      </x:c>
      <x:c r="I117" s="36">
        <x:f t="shared" si="23"/>
        <x:v>370116.65331857494</x:v>
      </x:c>
      <x:c r="J117" s="36"/>
      <x:c r="K117" s="34">
        <x:v>695905.29</x:v>
      </x:c>
      <x:c r="L117" s="36"/>
      <x:c r="M117" s="36"/>
      <x:c r="N117" s="37"/>
      <x:c r="O117" s="36"/>
      <x:c r="P117" s="30">
        <x:f t="shared" si="31"/>
        <x:v>370116.65331857494</x:v>
      </x:c>
      <x:c r="Q117" s="31">
        <x:f t="shared" si="32"/>
        <x:v>0</x:v>
      </x:c>
      <x:c r="R117" s="31">
        <x:f t="shared" si="33"/>
        <x:v>0</x:v>
      </x:c>
      <x:c r="S117" s="32">
        <x:f t="shared" si="34"/>
        <x:v>0</x:v>
      </x:c>
      <x:c r="T117" s="4">
        <x:f t="shared" si="35"/>
        <x:v>0</x:v>
      </x:c>
    </x:row>
    <x:row r="118" spans="1:20" outlineLevel="2" x14ac:dyDescent="0.25">
      <x:c r="A118" s="19" t="s">
        <x:v>46</x:v>
      </x:c>
      <x:c r="B118" s="21" t="s">
        <x:v>15</x:v>
      </x:c>
      <x:c r="C118" s="19">
        <x:f t="shared" si="29"/>
        <x:v>4.5</x:v>
      </x:c>
      <x:c r="D118" s="20">
        <x:v>1568452.05</x:v>
      </x:c>
      <x:c r="E118" s="35">
        <x:v>8</x:v>
      </x:c>
      <x:c r="F118" s="35">
        <x:v>4.3171759999999999</x:v>
      </x:c>
      <x:c r="G118" s="21">
        <x:f t="shared" si="30"/>
        <x:v>722041.60657365003</x:v>
      </x:c>
      <x:c r="H118" s="35">
        <x:v>1.4449502861937471</x:v>
      </x:c>
      <x:c r="I118" s="36">
        <x:f t="shared" si="23"/>
        <x:v>1043314.2260623885</x:v>
      </x:c>
      <x:c r="J118" s="36"/>
      <x:c r="K118" s="34">
        <x:v>1568452.05</x:v>
      </x:c>
      <x:c r="L118" s="36"/>
      <x:c r="M118" s="36"/>
      <x:c r="N118" s="37"/>
      <x:c r="O118" s="36"/>
      <x:c r="P118" s="30">
        <x:f t="shared" si="31"/>
        <x:v>1043314.2260623885</x:v>
      </x:c>
      <x:c r="Q118" s="31">
        <x:f t="shared" si="32"/>
        <x:v>0</x:v>
      </x:c>
      <x:c r="R118" s="31">
        <x:f t="shared" si="33"/>
        <x:v>0</x:v>
      </x:c>
      <x:c r="S118" s="32">
        <x:f t="shared" si="34"/>
        <x:v>0</x:v>
      </x:c>
      <x:c r="T118" s="4">
        <x:f t="shared" si="35"/>
        <x:v>0</x:v>
      </x:c>
    </x:row>
    <x:row r="119" spans="1:20" outlineLevel="2" x14ac:dyDescent="0.25">
      <x:c r="A119" s="19" t="s">
        <x:v>46</x:v>
      </x:c>
      <x:c r="B119" s="21" t="s">
        <x:v>15</x:v>
      </x:c>
      <x:c r="C119" s="19">
        <x:f t="shared" si="29"/>
        <x:v>4.5</x:v>
      </x:c>
      <x:c r="D119" s="20">
        <x:v>-564.33000000000004</x:v>
      </x:c>
      <x:c r="E119" s="35">
        <x:v>8</x:v>
      </x:c>
      <x:c r="F119" s="35">
        <x:v>4.3171759999999999</x:v>
      </x:c>
      <x:c r="G119" s="21">
        <x:f t="shared" si="30"/>
        <x:v>-259.79100849000002</x:v>
      </x:c>
      <x:c r="H119" s="35">
        <x:v>1.4449502861937471</x:v>
      </x:c>
      <x:c r="I119" s="36">
        <x:f t="shared" si="23"/>
        <x:v>-375.3850920681877</x:v>
      </x:c>
      <x:c r="J119" s="36"/>
      <x:c r="K119" s="34">
        <x:v>-564.33000000000004</x:v>
      </x:c>
      <x:c r="L119" s="36"/>
      <x:c r="M119" s="36"/>
      <x:c r="N119" s="37"/>
      <x:c r="O119" s="36"/>
      <x:c r="P119" s="30">
        <x:f t="shared" si="31"/>
        <x:v>-375.3850920681877</x:v>
      </x:c>
      <x:c r="Q119" s="31">
        <x:f t="shared" si="32"/>
        <x:v>0</x:v>
      </x:c>
      <x:c r="R119" s="31">
        <x:f t="shared" si="33"/>
        <x:v>0</x:v>
      </x:c>
      <x:c r="S119" s="32">
        <x:f t="shared" si="34"/>
        <x:v>0</x:v>
      </x:c>
      <x:c r="T119" s="4">
        <x:f t="shared" si="35"/>
        <x:v>0</x:v>
      </x:c>
    </x:row>
    <x:row r="120" spans="1:20" outlineLevel="2" x14ac:dyDescent="0.25">
      <x:c r="A120" s="19" t="s">
        <x:v>46</x:v>
      </x:c>
      <x:c r="B120" s="21" t="s">
        <x:v>15</x:v>
      </x:c>
      <x:c r="C120" s="19">
        <x:f t="shared" si="29"/>
        <x:v>4.5</x:v>
      </x:c>
      <x:c r="D120" s="20">
        <x:v>-18820.060000000001</x:v>
      </x:c>
      <x:c r="E120" s="35">
        <x:v>8</x:v>
      </x:c>
      <x:c r="F120" s="35">
        <x:v>4.3171759999999999</x:v>
      </x:c>
      <x:c r="G120" s="21">
        <x:f t="shared" si="30"/>
        <x:v>-8663.8710811800011</x:v>
      </x:c>
      <x:c r="H120" s="35">
        <x:v>1.4449502861937471</x:v>
      </x:c>
      <x:c r="I120" s="36">
        <x:f t="shared" si="23"/>
        <x:v>-12518.862998296772</x:v>
      </x:c>
      <x:c r="J120" s="36"/>
      <x:c r="K120" s="34">
        <x:v>-18820.060000000001</x:v>
      </x:c>
      <x:c r="L120" s="36"/>
      <x:c r="M120" s="36"/>
      <x:c r="N120" s="37"/>
      <x:c r="O120" s="36"/>
      <x:c r="P120" s="30">
        <x:f t="shared" si="31"/>
        <x:v>-12518.862998296772</x:v>
      </x:c>
      <x:c r="Q120" s="31">
        <x:f t="shared" si="32"/>
        <x:v>0</x:v>
      </x:c>
      <x:c r="R120" s="31">
        <x:f t="shared" si="33"/>
        <x:v>0</x:v>
      </x:c>
      <x:c r="S120" s="32">
        <x:f t="shared" si="34"/>
        <x:v>0</x:v>
      </x:c>
      <x:c r="T120" s="4">
        <x:f t="shared" si="35"/>
        <x:v>0</x:v>
      </x:c>
    </x:row>
    <x:row r="121" spans="1:20" outlineLevel="2" x14ac:dyDescent="0.25">
      <x:c r="A121" s="19" t="s">
        <x:v>46</x:v>
      </x:c>
      <x:c r="B121" s="21" t="s">
        <x:v>15</x:v>
      </x:c>
      <x:c r="C121" s="19">
        <x:f t="shared" si="29"/>
        <x:v>4.5</x:v>
      </x:c>
      <x:c r="D121" s="20">
        <x:v>3145771.06</x:v>
      </x:c>
      <x:c r="E121" s="35">
        <x:v>8</x:v>
      </x:c>
      <x:c r="F121" s="35">
        <x:v>4.3171759999999999</x:v>
      </x:c>
      <x:c r="G121" s="21">
        <x:f t="shared" si="30"/>
        <x:v>1448165.14478418</x:v>
      </x:c>
      <x:c r="H121" s="35">
        <x:v>1.4449502861937471</x:v>
      </x:c>
      <x:c r="I121" s="36">
        <x:f t="shared" si="23"/>
        <x:v>2092526.6404117101</x:v>
      </x:c>
      <x:c r="J121" s="36"/>
      <x:c r="K121" s="34">
        <x:v>3145771.06</x:v>
      </x:c>
      <x:c r="L121" s="36"/>
      <x:c r="M121" s="36"/>
      <x:c r="N121" s="37"/>
      <x:c r="O121" s="36"/>
      <x:c r="P121" s="30">
        <x:f t="shared" si="31"/>
        <x:v>2092526.6404117101</x:v>
      </x:c>
      <x:c r="Q121" s="31">
        <x:f t="shared" si="32"/>
        <x:v>0</x:v>
      </x:c>
      <x:c r="R121" s="31">
        <x:f t="shared" si="33"/>
        <x:v>0</x:v>
      </x:c>
      <x:c r="S121" s="32">
        <x:f t="shared" si="34"/>
        <x:v>0</x:v>
      </x:c>
      <x:c r="T121" s="4">
        <x:f t="shared" si="35"/>
        <x:v>0</x:v>
      </x:c>
    </x:row>
    <x:row r="122" spans="1:20" outlineLevel="2" x14ac:dyDescent="0.25">
      <x:c r="A122" s="19" t="s">
        <x:v>46</x:v>
      </x:c>
      <x:c r="B122" s="21" t="s">
        <x:v>15</x:v>
      </x:c>
      <x:c r="C122" s="19">
        <x:f t="shared" si="29"/>
        <x:v>4.5</x:v>
      </x:c>
      <x:c r="D122" s="20">
        <x:v>2320667.19</x:v>
      </x:c>
      <x:c r="E122" s="35">
        <x:v>8</x:v>
      </x:c>
      <x:c r="F122" s="35">
        <x:v>4.3171759999999999</x:v>
      </x:c>
      <x:c r="G122" s="21">
        <x:f t="shared" si="30"/>
        <x:v>1068326.10291807</x:v>
      </x:c>
      <x:c r="H122" s="35">
        <x:v>1.4449502861937471</x:v>
      </x:c>
      <x:c r="I122" s="36">
        <x:f t="shared" si="23"/>
        <x:v>1543678.1081597158</x:v>
      </x:c>
      <x:c r="J122" s="36"/>
      <x:c r="K122" s="34">
        <x:v>2320667.19</x:v>
      </x:c>
      <x:c r="L122" s="36"/>
      <x:c r="M122" s="36"/>
      <x:c r="N122" s="37"/>
      <x:c r="O122" s="36"/>
      <x:c r="P122" s="30">
        <x:f t="shared" si="31"/>
        <x:v>1543678.1081597158</x:v>
      </x:c>
      <x:c r="Q122" s="31">
        <x:f t="shared" si="32"/>
        <x:v>0</x:v>
      </x:c>
      <x:c r="R122" s="31">
        <x:f t="shared" si="33"/>
        <x:v>0</x:v>
      </x:c>
      <x:c r="S122" s="32">
        <x:f t="shared" si="34"/>
        <x:v>0</x:v>
      </x:c>
      <x:c r="T122" s="4">
        <x:f t="shared" si="35"/>
        <x:v>0</x:v>
      </x:c>
    </x:row>
    <x:row r="123" spans="1:20" outlineLevel="2" x14ac:dyDescent="0.25">
      <x:c r="A123" s="19" t="s">
        <x:v>46</x:v>
      </x:c>
      <x:c r="B123" s="21" t="s">
        <x:v>14</x:v>
      </x:c>
      <x:c r="C123" s="19">
        <x:f t="shared" si="29"/>
        <x:v>5.5</x:v>
      </x:c>
      <x:c r="D123" s="20">
        <x:v>1304040.53</x:v>
      </x:c>
      <x:c r="E123" s="35">
        <x:v>8</x:v>
      </x:c>
      <x:c r="F123" s="35">
        <x:v>3.63625</x:v>
      </x:c>
      <x:c r="G123" s="21">
        <x:f t="shared" si="30"/>
        <x:v>711313.3578484375</x:v>
      </x:c>
      <x:c r="H123" s="35">
        <x:v>1.4449502861937471</x:v>
      </x:c>
      <x:c r="I123" s="36">
        <x:f t="shared" si="23"/>
        <x:v>1027812.439996535</x:v>
      </x:c>
      <x:c r="J123" s="36"/>
      <x:c r="K123" s="34">
        <x:v>1304040.53</x:v>
      </x:c>
      <x:c r="L123" s="36"/>
      <x:c r="M123" s="36"/>
      <x:c r="N123" s="37"/>
      <x:c r="O123" s="36"/>
      <x:c r="P123" s="30">
        <x:f t="shared" si="31"/>
        <x:v>1027812.4399965348</x:v>
      </x:c>
      <x:c r="Q123" s="31">
        <x:f t="shared" si="32"/>
        <x:v>0</x:v>
      </x:c>
      <x:c r="R123" s="31">
        <x:f t="shared" si="33"/>
        <x:v>0</x:v>
      </x:c>
      <x:c r="S123" s="32">
        <x:f t="shared" si="34"/>
        <x:v>0</x:v>
      </x:c>
      <x:c r="T123" s="4">
        <x:f t="shared" si="35"/>
        <x:v>0</x:v>
      </x:c>
    </x:row>
    <x:row r="124" spans="1:20" outlineLevel="2" x14ac:dyDescent="0.25">
      <x:c r="A124" s="19" t="s">
        <x:v>46</x:v>
      </x:c>
      <x:c r="B124" s="21" t="s">
        <x:v>14</x:v>
      </x:c>
      <x:c r="C124" s="19">
        <x:f t="shared" si="29"/>
        <x:v>5.5</x:v>
      </x:c>
      <x:c r="D124" s="20">
        <x:v>25717.85</x:v>
      </x:c>
      <x:c r="E124" s="35">
        <x:v>8</x:v>
      </x:c>
      <x:c r="F124" s="35">
        <x:v>3.63625</x:v>
      </x:c>
      <x:c r="G124" s="21">
        <x:f t="shared" si="30"/>
        <x:v>14028.283492187498</x:v>
      </x:c>
      <x:c r="H124" s="35">
        <x:v>1.4449502861937471</x:v>
      </x:c>
      <x:c r="I124" s="36">
        <x:f t="shared" si="23"/>
        <x:v>20270.172246843344</x:v>
      </x:c>
      <x:c r="J124" s="36"/>
      <x:c r="K124" s="34">
        <x:v>25717.85</x:v>
      </x:c>
      <x:c r="L124" s="36"/>
      <x:c r="M124" s="36"/>
      <x:c r="N124" s="37"/>
      <x:c r="O124" s="36"/>
      <x:c r="P124" s="30">
        <x:f t="shared" si="31"/>
        <x:v>20270.172246843344</x:v>
      </x:c>
      <x:c r="Q124" s="31">
        <x:f t="shared" si="32"/>
        <x:v>0</x:v>
      </x:c>
      <x:c r="R124" s="31">
        <x:f t="shared" si="33"/>
        <x:v>0</x:v>
      </x:c>
      <x:c r="S124" s="32">
        <x:f t="shared" si="34"/>
        <x:v>0</x:v>
      </x:c>
      <x:c r="T124" s="4">
        <x:f t="shared" si="35"/>
        <x:v>0</x:v>
      </x:c>
    </x:row>
    <x:row r="125" spans="1:20" outlineLevel="2" x14ac:dyDescent="0.25">
      <x:c r="A125" s="19" t="s">
        <x:v>46</x:v>
      </x:c>
      <x:c r="B125" s="21" t="s">
        <x:v>14</x:v>
      </x:c>
      <x:c r="C125" s="19">
        <x:f t="shared" si="29"/>
        <x:v>5.5</x:v>
      </x:c>
      <x:c r="D125" s="20">
        <x:v>-360339.9</x:v>
      </x:c>
      <x:c r="E125" s="35">
        <x:v>8</x:v>
      </x:c>
      <x:c r="F125" s="35">
        <x:v>3.63625</x:v>
      </x:c>
      <x:c r="G125" s="21">
        <x:f t="shared" si="30"/>
        <x:v>-196554.154828125</x:v>
      </x:c>
      <x:c r="H125" s="35">
        <x:v>1.4449502861937471</x:v>
      </x:c>
      <x:c r="I125" s="36">
        <x:f t="shared" si="23"/>
        <x:v>-284010.98227146931</x:v>
      </x:c>
      <x:c r="J125" s="36"/>
      <x:c r="K125" s="34">
        <x:v>-360339.9</x:v>
      </x:c>
      <x:c r="L125" s="36"/>
      <x:c r="M125" s="36"/>
      <x:c r="N125" s="37"/>
      <x:c r="O125" s="36"/>
      <x:c r="P125" s="30">
        <x:f t="shared" si="31"/>
        <x:v>-284010.98227146931</x:v>
      </x:c>
      <x:c r="Q125" s="31">
        <x:f t="shared" si="32"/>
        <x:v>0</x:v>
      </x:c>
      <x:c r="R125" s="31">
        <x:f t="shared" si="33"/>
        <x:v>0</x:v>
      </x:c>
      <x:c r="S125" s="32">
        <x:f t="shared" si="34"/>
        <x:v>0</x:v>
      </x:c>
      <x:c r="T125" s="4">
        <x:f t="shared" si="35"/>
        <x:v>0</x:v>
      </x:c>
    </x:row>
    <x:row r="126" spans="1:20" outlineLevel="2" x14ac:dyDescent="0.25">
      <x:c r="A126" s="19" t="s">
        <x:v>46</x:v>
      </x:c>
      <x:c r="B126" s="21" t="s">
        <x:v>14</x:v>
      </x:c>
      <x:c r="C126" s="19">
        <x:f t="shared" si="29"/>
        <x:v>5.5</x:v>
      </x:c>
      <x:c r="D126" s="20">
        <x:v>146770.1</x:v>
      </x:c>
      <x:c r="E126" s="35">
        <x:v>8</x:v>
      </x:c>
      <x:c r="F126" s="35">
        <x:v>3.63625</x:v>
      </x:c>
      <x:c r="G126" s="21">
        <x:f t="shared" si="30"/>
        <x:v>80058.502984374994</x:v>
      </x:c>
      <x:c r="H126" s="35">
        <x:v>1.4449502861937471</x:v>
      </x:c>
      <x:c r="I126" s="36">
        <x:f t="shared" si="23"/>
        <x:v>115680.5567995156</x:v>
      </x:c>
      <x:c r="J126" s="36"/>
      <x:c r="K126" s="34">
        <x:v>146770.1</x:v>
      </x:c>
      <x:c r="L126" s="36"/>
      <x:c r="M126" s="36"/>
      <x:c r="N126" s="37"/>
      <x:c r="O126" s="36"/>
      <x:c r="P126" s="30">
        <x:f t="shared" si="31"/>
        <x:v>115680.5567995156</x:v>
      </x:c>
      <x:c r="Q126" s="31">
        <x:f t="shared" si="32"/>
        <x:v>0</x:v>
      </x:c>
      <x:c r="R126" s="31">
        <x:f t="shared" si="33"/>
        <x:v>0</x:v>
      </x:c>
      <x:c r="S126" s="32">
        <x:f t="shared" si="34"/>
        <x:v>0</x:v>
      </x:c>
      <x:c r="T126" s="4">
        <x:f t="shared" si="35"/>
        <x:v>0</x:v>
      </x:c>
    </x:row>
    <x:row r="127" spans="1:20" outlineLevel="2" x14ac:dyDescent="0.25">
      <x:c r="A127" s="19" t="s">
        <x:v>46</x:v>
      </x:c>
      <x:c r="B127" s="21" t="s">
        <x:v>14</x:v>
      </x:c>
      <x:c r="C127" s="19">
        <x:f t="shared" si="29"/>
        <x:v>5.5</x:v>
      </x:c>
      <x:c r="D127" s="20">
        <x:v>2285576.25</x:v>
      </x:c>
      <x:c r="E127" s="35">
        <x:v>8</x:v>
      </x:c>
      <x:c r="F127" s="35">
        <x:v>3.63625</x:v>
      </x:c>
      <x:c r="G127" s="21">
        <x:f t="shared" si="30"/>
        <x:v>1246710.4201171873</x:v>
      </x:c>
      <x:c r="H127" s="35">
        <x:v>1.4449502861937471</x:v>
      </x:c>
      <x:c r="I127" s="36">
        <x:f t="shared" si="23"/>
        <x:v>1801434.5783490564</x:v>
      </x:c>
      <x:c r="J127" s="36"/>
      <x:c r="K127" s="34">
        <x:v>2285576.25</x:v>
      </x:c>
      <x:c r="L127" s="36"/>
      <x:c r="M127" s="36"/>
      <x:c r="N127" s="37"/>
      <x:c r="O127" s="36"/>
      <x:c r="P127" s="30">
        <x:f t="shared" si="31"/>
        <x:v>1801434.5783490564</x:v>
      </x:c>
      <x:c r="Q127" s="31">
        <x:f t="shared" si="32"/>
        <x:v>0</x:v>
      </x:c>
      <x:c r="R127" s="31">
        <x:f t="shared" si="33"/>
        <x:v>0</x:v>
      </x:c>
      <x:c r="S127" s="32">
        <x:f t="shared" si="34"/>
        <x:v>0</x:v>
      </x:c>
      <x:c r="T127" s="4">
        <x:f t="shared" si="35"/>
        <x:v>0</x:v>
      </x:c>
    </x:row>
    <x:row r="128" spans="1:20" outlineLevel="2" x14ac:dyDescent="0.25">
      <x:c r="A128" s="19" t="s">
        <x:v>46</x:v>
      </x:c>
      <x:c r="B128" s="21" t="s">
        <x:v>13</x:v>
      </x:c>
      <x:c r="C128" s="19">
        <x:f t="shared" si="29"/>
        <x:v>6.5</x:v>
      </x:c>
      <x:c r="D128" s="20">
        <x:v>4666081.7300000004</x:v>
      </x:c>
      <x:c r="E128" s="35">
        <x:v>8</x:v>
      </x:c>
      <x:c r="F128" s="35">
        <x:v>3.0199639999999999</x:v>
      </x:c>
      <x:c r="G128" s="21">
        <x:f t="shared" si="30"/>
        <x:v>2904656.8742927853</x:v>
      </x:c>
      <x:c r="H128" s="35">
        <x:v>1.4449502861937471</x:v>
      </x:c>
      <x:c r="I128" s="36">
        <x:f t="shared" si="23"/>
        <x:v>4197084.7818039954</x:v>
      </x:c>
      <x:c r="J128" s="36"/>
      <x:c r="K128" s="34">
        <x:v>4666081.7300000004</x:v>
      </x:c>
      <x:c r="L128" s="36"/>
      <x:c r="M128" s="36"/>
      <x:c r="N128" s="37"/>
      <x:c r="O128" s="36"/>
      <x:c r="P128" s="30">
        <x:f t="shared" si="31"/>
        <x:v>4197084.7818039954</x:v>
      </x:c>
      <x:c r="Q128" s="31">
        <x:f t="shared" si="32"/>
        <x:v>0</x:v>
      </x:c>
      <x:c r="R128" s="31">
        <x:f t="shared" si="33"/>
        <x:v>0</x:v>
      </x:c>
      <x:c r="S128" s="32">
        <x:f t="shared" si="34"/>
        <x:v>0</x:v>
      </x:c>
      <x:c r="T128" s="4">
        <x:f t="shared" si="35"/>
        <x:v>0</x:v>
      </x:c>
    </x:row>
    <x:row r="129" spans="1:28" outlineLevel="2" x14ac:dyDescent="0.25">
      <x:c r="A129" s="19" t="s">
        <x:v>46</x:v>
      </x:c>
      <x:c r="B129" s="21" t="s">
        <x:v>13</x:v>
      </x:c>
      <x:c r="C129" s="19">
        <x:f t="shared" si="29"/>
        <x:v>6.5</x:v>
      </x:c>
      <x:c r="D129" s="20">
        <x:v>1655561.98</x:v>
      </x:c>
      <x:c r="E129" s="35">
        <x:v>8</x:v>
      </x:c>
      <x:c r="F129" s="35">
        <x:v>3.0199639999999999</x:v>
      </x:c>
      <x:c r="G129" s="21">
        <x:f t="shared" si="30"/>
        <x:v>1030594.78257891</x:v>
      </x:c>
      <x:c r="H129" s="35">
        <x:v>1.4449502861937471</x:v>
      </x:c>
      <x:c r="I129" s="36">
        <x:f t="shared" si="23"/>
        <x:v>1489158.2260371787</x:v>
      </x:c>
      <x:c r="J129" s="36"/>
      <x:c r="K129" s="34">
        <x:v>1655561.98</x:v>
      </x:c>
      <x:c r="L129" s="36"/>
      <x:c r="M129" s="36"/>
      <x:c r="N129" s="37"/>
      <x:c r="O129" s="36"/>
      <x:c r="P129" s="30">
        <x:f t="shared" si="31"/>
        <x:v>1489158.2260371787</x:v>
      </x:c>
      <x:c r="Q129" s="31">
        <x:f t="shared" si="32"/>
        <x:v>0</x:v>
      </x:c>
      <x:c r="R129" s="31">
        <x:f t="shared" si="33"/>
        <x:v>0</x:v>
      </x:c>
      <x:c r="S129" s="32">
        <x:f t="shared" si="34"/>
        <x:v>0</x:v>
      </x:c>
      <x:c r="T129" s="4">
        <x:f t="shared" si="35"/>
        <x:v>0</x:v>
      </x:c>
    </x:row>
    <x:row r="130" spans="1:28" outlineLevel="2" x14ac:dyDescent="0.25">
      <x:c r="A130" s="19" t="s">
        <x:v>46</x:v>
      </x:c>
      <x:c r="B130" s="21" t="s">
        <x:v>13</x:v>
      </x:c>
      <x:c r="C130" s="19">
        <x:f t="shared" si="29"/>
        <x:v>6.5</x:v>
      </x:c>
      <x:c r="D130" s="20">
        <x:v>9194400.7699999996</x:v>
      </x:c>
      <x:c r="E130" s="35">
        <x:v>8</x:v>
      </x:c>
      <x:c r="F130" s="35">
        <x:v>3.0199639999999999</x:v>
      </x:c>
      <x:c r="G130" s="21">
        <x:f t="shared" si="30"/>
        <x:v>5723555.8541284651</x:v>
      </x:c>
      <x:c r="H130" s="35">
        <x:v>1.4449502861937471</x:v>
      </x:c>
      <x:c r="I130" s="36">
        <x:f t="shared" si="23"/>
        <x:v>8270253.669468822</x:v>
      </x:c>
      <x:c r="J130" s="36"/>
      <x:c r="K130" s="34">
        <x:v>9194400.7699999996</x:v>
      </x:c>
      <x:c r="L130" s="36"/>
      <x:c r="M130" s="36"/>
      <x:c r="N130" s="37"/>
      <x:c r="O130" s="36"/>
      <x:c r="P130" s="30">
        <x:f t="shared" si="31"/>
        <x:v>8270253.669468821</x:v>
      </x:c>
      <x:c r="Q130" s="31">
        <x:f t="shared" si="32"/>
        <x:v>0</x:v>
      </x:c>
      <x:c r="R130" s="31">
        <x:f t="shared" si="33"/>
        <x:v>0</x:v>
      </x:c>
      <x:c r="S130" s="32">
        <x:f t="shared" si="34"/>
        <x:v>0</x:v>
      </x:c>
      <x:c r="T130" s="4">
        <x:f t="shared" si="35"/>
        <x:v>0</x:v>
      </x:c>
    </x:row>
    <x:row r="131" spans="1:28" outlineLevel="2" x14ac:dyDescent="0.25">
      <x:c r="A131" s="19" t="s">
        <x:v>46</x:v>
      </x:c>
      <x:c r="B131" s="21" t="s">
        <x:v>12</x:v>
      </x:c>
      <x:c r="C131" s="19">
        <x:f t="shared" si="29"/>
        <x:v>7.5</x:v>
      </x:c>
      <x:c r="D131" s="20">
        <x:v>3547.36</x:v>
      </x:c>
      <x:c r="E131" s="35">
        <x:v>8</x:v>
      </x:c>
      <x:c r="F131" s="35">
        <x:v>2.4752879999999999</x:v>
      </x:c>
      <x:c r="G131" s="21">
        <x:f t="shared" si="30"/>
        <x:v>2449.7677950400002</x:v>
      </x:c>
      <x:c r="H131" s="35">
        <x:v>1.4449502861937471</x:v>
      </x:c>
      <x:c r="I131" s="36">
        <x:f>+D131</x:f>
        <x:v>3547.36</x:v>
      </x:c>
      <x:c r="J131" s="36"/>
      <x:c r="K131" s="34">
        <x:v>3547.36</x:v>
      </x:c>
      <x:c r="L131" s="36"/>
      <x:c r="M131" s="36"/>
      <x:c r="N131" s="37"/>
      <x:c r="O131" s="36"/>
      <x:c r="P131" s="30">
        <x:f t="shared" si="31"/>
        <x:v>3547.36</x:v>
      </x:c>
      <x:c r="Q131" s="31">
        <x:f t="shared" si="32"/>
        <x:v>0</x:v>
      </x:c>
      <x:c r="R131" s="31">
        <x:f t="shared" si="33"/>
        <x:v>0</x:v>
      </x:c>
      <x:c r="S131" s="32">
        <x:f t="shared" si="34"/>
        <x:v>0</x:v>
      </x:c>
      <x:c r="T131" s="4">
        <x:f t="shared" si="35"/>
        <x:v>0</x:v>
      </x:c>
    </x:row>
    <x:row r="132" spans="1:28" outlineLevel="2" x14ac:dyDescent="0.25">
      <x:c r="A132" s="19" t="s">
        <x:v>46</x:v>
      </x:c>
      <x:c r="B132" s="21" t="s">
        <x:v>11</x:v>
      </x:c>
      <x:c r="C132" s="19">
        <x:f t="shared" si="29"/>
        <x:v>8.5</x:v>
      </x:c>
      <x:c r="D132" s="20">
        <x:v>267333.15999999997</x:v>
      </x:c>
      <x:c r="E132" s="35">
        <x:v>8</x:v>
      </x:c>
      <x:c r="F132" s="35">
        <x:v>2.0065409999999999</x:v>
      </x:c>
      <x:c r="G132" s="21">
        <x:f t="shared" si="30"/>
        <x:v>200281.29172505497</x:v>
      </x:c>
      <x:c r="H132" s="35">
        <x:v>1.4449502861937471</x:v>
      </x:c>
      <x:c r="I132" s="36">
        <x:f>+D132</x:f>
        <x:v>267333.15999999997</x:v>
      </x:c>
      <x:c r="J132" s="36"/>
      <x:c r="K132" s="34">
        <x:v>267333.15999999997</x:v>
      </x:c>
      <x:c r="L132" s="36"/>
      <x:c r="M132" s="36"/>
      <x:c r="N132" s="37"/>
      <x:c r="O132" s="36"/>
      <x:c r="P132" s="30">
        <x:f t="shared" si="31"/>
        <x:v>267333.15999999997</x:v>
      </x:c>
      <x:c r="Q132" s="31">
        <x:f t="shared" si="32"/>
        <x:v>0</x:v>
      </x:c>
      <x:c r="R132" s="31">
        <x:f t="shared" si="33"/>
        <x:v>0</x:v>
      </x:c>
      <x:c r="S132" s="32">
        <x:f t="shared" si="34"/>
        <x:v>0</x:v>
      </x:c>
      <x:c r="T132" s="4">
        <x:f t="shared" si="35"/>
        <x:v>0</x:v>
      </x:c>
    </x:row>
    <x:row r="133" spans="1:28" s="10" customFormat="1" outlineLevel="1" x14ac:dyDescent="0.25">
      <x:c r="A133" s="38" t="s">
        <x:v>46</x:v>
      </x:c>
      <x:c r="B133" s="44"/>
      <x:c r="C133" s="38"/>
      <x:c r="D133" s="17">
        <x:f>SUBTOTAL(9,D72:D132)</x:f>
        <x:v>73971237.159999996</x:v>
      </x:c>
      <x:c r="E133" s="55"/>
      <x:c r="F133" s="55"/>
      <x:c r="G133" s="44">
        <x:f>SUBTOTAL(9,G72:G132)</x:f>
        <x:v>24336339.437124621</x:v>
      </x:c>
      <x:c r="H133" s="55"/>
      <x:c r="I133" s="56">
        <x:f>SUBTOTAL(9,I72:I132)</x:f>
        <x:v>35142744.852107465</x:v>
      </x:c>
      <x:c r="J133" s="56"/>
      <x:c r="K133" s="50">
        <x:f>SUBTOTAL(9,K72:K132)</x:f>
        <x:v>73971237.159999996</x:v>
      </x:c>
      <x:c r="L133" s="56">
        <x:f>SUBTOTAL(9,L72:L132)</x:f>
        <x:v>0</x:v>
      </x:c>
      <x:c r="M133" s="56">
        <x:f>SUBTOTAL(9,M72:M132)</x:f>
        <x:v>0</x:v>
      </x:c>
      <x:c r="N133" s="57"/>
      <x:c r="O133" s="56"/>
      <x:c r="P133" s="47">
        <x:f t="shared" si="31"/>
        <x:v>35142744.852107465</x:v>
      </x:c>
      <x:c r="Q133" s="18">
        <x:f t="shared" si="32"/>
        <x:v>0</x:v>
      </x:c>
      <x:c r="R133" s="18">
        <x:f t="shared" si="33"/>
        <x:v>0</x:v>
      </x:c>
      <x:c r="S133" s="48">
        <x:f t="shared" si="34"/>
        <x:v>0</x:v>
      </x:c>
      <x:c r="T133" s="13"/>
      <x:c r="U133" s="11"/>
    </x:row>
    <x:row r="134" spans="1:28" s="10" customFormat="1" outlineLevel="1" x14ac:dyDescent="0.25">
      <x:c r="A134" s="38" t="s">
        <x:v>45</x:v>
      </x:c>
      <x:c r="B134" s="44"/>
      <x:c r="C134" s="38"/>
      <x:c r="D134" s="17">
        <x:f>+D133+D71+D67+D65</x:f>
        <x:v>150825746.09999996</x:v>
      </x:c>
      <x:c r="E134" s="55"/>
      <x:c r="F134" s="55"/>
      <x:c r="G134" s="44">
        <x:f t="shared" ref="G134:Z134" si="36">+G133+G71+G67+G65</x:f>
        <x:v>42944538.76462242</x:v>
      </x:c>
      <x:c r="H134" s="17"/>
      <x:c r="I134" s="17">
        <x:f>+I133+I71+I67+I65</x:f>
        <x:v>56291412.899233907</x:v>
      </x:c>
      <x:c r="J134" s="17">
        <x:f t="shared" si="36"/>
        <x:v>0</x:v>
      </x:c>
      <x:c r="K134" s="45">
        <x:f t="shared" si="36"/>
        <x:v>150825746.09999996</x:v>
      </x:c>
      <x:c r="L134" s="17">
        <x:f t="shared" si="36"/>
        <x:v>0</x:v>
      </x:c>
      <x:c r="M134" s="17">
        <x:f t="shared" si="36"/>
        <x:v>0</x:v>
      </x:c>
      <x:c r="N134" s="46">
        <x:f t="shared" si="36"/>
        <x:v>0</x:v>
      </x:c>
      <x:c r="O134" s="17">
        <x:f t="shared" si="36"/>
        <x:v>0</x:v>
      </x:c>
      <x:c r="P134" s="47">
        <x:f t="shared" si="36"/>
        <x:v>56291412.899233907</x:v>
      </x:c>
      <x:c r="Q134" s="18">
        <x:f t="shared" si="36"/>
        <x:v>0</x:v>
      </x:c>
      <x:c r="R134" s="18">
        <x:f t="shared" si="36"/>
        <x:v>0</x:v>
      </x:c>
      <x:c r="S134" s="48">
        <x:f t="shared" si="36"/>
        <x:v>0</x:v>
      </x:c>
      <x:c r="T134" s="13"/>
      <x:c r="U134" s="13">
        <x:f t="shared" si="36"/>
        <x:v>0</x:v>
      </x:c>
      <x:c r="V134" s="13">
        <x:f t="shared" si="36"/>
        <x:v>0</x:v>
      </x:c>
      <x:c r="W134" s="13">
        <x:f t="shared" si="36"/>
        <x:v>0</x:v>
      </x:c>
      <x:c r="X134" s="13">
        <x:f t="shared" si="36"/>
        <x:v>0</x:v>
      </x:c>
      <x:c r="Y134" s="13">
        <x:f t="shared" si="36"/>
        <x:v>0</x:v>
      </x:c>
      <x:c r="Z134" s="13">
        <x:f t="shared" si="36"/>
        <x:v>0</x:v>
      </x:c>
    </x:row>
    <x:row r="135" spans="1:28" outlineLevel="1" x14ac:dyDescent="0.25">
      <x:c r="A135" s="38"/>
      <x:c r="B135" s="21"/>
      <x:c r="C135" s="19"/>
      <x:c r="D135" s="20"/>
      <x:c r="E135" s="35"/>
      <x:c r="F135" s="35"/>
      <x:c r="G135" s="21"/>
      <x:c r="H135" s="35"/>
      <x:c r="I135" s="36"/>
      <x:c r="J135" s="36"/>
      <x:c r="K135" s="34"/>
      <x:c r="L135" s="36"/>
      <x:c r="M135" s="36"/>
      <x:c r="N135" s="37"/>
      <x:c r="O135" s="36"/>
      <x:c r="P135" s="30"/>
      <x:c r="Q135" s="31"/>
      <x:c r="R135" s="31"/>
      <x:c r="S135" s="32"/>
      <x:c r="T135" s="3"/>
    </x:row>
    <x:row r="136" spans="1:28" outlineLevel="1" x14ac:dyDescent="0.25">
      <x:c r="A136" s="38"/>
      <x:c r="B136" s="21"/>
      <x:c r="C136" s="19"/>
      <x:c r="D136" s="20"/>
      <x:c r="E136" s="35"/>
      <x:c r="F136" s="35"/>
      <x:c r="G136" s="21"/>
      <x:c r="H136" s="35"/>
      <x:c r="I136" s="36"/>
      <x:c r="J136" s="36"/>
      <x:c r="K136" s="34"/>
      <x:c r="L136" s="36"/>
      <x:c r="M136" s="36"/>
      <x:c r="N136" s="37"/>
      <x:c r="O136" s="36"/>
      <x:c r="P136" s="30"/>
      <x:c r="Q136" s="31"/>
      <x:c r="R136" s="31"/>
      <x:c r="S136" s="32"/>
      <x:c r="T136" s="3"/>
    </x:row>
    <x:row r="137" spans="1:28" outlineLevel="1" x14ac:dyDescent="0.25">
      <x:c r="A137" s="38"/>
      <x:c r="B137" s="21"/>
      <x:c r="C137" s="19"/>
      <x:c r="D137" s="20"/>
      <x:c r="E137" s="35"/>
      <x:c r="F137" s="35"/>
      <x:c r="G137" s="21"/>
      <x:c r="H137" s="35"/>
      <x:c r="I137" s="36"/>
      <x:c r="J137" s="36"/>
      <x:c r="K137" s="34"/>
      <x:c r="L137" s="36"/>
      <x:c r="M137" s="36"/>
      <x:c r="N137" s="37"/>
      <x:c r="O137" s="36"/>
      <x:c r="P137" s="30"/>
      <x:c r="Q137" s="31"/>
      <x:c r="R137" s="31"/>
      <x:c r="S137" s="32"/>
      <x:c r="T137" s="3"/>
    </x:row>
    <x:row r="138" spans="1:28" outlineLevel="1" x14ac:dyDescent="0.25">
      <x:c r="A138" s="38"/>
      <x:c r="B138" s="21"/>
      <x:c r="C138" s="19"/>
      <x:c r="D138" s="20"/>
      <x:c r="E138" s="35"/>
      <x:c r="F138" s="35"/>
      <x:c r="G138" s="21"/>
      <x:c r="H138" s="35"/>
      <x:c r="I138" s="36"/>
      <x:c r="J138" s="36"/>
      <x:c r="K138" s="34"/>
      <x:c r="L138" s="36"/>
      <x:c r="M138" s="36"/>
      <x:c r="N138" s="37"/>
      <x:c r="O138" s="36"/>
      <x:c r="P138" s="30"/>
      <x:c r="Q138" s="31"/>
      <x:c r="R138" s="31"/>
      <x:c r="S138" s="32"/>
      <x:c r="T138" s="3"/>
    </x:row>
    <x:row r="139" spans="1:28" outlineLevel="2" x14ac:dyDescent="0.25">
      <x:c r="A139" s="19" t="s">
        <x:v>36</x:v>
      </x:c>
      <x:c r="B139" s="21" t="s">
        <x:v>29</x:v>
      </x:c>
      <x:c r="C139" s="19">
        <x:f t="shared" ref="C139:C153" si="37">2024.5-B139</x:f>
        <x:v>0.5</x:v>
      </x:c>
      <x:c r="D139" s="20">
        <x:v>2929271.66</x:v>
      </x:c>
      <x:c r="E139" s="21">
        <x:v>15</x:v>
      </x:c>
      <x:c r="F139" s="21">
        <x:v>14.548741</x:v>
      </x:c>
      <x:c r="G139" s="21">
        <x:f t="shared" ref="G139:G153" si="38">+D139*(1-F139/E139)</x:f>
        <x:v>88124.01333466277</x:v>
      </x:c>
      <x:c r="H139" s="21">
        <x:f t="shared" ref="H139:H152" si="39">$H$153</x:f>
        <x:v>0.89365501251400858</x:v>
      </x:c>
      <x:c r="I139" s="36">
        <x:f t="shared" ref="I139:I153" si="40">+G139*H139</x:f>
        <x:v>78752.466239372719</x:v>
      </x:c>
      <x:c r="J139" s="33"/>
      <x:c r="K139" s="28"/>
      <x:c r="L139" s="20">
        <x:v>141772.67000000001</x:v>
      </x:c>
      <x:c r="M139" s="20">
        <x:v>2787498.99</x:v>
      </x:c>
      <x:c r="N139" s="29"/>
      <x:c r="O139" s="20">
        <x:f>SUM(K139:N139)-D139</x:f>
        <x:v>0</x:v>
      </x:c>
      <x:c r="P139" s="30">
        <x:f t="shared" ref="P139:P153" si="41">+$I139*K139/$D139</x:f>
        <x:v>0</x:v>
      </x:c>
      <x:c r="Q139" s="31">
        <x:f t="shared" ref="Q139:Q153" si="42">+$I139*L139/$D139</x:f>
        <x:v>3811.5097211027296</x:v>
      </x:c>
      <x:c r="R139" s="31">
        <x:f t="shared" ref="R139:R153" si="43">+$I139*M139/$D139</x:f>
        <x:v>74940.956518269988</x:v>
      </x:c>
      <x:c r="S139" s="32">
        <x:f t="shared" ref="S139:S153" si="44">+$I139*N139/$D139</x:f>
        <x:v>0</x:v>
      </x:c>
      <x:c r="T139" s="4">
        <x:f t="shared" ref="T139:T153" si="45">+I139-SUM(P139:S139)</x:f>
        <x:v>0</x:v>
      </x:c>
    </x:row>
    <x:row r="140" spans="1:28" outlineLevel="2" x14ac:dyDescent="0.25">
      <x:c r="A140" s="19" t="s">
        <x:v>36</x:v>
      </x:c>
      <x:c r="B140" s="21" t="s">
        <x:v>30</x:v>
      </x:c>
      <x:c r="C140" s="19">
        <x:f t="shared" si="37"/>
        <x:v>1.5</x:v>
      </x:c>
      <x:c r="D140" s="20">
        <x:v>25285140.799999997</x:v>
      </x:c>
      <x:c r="E140" s="21">
        <x:v>15</x:v>
      </x:c>
      <x:c r="F140" s="21">
        <x:v>13.659128000000001</x:v>
      </x:c>
      <x:c r="G140" s="21">
        <x:f t="shared" si="38"/>
        <x:v>2260275.8209851724</x:v>
      </x:c>
      <x:c r="H140" s="21">
        <x:f t="shared" si="39"/>
        <x:v>0.89365501251400858</x:v>
      </x:c>
      <x:c r="I140" s="36">
        <x:f t="shared" si="40"/>
        <x:v>2019906.8170876154</x:v>
      </x:c>
      <x:c r="J140" s="33"/>
      <x:c r="K140" s="28"/>
      <x:c r="L140" s="20">
        <x:v>25465165.949999996</x:v>
      </x:c>
      <x:c r="M140" s="20">
        <x:v>-190377.15</x:v>
      </x:c>
      <x:c r="N140" s="29">
        <x:v>10352</x:v>
      </x:c>
      <x:c r="O140" s="20">
        <x:f t="shared" ref="O140:O153" si="46">SUM(K140:N140)-D140</x:f>
        <x:v>0</x:v>
      </x:c>
      <x:c r="P140" s="30">
        <x:f t="shared" si="41"/>
        <x:v>0</x:v>
      </x:c>
      <x:c r="Q140" s="31">
        <x:f t="shared" si="42"/>
        <x:v>2034288.1500059678</x:v>
      </x:c>
      <x:c r="R140" s="31">
        <x:f t="shared" si="43"/>
        <x:v>-15208.303807535513</x:v>
      </x:c>
      <x:c r="S140" s="32">
        <x:f t="shared" si="44"/>
        <x:v>826.97088918290683</x:v>
      </x:c>
      <x:c r="T140" s="4">
        <x:f t="shared" si="45"/>
        <x:v>0</x:v>
      </x:c>
    </x:row>
    <x:row r="141" spans="1:28" outlineLevel="2" x14ac:dyDescent="0.25">
      <x:c r="A141" s="19" t="s">
        <x:v>36</x:v>
      </x:c>
      <x:c r="B141" s="21" t="s">
        <x:v>31</x:v>
      </x:c>
      <x:c r="C141" s="19">
        <x:f t="shared" si="37"/>
        <x:v>2.5</x:v>
      </x:c>
      <x:c r="D141" s="20">
        <x:v>101933321.41999999</x:v>
      </x:c>
      <x:c r="E141" s="21">
        <x:v>15</x:v>
      </x:c>
      <x:c r="F141" s="35">
        <x:v>12.788309999999999</x:v>
      </x:c>
      <x:c r="G141" s="21">
        <x:f t="shared" si="38"/>
        <x:v>15029660.510093326</x:v>
      </x:c>
      <x:c r="H141" s="35">
        <x:f t="shared" si="39"/>
        <x:v>0.89365501251400858</x:v>
      </x:c>
      <x:c r="I141" s="36">
        <x:f t="shared" si="40"/>
        <x:v>13431331.451228751</x:v>
      </x:c>
      <x:c r="J141" s="33"/>
      <x:c r="K141" s="28"/>
      <x:c r="L141" s="20">
        <x:v>94326192.829999983</x:v>
      </x:c>
      <x:c r="M141" s="36">
        <x:v>4473308.62</x:v>
      </x:c>
      <x:c r="N141" s="29">
        <x:v>3133819.9699999997</x:v>
      </x:c>
      <x:c r="O141" s="20">
        <x:f t="shared" si="46"/>
        <x:v>0</x:v>
      </x:c>
      <x:c r="P141" s="30">
        <x:f t="shared" si="41"/>
        <x:v>0</x:v>
      </x:c>
      <x:c r="Q141" s="31">
        <x:f t="shared" si="42"/>
        <x:v>12428971.633447308</x:v>
      </x:c>
      <x:c r="R141" s="31">
        <x:f t="shared" si="43"/>
        <x:v>589429.34382858337</x:v>
      </x:c>
      <x:c r="S141" s="32">
        <x:f t="shared" si="44"/>
        <x:v>412930.47395285923</x:v>
      </x:c>
      <x:c r="T141" s="4">
        <x:f t="shared" si="45"/>
        <x:v>0</x:v>
      </x:c>
    </x:row>
    <x:row r="142" spans="1:28" outlineLevel="2" x14ac:dyDescent="0.25">
      <x:c r="A142" s="19" t="s">
        <x:v>36</x:v>
      </x:c>
      <x:c r="B142" s="21" t="s">
        <x:v>16</x:v>
      </x:c>
      <x:c r="C142" s="19">
        <x:f t="shared" si="37"/>
        <x:v>3.5</x:v>
      </x:c>
      <x:c r="D142" s="20">
        <x:v>23602657.569999997</x:v>
      </x:c>
      <x:c r="E142" s="21">
        <x:v>15</x:v>
      </x:c>
      <x:c r="F142" s="21">
        <x:v>11.937706</x:v>
      </x:c>
      <x:c r="G142" s="21">
        <x:f t="shared" si="38"/>
        <x:v>4818551.7773777032</x:v>
      </x:c>
      <x:c r="H142" s="21">
        <x:f t="shared" si="39"/>
        <x:v>0.89365501251400858</x:v>
      </x:c>
      <x:c r="I142" s="36">
        <x:f t="shared" si="40"/>
        <x:v>4306122.9489118699</x:v>
      </x:c>
      <x:c r="J142" s="33"/>
      <x:c r="K142" s="28"/>
      <x:c r="L142" s="20">
        <x:v>3980307.28</x:v>
      </x:c>
      <x:c r="M142" s="20">
        <x:v>15961450.619999999</x:v>
      </x:c>
      <x:c r="N142" s="29">
        <x:v>3660899.6699999995</x:v>
      </x:c>
      <x:c r="O142" s="20">
        <x:f t="shared" si="46"/>
        <x:v>0</x:v>
      </x:c>
      <x:c r="P142" s="30">
        <x:f t="shared" si="41"/>
        <x:v>0</x:v>
      </x:c>
      <x:c r="Q142" s="31">
        <x:f t="shared" si="42"/>
        <x:v>726176.38379477558</x:v>
      </x:c>
      <x:c r="R142" s="31">
        <x:f t="shared" si="43"/>
        <x:v>2912043.637834534</x:v>
      </x:c>
      <x:c r="S142" s="32">
        <x:f t="shared" si="44"/>
        <x:v>667902.92728256073</x:v>
      </x:c>
      <x:c r="T142" s="4">
        <x:f t="shared" si="45"/>
        <x:v>0</x:v>
      </x:c>
    </x:row>
    <x:row r="143" spans="1:28" outlineLevel="2" x14ac:dyDescent="0.25">
      <x:c r="A143" s="19" t="s">
        <x:v>36</x:v>
      </x:c>
      <x:c r="B143" s="21" t="s">
        <x:v>15</x:v>
      </x:c>
      <x:c r="C143" s="19">
        <x:f t="shared" si="37"/>
        <x:v>4.5</x:v>
      </x:c>
      <x:c r="D143" s="20">
        <x:v>18637476.59</x:v>
      </x:c>
      <x:c r="E143" s="21">
        <x:v>15</x:v>
      </x:c>
      <x:c r="F143" s="21">
        <x:v>11.108862999999999</x:v>
      </x:c>
      <x:c r="G143" s="21">
        <x:f t="shared" si="38"/>
        <x:v>4834731.6497321893</x:v>
      </x:c>
      <x:c r="H143" s="21">
        <x:f t="shared" si="39"/>
        <x:v>0.89365501251400858</x:v>
      </x:c>
      <x:c r="I143" s="36">
        <x:f t="shared" si="40"/>
        <x:v>4320582.1729432931</x:v>
      </x:c>
      <x:c r="J143" s="33"/>
      <x:c r="K143" s="28"/>
      <x:c r="L143" s="20">
        <x:v>8367296.5200000005</x:v>
      </x:c>
      <x:c r="M143" s="20">
        <x:v>3347224.2199999997</x:v>
      </x:c>
      <x:c r="N143" s="29">
        <x:v>6922955.8499999996</x:v>
      </x:c>
      <x:c r="O143" s="20">
        <x:f t="shared" si="46"/>
        <x:v>0</x:v>
      </x:c>
      <x:c r="P143" s="30">
        <x:f t="shared" si="41"/>
        <x:v>0</x:v>
      </x:c>
      <x:c r="Q143" s="31">
        <x:f t="shared" si="42"/>
        <x:v>1939725.6922345222</x:v>
      </x:c>
      <x:c r="R143" s="31">
        <x:f t="shared" si="43"/>
        <x:v>775961.12456208956</x:v>
      </x:c>
      <x:c r="S143" s="32">
        <x:f t="shared" si="44"/>
        <x:v>1604895.3561466811</x:v>
      </x:c>
      <x:c r="T143" s="4">
        <x:f t="shared" si="45"/>
        <x:v>0</x:v>
      </x:c>
    </x:row>
    <x:row r="144" spans="1:28" outlineLevel="2" x14ac:dyDescent="0.25">
      <x:c r="A144" s="19" t="s">
        <x:v>36</x:v>
      </x:c>
      <x:c r="B144" s="21" t="s">
        <x:v>14</x:v>
      </x:c>
      <x:c r="C144" s="19">
        <x:f t="shared" si="37"/>
        <x:v>5.5</x:v>
      </x:c>
      <x:c r="D144" s="20">
        <x:v>90288779.74000001</x:v>
      </x:c>
      <x:c r="E144" s="21">
        <x:v>15</x:v>
      </x:c>
      <x:c r="F144" s="21">
        <x:v>10.303613</x:v>
      </x:c>
      <x:c r="G144" s="21">
        <x:f t="shared" si="38"/>
        <x:v>28268736.761119962</x:v>
      </x:c>
      <x:c r="H144" s="21">
        <x:f t="shared" si="39"/>
        <x:v>0.89365501251400858</x:v>
      </x:c>
      <x:c r="I144" s="36">
        <x:f t="shared" si="40"/>
        <x:v>25262498.304013874</x:v>
      </x:c>
      <x:c r="J144" s="33"/>
      <x:c r="K144" s="28"/>
      <x:c r="L144" s="20">
        <x:v>87627827.040000007</x:v>
      </x:c>
      <x:c r="M144" s="20">
        <x:v>636849.84</x:v>
      </x:c>
      <x:c r="N144" s="29">
        <x:v>2024102.8599999999</x:v>
      </x:c>
      <x:c r="O144" s="20">
        <x:f t="shared" si="46"/>
        <x:v>0</x:v>
      </x:c>
      <x:c r="P144" s="30">
        <x:f t="shared" si="41"/>
        <x:v>0</x:v>
      </x:c>
      <x:c r="Q144" s="31">
        <x:f t="shared" si="42"/>
        <x:v>24517972.646845974</x:v>
      </x:c>
      <x:c r="R144" s="31">
        <x:f t="shared" si="43"/>
        <x:v>178188.45319695873</x:v>
      </x:c>
      <x:c r="S144" s="32">
        <x:f t="shared" si="44"/>
        <x:v>566337.20397093974</x:v>
      </x:c>
      <x:c r="T144" s="4">
        <x:f t="shared" si="45"/>
        <x:v>0</x:v>
      </x:c>
      <x:c r="X144" s="1">
        <x:f>+X12+X17+X25+X30+X59+X72+X112+X130</x:f>
        <x:v>0</x:v>
      </x:c>
      <x:c r="Y144" s="1">
        <x:f>+Y12+Y17+Y25+Y30+Y59+Y72+Y112+Y130</x:f>
        <x:v>0</x:v>
      </x:c>
      <x:c r="Z144" s="1">
        <x:f>+Z12+Z17+Z25+Z30+Z59+Z72+Z112+Z130</x:f>
        <x:v>0</x:v>
      </x:c>
      <x:c r="AA144" s="1">
        <x:f>+AA12+AA17+AA25+AA30+AA59+AA72+AA112+AA130</x:f>
        <x:v>0</x:v>
      </x:c>
      <x:c r="AB144" s="1">
        <x:f>+AB12+AB17+AB25+AB30+AB59+AB72+AB112+AB130</x:f>
        <x:v>0</x:v>
      </x:c>
    </x:row>
    <x:row r="145" spans="1:31" outlineLevel="2" x14ac:dyDescent="0.25">
      <x:c r="A145" s="19" t="s">
        <x:v>36</x:v>
      </x:c>
      <x:c r="B145" s="21" t="s">
        <x:v>13</x:v>
      </x:c>
      <x:c r="C145" s="19">
        <x:f t="shared" si="37"/>
        <x:v>6.5</x:v>
      </x:c>
      <x:c r="D145" s="20">
        <x:v>45221781.370000005</x:v>
      </x:c>
      <x:c r="E145" s="21">
        <x:v>15</x:v>
      </x:c>
      <x:c r="F145" s="21">
        <x:v>9.5233070000000009</x:v>
      </x:c>
      <x:c r="G145" s="21">
        <x:f t="shared" si="38"/>
        <x:v>16511054.231773961</x:v>
      </x:c>
      <x:c r="H145" s="21">
        <x:f t="shared" si="39"/>
        <x:v>0.89365501251400858</x:v>
      </x:c>
      <x:c r="I145" s="36">
        <x:f t="shared" si="40"/>
        <x:v>14755186.376115434</x:v>
      </x:c>
      <x:c r="J145" s="33"/>
      <x:c r="K145" s="28"/>
      <x:c r="L145" s="20"/>
      <x:c r="M145" s="20"/>
      <x:c r="N145" s="29">
        <x:v>45221781.370000005</x:v>
      </x:c>
      <x:c r="O145" s="20">
        <x:f t="shared" si="46"/>
        <x:v>0</x:v>
      </x:c>
      <x:c r="P145" s="30">
        <x:f t="shared" si="41"/>
        <x:v>0</x:v>
      </x:c>
      <x:c r="Q145" s="31">
        <x:f t="shared" si="42"/>
        <x:v>0</x:v>
      </x:c>
      <x:c r="R145" s="31">
        <x:f t="shared" si="43"/>
        <x:v>0</x:v>
      </x:c>
      <x:c r="S145" s="32">
        <x:f t="shared" si="44"/>
        <x:v>14755186.376115432</x:v>
      </x:c>
      <x:c r="T145" s="4">
        <x:f t="shared" si="45"/>
        <x:v>0</x:v>
      </x:c>
    </x:row>
    <x:row r="146" spans="1:31" outlineLevel="2" x14ac:dyDescent="0.25">
      <x:c r="A146" s="19" t="s">
        <x:v>36</x:v>
      </x:c>
      <x:c r="B146" s="21" t="s">
        <x:v>12</x:v>
      </x:c>
      <x:c r="C146" s="19">
        <x:f t="shared" si="37"/>
        <x:v>7.5</x:v>
      </x:c>
      <x:c r="D146" s="20">
        <x:v>199187301.50999999</x:v>
      </x:c>
      <x:c r="E146" s="21">
        <x:v>15</x:v>
      </x:c>
      <x:c r="F146" s="21">
        <x:v>8.7695880000000006</x:v>
      </x:c>
      <x:c r="G146" s="21">
        <x:f t="shared" si="38"/>
        <x:v>82734596.905034795</x:v>
      </x:c>
      <x:c r="H146" s="21">
        <x:f t="shared" si="39"/>
        <x:v>0.89365501251400858</x:v>
      </x:c>
      <x:c r="I146" s="36">
        <x:f t="shared" si="40"/>
        <x:v>73936187.232510328</x:v>
      </x:c>
      <x:c r="J146" s="33"/>
      <x:c r="K146" s="28"/>
      <x:c r="L146" s="20"/>
      <x:c r="M146" s="20">
        <x:v>227.53</x:v>
      </x:c>
      <x:c r="N146" s="29">
        <x:v>199187073.97999999</x:v>
      </x:c>
      <x:c r="O146" s="20">
        <x:f t="shared" si="46"/>
        <x:v>0</x:v>
      </x:c>
      <x:c r="P146" s="30">
        <x:f t="shared" si="41"/>
        <x:v>0</x:v>
      </x:c>
      <x:c r="Q146" s="31">
        <x:f t="shared" si="42"/>
        <x:v>0</x:v>
      </x:c>
      <x:c r="R146" s="31">
        <x:f t="shared" si="43"/>
        <x:v>84.45669253754366</x:v>
      </x:c>
      <x:c r="S146" s="32">
        <x:f t="shared" si="44"/>
        <x:v>73936102.775817797</x:v>
      </x:c>
      <x:c r="T146" s="4">
        <x:f t="shared" si="45"/>
        <x:v>0</x:v>
      </x:c>
    </x:row>
    <x:row r="147" spans="1:31" outlineLevel="2" x14ac:dyDescent="0.25">
      <x:c r="A147" s="19" t="s">
        <x:v>36</x:v>
      </x:c>
      <x:c r="B147" s="21" t="s">
        <x:v>11</x:v>
      </x:c>
      <x:c r="C147" s="19">
        <x:f t="shared" si="37"/>
        <x:v>8.5</x:v>
      </x:c>
      <x:c r="D147" s="20">
        <x:v>294181.7</x:v>
      </x:c>
      <x:c r="E147" s="21">
        <x:v>15</x:v>
      </x:c>
      <x:c r="F147" s="21">
        <x:v>8.0445600000000006</x:v>
      </x:c>
      <x:c r="G147" s="21">
        <x:f t="shared" si="38"/>
        <x:v>136410.87756320002</x:v>
      </x:c>
      <x:c r="H147" s="21">
        <x:f t="shared" si="39"/>
        <x:v>0.89365501251400858</x:v>
      </x:c>
      <x:c r="I147" s="36">
        <x:f t="shared" si="40"/>
        <x:v>121904.2644957884</x:v>
      </x:c>
      <x:c r="J147" s="33"/>
      <x:c r="K147" s="28"/>
      <x:c r="L147" s="20"/>
      <x:c r="M147" s="20">
        <x:v>294181.7</x:v>
      </x:c>
      <x:c r="N147" s="29"/>
      <x:c r="O147" s="20">
        <x:f t="shared" si="46"/>
        <x:v>0</x:v>
      </x:c>
      <x:c r="P147" s="30">
        <x:f t="shared" si="41"/>
        <x:v>0</x:v>
      </x:c>
      <x:c r="Q147" s="31">
        <x:f t="shared" si="42"/>
        <x:v>0</x:v>
      </x:c>
      <x:c r="R147" s="31">
        <x:f t="shared" si="43"/>
        <x:v>121904.26449578839</x:v>
      </x:c>
      <x:c r="S147" s="32">
        <x:f t="shared" si="44"/>
        <x:v>0</x:v>
      </x:c>
      <x:c r="T147" s="4">
        <x:f t="shared" si="45"/>
        <x:v>0</x:v>
      </x:c>
    </x:row>
    <x:row r="148" spans="1:31" outlineLevel="2" x14ac:dyDescent="0.25">
      <x:c r="A148" s="19" t="s">
        <x:v>36</x:v>
      </x:c>
      <x:c r="B148" s="21" t="s">
        <x:v>10</x:v>
      </x:c>
      <x:c r="C148" s="19">
        <x:f t="shared" si="37"/>
        <x:v>9.5</x:v>
      </x:c>
      <x:c r="D148" s="20">
        <x:v>-1339.82</x:v>
      </x:c>
      <x:c r="E148" s="21">
        <x:v>15</x:v>
      </x:c>
      <x:c r="F148" s="21">
        <x:v>7.3498169999999998</x:v>
      </x:c>
      <x:c r="G148" s="21">
        <x:f t="shared" si="38"/>
        <x:v>-683.32454580399997</x:v>
      </x:c>
      <x:c r="H148" s="21">
        <x:f t="shared" si="39"/>
        <x:v>0.89365501251400858</x:v>
      </x:c>
      <x:c r="I148" s="36">
        <x:f t="shared" si="40"/>
        <x:v>-610.65640553160279</x:v>
      </x:c>
      <x:c r="J148" s="33"/>
      <x:c r="K148" s="28"/>
      <x:c r="L148" s="20"/>
      <x:c r="M148" s="20">
        <x:v>-1339.82</x:v>
      </x:c>
      <x:c r="N148" s="29"/>
      <x:c r="O148" s="20">
        <x:f t="shared" si="46"/>
        <x:v>0</x:v>
      </x:c>
      <x:c r="P148" s="30">
        <x:f t="shared" si="41"/>
        <x:v>0</x:v>
      </x:c>
      <x:c r="Q148" s="31">
        <x:f t="shared" si="42"/>
        <x:v>0</x:v>
      </x:c>
      <x:c r="R148" s="31">
        <x:f t="shared" si="43"/>
        <x:v>-610.65640553160279</x:v>
      </x:c>
      <x:c r="S148" s="32">
        <x:f t="shared" si="44"/>
        <x:v>0</x:v>
      </x:c>
      <x:c r="T148" s="4">
        <x:f t="shared" si="45"/>
        <x:v>0</x:v>
      </x:c>
    </x:row>
    <x:row r="149" spans="1:31" outlineLevel="2" x14ac:dyDescent="0.25">
      <x:c r="A149" s="19" t="s">
        <x:v>36</x:v>
      </x:c>
      <x:c r="B149" s="21" t="s">
        <x:v>9</x:v>
      </x:c>
      <x:c r="C149" s="19">
        <x:f t="shared" si="37"/>
        <x:v>10.5</x:v>
      </x:c>
      <x:c r="D149" s="20">
        <x:v>-92964.75</x:v>
      </x:c>
      <x:c r="E149" s="21">
        <x:v>15</x:v>
      </x:c>
      <x:c r="F149" s="35">
        <x:v>6.6873399999999998</x:v>
      </x:c>
      <x:c r="G149" s="21">
        <x:f t="shared" si="38"/>
        <x:v>-51518.957248999999</x:v>
      </x:c>
      <x:c r="H149" s="35">
        <x:f t="shared" si="39"/>
        <x:v>0.89365501251400858</x:v>
      </x:c>
      <x:c r="I149" s="36">
        <x:f t="shared" si="40"/>
        <x:v>-46040.174385063765</x:v>
      </x:c>
      <x:c r="J149" s="33"/>
      <x:c r="K149" s="28"/>
      <x:c r="L149" s="20"/>
      <x:c r="M149" s="36">
        <x:v>-92964.75</x:v>
      </x:c>
      <x:c r="N149" s="29"/>
      <x:c r="O149" s="20">
        <x:f t="shared" si="46"/>
        <x:v>0</x:v>
      </x:c>
      <x:c r="P149" s="30">
        <x:f t="shared" si="41"/>
        <x:v>0</x:v>
      </x:c>
      <x:c r="Q149" s="31">
        <x:f t="shared" si="42"/>
        <x:v>0</x:v>
      </x:c>
      <x:c r="R149" s="31">
        <x:f t="shared" si="43"/>
        <x:v>-46040.174385063765</x:v>
      </x:c>
      <x:c r="S149" s="32">
        <x:f t="shared" si="44"/>
        <x:v>0</x:v>
      </x:c>
      <x:c r="T149" s="4">
        <x:f t="shared" si="45"/>
        <x:v>0</x:v>
      </x:c>
    </x:row>
    <x:row r="150" spans="1:31" outlineLevel="2" x14ac:dyDescent="0.25">
      <x:c r="A150" s="19" t="s">
        <x:v>36</x:v>
      </x:c>
      <x:c r="B150" s="21" t="s">
        <x:v>8</x:v>
      </x:c>
      <x:c r="C150" s="19">
        <x:f t="shared" si="37"/>
        <x:v>11.5</x:v>
      </x:c>
      <x:c r="D150" s="20">
        <x:v>10015454</x:v>
      </x:c>
      <x:c r="E150" s="21">
        <x:v>15</x:v>
      </x:c>
      <x:c r="F150" s="35">
        <x:v>6.0595739999999996</x:v>
      </x:c>
      <x:c r="G150" s="21">
        <x:f t="shared" si="38"/>
        <x:v>5969495.0228936002</x:v>
      </x:c>
      <x:c r="H150" s="35">
        <x:f t="shared" si="39"/>
        <x:v>0.89365501251400858</x:v>
      </x:c>
      <x:c r="I150" s="36">
        <x:f t="shared" si="40"/>
        <x:v>5334669.1493862923</x:v>
      </x:c>
      <x:c r="J150" s="36"/>
      <x:c r="K150" s="39"/>
      <x:c r="L150" s="36">
        <x:v>8999594.8800000008</x:v>
      </x:c>
      <x:c r="M150" s="36">
        <x:v>1015859.12</x:v>
      </x:c>
      <x:c r="N150" s="37"/>
      <x:c r="O150" s="20">
        <x:f t="shared" si="46"/>
        <x:v>0</x:v>
      </x:c>
      <x:c r="P150" s="30">
        <x:f t="shared" si="41"/>
        <x:v>0</x:v>
      </x:c>
      <x:c r="Q150" s="31">
        <x:f t="shared" si="42"/>
        <x:v>4793578.1207033489</x:v>
      </x:c>
      <x:c r="R150" s="31">
        <x:f t="shared" si="43"/>
        <x:v>541091.02868294413</x:v>
      </x:c>
      <x:c r="S150" s="32">
        <x:f t="shared" si="44"/>
        <x:v>0</x:v>
      </x:c>
      <x:c r="T150" s="4">
        <x:f t="shared" si="45"/>
        <x:v>0</x:v>
      </x:c>
    </x:row>
    <x:row r="151" spans="1:31" outlineLevel="2" x14ac:dyDescent="0.25">
      <x:c r="A151" s="19" t="s">
        <x:v>36</x:v>
      </x:c>
      <x:c r="B151" s="21" t="s">
        <x:v>7</x:v>
      </x:c>
      <x:c r="C151" s="19">
        <x:f t="shared" si="37"/>
        <x:v>12.5</x:v>
      </x:c>
      <x:c r="D151" s="20">
        <x:v>2408001.56</x:v>
      </x:c>
      <x:c r="E151" s="21">
        <x:v>15</x:v>
      </x:c>
      <x:c r="F151" s="35">
        <x:v>5.4681480000000002</x:v>
      </x:c>
      <x:c r="G151" s="21">
        <x:f t="shared" si="38"/>
        <x:v>1530180.9657126081</x:v>
      </x:c>
      <x:c r="H151" s="35">
        <x:f t="shared" si="39"/>
        <x:v>0.89365501251400858</x:v>
      </x:c>
      <x:c r="I151" s="36">
        <x:f t="shared" si="40"/>
        <x:v>1367453.8900625985</x:v>
      </x:c>
      <x:c r="J151" s="36"/>
      <x:c r="K151" s="39"/>
      <x:c r="L151" s="36"/>
      <x:c r="M151" s="36">
        <x:v>2408001.56</x:v>
      </x:c>
      <x:c r="N151" s="37"/>
      <x:c r="O151" s="20">
        <x:f t="shared" si="46"/>
        <x:v>0</x:v>
      </x:c>
      <x:c r="P151" s="30">
        <x:f t="shared" si="41"/>
        <x:v>0</x:v>
      </x:c>
      <x:c r="Q151" s="31">
        <x:f t="shared" si="42"/>
        <x:v>0</x:v>
      </x:c>
      <x:c r="R151" s="31">
        <x:f t="shared" si="43"/>
        <x:v>1367453.8900625985</x:v>
      </x:c>
      <x:c r="S151" s="32">
        <x:f t="shared" si="44"/>
        <x:v>0</x:v>
      </x:c>
      <x:c r="T151" s="4">
        <x:f t="shared" si="45"/>
        <x:v>0</x:v>
      </x:c>
    </x:row>
    <x:row r="152" spans="1:31" outlineLevel="2" x14ac:dyDescent="0.25">
      <x:c r="A152" s="19" t="s">
        <x:v>36</x:v>
      </x:c>
      <x:c r="B152" s="21" t="s">
        <x:v>6</x:v>
      </x:c>
      <x:c r="C152" s="19">
        <x:f t="shared" si="37"/>
        <x:v>13.5</x:v>
      </x:c>
      <x:c r="D152" s="20">
        <x:v>96011.23000000001</x:v>
      </x:c>
      <x:c r="E152" s="21">
        <x:v>15</x:v>
      </x:c>
      <x:c r="F152" s="35">
        <x:v>4.9147959999999999</x:v>
      </x:c>
      <x:c r="G152" s="21">
        <x:f t="shared" si="38"/>
        <x:v>64552.856056061348</x:v>
      </x:c>
      <x:c r="H152" s="35">
        <x:f t="shared" si="39"/>
        <x:v>0.89365501251400858</x:v>
      </x:c>
      <x:c r="I152" s="36">
        <x:f t="shared" si="40"/>
        <x:v>57687.983386594497</x:v>
      </x:c>
      <x:c r="J152" s="36"/>
      <x:c r="K152" s="39"/>
      <x:c r="L152" s="36">
        <x:v>96011.23000000001</x:v>
      </x:c>
      <x:c r="M152" s="36"/>
      <x:c r="N152" s="37"/>
      <x:c r="O152" s="20">
        <x:f t="shared" si="46"/>
        <x:v>0</x:v>
      </x:c>
      <x:c r="P152" s="30">
        <x:f t="shared" si="41"/>
        <x:v>0</x:v>
      </x:c>
      <x:c r="Q152" s="31">
        <x:f t="shared" si="42"/>
        <x:v>57687.983386594497</x:v>
      </x:c>
      <x:c r="R152" s="31">
        <x:f t="shared" si="43"/>
        <x:v>0</x:v>
      </x:c>
      <x:c r="S152" s="32">
        <x:f t="shared" si="44"/>
        <x:v>0</x:v>
      </x:c>
      <x:c r="T152" s="4">
        <x:f t="shared" si="45"/>
        <x:v>0</x:v>
      </x:c>
    </x:row>
    <x:row r="153" spans="1:31" outlineLevel="2" x14ac:dyDescent="0.25">
      <x:c r="A153" s="19" t="s">
        <x:v>36</x:v>
      </x:c>
      <x:c r="B153" s="21" t="s">
        <x:v>5</x:v>
      </x:c>
      <x:c r="C153" s="19">
        <x:f t="shared" si="37"/>
        <x:v>14.5</x:v>
      </x:c>
      <x:c r="D153" s="20">
        <x:v>36290011.199999996</x:v>
      </x:c>
      <x:c r="E153" s="21">
        <x:v>15</x:v>
      </x:c>
      <x:c r="F153" s="21">
        <x:v>4.4011519999999997</x:v>
      </x:c>
      <x:c r="G153" s="21">
        <x:f t="shared" si="38"/>
        <x:v>25642154.175139837</x:v>
      </x:c>
      <x:c r="H153" s="21">
        <x:f>+H154/G154</x:f>
        <x:v>0.89365501251400858</x:v>
      </x:c>
      <x:c r="I153" s="36">
        <x:f t="shared" si="40"/>
        <x:v>22915239.610270727</x:v>
      </x:c>
      <x:c r="J153" s="33"/>
      <x:c r="K153" s="28"/>
      <x:c r="L153" s="20">
        <x:v>36290011.199999996</x:v>
      </x:c>
      <x:c r="M153" s="20"/>
      <x:c r="N153" s="29"/>
      <x:c r="O153" s="20">
        <x:f t="shared" si="46"/>
        <x:v>0</x:v>
      </x:c>
      <x:c r="P153" s="30">
        <x:f t="shared" si="41"/>
        <x:v>0</x:v>
      </x:c>
      <x:c r="Q153" s="31">
        <x:f t="shared" si="42"/>
        <x:v>22915239.610270727</x:v>
      </x:c>
      <x:c r="R153" s="31">
        <x:f t="shared" si="43"/>
        <x:v>0</x:v>
      </x:c>
      <x:c r="S153" s="32">
        <x:f t="shared" si="44"/>
        <x:v>0</x:v>
      </x:c>
      <x:c r="T153" s="4">
        <x:f t="shared" si="45"/>
        <x:v>0</x:v>
      </x:c>
    </x:row>
    <x:row r="154" spans="1:31" s="10" customFormat="1" outlineLevel="1" x14ac:dyDescent="0.25">
      <x:c r="A154" s="38" t="s">
        <x:v>41</x:v>
      </x:c>
      <x:c r="B154" s="44"/>
      <x:c r="C154" s="38"/>
      <x:c r="D154" s="17">
        <x:f>SUBTOTAL(9,D139:D153)</x:f>
        <x:v>556095085.77999997</x:v>
      </x:c>
      <x:c r="E154" s="44"/>
      <x:c r="F154" s="44"/>
      <x:c r="G154" s="44">
        <x:f>SUBTOTAL(9,G139:G153)</x:f>
        <x:v>187836323.28502232</x:v>
      </x:c>
      <x:c r="H154" s="44">
        <x:v>167860871.83586198</x:v>
      </x:c>
      <x:c r="I154" s="58">
        <x:f>SUBTOTAL(9,I139:I153)</x:f>
        <x:v>167860871.83586195</x:v>
      </x:c>
      <x:c r="J154" s="58"/>
      <x:c r="K154" s="59">
        <x:f>SUBTOTAL(9,K139:K153)</x:f>
        <x:v>0</x:v>
      </x:c>
      <x:c r="L154" s="58">
        <x:f>SUBTOTAL(9,L139:L153)</x:f>
        <x:v>265294179.59999996</x:v>
      </x:c>
      <x:c r="M154" s="58">
        <x:f>SUBTOTAL(9,M139:M153)</x:f>
        <x:v>30639920.479999997</x:v>
      </x:c>
      <x:c r="N154" s="60">
        <x:f>SUBTOTAL(9,N139:N153)</x:f>
        <x:v>260160985.69999999</x:v>
      </x:c>
      <x:c r="O154" s="58"/>
      <x:c r="P154" s="61">
        <x:f t="shared" ref="P154:AE154" si="47">SUBTOTAL(9,P139:P153)</x:f>
        <x:v>0</x:v>
      </x:c>
      <x:c r="Q154" s="62">
        <x:f t="shared" si="47"/>
        <x:v>69417451.730410323</x:v>
      </x:c>
      <x:c r="R154" s="62">
        <x:f t="shared" si="47"/>
        <x:v>6499238.0212761732</x:v>
      </x:c>
      <x:c r="S154" s="63">
        <x:f t="shared" si="47"/>
        <x:v>91944182.084175453</x:v>
      </x:c>
      <x:c r="T154" s="64">
        <x:f t="shared" si="47"/>
        <x:v>0</x:v>
      </x:c>
      <x:c r="U154" s="65">
        <x:f t="shared" si="47"/>
        <x:v>0</x:v>
      </x:c>
      <x:c r="V154" s="65">
        <x:f t="shared" si="47"/>
        <x:v>0</x:v>
      </x:c>
      <x:c r="W154" s="65">
        <x:f t="shared" si="47"/>
        <x:v>0</x:v>
      </x:c>
      <x:c r="X154" s="65">
        <x:f t="shared" si="47"/>
        <x:v>0</x:v>
      </x:c>
      <x:c r="Y154" s="65">
        <x:f t="shared" si="47"/>
        <x:v>0</x:v>
      </x:c>
      <x:c r="Z154" s="65">
        <x:f t="shared" si="47"/>
        <x:v>0</x:v>
      </x:c>
      <x:c r="AA154" s="65">
        <x:f t="shared" si="47"/>
        <x:v>0</x:v>
      </x:c>
      <x:c r="AB154" s="65">
        <x:f t="shared" si="47"/>
        <x:v>0</x:v>
      </x:c>
      <x:c r="AC154" s="65">
        <x:f t="shared" si="47"/>
        <x:v>0</x:v>
      </x:c>
      <x:c r="AD154" s="65">
        <x:f t="shared" si="47"/>
        <x:v>0</x:v>
      </x:c>
      <x:c r="AE154" s="65">
        <x:f t="shared" si="47"/>
        <x:v>0</x:v>
      </x:c>
    </x:row>
    <x:row r="155" spans="1:31" outlineLevel="2" x14ac:dyDescent="0.25">
      <x:c r="A155" s="19" t="s">
        <x:v>37</x:v>
      </x:c>
      <x:c r="B155" s="21" t="s">
        <x:v>29</x:v>
      </x:c>
      <x:c r="C155" s="19">
        <x:f t="shared" ref="C155:C158" si="48">2024.5-B155</x:f>
        <x:v>0.5</x:v>
      </x:c>
      <x:c r="D155" s="20">
        <x:v>12867263.620000001</x:v>
      </x:c>
      <x:c r="E155" s="21">
        <x:v>5</x:v>
      </x:c>
      <x:c r="F155" s="21">
        <x:v>4.5531430000000004</x:v>
      </x:c>
      <x:c r="G155" s="21">
        <x:f t="shared" ref="G155:G158" si="49">+D155*(1-F155/E155)</x:f>
        <x:v>1149965.3638884665</x:v>
      </x:c>
      <x:c r="H155" s="21">
        <x:v>0.89364363462946084</x:v>
      </x:c>
      <x:c r="I155" s="36">
        <x:f t="shared" ref="I155:I170" si="50">+G155*H155</x:f>
        <x:v>1027659.2274832798</x:v>
      </x:c>
      <x:c r="J155" s="33"/>
      <x:c r="K155" s="28"/>
      <x:c r="L155" s="20">
        <x:v>3582536.7</x:v>
      </x:c>
      <x:c r="M155" s="20"/>
      <x:c r="N155" s="29">
        <x:v>9284726.9199999999</x:v>
      </x:c>
      <x:c r="O155" s="20">
        <x:f t="shared" ref="O155:O171" si="51">SUM(K155:N155)-D155</x:f>
        <x:v>0</x:v>
      </x:c>
      <x:c r="P155" s="30">
        <x:f t="shared" ref="P155:P158" si="52">+$I155*K155/$D155</x:f>
        <x:v>0</x:v>
      </x:c>
      <x:c r="Q155" s="31">
        <x:f t="shared" ref="Q155:Q158" si="53">+$I155*L155/$D155</x:f>
        <x:v>286123.5307116913</x:v>
      </x:c>
      <x:c r="R155" s="31">
        <x:f t="shared" ref="R155:R158" si="54">+$I155*M155/$D155</x:f>
        <x:v>0</x:v>
      </x:c>
      <x:c r="S155" s="32">
        <x:f t="shared" ref="S155:S158" si="55">+$I155*N155/$D155</x:f>
        <x:v>741535.69677158841</x:v>
      </x:c>
      <x:c r="T155" s="4">
        <x:f t="shared" ref="T155:T158" si="56">+I155-SUM(P155:S155)</x:f>
        <x:v>0</x:v>
      </x:c>
    </x:row>
    <x:row r="156" spans="1:31" outlineLevel="2" x14ac:dyDescent="0.25">
      <x:c r="A156" s="19" t="s">
        <x:v>37</x:v>
      </x:c>
      <x:c r="B156" s="21" t="s">
        <x:v>30</x:v>
      </x:c>
      <x:c r="C156" s="19">
        <x:f t="shared" si="48"/>
        <x:v>1.5</x:v>
      </x:c>
      <x:c r="D156" s="20">
        <x:v>18645574.849999998</x:v>
      </x:c>
      <x:c r="E156" s="21">
        <x:v>5</x:v>
      </x:c>
      <x:c r="F156" s="21">
        <x:v>3.7046929999999998</x:v>
      </x:c>
      <x:c r="G156" s="21">
        <x:f t="shared" si="49"/>
        <x:v>4830348.7244457891</x:v>
      </x:c>
      <x:c r="H156" s="21">
        <x:v>0.89364363462946084</x:v>
      </x:c>
      <x:c r="I156" s="36">
        <x:f t="shared" si="50"/>
        <x:v>4316610.3906415151</x:v>
      </x:c>
      <x:c r="J156" s="33"/>
      <x:c r="K156" s="28"/>
      <x:c r="L156" s="20">
        <x:v>2237032.63</x:v>
      </x:c>
      <x:c r="M156" s="20"/>
      <x:c r="N156" s="29">
        <x:v>16408542.219999999</x:v>
      </x:c>
      <x:c r="O156" s="20">
        <x:f t="shared" si="51"/>
        <x:v>0</x:v>
      </x:c>
      <x:c r="P156" s="30">
        <x:f t="shared" si="52"/>
        <x:v>0</x:v>
      </x:c>
      <x:c r="Q156" s="31">
        <x:f t="shared" si="53"/>
        <x:v>517892.22764897038</x:v>
      </x:c>
      <x:c r="R156" s="31">
        <x:f t="shared" si="54"/>
        <x:v>0</x:v>
      </x:c>
      <x:c r="S156" s="32">
        <x:f t="shared" si="55"/>
        <x:v>3798718.1629925449</x:v>
      </x:c>
      <x:c r="T156" s="4">
        <x:f t="shared" si="56"/>
        <x:v>0</x:v>
      </x:c>
    </x:row>
    <x:row r="157" spans="1:31" outlineLevel="2" x14ac:dyDescent="0.25">
      <x:c r="A157" s="19" t="s">
        <x:v>37</x:v>
      </x:c>
      <x:c r="B157" s="21" t="s">
        <x:v>31</x:v>
      </x:c>
      <x:c r="C157" s="19">
        <x:f t="shared" si="48"/>
        <x:v>2.5</x:v>
      </x:c>
      <x:c r="D157" s="20">
        <x:v>1896641.0699999998</x:v>
      </x:c>
      <x:c r="E157" s="35">
        <x:v>5</x:v>
      </x:c>
      <x:c r="F157" s="21">
        <x:v>2.9277549999999999</x:v>
      </x:c>
      <x:c r="G157" s="21">
        <x:f t="shared" si="49"/>
        <x:v>786060.99482043006</x:v>
      </x:c>
      <x:c r="H157" s="35">
        <x:v>0.89364363462946084</x:v>
      </x:c>
      <x:c r="I157" s="36">
        <x:f t="shared" si="50"/>
        <x:v>702458.40445177886</x:v>
      </x:c>
      <x:c r="J157" s="36"/>
      <x:c r="K157" s="39"/>
      <x:c r="L157" s="36"/>
      <x:c r="M157" s="36"/>
      <x:c r="N157" s="37">
        <x:v>1896641.0699999998</x:v>
      </x:c>
      <x:c r="O157" s="20">
        <x:f t="shared" si="51"/>
        <x:v>0</x:v>
      </x:c>
      <x:c r="P157" s="30">
        <x:f t="shared" si="52"/>
        <x:v>0</x:v>
      </x:c>
      <x:c r="Q157" s="31">
        <x:f t="shared" si="53"/>
        <x:v>0</x:v>
      </x:c>
      <x:c r="R157" s="31">
        <x:f t="shared" si="54"/>
        <x:v>0</x:v>
      </x:c>
      <x:c r="S157" s="32">
        <x:f t="shared" si="55"/>
        <x:v>702458.40445177886</x:v>
      </x:c>
      <x:c r="T157" s="4">
        <x:f t="shared" si="56"/>
        <x:v>0</x:v>
      </x:c>
    </x:row>
    <x:row r="158" spans="1:31" outlineLevel="2" x14ac:dyDescent="0.25">
      <x:c r="A158" s="19" t="s">
        <x:v>37</x:v>
      </x:c>
      <x:c r="B158" s="21" t="s">
        <x:v>16</x:v>
      </x:c>
      <x:c r="C158" s="19">
        <x:f t="shared" si="48"/>
        <x:v>3.5</x:v>
      </x:c>
      <x:c r="D158" s="20">
        <x:v>4506415.58</x:v>
      </x:c>
      <x:c r="E158" s="35">
        <x:v>5</x:v>
      </x:c>
      <x:c r="F158" s="21">
        <x:v>2.2386599999999999</x:v>
      </x:c>
      <x:c r="G158" s="21">
        <x:f t="shared" si="49"/>
        <x:v>2488749.1195354401</x:v>
      </x:c>
      <x:c r="H158" s="35">
        <x:v>0.89364363462946084</x:v>
      </x:c>
      <x:c r="I158" s="36">
        <x:f t="shared" si="50"/>
        <x:v>2224054.8088625213</x:v>
      </x:c>
      <x:c r="J158" s="36"/>
      <x:c r="K158" s="39"/>
      <x:c r="L158" s="36"/>
      <x:c r="M158" s="36"/>
      <x:c r="N158" s="37">
        <x:v>4506415.58</x:v>
      </x:c>
      <x:c r="O158" s="20">
        <x:f t="shared" si="51"/>
        <x:v>0</x:v>
      </x:c>
      <x:c r="P158" s="30">
        <x:f t="shared" si="52"/>
        <x:v>0</x:v>
      </x:c>
      <x:c r="Q158" s="31">
        <x:f t="shared" si="53"/>
        <x:v>0</x:v>
      </x:c>
      <x:c r="R158" s="31">
        <x:f t="shared" si="54"/>
        <x:v>0</x:v>
      </x:c>
      <x:c r="S158" s="32">
        <x:f t="shared" si="55"/>
        <x:v>2224054.8088625213</x:v>
      </x:c>
      <x:c r="T158" s="4">
        <x:f t="shared" si="56"/>
        <x:v>0</x:v>
      </x:c>
    </x:row>
    <x:row r="159" spans="1:31" s="10" customFormat="1" outlineLevel="1" x14ac:dyDescent="0.25">
      <x:c r="A159" s="38" t="s">
        <x:v>40</x:v>
      </x:c>
      <x:c r="B159" s="44"/>
      <x:c r="C159" s="38"/>
      <x:c r="D159" s="17">
        <x:f>SUBTOTAL(9,D155:D158)</x:f>
        <x:v>37915895.119999997</x:v>
      </x:c>
      <x:c r="E159" s="55"/>
      <x:c r="F159" s="55"/>
      <x:c r="G159" s="44">
        <x:f>SUBTOTAL(9,G155:G158)</x:f>
        <x:v>9255124.2026901264</x:v>
      </x:c>
      <x:c r="H159" s="44">
        <x:v>8270782.8314390955</x:v>
      </x:c>
      <x:c r="I159" s="58">
        <x:f>SUBTOTAL(9,I155:I158)</x:f>
        <x:v>8270782.8314390955</x:v>
      </x:c>
      <x:c r="J159" s="56"/>
      <x:c r="K159" s="66">
        <x:f>SUBTOTAL(9,K155:K158)</x:f>
        <x:v>0</x:v>
      </x:c>
      <x:c r="L159" s="58">
        <x:f t="shared" ref="L159:O159" si="57">SUBTOTAL(9,L155:L158)</x:f>
        <x:v>5819569.3300000001</x:v>
      </x:c>
      <x:c r="M159" s="58">
        <x:f t="shared" si="57"/>
        <x:v>0</x:v>
      </x:c>
      <x:c r="N159" s="60">
        <x:f t="shared" si="57"/>
        <x:v>32096325.789999999</x:v>
      </x:c>
      <x:c r="O159" s="58">
        <x:f t="shared" si="57"/>
        <x:v>0</x:v>
      </x:c>
      <x:c r="P159" s="61">
        <x:f t="shared" ref="P159:AD159" si="58">SUBTOTAL(9,P155:P158)</x:f>
        <x:v>0</x:v>
      </x:c>
      <x:c r="Q159" s="62">
        <x:f t="shared" si="58"/>
        <x:v>804015.75836066168</x:v>
      </x:c>
      <x:c r="R159" s="62">
        <x:f t="shared" si="58"/>
        <x:v>0</x:v>
      </x:c>
      <x:c r="S159" s="63">
        <x:f t="shared" si="58"/>
        <x:v>7466767.073078434</x:v>
      </x:c>
      <x:c r="T159" s="64">
        <x:f t="shared" si="58"/>
        <x:v>0</x:v>
      </x:c>
      <x:c r="U159" s="65">
        <x:f t="shared" si="58"/>
        <x:v>0</x:v>
      </x:c>
      <x:c r="V159" s="65">
        <x:f t="shared" si="58"/>
        <x:v>0</x:v>
      </x:c>
      <x:c r="W159" s="65">
        <x:f t="shared" si="58"/>
        <x:v>0</x:v>
      </x:c>
      <x:c r="X159" s="65">
        <x:f t="shared" si="58"/>
        <x:v>0</x:v>
      </x:c>
      <x:c r="Y159" s="65">
        <x:f t="shared" si="58"/>
        <x:v>0</x:v>
      </x:c>
      <x:c r="Z159" s="65">
        <x:f t="shared" si="58"/>
        <x:v>0</x:v>
      </x:c>
      <x:c r="AA159" s="65">
        <x:f t="shared" si="58"/>
        <x:v>0</x:v>
      </x:c>
      <x:c r="AB159" s="65">
        <x:f t="shared" si="58"/>
        <x:v>0</x:v>
      </x:c>
      <x:c r="AC159" s="65">
        <x:f t="shared" si="58"/>
        <x:v>0</x:v>
      </x:c>
      <x:c r="AD159" s="65">
        <x:f t="shared" si="58"/>
        <x:v>0</x:v>
      </x:c>
    </x:row>
    <x:row r="160" spans="1:31" outlineLevel="2" x14ac:dyDescent="0.25">
      <x:c r="A160" s="19" t="s">
        <x:v>38</x:v>
      </x:c>
      <x:c r="B160" s="21" t="s">
        <x:v>29</x:v>
      </x:c>
      <x:c r="C160" s="19">
        <x:f t="shared" ref="C160:C170" si="59">2024.5-B160</x:f>
        <x:v>0.5</x:v>
      </x:c>
      <x:c r="D160" s="20">
        <x:v>15022507.129999999</x:v>
      </x:c>
      <x:c r="E160" s="21">
        <x:v>8</x:v>
      </x:c>
      <x:c r="F160" s="21">
        <x:v>7.5506099999999998</x:v>
      </x:c>
      <x:c r="G160" s="21">
        <x:f t="shared" ref="G160:G170" si="60">+D160*(1-F160/E160)</x:f>
        <x:v>843870.55989383778</x:v>
      </x:c>
      <x:c r="H160" s="21">
        <x:v>0.89945620799348081</x:v>
      </x:c>
      <x:c r="I160" s="36">
        <x:f t="shared" si="50"/>
        <x:v>759024.6138394468</x:v>
      </x:c>
      <x:c r="J160" s="33"/>
      <x:c r="K160" s="28"/>
      <x:c r="L160" s="20">
        <x:v>7945830.629999999</x:v>
      </x:c>
      <x:c r="M160" s="20">
        <x:v>3711961.68</x:v>
      </x:c>
      <x:c r="N160" s="29">
        <x:v>3364714.82</x:v>
      </x:c>
      <x:c r="O160" s="20">
        <x:f t="shared" si="51"/>
        <x:v>0</x:v>
      </x:c>
      <x:c r="P160" s="30">
        <x:f t="shared" ref="P160:P170" si="61">+$I160*K160/$D160</x:f>
        <x:v>0</x:v>
      </x:c>
      <x:c r="Q160" s="31">
        <x:f t="shared" ref="Q160:Q170" si="62">+$I160*L160/$D160</x:f>
        <x:v>401469.6730298305</x:v>
      </x:c>
      <x:c r="R160" s="31">
        <x:f t="shared" ref="R160:R170" si="63">+$I160*M160/$D160</x:f>
        <x:v>187549.93799419314</x:v>
      </x:c>
      <x:c r="S160" s="32">
        <x:f t="shared" ref="S160:S170" si="64">+$I160*N160/$D160</x:f>
        <x:v>170005.00281542313</x:v>
      </x:c>
      <x:c r="T160" s="4">
        <x:f t="shared" ref="T160:T170" si="65">+I160-SUM(P160:S160)</x:f>
        <x:v>0</x:v>
      </x:c>
    </x:row>
    <x:row r="161" spans="1:32" outlineLevel="2" x14ac:dyDescent="0.25">
      <x:c r="A161" s="19" t="s">
        <x:v>38</x:v>
      </x:c>
      <x:c r="B161" s="21" t="s">
        <x:v>30</x:v>
      </x:c>
      <x:c r="C161" s="19">
        <x:f t="shared" si="59"/>
        <x:v>1.5</x:v>
      </x:c>
      <x:c r="D161" s="20">
        <x:v>32482027.800000001</x:v>
      </x:c>
      <x:c r="E161" s="21">
        <x:v>8</x:v>
      </x:c>
      <x:c r="F161" s="21">
        <x:v>6.6778959999999996</x:v>
      </x:c>
      <x:c r="G161" s="21">
        <x:f t="shared" si="60"/>
        <x:v>5368077.360311402</x:v>
      </x:c>
      <x:c r="H161" s="21">
        <x:v>0.89945620799348081</x:v>
      </x:c>
      <x:c r="I161" s="36">
        <x:f t="shared" si="50"/>
        <x:v>4828350.5067213476</x:v>
      </x:c>
      <x:c r="J161" s="33"/>
      <x:c r="K161" s="28"/>
      <x:c r="L161" s="20">
        <x:v>9825929.129999999</x:v>
      </x:c>
      <x:c r="M161" s="20">
        <x:v>4331863.6400000006</x:v>
      </x:c>
      <x:c r="N161" s="29">
        <x:v>18324235.030000001</x:v>
      </x:c>
      <x:c r="O161" s="20">
        <x:f t="shared" si="51"/>
        <x:v>0</x:v>
      </x:c>
      <x:c r="P161" s="30">
        <x:f t="shared" si="61"/>
        <x:v>0</x:v>
      </x:c>
      <x:c r="Q161" s="31">
        <x:f t="shared" si="62"/>
        <x:v>1460593.2297688492</x:v>
      </x:c>
      <x:c r="R161" s="31">
        <x:f t="shared" si="63"/>
        <x:v>643917.80371673056</x:v>
      </x:c>
      <x:c r="S161" s="32">
        <x:f t="shared" si="64"/>
        <x:v>2723839.4732357683</x:v>
      </x:c>
      <x:c r="T161" s="4">
        <x:f t="shared" si="65"/>
        <x:v>0</x:v>
      </x:c>
    </x:row>
    <x:row r="162" spans="1:32" outlineLevel="2" x14ac:dyDescent="0.25">
      <x:c r="A162" s="19" t="s">
        <x:v>38</x:v>
      </x:c>
      <x:c r="B162" s="21" t="s">
        <x:v>31</x:v>
      </x:c>
      <x:c r="C162" s="19">
        <x:f t="shared" si="59"/>
        <x:v>2.5</x:v>
      </x:c>
      <x:c r="D162" s="20">
        <x:v>19784438.080000002</x:v>
      </x:c>
      <x:c r="E162" s="21">
        <x:v>8</x:v>
      </x:c>
      <x:c r="F162" s="21">
        <x:v>5.8442860000000003</x:v>
      </x:c>
      <x:c r="G162" s="21">
        <x:f t="shared" si="60"/>
        <x:v>5331198.7688986398</x:v>
      </x:c>
      <x:c r="H162" s="21">
        <x:v>0.89945620799348081</x:v>
      </x:c>
      <x:c r="I162" s="36">
        <x:f t="shared" si="50"/>
        <x:v>4795179.8287330838</x:v>
      </x:c>
      <x:c r="J162" s="33"/>
      <x:c r="K162" s="28"/>
      <x:c r="L162" s="20">
        <x:v>6135049.2100000009</x:v>
      </x:c>
      <x:c r="M162" s="20">
        <x:v>96238.88</x:v>
      </x:c>
      <x:c r="N162" s="29">
        <x:v>13553149.99</x:v>
      </x:c>
      <x:c r="O162" s="20">
        <x:f t="shared" si="51"/>
        <x:v>0</x:v>
      </x:c>
      <x:c r="P162" s="30">
        <x:f t="shared" si="61"/>
        <x:v>0</x:v>
      </x:c>
      <x:c r="Q162" s="31">
        <x:f t="shared" si="62"/>
        <x:v>1486959.8065469465</x:v>
      </x:c>
      <x:c r="R162" s="31">
        <x:f t="shared" si="63"/>
        <x:v>23325.54173385266</x:v>
      </x:c>
      <x:c r="S162" s="32">
        <x:f t="shared" si="64"/>
        <x:v>3284894.4804522847</x:v>
      </x:c>
      <x:c r="T162" s="4">
        <x:f t="shared" si="65"/>
        <x:v>0</x:v>
      </x:c>
    </x:row>
    <x:row r="163" spans="1:32" outlineLevel="2" x14ac:dyDescent="0.25">
      <x:c r="A163" s="19" t="s">
        <x:v>38</x:v>
      </x:c>
      <x:c r="B163" s="21" t="s">
        <x:v>16</x:v>
      </x:c>
      <x:c r="C163" s="19">
        <x:f t="shared" si="59"/>
        <x:v>3.5</x:v>
      </x:c>
      <x:c r="D163" s="20">
        <x:v>5382084.4600000009</x:v>
      </x:c>
      <x:c r="E163" s="21">
        <x:v>8</x:v>
      </x:c>
      <x:c r="F163" s="21">
        <x:v>5.0554050000000004</x:v>
      </x:c>
      <x:c r="G163" s="21">
        <x:f t="shared" si="60"/>
        <x:v>1981007.3738117125</x:v>
      </x:c>
      <x:c r="H163" s="35">
        <x:v>0.89945620799348081</x:v>
      </x:c>
      <x:c r="I163" s="36">
        <x:f t="shared" si="50"/>
        <x:v>1781829.3804558069</x:v>
      </x:c>
      <x:c r="J163" s="33"/>
      <x:c r="K163" s="28"/>
      <x:c r="L163" s="20">
        <x:v>4369347.1000000006</x:v>
      </x:c>
      <x:c r="M163" s="20"/>
      <x:c r="N163" s="29">
        <x:v>1012737.3600000001</x:v>
      </x:c>
      <x:c r="O163" s="20">
        <x:f t="shared" si="51"/>
        <x:v>0</x:v>
      </x:c>
      <x:c r="P163" s="30">
        <x:f t="shared" si="61"/>
        <x:v>0</x:v>
      </x:c>
      <x:c r="Q163" s="31">
        <x:f t="shared" si="62"/>
        <x:v>1446545.6820774931</x:v>
      </x:c>
      <x:c r="R163" s="31">
        <x:f t="shared" si="63"/>
        <x:v>0</x:v>
      </x:c>
      <x:c r="S163" s="32">
        <x:f t="shared" si="64"/>
        <x:v>335283.69837831368</x:v>
      </x:c>
      <x:c r="T163" s="4">
        <x:f t="shared" si="65"/>
        <x:v>0</x:v>
      </x:c>
    </x:row>
    <x:row r="164" spans="1:32" outlineLevel="2" x14ac:dyDescent="0.25">
      <x:c r="A164" s="19" t="s">
        <x:v>38</x:v>
      </x:c>
      <x:c r="B164" s="21" t="s">
        <x:v>15</x:v>
      </x:c>
      <x:c r="C164" s="19">
        <x:f t="shared" si="59"/>
        <x:v>4.5</x:v>
      </x:c>
      <x:c r="D164" s="20">
        <x:v>5658230.0099999998</x:v>
      </x:c>
      <x:c r="E164" s="21">
        <x:v>8</x:v>
      </x:c>
      <x:c r="F164" s="21">
        <x:v>4.3171759999999999</x:v>
      </x:c>
      <x:c r="G164" s="21">
        <x:f t="shared" si="60"/>
        <x:v>2604783.1597935301</x:v>
      </x:c>
      <x:c r="H164" s="35">
        <x:v>0.89945620799348081</x:v>
      </x:c>
      <x:c r="I164" s="36">
        <x:f t="shared" si="50"/>
        <x:v>2342888.3835531655</x:v>
      </x:c>
      <x:c r="J164" s="33"/>
      <x:c r="K164" s="28"/>
      <x:c r="L164" s="20">
        <x:v>3008193.88</x:v>
      </x:c>
      <x:c r="M164" s="20"/>
      <x:c r="N164" s="29">
        <x:v>2650036.13</x:v>
      </x:c>
      <x:c r="O164" s="20">
        <x:f t="shared" si="51"/>
        <x:v>0</x:v>
      </x:c>
      <x:c r="P164" s="30">
        <x:f t="shared" si="61"/>
        <x:v>0</x:v>
      </x:c>
      <x:c r="Q164" s="31">
        <x:f t="shared" si="62"/>
        <x:v>1245594.9094454937</x:v>
      </x:c>
      <x:c r="R164" s="31">
        <x:f t="shared" si="63"/>
        <x:v>0</x:v>
      </x:c>
      <x:c r="S164" s="32">
        <x:f t="shared" si="64"/>
        <x:v>1097293.4741076718</x:v>
      </x:c>
      <x:c r="T164" s="4">
        <x:f t="shared" si="65"/>
        <x:v>0</x:v>
      </x:c>
    </x:row>
    <x:row r="165" spans="1:32" outlineLevel="2" x14ac:dyDescent="0.25">
      <x:c r="A165" s="19" t="s">
        <x:v>38</x:v>
      </x:c>
      <x:c r="B165" s="21" t="s">
        <x:v>14</x:v>
      </x:c>
      <x:c r="C165" s="19">
        <x:f t="shared" si="59"/>
        <x:v>5.5</x:v>
      </x:c>
      <x:c r="D165" s="20">
        <x:v>19140177.100000001</x:v>
      </x:c>
      <x:c r="E165" s="21">
        <x:v>8</x:v>
      </x:c>
      <x:c r="F165" s="21">
        <x:v>3.63625</x:v>
      </x:c>
      <x:c r="G165" s="21">
        <x:f t="shared" si="60"/>
        <x:v>10440368.477515625</x:v>
      </x:c>
      <x:c r="H165" s="35">
        <x:v>0.89945620799348081</x:v>
      </x:c>
      <x:c r="I165" s="36">
        <x:f t="shared" si="50"/>
        <x:v>9390654.2408408746</x:v>
      </x:c>
      <x:c r="J165" s="33"/>
      <x:c r="K165" s="28"/>
      <x:c r="L165" s="20">
        <x:v>15429126.24</x:v>
      </x:c>
      <x:c r="M165" s="20"/>
      <x:c r="N165" s="29">
        <x:v>3711050.86</x:v>
      </x:c>
      <x:c r="O165" s="20">
        <x:f t="shared" si="51"/>
        <x:v>0</x:v>
      </x:c>
      <x:c r="P165" s="30">
        <x:f t="shared" si="61"/>
        <x:v>0</x:v>
      </x:c>
      <x:c r="Q165" s="31">
        <x:f t="shared" si="62"/>
        <x:v>7569918.9720728975</x:v>
      </x:c>
      <x:c r="R165" s="31">
        <x:f t="shared" si="63"/>
        <x:v>0</x:v>
      </x:c>
      <x:c r="S165" s="32">
        <x:f t="shared" si="64"/>
        <x:v>1820735.2687679764</x:v>
      </x:c>
      <x:c r="T165" s="4">
        <x:f t="shared" si="65"/>
        <x:v>0</x:v>
      </x:c>
    </x:row>
    <x:row r="166" spans="1:32" outlineLevel="2" x14ac:dyDescent="0.25">
      <x:c r="A166" s="19" t="s">
        <x:v>38</x:v>
      </x:c>
      <x:c r="B166" s="21" t="s">
        <x:v>13</x:v>
      </x:c>
      <x:c r="C166" s="19">
        <x:f t="shared" si="59"/>
        <x:v>6.5</x:v>
      </x:c>
      <x:c r="D166" s="20">
        <x:v>1620576.87</x:v>
      </x:c>
      <x:c r="E166" s="21">
        <x:v>8</x:v>
      </x:c>
      <x:c r="F166" s="21">
        <x:v>3.0199639999999999</x:v>
      </x:c>
      <x:c r="G166" s="21">
        <x:f t="shared" si="60"/>
        <x:v>1008816.3941709151</x:v>
      </x:c>
      <x:c r="H166" s="35">
        <x:v>0.89945620799348081</x:v>
      </x:c>
      <x:c r="I166" s="36">
        <x:f t="shared" si="50"/>
        <x:v>907386.16846262792</x:v>
      </x:c>
      <x:c r="J166" s="33"/>
      <x:c r="K166" s="28"/>
      <x:c r="L166" s="20">
        <x:v>1620576.87</x:v>
      </x:c>
      <x:c r="M166" s="20"/>
      <x:c r="N166" s="29"/>
      <x:c r="O166" s="20">
        <x:f t="shared" si="51"/>
        <x:v>0</x:v>
      </x:c>
      <x:c r="P166" s="30">
        <x:f t="shared" si="61"/>
        <x:v>0</x:v>
      </x:c>
      <x:c r="Q166" s="31">
        <x:f t="shared" si="62"/>
        <x:v>907386.1684626278</x:v>
      </x:c>
      <x:c r="R166" s="31">
        <x:f t="shared" si="63"/>
        <x:v>0</x:v>
      </x:c>
      <x:c r="S166" s="32">
        <x:f t="shared" si="64"/>
        <x:v>0</x:v>
      </x:c>
      <x:c r="T166" s="4">
        <x:f t="shared" si="65"/>
        <x:v>0</x:v>
      </x:c>
    </x:row>
    <x:row r="167" spans="1:32" outlineLevel="2" x14ac:dyDescent="0.25">
      <x:c r="A167" s="19" t="s">
        <x:v>38</x:v>
      </x:c>
      <x:c r="B167" s="21" t="s">
        <x:v>12</x:v>
      </x:c>
      <x:c r="C167" s="19">
        <x:f t="shared" si="59"/>
        <x:v>7.5</x:v>
      </x:c>
      <x:c r="D167" s="20">
        <x:v>3235716.7199999993</x:v>
      </x:c>
      <x:c r="E167" s="21">
        <x:v>8</x:v>
      </x:c>
      <x:c r="F167" s="21">
        <x:v>2.4752879999999999</x:v>
      </x:c>
      <x:c r="G167" s="21">
        <x:f t="shared" si="60"/>
        <x:v>2234550.3739480795</x:v>
      </x:c>
      <x:c r="H167" s="35">
        <x:v>0.89945620799348081</x:v>
      </x:c>
      <x:c r="I167" s="36">
        <x:f t="shared" si="50"/>
        <x:v>2009880.2059217542</x:v>
      </x:c>
      <x:c r="J167" s="33"/>
      <x:c r="K167" s="28"/>
      <x:c r="L167" s="20">
        <x:v>3235716.7199999993</x:v>
      </x:c>
      <x:c r="M167" s="20"/>
      <x:c r="N167" s="29"/>
      <x:c r="O167" s="20">
        <x:f t="shared" si="51"/>
        <x:v>0</x:v>
      </x:c>
      <x:c r="P167" s="30">
        <x:f t="shared" si="61"/>
        <x:v>0</x:v>
      </x:c>
      <x:c r="Q167" s="31">
        <x:f t="shared" si="62"/>
        <x:v>2009880.2059217542</x:v>
      </x:c>
      <x:c r="R167" s="31">
        <x:f t="shared" si="63"/>
        <x:v>0</x:v>
      </x:c>
      <x:c r="S167" s="32">
        <x:f t="shared" si="64"/>
        <x:v>0</x:v>
      </x:c>
      <x:c r="T167" s="4">
        <x:f t="shared" si="65"/>
        <x:v>0</x:v>
      </x:c>
    </x:row>
    <x:row r="168" spans="1:32" outlineLevel="2" x14ac:dyDescent="0.25">
      <x:c r="A168" s="19" t="s">
        <x:v>38</x:v>
      </x:c>
      <x:c r="B168" s="21" t="s">
        <x:v>11</x:v>
      </x:c>
      <x:c r="C168" s="19">
        <x:f t="shared" si="59"/>
        <x:v>8.5</x:v>
      </x:c>
      <x:c r="D168" s="20">
        <x:v>3211558.64</x:v>
      </x:c>
      <x:c r="E168" s="21">
        <x:v>8</x:v>
      </x:c>
      <x:c r="F168" s="21">
        <x:v>2.0065409999999999</x:v>
      </x:c>
      <x:c r="G168" s="21">
        <x:f t="shared" si="60"/>
        <x:v>2406043.1293669702</x:v>
      </x:c>
      <x:c r="H168" s="35">
        <x:v>0.89945620799348081</x:v>
      </x:c>
      <x:c r="I168" s="36">
        <x:f t="shared" si="50"/>
        <x:v>2164130.4294091831</x:v>
      </x:c>
      <x:c r="J168" s="33"/>
      <x:c r="K168" s="28"/>
      <x:c r="L168" s="20">
        <x:v>3211558.64</x:v>
      </x:c>
      <x:c r="M168" s="20"/>
      <x:c r="N168" s="29"/>
      <x:c r="O168" s="20">
        <x:f t="shared" si="51"/>
        <x:v>0</x:v>
      </x:c>
      <x:c r="P168" s="30">
        <x:f t="shared" si="61"/>
        <x:v>0</x:v>
      </x:c>
      <x:c r="Q168" s="31">
        <x:f t="shared" si="62"/>
        <x:v>2164130.4294091831</x:v>
      </x:c>
      <x:c r="R168" s="31">
        <x:f t="shared" si="63"/>
        <x:v>0</x:v>
      </x:c>
      <x:c r="S168" s="32">
        <x:f t="shared" si="64"/>
        <x:v>0</x:v>
      </x:c>
      <x:c r="T168" s="4">
        <x:f t="shared" si="65"/>
        <x:v>0</x:v>
      </x:c>
    </x:row>
    <x:row r="169" spans="1:32" outlineLevel="2" x14ac:dyDescent="0.25">
      <x:c r="A169" s="19" t="s">
        <x:v>38</x:v>
      </x:c>
      <x:c r="B169" s="21" t="s">
        <x:v>8</x:v>
      </x:c>
      <x:c r="C169" s="19">
        <x:f t="shared" si="59"/>
        <x:v>11.5</x:v>
      </x:c>
      <x:c r="D169" s="20">
        <x:v>1685344.17</x:v>
      </x:c>
      <x:c r="E169" s="21">
        <x:v>8</x:v>
      </x:c>
      <x:c r="F169" s="21">
        <x:v>0.993815</x:v>
      </x:c>
      <x:c r="G169" s="21">
        <x:f t="shared" si="60"/>
        <x:v>1475979.1304614313</x:v>
      </x:c>
      <x:c r="H169" s="35">
        <x:v>0.89945620799348081</x:v>
      </x:c>
      <x:c r="I169" s="36">
        <x:f t="shared" si="50"/>
        <x:v>1327578.5917623541</x:v>
      </x:c>
      <x:c r="J169" s="36"/>
      <x:c r="K169" s="39"/>
      <x:c r="L169" s="36">
        <x:v>1685344.17</x:v>
      </x:c>
      <x:c r="M169" s="36"/>
      <x:c r="N169" s="37"/>
      <x:c r="O169" s="20">
        <x:f t="shared" si="51"/>
        <x:v>0</x:v>
      </x:c>
      <x:c r="P169" s="30">
        <x:f t="shared" si="61"/>
        <x:v>0</x:v>
      </x:c>
      <x:c r="Q169" s="31">
        <x:f t="shared" si="62"/>
        <x:v>1327578.5917623541</x:v>
      </x:c>
      <x:c r="R169" s="31">
        <x:f t="shared" si="63"/>
        <x:v>0</x:v>
      </x:c>
      <x:c r="S169" s="32">
        <x:f t="shared" si="64"/>
        <x:v>0</x:v>
      </x:c>
      <x:c r="T169" s="4">
        <x:f t="shared" si="65"/>
        <x:v>0</x:v>
      </x:c>
    </x:row>
    <x:row r="170" spans="1:32" outlineLevel="2" x14ac:dyDescent="0.25">
      <x:c r="A170" s="19" t="s">
        <x:v>38</x:v>
      </x:c>
      <x:c r="B170" s="21" t="s">
        <x:v>6</x:v>
      </x:c>
      <x:c r="C170" s="19">
        <x:f t="shared" si="59"/>
        <x:v>13.5</x:v>
      </x:c>
      <x:c r="D170" s="20">
        <x:v>1280510.69</x:v>
      </x:c>
      <x:c r="E170" s="21">
        <x:v>8</x:v>
      </x:c>
      <x:c r="F170" s="21">
        <x:v>0</x:v>
      </x:c>
      <x:c r="G170" s="21">
        <x:f t="shared" si="60"/>
        <x:v>1280510.69</x:v>
      </x:c>
      <x:c r="H170" s="35">
        <x:v>0.89945620799348081</x:v>
      </x:c>
      <x:c r="I170" s="36">
        <x:f t="shared" si="50"/>
        <x:v>1151763.2895225156</x:v>
      </x:c>
      <x:c r="J170" s="36"/>
      <x:c r="K170" s="39"/>
      <x:c r="L170" s="36"/>
      <x:c r="M170" s="36">
        <x:v>1280510.69</x:v>
      </x:c>
      <x:c r="N170" s="37"/>
      <x:c r="O170" s="20">
        <x:f t="shared" si="51"/>
        <x:v>0</x:v>
      </x:c>
      <x:c r="P170" s="30">
        <x:f t="shared" si="61"/>
        <x:v>0</x:v>
      </x:c>
      <x:c r="Q170" s="31">
        <x:f t="shared" si="62"/>
        <x:v>0</x:v>
      </x:c>
      <x:c r="R170" s="31">
        <x:f t="shared" si="63"/>
        <x:v>1151763.2895225156</x:v>
      </x:c>
      <x:c r="S170" s="32">
        <x:f t="shared" si="64"/>
        <x:v>0</x:v>
      </x:c>
      <x:c r="T170" s="4">
        <x:f t="shared" si="65"/>
        <x:v>0</x:v>
      </x:c>
    </x:row>
    <x:row r="171" spans="1:32" s="10" customFormat="1" outlineLevel="1" x14ac:dyDescent="0.25">
      <x:c r="A171" s="38" t="s">
        <x:v>39</x:v>
      </x:c>
      <x:c r="B171" s="44"/>
      <x:c r="C171" s="38"/>
      <x:c r="D171" s="17">
        <x:f>SUBTOTAL(9,D160:D170)</x:f>
        <x:v>108503171.67000002</x:v>
      </x:c>
      <x:c r="E171" s="44"/>
      <x:c r="F171" s="44"/>
      <x:c r="G171" s="44">
        <x:f>SUBTOTAL(9,G160:G170)</x:f>
        <x:v>34975205.418172136</x:v>
      </x:c>
      <x:c r="H171" s="55">
        <x:v>31458665.639222153</x:v>
      </x:c>
      <x:c r="I171" s="56">
        <x:f>SUBTOTAL(9,I160:I170)</x:f>
        <x:v>31458665.63922216</x:v>
      </x:c>
      <x:c r="J171" s="56"/>
      <x:c r="K171" s="66">
        <x:f t="shared" ref="K171:X171" si="66">SUBTOTAL(9,K160:K170)</x:f>
        <x:v>0</x:v>
      </x:c>
      <x:c r="L171" s="56">
        <x:f t="shared" si="66"/>
        <x:v>56466672.589999996</x:v>
      </x:c>
      <x:c r="M171" s="56">
        <x:f t="shared" si="66"/>
        <x:v>9420574.8900000006</x:v>
      </x:c>
      <x:c r="N171" s="57">
        <x:f t="shared" si="66"/>
        <x:v>42615924.190000005</x:v>
      </x:c>
      <x:c r="O171" s="17">
        <x:f t="shared" si="51"/>
        <x:v>0</x:v>
      </x:c>
      <x:c r="P171" s="67">
        <x:f t="shared" si="66"/>
        <x:v>0</x:v>
      </x:c>
      <x:c r="Q171" s="68">
        <x:f t="shared" si="66"/>
        <x:v>20020057.668497428</x:v>
      </x:c>
      <x:c r="R171" s="68">
        <x:f t="shared" si="66"/>
        <x:v>2006556.572967292</x:v>
      </x:c>
      <x:c r="S171" s="69">
        <x:f t="shared" si="66"/>
        <x:v>9432051.3977574371</x:v>
      </x:c>
      <x:c r="T171" s="49">
        <x:f t="shared" si="66"/>
        <x:v>0</x:v>
      </x:c>
      <x:c r="U171" s="49">
        <x:f t="shared" si="66"/>
        <x:v>0</x:v>
      </x:c>
      <x:c r="V171" s="49">
        <x:f t="shared" si="66"/>
        <x:v>0</x:v>
      </x:c>
      <x:c r="W171" s="49">
        <x:f t="shared" si="66"/>
        <x:v>0</x:v>
      </x:c>
      <x:c r="X171" s="49">
        <x:f t="shared" si="66"/>
        <x:v>0</x:v>
      </x:c>
      <x:c r="Z171" s="11">
        <x:f t="shared" ref="Z171:AF171" si="67">SUBTOTAL(9,Z160:Z170)</x:f>
        <x:v>0</x:v>
      </x:c>
      <x:c r="AA171" s="11">
        <x:f t="shared" si="67"/>
        <x:v>0</x:v>
      </x:c>
      <x:c r="AB171" s="11">
        <x:f t="shared" si="67"/>
        <x:v>0</x:v>
      </x:c>
      <x:c r="AC171" s="11">
        <x:f t="shared" si="67"/>
        <x:v>0</x:v>
      </x:c>
      <x:c r="AD171" s="11">
        <x:f t="shared" si="67"/>
        <x:v>0</x:v>
      </x:c>
      <x:c r="AE171" s="11">
        <x:f t="shared" si="67"/>
        <x:v>0</x:v>
      </x:c>
      <x:c r="AF171" s="11">
        <x:f t="shared" si="67"/>
        <x:v>0</x:v>
      </x:c>
    </x:row>
    <x:row r="172" spans="1:32" s="10" customFormat="1" outlineLevel="1" x14ac:dyDescent="0.25">
      <x:c r="A172" s="38" t="s">
        <x:v>48</x:v>
      </x:c>
      <x:c r="B172" s="44"/>
      <x:c r="C172" s="38"/>
      <x:c r="D172" s="17">
        <x:f>+D171+D159+D154</x:f>
        <x:v>702514152.56999993</x:v>
      </x:c>
      <x:c r="E172" s="55"/>
      <x:c r="F172" s="55"/>
      <x:c r="G172" s="17">
        <x:f>+G171+G159+G154</x:f>
        <x:v>232066652.90588456</x:v>
      </x:c>
      <x:c r="H172" s="17"/>
      <x:c r="I172" s="17">
        <x:f>+I171+I159+I154</x:f>
        <x:v>207590320.3065232</x:v>
      </x:c>
      <x:c r="J172" s="17">
        <x:f>+J171+J159+J154</x:f>
        <x:v>0</x:v>
      </x:c>
      <x:c r="K172" s="45">
        <x:f t="shared" ref="K172:X172" si="68">+K171+K159+K154</x:f>
        <x:v>0</x:v>
      </x:c>
      <x:c r="L172" s="17">
        <x:f t="shared" si="68"/>
        <x:v>327580421.51999998</x:v>
      </x:c>
      <x:c r="M172" s="17">
        <x:f t="shared" si="68"/>
        <x:v>40060495.369999997</x:v>
      </x:c>
      <x:c r="N172" s="46">
        <x:f t="shared" si="68"/>
        <x:v>334873235.68000001</x:v>
      </x:c>
      <x:c r="O172" s="17">
        <x:f t="shared" si="68"/>
        <x:v>0</x:v>
      </x:c>
      <x:c r="P172" s="47">
        <x:f t="shared" si="68"/>
        <x:v>0</x:v>
      </x:c>
      <x:c r="Q172" s="18">
        <x:f t="shared" si="68"/>
        <x:v>90241525.157268405</x:v>
      </x:c>
      <x:c r="R172" s="18">
        <x:f t="shared" si="68"/>
        <x:v>8505794.594243465</x:v>
      </x:c>
      <x:c r="S172" s="48">
        <x:f t="shared" si="68"/>
        <x:v>108843000.55501133</x:v>
      </x:c>
      <x:c r="T172" s="13">
        <x:f t="shared" si="68"/>
        <x:v>0</x:v>
      </x:c>
      <x:c r="U172" s="13">
        <x:f t="shared" si="68"/>
        <x:v>0</x:v>
      </x:c>
      <x:c r="V172" s="13">
        <x:f t="shared" si="68"/>
        <x:v>0</x:v>
      </x:c>
      <x:c r="W172" s="13">
        <x:f t="shared" si="68"/>
        <x:v>0</x:v>
      </x:c>
      <x:c r="X172" s="13">
        <x:f t="shared" si="68"/>
        <x:v>0</x:v>
      </x:c>
    </x:row>
    <x:row r="173" spans="1:32" outlineLevel="1" x14ac:dyDescent="0.25">
      <x:c r="A173" s="19" t="s">
        <x:v>49</x:v>
      </x:c>
      <x:c r="B173" s="21"/>
      <x:c r="C173" s="19"/>
      <x:c r="D173" s="20">
        <x:v>81013398.079999998</x:v>
      </x:c>
      <x:c r="E173" s="35"/>
      <x:c r="F173" s="35"/>
      <x:c r="G173" s="21"/>
      <x:c r="H173" s="35"/>
      <x:c r="I173" s="36">
        <x:f>+G12</x:f>
        <x:v>81013398.079999998</x:v>
      </x:c>
      <x:c r="J173" s="36"/>
      <x:c r="K173" s="39"/>
      <x:c r="L173" s="36"/>
      <x:c r="M173" s="36">
        <x:v>81013398.079999998</x:v>
      </x:c>
      <x:c r="N173" s="37"/>
      <x:c r="O173" s="36"/>
      <x:c r="P173" s="30"/>
      <x:c r="Q173" s="31"/>
      <x:c r="R173" s="31">
        <x:v>81013398.079999998</x:v>
      </x:c>
      <x:c r="S173" s="32"/>
      <x:c r="T173" s="4"/>
    </x:row>
    <x:row r="174" spans="1:32" s="10" customFormat="1" outlineLevel="1" x14ac:dyDescent="0.25">
      <x:c r="A174" s="38" t="s">
        <x:v>50</x:v>
      </x:c>
      <x:c r="B174" s="44"/>
      <x:c r="C174" s="38"/>
      <x:c r="D174" s="17">
        <x:f>+D172+D173</x:f>
        <x:v>783527550.64999998</x:v>
      </x:c>
      <x:c r="E174" s="55"/>
      <x:c r="F174" s="55"/>
      <x:c r="G174" s="44"/>
      <x:c r="H174" s="55"/>
      <x:c r="I174" s="56">
        <x:f>+I172+I173</x:f>
        <x:v>288603718.38652319</x:v>
      </x:c>
      <x:c r="J174" s="56"/>
      <x:c r="K174" s="66"/>
      <x:c r="L174" s="56">
        <x:f>SUM(L172:L173)</x:f>
        <x:v>327580421.51999998</x:v>
      </x:c>
      <x:c r="M174" s="56">
        <x:f t="shared" ref="M174:O174" si="69">SUM(M172:M173)</x:f>
        <x:v>121073893.44999999</x:v>
      </x:c>
      <x:c r="N174" s="57">
        <x:f t="shared" si="69"/>
        <x:v>334873235.68000001</x:v>
      </x:c>
      <x:c r="O174" s="56">
        <x:f t="shared" si="69"/>
        <x:v>0</x:v>
      </x:c>
      <x:c r="P174" s="67">
        <x:f t="shared" ref="P174" si="70">SUM(P172:P173)</x:f>
        <x:v>0</x:v>
      </x:c>
      <x:c r="Q174" s="68">
        <x:f t="shared" ref="Q174" si="71">SUM(Q172:Q173)</x:f>
        <x:v>90241525.157268405</x:v>
      </x:c>
      <x:c r="R174" s="68">
        <x:f t="shared" ref="R174" si="72">SUM(R172:R173)</x:f>
        <x:v>89519192.674243465</x:v>
      </x:c>
      <x:c r="S174" s="69">
        <x:f t="shared" ref="S174" si="73">SUM(S172:S173)</x:f>
        <x:v>108843000.55501133</x:v>
      </x:c>
      <x:c r="T174" s="49">
        <x:f t="shared" ref="T174" si="74">SUM(T172:T173)</x:f>
        <x:v>0</x:v>
      </x:c>
      <x:c r="U174" s="11"/>
    </x:row>
    <x:row r="175" spans="1:32" outlineLevel="1" x14ac:dyDescent="0.25">
      <x:c r="A175" s="19"/>
      <x:c r="B175" s="21"/>
      <x:c r="C175" s="19"/>
      <x:c r="D175" s="20"/>
      <x:c r="E175" s="35"/>
      <x:c r="F175" s="35"/>
      <x:c r="G175" s="21"/>
      <x:c r="H175" s="35"/>
      <x:c r="I175" s="36"/>
      <x:c r="J175" s="36"/>
      <x:c r="K175" s="39"/>
      <x:c r="L175" s="36"/>
      <x:c r="M175" s="36"/>
      <x:c r="N175" s="37"/>
      <x:c r="O175" s="36"/>
      <x:c r="P175" s="30"/>
      <x:c r="Q175" s="31"/>
      <x:c r="R175" s="31"/>
      <x:c r="S175" s="32"/>
      <x:c r="T175" s="4"/>
    </x:row>
    <x:row r="176" spans="1:32" outlineLevel="2" x14ac:dyDescent="0.25">
      <x:c r="A176" s="40">
        <x:v>397.2</x:v>
      </x:c>
      <x:c r="B176" s="40" t="s">
        <x:v>9</x:v>
      </x:c>
      <x:c r="C176" s="40">
        <x:f t="shared" ref="C176:C182" si="75">2024.5-B176</x:f>
        <x:v>10.5</x:v>
      </x:c>
      <x:c r="D176" s="36">
        <x:v>3243740.37</x:v>
      </x:c>
      <x:c r="E176" s="35"/>
      <x:c r="F176" s="35"/>
      <x:c r="G176" s="21"/>
      <x:c r="H176" s="41"/>
      <x:c r="I176" s="35">
        <x:f t="shared" ref="I176:I185" si="76">+V$186/D$186*D176</x:f>
        <x:v>893130.36313959269</x:v>
      </x:c>
      <x:c r="J176" s="36"/>
      <x:c r="K176" s="39">
        <x:v>1498964.86</x:v>
      </x:c>
      <x:c r="L176" s="36">
        <x:v>1694789.47</x:v>
      </x:c>
      <x:c r="M176" s="36">
        <x:v>46709.86</x:v>
      </x:c>
      <x:c r="N176" s="37">
        <x:v>3276.18</x:v>
      </x:c>
      <x:c r="O176" s="36"/>
      <x:c r="P176" s="30">
        <x:f t="shared" ref="P176:P185" si="77">+$I176*K176/$D176</x:f>
        <x:v>412724.47145493608</x:v>
      </x:c>
      <x:c r="Q176" s="31">
        <x:f t="shared" ref="Q176:Q185" si="78">+$I176*L176/$D176</x:f>
        <x:v>466642.75254133786</x:v>
      </x:c>
      <x:c r="R176" s="31">
        <x:f t="shared" ref="R176:R185" si="79">+$I176*M176/$D176</x:f>
        <x:v>12861.076863559068</x:v>
      </x:c>
      <x:c r="S176" s="32">
        <x:f t="shared" ref="S176:S185" si="80">+$I176*N176/$D176</x:f>
        <x:v>902.0622797596684</x:v>
      </x:c>
      <x:c r="T176" s="4">
        <x:f t="shared" ref="T176:T185" si="81">+I176-SUM(P176:S176)</x:f>
        <x:v>0</x:v>
      </x:c>
    </x:row>
    <x:row r="177" spans="1:22" outlineLevel="2" x14ac:dyDescent="0.25">
      <x:c r="A177" s="40">
        <x:v>397.2</x:v>
      </x:c>
      <x:c r="B177" s="40" t="s">
        <x:v>11</x:v>
      </x:c>
      <x:c r="C177" s="40">
        <x:f t="shared" si="75"/>
        <x:v>8.5</x:v>
      </x:c>
      <x:c r="D177" s="36">
        <x:v>1039654.7699999999</x:v>
      </x:c>
      <x:c r="E177" s="35"/>
      <x:c r="F177" s="35"/>
      <x:c r="G177" s="21"/>
      <x:c r="H177" s="41"/>
      <x:c r="I177" s="35">
        <x:f t="shared" si="76"/>
        <x:v>286258.18849672901</x:v>
      </x:c>
      <x:c r="J177" s="36"/>
      <x:c r="K177" s="39">
        <x:v>480434.87</x:v>
      </x:c>
      <x:c r="L177" s="36">
        <x:v>543198.81999999995</x:v>
      </x:c>
      <x:c r="M177" s="36">
        <x:v>14971.03</x:v>
      </x:c>
      <x:c r="N177" s="37">
        <x:v>1050.05</x:v>
      </x:c>
      <x:c r="O177" s="36"/>
      <x:c r="P177" s="30">
        <x:f t="shared" si="77"/>
        <x:v>132282.77265236949</x:v>
      </x:c>
      <x:c r="Q177" s="31">
        <x:f t="shared" si="78"/>
        <x:v>149564.17716119435</x:v>
      </x:c>
      <x:c r="R177" s="31">
        <x:f t="shared" si="79"/>
        <x:v>4122.1182755985292</x:v>
      </x:c>
      <x:c r="S177" s="32">
        <x:f t="shared" si="80"/>
        <x:v>289.12040756662935</x:v>
      </x:c>
      <x:c r="T177" s="4">
        <x:f t="shared" si="81"/>
        <x:v>0</x:v>
      </x:c>
    </x:row>
    <x:row r="178" spans="1:22" outlineLevel="2" x14ac:dyDescent="0.25">
      <x:c r="A178" s="40">
        <x:v>397.2</x:v>
      </x:c>
      <x:c r="B178" s="40" t="s">
        <x:v>12</x:v>
      </x:c>
      <x:c r="C178" s="40">
        <x:f t="shared" si="75"/>
        <x:v>7.5</x:v>
      </x:c>
      <x:c r="D178" s="36">
        <x:v>20857355.460000001</x:v>
      </x:c>
      <x:c r="E178" s="35"/>
      <x:c r="F178" s="35"/>
      <x:c r="G178" s="21"/>
      <x:c r="H178" s="41"/>
      <x:c r="I178" s="35">
        <x:f t="shared" si="76"/>
        <x:v>5742857.1128586866</x:v>
      </x:c>
      <x:c r="J178" s="36"/>
      <x:c r="K178" s="39">
        <x:v>9638392.5299999993</x:v>
      </x:c>
      <x:c r="L178" s="36">
        <x:v>10897551.08</x:v>
      </x:c>
      <x:c r="M178" s="36">
        <x:v>300345.92</x:v>
      </x:c>
      <x:c r="N178" s="37">
        <x:v>21065.93</x:v>
      </x:c>
      <x:c r="O178" s="36"/>
      <x:c r="P178" s="30">
        <x:f t="shared" si="77"/>
        <x:v>2653831.6999769122</x:v>
      </x:c>
      <x:c r="Q178" s="31">
        <x:f t="shared" si="78"/>
        <x:v>3000527.9841224346</x:v>
      </x:c>
      <x:c r="R178" s="31">
        <x:f t="shared" si="79"/>
        <x:v>82697.142804032454</x:v>
      </x:c>
      <x:c r="S178" s="32">
        <x:f t="shared" si="80"/>
        <x:v>5800.285955306972</x:v>
      </x:c>
      <x:c r="T178" s="4">
        <x:f t="shared" si="81"/>
        <x:v>0</x:v>
      </x:c>
    </x:row>
    <x:row r="179" spans="1:22" outlineLevel="2" x14ac:dyDescent="0.25">
      <x:c r="A179" s="40">
        <x:v>397.2</x:v>
      </x:c>
      <x:c r="B179" s="40" t="s">
        <x:v>13</x:v>
      </x:c>
      <x:c r="C179" s="40">
        <x:f t="shared" si="75"/>
        <x:v>6.5</x:v>
      </x:c>
      <x:c r="D179" s="36">
        <x:v>9929911.709999999</x:v>
      </x:c>
      <x:c r="E179" s="35"/>
      <x:c r="F179" s="35"/>
      <x:c r="G179" s="21"/>
      <x:c r="H179" s="41"/>
      <x:c r="I179" s="35">
        <x:f t="shared" si="76"/>
        <x:v>2734098.4912107475</x:v>
      </x:c>
      <x:c r="J179" s="36"/>
      <x:c r="K179" s="39">
        <x:v>4588711.5</x:v>
      </x:c>
      <x:c r="L179" s="36">
        <x:v>5188180.26</x:v>
      </x:c>
      <x:c r="M179" s="36">
        <x:v>142990.74</x:v>
      </x:c>
      <x:c r="N179" s="37">
        <x:v>10029.209999999999</x:v>
      </x:c>
      <x:c r="O179" s="36"/>
      <x:c r="P179" s="30">
        <x:f t="shared" si="77"/>
        <x:v>1263454.2536885666</x:v>
      </x:c>
      <x:c r="Q179" s="31">
        <x:f t="shared" si="78"/>
        <x:v>1428511.7768680931</x:v>
      </x:c>
      <x:c r="R179" s="31">
        <x:f t="shared" si="79"/>
        <x:v>39371.021405698717</x:v>
      </x:c>
      <x:c r="S179" s="32">
        <x:f t="shared" si="80"/>
        <x:v>2761.4392483894244</x:v>
      </x:c>
      <x:c r="T179" s="4">
        <x:f t="shared" si="81"/>
        <x:v>0</x:v>
      </x:c>
    </x:row>
    <x:row r="180" spans="1:22" outlineLevel="2" x14ac:dyDescent="0.25">
      <x:c r="A180" s="40">
        <x:v>397.2</x:v>
      </x:c>
      <x:c r="B180" s="40" t="s">
        <x:v>14</x:v>
      </x:c>
      <x:c r="C180" s="40">
        <x:f t="shared" si="75"/>
        <x:v>5.5</x:v>
      </x:c>
      <x:c r="D180" s="36">
        <x:v>12338824.609999999</x:v>
      </x:c>
      <x:c r="E180" s="35"/>
      <x:c r="F180" s="35"/>
      <x:c r="G180" s="21"/>
      <x:c r="H180" s="41"/>
      <x:c r="I180" s="35">
        <x:f t="shared" si="76"/>
        <x:v>3397367.7445229818</x:v>
      </x:c>
      <x:c r="J180" s="36"/>
      <x:c r="K180" s="39">
        <x:v>5701894.25</x:v>
      </x:c>
      <x:c r="L180" s="36">
        <x:v>6446789.0800000001</x:v>
      </x:c>
      <x:c r="M180" s="36">
        <x:v>177679.07</x:v>
      </x:c>
      <x:c r="N180" s="37">
        <x:v>12462.21</x:v>
      </x:c>
      <x:c r="O180" s="36"/>
      <x:c r="P180" s="30">
        <x:f t="shared" si="77"/>
        <x:v>1569957.6110297802</x:v>
      </x:c>
      <x:c r="Q180" s="31">
        <x:f t="shared" si="78"/>
        <x:v>1775056.6985435891</x:v>
      </x:c>
      <x:c r="R180" s="31">
        <x:f t="shared" si="79"/>
        <x:v>48922.094314041889</x:v>
      </x:c>
      <x:c r="S180" s="32">
        <x:f t="shared" si="80"/>
        <x:v>3431.3406355706152</x:v>
      </x:c>
      <x:c r="T180" s="4">
        <x:f t="shared" si="81"/>
        <x:v>0</x:v>
      </x:c>
    </x:row>
    <x:row r="181" spans="1:22" outlineLevel="2" x14ac:dyDescent="0.25">
      <x:c r="A181" s="40">
        <x:v>397.2</x:v>
      </x:c>
      <x:c r="B181" s="40" t="s">
        <x:v>15</x:v>
      </x:c>
      <x:c r="C181" s="40">
        <x:f t="shared" si="75"/>
        <x:v>4.5</x:v>
      </x:c>
      <x:c r="D181" s="36">
        <x:v>30538669</x:v>
      </x:c>
      <x:c r="E181" s="35"/>
      <x:c r="F181" s="35"/>
      <x:c r="G181" s="21"/>
      <x:c r="H181" s="41"/>
      <x:c r="I181" s="35">
        <x:f t="shared" si="76"/>
        <x:v>8408506.669037085</x:v>
      </x:c>
      <x:c r="J181" s="36"/>
      <x:c r="K181" s="39">
        <x:v>14112224.32</x:v>
      </x:c>
      <x:c r="L181" s="36">
        <x:v>15955843.789999999</x:v>
      </x:c>
      <x:c r="M181" s="36">
        <x:v>439756.83</x:v>
      </x:c>
      <x:c r="N181" s="37">
        <x:v>30844.06</x:v>
      </x:c>
      <x:c r="O181" s="36"/>
      <x:c r="P181" s="30">
        <x:f t="shared" si="77"/>
        <x:v>3885655.0136375409</x:v>
      </x:c>
      <x:c r="Q181" s="31">
        <x:f t="shared" si="78"/>
        <x:v>4393276.5674341917</x:v>
      </x:c>
      <x:c r="R181" s="31">
        <x:f t="shared" si="79"/>
        <x:v>121082.49504291127</x:v>
      </x:c>
      <x:c r="S181" s="32">
        <x:f t="shared" si="80"/>
        <x:v>8492.5929224413812</x:v>
      </x:c>
      <x:c r="T181" s="4">
        <x:f t="shared" si="81"/>
        <x:v>0</x:v>
      </x:c>
    </x:row>
    <x:row r="182" spans="1:22" outlineLevel="2" x14ac:dyDescent="0.25">
      <x:c r="A182" s="40">
        <x:v>397.2</x:v>
      </x:c>
      <x:c r="B182" s="40" t="s">
        <x:v>16</x:v>
      </x:c>
      <x:c r="C182" s="40">
        <x:f t="shared" si="75"/>
        <x:v>3.5</x:v>
      </x:c>
      <x:c r="D182" s="36">
        <x:v>57214159.890000001</x:v>
      </x:c>
      <x:c r="E182" s="35"/>
      <x:c r="F182" s="35"/>
      <x:c r="G182" s="21"/>
      <x:c r="H182" s="41"/>
      <x:c r="I182" s="35">
        <x:f t="shared" si="76"/>
        <x:v>15753327.199637257</x:v>
      </x:c>
      <x:c r="J182" s="36"/>
      <x:c r="K182" s="39">
        <x:v>26439235.43</x:v>
      </x:c>
      <x:c r="L182" s="36">
        <x:v>29893254.260000002</x:v>
      </x:c>
      <x:c r="M182" s="36">
        <x:v>823883.89</x:v>
      </x:c>
      <x:c r="N182" s="37">
        <x:v>57786.31</x:v>
      </x:c>
      <x:c r="O182" s="36"/>
      <x:c r="P182" s="30">
        <x:f t="shared" si="77"/>
        <x:v>7279770.0331142982</x:v>
      </x:c>
      <x:c r="Q182" s="31">
        <x:f t="shared" si="78"/>
        <x:v>8230798.3954517227</x:v>
      </x:c>
      <x:c r="R182" s="31">
        <x:f t="shared" si="79"/>
        <x:v>226847.90825615931</x:v>
      </x:c>
      <x:c r="S182" s="32">
        <x:f t="shared" si="80"/>
        <x:v>15910.862815076989</x:v>
      </x:c>
      <x:c r="T182" s="4">
        <x:f t="shared" si="81"/>
        <x:v>0</x:v>
      </x:c>
    </x:row>
    <x:row r="183" spans="1:22" outlineLevel="2" x14ac:dyDescent="0.25">
      <x:c r="A183" s="40">
        <x:v>397.2</x:v>
      </x:c>
      <x:c r="B183" s="40" t="s">
        <x:v>31</x:v>
      </x:c>
      <x:c r="C183" s="40">
        <x:f t="shared" ref="C183:C185" si="82">2024.5-B183</x:f>
        <x:v>2.5</x:v>
      </x:c>
      <x:c r="D183" s="36">
        <x:v>56397318.220000006</x:v>
      </x:c>
      <x:c r="E183" s="35"/>
      <x:c r="F183" s="35"/>
      <x:c r="G183" s="21"/>
      <x:c r="H183" s="41"/>
      <x:c r="I183" s="35">
        <x:f t="shared" si="76"/>
        <x:v>15528418.293825338</x:v>
      </x:c>
      <x:c r="J183" s="36"/>
      <x:c r="K183" s="39">
        <x:v>26061764.719999999</x:v>
      </x:c>
      <x:c r="L183" s="36">
        <x:v>29466470.82</x:v>
      </x:c>
      <x:c r="M183" s="36">
        <x:v>812121.37</x:v>
      </x:c>
      <x:c r="N183" s="37">
        <x:v>56961.31</x:v>
      </x:c>
      <x:c r="O183" s="36"/>
      <x:c r="P183" s="30">
        <x:f t="shared" si="77"/>
        <x:v>7175837.3770315722</x:v>
      </x:c>
      <x:c r="Q183" s="31">
        <x:f t="shared" si="78"/>
        <x:v>8113287.9891706035</x:v>
      </x:c>
      <x:c r="R183" s="31">
        <x:f t="shared" si="79"/>
        <x:v>223609.22002568396</x:v>
      </x:c>
      <x:c r="S183" s="32">
        <x:f t="shared" si="80"/>
        <x:v>15683.707597475475</x:v>
      </x:c>
      <x:c r="T183" s="4">
        <x:f t="shared" si="81"/>
        <x:v>0</x:v>
      </x:c>
    </x:row>
    <x:row r="184" spans="1:22" outlineLevel="2" x14ac:dyDescent="0.25">
      <x:c r="A184" s="40">
        <x:v>397.2</x:v>
      </x:c>
      <x:c r="B184" s="40" t="s">
        <x:v>30</x:v>
      </x:c>
      <x:c r="C184" s="40">
        <x:f t="shared" si="82"/>
        <x:v>1.5</x:v>
      </x:c>
      <x:c r="D184" s="36">
        <x:v>70584419</x:v>
      </x:c>
      <x:c r="E184" s="35"/>
      <x:c r="F184" s="35"/>
      <x:c r="G184" s="21"/>
      <x:c r="H184" s="41"/>
      <x:c r="I184" s="35">
        <x:f t="shared" si="76"/>
        <x:v>19434689.766328976</x:v>
      </x:c>
      <x:c r="J184" s="36"/>
      <x:c r="K184" s="39">
        <x:v>32617765.859999999</x:v>
      </x:c>
      <x:c r="L184" s="36">
        <x:v>36878947.229999997</x:v>
      </x:c>
      <x:c r="M184" s="36">
        <x:v>1016415.64</x:v>
      </x:c>
      <x:c r="N184" s="37">
        <x:v>71290.27</x:v>
      </x:c>
      <x:c r="O184" s="36"/>
      <x:c r="P184" s="30">
        <x:f t="shared" si="77"/>
        <x:v>8980964.4867921434</x:v>
      </x:c>
      <x:c r="Q184" s="31">
        <x:f t="shared" si="78"/>
        <x:v>10154236.706600465</x:v>
      </x:c>
      <x:c r="R184" s="31">
        <x:f t="shared" si="79"/>
        <x:v>279859.53439731104</x:v>
      </x:c>
      <x:c r="S184" s="32">
        <x:f t="shared" si="80"/>
        <x:v>19629.038539055335</x:v>
      </x:c>
      <x:c r="T184" s="4">
        <x:f t="shared" si="81"/>
        <x:v>0</x:v>
      </x:c>
    </x:row>
    <x:row r="185" spans="1:22" outlineLevel="2" x14ac:dyDescent="0.25">
      <x:c r="A185" s="40">
        <x:v>397.2</x:v>
      </x:c>
      <x:c r="B185" s="40" t="s">
        <x:v>29</x:v>
      </x:c>
      <x:c r="C185" s="40">
        <x:f t="shared" si="82"/>
        <x:v>0.5</x:v>
      </x:c>
      <x:c r="D185" s="36">
        <x:v>98254246.290000007</x:v>
      </x:c>
      <x:c r="E185" s="35"/>
      <x:c r="F185" s="35"/>
      <x:c r="G185" s="21"/>
      <x:c r="H185" s="41"/>
      <x:c r="I185" s="35">
        <x:f t="shared" si="76"/>
        <x:v>27053290.540942609</x:v>
      </x:c>
      <x:c r="J185" s="36"/>
      <x:c r="K185" s="39">
        <x:v>45404269.740000002</x:v>
      </x:c>
      <x:c r="L185" s="36">
        <x:v>51335878.600000001</x:v>
      </x:c>
      <x:c r="M185" s="36">
        <x:v>1414861.14</x:v>
      </x:c>
      <x:c r="N185" s="37">
        <x:v>99236.81</x:v>
      </x:c>
      <x:c r="O185" s="36"/>
      <x:c r="P185" s="30">
        <x:f t="shared" si="77"/>
        <x:v>12501596.088275775</x:v>
      </x:c>
      <x:c r="Q185" s="31">
        <x:f t="shared" si="78"/>
        <x:v>14134803.241391372</x:v>
      </x:c>
      <x:c r="R185" s="31">
        <x:f t="shared" si="79"/>
        <x:v>389567.38197893993</x:v>
      </x:c>
      <x:c r="S185" s="32">
        <x:f t="shared" si="80"/>
        <x:v>27323.829296521275</x:v>
      </x:c>
      <x:c r="T185" s="4">
        <x:f t="shared" si="81"/>
        <x:v>0</x:v>
      </x:c>
    </x:row>
    <x:row r="186" spans="1:22" s="10" customFormat="1" ht="14.95" outlineLevel="1" thickBot="1" x14ac:dyDescent="0.3">
      <x:c r="A186" s="42" t="s">
        <x:v>44</x:v>
      </x:c>
      <x:c r="B186" s="42"/>
      <x:c r="C186" s="42"/>
      <x:c r="D186" s="17">
        <x:f>SUBTOTAL(9,D176:D185)</x:f>
        <x:v>360398299.31999999</x:v>
      </x:c>
      <x:c r="E186" s="17">
        <x:f>SUBTOTAL(9,E176:E185)</x:f>
        <x:v>0</x:v>
      </x:c>
      <x:c r="F186" s="17">
        <x:f>SUBTOTAL(9,F176:F185)</x:f>
        <x:v>0</x:v>
      </x:c>
      <x:c r="G186" s="17">
        <x:f>SUBTOTAL(9,G176:G185)</x:f>
        <x:v>0</x:v>
      </x:c>
      <x:c r="H186" s="70"/>
      <x:c r="I186" s="17">
        <x:f>SUBTOTAL(9,I176:I185)</x:f>
        <x:v>99231944.370000005</x:v>
      </x:c>
      <x:c r="J186" s="17">
        <x:f t="shared" ref="J186" si="83">SUBTOTAL(9,J176:J185)</x:f>
        <x:v>0</x:v>
      </x:c>
      <x:c r="K186" s="71">
        <x:f>SUBTOTAL(9,K176:K185)</x:f>
        <x:v>166543658.07999998</x:v>
      </x:c>
      <x:c r="L186" s="72">
        <x:f>SUBTOTAL(9,L176:L185)</x:f>
        <x:v>188300903.41</x:v>
      </x:c>
      <x:c r="M186" s="72">
        <x:f>SUBTOTAL(9,M176:M185)</x:f>
        <x:v>5189735.49</x:v>
      </x:c>
      <x:c r="N186" s="73">
        <x:f>SUBTOTAL(9,N176:N185)</x:f>
        <x:v>364002.34</x:v>
      </x:c>
      <x:c r="O186" s="17">
        <x:f t="shared" ref="O186" si="84">SUBTOTAL(9,O176:O185)</x:f>
        <x:v>0</x:v>
      </x:c>
      <x:c r="P186" s="74">
        <x:f>SUBTOTAL(9,P176:P185)</x:f>
        <x:v>45856073.807653897</x:v>
      </x:c>
      <x:c r="Q186" s="75">
        <x:f>SUBTOTAL(9,Q176:Q185)</x:f>
        <x:v>51846706.289285004</x:v>
      </x:c>
      <x:c r="R186" s="75">
        <x:f>SUBTOTAL(9,R176:R185)</x:f>
        <x:v>1428939.9933639362</x:v>
      </x:c>
      <x:c r="S186" s="76">
        <x:f>SUBTOTAL(9,S176:S185)</x:f>
        <x:v>100224.27969716377</x:v>
      </x:c>
      <x:c r="T186" s="13">
        <x:f t="shared" ref="T186" si="85">SUBTOTAL(9,T176:T185)</x:f>
        <x:v>0</x:v>
      </x:c>
      <x:c r="U186" s="11"/>
      <x:c r="V186" s="49">
        <x:v>99231944.370000005</x:v>
      </x:c>
    </x:row>
    <x:row r="187" spans="1:22" ht="16.3" x14ac:dyDescent="0.4">
      <x:c r="A187" s="40"/>
      <x:c r="B187" s="40"/>
      <x:c r="C187" s="40"/>
      <x:c r="D187" s="36"/>
      <x:c r="E187" s="35"/>
      <x:c r="F187" s="35"/>
      <x:c r="G187" s="35"/>
      <x:c r="H187" s="35"/>
      <x:c r="I187" s="36"/>
      <x:c r="J187" s="36"/>
      <x:c r="K187" s="36"/>
      <x:c r="L187" s="36"/>
      <x:c r="M187" s="36"/>
      <x:c r="N187" s="36"/>
      <x:c r="O187" s="36"/>
      <x:c r="P187" s="43"/>
      <x:c r="Q187" s="43"/>
      <x:c r="R187" s="43"/>
      <x:c r="S187" s="43"/>
      <x:c r="T187" s="7"/>
    </x:row>
    <x:row r="188" spans="1:22" ht="16.3" x14ac:dyDescent="0.4">
      <x:c r="A188" s="5" t="s">
        <x:v>52</x:v>
      </x:c>
      <x:c r="B188" s="5"/>
      <x:c r="C188" s="5"/>
      <x:c r="D188" s="4">
        <x:f>D186+D174+D134+D17</x:f>
        <x:v>1310651596.0699999</x:v>
      </x:c>
      <x:c r="E188" s="6"/>
      <x:c r="F188" s="6"/>
      <x:c r="G188" s="6"/>
      <x:c r="H188" s="6"/>
      <x:c r="I188" s="4">
        <x:f>I186+I174+I134+I17</x:f>
        <x:v>450020237.79575706</x:v>
      </x:c>
      <x:c r="J188" s="4"/>
      <x:c r="K188" s="4">
        <x:f>K186+K174+K134+K17</x:f>
        <x:v>324153934.17999995</x:v>
      </x:c>
      <x:c r="L188" s="4">
        <x:f>L186+L174+L134+L17</x:f>
        <x:v>524527108.92999995</x:v>
      </x:c>
      <x:c r="M188" s="4">
        <x:f>M186+M174+M134+M17</x:f>
        <x:v>126587988.93999998</x:v>
      </x:c>
      <x:c r="N188" s="4">
        <x:f>N186+N174+N134+N17</x:f>
        <x:v>335382564.01999998</x:v>
      </x:c>
      <x:c r="O188" s="4"/>
      <x:c r="P188" s="4">
        <x:f>P186+P174+P134+P17</x:f>
        <x:v>104662098.99202581</x:v>
      </x:c>
      <x:c r="Q188" s="4">
        <x:f>Q186+Q174+Q134+Q17</x:f>
        <x:v>145292697.29179981</x:v>
      </x:c>
      <x:c r="R188" s="4">
        <x:f>R186+R174+R134+R17</x:f>
        <x:v>91068353.17526339</x:v>
      </x:c>
      <x:c r="S188" s="4">
        <x:f>S186+S174+S134+S17</x:f>
        <x:v>108997088.3366681</x:v>
      </x:c>
      <x:c r="T188" s="7"/>
    </x:row>
    <x:row r="189" spans="1:22" x14ac:dyDescent="0.25">
      <x:c r="A189" s="5"/>
      <x:c r="B189" s="5"/>
      <x:c r="C189" s="5"/>
      <x:c r="D189" s="4"/>
      <x:c r="E189" s="6"/>
      <x:c r="F189" s="6"/>
      <x:c r="G189" s="6"/>
      <x:c r="H189" s="6"/>
      <x:c r="I189" s="4"/>
      <x:c r="J189" s="4"/>
      <x:c r="K189" s="4"/>
      <x:c r="L189" s="4"/>
      <x:c r="M189" s="4"/>
      <x:c r="N189" s="4"/>
      <x:c r="O189" s="4"/>
      <x:c r="P189" s="8"/>
      <x:c r="Q189" s="8"/>
      <x:c r="R189" s="8"/>
      <x:c r="S189" s="8"/>
      <x:c r="T189" s="4"/>
    </x:row>
    <x:row r="190" spans="1:22" x14ac:dyDescent="0.25">
      <x:c r="A190" s="5"/>
      <x:c r="B190" s="5"/>
      <x:c r="C190" s="5"/>
      <x:c r="D190" s="4"/>
      <x:c r="E190" s="6"/>
      <x:c r="F190" s="6"/>
      <x:c r="G190" s="6"/>
      <x:c r="H190" s="6"/>
      <x:c r="I190" s="4"/>
      <x:c r="J190" s="4"/>
      <x:c r="K190" s="4"/>
      <x:c r="L190" s="4"/>
      <x:c r="M190" s="4"/>
      <x:c r="N190" s="4"/>
      <x:c r="O190" s="4"/>
      <x:c r="P190" s="8"/>
      <x:c r="Q190" s="8"/>
      <x:c r="R190" s="8"/>
      <x:c r="S190" s="8"/>
      <x:c r="T190" s="4"/>
    </x:row>
    <x:row r="191" spans="1:22" x14ac:dyDescent="0.25">
      <x:c r="A191" s="5"/>
      <x:c r="B191" s="5"/>
      <x:c r="C191" s="5"/>
      <x:c r="D191" s="4"/>
      <x:c r="E191" s="6"/>
      <x:c r="F191" s="6"/>
      <x:c r="G191" s="6"/>
      <x:c r="H191" s="6"/>
      <x:c r="I191" s="4"/>
      <x:c r="J191" s="4"/>
      <x:c r="K191" s="4"/>
      <x:c r="L191" s="4"/>
      <x:c r="M191" s="4"/>
      <x:c r="N191" s="4"/>
      <x:c r="O191" s="4"/>
      <x:c r="P191" s="8"/>
      <x:c r="Q191" s="8"/>
      <x:c r="R191" s="8"/>
      <x:c r="S191" s="8"/>
      <x:c r="T191" s="4"/>
    </x:row>
    <x:row r="192" spans="1:22" x14ac:dyDescent="0.25">
      <x:c r="A192" s="5"/>
      <x:c r="B192" s="5"/>
      <x:c r="C192" s="5"/>
      <x:c r="D192" s="4"/>
      <x:c r="E192" s="6"/>
      <x:c r="F192" s="6"/>
      <x:c r="G192" s="6"/>
      <x:c r="H192" s="6"/>
      <x:c r="I192" s="4"/>
      <x:c r="J192" s="4"/>
      <x:c r="K192" s="4"/>
      <x:c r="L192" s="4"/>
      <x:c r="M192" s="4"/>
      <x:c r="N192" s="4"/>
      <x:c r="O192" s="4"/>
      <x:c r="P192" s="8"/>
      <x:c r="Q192" s="8"/>
      <x:c r="R192" s="8"/>
      <x:c r="S192" s="8"/>
      <x:c r="T192" s="4"/>
    </x:row>
    <x:row r="193" spans="1:20" x14ac:dyDescent="0.25">
      <x:c r="A193" s="5"/>
      <x:c r="B193" s="5"/>
      <x:c r="C193" s="5"/>
      <x:c r="D193" s="4"/>
      <x:c r="E193" s="6"/>
      <x:c r="F193" s="6"/>
      <x:c r="G193" s="6"/>
      <x:c r="H193" s="6"/>
      <x:c r="I193" s="4"/>
      <x:c r="J193" s="4"/>
      <x:c r="K193" s="4"/>
      <x:c r="L193" s="4"/>
      <x:c r="M193" s="4"/>
      <x:c r="N193" s="4"/>
      <x:c r="O193" s="4"/>
      <x:c r="P193" s="8"/>
      <x:c r="Q193" s="8"/>
      <x:c r="R193" s="8"/>
      <x:c r="S193" s="8"/>
      <x:c r="T193" s="4"/>
    </x:row>
    <x:row r="194" spans="1:20" x14ac:dyDescent="0.25">
      <x:c r="A194" s="5"/>
      <x:c r="B194" s="5"/>
      <x:c r="C194" s="5"/>
      <x:c r="D194" s="4"/>
      <x:c r="E194" s="6"/>
      <x:c r="F194" s="6"/>
      <x:c r="G194" s="6"/>
      <x:c r="H194" s="6"/>
      <x:c r="I194" s="4"/>
      <x:c r="J194" s="4"/>
      <x:c r="K194" s="4"/>
      <x:c r="L194" s="4"/>
      <x:c r="M194" s="4"/>
      <x:c r="N194" s="4"/>
      <x:c r="O194" s="4"/>
      <x:c r="P194" s="8"/>
      <x:c r="Q194" s="8"/>
      <x:c r="R194" s="8"/>
      <x:c r="S194" s="8"/>
      <x:c r="T194" s="4"/>
    </x:row>
    <x:row r="195" spans="1:20" x14ac:dyDescent="0.25">
      <x:c r="A195" s="5"/>
      <x:c r="B195" s="5"/>
      <x:c r="C195" s="5"/>
      <x:c r="D195" s="4"/>
      <x:c r="E195" s="6"/>
      <x:c r="F195" s="6"/>
      <x:c r="G195" s="6"/>
      <x:c r="H195" s="6"/>
      <x:c r="I195" s="4"/>
      <x:c r="J195" s="4"/>
      <x:c r="K195" s="4"/>
      <x:c r="L195" s="4"/>
      <x:c r="M195" s="4"/>
      <x:c r="N195" s="4"/>
      <x:c r="O195" s="4"/>
      <x:c r="P195" s="8"/>
      <x:c r="Q195" s="8"/>
      <x:c r="R195" s="8"/>
      <x:c r="S195" s="8"/>
      <x:c r="T195" s="4"/>
    </x:row>
    <x:row r="196" spans="1:20" x14ac:dyDescent="0.25">
      <x:c r="A196" s="5"/>
      <x:c r="B196" s="5"/>
      <x:c r="C196" s="5"/>
      <x:c r="D196" s="4"/>
      <x:c r="E196" s="6"/>
      <x:c r="F196" s="6"/>
      <x:c r="G196" s="6"/>
      <x:c r="H196" s="6"/>
      <x:c r="I196" s="4"/>
      <x:c r="J196" s="4"/>
      <x:c r="K196" s="4"/>
      <x:c r="L196" s="4"/>
      <x:c r="M196" s="4"/>
      <x:c r="N196" s="4"/>
      <x:c r="O196" s="4"/>
      <x:c r="P196" s="8"/>
      <x:c r="Q196" s="8"/>
      <x:c r="R196" s="8"/>
      <x:c r="S196" s="8"/>
      <x:c r="T196" s="4"/>
    </x:row>
    <x:row r="197" spans="1:20" x14ac:dyDescent="0.25">
      <x:c r="A197" s="5"/>
      <x:c r="B197" s="5"/>
      <x:c r="C197" s="5"/>
      <x:c r="D197" s="4"/>
      <x:c r="E197" s="6"/>
      <x:c r="F197" s="6"/>
      <x:c r="G197" s="6"/>
      <x:c r="H197" s="6"/>
      <x:c r="I197" s="4"/>
      <x:c r="J197" s="4"/>
      <x:c r="K197" s="4"/>
      <x:c r="L197" s="4"/>
      <x:c r="M197" s="4"/>
      <x:c r="N197" s="4"/>
      <x:c r="O197" s="4"/>
      <x:c r="P197" s="8"/>
      <x:c r="Q197" s="8"/>
      <x:c r="R197" s="8"/>
      <x:c r="S197" s="8"/>
      <x:c r="T197" s="4"/>
    </x:row>
    <x:row r="198" spans="1:20" x14ac:dyDescent="0.25">
      <x:c r="A198" s="5"/>
      <x:c r="B198" s="5"/>
      <x:c r="C198" s="5"/>
      <x:c r="D198" s="4"/>
      <x:c r="E198" s="6"/>
      <x:c r="F198" s="6"/>
      <x:c r="G198" s="6"/>
      <x:c r="H198" s="6"/>
      <x:c r="I198" s="4"/>
      <x:c r="J198" s="4"/>
      <x:c r="K198" s="4"/>
      <x:c r="L198" s="4"/>
      <x:c r="M198" s="4"/>
      <x:c r="N198" s="4"/>
      <x:c r="O198" s="4"/>
      <x:c r="P198" s="8"/>
      <x:c r="Q198" s="8"/>
      <x:c r="R198" s="8"/>
      <x:c r="S198" s="8"/>
      <x:c r="T198" s="4"/>
    </x:row>
    <x:row r="199" spans="1:20" x14ac:dyDescent="0.25">
      <x:c r="A199" s="5"/>
      <x:c r="B199" s="5"/>
      <x:c r="C199" s="5"/>
      <x:c r="D199" s="4"/>
      <x:c r="E199" s="6"/>
      <x:c r="F199" s="6"/>
      <x:c r="G199" s="6"/>
      <x:c r="H199" s="6"/>
      <x:c r="I199" s="4"/>
      <x:c r="J199" s="4"/>
      <x:c r="K199" s="4"/>
      <x:c r="L199" s="4"/>
      <x:c r="M199" s="4"/>
      <x:c r="N199" s="4"/>
      <x:c r="O199" s="4"/>
      <x:c r="P199" s="8"/>
      <x:c r="Q199" s="8"/>
      <x:c r="R199" s="8"/>
      <x:c r="S199" s="8"/>
      <x:c r="T199" s="4"/>
    </x:row>
    <x:row r="200" spans="1:20" x14ac:dyDescent="0.25">
      <x:c r="A200" s="5"/>
      <x:c r="B200" s="5"/>
      <x:c r="C200" s="5"/>
      <x:c r="D200" s="4"/>
      <x:c r="E200" s="6"/>
      <x:c r="F200" s="6"/>
      <x:c r="G200" s="6"/>
      <x:c r="H200" s="6"/>
      <x:c r="I200" s="4"/>
      <x:c r="J200" s="4"/>
      <x:c r="K200" s="4"/>
      <x:c r="L200" s="4"/>
      <x:c r="M200" s="4"/>
      <x:c r="N200" s="4"/>
      <x:c r="O200" s="4"/>
      <x:c r="P200" s="8"/>
      <x:c r="Q200" s="8"/>
      <x:c r="R200" s="8"/>
      <x:c r="S200" s="8"/>
      <x:c r="T200" s="4"/>
    </x:row>
    <x:row r="201" spans="1:20" x14ac:dyDescent="0.25">
      <x:c r="A201" s="5"/>
      <x:c r="B201" s="5"/>
      <x:c r="C201" s="5"/>
      <x:c r="D201" s="4"/>
      <x:c r="E201" s="6"/>
      <x:c r="F201" s="6"/>
      <x:c r="G201" s="6"/>
      <x:c r="H201" s="6"/>
      <x:c r="I201" s="4"/>
      <x:c r="J201" s="4"/>
      <x:c r="K201" s="4"/>
      <x:c r="L201" s="4"/>
      <x:c r="M201" s="4"/>
      <x:c r="N201" s="4"/>
      <x:c r="O201" s="4"/>
      <x:c r="P201" s="8"/>
      <x:c r="Q201" s="8"/>
      <x:c r="R201" s="8"/>
      <x:c r="S201" s="8"/>
      <x:c r="T201" s="4"/>
    </x:row>
    <x:row r="202" spans="1:20" x14ac:dyDescent="0.25">
      <x:c r="A202" s="5"/>
      <x:c r="B202" s="5"/>
      <x:c r="C202" s="5"/>
      <x:c r="D202" s="4"/>
      <x:c r="E202" s="6"/>
      <x:c r="F202" s="6"/>
      <x:c r="G202" s="6"/>
      <x:c r="H202" s="6"/>
      <x:c r="I202" s="4"/>
      <x:c r="J202" s="4"/>
      <x:c r="K202" s="4"/>
      <x:c r="L202" s="4"/>
      <x:c r="M202" s="4"/>
      <x:c r="N202" s="4"/>
      <x:c r="O202" s="4"/>
      <x:c r="P202" s="8"/>
      <x:c r="Q202" s="8"/>
      <x:c r="R202" s="8"/>
      <x:c r="S202" s="8"/>
      <x:c r="T202" s="4"/>
    </x:row>
    <x:row r="203" spans="1:20" x14ac:dyDescent="0.25">
      <x:c r="A203" s="5"/>
      <x:c r="B203" s="5"/>
      <x:c r="C203" s="5"/>
      <x:c r="D203" s="4"/>
      <x:c r="E203" s="6"/>
      <x:c r="F203" s="6"/>
      <x:c r="G203" s="6"/>
      <x:c r="H203" s="6"/>
      <x:c r="I203" s="4"/>
      <x:c r="J203" s="4"/>
      <x:c r="K203" s="4"/>
      <x:c r="L203" s="4"/>
      <x:c r="M203" s="4"/>
      <x:c r="N203" s="4"/>
      <x:c r="O203" s="4"/>
      <x:c r="P203" s="8"/>
      <x:c r="Q203" s="8"/>
      <x:c r="R203" s="8"/>
      <x:c r="S203" s="8"/>
      <x:c r="T203" s="4"/>
    </x:row>
    <x:row r="204" spans="1:20" x14ac:dyDescent="0.25">
      <x:c r="A204" s="5"/>
      <x:c r="B204" s="5"/>
      <x:c r="C204" s="5"/>
      <x:c r="D204" s="4"/>
      <x:c r="E204" s="6"/>
      <x:c r="F204" s="6"/>
      <x:c r="G204" s="6"/>
      <x:c r="H204" s="6"/>
      <x:c r="I204" s="4"/>
      <x:c r="J204" s="4"/>
      <x:c r="K204" s="4"/>
      <x:c r="L204" s="4"/>
      <x:c r="M204" s="4"/>
      <x:c r="N204" s="4"/>
      <x:c r="O204" s="4"/>
      <x:c r="P204" s="8"/>
      <x:c r="Q204" s="8"/>
      <x:c r="R204" s="8"/>
      <x:c r="S204" s="8"/>
      <x:c r="T204" s="4"/>
    </x:row>
    <x:row r="205" spans="1:20" x14ac:dyDescent="0.25">
      <x:c r="A205" s="5"/>
      <x:c r="B205" s="5"/>
      <x:c r="C205" s="5"/>
      <x:c r="D205" s="4"/>
      <x:c r="E205" s="6"/>
      <x:c r="F205" s="6"/>
      <x:c r="G205" s="6"/>
      <x:c r="H205" s="6"/>
      <x:c r="I205" s="4"/>
      <x:c r="J205" s="4"/>
      <x:c r="K205" s="4"/>
      <x:c r="L205" s="4"/>
      <x:c r="M205" s="4"/>
      <x:c r="N205" s="4"/>
      <x:c r="O205" s="4"/>
      <x:c r="P205" s="8"/>
      <x:c r="Q205" s="8"/>
      <x:c r="R205" s="8"/>
      <x:c r="S205" s="8"/>
      <x:c r="T205" s="4"/>
    </x:row>
    <x:row r="206" spans="1:20" x14ac:dyDescent="0.25">
      <x:c r="A206" s="5"/>
      <x:c r="B206" s="5"/>
      <x:c r="C206" s="5"/>
      <x:c r="D206" s="4"/>
      <x:c r="E206" s="6"/>
      <x:c r="F206" s="6"/>
      <x:c r="G206" s="6"/>
      <x:c r="H206" s="6"/>
      <x:c r="I206" s="4"/>
      <x:c r="J206" s="4"/>
      <x:c r="K206" s="4"/>
      <x:c r="L206" s="4"/>
      <x:c r="M206" s="4"/>
      <x:c r="N206" s="4"/>
      <x:c r="O206" s="4"/>
      <x:c r="P206" s="8"/>
      <x:c r="Q206" s="8"/>
      <x:c r="R206" s="8"/>
      <x:c r="S206" s="8"/>
      <x:c r="T206" s="4"/>
    </x:row>
    <x:row r="207" spans="1:20" x14ac:dyDescent="0.25">
      <x:c r="A207" s="5"/>
      <x:c r="B207" s="5"/>
      <x:c r="C207" s="5"/>
      <x:c r="D207" s="4"/>
      <x:c r="E207" s="6"/>
      <x:c r="F207" s="6"/>
      <x:c r="G207" s="6"/>
      <x:c r="H207" s="6"/>
      <x:c r="I207" s="4"/>
      <x:c r="J207" s="4"/>
      <x:c r="K207" s="4"/>
      <x:c r="L207" s="4"/>
      <x:c r="M207" s="4"/>
      <x:c r="N207" s="4"/>
      <x:c r="O207" s="4"/>
      <x:c r="P207" s="8"/>
      <x:c r="Q207" s="8"/>
      <x:c r="R207" s="8"/>
      <x:c r="S207" s="8"/>
      <x:c r="T207" s="4"/>
    </x:row>
    <x:row r="208" spans="1:20" x14ac:dyDescent="0.25">
      <x:c r="A208" s="5"/>
      <x:c r="B208" s="5"/>
      <x:c r="C208" s="5"/>
      <x:c r="D208" s="4"/>
      <x:c r="E208" s="6"/>
      <x:c r="F208" s="6"/>
      <x:c r="G208" s="6"/>
      <x:c r="H208" s="6"/>
      <x:c r="I208" s="4"/>
      <x:c r="J208" s="4"/>
      <x:c r="K208" s="4"/>
      <x:c r="L208" s="4"/>
      <x:c r="M208" s="4"/>
      <x:c r="N208" s="4"/>
      <x:c r="O208" s="4"/>
      <x:c r="P208" s="8"/>
      <x:c r="Q208" s="8"/>
      <x:c r="R208" s="8"/>
      <x:c r="S208" s="8"/>
      <x:c r="T208" s="4"/>
    </x:row>
    <x:row r="209" spans="1:20" x14ac:dyDescent="0.25">
      <x:c r="A209" s="5"/>
      <x:c r="B209" s="5"/>
      <x:c r="C209" s="5"/>
      <x:c r="D209" s="4"/>
      <x:c r="E209" s="6"/>
      <x:c r="F209" s="6"/>
      <x:c r="G209" s="6"/>
      <x:c r="H209" s="6"/>
      <x:c r="I209" s="4"/>
      <x:c r="J209" s="4"/>
      <x:c r="K209" s="4"/>
      <x:c r="L209" s="4"/>
      <x:c r="M209" s="4"/>
      <x:c r="N209" s="4"/>
      <x:c r="O209" s="4"/>
      <x:c r="P209" s="8"/>
      <x:c r="Q209" s="8"/>
      <x:c r="R209" s="8"/>
      <x:c r="S209" s="8"/>
      <x:c r="T209" s="4"/>
    </x:row>
    <x:row r="210" spans="1:20" x14ac:dyDescent="0.25">
      <x:c r="A210" s="5"/>
      <x:c r="B210" s="5"/>
      <x:c r="C210" s="5"/>
      <x:c r="D210" s="4"/>
      <x:c r="E210" s="6"/>
      <x:c r="F210" s="6"/>
      <x:c r="G210" s="6"/>
      <x:c r="H210" s="6"/>
      <x:c r="I210" s="4"/>
      <x:c r="J210" s="4"/>
      <x:c r="K210" s="4"/>
      <x:c r="L210" s="4"/>
      <x:c r="M210" s="4"/>
      <x:c r="N210" s="4"/>
      <x:c r="O210" s="4"/>
      <x:c r="P210" s="8"/>
      <x:c r="Q210" s="8"/>
      <x:c r="R210" s="8"/>
      <x:c r="S210" s="8"/>
      <x:c r="T210" s="4"/>
    </x:row>
    <x:row r="211" spans="1:20" x14ac:dyDescent="0.25">
      <x:c r="A211" s="5"/>
      <x:c r="B211" s="5"/>
      <x:c r="C211" s="5"/>
      <x:c r="D211" s="4"/>
      <x:c r="E211" s="6"/>
      <x:c r="F211" s="6"/>
      <x:c r="G211" s="6"/>
      <x:c r="H211" s="6"/>
      <x:c r="I211" s="4"/>
      <x:c r="J211" s="4"/>
      <x:c r="K211" s="4"/>
      <x:c r="L211" s="4"/>
      <x:c r="M211" s="4"/>
      <x:c r="N211" s="4"/>
      <x:c r="O211" s="4"/>
      <x:c r="P211" s="8"/>
      <x:c r="Q211" s="8"/>
      <x:c r="R211" s="8"/>
      <x:c r="S211" s="8"/>
      <x:c r="T211" s="4"/>
    </x:row>
    <x:row r="212" spans="1:20" x14ac:dyDescent="0.25">
      <x:c r="A212" s="5"/>
      <x:c r="B212" s="5"/>
      <x:c r="C212" s="5"/>
      <x:c r="D212" s="4"/>
      <x:c r="E212" s="6"/>
      <x:c r="F212" s="6"/>
      <x:c r="G212" s="6"/>
      <x:c r="H212" s="6"/>
      <x:c r="I212" s="4"/>
      <x:c r="J212" s="4"/>
      <x:c r="K212" s="4"/>
      <x:c r="L212" s="4"/>
      <x:c r="M212" s="4"/>
      <x:c r="N212" s="4"/>
      <x:c r="O212" s="4"/>
      <x:c r="P212" s="8"/>
      <x:c r="Q212" s="8"/>
      <x:c r="R212" s="8"/>
      <x:c r="S212" s="8"/>
      <x:c r="T212" s="4"/>
    </x:row>
    <x:row r="213" spans="1:20" x14ac:dyDescent="0.25">
      <x:c r="A213" s="5"/>
      <x:c r="B213" s="5"/>
      <x:c r="C213" s="5"/>
      <x:c r="D213" s="4"/>
      <x:c r="E213" s="6"/>
      <x:c r="F213" s="6"/>
      <x:c r="G213" s="6"/>
      <x:c r="H213" s="6"/>
      <x:c r="I213" s="4"/>
      <x:c r="J213" s="4"/>
      <x:c r="K213" s="4"/>
      <x:c r="L213" s="4"/>
      <x:c r="M213" s="4"/>
      <x:c r="N213" s="4"/>
      <x:c r="O213" s="4"/>
      <x:c r="P213" s="8"/>
      <x:c r="Q213" s="8"/>
      <x:c r="R213" s="8"/>
      <x:c r="S213" s="8"/>
      <x:c r="T213" s="4"/>
    </x:row>
    <x:row r="214" spans="1:20" x14ac:dyDescent="0.25">
      <x:c r="A214" s="5"/>
      <x:c r="B214" s="5"/>
      <x:c r="C214" s="5"/>
      <x:c r="D214" s="4"/>
      <x:c r="E214" s="6"/>
      <x:c r="F214" s="6"/>
      <x:c r="G214" s="6"/>
      <x:c r="H214" s="6"/>
      <x:c r="I214" s="4"/>
      <x:c r="J214" s="4"/>
      <x:c r="K214" s="4"/>
      <x:c r="L214" s="4"/>
      <x:c r="M214" s="4"/>
      <x:c r="N214" s="4"/>
      <x:c r="O214" s="4"/>
      <x:c r="P214" s="8"/>
      <x:c r="Q214" s="8"/>
      <x:c r="R214" s="8"/>
      <x:c r="S214" s="8"/>
      <x:c r="T214" s="4"/>
    </x:row>
    <x:row r="215" spans="1:20" x14ac:dyDescent="0.25">
      <x:c r="A215" s="5"/>
      <x:c r="B215" s="5"/>
      <x:c r="C215" s="5"/>
      <x:c r="D215" s="4"/>
      <x:c r="E215" s="6"/>
      <x:c r="F215" s="6"/>
      <x:c r="G215" s="6"/>
      <x:c r="H215" s="6"/>
      <x:c r="I215" s="4"/>
      <x:c r="J215" s="4"/>
      <x:c r="K215" s="4"/>
      <x:c r="L215" s="4"/>
      <x:c r="M215" s="4"/>
      <x:c r="N215" s="4"/>
      <x:c r="O215" s="4"/>
      <x:c r="P215" s="8"/>
      <x:c r="Q215" s="8"/>
      <x:c r="R215" s="8"/>
      <x:c r="S215" s="8"/>
      <x:c r="T215" s="4"/>
    </x:row>
    <x:row r="216" spans="1:20" x14ac:dyDescent="0.25">
      <x:c r="A216" s="5"/>
      <x:c r="B216" s="5"/>
      <x:c r="C216" s="5"/>
      <x:c r="D216" s="4"/>
      <x:c r="E216" s="6"/>
      <x:c r="F216" s="6"/>
      <x:c r="G216" s="6"/>
      <x:c r="H216" s="6"/>
      <x:c r="I216" s="4"/>
      <x:c r="J216" s="4"/>
      <x:c r="K216" s="4"/>
      <x:c r="L216" s="4"/>
      <x:c r="M216" s="4"/>
      <x:c r="N216" s="4"/>
      <x:c r="O216" s="4"/>
      <x:c r="P216" s="8"/>
      <x:c r="Q216" s="8"/>
      <x:c r="R216" s="8"/>
      <x:c r="S216" s="8"/>
      <x:c r="T216" s="4"/>
    </x:row>
    <x:row r="217" spans="1:20" x14ac:dyDescent="0.25">
      <x:c r="A217" s="5"/>
      <x:c r="B217" s="5"/>
      <x:c r="C217" s="5"/>
      <x:c r="D217" s="4"/>
      <x:c r="E217" s="6"/>
      <x:c r="F217" s="6"/>
      <x:c r="G217" s="6"/>
      <x:c r="H217" s="6"/>
      <x:c r="I217" s="4"/>
      <x:c r="J217" s="4"/>
      <x:c r="K217" s="4"/>
      <x:c r="L217" s="4"/>
      <x:c r="M217" s="4"/>
      <x:c r="N217" s="4"/>
      <x:c r="O217" s="4"/>
      <x:c r="P217" s="8"/>
      <x:c r="Q217" s="8"/>
      <x:c r="R217" s="8"/>
      <x:c r="S217" s="8"/>
      <x:c r="T217" s="4"/>
    </x:row>
    <x:row r="218" spans="1:20" x14ac:dyDescent="0.25">
      <x:c r="A218" s="5"/>
      <x:c r="B218" s="5"/>
      <x:c r="C218" s="5"/>
      <x:c r="D218" s="4"/>
      <x:c r="E218" s="6"/>
      <x:c r="F218" s="6"/>
      <x:c r="G218" s="6"/>
      <x:c r="H218" s="6"/>
      <x:c r="I218" s="4"/>
      <x:c r="J218" s="4"/>
      <x:c r="K218" s="4"/>
      <x:c r="L218" s="4"/>
      <x:c r="M218" s="4"/>
      <x:c r="N218" s="4"/>
      <x:c r="O218" s="4"/>
      <x:c r="P218" s="8"/>
      <x:c r="Q218" s="8"/>
      <x:c r="R218" s="8"/>
      <x:c r="S218" s="8"/>
      <x:c r="T218" s="4"/>
    </x:row>
    <x:row r="219" spans="1:20" x14ac:dyDescent="0.25">
      <x:c r="A219" s="5"/>
      <x:c r="B219" s="5"/>
      <x:c r="C219" s="5"/>
      <x:c r="D219" s="4"/>
      <x:c r="E219" s="6"/>
      <x:c r="F219" s="6"/>
      <x:c r="G219" s="6"/>
      <x:c r="H219" s="6"/>
      <x:c r="I219" s="4"/>
      <x:c r="J219" s="4"/>
      <x:c r="K219" s="4"/>
      <x:c r="L219" s="4"/>
      <x:c r="M219" s="4"/>
      <x:c r="N219" s="4"/>
      <x:c r="O219" s="4"/>
      <x:c r="P219" s="8"/>
      <x:c r="Q219" s="8"/>
      <x:c r="R219" s="8"/>
      <x:c r="S219" s="8"/>
      <x:c r="T219" s="4"/>
    </x:row>
    <x:row r="220" spans="1:20" x14ac:dyDescent="0.25">
      <x:c r="A220" s="5"/>
      <x:c r="B220" s="5"/>
      <x:c r="C220" s="5"/>
      <x:c r="D220" s="4"/>
      <x:c r="E220" s="6"/>
      <x:c r="F220" s="6"/>
      <x:c r="G220" s="6"/>
      <x:c r="H220" s="6"/>
      <x:c r="I220" s="4"/>
      <x:c r="J220" s="4"/>
      <x:c r="K220" s="4"/>
      <x:c r="L220" s="4"/>
      <x:c r="M220" s="4"/>
      <x:c r="N220" s="4"/>
      <x:c r="O220" s="4"/>
      <x:c r="P220" s="8"/>
      <x:c r="Q220" s="8"/>
      <x:c r="R220" s="8"/>
      <x:c r="S220" s="8"/>
      <x:c r="T220" s="4"/>
    </x:row>
    <x:row r="221" spans="1:20" x14ac:dyDescent="0.25">
      <x:c r="A221" s="5"/>
      <x:c r="B221" s="5"/>
      <x:c r="C221" s="5"/>
      <x:c r="D221" s="4"/>
      <x:c r="E221" s="6"/>
      <x:c r="F221" s="6"/>
      <x:c r="G221" s="6"/>
      <x:c r="H221" s="6"/>
      <x:c r="I221" s="4"/>
      <x:c r="J221" s="4"/>
      <x:c r="K221" s="4"/>
      <x:c r="L221" s="4"/>
      <x:c r="M221" s="4"/>
      <x:c r="N221" s="4"/>
      <x:c r="O221" s="4"/>
      <x:c r="P221" s="8"/>
      <x:c r="Q221" s="8"/>
      <x:c r="R221" s="8"/>
      <x:c r="S221" s="8"/>
      <x:c r="T221" s="4"/>
    </x:row>
    <x:row r="222" spans="1:20" x14ac:dyDescent="0.25">
      <x:c r="A222" s="5"/>
      <x:c r="B222" s="5"/>
      <x:c r="C222" s="5"/>
      <x:c r="D222" s="4"/>
      <x:c r="E222" s="6"/>
      <x:c r="F222" s="6"/>
      <x:c r="G222" s="6"/>
      <x:c r="H222" s="6"/>
      <x:c r="I222" s="4"/>
      <x:c r="J222" s="4"/>
      <x:c r="K222" s="4"/>
      <x:c r="L222" s="4"/>
      <x:c r="M222" s="4"/>
      <x:c r="N222" s="4"/>
      <x:c r="O222" s="4"/>
      <x:c r="P222" s="8"/>
      <x:c r="Q222" s="8"/>
      <x:c r="R222" s="8"/>
      <x:c r="S222" s="8"/>
      <x:c r="T222" s="4"/>
    </x:row>
    <x:row r="223" spans="1:20" x14ac:dyDescent="0.25">
      <x:c r="A223" s="5"/>
      <x:c r="B223" s="5"/>
      <x:c r="C223" s="5"/>
      <x:c r="D223" s="4"/>
      <x:c r="E223" s="6"/>
      <x:c r="F223" s="6"/>
      <x:c r="G223" s="6"/>
      <x:c r="H223" s="6"/>
      <x:c r="I223" s="4"/>
      <x:c r="J223" s="4"/>
      <x:c r="K223" s="4"/>
      <x:c r="L223" s="4"/>
      <x:c r="M223" s="4"/>
      <x:c r="N223" s="4"/>
      <x:c r="O223" s="4"/>
      <x:c r="P223" s="8"/>
      <x:c r="Q223" s="8"/>
      <x:c r="R223" s="8"/>
      <x:c r="S223" s="8"/>
      <x:c r="T223" s="4"/>
    </x:row>
    <x:row r="224" spans="1:20" x14ac:dyDescent="0.25">
      <x:c r="A224" s="5"/>
      <x:c r="B224" s="5"/>
      <x:c r="C224" s="5"/>
      <x:c r="D224" s="4"/>
      <x:c r="E224" s="6"/>
      <x:c r="F224" s="6"/>
      <x:c r="G224" s="6"/>
      <x:c r="H224" s="6"/>
      <x:c r="I224" s="4"/>
      <x:c r="J224" s="4"/>
      <x:c r="K224" s="4"/>
      <x:c r="L224" s="4"/>
      <x:c r="M224" s="4"/>
      <x:c r="N224" s="4"/>
      <x:c r="O224" s="4"/>
      <x:c r="P224" s="8"/>
      <x:c r="Q224" s="8"/>
      <x:c r="R224" s="8"/>
      <x:c r="S224" s="8"/>
      <x:c r="T224" s="4"/>
    </x:row>
    <x:row r="225" spans="1:20" x14ac:dyDescent="0.25">
      <x:c r="A225" s="5"/>
      <x:c r="B225" s="5"/>
      <x:c r="C225" s="5"/>
      <x:c r="D225" s="4"/>
      <x:c r="E225" s="6"/>
      <x:c r="F225" s="6"/>
      <x:c r="G225" s="6"/>
      <x:c r="H225" s="6"/>
      <x:c r="I225" s="4"/>
      <x:c r="J225" s="4"/>
      <x:c r="K225" s="4"/>
      <x:c r="L225" s="4"/>
      <x:c r="M225" s="4"/>
      <x:c r="N225" s="4"/>
      <x:c r="O225" s="4"/>
      <x:c r="P225" s="8"/>
      <x:c r="Q225" s="8"/>
      <x:c r="R225" s="8"/>
      <x:c r="S225" s="8"/>
      <x:c r="T225" s="4"/>
    </x:row>
    <x:row r="226" spans="1:20" x14ac:dyDescent="0.25">
      <x:c r="A226" s="5"/>
      <x:c r="B226" s="5"/>
      <x:c r="C226" s="5"/>
      <x:c r="D226" s="4"/>
      <x:c r="E226" s="6"/>
      <x:c r="F226" s="6"/>
      <x:c r="G226" s="6"/>
      <x:c r="H226" s="6"/>
      <x:c r="I226" s="4"/>
      <x:c r="J226" s="4"/>
      <x:c r="K226" s="4"/>
      <x:c r="L226" s="4"/>
      <x:c r="M226" s="4"/>
      <x:c r="N226" s="4"/>
      <x:c r="O226" s="4"/>
      <x:c r="P226" s="8"/>
      <x:c r="Q226" s="8"/>
      <x:c r="R226" s="8"/>
      <x:c r="S226" s="8"/>
      <x:c r="T226" s="4"/>
    </x:row>
    <x:row r="227" spans="1:20" x14ac:dyDescent="0.25">
      <x:c r="A227" s="5"/>
      <x:c r="B227" s="5"/>
      <x:c r="C227" s="5"/>
      <x:c r="D227" s="4"/>
      <x:c r="E227" s="6"/>
      <x:c r="F227" s="6"/>
      <x:c r="G227" s="6"/>
      <x:c r="H227" s="6"/>
      <x:c r="I227" s="4"/>
      <x:c r="J227" s="4"/>
      <x:c r="K227" s="4"/>
      <x:c r="L227" s="4"/>
      <x:c r="M227" s="4"/>
      <x:c r="N227" s="4"/>
      <x:c r="O227" s="4"/>
      <x:c r="P227" s="8"/>
      <x:c r="Q227" s="8"/>
      <x:c r="R227" s="8"/>
      <x:c r="S227" s="8"/>
      <x:c r="T227" s="4"/>
    </x:row>
    <x:row r="228" spans="1:20" x14ac:dyDescent="0.25">
      <x:c r="A228" s="5"/>
      <x:c r="B228" s="5"/>
      <x:c r="C228" s="5"/>
      <x:c r="D228" s="4"/>
      <x:c r="E228" s="6"/>
      <x:c r="F228" s="6"/>
      <x:c r="G228" s="6"/>
      <x:c r="H228" s="6"/>
      <x:c r="I228" s="4"/>
      <x:c r="J228" s="4"/>
      <x:c r="K228" s="4"/>
      <x:c r="L228" s="4"/>
      <x:c r="M228" s="4"/>
      <x:c r="N228" s="4"/>
      <x:c r="O228" s="4"/>
      <x:c r="P228" s="8"/>
      <x:c r="Q228" s="8"/>
      <x:c r="R228" s="8"/>
      <x:c r="S228" s="8"/>
      <x:c r="T228" s="4"/>
    </x:row>
    <x:row r="229" spans="1:20" x14ac:dyDescent="0.25">
      <x:c r="A229" s="5"/>
      <x:c r="B229" s="5"/>
      <x:c r="C229" s="5"/>
      <x:c r="D229" s="4"/>
      <x:c r="E229" s="6"/>
      <x:c r="F229" s="6"/>
      <x:c r="G229" s="6"/>
      <x:c r="H229" s="6"/>
      <x:c r="I229" s="4"/>
      <x:c r="J229" s="4"/>
      <x:c r="K229" s="4"/>
      <x:c r="L229" s="4"/>
      <x:c r="M229" s="4"/>
      <x:c r="N229" s="4"/>
      <x:c r="O229" s="4"/>
      <x:c r="P229" s="8"/>
      <x:c r="Q229" s="8"/>
      <x:c r="R229" s="8"/>
      <x:c r="S229" s="8"/>
      <x:c r="T229" s="4"/>
    </x:row>
    <x:row r="230" spans="1:20" x14ac:dyDescent="0.25">
      <x:c r="A230" s="5"/>
      <x:c r="B230" s="5"/>
      <x:c r="C230" s="5"/>
      <x:c r="D230" s="4"/>
      <x:c r="E230" s="6"/>
      <x:c r="F230" s="6"/>
      <x:c r="G230" s="6"/>
      <x:c r="H230" s="6"/>
      <x:c r="I230" s="4"/>
      <x:c r="J230" s="4"/>
      <x:c r="K230" s="4"/>
      <x:c r="L230" s="4"/>
      <x:c r="M230" s="4"/>
      <x:c r="N230" s="4"/>
      <x:c r="O230" s="4"/>
      <x:c r="P230" s="8"/>
      <x:c r="Q230" s="8"/>
      <x:c r="R230" s="8"/>
      <x:c r="S230" s="8"/>
      <x:c r="T230" s="4"/>
    </x:row>
    <x:row r="231" spans="1:20" x14ac:dyDescent="0.25">
      <x:c r="A231" s="5"/>
      <x:c r="B231" s="5"/>
      <x:c r="C231" s="5"/>
      <x:c r="D231" s="4"/>
      <x:c r="E231" s="6"/>
      <x:c r="F231" s="6"/>
      <x:c r="G231" s="6"/>
      <x:c r="H231" s="6"/>
      <x:c r="I231" s="4"/>
      <x:c r="J231" s="4"/>
      <x:c r="K231" s="4"/>
      <x:c r="L231" s="4"/>
      <x:c r="M231" s="4"/>
      <x:c r="N231" s="4"/>
      <x:c r="O231" s="4"/>
      <x:c r="P231" s="8"/>
      <x:c r="Q231" s="8"/>
      <x:c r="R231" s="8"/>
      <x:c r="S231" s="8"/>
      <x:c r="T231" s="4"/>
    </x:row>
    <x:row r="232" spans="1:20" x14ac:dyDescent="0.25">
      <x:c r="A232" s="5"/>
      <x:c r="B232" s="5"/>
      <x:c r="C232" s="5"/>
      <x:c r="D232" s="4"/>
      <x:c r="E232" s="6"/>
      <x:c r="F232" s="6"/>
      <x:c r="G232" s="6"/>
      <x:c r="H232" s="6"/>
      <x:c r="I232" s="4"/>
      <x:c r="J232" s="4"/>
      <x:c r="K232" s="4"/>
      <x:c r="L232" s="4"/>
      <x:c r="M232" s="4"/>
      <x:c r="N232" s="4"/>
      <x:c r="O232" s="4"/>
      <x:c r="P232" s="8"/>
      <x:c r="Q232" s="8"/>
      <x:c r="R232" s="8"/>
      <x:c r="S232" s="8"/>
      <x:c r="T232" s="4"/>
    </x:row>
    <x:row r="233" spans="1:20" x14ac:dyDescent="0.25">
      <x:c r="A233" s="5"/>
      <x:c r="B233" s="5"/>
      <x:c r="C233" s="5"/>
      <x:c r="D233" s="4"/>
      <x:c r="E233" s="6"/>
      <x:c r="F233" s="6"/>
      <x:c r="G233" s="6"/>
      <x:c r="H233" s="6"/>
      <x:c r="I233" s="4"/>
      <x:c r="J233" s="4"/>
      <x:c r="K233" s="4"/>
      <x:c r="L233" s="4"/>
      <x:c r="M233" s="4"/>
      <x:c r="N233" s="4"/>
      <x:c r="O233" s="4"/>
      <x:c r="P233" s="8"/>
      <x:c r="Q233" s="8"/>
      <x:c r="R233" s="8"/>
      <x:c r="S233" s="8"/>
      <x:c r="T233" s="4"/>
    </x:row>
    <x:row r="234" spans="1:20" x14ac:dyDescent="0.25">
      <x:c r="A234" s="5"/>
      <x:c r="B234" s="5"/>
      <x:c r="C234" s="5"/>
      <x:c r="D234" s="4"/>
      <x:c r="E234" s="6"/>
      <x:c r="F234" s="6"/>
      <x:c r="G234" s="6"/>
      <x:c r="H234" s="6"/>
      <x:c r="I234" s="4"/>
      <x:c r="J234" s="4"/>
      <x:c r="K234" s="4"/>
      <x:c r="L234" s="4"/>
      <x:c r="M234" s="4"/>
      <x:c r="N234" s="4"/>
      <x:c r="O234" s="4"/>
      <x:c r="P234" s="8"/>
      <x:c r="Q234" s="8"/>
      <x:c r="R234" s="8"/>
      <x:c r="S234" s="8"/>
      <x:c r="T234" s="4"/>
    </x:row>
    <x:row r="235" spans="1:20" x14ac:dyDescent="0.25">
      <x:c r="A235" s="5"/>
      <x:c r="B235" s="5"/>
      <x:c r="C235" s="5"/>
      <x:c r="D235" s="4"/>
      <x:c r="E235" s="6"/>
      <x:c r="F235" s="6"/>
      <x:c r="G235" s="6"/>
      <x:c r="H235" s="6"/>
      <x:c r="I235" s="4"/>
      <x:c r="J235" s="4"/>
      <x:c r="K235" s="4"/>
      <x:c r="L235" s="4"/>
      <x:c r="M235" s="4"/>
      <x:c r="N235" s="4"/>
      <x:c r="O235" s="4"/>
      <x:c r="P235" s="8"/>
      <x:c r="Q235" s="8"/>
      <x:c r="R235" s="8"/>
      <x:c r="S235" s="8"/>
      <x:c r="T235" s="4"/>
    </x:row>
    <x:row r="236" spans="1:20" x14ac:dyDescent="0.25">
      <x:c r="A236" s="5"/>
      <x:c r="B236" s="5"/>
      <x:c r="C236" s="5"/>
      <x:c r="D236" s="4"/>
      <x:c r="E236" s="6"/>
      <x:c r="F236" s="6"/>
      <x:c r="G236" s="6"/>
      <x:c r="H236" s="6"/>
      <x:c r="I236" s="4"/>
      <x:c r="J236" s="4"/>
      <x:c r="K236" s="4"/>
      <x:c r="L236" s="4"/>
      <x:c r="M236" s="4"/>
      <x:c r="N236" s="4"/>
      <x:c r="O236" s="4"/>
      <x:c r="P236" s="8"/>
      <x:c r="Q236" s="8"/>
      <x:c r="R236" s="8"/>
      <x:c r="S236" s="8"/>
      <x:c r="T236" s="4"/>
    </x:row>
    <x:row r="237" spans="1:20" x14ac:dyDescent="0.25">
      <x:c r="A237" s="5"/>
      <x:c r="B237" s="5"/>
      <x:c r="C237" s="5"/>
      <x:c r="D237" s="4"/>
      <x:c r="E237" s="6"/>
      <x:c r="F237" s="6"/>
      <x:c r="G237" s="6"/>
      <x:c r="H237" s="6"/>
      <x:c r="I237" s="4"/>
      <x:c r="J237" s="4"/>
      <x:c r="K237" s="4"/>
      <x:c r="L237" s="4"/>
      <x:c r="M237" s="4"/>
      <x:c r="N237" s="4"/>
      <x:c r="O237" s="4"/>
      <x:c r="P237" s="8"/>
      <x:c r="Q237" s="8"/>
      <x:c r="R237" s="8"/>
      <x:c r="S237" s="8"/>
      <x:c r="T237" s="4"/>
    </x:row>
    <x:row r="238" spans="1:20" x14ac:dyDescent="0.25">
      <x:c r="A238" s="5"/>
      <x:c r="B238" s="5"/>
      <x:c r="C238" s="5"/>
      <x:c r="D238" s="4"/>
      <x:c r="E238" s="6"/>
      <x:c r="F238" s="6"/>
      <x:c r="G238" s="6"/>
      <x:c r="H238" s="6"/>
      <x:c r="I238" s="4"/>
      <x:c r="J238" s="4"/>
      <x:c r="K238" s="4"/>
      <x:c r="L238" s="4"/>
      <x:c r="M238" s="4"/>
      <x:c r="N238" s="4"/>
      <x:c r="O238" s="4"/>
      <x:c r="P238" s="8"/>
      <x:c r="Q238" s="8"/>
      <x:c r="R238" s="8"/>
      <x:c r="S238" s="8"/>
      <x:c r="T238" s="4"/>
    </x:row>
    <x:row r="239" spans="1:20" x14ac:dyDescent="0.25">
      <x:c r="A239" s="5"/>
      <x:c r="B239" s="5"/>
      <x:c r="C239" s="5"/>
      <x:c r="D239" s="4"/>
      <x:c r="E239" s="6"/>
      <x:c r="F239" s="6"/>
      <x:c r="G239" s="6"/>
      <x:c r="H239" s="6"/>
      <x:c r="I239" s="4"/>
      <x:c r="J239" s="4"/>
      <x:c r="K239" s="4"/>
      <x:c r="L239" s="4"/>
      <x:c r="M239" s="4"/>
      <x:c r="N239" s="4"/>
      <x:c r="O239" s="4"/>
      <x:c r="P239" s="8"/>
      <x:c r="Q239" s="8"/>
      <x:c r="R239" s="8"/>
      <x:c r="S239" s="8"/>
      <x:c r="T239" s="4"/>
    </x:row>
    <x:row r="240" spans="1:20" x14ac:dyDescent="0.25">
      <x:c r="A240" s="5"/>
      <x:c r="B240" s="5"/>
      <x:c r="C240" s="5"/>
      <x:c r="D240" s="4"/>
      <x:c r="E240" s="6"/>
      <x:c r="F240" s="6"/>
      <x:c r="G240" s="6"/>
      <x:c r="H240" s="6"/>
      <x:c r="I240" s="4"/>
      <x:c r="J240" s="4"/>
      <x:c r="K240" s="4"/>
      <x:c r="L240" s="4"/>
      <x:c r="M240" s="4"/>
      <x:c r="N240" s="4"/>
      <x:c r="O240" s="4"/>
      <x:c r="P240" s="8"/>
      <x:c r="Q240" s="8"/>
      <x:c r="R240" s="8"/>
      <x:c r="S240" s="8"/>
      <x:c r="T240" s="4"/>
    </x:row>
    <x:row r="241" spans="1:20" x14ac:dyDescent="0.25">
      <x:c r="A241" s="5"/>
      <x:c r="B241" s="5"/>
      <x:c r="C241" s="5"/>
      <x:c r="D241" s="4"/>
      <x:c r="E241" s="6"/>
      <x:c r="F241" s="6"/>
      <x:c r="G241" s="6"/>
      <x:c r="H241" s="6"/>
      <x:c r="I241" s="4"/>
      <x:c r="J241" s="4"/>
      <x:c r="K241" s="4"/>
      <x:c r="L241" s="4"/>
      <x:c r="M241" s="4"/>
      <x:c r="N241" s="4"/>
      <x:c r="O241" s="4"/>
      <x:c r="P241" s="8"/>
      <x:c r="Q241" s="8"/>
      <x:c r="R241" s="8"/>
      <x:c r="S241" s="8"/>
      <x:c r="T241" s="4"/>
    </x:row>
  </x:sheetData>
  <x:sortState xmlns:xlrd2="http://schemas.microsoft.com/office/spreadsheetml/2017/richdata2" ref="A176:E185">
    <x:sortCondition ref="A176:A185"/>
    <x:sortCondition ref="C176:C185"/>
  </x:sortState>
  <x:mergeCells count="4">
    <x:mergeCell ref="P3:S3"/>
    <x:mergeCell ref="K3:N3"/>
    <x:mergeCell ref="K4:N4"/>
    <x:mergeCell ref="P4:S4"/>
  </x:mergeCells>
  <x:pageMargins left="0.75" right="0.75" top="2" bottom="1" header="0.75" footer="0.5"/>
  <x:pageSetup scale="72" fitToWidth="3" fitToHeight="15" orientation="landscape" r:id="rId1"/>
  <x:headerFooter>
    <x:oddHeader>&amp;C
2025 RATE CASE
ONCOR ELECTRIC DELIVERY COMPANY LLC
II-B-5_1 INTANGIBLE PLANT DEPRECIATION ALLOCATION
SPONSOR:  D. A. WATSON&amp;RWP/II-B-5/1
Page &amp;P of &amp;N</x:oddHeader>
  </x:headerFooter>
  <x:colBreaks count="2" manualBreakCount="2">
    <x:brk id="10" max="1048575" man="1"/>
    <x:brk id="15" max="1048575" man="1"/>
  </x:colBreaks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2025-04-04T18:56:57.0000000Z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