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11B4561C-8436-40F1-89AB-59AD90A00D91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WPII-B-12 Intang Amo Over-Rec1" sheetId="1" r:id="rId1"/>
    <x:sheet name="WPII-B-12 Intang Amo Over-Rec2" sheetId="2" r:id="rId2"/>
  </x:sheets>
  <x:externalReferences>
    <x:externalReference r:id="rId3"/>
  </x:externalReferences>
  <x:definedNames>
    <x:definedName name="aaaa">#REF!</x:definedName>
    <x:definedName name="APN">#REF!</x:definedName>
    <x:definedName name="ASD">#REF!</x:definedName>
    <x:definedName name="Completed">#REF!</x:definedName>
    <x:definedName name="Elapsed">#REF!</x:definedName>
    <x:definedName name="FY">#REF!</x:definedName>
    <x:definedName name="KeyControlFigure">#REF!</x:definedName>
    <x:definedName name="LYN">#REF!</x:definedName>
    <x:definedName name="NvsASD">"V2020-12-31"</x:definedName>
    <x:definedName name="NvsAutoDrillOk">"VN"</x:definedName>
    <x:definedName name="NvsElapsedTime">0.000243055554165039</x:definedName>
    <x:definedName name="NvsEndTime">44211.9082291667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"%,X,RZF.ACCOUNT.nPlosion,CZF.."</x:definedName>
    <x:definedName name="NvsPanelBusUnit">"V"</x:definedName>
    <x:definedName name="NvsPanelEffdt">"V3000-01-01"</x:definedName>
    <x:definedName name="NvsPanelSetid">"VSHARE"</x:definedName>
    <x:definedName name="NvsReqBU">"VX0001"</x:definedName>
    <x:definedName name="NvsReqBUOnly">"VN"</x:definedName>
    <x:definedName name="NvsTransLed">"VN"</x:definedName>
    <x:definedName name="NvsTree.F_ACNT_D_NONRG">"YSNYN"</x:definedName>
    <x:definedName name="NvsTree.F_BU_D_BASE_FCR">"YSNNN"</x:definedName>
    <x:definedName name="NvsTreeASD">"V2020-12-31"</x:definedName>
    <x:definedName name="NvsValTbl.ACCOUNT">"GL_ACCOUNT_TBL"</x:definedName>
    <x:definedName name="NvsValTbl.BUSINESS_UNIT">"BUS_UNIT_TBL_FS"</x:definedName>
    <x:definedName name="NvsValTbl.CURRENCY_CD">"CURRENCY_CD_VW"</x:definedName>
    <x:definedName name="NvsValTbl.PF_SCENARIO_ID">"PF_SCENARIO_VW"</x:definedName>
    <x:definedName name="NvsValTbl.SCENARIO">"SCENARIO_ALL_VW"</x:definedName>
    <x:definedName name="PED">#REF!</x:definedName>
    <x:definedName name="_xlnm.Print_Area" localSheetId="0">'WPII-B-12 Intang Amo Over-Rec1'!$A$1:$L$131</x:definedName>
    <x:definedName name="RID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O1" i="2" l="1"/>
  <x:c r="H50" i="2"/>
  <x:c r="K50" i="2"/>
  <x:c r="J50" i="2"/>
  <x:c r="F59" i="2"/>
  <x:c r="E57" i="2"/>
  <x:c r="E58" i="2"/>
  <x:c r="L77" i="2"/>
  <x:c r="L79" i="2"/>
  <x:c r="L60" i="2"/>
  <x:c r="L62" i="2" s="1"/>
  <x:c r="L63" i="2" s="1"/>
  <x:c r="L76" i="2"/>
  <x:c r="L74" i="2"/>
  <x:c r="L73" i="2"/>
  <x:c r="L72" i="2"/>
  <x:c r="L70" i="2"/>
  <x:c r="L71" i="2" s="1"/>
  <x:c r="L68" i="2"/>
  <x:c r="L69" i="2" s="1"/>
  <x:c r="L67" i="2"/>
  <x:c r="L66" i="2"/>
  <x:c r="L64" i="2"/>
  <x:c r="L65" i="2" s="1"/>
  <x:c r="L61" i="2" l="1"/>
  <x:c r="L75" i="2"/>
  <x:c r="J53" i="2" l="1"/>
  <x:c r="K53" i="2"/>
  <x:c r="E71" i="1"/>
  <x:c r="N32" i="2"/>
  <x:c r="O32" i="2"/>
  <x:c r="N33" i="2"/>
  <x:c r="O33" i="2"/>
  <x:c r="N34" i="2"/>
  <x:c r="O34" i="2"/>
  <x:c r="N35" i="2"/>
  <x:c r="O35" i="2" s="1"/>
  <x:c r="N36" i="2"/>
  <x:c r="O36" i="2" s="1"/>
  <x:c r="N37" i="2"/>
  <x:c r="O37" i="2" s="1"/>
  <x:c r="N38" i="2"/>
  <x:c r="O38" i="2" s="1"/>
  <x:c r="N39" i="2"/>
  <x:c r="O39" i="2" s="1"/>
  <x:c r="N40" i="2"/>
  <x:c r="O40" i="2" s="1"/>
  <x:c r="N41" i="2"/>
  <x:c r="O41" i="2" s="1"/>
  <x:c r="N42" i="2"/>
  <x:c r="O42" i="2" s="1"/>
  <x:c r="N43" i="2"/>
  <x:c r="O43" i="2"/>
  <x:c r="N44" i="2"/>
  <x:c r="O44" i="2"/>
  <x:c r="N45" i="2"/>
  <x:c r="O45" i="2" s="1"/>
  <x:c r="N46" i="2"/>
  <x:c r="O46" i="2"/>
  <x:c r="N31" i="2"/>
  <x:c r="O31" i="2" s="1"/>
  <x:c r="N14" i="2"/>
  <x:c r="O14" i="2"/>
  <x:c r="N15" i="2"/>
  <x:c r="O15" i="2"/>
  <x:c r="N16" i="2"/>
  <x:c r="O16" i="2" s="1"/>
  <x:c r="N17" i="2"/>
  <x:c r="O17" i="2" s="1"/>
  <x:c r="N18" i="2"/>
  <x:c r="O18" i="2" s="1"/>
  <x:c r="N19" i="2"/>
  <x:c r="O19" i="2" s="1"/>
  <x:c r="N20" i="2"/>
  <x:c r="O20" i="2"/>
  <x:c r="N21" i="2"/>
  <x:c r="O21" i="2" s="1"/>
  <x:c r="N22" i="2"/>
  <x:c r="O22" i="2" s="1"/>
  <x:c r="N23" i="2"/>
  <x:c r="O23" i="2" s="1"/>
  <x:c r="N24" i="2"/>
  <x:c r="O24" i="2" s="1"/>
  <x:c r="N25" i="2"/>
  <x:c r="O25" i="2" s="1"/>
  <x:c r="N26" i="2"/>
  <x:c r="O26" i="2"/>
  <x:c r="N27" i="2"/>
  <x:c r="O27" i="2"/>
  <x:c r="N28" i="2"/>
  <x:c r="O28" i="2" s="1"/>
  <x:c r="N13" i="2"/>
  <x:c r="O13" i="2" s="1"/>
  <x:c r="O47" i="2" l="1"/>
  <x:c r="N47" i="2"/>
  <x:c r="O29" i="2"/>
  <x:c r="O48" i="2" s="1"/>
  <x:c r="N29" i="2"/>
  <x:c r="N48" i="2" s="1"/>
  <x:c r="H29" i="2" l="1"/>
  <x:c r="J52" i="2" s="1"/>
  <x:c r="J54" i="2" s="1"/>
  <x:c r="H47" i="2"/>
  <x:c r="L90" i="1"/>
  <x:c r="K90" i="1"/>
  <x:c r="K79" i="1"/>
  <x:c r="L79" i="1"/>
  <x:c r="K80" i="1"/>
  <x:c r="L80" i="1"/>
  <x:c r="K81" i="1"/>
  <x:c r="L81" i="1"/>
  <x:c r="K82" i="1"/>
  <x:c r="L82" i="1"/>
  <x:c r="K83" i="1"/>
  <x:c r="L83" i="1"/>
  <x:c r="K84" i="1"/>
  <x:c r="L84" i="1"/>
  <x:c r="K85" i="1"/>
  <x:c r="L85" i="1"/>
  <x:c r="K86" i="1"/>
  <x:c r="L86" i="1"/>
  <x:c r="K87" i="1"/>
  <x:c r="L87" i="1"/>
  <x:c r="K88" i="1"/>
  <x:c r="L88" i="1"/>
  <x:c r="K89" i="1"/>
  <x:c r="L89" i="1"/>
  <x:c r="L78" i="1"/>
  <x:c r="K78" i="1"/>
  <x:c r="C59" i="1"/>
  <x:c r="B22" i="1"/>
  <x:c r="C39" i="1"/>
  <x:c r="C60" i="1"/>
  <x:c r="B61" i="1"/>
  <x:c r="B55" i="1"/>
  <x:c r="J55" i="1" s="1"/>
  <x:c r="C62" i="1"/>
  <x:c r="B31" i="1"/>
  <x:c r="C22" i="1"/>
  <x:c r="C58" i="1"/>
  <x:c r="B59" i="1"/>
  <x:c r="B47" i="1"/>
  <x:c r="C31" i="1"/>
  <x:c r="C61" i="1"/>
  <x:c r="C47" i="1"/>
  <x:c r="B58" i="1"/>
  <x:c r="B60" i="1"/>
  <x:c r="C55" i="1"/>
  <x:c r="J54" i="1" s="1"/>
  <x:c r="B39" i="1"/>
  <x:c r="B62" i="1"/>
  <x:c r="H48" i="2" l="1"/>
  <x:c r="H52" i="2" s="1"/>
  <x:c r="K52" i="2"/>
  <x:c r="K54" i="2" s="1"/>
  <x:c r="J49" i="1"/>
  <x:c r="J11" i="1"/>
  <x:c r="I10" i="1"/>
  <x:c r="C63" i="1"/>
  <x:c r="J30" i="1"/>
  <x:c r="J40" i="1" s="1"/>
  <x:c r="J41" i="1" s="1"/>
  <x:c r="B63" i="1"/>
  <x:c r="D68" i="1" s="1"/>
  <x:c r="J32" i="1"/>
  <x:c r="J33" i="1" s="1"/>
  <x:c r="J47" i="1"/>
  <x:c r="J31" i="1"/>
  <x:c r="J43" i="1"/>
  <x:c r="J42" i="1"/>
  <x:c r="J36" i="1"/>
  <x:c r="J37" i="1" s="1"/>
  <x:c r="J16" i="1"/>
  <x:c r="I14" i="1"/>
  <x:c r="I15" i="1"/>
  <x:c r="D70" i="1" l="1"/>
  <x:c r="C65" i="1"/>
  <x:c r="F68" i="1"/>
  <x:c r="F70" i="1" s="1"/>
  <x:c r="F71" i="1" s="1"/>
  <x:c r="F72" i="1" s="1"/>
  <x:c r="F73" i="1" s="1"/>
  <x:c r="F74" i="1" s="1"/>
  <x:c r="F75" i="1" s="1"/>
  <x:c r="F76" i="1" s="1"/>
  <x:c r="F77" i="1" s="1"/>
  <x:c r="F78" i="1" s="1"/>
  <x:c r="F79" i="1" s="1"/>
  <x:c r="F80" i="1" s="1"/>
  <x:c r="F81" i="1" s="1"/>
  <x:c r="F82" i="1" s="1"/>
  <x:c r="F83" i="1" s="1"/>
  <x:c r="F84" i="1" s="1"/>
  <x:c r="F85" i="1" s="1"/>
  <x:c r="F86" i="1" s="1"/>
  <x:c r="F87" i="1" s="1"/>
  <x:c r="F88" i="1" s="1"/>
  <x:c r="F89" i="1" s="1"/>
  <x:c r="F90" i="1" s="1"/>
  <x:c r="F91" i="1" s="1"/>
  <x:c r="F92" i="1" s="1"/>
  <x:c r="F93" i="1" s="1"/>
  <x:c r="F94" i="1" s="1"/>
  <x:c r="F95" i="1" s="1"/>
  <x:c r="F96" i="1" s="1"/>
  <x:c r="F97" i="1" s="1"/>
  <x:c r="F98" i="1" s="1"/>
  <x:c r="F99" i="1" s="1"/>
  <x:c r="F100" i="1" s="1"/>
  <x:c r="F101" i="1" s="1"/>
  <x:c r="F102" i="1" s="1"/>
  <x:c r="F103" i="1" s="1"/>
  <x:c r="F104" i="1" s="1"/>
  <x:c r="F105" i="1" s="1"/>
  <x:c r="F106" i="1" s="1"/>
  <x:c r="F107" i="1" s="1"/>
  <x:c r="F108" i="1" s="1"/>
  <x:c r="F109" i="1" s="1"/>
  <x:c r="F110" i="1" s="1"/>
  <x:c r="F111" i="1" s="1"/>
  <x:c r="F112" i="1" s="1"/>
  <x:c r="F113" i="1" s="1"/>
  <x:c r="F114" i="1" s="1"/>
  <x:c r="F115" i="1" s="1"/>
  <x:c r="F116" i="1" s="1"/>
  <x:c r="F117" i="1" s="1"/>
  <x:c r="F118" i="1" s="1"/>
  <x:c r="F119" i="1" s="1"/>
  <x:c r="F120" i="1" s="1"/>
  <x:c r="F121" i="1" s="1"/>
  <x:c r="F122" i="1" s="1"/>
  <x:c r="F123" i="1" s="1"/>
  <x:c r="F124" i="1" s="1"/>
  <x:c r="F125" i="1" s="1"/>
  <x:c r="F126" i="1" s="1"/>
  <x:c r="F127" i="1" s="1"/>
  <x:c r="F128" i="1" s="1"/>
  <x:c r="F129" i="1" s="1"/>
  <x:c r="F130" i="1" s="1"/>
  <x:c r="G130" i="1" s="1"/>
  <x:c r="K65" i="1"/>
  <x:c r="B65" i="1"/>
  <x:c r="E65" i="1" s="1"/>
  <x:c r="L65" i="1" s="1"/>
  <x:c r="E63" i="1"/>
  <x:c r="J38" i="1"/>
  <x:c r="J39" i="1" s="1"/>
  <x:c r="J34" i="1"/>
  <x:c r="J35" i="1" s="1"/>
  <x:c r="J46" i="1"/>
  <x:c r="J44" i="1"/>
  <x:c r="J45" i="1" s="1"/>
  <x:c r="G70" i="1" l="1"/>
  <x:c r="D71" i="1"/>
  <x:c r="G68" i="1"/>
  <x:c r="G71" i="1" l="1"/>
  <x:c r="D72" i="1"/>
  <x:c r="D73" i="1" l="1"/>
  <x:c r="G72" i="1"/>
  <x:c r="D74" i="1" l="1"/>
  <x:c r="G73" i="1"/>
  <x:c r="D75" i="1" l="1"/>
  <x:c r="G74" i="1"/>
  <x:c r="D76" i="1" l="1"/>
  <x:c r="G75" i="1"/>
  <x:c r="D77" i="1" l="1"/>
  <x:c r="G76" i="1"/>
  <x:c r="D78" i="1" l="1"/>
  <x:c r="G77" i="1"/>
  <x:c r="D79" i="1" l="1"/>
  <x:c r="G78" i="1"/>
  <x:c r="D80" i="1" l="1"/>
  <x:c r="G79" i="1"/>
  <x:c r="D81" i="1" l="1"/>
  <x:c r="G80" i="1"/>
  <x:c r="D82" i="1" l="1"/>
  <x:c r="G81" i="1"/>
  <x:c r="D83" i="1" l="1"/>
  <x:c r="G82" i="1"/>
  <x:c r="D84" i="1" l="1"/>
  <x:c r="G83" i="1"/>
  <x:c r="D85" i="1" l="1"/>
  <x:c r="G84" i="1"/>
  <x:c r="D86" i="1" l="1"/>
  <x:c r="G85" i="1"/>
  <x:c r="D87" i="1" l="1"/>
  <x:c r="G86" i="1"/>
  <x:c r="D88" i="1" l="1"/>
  <x:c r="G87" i="1"/>
  <x:c r="D89" i="1" l="1"/>
  <x:c r="G88" i="1"/>
  <x:c r="D90" i="1" l="1"/>
  <x:c r="G89" i="1"/>
  <x:c r="H53" i="2" s="1"/>
  <x:c r="H54" i="2" s="1"/>
  <x:c r="D91" i="1" l="1"/>
  <x:c r="G90" i="1"/>
  <x:c r="D92" i="1" l="1"/>
  <x:c r="G91" i="1"/>
  <x:c r="D93" i="1" l="1"/>
  <x:c r="G92" i="1"/>
  <x:c r="D94" i="1" l="1"/>
  <x:c r="G93" i="1"/>
  <x:c r="D95" i="1" l="1"/>
  <x:c r="G94" i="1"/>
  <x:c r="D96" i="1" l="1"/>
  <x:c r="G95" i="1"/>
  <x:c r="D97" i="1" l="1"/>
  <x:c r="G96" i="1"/>
  <x:c r="D98" i="1" l="1"/>
  <x:c r="G97" i="1"/>
  <x:c r="D99" i="1" l="1"/>
  <x:c r="G98" i="1"/>
  <x:c r="D100" i="1" l="1"/>
  <x:c r="G99" i="1"/>
  <x:c r="D101" i="1" l="1"/>
  <x:c r="G100" i="1"/>
  <x:c r="D102" i="1" l="1"/>
  <x:c r="G101" i="1"/>
  <x:c r="D103" i="1" l="1"/>
  <x:c r="G102" i="1"/>
  <x:c r="D104" i="1" l="1"/>
  <x:c r="G103" i="1"/>
  <x:c r="D105" i="1" l="1"/>
  <x:c r="G104" i="1"/>
  <x:c r="D106" i="1" l="1"/>
  <x:c r="G105" i="1"/>
  <x:c r="D107" i="1" l="1"/>
  <x:c r="G106" i="1"/>
  <x:c r="D108" i="1" l="1"/>
  <x:c r="G107" i="1"/>
  <x:c r="D109" i="1" l="1"/>
  <x:c r="G108" i="1"/>
  <x:c r="D110" i="1" l="1"/>
  <x:c r="G109" i="1"/>
  <x:c r="D111" i="1" l="1"/>
  <x:c r="G110" i="1"/>
  <x:c r="D112" i="1" l="1"/>
  <x:c r="G111" i="1"/>
  <x:c r="D113" i="1" l="1"/>
  <x:c r="G112" i="1"/>
  <x:c r="D114" i="1" l="1"/>
  <x:c r="G113" i="1"/>
  <x:c r="D115" i="1" l="1"/>
  <x:c r="G114" i="1"/>
  <x:c r="D116" i="1" l="1"/>
  <x:c r="G115" i="1"/>
  <x:c r="D117" i="1" l="1"/>
  <x:c r="G116" i="1"/>
  <x:c r="D118" i="1" l="1"/>
  <x:c r="G117" i="1"/>
  <x:c r="D119" i="1" l="1"/>
  <x:c r="G118" i="1"/>
  <x:c r="D120" i="1" l="1"/>
  <x:c r="G119" i="1"/>
  <x:c r="D121" i="1" l="1"/>
  <x:c r="G120" i="1"/>
  <x:c r="D122" i="1" l="1"/>
  <x:c r="G121" i="1"/>
  <x:c r="D123" i="1" l="1"/>
  <x:c r="G122" i="1"/>
  <x:c r="D124" i="1" l="1"/>
  <x:c r="G123" i="1"/>
  <x:c r="D125" i="1" l="1"/>
  <x:c r="G124" i="1"/>
  <x:c r="D126" i="1" l="1"/>
  <x:c r="G125" i="1"/>
  <x:c r="D127" i="1" l="1"/>
  <x:c r="G126" i="1"/>
  <x:c r="D128" i="1" l="1"/>
  <x:c r="G127" i="1"/>
  <x:c r="D129" i="1" l="1"/>
  <x:c r="G129" i="1" s="1"/>
  <x:c r="G128" i="1"/>
</x:calcChain>
</file>

<file path=xl/sharedStrings.xml><?xml version="1.0" encoding="utf-8"?>
<sst xmlns="http://schemas.openxmlformats.org/spreadsheetml/2006/main" count="401" uniqueCount="137">
  <si>
    <t>Transmission</t>
  </si>
  <si>
    <t>Distribution</t>
  </si>
  <si>
    <t>Accumulated Provision for Amortization</t>
  </si>
  <si>
    <t>Amortization Adjustment</t>
  </si>
  <si>
    <t>Amortization Expense</t>
  </si>
  <si>
    <t>To adjust amortization expense for untimely intangible plant retirements</t>
  </si>
  <si>
    <t>Operating Revenues</t>
  </si>
  <si>
    <t>Interest Expense</t>
  </si>
  <si>
    <t>Regulatory Liability</t>
  </si>
  <si>
    <t>To accrue regulatory liability for overbilling related to intangible retirements</t>
  </si>
  <si>
    <t>Total</t>
  </si>
  <si>
    <t>Excess Amortization in Rates</t>
  </si>
  <si>
    <t>Operating Revenue Debit Breakdown:</t>
  </si>
  <si>
    <t>12ME 12/31/2021</t>
  </si>
  <si>
    <t>Distribution DCRF Total:</t>
  </si>
  <si>
    <t>Account</t>
  </si>
  <si>
    <t>DCRF Rev</t>
  </si>
  <si>
    <t>Sub-Total</t>
  </si>
  <si>
    <t>Residential</t>
  </si>
  <si>
    <t>4405008</t>
  </si>
  <si>
    <t>Small Sec-IDR</t>
  </si>
  <si>
    <t>4425008</t>
  </si>
  <si>
    <t>Texas GMT on Excess Amort</t>
  </si>
  <si>
    <t>Small Sec-NIDR</t>
  </si>
  <si>
    <t>4425208</t>
  </si>
  <si>
    <t>Small Pri-IDR</t>
  </si>
  <si>
    <t>4426008</t>
  </si>
  <si>
    <t>Small Pri-NIDR</t>
  </si>
  <si>
    <t>4426208</t>
  </si>
  <si>
    <t>Large Sec-IDR</t>
  </si>
  <si>
    <t>4427008</t>
  </si>
  <si>
    <t>Large Sec-NIDR</t>
  </si>
  <si>
    <t>4427208</t>
  </si>
  <si>
    <t>Large Pri-IDR</t>
  </si>
  <si>
    <t>4428008</t>
  </si>
  <si>
    <t>Large Pri-NIDR</t>
  </si>
  <si>
    <t>4428208</t>
  </si>
  <si>
    <t>Substation-IDR</t>
  </si>
  <si>
    <t>4428108</t>
  </si>
  <si>
    <t>Lower Return on Rate Base</t>
  </si>
  <si>
    <t>Substation-NIDR</t>
  </si>
  <si>
    <t>4428128</t>
  </si>
  <si>
    <t>4429008</t>
  </si>
  <si>
    <t>Unmetered Ltg</t>
  </si>
  <si>
    <t>4445008</t>
  </si>
  <si>
    <t>Metered Ltg</t>
  </si>
  <si>
    <t>4446008</t>
  </si>
  <si>
    <t>GuardLights</t>
  </si>
  <si>
    <t>4447008</t>
  </si>
  <si>
    <t>Wholesale-Substn</t>
  </si>
  <si>
    <t>Wholesale-DL</t>
  </si>
  <si>
    <t>Carrying Cost on Overbilling</t>
  </si>
  <si>
    <t>Transmission Total:</t>
  </si>
  <si>
    <t>Interest Expense Breakdown:</t>
  </si>
  <si>
    <t>Net Regulatory Liability by Year</t>
  </si>
  <si>
    <t>Total at 12/31/2021</t>
  </si>
  <si>
    <t>Oncor Electric Delivery Company LLC</t>
  </si>
  <si>
    <t>Account 407</t>
  </si>
  <si>
    <t>TRAN</t>
  </si>
  <si>
    <t>DIST</t>
  </si>
  <si>
    <t>Amortization expense</t>
  </si>
  <si>
    <t>TRN</t>
  </si>
  <si>
    <t>ESD</t>
  </si>
  <si>
    <t>Docket No. 53601 Approved Regulatory Liability to be amortized over five years</t>
  </si>
  <si>
    <t>TRAN Balance</t>
  </si>
  <si>
    <t>DIST Balance</t>
  </si>
  <si>
    <t>T&amp;D Balance</t>
  </si>
  <si>
    <t>Reg liability - to be refunded approved in Docket No. 53601</t>
  </si>
  <si>
    <t>Annual Amortization</t>
  </si>
  <si>
    <t>2024 Amort</t>
  </si>
  <si>
    <t>Approved unamortized balance at 12-31-2024</t>
  </si>
  <si>
    <t>2025 Rate Case</t>
  </si>
  <si>
    <t>For Test Year Ending December 31, 2024</t>
  </si>
  <si>
    <t>Regulatory Liability 2541300-Int Asset Over-Amortization Approved in Docket No. 53601 (2022 Rate Case) to be Refunded over Five-Years</t>
  </si>
  <si>
    <t>Unit</t>
  </si>
  <si>
    <t>Journal ID</t>
  </si>
  <si>
    <t>Dept</t>
  </si>
  <si>
    <t>Date</t>
  </si>
  <si>
    <t>Project</t>
  </si>
  <si>
    <t>Posted</t>
  </si>
  <si>
    <t>Amount</t>
  </si>
  <si>
    <t>Long Descr</t>
  </si>
  <si>
    <t>Year</t>
  </si>
  <si>
    <t>Period</t>
  </si>
  <si>
    <t>Line Descr</t>
  </si>
  <si>
    <t>2541300</t>
  </si>
  <si>
    <t>0000967013</t>
  </si>
  <si>
    <t>521900</t>
  </si>
  <si>
    <t>INTGRETM</t>
  </si>
  <si>
    <t>Reg Liab - intang retirements</t>
  </si>
  <si>
    <t>To accrue regulatory liability for overbilling related to intangible retirements for February 2022</t>
  </si>
  <si>
    <t>To accrue regulatory liability for overbilling related to intangible retirements for March 2022</t>
  </si>
  <si>
    <t>To accrue regulatory liability for overbilling related to intangible retirements for April 2022</t>
  </si>
  <si>
    <t>To accrue regulatory liability for overbilling related to intangible retirements for May 2022</t>
  </si>
  <si>
    <t>To accrue regulatory liability for overbilling related to intangible retirements for June 2022</t>
  </si>
  <si>
    <t>To accrue regulatory liability for overbilling related to intangible retirements for July 2022</t>
  </si>
  <si>
    <t>To accrue regulatory liability for overbilling related to intangible retirements for August 2022</t>
  </si>
  <si>
    <t>To accrue regulatory liability for overbilling related to intangible retirements for September 2022</t>
  </si>
  <si>
    <t>To accrue regulatory liability for overbilling related to intangible retirements for October 2022</t>
  </si>
  <si>
    <t>To accrue regulatory liability for overbilling related to intangible retirements for November 2022</t>
  </si>
  <si>
    <t>To accrue regulatory liability for overbilling related to intangible retirements for December 2022</t>
  </si>
  <si>
    <t>To accrue regulatory liability for overbilling related to intangible retirements for January 2023</t>
  </si>
  <si>
    <t>To accrue regulatory liability for overbilling related to intangible retirements for February 2023</t>
  </si>
  <si>
    <t>To accrue regulatory liability for overbilling related to intangible retirements for March 2023</t>
  </si>
  <si>
    <t>To accrue regulatory liability for overbilling related to intangible retirements for April 2023</t>
  </si>
  <si>
    <t>571900</t>
  </si>
  <si>
    <t>Regulatory Liability 2541300-Int Asset Over-Amortization to be Reviewed</t>
  </si>
  <si>
    <t>Interest on</t>
  </si>
  <si>
    <t>Over-billing</t>
  </si>
  <si>
    <t>DIST-DCRF</t>
  </si>
  <si>
    <t>TRAN-TCOS</t>
  </si>
  <si>
    <t>Refund</t>
  </si>
  <si>
    <t>Regulatory Liability 2541300-Int Asset Over-Amortization that was approved in Docket No. 53601 continued to be accrued 2022 through April 2023, including interest on the over-billing, until Docket No. 53601 rates were effective May 1, 2023.</t>
  </si>
  <si>
    <t>Regulatory Liability balance at 12-31-2024 to be reviewed in this rate case</t>
  </si>
  <si>
    <t>Requested refund period of five years consistent with Docket No. 53601</t>
  </si>
  <si>
    <t>Approved unamortized regulatory Liability balance at 12-31-2024</t>
  </si>
  <si>
    <t>Regulatory Liability balance at 12-31-2024</t>
  </si>
  <si>
    <t>Transmission Total</t>
  </si>
  <si>
    <t>2022 through April 2023:</t>
  </si>
  <si>
    <t>CR-A407</t>
  </si>
  <si>
    <t>DR- reg liab</t>
  </si>
  <si>
    <t>(Credit) Account 407</t>
  </si>
  <si>
    <t>Accrual of regulatory liability ceased with Docket No. 53601 rates (May 1, 2023)</t>
  </si>
  <si>
    <t>Reference II-E-4.1 Line Nos. 37-38 and II-E-4.1.1 Line No 38-39</t>
  </si>
  <si>
    <t>Page 1 of 2</t>
  </si>
  <si>
    <t>Page 2 of 2</t>
  </si>
  <si>
    <t>Sponsor:  W. Alan Ledbetter &amp; R. Prachyl</t>
  </si>
  <si>
    <t>Operating Revenue Debit Breakdown (monthly amounts for 2022 - April 2023):</t>
  </si>
  <si>
    <t>WP/II-B-12 Intangible Amortization Over-Recovery</t>
  </si>
  <si>
    <t>Approved in Docket No. 53601</t>
  </si>
  <si>
    <t>Docket No. 53601 approved refund (amo) over 5 years</t>
  </si>
  <si>
    <t>Approved</t>
  </si>
  <si>
    <t>To Be Reviewed</t>
  </si>
  <si>
    <t>Docket No. 53601 Approved Regulatory Liability Balance at 12-31-2024 - 2021 test year entries:</t>
  </si>
  <si>
    <t>Reference Docket No. 53601 Order on Rehearing pages 37 (Finding of Fact Nos. 167, 167A, &amp; 173) and 60</t>
  </si>
  <si>
    <t>Total Reg. Liability Amortization</t>
  </si>
  <si>
    <t>Docket No. 53601 Order on Rehearing page 37 (Findings of Fact 167, 167A, &amp; 173) and 60 (Finding of Fact 377)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</si>
</sst>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 val="double"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43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  <xf numFmtId="40" fontId="4" fillId="0" borderId="0" xfId="0" applyNumberFormat="1" applyFont="1"/>
    <xf numFmtId="0" fontId="6" fillId="0" borderId="0" xfId="0" applyFont="1" applyAlignment="1">
      <alignment horizontal="left" indent="1"/>
    </xf>
    <xf numFmtId="43" fontId="7" fillId="0" borderId="0" xfId="0" applyNumberFormat="1" applyFont="1"/>
    <xf numFmtId="40" fontId="7" fillId="0" borderId="0" xfId="0" applyNumberFormat="1" applyFont="1"/>
    <xf numFmtId="0" fontId="4" fillId="0" borderId="0" xfId="0" applyFont="1" applyAlignment="1">
      <alignment horizontal="left" indent="1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2" xfId="0" applyFont="1" applyBorder="1" applyAlignment="1">
      <alignment horizontal="center"/>
    </xf>
    <xf numFmtId="43" fontId="7" fillId="0" borderId="3" xfId="0" applyNumberFormat="1" applyFont="1" applyBorder="1"/>
    <xf numFmtId="0" fontId="4" fillId="0" borderId="4" xfId="0" applyFont="1" applyBorder="1" applyAlignment="1">
      <alignment horizontal="left" indent="1"/>
    </xf>
    <xf numFmtId="0" fontId="4" fillId="0" borderId="0" xfId="0" quotePrefix="1" applyFont="1" applyBorder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43" fontId="4" fillId="0" borderId="5" xfId="0" applyNumberFormat="1" applyFont="1" applyBorder="1"/>
    <xf numFmtId="0" fontId="4" fillId="0" borderId="0" xfId="0" applyFont="1" applyFill="1" applyBorder="1" applyAlignment="1">
      <alignment horizontal="center"/>
    </xf>
    <xf numFmtId="0" fontId="4" fillId="0" borderId="6" xfId="0" applyFont="1" applyBorder="1" applyAlignment="1">
      <alignment horizontal="left" indent="1"/>
    </xf>
    <xf numFmtId="0" fontId="4" fillId="0" borderId="7" xfId="0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43" fontId="4" fillId="0" borderId="8" xfId="0" applyNumberFormat="1" applyFont="1" applyBorder="1"/>
    <xf numFmtId="0" fontId="4" fillId="0" borderId="0" xfId="0" applyFont="1" applyBorder="1" applyAlignment="1">
      <alignment horizontal="center"/>
    </xf>
    <xf numFmtId="10" fontId="4" fillId="0" borderId="0" xfId="1" applyNumberFormat="1" applyFont="1" applyAlignment="1">
      <alignment horizontal="center"/>
    </xf>
    <xf numFmtId="0" fontId="8" fillId="0" borderId="0" xfId="2" applyFont="1" applyAlignment="1">
      <alignment horizontal="right"/>
    </xf>
    <xf numFmtId="17" fontId="4" fillId="0" borderId="0" xfId="4" applyNumberFormat="1" applyFont="1"/>
    <xf numFmtId="43" fontId="4" fillId="0" borderId="0" xfId="3" applyFont="1"/>
    <xf numFmtId="0" fontId="4" fillId="0" borderId="10" xfId="4" applyFont="1" applyBorder="1" applyAlignment="1">
      <alignment horizontal="right"/>
    </xf>
    <xf numFmtId="43" fontId="9" fillId="0" borderId="10" xfId="3" applyFont="1" applyBorder="1"/>
    <xf numFmtId="43" fontId="9" fillId="0" borderId="0" xfId="3" applyFont="1" applyBorder="1"/>
    <xf numFmtId="0" fontId="4" fillId="0" borderId="0" xfId="4" applyFont="1"/>
    <xf numFmtId="43" fontId="4" fillId="0" borderId="0" xfId="4" applyNumberFormat="1" applyFont="1"/>
    <xf numFmtId="0" fontId="4" fillId="0" borderId="0" xfId="4" applyFont="1" applyBorder="1"/>
    <xf numFmtId="43" fontId="4" fillId="0" borderId="0" xfId="4" applyNumberFormat="1" applyFont="1" applyBorder="1"/>
    <xf numFmtId="0" fontId="4" fillId="0" borderId="0" xfId="4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43" fontId="4" fillId="2" borderId="0" xfId="0" applyNumberFormat="1" applyFont="1" applyFill="1"/>
    <xf numFmtId="0" fontId="4" fillId="0" borderId="0" xfId="0" applyFont="1" applyAlignment="1">
      <alignment horizontal="right"/>
    </xf>
    <xf numFmtId="43" fontId="4" fillId="0" borderId="9" xfId="0" applyNumberFormat="1" applyFont="1" applyBorder="1"/>
    <xf numFmtId="0" fontId="4" fillId="2" borderId="9" xfId="0" applyFont="1" applyFill="1" applyBorder="1" applyAlignment="1">
      <alignment horizontal="center"/>
    </xf>
    <xf numFmtId="43" fontId="4" fillId="2" borderId="9" xfId="0" applyNumberFormat="1" applyFont="1" applyFill="1" applyBorder="1"/>
    <xf numFmtId="0" fontId="4" fillId="2" borderId="0" xfId="0" applyFont="1" applyFill="1"/>
    <xf numFmtId="0" fontId="3" fillId="0" borderId="0" xfId="0" applyFont="1" applyFill="1"/>
    <xf numFmtId="43" fontId="4" fillId="0" borderId="0" xfId="3" applyFont="1" applyFill="1"/>
    <xf numFmtId="17" fontId="4" fillId="0" borderId="0" xfId="4" applyNumberFormat="1" applyFont="1" applyFill="1"/>
    <xf numFmtId="0" fontId="6" fillId="0" borderId="0" xfId="0" applyFont="1" applyAlignment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43" fontId="4" fillId="0" borderId="9" xfId="3" applyFont="1" applyBorder="1" applyAlignment="1">
      <alignment horizontal="center"/>
    </xf>
    <xf numFmtId="14" fontId="4" fillId="0" borderId="0" xfId="0" applyNumberFormat="1" applyFont="1"/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43" fontId="4" fillId="0" borderId="9" xfId="3" applyFont="1" applyBorder="1"/>
    <xf numFmtId="43" fontId="4" fillId="0" borderId="11" xfId="0" applyNumberFormat="1" applyFont="1" applyBorder="1"/>
    <xf numFmtId="0" fontId="4" fillId="0" borderId="1" xfId="4" applyFont="1" applyBorder="1"/>
    <xf numFmtId="0" fontId="4" fillId="0" borderId="2" xfId="4" applyFont="1" applyBorder="1"/>
    <xf numFmtId="0" fontId="4" fillId="0" borderId="3" xfId="4" applyFont="1" applyBorder="1"/>
    <xf numFmtId="0" fontId="4" fillId="0" borderId="4" xfId="4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0" xfId="4" applyFont="1" applyAlignment="1">
      <alignment horizontal="center"/>
    </xf>
    <xf numFmtId="0" fontId="5" fillId="0" borderId="2" xfId="4" applyFont="1" applyBorder="1" applyAlignment="1">
      <alignment horizontal="center"/>
    </xf>
    <xf numFmtId="43" fontId="12" fillId="2" borderId="3" xfId="4" applyNumberFormat="1" applyFont="1" applyFill="1" applyBorder="1"/>
    <xf numFmtId="0" fontId="5" fillId="0" borderId="0" xfId="4" applyFont="1" applyAlignment="1">
      <alignment horizontal="center"/>
    </xf>
    <xf numFmtId="0" fontId="4" fillId="0" borderId="4" xfId="4" applyFont="1" applyBorder="1" applyAlignment="1">
      <alignment horizontal="left" indent="1"/>
    </xf>
    <xf numFmtId="0" fontId="4" fillId="0" borderId="0" xfId="4" quotePrefix="1" applyFont="1" applyAlignment="1">
      <alignment horizontal="center"/>
    </xf>
    <xf numFmtId="164" fontId="4" fillId="0" borderId="0" xfId="6" applyNumberFormat="1" applyFont="1" applyBorder="1" applyAlignment="1">
      <alignment horizontal="center"/>
    </xf>
    <xf numFmtId="43" fontId="4" fillId="0" borderId="5" xfId="4" applyNumberFormat="1" applyFont="1" applyBorder="1"/>
    <xf numFmtId="165" fontId="4" fillId="0" borderId="0" xfId="3" applyNumberFormat="1" applyFont="1"/>
    <xf numFmtId="0" fontId="4" fillId="0" borderId="6" xfId="4" applyFont="1" applyBorder="1" applyAlignment="1">
      <alignment horizontal="left" indent="1"/>
    </xf>
    <xf numFmtId="0" fontId="4" fillId="0" borderId="7" xfId="4" applyFont="1" applyBorder="1" applyAlignment="1">
      <alignment horizontal="center"/>
    </xf>
    <xf numFmtId="164" fontId="4" fillId="0" borderId="7" xfId="6" applyNumberFormat="1" applyFont="1" applyBorder="1" applyAlignment="1">
      <alignment horizontal="center"/>
    </xf>
    <xf numFmtId="43" fontId="4" fillId="0" borderId="8" xfId="4" applyNumberFormat="1" applyFont="1" applyBorder="1"/>
    <xf numFmtId="43" fontId="3" fillId="2" borderId="5" xfId="4" applyNumberFormat="1" applyFont="1" applyFill="1" applyBorder="1"/>
    <xf numFmtId="43" fontId="4" fillId="0" borderId="0" xfId="3" applyFont="1" applyAlignment="1">
      <alignment horizontal="center"/>
    </xf>
    <xf numFmtId="43" fontId="3" fillId="0" borderId="0" xfId="3" applyFont="1"/>
    <xf numFmtId="43" fontId="3" fillId="2" borderId="0" xfId="3" applyFont="1" applyFill="1"/>
    <xf numFmtId="0" fontId="3" fillId="2" borderId="0" xfId="0" applyFont="1" applyFill="1"/>
    <xf numFmtId="43" fontId="3" fillId="0" borderId="0" xfId="0" applyNumberFormat="1" applyFont="1"/>
    <xf numFmtId="0" fontId="4" fillId="0" borderId="0" xfId="4" applyFont="1" applyBorder="1" applyAlignment="1">
      <alignment wrapText="1"/>
    </xf>
    <xf numFmtId="0" fontId="0" fillId="0" borderId="0" xfId="0" applyAlignment="1">
      <alignment wrapText="1"/>
    </xf>
    <xf numFmtId="164" fontId="4" fillId="0" borderId="0" xfId="1" applyNumberFormat="1" applyFont="1" applyBorder="1" applyAlignment="1">
      <alignment horizontal="center" vertical="center"/>
    </xf>
    <xf numFmtId="164" fontId="4" fillId="0" borderId="0" xfId="6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</cellXfs>
  <cellStyles count="7">
    <cellStyle name="Comma" xfId="3" builtinId="3"/>
    <cellStyle name="Normal" xfId="0" builtinId="0"/>
    <cellStyle name="Normal 17" xfId="4" xr:uid="{B7644BE7-3B84-4278-A824-8F537E29A355}"/>
    <cellStyle name="Normal 2" xfId="2" xr:uid="{00000000-0005-0000-0000-000001000000}"/>
    <cellStyle name="Normal 4" xfId="5" xr:uid="{C4A2539D-583E-48FB-85E7-73CAF8391481}"/>
    <cellStyle name="Percent" xfId="1" builtinId="5"/>
    <cellStyle name="Percent 2" xfId="6" xr:uid="{D5D7F37B-1585-494F-974F-04377027D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>
  <xdr:twoCellAnchor>
    <xdr:from>
      <xdr:col>7</xdr:col>
      <xdr:colOff>274320</xdr:colOff>
      <xdr:row>31</xdr:row>
      <xdr:rowOff>22860</xdr:rowOff>
    </xdr:from>
    <xdr:to>
      <xdr:col>7</xdr:col>
      <xdr:colOff>320039</xdr:colOff>
      <xdr:row>32</xdr:row>
      <xdr:rowOff>152400</xdr:rowOff>
    </xdr:to>
    <xdr:sp macro="" textlink="">
      <xdr:nvSpPr>
        <xdr:cNvPr id="2" name="Right Brace 1" descr="" title="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37070" y="4594860"/>
          <a:ext cx="45719" cy="31369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33</xdr:row>
      <xdr:rowOff>30480</xdr:rowOff>
    </xdr:from>
    <xdr:to>
      <xdr:col>7</xdr:col>
      <xdr:colOff>327659</xdr:colOff>
      <xdr:row>34</xdr:row>
      <xdr:rowOff>160020</xdr:rowOff>
    </xdr:to>
    <xdr:sp macro="" textlink="">
      <xdr:nvSpPr>
        <xdr:cNvPr id="3" name="Right Brace 2" descr="" title="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044690" y="4970780"/>
          <a:ext cx="45719" cy="31369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35</xdr:row>
      <xdr:rowOff>22860</xdr:rowOff>
    </xdr:from>
    <xdr:to>
      <xdr:col>7</xdr:col>
      <xdr:colOff>327659</xdr:colOff>
      <xdr:row>36</xdr:row>
      <xdr:rowOff>152400</xdr:rowOff>
    </xdr:to>
    <xdr:sp macro="" textlink="">
      <xdr:nvSpPr>
        <xdr:cNvPr id="4" name="Right Brace 3" descr="" title="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044690" y="5331460"/>
          <a:ext cx="45719" cy="31369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37</xdr:row>
      <xdr:rowOff>45720</xdr:rowOff>
    </xdr:from>
    <xdr:to>
      <xdr:col>7</xdr:col>
      <xdr:colOff>327659</xdr:colOff>
      <xdr:row>38</xdr:row>
      <xdr:rowOff>152400</xdr:rowOff>
    </xdr:to>
    <xdr:sp macro="" textlink="">
      <xdr:nvSpPr>
        <xdr:cNvPr id="5" name="Right Brace 4" descr="" title="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044690" y="5722620"/>
          <a:ext cx="45719" cy="30988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281940</xdr:colOff>
      <xdr:row>39</xdr:row>
      <xdr:rowOff>30480</xdr:rowOff>
    </xdr:from>
    <xdr:to>
      <xdr:col>7</xdr:col>
      <xdr:colOff>327659</xdr:colOff>
      <xdr:row>40</xdr:row>
      <xdr:rowOff>160020</xdr:rowOff>
    </xdr:to>
    <xdr:sp macro="" textlink="">
      <xdr:nvSpPr>
        <xdr:cNvPr id="6" name="Right Brace 5" descr="" title="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044690" y="6094730"/>
          <a:ext cx="45719" cy="31369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274320</xdr:colOff>
      <xdr:row>42</xdr:row>
      <xdr:rowOff>22860</xdr:rowOff>
    </xdr:from>
    <xdr:to>
      <xdr:col>7</xdr:col>
      <xdr:colOff>327660</xdr:colOff>
      <xdr:row>44</xdr:row>
      <xdr:rowOff>175260</xdr:rowOff>
    </xdr:to>
    <xdr:sp macro="" textlink="">
      <xdr:nvSpPr>
        <xdr:cNvPr id="7" name="Right Brace 6" descr="" title="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037070" y="6639560"/>
          <a:ext cx="53340" cy="5207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</xdr:wsDr>
</file>

<file path=xl/drawings/drawing2.xml><?xml version="1.0" encoding="utf-8"?>
<xdr:wsDr xmlns:a16="http://schemas.microsoft.com/office/drawing/2014/main" xmlns:xdr="http://schemas.openxmlformats.org/drawingml/2006/spreadsheetDrawing" xmlns:a="http://schemas.openxmlformats.org/drawingml/2006/main">
  <xdr:twoCellAnchor>
    <xdr:from>
      <xdr:col>9</xdr:col>
      <xdr:colOff>274320</xdr:colOff>
      <xdr:row>61</xdr:row>
      <xdr:rowOff>22860</xdr:rowOff>
    </xdr:from>
    <xdr:to>
      <xdr:col>9</xdr:col>
      <xdr:colOff>320039</xdr:colOff>
      <xdr:row>62</xdr:row>
      <xdr:rowOff>152400</xdr:rowOff>
    </xdr:to>
    <xdr:sp macro="" textlink="">
      <xdr:nvSpPr>
        <xdr:cNvPr id="20" name="Right Brace 19" descr="" title="">
          <a:extLst>
            <a:ext uri="{FF2B5EF4-FFF2-40B4-BE49-F238E27FC236}">
              <a16:creationId xmlns:a16="http://schemas.microsoft.com/office/drawing/2014/main" id="{B06BA4B4-190C-47FA-89CF-0E7C9D2308BC}"/>
            </a:ext>
          </a:extLst>
        </xdr:cNvPr>
        <xdr:cNvSpPr/>
      </xdr:nvSpPr>
      <xdr:spPr>
        <a:xfrm>
          <a:off x="7040245" y="1330960"/>
          <a:ext cx="39369" cy="30734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9</xdr:col>
      <xdr:colOff>281940</xdr:colOff>
      <xdr:row>63</xdr:row>
      <xdr:rowOff>30480</xdr:rowOff>
    </xdr:from>
    <xdr:to>
      <xdr:col>9</xdr:col>
      <xdr:colOff>327659</xdr:colOff>
      <xdr:row>64</xdr:row>
      <xdr:rowOff>160020</xdr:rowOff>
    </xdr:to>
    <xdr:sp macro="" textlink="">
      <xdr:nvSpPr>
        <xdr:cNvPr id="21" name="Right Brace 20" descr="" title="">
          <a:extLst>
            <a:ext uri="{FF2B5EF4-FFF2-40B4-BE49-F238E27FC236}">
              <a16:creationId xmlns:a16="http://schemas.microsoft.com/office/drawing/2014/main" id="{9A8E4451-25EA-4BA9-B1AB-7573EF6BB37B}"/>
            </a:ext>
          </a:extLst>
        </xdr:cNvPr>
        <xdr:cNvSpPr/>
      </xdr:nvSpPr>
      <xdr:spPr>
        <a:xfrm>
          <a:off x="7041515" y="1694180"/>
          <a:ext cx="52069" cy="31686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9</xdr:col>
      <xdr:colOff>281940</xdr:colOff>
      <xdr:row>65</xdr:row>
      <xdr:rowOff>22860</xdr:rowOff>
    </xdr:from>
    <xdr:to>
      <xdr:col>9</xdr:col>
      <xdr:colOff>327659</xdr:colOff>
      <xdr:row>66</xdr:row>
      <xdr:rowOff>152400</xdr:rowOff>
    </xdr:to>
    <xdr:sp macro="" textlink="">
      <xdr:nvSpPr>
        <xdr:cNvPr id="22" name="Right Brace 21" descr="" title="">
          <a:extLst>
            <a:ext uri="{FF2B5EF4-FFF2-40B4-BE49-F238E27FC236}">
              <a16:creationId xmlns:a16="http://schemas.microsoft.com/office/drawing/2014/main" id="{D04E0DEA-2462-49E8-8E34-3B4B8E7A8306}"/>
            </a:ext>
          </a:extLst>
        </xdr:cNvPr>
        <xdr:cNvSpPr/>
      </xdr:nvSpPr>
      <xdr:spPr>
        <a:xfrm>
          <a:off x="7041515" y="2054860"/>
          <a:ext cx="52069" cy="30734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9</xdr:col>
      <xdr:colOff>281940</xdr:colOff>
      <xdr:row>67</xdr:row>
      <xdr:rowOff>45720</xdr:rowOff>
    </xdr:from>
    <xdr:to>
      <xdr:col>9</xdr:col>
      <xdr:colOff>327659</xdr:colOff>
      <xdr:row>68</xdr:row>
      <xdr:rowOff>152400</xdr:rowOff>
    </xdr:to>
    <xdr:sp macro="" textlink="">
      <xdr:nvSpPr>
        <xdr:cNvPr id="23" name="Right Brace 22" descr="" title="">
          <a:extLst>
            <a:ext uri="{FF2B5EF4-FFF2-40B4-BE49-F238E27FC236}">
              <a16:creationId xmlns:a16="http://schemas.microsoft.com/office/drawing/2014/main" id="{AF10573E-6B53-4C7A-9BEC-E7B59A01072E}"/>
            </a:ext>
          </a:extLst>
        </xdr:cNvPr>
        <xdr:cNvSpPr/>
      </xdr:nvSpPr>
      <xdr:spPr>
        <a:xfrm>
          <a:off x="7041515" y="2439670"/>
          <a:ext cx="52069" cy="30353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9</xdr:col>
      <xdr:colOff>281940</xdr:colOff>
      <xdr:row>69</xdr:row>
      <xdr:rowOff>30480</xdr:rowOff>
    </xdr:from>
    <xdr:to>
      <xdr:col>9</xdr:col>
      <xdr:colOff>327659</xdr:colOff>
      <xdr:row>70</xdr:row>
      <xdr:rowOff>160020</xdr:rowOff>
    </xdr:to>
    <xdr:sp macro="" textlink="">
      <xdr:nvSpPr>
        <xdr:cNvPr id="24" name="Right Brace 23" descr="" title="">
          <a:extLst>
            <a:ext uri="{FF2B5EF4-FFF2-40B4-BE49-F238E27FC236}">
              <a16:creationId xmlns:a16="http://schemas.microsoft.com/office/drawing/2014/main" id="{2C63487B-70D9-4663-B132-9BE474253BD2}"/>
            </a:ext>
          </a:extLst>
        </xdr:cNvPr>
        <xdr:cNvSpPr/>
      </xdr:nvSpPr>
      <xdr:spPr>
        <a:xfrm>
          <a:off x="7041515" y="2799080"/>
          <a:ext cx="52069" cy="31686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9</xdr:col>
      <xdr:colOff>274320</xdr:colOff>
      <xdr:row>72</xdr:row>
      <xdr:rowOff>22860</xdr:rowOff>
    </xdr:from>
    <xdr:to>
      <xdr:col>9</xdr:col>
      <xdr:colOff>327660</xdr:colOff>
      <xdr:row>74</xdr:row>
      <xdr:rowOff>175260</xdr:rowOff>
    </xdr:to>
    <xdr:sp macro="" textlink="">
      <xdr:nvSpPr>
        <xdr:cNvPr id="25" name="Right Brace 24" descr="" title="">
          <a:extLst>
            <a:ext uri="{FF2B5EF4-FFF2-40B4-BE49-F238E27FC236}">
              <a16:creationId xmlns:a16="http://schemas.microsoft.com/office/drawing/2014/main" id="{15C1185C-47F9-4544-A9C0-297562334179}"/>
            </a:ext>
          </a:extLst>
        </xdr:cNvPr>
        <xdr:cNvSpPr/>
      </xdr:nvSpPr>
      <xdr:spPr>
        <a:xfrm>
          <a:off x="7040245" y="3340735"/>
          <a:ext cx="53340" cy="514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xfi\Downloads\000_2023-04-30_0000967013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JOURNAL"/>
      <sheetName val=" 2023 Monthly Calculation"/>
      <sheetName val="A. Ledbetter E-mail"/>
      <sheetName val="Setup"/>
    </sheetNames>
    <sheetDataSet>
      <sheetData sheetId="0" refreshError="1"/>
      <sheetData sheetId="1" refreshError="1"/>
      <sheetData sheetId="2">
        <row r="6">
          <cell r="J6">
            <v>306267.11048716505</v>
          </cell>
        </row>
        <row r="25">
          <cell r="J25">
            <v>3218.7941283980008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M132"/>
  <x:sheetViews>
    <x:sheetView tabSelected="1" view="pageBreakPreview" topLeftCell="A34" zoomScale="60" zoomScaleNormal="100" workbookViewId="0">
      <x:selection activeCell="I68" sqref="I68:L68"/>
    </x:sheetView>
  </x:sheetViews>
  <x:sheetFormatPr defaultRowHeight="13" x14ac:dyDescent="0.3"/>
  <x:cols>
    <x:col min="1" max="1" width="25.81640625" style="3" customWidth="1"/>
    <x:col min="2" max="3" width="14.81640625" style="3" customWidth="1"/>
    <x:col min="4" max="4" width="15.6328125" style="3" bestFit="1" customWidth="1"/>
    <x:col min="5" max="5" width="18.08984375" style="3" customWidth="1"/>
    <x:col min="6" max="6" width="15.6328125" style="3" bestFit="1" customWidth="1"/>
    <x:col min="7" max="7" width="18.1796875" style="3" customWidth="1"/>
    <x:col min="8" max="8" width="9.81640625" style="3" customWidth="1"/>
    <x:col min="9" max="9" width="14.81640625" style="3" bestFit="1" customWidth="1"/>
    <x:col min="10" max="10" width="14.54296875" style="3" bestFit="1" customWidth="1"/>
    <x:col min="11" max="11" width="12.36328125" style="3" bestFit="1" customWidth="1"/>
    <x:col min="12" max="12" width="14.453125" style="3" customWidth="1"/>
    <x:col min="13" max="13" width="6" style="3" customWidth="1"/>
    <x:col min="14" max="16384" width="8.7265625" style="3"/>
  </x:cols>
  <x:sheetData>
    <x:row r="1" spans="1:12" s="1" customFormat="1" x14ac:dyDescent="0.3">
      <x:c r="A1" s="1" t="s">
        <x:v>71</x:v>
      </x:c>
      <x:c r="L1" s="35" t="s">
        <x:v>128</x:v>
      </x:c>
    </x:row>
    <x:row r="2" spans="1:12" s="1" customFormat="1" x14ac:dyDescent="0.3">
      <x:c r="A2" s="1" t="s">
        <x:v>56</x:v>
      </x:c>
      <x:c r="L2" s="2" t="s">
        <x:v>124</x:v>
      </x:c>
    </x:row>
    <x:row r="3" spans="1:12" s="1" customFormat="1" x14ac:dyDescent="0.3">
      <x:c r="A3" s="1" t="s">
        <x:v>73</x:v>
      </x:c>
      <x:c r="L3" s="2" t="s">
        <x:v>131</x:v>
      </x:c>
    </x:row>
    <x:row r="4" spans="1:12" s="1" customFormat="1" x14ac:dyDescent="0.3">
      <x:c r="A4" s="1" t="s">
        <x:v>72</x:v>
      </x:c>
      <x:c r="L4" s="2"/>
    </x:row>
    <x:row r="5" spans="1:12" s="1" customFormat="1" x14ac:dyDescent="0.3">
      <x:c r="A5" s="54" t="s">
        <x:v>126</x:v>
      </x:c>
      <x:c r="L5" s="2"/>
    </x:row>
    <x:row r="6" spans="1:12" s="1" customFormat="1" x14ac:dyDescent="0.3">
      <x:c r="L6" s="2"/>
    </x:row>
    <x:row r="7" spans="1:12" s="1" customFormat="1" x14ac:dyDescent="0.3">
      <x:c r="A7" s="1" t="s">
        <x:v>134</x:v>
      </x:c>
      <x:c r="L7" s="2"/>
    </x:row>
    <x:row r="8" spans="1:12" s="1" customFormat="1" x14ac:dyDescent="0.3">
      <x:c r="L8" s="2"/>
    </x:row>
    <x:row r="9" spans="1:12" x14ac:dyDescent="0.3">
      <x:c r="E9" s="3" t="s">
        <x:v>133</x:v>
      </x:c>
    </x:row>
    <x:row r="10" spans="1:12" x14ac:dyDescent="0.3">
      <x:c r="B10" s="4" t="s">
        <x:v>0</x:v>
      </x:c>
      <x:c r="C10" s="4" t="s">
        <x:v>1</x:v>
      </x:c>
      <x:c r="E10" s="3" t="s">
        <x:v>2</x:v>
      </x:c>
      <x:c r="I10" s="5">
        <x:f>C22+B22</x:f>
        <x:v>21804052.935294677</x:v>
      </x:c>
    </x:row>
    <x:row r="11" spans="1:12" x14ac:dyDescent="0.3">
      <x:c r="A11" s="6" t="s">
        <x:v>3</x:v>
      </x:c>
      <x:c r="F11" s="3" t="s">
        <x:v>4</x:v>
      </x:c>
      <x:c r="J11" s="5">
        <x:f>+B22+C22</x:f>
        <x:v>21804052.935294677</x:v>
      </x:c>
    </x:row>
    <x:row r="12" spans="1:12" x14ac:dyDescent="0.3">
      <x:c r="A12" s="7">
        <x:v>2012</x:v>
      </x:c>
      <x:c r="B12" s="5">
        <x:v>0</x:v>
      </x:c>
      <x:c r="C12" s="8">
        <x:v>47160.084049180463</x:v>
      </x:c>
      <x:c r="E12" s="9" t="s">
        <x:v>5</x:v>
      </x:c>
    </x:row>
    <x:row r="13" spans="1:12" x14ac:dyDescent="0.3">
      <x:c r="A13" s="7">
        <x:v>2013</x:v>
      </x:c>
      <x:c r="B13" s="5">
        <x:v>0</x:v>
      </x:c>
      <x:c r="C13" s="8">
        <x:v>130329.59234399998</x:v>
      </x:c>
    </x:row>
    <x:row r="14" spans="1:12" x14ac:dyDescent="0.3">
      <x:c r="A14" s="7">
        <x:v>2014</x:v>
      </x:c>
      <x:c r="B14" s="5">
        <x:v>0</x:v>
      </x:c>
      <x:c r="C14" s="8">
        <x:v>267039.00528799999</x:v>
      </x:c>
      <x:c r="E14" s="3" t="s">
        <x:v>6</x:v>
      </x:c>
      <x:c r="I14" s="5">
        <x:f>+B31+C31+B39+C39+B47+C47</x:f>
        <x:v>13205968.532570988</x:v>
      </x:c>
    </x:row>
    <x:row r="15" spans="1:12" x14ac:dyDescent="0.3">
      <x:c r="A15" s="7">
        <x:v>2015</x:v>
      </x:c>
      <x:c r="B15" s="5">
        <x:v>0</x:v>
      </x:c>
      <x:c r="C15" s="8">
        <x:v>543783.79139599996</x:v>
      </x:c>
      <x:c r="E15" s="3" t="s">
        <x:v>7</x:v>
      </x:c>
      <x:c r="I15" s="5">
        <x:f>+B55+C55</x:f>
        <x:v>330974.3899999999</x:v>
      </x:c>
    </x:row>
    <x:row r="16" spans="1:12" x14ac:dyDescent="0.3">
      <x:c r="A16" s="7">
        <x:v>2016</x:v>
      </x:c>
      <x:c r="B16" s="5">
        <x:v>25339.067751999999</x:v>
      </x:c>
      <x:c r="C16" s="8">
        <x:v>802661.76770535763</x:v>
      </x:c>
      <x:c r="F16" s="3" t="s">
        <x:v>8</x:v>
      </x:c>
      <x:c r="J16" s="5">
        <x:f>+B31+C31+B39+C39+B47+C47+B55+C55</x:f>
        <x:v>13536942.922570989</x:v>
      </x:c>
    </x:row>
    <x:row r="17" spans="1:13" x14ac:dyDescent="0.3">
      <x:c r="A17" s="7">
        <x:v>2017</x:v>
      </x:c>
      <x:c r="B17" s="5">
        <x:v>36256.144125374049</x:v>
      </x:c>
      <x:c r="C17" s="8">
        <x:v>928688.46705924557</x:v>
      </x:c>
      <x:c r="E17" s="9" t="s">
        <x:v>9</x:v>
      </x:c>
    </x:row>
    <x:row r="18" spans="1:13" x14ac:dyDescent="0.3">
      <x:c r="A18" s="7">
        <x:v>2018</x:v>
      </x:c>
      <x:c r="B18" s="5">
        <x:v>40133.424994000001</x:v>
      </x:c>
      <x:c r="C18" s="8">
        <x:v>4071810.5211449992</x:v>
      </x:c>
    </x:row>
    <x:row r="19" spans="1:13" x14ac:dyDescent="0.3">
      <x:c r="A19" s="7">
        <x:v>2019</x:v>
      </x:c>
      <x:c r="B19" s="5">
        <x:v>40133.424994000001</x:v>
      </x:c>
      <x:c r="C19" s="8">
        <x:v>4699103.6361554554</x:v>
      </x:c>
      <x:c r="I19" s="5"/>
    </x:row>
    <x:row r="20" spans="1:13" x14ac:dyDescent="0.3">
      <x:c r="A20" s="7">
        <x:v>2020</x:v>
      </x:c>
      <x:c r="B20" s="5">
        <x:v>40133.424994000001</x:v>
      </x:c>
      <x:c r="C20" s="8">
        <x:v>4971160.1673780009</x:v>
      </x:c>
      <x:c r="I20" s="5"/>
    </x:row>
    <x:row r="21" spans="1:13" ht="14.5" x14ac:dyDescent="0.45">
      <x:c r="A21" s="7">
        <x:v>2021</x:v>
      </x:c>
      <x:c r="B21" s="10">
        <x:v>40133.424994000001</x:v>
      </x:c>
      <x:c r="C21" s="11">
        <x:v>5120186.9909210643</x:v>
      </x:c>
      <x:c r="I21" s="5"/>
      <x:c r="J21" s="5"/>
    </x:row>
    <x:row r="22" spans="1:13" x14ac:dyDescent="0.3">
      <x:c r="A22" s="7" t="s">
        <x:v>10</x:v>
      </x:c>
      <x:c r="B22" s="5">
        <x:f>SUM(B12:B21)</x:f>
        <x:v>222128.91185337404</x:v>
      </x:c>
      <x:c r="C22" s="5">
        <x:f>SUM(C12:C21)</x:f>
        <x:v>21581924.023441304</x:v>
      </x:c>
      <x:c r="I22" s="5"/>
    </x:row>
    <x:row r="23" spans="1:13" ht="14.5" x14ac:dyDescent="0.45">
      <x:c r="I23" s="10"/>
    </x:row>
    <x:row r="24" spans="1:13" x14ac:dyDescent="0.3">
      <x:c r="A24" s="6" t="s">
        <x:v>8</x:v>
      </x:c>
      <x:c r="F24" s="12"/>
      <x:c r="I24" s="5"/>
    </x:row>
    <x:row r="25" spans="1:13" x14ac:dyDescent="0.3">
      <x:c r="A25" s="3" t="s">
        <x:v>11</x:v>
      </x:c>
    </x:row>
    <x:row r="26" spans="1:13" ht="13.5" thickBot="1" x14ac:dyDescent="0.35">
      <x:c r="A26" s="7">
        <x:v>2017</x:v>
      </x:c>
      <x:c r="B26" s="5">
        <x:v>3790.3790227518411</x:v>
      </x:c>
      <x:c r="C26" s="5">
        <x:v>69136.053162652344</x:v>
      </x:c>
    </x:row>
    <x:row r="27" spans="1:13" x14ac:dyDescent="0.3">
      <x:c r="A27" s="7">
        <x:v>2018</x:v>
      </x:c>
      <x:c r="B27" s="5">
        <x:v>40133.424994000001</x:v>
      </x:c>
      <x:c r="C27" s="5">
        <x:v>1645679.4841733333</x:v>
      </x:c>
      <x:c r="E27" s="13"/>
      <x:c r="F27" s="14"/>
      <x:c r="G27" s="14"/>
      <x:c r="H27" s="14"/>
      <x:c r="I27" s="14"/>
      <x:c r="J27" s="15"/>
    </x:row>
    <x:row r="28" spans="1:13" x14ac:dyDescent="0.3">
      <x:c r="A28" s="7">
        <x:v>2019</x:v>
      </x:c>
      <x:c r="B28" s="5">
        <x:v>40133.424994000001</x:v>
      </x:c>
      <x:c r="C28" s="5">
        <x:v>3872200.6322339997</x:v>
      </x:c>
      <x:c r="E28" s="16" t="s">
        <x:v>12</x:v>
      </x:c>
      <x:c r="F28" s="17"/>
      <x:c r="G28" s="17"/>
      <x:c r="H28" s="17"/>
      <x:c r="I28" s="17"/>
      <x:c r="J28" s="18"/>
    </x:row>
    <x:row r="29" spans="1:13" ht="13.5" thickBot="1" x14ac:dyDescent="0.35">
      <x:c r="A29" s="7">
        <x:v>2020</x:v>
      </x:c>
      <x:c r="B29" s="5">
        <x:v>40133.424994000001</x:v>
      </x:c>
      <x:c r="C29" s="5">
        <x:v>4770813.514378001</x:v>
      </x:c>
      <x:c r="E29" s="19"/>
      <x:c r="F29" s="20"/>
      <x:c r="G29" s="20"/>
      <x:c r="H29" s="20"/>
      <x:c r="I29" s="20"/>
      <x:c r="J29" s="21"/>
      <x:c r="L29" s="49" t="s">
        <x:v>13</x:v>
      </x:c>
      <x:c r="M29" s="7"/>
    </x:row>
    <x:row r="30" spans="1:13" ht="14.5" x14ac:dyDescent="0.45">
      <x:c r="A30" s="7">
        <x:v>2021</x:v>
      </x:c>
      <x:c r="B30" s="10">
        <x:v>40133.424994000001</x:v>
      </x:c>
      <x:c r="C30" s="10">
        <x:v>4971160.1673780009</x:v>
      </x:c>
      <x:c r="E30" s="13" t="s">
        <x:v>14</x:v>
      </x:c>
      <x:c r="F30" s="14"/>
      <x:c r="G30" s="22" t="s">
        <x:v>15</x:v>
      </x:c>
      <x:c r="H30" s="14"/>
      <x:c r="I30" s="14"/>
      <x:c r="J30" s="23">
        <x:f>+C31+C39+C47</x:f>
        <x:v>13047818.447733326</x:v>
      </x:c>
      <x:c r="L30" s="4" t="s">
        <x:v>16</x:v>
      </x:c>
      <x:c r="M30" s="4"/>
    </x:row>
    <x:row r="31" spans="1:13" x14ac:dyDescent="0.3">
      <x:c r="A31" s="7" t="s">
        <x:v>17</x:v>
      </x:c>
      <x:c r="B31" s="5">
        <x:f>SUM(B26:B30)</x:f>
        <x:v>164324.07899875185</x:v>
      </x:c>
      <x:c r="C31" s="5">
        <x:f>SUM(C26:C30)</x:f>
        <x:v>15328989.851325987</x:v>
      </x:c>
      <x:c r="E31" s="24" t="s">
        <x:v>18</x:v>
      </x:c>
      <x:c r="F31" s="17"/>
      <x:c r="G31" s="25" t="s">
        <x:v>19</x:v>
      </x:c>
      <x:c r="H31" s="17"/>
      <x:c r="I31" s="26">
        <x:v>0.53194799999999998</x:v>
      </x:c>
      <x:c r="J31" s="27">
        <x:f>ROUND($J$30*I31,2)</x:f>
        <x:v>6940760.9299999997</x:v>
      </x:c>
      <x:c r="L31" s="3">
        <x:v>70018750.920000002</x:v>
      </x:c>
    </x:row>
    <x:row r="32" spans="1:13" x14ac:dyDescent="0.3">
      <x:c r="A32" s="7"/>
      <x:c r="B32" s="5"/>
      <x:c r="C32" s="5"/>
      <x:c r="E32" s="24" t="s">
        <x:v>20</x:v>
      </x:c>
      <x:c r="F32" s="17"/>
      <x:c r="G32" s="25" t="s">
        <x:v>21</x:v>
      </x:c>
      <x:c r="H32" s="17"/>
      <x:c r="I32" s="95">
        <x:v>2.3432999999999999E-2</x:v>
      </x:c>
      <x:c r="J32" s="27">
        <x:f>ROUND($J$30*I32*(L32/(L32+L33)),2)</x:f>
        <x:v>134.24</x:v>
      </x:c>
      <x:c r="L32" s="5">
        <x:v>1381.6</x:v>
      </x:c>
      <x:c r="M32" s="5"/>
    </x:row>
    <x:row r="33" spans="1:13" x14ac:dyDescent="0.3">
      <x:c r="A33" s="3" t="s">
        <x:v>22</x:v>
      </x:c>
      <x:c r="E33" s="24" t="s">
        <x:v>23</x:v>
      </x:c>
      <x:c r="F33" s="17"/>
      <x:c r="G33" s="25" t="s">
        <x:v>24</x:v>
      </x:c>
      <x:c r="H33" s="17"/>
      <x:c r="I33" s="95"/>
      <x:c r="J33" s="27">
        <x:f>ROUND($J$30*I32,2)-J32</x:f>
        <x:v>305615.29000000004</x:v>
      </x:c>
      <x:c r="L33" s="5">
        <x:v>3145342.71</x:v>
      </x:c>
      <x:c r="M33" s="5"/>
    </x:row>
    <x:row r="34" spans="1:13" x14ac:dyDescent="0.3">
      <x:c r="A34" s="7">
        <x:v>2017</x:v>
      </x:c>
      <x:c r="B34" s="5">
        <x:v>20.005620482084218</x:v>
      </x:c>
      <x:c r="C34" s="5">
        <x:v>364.90008859247905</x:v>
      </x:c>
      <x:c r="E34" s="24" t="s">
        <x:v>25</x:v>
      </x:c>
      <x:c r="F34" s="17"/>
      <x:c r="G34" s="25" t="s">
        <x:v>26</x:v>
      </x:c>
      <x:c r="H34" s="17"/>
      <x:c r="I34" s="95">
        <x:v>1.8699999999999999E-4</x:v>
      </x:c>
      <x:c r="J34" s="27">
        <x:f>ROUND($J$30*I34*(L34/(L34+L35)),2)</x:f>
        <x:v>21.35</x:v>
      </x:c>
      <x:c r="L34" s="5">
        <x:v>194.17</x:v>
      </x:c>
      <x:c r="M34" s="5"/>
    </x:row>
    <x:row r="35" spans="1:13" x14ac:dyDescent="0.3">
      <x:c r="A35" s="7">
        <x:v>2018</x:v>
      </x:c>
      <x:c r="B35" s="5">
        <x:v>211.824217118332</x:v>
      </x:c>
      <x:c r="C35" s="5">
        <x:v>8685.8963174668534</x:v>
      </x:c>
      <x:c r="E35" s="24" t="s">
        <x:v>27</x:v>
      </x:c>
      <x:c r="F35" s="17"/>
      <x:c r="G35" s="25" t="s">
        <x:v>28</x:v>
      </x:c>
      <x:c r="H35" s="17"/>
      <x:c r="I35" s="95"/>
      <x:c r="J35" s="27">
        <x:f>ROUND($J$30*I34,2)-J34</x:f>
        <x:v>2418.59</x:v>
      </x:c>
      <x:c r="L35" s="5">
        <x:v>21990.99</x:v>
      </x:c>
      <x:c r="M35" s="5"/>
    </x:row>
    <x:row r="36" spans="1:13" x14ac:dyDescent="0.3">
      <x:c r="A36" s="7">
        <x:v>2019</x:v>
      </x:c>
      <x:c r="B36" s="5">
        <x:v>211.824217118332</x:v>
      </x:c>
      <x:c r="C36" s="5">
        <x:v>20437.474936931048</x:v>
      </x:c>
      <x:c r="E36" s="24" t="s">
        <x:v>29</x:v>
      </x:c>
      <x:c r="F36" s="17"/>
      <x:c r="G36" s="25" t="s">
        <x:v>30</x:v>
      </x:c>
      <x:c r="H36" s="17"/>
      <x:c r="I36" s="95">
        <x:v>0.38188899999999998</x:v>
      </x:c>
      <x:c r="J36" s="27">
        <x:f>ROUND($J$30*I36*(L36/(L36+L37)),2)</x:f>
        <x:v>1530173.41</x:v>
      </x:c>
      <x:c r="L36" s="5">
        <x:v>16035658.68</x:v>
      </x:c>
      <x:c r="M36" s="5"/>
    </x:row>
    <x:row r="37" spans="1:13" x14ac:dyDescent="0.3">
      <x:c r="A37" s="7">
        <x:v>2020</x:v>
      </x:c>
      <x:c r="B37" s="5">
        <x:v>211.824217118332</x:v>
      </x:c>
      <x:c r="C37" s="5">
        <x:v>25180.353728887079</x:v>
      </x:c>
      <x:c r="E37" s="24" t="s">
        <x:v>31</x:v>
      </x:c>
      <x:c r="F37" s="17"/>
      <x:c r="G37" s="25" t="s">
        <x:v>32</x:v>
      </x:c>
      <x:c r="H37" s="17"/>
      <x:c r="I37" s="95"/>
      <x:c r="J37" s="27">
        <x:f>ROUND($J$30*I36,2)-J36</x:f>
        <x:v>3452644.9299999997</x:v>
      </x:c>
      <x:c r="L37" s="5">
        <x:v>36182458.340000004</x:v>
      </x:c>
      <x:c r="M37" s="5"/>
    </x:row>
    <x:row r="38" spans="1:13" ht="14.5" x14ac:dyDescent="0.45">
      <x:c r="A38" s="7">
        <x:v>2021</x:v>
      </x:c>
      <x:c r="B38" s="10">
        <x:v>211.824217118332</x:v>
      </x:c>
      <x:c r="C38" s="10">
        <x:v>26237.783363421077</x:v>
      </x:c>
      <x:c r="E38" s="24" t="s">
        <x:v>33</x:v>
      </x:c>
      <x:c r="F38" s="17"/>
      <x:c r="G38" s="25" t="s">
        <x:v>34</x:v>
      </x:c>
      <x:c r="H38" s="17"/>
      <x:c r="I38" s="95">
        <x:v>3.9354E-2</x:v>
      </x:c>
      <x:c r="J38" s="27">
        <x:f>ROUND($J$30*I38*(L38/(L38+L39)),2)</x:f>
        <x:v>432942.91</x:v>
      </x:c>
      <x:c r="L38" s="5">
        <x:v>4681002.66</x:v>
      </x:c>
      <x:c r="M38" s="5"/>
    </x:row>
    <x:row r="39" spans="1:13" x14ac:dyDescent="0.3">
      <x:c r="A39" s="7" t="s">
        <x:v>17</x:v>
      </x:c>
      <x:c r="B39" s="5">
        <x:f>SUM(B34:B38)</x:f>
        <x:v>867.30248895541217</x:v>
      </x:c>
      <x:c r="C39" s="5">
        <x:f>SUM(C34:C38)</x:f>
        <x:v>80906.408435298537</x:v>
      </x:c>
      <x:c r="E39" s="24" t="s">
        <x:v>35</x:v>
      </x:c>
      <x:c r="F39" s="17"/>
      <x:c r="G39" s="25" t="s">
        <x:v>36</x:v>
      </x:c>
      <x:c r="H39" s="17"/>
      <x:c r="I39" s="95"/>
      <x:c r="J39" s="27">
        <x:f>ROUND($J$30*I38,2)-J38</x:f>
        <x:v>80540.94</x:v>
      </x:c>
      <x:c r="L39" s="5">
        <x:v>870813.04</x:v>
      </x:c>
      <x:c r="M39" s="5"/>
    </x:row>
    <x:row r="40" spans="1:13" x14ac:dyDescent="0.3">
      <x:c r="A40" s="7"/>
      <x:c r="B40" s="5"/>
      <x:c r="C40" s="5"/>
      <x:c r="E40" s="24" t="s">
        <x:v>37</x:v>
      </x:c>
      <x:c r="F40" s="17"/>
      <x:c r="G40" s="25" t="s">
        <x:v>38</x:v>
      </x:c>
      <x:c r="H40" s="17"/>
      <x:c r="I40" s="95">
        <x:v>2.5539999999999998E-3</x:v>
      </x:c>
      <x:c r="J40" s="27">
        <x:f>ROUND($J$30*I40*(L40/(L40+L41)),2)</x:f>
        <x:v>33178.120000000003</x:v>
      </x:c>
      <x:c r="L40" s="5">
        <x:v>406288.1</x:v>
      </x:c>
      <x:c r="M40" s="5"/>
    </x:row>
    <x:row r="41" spans="1:13" x14ac:dyDescent="0.3">
      <x:c r="A41" s="3" t="s">
        <x:v>39</x:v>
      </x:c>
      <x:c r="E41" s="24" t="s">
        <x:v>40</x:v>
      </x:c>
      <x:c r="F41" s="17"/>
      <x:c r="G41" s="25" t="s">
        <x:v>41</x:v>
      </x:c>
      <x:c r="H41" s="17"/>
      <x:c r="I41" s="95"/>
      <x:c r="J41" s="27">
        <x:f>ROUND($J$30*I40,2)-J40</x:f>
        <x:v>146.00999999999476</x:v>
      </x:c>
      <x:c r="L41" s="5">
        <x:v>1788.01</x:v>
      </x:c>
      <x:c r="M41" s="5"/>
    </x:row>
    <x:row r="42" spans="1:13" x14ac:dyDescent="0.3">
      <x:c r="A42" s="7">
        <x:v>2017</x:v>
      </x:c>
      <x:c r="B42" s="5">
        <x:v>-162.41796867458368</x:v>
      </x:c>
      <x:c r="C42" s="5">
        <x:v>-14531.340858952797</x:v>
      </x:c>
      <x:c r="E42" s="24" t="s">
        <x:v>0</x:v>
      </x:c>
      <x:c r="F42" s="17"/>
      <x:c r="G42" s="25" t="s">
        <x:v>42</x:v>
      </x:c>
      <x:c r="H42" s="17"/>
      <x:c r="I42" s="26">
        <x:v>1.01E-3</x:v>
      </x:c>
      <x:c r="J42" s="27">
        <x:f t="shared" ref="J42:J46" si="0">ROUND($J$30*I42,2)</x:f>
        <x:v>13178.3</x:v>
      </x:c>
      <x:c r="L42" s="5">
        <x:v>162115.37</x:v>
      </x:c>
      <x:c r="M42" s="5"/>
    </x:row>
    <x:row r="43" spans="1:13" x14ac:dyDescent="0.3">
      <x:c r="A43" s="7">
        <x:v>2018</x:v>
      </x:c>
      <x:c r="B43" s="5">
        <x:v>-1719.719670342321</x:v>
      </x:c>
      <x:c r="C43" s="5">
        <x:v>-180455.56666984194</x:v>
      </x:c>
      <x:c r="E43" s="24" t="s">
        <x:v>43</x:v>
      </x:c>
      <x:c r="F43" s="17"/>
      <x:c r="G43" s="25" t="s">
        <x:v>44</x:v>
      </x:c>
      <x:c r="H43" s="17"/>
      <x:c r="I43" s="95">
        <x:v>1.6830999999999999E-2</x:v>
      </x:c>
      <x:c r="J43" s="27">
        <x:f>ROUND($J$30*I43*(L43/(L43+L44+L45)),2)</x:f>
        <x:v>163086.82</x:v>
      </x:c>
      <x:c r="L43" s="5">
        <x:v>1665867.68</x:v>
      </x:c>
      <x:c r="M43" s="5"/>
    </x:row>
    <x:row r="44" spans="1:13" x14ac:dyDescent="0.3">
      <x:c r="A44" s="7">
        <x:v>2019</x:v>
      </x:c>
      <x:c r="B44" s="5">
        <x:v>-1719.719670342321</x:v>
      </x:c>
      <x:c r="C44" s="5">
        <x:v>-350246.25193616032</x:v>
      </x:c>
      <x:c r="E44" s="24" t="s">
        <x:v>45</x:v>
      </x:c>
      <x:c r="F44" s="17"/>
      <x:c r="G44" s="25" t="s">
        <x:v>46</x:v>
      </x:c>
      <x:c r="H44" s="17"/>
      <x:c r="I44" s="95"/>
      <x:c r="J44" s="27">
        <x:f>ROUND($J$30*I43*(L44/(L43+L44+L45)),2)</x:f>
        <x:v>5656.8</x:v>
      </x:c>
      <x:c r="L44" s="5">
        <x:v>57781.95</x:v>
      </x:c>
      <x:c r="M44" s="5"/>
    </x:row>
    <x:row r="45" spans="1:13" x14ac:dyDescent="0.3">
      <x:c r="A45" s="7">
        <x:v>2020</x:v>
      </x:c>
      <x:c r="B45" s="5">
        <x:v>-1719.719670342321</x:v>
      </x:c>
      <x:c r="C45" s="5">
        <x:v>-718015.87303393183</x:v>
      </x:c>
      <x:c r="E45" s="24" t="s">
        <x:v>47</x:v>
      </x:c>
      <x:c r="F45" s="17"/>
      <x:c r="G45" s="25" t="s">
        <x:v>48</x:v>
      </x:c>
      <x:c r="H45" s="17"/>
      <x:c r="I45" s="95"/>
      <x:c r="J45" s="27">
        <x:f>ROUND($J$30*I43,2)-J43-J44</x:f>
        <x:v>50864.209999999977</x:v>
      </x:c>
      <x:c r="L45" s="5">
        <x:v>519557.88</x:v>
      </x:c>
      <x:c r="M45" s="5"/>
    </x:row>
    <x:row r="46" spans="1:13" ht="14.5" x14ac:dyDescent="0.45">
      <x:c r="A46" s="7">
        <x:v>2021</x:v>
      </x:c>
      <x:c r="B46" s="10">
        <x:v>-1719.719670342321</x:v>
      </x:c>
      <x:c r="C46" s="10">
        <x:v>-1098828.7795290721</x:v>
      </x:c>
      <x:c r="E46" s="24" t="s">
        <x:v>49</x:v>
      </x:c>
      <x:c r="F46" s="17"/>
      <x:c r="G46" s="28">
        <x:v>4471008</x:v>
      </x:c>
      <x:c r="H46" s="17"/>
      <x:c r="I46" s="26">
        <x:v>4.9600000000000002E-4</x:v>
      </x:c>
      <x:c r="J46" s="27">
        <x:f t="shared" si="0"/>
        <x:v>6471.72</x:v>
      </x:c>
      <x:c r="L46" s="5"/>
      <x:c r="M46" s="5"/>
    </x:row>
    <x:row r="47" spans="1:13" ht="13.5" thickBot="1" x14ac:dyDescent="0.35">
      <x:c r="A47" s="7" t="s">
        <x:v>17</x:v>
      </x:c>
      <x:c r="B47" s="5">
        <x:f>SUM(B42:B46)</x:f>
        <x:v>-7041.2966500438688</x:v>
      </x:c>
      <x:c r="C47" s="5">
        <x:f>SUM(C42:C46)</x:f>
        <x:v>-2362077.8120279592</x:v>
      </x:c>
      <x:c r="E47" s="29" t="s">
        <x:v>50</x:v>
      </x:c>
      <x:c r="F47" s="20"/>
      <x:c r="G47" s="30">
        <x:v>4471009</x:v>
      </x:c>
      <x:c r="H47" s="20"/>
      <x:c r="I47" s="31">
        <x:v>2.2980000000000001E-3</x:v>
      </x:c>
      <x:c r="J47" s="32">
        <x:f>ROUND($J$30*I47,2)-0.01</x:f>
        <x:v>29983.88</x:v>
      </x:c>
      <x:c r="L47" s="5"/>
      <x:c r="M47" s="5"/>
    </x:row>
    <x:row r="48" spans="1:13" x14ac:dyDescent="0.3">
      <x:c r="A48" s="7"/>
      <x:c r="B48" s="5"/>
      <x:c r="C48" s="5"/>
      <x:c r="E48" s="13"/>
      <x:c r="F48" s="14"/>
      <x:c r="G48" s="14"/>
      <x:c r="H48" s="14"/>
      <x:c r="I48" s="14"/>
      <x:c r="J48" s="15"/>
    </x:row>
    <x:row r="49" spans="1:12" x14ac:dyDescent="0.3">
      <x:c r="A49" s="3" t="s">
        <x:v>51</x:v>
      </x:c>
      <x:c r="E49" s="16" t="s">
        <x:v>52</x:v>
      </x:c>
      <x:c r="F49" s="17"/>
      <x:c r="G49" s="33">
        <x:v>4470000</x:v>
      </x:c>
      <x:c r="H49" s="17"/>
      <x:c r="I49" s="17"/>
      <x:c r="J49" s="27">
        <x:f>+B31+B39+B47</x:f>
        <x:v>158150.08483766339</x:v>
      </x:c>
    </x:row>
    <x:row r="50" spans="1:12" ht="13.5" thickBot="1" x14ac:dyDescent="0.35">
      <x:c r="A50" s="7">
        <x:v>2017</x:v>
      </x:c>
      <x:c r="B50" s="5">
        <x:v>0.21000000000000002</x:v>
      </x:c>
      <x:c r="C50" s="5">
        <x:v>51.230000000000004</x:v>
      </x:c>
      <x:c r="D50" s="34">
        <x:v>5.7999999999999996E-3</x:v>
      </x:c>
      <x:c r="E50" s="19"/>
      <x:c r="F50" s="20"/>
      <x:c r="G50" s="20"/>
      <x:c r="H50" s="20"/>
      <x:c r="I50" s="20"/>
      <x:c r="J50" s="21"/>
    </x:row>
    <x:row r="51" spans="1:12" ht="13.5" thickBot="1" x14ac:dyDescent="0.35">
      <x:c r="A51" s="7">
        <x:v>2018</x:v>
      </x:c>
      <x:c r="B51" s="5">
        <x:v>224.92000000000002</x:v>
      </x:c>
      <x:c r="C51" s="5">
        <x:v>7055.3</x:v>
      </x:c>
      <x:c r="D51" s="34">
        <x:v>1.0500000000000001E-2</x:v>
      </x:c>
      <x:c r="E51" s="17"/>
      <x:c r="F51" s="17"/>
      <x:c r="G51" s="17"/>
      <x:c r="H51" s="17"/>
      <x:c r="I51" s="17"/>
      <x:c r="J51" s="17"/>
    </x:row>
    <x:row r="52" spans="1:12" x14ac:dyDescent="0.3">
      <x:c r="A52" s="7">
        <x:v>2019</x:v>
      </x:c>
      <x:c r="B52" s="5">
        <x:v>1207.7600000000002</x:v>
      </x:c>
      <x:c r="C52" s="5">
        <x:v>68899.3</x:v>
      </x:c>
      <x:c r="D52" s="34">
        <x:v>1.9900000000000001E-2</x:v>
      </x:c>
      <x:c r="E52" s="13" t="s">
        <x:v>53</x:v>
      </x:c>
      <x:c r="F52" s="14"/>
      <x:c r="G52" s="14"/>
      <x:c r="H52" s="14"/>
      <x:c r="I52" s="14"/>
      <x:c r="J52" s="15"/>
    </x:row>
    <x:row r="53" spans="1:12" x14ac:dyDescent="0.3">
      <x:c r="A53" s="7">
        <x:v>2020</x:v>
      </x:c>
      <x:c r="B53" s="5">
        <x:v>2374.54</x:v>
      </x:c>
      <x:c r="C53" s="5">
        <x:v>162862.61999999997</x:v>
      </x:c>
      <x:c r="D53" s="34">
        <x:v>2.35E-2</x:v>
      </x:c>
      <x:c r="E53" s="16"/>
      <x:c r="F53" s="17"/>
      <x:c r="G53" s="17"/>
      <x:c r="H53" s="17"/>
      <x:c r="I53" s="17"/>
      <x:c r="J53" s="18"/>
    </x:row>
    <x:row r="54" spans="1:12" ht="14.5" x14ac:dyDescent="0.45">
      <x:c r="A54" s="7">
        <x:v>2021</x:v>
      </x:c>
      <x:c r="B54" s="10">
        <x:v>1160.6200000000001</x:v>
      </x:c>
      <x:c r="C54" s="10">
        <x:v>87137.88999999997</x:v>
      </x:c>
      <x:c r="D54" s="34">
        <x:v>8.2000000000000007E-3</x:v>
      </x:c>
      <x:c r="E54" s="16" t="s">
        <x:v>1</x:v>
      </x:c>
      <x:c r="F54" s="17"/>
      <x:c r="G54" s="28">
        <x:v>4310100</x:v>
      </x:c>
      <x:c r="H54" s="17"/>
      <x:c r="I54" s="17"/>
      <x:c r="J54" s="27">
        <x:f>+C55</x:f>
        <x:v>326006.33999999991</x:v>
      </x:c>
    </x:row>
    <x:row r="55" spans="1:12" ht="13.5" thickBot="1" x14ac:dyDescent="0.35">
      <x:c r="A55" s="7" t="s">
        <x:v>17</x:v>
      </x:c>
      <x:c r="B55" s="5">
        <x:f>SUM(B50:B54)</x:f>
        <x:v>4968.05</x:v>
      </x:c>
      <x:c r="C55" s="5">
        <x:f>SUM(C50:C54)</x:f>
        <x:v>326006.33999999991</x:v>
      </x:c>
      <x:c r="D55" s="34"/>
      <x:c r="E55" s="19" t="s">
        <x:v>0</x:v>
      </x:c>
      <x:c r="F55" s="20"/>
      <x:c r="G55" s="30">
        <x:v>4310100</x:v>
      </x:c>
      <x:c r="H55" s="20"/>
      <x:c r="I55" s="20"/>
      <x:c r="J55" s="32">
        <x:f>+B55</x:f>
        <x:v>4968.05</x:v>
      </x:c>
    </x:row>
    <x:row r="56" spans="1:12" x14ac:dyDescent="0.3">
      <x:c r="A56" s="7"/>
      <x:c r="B56" s="5"/>
      <x:c r="C56" s="5"/>
      <x:c r="D56" s="34"/>
    </x:row>
    <x:row r="57" spans="1:12" x14ac:dyDescent="0.3">
      <x:c r="A57" s="3" t="s">
        <x:v>54</x:v>
      </x:c>
      <x:c r="D57" s="34"/>
    </x:row>
    <x:row r="58" spans="1:12" x14ac:dyDescent="0.3">
      <x:c r="A58" s="7">
        <x:v>2017</x:v>
      </x:c>
      <x:c r="B58" s="5">
        <x:f t="shared" ref="B58:C62" si="1">+B26+B34+B42+B50</x:f>
        <x:v>3648.1766745593418</x:v>
      </x:c>
      <x:c r="C58" s="5">
        <x:f t="shared" si="1"/>
        <x:v>55020.842392292026</x:v>
      </x:c>
      <x:c r="D58" s="34"/>
    </x:row>
    <x:row r="59" spans="1:12" x14ac:dyDescent="0.3">
      <x:c r="A59" s="7">
        <x:v>2018</x:v>
      </x:c>
      <x:c r="B59" s="5">
        <x:f t="shared" si="1"/>
        <x:v>38850.449540776011</x:v>
      </x:c>
      <x:c r="C59" s="5">
        <x:f t="shared" si="1"/>
        <x:v>1480965.1138209582</x:v>
      </x:c>
      <x:c r="D59" s="34"/>
    </x:row>
    <x:row r="60" spans="1:12" x14ac:dyDescent="0.3">
      <x:c r="A60" s="7">
        <x:v>2019</x:v>
      </x:c>
      <x:c r="B60" s="5">
        <x:f t="shared" si="1"/>
        <x:v>39833.289540776015</x:v>
      </x:c>
      <x:c r="C60" s="5">
        <x:f t="shared" si="1"/>
        <x:v>3611291.1552347699</x:v>
      </x:c>
      <x:c r="D60" s="34"/>
      <x:c r="K60" s="5"/>
      <x:c r="L60" s="5"/>
    </x:row>
    <x:row r="61" spans="1:12" x14ac:dyDescent="0.3">
      <x:c r="A61" s="7">
        <x:v>2020</x:v>
      </x:c>
      <x:c r="B61" s="5">
        <x:f t="shared" si="1"/>
        <x:v>41000.069540776014</x:v>
      </x:c>
      <x:c r="C61" s="5">
        <x:f t="shared" si="1"/>
        <x:v>4240840.6150729554</x:v>
      </x:c>
      <x:c r="D61" s="34"/>
    </x:row>
    <x:row r="62" spans="1:12" ht="14.5" x14ac:dyDescent="0.45">
      <x:c r="A62" s="7">
        <x:v>2021</x:v>
      </x:c>
      <x:c r="B62" s="10">
        <x:f t="shared" si="1"/>
        <x:v>39786.149540776016</x:v>
      </x:c>
      <x:c r="C62" s="10">
        <x:f t="shared" si="1"/>
        <x:v>3985707.0612123501</x:v>
      </x:c>
      <x:c r="D62" s="34"/>
      <x:c r="E62" s="4" t="s">
        <x:v>10</x:v>
      </x:c>
      <x:c r="K62" s="7"/>
      <x:c r="L62" s="7"/>
    </x:row>
    <x:row r="63" spans="1:12" x14ac:dyDescent="0.3">
      <x:c r="A63" s="7" t="s">
        <x:v>55</x:v>
      </x:c>
      <x:c r="B63" s="5">
        <x:f>SUM(B58:B62)</x:f>
        <x:v>163118.13483766338</x:v>
      </x:c>
      <x:c r="C63" s="5">
        <x:f>SUM(C58:C62)</x:f>
        <x:v>13373824.787733324</x:v>
      </x:c>
      <x:c r="D63" s="34"/>
      <x:c r="E63" s="5">
        <x:f>-SUM(B63:C63)</x:f>
        <x:v>-13536942.922570987</x:v>
      </x:c>
      <x:c r="F63" s="3" t="s">
        <x:v>67</x:v>
      </x:c>
      <x:c r="J63" s="49" t="s">
        <x:v>68</x:v>
      </x:c>
      <x:c r="K63" s="4" t="s">
        <x:v>58</x:v>
      </x:c>
      <x:c r="L63" s="4" t="s">
        <x:v>59</x:v>
      </x:c>
    </x:row>
    <x:row r="64" spans="1:12" x14ac:dyDescent="0.3">
      <x:c r="D64" s="34"/>
    </x:row>
    <x:row r="65" spans="1:12" x14ac:dyDescent="0.3">
      <x:c r="A65" s="3" t="s">
        <x:v>60</x:v>
      </x:c>
      <x:c r="B65" s="5">
        <x:f>-B63/5</x:f>
        <x:v>-32623.626967532677</x:v>
      </x:c>
      <x:c r="C65" s="5">
        <x:f>-C63/5</x:f>
        <x:v>-2674764.9575466649</x:v>
      </x:c>
      <x:c r="D65" s="34"/>
      <x:c r="E65" s="92">
        <x:f>SUM(B65:D65)</x:f>
        <x:v>-2707388.5845141974</x:v>
      </x:c>
      <x:c r="F65" s="1" t="s">
        <x:v>130</x:v>
      </x:c>
      <x:c r="J65" s="7" t="s">
        <x:v>57</x:v>
      </x:c>
      <x:c r="K65" s="5">
        <x:f>-B63/5</x:f>
        <x:v>-32623.626967532677</x:v>
      </x:c>
      <x:c r="L65" s="5">
        <x:f>E65-K65</x:f>
        <x:v>-2674764.9575466649</x:v>
      </x:c>
    </x:row>
    <x:row r="66" spans="1:12" x14ac:dyDescent="0.3">
      <x:c r="B66" s="5"/>
      <x:c r="C66" s="5"/>
      <x:c r="D66" s="34"/>
    </x:row>
    <x:row r="67" spans="1:12" x14ac:dyDescent="0.3">
      <x:c r="B67" s="5"/>
      <x:c r="C67" s="5"/>
      <x:c r="D67" s="46" t="s">
        <x:v>64</x:v>
      </x:c>
      <x:c r="F67" s="46" t="s">
        <x:v>65</x:v>
      </x:c>
      <x:c r="G67" s="46" t="s">
        <x:v>66</x:v>
      </x:c>
    </x:row>
    <x:row r="68" spans="1:12" ht="28" customHeight="1" x14ac:dyDescent="0.35">
      <x:c r="A68" s="93" t="s">
        <x:v>63</x:v>
      </x:c>
      <x:c r="B68" s="94"/>
      <x:c r="C68" s="94"/>
      <x:c r="D68" s="44">
        <x:f>-B63</x:f>
        <x:v>-163118.13483766338</x:v>
      </x:c>
      <x:c r="E68" s="43"/>
      <x:c r="F68" s="44">
        <x:f>-C63</x:f>
        <x:v>-13373824.787733324</x:v>
      </x:c>
      <x:c r="G68" s="44">
        <x:f>D68+F68</x:f>
        <x:v>-13536942.922570987</x:v>
      </x:c>
      <x:c r="I68" s="97" t="s">
        <x:v>136</x:v>
      </x:c>
      <x:c r="J68" s="94"/>
      <x:c r="K68" s="94"/>
      <x:c r="L68" s="94"/>
    </x:row>
    <x:row r="69" spans="1:12" x14ac:dyDescent="0.3">
      <x:c r="B69" s="43"/>
      <x:c r="C69" s="47" t="s">
        <x:v>58</x:v>
      </x:c>
      <x:c r="D69" s="17"/>
      <x:c r="E69" s="47" t="s">
        <x:v>59</x:v>
      </x:c>
      <x:c r="F69" s="45"/>
      <x:c r="G69" s="45"/>
    </x:row>
    <x:row r="70" spans="1:12" x14ac:dyDescent="0.3">
      <x:c r="B70" s="36">
        <x:v>45047</x:v>
      </x:c>
      <x:c r="C70" s="37">
        <x:v>-2718.6666666666665</x:v>
      </x:c>
      <x:c r="D70" s="5">
        <x:f>D68-C70</x:f>
        <x:v>-160399.46817099673</x:v>
      </x:c>
      <x:c r="E70" s="37">
        <x:v>-191114.91481243132</x:v>
      </x:c>
      <x:c r="F70" s="5">
        <x:f>F68-E70</x:f>
        <x:v>-13182709.872920893</x:v>
      </x:c>
      <x:c r="G70" s="37">
        <x:f>D70+F70</x:f>
        <x:v>-13343109.34109189</x:v>
      </x:c>
    </x:row>
    <x:row r="71" spans="1:12" ht="28.4" customHeight="1" x14ac:dyDescent="0.3">
      <x:c r="B71" s="36">
        <x:v>45078</x:v>
      </x:c>
      <x:c r="C71" s="37">
        <x:v>-2716.7966666666703</x:v>
      </x:c>
      <x:c r="D71" s="5">
        <x:f>D70-C71</x:f>
        <x:v>-157682.67150433006</x:v>
      </x:c>
      <x:c r="E71" s="37">
        <x:f>-222898.918666667-0.04</x:f>
        <x:v>-222898.95866666702</x:v>
      </x:c>
      <x:c r="F71" s="5">
        <x:f>F70-E71</x:f>
        <x:v>-12959810.914254226</x:v>
      </x:c>
      <x:c r="G71" s="37">
        <x:f t="shared" ref="G71:G130" si="2">D71+F71</x:f>
        <x:v>-13117493.585758556</x:v>
      </x:c>
    </x:row>
    <x:row r="72" spans="1:12" x14ac:dyDescent="0.3">
      <x:c r="B72" s="36">
        <x:v>45108</x:v>
      </x:c>
      <x:c r="C72" s="37">
        <x:v>-2718.6666666666665</x:v>
      </x:c>
      <x:c r="D72" s="5">
        <x:f t="shared" ref="D72:F130" si="3">D71-C72</x:f>
        <x:v>-154964.00483766341</x:v>
      </x:c>
      <x:c r="E72" s="37">
        <x:v>-222897.04866666664</x:v>
      </x:c>
      <x:c r="F72" s="5">
        <x:f t="shared" si="3"/>
        <x:v>-12736913.865587559</x:v>
      </x:c>
      <x:c r="G72" s="37">
        <x:f t="shared" si="2"/>
        <x:v>-12891877.870425222</x:v>
      </x:c>
    </x:row>
    <x:row r="73" spans="1:12" x14ac:dyDescent="0.3">
      <x:c r="B73" s="36">
        <x:v>45139</x:v>
      </x:c>
      <x:c r="C73" s="37">
        <x:v>-2718.6666666666665</x:v>
      </x:c>
      <x:c r="D73" s="5">
        <x:f t="shared" si="3"/>
        <x:v>-152245.33817099675</x:v>
      </x:c>
      <x:c r="E73" s="37">
        <x:v>-222897.04866666664</x:v>
      </x:c>
      <x:c r="F73" s="5">
        <x:f t="shared" si="3"/>
        <x:v>-12514016.816920891</x:v>
      </x:c>
      <x:c r="G73" s="37">
        <x:f t="shared" si="2"/>
        <x:v>-12666262.155091887</x:v>
      </x:c>
    </x:row>
    <x:row r="74" spans="1:12" x14ac:dyDescent="0.3">
      <x:c r="B74" s="36">
        <x:v>45170</x:v>
      </x:c>
      <x:c r="C74" s="37">
        <x:v>-2718.6666666666665</x:v>
      </x:c>
      <x:c r="D74" s="5">
        <x:f t="shared" si="3"/>
        <x:v>-149526.67150433009</x:v>
      </x:c>
      <x:c r="E74" s="37">
        <x:v>-222897.04866666664</x:v>
      </x:c>
      <x:c r="F74" s="5">
        <x:f t="shared" si="3"/>
        <x:v>-12291119.768254224</x:v>
      </x:c>
      <x:c r="G74" s="37">
        <x:f t="shared" si="2"/>
        <x:v>-12440646.439758554</x:v>
      </x:c>
      <x:c r="K74" s="7" t="s">
        <x:v>120</x:v>
      </x:c>
      <x:c r="L74" s="7" t="s">
        <x:v>120</x:v>
      </x:c>
    </x:row>
    <x:row r="75" spans="1:12" x14ac:dyDescent="0.3">
      <x:c r="B75" s="36">
        <x:v>45200</x:v>
      </x:c>
      <x:c r="C75" s="37">
        <x:v>-2718.6666666666665</x:v>
      </x:c>
      <x:c r="D75" s="5">
        <x:f t="shared" si="3"/>
        <x:v>-146808.00483766344</x:v>
      </x:c>
      <x:c r="E75" s="37">
        <x:v>-222897.04866666664</x:v>
      </x:c>
      <x:c r="F75" s="5">
        <x:f t="shared" si="3"/>
        <x:v>-12068222.719587557</x:v>
      </x:c>
      <x:c r="G75" s="37">
        <x:f t="shared" si="2"/>
        <x:v>-12215030.724425221</x:v>
      </x:c>
      <x:c r="K75" s="7" t="s">
        <x:v>119</x:v>
      </x:c>
      <x:c r="L75" s="7" t="s">
        <x:v>119</x:v>
      </x:c>
    </x:row>
    <x:row r="76" spans="1:12" x14ac:dyDescent="0.3">
      <x:c r="B76" s="36">
        <x:v>45231</x:v>
      </x:c>
      <x:c r="C76" s="37">
        <x:v>-2718.6666666666665</x:v>
      </x:c>
      <x:c r="D76" s="5">
        <x:f t="shared" si="3"/>
        <x:v>-144089.33817099678</x:v>
      </x:c>
      <x:c r="E76" s="37">
        <x:v>-222897.04866666664</x:v>
      </x:c>
      <x:c r="F76" s="5">
        <x:f t="shared" si="3"/>
        <x:v>-11845325.67092089</x:v>
      </x:c>
      <x:c r="G76" s="37">
        <x:f t="shared" si="2"/>
        <x:v>-11989415.009091886</x:v>
      </x:c>
    </x:row>
    <x:row r="77" spans="1:12" x14ac:dyDescent="0.3">
      <x:c r="B77" s="36">
        <x:v>45261</x:v>
      </x:c>
      <x:c r="C77" s="37">
        <x:v>-2718.6666666666665</x:v>
      </x:c>
      <x:c r="D77" s="5">
        <x:f t="shared" si="3"/>
        <x:v>-141370.67150433012</x:v>
      </x:c>
      <x:c r="E77" s="37">
        <x:v>-222897.04866666664</x:v>
      </x:c>
      <x:c r="F77" s="5">
        <x:f t="shared" si="3"/>
        <x:v>-11622428.622254223</x:v>
      </x:c>
      <x:c r="G77" s="37">
        <x:f t="shared" si="2"/>
        <x:v>-11763799.293758553</x:v>
      </x:c>
      <x:c r="K77" s="51" t="s">
        <x:v>69</x:v>
      </x:c>
      <x:c r="L77" s="51" t="s">
        <x:v>69</x:v>
      </x:c>
    </x:row>
    <x:row r="78" spans="1:12" x14ac:dyDescent="0.3">
      <x:c r="B78" s="36">
        <x:v>45292</x:v>
      </x:c>
      <x:c r="C78" s="37">
        <x:v>-2718.6666666666665</x:v>
      </x:c>
      <x:c r="D78" s="5">
        <x:f t="shared" si="3"/>
        <x:v>-138652.00483766347</x:v>
      </x:c>
      <x:c r="E78" s="37">
        <x:v>-222897.04866666664</x:v>
      </x:c>
      <x:c r="F78" s="5">
        <x:f t="shared" si="3"/>
        <x:v>-11399531.573587555</x:v>
      </x:c>
      <x:c r="G78" s="37">
        <x:f t="shared" si="2"/>
        <x:v>-11538183.578425219</x:v>
      </x:c>
      <x:c r="K78" s="48">
        <x:f>C78</x:f>
        <x:v>-2718.6666666666665</x:v>
      </x:c>
      <x:c r="L78" s="48">
        <x:f>E78</x:f>
        <x:v>-222897.04866666664</x:v>
      </x:c>
    </x:row>
    <x:row r="79" spans="1:12" x14ac:dyDescent="0.3">
      <x:c r="B79" s="36">
        <x:v>45323</x:v>
      </x:c>
      <x:c r="C79" s="37">
        <x:v>-2718.6666666666665</x:v>
      </x:c>
      <x:c r="D79" s="5">
        <x:f t="shared" si="3"/>
        <x:v>-135933.33817099681</x:v>
      </x:c>
      <x:c r="E79" s="37">
        <x:v>-222897.04866666664</x:v>
      </x:c>
      <x:c r="F79" s="5">
        <x:f t="shared" si="3"/>
        <x:v>-11176634.524920888</x:v>
      </x:c>
      <x:c r="G79" s="37">
        <x:f t="shared" si="2"/>
        <x:v>-11312567.863091884</x:v>
      </x:c>
      <x:c r="K79" s="48">
        <x:f t="shared" ref="K79:K89" si="4">C79</x:f>
        <x:v>-2718.6666666666665</x:v>
      </x:c>
      <x:c r="L79" s="48">
        <x:f t="shared" ref="L79:L89" si="5">E79</x:f>
        <x:v>-222897.04866666664</x:v>
      </x:c>
    </x:row>
    <x:row r="80" spans="1:12" x14ac:dyDescent="0.3">
      <x:c r="B80" s="36">
        <x:v>45352</x:v>
      </x:c>
      <x:c r="C80" s="37">
        <x:v>-2718.6666666666665</x:v>
      </x:c>
      <x:c r="D80" s="5">
        <x:f t="shared" si="3"/>
        <x:v>-133214.67150433015</x:v>
      </x:c>
      <x:c r="E80" s="37">
        <x:v>-222897.04866666664</x:v>
      </x:c>
      <x:c r="F80" s="5">
        <x:f t="shared" si="3"/>
        <x:v>-10953737.476254221</x:v>
      </x:c>
      <x:c r="G80" s="37">
        <x:f t="shared" si="2"/>
        <x:v>-11086952.147758551</x:v>
      </x:c>
      <x:c r="K80" s="48">
        <x:f t="shared" si="4"/>
        <x:v>-2718.6666666666665</x:v>
      </x:c>
      <x:c r="L80" s="48">
        <x:f t="shared" si="5"/>
        <x:v>-222897.04866666664</x:v>
      </x:c>
    </x:row>
    <x:row r="81" spans="2:12" x14ac:dyDescent="0.3">
      <x:c r="B81" s="36">
        <x:v>45383</x:v>
      </x:c>
      <x:c r="C81" s="37">
        <x:v>-2718.6666666666665</x:v>
      </x:c>
      <x:c r="D81" s="5">
        <x:f t="shared" si="3"/>
        <x:v>-130496.00483766348</x:v>
      </x:c>
      <x:c r="E81" s="37">
        <x:v>-222897.04866666664</x:v>
      </x:c>
      <x:c r="F81" s="5">
        <x:f t="shared" si="3"/>
        <x:v>-10730840.427587554</x:v>
      </x:c>
      <x:c r="G81" s="37">
        <x:f t="shared" si="2"/>
        <x:v>-10861336.432425218</x:v>
      </x:c>
      <x:c r="K81" s="48">
        <x:f t="shared" si="4"/>
        <x:v>-2718.6666666666665</x:v>
      </x:c>
      <x:c r="L81" s="48">
        <x:f t="shared" si="5"/>
        <x:v>-222897.04866666664</x:v>
      </x:c>
    </x:row>
    <x:row r="82" spans="2:12" x14ac:dyDescent="0.3">
      <x:c r="B82" s="36">
        <x:v>45413</x:v>
      </x:c>
      <x:c r="C82" s="37">
        <x:v>-2718.6666666666665</x:v>
      </x:c>
      <x:c r="D82" s="5">
        <x:f t="shared" si="3"/>
        <x:v>-127777.33817099681</x:v>
      </x:c>
      <x:c r="E82" s="37">
        <x:v>-222897.04866666664</x:v>
      </x:c>
      <x:c r="F82" s="5">
        <x:f t="shared" si="3"/>
        <x:v>-10507943.378920887</x:v>
      </x:c>
      <x:c r="G82" s="37">
        <x:f t="shared" si="2"/>
        <x:v>-10635720.717091883</x:v>
      </x:c>
      <x:c r="K82" s="48">
        <x:f t="shared" si="4"/>
        <x:v>-2718.6666666666665</x:v>
      </x:c>
      <x:c r="L82" s="48">
        <x:f t="shared" si="5"/>
        <x:v>-222897.04866666664</x:v>
      </x:c>
    </x:row>
    <x:row r="83" spans="2:12" x14ac:dyDescent="0.3">
      <x:c r="B83" s="36">
        <x:v>45444</x:v>
      </x:c>
      <x:c r="C83" s="37">
        <x:v>-2718.6666666666665</x:v>
      </x:c>
      <x:c r="D83" s="5">
        <x:f t="shared" si="3"/>
        <x:v>-125058.67150433014</x:v>
      </x:c>
      <x:c r="E83" s="37">
        <x:v>-222897.04866666664</x:v>
      </x:c>
      <x:c r="F83" s="5">
        <x:f t="shared" si="3"/>
        <x:v>-10285046.330254219</x:v>
      </x:c>
      <x:c r="G83" s="37">
        <x:f t="shared" si="2"/>
        <x:v>-10410105.001758549</x:v>
      </x:c>
      <x:c r="K83" s="48">
        <x:f t="shared" si="4"/>
        <x:v>-2718.6666666666665</x:v>
      </x:c>
      <x:c r="L83" s="48">
        <x:f t="shared" si="5"/>
        <x:v>-222897.04866666664</x:v>
      </x:c>
    </x:row>
    <x:row r="84" spans="2:12" x14ac:dyDescent="0.3">
      <x:c r="B84" s="36">
        <x:v>45474</x:v>
      </x:c>
      <x:c r="C84" s="37">
        <x:v>-2718.6666666666665</x:v>
      </x:c>
      <x:c r="D84" s="5">
        <x:f t="shared" si="3"/>
        <x:v>-122340.00483766347</x:v>
      </x:c>
      <x:c r="E84" s="37">
        <x:v>-222897.04866666664</x:v>
      </x:c>
      <x:c r="F84" s="5">
        <x:f t="shared" si="3"/>
        <x:v>-10062149.281587552</x:v>
      </x:c>
      <x:c r="G84" s="37">
        <x:f t="shared" si="2"/>
        <x:v>-10184489.286425216</x:v>
      </x:c>
      <x:c r="K84" s="48">
        <x:f t="shared" si="4"/>
        <x:v>-2718.6666666666665</x:v>
      </x:c>
      <x:c r="L84" s="48">
        <x:f t="shared" si="5"/>
        <x:v>-222897.04866666664</x:v>
      </x:c>
    </x:row>
    <x:row r="85" spans="2:12" x14ac:dyDescent="0.3">
      <x:c r="B85" s="36">
        <x:v>45505</x:v>
      </x:c>
      <x:c r="C85" s="37">
        <x:v>-2718.6666666666665</x:v>
      </x:c>
      <x:c r="D85" s="5">
        <x:f t="shared" si="3"/>
        <x:v>-119621.33817099679</x:v>
      </x:c>
      <x:c r="E85" s="37">
        <x:v>-222897.04866666664</x:v>
      </x:c>
      <x:c r="F85" s="5">
        <x:f t="shared" si="3"/>
        <x:v>-9839252.2329208851</x:v>
      </x:c>
      <x:c r="G85" s="37">
        <x:f t="shared" si="2"/>
        <x:v>-9958873.571091881</x:v>
      </x:c>
      <x:c r="K85" s="48">
        <x:f t="shared" si="4"/>
        <x:v>-2718.6666666666665</x:v>
      </x:c>
      <x:c r="L85" s="48">
        <x:f t="shared" si="5"/>
        <x:v>-222897.04866666664</x:v>
      </x:c>
    </x:row>
    <x:row r="86" spans="2:12" x14ac:dyDescent="0.3">
      <x:c r="B86" s="36">
        <x:v>45536</x:v>
      </x:c>
      <x:c r="C86" s="37">
        <x:v>-2718.6666666666665</x:v>
      </x:c>
      <x:c r="D86" s="5">
        <x:f t="shared" si="3"/>
        <x:v>-116902.67150433012</x:v>
      </x:c>
      <x:c r="E86" s="37">
        <x:v>-222897.04866666664</x:v>
      </x:c>
      <x:c r="F86" s="5">
        <x:f t="shared" si="3"/>
        <x:v>-9616355.1842542179</x:v>
      </x:c>
      <x:c r="G86" s="37">
        <x:f t="shared" si="2"/>
        <x:v>-9733257.8557585478</x:v>
      </x:c>
      <x:c r="K86" s="48">
        <x:f t="shared" si="4"/>
        <x:v>-2718.6666666666665</x:v>
      </x:c>
      <x:c r="L86" s="48">
        <x:f t="shared" si="5"/>
        <x:v>-222897.04866666664</x:v>
      </x:c>
    </x:row>
    <x:row r="87" spans="2:12" x14ac:dyDescent="0.3">
      <x:c r="B87" s="36">
        <x:v>45566</x:v>
      </x:c>
      <x:c r="C87" s="37">
        <x:v>-2718.6666666666665</x:v>
      </x:c>
      <x:c r="D87" s="5">
        <x:f t="shared" si="3"/>
        <x:v>-114184.00483766345</x:v>
      </x:c>
      <x:c r="E87" s="37">
        <x:v>-222897.04866666664</x:v>
      </x:c>
      <x:c r="F87" s="5">
        <x:f t="shared" si="3"/>
        <x:v>-9393458.1355875507</x:v>
      </x:c>
      <x:c r="G87" s="37">
        <x:f t="shared" si="2"/>
        <x:v>-9507642.1404252145</x:v>
      </x:c>
      <x:c r="K87" s="48">
        <x:f t="shared" si="4"/>
        <x:v>-2718.6666666666665</x:v>
      </x:c>
      <x:c r="L87" s="48">
        <x:f t="shared" si="5"/>
        <x:v>-222897.04866666664</x:v>
      </x:c>
    </x:row>
    <x:row r="88" spans="2:12" x14ac:dyDescent="0.3">
      <x:c r="B88" s="36">
        <x:v>45597</x:v>
      </x:c>
      <x:c r="C88" s="37">
        <x:v>-2718.6666666666665</x:v>
      </x:c>
      <x:c r="D88" s="5">
        <x:f t="shared" si="3"/>
        <x:v>-111465.33817099678</x:v>
      </x:c>
      <x:c r="E88" s="37">
        <x:v>-222897.04866666664</x:v>
      </x:c>
      <x:c r="F88" s="5">
        <x:f t="shared" si="3"/>
        <x:v>-9170561.0869208835</x:v>
      </x:c>
      <x:c r="G88" s="37">
        <x:f t="shared" si="2"/>
        <x:v>-9282026.4250918794</x:v>
      </x:c>
      <x:c r="K88" s="48">
        <x:f t="shared" si="4"/>
        <x:v>-2718.6666666666665</x:v>
      </x:c>
      <x:c r="L88" s="48">
        <x:f t="shared" si="5"/>
        <x:v>-222897.04866666664</x:v>
      </x:c>
    </x:row>
    <x:row r="89" spans="2:12" x14ac:dyDescent="0.3">
      <x:c r="B89" s="56">
        <x:v>45627</x:v>
      </x:c>
      <x:c r="C89" s="55">
        <x:v>-2718.6666666666665</x:v>
      </x:c>
      <x:c r="D89" s="48">
        <x:f t="shared" si="3"/>
        <x:v>-108746.67150433011</x:v>
      </x:c>
      <x:c r="E89" s="55">
        <x:v>-222897.04866666664</x:v>
      </x:c>
      <x:c r="F89" s="48">
        <x:f t="shared" si="3"/>
        <x:v>-8947664.0382542163</x:v>
      </x:c>
      <x:c r="G89" s="90">
        <x:f t="shared" si="2"/>
        <x:v>-9056410.7097585462</x:v>
      </x:c>
      <x:c r="H89" s="91" t="s">
        <x:v>70</x:v>
      </x:c>
      <x:c r="I89" s="53"/>
      <x:c r="J89" s="53"/>
      <x:c r="K89" s="52">
        <x:f t="shared" si="4"/>
        <x:v>-2718.6666666666665</x:v>
      </x:c>
      <x:c r="L89" s="52">
        <x:f t="shared" si="5"/>
        <x:v>-222897.04866666664</x:v>
      </x:c>
    </x:row>
    <x:row r="90" spans="2:12" x14ac:dyDescent="0.3">
      <x:c r="B90" s="36">
        <x:v>45658</x:v>
      </x:c>
      <x:c r="C90" s="37">
        <x:v>-2718.6666666666665</x:v>
      </x:c>
      <x:c r="D90" s="5">
        <x:f t="shared" si="3"/>
        <x:v>-106028.00483766344</x:v>
      </x:c>
      <x:c r="E90" s="37">
        <x:v>-222897.04866666664</x:v>
      </x:c>
      <x:c r="F90" s="5">
        <x:f t="shared" si="3"/>
        <x:v>-8724766.9895875491</x:v>
      </x:c>
      <x:c r="G90" s="37">
        <x:f t="shared" si="2"/>
        <x:v>-8830794.994425213</x:v>
      </x:c>
      <x:c r="K90" s="48">
        <x:f>SUM(K78:K89)</x:f>
        <x:v>-32624.000000000004</x:v>
      </x:c>
      <x:c r="L90" s="48">
        <x:f>SUM(L78:L89)</x:f>
        <x:v>-2674764.5840000003</x:v>
      </x:c>
    </x:row>
    <x:row r="91" spans="2:12" x14ac:dyDescent="0.3">
      <x:c r="B91" s="36">
        <x:v>45689</x:v>
      </x:c>
      <x:c r="C91" s="37">
        <x:v>-2718.6666666666665</x:v>
      </x:c>
      <x:c r="D91" s="5">
        <x:f t="shared" si="3"/>
        <x:v>-103309.33817099677</x:v>
      </x:c>
      <x:c r="E91" s="37">
        <x:v>-222897.04866666664</x:v>
      </x:c>
      <x:c r="F91" s="5">
        <x:f t="shared" si="3"/>
        <x:v>-8501869.9409208819</x:v>
      </x:c>
      <x:c r="G91" s="37">
        <x:f t="shared" si="2"/>
        <x:v>-8605179.2790918779</x:v>
      </x:c>
    </x:row>
    <x:row r="92" spans="2:12" x14ac:dyDescent="0.3">
      <x:c r="B92" s="36">
        <x:v>45717</x:v>
      </x:c>
      <x:c r="C92" s="37">
        <x:v>-2718.6666666666665</x:v>
      </x:c>
      <x:c r="D92" s="5">
        <x:f t="shared" si="3"/>
        <x:v>-100590.67150433009</x:v>
      </x:c>
      <x:c r="E92" s="37">
        <x:v>-222897.04866666664</x:v>
      </x:c>
      <x:c r="F92" s="5">
        <x:f t="shared" si="3"/>
        <x:v>-8278972.8922542157</x:v>
      </x:c>
      <x:c r="G92" s="37">
        <x:f t="shared" si="2"/>
        <x:v>-8379563.5637585456</x:v>
      </x:c>
    </x:row>
    <x:row r="93" spans="2:12" x14ac:dyDescent="0.3">
      <x:c r="B93" s="36">
        <x:v>45748</x:v>
      </x:c>
      <x:c r="C93" s="37">
        <x:v>-2718.6666666666665</x:v>
      </x:c>
      <x:c r="D93" s="5">
        <x:f t="shared" si="3"/>
        <x:v>-97872.004837663422</x:v>
      </x:c>
      <x:c r="E93" s="37">
        <x:v>-222897.04866666664</x:v>
      </x:c>
      <x:c r="F93" s="5">
        <x:f t="shared" si="3"/>
        <x:v>-8056075.8435875494</x:v>
      </x:c>
      <x:c r="G93" s="37">
        <x:f t="shared" si="2"/>
        <x:v>-8153947.8484252132</x:v>
      </x:c>
    </x:row>
    <x:row r="94" spans="2:12" x14ac:dyDescent="0.3">
      <x:c r="B94" s="36">
        <x:v>45778</x:v>
      </x:c>
      <x:c r="C94" s="37">
        <x:v>-2718.6666666666665</x:v>
      </x:c>
      <x:c r="D94" s="5">
        <x:f t="shared" si="3"/>
        <x:v>-95153.338170996751</x:v>
      </x:c>
      <x:c r="E94" s="37">
        <x:v>-222897.04866666664</x:v>
      </x:c>
      <x:c r="F94" s="5">
        <x:f t="shared" si="3"/>
        <x:v>-7833178.7949208831</x:v>
      </x:c>
      <x:c r="G94" s="37">
        <x:f t="shared" si="2"/>
        <x:v>-7928332.13309188</x:v>
      </x:c>
    </x:row>
    <x:row r="95" spans="2:12" x14ac:dyDescent="0.3">
      <x:c r="B95" s="36">
        <x:v>45809</x:v>
      </x:c>
      <x:c r="C95" s="37">
        <x:v>-2718.6666666666665</x:v>
      </x:c>
      <x:c r="D95" s="5">
        <x:f t="shared" si="3"/>
        <x:v>-92434.671504330079</x:v>
      </x:c>
      <x:c r="E95" s="37">
        <x:v>-222897.04866666664</x:v>
      </x:c>
      <x:c r="F95" s="5">
        <x:f t="shared" si="3"/>
        <x:v>-7610281.7462542169</x:v>
      </x:c>
      <x:c r="G95" s="37">
        <x:f t="shared" si="2"/>
        <x:v>-7702716.4177585468</x:v>
      </x:c>
    </x:row>
    <x:row r="96" spans="2:12" x14ac:dyDescent="0.3">
      <x:c r="B96" s="36">
        <x:v>45839</x:v>
      </x:c>
      <x:c r="C96" s="37">
        <x:v>-2718.6666666666665</x:v>
      </x:c>
      <x:c r="D96" s="5">
        <x:f t="shared" si="3"/>
        <x:v>-89716.004837663408</x:v>
      </x:c>
      <x:c r="E96" s="37">
        <x:v>-222897.04866666664</x:v>
      </x:c>
      <x:c r="F96" s="5">
        <x:f t="shared" si="3"/>
        <x:v>-7387384.6975875506</x:v>
      </x:c>
      <x:c r="G96" s="37">
        <x:f t="shared" si="2"/>
        <x:v>-7477100.7024252145</x:v>
      </x:c>
    </x:row>
    <x:row r="97" spans="2:7" x14ac:dyDescent="0.3">
      <x:c r="B97" s="36">
        <x:v>45870</x:v>
      </x:c>
      <x:c r="C97" s="37">
        <x:v>-2718.6666666666665</x:v>
      </x:c>
      <x:c r="D97" s="5">
        <x:f t="shared" si="3"/>
        <x:v>-86997.338170996736</x:v>
      </x:c>
      <x:c r="E97" s="37">
        <x:v>-222897.04866666664</x:v>
      </x:c>
      <x:c r="F97" s="5">
        <x:f t="shared" si="3"/>
        <x:v>-7164487.6489208844</x:v>
      </x:c>
      <x:c r="G97" s="37">
        <x:f t="shared" si="2"/>
        <x:v>-7251484.9870918812</x:v>
      </x:c>
    </x:row>
    <x:row r="98" spans="2:7" x14ac:dyDescent="0.3">
      <x:c r="B98" s="36">
        <x:v>45901</x:v>
      </x:c>
      <x:c r="C98" s="37">
        <x:v>-2718.6666666666665</x:v>
      </x:c>
      <x:c r="D98" s="5">
        <x:f t="shared" si="3"/>
        <x:v>-84278.671504330065</x:v>
      </x:c>
      <x:c r="E98" s="37">
        <x:v>-222897.04866666664</x:v>
      </x:c>
      <x:c r="F98" s="5">
        <x:f t="shared" si="3"/>
        <x:v>-6941590.6002542181</x:v>
      </x:c>
      <x:c r="G98" s="37">
        <x:f t="shared" si="2"/>
        <x:v>-7025869.271758548</x:v>
      </x:c>
    </x:row>
    <x:row r="99" spans="2:7" x14ac:dyDescent="0.3">
      <x:c r="B99" s="36">
        <x:v>45931</x:v>
      </x:c>
      <x:c r="C99" s="37">
        <x:v>-2718.6666666666665</x:v>
      </x:c>
      <x:c r="D99" s="5">
        <x:f t="shared" si="3"/>
        <x:v>-81560.004837663393</x:v>
      </x:c>
      <x:c r="E99" s="37">
        <x:v>-222897.04866666664</x:v>
      </x:c>
      <x:c r="F99" s="5">
        <x:f t="shared" si="3"/>
        <x:v>-6718693.5515875518</x:v>
      </x:c>
      <x:c r="G99" s="37">
        <x:f t="shared" si="2"/>
        <x:v>-6800253.5564252157</x:v>
      </x:c>
    </x:row>
    <x:row r="100" spans="2:7" x14ac:dyDescent="0.3">
      <x:c r="B100" s="36">
        <x:v>45962</x:v>
      </x:c>
      <x:c r="C100" s="37">
        <x:v>-2718.6666666666665</x:v>
      </x:c>
      <x:c r="D100" s="5">
        <x:f t="shared" si="3"/>
        <x:v>-78841.338170996722</x:v>
      </x:c>
      <x:c r="E100" s="37">
        <x:v>-222897.04866666664</x:v>
      </x:c>
      <x:c r="F100" s="5">
        <x:f t="shared" si="3"/>
        <x:v>-6495796.5029208856</x:v>
      </x:c>
      <x:c r="G100" s="37">
        <x:f t="shared" si="2"/>
        <x:v>-6574637.8410918824</x:v>
      </x:c>
    </x:row>
    <x:row r="101" spans="2:7" x14ac:dyDescent="0.3">
      <x:c r="B101" s="36">
        <x:v>45992</x:v>
      </x:c>
      <x:c r="C101" s="37">
        <x:v>-2718.6666666666665</x:v>
      </x:c>
      <x:c r="D101" s="5">
        <x:f t="shared" si="3"/>
        <x:v>-76122.67150433005</x:v>
      </x:c>
      <x:c r="E101" s="37">
        <x:v>-222897.04866666664</x:v>
      </x:c>
      <x:c r="F101" s="5">
        <x:f t="shared" si="3"/>
        <x:v>-6272899.4542542193</x:v>
      </x:c>
      <x:c r="G101" s="37">
        <x:f t="shared" si="2"/>
        <x:v>-6349022.1257585492</x:v>
      </x:c>
    </x:row>
    <x:row r="102" spans="2:7" x14ac:dyDescent="0.3">
      <x:c r="B102" s="36">
        <x:v>46023</x:v>
      </x:c>
      <x:c r="C102" s="37">
        <x:v>-2718.6666666666665</x:v>
      </x:c>
      <x:c r="D102" s="5">
        <x:f t="shared" si="3"/>
        <x:v>-73404.004837663379</x:v>
      </x:c>
      <x:c r="E102" s="37">
        <x:v>-222897.04866666664</x:v>
      </x:c>
      <x:c r="F102" s="5">
        <x:f t="shared" si="3"/>
        <x:v>-6050002.405587553</x:v>
      </x:c>
      <x:c r="G102" s="37">
        <x:f t="shared" si="2"/>
        <x:v>-6123406.410425216</x:v>
      </x:c>
    </x:row>
    <x:row r="103" spans="2:7" x14ac:dyDescent="0.3">
      <x:c r="B103" s="36">
        <x:v>46054</x:v>
      </x:c>
      <x:c r="C103" s="37">
        <x:v>-2718.6666666666665</x:v>
      </x:c>
      <x:c r="D103" s="5">
        <x:f t="shared" si="3"/>
        <x:v>-70685.338170996707</x:v>
      </x:c>
      <x:c r="E103" s="37">
        <x:v>-222897.04866666664</x:v>
      </x:c>
      <x:c r="F103" s="5">
        <x:f t="shared" si="3"/>
        <x:v>-5827105.3569208868</x:v>
      </x:c>
      <x:c r="G103" s="37">
        <x:f t="shared" si="2"/>
        <x:v>-5897790.6950918837</x:v>
      </x:c>
    </x:row>
    <x:row r="104" spans="2:7" x14ac:dyDescent="0.3">
      <x:c r="B104" s="36">
        <x:v>46082</x:v>
      </x:c>
      <x:c r="C104" s="37">
        <x:v>-2718.6666666666665</x:v>
      </x:c>
      <x:c r="D104" s="5">
        <x:f t="shared" si="3"/>
        <x:v>-67966.671504330036</x:v>
      </x:c>
      <x:c r="E104" s="37">
        <x:v>-222897.04866666664</x:v>
      </x:c>
      <x:c r="F104" s="5">
        <x:f t="shared" si="3"/>
        <x:v>-5604208.3082542205</x:v>
      </x:c>
      <x:c r="G104" s="37">
        <x:f t="shared" si="2"/>
        <x:v>-5672174.9797585504</x:v>
      </x:c>
    </x:row>
    <x:row r="105" spans="2:7" x14ac:dyDescent="0.3">
      <x:c r="B105" s="36">
        <x:v>46113</x:v>
      </x:c>
      <x:c r="C105" s="37">
        <x:v>-2718.6666666666665</x:v>
      </x:c>
      <x:c r="D105" s="5">
        <x:f t="shared" si="3"/>
        <x:v>-65248.004837663371</x:v>
      </x:c>
      <x:c r="E105" s="37">
        <x:v>-222897.04866666664</x:v>
      </x:c>
      <x:c r="F105" s="5">
        <x:f t="shared" si="3"/>
        <x:v>-5381311.2595875543</x:v>
      </x:c>
      <x:c r="G105" s="37">
        <x:f t="shared" si="2"/>
        <x:v>-5446559.2644252172</x:v>
      </x:c>
    </x:row>
    <x:row r="106" spans="2:7" x14ac:dyDescent="0.3">
      <x:c r="B106" s="36">
        <x:v>46143</x:v>
      </x:c>
      <x:c r="C106" s="37">
        <x:v>-2718.6666666666665</x:v>
      </x:c>
      <x:c r="D106" s="5">
        <x:f t="shared" si="3"/>
        <x:v>-62529.338170996707</x:v>
      </x:c>
      <x:c r="E106" s="37">
        <x:v>-222897.04866666664</x:v>
      </x:c>
      <x:c r="F106" s="5">
        <x:f t="shared" si="3"/>
        <x:v>-5158414.210920888</x:v>
      </x:c>
      <x:c r="G106" s="37">
        <x:f t="shared" si="2"/>
        <x:v>-5220943.5490918849</x:v>
      </x:c>
    </x:row>
    <x:row r="107" spans="2:7" x14ac:dyDescent="0.3">
      <x:c r="B107" s="36">
        <x:v>46174</x:v>
      </x:c>
      <x:c r="C107" s="37">
        <x:v>-2718.6666666666665</x:v>
      </x:c>
      <x:c r="D107" s="5">
        <x:f t="shared" si="3"/>
        <x:v>-59810.671504330043</x:v>
      </x:c>
      <x:c r="E107" s="37">
        <x:v>-222897.04866666664</x:v>
      </x:c>
      <x:c r="F107" s="5">
        <x:f t="shared" si="3"/>
        <x:v>-4935517.1622542217</x:v>
      </x:c>
      <x:c r="G107" s="37">
        <x:f t="shared" si="2"/>
        <x:v>-4995327.8337585516</x:v>
      </x:c>
    </x:row>
    <x:row r="108" spans="2:7" x14ac:dyDescent="0.3">
      <x:c r="B108" s="36">
        <x:v>46204</x:v>
      </x:c>
      <x:c r="C108" s="37">
        <x:v>-2718.6666666666665</x:v>
      </x:c>
      <x:c r="D108" s="5">
        <x:f t="shared" si="3"/>
        <x:v>-57092.004837663379</x:v>
      </x:c>
      <x:c r="E108" s="37">
        <x:v>-222897.04866666664</x:v>
      </x:c>
      <x:c r="F108" s="5">
        <x:f t="shared" si="3"/>
        <x:v>-4712620.1135875555</x:v>
      </x:c>
      <x:c r="G108" s="37">
        <x:f t="shared" si="2"/>
        <x:v>-4769712.1184252184</x:v>
      </x:c>
    </x:row>
    <x:row r="109" spans="2:7" x14ac:dyDescent="0.3">
      <x:c r="B109" s="36">
        <x:v>46235</x:v>
      </x:c>
      <x:c r="C109" s="37">
        <x:v>-2718.6666666666665</x:v>
      </x:c>
      <x:c r="D109" s="5">
        <x:f t="shared" si="3"/>
        <x:v>-54373.338170996714</x:v>
      </x:c>
      <x:c r="E109" s="37">
        <x:v>-222897.04866666664</x:v>
      </x:c>
      <x:c r="F109" s="5">
        <x:f t="shared" si="3"/>
        <x:v>-4489723.0649208892</x:v>
      </x:c>
      <x:c r="G109" s="37">
        <x:f t="shared" si="2"/>
        <x:v>-4544096.4030918861</x:v>
      </x:c>
    </x:row>
    <x:row r="110" spans="2:7" x14ac:dyDescent="0.3">
      <x:c r="B110" s="36">
        <x:v>46266</x:v>
      </x:c>
      <x:c r="C110" s="37">
        <x:v>-2718.6666666666665</x:v>
      </x:c>
      <x:c r="D110" s="5">
        <x:f t="shared" si="3"/>
        <x:v>-51654.67150433005</x:v>
      </x:c>
      <x:c r="E110" s="37">
        <x:v>-222897.04866666664</x:v>
      </x:c>
      <x:c r="F110" s="5">
        <x:f t="shared" si="3"/>
        <x:v>-4266826.016254223</x:v>
      </x:c>
      <x:c r="G110" s="37">
        <x:f t="shared" si="2"/>
        <x:v>-4318480.6877585528</x:v>
      </x:c>
    </x:row>
    <x:row r="111" spans="2:7" x14ac:dyDescent="0.3">
      <x:c r="B111" s="36">
        <x:v>46296</x:v>
      </x:c>
      <x:c r="C111" s="37">
        <x:v>-2718.6666666666665</x:v>
      </x:c>
      <x:c r="D111" s="5">
        <x:f t="shared" si="3"/>
        <x:v>-48936.004837663386</x:v>
      </x:c>
      <x:c r="E111" s="37">
        <x:v>-222897.04866666664</x:v>
      </x:c>
      <x:c r="F111" s="5">
        <x:f t="shared" si="3"/>
        <x:v>-4043928.9675875562</x:v>
      </x:c>
      <x:c r="G111" s="37">
        <x:f t="shared" si="2"/>
        <x:v>-4092864.9724252196</x:v>
      </x:c>
    </x:row>
    <x:row r="112" spans="2:7" x14ac:dyDescent="0.3">
      <x:c r="B112" s="36">
        <x:v>46327</x:v>
      </x:c>
      <x:c r="C112" s="37">
        <x:v>-2718.6666666666665</x:v>
      </x:c>
      <x:c r="D112" s="5">
        <x:f t="shared" si="3"/>
        <x:v>-46217.338170996722</x:v>
      </x:c>
      <x:c r="E112" s="37">
        <x:v>-222897.04866666664</x:v>
      </x:c>
      <x:c r="F112" s="5">
        <x:f t="shared" si="3"/>
        <x:v>-3821031.9189208895</x:v>
      </x:c>
      <x:c r="G112" s="37">
        <x:f t="shared" si="2"/>
        <x:v>-3867249.2570918864</x:v>
      </x:c>
    </x:row>
    <x:row r="113" spans="2:7" x14ac:dyDescent="0.3">
      <x:c r="B113" s="36">
        <x:v>46357</x:v>
      </x:c>
      <x:c r="C113" s="37">
        <x:v>-2718.6666666666665</x:v>
      </x:c>
      <x:c r="D113" s="5">
        <x:f t="shared" si="3"/>
        <x:v>-43498.671504330057</x:v>
      </x:c>
      <x:c r="E113" s="37">
        <x:v>-222897.04866666664</x:v>
      </x:c>
      <x:c r="F113" s="5">
        <x:f t="shared" si="3"/>
        <x:v>-3598134.8702542228</x:v>
      </x:c>
      <x:c r="G113" s="37">
        <x:f t="shared" si="2"/>
        <x:v>-3641633.5417585527</x:v>
      </x:c>
    </x:row>
    <x:row r="114" spans="2:7" x14ac:dyDescent="0.3">
      <x:c r="B114" s="36">
        <x:v>46388</x:v>
      </x:c>
      <x:c r="C114" s="37">
        <x:v>-2718.6666666666665</x:v>
      </x:c>
      <x:c r="D114" s="5">
        <x:f t="shared" si="3"/>
        <x:v>-40780.004837663393</x:v>
      </x:c>
      <x:c r="E114" s="37">
        <x:v>-222897.04866666664</x:v>
      </x:c>
      <x:c r="F114" s="5">
        <x:f t="shared" si="3"/>
        <x:v>-3375237.821587556</x:v>
      </x:c>
      <x:c r="G114" s="37">
        <x:f t="shared" si="2"/>
        <x:v>-3416017.8264252194</x:v>
      </x:c>
    </x:row>
    <x:row r="115" spans="2:7" x14ac:dyDescent="0.3">
      <x:c r="B115" s="36">
        <x:v>46419</x:v>
      </x:c>
      <x:c r="C115" s="37">
        <x:v>-2718.6666666666665</x:v>
      </x:c>
      <x:c r="D115" s="5">
        <x:f t="shared" si="3"/>
        <x:v>-38061.338170996729</x:v>
      </x:c>
      <x:c r="E115" s="37">
        <x:v>-222897.04866666664</x:v>
      </x:c>
      <x:c r="F115" s="5">
        <x:f t="shared" si="3"/>
        <x:v>-3152340.7729208893</x:v>
      </x:c>
      <x:c r="G115" s="37">
        <x:f t="shared" si="2"/>
        <x:v>-3190402.1110918862</x:v>
      </x:c>
    </x:row>
    <x:row r="116" spans="2:7" x14ac:dyDescent="0.3">
      <x:c r="B116" s="36">
        <x:v>46447</x:v>
      </x:c>
      <x:c r="C116" s="37">
        <x:v>-2718.6666666666665</x:v>
      </x:c>
      <x:c r="D116" s="5">
        <x:f t="shared" si="3"/>
        <x:v>-35342.671504330065</x:v>
      </x:c>
      <x:c r="E116" s="37">
        <x:v>-222897.04866666664</x:v>
      </x:c>
      <x:c r="F116" s="5">
        <x:f t="shared" si="3"/>
        <x:v>-2929443.7242542226</x:v>
      </x:c>
      <x:c r="G116" s="37">
        <x:f t="shared" si="2"/>
        <x:v>-2964786.3957585525</x:v>
      </x:c>
    </x:row>
    <x:row r="117" spans="2:7" x14ac:dyDescent="0.3">
      <x:c r="B117" s="36">
        <x:v>46478</x:v>
      </x:c>
      <x:c r="C117" s="37">
        <x:v>-2718.6666666666665</x:v>
      </x:c>
      <x:c r="D117" s="5">
        <x:f t="shared" si="3"/>
        <x:v>-32624.004837663397</x:v>
      </x:c>
      <x:c r="E117" s="37">
        <x:v>-222897.04866666664</x:v>
      </x:c>
      <x:c r="F117" s="5">
        <x:f t="shared" si="3"/>
        <x:v>-2706546.6755875559</x:v>
      </x:c>
      <x:c r="G117" s="37">
        <x:f t="shared" si="2"/>
        <x:v>-2739170.6804252192</x:v>
      </x:c>
    </x:row>
    <x:row r="118" spans="2:7" x14ac:dyDescent="0.3">
      <x:c r="B118" s="36">
        <x:v>46508</x:v>
      </x:c>
      <x:c r="C118" s="37">
        <x:v>-2718.6666666666665</x:v>
      </x:c>
      <x:c r="D118" s="5">
        <x:f t="shared" si="3"/>
        <x:v>-29905.338170996729</x:v>
      </x:c>
      <x:c r="E118" s="37">
        <x:v>-222897.04866666664</x:v>
      </x:c>
      <x:c r="F118" s="5">
        <x:f t="shared" si="3"/>
        <x:v>-2483649.6269208891</x:v>
      </x:c>
      <x:c r="G118" s="37">
        <x:f t="shared" si="2"/>
        <x:v>-2513554.965091886</x:v>
      </x:c>
    </x:row>
    <x:row r="119" spans="2:7" x14ac:dyDescent="0.3">
      <x:c r="B119" s="36">
        <x:v>46539</x:v>
      </x:c>
      <x:c r="C119" s="37">
        <x:v>-2718.6666666666665</x:v>
      </x:c>
      <x:c r="D119" s="5">
        <x:f t="shared" si="3"/>
        <x:v>-27186.671504330061</x:v>
      </x:c>
      <x:c r="E119" s="37">
        <x:v>-222897.04866666664</x:v>
      </x:c>
      <x:c r="F119" s="5">
        <x:f t="shared" si="3"/>
        <x:v>-2260752.5782542224</x:v>
      </x:c>
      <x:c r="G119" s="37">
        <x:f t="shared" si="2"/>
        <x:v>-2287939.2497585523</x:v>
      </x:c>
    </x:row>
    <x:row r="120" spans="2:7" x14ac:dyDescent="0.3">
      <x:c r="B120" s="36">
        <x:v>46569</x:v>
      </x:c>
      <x:c r="C120" s="37">
        <x:v>-2718.6666666666665</x:v>
      </x:c>
      <x:c r="D120" s="5">
        <x:f t="shared" si="3"/>
        <x:v>-24468.004837663393</x:v>
      </x:c>
      <x:c r="E120" s="37">
        <x:v>-222897.04866666664</x:v>
      </x:c>
      <x:c r="F120" s="5">
        <x:f t="shared" si="3"/>
        <x:v>-2037855.5295875557</x:v>
      </x:c>
      <x:c r="G120" s="37">
        <x:f t="shared" si="2"/>
        <x:v>-2062323.5344252191</x:v>
      </x:c>
    </x:row>
    <x:row r="121" spans="2:7" x14ac:dyDescent="0.3">
      <x:c r="B121" s="36">
        <x:v>46600</x:v>
      </x:c>
      <x:c r="C121" s="37">
        <x:v>-2718.6666666666665</x:v>
      </x:c>
      <x:c r="D121" s="5">
        <x:f t="shared" si="3"/>
        <x:v>-21749.338170996725</x:v>
      </x:c>
      <x:c r="E121" s="37">
        <x:v>-222897.04866666664</x:v>
      </x:c>
      <x:c r="F121" s="5">
        <x:f t="shared" si="3"/>
        <x:v>-1814958.4809208889</x:v>
      </x:c>
      <x:c r="G121" s="37">
        <x:f t="shared" si="2"/>
        <x:v>-1836707.8190918856</x:v>
      </x:c>
    </x:row>
    <x:row r="122" spans="2:7" x14ac:dyDescent="0.3">
      <x:c r="B122" s="36">
        <x:v>46631</x:v>
      </x:c>
      <x:c r="C122" s="37">
        <x:v>-2718.6666666666665</x:v>
      </x:c>
      <x:c r="D122" s="5">
        <x:f t="shared" si="3"/>
        <x:v>-19030.671504330057</x:v>
      </x:c>
      <x:c r="E122" s="37">
        <x:v>-222897.04866666664</x:v>
      </x:c>
      <x:c r="F122" s="5">
        <x:f t="shared" si="3"/>
        <x:v>-1592061.4322542222</x:v>
      </x:c>
      <x:c r="G122" s="37">
        <x:f t="shared" si="2"/>
        <x:v>-1611092.1037585523</x:v>
      </x:c>
    </x:row>
    <x:row r="123" spans="2:7" x14ac:dyDescent="0.3">
      <x:c r="B123" s="36">
        <x:v>46661</x:v>
      </x:c>
      <x:c r="C123" s="37">
        <x:v>-2718.6666666666665</x:v>
      </x:c>
      <x:c r="D123" s="5">
        <x:f t="shared" si="3"/>
        <x:v>-16312.004837663391</x:v>
      </x:c>
      <x:c r="E123" s="37">
        <x:v>-222897.04866666664</x:v>
      </x:c>
      <x:c r="F123" s="5">
        <x:f t="shared" si="3"/>
        <x:v>-1369164.3835875555</x:v>
      </x:c>
      <x:c r="G123" s="37">
        <x:f t="shared" si="2"/>
        <x:v>-1385476.3884252189</x:v>
      </x:c>
    </x:row>
    <x:row r="124" spans="2:7" x14ac:dyDescent="0.3">
      <x:c r="B124" s="36">
        <x:v>46692</x:v>
      </x:c>
      <x:c r="C124" s="37">
        <x:v>-2718.6666666666665</x:v>
      </x:c>
      <x:c r="D124" s="5">
        <x:f t="shared" si="3"/>
        <x:v>-13593.338170996725</x:v>
      </x:c>
      <x:c r="E124" s="37">
        <x:v>-222897.04866666664</x:v>
      </x:c>
      <x:c r="F124" s="5">
        <x:f t="shared" si="3"/>
        <x:v>-1146267.3349208888</x:v>
      </x:c>
      <x:c r="G124" s="37">
        <x:f t="shared" si="2"/>
        <x:v>-1159860.6730918854</x:v>
      </x:c>
    </x:row>
    <x:row r="125" spans="2:7" x14ac:dyDescent="0.3">
      <x:c r="B125" s="36">
        <x:v>46722</x:v>
      </x:c>
      <x:c r="C125" s="37">
        <x:v>-2718.6666666666665</x:v>
      </x:c>
      <x:c r="D125" s="5">
        <x:f t="shared" si="3"/>
        <x:v>-10874.671504330059</x:v>
      </x:c>
      <x:c r="E125" s="37">
        <x:v>-222897.04866666664</x:v>
      </x:c>
      <x:c r="F125" s="5">
        <x:f t="shared" si="3"/>
        <x:v>-923370.28625422216</x:v>
      </x:c>
      <x:c r="G125" s="37">
        <x:f t="shared" si="2"/>
        <x:v>-934244.95775855216</x:v>
      </x:c>
    </x:row>
    <x:row r="126" spans="2:7" x14ac:dyDescent="0.3">
      <x:c r="B126" s="36">
        <x:v>46753</x:v>
      </x:c>
      <x:c r="C126" s="37">
        <x:v>-2718.6666666666665</x:v>
      </x:c>
      <x:c r="D126" s="5">
        <x:f t="shared" si="3"/>
        <x:v>-8156.0048376633931</x:v>
      </x:c>
      <x:c r="E126" s="37">
        <x:v>-222897.04866666664</x:v>
      </x:c>
      <x:c r="F126" s="5">
        <x:f t="shared" si="3"/>
        <x:v>-700473.23758755554</x:v>
      </x:c>
      <x:c r="G126" s="37">
        <x:f t="shared" si="2"/>
        <x:v>-708629.24242521892</x:v>
      </x:c>
    </x:row>
    <x:row r="127" spans="2:7" x14ac:dyDescent="0.3">
      <x:c r="B127" s="36">
        <x:v>46784</x:v>
      </x:c>
      <x:c r="C127" s="37">
        <x:v>-2718.6666666666665</x:v>
      </x:c>
      <x:c r="D127" s="5">
        <x:f t="shared" si="3"/>
        <x:v>-5437.3381709967271</x:v>
      </x:c>
      <x:c r="E127" s="37">
        <x:v>-222897.04866666664</x:v>
      </x:c>
      <x:c r="F127" s="5">
        <x:f t="shared" si="3"/>
        <x:v>-477576.18892088893</x:v>
      </x:c>
      <x:c r="G127" s="37">
        <x:f t="shared" si="2"/>
        <x:v>-483013.52709188568</x:v>
      </x:c>
    </x:row>
    <x:row r="128" spans="2:7" x14ac:dyDescent="0.3">
      <x:c r="B128" s="36">
        <x:v>46813</x:v>
      </x:c>
      <x:c r="C128" s="37">
        <x:v>-2718.6666666666665</x:v>
      </x:c>
      <x:c r="D128" s="5">
        <x:f t="shared" si="3"/>
        <x:v>-2718.6715043300605</x:v>
      </x:c>
      <x:c r="E128" s="37">
        <x:v>-222897.04866666664</x:v>
      </x:c>
      <x:c r="F128" s="5">
        <x:f t="shared" si="3"/>
        <x:v>-254679.14025422229</x:v>
      </x:c>
      <x:c r="G128" s="37">
        <x:f t="shared" si="2"/>
        <x:v>-257397.81175855236</x:v>
      </x:c>
    </x:row>
    <x:row r="129" spans="2:7" x14ac:dyDescent="0.3">
      <x:c r="B129" s="36">
        <x:v>46844</x:v>
      </x:c>
      <x:c r="C129" s="37">
        <x:v>-2718.6666666666665</x:v>
      </x:c>
      <x:c r="D129" s="5">
        <x:f t="shared" si="3"/>
        <x:v>-4.8376633940279135E-3</x:v>
      </x:c>
      <x:c r="E129" s="37">
        <x:v>-222897.04866666664</x:v>
      </x:c>
      <x:c r="F129" s="5">
        <x:f t="shared" si="3"/>
        <x:v>-31782.091587555653</x:v>
      </x:c>
      <x:c r="G129" s="37">
        <x:f t="shared" si="2"/>
        <x:v>-31782.096425219046</x:v>
      </x:c>
    </x:row>
    <x:row r="130" spans="2:7" x14ac:dyDescent="0.3">
      <x:c r="B130" s="36">
        <x:v>46874</x:v>
      </x:c>
      <x:c r="C130" s="37"/>
      <x:c r="D130" s="5"/>
      <x:c r="E130" s="37">
        <x:v>-31782.133854235319</x:v>
      </x:c>
      <x:c r="F130" s="5">
        <x:f t="shared" si="3"/>
        <x:v>4.2266679665772244E-2</x:v>
      </x:c>
      <x:c r="G130" s="37">
        <x:f t="shared" si="2"/>
        <x:v>4.2266679665772244E-2</x:v>
      </x:c>
    </x:row>
    <x:row r="131" spans="2:7" ht="13.5" thickBot="1" x14ac:dyDescent="0.35">
      <x:c r="B131" s="38" t="s">
        <x:v>135</x:v>
      </x:c>
      <x:c r="C131" s="39">
        <x:v>-163118.12999999998</x:v>
      </x:c>
      <x:c r="E131" s="39">
        <x:v>-13373824.790000005</x:v>
      </x:c>
      <x:c r="F131" s="40"/>
      <x:c r="G131" s="40"/>
    </x:row>
    <x:row r="132" spans="2:7" ht="13.5" thickTop="1" x14ac:dyDescent="0.3"/>
  </x:sheetData>
  <x:mergeCells count="8">
    <x:mergeCell ref="A68:C68"/>
    <x:mergeCell ref="I43:I45"/>
    <x:mergeCell ref="I32:I33"/>
    <x:mergeCell ref="I34:I35"/>
    <x:mergeCell ref="I36:I37"/>
    <x:mergeCell ref="I38:I39"/>
    <x:mergeCell ref="I40:I41"/>
    <x:mergeCell ref="I68:L68"/>
  </x:mergeCells>
  <x:phoneticPr fontId="10" type="noConversion"/>
  <x:printOptions horizontalCentered="1"/>
  <x:pageMargins left="1.5" right="0.5" top="0.5" bottom="0.25" header="0.3" footer="0.3"/>
  <x:pageSetup scale="42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A828D4-5388-4ACC-8185-725DC9BC2664}" mc:Ignorable="x14ac xr xr2 xr3">
  <x:sheetPr>
    <x:pageSetUpPr fitToPage="1"/>
  </x:sheetPr>
  <x:dimension ref="A1:O80"/>
  <x:sheetViews>
    <x:sheetView view="pageBreakPreview" topLeftCell="A22" zoomScale="60" zoomScaleNormal="100" workbookViewId="0">
      <x:selection activeCell="I11" sqref="I11"/>
    </x:sheetView>
  </x:sheetViews>
  <x:sheetFormatPr defaultRowHeight="13" x14ac:dyDescent="0.3"/>
  <x:cols>
    <x:col min="1" max="2" width="8.7265625" style="3"/>
    <x:col min="3" max="3" width="10.81640625" style="3" bestFit="1" customWidth="1"/>
    <x:col min="4" max="4" width="8.7265625" style="3"/>
    <x:col min="5" max="5" width="13.08984375" style="3" bestFit="1" customWidth="1"/>
    <x:col min="6" max="6" width="15" style="3" customWidth="1"/>
    <x:col min="7" max="7" width="13.1796875" style="3" customWidth="1"/>
    <x:col min="8" max="8" width="18.54296875" style="37" customWidth="1"/>
    <x:col min="9" max="9" width="84.90625" style="3" bestFit="1" customWidth="1"/>
    <x:col min="10" max="10" width="12.6328125" style="7" bestFit="1" customWidth="1"/>
    <x:col min="11" max="11" width="15.36328125" style="7" bestFit="1" customWidth="1"/>
    <x:col min="12" max="12" width="25.7265625" style="3" bestFit="1" customWidth="1"/>
    <x:col min="13" max="13" width="3.36328125" style="3" customWidth="1"/>
    <x:col min="14" max="14" width="14.26953125" style="3" bestFit="1" customWidth="1"/>
    <x:col min="15" max="15" width="11.7265625" style="3" bestFit="1" customWidth="1"/>
    <x:col min="16" max="16384" width="8.7265625" style="3"/>
  </x:cols>
  <x:sheetData>
    <x:row r="1" spans="1:15" x14ac:dyDescent="0.3">
      <x:c r="A1" s="1" t="s">
        <x:v>71</x:v>
      </x:c>
      <x:c r="M1" s="54"/>
      <x:c r="O1" s="35" t="str">
        <x:f>'WPII-B-12 Intang Amo Over-Rec1'!L1</x:f>
        <x:v>WP/II-B-12 Intangible Amortization Over-Recovery</x:v>
      </x:c>
    </x:row>
    <x:row r="2" spans="1:15" x14ac:dyDescent="0.3">
      <x:c r="A2" s="1" t="s">
        <x:v>56</x:v>
      </x:c>
      <x:c r="M2" s="54"/>
      <x:c r="O2" s="2" t="s">
        <x:v>125</x:v>
      </x:c>
    </x:row>
    <x:row r="3" spans="1:15" x14ac:dyDescent="0.3">
      <x:c r="A3" s="1" t="s">
        <x:v>106</x:v>
      </x:c>
      <x:c r="M3" s="54"/>
      <x:c r="O3" s="2" t="s">
        <x:v>132</x:v>
      </x:c>
    </x:row>
    <x:row r="4" spans="1:15" x14ac:dyDescent="0.3">
      <x:c r="A4" s="1" t="s">
        <x:v>72</x:v>
      </x:c>
      <x:c r="M4" s="54"/>
    </x:row>
    <x:row r="5" spans="1:15" x14ac:dyDescent="0.3">
      <x:c r="A5" s="54" t="s">
        <x:v>126</x:v>
      </x:c>
      <x:c r="B5" s="58"/>
      <x:c r="C5" s="58"/>
      <x:c r="M5" s="54"/>
    </x:row>
    <x:row r="6" spans="1:15" s="58" customFormat="1" x14ac:dyDescent="0.3">
      <x:c r="A6" s="54"/>
      <x:c r="H6" s="55"/>
      <x:c r="J6" s="59"/>
      <x:c r="K6" s="59"/>
      <x:c r="M6" s="54"/>
    </x:row>
    <x:row r="7" spans="1:15" s="58" customFormat="1" x14ac:dyDescent="0.3">
      <x:c r="A7" s="3" t="s">
        <x:v>112</x:v>
      </x:c>
      <x:c r="H7" s="55"/>
      <x:c r="J7" s="59"/>
      <x:c r="K7" s="59"/>
      <x:c r="M7" s="54"/>
    </x:row>
    <x:row r="8" spans="1:15" s="58" customFormat="1" x14ac:dyDescent="0.3">
      <x:c r="A8" s="54"/>
      <x:c r="H8" s="55"/>
      <x:c r="J8" s="59"/>
      <x:c r="K8" s="59"/>
      <x:c r="M8" s="54"/>
    </x:row>
    <x:row r="9" spans="1:15" s="58" customFormat="1" x14ac:dyDescent="0.3">
      <x:c r="A9" s="54"/>
      <x:c r="H9" s="55"/>
      <x:c r="J9" s="59"/>
      <x:c r="K9" s="59"/>
      <x:c r="M9" s="54"/>
      <x:c r="N9" s="59" t="s">
        <x:v>111</x:v>
      </x:c>
      <x:c r="O9" s="59"/>
    </x:row>
    <x:row r="10" spans="1:15" x14ac:dyDescent="0.3">
      <x:c r="M10" s="54"/>
      <x:c r="N10" s="7" t="s">
        <x:v>110</x:v>
      </x:c>
      <x:c r="O10" s="59" t="s">
        <x:v>107</x:v>
      </x:c>
    </x:row>
    <x:row r="11" spans="1:15" x14ac:dyDescent="0.3">
      <x:c r="A11" s="46" t="s">
        <x:v>74</x:v>
      </x:c>
      <x:c r="B11" s="46" t="s">
        <x:v>15</x:v>
      </x:c>
      <x:c r="C11" s="46" t="s">
        <x:v>75</x:v>
      </x:c>
      <x:c r="D11" s="46" t="s">
        <x:v>76</x:v>
      </x:c>
      <x:c r="E11" s="46" t="s">
        <x:v>77</x:v>
      </x:c>
      <x:c r="F11" s="46" t="s">
        <x:v>78</x:v>
      </x:c>
      <x:c r="G11" s="46" t="s">
        <x:v>79</x:v>
      </x:c>
      <x:c r="H11" s="60" t="s">
        <x:v>80</x:v>
      </x:c>
      <x:c r="I11" s="46" t="s">
        <x:v>81</x:v>
      </x:c>
      <x:c r="J11" s="46" t="s">
        <x:v>82</x:v>
      </x:c>
      <x:c r="K11" s="46" t="s">
        <x:v>83</x:v>
      </x:c>
      <x:c r="L11" s="46" t="s">
        <x:v>84</x:v>
      </x:c>
      <x:c r="M11" s="54"/>
      <x:c r="N11" s="46" t="s">
        <x:v>109</x:v>
      </x:c>
      <x:c r="O11" s="46" t="s">
        <x:v>108</x:v>
      </x:c>
    </x:row>
    <x:row r="13" spans="1:15" x14ac:dyDescent="0.3">
      <x:c r="A13" s="3" t="s">
        <x:v>61</x:v>
      </x:c>
      <x:c r="B13" s="3" t="s">
        <x:v>85</x:v>
      </x:c>
      <x:c r="C13" s="3" t="s">
        <x:v>86</x:v>
      </x:c>
      <x:c r="D13" s="3" t="s">
        <x:v>105</x:v>
      </x:c>
      <x:c r="E13" s="61">
        <x:v>44592</x:v>
      </x:c>
      <x:c r="F13" s="3" t="s">
        <x:v>88</x:v>
      </x:c>
      <x:c r="G13" s="61">
        <x:v>44595</x:v>
      </x:c>
      <x:c r="H13" s="37">
        <x:v>-3235.1</x:v>
      </x:c>
      <x:c r="I13" s="3" t="s">
        <x:v>9</x:v>
      </x:c>
      <x:c r="J13" s="7">
        <x:v>2022</x:v>
      </x:c>
      <x:c r="K13" s="62">
        <x:v>1</x:v>
      </x:c>
      <x:c r="L13" s="63" t="s">
        <x:v>89</x:v>
      </x:c>
      <x:c r="N13" s="5">
        <x:f>-'[1] 2023 Monthly Calculation'!$J$25</x:f>
        <x:v>-3218.7941283980008</x:v>
      </x:c>
      <x:c r="O13" s="5">
        <x:f>H13-N13</x:f>
        <x:v>-16.305871601999115</x:v>
      </x:c>
    </x:row>
    <x:row r="14" spans="1:15" x14ac:dyDescent="0.3">
      <x:c r="A14" s="3" t="s">
        <x:v>61</x:v>
      </x:c>
      <x:c r="B14" s="3" t="s">
        <x:v>85</x:v>
      </x:c>
      <x:c r="C14" s="3" t="s">
        <x:v>86</x:v>
      </x:c>
      <x:c r="D14" s="3" t="s">
        <x:v>105</x:v>
      </x:c>
      <x:c r="E14" s="61">
        <x:v>44620</x:v>
      </x:c>
      <x:c r="F14" s="3" t="s">
        <x:v>88</x:v>
      </x:c>
      <x:c r="G14" s="61">
        <x:v>44622</x:v>
      </x:c>
      <x:c r="H14" s="37">
        <x:v>-3235.43</x:v>
      </x:c>
      <x:c r="I14" s="3" t="s">
        <x:v>90</x:v>
      </x:c>
      <x:c r="J14" s="7">
        <x:v>2022</x:v>
      </x:c>
      <x:c r="K14" s="62">
        <x:v>2</x:v>
      </x:c>
      <x:c r="L14" s="63" t="s">
        <x:v>89</x:v>
      </x:c>
      <x:c r="N14" s="5">
        <x:f>-'[1] 2023 Monthly Calculation'!$J$25</x:f>
        <x:v>-3218.7941283980008</x:v>
      </x:c>
      <x:c r="O14" s="5">
        <x:f t="shared" ref="O14:O28" si="0">H14-N14</x:f>
        <x:v>-16.635871601999042</x:v>
      </x:c>
    </x:row>
    <x:row r="15" spans="1:15" x14ac:dyDescent="0.3">
      <x:c r="A15" s="3" t="s">
        <x:v>61</x:v>
      </x:c>
      <x:c r="B15" s="3" t="s">
        <x:v>85</x:v>
      </x:c>
      <x:c r="C15" s="3" t="s">
        <x:v>86</x:v>
      </x:c>
      <x:c r="D15" s="3" t="s">
        <x:v>105</x:v>
      </x:c>
      <x:c r="E15" s="61">
        <x:v>44651</x:v>
      </x:c>
      <x:c r="F15" s="3" t="s">
        <x:v>88</x:v>
      </x:c>
      <x:c r="G15" s="61">
        <x:v>44656</x:v>
      </x:c>
      <x:c r="H15" s="37">
        <x:v>-3235.75</x:v>
      </x:c>
      <x:c r="I15" s="3" t="s">
        <x:v>91</x:v>
      </x:c>
      <x:c r="J15" s="7">
        <x:v>2022</x:v>
      </x:c>
      <x:c r="K15" s="62">
        <x:v>3</x:v>
      </x:c>
      <x:c r="L15" s="63" t="s">
        <x:v>89</x:v>
      </x:c>
      <x:c r="N15" s="5">
        <x:f>-'[1] 2023 Monthly Calculation'!$J$25</x:f>
        <x:v>-3218.7941283980008</x:v>
      </x:c>
      <x:c r="O15" s="5">
        <x:f t="shared" si="0"/>
        <x:v>-16.955871601999206</x:v>
      </x:c>
    </x:row>
    <x:row r="16" spans="1:15" x14ac:dyDescent="0.3">
      <x:c r="A16" s="3" t="s">
        <x:v>61</x:v>
      </x:c>
      <x:c r="B16" s="3" t="s">
        <x:v>85</x:v>
      </x:c>
      <x:c r="C16" s="3" t="s">
        <x:v>86</x:v>
      </x:c>
      <x:c r="D16" s="3" t="s">
        <x:v>105</x:v>
      </x:c>
      <x:c r="E16" s="61">
        <x:v>44681</x:v>
      </x:c>
      <x:c r="F16" s="3" t="s">
        <x:v>88</x:v>
      </x:c>
      <x:c r="G16" s="61">
        <x:v>44683</x:v>
      </x:c>
      <x:c r="H16" s="37">
        <x:v>-3236.07</x:v>
      </x:c>
      <x:c r="I16" s="3" t="s">
        <x:v>92</x:v>
      </x:c>
      <x:c r="J16" s="7">
        <x:v>2022</x:v>
      </x:c>
      <x:c r="K16" s="62">
        <x:v>4</x:v>
      </x:c>
      <x:c r="L16" s="63" t="s">
        <x:v>89</x:v>
      </x:c>
      <x:c r="N16" s="5">
        <x:f>-'[1] 2023 Monthly Calculation'!$J$25</x:f>
        <x:v>-3218.7941283980008</x:v>
      </x:c>
      <x:c r="O16" s="5">
        <x:f t="shared" si="0"/>
        <x:v>-17.27587160199937</x:v>
      </x:c>
    </x:row>
    <x:row r="17" spans="1:15" x14ac:dyDescent="0.3">
      <x:c r="A17" s="3" t="s">
        <x:v>61</x:v>
      </x:c>
      <x:c r="B17" s="3" t="s">
        <x:v>85</x:v>
      </x:c>
      <x:c r="C17" s="3" t="s">
        <x:v>86</x:v>
      </x:c>
      <x:c r="D17" s="3" t="s">
        <x:v>105</x:v>
      </x:c>
      <x:c r="E17" s="61">
        <x:v>44712</x:v>
      </x:c>
      <x:c r="F17" s="3" t="s">
        <x:v>88</x:v>
      </x:c>
      <x:c r="G17" s="61">
        <x:v>44713</x:v>
      </x:c>
      <x:c r="H17" s="37">
        <x:v>-3236.38</x:v>
      </x:c>
      <x:c r="I17" s="3" t="s">
        <x:v>93</x:v>
      </x:c>
      <x:c r="J17" s="7">
        <x:v>2022</x:v>
      </x:c>
      <x:c r="K17" s="62">
        <x:v>5</x:v>
      </x:c>
      <x:c r="L17" s="63" t="s">
        <x:v>89</x:v>
      </x:c>
      <x:c r="N17" s="5">
        <x:f>-'[1] 2023 Monthly Calculation'!$J$25</x:f>
        <x:v>-3218.7941283980008</x:v>
      </x:c>
      <x:c r="O17" s="5">
        <x:f t="shared" si="0"/>
        <x:v>-17.585871601999315</x:v>
      </x:c>
    </x:row>
    <x:row r="18" spans="1:15" x14ac:dyDescent="0.3">
      <x:c r="A18" s="3" t="s">
        <x:v>61</x:v>
      </x:c>
      <x:c r="B18" s="3" t="s">
        <x:v>85</x:v>
      </x:c>
      <x:c r="C18" s="3" t="s">
        <x:v>86</x:v>
      </x:c>
      <x:c r="D18" s="3" t="s">
        <x:v>105</x:v>
      </x:c>
      <x:c r="E18" s="61">
        <x:v>44742</x:v>
      </x:c>
      <x:c r="F18" s="3" t="s">
        <x:v>88</x:v>
      </x:c>
      <x:c r="G18" s="61">
        <x:v>44741</x:v>
      </x:c>
      <x:c r="H18" s="37">
        <x:v>-3236.72</x:v>
      </x:c>
      <x:c r="I18" s="3" t="s">
        <x:v>94</x:v>
      </x:c>
      <x:c r="J18" s="7">
        <x:v>2022</x:v>
      </x:c>
      <x:c r="K18" s="62">
        <x:v>6</x:v>
      </x:c>
      <x:c r="L18" s="63" t="s">
        <x:v>89</x:v>
      </x:c>
      <x:c r="N18" s="5">
        <x:f>-'[1] 2023 Monthly Calculation'!$J$25</x:f>
        <x:v>-3218.7941283980008</x:v>
      </x:c>
      <x:c r="O18" s="5">
        <x:f t="shared" si="0"/>
        <x:v>-17.925871601999006</x:v>
      </x:c>
    </x:row>
    <x:row r="19" spans="1:15" x14ac:dyDescent="0.3">
      <x:c r="A19" s="3" t="s">
        <x:v>61</x:v>
      </x:c>
      <x:c r="B19" s="3" t="s">
        <x:v>85</x:v>
      </x:c>
      <x:c r="C19" s="3" t="s">
        <x:v>86</x:v>
      </x:c>
      <x:c r="D19" s="3" t="s">
        <x:v>105</x:v>
      </x:c>
      <x:c r="E19" s="61">
        <x:v>44773</x:v>
      </x:c>
      <x:c r="F19" s="3" t="s">
        <x:v>88</x:v>
      </x:c>
      <x:c r="G19" s="61">
        <x:v>44774</x:v>
      </x:c>
      <x:c r="H19" s="37">
        <x:v>-3237.04</x:v>
      </x:c>
      <x:c r="I19" s="3" t="s">
        <x:v>95</x:v>
      </x:c>
      <x:c r="J19" s="7">
        <x:v>2022</x:v>
      </x:c>
      <x:c r="K19" s="62">
        <x:v>7</x:v>
      </x:c>
      <x:c r="L19" s="63" t="s">
        <x:v>89</x:v>
      </x:c>
      <x:c r="N19" s="5">
        <x:f>-'[1] 2023 Monthly Calculation'!$J$25</x:f>
        <x:v>-3218.7941283980008</x:v>
      </x:c>
      <x:c r="O19" s="5">
        <x:f t="shared" si="0"/>
        <x:v>-18.24587160199917</x:v>
      </x:c>
    </x:row>
    <x:row r="20" spans="1:15" x14ac:dyDescent="0.3">
      <x:c r="A20" s="3" t="s">
        <x:v>61</x:v>
      </x:c>
      <x:c r="B20" s="3" t="s">
        <x:v>85</x:v>
      </x:c>
      <x:c r="C20" s="3" t="s">
        <x:v>86</x:v>
      </x:c>
      <x:c r="D20" s="3" t="s">
        <x:v>105</x:v>
      </x:c>
      <x:c r="E20" s="61">
        <x:v>44804</x:v>
      </x:c>
      <x:c r="F20" s="3" t="s">
        <x:v>88</x:v>
      </x:c>
      <x:c r="G20" s="61">
        <x:v>44803</x:v>
      </x:c>
      <x:c r="H20" s="37">
        <x:v>-3237.37</x:v>
      </x:c>
      <x:c r="I20" s="3" t="s">
        <x:v>96</x:v>
      </x:c>
      <x:c r="J20" s="7">
        <x:v>2022</x:v>
      </x:c>
      <x:c r="K20" s="62">
        <x:v>8</x:v>
      </x:c>
      <x:c r="L20" s="63" t="s">
        <x:v>89</x:v>
      </x:c>
      <x:c r="N20" s="5">
        <x:f>-'[1] 2023 Monthly Calculation'!$J$25</x:f>
        <x:v>-3218.7941283980008</x:v>
      </x:c>
      <x:c r="O20" s="5">
        <x:f t="shared" si="0"/>
        <x:v>-18.575871601999097</x:v>
      </x:c>
    </x:row>
    <x:row r="21" spans="1:15" x14ac:dyDescent="0.3">
      <x:c r="A21" s="3" t="s">
        <x:v>61</x:v>
      </x:c>
      <x:c r="B21" s="3" t="s">
        <x:v>85</x:v>
      </x:c>
      <x:c r="C21" s="3" t="s">
        <x:v>86</x:v>
      </x:c>
      <x:c r="D21" s="3" t="s">
        <x:v>105</x:v>
      </x:c>
      <x:c r="E21" s="61">
        <x:v>44834</x:v>
      </x:c>
      <x:c r="F21" s="3" t="s">
        <x:v>88</x:v>
      </x:c>
      <x:c r="G21" s="61">
        <x:v>44834</x:v>
      </x:c>
      <x:c r="H21" s="37">
        <x:v>-3237.7</x:v>
      </x:c>
      <x:c r="I21" s="3" t="s">
        <x:v>97</x:v>
      </x:c>
      <x:c r="J21" s="7">
        <x:v>2022</x:v>
      </x:c>
      <x:c r="K21" s="62">
        <x:v>9</x:v>
      </x:c>
      <x:c r="L21" s="63" t="s">
        <x:v>89</x:v>
      </x:c>
      <x:c r="N21" s="5">
        <x:f>-'[1] 2023 Monthly Calculation'!$J$25</x:f>
        <x:v>-3218.7941283980008</x:v>
      </x:c>
      <x:c r="O21" s="5">
        <x:f t="shared" si="0"/>
        <x:v>-18.905871601999024</x:v>
      </x:c>
    </x:row>
    <x:row r="22" spans="1:15" x14ac:dyDescent="0.3">
      <x:c r="A22" s="3" t="s">
        <x:v>61</x:v>
      </x:c>
      <x:c r="B22" s="3" t="s">
        <x:v>85</x:v>
      </x:c>
      <x:c r="C22" s="3" t="s">
        <x:v>86</x:v>
      </x:c>
      <x:c r="D22" s="3" t="s">
        <x:v>105</x:v>
      </x:c>
      <x:c r="E22" s="61">
        <x:v>44865</x:v>
      </x:c>
      <x:c r="F22" s="3" t="s">
        <x:v>88</x:v>
      </x:c>
      <x:c r="G22" s="61">
        <x:v>44865</x:v>
      </x:c>
      <x:c r="H22" s="37">
        <x:v>-3238.01</x:v>
      </x:c>
      <x:c r="I22" s="3" t="s">
        <x:v>98</x:v>
      </x:c>
      <x:c r="J22" s="7">
        <x:v>2022</x:v>
      </x:c>
      <x:c r="K22" s="62">
        <x:v>10</x:v>
      </x:c>
      <x:c r="L22" s="63" t="s">
        <x:v>89</x:v>
      </x:c>
      <x:c r="N22" s="5">
        <x:f>-'[1] 2023 Monthly Calculation'!$J$25</x:f>
        <x:v>-3218.7941283980008</x:v>
      </x:c>
      <x:c r="O22" s="5">
        <x:f t="shared" si="0"/>
        <x:v>-19.215871601999424</x:v>
      </x:c>
    </x:row>
    <x:row r="23" spans="1:15" x14ac:dyDescent="0.3">
      <x:c r="A23" s="3" t="s">
        <x:v>61</x:v>
      </x:c>
      <x:c r="B23" s="3" t="s">
        <x:v>85</x:v>
      </x:c>
      <x:c r="C23" s="3" t="s">
        <x:v>86</x:v>
      </x:c>
      <x:c r="D23" s="3" t="s">
        <x:v>105</x:v>
      </x:c>
      <x:c r="E23" s="61">
        <x:v>44895</x:v>
      </x:c>
      <x:c r="F23" s="3" t="s">
        <x:v>88</x:v>
      </x:c>
      <x:c r="G23" s="61">
        <x:v>44895</x:v>
      </x:c>
      <x:c r="H23" s="37">
        <x:v>-3238.34</x:v>
      </x:c>
      <x:c r="I23" s="3" t="s">
        <x:v>99</x:v>
      </x:c>
      <x:c r="J23" s="7">
        <x:v>2022</x:v>
      </x:c>
      <x:c r="K23" s="62">
        <x:v>11</x:v>
      </x:c>
      <x:c r="L23" s="63" t="s">
        <x:v>89</x:v>
      </x:c>
      <x:c r="N23" s="5">
        <x:f>-'[1] 2023 Monthly Calculation'!$J$25</x:f>
        <x:v>-3218.7941283980008</x:v>
      </x:c>
      <x:c r="O23" s="5">
        <x:f t="shared" si="0"/>
        <x:v>-19.545871601999352</x:v>
      </x:c>
    </x:row>
    <x:row r="24" spans="1:15" x14ac:dyDescent="0.3">
      <x:c r="A24" s="3" t="s">
        <x:v>61</x:v>
      </x:c>
      <x:c r="B24" s="3" t="s">
        <x:v>85</x:v>
      </x:c>
      <x:c r="C24" s="3" t="s">
        <x:v>86</x:v>
      </x:c>
      <x:c r="D24" s="3" t="s">
        <x:v>105</x:v>
      </x:c>
      <x:c r="E24" s="61">
        <x:v>44926</x:v>
      </x:c>
      <x:c r="F24" s="3" t="s">
        <x:v>88</x:v>
      </x:c>
      <x:c r="G24" s="61">
        <x:v>44929</x:v>
      </x:c>
      <x:c r="H24" s="37">
        <x:v>-3238.66</x:v>
      </x:c>
      <x:c r="I24" s="3" t="s">
        <x:v>100</x:v>
      </x:c>
      <x:c r="J24" s="7">
        <x:v>2022</x:v>
      </x:c>
      <x:c r="K24" s="62">
        <x:v>12</x:v>
      </x:c>
      <x:c r="L24" s="63" t="s">
        <x:v>89</x:v>
      </x:c>
      <x:c r="N24" s="5">
        <x:f>-'[1] 2023 Monthly Calculation'!$J$25</x:f>
        <x:v>-3218.7941283980008</x:v>
      </x:c>
      <x:c r="O24" s="5">
        <x:f t="shared" si="0"/>
        <x:v>-19.865871601999061</x:v>
      </x:c>
    </x:row>
    <x:row r="25" spans="1:15" x14ac:dyDescent="0.3">
      <x:c r="A25" s="3" t="s">
        <x:v>61</x:v>
      </x:c>
      <x:c r="B25" s="3" t="s">
        <x:v>85</x:v>
      </x:c>
      <x:c r="C25" s="3" t="s">
        <x:v>86</x:v>
      </x:c>
      <x:c r="D25" s="3" t="s">
        <x:v>105</x:v>
      </x:c>
      <x:c r="E25" s="61">
        <x:v>44957</x:v>
      </x:c>
      <x:c r="F25" s="3" t="s">
        <x:v>88</x:v>
      </x:c>
      <x:c r="G25" s="61">
        <x:v>44959</x:v>
      </x:c>
      <x:c r="H25" s="37">
        <x:v>-3238.66</x:v>
      </x:c>
      <x:c r="I25" s="3" t="s">
        <x:v>101</x:v>
      </x:c>
      <x:c r="J25" s="7">
        <x:v>2023</x:v>
      </x:c>
      <x:c r="K25" s="62">
        <x:v>1</x:v>
      </x:c>
      <x:c r="L25" s="63" t="s">
        <x:v>89</x:v>
      </x:c>
      <x:c r="N25" s="5">
        <x:f>-'[1] 2023 Monthly Calculation'!$J$25</x:f>
        <x:v>-3218.7941283980008</x:v>
      </x:c>
      <x:c r="O25" s="5">
        <x:f t="shared" si="0"/>
        <x:v>-19.865871601999061</x:v>
      </x:c>
    </x:row>
    <x:row r="26" spans="1:15" x14ac:dyDescent="0.3">
      <x:c r="A26" s="3" t="s">
        <x:v>61</x:v>
      </x:c>
      <x:c r="B26" s="3" t="s">
        <x:v>85</x:v>
      </x:c>
      <x:c r="C26" s="3" t="s">
        <x:v>86</x:v>
      </x:c>
      <x:c r="D26" s="3" t="s">
        <x:v>105</x:v>
      </x:c>
      <x:c r="E26" s="61">
        <x:v>44985</x:v>
      </x:c>
      <x:c r="F26" s="3" t="s">
        <x:v>88</x:v>
      </x:c>
      <x:c r="G26" s="61">
        <x:v>44986</x:v>
      </x:c>
      <x:c r="H26" s="37">
        <x:v>-3602.87</x:v>
      </x:c>
      <x:c r="I26" s="3" t="s">
        <x:v>102</x:v>
      </x:c>
      <x:c r="J26" s="7">
        <x:v>2023</x:v>
      </x:c>
      <x:c r="K26" s="62">
        <x:v>2</x:v>
      </x:c>
      <x:c r="L26" s="63" t="s">
        <x:v>89</x:v>
      </x:c>
      <x:c r="N26" s="5">
        <x:f>-'[1] 2023 Monthly Calculation'!$J$25</x:f>
        <x:v>-3218.7941283980008</x:v>
      </x:c>
      <x:c r="O26" s="5">
        <x:f t="shared" si="0"/>
        <x:v>-384.0758716019991</x:v>
      </x:c>
    </x:row>
    <x:row r="27" spans="1:15" x14ac:dyDescent="0.3">
      <x:c r="A27" s="3" t="s">
        <x:v>61</x:v>
      </x:c>
      <x:c r="B27" s="3" t="s">
        <x:v>85</x:v>
      </x:c>
      <x:c r="C27" s="3" t="s">
        <x:v>86</x:v>
      </x:c>
      <x:c r="D27" s="3" t="s">
        <x:v>105</x:v>
      </x:c>
      <x:c r="E27" s="61">
        <x:v>45016</x:v>
      </x:c>
      <x:c r="F27" s="3" t="s">
        <x:v>88</x:v>
      </x:c>
      <x:c r="G27" s="61">
        <x:v>45019</x:v>
      </x:c>
      <x:c r="H27" s="37">
        <x:v>-3425.85</x:v>
      </x:c>
      <x:c r="I27" s="3" t="s">
        <x:v>103</x:v>
      </x:c>
      <x:c r="J27" s="7">
        <x:v>2023</x:v>
      </x:c>
      <x:c r="K27" s="62">
        <x:v>3</x:v>
      </x:c>
      <x:c r="L27" s="63" t="s">
        <x:v>89</x:v>
      </x:c>
      <x:c r="N27" s="5">
        <x:f>-'[1] 2023 Monthly Calculation'!$J$25</x:f>
        <x:v>-3218.7941283980008</x:v>
      </x:c>
      <x:c r="O27" s="5">
        <x:f t="shared" si="0"/>
        <x:v>-207.05587160199912</x:v>
      </x:c>
    </x:row>
    <x:row r="28" spans="1:15" x14ac:dyDescent="0.3">
      <x:c r="A28" s="3" t="s">
        <x:v>61</x:v>
      </x:c>
      <x:c r="B28" s="3" t="s">
        <x:v>85</x:v>
      </x:c>
      <x:c r="C28" s="3" t="s">
        <x:v>86</x:v>
      </x:c>
      <x:c r="D28" s="3" t="s">
        <x:v>105</x:v>
      </x:c>
      <x:c r="E28" s="61">
        <x:v>45046</x:v>
      </x:c>
      <x:c r="F28" s="3" t="s">
        <x:v>88</x:v>
      </x:c>
      <x:c r="G28" s="61">
        <x:v>45047</x:v>
      </x:c>
      <x:c r="H28" s="64">
        <x:v>-3429.25</x:v>
      </x:c>
      <x:c r="I28" s="3" t="s">
        <x:v>104</x:v>
      </x:c>
      <x:c r="J28" s="7">
        <x:v>2023</x:v>
      </x:c>
      <x:c r="K28" s="62">
        <x:v>4</x:v>
      </x:c>
      <x:c r="L28" s="63" t="s">
        <x:v>89</x:v>
      </x:c>
      <x:c r="N28" s="50">
        <x:f>-'[1] 2023 Monthly Calculation'!$J$25</x:f>
        <x:v>-3218.7941283980008</x:v>
      </x:c>
      <x:c r="O28" s="50">
        <x:f t="shared" si="0"/>
        <x:v>-210.45587160199921</x:v>
      </x:c>
    </x:row>
    <x:row r="29" spans="1:15" x14ac:dyDescent="0.3">
      <x:c r="G29" s="3" t="s">
        <x:v>58</x:v>
      </x:c>
      <x:c r="H29" s="37">
        <x:f>SUM(H13:H28)</x:f>
        <x:v>-52539.200000000012</x:v>
      </x:c>
      <x:c r="N29" s="5">
        <x:f>SUM(N13:N28)</x:f>
        <x:v>-51500.70605436802</x:v>
      </x:c>
      <x:c r="O29" s="5">
        <x:f>SUM(O13:O28)</x:f>
        <x:v>-1038.4939456319867</x:v>
      </x:c>
    </x:row>
    <x:row r="30" spans="1:15" x14ac:dyDescent="0.3">
      <x:c r="N30" s="5"/>
      <x:c r="O30" s="5"/>
    </x:row>
    <x:row r="31" spans="1:15" x14ac:dyDescent="0.3">
      <x:c r="A31" s="3" t="s">
        <x:v>62</x:v>
      </x:c>
      <x:c r="B31" s="3" t="s">
        <x:v>85</x:v>
      </x:c>
      <x:c r="C31" s="3" t="s">
        <x:v>86</x:v>
      </x:c>
      <x:c r="D31" s="3" t="s">
        <x:v>87</x:v>
      </x:c>
      <x:c r="E31" s="61">
        <x:v>44592</x:v>
      </x:c>
      <x:c r="F31" s="3" t="s">
        <x:v>88</x:v>
      </x:c>
      <x:c r="G31" s="61">
        <x:v>44595</x:v>
      </x:c>
      <x:c r="H31" s="37">
        <x:v>-307604.36</x:v>
      </x:c>
      <x:c r="I31" s="3" t="s">
        <x:v>9</x:v>
      </x:c>
      <x:c r="J31" s="62">
        <x:v>2022</x:v>
      </x:c>
      <x:c r="K31" s="62">
        <x:v>1</x:v>
      </x:c>
      <x:c r="L31" s="3" t="s">
        <x:v>89</x:v>
      </x:c>
      <x:c r="N31" s="5">
        <x:f>-'[1] 2023 Monthly Calculation'!$J$6</x:f>
        <x:v>-306267.11048716505</x:v>
      </x:c>
      <x:c r="O31" s="5">
        <x:f>H31-N31</x:f>
        <x:v>-1337.2495128349401</x:v>
      </x:c>
    </x:row>
    <x:row r="32" spans="1:15" x14ac:dyDescent="0.3">
      <x:c r="A32" s="3" t="s">
        <x:v>62</x:v>
      </x:c>
      <x:c r="B32" s="3" t="s">
        <x:v>85</x:v>
      </x:c>
      <x:c r="C32" s="3" t="s">
        <x:v>86</x:v>
      </x:c>
      <x:c r="D32" s="3" t="s">
        <x:v>87</x:v>
      </x:c>
      <x:c r="E32" s="61">
        <x:v>44620</x:v>
      </x:c>
      <x:c r="F32" s="3" t="s">
        <x:v>88</x:v>
      </x:c>
      <x:c r="G32" s="61">
        <x:v>44622</x:v>
      </x:c>
      <x:c r="H32" s="37">
        <x:v>-307635.11</x:v>
      </x:c>
      <x:c r="I32" s="3" t="s">
        <x:v>90</x:v>
      </x:c>
      <x:c r="J32" s="62">
        <x:v>2022</x:v>
      </x:c>
      <x:c r="K32" s="62">
        <x:v>2</x:v>
      </x:c>
      <x:c r="L32" s="3" t="s">
        <x:v>89</x:v>
      </x:c>
      <x:c r="N32" s="5">
        <x:f>-'[1] 2023 Monthly Calculation'!$J$6</x:f>
        <x:v>-306267.11048716505</x:v>
      </x:c>
      <x:c r="O32" s="5">
        <x:f t="shared" ref="O32:O46" si="1">H32-N32</x:f>
        <x:v>-1367.9995128349401</x:v>
      </x:c>
    </x:row>
    <x:row r="33" spans="1:15" x14ac:dyDescent="0.3">
      <x:c r="A33" s="3" t="s">
        <x:v>62</x:v>
      </x:c>
      <x:c r="B33" s="3" t="s">
        <x:v>85</x:v>
      </x:c>
      <x:c r="C33" s="3" t="s">
        <x:v>86</x:v>
      </x:c>
      <x:c r="D33" s="3" t="s">
        <x:v>87</x:v>
      </x:c>
      <x:c r="E33" s="61">
        <x:v>44651</x:v>
      </x:c>
      <x:c r="F33" s="3" t="s">
        <x:v>88</x:v>
      </x:c>
      <x:c r="G33" s="61">
        <x:v>44656</x:v>
      </x:c>
      <x:c r="H33" s="37">
        <x:v>-307665.87</x:v>
      </x:c>
      <x:c r="I33" s="3" t="s">
        <x:v>91</x:v>
      </x:c>
      <x:c r="J33" s="62">
        <x:v>2022</x:v>
      </x:c>
      <x:c r="K33" s="62">
        <x:v>3</x:v>
      </x:c>
      <x:c r="L33" s="3" t="s">
        <x:v>89</x:v>
      </x:c>
      <x:c r="N33" s="5">
        <x:f>-'[1] 2023 Monthly Calculation'!$J$6</x:f>
        <x:v>-306267.11048716505</x:v>
      </x:c>
      <x:c r="O33" s="5">
        <x:f t="shared" si="1"/>
        <x:v>-1398.7595128349494</x:v>
      </x:c>
    </x:row>
    <x:row r="34" spans="1:15" x14ac:dyDescent="0.3">
      <x:c r="A34" s="3" t="s">
        <x:v>62</x:v>
      </x:c>
      <x:c r="B34" s="3" t="s">
        <x:v>85</x:v>
      </x:c>
      <x:c r="C34" s="3" t="s">
        <x:v>86</x:v>
      </x:c>
      <x:c r="D34" s="3" t="s">
        <x:v>87</x:v>
      </x:c>
      <x:c r="E34" s="61">
        <x:v>44681</x:v>
      </x:c>
      <x:c r="F34" s="3" t="s">
        <x:v>88</x:v>
      </x:c>
      <x:c r="G34" s="61">
        <x:v>44683</x:v>
      </x:c>
      <x:c r="H34" s="37">
        <x:v>-307696.65000000002</x:v>
      </x:c>
      <x:c r="I34" s="3" t="s">
        <x:v>92</x:v>
      </x:c>
      <x:c r="J34" s="62">
        <x:v>2022</x:v>
      </x:c>
      <x:c r="K34" s="62">
        <x:v>4</x:v>
      </x:c>
      <x:c r="L34" s="3" t="s">
        <x:v>89</x:v>
      </x:c>
      <x:c r="N34" s="5">
        <x:f>-'[1] 2023 Monthly Calculation'!$J$6</x:f>
        <x:v>-306267.11048716505</x:v>
      </x:c>
      <x:c r="O34" s="5">
        <x:f t="shared" si="1"/>
        <x:v>-1429.5395128349774</x:v>
      </x:c>
    </x:row>
    <x:row r="35" spans="1:15" x14ac:dyDescent="0.3">
      <x:c r="A35" s="3" t="s">
        <x:v>62</x:v>
      </x:c>
      <x:c r="B35" s="3" t="s">
        <x:v>85</x:v>
      </x:c>
      <x:c r="C35" s="3" t="s">
        <x:v>86</x:v>
      </x:c>
      <x:c r="D35" s="3" t="s">
        <x:v>87</x:v>
      </x:c>
      <x:c r="E35" s="61">
        <x:v>44712</x:v>
      </x:c>
      <x:c r="F35" s="3" t="s">
        <x:v>88</x:v>
      </x:c>
      <x:c r="G35" s="61">
        <x:v>44713</x:v>
      </x:c>
      <x:c r="H35" s="37">
        <x:v>-307727.40000000002</x:v>
      </x:c>
      <x:c r="I35" s="3" t="s">
        <x:v>93</x:v>
      </x:c>
      <x:c r="J35" s="62">
        <x:v>2022</x:v>
      </x:c>
      <x:c r="K35" s="62">
        <x:v>5</x:v>
      </x:c>
      <x:c r="L35" s="3" t="s">
        <x:v>89</x:v>
      </x:c>
      <x:c r="N35" s="5">
        <x:f>-'[1] 2023 Monthly Calculation'!$J$6</x:f>
        <x:v>-306267.11048716505</x:v>
      </x:c>
      <x:c r="O35" s="5">
        <x:f t="shared" si="1"/>
        <x:v>-1460.2895128349774</x:v>
      </x:c>
    </x:row>
    <x:row r="36" spans="1:15" x14ac:dyDescent="0.3">
      <x:c r="A36" s="3" t="s">
        <x:v>62</x:v>
      </x:c>
      <x:c r="B36" s="3" t="s">
        <x:v>85</x:v>
      </x:c>
      <x:c r="C36" s="3" t="s">
        <x:v>86</x:v>
      </x:c>
      <x:c r="D36" s="3" t="s">
        <x:v>87</x:v>
      </x:c>
      <x:c r="E36" s="61">
        <x:v>44742</x:v>
      </x:c>
      <x:c r="F36" s="3" t="s">
        <x:v>88</x:v>
      </x:c>
      <x:c r="G36" s="61">
        <x:v>44741</x:v>
      </x:c>
      <x:c r="H36" s="37">
        <x:v>-307758.2</x:v>
      </x:c>
      <x:c r="I36" s="3" t="s">
        <x:v>94</x:v>
      </x:c>
      <x:c r="J36" s="62">
        <x:v>2022</x:v>
      </x:c>
      <x:c r="K36" s="62">
        <x:v>6</x:v>
      </x:c>
      <x:c r="L36" s="3" t="s">
        <x:v>89</x:v>
      </x:c>
      <x:c r="N36" s="5">
        <x:f>-'[1] 2023 Monthly Calculation'!$J$6</x:f>
        <x:v>-306267.11048716505</x:v>
      </x:c>
      <x:c r="O36" s="5">
        <x:f t="shared" si="1"/>
        <x:v>-1491.0895128349657</x:v>
      </x:c>
    </x:row>
    <x:row r="37" spans="1:15" x14ac:dyDescent="0.3">
      <x:c r="A37" s="3" t="s">
        <x:v>62</x:v>
      </x:c>
      <x:c r="B37" s="3" t="s">
        <x:v>85</x:v>
      </x:c>
      <x:c r="C37" s="3" t="s">
        <x:v>86</x:v>
      </x:c>
      <x:c r="D37" s="3" t="s">
        <x:v>87</x:v>
      </x:c>
      <x:c r="E37" s="61">
        <x:v>44773</x:v>
      </x:c>
      <x:c r="F37" s="3" t="s">
        <x:v>88</x:v>
      </x:c>
      <x:c r="G37" s="61">
        <x:v>44774</x:v>
      </x:c>
      <x:c r="H37" s="37">
        <x:v>-307788.94</x:v>
      </x:c>
      <x:c r="I37" s="3" t="s">
        <x:v>95</x:v>
      </x:c>
      <x:c r="J37" s="62">
        <x:v>2022</x:v>
      </x:c>
      <x:c r="K37" s="62">
        <x:v>7</x:v>
      </x:c>
      <x:c r="L37" s="3" t="s">
        <x:v>89</x:v>
      </x:c>
      <x:c r="N37" s="5">
        <x:f>-'[1] 2023 Monthly Calculation'!$J$6</x:f>
        <x:v>-306267.11048716505</x:v>
      </x:c>
      <x:c r="O37" s="5">
        <x:f t="shared" si="1"/>
        <x:v>-1521.8295128349564</x:v>
      </x:c>
    </x:row>
    <x:row r="38" spans="1:15" x14ac:dyDescent="0.3">
      <x:c r="A38" s="3" t="s">
        <x:v>62</x:v>
      </x:c>
      <x:c r="B38" s="3" t="s">
        <x:v>85</x:v>
      </x:c>
      <x:c r="C38" s="3" t="s">
        <x:v>86</x:v>
      </x:c>
      <x:c r="D38" s="3" t="s">
        <x:v>87</x:v>
      </x:c>
      <x:c r="E38" s="61">
        <x:v>44804</x:v>
      </x:c>
      <x:c r="F38" s="3" t="s">
        <x:v>88</x:v>
      </x:c>
      <x:c r="G38" s="61">
        <x:v>44803</x:v>
      </x:c>
      <x:c r="H38" s="37">
        <x:v>-307819.74</x:v>
      </x:c>
      <x:c r="I38" s="3" t="s">
        <x:v>96</x:v>
      </x:c>
      <x:c r="J38" s="62">
        <x:v>2022</x:v>
      </x:c>
      <x:c r="K38" s="62">
        <x:v>8</x:v>
      </x:c>
      <x:c r="L38" s="3" t="s">
        <x:v>89</x:v>
      </x:c>
      <x:c r="N38" s="5">
        <x:f>-'[1] 2023 Monthly Calculation'!$J$6</x:f>
        <x:v>-306267.11048716505</x:v>
      </x:c>
      <x:c r="O38" s="5">
        <x:f t="shared" si="1"/>
        <x:v>-1552.6295128349448</x:v>
      </x:c>
    </x:row>
    <x:row r="39" spans="1:15" x14ac:dyDescent="0.3">
      <x:c r="A39" s="3" t="s">
        <x:v>62</x:v>
      </x:c>
      <x:c r="B39" s="3" t="s">
        <x:v>85</x:v>
      </x:c>
      <x:c r="C39" s="3" t="s">
        <x:v>86</x:v>
      </x:c>
      <x:c r="D39" s="3" t="s">
        <x:v>87</x:v>
      </x:c>
      <x:c r="E39" s="61">
        <x:v>44834</x:v>
      </x:c>
      <x:c r="F39" s="3" t="s">
        <x:v>88</x:v>
      </x:c>
      <x:c r="G39" s="61">
        <x:v>44834</x:v>
      </x:c>
      <x:c r="H39" s="37">
        <x:v>-307850.53999999998</x:v>
      </x:c>
      <x:c r="I39" s="3" t="s">
        <x:v>97</x:v>
      </x:c>
      <x:c r="J39" s="62">
        <x:v>2022</x:v>
      </x:c>
      <x:c r="K39" s="62">
        <x:v>9</x:v>
      </x:c>
      <x:c r="L39" s="3" t="s">
        <x:v>89</x:v>
      </x:c>
      <x:c r="N39" s="5">
        <x:f>-'[1] 2023 Monthly Calculation'!$J$6</x:f>
        <x:v>-306267.11048716505</x:v>
      </x:c>
      <x:c r="O39" s="5">
        <x:f t="shared" si="1"/>
        <x:v>-1583.4295128349331</x:v>
      </x:c>
    </x:row>
    <x:row r="40" spans="1:15" x14ac:dyDescent="0.3">
      <x:c r="A40" s="3" t="s">
        <x:v>62</x:v>
      </x:c>
      <x:c r="B40" s="3" t="s">
        <x:v>85</x:v>
      </x:c>
      <x:c r="C40" s="3" t="s">
        <x:v>86</x:v>
      </x:c>
      <x:c r="D40" s="3" t="s">
        <x:v>87</x:v>
      </x:c>
      <x:c r="E40" s="61">
        <x:v>44865</x:v>
      </x:c>
      <x:c r="F40" s="3" t="s">
        <x:v>88</x:v>
      </x:c>
      <x:c r="G40" s="61">
        <x:v>44865</x:v>
      </x:c>
      <x:c r="H40" s="37">
        <x:v>-307881.33</x:v>
      </x:c>
      <x:c r="I40" s="3" t="s">
        <x:v>98</x:v>
      </x:c>
      <x:c r="J40" s="62">
        <x:v>2022</x:v>
      </x:c>
      <x:c r="K40" s="62">
        <x:v>10</x:v>
      </x:c>
      <x:c r="L40" s="3" t="s">
        <x:v>89</x:v>
      </x:c>
      <x:c r="N40" s="5">
        <x:f>-'[1] 2023 Monthly Calculation'!$J$6</x:f>
        <x:v>-306267.11048716505</x:v>
      </x:c>
      <x:c r="O40" s="5">
        <x:f t="shared" si="1"/>
        <x:v>-1614.2195128349704</x:v>
      </x:c>
    </x:row>
    <x:row r="41" spans="1:15" x14ac:dyDescent="0.3">
      <x:c r="A41" s="3" t="s">
        <x:v>62</x:v>
      </x:c>
      <x:c r="B41" s="3" t="s">
        <x:v>85</x:v>
      </x:c>
      <x:c r="C41" s="3" t="s">
        <x:v>86</x:v>
      </x:c>
      <x:c r="D41" s="3" t="s">
        <x:v>87</x:v>
      </x:c>
      <x:c r="E41" s="61">
        <x:v>44895</x:v>
      </x:c>
      <x:c r="F41" s="3" t="s">
        <x:v>88</x:v>
      </x:c>
      <x:c r="G41" s="61">
        <x:v>44895</x:v>
      </x:c>
      <x:c r="H41" s="37">
        <x:v>-307912.09999999998</x:v>
      </x:c>
      <x:c r="I41" s="3" t="s">
        <x:v>99</x:v>
      </x:c>
      <x:c r="J41" s="62">
        <x:v>2022</x:v>
      </x:c>
      <x:c r="K41" s="62">
        <x:v>11</x:v>
      </x:c>
      <x:c r="L41" s="3" t="s">
        <x:v>89</x:v>
      </x:c>
      <x:c r="N41" s="5">
        <x:f>-'[1] 2023 Monthly Calculation'!$J$6</x:f>
        <x:v>-306267.11048716505</x:v>
      </x:c>
      <x:c r="O41" s="5">
        <x:f t="shared" si="1"/>
        <x:v>-1644.9895128349308</x:v>
      </x:c>
    </x:row>
    <x:row r="42" spans="1:15" x14ac:dyDescent="0.3">
      <x:c r="A42" s="3" t="s">
        <x:v>62</x:v>
      </x:c>
      <x:c r="B42" s="3" t="s">
        <x:v>85</x:v>
      </x:c>
      <x:c r="C42" s="3" t="s">
        <x:v>86</x:v>
      </x:c>
      <x:c r="D42" s="3" t="s">
        <x:v>87</x:v>
      </x:c>
      <x:c r="E42" s="61">
        <x:v>44926</x:v>
      </x:c>
      <x:c r="F42" s="3" t="s">
        <x:v>88</x:v>
      </x:c>
      <x:c r="G42" s="61">
        <x:v>44929</x:v>
      </x:c>
      <x:c r="H42" s="37">
        <x:v>-307942.89</x:v>
      </x:c>
      <x:c r="I42" s="3" t="s">
        <x:v>100</x:v>
      </x:c>
      <x:c r="J42" s="62">
        <x:v>2022</x:v>
      </x:c>
      <x:c r="K42" s="62">
        <x:v>12</x:v>
      </x:c>
      <x:c r="L42" s="3" t="s">
        <x:v>89</x:v>
      </x:c>
      <x:c r="N42" s="5">
        <x:f>-'[1] 2023 Monthly Calculation'!$J$6</x:f>
        <x:v>-306267.11048716505</x:v>
      </x:c>
      <x:c r="O42" s="5">
        <x:f t="shared" si="1"/>
        <x:v>-1675.779512834968</x:v>
      </x:c>
    </x:row>
    <x:row r="43" spans="1:15" x14ac:dyDescent="0.3">
      <x:c r="A43" s="3" t="s">
        <x:v>62</x:v>
      </x:c>
      <x:c r="B43" s="3" t="s">
        <x:v>85</x:v>
      </x:c>
      <x:c r="C43" s="3" t="s">
        <x:v>86</x:v>
      </x:c>
      <x:c r="D43" s="3" t="s">
        <x:v>87</x:v>
      </x:c>
      <x:c r="E43" s="61">
        <x:v>44957</x:v>
      </x:c>
      <x:c r="F43" s="3" t="s">
        <x:v>88</x:v>
      </x:c>
      <x:c r="G43" s="61">
        <x:v>44959</x:v>
      </x:c>
      <x:c r="H43" s="37">
        <x:v>-307942.89</x:v>
      </x:c>
      <x:c r="I43" s="3" t="s">
        <x:v>101</x:v>
      </x:c>
      <x:c r="J43" s="62">
        <x:v>2023</x:v>
      </x:c>
      <x:c r="K43" s="62">
        <x:v>1</x:v>
      </x:c>
      <x:c r="L43" s="3" t="s">
        <x:v>89</x:v>
      </x:c>
      <x:c r="N43" s="5">
        <x:f>-'[1] 2023 Monthly Calculation'!$J$6</x:f>
        <x:v>-306267.11048716505</x:v>
      </x:c>
      <x:c r="O43" s="5">
        <x:f t="shared" si="1"/>
        <x:v>-1675.779512834968</x:v>
      </x:c>
    </x:row>
    <x:row r="44" spans="1:15" x14ac:dyDescent="0.3">
      <x:c r="A44" s="3" t="s">
        <x:v>62</x:v>
      </x:c>
      <x:c r="B44" s="3" t="s">
        <x:v>85</x:v>
      </x:c>
      <x:c r="C44" s="3" t="s">
        <x:v>86</x:v>
      </x:c>
      <x:c r="D44" s="3" t="s">
        <x:v>87</x:v>
      </x:c>
      <x:c r="E44" s="61">
        <x:v>44985</x:v>
      </x:c>
      <x:c r="F44" s="3" t="s">
        <x:v>88</x:v>
      </x:c>
      <x:c r="G44" s="61">
        <x:v>44986</x:v>
      </x:c>
      <x:c r="H44" s="37">
        <x:v>-338758.94</x:v>
      </x:c>
      <x:c r="I44" s="3" t="s">
        <x:v>102</x:v>
      </x:c>
      <x:c r="J44" s="62">
        <x:v>2023</x:v>
      </x:c>
      <x:c r="K44" s="62">
        <x:v>2</x:v>
      </x:c>
      <x:c r="L44" s="3" t="s">
        <x:v>89</x:v>
      </x:c>
      <x:c r="N44" s="5">
        <x:f>-'[1] 2023 Monthly Calculation'!$J$6</x:f>
        <x:v>-306267.11048716505</x:v>
      </x:c>
      <x:c r="O44" s="5">
        <x:f t="shared" si="1"/>
        <x:v>-32491.829512834956</x:v>
      </x:c>
    </x:row>
    <x:row r="45" spans="1:15" x14ac:dyDescent="0.3">
      <x:c r="A45" s="3" t="s">
        <x:v>62</x:v>
      </x:c>
      <x:c r="B45" s="3" t="s">
        <x:v>85</x:v>
      </x:c>
      <x:c r="C45" s="3" t="s">
        <x:v>86</x:v>
      </x:c>
      <x:c r="D45" s="3" t="s">
        <x:v>87</x:v>
      </x:c>
      <x:c r="E45" s="61">
        <x:v>45016</x:v>
      </x:c>
      <x:c r="F45" s="3" t="s">
        <x:v>88</x:v>
      </x:c>
      <x:c r="G45" s="61">
        <x:v>45019</x:v>
      </x:c>
      <x:c r="H45" s="37">
        <x:v>-323831.98</x:v>
      </x:c>
      <x:c r="I45" s="3" t="s">
        <x:v>103</x:v>
      </x:c>
      <x:c r="J45" s="62">
        <x:v>2023</x:v>
      </x:c>
      <x:c r="K45" s="62">
        <x:v>3</x:v>
      </x:c>
      <x:c r="L45" s="3" t="s">
        <x:v>89</x:v>
      </x:c>
      <x:c r="N45" s="5">
        <x:f>-'[1] 2023 Monthly Calculation'!$J$6</x:f>
        <x:v>-306267.11048716505</x:v>
      </x:c>
      <x:c r="O45" s="5">
        <x:f t="shared" si="1"/>
        <x:v>-17564.869512834935</x:v>
      </x:c>
    </x:row>
    <x:row r="46" spans="1:15" x14ac:dyDescent="0.3">
      <x:c r="A46" s="3" t="s">
        <x:v>62</x:v>
      </x:c>
      <x:c r="B46" s="3" t="s">
        <x:v>85</x:v>
      </x:c>
      <x:c r="C46" s="3" t="s">
        <x:v>86</x:v>
      </x:c>
      <x:c r="D46" s="3" t="s">
        <x:v>87</x:v>
      </x:c>
      <x:c r="E46" s="61">
        <x:v>45046</x:v>
      </x:c>
      <x:c r="F46" s="3" t="s">
        <x:v>88</x:v>
      </x:c>
      <x:c r="G46" s="61">
        <x:v>45047</x:v>
      </x:c>
      <x:c r="H46" s="64">
        <x:v>-324153.14</x:v>
      </x:c>
      <x:c r="I46" s="3" t="s">
        <x:v>104</x:v>
      </x:c>
      <x:c r="J46" s="62">
        <x:v>2023</x:v>
      </x:c>
      <x:c r="K46" s="62">
        <x:v>4</x:v>
      </x:c>
      <x:c r="L46" s="3" t="s">
        <x:v>89</x:v>
      </x:c>
      <x:c r="N46" s="50">
        <x:f>-'[1] 2023 Monthly Calculation'!$J$6</x:f>
        <x:v>-306267.11048716505</x:v>
      </x:c>
      <x:c r="O46" s="50">
        <x:f t="shared" si="1"/>
        <x:v>-17886.029512834968</x:v>
      </x:c>
    </x:row>
    <x:row r="47" spans="1:15" x14ac:dyDescent="0.3">
      <x:c r="G47" s="3" t="s">
        <x:v>59</x:v>
      </x:c>
      <x:c r="H47" s="64">
        <x:f>SUM(H31:H46)</x:f>
        <x:v>-4987970.080000001</x:v>
      </x:c>
      <x:c r="N47" s="65">
        <x:f>SUM(N31:N46)</x:f>
        <x:v>-4900273.7677946398</x:v>
      </x:c>
      <x:c r="O47" s="65">
        <x:f>SUM(O31:O46)</x:f>
        <x:v>-87696.312205359282</x:v>
      </x:c>
    </x:row>
    <x:row r="48" spans="1:15" x14ac:dyDescent="0.3">
      <x:c r="A48" s="1" t="s">
        <x:v>113</x:v>
      </x:c>
      <x:c r="B48" s="1"/>
      <x:c r="C48" s="1"/>
      <x:c r="D48" s="1"/>
      <x:c r="E48" s="1"/>
      <x:c r="F48" s="1"/>
      <x:c r="G48" s="1"/>
      <x:c r="H48" s="89">
        <x:f>H47+H29</x:f>
        <x:v>-5040509.2800000012</x:v>
      </x:c>
      <x:c r="J48" s="46" t="s">
        <x:v>58</x:v>
      </x:c>
      <x:c r="K48" s="46" t="s">
        <x:v>59</x:v>
      </x:c>
      <x:c r="N48" s="5">
        <x:f>N29+N47</x:f>
        <x:v>-4951774.4738490079</x:v>
      </x:c>
      <x:c r="O48" s="5">
        <x:f>O29+O47</x:f>
        <x:v>-88734.806150991266</x:v>
      </x:c>
    </x:row>
    <x:row r="50" spans="1:15" x14ac:dyDescent="0.3">
      <x:c r="A50" s="1" t="s">
        <x:v>114</x:v>
      </x:c>
      <x:c r="B50" s="1"/>
      <x:c r="C50" s="1"/>
      <x:c r="D50" s="1"/>
      <x:c r="E50" s="1"/>
      <x:c r="F50" s="1"/>
      <x:c r="G50" s="1"/>
      <x:c r="H50" s="89">
        <x:f>ROUND(H48/5,2)</x:f>
        <x:v>-1008101.86</x:v>
      </x:c>
      <x:c r="I50" s="3" t="s">
        <x:v>121</x:v>
      </x:c>
      <x:c r="J50" s="88">
        <x:f>ROUND(H29/5,2)</x:f>
        <x:v>-10507.84</x:v>
      </x:c>
      <x:c r="K50" s="88">
        <x:f>ROUND(H47/5,2)</x:f>
        <x:v>-997594.02</x:v>
      </x:c>
      <x:c r="L50" s="3" t="s">
        <x:v>123</x:v>
      </x:c>
      <x:c r="N50" s="37"/>
      <x:c r="O50" s="37"/>
    </x:row>
    <x:row r="52" spans="1:15" x14ac:dyDescent="0.3">
      <x:c r="A52" s="3" t="s">
        <x:v>113</x:v>
      </x:c>
      <x:c r="H52" s="37">
        <x:f>H48</x:f>
        <x:v>-5040509.2800000012</x:v>
      </x:c>
      <x:c r="J52" s="5">
        <x:f>H29</x:f>
        <x:v>-52539.200000000012</x:v>
      </x:c>
      <x:c r="K52" s="5">
        <x:f>H47</x:f>
        <x:v>-4987970.080000001</x:v>
      </x:c>
    </x:row>
    <x:row r="53" spans="1:15" x14ac:dyDescent="0.3">
      <x:c r="A53" s="3" t="s">
        <x:v>115</x:v>
      </x:c>
      <x:c r="H53" s="64">
        <x:f>'WPII-B-12 Intang Amo Over-Rec1'!G89</x:f>
        <x:v>-9056410.7097585462</x:v>
      </x:c>
      <x:c r="I53" s="3" t="s">
        <x:v>129</x:v>
      </x:c>
      <x:c r="J53" s="50">
        <x:f>'WPII-B-12 Intang Amo Over-Rec1'!D89</x:f>
        <x:v>-108746.67150433011</x:v>
      </x:c>
      <x:c r="K53" s="50">
        <x:f>'WPII-B-12 Intang Amo Over-Rec1'!F89</x:f>
        <x:v>-8947664.0382542163</x:v>
      </x:c>
    </x:row>
    <x:row r="54" spans="1:15" x14ac:dyDescent="0.3">
      <x:c r="B54" s="3" t="s">
        <x:v>116</x:v>
      </x:c>
      <x:c r="H54" s="37">
        <x:f>SUM(H52:H53)</x:f>
        <x:v>-14096919.989758547</x:v>
      </x:c>
      <x:c r="J54" s="5">
        <x:f>SUM(J52:J53)</x:f>
        <x:v>-161285.87150433013</x:v>
      </x:c>
      <x:c r="K54" s="5">
        <x:f>SUM(K52:K53)</x:f>
        <x:v>-13935634.118254218</x:v>
      </x:c>
    </x:row>
    <x:row r="56" spans="1:15" ht="13.5" thickBot="1" x14ac:dyDescent="0.35">
      <x:c r="A56" s="3" t="s">
        <x:v>118</x:v>
      </x:c>
    </x:row>
    <x:row r="57" spans="1:15" x14ac:dyDescent="0.3">
      <x:c r="A57" s="3" t="s">
        <x:v>6</x:v>
      </x:c>
      <x:c r="E57" s="5">
        <x:f>-N48</x:f>
        <x:v>4951774.4738490079</x:v>
      </x:c>
      <x:c r="G57" s="66"/>
      <x:c r="H57" s="67"/>
      <x:c r="I57" s="67"/>
      <x:c r="J57" s="67"/>
      <x:c r="K57" s="67"/>
      <x:c r="L57" s="68"/>
      <x:c r="M57" s="41"/>
      <x:c r="N57" s="41"/>
    </x:row>
    <x:row r="58" spans="1:15" x14ac:dyDescent="0.3">
      <x:c r="A58" s="3" t="s">
        <x:v>7</x:v>
      </x:c>
      <x:c r="E58" s="5">
        <x:f>-O48</x:f>
        <x:v>88734.806150991266</x:v>
      </x:c>
      <x:c r="G58" s="69" t="s">
        <x:v>127</x:v>
      </x:c>
      <x:c r="H58" s="41"/>
      <x:c r="I58" s="41"/>
      <x:c r="J58" s="41"/>
      <x:c r="K58" s="41"/>
      <x:c r="L58" s="70"/>
      <x:c r="M58" s="41"/>
      <x:c r="N58" s="41"/>
    </x:row>
    <x:row r="59" spans="1:15" ht="13.5" thickBot="1" x14ac:dyDescent="0.35">
      <x:c r="B59" s="3" t="s">
        <x:v>8</x:v>
      </x:c>
      <x:c r="F59" s="5">
        <x:f>H48</x:f>
        <x:v>-5040509.2800000012</x:v>
      </x:c>
      <x:c r="G59" s="71"/>
      <x:c r="H59" s="72"/>
      <x:c r="I59" s="72"/>
      <x:c r="J59" s="72"/>
      <x:c r="K59" s="72"/>
      <x:c r="L59" s="73"/>
      <x:c r="M59" s="41"/>
      <x:c r="N59" s="74" t="s">
        <x:v>13</x:v>
      </x:c>
    </x:row>
    <x:row r="60" spans="1:15" ht="14.5" x14ac:dyDescent="0.45">
      <x:c r="A60" s="57" t="s">
        <x:v>9</x:v>
      </x:c>
      <x:c r="G60" s="66" t="s">
        <x:v>14</x:v>
      </x:c>
      <x:c r="H60" s="67"/>
      <x:c r="I60" s="75" t="s">
        <x:v>15</x:v>
      </x:c>
      <x:c r="J60" s="67"/>
      <x:c r="K60" s="67"/>
      <x:c r="L60" s="76">
        <x:f>-N31</x:f>
        <x:v>306267.11048716505</x:v>
      </x:c>
      <x:c r="M60" s="41"/>
      <x:c r="N60" s="77" t="s">
        <x:v>16</x:v>
      </x:c>
    </x:row>
    <x:row r="61" spans="1:15" x14ac:dyDescent="0.3">
      <x:c r="G61" s="78" t="s">
        <x:v>18</x:v>
      </x:c>
      <x:c r="H61" s="41"/>
      <x:c r="I61" s="79" t="s">
        <x:v>19</x:v>
      </x:c>
      <x:c r="J61" s="41"/>
      <x:c r="K61" s="80">
        <x:v>0.53194799999999998</x:v>
      </x:c>
      <x:c r="L61" s="81">
        <x:f>ROUND($L$60*K61,2)</x:f>
        <x:v>162918.18</x:v>
      </x:c>
      <x:c r="M61" s="41"/>
      <x:c r="N61" s="82">
        <x:v>70018750.920000002</x:v>
      </x:c>
    </x:row>
    <x:row r="62" spans="1:15" x14ac:dyDescent="0.3">
      <x:c r="A62" s="3" t="s">
        <x:v>122</x:v>
      </x:c>
      <x:c r="G62" s="78" t="s">
        <x:v>20</x:v>
      </x:c>
      <x:c r="H62" s="41"/>
      <x:c r="I62" s="79" t="s">
        <x:v>21</x:v>
      </x:c>
      <x:c r="J62" s="41"/>
      <x:c r="K62" s="96">
        <x:v>2.3432999999999999E-2</x:v>
      </x:c>
      <x:c r="L62" s="81">
        <x:f>ROUND(L60*K62*(N62/(N62+N63)),2)</x:f>
        <x:v>3.15</x:v>
      </x:c>
      <x:c r="M62" s="41"/>
      <x:c r="N62" s="82">
        <x:v>1381.6</x:v>
      </x:c>
    </x:row>
    <x:row r="63" spans="1:15" x14ac:dyDescent="0.3">
      <x:c r="G63" s="78" t="s">
        <x:v>23</x:v>
      </x:c>
      <x:c r="H63" s="41"/>
      <x:c r="I63" s="79" t="s">
        <x:v>24</x:v>
      </x:c>
      <x:c r="J63" s="41"/>
      <x:c r="K63" s="96"/>
      <x:c r="L63" s="81">
        <x:f>ROUND(L60*K62,2)-L62</x:f>
        <x:v>7173.6100000000006</x:v>
      </x:c>
      <x:c r="M63" s="41"/>
      <x:c r="N63" s="82">
        <x:v>3145342.71</x:v>
      </x:c>
    </x:row>
    <x:row r="64" spans="1:15" x14ac:dyDescent="0.3">
      <x:c r="G64" s="78" t="s">
        <x:v>25</x:v>
      </x:c>
      <x:c r="H64" s="41"/>
      <x:c r="I64" s="79" t="s">
        <x:v>26</x:v>
      </x:c>
      <x:c r="J64" s="41"/>
      <x:c r="K64" s="96">
        <x:v>1.8699999999999999E-4</x:v>
      </x:c>
      <x:c r="L64" s="81">
        <x:f>ROUND(L60*K64*(N64/(N64+N65)),2)</x:f>
        <x:v>0.5</x:v>
      </x:c>
      <x:c r="M64" s="41"/>
      <x:c r="N64" s="82">
        <x:v>194.17</x:v>
      </x:c>
    </x:row>
    <x:row r="65" spans="7:14" x14ac:dyDescent="0.3">
      <x:c r="G65" s="78" t="s">
        <x:v>27</x:v>
      </x:c>
      <x:c r="H65" s="41"/>
      <x:c r="I65" s="79" t="s">
        <x:v>28</x:v>
      </x:c>
      <x:c r="J65" s="41"/>
      <x:c r="K65" s="96"/>
      <x:c r="L65" s="81">
        <x:f>ROUND(L60*K64,2)-L64</x:f>
        <x:v>56.77</x:v>
      </x:c>
      <x:c r="M65" s="41"/>
      <x:c r="N65" s="82">
        <x:v>21990.99</x:v>
      </x:c>
    </x:row>
    <x:row r="66" spans="7:14" x14ac:dyDescent="0.3">
      <x:c r="G66" s="78" t="s">
        <x:v>29</x:v>
      </x:c>
      <x:c r="H66" s="41"/>
      <x:c r="I66" s="79" t="s">
        <x:v>30</x:v>
      </x:c>
      <x:c r="J66" s="41"/>
      <x:c r="K66" s="96">
        <x:v>0.38188899999999998</x:v>
      </x:c>
      <x:c r="L66" s="81">
        <x:f>ROUND(L60*K66*(N66/(N66+N67)),2)</x:f>
        <x:v>35917.25</x:v>
      </x:c>
      <x:c r="M66" s="41"/>
      <x:c r="N66" s="82">
        <x:v>16035658.68</x:v>
      </x:c>
    </x:row>
    <x:row r="67" spans="7:14" x14ac:dyDescent="0.3">
      <x:c r="G67" s="78" t="s">
        <x:v>31</x:v>
      </x:c>
      <x:c r="H67" s="41"/>
      <x:c r="I67" s="79" t="s">
        <x:v>32</x:v>
      </x:c>
      <x:c r="J67" s="41"/>
      <x:c r="K67" s="96"/>
      <x:c r="L67" s="81">
        <x:f>ROUND(L60*K66,2)-L66</x:f>
        <x:v>81042.789999999994</x:v>
      </x:c>
      <x:c r="M67" s="41"/>
      <x:c r="N67" s="82">
        <x:v>36182458.340000004</x:v>
      </x:c>
    </x:row>
    <x:row r="68" spans="7:14" x14ac:dyDescent="0.3">
      <x:c r="G68" s="78" t="s">
        <x:v>33</x:v>
      </x:c>
      <x:c r="H68" s="41"/>
      <x:c r="I68" s="79" t="s">
        <x:v>34</x:v>
      </x:c>
      <x:c r="J68" s="41"/>
      <x:c r="K68" s="96">
        <x:v>3.9354E-2</x:v>
      </x:c>
      <x:c r="L68" s="81">
        <x:f>ROUND(L60*K68*(N68/(N68+N69)),2)</x:f>
        <x:v>10162.33</x:v>
      </x:c>
      <x:c r="M68" s="41"/>
      <x:c r="N68" s="82">
        <x:v>4681002.66</x:v>
      </x:c>
    </x:row>
    <x:row r="69" spans="7:14" x14ac:dyDescent="0.3">
      <x:c r="G69" s="78" t="s">
        <x:v>35</x:v>
      </x:c>
      <x:c r="H69" s="41"/>
      <x:c r="I69" s="79" t="s">
        <x:v>36</x:v>
      </x:c>
      <x:c r="J69" s="41"/>
      <x:c r="K69" s="96"/>
      <x:c r="L69" s="81">
        <x:f>ROUND(L60*K68,2)-L68</x:f>
        <x:v>1890.5100000000002</x:v>
      </x:c>
      <x:c r="M69" s="41"/>
      <x:c r="N69" s="82">
        <x:v>870813.04</x:v>
      </x:c>
    </x:row>
    <x:row r="70" spans="7:14" x14ac:dyDescent="0.3">
      <x:c r="G70" s="78" t="s">
        <x:v>37</x:v>
      </x:c>
      <x:c r="H70" s="41"/>
      <x:c r="I70" s="79" t="s">
        <x:v>38</x:v>
      </x:c>
      <x:c r="J70" s="41"/>
      <x:c r="K70" s="96">
        <x:v>2.5539999999999998E-3</x:v>
      </x:c>
      <x:c r="L70" s="81">
        <x:f>ROUND(L60*K70*(N70/(N70+N71)),2)</x:f>
        <x:v>778.78</x:v>
      </x:c>
      <x:c r="M70" s="41"/>
      <x:c r="N70" s="82">
        <x:v>406288.1</x:v>
      </x:c>
    </x:row>
    <x:row r="71" spans="7:14" x14ac:dyDescent="0.3">
      <x:c r="G71" s="78" t="s">
        <x:v>40</x:v>
      </x:c>
      <x:c r="H71" s="41"/>
      <x:c r="I71" s="79" t="s">
        <x:v>41</x:v>
      </x:c>
      <x:c r="J71" s="41"/>
      <x:c r="K71" s="96"/>
      <x:c r="L71" s="81">
        <x:f>ROUND(L60*K70,2)-L70</x:f>
        <x:v>3.4300000000000637</x:v>
      </x:c>
      <x:c r="M71" s="41"/>
      <x:c r="N71" s="82">
        <x:v>1788.01</x:v>
      </x:c>
    </x:row>
    <x:row r="72" spans="7:14" x14ac:dyDescent="0.3">
      <x:c r="G72" s="78" t="s">
        <x:v>0</x:v>
      </x:c>
      <x:c r="H72" s="41"/>
      <x:c r="I72" s="79" t="s">
        <x:v>42</x:v>
      </x:c>
      <x:c r="J72" s="41"/>
      <x:c r="K72" s="80">
        <x:v>1.01E-3</x:v>
      </x:c>
      <x:c r="L72" s="81">
        <x:f>ROUND(L60*K72,2)</x:f>
        <x:v>309.33</x:v>
      </x:c>
      <x:c r="M72" s="41"/>
      <x:c r="N72" s="82">
        <x:v>162115.37</x:v>
      </x:c>
    </x:row>
    <x:row r="73" spans="7:14" x14ac:dyDescent="0.3">
      <x:c r="G73" s="78" t="s">
        <x:v>43</x:v>
      </x:c>
      <x:c r="H73" s="41"/>
      <x:c r="I73" s="79" t="s">
        <x:v>44</x:v>
      </x:c>
      <x:c r="J73" s="41"/>
      <x:c r="K73" s="96">
        <x:v>1.6830999999999999E-2</x:v>
      </x:c>
      <x:c r="L73" s="81">
        <x:f>ROUND(L60*K73*(N73/(N73+N74+N75)),2)</x:f>
        <x:v>3828.08</x:v>
      </x:c>
      <x:c r="M73" s="41"/>
      <x:c r="N73" s="82">
        <x:v>1665867.68</x:v>
      </x:c>
    </x:row>
    <x:row r="74" spans="7:14" x14ac:dyDescent="0.3">
      <x:c r="G74" s="78" t="s">
        <x:v>45</x:v>
      </x:c>
      <x:c r="H74" s="41"/>
      <x:c r="I74" s="79" t="s">
        <x:v>46</x:v>
      </x:c>
      <x:c r="J74" s="41"/>
      <x:c r="K74" s="96"/>
      <x:c r="L74" s="81">
        <x:f>ROUND(L60*K73*(N74/(N73+N74+N75)),2)</x:f>
        <x:v>132.78</x:v>
      </x:c>
      <x:c r="M74" s="41"/>
      <x:c r="N74" s="82">
        <x:v>57781.95</x:v>
      </x:c>
    </x:row>
    <x:row r="75" spans="7:14" x14ac:dyDescent="0.3">
      <x:c r="G75" s="78" t="s">
        <x:v>47</x:v>
      </x:c>
      <x:c r="H75" s="41"/>
      <x:c r="I75" s="79" t="s">
        <x:v>48</x:v>
      </x:c>
      <x:c r="J75" s="41"/>
      <x:c r="K75" s="96"/>
      <x:c r="L75" s="81">
        <x:f>ROUND(L60*K73,2)-L73-L74</x:f>
        <x:v>1193.9199999999998</x:v>
      </x:c>
      <x:c r="M75" s="41"/>
      <x:c r="N75" s="82">
        <x:v>519557.88</x:v>
      </x:c>
    </x:row>
    <x:row r="76" spans="7:14" x14ac:dyDescent="0.3">
      <x:c r="G76" s="78" t="s">
        <x:v>49</x:v>
      </x:c>
      <x:c r="H76" s="41"/>
      <x:c r="I76" s="74">
        <x:v>4471008</x:v>
      </x:c>
      <x:c r="J76" s="41"/>
      <x:c r="K76" s="80">
        <x:v>4.9600000000000002E-4</x:v>
      </x:c>
      <x:c r="L76" s="81">
        <x:f>ROUND(L60*K76,2)</x:f>
        <x:v>151.91</x:v>
      </x:c>
      <x:c r="M76" s="41"/>
      <x:c r="N76" s="42"/>
    </x:row>
    <x:row r="77" spans="7:14" ht="13.5" thickBot="1" x14ac:dyDescent="0.35">
      <x:c r="G77" s="83" t="s">
        <x:v>50</x:v>
      </x:c>
      <x:c r="H77" s="72"/>
      <x:c r="I77" s="84">
        <x:v>4471009</x:v>
      </x:c>
      <x:c r="J77" s="72"/>
      <x:c r="K77" s="85">
        <x:v>2.2980000000000001E-3</x:v>
      </x:c>
      <x:c r="L77" s="86">
        <x:f>ROUND($L$60*K77,2)-0.01</x:f>
        <x:v>703.79</x:v>
      </x:c>
      <x:c r="M77" s="41"/>
      <x:c r="N77" s="42"/>
    </x:row>
    <x:row r="78" spans="7:14" x14ac:dyDescent="0.3">
      <x:c r="G78" s="66"/>
      <x:c r="H78" s="67"/>
      <x:c r="I78" s="67"/>
      <x:c r="J78" s="67"/>
      <x:c r="K78" s="67"/>
      <x:c r="L78" s="68"/>
      <x:c r="M78" s="41"/>
      <x:c r="N78" s="41"/>
    </x:row>
    <x:row r="79" spans="7:14" x14ac:dyDescent="0.3">
      <x:c r="G79" s="69" t="s">
        <x:v>117</x:v>
      </x:c>
      <x:c r="H79" s="41"/>
      <x:c r="I79" s="74">
        <x:v>4470000</x:v>
      </x:c>
      <x:c r="J79" s="41"/>
      <x:c r="K79" s="41"/>
      <x:c r="L79" s="87">
        <x:f>-N13</x:f>
        <x:v>3218.7941283980008</x:v>
      </x:c>
      <x:c r="M79" s="41"/>
      <x:c r="N79" s="41"/>
    </x:row>
    <x:row r="80" spans="7:14" ht="13.5" thickBot="1" x14ac:dyDescent="0.35">
      <x:c r="G80" s="71"/>
      <x:c r="H80" s="72"/>
      <x:c r="I80" s="72"/>
      <x:c r="J80" s="72"/>
      <x:c r="K80" s="72"/>
      <x:c r="L80" s="73"/>
      <x:c r="M80" s="41"/>
      <x:c r="N80" s="41"/>
    </x:row>
  </x:sheetData>
  <x:mergeCells count="6">
    <x:mergeCell ref="K73:K75"/>
    <x:mergeCell ref="K62:K63"/>
    <x:mergeCell ref="K64:K65"/>
    <x:mergeCell ref="K66:K67"/>
    <x:mergeCell ref="K68:K69"/>
    <x:mergeCell ref="K70:K71"/>
  </x:mergeCells>
  <x:pageMargins left="0.45" right="0.2" top="0.75" bottom="0.5" header="0.3" footer="0.3"/>
  <x:pageSetup scale="49" orientation="landscape" r:id="rId1"/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2025-05-01T17:19:45.0000000Z</dcterms:modified>
</coreProperties>
</file>